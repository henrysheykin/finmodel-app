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<sst xmlns="http://schemas.openxmlformats.org/spreadsheetml/2006/main" count="1374" uniqueCount="531">
  <si>
    <t xml:space="preserve">Car wash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</si>
  <si>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</si>
  <si>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</si>
  <si>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</si>
  <si>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</si>
  <si>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</si>
  <si>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</si>
  <si>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</si>
  <si>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</si>
  <si>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</si>
  <si>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</si>
  <si>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</si>
  <si>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</si>
  <si>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</si>
  <si>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</si>
  <si>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</si>
  <si>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</si>
  <si>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</si>
  <si>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</si>
  <si>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</si>
  <si>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</si>
  <si>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</si>
  <si>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</si>
  <si>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</si>
  <si>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</si>
  <si>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</si>
  <si>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</si>
  <si>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</si>
  <si>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</si>
  <si>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</si>
  <si>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</si>
  <si>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</si>
  <si>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</si>
  <si>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</si>
  <si>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</si>
  <si>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</si>
  <si>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</si>
  <si>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</si>
  <si>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</si>
  <si>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</si>
  <si>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</si>
  <si>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</si>
  <si>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</si>
  <si>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</si>
  <si>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</si>
  <si>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</si>
  <si>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</si>
  <si>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</si>
  <si>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</si>
  <si>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</si>
  <si>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</si>
  <si>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</si>
  <si>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</si>
  <si>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</si>
  <si>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</si>
  <si>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</si>
  <si>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</si>
  <si>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Car wash metrics</t>
  </si>
  <si>
    <t xml:space="preserve">Unlimited members (year end)</t>
  </si>
  <si>
    <t xml:space="preserve">Washes per operating day</t>
  </si>
  <si>
    <t xml:space="preserve">Tunnel capacity used</t>
  </si>
  <si>
    <t xml:space="preserve">Revenue per wash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</si>
  <si>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</si>
  <si>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</si>
  <si>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</si>
  <si>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</si>
  <si>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</si>
  <si>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</si>
  <si>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</si>
  <si>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</si>
  <si>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</si>
  <si>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</si>
  <si>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</si>
  <si>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</si>
  <si>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</si>
  <si>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</si>
  <si>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</si>
  <si>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</si>
  <si>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</si>
  <si>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</si>
  <si>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</si>
  <si>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</si>
  <si>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</si>
  <si>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</si>
  <si>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</si>
  <si>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</si>
  <si>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</si>
  <si>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</si>
  <si>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</si>
  <si>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</si>
  <si>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</si>
  <si>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</si>
  <si>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</si>
  <si>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</si>
  <si>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</si>
  <si>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</si>
  <si>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</si>
  <si>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</si>
  <si>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</si>
  <si>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</si>
  <si>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</si>
  <si>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</si>
  <si>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</si>
  <si>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</si>
  <si>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</si>
  <si>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</si>
  <si>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</si>
  <si>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</si>
  <si>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</si>
  <si>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Retail cars per operating day at maturity (year 1) (cars)</t>
  </si>
  <si>
    <t xml:space="preserve">Average price per retail wash (year 1) ($)</t>
  </si>
  <si>
    <t xml:space="preserve">Unlimited members at start (presale or current base) (#)</t>
  </si>
  <si>
    <t xml:space="preserve">Unlimited plan fee per member per month (year 1) ($)</t>
  </si>
  <si>
    <t xml:space="preserve">Members who cancel per month (%)</t>
  </si>
  <si>
    <t xml:space="preserve">Site lease or land cost per month ($)</t>
  </si>
  <si>
    <t xml:space="preserve">Tunnel equipment (month 1)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</si>
  <si>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</si>
  <si>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</si>
  <si>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</si>
  <si>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</si>
  <si>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</si>
  <si>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</si>
  <si>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</si>
  <si>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</si>
  <si>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</si>
  <si>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</si>
  <si>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</si>
  <si>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</si>
  <si>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</si>
  <si>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</si>
  <si>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</si>
  <si>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</si>
  <si>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</si>
  <si>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</si>
  <si>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</si>
  <si>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</si>
  <si>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</si>
  <si>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</si>
  <si>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</si>
  <si>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</si>
  <si>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</si>
  <si>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</si>
  <si>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</si>
  <si>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</si>
  <si>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</si>
  <si>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</si>
  <si>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</si>
  <si>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</si>
  <si>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</si>
  <si>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</si>
  <si>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</si>
  <si>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</si>
  <si>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</si>
  <si>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</si>
  <si>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</si>
  <si>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</si>
  <si>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</si>
  <si>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</si>
  <si>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</si>
  <si>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</si>
  <si>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</si>
  <si>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</si>
  <si>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</si>
  <si>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</si>
  <si>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</si>
  <si>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 In a year with zero or negative gross margin there is no break-even revenue (n/a); the chart line shows 0 there.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</si>
  <si>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</si>
  <si>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</si>
  <si>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</si>
  <si>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</si>
  <si>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</si>
  <si>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</si>
  <si>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</si>
  <si>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</si>
  <si>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</si>
  <si>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</si>
  <si>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</si>
  <si>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</si>
  <si>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</si>
  <si>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</si>
  <si>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</si>
  <si>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</si>
  <si>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</si>
  <si>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</si>
  <si>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</si>
  <si>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</si>
  <si>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</si>
  <si>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</si>
  <si>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</si>
  <si>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</si>
  <si>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</si>
  <si>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</si>
  <si>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</si>
  <si>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</si>
  <si>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</si>
  <si>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</si>
  <si>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</si>
  <si>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</si>
  <si>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</si>
  <si>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</si>
  <si>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</si>
  <si>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</si>
  <si>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</si>
  <si>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</si>
  <si>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</si>
  <si>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</si>
  <si>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</si>
  <si>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</si>
  <si>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</si>
  <si>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</si>
  <si>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</si>
  <si>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</si>
  <si>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</si>
  <si>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</si>
  <si>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</si>
  <si>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</si>
  <si>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</si>
  <si>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Car wash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</si>
  <si>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</si>
  <si>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</si>
  <si>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</si>
  <si>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</si>
  <si>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</si>
  <si>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</si>
  <si>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</si>
  <si>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</si>
  <si>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</si>
  <si>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</si>
  <si>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</si>
  <si>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</si>
  <si>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</si>
  <si>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</si>
  <si>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</si>
  <si>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Car wash metrics ($'000; per-unit rows in $)</t>
  </si>
  <si>
    <t xml:space="preserve">New members in the year</t>
  </si>
  <si>
    <t xml:space="preserve">Members who cancelled in the year</t>
  </si>
  <si>
    <t xml:space="preserve">Members who cancel per month</t>
  </si>
  <si>
    <t xml:space="preserve">Washes in the year</t>
  </si>
  <si>
    <t xml:space="preserve">Retail cars washed</t>
  </si>
  <si>
    <t xml:space="preserve">Member washes</t>
  </si>
  <si>
    <t xml:space="preserve">Member share of washes</t>
  </si>
  <si>
    <t xml:space="preserve">Tunnel capacity (washes)</t>
  </si>
  <si>
    <t xml:space="preserve">Washes lost to the capacity limit</t>
  </si>
  <si>
    <t xml:space="preserve">Unlimited plan fees</t>
  </si>
  <si>
    <t xml:space="preserve">Retail wash &amp; add-on revenue</t>
  </si>
  <si>
    <t xml:space="preserve">Plan fees share of revenue</t>
  </si>
  <si>
    <t xml:space="preserve">Revenue per wash ($)</t>
  </si>
  <si>
    <t xml:space="preserve">Plan fee revenue per member wash ($)</t>
  </si>
  <si>
    <t xml:space="preserve">Chemicals, water &amp; electricity</t>
  </si>
  <si>
    <t xml:space="preserve">Chemicals, water &amp; electricity per wash ($)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</si>
  <si>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</si>
  <si>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</si>
  <si>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</si>
  <si>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</si>
  <si>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Retail volume</t>
  </si>
  <si>
    <t xml:space="preserve">Retail cars per operating day at maturity (year 1)</t>
  </si>
  <si>
    <t xml:space="preserve">cars</t>
  </si>
  <si>
    <t xml:space="preserve">Low ≤ Base ≤ High</t>
  </si>
  <si>
    <t xml:space="preserve">Retail cars growth per year</t>
  </si>
  <si>
    <t xml:space="preserve">%</t>
  </si>
  <si>
    <t xml:space="preserve">Operating days per month</t>
  </si>
  <si>
    <t xml:space="preserve">days</t>
  </si>
  <si>
    <t xml:space="preserve">Months to reach mature retail volume (0 = already mature)</t>
  </si>
  <si>
    <t xml:space="preserve">months</t>
  </si>
  <si>
    <t xml:space="preserve">Low ≥ Base ≥ High (lower is better)</t>
  </si>
  <si>
    <t xml:space="preserve">Retail volume in month 1, % of mature</t>
  </si>
  <si>
    <t xml:space="preserve">Winter volume dip, December-February (monthly models)</t>
  </si>
  <si>
    <t xml:space="preserve">Tunnel capacity</t>
  </si>
  <si>
    <t xml:space="preserve">Rated tunnel speed</t>
  </si>
  <si>
    <t xml:space="preserve">cars/hour</t>
  </si>
  <si>
    <t xml:space="preserve">Hours open per day</t>
  </si>
  <si>
    <t xml:space="preserve">hours</t>
  </si>
  <si>
    <t xml:space="preserve">Practical throughput, % of rated speed over open hours</t>
  </si>
  <si>
    <t xml:space="preserve">Unlimited members</t>
  </si>
  <si>
    <t xml:space="preserve">Unlimited members at start (presale or current base)</t>
  </si>
  <si>
    <t xml:space="preserve">#</t>
  </si>
  <si>
    <t xml:space="preserve">Direct sign-ups per month at maturity (year 1)</t>
  </si>
  <si>
    <t xml:space="preserve">Direct sign-ups growth per year</t>
  </si>
  <si>
    <t xml:space="preserve">Retail cars that sign up for an unlimited plan</t>
  </si>
  <si>
    <t xml:space="preserve">Washes per member per month</t>
  </si>
  <si>
    <t xml:space="preserve">washes</t>
  </si>
  <si>
    <t xml:space="preserve">Prices</t>
  </si>
  <si>
    <t xml:space="preserve">Average price per retail wash (year 1)</t>
  </si>
  <si>
    <t xml:space="preserve">$</t>
  </si>
  <si>
    <t xml:space="preserve">Add-on revenue per retail car (wax, ceramic, tire shine)</t>
  </si>
  <si>
    <t xml:space="preserve">Unlimited plan fee per member per month (year 1)</t>
  </si>
  <si>
    <t xml:space="preserve">Price increase per year</t>
  </si>
  <si>
    <t xml:space="preserve">Variable cost per wash</t>
  </si>
  <si>
    <t xml:space="preserve">Chemicals per wash</t>
  </si>
  <si>
    <t xml:space="preserve">Fresh water per wash (after reclaim)</t>
  </si>
  <si>
    <t xml:space="preserve">gallons</t>
  </si>
  <si>
    <t xml:space="preserve">Water and sewer rate per 1,000 gallons</t>
  </si>
  <si>
    <t xml:space="preserve">Electricity per wash</t>
  </si>
  <si>
    <t xml:space="preserve">Card processing fees, % of revenue</t>
  </si>
  <si>
    <t xml:space="preserve">Cost increase per year (per-wash costs, maintenance, other)</t>
  </si>
  <si>
    <t xml:space="preserve">Site costs</t>
  </si>
  <si>
    <t xml:space="preserve">Site lease or land cost per month</t>
  </si>
  <si>
    <t xml:space="preserve">Lease increase per year</t>
  </si>
  <si>
    <t xml:space="preserve">Equipment maintenance &amp; repairs per month</t>
  </si>
  <si>
    <t xml:space="preserve">Insurance, property tax, software &amp; other G&amp;A per month</t>
  </si>
  <si>
    <t xml:space="preserve">Marketing budget per month (year 1)</t>
  </si>
  <si>
    <t xml:space="preserve">Marketing budget growth per year</t>
  </si>
  <si>
    <t xml:space="preserve">Tunnel equipment (month 1)</t>
  </si>
  <si>
    <t xml:space="preserve">Building &amp; site works (month 1)</t>
  </si>
  <si>
    <t xml:space="preserve">Pay stations, signage &amp; vacuums (month 1)</t>
  </si>
  <si>
    <t xml:space="preserve">Land purchase (month 1; never depreciated, 0 = leased site)</t>
  </si>
  <si>
    <t xml:space="preserve">Equipment refresh &amp; upgrades per year (from year 2)</t>
  </si>
  <si>
    <t xml:space="preserve">Headcount</t>
  </si>
  <si>
    <t xml:space="preserve">Site manager: headcount (FTE)</t>
  </si>
  <si>
    <t xml:space="preserve">FTE</t>
  </si>
  <si>
    <t xml:space="preserve">Site manager: salary per FTE per year</t>
  </si>
  <si>
    <t xml:space="preserve">Site manager: headcount growth per year</t>
  </si>
  <si>
    <t xml:space="preserve">Site manager: first month on payroll</t>
  </si>
  <si>
    <t xml:space="preserve">month #</t>
  </si>
  <si>
    <t xml:space="preserve">Wash attendants &amp; customer service: headcount (FTE)</t>
  </si>
  <si>
    <t xml:space="preserve">Wash attendants &amp; customer service: salary per FTE per year</t>
  </si>
  <si>
    <t xml:space="preserve">Wash attendants &amp; customer service: headcount growth per year</t>
  </si>
  <si>
    <t xml:space="preserve">Wash attendants &amp; customer service: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</si>
  <si>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</si>
  <si>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</si>
  <si>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</si>
  <si>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</si>
  <si>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</si>
  <si>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</si>
  <si>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</si>
  <si>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</si>
  <si>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</si>
  <si>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</si>
  <si>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</si>
  <si>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</si>
  <si>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</si>
  <si>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</si>
  <si>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</si>
  <si>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</si>
  <si>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</si>
  <si>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</si>
  <si>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</si>
  <si>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</si>
  <si>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</si>
  <si>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</si>
  <si>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</si>
  <si>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</si>
  <si>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Site payroll</t>
  </si>
  <si>
    <t xml:space="preserve">Site lease or land cost</t>
  </si>
  <si>
    <t xml:space="preserve">Equipment maintenance &amp; repairs</t>
  </si>
  <si>
    <t xml:space="preserve">Insurance, property tax, software &amp; other</t>
  </si>
  <si>
    <t xml:space="preserve">Marketing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</si>
  <si>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</si>
  <si>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</si>
  <si>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</si>
  <si>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</si>
  <si>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</si>
  <si>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</si>
  <si>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</si>
  <si>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</si>
  <si>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</si>
  <si>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</si>
  <si>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</si>
  <si>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</si>
  <si>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</si>
  <si>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</si>
  <si>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</si>
  <si>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</si>
  <si>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</si>
  <si>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</si>
  <si>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</si>
  <si>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</si>
  <si>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</si>
  <si>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</si>
  <si>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</si>
  <si>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</si>
  <si>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</si>
  <si>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</si>
  <si>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</si>
  <si>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</si>
  <si>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</si>
  <si>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</si>
  <si>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</si>
  <si>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</si>
  <si>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</si>
  <si>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</si>
  <si>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</si>
  <si>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</si>
  <si>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</si>
  <si>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</si>
  <si>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</si>
  <si>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</si>
  <si>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</si>
  <si>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</si>
  <si>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</si>
  <si>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</si>
  <si>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</si>
  <si>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</si>
  <si>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</si>
  <si>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</si>
  <si>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</si>
  <si>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</si>
  <si>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</si>
  <si>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</si>
  <si>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</si>
  <si>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</si>
  <si>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</si>
  <si>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</si>
  <si>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</si>
  <si>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</si>
  <si>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</si>
  <si>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</si>
  <si>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</si>
  <si>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</si>
  <si>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</si>
  <si>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</si>
  <si>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</si>
  <si>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</si>
  <si>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</si>
  <si>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</si>
  <si>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</si>
  <si>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</si>
  <si>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Volume</t>
  </si>
  <si>
    <t xml:space="preserve">Helper: months of the period still on the ramp-up</t>
  </si>
  <si>
    <t xml:space="preserve">Ramp-up factor (share of mature retail volume)</t>
  </si>
  <si>
    <t xml:space="preserve">Season factor (winter dip)</t>
  </si>
  <si>
    <t xml:space="preserve">Retail cars demanded</t>
  </si>
  <si>
    <t xml:space="preserve">Members</t>
  </si>
  <si>
    <t xml:space="preserve">New members from retail cars</t>
  </si>
  <si>
    <t xml:space="preserve">New members from direct sign-ups</t>
  </si>
  <si>
    <t xml:space="preserve">New members - total</t>
  </si>
  <si>
    <t xml:space="preserve">Members - opening</t>
  </si>
  <si>
    <t xml:space="preserve">Members who cancelled</t>
  </si>
  <si>
    <t xml:space="preserve">Members - closing</t>
  </si>
  <si>
    <t xml:space="preserve">Members - average</t>
  </si>
  <si>
    <t xml:space="preserve">Washes</t>
  </si>
  <si>
    <t xml:space="preserve">Member washes demanded</t>
  </si>
  <si>
    <t xml:space="preserve">Tunnel capacity (rated speed × hours × practical share × days)</t>
  </si>
  <si>
    <t xml:space="preserve">Share of demand the tunnel can wash</t>
  </si>
  <si>
    <t xml:space="preserve">Washes - total</t>
  </si>
  <si>
    <t xml:space="preserve">Average price per retail wash</t>
  </si>
  <si>
    <t xml:space="preserve">Unlimited plan fee per month</t>
  </si>
  <si>
    <t xml:space="preserve">Retail wash revenue</t>
  </si>
  <si>
    <t xml:space="preserve">Add-on revenue</t>
  </si>
  <si>
    <t xml:space="preserve">Chemicals</t>
  </si>
  <si>
    <t xml:space="preserve">Water &amp; sewer</t>
  </si>
  <si>
    <t xml:space="preserve">Electricity</t>
  </si>
  <si>
    <t xml:space="preserve">Card processing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</si>
  <si>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</si>
  <si>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</si>
  <si>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</si>
  <si>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</si>
  <si>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</si>
  <si>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Tunnel equipment</t>
  </si>
  <si>
    <t xml:space="preserve">Building &amp; site works</t>
  </si>
  <si>
    <t xml:space="preserve">Pay stations, signage &amp; vacuums</t>
  </si>
  <si>
    <t xml:space="preserve">Land (not depreciated)</t>
  </si>
  <si>
    <t xml:space="preserve">Equipment refresh &amp; upgrades (first period of each year from year 2)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</si>
  <si>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</si>
  <si>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</si>
  <si>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</si>
  <si>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</si>
  <si>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</si>
  <si>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</si>
  <si>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</si>
  <si>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</si>
  <si>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</si>
  <si>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</si>
  <si>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</si>
  <si>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</si>
  <si>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</si>
  <si>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</si>
  <si>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</si>
  <si>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</si>
  <si>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</si>
  <si>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</si>
  <si>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</si>
  <si>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</si>
  <si>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</si>
  <si>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Site manager — FTE</t>
  </si>
  <si>
    <t xml:space="preserve">Wash attendants &amp; customer service — FTE</t>
  </si>
  <si>
    <t xml:space="preserve">Total FTE</t>
  </si>
  <si>
    <t xml:space="preserve">Payroll cost (salary + taxes &amp; benefits)</t>
  </si>
  <si>
    <t xml:space="preserve">Site manager — payroll cost</t>
  </si>
  <si>
    <t xml:space="preserve">Wash attendants &amp; customer service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</si>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</sst>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[&gt;=1000000]\$#,##0.0,,\M;[&gt;=1000]\$#,##0,\k;\$#,##0"/>
    <numFmt numFmtId="190" formatCode="0.0\x"/>
    <numFmt numFmtId="191" formatCode="0.000"/>
    <numFmt numFmtId="192" formatCode="0.0\x;\(0.0&quot;x)&quot;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1180182.39164623</c:v>
                </c:pt>
                <c:pt idx="1">
                  <c:v>1846649.01829223</c:v>
                </c:pt>
                <c:pt idx="2">
                  <c:v>2170291.60192013</c:v>
                </c:pt>
                <c:pt idx="3">
                  <c:v>2428630.05206795</c:v>
                </c:pt>
                <c:pt idx="4">
                  <c:v>2649323.50145466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-123279.207270295</c:v>
                </c:pt>
                <c:pt idx="1">
                  <c:v>428309.8222885</c:v>
                </c:pt>
                <c:pt idx="2">
                  <c:v>682326.815321617</c:v>
                </c:pt>
                <c:pt idx="3">
                  <c:v>877558.27784355</c:v>
                </c:pt>
                <c:pt idx="4">
                  <c:v>1037376.97856134</c:v>
                </c:pt>
              </c:numCache>
            </c:numRef>
          </c:val>
        </c:ser>
        <c:gapWidth val="60"/>
        <c:overlap val="0"/>
        <c:axId val="78209984"/>
        <c:axId val="48738836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-0.104457758515049</c:v>
                </c:pt>
                <c:pt idx="1">
                  <c:v>0.231938943484019</c:v>
                </c:pt>
                <c:pt idx="2">
                  <c:v>0.314394072537506</c:v>
                </c:pt>
                <c:pt idx="3">
                  <c:v>0.361338803782124</c:v>
                </c:pt>
                <c:pt idx="4">
                  <c:v>0.391562969939967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997350"/>
        <c:axId val="42064263"/>
      </c:lineChart>
      <c:catAx>
        <c:axId val="7820998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738836"/>
        <c:crosses val="autoZero"/>
        <c:auto val="1"/>
        <c:lblAlgn val="ctr"/>
        <c:lblOffset val="100"/>
        <c:noMultiLvlLbl val="0"/>
      </c:catAx>
      <c:valAx>
        <c:axId val="4873883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8209984"/>
        <c:crosses val="autoZero"/>
        <c:crossBetween val="between"/>
      </c:valAx>
      <c:catAx>
        <c:axId val="8499735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064263"/>
        <c:crosses val="autoZero"/>
        <c:auto val="1"/>
        <c:lblAlgn val="ctr"/>
        <c:lblOffset val="100"/>
        <c:noMultiLvlLbl val="0"/>
      </c:catAx>
      <c:valAx>
        <c:axId val="4206426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99735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-367780.63594592</c:v>
                </c:pt>
                <c:pt idx="1">
                  <c:v>209654.47468913</c:v>
                </c:pt>
                <c:pt idx="2">
                  <c:v>489150.476090791</c:v>
                </c:pt>
                <c:pt idx="3">
                  <c:v>709872.13182272</c:v>
                </c:pt>
                <c:pt idx="4">
                  <c:v>854483.264190895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-4100000</c:v>
                </c:pt>
                <c:pt idx="1">
                  <c:v>-40000</c:v>
                </c:pt>
                <c:pt idx="2">
                  <c:v>-40000</c:v>
                </c:pt>
                <c:pt idx="3">
                  <c:v>-40000</c:v>
                </c:pt>
                <c:pt idx="4">
                  <c:v>-40000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4825000</c:v>
                </c:pt>
                <c:pt idx="1">
                  <c:v>-300000</c:v>
                </c:pt>
                <c:pt idx="2">
                  <c:v>-300000</c:v>
                </c:pt>
                <c:pt idx="3">
                  <c:v>-300000</c:v>
                </c:pt>
                <c:pt idx="4">
                  <c:v>-300000</c:v>
                </c:pt>
              </c:numCache>
            </c:numRef>
          </c:val>
        </c:ser>
        <c:gapWidth val="60"/>
        <c:overlap val="0"/>
        <c:axId val="6815211"/>
        <c:axId val="99041229"/>
      </c:barChart>
      <c:catAx>
        <c:axId val="681521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041229"/>
        <c:crosses val="autoZero"/>
        <c:auto val="1"/>
        <c:lblAlgn val="ctr"/>
        <c:lblOffset val="100"/>
        <c:noMultiLvlLbl val="0"/>
      </c:catAx>
      <c:valAx>
        <c:axId val="9904122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152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357219.364054081</c:v>
                </c:pt>
                <c:pt idx="1">
                  <c:v>226873.838743211</c:v>
                </c:pt>
                <c:pt idx="2">
                  <c:v>376024.314834002</c:v>
                </c:pt>
                <c:pt idx="3">
                  <c:v>745896.446656723</c:v>
                </c:pt>
                <c:pt idx="4">
                  <c:v>1260379.71084762</c:v>
                </c:pt>
              </c:numCache>
            </c:numRef>
          </c:val>
        </c:ser>
        <c:gapWidth val="60"/>
        <c:overlap val="0"/>
        <c:axId val="58810782"/>
        <c:axId val="71561774"/>
      </c:barChart>
      <c:catAx>
        <c:axId val="5881078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561774"/>
        <c:crosses val="autoZero"/>
        <c:auto val="1"/>
        <c:lblAlgn val="ctr"/>
        <c:lblOffset val="100"/>
        <c:noMultiLvlLbl val="0"/>
      </c:catAx>
      <c:valAx>
        <c:axId val="7156177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8107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Washes per day &amp;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Washes per operating day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#,##0;\(#,##0\);\-</c:formatCode>
                <c:ptCount val="5"/>
                <c:pt idx="0">
                  <c:v>255.65215282268</c:v>
                </c:pt>
                <c:pt idx="1">
                  <c:v>409.628713955018</c:v>
                </c:pt>
                <c:pt idx="2">
                  <c:v>485.277205819681</c:v>
                </c:pt>
                <c:pt idx="3">
                  <c:v>539.917172457237</c:v>
                </c:pt>
                <c:pt idx="4">
                  <c:v>581.996721960774</c:v>
                </c:pt>
              </c:numCache>
            </c:numRef>
          </c:val>
        </c:ser>
        <c:gapWidth val="60"/>
        <c:overlap val="0"/>
        <c:axId val="36300082"/>
        <c:axId val="83070598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Dashboard!$B$30:$F$30</c:f>
              <c:numCache>
                <c:formatCode>0.0%;\(0.0%\);\-</c:formatCode>
                <c:ptCount val="5"/>
                <c:pt idx="0">
                  <c:v>0.301832529896906</c:v>
                </c:pt>
                <c:pt idx="1">
                  <c:v>0.483623038907931</c:v>
                </c:pt>
                <c:pt idx="2">
                  <c:v>0.572936488571052</c:v>
                </c:pt>
                <c:pt idx="3">
                  <c:v>0.637446484601224</c:v>
                </c:pt>
                <c:pt idx="4">
                  <c:v>0.687127180591232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706856"/>
        <c:axId val="6280621"/>
      </c:lineChart>
      <c:catAx>
        <c:axId val="3630008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070598"/>
        <c:crosses val="autoZero"/>
        <c:auto val="1"/>
        <c:lblAlgn val="ctr"/>
        <c:lblOffset val="100"/>
        <c:noMultiLvlLbl val="0"/>
      </c:catAx>
      <c:valAx>
        <c:axId val="8307059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300082"/>
        <c:crosses val="autoZero"/>
        <c:crossBetween val="between"/>
      </c:valAx>
      <c:catAx>
        <c:axId val="2270685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80621"/>
        <c:crosses val="autoZero"/>
        <c:auto val="1"/>
        <c:lblAlgn val="ctr"/>
        <c:lblOffset val="100"/>
        <c:noMultiLvlLbl val="0"/>
      </c:catAx>
      <c:valAx>
        <c:axId val="628062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70685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47943.358</c:v>
                </c:pt>
                <c:pt idx="1">
                  <c:v>54448.9359022222</c:v>
                </c:pt>
                <c:pt idx="2">
                  <c:v>72773.4017994667</c:v>
                </c:pt>
                <c:pt idx="3">
                  <c:v>81051.8988385991</c:v>
                </c:pt>
                <c:pt idx="4">
                  <c:v>89490.2764406107</c:v>
                </c:pt>
                <c:pt idx="5">
                  <c:v>98082.1393829863</c:v>
                </c:pt>
                <c:pt idx="6">
                  <c:v>106821.348252111</c:v>
                </c:pt>
                <c:pt idx="7">
                  <c:v>115702.009210916</c:v>
                </c:pt>
                <c:pt idx="8">
                  <c:v>124718.464175812</c:v>
                </c:pt>
                <c:pt idx="9">
                  <c:v>133865.281386558</c:v>
                </c:pt>
                <c:pt idx="10">
                  <c:v>136545.550131095</c:v>
                </c:pt>
                <c:pt idx="11">
                  <c:v>118739.728125852</c:v>
                </c:pt>
              </c:numCache>
            </c:numRef>
          </c:val>
        </c:ser>
        <c:gapWidth val="60"/>
        <c:overlap val="0"/>
        <c:axId val="43416200"/>
        <c:axId val="91427188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-52715.2544125667</c:v>
                </c:pt>
                <c:pt idx="1">
                  <c:v>-47169.179570764</c:v>
                </c:pt>
                <c:pt idx="2">
                  <c:v>-31890.1001241627</c:v>
                </c:pt>
                <c:pt idx="3">
                  <c:v>-24896.4647094518</c:v>
                </c:pt>
                <c:pt idx="4">
                  <c:v>-17775.1087070848</c:v>
                </c:pt>
                <c:pt idx="5">
                  <c:v>-10531.1409405681</c:v>
                </c:pt>
                <c:pt idx="6">
                  <c:v>-3169.46588046759</c:v>
                </c:pt>
                <c:pt idx="7">
                  <c:v>4305.20818147335</c:v>
                </c:pt>
                <c:pt idx="8">
                  <c:v>11888.3612851811</c:v>
                </c:pt>
                <c:pt idx="9">
                  <c:v>19575.654268985</c:v>
                </c:pt>
                <c:pt idx="10">
                  <c:v>21716.7869555589</c:v>
                </c:pt>
                <c:pt idx="11">
                  <c:v>7381.49638357262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-102437.476634789</c:v>
                </c:pt>
                <c:pt idx="1">
                  <c:v>-96802.8601263196</c:v>
                </c:pt>
                <c:pt idx="2">
                  <c:v>-81346.6973463849</c:v>
                </c:pt>
                <c:pt idx="3">
                  <c:v>-74175.9785983407</c:v>
                </c:pt>
                <c:pt idx="4">
                  <c:v>-66877.5392626404</c:v>
                </c:pt>
                <c:pt idx="5">
                  <c:v>-59456.4881627903</c:v>
                </c:pt>
                <c:pt idx="6">
                  <c:v>-51917.7297693565</c:v>
                </c:pt>
                <c:pt idx="7">
                  <c:v>-44265.9723740822</c:v>
                </c:pt>
                <c:pt idx="8">
                  <c:v>-36505.7359370411</c:v>
                </c:pt>
                <c:pt idx="9">
                  <c:v>-28641.3596199039</c:v>
                </c:pt>
                <c:pt idx="10">
                  <c:v>-26323.1435999967</c:v>
                </c:pt>
                <c:pt idx="11">
                  <c:v>-40481.3508386496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416200"/>
        <c:axId val="91427188"/>
      </c:lineChart>
      <c:catAx>
        <c:axId val="4341620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427188"/>
        <c:crosses val="autoZero"/>
        <c:auto val="1"/>
        <c:lblAlgn val="ctr"/>
        <c:lblOffset val="100"/>
        <c:noMultiLvlLbl val="0"/>
      </c:catAx>
      <c:valAx>
        <c:axId val="9142718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4162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-74096.96845601</c:v>
                </c:pt>
                <c:pt idx="1">
                  <c:v>-68348.5584380637</c:v>
                </c:pt>
                <c:pt idx="2">
                  <c:v>-52776.4387220337</c:v>
                </c:pt>
                <c:pt idx="3">
                  <c:v>-45698.8828081446</c:v>
                </c:pt>
                <c:pt idx="4">
                  <c:v>-38397.1661873729</c:v>
                </c:pt>
                <c:pt idx="5">
                  <c:v>-30972.9688938543</c:v>
                </c:pt>
                <c:pt idx="6">
                  <c:v>-23431.1901544986</c:v>
                </c:pt>
                <c:pt idx="7">
                  <c:v>-15776.5332271394</c:v>
                </c:pt>
                <c:pt idx="8">
                  <c:v>-8013.5132392968</c:v>
                </c:pt>
                <c:pt idx="9">
                  <c:v>-146.464713390115</c:v>
                </c:pt>
                <c:pt idx="10">
                  <c:v>2204.019664374</c:v>
                </c:pt>
                <c:pt idx="11">
                  <c:v>-12325.9707704894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-4100000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5100000</c:v>
                </c:pt>
                <c:pt idx="1">
                  <c:v>-25000</c:v>
                </c:pt>
                <c:pt idx="2">
                  <c:v>-25000</c:v>
                </c:pt>
                <c:pt idx="3">
                  <c:v>-25000</c:v>
                </c:pt>
                <c:pt idx="4">
                  <c:v>-25000</c:v>
                </c:pt>
                <c:pt idx="5">
                  <c:v>-25000</c:v>
                </c:pt>
                <c:pt idx="6">
                  <c:v>-25000</c:v>
                </c:pt>
                <c:pt idx="7">
                  <c:v>-25000</c:v>
                </c:pt>
                <c:pt idx="8">
                  <c:v>-25000</c:v>
                </c:pt>
                <c:pt idx="9">
                  <c:v>-25000</c:v>
                </c:pt>
                <c:pt idx="10">
                  <c:v>-25000</c:v>
                </c:pt>
                <c:pt idx="11">
                  <c:v>-25000</c:v>
                </c:pt>
              </c:numCache>
            </c:numRef>
          </c:val>
        </c:ser>
        <c:gapWidth val="60"/>
        <c:overlap val="0"/>
        <c:axId val="85307052"/>
        <c:axId val="62639971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925903.03154399</c:v>
                </c:pt>
                <c:pt idx="1">
                  <c:v>832554.473105926</c:v>
                </c:pt>
                <c:pt idx="2">
                  <c:v>754778.034383893</c:v>
                </c:pt>
                <c:pt idx="3">
                  <c:v>684079.151575748</c:v>
                </c:pt>
                <c:pt idx="4">
                  <c:v>620681.985388375</c:v>
                </c:pt>
                <c:pt idx="5">
                  <c:v>564709.016494521</c:v>
                </c:pt>
                <c:pt idx="6">
                  <c:v>516277.826340022</c:v>
                </c:pt>
                <c:pt idx="7">
                  <c:v>475501.293112883</c:v>
                </c:pt>
                <c:pt idx="8">
                  <c:v>442487.779873586</c:v>
                </c:pt>
                <c:pt idx="9">
                  <c:v>417341.315160196</c:v>
                </c:pt>
                <c:pt idx="10">
                  <c:v>394545.33482457</c:v>
                </c:pt>
                <c:pt idx="11">
                  <c:v>357219.364054081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0651646"/>
        <c:axId val="23419279"/>
      </c:lineChart>
      <c:catAx>
        <c:axId val="8530705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639971"/>
        <c:crosses val="autoZero"/>
        <c:auto val="1"/>
        <c:lblAlgn val="ctr"/>
        <c:lblOffset val="100"/>
        <c:noMultiLvlLbl val="0"/>
      </c:catAx>
      <c:valAx>
        <c:axId val="6263997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307052"/>
        <c:crosses val="autoZero"/>
        <c:crossBetween val="between"/>
      </c:valAx>
      <c:catAx>
        <c:axId val="50651646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419279"/>
        <c:crosses val="autoZero"/>
        <c:auto val="1"/>
        <c:lblAlgn val="ctr"/>
        <c:lblOffset val="100"/>
        <c:noMultiLvlLbl val="0"/>
      </c:catAx>
      <c:valAx>
        <c:axId val="23419279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65164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925903.03154399</c:v>
                </c:pt>
                <c:pt idx="1">
                  <c:v>832554.473105926</c:v>
                </c:pt>
                <c:pt idx="2">
                  <c:v>754778.034383893</c:v>
                </c:pt>
                <c:pt idx="3">
                  <c:v>684079.151575748</c:v>
                </c:pt>
                <c:pt idx="4">
                  <c:v>620681.985388375</c:v>
                </c:pt>
                <c:pt idx="5">
                  <c:v>564709.016494521</c:v>
                </c:pt>
                <c:pt idx="6">
                  <c:v>516277.826340022</c:v>
                </c:pt>
                <c:pt idx="7">
                  <c:v>475501.293112883</c:v>
                </c:pt>
                <c:pt idx="8">
                  <c:v>442487.779873586</c:v>
                </c:pt>
                <c:pt idx="9">
                  <c:v>417341.315160196</c:v>
                </c:pt>
                <c:pt idx="10">
                  <c:v>394545.33482457</c:v>
                </c:pt>
                <c:pt idx="11">
                  <c:v>357219.364054081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3196.22386666667</c:v>
                </c:pt>
                <c:pt idx="1">
                  <c:v>3629.92906014815</c:v>
                </c:pt>
                <c:pt idx="2">
                  <c:v>4851.56011996444</c:v>
                </c:pt>
                <c:pt idx="3">
                  <c:v>5403.45992257327</c:v>
                </c:pt>
                <c:pt idx="4">
                  <c:v>5966.01842937405</c:v>
                </c:pt>
                <c:pt idx="5">
                  <c:v>6538.80929219909</c:v>
                </c:pt>
                <c:pt idx="6">
                  <c:v>7121.42321680742</c:v>
                </c:pt>
                <c:pt idx="7">
                  <c:v>7713.46728072771</c:v>
                </c:pt>
                <c:pt idx="8">
                  <c:v>8314.5642783875</c:v>
                </c:pt>
                <c:pt idx="9">
                  <c:v>8924.35209243718</c:v>
                </c:pt>
                <c:pt idx="10">
                  <c:v>9103.03667540636</c:v>
                </c:pt>
                <c:pt idx="11">
                  <c:v>7915.98187505677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4071527.77777778</c:v>
                </c:pt>
                <c:pt idx="1">
                  <c:v>4043055.55555556</c:v>
                </c:pt>
                <c:pt idx="2">
                  <c:v>4014583.33333333</c:v>
                </c:pt>
                <c:pt idx="3">
                  <c:v>3986111.11111111</c:v>
                </c:pt>
                <c:pt idx="4">
                  <c:v>3957638.88888889</c:v>
                </c:pt>
                <c:pt idx="5">
                  <c:v>3929166.66666667</c:v>
                </c:pt>
                <c:pt idx="6">
                  <c:v>3900694.44444444</c:v>
                </c:pt>
                <c:pt idx="7">
                  <c:v>3872222.22222222</c:v>
                </c:pt>
                <c:pt idx="8">
                  <c:v>3843750</c:v>
                </c:pt>
                <c:pt idx="9">
                  <c:v>3815277.77777778</c:v>
                </c:pt>
                <c:pt idx="10">
                  <c:v>3786805.55555556</c:v>
                </c:pt>
                <c:pt idx="11">
                  <c:v>3758333.33333333</c:v>
                </c:pt>
              </c:numCache>
            </c:numRef>
          </c:val>
        </c:ser>
        <c:gapWidth val="60"/>
        <c:overlap val="100"/>
        <c:axId val="28161318"/>
        <c:axId val="42559466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1997562.52336521</c:v>
                </c:pt>
                <c:pt idx="1">
                  <c:v>1900759.66323889</c:v>
                </c:pt>
                <c:pt idx="2">
                  <c:v>1819412.96589251</c:v>
                </c:pt>
                <c:pt idx="3">
                  <c:v>1745236.98729417</c:v>
                </c:pt>
                <c:pt idx="4">
                  <c:v>1678359.44803153</c:v>
                </c:pt>
                <c:pt idx="5">
                  <c:v>1618902.95986874</c:v>
                </c:pt>
                <c:pt idx="6">
                  <c:v>1566985.23009938</c:v>
                </c:pt>
                <c:pt idx="7">
                  <c:v>1522719.2577253</c:v>
                </c:pt>
                <c:pt idx="8">
                  <c:v>1486213.52178826</c:v>
                </c:pt>
                <c:pt idx="9">
                  <c:v>1457572.16216835</c:v>
                </c:pt>
                <c:pt idx="10">
                  <c:v>1431249.01856836</c:v>
                </c:pt>
                <c:pt idx="11">
                  <c:v>1390767.66772971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8161318"/>
        <c:axId val="42559466"/>
      </c:lineChart>
      <c:catAx>
        <c:axId val="2816131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559466"/>
        <c:crosses val="autoZero"/>
        <c:auto val="1"/>
        <c:lblAlgn val="ctr"/>
        <c:lblOffset val="100"/>
        <c:noMultiLvlLbl val="0"/>
      </c:catAx>
      <c:valAx>
        <c:axId val="425594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1613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723753.781752898</c:v>
                </c:pt>
                <c:pt idx="1">
                  <c:v>1233556.71859013</c:v>
                </c:pt>
                <c:pt idx="2">
                  <c:v>1373352.59957725</c:v>
                </c:pt>
                <c:pt idx="3">
                  <c:v>1456649.33657555</c:v>
                </c:pt>
                <c:pt idx="4">
                  <c:v>1509180.90456468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1180182.39164623</c:v>
                </c:pt>
                <c:pt idx="1">
                  <c:v>1846649.01829223</c:v>
                </c:pt>
                <c:pt idx="2">
                  <c:v>2170291.60192013</c:v>
                </c:pt>
                <c:pt idx="3">
                  <c:v>2428630.05206795</c:v>
                </c:pt>
                <c:pt idx="4">
                  <c:v>2649323.50145466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Scenarios!$B$33:$F$33</c:f>
              <c:numCache>
                <c:formatCode>\$#,##0,;"($"#,##0,\);\-</c:formatCode>
                <c:ptCount val="5"/>
                <c:pt idx="0">
                  <c:v>1713972.34882851</c:v>
                </c:pt>
                <c:pt idx="1">
                  <c:v>2637596.04066185</c:v>
                </c:pt>
                <c:pt idx="2">
                  <c:v>3275560.85962553</c:v>
                </c:pt>
                <c:pt idx="3">
                  <c:v>3866212.76255549</c:v>
                </c:pt>
                <c:pt idx="4">
                  <c:v>4396237.24612175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321239"/>
        <c:axId val="6644728"/>
      </c:lineChart>
      <c:catAx>
        <c:axId val="4032123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44728"/>
        <c:crosses val="autoZero"/>
        <c:auto val="1"/>
        <c:lblAlgn val="ctr"/>
        <c:lblOffset val="100"/>
        <c:noMultiLvlLbl val="0"/>
      </c:catAx>
      <c:valAx>
        <c:axId val="66447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3212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-533892.676207162</c:v>
                </c:pt>
                <c:pt idx="1">
                  <c:v>-120382.60081196</c:v>
                </c:pt>
                <c:pt idx="2">
                  <c:v>-24636.2998835956</c:v>
                </c:pt>
                <c:pt idx="3">
                  <c:v>17722.6674659084</c:v>
                </c:pt>
                <c:pt idx="4">
                  <c:v>29088.8484497289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-123279.207270295</c:v>
                </c:pt>
                <c:pt idx="1">
                  <c:v>428309.8222885</c:v>
                </c:pt>
                <c:pt idx="2">
                  <c:v>682326.815321617</c:v>
                </c:pt>
                <c:pt idx="3">
                  <c:v>877558.27784355</c:v>
                </c:pt>
                <c:pt idx="4">
                  <c:v>1037376.97856134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Scenarios!$B$39:$F$39</c:f>
              <c:numCache>
                <c:formatCode>\$#,##0,;"($"#,##0,\);\-</c:formatCode>
                <c:ptCount val="5"/>
                <c:pt idx="0">
                  <c:v>374729.35474249</c:v>
                </c:pt>
                <c:pt idx="1">
                  <c:v>1158811.72808445</c:v>
                </c:pt>
                <c:pt idx="2">
                  <c:v>1692015.58746952</c:v>
                </c:pt>
                <c:pt idx="3">
                  <c:v>2183816.74563615</c:v>
                </c:pt>
                <c:pt idx="4">
                  <c:v>2627033.12519057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351919"/>
        <c:axId val="42249625"/>
      </c:lineChart>
      <c:catAx>
        <c:axId val="253519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249625"/>
        <c:crosses val="autoZero"/>
        <c:auto val="1"/>
        <c:lblAlgn val="ctr"/>
        <c:lblOffset val="100"/>
        <c:noMultiLvlLbl val="0"/>
      </c:catAx>
      <c:valAx>
        <c:axId val="422496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3519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-1119845.80120716</c:v>
                </c:pt>
                <c:pt idx="1">
                  <c:v>-684257.60081196</c:v>
                </c:pt>
                <c:pt idx="2">
                  <c:v>-566344.633216929</c:v>
                </c:pt>
                <c:pt idx="3">
                  <c:v>-501818.999200758</c:v>
                </c:pt>
                <c:pt idx="4">
                  <c:v>-468286.151550271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-709232.332270295</c:v>
                </c:pt>
                <c:pt idx="1">
                  <c:v>-135565.177711501</c:v>
                </c:pt>
                <c:pt idx="2">
                  <c:v>140618.481988284</c:v>
                </c:pt>
                <c:pt idx="3">
                  <c:v>358016.611176884</c:v>
                </c:pt>
                <c:pt idx="4">
                  <c:v>499295.67059495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Scenarios!$B$45:$F$45</c:f>
              <c:numCache>
                <c:formatCode>\$#,##0,;"($"#,##0,\);\-</c:formatCode>
                <c:ptCount val="5"/>
                <c:pt idx="0">
                  <c:v>-211223.770257511</c:v>
                </c:pt>
                <c:pt idx="1">
                  <c:v>514357.00694079</c:v>
                </c:pt>
                <c:pt idx="2">
                  <c:v>908742.730767589</c:v>
                </c:pt>
                <c:pt idx="3">
                  <c:v>1314777.31238589</c:v>
                </c:pt>
                <c:pt idx="4">
                  <c:v>1682429.91890055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509203"/>
        <c:axId val="50122061"/>
      </c:lineChart>
      <c:catAx>
        <c:axId val="1150920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122061"/>
        <c:crosses val="autoZero"/>
        <c:auto val="1"/>
        <c:lblAlgn val="ctr"/>
        <c:lblOffset val="100"/>
        <c:noMultiLvlLbl val="0"/>
      </c:catAx>
      <c:valAx>
        <c:axId val="5012206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5092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-52322.2790208757</c:v>
                </c:pt>
                <c:pt idx="1">
                  <c:v>-731025.649005202</c:v>
                </c:pt>
                <c:pt idx="2">
                  <c:v>-1288612.08680362</c:v>
                </c:pt>
                <c:pt idx="3">
                  <c:v>-1778398.3930023</c:v>
                </c:pt>
                <c:pt idx="4">
                  <c:v>-2231348.97261607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357219.364054081</c:v>
                </c:pt>
                <c:pt idx="1">
                  <c:v>226873.838743211</c:v>
                </c:pt>
                <c:pt idx="2">
                  <c:v>376024.314834002</c:v>
                </c:pt>
                <c:pt idx="3">
                  <c:v>745896.446656723</c:v>
                </c:pt>
                <c:pt idx="4">
                  <c:v>1260379.71084762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Scenarios!$B$51:$F$51</c:f>
              <c:numCache>
                <c:formatCode>\$#,##0,;"($"#,##0,\);\-</c:formatCode>
                <c:ptCount val="5"/>
                <c:pt idx="0">
                  <c:v>853302.314989332</c:v>
                </c:pt>
                <c:pt idx="1">
                  <c:v>1372134.28837141</c:v>
                </c:pt>
                <c:pt idx="2">
                  <c:v>2288697.84087389</c:v>
                </c:pt>
                <c:pt idx="3">
                  <c:v>3614622.58414787</c:v>
                </c:pt>
                <c:pt idx="4">
                  <c:v>5311510.69741741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2589339"/>
        <c:axId val="40166309"/>
      </c:lineChart>
      <c:catAx>
        <c:axId val="3258933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166309"/>
        <c:crosses val="autoZero"/>
        <c:auto val="1"/>
        <c:lblAlgn val="ctr"/>
        <c:lblOffset val="100"/>
        <c:noMultiLvlLbl val="0"/>
      </c:catAx>
      <c:valAx>
        <c:axId val="401663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5893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vs break-even revenue (EBITDA = 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'Break-even'!$A$28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'Break-even'!$B$28:$F$28</c:f>
              <c:numCache>
                <c:formatCode>\$#,##0;"($"#,##0\);\-</c:formatCode>
                <c:ptCount val="5"/>
                <c:pt idx="0">
                  <c:v>1180182.39164623</c:v>
                </c:pt>
                <c:pt idx="1">
                  <c:v>1846649.01829223</c:v>
                </c:pt>
                <c:pt idx="2">
                  <c:v>2170291.60192013</c:v>
                </c:pt>
                <c:pt idx="3">
                  <c:v>2428630.05206795</c:v>
                </c:pt>
                <c:pt idx="4">
                  <c:v>2649323.50145466</c:v>
                </c:pt>
              </c:numCache>
            </c:numRef>
          </c:val>
        </c:ser>
        <c:gapWidth val="60"/>
        <c:overlap val="0"/>
        <c:axId val="67078502"/>
        <c:axId val="88022200"/>
      </c:barChart>
      <c:lineChart>
        <c:grouping val="standard"/>
        <c:varyColors val="0"/>
        <c:ser>
          <c:idx val="1"/>
          <c:order val="1"/>
          <c:tx>
            <c:strRef>
              <c:f>'Break-even'!$A$32</c:f>
              <c:strCache>
                <c:ptCount val="1"/>
                <c:pt idx="0">
                  <c:v>Break-even revenue (EBITDA = 0)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'Break-even'!$B$26:$F$26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'Break-even'!$B$32:$F$32</c:f>
              <c:numCache>
                <c:formatCode>\$#,##0;"($"#,##0\);\-</c:formatCode>
                <c:ptCount val="5"/>
                <c:pt idx="0">
                  <c:v>1325709.15238193</c:v>
                </c:pt>
                <c:pt idx="1">
                  <c:v>1336998.13948163</c:v>
                </c:pt>
                <c:pt idx="2">
                  <c:v>1353564.98243267</c:v>
                </c:pt>
                <c:pt idx="3">
                  <c:v>1374127.97085859</c:v>
                </c:pt>
                <c:pt idx="4">
                  <c:v>1399095.91222379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078502"/>
        <c:axId val="88022200"/>
      </c:lineChart>
      <c:catAx>
        <c:axId val="6707850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022200"/>
        <c:crosses val="autoZero"/>
        <c:auto val="1"/>
        <c:lblAlgn val="ctr"/>
        <c:lblOffset val="100"/>
        <c:noMultiLvlLbl val="0"/>
      </c:catAx>
      <c:valAx>
        <c:axId val="8802220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0785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2100000</c:v>
                </c:pt>
                <c:pt idx="1">
                  <c:v>3000000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367780.63594592</c:v>
                </c:pt>
                <c:pt idx="1">
                  <c:v>4100000</c:v>
                </c:pt>
                <c:pt idx="2">
                  <c:v>275000</c:v>
                </c:pt>
                <c:pt idx="3">
                  <c:v>357219.364054081</c:v>
                </c:pt>
              </c:numCache>
            </c:numRef>
          </c:val>
        </c:ser>
        <c:gapWidth val="60"/>
        <c:overlap val="0"/>
        <c:axId val="55397810"/>
        <c:axId val="3726404"/>
      </c:barChart>
      <c:catAx>
        <c:axId val="5539781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26404"/>
        <c:crosses val="autoZero"/>
        <c:auto val="1"/>
        <c:lblAlgn val="ctr"/>
        <c:lblOffset val="100"/>
        <c:noMultiLvlLbl val="0"/>
      </c:catAx>
      <c:valAx>
        <c:axId val="372640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397810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0.847123969825669</c:v>
                </c:pt>
                <c:pt idx="1">
                  <c:v>0.840398476871209</c:v>
                </c:pt>
                <c:pt idx="2">
                  <c:v>0.835440891775769</c:v>
                </c:pt>
                <c:pt idx="3">
                  <c:v>0.832201560794572</c:v>
                </c:pt>
                <c:pt idx="4">
                  <c:v>0.82975050902494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-0.104457758515049</c:v>
                </c:pt>
                <c:pt idx="1">
                  <c:v>0.231938943484019</c:v>
                </c:pt>
                <c:pt idx="2">
                  <c:v>0.314394072537506</c:v>
                </c:pt>
                <c:pt idx="3">
                  <c:v>0.361338803782124</c:v>
                </c:pt>
                <c:pt idx="4">
                  <c:v>0.391562969939967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-0.600951460800047</c:v>
                </c:pt>
                <c:pt idx="1">
                  <c:v>-0.0734114476376625</c:v>
                </c:pt>
                <c:pt idx="2">
                  <c:v>0.0647924370457287</c:v>
                </c:pt>
                <c:pt idx="3">
                  <c:v>0.147415046137652</c:v>
                </c:pt>
                <c:pt idx="4">
                  <c:v>0.188461571537339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9640132"/>
        <c:axId val="84301389"/>
      </c:lineChart>
      <c:catAx>
        <c:axId val="5964013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301389"/>
        <c:crosses val="autoZero"/>
        <c:auto val="1"/>
        <c:lblAlgn val="ctr"/>
        <c:lblOffset val="100"/>
        <c:noMultiLvlLbl val="0"/>
      </c:catAx>
      <c:valAx>
        <c:axId val="8430138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6401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-0.171826167740399</c:v>
                </c:pt>
                <c:pt idx="1">
                  <c:v>-0.0366841821975313</c:v>
                </c:pt>
                <c:pt idx="2">
                  <c:v>0.0397368810582908</c:v>
                </c:pt>
                <c:pt idx="3">
                  <c:v>0.0994776893748167</c:v>
                </c:pt>
                <c:pt idx="4">
                  <c:v>0.131385964563156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-0.50995744920361</c:v>
                </c:pt>
                <c:pt idx="1">
                  <c:v>-0.108002636060365</c:v>
                </c:pt>
                <c:pt idx="2">
                  <c:v>0.100742491199387</c:v>
                </c:pt>
                <c:pt idx="3">
                  <c:v>0.204133275857307</c:v>
                </c:pt>
                <c:pt idx="4">
                  <c:v>0.221600595418701</c:v>
                </c:pt>
              </c:numCache>
            </c:numRef>
          </c:val>
        </c:ser>
        <c:gapWidth val="60"/>
        <c:overlap val="0"/>
        <c:axId val="14536245"/>
        <c:axId val="25802332"/>
      </c:barChart>
      <c:catAx>
        <c:axId val="1453624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802332"/>
        <c:crosses val="autoZero"/>
        <c:auto val="1"/>
        <c:lblAlgn val="ctr"/>
        <c:lblOffset val="100"/>
        <c:noMultiLvlLbl val="0"/>
      </c:catAx>
      <c:valAx>
        <c:axId val="258023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53624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member washes,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Retail cars washed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#,##0;\(#,##0\);\-</c:formatCode>
                <c:ptCount val="5"/>
                <c:pt idx="0">
                  <c:v>64869.1333333333</c:v>
                </c:pt>
                <c:pt idx="1">
                  <c:v>86025.6</c:v>
                </c:pt>
                <c:pt idx="2">
                  <c:v>88606.368</c:v>
                </c:pt>
                <c:pt idx="3">
                  <c:v>91264.55904</c:v>
                </c:pt>
                <c:pt idx="4">
                  <c:v>94002.4958112</c:v>
                </c:pt>
              </c:numCache>
            </c:numRef>
          </c:val>
        </c:ser>
        <c:ser>
          <c:idx val="1"/>
          <c:order val="1"/>
          <c:tx>
            <c:strRef>
              <c:f>KPIs!$A$35</c:f>
              <c:strCache>
                <c:ptCount val="1"/>
                <c:pt idx="0">
                  <c:v>Member washes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KPIs!$B$35:$F$35</c:f>
              <c:numCache>
                <c:formatCode>#,##0;\(#,##0\);\-</c:formatCode>
                <c:ptCount val="5"/>
                <c:pt idx="0">
                  <c:v>24097.8158489592</c:v>
                </c:pt>
                <c:pt idx="1">
                  <c:v>56525.1924563461</c:v>
                </c:pt>
                <c:pt idx="2">
                  <c:v>80270.0996252489</c:v>
                </c:pt>
                <c:pt idx="3">
                  <c:v>96626.6169751184</c:v>
                </c:pt>
                <c:pt idx="4">
                  <c:v>108532.363431149</c:v>
                </c:pt>
              </c:numCache>
            </c:numRef>
          </c:val>
        </c:ser>
        <c:gapWidth val="60"/>
        <c:overlap val="100"/>
        <c:axId val="28874252"/>
        <c:axId val="70906888"/>
      </c:barChart>
      <c:lineChart>
        <c:grouping val="stacked"/>
        <c:varyColors val="0"/>
        <c:ser>
          <c:idx val="2"/>
          <c:order val="2"/>
          <c:tx>
            <c:strRef>
              <c:f>KPIs!$A$39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KPIs!$B$39:$F$39</c:f>
              <c:numCache>
                <c:formatCode>0.0%;\(0.0%\);\-</c:formatCode>
                <c:ptCount val="5"/>
                <c:pt idx="0">
                  <c:v>0.301832529896906</c:v>
                </c:pt>
                <c:pt idx="1">
                  <c:v>0.483623038907931</c:v>
                </c:pt>
                <c:pt idx="2">
                  <c:v>0.572936488571052</c:v>
                </c:pt>
                <c:pt idx="3">
                  <c:v>0.637446484601224</c:v>
                </c:pt>
                <c:pt idx="4">
                  <c:v>0.687127180591232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811801"/>
        <c:axId val="86186654"/>
      </c:lineChart>
      <c:catAx>
        <c:axId val="2887425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906888"/>
        <c:crosses val="autoZero"/>
        <c:auto val="1"/>
        <c:lblAlgn val="ctr"/>
        <c:lblOffset val="100"/>
        <c:noMultiLvlLbl val="0"/>
      </c:catAx>
      <c:valAx>
        <c:axId val="7090688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874252"/>
        <c:crosses val="autoZero"/>
        <c:crossBetween val="between"/>
      </c:valAx>
      <c:catAx>
        <c:axId val="45811801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186654"/>
        <c:crosses val="autoZero"/>
        <c:auto val="1"/>
        <c:lblAlgn val="ctr"/>
        <c:lblOffset val="100"/>
        <c:noMultiLvlLbl val="0"/>
      </c:catAx>
      <c:valAx>
        <c:axId val="8618665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81180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split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KPIs!$A$43</c:f>
              <c:strCache>
                <c:ptCount val="1"/>
                <c:pt idx="0">
                  <c:v>Retail wash &amp; add-on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KPIs!$B$43:$F$43</c:f>
              <c:numCache>
                <c:formatCode>\$#,##0,;"($"#,##0,\);\-</c:formatCode>
                <c:ptCount val="5"/>
                <c:pt idx="0">
                  <c:v>940602.433333333</c:v>
                </c:pt>
                <c:pt idx="1">
                  <c:v>1272318.624</c:v>
                </c:pt>
                <c:pt idx="2">
                  <c:v>1336697.9463744</c:v>
                </c:pt>
                <c:pt idx="3">
                  <c:v>1404334.86246094</c:v>
                </c:pt>
                <c:pt idx="4">
                  <c:v>1475394.20650147</c:v>
                </c:pt>
              </c:numCache>
            </c:numRef>
          </c:val>
        </c:ser>
        <c:ser>
          <c:idx val="1"/>
          <c:order val="1"/>
          <c:tx>
            <c:strRef>
              <c:f>KPIs!$A$42</c:f>
              <c:strCache>
                <c:ptCount val="1"/>
                <c:pt idx="0">
                  <c:v>Unlimited plan fees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KPIs!$B$42:$F$42</c:f>
              <c:numCache>
                <c:formatCode>\$#,##0,;"($"#,##0,\);\-</c:formatCode>
                <c:ptCount val="5"/>
                <c:pt idx="0">
                  <c:v>239579.958312896</c:v>
                </c:pt>
                <c:pt idx="1">
                  <c:v>574330.394292226</c:v>
                </c:pt>
                <c:pt idx="2">
                  <c:v>833593.655545733</c:v>
                </c:pt>
                <c:pt idx="3">
                  <c:v>1024295.189607</c:v>
                </c:pt>
                <c:pt idx="4">
                  <c:v>1173929.29495319</c:v>
                </c:pt>
              </c:numCache>
            </c:numRef>
          </c:val>
        </c:ser>
        <c:gapWidth val="60"/>
        <c:overlap val="100"/>
        <c:axId val="41680480"/>
        <c:axId val="4168421"/>
      </c:barChart>
      <c:lineChart>
        <c:grouping val="stacked"/>
        <c:varyColors val="0"/>
        <c:ser>
          <c:idx val="2"/>
          <c:order val="2"/>
          <c:tx>
            <c:strRef>
              <c:f>KPIs!$A$52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KPIs!$B$52:$F$52</c:f>
              <c:numCache>
                <c:formatCode>0.0%;\(0.0%\);\-</c:formatCode>
                <c:ptCount val="5"/>
                <c:pt idx="0">
                  <c:v>-0.104457758515049</c:v>
                </c:pt>
                <c:pt idx="1">
                  <c:v>0.231938943484019</c:v>
                </c:pt>
                <c:pt idx="2">
                  <c:v>0.314394072537506</c:v>
                </c:pt>
                <c:pt idx="3">
                  <c:v>0.361338803782124</c:v>
                </c:pt>
                <c:pt idx="4">
                  <c:v>0.391562969939967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3232213"/>
        <c:axId val="27709346"/>
      </c:lineChart>
      <c:catAx>
        <c:axId val="4168048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68421"/>
        <c:crosses val="autoZero"/>
        <c:auto val="1"/>
        <c:lblAlgn val="ctr"/>
        <c:lblOffset val="100"/>
        <c:noMultiLvlLbl val="0"/>
      </c:catAx>
      <c:valAx>
        <c:axId val="416842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680480"/>
        <c:crosses val="autoZero"/>
        <c:crossBetween val="between"/>
      </c:valAx>
      <c:catAx>
        <c:axId val="6323221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709346"/>
        <c:crosses val="autoZero"/>
        <c:auto val="1"/>
        <c:lblAlgn val="ctr"/>
        <c:lblOffset val="100"/>
        <c:noMultiLvlLbl val="0"/>
      </c:catAx>
      <c:valAx>
        <c:axId val="2770934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23221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36</xdr:row>
      <xdr:rowOff>0</xdr:rowOff>
    </xdr:from>
    <xdr:to>
      <xdr:col>4</xdr:col>
      <xdr:colOff>151200</xdr:colOff>
      <xdr:row>55</xdr:row>
      <xdr:rowOff>160200</xdr:rowOff>
    </xdr:to>
    <xdr:graphicFrame>
      <xdr:nvGraphicFramePr>
        <xdr:cNvPr id="11" name="Chart 1"/>
        <xdr:cNvGraphicFramePr/>
      </xdr:nvGraphicFramePr>
      <xdr:xfrm>
        <a:off x="0" y="6972480"/>
        <a:ext cx="719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2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3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4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5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6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7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2649323.50145466</v>
      </c>
      <c r="B7" s="25"/>
      <c r="C7" s="26" t="n">
        <f aca="false">F17</f>
        <v>0.391562969939967</v>
      </c>
      <c r="D7" s="26"/>
      <c r="E7" s="26"/>
      <c r="F7" s="26"/>
      <c r="H7" s="25" t="n">
        <f aca="false">F18</f>
        <v>499295.67059495</v>
      </c>
      <c r="I7" s="25"/>
      <c r="J7" s="25"/>
      <c r="K7" s="25"/>
      <c r="L7" s="25" t="n">
        <f aca="false">F39</f>
        <v>179017.171242736</v>
      </c>
      <c r="M7" s="25"/>
      <c r="N7" s="25"/>
      <c r="O7" s="25"/>
      <c r="P7" s="25" t="n">
        <f aca="false">F37</f>
        <v>5201982.82875727</v>
      </c>
      <c r="Q7" s="25"/>
      <c r="R7" s="25"/>
      <c r="S7" s="25"/>
      <c r="T7" s="25" t="n">
        <f aca="false">F44</f>
        <v>-906585.333355327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0.22404241014768</v>
      </c>
      <c r="B8" s="27"/>
      <c r="C8" s="28" t="n">
        <f aca="false">F16</f>
        <v>1037376.97856134</v>
      </c>
      <c r="D8" s="28"/>
      <c r="E8" s="28"/>
      <c r="F8" s="28"/>
      <c r="H8" s="29" t="n">
        <f aca="false">F19</f>
        <v>0.188461571537339</v>
      </c>
      <c r="I8" s="29"/>
      <c r="J8" s="29"/>
      <c r="K8" s="29"/>
      <c r="L8" s="30" t="n">
        <f aca="false">'Break-even'!B6</f>
        <v>26</v>
      </c>
      <c r="M8" s="30"/>
      <c r="N8" s="30"/>
      <c r="O8" s="30"/>
      <c r="P8" s="31" t="n">
        <f aca="false">IF(F38&gt;=0,"Covered by funding raised",-F38)</f>
        <v>101982.828757265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SUMIF(Monthly!$C$5:$BJ$5,B$11,Monthly!$C$37:$BJ$37)</f>
        <v>1180182.39164623</v>
      </c>
      <c r="C12" s="35" t="n">
        <f aca="false">SUMIF(Monthly!$C$5:$BJ$5,C$11,Monthly!$C$37:$BJ$37)</f>
        <v>1846649.01829223</v>
      </c>
      <c r="D12" s="35" t="n">
        <f aca="false">SUMIF(Monthly!$C$5:$BJ$5,D$11,Monthly!$C$37:$BJ$37)</f>
        <v>2170291.60192013</v>
      </c>
      <c r="E12" s="35" t="n">
        <f aca="false">SUMIF(Monthly!$C$5:$BJ$5,E$11,Monthly!$C$37:$BJ$37)</f>
        <v>2428630.05206795</v>
      </c>
      <c r="F12" s="35" t="n">
        <f aca="false">SUMIF(Monthly!$C$5:$BJ$5,F$11,Monthly!$C$37:$BJ$37)</f>
        <v>2649323.50145466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SUMIF(Monthly!$C$5:$BJ$5,B$11,Monthly!$C$46:$BJ$46)</f>
        <v>999760.792729705</v>
      </c>
      <c r="C13" s="37" t="n">
        <f aca="false">SUMIF(Monthly!$C$5:$BJ$5,C$11,Monthly!$C$46:$BJ$46)</f>
        <v>1551921.0222885</v>
      </c>
      <c r="D13" s="37" t="n">
        <f aca="false">SUMIF(Monthly!$C$5:$BJ$5,D$11,Monthly!$C$46:$BJ$46)</f>
        <v>1813150.35132162</v>
      </c>
      <c r="E13" s="37" t="n">
        <f aca="false">SUMIF(Monthly!$C$5:$BJ$5,E$11,Monthly!$C$46:$BJ$46)</f>
        <v>2021109.71992355</v>
      </c>
      <c r="F13" s="37" t="n">
        <f aca="false">SUMIF(Monthly!$C$5:$BJ$5,F$11,Monthly!$C$46:$BJ$46)</f>
        <v>2198277.52390374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0.847123969825669</v>
      </c>
      <c r="C14" s="39" t="n">
        <f aca="false">IF(C12=0,0,C13/C12)</f>
        <v>0.840398476871209</v>
      </c>
      <c r="D14" s="39" t="n">
        <f aca="false">IF(D12=0,0,D13/D12)</f>
        <v>0.835440891775769</v>
      </c>
      <c r="E14" s="39" t="n">
        <f aca="false">IF(E12=0,0,E13/E12)</f>
        <v>0.832201560794572</v>
      </c>
      <c r="F14" s="39" t="n">
        <f aca="false">IF(F12=0,0,F13/F12)</f>
        <v>0.82975050902494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SUMIF(Monthly!$C$5:$BJ$5,B$11,Monthly!$C$54:$BJ$54)</f>
        <v>-1123040</v>
      </c>
      <c r="C15" s="35" t="n">
        <f aca="false">SUMIF(Monthly!$C$5:$BJ$5,C$11,Monthly!$C$54:$BJ$54)</f>
        <v>-1123611.2</v>
      </c>
      <c r="D15" s="35" t="n">
        <f aca="false">SUMIF(Monthly!$C$5:$BJ$5,D$11,Monthly!$C$54:$BJ$54)</f>
        <v>-1130823.536</v>
      </c>
      <c r="E15" s="35" t="n">
        <f aca="false">SUMIF(Monthly!$C$5:$BJ$5,E$11,Monthly!$C$54:$BJ$54)</f>
        <v>-1143551.44208</v>
      </c>
      <c r="F15" s="35" t="n">
        <f aca="false">SUMIF(Monthly!$C$5:$BJ$5,F$11,Monthly!$C$54:$BJ$54)</f>
        <v>-1160900.5453424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SUMIF(Monthly!$C$5:$BJ$5,B$11,Monthly!$C$55:$BJ$55)</f>
        <v>-123279.207270295</v>
      </c>
      <c r="C16" s="37" t="n">
        <f aca="false">SUMIF(Monthly!$C$5:$BJ$5,C$11,Monthly!$C$55:$BJ$55)</f>
        <v>428309.8222885</v>
      </c>
      <c r="D16" s="37" t="n">
        <f aca="false">SUMIF(Monthly!$C$5:$BJ$5,D$11,Monthly!$C$55:$BJ$55)</f>
        <v>682326.815321617</v>
      </c>
      <c r="E16" s="37" t="n">
        <f aca="false">SUMIF(Monthly!$C$5:$BJ$5,E$11,Monthly!$C$55:$BJ$55)</f>
        <v>877558.27784355</v>
      </c>
      <c r="F16" s="37" t="n">
        <f aca="false">SUMIF(Monthly!$C$5:$BJ$5,F$11,Monthly!$C$55:$BJ$55)</f>
        <v>1037376.97856134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-0.104457758515049</v>
      </c>
      <c r="C17" s="39" t="n">
        <f aca="false">IF(C12=0,0,C16/C12)</f>
        <v>0.231938943484019</v>
      </c>
      <c r="D17" s="39" t="n">
        <f aca="false">IF(D12=0,0,D16/D12)</f>
        <v>0.314394072537506</v>
      </c>
      <c r="E17" s="39" t="n">
        <f aca="false">IF(E12=0,0,E16/E12)</f>
        <v>0.361338803782124</v>
      </c>
      <c r="F17" s="39" t="n">
        <f aca="false">IF(F12=0,0,F16/F12)</f>
        <v>0.391562969939967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SUMIF(Monthly!$C$5:$BJ$5,B$11,Monthly!$C$64:$BJ$64)</f>
        <v>-709232.332270295</v>
      </c>
      <c r="C18" s="41" t="n">
        <f aca="false">SUMIF(Monthly!$C$5:$BJ$5,C$11,Monthly!$C$64:$BJ$64)</f>
        <v>-135565.177711501</v>
      </c>
      <c r="D18" s="41" t="n">
        <f aca="false">SUMIF(Monthly!$C$5:$BJ$5,D$11,Monthly!$C$64:$BJ$64)</f>
        <v>140618.481988284</v>
      </c>
      <c r="E18" s="41" t="n">
        <f aca="false">SUMIF(Monthly!$C$5:$BJ$5,E$11,Monthly!$C$64:$BJ$64)</f>
        <v>358016.611176884</v>
      </c>
      <c r="F18" s="41" t="n">
        <f aca="false">SUMIF(Monthly!$C$5:$BJ$5,F$11,Monthly!$C$64:$BJ$64)</f>
        <v>499295.67059495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-0.600951460800047</v>
      </c>
      <c r="C19" s="39" t="n">
        <f aca="false">IF(C12=0,0,C18/C12)</f>
        <v>-0.0734114476376625</v>
      </c>
      <c r="D19" s="39" t="n">
        <f aca="false">IF(D12=0,0,D18/D12)</f>
        <v>0.0647924370457287</v>
      </c>
      <c r="E19" s="39" t="n">
        <f aca="false">IF(E12=0,0,E18/E12)</f>
        <v>0.147415046137652</v>
      </c>
      <c r="F19" s="39" t="n">
        <f aca="false">IF(F12=0,0,F18/F12)</f>
        <v>0.188461571537339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SUMIF(Monthly!$C$5:$BJ$5,B$11,Monthly!$C$94:$BJ$94)</f>
        <v>-367780.63594592</v>
      </c>
      <c r="C20" s="35" t="n">
        <f aca="false">SUMIF(Monthly!$C$5:$BJ$5,C$11,Monthly!$C$94:$BJ$94)</f>
        <v>209654.47468913</v>
      </c>
      <c r="D20" s="35" t="n">
        <f aca="false">SUMIF(Monthly!$C$5:$BJ$5,D$11,Monthly!$C$94:$BJ$94)</f>
        <v>489150.476090791</v>
      </c>
      <c r="E20" s="35" t="n">
        <f aca="false">SUMIF(Monthly!$C$5:$BJ$5,E$11,Monthly!$C$94:$BJ$94)</f>
        <v>709872.13182272</v>
      </c>
      <c r="F20" s="35" t="n">
        <f aca="false">SUMIF(Monthly!$C$5:$BJ$5,F$11,Monthly!$C$94:$BJ$94)</f>
        <v>854483.264190895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SUMIF(Monthly!$C$5:$BJ$5,B$11,Monthly!$C$95:$BJ$95)</f>
        <v>-4100000</v>
      </c>
      <c r="C21" s="35" t="n">
        <f aca="false">SUMIF(Monthly!$C$5:$BJ$5,C$11,Monthly!$C$95:$BJ$95)</f>
        <v>-40000</v>
      </c>
      <c r="D21" s="35" t="n">
        <f aca="false">SUMIF(Monthly!$C$5:$BJ$5,D$11,Monthly!$C$95:$BJ$95)</f>
        <v>-40000</v>
      </c>
      <c r="E21" s="35" t="n">
        <f aca="false">SUMIF(Monthly!$C$5:$BJ$5,E$11,Monthly!$C$95:$BJ$95)</f>
        <v>-40000</v>
      </c>
      <c r="F21" s="35" t="n">
        <f aca="false">SUMIF(Monthly!$C$5:$BJ$5,F$11,Monthly!$C$95:$BJ$95)</f>
        <v>-40000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SUMIF(Monthly!$C$5:$BJ$5,B$11,Monthly!$C$97:$BJ$97)</f>
        <v>4825000</v>
      </c>
      <c r="C22" s="35" t="n">
        <f aca="false">SUMIF(Monthly!$C$5:$BJ$5,C$11,Monthly!$C$97:$BJ$97)</f>
        <v>-300000</v>
      </c>
      <c r="D22" s="35" t="n">
        <f aca="false">SUMIF(Monthly!$C$5:$BJ$5,D$11,Monthly!$C$97:$BJ$97)</f>
        <v>-300000</v>
      </c>
      <c r="E22" s="35" t="n">
        <f aca="false">SUMIF(Monthly!$C$5:$BJ$5,E$11,Monthly!$C$97:$BJ$97)</f>
        <v>-300000</v>
      </c>
      <c r="F22" s="35" t="n">
        <f aca="false">SUMIF(Monthly!$C$5:$BJ$5,F$11,Monthly!$C$97:$BJ$97)</f>
        <v>-300000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SUMIF(Monthly!$C$5:$BJ$5,B$11,Monthly!$C$98:$BJ$98)</f>
        <v>357219.364054081</v>
      </c>
      <c r="C23" s="37" t="n">
        <f aca="false">SUMIF(Monthly!$C$5:$BJ$5,C$11,Monthly!$C$98:$BJ$98)</f>
        <v>-130345.52531087</v>
      </c>
      <c r="D23" s="37" t="n">
        <f aca="false">SUMIF(Monthly!$C$5:$BJ$5,D$11,Monthly!$C$98:$BJ$98)</f>
        <v>149150.476090791</v>
      </c>
      <c r="E23" s="37" t="n">
        <f aca="false">SUMIF(Monthly!$C$5:$BJ$5,E$11,Monthly!$C$98:$BJ$98)</f>
        <v>369872.13182272</v>
      </c>
      <c r="F23" s="37" t="n">
        <f aca="false">SUMIF(Monthly!$C$5:$BJ$5,F$11,Monthly!$C$98:$BJ$98)</f>
        <v>514483.264190895</v>
      </c>
    </row>
    <row r="24" customFormat="false" ht="15" hidden="false" customHeight="false" outlineLevel="0" collapsed="false">
      <c r="A24" s="40" t="s">
        <v>56</v>
      </c>
      <c r="B24" s="41" t="n">
        <f aca="false">INDEX(Monthly!$C$100:$BJ$100,B$11*12)</f>
        <v>357219.364054081</v>
      </c>
      <c r="C24" s="41" t="n">
        <f aca="false">INDEX(Monthly!$C$100:$BJ$100,C$11*12)</f>
        <v>226873.838743211</v>
      </c>
      <c r="D24" s="41" t="n">
        <f aca="false">INDEX(Monthly!$C$100:$BJ$100,D$11*12)</f>
        <v>376024.314834002</v>
      </c>
      <c r="E24" s="41" t="n">
        <f aca="false">INDEX(Monthly!$C$100:$BJ$100,E$11*12)</f>
        <v>745896.446656723</v>
      </c>
      <c r="F24" s="41" t="n">
        <f aca="false">INDEX(Monthly!$C$100:$BJ$100,F$11*12)</f>
        <v>1260379.71084762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KPIs!B29</f>
        <v>972.089183697303</v>
      </c>
      <c r="C28" s="42" t="n">
        <f aca="false">KPIs!C29</f>
        <v>1660.55587289615</v>
      </c>
      <c r="D28" s="42" t="n">
        <f aca="false">KPIs!D29</f>
        <v>2124.50092018641</v>
      </c>
      <c r="E28" s="42" t="n">
        <f aca="false">KPIs!E29</f>
        <v>2452.65112886771</v>
      </c>
      <c r="F28" s="42" t="n">
        <f aca="false">KPIs!F29</f>
        <v>2699.44884584423</v>
      </c>
    </row>
    <row r="29" customFormat="false" ht="15" hidden="false" customHeight="false" outlineLevel="0" collapsed="false">
      <c r="A29" s="6" t="s">
        <v>59</v>
      </c>
      <c r="B29" s="42" t="n">
        <f aca="false">KPIs!B37</f>
        <v>255.65215282268</v>
      </c>
      <c r="C29" s="42" t="n">
        <f aca="false">KPIs!C37</f>
        <v>409.628713955018</v>
      </c>
      <c r="D29" s="42" t="n">
        <f aca="false">KPIs!D37</f>
        <v>485.277205819681</v>
      </c>
      <c r="E29" s="42" t="n">
        <f aca="false">KPIs!E37</f>
        <v>539.917172457237</v>
      </c>
      <c r="F29" s="42" t="n">
        <f aca="false">KPIs!F37</f>
        <v>581.996721960774</v>
      </c>
    </row>
    <row r="30" customFormat="false" ht="15" hidden="false" customHeight="false" outlineLevel="0" collapsed="false">
      <c r="A30" s="6" t="s">
        <v>60</v>
      </c>
      <c r="B30" s="43" t="n">
        <f aca="false">KPIs!B39</f>
        <v>0.301832529896906</v>
      </c>
      <c r="C30" s="43" t="n">
        <f aca="false">KPIs!C39</f>
        <v>0.483623038907931</v>
      </c>
      <c r="D30" s="43" t="n">
        <f aca="false">KPIs!D39</f>
        <v>0.572936488571052</v>
      </c>
      <c r="E30" s="43" t="n">
        <f aca="false">KPIs!E39</f>
        <v>0.637446484601224</v>
      </c>
      <c r="F30" s="43" t="n">
        <f aca="false">KPIs!F39</f>
        <v>0.687127180591232</v>
      </c>
    </row>
    <row r="31" customFormat="false" ht="15" hidden="false" customHeight="false" outlineLevel="0" collapsed="false">
      <c r="A31" s="6" t="s">
        <v>61</v>
      </c>
      <c r="B31" s="44" t="n">
        <f aca="false">KPIs!B45</f>
        <v>13.2654025173781</v>
      </c>
      <c r="C31" s="44" t="n">
        <f aca="false">KPIs!C45</f>
        <v>12.9543230624813</v>
      </c>
      <c r="D31" s="44" t="n">
        <f aca="false">KPIs!D45</f>
        <v>12.8513559789526</v>
      </c>
      <c r="E31" s="44" t="n">
        <f aca="false">KPIs!E45</f>
        <v>12.9257270276095</v>
      </c>
      <c r="F31" s="44" t="n">
        <f aca="false">KPIs!F45</f>
        <v>13.0808272282873</v>
      </c>
    </row>
    <row r="32" customFormat="false" ht="15" hidden="false" customHeight="false" outlineLevel="0" collapsed="false">
      <c r="A32" s="6" t="s">
        <v>62</v>
      </c>
      <c r="B32" s="45" t="n">
        <f aca="false">INDEX(Headcount!$C$10:$BJ$10,B$27*12)</f>
        <v>11</v>
      </c>
      <c r="C32" s="45" t="n">
        <f aca="false">INDEX(Headcount!$C$10:$BJ$10,C$27*12)</f>
        <v>11</v>
      </c>
      <c r="D32" s="45" t="n">
        <f aca="false">INDEX(Headcount!$C$10:$BJ$10,D$27*12)</f>
        <v>11</v>
      </c>
      <c r="E32" s="45" t="n">
        <f aca="false">INDEX(Headcount!$C$10:$BJ$10,E$27*12)</f>
        <v>11</v>
      </c>
      <c r="F32" s="45" t="n">
        <f aca="false">INDEX(Headcount!$C$10:$BJ$10,F$27*12)</f>
        <v>11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Inputs!$E$69</f>
        <v>2100000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Inputs!$E$70</f>
        <v>3000000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5201982.82875727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-101982.828757265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26)</v>
      </c>
      <c r="B39" s="46"/>
      <c r="C39" s="46"/>
      <c r="D39" s="46"/>
      <c r="E39" s="46"/>
      <c r="F39" s="47" t="n">
        <f aca="false">'Break-even'!B18</f>
        <v>179017.171242736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8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-912916.763324691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-900253.903385962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-906585.333355327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1180182.39164623</v>
      </c>
      <c r="C7" s="35" t="n">
        <f aca="false">'P&amp;L'!C5</f>
        <v>1846649.01829223</v>
      </c>
      <c r="D7" s="35" t="n">
        <f aca="false">'P&amp;L'!D5</f>
        <v>2170291.60192013</v>
      </c>
      <c r="E7" s="35" t="n">
        <f aca="false">'P&amp;L'!E5</f>
        <v>2428630.05206795</v>
      </c>
      <c r="F7" s="35" t="n">
        <f aca="false">'P&amp;L'!F5</f>
        <v>2649323.50145466</v>
      </c>
      <c r="H7" s="35" t="n">
        <f aca="false">INDEX(Monthly!$C$37:$BJ$37,($R$2-1)*12+1)</f>
        <v>47943.358</v>
      </c>
      <c r="I7" s="35" t="n">
        <f aca="false">INDEX(Monthly!$C$37:$BJ$37,($R$2-1)*12+2)</f>
        <v>54448.9359022222</v>
      </c>
      <c r="J7" s="35" t="n">
        <f aca="false">INDEX(Monthly!$C$37:$BJ$37,($R$2-1)*12+3)</f>
        <v>72773.4017994667</v>
      </c>
      <c r="K7" s="35" t="n">
        <f aca="false">INDEX(Monthly!$C$37:$BJ$37,($R$2-1)*12+4)</f>
        <v>81051.8988385991</v>
      </c>
      <c r="L7" s="35" t="n">
        <f aca="false">INDEX(Monthly!$C$37:$BJ$37,($R$2-1)*12+5)</f>
        <v>89490.2764406107</v>
      </c>
      <c r="M7" s="35" t="n">
        <f aca="false">INDEX(Monthly!$C$37:$BJ$37,($R$2-1)*12+6)</f>
        <v>98082.1393829863</v>
      </c>
      <c r="N7" s="35" t="n">
        <f aca="false">INDEX(Monthly!$C$37:$BJ$37,($R$2-1)*12+7)</f>
        <v>106821.348252111</v>
      </c>
      <c r="O7" s="35" t="n">
        <f aca="false">INDEX(Monthly!$C$37:$BJ$37,($R$2-1)*12+8)</f>
        <v>115702.009210916</v>
      </c>
      <c r="P7" s="35" t="n">
        <f aca="false">INDEX(Monthly!$C$37:$BJ$37,($R$2-1)*12+9)</f>
        <v>124718.464175812</v>
      </c>
      <c r="Q7" s="35" t="n">
        <f aca="false">INDEX(Monthly!$C$37:$BJ$37,($R$2-1)*12+10)</f>
        <v>133865.281386558</v>
      </c>
      <c r="R7" s="35" t="n">
        <f aca="false">INDEX(Monthly!$C$37:$BJ$37,($R$2-1)*12+11)</f>
        <v>136545.550131095</v>
      </c>
      <c r="S7" s="35" t="n">
        <f aca="false">INDEX(Monthly!$C$37:$BJ$37,($R$2-1)*12+12)</f>
        <v>118739.728125852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-180421.598916524</v>
      </c>
      <c r="C8" s="35" t="n">
        <f aca="false">'P&amp;L'!C6</f>
        <v>-294727.996003726</v>
      </c>
      <c r="D8" s="35" t="n">
        <f aca="false">'P&amp;L'!D6</f>
        <v>-357141.250598515</v>
      </c>
      <c r="E8" s="35" t="n">
        <f aca="false">'P&amp;L'!E6</f>
        <v>-407520.332144398</v>
      </c>
      <c r="F8" s="35" t="n">
        <f aca="false">'P&amp;L'!F6</f>
        <v>-451045.977550919</v>
      </c>
      <c r="H8" s="35" t="n">
        <f aca="false">INDEX(Monthly!$C$45:$BJ$45,($R$2-1)*12+1)</f>
        <v>-7071.9457459</v>
      </c>
      <c r="I8" s="35" t="n">
        <f aca="false">INDEX(Monthly!$C$45:$BJ$45,($R$2-1)*12+2)</f>
        <v>-8031.44880631956</v>
      </c>
      <c r="J8" s="35" t="n">
        <f aca="false">INDEX(Monthly!$C$45:$BJ$45,($R$2-1)*12+3)</f>
        <v>-11076.8352569627</v>
      </c>
      <c r="K8" s="35" t="n">
        <f aca="false">INDEX(Monthly!$C$45:$BJ$45,($R$2-1)*12+4)</f>
        <v>-12361.6968813842</v>
      </c>
      <c r="L8" s="35" t="n">
        <f aca="false">INDEX(Monthly!$C$45:$BJ$45,($R$2-1)*12+5)</f>
        <v>-13678.7184810288</v>
      </c>
      <c r="M8" s="35" t="n">
        <f aca="false">INDEX(Monthly!$C$45:$BJ$45,($R$2-1)*12+6)</f>
        <v>-15026.6136568877</v>
      </c>
      <c r="N8" s="35" t="n">
        <f aca="false">INDEX(Monthly!$C$45:$BJ$45,($R$2-1)*12+7)</f>
        <v>-16404.1474659122</v>
      </c>
      <c r="O8" s="35" t="n">
        <f aca="false">INDEX(Monthly!$C$45:$BJ$45,($R$2-1)*12+8)</f>
        <v>-17810.1343627757</v>
      </c>
      <c r="P8" s="35" t="n">
        <f aca="false">INDEX(Monthly!$C$45:$BJ$45,($R$2-1)*12+9)</f>
        <v>-19243.4362239647</v>
      </c>
      <c r="Q8" s="35" t="n">
        <f aca="false">INDEX(Monthly!$C$45:$BJ$45,($R$2-1)*12+10)</f>
        <v>-20702.9604509061</v>
      </c>
      <c r="R8" s="35" t="n">
        <f aca="false">INDEX(Monthly!$C$45:$BJ$45,($R$2-1)*12+11)</f>
        <v>-21242.0965088698</v>
      </c>
      <c r="S8" s="35" t="n">
        <f aca="false">INDEX(Monthly!$C$45:$BJ$45,($R$2-1)*12+12)</f>
        <v>-17771.5650756123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999760.792729705</v>
      </c>
      <c r="C9" s="37" t="n">
        <f aca="false">'P&amp;L'!C7</f>
        <v>1551921.0222885</v>
      </c>
      <c r="D9" s="37" t="n">
        <f aca="false">'P&amp;L'!D7</f>
        <v>1813150.35132162</v>
      </c>
      <c r="E9" s="37" t="n">
        <f aca="false">'P&amp;L'!E7</f>
        <v>2021109.71992355</v>
      </c>
      <c r="F9" s="37" t="n">
        <f aca="false">'P&amp;L'!F7</f>
        <v>2198277.52390374</v>
      </c>
      <c r="H9" s="37" t="n">
        <f aca="false">INDEX(Monthly!$C$46:$BJ$46,($R$2-1)*12+1)</f>
        <v>40871.4122541</v>
      </c>
      <c r="I9" s="37" t="n">
        <f aca="false">INDEX(Monthly!$C$46:$BJ$46,($R$2-1)*12+2)</f>
        <v>46417.4870959027</v>
      </c>
      <c r="J9" s="37" t="n">
        <f aca="false">INDEX(Monthly!$C$46:$BJ$46,($R$2-1)*12+3)</f>
        <v>61696.566542504</v>
      </c>
      <c r="K9" s="37" t="n">
        <f aca="false">INDEX(Monthly!$C$46:$BJ$46,($R$2-1)*12+4)</f>
        <v>68690.2019572149</v>
      </c>
      <c r="L9" s="37" t="n">
        <f aca="false">INDEX(Monthly!$C$46:$BJ$46,($R$2-1)*12+5)</f>
        <v>75811.5579595819</v>
      </c>
      <c r="M9" s="37" t="n">
        <f aca="false">INDEX(Monthly!$C$46:$BJ$46,($R$2-1)*12+6)</f>
        <v>83055.5257260986</v>
      </c>
      <c r="N9" s="37" t="n">
        <f aca="false">INDEX(Monthly!$C$46:$BJ$46,($R$2-1)*12+7)</f>
        <v>90417.2007861991</v>
      </c>
      <c r="O9" s="37" t="n">
        <f aca="false">INDEX(Monthly!$C$46:$BJ$46,($R$2-1)*12+8)</f>
        <v>97891.87484814</v>
      </c>
      <c r="P9" s="37" t="n">
        <f aca="false">INDEX(Monthly!$C$46:$BJ$46,($R$2-1)*12+9)</f>
        <v>105475.027951848</v>
      </c>
      <c r="Q9" s="37" t="n">
        <f aca="false">INDEX(Monthly!$C$46:$BJ$46,($R$2-1)*12+10)</f>
        <v>113162.320935652</v>
      </c>
      <c r="R9" s="37" t="n">
        <f aca="false">INDEX(Monthly!$C$46:$BJ$46,($R$2-1)*12+11)</f>
        <v>115303.453622226</v>
      </c>
      <c r="S9" s="37" t="n">
        <f aca="false">INDEX(Monthly!$C$46:$BJ$46,($R$2-1)*12+12)</f>
        <v>100968.163050239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0.847123969825669</v>
      </c>
      <c r="C10" s="39" t="n">
        <f aca="false">'P&amp;L'!C8</f>
        <v>0.840398476871209</v>
      </c>
      <c r="D10" s="39" t="n">
        <f aca="false">'P&amp;L'!D8</f>
        <v>0.835440891775769</v>
      </c>
      <c r="E10" s="39" t="n">
        <f aca="false">'P&amp;L'!E8</f>
        <v>0.832201560794572</v>
      </c>
      <c r="F10" s="39" t="n">
        <f aca="false">'P&amp;L'!F8</f>
        <v>0.82975050902494</v>
      </c>
      <c r="H10" s="39" t="n">
        <f aca="false">IF(H7=0,0,H9/H7)</f>
        <v>0.852493733419758</v>
      </c>
      <c r="I10" s="39" t="n">
        <f aca="false">IF(I7=0,0,I9/I7)</f>
        <v>0.852495761887024</v>
      </c>
      <c r="J10" s="39" t="n">
        <f aca="false">IF(J7=0,0,J9/J7)</f>
        <v>0.847790058138468</v>
      </c>
      <c r="K10" s="39" t="n">
        <f aca="false">IF(K7=0,0,K9/K7)</f>
        <v>0.847484179167716</v>
      </c>
      <c r="L10" s="39" t="n">
        <f aca="false">IF(L7=0,0,L9/L7)</f>
        <v>0.847148550377911</v>
      </c>
      <c r="M10" s="39" t="n">
        <f aca="false">IF(M7=0,0,M9/M7)</f>
        <v>0.84679561690419</v>
      </c>
      <c r="N10" s="39" t="n">
        <f aca="false">IF(N7=0,0,N9/N7)</f>
        <v>0.846433809960941</v>
      </c>
      <c r="O10" s="39" t="n">
        <f aca="false">IF(O7=0,0,O9/O7)</f>
        <v>0.846068927547237</v>
      </c>
      <c r="P10" s="39" t="n">
        <f aca="false">IF(P7=0,0,P9/P7)</f>
        <v>0.845704993634</v>
      </c>
      <c r="Q10" s="39" t="n">
        <f aca="false">IF(Q7=0,0,Q9/Q7)</f>
        <v>0.845344810570241</v>
      </c>
      <c r="R10" s="39" t="n">
        <f aca="false">IF(R7=0,0,R9/R7)</f>
        <v>0.844432158437418</v>
      </c>
      <c r="S10" s="39" t="n">
        <f aca="false">IF(S7=0,0,S9/S7)</f>
        <v>0.850331768851818</v>
      </c>
    </row>
    <row r="11" customFormat="false" ht="15" hidden="false" customHeight="false" outlineLevel="0" collapsed="false">
      <c r="A11" s="51" t="s">
        <v>77</v>
      </c>
      <c r="B11" s="35" t="n">
        <f aca="false">'P&amp;L'!B14</f>
        <v>-1123040</v>
      </c>
      <c r="C11" s="35" t="n">
        <f aca="false">'P&amp;L'!C14</f>
        <v>-1123611.2</v>
      </c>
      <c r="D11" s="35" t="n">
        <f aca="false">'P&amp;L'!D14</f>
        <v>-1130823.536</v>
      </c>
      <c r="E11" s="35" t="n">
        <f aca="false">'P&amp;L'!E14</f>
        <v>-1143551.44208</v>
      </c>
      <c r="F11" s="35" t="n">
        <f aca="false">'P&amp;L'!F14</f>
        <v>-1160900.5453424</v>
      </c>
      <c r="H11" s="35" t="n">
        <f aca="false">INDEX(Monthly!$C$54:$BJ$54,($R$2-1)*12+1)</f>
        <v>-93586.6666666667</v>
      </c>
      <c r="I11" s="35" t="n">
        <f aca="false">INDEX(Monthly!$C$54:$BJ$54,($R$2-1)*12+2)</f>
        <v>-93586.6666666667</v>
      </c>
      <c r="J11" s="35" t="n">
        <f aca="false">INDEX(Monthly!$C$54:$BJ$54,($R$2-1)*12+3)</f>
        <v>-93586.6666666667</v>
      </c>
      <c r="K11" s="35" t="n">
        <f aca="false">INDEX(Monthly!$C$54:$BJ$54,($R$2-1)*12+4)</f>
        <v>-93586.6666666667</v>
      </c>
      <c r="L11" s="35" t="n">
        <f aca="false">INDEX(Monthly!$C$54:$BJ$54,($R$2-1)*12+5)</f>
        <v>-93586.6666666667</v>
      </c>
      <c r="M11" s="35" t="n">
        <f aca="false">INDEX(Monthly!$C$54:$BJ$54,($R$2-1)*12+6)</f>
        <v>-93586.6666666667</v>
      </c>
      <c r="N11" s="35" t="n">
        <f aca="false">INDEX(Monthly!$C$54:$BJ$54,($R$2-1)*12+7)</f>
        <v>-93586.6666666667</v>
      </c>
      <c r="O11" s="35" t="n">
        <f aca="false">INDEX(Monthly!$C$54:$BJ$54,($R$2-1)*12+8)</f>
        <v>-93586.6666666667</v>
      </c>
      <c r="P11" s="35" t="n">
        <f aca="false">INDEX(Monthly!$C$54:$BJ$54,($R$2-1)*12+9)</f>
        <v>-93586.6666666667</v>
      </c>
      <c r="Q11" s="35" t="n">
        <f aca="false">INDEX(Monthly!$C$54:$BJ$54,($R$2-1)*12+10)</f>
        <v>-93586.6666666667</v>
      </c>
      <c r="R11" s="35" t="n">
        <f aca="false">INDEX(Monthly!$C$54:$BJ$54,($R$2-1)*12+11)</f>
        <v>-93586.6666666667</v>
      </c>
      <c r="S11" s="35" t="n">
        <f aca="false">INDEX(Monthly!$C$54:$BJ$54,($R$2-1)*12+12)</f>
        <v>-93586.6666666667</v>
      </c>
    </row>
    <row r="12" customFormat="false" ht="15" hidden="false" customHeight="false" outlineLevel="0" collapsed="false">
      <c r="A12" s="36" t="s">
        <v>48</v>
      </c>
      <c r="B12" s="37" t="n">
        <f aca="false">'P&amp;L'!B15</f>
        <v>-123279.207270295</v>
      </c>
      <c r="C12" s="37" t="n">
        <f aca="false">'P&amp;L'!C15</f>
        <v>428309.8222885</v>
      </c>
      <c r="D12" s="37" t="n">
        <f aca="false">'P&amp;L'!D15</f>
        <v>682326.815321617</v>
      </c>
      <c r="E12" s="37" t="n">
        <f aca="false">'P&amp;L'!E15</f>
        <v>877558.27784355</v>
      </c>
      <c r="F12" s="37" t="n">
        <f aca="false">'P&amp;L'!F15</f>
        <v>1037376.97856134</v>
      </c>
      <c r="H12" s="37" t="n">
        <f aca="false">INDEX(Monthly!$C$55:$BJ$55,($R$2-1)*12+1)</f>
        <v>-52715.2544125667</v>
      </c>
      <c r="I12" s="37" t="n">
        <f aca="false">INDEX(Monthly!$C$55:$BJ$55,($R$2-1)*12+2)</f>
        <v>-47169.179570764</v>
      </c>
      <c r="J12" s="37" t="n">
        <f aca="false">INDEX(Monthly!$C$55:$BJ$55,($R$2-1)*12+3)</f>
        <v>-31890.1001241627</v>
      </c>
      <c r="K12" s="37" t="n">
        <f aca="false">INDEX(Monthly!$C$55:$BJ$55,($R$2-1)*12+4)</f>
        <v>-24896.4647094518</v>
      </c>
      <c r="L12" s="37" t="n">
        <f aca="false">INDEX(Monthly!$C$55:$BJ$55,($R$2-1)*12+5)</f>
        <v>-17775.1087070848</v>
      </c>
      <c r="M12" s="37" t="n">
        <f aca="false">INDEX(Monthly!$C$55:$BJ$55,($R$2-1)*12+6)</f>
        <v>-10531.1409405681</v>
      </c>
      <c r="N12" s="37" t="n">
        <f aca="false">INDEX(Monthly!$C$55:$BJ$55,($R$2-1)*12+7)</f>
        <v>-3169.46588046759</v>
      </c>
      <c r="O12" s="37" t="n">
        <f aca="false">INDEX(Monthly!$C$55:$BJ$55,($R$2-1)*12+8)</f>
        <v>4305.20818147335</v>
      </c>
      <c r="P12" s="37" t="n">
        <f aca="false">INDEX(Monthly!$C$55:$BJ$55,($R$2-1)*12+9)</f>
        <v>11888.3612851811</v>
      </c>
      <c r="Q12" s="37" t="n">
        <f aca="false">INDEX(Monthly!$C$55:$BJ$55,($R$2-1)*12+10)</f>
        <v>19575.654268985</v>
      </c>
      <c r="R12" s="37" t="n">
        <f aca="false">INDEX(Monthly!$C$55:$BJ$55,($R$2-1)*12+11)</f>
        <v>21716.7869555589</v>
      </c>
      <c r="S12" s="37" t="n">
        <f aca="false">INDEX(Monthly!$C$55:$BJ$55,($R$2-1)*12+12)</f>
        <v>7381.49638357262</v>
      </c>
    </row>
    <row r="13" customFormat="false" ht="15" hidden="false" customHeight="false" outlineLevel="0" collapsed="false">
      <c r="A13" s="38" t="s">
        <v>49</v>
      </c>
      <c r="B13" s="39" t="n">
        <f aca="false">'P&amp;L'!B16</f>
        <v>-0.104457758515049</v>
      </c>
      <c r="C13" s="39" t="n">
        <f aca="false">'P&amp;L'!C16</f>
        <v>0.231938943484019</v>
      </c>
      <c r="D13" s="39" t="n">
        <f aca="false">'P&amp;L'!D16</f>
        <v>0.314394072537506</v>
      </c>
      <c r="E13" s="39" t="n">
        <f aca="false">'P&amp;L'!E16</f>
        <v>0.361338803782124</v>
      </c>
      <c r="F13" s="39" t="n">
        <f aca="false">'P&amp;L'!F16</f>
        <v>0.391562969939967</v>
      </c>
      <c r="H13" s="39" t="n">
        <f aca="false">IF(H7=0,0,H12/H7)</f>
        <v>-1.09953196045564</v>
      </c>
      <c r="I13" s="39" t="n">
        <f aca="false">IF(I7=0,0,I12/I7)</f>
        <v>-0.866301219466787</v>
      </c>
      <c r="J13" s="39" t="n">
        <f aca="false">IF(J7=0,0,J12/J7)</f>
        <v>-0.438210930582009</v>
      </c>
      <c r="K13" s="39" t="n">
        <f aca="false">IF(K7=0,0,K12/K7)</f>
        <v>-0.307166951869059</v>
      </c>
      <c r="L13" s="39" t="n">
        <f aca="false">IF(L7=0,0,L12/L7)</f>
        <v>-0.198626145924145</v>
      </c>
      <c r="M13" s="39" t="n">
        <f aca="false">IF(M7=0,0,M12/M7)</f>
        <v>-0.107370628402044</v>
      </c>
      <c r="N13" s="39" t="n">
        <f aca="false">IF(N7=0,0,N12/N7)</f>
        <v>-0.0296707159414171</v>
      </c>
      <c r="O13" s="39" t="n">
        <f aca="false">IF(O7=0,0,O12/O7)</f>
        <v>0.0372094504739783</v>
      </c>
      <c r="P13" s="39" t="n">
        <f aca="false">IF(P7=0,0,P12/P7)</f>
        <v>0.0953215818022131</v>
      </c>
      <c r="Q13" s="39" t="n">
        <f aca="false">IF(Q7=0,0,Q12/Q7)</f>
        <v>0.146233990368698</v>
      </c>
      <c r="R13" s="39" t="n">
        <f aca="false">IF(R7=0,0,R12/R7)</f>
        <v>0.159044267167322</v>
      </c>
      <c r="S13" s="39" t="n">
        <f aca="false">IF(S7=0,0,S12/S7)</f>
        <v>0.0621653468479313</v>
      </c>
    </row>
    <row r="14" customFormat="false" ht="15" hidden="false" customHeight="false" outlineLevel="0" collapsed="false">
      <c r="A14" s="51" t="s">
        <v>78</v>
      </c>
      <c r="B14" s="35" t="n">
        <f aca="false">'P&amp;L'!B17</f>
        <v>-341666.666666667</v>
      </c>
      <c r="C14" s="35" t="n">
        <f aca="false">'P&amp;L'!C17</f>
        <v>-345000</v>
      </c>
      <c r="D14" s="35" t="n">
        <f aca="false">'P&amp;L'!D17</f>
        <v>-348333.333333333</v>
      </c>
      <c r="E14" s="35" t="n">
        <f aca="false">'P&amp;L'!E17</f>
        <v>-351666.666666667</v>
      </c>
      <c r="F14" s="35" t="n">
        <f aca="false">'P&amp;L'!F17</f>
        <v>-355000</v>
      </c>
      <c r="H14" s="35" t="n">
        <f aca="false">INDEX(Monthly!$C$75:$BJ$75,($R$2-1)*12+1)</f>
        <v>-28472.2222222222</v>
      </c>
      <c r="I14" s="35" t="n">
        <f aca="false">INDEX(Monthly!$C$75:$BJ$75,($R$2-1)*12+2)</f>
        <v>-28472.2222222222</v>
      </c>
      <c r="J14" s="35" t="n">
        <f aca="false">INDEX(Monthly!$C$75:$BJ$75,($R$2-1)*12+3)</f>
        <v>-28472.2222222222</v>
      </c>
      <c r="K14" s="35" t="n">
        <f aca="false">INDEX(Monthly!$C$75:$BJ$75,($R$2-1)*12+4)</f>
        <v>-28472.2222222222</v>
      </c>
      <c r="L14" s="35" t="n">
        <f aca="false">INDEX(Monthly!$C$75:$BJ$75,($R$2-1)*12+5)</f>
        <v>-28472.2222222222</v>
      </c>
      <c r="M14" s="35" t="n">
        <f aca="false">INDEX(Monthly!$C$75:$BJ$75,($R$2-1)*12+6)</f>
        <v>-28472.2222222222</v>
      </c>
      <c r="N14" s="35" t="n">
        <f aca="false">INDEX(Monthly!$C$75:$BJ$75,($R$2-1)*12+7)</f>
        <v>-28472.2222222222</v>
      </c>
      <c r="O14" s="35" t="n">
        <f aca="false">INDEX(Monthly!$C$75:$BJ$75,($R$2-1)*12+8)</f>
        <v>-28472.2222222222</v>
      </c>
      <c r="P14" s="35" t="n">
        <f aca="false">INDEX(Monthly!$C$75:$BJ$75,($R$2-1)*12+9)</f>
        <v>-28472.2222222222</v>
      </c>
      <c r="Q14" s="35" t="n">
        <f aca="false">INDEX(Monthly!$C$75:$BJ$75,($R$2-1)*12+10)</f>
        <v>-28472.2222222222</v>
      </c>
      <c r="R14" s="35" t="n">
        <f aca="false">INDEX(Monthly!$C$75:$BJ$75,($R$2-1)*12+11)</f>
        <v>-28472.2222222222</v>
      </c>
      <c r="S14" s="35" t="n">
        <f aca="false">INDEX(Monthly!$C$75:$BJ$75,($R$2-1)*12+12)</f>
        <v>-28472.2222222222</v>
      </c>
    </row>
    <row r="15" customFormat="false" ht="15" hidden="false" customHeight="false" outlineLevel="0" collapsed="false">
      <c r="A15" s="36" t="s">
        <v>79</v>
      </c>
      <c r="B15" s="37" t="n">
        <f aca="false">'P&amp;L'!B18</f>
        <v>-464945.873936961</v>
      </c>
      <c r="C15" s="37" t="n">
        <f aca="false">'P&amp;L'!C18</f>
        <v>83309.8222884995</v>
      </c>
      <c r="D15" s="37" t="n">
        <f aca="false">'P&amp;L'!D18</f>
        <v>333993.481988284</v>
      </c>
      <c r="E15" s="37" t="n">
        <f aca="false">'P&amp;L'!E18</f>
        <v>525891.611176884</v>
      </c>
      <c r="F15" s="37" t="n">
        <f aca="false">'P&amp;L'!F18</f>
        <v>682376.97856134</v>
      </c>
      <c r="H15" s="37" t="n">
        <f aca="false">INDEX(Monthly!$C$58:$BJ$58,($R$2-1)*12+1)</f>
        <v>-81187.4766347889</v>
      </c>
      <c r="I15" s="37" t="n">
        <f aca="false">INDEX(Monthly!$C$58:$BJ$58,($R$2-1)*12+2)</f>
        <v>-75641.4017929862</v>
      </c>
      <c r="J15" s="37" t="n">
        <f aca="false">INDEX(Monthly!$C$58:$BJ$58,($R$2-1)*12+3)</f>
        <v>-60362.3223463849</v>
      </c>
      <c r="K15" s="37" t="n">
        <f aca="false">INDEX(Monthly!$C$58:$BJ$58,($R$2-1)*12+4)</f>
        <v>-53368.686931674</v>
      </c>
      <c r="L15" s="37" t="n">
        <f aca="false">INDEX(Monthly!$C$58:$BJ$58,($R$2-1)*12+5)</f>
        <v>-46247.330929307</v>
      </c>
      <c r="M15" s="37" t="n">
        <f aca="false">INDEX(Monthly!$C$58:$BJ$58,($R$2-1)*12+6)</f>
        <v>-39003.3631627903</v>
      </c>
      <c r="N15" s="37" t="n">
        <f aca="false">INDEX(Monthly!$C$58:$BJ$58,($R$2-1)*12+7)</f>
        <v>-31641.6881026898</v>
      </c>
      <c r="O15" s="37" t="n">
        <f aca="false">INDEX(Monthly!$C$58:$BJ$58,($R$2-1)*12+8)</f>
        <v>-24167.0140407489</v>
      </c>
      <c r="P15" s="37" t="n">
        <f aca="false">INDEX(Monthly!$C$58:$BJ$58,($R$2-1)*12+9)</f>
        <v>-16583.8609370411</v>
      </c>
      <c r="Q15" s="37" t="n">
        <f aca="false">INDEX(Monthly!$C$58:$BJ$58,($R$2-1)*12+10)</f>
        <v>-8896.56795323726</v>
      </c>
      <c r="R15" s="37" t="n">
        <f aca="false">INDEX(Monthly!$C$58:$BJ$58,($R$2-1)*12+11)</f>
        <v>-6755.43526666334</v>
      </c>
      <c r="S15" s="37" t="n">
        <f aca="false">INDEX(Monthly!$C$58:$BJ$58,($R$2-1)*12+12)</f>
        <v>-21090.7258386496</v>
      </c>
    </row>
    <row r="16" customFormat="false" ht="15" hidden="false" customHeight="false" outlineLevel="0" collapsed="false">
      <c r="A16" s="51" t="s">
        <v>80</v>
      </c>
      <c r="B16" s="35" t="n">
        <f aca="false">'P&amp;L'!B19</f>
        <v>-244286.458333333</v>
      </c>
      <c r="C16" s="35" t="n">
        <f aca="false">'P&amp;L'!C19</f>
        <v>-218875</v>
      </c>
      <c r="D16" s="35" t="n">
        <f aca="false">'P&amp;L'!D19</f>
        <v>-193375</v>
      </c>
      <c r="E16" s="35" t="n">
        <f aca="false">'P&amp;L'!E19</f>
        <v>-167875</v>
      </c>
      <c r="F16" s="35" t="n">
        <f aca="false">'P&amp;L'!F19</f>
        <v>-142375</v>
      </c>
      <c r="H16" s="35" t="n">
        <f aca="false">INDEX(Monthly!$C$59:$BJ$59,($R$2-1)*12+1)</f>
        <v>-21250</v>
      </c>
      <c r="I16" s="35" t="n">
        <f aca="false">INDEX(Monthly!$C$59:$BJ$59,($R$2-1)*12+2)</f>
        <v>-21161.4583333333</v>
      </c>
      <c r="J16" s="35" t="n">
        <f aca="false">INDEX(Monthly!$C$59:$BJ$59,($R$2-1)*12+3)</f>
        <v>-20984.375</v>
      </c>
      <c r="K16" s="35" t="n">
        <f aca="false">INDEX(Monthly!$C$59:$BJ$59,($R$2-1)*12+4)</f>
        <v>-20807.2916666667</v>
      </c>
      <c r="L16" s="35" t="n">
        <f aca="false">INDEX(Monthly!$C$59:$BJ$59,($R$2-1)*12+5)</f>
        <v>-20630.2083333333</v>
      </c>
      <c r="M16" s="35" t="n">
        <f aca="false">INDEX(Monthly!$C$59:$BJ$59,($R$2-1)*12+6)</f>
        <v>-20453.125</v>
      </c>
      <c r="N16" s="35" t="n">
        <f aca="false">INDEX(Monthly!$C$59:$BJ$59,($R$2-1)*12+7)</f>
        <v>-20276.0416666667</v>
      </c>
      <c r="O16" s="35" t="n">
        <f aca="false">INDEX(Monthly!$C$59:$BJ$59,($R$2-1)*12+8)</f>
        <v>-20098.9583333333</v>
      </c>
      <c r="P16" s="35" t="n">
        <f aca="false">INDEX(Monthly!$C$59:$BJ$59,($R$2-1)*12+9)</f>
        <v>-19921.875</v>
      </c>
      <c r="Q16" s="35" t="n">
        <f aca="false">INDEX(Monthly!$C$59:$BJ$59,($R$2-1)*12+10)</f>
        <v>-19744.7916666667</v>
      </c>
      <c r="R16" s="35" t="n">
        <f aca="false">INDEX(Monthly!$C$59:$BJ$59,($R$2-1)*12+11)</f>
        <v>-19567.7083333333</v>
      </c>
      <c r="S16" s="35" t="n">
        <f aca="false">INDEX(Monthly!$C$59:$BJ$59,($R$2-1)*12+12)</f>
        <v>-19390.625</v>
      </c>
    </row>
    <row r="17" customFormat="false" ht="15" hidden="false" customHeight="false" outlineLevel="0" collapsed="false">
      <c r="A17" s="51" t="s">
        <v>81</v>
      </c>
      <c r="B17" s="35" t="n">
        <f aca="false">'P&amp;L'!B20</f>
        <v>-709232.332270295</v>
      </c>
      <c r="C17" s="35" t="n">
        <f aca="false">'P&amp;L'!C20</f>
        <v>-135565.177711501</v>
      </c>
      <c r="D17" s="35" t="n">
        <f aca="false">'P&amp;L'!D20</f>
        <v>140618.481988284</v>
      </c>
      <c r="E17" s="35" t="n">
        <f aca="false">'P&amp;L'!E20</f>
        <v>358016.611176884</v>
      </c>
      <c r="F17" s="35" t="n">
        <f aca="false">'P&amp;L'!F20</f>
        <v>540001.97856134</v>
      </c>
      <c r="H17" s="35" t="n">
        <f aca="false">INDEX(Monthly!$C$60:$BJ$60,($R$2-1)*12+1)</f>
        <v>-102437.476634789</v>
      </c>
      <c r="I17" s="35" t="n">
        <f aca="false">INDEX(Monthly!$C$60:$BJ$60,($R$2-1)*12+2)</f>
        <v>-96802.8601263196</v>
      </c>
      <c r="J17" s="35" t="n">
        <f aca="false">INDEX(Monthly!$C$60:$BJ$60,($R$2-1)*12+3)</f>
        <v>-81346.6973463849</v>
      </c>
      <c r="K17" s="35" t="n">
        <f aca="false">INDEX(Monthly!$C$60:$BJ$60,($R$2-1)*12+4)</f>
        <v>-74175.9785983407</v>
      </c>
      <c r="L17" s="35" t="n">
        <f aca="false">INDEX(Monthly!$C$60:$BJ$60,($R$2-1)*12+5)</f>
        <v>-66877.5392626404</v>
      </c>
      <c r="M17" s="35" t="n">
        <f aca="false">INDEX(Monthly!$C$60:$BJ$60,($R$2-1)*12+6)</f>
        <v>-59456.4881627903</v>
      </c>
      <c r="N17" s="35" t="n">
        <f aca="false">INDEX(Monthly!$C$60:$BJ$60,($R$2-1)*12+7)</f>
        <v>-51917.7297693565</v>
      </c>
      <c r="O17" s="35" t="n">
        <f aca="false">INDEX(Monthly!$C$60:$BJ$60,($R$2-1)*12+8)</f>
        <v>-44265.9723740822</v>
      </c>
      <c r="P17" s="35" t="n">
        <f aca="false">INDEX(Monthly!$C$60:$BJ$60,($R$2-1)*12+9)</f>
        <v>-36505.7359370411</v>
      </c>
      <c r="Q17" s="35" t="n">
        <f aca="false">INDEX(Monthly!$C$60:$BJ$60,($R$2-1)*12+10)</f>
        <v>-28641.3596199039</v>
      </c>
      <c r="R17" s="35" t="n">
        <f aca="false">INDEX(Monthly!$C$60:$BJ$60,($R$2-1)*12+11)</f>
        <v>-26323.1435999967</v>
      </c>
      <c r="S17" s="35" t="n">
        <f aca="false">INDEX(Monthly!$C$60:$BJ$60,($R$2-1)*12+12)</f>
        <v>-40481.3508386496</v>
      </c>
    </row>
    <row r="18" customFormat="false" ht="15" hidden="false" customHeight="false" outlineLevel="0" collapsed="false">
      <c r="A18" s="51" t="s">
        <v>82</v>
      </c>
      <c r="B18" s="35" t="n">
        <f aca="false">'P&amp;L'!B21</f>
        <v>0</v>
      </c>
      <c r="C18" s="35" t="n">
        <f aca="false">'P&amp;L'!C21</f>
        <v>0</v>
      </c>
      <c r="D18" s="35" t="n">
        <f aca="false">'P&amp;L'!D21</f>
        <v>0</v>
      </c>
      <c r="E18" s="35" t="n">
        <f aca="false">'P&amp;L'!E21</f>
        <v>0</v>
      </c>
      <c r="F18" s="35" t="n">
        <f aca="false">'P&amp;L'!F21</f>
        <v>-40706.3079663895</v>
      </c>
      <c r="H18" s="35" t="n">
        <f aca="false">INDEX(Monthly!$C$63:$BJ$63,($R$2-1)*12+1)</f>
        <v>-0</v>
      </c>
      <c r="I18" s="35" t="n">
        <f aca="false">INDEX(Monthly!$C$63:$BJ$63,($R$2-1)*12+2)</f>
        <v>-0</v>
      </c>
      <c r="J18" s="35" t="n">
        <f aca="false">INDEX(Monthly!$C$63:$BJ$63,($R$2-1)*12+3)</f>
        <v>-0</v>
      </c>
      <c r="K18" s="35" t="n">
        <f aca="false">INDEX(Monthly!$C$63:$BJ$63,($R$2-1)*12+4)</f>
        <v>-0</v>
      </c>
      <c r="L18" s="35" t="n">
        <f aca="false">INDEX(Monthly!$C$63:$BJ$63,($R$2-1)*12+5)</f>
        <v>-0</v>
      </c>
      <c r="M18" s="35" t="n">
        <f aca="false">INDEX(Monthly!$C$63:$BJ$63,($R$2-1)*12+6)</f>
        <v>-0</v>
      </c>
      <c r="N18" s="35" t="n">
        <f aca="false">INDEX(Monthly!$C$63:$BJ$63,($R$2-1)*12+7)</f>
        <v>-0</v>
      </c>
      <c r="O18" s="35" t="n">
        <f aca="false">INDEX(Monthly!$C$63:$BJ$63,($R$2-1)*12+8)</f>
        <v>-0</v>
      </c>
      <c r="P18" s="35" t="n">
        <f aca="false">INDEX(Monthly!$C$63:$BJ$63,($R$2-1)*12+9)</f>
        <v>-0</v>
      </c>
      <c r="Q18" s="35" t="n">
        <f aca="false">INDEX(Monthly!$C$63:$BJ$63,($R$2-1)*12+10)</f>
        <v>-0</v>
      </c>
      <c r="R18" s="35" t="n">
        <f aca="false">INDEX(Monthly!$C$63:$BJ$63,($R$2-1)*12+11)</f>
        <v>-0</v>
      </c>
      <c r="S18" s="35" t="n">
        <f aca="false">INDEX(Monthly!$C$63:$BJ$63,($R$2-1)*12+12)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'P&amp;L'!B22</f>
        <v>-709232.332270295</v>
      </c>
      <c r="C19" s="41" t="n">
        <f aca="false">'P&amp;L'!C22</f>
        <v>-135565.177711501</v>
      </c>
      <c r="D19" s="41" t="n">
        <f aca="false">'P&amp;L'!D22</f>
        <v>140618.481988284</v>
      </c>
      <c r="E19" s="41" t="n">
        <f aca="false">'P&amp;L'!E22</f>
        <v>358016.611176884</v>
      </c>
      <c r="F19" s="41" t="n">
        <f aca="false">'P&amp;L'!F22</f>
        <v>499295.67059495</v>
      </c>
      <c r="H19" s="41" t="n">
        <f aca="false">INDEX(Monthly!$C$64:$BJ$64,($R$2-1)*12+1)</f>
        <v>-102437.476634789</v>
      </c>
      <c r="I19" s="41" t="n">
        <f aca="false">INDEX(Monthly!$C$64:$BJ$64,($R$2-1)*12+2)</f>
        <v>-96802.8601263196</v>
      </c>
      <c r="J19" s="41" t="n">
        <f aca="false">INDEX(Monthly!$C$64:$BJ$64,($R$2-1)*12+3)</f>
        <v>-81346.6973463849</v>
      </c>
      <c r="K19" s="41" t="n">
        <f aca="false">INDEX(Monthly!$C$64:$BJ$64,($R$2-1)*12+4)</f>
        <v>-74175.9785983407</v>
      </c>
      <c r="L19" s="41" t="n">
        <f aca="false">INDEX(Monthly!$C$64:$BJ$64,($R$2-1)*12+5)</f>
        <v>-66877.5392626404</v>
      </c>
      <c r="M19" s="41" t="n">
        <f aca="false">INDEX(Monthly!$C$64:$BJ$64,($R$2-1)*12+6)</f>
        <v>-59456.4881627903</v>
      </c>
      <c r="N19" s="41" t="n">
        <f aca="false">INDEX(Monthly!$C$64:$BJ$64,($R$2-1)*12+7)</f>
        <v>-51917.7297693565</v>
      </c>
      <c r="O19" s="41" t="n">
        <f aca="false">INDEX(Monthly!$C$64:$BJ$64,($R$2-1)*12+8)</f>
        <v>-44265.9723740822</v>
      </c>
      <c r="P19" s="41" t="n">
        <f aca="false">INDEX(Monthly!$C$64:$BJ$64,($R$2-1)*12+9)</f>
        <v>-36505.7359370411</v>
      </c>
      <c r="Q19" s="41" t="n">
        <f aca="false">INDEX(Monthly!$C$64:$BJ$64,($R$2-1)*12+10)</f>
        <v>-28641.3596199039</v>
      </c>
      <c r="R19" s="41" t="n">
        <f aca="false">INDEX(Monthly!$C$64:$BJ$64,($R$2-1)*12+11)</f>
        <v>-26323.1435999967</v>
      </c>
      <c r="S19" s="41" t="n">
        <f aca="false">INDEX(Monthly!$C$64:$BJ$64,($R$2-1)*12+12)</f>
        <v>-40481.3508386496</v>
      </c>
    </row>
    <row r="20" customFormat="false" ht="15" hidden="false" customHeight="false" outlineLevel="0" collapsed="false">
      <c r="A20" s="38" t="s">
        <v>51</v>
      </c>
      <c r="B20" s="39" t="n">
        <f aca="false">'P&amp;L'!B23</f>
        <v>-0.600951460800047</v>
      </c>
      <c r="C20" s="39" t="n">
        <f aca="false">'P&amp;L'!C23</f>
        <v>-0.0734114476376625</v>
      </c>
      <c r="D20" s="39" t="n">
        <f aca="false">'P&amp;L'!D23</f>
        <v>0.0647924370457287</v>
      </c>
      <c r="E20" s="39" t="n">
        <f aca="false">'P&amp;L'!E23</f>
        <v>0.147415046137652</v>
      </c>
      <c r="F20" s="39" t="n">
        <f aca="false">'P&amp;L'!F23</f>
        <v>0.188461571537339</v>
      </c>
      <c r="H20" s="39" t="n">
        <f aca="false">IF(H7=0,0,H19/H7)</f>
        <v>-2.13663541537472</v>
      </c>
      <c r="I20" s="39" t="n">
        <f aca="false">IF(I7=0,0,I19/I7)</f>
        <v>-1.77786504956048</v>
      </c>
      <c r="J20" s="39" t="n">
        <f aca="false">IF(J7=0,0,J19/J7)</f>
        <v>-1.11780809107348</v>
      </c>
      <c r="K20" s="39" t="n">
        <f aca="false">IF(K7=0,0,K19/K7)</f>
        <v>-0.915166450894005</v>
      </c>
      <c r="L20" s="39" t="n">
        <f aca="false">IF(L7=0,0,L19/L7)</f>
        <v>-0.747316266332275</v>
      </c>
      <c r="M20" s="39" t="n">
        <f aca="false">IF(M7=0,0,M19/M7)</f>
        <v>-0.606190775780569</v>
      </c>
      <c r="N20" s="39" t="n">
        <f aca="false">IF(N7=0,0,N19/N7)</f>
        <v>-0.486023913935484</v>
      </c>
      <c r="O20" s="39" t="n">
        <f aca="false">IF(O7=0,0,O19/O7)</f>
        <v>-0.382586030060972</v>
      </c>
      <c r="P20" s="39" t="n">
        <f aca="false">IF(P7=0,0,P19/P7)</f>
        <v>-0.292705143366582</v>
      </c>
      <c r="Q20" s="39" t="n">
        <f aca="false">IF(Q7=0,0,Q19/Q7)</f>
        <v>-0.213956593698088</v>
      </c>
      <c r="R20" s="39" t="n">
        <f aca="false">IF(R7=0,0,R19/R7)</f>
        <v>-0.192779212319436</v>
      </c>
      <c r="S20" s="39" t="n">
        <f aca="false">IF(S7=0,0,S19/S7)</f>
        <v>-0.340925076026312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-367780.63594592</v>
      </c>
      <c r="C24" s="37" t="n">
        <f aca="false">'Cash Flow'!C10</f>
        <v>209654.47468913</v>
      </c>
      <c r="D24" s="37" t="n">
        <f aca="false">'Cash Flow'!D10</f>
        <v>489150.476090791</v>
      </c>
      <c r="E24" s="37" t="n">
        <f aca="false">'Cash Flow'!E10</f>
        <v>709872.13182272</v>
      </c>
      <c r="F24" s="37" t="n">
        <f aca="false">'Cash Flow'!F10</f>
        <v>854483.264190895</v>
      </c>
      <c r="H24" s="37" t="n">
        <f aca="false">INDEX(Monthly!$C$94:$BJ$94,($R$2-1)*12+1)</f>
        <v>-74096.96845601</v>
      </c>
      <c r="I24" s="37" t="n">
        <f aca="false">INDEX(Monthly!$C$94:$BJ$94,($R$2-1)*12+2)</f>
        <v>-68348.5584380637</v>
      </c>
      <c r="J24" s="37" t="n">
        <f aca="false">INDEX(Monthly!$C$94:$BJ$94,($R$2-1)*12+3)</f>
        <v>-52776.4387220337</v>
      </c>
      <c r="K24" s="37" t="n">
        <f aca="false">INDEX(Monthly!$C$94:$BJ$94,($R$2-1)*12+4)</f>
        <v>-45698.8828081446</v>
      </c>
      <c r="L24" s="37" t="n">
        <f aca="false">INDEX(Monthly!$C$94:$BJ$94,($R$2-1)*12+5)</f>
        <v>-38397.1661873729</v>
      </c>
      <c r="M24" s="37" t="n">
        <f aca="false">INDEX(Monthly!$C$94:$BJ$94,($R$2-1)*12+6)</f>
        <v>-30972.9688938543</v>
      </c>
      <c r="N24" s="37" t="n">
        <f aca="false">INDEX(Monthly!$C$94:$BJ$94,($R$2-1)*12+7)</f>
        <v>-23431.1901544986</v>
      </c>
      <c r="O24" s="37" t="n">
        <f aca="false">INDEX(Monthly!$C$94:$BJ$94,($R$2-1)*12+8)</f>
        <v>-15776.5332271394</v>
      </c>
      <c r="P24" s="37" t="n">
        <f aca="false">INDEX(Monthly!$C$94:$BJ$94,($R$2-1)*12+9)</f>
        <v>-8013.5132392968</v>
      </c>
      <c r="Q24" s="37" t="n">
        <f aca="false">INDEX(Monthly!$C$94:$BJ$94,($R$2-1)*12+10)</f>
        <v>-146.464713390115</v>
      </c>
      <c r="R24" s="37" t="n">
        <f aca="false">INDEX(Monthly!$C$94:$BJ$94,($R$2-1)*12+11)</f>
        <v>2204.019664374</v>
      </c>
      <c r="S24" s="37" t="n">
        <f aca="false">INDEX(Monthly!$C$94:$BJ$94,($R$2-1)*12+12)</f>
        <v>-12325.9707704894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-4100000</v>
      </c>
      <c r="C25" s="35" t="n">
        <f aca="false">'Cash Flow'!C11</f>
        <v>-40000</v>
      </c>
      <c r="D25" s="35" t="n">
        <f aca="false">'Cash Flow'!D11</f>
        <v>-40000</v>
      </c>
      <c r="E25" s="35" t="n">
        <f aca="false">'Cash Flow'!E11</f>
        <v>-40000</v>
      </c>
      <c r="F25" s="35" t="n">
        <f aca="false">'Cash Flow'!F11</f>
        <v>-40000</v>
      </c>
      <c r="H25" s="35" t="n">
        <f aca="false">INDEX(Monthly!$C$95:$BJ$95,($R$2-1)*12+1)</f>
        <v>-4100000</v>
      </c>
      <c r="I25" s="35" t="n">
        <f aca="false">INDEX(Monthly!$C$95:$BJ$95,($R$2-1)*12+2)</f>
        <v>-0</v>
      </c>
      <c r="J25" s="35" t="n">
        <f aca="false">INDEX(Monthly!$C$95:$BJ$95,($R$2-1)*12+3)</f>
        <v>-0</v>
      </c>
      <c r="K25" s="35" t="n">
        <f aca="false">INDEX(Monthly!$C$95:$BJ$95,($R$2-1)*12+4)</f>
        <v>-0</v>
      </c>
      <c r="L25" s="35" t="n">
        <f aca="false">INDEX(Monthly!$C$95:$BJ$95,($R$2-1)*12+5)</f>
        <v>-0</v>
      </c>
      <c r="M25" s="35" t="n">
        <f aca="false">INDEX(Monthly!$C$95:$BJ$95,($R$2-1)*12+6)</f>
        <v>-0</v>
      </c>
      <c r="N25" s="35" t="n">
        <f aca="false">INDEX(Monthly!$C$95:$BJ$95,($R$2-1)*12+7)</f>
        <v>-0</v>
      </c>
      <c r="O25" s="35" t="n">
        <f aca="false">INDEX(Monthly!$C$95:$BJ$95,($R$2-1)*12+8)</f>
        <v>-0</v>
      </c>
      <c r="P25" s="35" t="n">
        <f aca="false">INDEX(Monthly!$C$95:$BJ$95,($R$2-1)*12+9)</f>
        <v>-0</v>
      </c>
      <c r="Q25" s="35" t="n">
        <f aca="false">INDEX(Monthly!$C$95:$BJ$95,($R$2-1)*12+10)</f>
        <v>-0</v>
      </c>
      <c r="R25" s="35" t="n">
        <f aca="false">INDEX(Monthly!$C$95:$BJ$95,($R$2-1)*12+11)</f>
        <v>-0</v>
      </c>
      <c r="S25" s="35" t="n">
        <f aca="false">INDEX(Monthly!$C$95:$BJ$95,($R$2-1)*12+12)</f>
        <v>-0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2100000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INDEX(Monthly!$C$96:$BJ$96,($R$2-1)*12+1)</f>
        <v>2100000</v>
      </c>
      <c r="I26" s="35" t="n">
        <f aca="false">INDEX(Monthly!$C$96:$BJ$96,($R$2-1)*12+2)</f>
        <v>0</v>
      </c>
      <c r="J26" s="35" t="n">
        <f aca="false">INDEX(Monthly!$C$96:$BJ$96,($R$2-1)*12+3)</f>
        <v>0</v>
      </c>
      <c r="K26" s="35" t="n">
        <f aca="false">INDEX(Monthly!$C$96:$BJ$96,($R$2-1)*12+4)</f>
        <v>0</v>
      </c>
      <c r="L26" s="35" t="n">
        <f aca="false">INDEX(Monthly!$C$96:$BJ$96,($R$2-1)*12+5)</f>
        <v>0</v>
      </c>
      <c r="M26" s="35" t="n">
        <f aca="false">INDEX(Monthly!$C$96:$BJ$96,($R$2-1)*12+6)</f>
        <v>0</v>
      </c>
      <c r="N26" s="35" t="n">
        <f aca="false">INDEX(Monthly!$C$96:$BJ$96,($R$2-1)*12+7)</f>
        <v>0</v>
      </c>
      <c r="O26" s="35" t="n">
        <f aca="false">INDEX(Monthly!$C$96:$BJ$96,($R$2-1)*12+8)</f>
        <v>0</v>
      </c>
      <c r="P26" s="35" t="n">
        <f aca="false">INDEX(Monthly!$C$96:$BJ$96,($R$2-1)*12+9)</f>
        <v>0</v>
      </c>
      <c r="Q26" s="35" t="n">
        <f aca="false">INDEX(Monthly!$C$96:$BJ$96,($R$2-1)*12+10)</f>
        <v>0</v>
      </c>
      <c r="R26" s="35" t="n">
        <f aca="false">INDEX(Monthly!$C$96:$BJ$96,($R$2-1)*12+11)</f>
        <v>0</v>
      </c>
      <c r="S26" s="35" t="n">
        <f aca="false">INDEX(Monthly!$C$96:$BJ$96,($R$2-1)*12+12)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3000000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INDEX(Monthly!$C$81:$BJ$81,($R$2-1)*12+1)</f>
        <v>3000000</v>
      </c>
      <c r="I27" s="35" t="n">
        <f aca="false">INDEX(Monthly!$C$81:$BJ$81,($R$2-1)*12+2)</f>
        <v>0</v>
      </c>
      <c r="J27" s="35" t="n">
        <f aca="false">INDEX(Monthly!$C$81:$BJ$81,($R$2-1)*12+3)</f>
        <v>0</v>
      </c>
      <c r="K27" s="35" t="n">
        <f aca="false">INDEX(Monthly!$C$81:$BJ$81,($R$2-1)*12+4)</f>
        <v>0</v>
      </c>
      <c r="L27" s="35" t="n">
        <f aca="false">INDEX(Monthly!$C$81:$BJ$81,($R$2-1)*12+5)</f>
        <v>0</v>
      </c>
      <c r="M27" s="35" t="n">
        <f aca="false">INDEX(Monthly!$C$81:$BJ$81,($R$2-1)*12+6)</f>
        <v>0</v>
      </c>
      <c r="N27" s="35" t="n">
        <f aca="false">INDEX(Monthly!$C$81:$BJ$81,($R$2-1)*12+7)</f>
        <v>0</v>
      </c>
      <c r="O27" s="35" t="n">
        <f aca="false">INDEX(Monthly!$C$81:$BJ$81,($R$2-1)*12+8)</f>
        <v>0</v>
      </c>
      <c r="P27" s="35" t="n">
        <f aca="false">INDEX(Monthly!$C$81:$BJ$81,($R$2-1)*12+9)</f>
        <v>0</v>
      </c>
      <c r="Q27" s="35" t="n">
        <f aca="false">INDEX(Monthly!$C$81:$BJ$81,($R$2-1)*12+10)</f>
        <v>0</v>
      </c>
      <c r="R27" s="35" t="n">
        <f aca="false">INDEX(Monthly!$C$81:$BJ$81,($R$2-1)*12+11)</f>
        <v>0</v>
      </c>
      <c r="S27" s="35" t="n">
        <f aca="false">INDEX(Monthly!$C$81:$BJ$81,($R$2-1)*12+12)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-275000</v>
      </c>
      <c r="C28" s="35" t="n">
        <f aca="false">'Cash Flow'!C14</f>
        <v>-300000</v>
      </c>
      <c r="D28" s="35" t="n">
        <f aca="false">'Cash Flow'!D14</f>
        <v>-300000</v>
      </c>
      <c r="E28" s="35" t="n">
        <f aca="false">'Cash Flow'!E14</f>
        <v>-300000</v>
      </c>
      <c r="F28" s="35" t="n">
        <f aca="false">'Cash Flow'!F14</f>
        <v>-300000</v>
      </c>
      <c r="H28" s="35" t="n">
        <f aca="false">INDEX(Monthly!$C$82:$BJ$82,($R$2-1)*12+1)</f>
        <v>-0</v>
      </c>
      <c r="I28" s="35" t="n">
        <f aca="false">INDEX(Monthly!$C$82:$BJ$82,($R$2-1)*12+2)</f>
        <v>-25000</v>
      </c>
      <c r="J28" s="35" t="n">
        <f aca="false">INDEX(Monthly!$C$82:$BJ$82,($R$2-1)*12+3)</f>
        <v>-25000</v>
      </c>
      <c r="K28" s="35" t="n">
        <f aca="false">INDEX(Monthly!$C$82:$BJ$82,($R$2-1)*12+4)</f>
        <v>-25000</v>
      </c>
      <c r="L28" s="35" t="n">
        <f aca="false">INDEX(Monthly!$C$82:$BJ$82,($R$2-1)*12+5)</f>
        <v>-25000</v>
      </c>
      <c r="M28" s="35" t="n">
        <f aca="false">INDEX(Monthly!$C$82:$BJ$82,($R$2-1)*12+6)</f>
        <v>-25000</v>
      </c>
      <c r="N28" s="35" t="n">
        <f aca="false">INDEX(Monthly!$C$82:$BJ$82,($R$2-1)*12+7)</f>
        <v>-25000</v>
      </c>
      <c r="O28" s="35" t="n">
        <f aca="false">INDEX(Monthly!$C$82:$BJ$82,($R$2-1)*12+8)</f>
        <v>-25000</v>
      </c>
      <c r="P28" s="35" t="n">
        <f aca="false">INDEX(Monthly!$C$82:$BJ$82,($R$2-1)*12+9)</f>
        <v>-25000</v>
      </c>
      <c r="Q28" s="35" t="n">
        <f aca="false">INDEX(Monthly!$C$82:$BJ$82,($R$2-1)*12+10)</f>
        <v>-25000</v>
      </c>
      <c r="R28" s="35" t="n">
        <f aca="false">INDEX(Monthly!$C$82:$BJ$82,($R$2-1)*12+11)</f>
        <v>-25000</v>
      </c>
      <c r="S28" s="35" t="n">
        <f aca="false">INDEX(Monthly!$C$82:$BJ$82,($R$2-1)*12+12)</f>
        <v>-25000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4825000</v>
      </c>
      <c r="C29" s="37" t="n">
        <f aca="false">'Cash Flow'!C15</f>
        <v>-300000</v>
      </c>
      <c r="D29" s="37" t="n">
        <f aca="false">'Cash Flow'!D15</f>
        <v>-300000</v>
      </c>
      <c r="E29" s="37" t="n">
        <f aca="false">'Cash Flow'!E15</f>
        <v>-300000</v>
      </c>
      <c r="F29" s="37" t="n">
        <f aca="false">'Cash Flow'!F15</f>
        <v>-300000</v>
      </c>
      <c r="H29" s="37" t="n">
        <f aca="false">INDEX(Monthly!$C$97:$BJ$97,($R$2-1)*12+1)</f>
        <v>5100000</v>
      </c>
      <c r="I29" s="37" t="n">
        <f aca="false">INDEX(Monthly!$C$97:$BJ$97,($R$2-1)*12+2)</f>
        <v>-25000</v>
      </c>
      <c r="J29" s="37" t="n">
        <f aca="false">INDEX(Monthly!$C$97:$BJ$97,($R$2-1)*12+3)</f>
        <v>-25000</v>
      </c>
      <c r="K29" s="37" t="n">
        <f aca="false">INDEX(Monthly!$C$97:$BJ$97,($R$2-1)*12+4)</f>
        <v>-25000</v>
      </c>
      <c r="L29" s="37" t="n">
        <f aca="false">INDEX(Monthly!$C$97:$BJ$97,($R$2-1)*12+5)</f>
        <v>-25000</v>
      </c>
      <c r="M29" s="37" t="n">
        <f aca="false">INDEX(Monthly!$C$97:$BJ$97,($R$2-1)*12+6)</f>
        <v>-25000</v>
      </c>
      <c r="N29" s="37" t="n">
        <f aca="false">INDEX(Monthly!$C$97:$BJ$97,($R$2-1)*12+7)</f>
        <v>-25000</v>
      </c>
      <c r="O29" s="37" t="n">
        <f aca="false">INDEX(Monthly!$C$97:$BJ$97,($R$2-1)*12+8)</f>
        <v>-25000</v>
      </c>
      <c r="P29" s="37" t="n">
        <f aca="false">INDEX(Monthly!$C$97:$BJ$97,($R$2-1)*12+9)</f>
        <v>-25000</v>
      </c>
      <c r="Q29" s="37" t="n">
        <f aca="false">INDEX(Monthly!$C$97:$BJ$97,($R$2-1)*12+10)</f>
        <v>-25000</v>
      </c>
      <c r="R29" s="37" t="n">
        <f aca="false">INDEX(Monthly!$C$97:$BJ$97,($R$2-1)*12+11)</f>
        <v>-25000</v>
      </c>
      <c r="S29" s="37" t="n">
        <f aca="false">INDEX(Monthly!$C$97:$BJ$97,($R$2-1)*12+12)</f>
        <v>-25000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357219.364054081</v>
      </c>
      <c r="C30" s="37" t="n">
        <f aca="false">'Cash Flow'!C16</f>
        <v>-130345.52531087</v>
      </c>
      <c r="D30" s="37" t="n">
        <f aca="false">'Cash Flow'!D16</f>
        <v>149150.476090791</v>
      </c>
      <c r="E30" s="37" t="n">
        <f aca="false">'Cash Flow'!E16</f>
        <v>369872.13182272</v>
      </c>
      <c r="F30" s="37" t="n">
        <f aca="false">'Cash Flow'!F16</f>
        <v>514483.264190895</v>
      </c>
      <c r="H30" s="37" t="n">
        <f aca="false">INDEX(Monthly!$C$98:$BJ$98,($R$2-1)*12+1)</f>
        <v>925903.03154399</v>
      </c>
      <c r="I30" s="37" t="n">
        <f aca="false">INDEX(Monthly!$C$98:$BJ$98,($R$2-1)*12+2)</f>
        <v>-93348.5584380637</v>
      </c>
      <c r="J30" s="37" t="n">
        <f aca="false">INDEX(Monthly!$C$98:$BJ$98,($R$2-1)*12+3)</f>
        <v>-77776.4387220337</v>
      </c>
      <c r="K30" s="37" t="n">
        <f aca="false">INDEX(Monthly!$C$98:$BJ$98,($R$2-1)*12+4)</f>
        <v>-70698.8828081446</v>
      </c>
      <c r="L30" s="37" t="n">
        <f aca="false">INDEX(Monthly!$C$98:$BJ$98,($R$2-1)*12+5)</f>
        <v>-63397.1661873729</v>
      </c>
      <c r="M30" s="37" t="n">
        <f aca="false">INDEX(Monthly!$C$98:$BJ$98,($R$2-1)*12+6)</f>
        <v>-55972.9688938543</v>
      </c>
      <c r="N30" s="37" t="n">
        <f aca="false">INDEX(Monthly!$C$98:$BJ$98,($R$2-1)*12+7)</f>
        <v>-48431.1901544986</v>
      </c>
      <c r="O30" s="37" t="n">
        <f aca="false">INDEX(Monthly!$C$98:$BJ$98,($R$2-1)*12+8)</f>
        <v>-40776.5332271394</v>
      </c>
      <c r="P30" s="37" t="n">
        <f aca="false">INDEX(Monthly!$C$98:$BJ$98,($R$2-1)*12+9)</f>
        <v>-33013.5132392968</v>
      </c>
      <c r="Q30" s="37" t="n">
        <f aca="false">INDEX(Monthly!$C$98:$BJ$98,($R$2-1)*12+10)</f>
        <v>-25146.4647133901</v>
      </c>
      <c r="R30" s="37" t="n">
        <f aca="false">INDEX(Monthly!$C$98:$BJ$98,($R$2-1)*12+11)</f>
        <v>-22795.980335626</v>
      </c>
      <c r="S30" s="37" t="n">
        <f aca="false">INDEX(Monthly!$C$98:$BJ$98,($R$2-1)*12+12)</f>
        <v>-37325.9707704894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357219.364054081</v>
      </c>
      <c r="C31" s="41" t="n">
        <f aca="false">'Cash Flow'!C18</f>
        <v>226873.838743211</v>
      </c>
      <c r="D31" s="41" t="n">
        <f aca="false">'Cash Flow'!D18</f>
        <v>376024.314834002</v>
      </c>
      <c r="E31" s="41" t="n">
        <f aca="false">'Cash Flow'!E18</f>
        <v>745896.446656723</v>
      </c>
      <c r="F31" s="41" t="n">
        <f aca="false">'Cash Flow'!F18</f>
        <v>1260379.71084762</v>
      </c>
      <c r="H31" s="41" t="n">
        <f aca="false">INDEX(Monthly!$C$100:$BJ$100,($R$2-1)*12+1)</f>
        <v>925903.03154399</v>
      </c>
      <c r="I31" s="41" t="n">
        <f aca="false">INDEX(Monthly!$C$100:$BJ$100,($R$2-1)*12+2)</f>
        <v>832554.473105926</v>
      </c>
      <c r="J31" s="41" t="n">
        <f aca="false">INDEX(Monthly!$C$100:$BJ$100,($R$2-1)*12+3)</f>
        <v>754778.034383893</v>
      </c>
      <c r="K31" s="41" t="n">
        <f aca="false">INDEX(Monthly!$C$100:$BJ$100,($R$2-1)*12+4)</f>
        <v>684079.151575748</v>
      </c>
      <c r="L31" s="41" t="n">
        <f aca="false">INDEX(Monthly!$C$100:$BJ$100,($R$2-1)*12+5)</f>
        <v>620681.985388375</v>
      </c>
      <c r="M31" s="41" t="n">
        <f aca="false">INDEX(Monthly!$C$100:$BJ$100,($R$2-1)*12+6)</f>
        <v>564709.016494521</v>
      </c>
      <c r="N31" s="41" t="n">
        <f aca="false">INDEX(Monthly!$C$100:$BJ$100,($R$2-1)*12+7)</f>
        <v>516277.826340022</v>
      </c>
      <c r="O31" s="41" t="n">
        <f aca="false">INDEX(Monthly!$C$100:$BJ$100,($R$2-1)*12+8)</f>
        <v>475501.293112883</v>
      </c>
      <c r="P31" s="41" t="n">
        <f aca="false">INDEX(Monthly!$C$100:$BJ$100,($R$2-1)*12+9)</f>
        <v>442487.779873586</v>
      </c>
      <c r="Q31" s="41" t="n">
        <f aca="false">INDEX(Monthly!$C$100:$BJ$100,($R$2-1)*12+10)</f>
        <v>417341.315160196</v>
      </c>
      <c r="R31" s="41" t="n">
        <f aca="false">INDEX(Monthly!$C$100:$BJ$100,($R$2-1)*12+11)</f>
        <v>394545.33482457</v>
      </c>
      <c r="S31" s="41" t="n">
        <f aca="false">INDEX(Monthly!$C$100:$BJ$100,($R$2-1)*12+12)</f>
        <v>357219.364054081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357219.364054081</v>
      </c>
      <c r="C41" s="35" t="n">
        <f aca="false">'Balance Sheet'!C5</f>
        <v>226873.838743211</v>
      </c>
      <c r="D41" s="35" t="n">
        <f aca="false">'Balance Sheet'!D5</f>
        <v>376024.314834002</v>
      </c>
      <c r="E41" s="35" t="n">
        <f aca="false">'Balance Sheet'!E5</f>
        <v>745896.446656723</v>
      </c>
      <c r="F41" s="35" t="n">
        <f aca="false">'Balance Sheet'!F5</f>
        <v>1260379.71084762</v>
      </c>
      <c r="H41" s="35" t="n">
        <f aca="false">INDEX(Monthly!$C$100:$BJ$100,($R$2-1)*12+1)</f>
        <v>925903.03154399</v>
      </c>
      <c r="I41" s="35" t="n">
        <f aca="false">INDEX(Monthly!$C$100:$BJ$100,($R$2-1)*12+2)</f>
        <v>832554.473105926</v>
      </c>
      <c r="J41" s="35" t="n">
        <f aca="false">INDEX(Monthly!$C$100:$BJ$100,($R$2-1)*12+3)</f>
        <v>754778.034383893</v>
      </c>
      <c r="K41" s="35" t="n">
        <f aca="false">INDEX(Monthly!$C$100:$BJ$100,($R$2-1)*12+4)</f>
        <v>684079.151575748</v>
      </c>
      <c r="L41" s="35" t="n">
        <f aca="false">INDEX(Monthly!$C$100:$BJ$100,($R$2-1)*12+5)</f>
        <v>620681.985388375</v>
      </c>
      <c r="M41" s="35" t="n">
        <f aca="false">INDEX(Monthly!$C$100:$BJ$100,($R$2-1)*12+6)</f>
        <v>564709.016494521</v>
      </c>
      <c r="N41" s="35" t="n">
        <f aca="false">INDEX(Monthly!$C$100:$BJ$100,($R$2-1)*12+7)</f>
        <v>516277.826340022</v>
      </c>
      <c r="O41" s="35" t="n">
        <f aca="false">INDEX(Monthly!$C$100:$BJ$100,($R$2-1)*12+8)</f>
        <v>475501.293112883</v>
      </c>
      <c r="P41" s="35" t="n">
        <f aca="false">INDEX(Monthly!$C$100:$BJ$100,($R$2-1)*12+9)</f>
        <v>442487.779873586</v>
      </c>
      <c r="Q41" s="35" t="n">
        <f aca="false">INDEX(Monthly!$C$100:$BJ$100,($R$2-1)*12+10)</f>
        <v>417341.315160196</v>
      </c>
      <c r="R41" s="35" t="n">
        <f aca="false">INDEX(Monthly!$C$100:$BJ$100,($R$2-1)*12+11)</f>
        <v>394545.33482457</v>
      </c>
      <c r="S41" s="35" t="n">
        <f aca="false">INDEX(Monthly!$C$100:$BJ$100,($R$2-1)*12+12)</f>
        <v>357219.364054081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7915.98187505677</v>
      </c>
      <c r="C42" s="35" t="n">
        <f aca="false">'Balance Sheet'!C6</f>
        <v>9917.12501785728</v>
      </c>
      <c r="D42" s="35" t="n">
        <f aca="false">'Balance Sheet'!D6</f>
        <v>11443.8865260699</v>
      </c>
      <c r="E42" s="35" t="n">
        <f aca="false">'Balance Sheet'!E6</f>
        <v>12689.8977645724</v>
      </c>
      <c r="F42" s="35" t="n">
        <f aca="false">'Balance Sheet'!F6</f>
        <v>13777.0910627525</v>
      </c>
      <c r="H42" s="35" t="n">
        <f aca="false">INDEX(Monthly!$C$86:$BJ$86,($R$2-1)*12+1)</f>
        <v>3196.22386666667</v>
      </c>
      <c r="I42" s="35" t="n">
        <f aca="false">INDEX(Monthly!$C$86:$BJ$86,($R$2-1)*12+2)</f>
        <v>3629.92906014815</v>
      </c>
      <c r="J42" s="35" t="n">
        <f aca="false">INDEX(Monthly!$C$86:$BJ$86,($R$2-1)*12+3)</f>
        <v>4851.56011996444</v>
      </c>
      <c r="K42" s="35" t="n">
        <f aca="false">INDEX(Monthly!$C$86:$BJ$86,($R$2-1)*12+4)</f>
        <v>5403.45992257327</v>
      </c>
      <c r="L42" s="35" t="n">
        <f aca="false">INDEX(Monthly!$C$86:$BJ$86,($R$2-1)*12+5)</f>
        <v>5966.01842937405</v>
      </c>
      <c r="M42" s="35" t="n">
        <f aca="false">INDEX(Monthly!$C$86:$BJ$86,($R$2-1)*12+6)</f>
        <v>6538.80929219909</v>
      </c>
      <c r="N42" s="35" t="n">
        <f aca="false">INDEX(Monthly!$C$86:$BJ$86,($R$2-1)*12+7)</f>
        <v>7121.42321680742</v>
      </c>
      <c r="O42" s="35" t="n">
        <f aca="false">INDEX(Monthly!$C$86:$BJ$86,($R$2-1)*12+8)</f>
        <v>7713.46728072771</v>
      </c>
      <c r="P42" s="35" t="n">
        <f aca="false">INDEX(Monthly!$C$86:$BJ$86,($R$2-1)*12+9)</f>
        <v>8314.5642783875</v>
      </c>
      <c r="Q42" s="35" t="n">
        <f aca="false">INDEX(Monthly!$C$86:$BJ$86,($R$2-1)*12+10)</f>
        <v>8924.35209243718</v>
      </c>
      <c r="R42" s="35" t="n">
        <f aca="false">INDEX(Monthly!$C$86:$BJ$86,($R$2-1)*12+11)</f>
        <v>9103.03667540636</v>
      </c>
      <c r="S42" s="35" t="n">
        <f aca="false">INDEX(Monthly!$C$86:$BJ$86,($R$2-1)*12+12)</f>
        <v>7915.98187505677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4146.69851764287</v>
      </c>
      <c r="C43" s="35" t="n">
        <f aca="false">'Balance Sheet'!C7</f>
        <v>5342.51150256752</v>
      </c>
      <c r="D43" s="35" t="n">
        <f aca="false">'Balance Sheet'!D7</f>
        <v>6271.58503654501</v>
      </c>
      <c r="E43" s="35" t="n">
        <f aca="false">'Balance Sheet'!E7</f>
        <v>7044.20476913786</v>
      </c>
      <c r="F43" s="35" t="n">
        <f aca="false">'Balance Sheet'!F7</f>
        <v>7730.62848135879</v>
      </c>
      <c r="H43" s="35" t="n">
        <f aca="false">INDEX(Monthly!$C$87:$BJ$87,($R$2-1)*12+1)</f>
        <v>1650.12067404333</v>
      </c>
      <c r="I43" s="35" t="n">
        <f aca="false">INDEX(Monthly!$C$87:$BJ$87,($R$2-1)*12+2)</f>
        <v>1874.00472147456</v>
      </c>
      <c r="J43" s="35" t="n">
        <f aca="false">INDEX(Monthly!$C$87:$BJ$87,($R$2-1)*12+3)</f>
        <v>2584.5948932913</v>
      </c>
      <c r="K43" s="35" t="n">
        <f aca="false">INDEX(Monthly!$C$87:$BJ$87,($R$2-1)*12+4)</f>
        <v>2884.39593898965</v>
      </c>
      <c r="L43" s="35" t="n">
        <f aca="false">INDEX(Monthly!$C$87:$BJ$87,($R$2-1)*12+5)</f>
        <v>3191.70097890673</v>
      </c>
      <c r="M43" s="35" t="n">
        <f aca="false">INDEX(Monthly!$C$87:$BJ$87,($R$2-1)*12+6)</f>
        <v>3506.20985327379</v>
      </c>
      <c r="N43" s="35" t="n">
        <f aca="false">INDEX(Monthly!$C$87:$BJ$87,($R$2-1)*12+7)</f>
        <v>3827.63440871284</v>
      </c>
      <c r="O43" s="35" t="n">
        <f aca="false">INDEX(Monthly!$C$87:$BJ$87,($R$2-1)*12+8)</f>
        <v>4155.698017981</v>
      </c>
      <c r="P43" s="35" t="n">
        <f aca="false">INDEX(Monthly!$C$87:$BJ$87,($R$2-1)*12+9)</f>
        <v>4490.13511892509</v>
      </c>
      <c r="Q43" s="35" t="n">
        <f aca="false">INDEX(Monthly!$C$87:$BJ$87,($R$2-1)*12+10)</f>
        <v>4830.69077187809</v>
      </c>
      <c r="R43" s="35" t="n">
        <f aca="false">INDEX(Monthly!$C$87:$BJ$87,($R$2-1)*12+11)</f>
        <v>4956.48918540296</v>
      </c>
      <c r="S43" s="35" t="n">
        <f aca="false">INDEX(Monthly!$C$87:$BJ$87,($R$2-1)*12+12)</f>
        <v>4146.69851764287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3758333.33333333</v>
      </c>
      <c r="C44" s="35" t="n">
        <f aca="false">'Balance Sheet'!C8</f>
        <v>3453333.33333333</v>
      </c>
      <c r="D44" s="35" t="n">
        <f aca="false">'Balance Sheet'!D8</f>
        <v>3145000</v>
      </c>
      <c r="E44" s="35" t="n">
        <f aca="false">'Balance Sheet'!E8</f>
        <v>2833333.33333333</v>
      </c>
      <c r="F44" s="35" t="n">
        <f aca="false">'Balance Sheet'!F8</f>
        <v>2518333.33333334</v>
      </c>
      <c r="H44" s="35" t="n">
        <f aca="false">INDEX(Monthly!$C$77:$BJ$77,($R$2-1)*12+1)</f>
        <v>4071527.77777778</v>
      </c>
      <c r="I44" s="35" t="n">
        <f aca="false">INDEX(Monthly!$C$77:$BJ$77,($R$2-1)*12+2)</f>
        <v>4043055.55555556</v>
      </c>
      <c r="J44" s="35" t="n">
        <f aca="false">INDEX(Monthly!$C$77:$BJ$77,($R$2-1)*12+3)</f>
        <v>4014583.33333333</v>
      </c>
      <c r="K44" s="35" t="n">
        <f aca="false">INDEX(Monthly!$C$77:$BJ$77,($R$2-1)*12+4)</f>
        <v>3986111.11111111</v>
      </c>
      <c r="L44" s="35" t="n">
        <f aca="false">INDEX(Monthly!$C$77:$BJ$77,($R$2-1)*12+5)</f>
        <v>3957638.88888889</v>
      </c>
      <c r="M44" s="35" t="n">
        <f aca="false">INDEX(Monthly!$C$77:$BJ$77,($R$2-1)*12+6)</f>
        <v>3929166.66666667</v>
      </c>
      <c r="N44" s="35" t="n">
        <f aca="false">INDEX(Monthly!$C$77:$BJ$77,($R$2-1)*12+7)</f>
        <v>3900694.44444444</v>
      </c>
      <c r="O44" s="35" t="n">
        <f aca="false">INDEX(Monthly!$C$77:$BJ$77,($R$2-1)*12+8)</f>
        <v>3872222.22222222</v>
      </c>
      <c r="P44" s="35" t="n">
        <f aca="false">INDEX(Monthly!$C$77:$BJ$77,($R$2-1)*12+9)</f>
        <v>3843750</v>
      </c>
      <c r="Q44" s="35" t="n">
        <f aca="false">INDEX(Monthly!$C$77:$BJ$77,($R$2-1)*12+10)</f>
        <v>3815277.77777778</v>
      </c>
      <c r="R44" s="35" t="n">
        <f aca="false">INDEX(Monthly!$C$77:$BJ$77,($R$2-1)*12+11)</f>
        <v>3786805.55555556</v>
      </c>
      <c r="S44" s="35" t="n">
        <f aca="false">INDEX(Monthly!$C$77:$BJ$77,($R$2-1)*12+12)</f>
        <v>3758333.33333333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4127615.37778011</v>
      </c>
      <c r="C45" s="37" t="n">
        <f aca="false">'Balance Sheet'!C9</f>
        <v>3695466.80859697</v>
      </c>
      <c r="D45" s="37" t="n">
        <f aca="false">'Balance Sheet'!D9</f>
        <v>3538739.78639662</v>
      </c>
      <c r="E45" s="37" t="n">
        <f aca="false">'Balance Sheet'!E9</f>
        <v>3598963.88252377</v>
      </c>
      <c r="F45" s="37" t="n">
        <f aca="false">'Balance Sheet'!F9</f>
        <v>3800220.76372506</v>
      </c>
      <c r="H45" s="37" t="n">
        <f aca="false">INDEX(Monthly!$C$114:$BJ$114,($R$2-1)*12+1)</f>
        <v>5002277.15386248</v>
      </c>
      <c r="I45" s="37" t="n">
        <f aca="false">INDEX(Monthly!$C$114:$BJ$114,($R$2-1)*12+2)</f>
        <v>4881113.96244311</v>
      </c>
      <c r="J45" s="37" t="n">
        <f aca="false">INDEX(Monthly!$C$114:$BJ$114,($R$2-1)*12+3)</f>
        <v>4776797.52273048</v>
      </c>
      <c r="K45" s="37" t="n">
        <f aca="false">INDEX(Monthly!$C$114:$BJ$114,($R$2-1)*12+4)</f>
        <v>4678478.11854842</v>
      </c>
      <c r="L45" s="37" t="n">
        <f aca="false">INDEX(Monthly!$C$114:$BJ$114,($R$2-1)*12+5)</f>
        <v>4587478.59368555</v>
      </c>
      <c r="M45" s="37" t="n">
        <f aca="false">INDEX(Monthly!$C$114:$BJ$114,($R$2-1)*12+6)</f>
        <v>4503920.70230666</v>
      </c>
      <c r="N45" s="37" t="n">
        <f aca="false">INDEX(Monthly!$C$114:$BJ$114,($R$2-1)*12+7)</f>
        <v>4427921.32840999</v>
      </c>
      <c r="O45" s="37" t="n">
        <f aca="false">INDEX(Monthly!$C$114:$BJ$114,($R$2-1)*12+8)</f>
        <v>4359592.68063381</v>
      </c>
      <c r="P45" s="37" t="n">
        <f aca="false">INDEX(Monthly!$C$114:$BJ$114,($R$2-1)*12+9)</f>
        <v>4299042.4792709</v>
      </c>
      <c r="Q45" s="37" t="n">
        <f aca="false">INDEX(Monthly!$C$114:$BJ$114,($R$2-1)*12+10)</f>
        <v>4246374.13580229</v>
      </c>
      <c r="R45" s="37" t="n">
        <f aca="false">INDEX(Monthly!$C$114:$BJ$114,($R$2-1)*12+11)</f>
        <v>4195410.41624094</v>
      </c>
      <c r="S45" s="37" t="n">
        <f aca="false">INDEX(Monthly!$C$114:$BJ$114,($R$2-1)*12+12)</f>
        <v>4127615.37778011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11847.7100504082</v>
      </c>
      <c r="C46" s="35" t="n">
        <f aca="false">'Balance Sheet'!C10</f>
        <v>15264.3185787643</v>
      </c>
      <c r="D46" s="35" t="n">
        <f aca="false">'Balance Sheet'!D10</f>
        <v>17918.8143901286</v>
      </c>
      <c r="E46" s="35" t="n">
        <f aca="false">'Balance Sheet'!E10</f>
        <v>20126.2993403939</v>
      </c>
      <c r="F46" s="35" t="n">
        <f aca="false">'Balance Sheet'!F10</f>
        <v>22087.5099467394</v>
      </c>
      <c r="H46" s="35" t="n">
        <f aca="false">INDEX(Monthly!$C$88:$BJ$88,($R$2-1)*12+1)</f>
        <v>4714.63049726667</v>
      </c>
      <c r="I46" s="35" t="n">
        <f aca="false">INDEX(Monthly!$C$88:$BJ$88,($R$2-1)*12+2)</f>
        <v>5354.29920421304</v>
      </c>
      <c r="J46" s="35" t="n">
        <f aca="false">INDEX(Monthly!$C$88:$BJ$88,($R$2-1)*12+3)</f>
        <v>7384.55683797515</v>
      </c>
      <c r="K46" s="35" t="n">
        <f aca="false">INDEX(Monthly!$C$88:$BJ$88,($R$2-1)*12+4)</f>
        <v>8241.13125425614</v>
      </c>
      <c r="L46" s="35" t="n">
        <f aca="false">INDEX(Monthly!$C$88:$BJ$88,($R$2-1)*12+5)</f>
        <v>9119.14565401923</v>
      </c>
      <c r="M46" s="35" t="n">
        <f aca="false">INDEX(Monthly!$C$88:$BJ$88,($R$2-1)*12+6)</f>
        <v>10017.7424379251</v>
      </c>
      <c r="N46" s="35" t="n">
        <f aca="false">INDEX(Monthly!$C$88:$BJ$88,($R$2-1)*12+7)</f>
        <v>10936.0983106081</v>
      </c>
      <c r="O46" s="35" t="n">
        <f aca="false">INDEX(Monthly!$C$88:$BJ$88,($R$2-1)*12+8)</f>
        <v>11873.4229085171</v>
      </c>
      <c r="P46" s="35" t="n">
        <f aca="false">INDEX(Monthly!$C$88:$BJ$88,($R$2-1)*12+9)</f>
        <v>12828.9574826431</v>
      </c>
      <c r="Q46" s="35" t="n">
        <f aca="false">INDEX(Monthly!$C$88:$BJ$88,($R$2-1)*12+10)</f>
        <v>13801.9736339374</v>
      </c>
      <c r="R46" s="35" t="n">
        <f aca="false">INDEX(Monthly!$C$88:$BJ$88,($R$2-1)*12+11)</f>
        <v>14161.3976725799</v>
      </c>
      <c r="S46" s="35" t="n">
        <f aca="false">INDEX(Monthly!$C$88:$BJ$88,($R$2-1)*12+12)</f>
        <v>11847.7100504082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2725000</v>
      </c>
      <c r="C47" s="35" t="n">
        <f aca="false">'Balance Sheet'!C11</f>
        <v>2425000</v>
      </c>
      <c r="D47" s="35" t="n">
        <f aca="false">'Balance Sheet'!D11</f>
        <v>2125000</v>
      </c>
      <c r="E47" s="35" t="n">
        <f aca="false">'Balance Sheet'!E11</f>
        <v>1825000</v>
      </c>
      <c r="F47" s="35" t="n">
        <f aca="false">'Balance Sheet'!F11</f>
        <v>1525000</v>
      </c>
      <c r="H47" s="35" t="n">
        <f aca="false">INDEX(Monthly!$C$83:$BJ$83,($R$2-1)*12+1)</f>
        <v>3000000</v>
      </c>
      <c r="I47" s="35" t="n">
        <f aca="false">INDEX(Monthly!$C$83:$BJ$83,($R$2-1)*12+2)</f>
        <v>2975000</v>
      </c>
      <c r="J47" s="35" t="n">
        <f aca="false">INDEX(Monthly!$C$83:$BJ$83,($R$2-1)*12+3)</f>
        <v>2950000</v>
      </c>
      <c r="K47" s="35" t="n">
        <f aca="false">INDEX(Monthly!$C$83:$BJ$83,($R$2-1)*12+4)</f>
        <v>2925000</v>
      </c>
      <c r="L47" s="35" t="n">
        <f aca="false">INDEX(Monthly!$C$83:$BJ$83,($R$2-1)*12+5)</f>
        <v>2900000</v>
      </c>
      <c r="M47" s="35" t="n">
        <f aca="false">INDEX(Monthly!$C$83:$BJ$83,($R$2-1)*12+6)</f>
        <v>2875000</v>
      </c>
      <c r="N47" s="35" t="n">
        <f aca="false">INDEX(Monthly!$C$83:$BJ$83,($R$2-1)*12+7)</f>
        <v>2850000</v>
      </c>
      <c r="O47" s="35" t="n">
        <f aca="false">INDEX(Monthly!$C$83:$BJ$83,($R$2-1)*12+8)</f>
        <v>2825000</v>
      </c>
      <c r="P47" s="35" t="n">
        <f aca="false">INDEX(Monthly!$C$83:$BJ$83,($R$2-1)*12+9)</f>
        <v>2800000</v>
      </c>
      <c r="Q47" s="35" t="n">
        <f aca="false">INDEX(Monthly!$C$83:$BJ$83,($R$2-1)*12+10)</f>
        <v>2775000</v>
      </c>
      <c r="R47" s="35" t="n">
        <f aca="false">INDEX(Monthly!$C$83:$BJ$83,($R$2-1)*12+11)</f>
        <v>2750000</v>
      </c>
      <c r="S47" s="35" t="n">
        <f aca="false">INDEX(Monthly!$C$83:$BJ$83,($R$2-1)*12+12)</f>
        <v>2725000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2736847.71005041</v>
      </c>
      <c r="C48" s="37" t="n">
        <f aca="false">'Balance Sheet'!C12</f>
        <v>2440264.31857876</v>
      </c>
      <c r="D48" s="37" t="n">
        <f aca="false">'Balance Sheet'!D12</f>
        <v>2142918.81439013</v>
      </c>
      <c r="E48" s="37" t="n">
        <f aca="false">'Balance Sheet'!E12</f>
        <v>1845126.29934039</v>
      </c>
      <c r="F48" s="37" t="n">
        <f aca="false">'Balance Sheet'!F12</f>
        <v>1547087.50994674</v>
      </c>
      <c r="H48" s="37" t="n">
        <f aca="false">INDEX(Monthly!$C$115:$BJ$115,($R$2-1)*12+1)</f>
        <v>3004714.63049727</v>
      </c>
      <c r="I48" s="37" t="n">
        <f aca="false">INDEX(Monthly!$C$115:$BJ$115,($R$2-1)*12+2)</f>
        <v>2980354.29920421</v>
      </c>
      <c r="J48" s="37" t="n">
        <f aca="false">INDEX(Monthly!$C$115:$BJ$115,($R$2-1)*12+3)</f>
        <v>2957384.55683798</v>
      </c>
      <c r="K48" s="37" t="n">
        <f aca="false">INDEX(Monthly!$C$115:$BJ$115,($R$2-1)*12+4)</f>
        <v>2933241.13125426</v>
      </c>
      <c r="L48" s="37" t="n">
        <f aca="false">INDEX(Monthly!$C$115:$BJ$115,($R$2-1)*12+5)</f>
        <v>2909119.14565402</v>
      </c>
      <c r="M48" s="37" t="n">
        <f aca="false">INDEX(Monthly!$C$115:$BJ$115,($R$2-1)*12+6)</f>
        <v>2885017.74243793</v>
      </c>
      <c r="N48" s="37" t="n">
        <f aca="false">INDEX(Monthly!$C$115:$BJ$115,($R$2-1)*12+7)</f>
        <v>2860936.09831061</v>
      </c>
      <c r="O48" s="37" t="n">
        <f aca="false">INDEX(Monthly!$C$115:$BJ$115,($R$2-1)*12+8)</f>
        <v>2836873.42290852</v>
      </c>
      <c r="P48" s="37" t="n">
        <f aca="false">INDEX(Monthly!$C$115:$BJ$115,($R$2-1)*12+9)</f>
        <v>2812828.95748264</v>
      </c>
      <c r="Q48" s="37" t="n">
        <f aca="false">INDEX(Monthly!$C$115:$BJ$115,($R$2-1)*12+10)</f>
        <v>2788801.97363394</v>
      </c>
      <c r="R48" s="37" t="n">
        <f aca="false">INDEX(Monthly!$C$115:$BJ$115,($R$2-1)*12+11)</f>
        <v>2764161.39767258</v>
      </c>
      <c r="S48" s="37" t="n">
        <f aca="false">INDEX(Monthly!$C$115:$BJ$115,($R$2-1)*12+12)</f>
        <v>2736847.71005041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2100000</v>
      </c>
      <c r="C49" s="35" t="n">
        <f aca="false">'Balance Sheet'!C13</f>
        <v>2100000</v>
      </c>
      <c r="D49" s="35" t="n">
        <f aca="false">'Balance Sheet'!D13</f>
        <v>2100000</v>
      </c>
      <c r="E49" s="35" t="n">
        <f aca="false">'Balance Sheet'!E13</f>
        <v>2100000</v>
      </c>
      <c r="F49" s="35" t="n">
        <f aca="false">'Balance Sheet'!F13</f>
        <v>2100000</v>
      </c>
      <c r="H49" s="35" t="n">
        <f aca="false">INDEX(Monthly!$C$112:$BJ$112,($R$2-1)*12+1)</f>
        <v>2100000</v>
      </c>
      <c r="I49" s="35" t="n">
        <f aca="false">INDEX(Monthly!$C$112:$BJ$112,($R$2-1)*12+2)</f>
        <v>2100000</v>
      </c>
      <c r="J49" s="35" t="n">
        <f aca="false">INDEX(Monthly!$C$112:$BJ$112,($R$2-1)*12+3)</f>
        <v>2100000</v>
      </c>
      <c r="K49" s="35" t="n">
        <f aca="false">INDEX(Monthly!$C$112:$BJ$112,($R$2-1)*12+4)</f>
        <v>2100000</v>
      </c>
      <c r="L49" s="35" t="n">
        <f aca="false">INDEX(Monthly!$C$112:$BJ$112,($R$2-1)*12+5)</f>
        <v>2100000</v>
      </c>
      <c r="M49" s="35" t="n">
        <f aca="false">INDEX(Monthly!$C$112:$BJ$112,($R$2-1)*12+6)</f>
        <v>2100000</v>
      </c>
      <c r="N49" s="35" t="n">
        <f aca="false">INDEX(Monthly!$C$112:$BJ$112,($R$2-1)*12+7)</f>
        <v>2100000</v>
      </c>
      <c r="O49" s="35" t="n">
        <f aca="false">INDEX(Monthly!$C$112:$BJ$112,($R$2-1)*12+8)</f>
        <v>2100000</v>
      </c>
      <c r="P49" s="35" t="n">
        <f aca="false">INDEX(Monthly!$C$112:$BJ$112,($R$2-1)*12+9)</f>
        <v>2100000</v>
      </c>
      <c r="Q49" s="35" t="n">
        <f aca="false">INDEX(Monthly!$C$112:$BJ$112,($R$2-1)*12+10)</f>
        <v>2100000</v>
      </c>
      <c r="R49" s="35" t="n">
        <f aca="false">INDEX(Monthly!$C$112:$BJ$112,($R$2-1)*12+11)</f>
        <v>2100000</v>
      </c>
      <c r="S49" s="35" t="n">
        <f aca="false">INDEX(Monthly!$C$112:$BJ$112,($R$2-1)*12+12)</f>
        <v>2100000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-709232.332270295</v>
      </c>
      <c r="C50" s="35" t="n">
        <f aca="false">'Balance Sheet'!C14</f>
        <v>-844797.509981795</v>
      </c>
      <c r="D50" s="35" t="n">
        <f aca="false">'Balance Sheet'!D14</f>
        <v>-704179.027993512</v>
      </c>
      <c r="E50" s="35" t="n">
        <f aca="false">'Balance Sheet'!E14</f>
        <v>-346162.416816628</v>
      </c>
      <c r="F50" s="35" t="n">
        <f aca="false">'Balance Sheet'!F14</f>
        <v>153133.253778322</v>
      </c>
      <c r="H50" s="35" t="n">
        <f aca="false">INDEX(Monthly!$C$113:$BJ$113,($R$2-1)*12+1)</f>
        <v>-102437.476634789</v>
      </c>
      <c r="I50" s="35" t="n">
        <f aca="false">INDEX(Monthly!$C$113:$BJ$113,($R$2-1)*12+2)</f>
        <v>-199240.336761108</v>
      </c>
      <c r="J50" s="35" t="n">
        <f aca="false">INDEX(Monthly!$C$113:$BJ$113,($R$2-1)*12+3)</f>
        <v>-280587.034107493</v>
      </c>
      <c r="K50" s="35" t="n">
        <f aca="false">INDEX(Monthly!$C$113:$BJ$113,($R$2-1)*12+4)</f>
        <v>-354763.012705834</v>
      </c>
      <c r="L50" s="35" t="n">
        <f aca="false">INDEX(Monthly!$C$113:$BJ$113,($R$2-1)*12+5)</f>
        <v>-421640.551968474</v>
      </c>
      <c r="M50" s="35" t="n">
        <f aca="false">INDEX(Monthly!$C$113:$BJ$113,($R$2-1)*12+6)</f>
        <v>-481097.040131265</v>
      </c>
      <c r="N50" s="35" t="n">
        <f aca="false">INDEX(Monthly!$C$113:$BJ$113,($R$2-1)*12+7)</f>
        <v>-533014.769900621</v>
      </c>
      <c r="O50" s="35" t="n">
        <f aca="false">INDEX(Monthly!$C$113:$BJ$113,($R$2-1)*12+8)</f>
        <v>-577280.742274703</v>
      </c>
      <c r="P50" s="35" t="n">
        <f aca="false">INDEX(Monthly!$C$113:$BJ$113,($R$2-1)*12+9)</f>
        <v>-613786.478211745</v>
      </c>
      <c r="Q50" s="35" t="n">
        <f aca="false">INDEX(Monthly!$C$113:$BJ$113,($R$2-1)*12+10)</f>
        <v>-642427.837831648</v>
      </c>
      <c r="R50" s="35" t="n">
        <f aca="false">INDEX(Monthly!$C$113:$BJ$113,($R$2-1)*12+11)</f>
        <v>-668750.981431645</v>
      </c>
      <c r="S50" s="35" t="n">
        <f aca="false">INDEX(Monthly!$C$113:$BJ$113,($R$2-1)*12+12)</f>
        <v>-709232.332270295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1390767.66772971</v>
      </c>
      <c r="C51" s="37" t="n">
        <f aca="false">'Balance Sheet'!C15</f>
        <v>1255202.4900182</v>
      </c>
      <c r="D51" s="37" t="n">
        <f aca="false">'Balance Sheet'!D15</f>
        <v>1395820.97200649</v>
      </c>
      <c r="E51" s="37" t="n">
        <f aca="false">'Balance Sheet'!E15</f>
        <v>1753837.58318337</v>
      </c>
      <c r="F51" s="37" t="n">
        <f aca="false">'Balance Sheet'!F15</f>
        <v>2253133.25377832</v>
      </c>
      <c r="H51" s="37" t="n">
        <f aca="false">INDEX(Monthly!$C$116:$BJ$116,($R$2-1)*12+1)</f>
        <v>1997562.52336521</v>
      </c>
      <c r="I51" s="37" t="n">
        <f aca="false">INDEX(Monthly!$C$116:$BJ$116,($R$2-1)*12+2)</f>
        <v>1900759.66323889</v>
      </c>
      <c r="J51" s="37" t="n">
        <f aca="false">INDEX(Monthly!$C$116:$BJ$116,($R$2-1)*12+3)</f>
        <v>1819412.96589251</v>
      </c>
      <c r="K51" s="37" t="n">
        <f aca="false">INDEX(Monthly!$C$116:$BJ$116,($R$2-1)*12+4)</f>
        <v>1745236.98729417</v>
      </c>
      <c r="L51" s="37" t="n">
        <f aca="false">INDEX(Monthly!$C$116:$BJ$116,($R$2-1)*12+5)</f>
        <v>1678359.44803153</v>
      </c>
      <c r="M51" s="37" t="n">
        <f aca="false">INDEX(Monthly!$C$116:$BJ$116,($R$2-1)*12+6)</f>
        <v>1618902.95986874</v>
      </c>
      <c r="N51" s="37" t="n">
        <f aca="false">INDEX(Monthly!$C$116:$BJ$116,($R$2-1)*12+7)</f>
        <v>1566985.23009938</v>
      </c>
      <c r="O51" s="37" t="n">
        <f aca="false">INDEX(Monthly!$C$116:$BJ$116,($R$2-1)*12+8)</f>
        <v>1522719.2577253</v>
      </c>
      <c r="P51" s="37" t="n">
        <f aca="false">INDEX(Monthly!$C$116:$BJ$116,($R$2-1)*12+9)</f>
        <v>1486213.52178826</v>
      </c>
      <c r="Q51" s="37" t="n">
        <f aca="false">INDEX(Monthly!$C$116:$BJ$116,($R$2-1)*12+10)</f>
        <v>1457572.16216835</v>
      </c>
      <c r="R51" s="37" t="n">
        <f aca="false">INDEX(Monthly!$C$116:$BJ$116,($R$2-1)*12+11)</f>
        <v>1431249.01856836</v>
      </c>
      <c r="S51" s="37" t="n">
        <f aca="false">INDEX(Monthly!$C$116:$BJ$116,($R$2-1)*12+12)</f>
        <v>1390767.66772971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4127615.37778011</v>
      </c>
      <c r="C52" s="41" t="n">
        <f aca="false">'Balance Sheet'!C16</f>
        <v>3695466.80859697</v>
      </c>
      <c r="D52" s="41" t="n">
        <f aca="false">'Balance Sheet'!D16</f>
        <v>3538739.78639662</v>
      </c>
      <c r="E52" s="41" t="n">
        <f aca="false">'Balance Sheet'!E16</f>
        <v>3598963.88252377</v>
      </c>
      <c r="F52" s="41" t="n">
        <f aca="false">'Balance Sheet'!F16</f>
        <v>3800220.76372506</v>
      </c>
      <c r="H52" s="41" t="n">
        <f aca="false">INDEX(Monthly!$C$117:$BJ$117,($R$2-1)*12+1)</f>
        <v>5002277.15386248</v>
      </c>
      <c r="I52" s="41" t="n">
        <f aca="false">INDEX(Monthly!$C$117:$BJ$117,($R$2-1)*12+2)</f>
        <v>4881113.9624431</v>
      </c>
      <c r="J52" s="41" t="n">
        <f aca="false">INDEX(Monthly!$C$117:$BJ$117,($R$2-1)*12+3)</f>
        <v>4776797.52273048</v>
      </c>
      <c r="K52" s="41" t="n">
        <f aca="false">INDEX(Monthly!$C$117:$BJ$117,($R$2-1)*12+4)</f>
        <v>4678478.11854842</v>
      </c>
      <c r="L52" s="41" t="n">
        <f aca="false">INDEX(Monthly!$C$117:$BJ$117,($R$2-1)*12+5)</f>
        <v>4587478.59368555</v>
      </c>
      <c r="M52" s="41" t="n">
        <f aca="false">INDEX(Monthly!$C$117:$BJ$117,($R$2-1)*12+6)</f>
        <v>4503920.70230666</v>
      </c>
      <c r="N52" s="41" t="n">
        <f aca="false">INDEX(Monthly!$C$117:$BJ$117,($R$2-1)*12+7)</f>
        <v>4427921.32840999</v>
      </c>
      <c r="O52" s="41" t="n">
        <f aca="false">INDEX(Monthly!$C$117:$BJ$117,($R$2-1)*12+8)</f>
        <v>4359592.68063381</v>
      </c>
      <c r="P52" s="41" t="n">
        <f aca="false">INDEX(Monthly!$C$117:$BJ$117,($R$2-1)*12+9)</f>
        <v>4299042.4792709</v>
      </c>
      <c r="Q52" s="41" t="n">
        <f aca="false">INDEX(Monthly!$C$117:$BJ$117,($R$2-1)*12+10)</f>
        <v>4246374.13580229</v>
      </c>
      <c r="R52" s="41" t="n">
        <f aca="false">INDEX(Monthly!$C$117:$BJ$117,($R$2-1)*12+11)</f>
        <v>4195410.41624094</v>
      </c>
      <c r="S52" s="41" t="n">
        <f aca="false">INDEX(Monthly!$C$117:$BJ$117,($R$2-1)*12+12)</f>
        <v>4127615.37778011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200</v>
      </c>
      <c r="C7" s="53" t="n">
        <f aca="false">Inputs!$C$7</f>
        <v>240</v>
      </c>
      <c r="D7" s="53" t="n">
        <f aca="false">Inputs!$D$7</f>
        <v>280</v>
      </c>
      <c r="E7" s="54" t="n">
        <f aca="false">Inputs!$E$7</f>
        <v>240</v>
      </c>
    </row>
    <row r="8" customFormat="false" ht="15" hidden="false" customHeight="false" outlineLevel="0" collapsed="false">
      <c r="A8" s="6" t="s">
        <v>110</v>
      </c>
      <c r="B8" s="55" t="n">
        <f aca="false">Inputs!$B$28</f>
        <v>12</v>
      </c>
      <c r="C8" s="55" t="n">
        <f aca="false">Inputs!$C$28</f>
        <v>13</v>
      </c>
      <c r="D8" s="55" t="n">
        <f aca="false">Inputs!$D$28</f>
        <v>14</v>
      </c>
      <c r="E8" s="56" t="n">
        <f aca="false">Inputs!$E$28</f>
        <v>13</v>
      </c>
    </row>
    <row r="9" customFormat="false" ht="15" hidden="false" customHeight="false" outlineLevel="0" collapsed="false">
      <c r="A9" s="6" t="s">
        <v>111</v>
      </c>
      <c r="B9" s="57" t="n">
        <f aca="false">Inputs!$B$20</f>
        <v>150</v>
      </c>
      <c r="C9" s="57" t="n">
        <f aca="false">Inputs!$C$20</f>
        <v>250</v>
      </c>
      <c r="D9" s="57" t="n">
        <f aca="false">Inputs!$D$20</f>
        <v>350</v>
      </c>
      <c r="E9" s="58" t="n">
        <f aca="false">Inputs!$E$20</f>
        <v>250</v>
      </c>
    </row>
    <row r="10" customFormat="false" ht="15" hidden="false" customHeight="false" outlineLevel="0" collapsed="false">
      <c r="A10" s="6" t="s">
        <v>112</v>
      </c>
      <c r="B10" s="55" t="n">
        <f aca="false">Inputs!$B$30</f>
        <v>32</v>
      </c>
      <c r="C10" s="55" t="n">
        <f aca="false">Inputs!$C$30</f>
        <v>35</v>
      </c>
      <c r="D10" s="55" t="n">
        <f aca="false">Inputs!$D$30</f>
        <v>38</v>
      </c>
      <c r="E10" s="56" t="n">
        <f aca="false">Inputs!$E$30</f>
        <v>35</v>
      </c>
    </row>
    <row r="11" customFormat="false" ht="15" hidden="false" customHeight="false" outlineLevel="0" collapsed="false">
      <c r="A11" s="6" t="s">
        <v>113</v>
      </c>
      <c r="B11" s="59" t="n">
        <f aca="false">Inputs!$B$24</f>
        <v>0.05</v>
      </c>
      <c r="C11" s="59" t="n">
        <f aca="false">Inputs!$C$24</f>
        <v>0.04</v>
      </c>
      <c r="D11" s="59" t="n">
        <f aca="false">Inputs!$D$24</f>
        <v>0.032</v>
      </c>
      <c r="E11" s="60" t="n">
        <f aca="false">Inputs!$E$24</f>
        <v>0.04</v>
      </c>
    </row>
    <row r="12" customFormat="false" ht="15" hidden="false" customHeight="false" outlineLevel="0" collapsed="false">
      <c r="A12" s="6" t="s">
        <v>114</v>
      </c>
      <c r="B12" s="61" t="n">
        <f aca="false">Inputs!$B$42</f>
        <v>30000</v>
      </c>
      <c r="C12" s="61" t="n">
        <f aca="false">Inputs!$C$42</f>
        <v>30000</v>
      </c>
      <c r="D12" s="61" t="n">
        <f aca="false">Inputs!$D$42</f>
        <v>30000</v>
      </c>
      <c r="E12" s="62" t="n">
        <f aca="false">Inputs!$E$42</f>
        <v>30000</v>
      </c>
    </row>
    <row r="13" customFormat="false" ht="15" hidden="false" customHeight="false" outlineLevel="0" collapsed="false">
      <c r="A13" s="6" t="s">
        <v>115</v>
      </c>
      <c r="B13" s="61" t="n">
        <f aca="false">Inputs!$B$50</f>
        <v>1650000</v>
      </c>
      <c r="C13" s="61" t="n">
        <f aca="false">Inputs!$C$50</f>
        <v>1650000</v>
      </c>
      <c r="D13" s="61" t="n">
        <f aca="false">Inputs!$D$50</f>
        <v>1650000</v>
      </c>
      <c r="E13" s="62" t="n">
        <f aca="false">Inputs!$E$50</f>
        <v>1650000</v>
      </c>
    </row>
    <row r="14" customFormat="false" ht="15" hidden="false" customHeight="false" outlineLevel="0" collapsed="false">
      <c r="A14" s="6" t="s">
        <v>116</v>
      </c>
      <c r="B14" s="61" t="n">
        <f aca="false">Inputs!$B$69</f>
        <v>2100000</v>
      </c>
      <c r="C14" s="61" t="n">
        <f aca="false">Inputs!$C$69</f>
        <v>2100000</v>
      </c>
      <c r="D14" s="61" t="n">
        <f aca="false">Inputs!$D$69</f>
        <v>2100000</v>
      </c>
      <c r="E14" s="62" t="n">
        <f aca="false">Inputs!$E$69</f>
        <v>2100000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  <c r="F16" s="7"/>
    </row>
    <row r="17" customFormat="false" ht="15" hidden="false" customHeight="false" outlineLevel="0" collapsed="false">
      <c r="A17" s="33" t="s">
        <v>118</v>
      </c>
      <c r="B17" s="52" t="s">
        <v>105</v>
      </c>
      <c r="C17" s="52" t="s">
        <v>106</v>
      </c>
      <c r="D17" s="52" t="s">
        <v>107</v>
      </c>
      <c r="E17" s="52" t="s">
        <v>108</v>
      </c>
    </row>
    <row r="18" customFormat="false" ht="15" hidden="false" customHeight="false" outlineLevel="0" collapsed="false">
      <c r="A18" s="6" t="s">
        <v>119</v>
      </c>
      <c r="B18" s="63" t="n">
        <f aca="false">F31</f>
        <v>1509180.90456468</v>
      </c>
      <c r="C18" s="63" t="n">
        <f aca="false">F32</f>
        <v>2649323.50145466</v>
      </c>
      <c r="D18" s="63" t="n">
        <f aca="false">F33</f>
        <v>4396237.24612175</v>
      </c>
      <c r="E18" s="64" t="n">
        <f aca="false">'P&amp;L'!F5</f>
        <v>2649323.50145466</v>
      </c>
    </row>
    <row r="19" customFormat="false" ht="15" hidden="false" customHeight="false" outlineLevel="0" collapsed="false">
      <c r="A19" s="6" t="s">
        <v>120</v>
      </c>
      <c r="B19" s="63" t="n">
        <f aca="false">SUM(B31:F31)</f>
        <v>6296493.3410605</v>
      </c>
      <c r="C19" s="63" t="n">
        <f aca="false">SUM(B32:F32)</f>
        <v>10275076.5653812</v>
      </c>
      <c r="D19" s="63" t="n">
        <f aca="false">SUM(B33:F33)</f>
        <v>15889579.2577931</v>
      </c>
      <c r="E19" s="64" t="n">
        <f aca="false">SUM('P&amp;L'!$B$5:$F$5)</f>
        <v>10275076.5653812</v>
      </c>
    </row>
    <row r="20" customFormat="false" ht="15" hidden="false" customHeight="false" outlineLevel="0" collapsed="false">
      <c r="A20" s="6" t="s">
        <v>121</v>
      </c>
      <c r="B20" s="63" t="n">
        <f aca="false">F37</f>
        <v>29088.8484497289</v>
      </c>
      <c r="C20" s="63" t="n">
        <f aca="false">F38</f>
        <v>1037376.97856134</v>
      </c>
      <c r="D20" s="63" t="n">
        <f aca="false">F39</f>
        <v>2627033.12519057</v>
      </c>
      <c r="E20" s="64" t="n">
        <f aca="false">'P&amp;L'!F15</f>
        <v>1037376.97856134</v>
      </c>
    </row>
    <row r="21" customFormat="false" ht="15" hidden="false" customHeight="false" outlineLevel="0" collapsed="false">
      <c r="A21" s="6" t="s">
        <v>122</v>
      </c>
      <c r="B21" s="65" t="n">
        <f aca="false">IF(B18=0,0,B20/B18)</f>
        <v>0.0192745934975367</v>
      </c>
      <c r="C21" s="65" t="n">
        <f aca="false">IF(C18=0,0,C20/C18)</f>
        <v>0.391562969939967</v>
      </c>
      <c r="D21" s="65" t="n">
        <f aca="false">IF(D18=0,0,D20/D18)</f>
        <v>0.59756400260429</v>
      </c>
      <c r="E21" s="66" t="n">
        <f aca="false">IF(E18=0,0,E20/E18)</f>
        <v>0.391562969939967</v>
      </c>
    </row>
    <row r="22" customFormat="false" ht="15" hidden="false" customHeight="false" outlineLevel="0" collapsed="false">
      <c r="A22" s="6" t="s">
        <v>123</v>
      </c>
      <c r="B22" s="63" t="n">
        <f aca="false">F43</f>
        <v>-468286.151550271</v>
      </c>
      <c r="C22" s="63" t="n">
        <f aca="false">F44</f>
        <v>499295.67059495</v>
      </c>
      <c r="D22" s="63" t="n">
        <f aca="false">F45</f>
        <v>1682429.91890055</v>
      </c>
      <c r="E22" s="64" t="n">
        <f aca="false">'P&amp;L'!F22</f>
        <v>499295.67059495</v>
      </c>
    </row>
    <row r="23" customFormat="false" ht="15" hidden="false" customHeight="false" outlineLevel="0" collapsed="false">
      <c r="A23" s="6" t="s">
        <v>124</v>
      </c>
      <c r="B23" s="63" t="n">
        <f aca="false">SUM(B43:F43)</f>
        <v>-3340553.18598708</v>
      </c>
      <c r="C23" s="63" t="n">
        <f aca="false">SUM(B44:F44)</f>
        <v>153133.253778322</v>
      </c>
      <c r="D23" s="63" t="n">
        <f aca="false">SUM(B45:F45)</f>
        <v>4209083.19873732</v>
      </c>
      <c r="E23" s="64" t="n">
        <f aca="false">SUM('P&amp;L'!$B$22:$F$22)</f>
        <v>153133.253778322</v>
      </c>
    </row>
    <row r="24" customFormat="false" ht="15" hidden="false" customHeight="false" outlineLevel="0" collapsed="false">
      <c r="A24" s="6" t="s">
        <v>125</v>
      </c>
      <c r="B24" s="63" t="n">
        <f aca="false">F49</f>
        <v>-2231348.97261607</v>
      </c>
      <c r="C24" s="63" t="n">
        <f aca="false">F50</f>
        <v>1260379.71084762</v>
      </c>
      <c r="D24" s="63" t="n">
        <f aca="false">F51</f>
        <v>5311510.69741741</v>
      </c>
      <c r="E24" s="64" t="n">
        <f aca="false">'Balance Sheet'!F5</f>
        <v>1260379.71084762</v>
      </c>
    </row>
    <row r="25" customFormat="false" ht="15" hidden="false" customHeight="false" outlineLevel="0" collapsed="false">
      <c r="A25" s="6" t="s">
        <v>126</v>
      </c>
      <c r="B25" s="63" t="n">
        <f aca="false">MIN('Scenario calc'!$C$102:$BJ$102)</f>
        <v>-2231348.97261607</v>
      </c>
      <c r="C25" s="63" t="n">
        <f aca="false">MIN('Scenario calc'!$C$231:$BJ$231)</f>
        <v>179017.171242736</v>
      </c>
      <c r="D25" s="63" t="n">
        <f aca="false">MIN('Scenario calc'!$C$360:$BJ$360)</f>
        <v>777911.474722124</v>
      </c>
      <c r="E25" s="64" t="n">
        <f aca="false">'Break-even'!B18</f>
        <v>179017.171242736</v>
      </c>
    </row>
    <row r="26" customFormat="false" ht="15" hidden="false" customHeight="false" outlineLevel="0" collapsed="false">
      <c r="A26" s="6" t="s">
        <v>127</v>
      </c>
      <c r="B26" s="67" t="n">
        <f aca="false">MATCH(MIN('Scenario calc'!$C$102:$BJ$102),'Scenario calc'!$C$102:$BJ$102,0)</f>
        <v>60</v>
      </c>
      <c r="C26" s="67" t="n">
        <f aca="false">MATCH(MIN('Scenario calc'!$C$231:$BJ$231),'Scenario calc'!$C$231:$BJ$231,0)</f>
        <v>26</v>
      </c>
      <c r="D26" s="67" t="n">
        <f aca="false">MATCH(MIN('Scenario calc'!$C$360:$BJ$360),'Scenario calc'!$C$360:$BJ$360,0)</f>
        <v>7</v>
      </c>
      <c r="E26" s="68" t="n">
        <f aca="false">'Break-even'!B6</f>
        <v>26</v>
      </c>
    </row>
    <row r="27" customFormat="false" ht="15" hidden="false" customHeight="false" outlineLevel="0" collapsed="false">
      <c r="A27" s="4" t="s">
        <v>66</v>
      </c>
      <c r="B27" s="63" t="n">
        <f aca="false">SUMPRODUCT(--('Scenario calc'!$C$6:$BJ$6&lt;=B26),'Scenario calc'!$C$74:$BJ$74)-SUMPRODUCT(--('Scenario calc'!$C$6:$BJ$6&lt;=B26),'Scenario calc'!$C$96:$BJ$96)-SUMPRODUCT(--('Scenario calc'!$C$6:$BJ$6&lt;=B26),'Scenario calc'!$C$84:$BJ$84)+Inputs!$B$84</f>
        <v>7612348.97261608</v>
      </c>
      <c r="C27" s="63" t="n">
        <f aca="false">SUMPRODUCT(--('Scenario calc'!$C$135:$BJ$135&lt;=C26),'Scenario calc'!$C$203:$BJ$203)-SUMPRODUCT(--('Scenario calc'!$C$135:$BJ$135&lt;=C26),'Scenario calc'!$C$225:$BJ$225)-SUMPRODUCT(--('Scenario calc'!$C$135:$BJ$135&lt;=C26),'Scenario calc'!$C$213:$BJ$213)+Inputs!$C$84</f>
        <v>5201982.82875727</v>
      </c>
      <c r="D27" s="63" t="n">
        <f aca="false">SUMPRODUCT(--('Scenario calc'!$C$264:$BJ$264&lt;=D26),'Scenario calc'!$C$332:$BJ$332)-SUMPRODUCT(--('Scenario calc'!$C$264:$BJ$264&lt;=D26),'Scenario calc'!$C$354:$BJ$354)-SUMPRODUCT(--('Scenario calc'!$C$264:$BJ$264&lt;=D26),'Scenario calc'!$C$342:$BJ$342)+Inputs!$D$84</f>
        <v>4603088.52527788</v>
      </c>
      <c r="E27" s="64" t="n">
        <f aca="false">'Break-even'!B12</f>
        <v>5201982.82875727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  <c r="F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  <c r="E30" s="34" t="n">
        <v>4</v>
      </c>
      <c r="F30" s="34" t="n">
        <v>5</v>
      </c>
    </row>
    <row r="31" customFormat="false" ht="15" hidden="false" customHeight="false" outlineLevel="0" collapsed="false">
      <c r="A31" s="6" t="s">
        <v>105</v>
      </c>
      <c r="B31" s="63" t="n">
        <f aca="false">SUMIF('Scenario calc'!$C$7:$BJ$7,B$30,'Scenario calc'!$C$39:$BJ$39)</f>
        <v>723753.781752898</v>
      </c>
      <c r="C31" s="63" t="n">
        <f aca="false">SUMIF('Scenario calc'!$C$7:$BJ$7,C$30,'Scenario calc'!$C$39:$BJ$39)</f>
        <v>1233556.71859013</v>
      </c>
      <c r="D31" s="63" t="n">
        <f aca="false">SUMIF('Scenario calc'!$C$7:$BJ$7,D$30,'Scenario calc'!$C$39:$BJ$39)</f>
        <v>1373352.59957725</v>
      </c>
      <c r="E31" s="63" t="n">
        <f aca="false">SUMIF('Scenario calc'!$C$7:$BJ$7,E$30,'Scenario calc'!$C$39:$BJ$39)</f>
        <v>1456649.33657555</v>
      </c>
      <c r="F31" s="63" t="n">
        <f aca="false">SUMIF('Scenario calc'!$C$7:$BJ$7,F$30,'Scenario calc'!$C$39:$BJ$39)</f>
        <v>1509180.90456468</v>
      </c>
    </row>
    <row r="32" customFormat="false" ht="15" hidden="false" customHeight="false" outlineLevel="0" collapsed="false">
      <c r="A32" s="6" t="s">
        <v>106</v>
      </c>
      <c r="B32" s="63" t="n">
        <f aca="false">SUMIF('Scenario calc'!$C$136:$BJ$136,B$30,'Scenario calc'!$C$168:$BJ$168)</f>
        <v>1180182.39164623</v>
      </c>
      <c r="C32" s="63" t="n">
        <f aca="false">SUMIF('Scenario calc'!$C$136:$BJ$136,C$30,'Scenario calc'!$C$168:$BJ$168)</f>
        <v>1846649.01829223</v>
      </c>
      <c r="D32" s="63" t="n">
        <f aca="false">SUMIF('Scenario calc'!$C$136:$BJ$136,D$30,'Scenario calc'!$C$168:$BJ$168)</f>
        <v>2170291.60192013</v>
      </c>
      <c r="E32" s="63" t="n">
        <f aca="false">SUMIF('Scenario calc'!$C$136:$BJ$136,E$30,'Scenario calc'!$C$168:$BJ$168)</f>
        <v>2428630.05206795</v>
      </c>
      <c r="F32" s="63" t="n">
        <f aca="false">SUMIF('Scenario calc'!$C$136:$BJ$136,F$30,'Scenario calc'!$C$168:$BJ$168)</f>
        <v>2649323.50145466</v>
      </c>
    </row>
    <row r="33" customFormat="false" ht="15" hidden="false" customHeight="false" outlineLevel="0" collapsed="false">
      <c r="A33" s="6" t="s">
        <v>107</v>
      </c>
      <c r="B33" s="63" t="n">
        <f aca="false">SUMIF('Scenario calc'!$C$265:$BJ$265,B$30,'Scenario calc'!$C$297:$BJ$297)</f>
        <v>1713972.34882851</v>
      </c>
      <c r="C33" s="63" t="n">
        <f aca="false">SUMIF('Scenario calc'!$C$265:$BJ$265,C$30,'Scenario calc'!$C$297:$BJ$297)</f>
        <v>2637596.04066185</v>
      </c>
      <c r="D33" s="63" t="n">
        <f aca="false">SUMIF('Scenario calc'!$C$265:$BJ$265,D$30,'Scenario calc'!$C$297:$BJ$297)</f>
        <v>3275560.85962553</v>
      </c>
      <c r="E33" s="63" t="n">
        <f aca="false">SUMIF('Scenario calc'!$C$265:$BJ$265,E$30,'Scenario calc'!$C$297:$BJ$297)</f>
        <v>3866212.76255549</v>
      </c>
      <c r="F33" s="63" t="n">
        <f aca="false">SUMIF('Scenario calc'!$C$265:$BJ$265,F$30,'Scenario calc'!$C$297:$BJ$297)</f>
        <v>4396237.24612175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  <c r="F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  <c r="E36" s="34" t="n">
        <v>4</v>
      </c>
      <c r="F36" s="34" t="n">
        <v>5</v>
      </c>
    </row>
    <row r="37" customFormat="false" ht="15" hidden="false" customHeight="false" outlineLevel="0" collapsed="false">
      <c r="A37" s="6" t="s">
        <v>105</v>
      </c>
      <c r="B37" s="63" t="n">
        <f aca="false">SUMIF('Scenario calc'!$C$7:$BJ$7,B$36,'Scenario calc'!$C$57:$BJ$57)</f>
        <v>-533892.676207162</v>
      </c>
      <c r="C37" s="63" t="n">
        <f aca="false">SUMIF('Scenario calc'!$C$7:$BJ$7,C$36,'Scenario calc'!$C$57:$BJ$57)</f>
        <v>-120382.60081196</v>
      </c>
      <c r="D37" s="63" t="n">
        <f aca="false">SUMIF('Scenario calc'!$C$7:$BJ$7,D$36,'Scenario calc'!$C$57:$BJ$57)</f>
        <v>-24636.2998835956</v>
      </c>
      <c r="E37" s="63" t="n">
        <f aca="false">SUMIF('Scenario calc'!$C$7:$BJ$7,E$36,'Scenario calc'!$C$57:$BJ$57)</f>
        <v>17722.6674659084</v>
      </c>
      <c r="F37" s="63" t="n">
        <f aca="false">SUMIF('Scenario calc'!$C$7:$BJ$7,F$36,'Scenario calc'!$C$57:$BJ$57)</f>
        <v>29088.8484497289</v>
      </c>
    </row>
    <row r="38" customFormat="false" ht="15" hidden="false" customHeight="false" outlineLevel="0" collapsed="false">
      <c r="A38" s="6" t="s">
        <v>106</v>
      </c>
      <c r="B38" s="63" t="n">
        <f aca="false">SUMIF('Scenario calc'!$C$136:$BJ$136,B$36,'Scenario calc'!$C$186:$BJ$186)</f>
        <v>-123279.207270295</v>
      </c>
      <c r="C38" s="63" t="n">
        <f aca="false">SUMIF('Scenario calc'!$C$136:$BJ$136,C$36,'Scenario calc'!$C$186:$BJ$186)</f>
        <v>428309.8222885</v>
      </c>
      <c r="D38" s="63" t="n">
        <f aca="false">SUMIF('Scenario calc'!$C$136:$BJ$136,D$36,'Scenario calc'!$C$186:$BJ$186)</f>
        <v>682326.815321617</v>
      </c>
      <c r="E38" s="63" t="n">
        <f aca="false">SUMIF('Scenario calc'!$C$136:$BJ$136,E$36,'Scenario calc'!$C$186:$BJ$186)</f>
        <v>877558.27784355</v>
      </c>
      <c r="F38" s="63" t="n">
        <f aca="false">SUMIF('Scenario calc'!$C$136:$BJ$136,F$36,'Scenario calc'!$C$186:$BJ$186)</f>
        <v>1037376.97856134</v>
      </c>
    </row>
    <row r="39" customFormat="false" ht="15" hidden="false" customHeight="false" outlineLevel="0" collapsed="false">
      <c r="A39" s="6" t="s">
        <v>107</v>
      </c>
      <c r="B39" s="63" t="n">
        <f aca="false">SUMIF('Scenario calc'!$C$265:$BJ$265,B$36,'Scenario calc'!$C$315:$BJ$315)</f>
        <v>374729.35474249</v>
      </c>
      <c r="C39" s="63" t="n">
        <f aca="false">SUMIF('Scenario calc'!$C$265:$BJ$265,C$36,'Scenario calc'!$C$315:$BJ$315)</f>
        <v>1158811.72808445</v>
      </c>
      <c r="D39" s="63" t="n">
        <f aca="false">SUMIF('Scenario calc'!$C$265:$BJ$265,D$36,'Scenario calc'!$C$315:$BJ$315)</f>
        <v>1692015.58746952</v>
      </c>
      <c r="E39" s="63" t="n">
        <f aca="false">SUMIF('Scenario calc'!$C$265:$BJ$265,E$36,'Scenario calc'!$C$315:$BJ$315)</f>
        <v>2183816.74563615</v>
      </c>
      <c r="F39" s="63" t="n">
        <f aca="false">SUMIF('Scenario calc'!$C$265:$BJ$265,F$36,'Scenario calc'!$C$315:$BJ$315)</f>
        <v>2627033.12519057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  <c r="F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  <c r="E42" s="34" t="n">
        <v>4</v>
      </c>
      <c r="F42" s="34" t="n">
        <v>5</v>
      </c>
    </row>
    <row r="43" customFormat="false" ht="15" hidden="false" customHeight="false" outlineLevel="0" collapsed="false">
      <c r="A43" s="6" t="s">
        <v>105</v>
      </c>
      <c r="B43" s="63" t="n">
        <f aca="false">SUMIF('Scenario calc'!$C$7:$BJ$7,B$42,'Scenario calc'!$C$66:$BJ$66)</f>
        <v>-1119845.80120716</v>
      </c>
      <c r="C43" s="63" t="n">
        <f aca="false">SUMIF('Scenario calc'!$C$7:$BJ$7,C$42,'Scenario calc'!$C$66:$BJ$66)</f>
        <v>-684257.60081196</v>
      </c>
      <c r="D43" s="63" t="n">
        <f aca="false">SUMIF('Scenario calc'!$C$7:$BJ$7,D$42,'Scenario calc'!$C$66:$BJ$66)</f>
        <v>-566344.633216929</v>
      </c>
      <c r="E43" s="63" t="n">
        <f aca="false">SUMIF('Scenario calc'!$C$7:$BJ$7,E$42,'Scenario calc'!$C$66:$BJ$66)</f>
        <v>-501818.999200758</v>
      </c>
      <c r="F43" s="63" t="n">
        <f aca="false">SUMIF('Scenario calc'!$C$7:$BJ$7,F$42,'Scenario calc'!$C$66:$BJ$66)</f>
        <v>-468286.151550271</v>
      </c>
    </row>
    <row r="44" customFormat="false" ht="15" hidden="false" customHeight="false" outlineLevel="0" collapsed="false">
      <c r="A44" s="6" t="s">
        <v>106</v>
      </c>
      <c r="B44" s="63" t="n">
        <f aca="false">SUMIF('Scenario calc'!$C$136:$BJ$136,B$42,'Scenario calc'!$C$195:$BJ$195)</f>
        <v>-709232.332270295</v>
      </c>
      <c r="C44" s="63" t="n">
        <f aca="false">SUMIF('Scenario calc'!$C$136:$BJ$136,C$42,'Scenario calc'!$C$195:$BJ$195)</f>
        <v>-135565.177711501</v>
      </c>
      <c r="D44" s="63" t="n">
        <f aca="false">SUMIF('Scenario calc'!$C$136:$BJ$136,D$42,'Scenario calc'!$C$195:$BJ$195)</f>
        <v>140618.481988284</v>
      </c>
      <c r="E44" s="63" t="n">
        <f aca="false">SUMIF('Scenario calc'!$C$136:$BJ$136,E$42,'Scenario calc'!$C$195:$BJ$195)</f>
        <v>358016.611176884</v>
      </c>
      <c r="F44" s="63" t="n">
        <f aca="false">SUMIF('Scenario calc'!$C$136:$BJ$136,F$42,'Scenario calc'!$C$195:$BJ$195)</f>
        <v>499295.67059495</v>
      </c>
    </row>
    <row r="45" customFormat="false" ht="15" hidden="false" customHeight="false" outlineLevel="0" collapsed="false">
      <c r="A45" s="6" t="s">
        <v>107</v>
      </c>
      <c r="B45" s="63" t="n">
        <f aca="false">SUMIF('Scenario calc'!$C$265:$BJ$265,B$42,'Scenario calc'!$C$324:$BJ$324)</f>
        <v>-211223.770257511</v>
      </c>
      <c r="C45" s="63" t="n">
        <f aca="false">SUMIF('Scenario calc'!$C$265:$BJ$265,C$42,'Scenario calc'!$C$324:$BJ$324)</f>
        <v>514357.00694079</v>
      </c>
      <c r="D45" s="63" t="n">
        <f aca="false">SUMIF('Scenario calc'!$C$265:$BJ$265,D$42,'Scenario calc'!$C$324:$BJ$324)</f>
        <v>908742.730767589</v>
      </c>
      <c r="E45" s="63" t="n">
        <f aca="false">SUMIF('Scenario calc'!$C$265:$BJ$265,E$42,'Scenario calc'!$C$324:$BJ$324)</f>
        <v>1314777.31238589</v>
      </c>
      <c r="F45" s="63" t="n">
        <f aca="false">SUMIF('Scenario calc'!$C$265:$BJ$265,F$42,'Scenario calc'!$C$324:$BJ$324)</f>
        <v>1682429.91890055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  <c r="F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  <c r="E48" s="34" t="n">
        <v>4</v>
      </c>
      <c r="F48" s="34" t="n">
        <v>5</v>
      </c>
    </row>
    <row r="49" customFormat="false" ht="15" hidden="false" customHeight="false" outlineLevel="0" collapsed="false">
      <c r="A49" s="6" t="s">
        <v>105</v>
      </c>
      <c r="B49" s="63" t="n">
        <f aca="false">INDEX('Scenario calc'!$C$102:$BJ$102,B$48*12)</f>
        <v>-52322.2790208757</v>
      </c>
      <c r="C49" s="63" t="n">
        <f aca="false">INDEX('Scenario calc'!$C$102:$BJ$102,C$48*12)</f>
        <v>-731025.649005202</v>
      </c>
      <c r="D49" s="63" t="n">
        <f aca="false">INDEX('Scenario calc'!$C$102:$BJ$102,D$48*12)</f>
        <v>-1288612.08680362</v>
      </c>
      <c r="E49" s="63" t="n">
        <f aca="false">INDEX('Scenario calc'!$C$102:$BJ$102,E$48*12)</f>
        <v>-1778398.3930023</v>
      </c>
      <c r="F49" s="63" t="n">
        <f aca="false">INDEX('Scenario calc'!$C$102:$BJ$102,F$48*12)</f>
        <v>-2231348.97261607</v>
      </c>
    </row>
    <row r="50" customFormat="false" ht="15" hidden="false" customHeight="false" outlineLevel="0" collapsed="false">
      <c r="A50" s="6" t="s">
        <v>106</v>
      </c>
      <c r="B50" s="63" t="n">
        <f aca="false">INDEX('Scenario calc'!$C$231:$BJ$231,B$48*12)</f>
        <v>357219.364054081</v>
      </c>
      <c r="C50" s="63" t="n">
        <f aca="false">INDEX('Scenario calc'!$C$231:$BJ$231,C$48*12)</f>
        <v>226873.838743211</v>
      </c>
      <c r="D50" s="63" t="n">
        <f aca="false">INDEX('Scenario calc'!$C$231:$BJ$231,D$48*12)</f>
        <v>376024.314834002</v>
      </c>
      <c r="E50" s="63" t="n">
        <f aca="false">INDEX('Scenario calc'!$C$231:$BJ$231,E$48*12)</f>
        <v>745896.446656723</v>
      </c>
      <c r="F50" s="63" t="n">
        <f aca="false">INDEX('Scenario calc'!$C$231:$BJ$231,F$48*12)</f>
        <v>1260379.71084762</v>
      </c>
    </row>
    <row r="51" customFormat="false" ht="15" hidden="false" customHeight="false" outlineLevel="0" collapsed="false">
      <c r="A51" s="6" t="s">
        <v>107</v>
      </c>
      <c r="B51" s="63" t="n">
        <f aca="false">INDEX('Scenario calc'!$C$360:$BJ$360,B$48*12)</f>
        <v>853302.314989332</v>
      </c>
      <c r="C51" s="63" t="n">
        <f aca="false">INDEX('Scenario calc'!$C$360:$BJ$360,C$48*12)</f>
        <v>1372134.28837141</v>
      </c>
      <c r="D51" s="63" t="n">
        <f aca="false">INDEX('Scenario calc'!$C$360:$BJ$360,D$48*12)</f>
        <v>2288697.84087389</v>
      </c>
      <c r="E51" s="63" t="n">
        <f aca="false">INDEX('Scenario calc'!$C$360:$BJ$360,E$48*12)</f>
        <v>3614622.58414787</v>
      </c>
      <c r="F51" s="63" t="n">
        <f aca="false">INDEX('Scenario calc'!$C$360:$BJ$360,F$48*12)</f>
        <v>5311510.69741741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127</v>
      </c>
      <c r="B6" s="67" t="n">
        <f aca="false">MATCH(MIN(Monthly!$C$100:$BJ$100),Monthly!$C$100:$BJ$100,0)</f>
        <v>26</v>
      </c>
    </row>
    <row r="7" customFormat="false" ht="15" hidden="false" customHeight="false" outlineLevel="0" collapsed="false">
      <c r="A7" s="6" t="s">
        <v>137</v>
      </c>
      <c r="B7" s="69" t="n">
        <f aca="false">SUMPRODUCT(--(Monthly!$C$4:$BJ$4&lt;=$B$6),Monthly!$C$72:$BJ$72)</f>
        <v>4180000</v>
      </c>
    </row>
    <row r="8" customFormat="false" ht="15" hidden="false" customHeight="false" outlineLevel="0" collapsed="false">
      <c r="A8" s="6" t="s">
        <v>138</v>
      </c>
      <c r="B8" s="69" t="n">
        <f aca="false">-SUMPRODUCT(--(Monthly!$C$4:$BJ$4&lt;=$B$6),Monthly!$C$94:$BJ$94)</f>
        <v>115982.828757265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9" t="n">
        <f aca="false">-SUMPRODUCT(--(Monthly!$C$4:$BJ$4&lt;=$B$6),Monthly!$C$82:$BJ$82)</f>
        <v>625000</v>
      </c>
    </row>
    <row r="10" customFormat="false" ht="15" hidden="false" customHeight="false" outlineLevel="0" collapsed="false">
      <c r="A10" s="4" t="s">
        <v>141</v>
      </c>
      <c r="B10" s="70" t="n">
        <f aca="false">B7+B8+B9</f>
        <v>4920982.82875727</v>
      </c>
    </row>
    <row r="11" customFormat="false" ht="15" hidden="false" customHeight="false" outlineLevel="0" collapsed="false">
      <c r="A11" s="6" t="s">
        <v>142</v>
      </c>
      <c r="B11" s="71" t="n">
        <f aca="false">Inputs!$E$84</f>
        <v>281000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70" t="n">
        <f aca="false">B10+B11</f>
        <v>5201982.82875727</v>
      </c>
    </row>
    <row r="14" customFormat="false" ht="15" hidden="false" customHeight="false" outlineLevel="0" collapsed="false">
      <c r="A14" s="6" t="s">
        <v>64</v>
      </c>
      <c r="B14" s="71" t="n">
        <f aca="false">Inputs!$E$69</f>
        <v>2100000</v>
      </c>
    </row>
    <row r="15" customFormat="false" ht="15" hidden="false" customHeight="false" outlineLevel="0" collapsed="false">
      <c r="A15" s="6" t="s">
        <v>65</v>
      </c>
      <c r="B15" s="71" t="n">
        <f aca="false">Inputs!$E$70</f>
        <v>3000000</v>
      </c>
    </row>
    <row r="16" customFormat="false" ht="15" hidden="false" customHeight="false" outlineLevel="0" collapsed="false">
      <c r="A16" s="4" t="s">
        <v>145</v>
      </c>
      <c r="B16" s="70" t="n">
        <f aca="false">B14+B15</f>
        <v>5100000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-101982.828757265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9" t="n">
        <f aca="false">MIN(Monthly!$C$100:$BJ$100)</f>
        <v>179017.171242736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150</v>
      </c>
      <c r="B21" s="67" t="n">
        <f aca="false">IFERROR(MATCH(1,Monthly!$C$101:$BJ$101,0),"Not within horizon")</f>
        <v>8</v>
      </c>
    </row>
    <row r="22" customFormat="false" ht="15" hidden="false" customHeight="false" outlineLevel="0" collapsed="false">
      <c r="A22" s="6" t="s">
        <v>151</v>
      </c>
      <c r="B22" s="67" t="n">
        <f aca="false">IFERROR(MATCH(1,Monthly!$C$104:$BJ$104,0),"Not within horizon")</f>
        <v>23</v>
      </c>
    </row>
    <row r="23" customFormat="false" ht="15" hidden="false" customHeight="false" outlineLevel="0" collapsed="false">
      <c r="A23" s="6" t="s">
        <v>152</v>
      </c>
      <c r="B23" s="67" t="str">
        <f aca="false">IF(MIN(Monthly!$C$106:$BJ$106)&gt;=0,"No investment to pay back",IFERROR(MATCH(1,Monthly!$C$108:$BJ$108,0),"Not within horizon"))</f>
        <v>Not within horizon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4" t="s">
        <v>155</v>
      </c>
      <c r="B26" s="74" t="n">
        <v>1</v>
      </c>
      <c r="C26" s="74" t="n">
        <v>2</v>
      </c>
      <c r="D26" s="74" t="n">
        <v>3</v>
      </c>
      <c r="E26" s="74" t="n">
        <v>4</v>
      </c>
      <c r="F26" s="74" t="n">
        <v>5</v>
      </c>
    </row>
    <row r="27" customFormat="false" ht="15" hidden="false" customHeight="false" outlineLevel="0" collapsed="false">
      <c r="A27" s="33"/>
      <c r="B27" s="52" t="s">
        <v>156</v>
      </c>
      <c r="C27" s="52" t="s">
        <v>157</v>
      </c>
      <c r="D27" s="52" t="s">
        <v>158</v>
      </c>
      <c r="E27" s="52" t="s">
        <v>159</v>
      </c>
      <c r="F27" s="52" t="s">
        <v>160</v>
      </c>
    </row>
    <row r="28" customFormat="false" ht="15" hidden="false" customHeight="false" outlineLevel="0" collapsed="false">
      <c r="A28" s="4" t="s">
        <v>44</v>
      </c>
      <c r="B28" s="75" t="n">
        <f aca="false">SUMIF(Monthly!$C$5:$BJ$5,B$26,Monthly!$C$37:$BJ$37)</f>
        <v>1180182.39164623</v>
      </c>
      <c r="C28" s="75" t="n">
        <f aca="false">SUMIF(Monthly!$C$5:$BJ$5,C$26,Monthly!$C$37:$BJ$37)</f>
        <v>1846649.01829223</v>
      </c>
      <c r="D28" s="75" t="n">
        <f aca="false">SUMIF(Monthly!$C$5:$BJ$5,D$26,Monthly!$C$37:$BJ$37)</f>
        <v>2170291.60192013</v>
      </c>
      <c r="E28" s="75" t="n">
        <f aca="false">SUMIF(Monthly!$C$5:$BJ$5,E$26,Monthly!$C$37:$BJ$37)</f>
        <v>2428630.05206795</v>
      </c>
      <c r="F28" s="75" t="n">
        <f aca="false">SUMIF(Monthly!$C$5:$BJ$5,F$26,Monthly!$C$37:$BJ$37)</f>
        <v>2649323.50145466</v>
      </c>
    </row>
    <row r="29" customFormat="false" ht="15" hidden="false" customHeight="false" outlineLevel="0" collapsed="false">
      <c r="A29" s="6" t="s">
        <v>45</v>
      </c>
      <c r="B29" s="69" t="n">
        <f aca="false">SUMIF(Monthly!$C$5:$BJ$5,B$26,Monthly!$C$46:$BJ$46)</f>
        <v>999760.792729705</v>
      </c>
      <c r="C29" s="69" t="n">
        <f aca="false">SUMIF(Monthly!$C$5:$BJ$5,C$26,Monthly!$C$46:$BJ$46)</f>
        <v>1551921.0222885</v>
      </c>
      <c r="D29" s="69" t="n">
        <f aca="false">SUMIF(Monthly!$C$5:$BJ$5,D$26,Monthly!$C$46:$BJ$46)</f>
        <v>1813150.35132162</v>
      </c>
      <c r="E29" s="69" t="n">
        <f aca="false">SUMIF(Monthly!$C$5:$BJ$5,E$26,Monthly!$C$46:$BJ$46)</f>
        <v>2021109.71992355</v>
      </c>
      <c r="F29" s="69" t="n">
        <f aca="false">SUMIF(Monthly!$C$5:$BJ$5,F$26,Monthly!$C$46:$BJ$46)</f>
        <v>2198277.52390374</v>
      </c>
    </row>
    <row r="30" customFormat="false" ht="15" hidden="false" customHeight="false" outlineLevel="0" collapsed="false">
      <c r="A30" s="38" t="s">
        <v>161</v>
      </c>
      <c r="B30" s="76" t="n">
        <f aca="false">IF(B28=0,0,B29/B28)</f>
        <v>0.847123969825669</v>
      </c>
      <c r="C30" s="76" t="n">
        <f aca="false">IF(C28=0,0,C29/C28)</f>
        <v>0.840398476871209</v>
      </c>
      <c r="D30" s="76" t="n">
        <f aca="false">IF(D28=0,0,D29/D28)</f>
        <v>0.835440891775769</v>
      </c>
      <c r="E30" s="76" t="n">
        <f aca="false">IF(E28=0,0,E29/E28)</f>
        <v>0.832201560794572</v>
      </c>
      <c r="F30" s="76" t="n">
        <f aca="false">IF(F28=0,0,F29/F28)</f>
        <v>0.82975050902494</v>
      </c>
    </row>
    <row r="31" customFormat="false" ht="15" hidden="false" customHeight="false" outlineLevel="0" collapsed="false">
      <c r="A31" s="6" t="s">
        <v>162</v>
      </c>
      <c r="B31" s="69" t="n">
        <f aca="false">-SUMIF(Monthly!$C$5:$BJ$5,B$26,Monthly!$C$54:$BJ$54)</f>
        <v>1123040</v>
      </c>
      <c r="C31" s="69" t="n">
        <f aca="false">-SUMIF(Monthly!$C$5:$BJ$5,C$26,Monthly!$C$54:$BJ$54)</f>
        <v>1123611.2</v>
      </c>
      <c r="D31" s="69" t="n">
        <f aca="false">-SUMIF(Monthly!$C$5:$BJ$5,D$26,Monthly!$C$54:$BJ$54)</f>
        <v>1130823.536</v>
      </c>
      <c r="E31" s="69" t="n">
        <f aca="false">-SUMIF(Monthly!$C$5:$BJ$5,E$26,Monthly!$C$54:$BJ$54)</f>
        <v>1143551.44208</v>
      </c>
      <c r="F31" s="69" t="n">
        <f aca="false">-SUMIF(Monthly!$C$5:$BJ$5,F$26,Monthly!$C$54:$BJ$54)</f>
        <v>1160900.5453424</v>
      </c>
    </row>
    <row r="32" customFormat="false" ht="15" hidden="false" customHeight="false" outlineLevel="0" collapsed="false">
      <c r="A32" s="4" t="s">
        <v>163</v>
      </c>
      <c r="B32" s="75" t="n">
        <f aca="false">IF(B30&gt;0,B31/B30,"n/a")</f>
        <v>1325709.15238193</v>
      </c>
      <c r="C32" s="75" t="n">
        <f aca="false">IF(C30&gt;0,C31/C30,"n/a")</f>
        <v>1336998.13948163</v>
      </c>
      <c r="D32" s="75" t="n">
        <f aca="false">IF(D30&gt;0,D31/D30,"n/a")</f>
        <v>1353564.98243267</v>
      </c>
      <c r="E32" s="75" t="n">
        <f aca="false">IF(E30&gt;0,E31/E30,"n/a")</f>
        <v>1374127.97085859</v>
      </c>
      <c r="F32" s="75" t="n">
        <f aca="false">IF(F30&gt;0,F31/F30,"n/a")</f>
        <v>1399095.91222379</v>
      </c>
    </row>
    <row r="33" customFormat="false" ht="15" hidden="false" customHeight="false" outlineLevel="0" collapsed="false">
      <c r="A33" s="38" t="s">
        <v>164</v>
      </c>
      <c r="B33" s="76" t="n">
        <f aca="false">IF(AND(ISNUMBER(B32),B28&gt;0),(B28-B32)/B28,"n/a")</f>
        <v>-0.123308703608688</v>
      </c>
      <c r="C33" s="76" t="n">
        <f aca="false">IF(AND(ISNUMBER(C32),C28&gt;0),(C28-C32)/C28,"n/a")</f>
        <v>0.275986867976634</v>
      </c>
      <c r="D33" s="76" t="n">
        <f aca="false">IF(AND(ISNUMBER(D32),D28&gt;0),(D28-D32)/D28,"n/a")</f>
        <v>0.376321144478871</v>
      </c>
      <c r="E33" s="76" t="n">
        <f aca="false">IF(AND(ISNUMBER(E32),E28&gt;0),(E28-E32)/E28,"n/a")</f>
        <v>0.434196258220333</v>
      </c>
      <c r="F33" s="76" t="n">
        <f aca="false">IF(AND(ISNUMBER(F32),F28&gt;0),(F28-F32)/F28,"n/a")</f>
        <v>0.471904464873547</v>
      </c>
    </row>
    <row r="35" customFormat="false" ht="15" hidden="false" customHeight="false" outlineLevel="0" collapsed="false">
      <c r="A35" s="38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166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167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168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169</v>
      </c>
      <c r="B6" s="77" t="n">
        <f aca="false">Inputs!$E$87</f>
        <v>0.25</v>
      </c>
    </row>
    <row r="7" customFormat="false" ht="15" hidden="false" customHeight="false" outlineLevel="0" collapsed="false">
      <c r="A7" s="38" t="s">
        <v>170</v>
      </c>
      <c r="B7" s="77" t="n">
        <f aca="false">Inputs!$E$88</f>
        <v>0.02</v>
      </c>
    </row>
    <row r="8" customFormat="false" ht="15" hidden="false" customHeight="false" outlineLevel="0" collapsed="false">
      <c r="A8" s="6" t="s">
        <v>171</v>
      </c>
      <c r="B8" s="78" t="n">
        <f aca="false">Inputs!$E$89</f>
        <v>4</v>
      </c>
    </row>
    <row r="9" customFormat="false" ht="15" hidden="false" customHeight="false" outlineLevel="0" collapsed="false">
      <c r="A9" s="38" t="s">
        <v>172</v>
      </c>
      <c r="B9" s="77" t="n">
        <f aca="false">Inputs!$E$81</f>
        <v>0.21</v>
      </c>
    </row>
    <row r="10" customFormat="false" ht="15" hidden="false" customHeight="false" outlineLevel="0" collapsed="false">
      <c r="A10" s="38" t="s">
        <v>173</v>
      </c>
      <c r="B10" s="77" t="n">
        <f aca="false">Inputs!$E$90</f>
        <v>0.01</v>
      </c>
    </row>
    <row r="11" customFormat="false" ht="15" hidden="false" customHeight="false" outlineLevel="0" collapsed="false">
      <c r="A11" s="38" t="s">
        <v>174</v>
      </c>
      <c r="B11" s="77" t="n">
        <f aca="false">Inputs!$E$91</f>
        <v>0.005</v>
      </c>
    </row>
    <row r="13" customFormat="false" ht="15.75" hidden="false" customHeight="true" outlineLevel="0" collapsed="false">
      <c r="A13" s="7" t="s">
        <v>175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4" t="s">
        <v>155</v>
      </c>
      <c r="B14" s="74" t="n">
        <v>1</v>
      </c>
      <c r="C14" s="74" t="n">
        <v>2</v>
      </c>
      <c r="D14" s="74" t="n">
        <v>3</v>
      </c>
      <c r="E14" s="74" t="n">
        <v>4</v>
      </c>
      <c r="F14" s="74" t="n">
        <v>5</v>
      </c>
    </row>
    <row r="15" customFormat="false" ht="15" hidden="false" customHeight="false" outlineLevel="0" collapsed="false">
      <c r="A15" s="33"/>
      <c r="B15" s="52" t="s">
        <v>156</v>
      </c>
      <c r="C15" s="52" t="s">
        <v>157</v>
      </c>
      <c r="D15" s="52" t="s">
        <v>158</v>
      </c>
      <c r="E15" s="52" t="s">
        <v>159</v>
      </c>
      <c r="F15" s="52" t="s">
        <v>160</v>
      </c>
    </row>
    <row r="16" customFormat="false" ht="15" hidden="false" customHeight="false" outlineLevel="0" collapsed="false">
      <c r="A16" s="6" t="s">
        <v>48</v>
      </c>
      <c r="B16" s="69" t="n">
        <f aca="false">SUMIF(Monthly!$C$5:$BJ$5,B$14,Monthly!$C$55:$BJ$55)</f>
        <v>-123279.207270295</v>
      </c>
      <c r="C16" s="69" t="n">
        <f aca="false">SUMIF(Monthly!$C$5:$BJ$5,C$14,Monthly!$C$55:$BJ$55)</f>
        <v>428309.8222885</v>
      </c>
      <c r="D16" s="69" t="n">
        <f aca="false">SUMIF(Monthly!$C$5:$BJ$5,D$14,Monthly!$C$55:$BJ$55)</f>
        <v>682326.815321617</v>
      </c>
      <c r="E16" s="69" t="n">
        <f aca="false">SUMIF(Monthly!$C$5:$BJ$5,E$14,Monthly!$C$55:$BJ$55)</f>
        <v>877558.27784355</v>
      </c>
      <c r="F16" s="69" t="n">
        <f aca="false">SUMIF(Monthly!$C$5:$BJ$5,F$14,Monthly!$C$55:$BJ$55)</f>
        <v>1037376.97856134</v>
      </c>
    </row>
    <row r="17" customFormat="false" ht="15" hidden="false" customHeight="false" outlineLevel="0" collapsed="false">
      <c r="A17" s="4" t="s">
        <v>176</v>
      </c>
      <c r="B17" s="75" t="n">
        <f aca="false">SUMIF(Monthly!$C$5:$BJ$5,B$14,Monthly!$C$109:$BJ$109)</f>
        <v>-4274794.33386259</v>
      </c>
      <c r="C17" s="75" t="n">
        <f aca="false">SUMIF(Monthly!$C$5:$BJ$5,C$14,Monthly!$C$109:$BJ$109)</f>
        <v>342565.724689131</v>
      </c>
      <c r="D17" s="75" t="n">
        <f aca="false">SUMIF(Monthly!$C$5:$BJ$5,D$14,Monthly!$C$109:$BJ$109)</f>
        <v>601916.726090791</v>
      </c>
      <c r="E17" s="75" t="n">
        <f aca="false">SUMIF(Monthly!$C$5:$BJ$5,E$14,Monthly!$C$109:$BJ$109)</f>
        <v>802493.38182272</v>
      </c>
      <c r="F17" s="75" t="n">
        <f aca="false">SUMIF(Monthly!$C$5:$BJ$5,F$14,Monthly!$C$109:$BJ$109)</f>
        <v>926959.514190895</v>
      </c>
    </row>
    <row r="18" customFormat="false" ht="15" hidden="false" customHeight="false" outlineLevel="0" collapsed="false">
      <c r="A18" s="6" t="s">
        <v>177</v>
      </c>
      <c r="B18" s="79" t="n">
        <f aca="false">1/(1+Inputs!$E$87)^B$14</f>
        <v>0.8</v>
      </c>
      <c r="C18" s="79" t="n">
        <f aca="false">1/(1+Inputs!$E$87)^C$14</f>
        <v>0.64</v>
      </c>
      <c r="D18" s="79" t="n">
        <f aca="false">1/(1+Inputs!$E$87)^D$14</f>
        <v>0.512</v>
      </c>
      <c r="E18" s="79" t="n">
        <f aca="false">1/(1+Inputs!$E$87)^E$14</f>
        <v>0.4096</v>
      </c>
      <c r="F18" s="79" t="n">
        <f aca="false">1/(1+Inputs!$E$87)^F$14</f>
        <v>0.32768</v>
      </c>
    </row>
    <row r="19" customFormat="false" ht="15" hidden="false" customHeight="false" outlineLevel="0" collapsed="false">
      <c r="A19" s="6" t="s">
        <v>178</v>
      </c>
      <c r="B19" s="69" t="n">
        <f aca="false">B17*B18</f>
        <v>-3419835.46709007</v>
      </c>
      <c r="C19" s="69" t="n">
        <f aca="false">C17*C18</f>
        <v>219242.063801044</v>
      </c>
      <c r="D19" s="69" t="n">
        <f aca="false">D17*D18</f>
        <v>308181.363758485</v>
      </c>
      <c r="E19" s="69" t="n">
        <f aca="false">E17*E18</f>
        <v>328701.289194586</v>
      </c>
      <c r="F19" s="69" t="n">
        <f aca="false">F17*F18</f>
        <v>303746.093610072</v>
      </c>
    </row>
    <row r="21" customFormat="false" ht="15.75" hidden="false" customHeight="true" outlineLevel="0" collapsed="false">
      <c r="A21" s="7" t="s">
        <v>179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180</v>
      </c>
      <c r="C22" s="52" t="s">
        <v>181</v>
      </c>
    </row>
    <row r="23" customFormat="false" ht="15" hidden="false" customHeight="false" outlineLevel="0" collapsed="false">
      <c r="A23" s="6" t="s">
        <v>182</v>
      </c>
      <c r="B23" s="69" t="n">
        <f aca="false">SUM($B$19:$F$19)</f>
        <v>-2259964.65672588</v>
      </c>
      <c r="C23" s="69" t="n">
        <f aca="false">B23</f>
        <v>-2259964.65672588</v>
      </c>
    </row>
    <row r="24" customFormat="false" ht="15" hidden="false" customHeight="false" outlineLevel="0" collapsed="false">
      <c r="A24" s="6" t="s">
        <v>183</v>
      </c>
      <c r="B24" s="69" t="n">
        <f aca="false">$F$17</f>
        <v>926959.514190895</v>
      </c>
      <c r="C24" s="69" t="n">
        <f aca="false">$F$16</f>
        <v>1037376.97856134</v>
      </c>
    </row>
    <row r="25" customFormat="false" ht="15" hidden="false" customHeight="false" outlineLevel="0" collapsed="false">
      <c r="A25" s="6" t="s">
        <v>184</v>
      </c>
      <c r="B25" s="69" t="n">
        <f aca="false">IF($B$6&gt;$B$7,B24*(1+$B$7)/($B$6-$B$7),0)</f>
        <v>4110863.93249875</v>
      </c>
      <c r="C25" s="69" t="n">
        <f aca="false">C24*$B$8</f>
        <v>4149507.91424536</v>
      </c>
    </row>
    <row r="26" customFormat="false" ht="15" hidden="false" customHeight="false" outlineLevel="0" collapsed="false">
      <c r="A26" s="6" t="s">
        <v>185</v>
      </c>
      <c r="B26" s="69" t="n">
        <f aca="false">B25/(1+$B$6)^$F$14</f>
        <v>1347047.89340119</v>
      </c>
      <c r="C26" s="69" t="n">
        <f aca="false">C25/(1+$B$6)^$F$14</f>
        <v>1359710.75333992</v>
      </c>
    </row>
    <row r="27" customFormat="false" ht="15" hidden="false" customHeight="false" outlineLevel="0" collapsed="false">
      <c r="A27" s="4" t="s">
        <v>179</v>
      </c>
      <c r="B27" s="70" t="n">
        <f aca="false">B23+B26</f>
        <v>-912916.763324691</v>
      </c>
      <c r="C27" s="70" t="n">
        <f aca="false">C23+C26</f>
        <v>-900253.903385962</v>
      </c>
    </row>
    <row r="28" customFormat="false" ht="15" hidden="false" customHeight="false" outlineLevel="0" collapsed="false">
      <c r="A28" s="38" t="s">
        <v>186</v>
      </c>
      <c r="B28" s="76" t="n">
        <f aca="false">IF(B27&lt;&gt;0,B26/B27,0)</f>
        <v>-1.47554294927773</v>
      </c>
      <c r="C28" s="76" t="n">
        <f aca="false">IF(C27&lt;&gt;0,C26/C27,0)</f>
        <v>-1.51036362988917</v>
      </c>
    </row>
    <row r="29" customFormat="false" ht="15" hidden="false" customHeight="false" outlineLevel="0" collapsed="false">
      <c r="A29" s="6" t="s">
        <v>187</v>
      </c>
      <c r="B29" s="80" t="n">
        <f aca="false">IF(C24&gt;0,B25/C24,"n/a")</f>
        <v>3.96274837157057</v>
      </c>
      <c r="C29" s="76" t="n">
        <f aca="false">IF(C25+B24&lt;&gt;0,(C25*$B$6-B24)/(C25+B24),"n/a")</f>
        <v>0.0217508466127316</v>
      </c>
    </row>
    <row r="30" customFormat="false" ht="15" hidden="false" customHeight="false" outlineLevel="0" collapsed="false">
      <c r="A30" s="72" t="s">
        <v>188</v>
      </c>
      <c r="B30" s="73" t="n">
        <f aca="false">AVERAGE(B27,C27)</f>
        <v>-906585.333355327</v>
      </c>
    </row>
    <row r="32" customFormat="false" ht="15.75" hidden="false" customHeight="true" outlineLevel="0" collapsed="false">
      <c r="A32" s="7" t="s">
        <v>189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190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IF($A34&gt;B$33,SUMPRODUCT($B$17:$F$17/(1+$A34)^$B$14:$F$14)+$F$17*(1+B$33)/($A34-B$33)/(1+$A34)^$F$14,"n/a")</f>
        <v>-734098.208310877</v>
      </c>
      <c r="C34" s="69" t="n">
        <f aca="false">IF($A34&gt;C$33,SUMPRODUCT($B$17:$F$17/(1+$A34)^$B$14:$F$14)+$F$17*(1+C$33)/($A34-C$33)/(1+$A34)^$F$14,"n/a")</f>
        <v>-691287.818316757</v>
      </c>
      <c r="D34" s="69" t="n">
        <f aca="false">IF($A34&gt;D$33,SUMPRODUCT($B$17:$F$17/(1+$A34)^$B$14:$F$14)+$F$17*(1+D$33)/($A34-D$33)/(1+$A34)^$F$14,"n/a")</f>
        <v>-646438.838322916</v>
      </c>
      <c r="E34" s="69" t="n">
        <f aca="false">IF($A34&gt;E$33,SUMPRODUCT($B$17:$F$17/(1+$A34)^$B$14:$F$14)+$F$17*(1+E$33)/($A34-E$33)/(1+$A34)^$F$14,"n/a")</f>
        <v>-599402.103207425</v>
      </c>
      <c r="F34" s="69" t="n">
        <f aca="false">IF($A34&gt;F$33,SUMPRODUCT($B$17:$F$17/(1+$A34)^$B$14:$F$14)+$F$17*(1+F$33)/($A34-F$33)/(1+$A34)^$F$14,"n/a")</f>
        <v>-550013.531336158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IF($A35&gt;B$33,SUMPRODUCT($B$17:$F$17/(1+$A35)^$B$14:$F$14)+$F$17*(1+B$33)/($A35-B$33)/(1+$A35)^$F$14,"n/a")</f>
        <v>-864798.085853875</v>
      </c>
      <c r="C35" s="69" t="n">
        <f aca="false">IF($A35&gt;C$33,SUMPRODUCT($B$17:$F$17/(1+$A35)^$B$14:$F$14)+$F$17*(1+C$33)/($A35-C$33)/(1+$A35)^$F$14,"n/a")</f>
        <v>-826916.018151619</v>
      </c>
      <c r="D35" s="69" t="n">
        <f aca="false">IF($A35&gt;D$33,SUMPRODUCT($B$17:$F$17/(1+$A35)^$B$14:$F$14)+$F$17*(1+D$33)/($A35-D$33)/(1+$A35)^$F$14,"n/a")</f>
        <v>-787312.038281077</v>
      </c>
      <c r="E35" s="69" t="n">
        <f aca="false">IF($A35&gt;E$33,SUMPRODUCT($B$17:$F$17/(1+$A35)^$B$14:$F$14)+$F$17*(1+E$33)/($A35-E$33)/(1+$A35)^$F$14,"n/a")</f>
        <v>-745866.012835163</v>
      </c>
      <c r="F35" s="69" t="n">
        <f aca="false">IF($A35&gt;F$33,SUMPRODUCT($B$17:$F$17/(1+$A35)^$B$14:$F$14)+$F$17*(1+F$33)/($A35-F$33)/(1+$A35)^$F$14,"n/a")</f>
        <v>-702446.367129918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IF($A36&gt;B$33,SUMPRODUCT($B$17:$F$17/(1+$A36)^$B$14:$F$14)+$F$17*(1+B$33)/($A36-B$33)/(1+$A36)^$F$14,"n/a")</f>
        <v>-981699.846116827</v>
      </c>
      <c r="C36" s="69" t="n">
        <f aca="false">IF($A36&gt;C$33,SUMPRODUCT($B$17:$F$17/(1+$A36)^$B$14:$F$14)+$F$17*(1+C$33)/($A36-C$33)/(1+$A36)^$F$14,"n/a")</f>
        <v>-948040.03964408</v>
      </c>
      <c r="D36" s="69" t="n">
        <f aca="false">IF($A36&gt;D$33,SUMPRODUCT($B$17:$F$17/(1+$A36)^$B$14:$F$14)+$F$17*(1+D$33)/($A36-D$33)/(1+$A36)^$F$14,"n/a")</f>
        <v>-912916.763324691</v>
      </c>
      <c r="E36" s="69" t="n">
        <f aca="false">IF($A36&gt;E$33,SUMPRODUCT($B$17:$F$17/(1+$A36)^$B$14:$F$14)+$F$17*(1+E$33)/($A36-E$33)/(1+$A36)^$F$14,"n/a")</f>
        <v>-876232.452502219</v>
      </c>
      <c r="F36" s="69" t="n">
        <f aca="false">IF($A36&gt;F$33,SUMPRODUCT($B$17:$F$17/(1+$A36)^$B$14:$F$14)+$F$17*(1+F$33)/($A36-F$33)/(1+$A36)^$F$14,"n/a")</f>
        <v>-837880.673005997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IF($A37&gt;B$33,SUMPRODUCT($B$17:$F$17/(1+$A37)^$B$14:$F$14)+$F$17*(1+B$33)/($A37-B$33)/(1+$A37)^$F$14,"n/a")</f>
        <v>-1086538.6404251</v>
      </c>
      <c r="C37" s="69" t="n">
        <f aca="false">IF($A37&gt;C$33,SUMPRODUCT($B$17:$F$17/(1+$A37)^$B$14:$F$14)+$F$17*(1+C$33)/($A37-C$33)/(1+$A37)^$F$14,"n/a")</f>
        <v>-1056516.44157319</v>
      </c>
      <c r="D37" s="69" t="n">
        <f aca="false">IF($A37&gt;D$33,SUMPRODUCT($B$17:$F$17/(1+$A37)^$B$14:$F$14)+$F$17*(1+D$33)/($A37-D$33)/(1+$A37)^$F$14,"n/a")</f>
        <v>-1025243.31776911</v>
      </c>
      <c r="E37" s="69" t="n">
        <f aca="false">IF($A37&gt;E$33,SUMPRODUCT($B$17:$F$17/(1+$A37)^$B$14:$F$14)+$F$17*(1+E$33)/($A37-E$33)/(1+$A37)^$F$14,"n/a")</f>
        <v>-992639.422739334</v>
      </c>
      <c r="F37" s="69" t="n">
        <f aca="false">IF($A37&gt;F$33,SUMPRODUCT($B$17:$F$17/(1+$A37)^$B$14:$F$14)+$F$17*(1+F$33)/($A37-F$33)/(1+$A37)^$F$14,"n/a")</f>
        <v>-958617.967056085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IF($A38&gt;B$33,SUMPRODUCT($B$17:$F$17/(1+$A38)^$B$14:$F$14)+$F$17*(1+B$33)/($A38-B$33)/(1+$A38)^$F$14,"n/a")</f>
        <v>-1180779.75703413</v>
      </c>
      <c r="C38" s="69" t="n">
        <f aca="false">IF($A38&gt;C$33,SUMPRODUCT($B$17:$F$17/(1+$A38)^$B$14:$F$14)+$F$17*(1+C$33)/($A38-C$33)/(1+$A38)^$F$14,"n/a")</f>
        <v>-1153907.61053698</v>
      </c>
      <c r="D38" s="69" t="n">
        <f aca="false">IF($A38&gt;D$33,SUMPRODUCT($B$17:$F$17/(1+$A38)^$B$14:$F$14)+$F$17*(1+D$33)/($A38-D$33)/(1+$A38)^$F$14,"n/a")</f>
        <v>-1125960.57817994</v>
      </c>
      <c r="E38" s="69" t="n">
        <f aca="false">IF($A38&gt;E$33,SUMPRODUCT($B$17:$F$17/(1+$A38)^$B$14:$F$14)+$F$17*(1+E$33)/($A38-E$33)/(1+$A38)^$F$14,"n/a")</f>
        <v>-1096872.85062466</v>
      </c>
      <c r="F38" s="69" t="n">
        <f aca="false">IF($A38&gt;F$33,SUMPRODUCT($B$17:$F$17/(1+$A38)^$B$14:$F$14)+$F$17*(1+F$33)/($A38-F$33)/(1+$A38)^$F$14,"n/a")</f>
        <v>-1066573.13442124</v>
      </c>
    </row>
    <row r="40" customFormat="false" ht="15" hidden="false" customHeight="false" outlineLevel="0" collapsed="false">
      <c r="A40" s="38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192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193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194</v>
      </c>
      <c r="B5" s="7"/>
      <c r="C5" s="7"/>
    </row>
    <row r="6" customFormat="false" ht="15" hidden="false" customHeight="false" outlineLevel="0" collapsed="false">
      <c r="B6" s="52" t="s">
        <v>195</v>
      </c>
      <c r="C6" s="52" t="s">
        <v>196</v>
      </c>
    </row>
    <row r="7" customFormat="false" ht="15" hidden="false" customHeight="false" outlineLevel="0" collapsed="false">
      <c r="A7" s="6" t="s">
        <v>197</v>
      </c>
      <c r="B7" s="82" t="n">
        <f aca="false">Inputs!$E$69</f>
        <v>2100000</v>
      </c>
      <c r="C7" s="76" t="n">
        <f aca="false">IF($B$9=0,0,B7/$B$9)</f>
        <v>0.411764705882353</v>
      </c>
    </row>
    <row r="8" customFormat="false" ht="15" hidden="false" customHeight="false" outlineLevel="0" collapsed="false">
      <c r="A8" s="6" t="s">
        <v>198</v>
      </c>
      <c r="B8" s="82" t="n">
        <f aca="false">Inputs!$E$70</f>
        <v>3000000</v>
      </c>
      <c r="C8" s="76" t="n">
        <f aca="false">IF($B$9=0,0,B8/$B$9)</f>
        <v>0.588235294117647</v>
      </c>
    </row>
    <row r="9" customFormat="false" ht="15" hidden="false" customHeight="false" outlineLevel="0" collapsed="false">
      <c r="A9" s="4" t="s">
        <v>199</v>
      </c>
      <c r="B9" s="83" t="n">
        <f aca="false">B7+B8</f>
        <v>5100000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200</v>
      </c>
      <c r="B10" s="80" t="n">
        <f aca="false">IF(B7&lt;=0,IF(B8&gt;0,"n/a",0),B8/B7)</f>
        <v>1.42857142857143</v>
      </c>
      <c r="D10" s="18" t="s">
        <v>201</v>
      </c>
    </row>
    <row r="11" customFormat="false" ht="15" hidden="false" customHeight="false" outlineLevel="0" collapsed="false">
      <c r="A11" s="6" t="s">
        <v>202</v>
      </c>
      <c r="B11" s="82" t="n">
        <f aca="false">'Break-even'!B12</f>
        <v>5201982.82875727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-101982.828757265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203</v>
      </c>
      <c r="B15" s="86" t="n">
        <v>12</v>
      </c>
      <c r="D15" s="18" t="s">
        <v>204</v>
      </c>
    </row>
    <row r="16" customFormat="false" ht="15" hidden="false" customHeight="false" outlineLevel="0" collapsed="false">
      <c r="A16" s="6" t="s">
        <v>205</v>
      </c>
      <c r="B16" s="67" t="n">
        <f aca="false">MIN(60,MAX(1,ROUND(B15,0)))</f>
        <v>12</v>
      </c>
    </row>
    <row r="17" customFormat="false" ht="15" hidden="false" customHeight="false" outlineLevel="0" collapsed="false">
      <c r="A17" s="33" t="s">
        <v>206</v>
      </c>
      <c r="B17" s="52" t="s">
        <v>195</v>
      </c>
      <c r="C17" s="52" t="s">
        <v>196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SUMPRODUCT(--(Monthly!$C$4:$BJ$4&lt;=$B$16),Monthly!$C$96:$BJ$96)</f>
        <v>2100000</v>
      </c>
      <c r="C18" s="76" t="n">
        <f aca="false">IF($B$21=0,0,B18/$B$21)</f>
        <v>0.411764705882353</v>
      </c>
    </row>
    <row r="19" customFormat="false" ht="15" hidden="false" customHeight="false" outlineLevel="0" collapsed="false">
      <c r="A19" s="6" t="s">
        <v>207</v>
      </c>
      <c r="B19" s="63" t="n">
        <f aca="false">SUMPRODUCT(--(Monthly!$C$4:$BJ$4&lt;=$B$16),Monthly!$C$81:$BJ$81)</f>
        <v>3000000</v>
      </c>
      <c r="C19" s="76" t="n">
        <f aca="false">IF($B$21=0,0,B19/$B$21)</f>
        <v>0.588235294117647</v>
      </c>
    </row>
    <row r="20" customFormat="false" ht="15" hidden="false" customHeight="false" outlineLevel="0" collapsed="false">
      <c r="A20" s="6" t="s">
        <v>208</v>
      </c>
      <c r="B20" s="63" t="n">
        <f aca="false">MAX(0,SUMPRODUCT(--(Monthly!$C$4:$BJ$4&lt;=$B$16),Monthly!$C$94:$BJ$94))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209</v>
      </c>
      <c r="B21" s="83" t="n">
        <f aca="false">SUM(B18:B20)</f>
        <v>5100000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210</v>
      </c>
      <c r="B23" s="52" t="s">
        <v>195</v>
      </c>
      <c r="C23" s="52" t="s">
        <v>196</v>
      </c>
    </row>
    <row r="24" customFormat="false" ht="15" hidden="false" customHeight="false" outlineLevel="0" collapsed="false">
      <c r="A24" s="6" t="s">
        <v>211</v>
      </c>
      <c r="B24" s="63" t="n">
        <f aca="false">MAX(0,-SUMPRODUCT(--(Monthly!$C$4:$BJ$4&lt;=$B$16),Monthly!$C$94:$BJ$94))</f>
        <v>367780.63594592</v>
      </c>
      <c r="C24" s="76" t="n">
        <f aca="false">IF($B$28=0,0,B24/$B$28)</f>
        <v>0.0721138501854744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-SUMPRODUCT(--(Monthly!$C$4:$BJ$4&lt;=$B$16),Monthly!$C$95:$BJ$95)</f>
        <v>4100000</v>
      </c>
      <c r="C25" s="76" t="n">
        <f aca="false">IF($B$28=0,0,B25/$B$28)</f>
        <v>0.803921568627451</v>
      </c>
    </row>
    <row r="26" customFormat="false" ht="15" hidden="false" customHeight="false" outlineLevel="0" collapsed="false">
      <c r="A26" s="6" t="s">
        <v>212</v>
      </c>
      <c r="B26" s="63" t="n">
        <f aca="false">-SUMPRODUCT(--(Monthly!$C$4:$BJ$4&lt;=$B$16),Monthly!$C$82:$BJ$82)</f>
        <v>275000</v>
      </c>
      <c r="C26" s="76" t="n">
        <f aca="false">IF($B$28=0,0,B26/$B$28)</f>
        <v>0.053921568627451</v>
      </c>
    </row>
    <row r="27" customFormat="false" ht="15" hidden="false" customHeight="false" outlineLevel="0" collapsed="false">
      <c r="A27" s="6" t="s">
        <v>213</v>
      </c>
      <c r="B27" s="63" t="n">
        <f aca="false">INDEX(Monthly!$C$100:$BJ$100,$B$16)</f>
        <v>357219.364054081</v>
      </c>
      <c r="C27" s="76" t="n">
        <f aca="false">IF($B$28=0,0,B27/$B$28)</f>
        <v>0.0700430125596236</v>
      </c>
    </row>
    <row r="28" customFormat="false" ht="15" hidden="false" customHeight="false" outlineLevel="0" collapsed="false">
      <c r="A28" s="4" t="s">
        <v>214</v>
      </c>
      <c r="B28" s="83" t="n">
        <f aca="false">SUM(B24:B27)</f>
        <v>5100000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215</v>
      </c>
      <c r="B29" s="63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217</v>
      </c>
    </row>
    <row r="4" customFormat="false" ht="15.75" hidden="false" customHeight="true" outlineLevel="0" collapsed="false">
      <c r="A4" s="7" t="s">
        <v>218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219</v>
      </c>
    </row>
    <row r="6" customFormat="false" ht="15" hidden="false" customHeight="false" outlineLevel="0" collapsed="false">
      <c r="A6" s="38" t="s">
        <v>220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0.564714938439597</v>
      </c>
      <c r="D6" s="39" t="n">
        <f aca="false">IF(N('P&amp;L'!C5)&lt;=0,"n/a",'P&amp;L'!D5/'P&amp;L'!C5-1)</f>
        <v>0.175259391699247</v>
      </c>
      <c r="E6" s="39" t="n">
        <f aca="false">IF(N('P&amp;L'!D5)&lt;=0,"n/a",'P&amp;L'!E5/'P&amp;L'!D5-1)</f>
        <v>0.119033981387227</v>
      </c>
      <c r="F6" s="39" t="n">
        <f aca="false">IF(N('P&amp;L'!E5)&lt;=0,"n/a",'P&amp;L'!F5/'P&amp;L'!E5-1)</f>
        <v>0.0908715797199302</v>
      </c>
      <c r="G6" s="87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0.847123969825669</v>
      </c>
      <c r="C7" s="39" t="n">
        <f aca="false">IF('P&amp;L'!C5&lt;=0,"n/a",'P&amp;L'!C7/'P&amp;L'!C5)</f>
        <v>0.840398476871209</v>
      </c>
      <c r="D7" s="39" t="n">
        <f aca="false">IF('P&amp;L'!D5&lt;=0,"n/a",'P&amp;L'!D7/'P&amp;L'!D5)</f>
        <v>0.835440891775769</v>
      </c>
      <c r="E7" s="39" t="n">
        <f aca="false">IF('P&amp;L'!E5&lt;=0,"n/a",'P&amp;L'!E7/'P&amp;L'!E5)</f>
        <v>0.832201560794572</v>
      </c>
      <c r="F7" s="39" t="n">
        <f aca="false">IF('P&amp;L'!F5&lt;=0,"n/a",'P&amp;L'!F7/'P&amp;L'!F5)</f>
        <v>0.82975050902494</v>
      </c>
      <c r="G7" s="87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IF('P&amp;L'!B5&lt;=0,"n/a",'P&amp;L'!B15/'P&amp;L'!B5)</f>
        <v>-0.104457758515049</v>
      </c>
      <c r="C8" s="39" t="n">
        <f aca="false">IF('P&amp;L'!C5&lt;=0,"n/a",'P&amp;L'!C15/'P&amp;L'!C5)</f>
        <v>0.231938943484019</v>
      </c>
      <c r="D8" s="39" t="n">
        <f aca="false">IF('P&amp;L'!D5&lt;=0,"n/a",'P&amp;L'!D15/'P&amp;L'!D5)</f>
        <v>0.314394072537506</v>
      </c>
      <c r="E8" s="39" t="n">
        <f aca="false">IF('P&amp;L'!E5&lt;=0,"n/a",'P&amp;L'!E15/'P&amp;L'!E5)</f>
        <v>0.361338803782124</v>
      </c>
      <c r="F8" s="39" t="n">
        <f aca="false">IF('P&amp;L'!F5&lt;=0,"n/a",'P&amp;L'!F15/'P&amp;L'!F5)</f>
        <v>0.391562969939967</v>
      </c>
      <c r="G8" s="87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IF('P&amp;L'!B5&lt;=0,"n/a",'P&amp;L'!B22/'P&amp;L'!B5)</f>
        <v>-0.600951460800047</v>
      </c>
      <c r="C9" s="39" t="n">
        <f aca="false">IF('P&amp;L'!C5&lt;=0,"n/a",'P&amp;L'!C22/'P&amp;L'!C5)</f>
        <v>-0.0734114476376625</v>
      </c>
      <c r="D9" s="39" t="n">
        <f aca="false">IF('P&amp;L'!D5&lt;=0,"n/a",'P&amp;L'!D22/'P&amp;L'!D5)</f>
        <v>0.0647924370457287</v>
      </c>
      <c r="E9" s="39" t="n">
        <f aca="false">IF('P&amp;L'!E5&lt;=0,"n/a",'P&amp;L'!E22/'P&amp;L'!E5)</f>
        <v>0.147415046137652</v>
      </c>
      <c r="F9" s="39" t="n">
        <f aca="false">IF('P&amp;L'!F5&lt;=0,"n/a",'P&amp;L'!F22/'P&amp;L'!F5)</f>
        <v>0.188461571537339</v>
      </c>
      <c r="G9" s="87"/>
    </row>
    <row r="10" customFormat="false" ht="15" hidden="false" customHeight="false" outlineLevel="0" collapsed="false">
      <c r="A10" s="38" t="s">
        <v>221</v>
      </c>
      <c r="B10" s="39" t="n">
        <f aca="false">IF('P&amp;L'!B5&lt;=0,"n/a",-SUMIF(Headcount!$C$5:$BJ$5,B$5,Headcount!$C$15:$BJ$15)/'P&amp;L'!B5)</f>
        <v>0.372010295279517</v>
      </c>
      <c r="C10" s="39" t="n">
        <f aca="false">IF('P&amp;L'!C5&lt;=0,"n/a",-SUMIF(Headcount!$C$5:$BJ$5,C$5,Headcount!$C$15:$BJ$15)/'P&amp;L'!C5)</f>
        <v>0.244882051500075</v>
      </c>
      <c r="D10" s="39" t="n">
        <f aca="false">IF('P&amp;L'!D5&lt;=0,"n/a",-SUMIF(Headcount!$C$5:$BJ$5,D$5,Headcount!$C$15:$BJ$15)/'P&amp;L'!D5)</f>
        <v>0.214615186082787</v>
      </c>
      <c r="E10" s="39" t="n">
        <f aca="false">IF('P&amp;L'!E5&lt;=0,"n/a",-SUMIF(Headcount!$C$5:$BJ$5,E$5,Headcount!$C$15:$BJ$15)/'P&amp;L'!E5)</f>
        <v>0.19753970419311</v>
      </c>
      <c r="F10" s="39" t="n">
        <f aca="false">IF('P&amp;L'!F5&lt;=0,"n/a",-SUMIF(Headcount!$C$5:$BJ$5,F$5,Headcount!$C$15:$BJ$15)/'P&amp;L'!F5)</f>
        <v>0.186516817470981</v>
      </c>
      <c r="G10" s="87"/>
    </row>
    <row r="11" customFormat="false" ht="15" hidden="false" customHeight="false" outlineLevel="0" collapsed="false">
      <c r="A11" s="38" t="s">
        <v>222</v>
      </c>
      <c r="B11" s="39" t="n">
        <f aca="false">IF('P&amp;L'!B5&lt;=0,"n/a",-'P&amp;L'!B13/'P&amp;L'!B5)</f>
        <v>0.1220150385392</v>
      </c>
      <c r="C11" s="39" t="n">
        <f aca="false">IF('P&amp;L'!C5&lt;=0,"n/a",-'P&amp;L'!C13/'P&amp;L'!C5)</f>
        <v>0.062383267669639</v>
      </c>
      <c r="D11" s="39" t="n">
        <f aca="false">IF('P&amp;L'!D5&lt;=0,"n/a",-'P&amp;L'!D13/'P&amp;L'!D5)</f>
        <v>0.0424643397774119</v>
      </c>
      <c r="E11" s="39" t="n">
        <f aca="false">IF('P&amp;L'!E5&lt;=0,"n/a",-'P&amp;L'!E13/'P&amp;L'!E5)</f>
        <v>0.0303578554243869</v>
      </c>
      <c r="F11" s="39" t="n">
        <f aca="false">IF('P&amp;L'!F5&lt;=0,"n/a",-'P&amp;L'!F13/'P&amp;L'!F5)</f>
        <v>0.0222631928368184</v>
      </c>
      <c r="G11" s="87"/>
    </row>
    <row r="12" customFormat="false" ht="15" hidden="false" customHeight="false" outlineLevel="0" collapsed="false">
      <c r="A12" s="38" t="s">
        <v>223</v>
      </c>
      <c r="B12" s="39" t="n">
        <f aca="false">IF('P&amp;L'!B5&lt;=0,"n/a",-'P&amp;L'!B14/'P&amp;L'!B5)</f>
        <v>0.951581728340717</v>
      </c>
      <c r="C12" s="39" t="n">
        <f aca="false">IF('P&amp;L'!C5&lt;=0,"n/a",-'P&amp;L'!C14/'P&amp;L'!C5)</f>
        <v>0.60845953338719</v>
      </c>
      <c r="D12" s="39" t="n">
        <f aca="false">IF('P&amp;L'!D5&lt;=0,"n/a",-'P&amp;L'!D14/'P&amp;L'!D5)</f>
        <v>0.521046819238263</v>
      </c>
      <c r="E12" s="39" t="n">
        <f aca="false">IF('P&amp;L'!E5&lt;=0,"n/a",-'P&amp;L'!E14/'P&amp;L'!E5)</f>
        <v>0.470862757012448</v>
      </c>
      <c r="F12" s="39" t="n">
        <f aca="false">IF('P&amp;L'!F5&lt;=0,"n/a",-'P&amp;L'!F14/'P&amp;L'!F5)</f>
        <v>0.438187539084973</v>
      </c>
      <c r="G12" s="87"/>
    </row>
    <row r="13" customFormat="false" ht="15" hidden="false" customHeight="false" outlineLevel="0" collapsed="false">
      <c r="A13" s="6" t="s">
        <v>224</v>
      </c>
      <c r="B13" s="88" t="n">
        <f aca="false">IF(('Balance Sheet'!B12-'Balance Sheet'!B11)&lt;=0,"n/a",('Balance Sheet'!B5+'Balance Sheet'!B6+'Balance Sheet'!B7)/('Balance Sheet'!B12-'Balance Sheet'!B11))</f>
        <v>31.1690649818068</v>
      </c>
      <c r="C13" s="88" t="n">
        <f aca="false">IF(('Balance Sheet'!C12-'Balance Sheet'!C11)&lt;=0,"n/a",('Balance Sheet'!C5+'Balance Sheet'!C6+'Balance Sheet'!C7)/('Balance Sheet'!C12-'Balance Sheet'!C11))</f>
        <v>15.8627110679209</v>
      </c>
      <c r="D13" s="88" t="n">
        <f aca="false">IF(('Balance Sheet'!D12-'Balance Sheet'!D11)&lt;=0,"n/a",('Balance Sheet'!D5+'Balance Sheet'!D6+'Balance Sheet'!D7)/('Balance Sheet'!D12-'Balance Sheet'!D11))</f>
        <v>21.9735400916664</v>
      </c>
      <c r="E13" s="88" t="n">
        <f aca="false">IF(('Balance Sheet'!E12-'Balance Sheet'!E11)&lt;=0,"n/a",('Balance Sheet'!E5+'Balance Sheet'!E6+'Balance Sheet'!E7)/('Balance Sheet'!E12-'Balance Sheet'!E11))</f>
        <v>38.0412979177845</v>
      </c>
      <c r="F13" s="88" t="n">
        <f aca="false">IF(('Balance Sheet'!F12-'Balance Sheet'!F11)&lt;=0,"n/a",('Balance Sheet'!F5+'Balance Sheet'!F6+'Balance Sheet'!F7)/('Balance Sheet'!F12-'Balance Sheet'!F11))</f>
        <v>58.0367562247988</v>
      </c>
      <c r="G13" s="89"/>
    </row>
    <row r="14" customFormat="false" ht="15" hidden="false" customHeight="false" outlineLevel="0" collapsed="false">
      <c r="A14" s="6" t="s">
        <v>225</v>
      </c>
      <c r="B14" s="88" t="n">
        <f aca="false">IF('Balance Sheet'!B15&lt;=0,"n/a",'Balance Sheet'!B11/'Balance Sheet'!B15)</f>
        <v>1.95934954718088</v>
      </c>
      <c r="C14" s="88" t="n">
        <f aca="false">IF('Balance Sheet'!C15&lt;=0,"n/a",'Balance Sheet'!C11/'Balance Sheet'!C15)</f>
        <v>1.93195920123201</v>
      </c>
      <c r="D14" s="88" t="n">
        <f aca="false">IF('Balance Sheet'!D15&lt;=0,"n/a",'Balance Sheet'!D11/'Balance Sheet'!D15)</f>
        <v>1.52240154190069</v>
      </c>
      <c r="E14" s="88" t="n">
        <f aca="false">IF('Balance Sheet'!E15&lt;=0,"n/a",'Balance Sheet'!E11/'Balance Sheet'!E15)</f>
        <v>1.04057526050244</v>
      </c>
      <c r="F14" s="88" t="n">
        <f aca="false">IF('Balance Sheet'!F15&lt;=0,"n/a",'Balance Sheet'!F11/'Balance Sheet'!F15)</f>
        <v>0.676835245959243</v>
      </c>
      <c r="G14" s="89"/>
    </row>
    <row r="15" customFormat="false" ht="15" hidden="false" customHeight="false" outlineLevel="0" collapsed="false">
      <c r="A15" s="38" t="s">
        <v>226</v>
      </c>
      <c r="B15" s="39" t="n">
        <f aca="false">IF('Balance Sheet'!B9&lt;=0,"n/a",'P&amp;L'!B22/'Balance Sheet'!B9)</f>
        <v>-0.171826167740399</v>
      </c>
      <c r="C15" s="39" t="n">
        <f aca="false">IF('Balance Sheet'!C9&lt;=0,"n/a",'P&amp;L'!C22/'Balance Sheet'!C9)</f>
        <v>-0.0366841821975313</v>
      </c>
      <c r="D15" s="39" t="n">
        <f aca="false">IF('Balance Sheet'!D9&lt;=0,"n/a",'P&amp;L'!D22/'Balance Sheet'!D9)</f>
        <v>0.0397368810582908</v>
      </c>
      <c r="E15" s="39" t="n">
        <f aca="false">IF('Balance Sheet'!E9&lt;=0,"n/a",'P&amp;L'!E22/'Balance Sheet'!E9)</f>
        <v>0.0994776893748167</v>
      </c>
      <c r="F15" s="39" t="n">
        <f aca="false">IF('Balance Sheet'!F9&lt;=0,"n/a",'P&amp;L'!F22/'Balance Sheet'!F9)</f>
        <v>0.131385964563156</v>
      </c>
      <c r="G15" s="87"/>
    </row>
    <row r="16" customFormat="false" ht="15" hidden="false" customHeight="false" outlineLevel="0" collapsed="false">
      <c r="A16" s="38" t="s">
        <v>227</v>
      </c>
      <c r="B16" s="39" t="n">
        <f aca="false">IF('Balance Sheet'!B15&lt;=0,"n/a",'P&amp;L'!B22/'Balance Sheet'!B15)</f>
        <v>-0.50995744920361</v>
      </c>
      <c r="C16" s="39" t="n">
        <f aca="false">IF('Balance Sheet'!C15&lt;=0,"n/a",'P&amp;L'!C22/'Balance Sheet'!C15)</f>
        <v>-0.108002636060365</v>
      </c>
      <c r="D16" s="39" t="n">
        <f aca="false">IF('Balance Sheet'!D15&lt;=0,"n/a",'P&amp;L'!D22/'Balance Sheet'!D15)</f>
        <v>0.100742491199387</v>
      </c>
      <c r="E16" s="39" t="n">
        <f aca="false">IF('Balance Sheet'!E15&lt;=0,"n/a",'P&amp;L'!E22/'Balance Sheet'!E15)</f>
        <v>0.204133275857307</v>
      </c>
      <c r="F16" s="39" t="n">
        <f aca="false">IF('Balance Sheet'!F15&lt;=0,"n/a",'P&amp;L'!F22/'Balance Sheet'!F15)</f>
        <v>0.221600595418701</v>
      </c>
      <c r="G16" s="87"/>
    </row>
    <row r="18" customFormat="false" ht="15.75" hidden="false" customHeight="true" outlineLevel="0" collapsed="false">
      <c r="A18" s="7" t="s">
        <v>228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IF('P&amp;L'!B5&lt;=0,"n/a",'P&amp;L'!B22/'P&amp;L'!B5)</f>
        <v>-0.600951460800047</v>
      </c>
      <c r="C20" s="39" t="n">
        <f aca="false">IF('P&amp;L'!C5&lt;=0,"n/a",'P&amp;L'!C22/'P&amp;L'!C5)</f>
        <v>-0.0734114476376625</v>
      </c>
      <c r="D20" s="39" t="n">
        <f aca="false">IF('P&amp;L'!D5&lt;=0,"n/a",'P&amp;L'!D22/'P&amp;L'!D5)</f>
        <v>0.0647924370457287</v>
      </c>
      <c r="E20" s="39" t="n">
        <f aca="false">IF('P&amp;L'!E5&lt;=0,"n/a",'P&amp;L'!E22/'P&amp;L'!E5)</f>
        <v>0.147415046137652</v>
      </c>
      <c r="F20" s="39" t="n">
        <f aca="false">IF('P&amp;L'!F5&lt;=0,"n/a",'P&amp;L'!F22/'P&amp;L'!F5)</f>
        <v>0.188461571537339</v>
      </c>
    </row>
    <row r="21" customFormat="false" ht="15" hidden="false" customHeight="false" outlineLevel="0" collapsed="false">
      <c r="A21" s="51" t="s">
        <v>229</v>
      </c>
      <c r="B21" s="88" t="n">
        <f aca="false">IF('Balance Sheet'!B9&lt;=0,"n/a",'P&amp;L'!B5/'Balance Sheet'!B9)</f>
        <v>0.285923537837226</v>
      </c>
      <c r="C21" s="88" t="n">
        <f aca="false">IF('Balance Sheet'!C9&lt;=0,"n/a",'P&amp;L'!C5/'Balance Sheet'!C9)</f>
        <v>0.499706563186081</v>
      </c>
      <c r="D21" s="88" t="n">
        <f aca="false">IF('Balance Sheet'!D9&lt;=0,"n/a",'P&amp;L'!D5/'Balance Sheet'!D9)</f>
        <v>0.613295052171686</v>
      </c>
      <c r="E21" s="88" t="n">
        <f aca="false">IF('Balance Sheet'!E9&lt;=0,"n/a",'P&amp;L'!E5/'Balance Sheet'!E9)</f>
        <v>0.674813677308947</v>
      </c>
      <c r="F21" s="88" t="n">
        <f aca="false">IF('Balance Sheet'!F9&lt;=0,"n/a",'P&amp;L'!F5/'Balance Sheet'!F9)</f>
        <v>0.697149893696631</v>
      </c>
    </row>
    <row r="22" customFormat="false" ht="15" hidden="false" customHeight="false" outlineLevel="0" collapsed="false">
      <c r="A22" s="51" t="s">
        <v>230</v>
      </c>
      <c r="B22" s="88" t="n">
        <f aca="false">IF('Balance Sheet'!B15&lt;=0,"n/a",'Balance Sheet'!B9/'Balance Sheet'!B15)</f>
        <v>2.96786837482212</v>
      </c>
      <c r="C22" s="88" t="n">
        <f aca="false">IF('Balance Sheet'!C15&lt;=0,"n/a",'Balance Sheet'!C9/'Balance Sheet'!C15)</f>
        <v>2.94412004276965</v>
      </c>
      <c r="D22" s="88" t="n">
        <f aca="false">IF('Balance Sheet'!D15&lt;=0,"n/a",'Balance Sheet'!D9/'Balance Sheet'!D15)</f>
        <v>2.53523901515084</v>
      </c>
      <c r="E22" s="88" t="n">
        <f aca="false">IF('Balance Sheet'!E15&lt;=0,"n/a",'Balance Sheet'!E9/'Balance Sheet'!E15)</f>
        <v>2.05205083813481</v>
      </c>
      <c r="F22" s="88" t="n">
        <f aca="false">IF('Balance Sheet'!F15&lt;=0,"n/a",'Balance Sheet'!F9/'Balance Sheet'!F15)</f>
        <v>1.68663826578051</v>
      </c>
    </row>
    <row r="23" customFormat="false" ht="15" hidden="false" customHeight="false" outlineLevel="0" collapsed="false">
      <c r="A23" s="40" t="s">
        <v>231</v>
      </c>
      <c r="B23" s="90" t="n">
        <f aca="false">IF(AND(ISNUMBER(B20),ISNUMBER(B21),ISNUMBER(B22)),B20*B21*B22,"n/a")</f>
        <v>-0.50995744920361</v>
      </c>
      <c r="C23" s="90" t="n">
        <f aca="false">IF(AND(ISNUMBER(C20),ISNUMBER(C21),ISNUMBER(C22)),C20*C21*C22,"n/a")</f>
        <v>-0.108002636060365</v>
      </c>
      <c r="D23" s="90" t="n">
        <f aca="false">IF(AND(ISNUMBER(D20),ISNUMBER(D21),ISNUMBER(D22)),D20*D21*D22,"n/a")</f>
        <v>0.100742491199387</v>
      </c>
      <c r="E23" s="90" t="n">
        <f aca="false">IF(AND(ISNUMBER(E20),ISNUMBER(E21),ISNUMBER(E22)),E20*E21*E22,"n/a")</f>
        <v>0.204133275857307</v>
      </c>
      <c r="F23" s="90" t="n">
        <f aca="false">IF(AND(ISNUMBER(F20),ISNUMBER(F21),ISNUMBER(F22)),F20*F21*F22,"n/a")</f>
        <v>0.221600595418701</v>
      </c>
    </row>
    <row r="24" customFormat="false" ht="15" hidden="false" customHeight="false" outlineLevel="0" collapsed="false">
      <c r="A24" s="21" t="s">
        <v>232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233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4" t="s">
        <v>155</v>
      </c>
      <c r="B27" s="74" t="n">
        <v>1</v>
      </c>
      <c r="C27" s="74" t="n">
        <v>2</v>
      </c>
      <c r="D27" s="74" t="n">
        <v>3</v>
      </c>
      <c r="E27" s="74" t="n">
        <v>4</v>
      </c>
      <c r="F27" s="74" t="n">
        <v>5</v>
      </c>
    </row>
    <row r="28" customFormat="false" ht="15" hidden="false" customHeight="false" outlineLevel="0" collapsed="false">
      <c r="A28" s="33"/>
      <c r="B28" s="52" t="s">
        <v>156</v>
      </c>
      <c r="C28" s="52" t="s">
        <v>157</v>
      </c>
      <c r="D28" s="52" t="s">
        <v>158</v>
      </c>
      <c r="E28" s="52" t="s">
        <v>159</v>
      </c>
      <c r="F28" s="52" t="s">
        <v>160</v>
      </c>
      <c r="G28" s="52" t="s">
        <v>219</v>
      </c>
    </row>
    <row r="29" customFormat="false" ht="15" hidden="false" customHeight="false" outlineLevel="0" collapsed="false">
      <c r="A29" s="4" t="s">
        <v>58</v>
      </c>
      <c r="B29" s="91" t="n">
        <f aca="false">INDEX(Monthly!$C$19:$BJ$19,B$27*12)</f>
        <v>972.089183697303</v>
      </c>
      <c r="C29" s="91" t="n">
        <f aca="false">INDEX(Monthly!$C$19:$BJ$19,C$27*12)</f>
        <v>1660.55587289615</v>
      </c>
      <c r="D29" s="91" t="n">
        <f aca="false">INDEX(Monthly!$C$19:$BJ$19,D$27*12)</f>
        <v>2124.50092018641</v>
      </c>
      <c r="E29" s="91" t="n">
        <f aca="false">INDEX(Monthly!$C$19:$BJ$19,E$27*12)</f>
        <v>2452.65112886771</v>
      </c>
      <c r="F29" s="91" t="n">
        <f aca="false">INDEX(Monthly!$C$19:$BJ$19,F$27*12)</f>
        <v>2699.44884584423</v>
      </c>
      <c r="G29" s="92"/>
    </row>
    <row r="30" customFormat="false" ht="15" hidden="false" customHeight="false" outlineLevel="0" collapsed="false">
      <c r="A30" s="6" t="s">
        <v>234</v>
      </c>
      <c r="B30" s="93" t="n">
        <f aca="false">SUMIF(Monthly!$C$5:$BJ$5,B$27,Monthly!$C$16:$BJ$16)</f>
        <v>981.453066666667</v>
      </c>
      <c r="C30" s="93" t="n">
        <f aca="false">SUMIF(Monthly!$C$5:$BJ$5,C$27,Monthly!$C$16:$BJ$16)</f>
        <v>1318.2048</v>
      </c>
      <c r="D30" s="93" t="n">
        <f aca="false">SUMIF(Monthly!$C$5:$BJ$5,D$27,Monthly!$C$16:$BJ$16)</f>
        <v>1370.350944</v>
      </c>
      <c r="E30" s="93" t="n">
        <f aca="false">SUMIF(Monthly!$C$5:$BJ$5,E$27,Monthly!$C$16:$BJ$16)</f>
        <v>1424.69147232</v>
      </c>
      <c r="F30" s="93" t="n">
        <f aca="false">SUMIF(Monthly!$C$5:$BJ$5,F$27,Monthly!$C$16:$BJ$16)</f>
        <v>1481.3237164896</v>
      </c>
      <c r="G30" s="92"/>
    </row>
    <row r="31" customFormat="false" ht="15" hidden="false" customHeight="false" outlineLevel="0" collapsed="false">
      <c r="A31" s="6" t="s">
        <v>235</v>
      </c>
      <c r="B31" s="93" t="n">
        <f aca="false">SUMIF(Monthly!$C$5:$BJ$5,B$27,Monthly!$C$18:$BJ$18)</f>
        <v>-259.363882969363</v>
      </c>
      <c r="C31" s="93" t="n">
        <f aca="false">SUMIF(Monthly!$C$5:$BJ$5,C$27,Monthly!$C$18:$BJ$18)</f>
        <v>-629.73811080115</v>
      </c>
      <c r="D31" s="93" t="n">
        <f aca="false">SUMIF(Monthly!$C$5:$BJ$5,D$27,Monthly!$C$18:$BJ$18)</f>
        <v>-906.405896709748</v>
      </c>
      <c r="E31" s="93" t="n">
        <f aca="false">SUMIF(Monthly!$C$5:$BJ$5,E$27,Monthly!$C$18:$BJ$18)</f>
        <v>-1096.5412636387</v>
      </c>
      <c r="F31" s="93" t="n">
        <f aca="false">SUMIF(Monthly!$C$5:$BJ$5,F$27,Monthly!$C$18:$BJ$18)</f>
        <v>-1234.52599951308</v>
      </c>
      <c r="G31" s="92"/>
    </row>
    <row r="32" customFormat="false" ht="15" hidden="false" customHeight="false" outlineLevel="0" collapsed="false">
      <c r="A32" s="38" t="s">
        <v>236</v>
      </c>
      <c r="B32" s="94" t="n">
        <f aca="false">Inputs!$E$24</f>
        <v>0.04</v>
      </c>
      <c r="C32" s="94" t="n">
        <f aca="false">Inputs!$E$24</f>
        <v>0.04</v>
      </c>
      <c r="D32" s="94" t="n">
        <f aca="false">Inputs!$E$24</f>
        <v>0.04</v>
      </c>
      <c r="E32" s="94" t="n">
        <f aca="false">Inputs!$E$24</f>
        <v>0.04</v>
      </c>
      <c r="F32" s="94" t="n">
        <f aca="false">Inputs!$E$24</f>
        <v>0.04</v>
      </c>
      <c r="G32" s="95"/>
    </row>
    <row r="33" customFormat="false" ht="15" hidden="false" customHeight="false" outlineLevel="0" collapsed="false">
      <c r="A33" s="4" t="s">
        <v>237</v>
      </c>
      <c r="B33" s="91" t="n">
        <f aca="false">SUMIF(Monthly!$C$5:$BJ$5,B$27,Monthly!$C$28:$BJ$28)</f>
        <v>88966.9491822926</v>
      </c>
      <c r="C33" s="91" t="n">
        <f aca="false">SUMIF(Monthly!$C$5:$BJ$5,C$27,Monthly!$C$28:$BJ$28)</f>
        <v>142550.792456346</v>
      </c>
      <c r="D33" s="91" t="n">
        <f aca="false">SUMIF(Monthly!$C$5:$BJ$5,D$27,Monthly!$C$28:$BJ$28)</f>
        <v>168876.467625249</v>
      </c>
      <c r="E33" s="91" t="n">
        <f aca="false">SUMIF(Monthly!$C$5:$BJ$5,E$27,Monthly!$C$28:$BJ$28)</f>
        <v>187891.176015118</v>
      </c>
      <c r="F33" s="91" t="n">
        <f aca="false">SUMIF(Monthly!$C$5:$BJ$5,F$27,Monthly!$C$28:$BJ$28)</f>
        <v>202534.859242349</v>
      </c>
      <c r="G33" s="92"/>
    </row>
    <row r="34" customFormat="false" ht="15" hidden="false" customHeight="false" outlineLevel="0" collapsed="false">
      <c r="A34" s="6" t="s">
        <v>238</v>
      </c>
      <c r="B34" s="93" t="n">
        <f aca="false">SUMIF(Monthly!$C$5:$BJ$5,B$27,Monthly!$C$26:$BJ$26)</f>
        <v>64869.1333333333</v>
      </c>
      <c r="C34" s="93" t="n">
        <f aca="false">SUMIF(Monthly!$C$5:$BJ$5,C$27,Monthly!$C$26:$BJ$26)</f>
        <v>86025.6</v>
      </c>
      <c r="D34" s="93" t="n">
        <f aca="false">SUMIF(Monthly!$C$5:$BJ$5,D$27,Monthly!$C$26:$BJ$26)</f>
        <v>88606.368</v>
      </c>
      <c r="E34" s="93" t="n">
        <f aca="false">SUMIF(Monthly!$C$5:$BJ$5,E$27,Monthly!$C$26:$BJ$26)</f>
        <v>91264.55904</v>
      </c>
      <c r="F34" s="93" t="n">
        <f aca="false">SUMIF(Monthly!$C$5:$BJ$5,F$27,Monthly!$C$26:$BJ$26)</f>
        <v>94002.4958112</v>
      </c>
      <c r="G34" s="92"/>
    </row>
    <row r="35" customFormat="false" ht="15" hidden="false" customHeight="false" outlineLevel="0" collapsed="false">
      <c r="A35" s="6" t="s">
        <v>239</v>
      </c>
      <c r="B35" s="93" t="n">
        <f aca="false">SUMIF(Monthly!$C$5:$BJ$5,B$27,Monthly!$C$27:$BJ$27)</f>
        <v>24097.8158489592</v>
      </c>
      <c r="C35" s="93" t="n">
        <f aca="false">SUMIF(Monthly!$C$5:$BJ$5,C$27,Monthly!$C$27:$BJ$27)</f>
        <v>56525.1924563461</v>
      </c>
      <c r="D35" s="93" t="n">
        <f aca="false">SUMIF(Monthly!$C$5:$BJ$5,D$27,Monthly!$C$27:$BJ$27)</f>
        <v>80270.0996252489</v>
      </c>
      <c r="E35" s="93" t="n">
        <f aca="false">SUMIF(Monthly!$C$5:$BJ$5,E$27,Monthly!$C$27:$BJ$27)</f>
        <v>96626.6169751184</v>
      </c>
      <c r="F35" s="93" t="n">
        <f aca="false">SUMIF(Monthly!$C$5:$BJ$5,F$27,Monthly!$C$27:$BJ$27)</f>
        <v>108532.363431149</v>
      </c>
      <c r="G35" s="92"/>
    </row>
    <row r="36" customFormat="false" ht="15" hidden="false" customHeight="false" outlineLevel="0" collapsed="false">
      <c r="A36" s="38" t="s">
        <v>240</v>
      </c>
      <c r="B36" s="94" t="n">
        <f aca="false">IF(B33=0,0,B35/B33)</f>
        <v>0.270862562675753</v>
      </c>
      <c r="C36" s="94" t="n">
        <f aca="false">IF(C33=0,0,C35/C33)</f>
        <v>0.396526679945719</v>
      </c>
      <c r="D36" s="94" t="n">
        <f aca="false">IF(D33=0,0,D35/D33)</f>
        <v>0.475318442847674</v>
      </c>
      <c r="E36" s="94" t="n">
        <f aca="false">IF(E33=0,0,E35/E33)</f>
        <v>0.514269052035437</v>
      </c>
      <c r="F36" s="94" t="n">
        <f aca="false">IF(F33=0,0,F35/F33)</f>
        <v>0.53587004151854</v>
      </c>
      <c r="G36" s="95"/>
    </row>
    <row r="37" customFormat="false" ht="15" hidden="false" customHeight="false" outlineLevel="0" collapsed="false">
      <c r="A37" s="6" t="s">
        <v>59</v>
      </c>
      <c r="B37" s="93" t="n">
        <f aca="false">IF(Inputs!$E$9=0,0,B33/(Inputs!$E$9*12))</f>
        <v>255.65215282268</v>
      </c>
      <c r="C37" s="93" t="n">
        <f aca="false">IF(Inputs!$E$9=0,0,C33/(Inputs!$E$9*12))</f>
        <v>409.628713955018</v>
      </c>
      <c r="D37" s="93" t="n">
        <f aca="false">IF(Inputs!$E$9=0,0,D33/(Inputs!$E$9*12))</f>
        <v>485.277205819681</v>
      </c>
      <c r="E37" s="93" t="n">
        <f aca="false">IF(Inputs!$E$9=0,0,E33/(Inputs!$E$9*12))</f>
        <v>539.917172457237</v>
      </c>
      <c r="F37" s="93" t="n">
        <f aca="false">IF(Inputs!$E$9=0,0,F33/(Inputs!$E$9*12))</f>
        <v>581.996721960774</v>
      </c>
      <c r="G37" s="92"/>
    </row>
    <row r="38" customFormat="false" ht="15" hidden="false" customHeight="false" outlineLevel="0" collapsed="false">
      <c r="A38" s="6" t="s">
        <v>241</v>
      </c>
      <c r="B38" s="93" t="n">
        <f aca="false">SUMIF(Monthly!$C$5:$BJ$5,B$27,Monthly!$C$24:$BJ$24)</f>
        <v>294756</v>
      </c>
      <c r="C38" s="93" t="n">
        <f aca="false">SUMIF(Monthly!$C$5:$BJ$5,C$27,Monthly!$C$24:$BJ$24)</f>
        <v>294756</v>
      </c>
      <c r="D38" s="93" t="n">
        <f aca="false">SUMIF(Monthly!$C$5:$BJ$5,D$27,Monthly!$C$24:$BJ$24)</f>
        <v>294756</v>
      </c>
      <c r="E38" s="93" t="n">
        <f aca="false">SUMIF(Monthly!$C$5:$BJ$5,E$27,Monthly!$C$24:$BJ$24)</f>
        <v>294756</v>
      </c>
      <c r="F38" s="93" t="n">
        <f aca="false">SUMIF(Monthly!$C$5:$BJ$5,F$27,Monthly!$C$24:$BJ$24)</f>
        <v>294756</v>
      </c>
      <c r="G38" s="92"/>
    </row>
    <row r="39" customFormat="false" ht="15" hidden="false" customHeight="false" outlineLevel="0" collapsed="false">
      <c r="A39" s="38" t="s">
        <v>60</v>
      </c>
      <c r="B39" s="94" t="n">
        <f aca="false">IF(B38=0,0,B33/B38)</f>
        <v>0.301832529896906</v>
      </c>
      <c r="C39" s="94" t="n">
        <f aca="false">IF(C38=0,0,C33/C38)</f>
        <v>0.483623038907931</v>
      </c>
      <c r="D39" s="94" t="n">
        <f aca="false">IF(D38=0,0,D33/D38)</f>
        <v>0.572936488571052</v>
      </c>
      <c r="E39" s="94" t="n">
        <f aca="false">IF(E38=0,0,E33/E38)</f>
        <v>0.637446484601224</v>
      </c>
      <c r="F39" s="94" t="n">
        <f aca="false">IF(F38=0,0,F33/F38)</f>
        <v>0.687127180591232</v>
      </c>
      <c r="G39" s="95"/>
    </row>
    <row r="40" customFormat="false" ht="15" hidden="false" customHeight="false" outlineLevel="0" collapsed="false">
      <c r="A40" s="6" t="s">
        <v>242</v>
      </c>
      <c r="B40" s="93" t="n">
        <f aca="false">SUMIF(Monthly!$C$5:$BJ$5,B$27,Monthly!$C$29:$BJ$29)</f>
        <v>0</v>
      </c>
      <c r="C40" s="93" t="n">
        <f aca="false">SUMIF(Monthly!$C$5:$BJ$5,C$27,Monthly!$C$29:$BJ$29)</f>
        <v>0</v>
      </c>
      <c r="D40" s="93" t="n">
        <f aca="false">SUMIF(Monthly!$C$5:$BJ$5,D$27,Monthly!$C$29:$BJ$29)</f>
        <v>0</v>
      </c>
      <c r="E40" s="93" t="n">
        <f aca="false">SUMIF(Monthly!$C$5:$BJ$5,E$27,Monthly!$C$29:$BJ$29)</f>
        <v>0</v>
      </c>
      <c r="F40" s="93" t="n">
        <f aca="false">SUMIF(Monthly!$C$5:$BJ$5,F$27,Monthly!$C$29:$BJ$29)</f>
        <v>0</v>
      </c>
      <c r="G40" s="92"/>
    </row>
    <row r="41" customFormat="false" ht="15" hidden="false" customHeight="false" outlineLevel="0" collapsed="false">
      <c r="A41" s="4" t="s">
        <v>44</v>
      </c>
      <c r="B41" s="96" t="n">
        <f aca="false">SUMIF(Monthly!$C$5:$BJ$5,B$27,Monthly!$C$37:$BJ$37)</f>
        <v>1180182.39164623</v>
      </c>
      <c r="C41" s="96" t="n">
        <f aca="false">SUMIF(Monthly!$C$5:$BJ$5,C$27,Monthly!$C$37:$BJ$37)</f>
        <v>1846649.01829223</v>
      </c>
      <c r="D41" s="96" t="n">
        <f aca="false">SUMIF(Monthly!$C$5:$BJ$5,D$27,Monthly!$C$37:$BJ$37)</f>
        <v>2170291.60192013</v>
      </c>
      <c r="E41" s="96" t="n">
        <f aca="false">SUMIF(Monthly!$C$5:$BJ$5,E$27,Monthly!$C$37:$BJ$37)</f>
        <v>2428630.05206795</v>
      </c>
      <c r="F41" s="96" t="n">
        <f aca="false">SUMIF(Monthly!$C$5:$BJ$5,F$27,Monthly!$C$37:$BJ$37)</f>
        <v>2649323.50145466</v>
      </c>
      <c r="G41" s="97"/>
    </row>
    <row r="42" customFormat="false" ht="15" hidden="false" customHeight="false" outlineLevel="0" collapsed="false">
      <c r="A42" s="6" t="s">
        <v>243</v>
      </c>
      <c r="B42" s="35" t="n">
        <f aca="false">SUMIF(Monthly!$C$5:$BJ$5,B$27,Monthly!$C$36:$BJ$36)</f>
        <v>239579.958312896</v>
      </c>
      <c r="C42" s="35" t="n">
        <f aca="false">SUMIF(Monthly!$C$5:$BJ$5,C$27,Monthly!$C$36:$BJ$36)</f>
        <v>574330.394292226</v>
      </c>
      <c r="D42" s="35" t="n">
        <f aca="false">SUMIF(Monthly!$C$5:$BJ$5,D$27,Monthly!$C$36:$BJ$36)</f>
        <v>833593.655545733</v>
      </c>
      <c r="E42" s="35" t="n">
        <f aca="false">SUMIF(Monthly!$C$5:$BJ$5,E$27,Monthly!$C$36:$BJ$36)</f>
        <v>1024295.189607</v>
      </c>
      <c r="F42" s="35" t="n">
        <f aca="false">SUMIF(Monthly!$C$5:$BJ$5,F$27,Monthly!$C$36:$BJ$36)</f>
        <v>1173929.29495319</v>
      </c>
      <c r="G42" s="97"/>
    </row>
    <row r="43" customFormat="false" ht="15" hidden="false" customHeight="false" outlineLevel="0" collapsed="false">
      <c r="A43" s="6" t="s">
        <v>244</v>
      </c>
      <c r="B43" s="35" t="n">
        <f aca="false">B41-B42</f>
        <v>940602.433333333</v>
      </c>
      <c r="C43" s="35" t="n">
        <f aca="false">C41-C42</f>
        <v>1272318.624</v>
      </c>
      <c r="D43" s="35" t="n">
        <f aca="false">D41-D42</f>
        <v>1336697.9463744</v>
      </c>
      <c r="E43" s="35" t="n">
        <f aca="false">E41-E42</f>
        <v>1404334.86246094</v>
      </c>
      <c r="F43" s="35" t="n">
        <f aca="false">F41-F42</f>
        <v>1475394.20650147</v>
      </c>
      <c r="G43" s="97"/>
    </row>
    <row r="44" customFormat="false" ht="15" hidden="false" customHeight="false" outlineLevel="0" collapsed="false">
      <c r="A44" s="38" t="s">
        <v>245</v>
      </c>
      <c r="B44" s="94" t="n">
        <f aca="false">IF(B41=0,0,B42/B41)</f>
        <v>0.203002485046999</v>
      </c>
      <c r="C44" s="94" t="n">
        <f aca="false">IF(C41=0,0,C42/C41)</f>
        <v>0.31101221109324</v>
      </c>
      <c r="D44" s="94" t="n">
        <f aca="false">IF(D41=0,0,D42/D41)</f>
        <v>0.384092927792847</v>
      </c>
      <c r="E44" s="94" t="n">
        <f aca="false">IF(E41=0,0,E42/E41)</f>
        <v>0.421758426621967</v>
      </c>
      <c r="F44" s="94" t="n">
        <f aca="false">IF(F41=0,0,F42/F41)</f>
        <v>0.443105303791184</v>
      </c>
      <c r="G44" s="95"/>
    </row>
    <row r="45" customFormat="false" ht="15" hidden="false" customHeight="false" outlineLevel="0" collapsed="false">
      <c r="A45" s="6" t="s">
        <v>246</v>
      </c>
      <c r="B45" s="98" t="n">
        <f aca="false">IF(B33=0,0,B41/B33)</f>
        <v>13.2654025173781</v>
      </c>
      <c r="C45" s="98" t="n">
        <f aca="false">IF(C33=0,0,C41/C33)</f>
        <v>12.9543230624813</v>
      </c>
      <c r="D45" s="98" t="n">
        <f aca="false">IF(D33=0,0,D41/D33)</f>
        <v>12.8513559789526</v>
      </c>
      <c r="E45" s="98" t="n">
        <f aca="false">IF(E33=0,0,E41/E33)</f>
        <v>12.9257270276095</v>
      </c>
      <c r="F45" s="98" t="n">
        <f aca="false">IF(F33=0,0,F41/F33)</f>
        <v>13.0808272282873</v>
      </c>
      <c r="G45" s="99"/>
    </row>
    <row r="46" customFormat="false" ht="15" hidden="false" customHeight="false" outlineLevel="0" collapsed="false">
      <c r="A46" s="6" t="s">
        <v>247</v>
      </c>
      <c r="B46" s="98" t="n">
        <f aca="false">IF(B35=0,0,B42/B35)</f>
        <v>9.94197813671329</v>
      </c>
      <c r="C46" s="98" t="n">
        <f aca="false">IF(C35=0,0,C42/C35)</f>
        <v>10.1606092670233</v>
      </c>
      <c r="D46" s="98" t="n">
        <f aca="false">IF(D35=0,0,D42/D35)</f>
        <v>10.3848588632314</v>
      </c>
      <c r="E46" s="98" t="n">
        <f aca="false">IF(E35=0,0,E42/E35)</f>
        <v>10.6005490171591</v>
      </c>
      <c r="F46" s="98" t="n">
        <f aca="false">IF(F35=0,0,F42/F35)</f>
        <v>10.8163985178293</v>
      </c>
      <c r="G46" s="99"/>
    </row>
    <row r="47" customFormat="false" ht="15" hidden="false" customHeight="false" outlineLevel="0" collapsed="false">
      <c r="A47" s="6" t="s">
        <v>248</v>
      </c>
      <c r="B47" s="35" t="n">
        <f aca="false">SUMIF(Monthly!$C$5:$BJ$5,B$27,Monthly!$C$43:$BJ$43)</f>
        <v>-145016.127167137</v>
      </c>
      <c r="C47" s="35" t="n">
        <f aca="false">SUMIF(Monthly!$C$5:$BJ$5,C$27,Monthly!$C$43:$BJ$43)</f>
        <v>-239328.525454959</v>
      </c>
      <c r="D47" s="35" t="n">
        <f aca="false">SUMIF(Monthly!$C$5:$BJ$5,D$27,Monthly!$C$43:$BJ$43)</f>
        <v>-292032.502540911</v>
      </c>
      <c r="E47" s="35" t="n">
        <f aca="false">SUMIF(Monthly!$C$5:$BJ$5,E$27,Monthly!$C$43:$BJ$43)</f>
        <v>-334661.43058236</v>
      </c>
      <c r="F47" s="35" t="n">
        <f aca="false">SUMIF(Monthly!$C$5:$BJ$5,F$27,Monthly!$C$43:$BJ$43)</f>
        <v>-371566.27250728</v>
      </c>
      <c r="G47" s="97"/>
    </row>
    <row r="48" customFormat="false" ht="15" hidden="false" customHeight="false" outlineLevel="0" collapsed="false">
      <c r="A48" s="6" t="s">
        <v>249</v>
      </c>
      <c r="B48" s="98" t="n">
        <f aca="false">IF(B33=0,0,-B47/B33)</f>
        <v>1.63</v>
      </c>
      <c r="C48" s="98" t="n">
        <f aca="false">IF(C33=0,0,-C47/C33)</f>
        <v>1.6789</v>
      </c>
      <c r="D48" s="98" t="n">
        <f aca="false">IF(D33=0,0,-D47/D33)</f>
        <v>1.729267</v>
      </c>
      <c r="E48" s="98" t="n">
        <f aca="false">IF(E33=0,0,-E47/E33)</f>
        <v>1.78114501</v>
      </c>
      <c r="F48" s="98" t="n">
        <f aca="false">IF(F33=0,0,-F47/F33)</f>
        <v>1.8345793603</v>
      </c>
      <c r="G48" s="99"/>
    </row>
    <row r="49" customFormat="false" ht="15" hidden="false" customHeight="false" outlineLevel="0" collapsed="false">
      <c r="A49" s="6" t="s">
        <v>45</v>
      </c>
      <c r="B49" s="35" t="n">
        <f aca="false">SUMIF(Monthly!$C$5:$BJ$5,B$27,Monthly!$C$46:$BJ$46)</f>
        <v>999760.792729705</v>
      </c>
      <c r="C49" s="35" t="n">
        <f aca="false">SUMIF(Monthly!$C$5:$BJ$5,C$27,Monthly!$C$46:$BJ$46)</f>
        <v>1551921.0222885</v>
      </c>
      <c r="D49" s="35" t="n">
        <f aca="false">SUMIF(Monthly!$C$5:$BJ$5,D$27,Monthly!$C$46:$BJ$46)</f>
        <v>1813150.35132162</v>
      </c>
      <c r="E49" s="35" t="n">
        <f aca="false">SUMIF(Monthly!$C$5:$BJ$5,E$27,Monthly!$C$46:$BJ$46)</f>
        <v>2021109.71992355</v>
      </c>
      <c r="F49" s="35" t="n">
        <f aca="false">SUMIF(Monthly!$C$5:$BJ$5,F$27,Monthly!$C$46:$BJ$46)</f>
        <v>2198277.52390374</v>
      </c>
      <c r="G49" s="97"/>
    </row>
    <row r="50" customFormat="false" ht="15" hidden="false" customHeight="false" outlineLevel="0" collapsed="false">
      <c r="A50" s="38" t="s">
        <v>46</v>
      </c>
      <c r="B50" s="94" t="n">
        <f aca="false">IF(B41=0,0,B49/B41)</f>
        <v>0.847123969825669</v>
      </c>
      <c r="C50" s="94" t="n">
        <f aca="false">IF(C41=0,0,C49/C41)</f>
        <v>0.840398476871209</v>
      </c>
      <c r="D50" s="94" t="n">
        <f aca="false">IF(D41=0,0,D49/D41)</f>
        <v>0.835440891775769</v>
      </c>
      <c r="E50" s="94" t="n">
        <f aca="false">IF(E41=0,0,E49/E41)</f>
        <v>0.832201560794572</v>
      </c>
      <c r="F50" s="94" t="n">
        <f aca="false">IF(F41=0,0,F49/F41)</f>
        <v>0.82975050902494</v>
      </c>
      <c r="G50" s="95"/>
    </row>
    <row r="51" customFormat="false" ht="15" hidden="false" customHeight="false" outlineLevel="0" collapsed="false">
      <c r="A51" s="6" t="s">
        <v>48</v>
      </c>
      <c r="B51" s="35" t="n">
        <f aca="false">SUMIF(Monthly!$C$5:$BJ$5,B$27,Monthly!$C$55:$BJ$55)</f>
        <v>-123279.207270295</v>
      </c>
      <c r="C51" s="35" t="n">
        <f aca="false">SUMIF(Monthly!$C$5:$BJ$5,C$27,Monthly!$C$55:$BJ$55)</f>
        <v>428309.8222885</v>
      </c>
      <c r="D51" s="35" t="n">
        <f aca="false">SUMIF(Monthly!$C$5:$BJ$5,D$27,Monthly!$C$55:$BJ$55)</f>
        <v>682326.815321617</v>
      </c>
      <c r="E51" s="35" t="n">
        <f aca="false">SUMIF(Monthly!$C$5:$BJ$5,E$27,Monthly!$C$55:$BJ$55)</f>
        <v>877558.27784355</v>
      </c>
      <c r="F51" s="35" t="n">
        <f aca="false">SUMIF(Monthly!$C$5:$BJ$5,F$27,Monthly!$C$55:$BJ$55)</f>
        <v>1037376.97856134</v>
      </c>
      <c r="G51" s="97"/>
    </row>
    <row r="52" customFormat="false" ht="15" hidden="false" customHeight="false" outlineLevel="0" collapsed="false">
      <c r="A52" s="38" t="s">
        <v>49</v>
      </c>
      <c r="B52" s="94" t="n">
        <f aca="false">IF(B41=0,0,B51/B41)</f>
        <v>-0.104457758515049</v>
      </c>
      <c r="C52" s="94" t="n">
        <f aca="false">IF(C41=0,0,C51/C41)</f>
        <v>0.231938943484019</v>
      </c>
      <c r="D52" s="94" t="n">
        <f aca="false">IF(D41=0,0,D51/D41)</f>
        <v>0.314394072537506</v>
      </c>
      <c r="E52" s="94" t="n">
        <f aca="false">IF(E41=0,0,E51/E41)</f>
        <v>0.361338803782124</v>
      </c>
      <c r="F52" s="94" t="n">
        <f aca="false">IF(F41=0,0,F51/F41)</f>
        <v>0.391562969939967</v>
      </c>
      <c r="G52" s="9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250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251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252</v>
      </c>
      <c r="G5" s="33" t="s">
        <v>253</v>
      </c>
    </row>
    <row r="6" customFormat="false" ht="15.75" hidden="false" customHeight="true" outlineLevel="0" collapsed="false">
      <c r="A6" s="7" t="s">
        <v>254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255</v>
      </c>
      <c r="B7" s="100" t="n">
        <v>200</v>
      </c>
      <c r="C7" s="100" t="n">
        <v>240</v>
      </c>
      <c r="D7" s="100" t="n">
        <v>280</v>
      </c>
      <c r="E7" s="101" t="n">
        <f aca="false">CHOOSE(Dashboard!$B$4,B7,C7,D7)</f>
        <v>240</v>
      </c>
      <c r="F7" s="38" t="s">
        <v>256</v>
      </c>
      <c r="G7" s="102" t="s">
        <v>257</v>
      </c>
    </row>
    <row r="8" customFormat="false" ht="15" hidden="false" customHeight="false" outlineLevel="0" collapsed="false">
      <c r="A8" s="6" t="s">
        <v>258</v>
      </c>
      <c r="B8" s="103" t="n">
        <v>0</v>
      </c>
      <c r="C8" s="103" t="n">
        <v>0.03</v>
      </c>
      <c r="D8" s="103" t="n">
        <v>0.06</v>
      </c>
      <c r="E8" s="104" t="n">
        <f aca="false">CHOOSE(Dashboard!$B$4,B8,C8,D8)</f>
        <v>0.03</v>
      </c>
      <c r="F8" s="38" t="s">
        <v>259</v>
      </c>
      <c r="G8" s="102" t="s">
        <v>257</v>
      </c>
    </row>
    <row r="9" customFormat="false" ht="15" hidden="false" customHeight="false" outlineLevel="0" collapsed="false">
      <c r="A9" s="6" t="s">
        <v>260</v>
      </c>
      <c r="B9" s="100" t="n">
        <v>29</v>
      </c>
      <c r="C9" s="100" t="n">
        <v>29</v>
      </c>
      <c r="D9" s="100" t="n">
        <v>29</v>
      </c>
      <c r="E9" s="101" t="n">
        <f aca="false">CHOOSE(Dashboard!$B$4,B9,C9,D9)</f>
        <v>29</v>
      </c>
      <c r="F9" s="38" t="s">
        <v>261</v>
      </c>
      <c r="G9" s="102"/>
    </row>
    <row r="10" customFormat="false" ht="15" hidden="false" customHeight="false" outlineLevel="0" collapsed="false">
      <c r="A10" s="6" t="s">
        <v>262</v>
      </c>
      <c r="B10" s="105" t="n">
        <v>12</v>
      </c>
      <c r="C10" s="105" t="n">
        <v>9</v>
      </c>
      <c r="D10" s="105" t="n">
        <v>7</v>
      </c>
      <c r="E10" s="106" t="n">
        <f aca="false">CHOOSE(Dashboard!$B$4,B10,C10,D10)</f>
        <v>9</v>
      </c>
      <c r="F10" s="38" t="s">
        <v>263</v>
      </c>
      <c r="G10" s="102" t="s">
        <v>264</v>
      </c>
    </row>
    <row r="11" customFormat="false" ht="15" hidden="false" customHeight="false" outlineLevel="0" collapsed="false">
      <c r="A11" s="6" t="s">
        <v>265</v>
      </c>
      <c r="B11" s="103" t="n">
        <v>0.35</v>
      </c>
      <c r="C11" s="103" t="n">
        <v>0.45</v>
      </c>
      <c r="D11" s="103" t="n">
        <v>0.55</v>
      </c>
      <c r="E11" s="104" t="n">
        <f aca="false">CHOOSE(Dashboard!$B$4,B11,C11,D11)</f>
        <v>0.45</v>
      </c>
      <c r="F11" s="38" t="s">
        <v>259</v>
      </c>
      <c r="G11" s="102" t="s">
        <v>257</v>
      </c>
    </row>
    <row r="12" customFormat="false" ht="15" hidden="false" customHeight="false" outlineLevel="0" collapsed="false">
      <c r="A12" s="6" t="s">
        <v>266</v>
      </c>
      <c r="B12" s="103" t="n">
        <v>0.2</v>
      </c>
      <c r="C12" s="103" t="n">
        <v>0.15</v>
      </c>
      <c r="D12" s="103" t="n">
        <v>0.1</v>
      </c>
      <c r="E12" s="104" t="n">
        <f aca="false">CHOOSE(Dashboard!$B$4,B12,C12,D12)</f>
        <v>0.15</v>
      </c>
      <c r="F12" s="38" t="s">
        <v>259</v>
      </c>
      <c r="G12" s="102" t="s">
        <v>264</v>
      </c>
    </row>
    <row r="14" customFormat="false" ht="15.75" hidden="false" customHeight="true" outlineLevel="0" collapsed="false">
      <c r="A14" s="7" t="s">
        <v>267</v>
      </c>
      <c r="B14" s="7"/>
      <c r="C14" s="7"/>
      <c r="D14" s="7"/>
      <c r="E14" s="7"/>
      <c r="F14" s="7"/>
      <c r="G14" s="7"/>
    </row>
    <row r="15" customFormat="false" ht="15" hidden="false" customHeight="false" outlineLevel="0" collapsed="false">
      <c r="A15" s="6" t="s">
        <v>268</v>
      </c>
      <c r="B15" s="105" t="n">
        <v>140</v>
      </c>
      <c r="C15" s="105" t="n">
        <v>140</v>
      </c>
      <c r="D15" s="105" t="n">
        <v>140</v>
      </c>
      <c r="E15" s="106" t="n">
        <f aca="false">CHOOSE(Dashboard!$B$4,B15,C15,D15)</f>
        <v>140</v>
      </c>
      <c r="F15" s="38" t="s">
        <v>269</v>
      </c>
      <c r="G15" s="102"/>
    </row>
    <row r="16" customFormat="false" ht="15" hidden="false" customHeight="false" outlineLevel="0" collapsed="false">
      <c r="A16" s="6" t="s">
        <v>270</v>
      </c>
      <c r="B16" s="100" t="n">
        <v>11</v>
      </c>
      <c r="C16" s="100" t="n">
        <v>11</v>
      </c>
      <c r="D16" s="100" t="n">
        <v>11</v>
      </c>
      <c r="E16" s="101" t="n">
        <f aca="false">CHOOSE(Dashboard!$B$4,B16,C16,D16)</f>
        <v>11</v>
      </c>
      <c r="F16" s="38" t="s">
        <v>271</v>
      </c>
      <c r="G16" s="102"/>
    </row>
    <row r="17" customFormat="false" ht="15" hidden="false" customHeight="false" outlineLevel="0" collapsed="false">
      <c r="A17" s="6" t="s">
        <v>272</v>
      </c>
      <c r="B17" s="103" t="n">
        <v>0.55</v>
      </c>
      <c r="C17" s="103" t="n">
        <v>0.55</v>
      </c>
      <c r="D17" s="103" t="n">
        <v>0.55</v>
      </c>
      <c r="E17" s="104" t="n">
        <f aca="false">CHOOSE(Dashboard!$B$4,B17,C17,D17)</f>
        <v>0.55</v>
      </c>
      <c r="F17" s="38" t="s">
        <v>259</v>
      </c>
      <c r="G17" s="102"/>
    </row>
    <row r="19" customFormat="false" ht="15.75" hidden="false" customHeight="true" outlineLevel="0" collapsed="false">
      <c r="A19" s="7" t="s">
        <v>273</v>
      </c>
      <c r="B19" s="7"/>
      <c r="C19" s="7"/>
      <c r="D19" s="7"/>
      <c r="E19" s="7"/>
      <c r="F19" s="7"/>
      <c r="G19" s="7"/>
    </row>
    <row r="20" customFormat="false" ht="15" hidden="false" customHeight="false" outlineLevel="0" collapsed="false">
      <c r="A20" s="6" t="s">
        <v>274</v>
      </c>
      <c r="B20" s="105" t="n">
        <v>150</v>
      </c>
      <c r="C20" s="105" t="n">
        <v>250</v>
      </c>
      <c r="D20" s="105" t="n">
        <v>350</v>
      </c>
      <c r="E20" s="106" t="n">
        <f aca="false">CHOOSE(Dashboard!$B$4,B20,C20,D20)</f>
        <v>250</v>
      </c>
      <c r="F20" s="38" t="s">
        <v>275</v>
      </c>
      <c r="G20" s="102" t="s">
        <v>257</v>
      </c>
    </row>
    <row r="21" customFormat="false" ht="15" hidden="false" customHeight="false" outlineLevel="0" collapsed="false">
      <c r="A21" s="6" t="s">
        <v>276</v>
      </c>
      <c r="B21" s="100" t="n">
        <v>40</v>
      </c>
      <c r="C21" s="100" t="n">
        <v>50</v>
      </c>
      <c r="D21" s="100" t="n">
        <v>60</v>
      </c>
      <c r="E21" s="101" t="n">
        <f aca="false">CHOOSE(Dashboard!$B$4,B21,C21,D21)</f>
        <v>50</v>
      </c>
      <c r="F21" s="38" t="s">
        <v>275</v>
      </c>
      <c r="G21" s="102" t="s">
        <v>257</v>
      </c>
    </row>
    <row r="22" customFormat="false" ht="15" hidden="false" customHeight="false" outlineLevel="0" collapsed="false">
      <c r="A22" s="6" t="s">
        <v>277</v>
      </c>
      <c r="B22" s="103" t="n">
        <v>0</v>
      </c>
      <c r="C22" s="103" t="n">
        <v>0.05</v>
      </c>
      <c r="D22" s="103" t="n">
        <v>0.1</v>
      </c>
      <c r="E22" s="104" t="n">
        <f aca="false">CHOOSE(Dashboard!$B$4,B22,C22,D22)</f>
        <v>0.05</v>
      </c>
      <c r="F22" s="38" t="s">
        <v>259</v>
      </c>
      <c r="G22" s="102" t="s">
        <v>257</v>
      </c>
    </row>
    <row r="23" customFormat="false" ht="15" hidden="false" customHeight="false" outlineLevel="0" collapsed="false">
      <c r="A23" s="6" t="s">
        <v>278</v>
      </c>
      <c r="B23" s="103" t="n">
        <v>0.006</v>
      </c>
      <c r="C23" s="103" t="n">
        <v>0.008</v>
      </c>
      <c r="D23" s="103" t="n">
        <v>0.01</v>
      </c>
      <c r="E23" s="104" t="n">
        <f aca="false">CHOOSE(Dashboard!$B$4,B23,C23,D23)</f>
        <v>0.008</v>
      </c>
      <c r="F23" s="38" t="s">
        <v>259</v>
      </c>
      <c r="G23" s="102" t="s">
        <v>257</v>
      </c>
    </row>
    <row r="24" customFormat="false" ht="15" hidden="false" customHeight="false" outlineLevel="0" collapsed="false">
      <c r="A24" s="6" t="s">
        <v>236</v>
      </c>
      <c r="B24" s="103" t="n">
        <v>0.05</v>
      </c>
      <c r="C24" s="103" t="n">
        <v>0.04</v>
      </c>
      <c r="D24" s="103" t="n">
        <v>0.032</v>
      </c>
      <c r="E24" s="104" t="n">
        <f aca="false">CHOOSE(Dashboard!$B$4,B24,C24,D24)</f>
        <v>0.04</v>
      </c>
      <c r="F24" s="38" t="s">
        <v>259</v>
      </c>
      <c r="G24" s="102" t="s">
        <v>264</v>
      </c>
    </row>
    <row r="25" customFormat="false" ht="15" hidden="false" customHeight="false" outlineLevel="0" collapsed="false">
      <c r="A25" s="6" t="s">
        <v>279</v>
      </c>
      <c r="B25" s="100" t="n">
        <v>3.8</v>
      </c>
      <c r="C25" s="100" t="n">
        <v>3.5</v>
      </c>
      <c r="D25" s="100" t="n">
        <v>3.2</v>
      </c>
      <c r="E25" s="101" t="n">
        <f aca="false">CHOOSE(Dashboard!$B$4,B25,C25,D25)</f>
        <v>3.5</v>
      </c>
      <c r="F25" s="38" t="s">
        <v>280</v>
      </c>
      <c r="G25" s="102" t="s">
        <v>264</v>
      </c>
    </row>
    <row r="27" customFormat="false" ht="15.75" hidden="false" customHeight="true" outlineLevel="0" collapsed="false">
      <c r="A27" s="7" t="s">
        <v>281</v>
      </c>
      <c r="B27" s="7"/>
      <c r="C27" s="7"/>
      <c r="D27" s="7"/>
      <c r="E27" s="7"/>
      <c r="F27" s="7"/>
      <c r="G27" s="7"/>
    </row>
    <row r="28" customFormat="false" ht="15" hidden="false" customHeight="false" outlineLevel="0" collapsed="false">
      <c r="A28" s="6" t="s">
        <v>282</v>
      </c>
      <c r="B28" s="107" t="n">
        <v>12</v>
      </c>
      <c r="C28" s="107" t="n">
        <v>13</v>
      </c>
      <c r="D28" s="107" t="n">
        <v>14</v>
      </c>
      <c r="E28" s="108" t="n">
        <f aca="false">CHOOSE(Dashboard!$B$4,B28,C28,D28)</f>
        <v>13</v>
      </c>
      <c r="F28" s="38" t="s">
        <v>283</v>
      </c>
      <c r="G28" s="102" t="s">
        <v>257</v>
      </c>
    </row>
    <row r="29" customFormat="false" ht="15" hidden="false" customHeight="false" outlineLevel="0" collapsed="false">
      <c r="A29" s="6" t="s">
        <v>284</v>
      </c>
      <c r="B29" s="107" t="n">
        <v>1.2</v>
      </c>
      <c r="C29" s="107" t="n">
        <v>1.5</v>
      </c>
      <c r="D29" s="107" t="n">
        <v>1.8</v>
      </c>
      <c r="E29" s="108" t="n">
        <f aca="false">CHOOSE(Dashboard!$B$4,B29,C29,D29)</f>
        <v>1.5</v>
      </c>
      <c r="F29" s="38" t="s">
        <v>283</v>
      </c>
      <c r="G29" s="102" t="s">
        <v>257</v>
      </c>
    </row>
    <row r="30" customFormat="false" ht="15" hidden="false" customHeight="false" outlineLevel="0" collapsed="false">
      <c r="A30" s="6" t="s">
        <v>285</v>
      </c>
      <c r="B30" s="107" t="n">
        <v>32</v>
      </c>
      <c r="C30" s="107" t="n">
        <v>35</v>
      </c>
      <c r="D30" s="107" t="n">
        <v>38</v>
      </c>
      <c r="E30" s="108" t="n">
        <f aca="false">CHOOSE(Dashboard!$B$4,B30,C30,D30)</f>
        <v>35</v>
      </c>
      <c r="F30" s="38" t="s">
        <v>283</v>
      </c>
      <c r="G30" s="102" t="s">
        <v>257</v>
      </c>
    </row>
    <row r="31" customFormat="false" ht="15" hidden="false" customHeight="false" outlineLevel="0" collapsed="false">
      <c r="A31" s="6" t="s">
        <v>286</v>
      </c>
      <c r="B31" s="103" t="n">
        <v>0.01</v>
      </c>
      <c r="C31" s="103" t="n">
        <v>0.02</v>
      </c>
      <c r="D31" s="103" t="n">
        <v>0.03</v>
      </c>
      <c r="E31" s="104" t="n">
        <f aca="false">CHOOSE(Dashboard!$B$4,B31,C31,D31)</f>
        <v>0.02</v>
      </c>
      <c r="F31" s="38" t="s">
        <v>259</v>
      </c>
      <c r="G31" s="102" t="s">
        <v>257</v>
      </c>
    </row>
    <row r="33" customFormat="false" ht="15.75" hidden="false" customHeight="true" outlineLevel="0" collapsed="false">
      <c r="A33" s="7" t="s">
        <v>287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288</v>
      </c>
      <c r="B34" s="107" t="n">
        <v>0.95</v>
      </c>
      <c r="C34" s="107" t="n">
        <v>0.85</v>
      </c>
      <c r="D34" s="107" t="n">
        <v>0.75</v>
      </c>
      <c r="E34" s="108" t="n">
        <f aca="false">CHOOSE(Dashboard!$B$4,B34,C34,D34)</f>
        <v>0.85</v>
      </c>
      <c r="F34" s="38" t="s">
        <v>283</v>
      </c>
      <c r="G34" s="102" t="s">
        <v>264</v>
      </c>
    </row>
    <row r="35" customFormat="false" ht="15" hidden="false" customHeight="false" outlineLevel="0" collapsed="false">
      <c r="A35" s="6" t="s">
        <v>289</v>
      </c>
      <c r="B35" s="100" t="n">
        <v>45</v>
      </c>
      <c r="C35" s="100" t="n">
        <v>40</v>
      </c>
      <c r="D35" s="100" t="n">
        <v>36</v>
      </c>
      <c r="E35" s="101" t="n">
        <f aca="false">CHOOSE(Dashboard!$B$4,B35,C35,D35)</f>
        <v>40</v>
      </c>
      <c r="F35" s="38" t="s">
        <v>290</v>
      </c>
      <c r="G35" s="102" t="s">
        <v>264</v>
      </c>
    </row>
    <row r="36" customFormat="false" ht="15" hidden="false" customHeight="false" outlineLevel="0" collapsed="false">
      <c r="A36" s="6" t="s">
        <v>291</v>
      </c>
      <c r="B36" s="107" t="n">
        <v>10</v>
      </c>
      <c r="C36" s="107" t="n">
        <v>9</v>
      </c>
      <c r="D36" s="107" t="n">
        <v>8</v>
      </c>
      <c r="E36" s="108" t="n">
        <f aca="false">CHOOSE(Dashboard!$B$4,B36,C36,D36)</f>
        <v>9</v>
      </c>
      <c r="F36" s="38" t="s">
        <v>283</v>
      </c>
      <c r="G36" s="102" t="s">
        <v>264</v>
      </c>
    </row>
    <row r="37" customFormat="false" ht="15" hidden="false" customHeight="false" outlineLevel="0" collapsed="false">
      <c r="A37" s="6" t="s">
        <v>292</v>
      </c>
      <c r="B37" s="107" t="n">
        <v>0.45</v>
      </c>
      <c r="C37" s="107" t="n">
        <v>0.42</v>
      </c>
      <c r="D37" s="107" t="n">
        <v>0.4</v>
      </c>
      <c r="E37" s="108" t="n">
        <f aca="false">CHOOSE(Dashboard!$B$4,B37,C37,D37)</f>
        <v>0.42</v>
      </c>
      <c r="F37" s="38" t="s">
        <v>283</v>
      </c>
      <c r="G37" s="102" t="s">
        <v>264</v>
      </c>
    </row>
    <row r="38" customFormat="false" ht="15" hidden="false" customHeight="false" outlineLevel="0" collapsed="false">
      <c r="A38" s="6" t="s">
        <v>293</v>
      </c>
      <c r="B38" s="103" t="n">
        <v>0.032</v>
      </c>
      <c r="C38" s="103" t="n">
        <v>0.03</v>
      </c>
      <c r="D38" s="103" t="n">
        <v>0.028</v>
      </c>
      <c r="E38" s="104" t="n">
        <f aca="false">CHOOSE(Dashboard!$B$4,B38,C38,D38)</f>
        <v>0.03</v>
      </c>
      <c r="F38" s="38" t="s">
        <v>259</v>
      </c>
      <c r="G38" s="102" t="s">
        <v>264</v>
      </c>
    </row>
    <row r="39" customFormat="false" ht="15" hidden="false" customHeight="false" outlineLevel="0" collapsed="false">
      <c r="A39" s="6" t="s">
        <v>294</v>
      </c>
      <c r="B39" s="103" t="n">
        <v>0.04</v>
      </c>
      <c r="C39" s="103" t="n">
        <v>0.03</v>
      </c>
      <c r="D39" s="103" t="n">
        <v>0.025</v>
      </c>
      <c r="E39" s="104" t="n">
        <f aca="false">CHOOSE(Dashboard!$B$4,B39,C39,D39)</f>
        <v>0.03</v>
      </c>
      <c r="F39" s="38" t="s">
        <v>259</v>
      </c>
      <c r="G39" s="102" t="s">
        <v>264</v>
      </c>
    </row>
    <row r="41" customFormat="false" ht="15.75" hidden="false" customHeight="true" outlineLevel="0" collapsed="false">
      <c r="A41" s="7" t="s">
        <v>295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296</v>
      </c>
      <c r="B42" s="109" t="n">
        <v>30000</v>
      </c>
      <c r="C42" s="109" t="n">
        <v>30000</v>
      </c>
      <c r="D42" s="109" t="n">
        <v>30000</v>
      </c>
      <c r="E42" s="110" t="n">
        <f aca="false">CHOOSE(Dashboard!$B$4,B42,C42,D42)</f>
        <v>30000</v>
      </c>
      <c r="F42" s="38" t="s">
        <v>283</v>
      </c>
      <c r="G42" s="102"/>
    </row>
    <row r="43" customFormat="false" ht="15" hidden="false" customHeight="false" outlineLevel="0" collapsed="false">
      <c r="A43" s="6" t="s">
        <v>297</v>
      </c>
      <c r="B43" s="103" t="n">
        <v>0.03</v>
      </c>
      <c r="C43" s="103" t="n">
        <v>0.03</v>
      </c>
      <c r="D43" s="103" t="n">
        <v>0.03</v>
      </c>
      <c r="E43" s="104" t="n">
        <f aca="false">CHOOSE(Dashboard!$B$4,B43,C43,D43)</f>
        <v>0.03</v>
      </c>
      <c r="F43" s="38" t="s">
        <v>259</v>
      </c>
      <c r="G43" s="102"/>
    </row>
    <row r="44" customFormat="false" ht="15" hidden="false" customHeight="false" outlineLevel="0" collapsed="false">
      <c r="A44" s="6" t="s">
        <v>298</v>
      </c>
      <c r="B44" s="109" t="n">
        <v>5500</v>
      </c>
      <c r="C44" s="109" t="n">
        <v>5500</v>
      </c>
      <c r="D44" s="109" t="n">
        <v>5500</v>
      </c>
      <c r="E44" s="110" t="n">
        <f aca="false">CHOOSE(Dashboard!$B$4,B44,C44,D44)</f>
        <v>5500</v>
      </c>
      <c r="F44" s="38" t="s">
        <v>283</v>
      </c>
      <c r="G44" s="102"/>
    </row>
    <row r="45" customFormat="false" ht="15" hidden="false" customHeight="false" outlineLevel="0" collapsed="false">
      <c r="A45" s="6" t="s">
        <v>299</v>
      </c>
      <c r="B45" s="109" t="n">
        <v>9500</v>
      </c>
      <c r="C45" s="109" t="n">
        <v>9500</v>
      </c>
      <c r="D45" s="109" t="n">
        <v>9500</v>
      </c>
      <c r="E45" s="110" t="n">
        <f aca="false">CHOOSE(Dashboard!$B$4,B45,C45,D45)</f>
        <v>9500</v>
      </c>
      <c r="F45" s="38" t="s">
        <v>283</v>
      </c>
      <c r="G45" s="102"/>
    </row>
    <row r="46" customFormat="false" ht="15" hidden="false" customHeight="false" outlineLevel="0" collapsed="false">
      <c r="A46" s="6" t="s">
        <v>300</v>
      </c>
      <c r="B46" s="109" t="n">
        <v>12000</v>
      </c>
      <c r="C46" s="109" t="n">
        <v>12000</v>
      </c>
      <c r="D46" s="109" t="n">
        <v>12000</v>
      </c>
      <c r="E46" s="110" t="n">
        <f aca="false">CHOOSE(Dashboard!$B$4,B46,C46,D46)</f>
        <v>12000</v>
      </c>
      <c r="F46" s="38" t="s">
        <v>283</v>
      </c>
      <c r="G46" s="102"/>
    </row>
    <row r="47" customFormat="false" ht="15" hidden="false" customHeight="false" outlineLevel="0" collapsed="false">
      <c r="A47" s="6" t="s">
        <v>301</v>
      </c>
      <c r="B47" s="103" t="n">
        <v>-0.3</v>
      </c>
      <c r="C47" s="103" t="n">
        <v>-0.2</v>
      </c>
      <c r="D47" s="103" t="n">
        <v>-0.1</v>
      </c>
      <c r="E47" s="104" t="n">
        <f aca="false">CHOOSE(Dashboard!$B$4,B47,C47,D47)</f>
        <v>-0.2</v>
      </c>
      <c r="F47" s="38" t="s">
        <v>259</v>
      </c>
      <c r="G47" s="102" t="s">
        <v>257</v>
      </c>
    </row>
    <row r="49" customFormat="false" ht="15.75" hidden="false" customHeight="true" outlineLevel="0" collapsed="false">
      <c r="A49" s="7" t="s">
        <v>84</v>
      </c>
      <c r="B49" s="7"/>
      <c r="C49" s="7"/>
      <c r="D49" s="7"/>
      <c r="E49" s="7"/>
      <c r="F49" s="7"/>
      <c r="G49" s="7"/>
    </row>
    <row r="50" customFormat="false" ht="15" hidden="false" customHeight="false" outlineLevel="0" collapsed="false">
      <c r="A50" s="6" t="s">
        <v>302</v>
      </c>
      <c r="B50" s="109" t="n">
        <v>1650000</v>
      </c>
      <c r="C50" s="109" t="n">
        <v>1650000</v>
      </c>
      <c r="D50" s="109" t="n">
        <v>1650000</v>
      </c>
      <c r="E50" s="110" t="n">
        <f aca="false">CHOOSE(Dashboard!$B$4,B50,C50,D50)</f>
        <v>1650000</v>
      </c>
      <c r="F50" s="38" t="s">
        <v>283</v>
      </c>
      <c r="G50" s="102"/>
    </row>
    <row r="51" customFormat="false" ht="15" hidden="false" customHeight="false" outlineLevel="0" collapsed="false">
      <c r="A51" s="6" t="s">
        <v>303</v>
      </c>
      <c r="B51" s="109" t="n">
        <v>2300000</v>
      </c>
      <c r="C51" s="109" t="n">
        <v>2300000</v>
      </c>
      <c r="D51" s="109" t="n">
        <v>2300000</v>
      </c>
      <c r="E51" s="110" t="n">
        <f aca="false">CHOOSE(Dashboard!$B$4,B51,C51,D51)</f>
        <v>2300000</v>
      </c>
      <c r="F51" s="38" t="s">
        <v>283</v>
      </c>
      <c r="G51" s="102"/>
    </row>
    <row r="52" customFormat="false" ht="15" hidden="false" customHeight="false" outlineLevel="0" collapsed="false">
      <c r="A52" s="6" t="s">
        <v>304</v>
      </c>
      <c r="B52" s="109" t="n">
        <v>150000</v>
      </c>
      <c r="C52" s="109" t="n">
        <v>150000</v>
      </c>
      <c r="D52" s="109" t="n">
        <v>150000</v>
      </c>
      <c r="E52" s="110" t="n">
        <f aca="false">CHOOSE(Dashboard!$B$4,B52,C52,D52)</f>
        <v>150000</v>
      </c>
      <c r="F52" s="38" t="s">
        <v>283</v>
      </c>
      <c r="G52" s="102"/>
    </row>
    <row r="53" customFormat="false" ht="15" hidden="false" customHeight="false" outlineLevel="0" collapsed="false">
      <c r="A53" s="6" t="s">
        <v>305</v>
      </c>
      <c r="B53" s="109" t="n">
        <v>0</v>
      </c>
      <c r="C53" s="109" t="n">
        <v>0</v>
      </c>
      <c r="D53" s="109" t="n">
        <v>0</v>
      </c>
      <c r="E53" s="110" t="n">
        <f aca="false">CHOOSE(Dashboard!$B$4,B53,C53,D53)</f>
        <v>0</v>
      </c>
      <c r="F53" s="38" t="s">
        <v>283</v>
      </c>
      <c r="G53" s="102"/>
    </row>
    <row r="54" customFormat="false" ht="15" hidden="false" customHeight="false" outlineLevel="0" collapsed="false">
      <c r="A54" s="6" t="s">
        <v>306</v>
      </c>
      <c r="B54" s="109" t="n">
        <v>40000</v>
      </c>
      <c r="C54" s="109" t="n">
        <v>40000</v>
      </c>
      <c r="D54" s="109" t="n">
        <v>40000</v>
      </c>
      <c r="E54" s="110" t="n">
        <f aca="false">CHOOSE(Dashboard!$B$4,B54,C54,D54)</f>
        <v>40000</v>
      </c>
      <c r="F54" s="38" t="s">
        <v>283</v>
      </c>
      <c r="G54" s="102"/>
    </row>
    <row r="56" customFormat="false" ht="15.75" hidden="false" customHeight="true" outlineLevel="0" collapsed="false">
      <c r="A56" s="7" t="s">
        <v>307</v>
      </c>
      <c r="B56" s="7"/>
      <c r="C56" s="7"/>
      <c r="D56" s="7"/>
      <c r="E56" s="7"/>
      <c r="F56" s="7"/>
      <c r="G56" s="7"/>
    </row>
    <row r="57" customFormat="false" ht="15" hidden="false" customHeight="false" outlineLevel="0" collapsed="false">
      <c r="A57" s="6" t="s">
        <v>308</v>
      </c>
      <c r="B57" s="100" t="n">
        <v>1</v>
      </c>
      <c r="C57" s="100" t="n">
        <v>1</v>
      </c>
      <c r="D57" s="100" t="n">
        <v>1</v>
      </c>
      <c r="E57" s="101" t="n">
        <f aca="false">CHOOSE(Dashboard!$B$4,B57,C57,D57)</f>
        <v>1</v>
      </c>
      <c r="F57" s="38" t="s">
        <v>309</v>
      </c>
      <c r="G57" s="102" t="s">
        <v>257</v>
      </c>
    </row>
    <row r="58" customFormat="false" ht="15" hidden="false" customHeight="false" outlineLevel="0" collapsed="false">
      <c r="A58" s="6" t="s">
        <v>310</v>
      </c>
      <c r="B58" s="109" t="n">
        <v>72000</v>
      </c>
      <c r="C58" s="109" t="n">
        <v>72000</v>
      </c>
      <c r="D58" s="109" t="n">
        <v>72000</v>
      </c>
      <c r="E58" s="110" t="n">
        <f aca="false">CHOOSE(Dashboard!$B$4,B58,C58,D58)</f>
        <v>72000</v>
      </c>
      <c r="F58" s="38" t="s">
        <v>283</v>
      </c>
      <c r="G58" s="102"/>
    </row>
    <row r="59" customFormat="false" ht="15" hidden="false" customHeight="false" outlineLevel="0" collapsed="false">
      <c r="A59" s="6" t="s">
        <v>311</v>
      </c>
      <c r="B59" s="103" t="n">
        <v>0</v>
      </c>
      <c r="C59" s="103" t="n">
        <v>0</v>
      </c>
      <c r="D59" s="103" t="n">
        <v>0</v>
      </c>
      <c r="E59" s="104" t="n">
        <f aca="false">CHOOSE(Dashboard!$B$4,B59,C59,D59)</f>
        <v>0</v>
      </c>
      <c r="F59" s="38" t="s">
        <v>259</v>
      </c>
      <c r="G59" s="102" t="s">
        <v>257</v>
      </c>
    </row>
    <row r="60" customFormat="false" ht="15" hidden="false" customHeight="false" outlineLevel="0" collapsed="false">
      <c r="A60" s="6" t="s">
        <v>312</v>
      </c>
      <c r="B60" s="105" t="n">
        <v>1</v>
      </c>
      <c r="C60" s="105" t="n">
        <v>1</v>
      </c>
      <c r="D60" s="105" t="n">
        <v>1</v>
      </c>
      <c r="E60" s="106" t="n">
        <f aca="false">CHOOSE(Dashboard!$B$4,B60,C60,D60)</f>
        <v>1</v>
      </c>
      <c r="F60" s="38" t="s">
        <v>313</v>
      </c>
      <c r="G60" s="102"/>
    </row>
    <row r="61" customFormat="false" ht="15" hidden="false" customHeight="false" outlineLevel="0" collapsed="false">
      <c r="A61" s="6" t="s">
        <v>314</v>
      </c>
      <c r="B61" s="100" t="n">
        <v>10</v>
      </c>
      <c r="C61" s="100" t="n">
        <v>10</v>
      </c>
      <c r="D61" s="100" t="n">
        <v>10</v>
      </c>
      <c r="E61" s="101" t="n">
        <f aca="false">CHOOSE(Dashboard!$B$4,B61,C61,D61)</f>
        <v>10</v>
      </c>
      <c r="F61" s="38" t="s">
        <v>309</v>
      </c>
      <c r="G61" s="102" t="s">
        <v>257</v>
      </c>
    </row>
    <row r="62" customFormat="false" ht="15" hidden="false" customHeight="false" outlineLevel="0" collapsed="false">
      <c r="A62" s="6" t="s">
        <v>315</v>
      </c>
      <c r="B62" s="109" t="n">
        <v>32000</v>
      </c>
      <c r="C62" s="109" t="n">
        <v>32000</v>
      </c>
      <c r="D62" s="109" t="n">
        <v>32000</v>
      </c>
      <c r="E62" s="110" t="n">
        <f aca="false">CHOOSE(Dashboard!$B$4,B62,C62,D62)</f>
        <v>32000</v>
      </c>
      <c r="F62" s="38" t="s">
        <v>283</v>
      </c>
      <c r="G62" s="102"/>
    </row>
    <row r="63" customFormat="false" ht="15" hidden="false" customHeight="false" outlineLevel="0" collapsed="false">
      <c r="A63" s="6" t="s">
        <v>316</v>
      </c>
      <c r="B63" s="103" t="n">
        <v>0</v>
      </c>
      <c r="C63" s="103" t="n">
        <v>0</v>
      </c>
      <c r="D63" s="103" t="n">
        <v>0</v>
      </c>
      <c r="E63" s="104" t="n">
        <f aca="false">CHOOSE(Dashboard!$B$4,B63,C63,D63)</f>
        <v>0</v>
      </c>
      <c r="F63" s="38" t="s">
        <v>259</v>
      </c>
      <c r="G63" s="102" t="s">
        <v>257</v>
      </c>
    </row>
    <row r="64" customFormat="false" ht="15" hidden="false" customHeight="false" outlineLevel="0" collapsed="false">
      <c r="A64" s="6" t="s">
        <v>317</v>
      </c>
      <c r="B64" s="105" t="n">
        <v>1</v>
      </c>
      <c r="C64" s="105" t="n">
        <v>1</v>
      </c>
      <c r="D64" s="105" t="n">
        <v>1</v>
      </c>
      <c r="E64" s="106" t="n">
        <f aca="false">CHOOSE(Dashboard!$B$4,B64,C64,D64)</f>
        <v>1</v>
      </c>
      <c r="F64" s="38" t="s">
        <v>313</v>
      </c>
      <c r="G64" s="102"/>
    </row>
    <row r="65" customFormat="false" ht="15" hidden="false" customHeight="false" outlineLevel="0" collapsed="false">
      <c r="A65" s="6" t="s">
        <v>318</v>
      </c>
      <c r="B65" s="103" t="n">
        <v>0.12</v>
      </c>
      <c r="C65" s="103" t="n">
        <v>0.12</v>
      </c>
      <c r="D65" s="103" t="n">
        <v>0.12</v>
      </c>
      <c r="E65" s="104" t="n">
        <f aca="false">CHOOSE(Dashboard!$B$4,B65,C65,D65)</f>
        <v>0.12</v>
      </c>
      <c r="F65" s="38" t="s">
        <v>259</v>
      </c>
      <c r="G65" s="102"/>
    </row>
    <row r="66" customFormat="false" ht="15" hidden="false" customHeight="false" outlineLevel="0" collapsed="false">
      <c r="A66" s="6" t="s">
        <v>319</v>
      </c>
      <c r="B66" s="103" t="n">
        <v>0.03</v>
      </c>
      <c r="C66" s="103" t="n">
        <v>0.03</v>
      </c>
      <c r="D66" s="103" t="n">
        <v>0.03</v>
      </c>
      <c r="E66" s="104" t="n">
        <f aca="false">CHOOSE(Dashboard!$B$4,B66,C66,D66)</f>
        <v>0.03</v>
      </c>
      <c r="F66" s="38" t="s">
        <v>259</v>
      </c>
      <c r="G66" s="102"/>
    </row>
    <row r="68" customFormat="false" ht="15.75" hidden="false" customHeight="true" outlineLevel="0" collapsed="false">
      <c r="A68" s="7" t="s">
        <v>320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321</v>
      </c>
      <c r="B69" s="109" t="n">
        <v>2100000</v>
      </c>
      <c r="C69" s="109" t="n">
        <v>2100000</v>
      </c>
      <c r="D69" s="109" t="n">
        <v>2100000</v>
      </c>
      <c r="E69" s="110" t="n">
        <f aca="false">CHOOSE(Dashboard!$B$4,B69,C69,D69)</f>
        <v>2100000</v>
      </c>
      <c r="F69" s="38" t="s">
        <v>283</v>
      </c>
      <c r="G69" s="102"/>
    </row>
    <row r="70" customFormat="false" ht="15" hidden="false" customHeight="false" outlineLevel="0" collapsed="false">
      <c r="A70" s="6" t="s">
        <v>322</v>
      </c>
      <c r="B70" s="109" t="n">
        <v>3000000</v>
      </c>
      <c r="C70" s="109" t="n">
        <v>3000000</v>
      </c>
      <c r="D70" s="109" t="n">
        <v>3000000</v>
      </c>
      <c r="E70" s="110" t="n">
        <f aca="false">CHOOSE(Dashboard!$B$4,B70,C70,D70)</f>
        <v>3000000</v>
      </c>
      <c r="F70" s="38" t="s">
        <v>283</v>
      </c>
      <c r="G70" s="102"/>
    </row>
    <row r="71" customFormat="false" ht="15" hidden="false" customHeight="false" outlineLevel="0" collapsed="false">
      <c r="A71" s="6" t="s">
        <v>323</v>
      </c>
      <c r="B71" s="103" t="n">
        <v>0.085</v>
      </c>
      <c r="C71" s="103" t="n">
        <v>0.085</v>
      </c>
      <c r="D71" s="103" t="n">
        <v>0.085</v>
      </c>
      <c r="E71" s="104" t="n">
        <f aca="false">CHOOSE(Dashboard!$B$4,B71,C71,D71)</f>
        <v>0.085</v>
      </c>
      <c r="F71" s="38" t="s">
        <v>259</v>
      </c>
      <c r="G71" s="102"/>
    </row>
    <row r="72" customFormat="false" ht="15" hidden="false" customHeight="false" outlineLevel="0" collapsed="false">
      <c r="A72" s="6" t="s">
        <v>324</v>
      </c>
      <c r="B72" s="105" t="n">
        <v>10</v>
      </c>
      <c r="C72" s="105" t="n">
        <v>10</v>
      </c>
      <c r="D72" s="105" t="n">
        <v>10</v>
      </c>
      <c r="E72" s="106" t="n">
        <f aca="false">CHOOSE(Dashboard!$B$4,B72,C72,D72)</f>
        <v>10</v>
      </c>
      <c r="F72" s="38" t="s">
        <v>325</v>
      </c>
      <c r="G72" s="102"/>
    </row>
    <row r="74" customFormat="false" ht="15.75" hidden="false" customHeight="true" outlineLevel="0" collapsed="false">
      <c r="A74" s="7" t="s">
        <v>326</v>
      </c>
      <c r="B74" s="7"/>
      <c r="C74" s="7"/>
      <c r="D74" s="7"/>
      <c r="E74" s="7"/>
      <c r="F74" s="7"/>
      <c r="G74" s="7"/>
    </row>
    <row r="75" customFormat="false" ht="15" hidden="false" customHeight="false" outlineLevel="0" collapsed="false">
      <c r="A75" s="6" t="s">
        <v>327</v>
      </c>
      <c r="B75" s="105" t="n">
        <v>2</v>
      </c>
      <c r="C75" s="105" t="n">
        <v>2</v>
      </c>
      <c r="D75" s="105" t="n">
        <v>2</v>
      </c>
      <c r="E75" s="106" t="n">
        <f aca="false">CHOOSE(Dashboard!$B$4,B75,C75,D75)</f>
        <v>2</v>
      </c>
      <c r="F75" s="38" t="s">
        <v>261</v>
      </c>
      <c r="G75" s="102"/>
    </row>
    <row r="76" customFormat="false" ht="15" hidden="false" customHeight="false" outlineLevel="0" collapsed="false">
      <c r="A76" s="6" t="s">
        <v>328</v>
      </c>
      <c r="B76" s="105" t="n">
        <v>7</v>
      </c>
      <c r="C76" s="105" t="n">
        <v>7</v>
      </c>
      <c r="D76" s="105" t="n">
        <v>7</v>
      </c>
      <c r="E76" s="106" t="n">
        <f aca="false">CHOOSE(Dashboard!$B$4,B76,C76,D76)</f>
        <v>7</v>
      </c>
      <c r="F76" s="38" t="s">
        <v>261</v>
      </c>
      <c r="G76" s="102"/>
    </row>
    <row r="77" customFormat="false" ht="15" hidden="false" customHeight="false" outlineLevel="0" collapsed="false">
      <c r="A77" s="6" t="s">
        <v>329</v>
      </c>
      <c r="B77" s="105" t="n">
        <v>20</v>
      </c>
      <c r="C77" s="105" t="n">
        <v>20</v>
      </c>
      <c r="D77" s="105" t="n">
        <v>20</v>
      </c>
      <c r="E77" s="106" t="n">
        <f aca="false">CHOOSE(Dashboard!$B$4,B77,C77,D77)</f>
        <v>20</v>
      </c>
      <c r="F77" s="38" t="s">
        <v>261</v>
      </c>
      <c r="G77" s="102"/>
    </row>
    <row r="79" customFormat="false" ht="15.75" hidden="false" customHeight="true" outlineLevel="0" collapsed="false">
      <c r="A79" s="7" t="s">
        <v>330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331</v>
      </c>
      <c r="B80" s="105" t="n">
        <v>12</v>
      </c>
      <c r="C80" s="105" t="n">
        <v>12</v>
      </c>
      <c r="D80" s="105" t="n">
        <v>12</v>
      </c>
      <c r="E80" s="106" t="n">
        <f aca="false">CHOOSE(Dashboard!$B$4,B80,C80,D80)</f>
        <v>12</v>
      </c>
      <c r="F80" s="38" t="s">
        <v>325</v>
      </c>
      <c r="G80" s="102"/>
    </row>
    <row r="81" customFormat="false" ht="15" hidden="false" customHeight="false" outlineLevel="0" collapsed="false">
      <c r="A81" s="6" t="s">
        <v>332</v>
      </c>
      <c r="B81" s="103" t="n">
        <v>0.21</v>
      </c>
      <c r="C81" s="103" t="n">
        <v>0.21</v>
      </c>
      <c r="D81" s="103" t="n">
        <v>0.21</v>
      </c>
      <c r="E81" s="104" t="n">
        <f aca="false">CHOOSE(Dashboard!$B$4,B81,C81,D81)</f>
        <v>0.21</v>
      </c>
      <c r="F81" s="38" t="s">
        <v>259</v>
      </c>
      <c r="G81" s="102"/>
    </row>
    <row r="83" customFormat="false" ht="15.75" hidden="false" customHeight="true" outlineLevel="0" collapsed="false">
      <c r="A83" s="7" t="s">
        <v>333</v>
      </c>
      <c r="B83" s="7"/>
      <c r="C83" s="7"/>
      <c r="D83" s="7"/>
      <c r="E83" s="7"/>
      <c r="F83" s="7"/>
      <c r="G83" s="7"/>
    </row>
    <row r="84" customFormat="false" ht="15" hidden="false" customHeight="false" outlineLevel="0" collapsed="false">
      <c r="A84" s="6" t="s">
        <v>142</v>
      </c>
      <c r="B84" s="109" t="n">
        <v>281000</v>
      </c>
      <c r="C84" s="109" t="n">
        <v>281000</v>
      </c>
      <c r="D84" s="109" t="n">
        <v>281000</v>
      </c>
      <c r="E84" s="110" t="n">
        <f aca="false">CHOOSE(Dashboard!$B$4,B84,C84,D84)</f>
        <v>281000</v>
      </c>
      <c r="F84" s="38" t="s">
        <v>283</v>
      </c>
      <c r="G84" s="102" t="s">
        <v>334</v>
      </c>
    </row>
    <row r="86" customFormat="false" ht="15.75" hidden="false" customHeight="true" outlineLevel="0" collapsed="false">
      <c r="A86" s="7" t="s">
        <v>335</v>
      </c>
      <c r="B86" s="7"/>
      <c r="C86" s="7"/>
      <c r="D86" s="7"/>
      <c r="E86" s="7"/>
      <c r="F86" s="7"/>
      <c r="G86" s="7"/>
    </row>
    <row r="87" customFormat="false" ht="15" hidden="false" customHeight="false" outlineLevel="0" collapsed="false">
      <c r="A87" s="6" t="s">
        <v>169</v>
      </c>
      <c r="B87" s="103" t="n">
        <v>0.3</v>
      </c>
      <c r="C87" s="103" t="n">
        <v>0.25</v>
      </c>
      <c r="D87" s="103" t="n">
        <v>0.2</v>
      </c>
      <c r="E87" s="104" t="n">
        <f aca="false">CHOOSE(Dashboard!$B$4,B87,C87,D87)</f>
        <v>0.25</v>
      </c>
      <c r="F87" s="38" t="s">
        <v>259</v>
      </c>
      <c r="G87" s="102" t="s">
        <v>264</v>
      </c>
    </row>
    <row r="88" customFormat="false" ht="15" hidden="false" customHeight="false" outlineLevel="0" collapsed="false">
      <c r="A88" s="6" t="s">
        <v>336</v>
      </c>
      <c r="B88" s="103" t="n">
        <v>0.01</v>
      </c>
      <c r="C88" s="103" t="n">
        <v>0.02</v>
      </c>
      <c r="D88" s="103" t="n">
        <v>0.03</v>
      </c>
      <c r="E88" s="104" t="n">
        <f aca="false">CHOOSE(Dashboard!$B$4,B88,C88,D88)</f>
        <v>0.02</v>
      </c>
      <c r="F88" s="38" t="s">
        <v>259</v>
      </c>
      <c r="G88" s="102" t="s">
        <v>257</v>
      </c>
    </row>
    <row r="89" customFormat="false" ht="15" hidden="false" customHeight="false" outlineLevel="0" collapsed="false">
      <c r="A89" s="6" t="s">
        <v>171</v>
      </c>
      <c r="B89" s="111" t="n">
        <v>3</v>
      </c>
      <c r="C89" s="111" t="n">
        <v>4</v>
      </c>
      <c r="D89" s="111" t="n">
        <v>5</v>
      </c>
      <c r="E89" s="112" t="n">
        <f aca="false">CHOOSE(Dashboard!$B$4,B89,C89,D89)</f>
        <v>4</v>
      </c>
      <c r="F89" s="38" t="s">
        <v>337</v>
      </c>
      <c r="G89" s="102" t="s">
        <v>257</v>
      </c>
    </row>
    <row r="90" customFormat="false" ht="15" hidden="false" customHeight="false" outlineLevel="0" collapsed="false">
      <c r="A90" s="6" t="s">
        <v>338</v>
      </c>
      <c r="B90" s="103" t="n">
        <v>0.01</v>
      </c>
      <c r="C90" s="103" t="n">
        <v>0.01</v>
      </c>
      <c r="D90" s="103" t="n">
        <v>0.01</v>
      </c>
      <c r="E90" s="104" t="n">
        <f aca="false">CHOOSE(Dashboard!$B$4,B90,C90,D90)</f>
        <v>0.01</v>
      </c>
      <c r="F90" s="38" t="s">
        <v>259</v>
      </c>
      <c r="G90" s="102"/>
    </row>
    <row r="91" customFormat="false" ht="15" hidden="false" customHeight="false" outlineLevel="0" collapsed="false">
      <c r="A91" s="6" t="s">
        <v>339</v>
      </c>
      <c r="B91" s="103" t="n">
        <v>0.005</v>
      </c>
      <c r="C91" s="103" t="n">
        <v>0.005</v>
      </c>
      <c r="D91" s="103" t="n">
        <v>0.005</v>
      </c>
      <c r="E91" s="104" t="n">
        <f aca="false">CHOOSE(Dashboard!$B$4,B91,C91,D91)</f>
        <v>0.005</v>
      </c>
      <c r="F91" s="38" t="s">
        <v>259</v>
      </c>
      <c r="G91" s="102"/>
    </row>
    <row r="93" customFormat="false" ht="15" hidden="false" customHeight="false" outlineLevel="0" collapsed="false">
      <c r="A93" s="21" t="s">
        <v>340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341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156</v>
      </c>
      <c r="C4" s="52" t="s">
        <v>157</v>
      </c>
      <c r="D4" s="52" t="s">
        <v>158</v>
      </c>
      <c r="E4" s="52" t="s">
        <v>159</v>
      </c>
      <c r="F4" s="52" t="s">
        <v>160</v>
      </c>
    </row>
    <row r="5" customFormat="false" ht="15" hidden="false" customHeight="false" outlineLevel="0" collapsed="false">
      <c r="A5" s="4" t="s">
        <v>44</v>
      </c>
      <c r="B5" s="75" t="n">
        <f aca="false">SUMIF(Monthly!$C$5:$BJ$5,B$3,Monthly!$C$37:$BJ$37)</f>
        <v>1180182.39164623</v>
      </c>
      <c r="C5" s="75" t="n">
        <f aca="false">SUMIF(Monthly!$C$5:$BJ$5,C$3,Monthly!$C$37:$BJ$37)</f>
        <v>1846649.01829223</v>
      </c>
      <c r="D5" s="75" t="n">
        <f aca="false">SUMIF(Monthly!$C$5:$BJ$5,D$3,Monthly!$C$37:$BJ$37)</f>
        <v>2170291.60192013</v>
      </c>
      <c r="E5" s="75" t="n">
        <f aca="false">SUMIF(Monthly!$C$5:$BJ$5,E$3,Monthly!$C$37:$BJ$37)</f>
        <v>2428630.05206795</v>
      </c>
      <c r="F5" s="75" t="n">
        <f aca="false">SUMIF(Monthly!$C$5:$BJ$5,F$3,Monthly!$C$37:$BJ$37)</f>
        <v>2649323.50145466</v>
      </c>
    </row>
    <row r="6" customFormat="false" ht="15" hidden="false" customHeight="false" outlineLevel="0" collapsed="false">
      <c r="A6" s="6" t="s">
        <v>76</v>
      </c>
      <c r="B6" s="69" t="n">
        <f aca="false">SUMIF(Monthly!$C$5:$BJ$5,B$3,Monthly!$C$45:$BJ$45)</f>
        <v>-180421.598916524</v>
      </c>
      <c r="C6" s="69" t="n">
        <f aca="false">SUMIF(Monthly!$C$5:$BJ$5,C$3,Monthly!$C$45:$BJ$45)</f>
        <v>-294727.996003726</v>
      </c>
      <c r="D6" s="69" t="n">
        <f aca="false">SUMIF(Monthly!$C$5:$BJ$5,D$3,Monthly!$C$45:$BJ$45)</f>
        <v>-357141.250598515</v>
      </c>
      <c r="E6" s="69" t="n">
        <f aca="false">SUMIF(Monthly!$C$5:$BJ$5,E$3,Monthly!$C$45:$BJ$45)</f>
        <v>-407520.332144398</v>
      </c>
      <c r="F6" s="69" t="n">
        <f aca="false">SUMIF(Monthly!$C$5:$BJ$5,F$3,Monthly!$C$45:$BJ$45)</f>
        <v>-451045.977550919</v>
      </c>
    </row>
    <row r="7" customFormat="false" ht="15" hidden="false" customHeight="false" outlineLevel="0" collapsed="false">
      <c r="A7" s="113" t="s">
        <v>45</v>
      </c>
      <c r="B7" s="70" t="n">
        <f aca="false">SUMIF(Monthly!$C$5:$BJ$5,B$3,Monthly!$C$46:$BJ$46)</f>
        <v>999760.792729705</v>
      </c>
      <c r="C7" s="70" t="n">
        <f aca="false">SUMIF(Monthly!$C$5:$BJ$5,C$3,Monthly!$C$46:$BJ$46)</f>
        <v>1551921.0222885</v>
      </c>
      <c r="D7" s="70" t="n">
        <f aca="false">SUMIF(Monthly!$C$5:$BJ$5,D$3,Monthly!$C$46:$BJ$46)</f>
        <v>1813150.35132162</v>
      </c>
      <c r="E7" s="70" t="n">
        <f aca="false">SUMIF(Monthly!$C$5:$BJ$5,E$3,Monthly!$C$46:$BJ$46)</f>
        <v>2021109.71992355</v>
      </c>
      <c r="F7" s="70" t="n">
        <f aca="false">SUMIF(Monthly!$C$5:$BJ$5,F$3,Monthly!$C$46:$BJ$46)</f>
        <v>2198277.52390374</v>
      </c>
    </row>
    <row r="8" customFormat="false" ht="15" hidden="false" customHeight="false" outlineLevel="0" collapsed="false">
      <c r="A8" s="38" t="s">
        <v>46</v>
      </c>
      <c r="B8" s="76" t="n">
        <f aca="false">IF(B5=0,0,B7/B5)</f>
        <v>0.847123969825669</v>
      </c>
      <c r="C8" s="76" t="n">
        <f aca="false">IF(C5=0,0,C7/C5)</f>
        <v>0.840398476871209</v>
      </c>
      <c r="D8" s="76" t="n">
        <f aca="false">IF(D5=0,0,D7/D5)</f>
        <v>0.835440891775769</v>
      </c>
      <c r="E8" s="76" t="n">
        <f aca="false">IF(E5=0,0,E7/E5)</f>
        <v>0.832201560794572</v>
      </c>
      <c r="F8" s="76" t="n">
        <f aca="false">IF(F5=0,0,F7/F5)</f>
        <v>0.82975050902494</v>
      </c>
    </row>
    <row r="9" customFormat="false" ht="15" hidden="false" customHeight="false" outlineLevel="0" collapsed="false">
      <c r="A9" s="6" t="s">
        <v>342</v>
      </c>
      <c r="B9" s="69" t="n">
        <f aca="false">SUMIF(Monthly!$C$5:$BJ$5,B$3,Monthly!$C$49:$BJ$49)</f>
        <v>-439040</v>
      </c>
      <c r="C9" s="69" t="n">
        <f aca="false">SUMIF(Monthly!$C$5:$BJ$5,C$3,Monthly!$C$49:$BJ$49)</f>
        <v>-452211.2</v>
      </c>
      <c r="D9" s="69" t="n">
        <f aca="false">SUMIF(Monthly!$C$5:$BJ$5,D$3,Monthly!$C$49:$BJ$49)</f>
        <v>-465777.536</v>
      </c>
      <c r="E9" s="69" t="n">
        <f aca="false">SUMIF(Monthly!$C$5:$BJ$5,E$3,Monthly!$C$49:$BJ$49)</f>
        <v>-479750.86208</v>
      </c>
      <c r="F9" s="69" t="n">
        <f aca="false">SUMIF(Monthly!$C$5:$BJ$5,F$3,Monthly!$C$49:$BJ$49)</f>
        <v>-494143.3879424</v>
      </c>
    </row>
    <row r="10" customFormat="false" ht="15" hidden="false" customHeight="false" outlineLevel="0" collapsed="false">
      <c r="A10" s="6" t="s">
        <v>343</v>
      </c>
      <c r="B10" s="69" t="n">
        <f aca="false">SUMIF(Monthly!$C$5:$BJ$5,B$3,Monthly!$C$50:$BJ$50)</f>
        <v>-360000</v>
      </c>
      <c r="C10" s="69" t="n">
        <f aca="false">SUMIF(Monthly!$C$5:$BJ$5,C$3,Monthly!$C$50:$BJ$50)</f>
        <v>-370800</v>
      </c>
      <c r="D10" s="69" t="n">
        <f aca="false">SUMIF(Monthly!$C$5:$BJ$5,D$3,Monthly!$C$50:$BJ$50)</f>
        <v>-381924</v>
      </c>
      <c r="E10" s="69" t="n">
        <f aca="false">SUMIF(Monthly!$C$5:$BJ$5,E$3,Monthly!$C$50:$BJ$50)</f>
        <v>-393381.72</v>
      </c>
      <c r="F10" s="69" t="n">
        <f aca="false">SUMIF(Monthly!$C$5:$BJ$5,F$3,Monthly!$C$50:$BJ$50)</f>
        <v>-405183.1716</v>
      </c>
    </row>
    <row r="11" customFormat="false" ht="15" hidden="false" customHeight="false" outlineLevel="0" collapsed="false">
      <c r="A11" s="6" t="s">
        <v>344</v>
      </c>
      <c r="B11" s="69" t="n">
        <f aca="false">SUMIF(Monthly!$C$5:$BJ$5,B$3,Monthly!$C$51:$BJ$51)</f>
        <v>-66000</v>
      </c>
      <c r="C11" s="69" t="n">
        <f aca="false">SUMIF(Monthly!$C$5:$BJ$5,C$3,Monthly!$C$51:$BJ$51)</f>
        <v>-67980</v>
      </c>
      <c r="D11" s="69" t="n">
        <f aca="false">SUMIF(Monthly!$C$5:$BJ$5,D$3,Monthly!$C$51:$BJ$51)</f>
        <v>-70019.4</v>
      </c>
      <c r="E11" s="69" t="n">
        <f aca="false">SUMIF(Monthly!$C$5:$BJ$5,E$3,Monthly!$C$51:$BJ$51)</f>
        <v>-72119.982</v>
      </c>
      <c r="F11" s="69" t="n">
        <f aca="false">SUMIF(Monthly!$C$5:$BJ$5,F$3,Monthly!$C$51:$BJ$51)</f>
        <v>-74283.58146</v>
      </c>
    </row>
    <row r="12" customFormat="false" ht="15" hidden="false" customHeight="false" outlineLevel="0" collapsed="false">
      <c r="A12" s="6" t="s">
        <v>345</v>
      </c>
      <c r="B12" s="69" t="n">
        <f aca="false">SUMIF(Monthly!$C$5:$BJ$5,B$3,Monthly!$C$52:$BJ$52)</f>
        <v>-114000</v>
      </c>
      <c r="C12" s="69" t="n">
        <f aca="false">SUMIF(Monthly!$C$5:$BJ$5,C$3,Monthly!$C$52:$BJ$52)</f>
        <v>-117420</v>
      </c>
      <c r="D12" s="69" t="n">
        <f aca="false">SUMIF(Monthly!$C$5:$BJ$5,D$3,Monthly!$C$52:$BJ$52)</f>
        <v>-120942.6</v>
      </c>
      <c r="E12" s="69" t="n">
        <f aca="false">SUMIF(Monthly!$C$5:$BJ$5,E$3,Monthly!$C$52:$BJ$52)</f>
        <v>-124570.878</v>
      </c>
      <c r="F12" s="69" t="n">
        <f aca="false">SUMIF(Monthly!$C$5:$BJ$5,F$3,Monthly!$C$52:$BJ$52)</f>
        <v>-128308.00434</v>
      </c>
    </row>
    <row r="13" customFormat="false" ht="15" hidden="false" customHeight="false" outlineLevel="0" collapsed="false">
      <c r="A13" s="6" t="s">
        <v>346</v>
      </c>
      <c r="B13" s="69" t="n">
        <f aca="false">SUMIF(Monthly!$C$5:$BJ$5,B$3,Monthly!$C$53:$BJ$53)</f>
        <v>-144000</v>
      </c>
      <c r="C13" s="69" t="n">
        <f aca="false">SUMIF(Monthly!$C$5:$BJ$5,C$3,Monthly!$C$53:$BJ$53)</f>
        <v>-115200</v>
      </c>
      <c r="D13" s="69" t="n">
        <f aca="false">SUMIF(Monthly!$C$5:$BJ$5,D$3,Monthly!$C$53:$BJ$53)</f>
        <v>-92160</v>
      </c>
      <c r="E13" s="69" t="n">
        <f aca="false">SUMIF(Monthly!$C$5:$BJ$5,E$3,Monthly!$C$53:$BJ$53)</f>
        <v>-73728</v>
      </c>
      <c r="F13" s="69" t="n">
        <f aca="false">SUMIF(Monthly!$C$5:$BJ$5,F$3,Monthly!$C$53:$BJ$53)</f>
        <v>-58982.4</v>
      </c>
    </row>
    <row r="14" customFormat="false" ht="15" hidden="false" customHeight="false" outlineLevel="0" collapsed="false">
      <c r="A14" s="113" t="s">
        <v>77</v>
      </c>
      <c r="B14" s="70" t="n">
        <f aca="false">SUMIF(Monthly!$C$5:$BJ$5,B$3,Monthly!$C$54:$BJ$54)</f>
        <v>-1123040</v>
      </c>
      <c r="C14" s="70" t="n">
        <f aca="false">SUMIF(Monthly!$C$5:$BJ$5,C$3,Monthly!$C$54:$BJ$54)</f>
        <v>-1123611.2</v>
      </c>
      <c r="D14" s="70" t="n">
        <f aca="false">SUMIF(Monthly!$C$5:$BJ$5,D$3,Monthly!$C$54:$BJ$54)</f>
        <v>-1130823.536</v>
      </c>
      <c r="E14" s="70" t="n">
        <f aca="false">SUMIF(Monthly!$C$5:$BJ$5,E$3,Monthly!$C$54:$BJ$54)</f>
        <v>-1143551.44208</v>
      </c>
      <c r="F14" s="70" t="n">
        <f aca="false">SUMIF(Monthly!$C$5:$BJ$5,F$3,Monthly!$C$54:$BJ$54)</f>
        <v>-1160900.5453424</v>
      </c>
    </row>
    <row r="15" customFormat="false" ht="15" hidden="false" customHeight="false" outlineLevel="0" collapsed="false">
      <c r="A15" s="113" t="s">
        <v>48</v>
      </c>
      <c r="B15" s="70" t="n">
        <f aca="false">SUMIF(Monthly!$C$5:$BJ$5,B$3,Monthly!$C$55:$BJ$55)</f>
        <v>-123279.207270295</v>
      </c>
      <c r="C15" s="70" t="n">
        <f aca="false">SUMIF(Monthly!$C$5:$BJ$5,C$3,Monthly!$C$55:$BJ$55)</f>
        <v>428309.8222885</v>
      </c>
      <c r="D15" s="70" t="n">
        <f aca="false">SUMIF(Monthly!$C$5:$BJ$5,D$3,Monthly!$C$55:$BJ$55)</f>
        <v>682326.815321617</v>
      </c>
      <c r="E15" s="70" t="n">
        <f aca="false">SUMIF(Monthly!$C$5:$BJ$5,E$3,Monthly!$C$55:$BJ$55)</f>
        <v>877558.27784355</v>
      </c>
      <c r="F15" s="70" t="n">
        <f aca="false">SUMIF(Monthly!$C$5:$BJ$5,F$3,Monthly!$C$55:$BJ$55)</f>
        <v>1037376.97856134</v>
      </c>
    </row>
    <row r="16" customFormat="false" ht="15" hidden="false" customHeight="false" outlineLevel="0" collapsed="false">
      <c r="A16" s="38" t="s">
        <v>49</v>
      </c>
      <c r="B16" s="76" t="n">
        <f aca="false">IF(B5=0,0,B15/B5)</f>
        <v>-0.104457758515049</v>
      </c>
      <c r="C16" s="76" t="n">
        <f aca="false">IF(C5=0,0,C15/C5)</f>
        <v>0.231938943484019</v>
      </c>
      <c r="D16" s="76" t="n">
        <f aca="false">IF(D5=0,0,D15/D5)</f>
        <v>0.314394072537506</v>
      </c>
      <c r="E16" s="76" t="n">
        <f aca="false">IF(E5=0,0,E15/E5)</f>
        <v>0.361338803782124</v>
      </c>
      <c r="F16" s="76" t="n">
        <f aca="false">IF(F5=0,0,F15/F5)</f>
        <v>0.391562969939967</v>
      </c>
    </row>
    <row r="17" customFormat="false" ht="15" hidden="false" customHeight="false" outlineLevel="0" collapsed="false">
      <c r="A17" s="6" t="s">
        <v>78</v>
      </c>
      <c r="B17" s="69" t="n">
        <f aca="false">SUMIF(Monthly!$C$5:$BJ$5,B$3,Monthly!$C$75:$BJ$75)</f>
        <v>-341666.666666667</v>
      </c>
      <c r="C17" s="69" t="n">
        <f aca="false">SUMIF(Monthly!$C$5:$BJ$5,C$3,Monthly!$C$75:$BJ$75)</f>
        <v>-345000</v>
      </c>
      <c r="D17" s="69" t="n">
        <f aca="false">SUMIF(Monthly!$C$5:$BJ$5,D$3,Monthly!$C$75:$BJ$75)</f>
        <v>-348333.333333333</v>
      </c>
      <c r="E17" s="69" t="n">
        <f aca="false">SUMIF(Monthly!$C$5:$BJ$5,E$3,Monthly!$C$75:$BJ$75)</f>
        <v>-351666.666666667</v>
      </c>
      <c r="F17" s="69" t="n">
        <f aca="false">SUMIF(Monthly!$C$5:$BJ$5,F$3,Monthly!$C$75:$BJ$75)</f>
        <v>-355000</v>
      </c>
    </row>
    <row r="18" customFormat="false" ht="15" hidden="false" customHeight="false" outlineLevel="0" collapsed="false">
      <c r="A18" s="4" t="s">
        <v>79</v>
      </c>
      <c r="B18" s="75" t="n">
        <f aca="false">SUMIF(Monthly!$C$5:$BJ$5,B$3,Monthly!$C$58:$BJ$58)</f>
        <v>-464945.873936961</v>
      </c>
      <c r="C18" s="75" t="n">
        <f aca="false">SUMIF(Monthly!$C$5:$BJ$5,C$3,Monthly!$C$58:$BJ$58)</f>
        <v>83309.8222884995</v>
      </c>
      <c r="D18" s="75" t="n">
        <f aca="false">SUMIF(Monthly!$C$5:$BJ$5,D$3,Monthly!$C$58:$BJ$58)</f>
        <v>333993.481988284</v>
      </c>
      <c r="E18" s="75" t="n">
        <f aca="false">SUMIF(Monthly!$C$5:$BJ$5,E$3,Monthly!$C$58:$BJ$58)</f>
        <v>525891.611176884</v>
      </c>
      <c r="F18" s="75" t="n">
        <f aca="false">SUMIF(Monthly!$C$5:$BJ$5,F$3,Monthly!$C$58:$BJ$58)</f>
        <v>682376.97856134</v>
      </c>
    </row>
    <row r="19" customFormat="false" ht="15" hidden="false" customHeight="false" outlineLevel="0" collapsed="false">
      <c r="A19" s="6" t="s">
        <v>80</v>
      </c>
      <c r="B19" s="69" t="n">
        <f aca="false">SUMIF(Monthly!$C$5:$BJ$5,B$3,Monthly!$C$59:$BJ$59)</f>
        <v>-244286.458333333</v>
      </c>
      <c r="C19" s="69" t="n">
        <f aca="false">SUMIF(Monthly!$C$5:$BJ$5,C$3,Monthly!$C$59:$BJ$59)</f>
        <v>-218875</v>
      </c>
      <c r="D19" s="69" t="n">
        <f aca="false">SUMIF(Monthly!$C$5:$BJ$5,D$3,Monthly!$C$59:$BJ$59)</f>
        <v>-193375</v>
      </c>
      <c r="E19" s="69" t="n">
        <f aca="false">SUMIF(Monthly!$C$5:$BJ$5,E$3,Monthly!$C$59:$BJ$59)</f>
        <v>-167875</v>
      </c>
      <c r="F19" s="69" t="n">
        <f aca="false">SUMIF(Monthly!$C$5:$BJ$5,F$3,Monthly!$C$59:$BJ$59)</f>
        <v>-142375</v>
      </c>
    </row>
    <row r="20" customFormat="false" ht="15" hidden="false" customHeight="false" outlineLevel="0" collapsed="false">
      <c r="A20" s="114" t="s">
        <v>81</v>
      </c>
      <c r="B20" s="115" t="n">
        <f aca="false">SUMIF(Monthly!$C$5:$BJ$5,B$3,Monthly!$C$60:$BJ$60)</f>
        <v>-709232.332270295</v>
      </c>
      <c r="C20" s="115" t="n">
        <f aca="false">SUMIF(Monthly!$C$5:$BJ$5,C$3,Monthly!$C$60:$BJ$60)</f>
        <v>-135565.177711501</v>
      </c>
      <c r="D20" s="115" t="n">
        <f aca="false">SUMIF(Monthly!$C$5:$BJ$5,D$3,Monthly!$C$60:$BJ$60)</f>
        <v>140618.481988284</v>
      </c>
      <c r="E20" s="115" t="n">
        <f aca="false">SUMIF(Monthly!$C$5:$BJ$5,E$3,Monthly!$C$60:$BJ$60)</f>
        <v>358016.611176884</v>
      </c>
      <c r="F20" s="115" t="n">
        <f aca="false">SUMIF(Monthly!$C$5:$BJ$5,F$3,Monthly!$C$60:$BJ$60)</f>
        <v>540001.97856134</v>
      </c>
    </row>
    <row r="21" customFormat="false" ht="15" hidden="false" customHeight="false" outlineLevel="0" collapsed="false">
      <c r="A21" s="6" t="s">
        <v>82</v>
      </c>
      <c r="B21" s="69" t="n">
        <f aca="false">SUMIF(Monthly!$C$5:$BJ$5,B$3,Monthly!$C$63:$BJ$63)</f>
        <v>0</v>
      </c>
      <c r="C21" s="69" t="n">
        <f aca="false">SUMIF(Monthly!$C$5:$BJ$5,C$3,Monthly!$C$63:$BJ$63)</f>
        <v>0</v>
      </c>
      <c r="D21" s="69" t="n">
        <f aca="false">SUMIF(Monthly!$C$5:$BJ$5,D$3,Monthly!$C$63:$BJ$63)</f>
        <v>0</v>
      </c>
      <c r="E21" s="69" t="n">
        <f aca="false">SUMIF(Monthly!$C$5:$BJ$5,E$3,Monthly!$C$63:$BJ$63)</f>
        <v>0</v>
      </c>
      <c r="F21" s="69" t="n">
        <f aca="false">SUMIF(Monthly!$C$5:$BJ$5,F$3,Monthly!$C$63:$BJ$63)</f>
        <v>-40706.3079663895</v>
      </c>
    </row>
    <row r="22" customFormat="false" ht="15" hidden="false" customHeight="false" outlineLevel="0" collapsed="false">
      <c r="A22" s="72" t="s">
        <v>50</v>
      </c>
      <c r="B22" s="73" t="n">
        <f aca="false">SUMIF(Monthly!$C$5:$BJ$5,B$3,Monthly!$C$64:$BJ$64)</f>
        <v>-709232.332270295</v>
      </c>
      <c r="C22" s="73" t="n">
        <f aca="false">SUMIF(Monthly!$C$5:$BJ$5,C$3,Monthly!$C$64:$BJ$64)</f>
        <v>-135565.177711501</v>
      </c>
      <c r="D22" s="73" t="n">
        <f aca="false">SUMIF(Monthly!$C$5:$BJ$5,D$3,Monthly!$C$64:$BJ$64)</f>
        <v>140618.481988284</v>
      </c>
      <c r="E22" s="73" t="n">
        <f aca="false">SUMIF(Monthly!$C$5:$BJ$5,E$3,Monthly!$C$64:$BJ$64)</f>
        <v>358016.611176884</v>
      </c>
      <c r="F22" s="73" t="n">
        <f aca="false">SUMIF(Monthly!$C$5:$BJ$5,F$3,Monthly!$C$64:$BJ$64)</f>
        <v>499295.67059495</v>
      </c>
    </row>
    <row r="23" customFormat="false" ht="15" hidden="false" customHeight="false" outlineLevel="0" collapsed="false">
      <c r="A23" s="38" t="s">
        <v>51</v>
      </c>
      <c r="B23" s="76" t="n">
        <f aca="false">IF(B5=0,0,B22/B5)</f>
        <v>-0.600951460800047</v>
      </c>
      <c r="C23" s="76" t="n">
        <f aca="false">IF(C5=0,0,C22/C5)</f>
        <v>-0.0734114476376625</v>
      </c>
      <c r="D23" s="76" t="n">
        <f aca="false">IF(D5=0,0,D22/D5)</f>
        <v>0.0647924370457287</v>
      </c>
      <c r="E23" s="76" t="n">
        <f aca="false">IF(E5=0,0,E22/E5)</f>
        <v>0.147415046137652</v>
      </c>
      <c r="F23" s="76" t="n">
        <f aca="false">IF(F5=0,0,F22/F5)</f>
        <v>0.188461571537339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341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156</v>
      </c>
      <c r="C4" s="52" t="s">
        <v>157</v>
      </c>
      <c r="D4" s="52" t="s">
        <v>158</v>
      </c>
      <c r="E4" s="52" t="s">
        <v>159</v>
      </c>
      <c r="F4" s="52" t="s">
        <v>160</v>
      </c>
    </row>
    <row r="5" customFormat="false" ht="15" hidden="false" customHeight="false" outlineLevel="0" collapsed="false">
      <c r="A5" s="6" t="s">
        <v>50</v>
      </c>
      <c r="B5" s="69" t="n">
        <f aca="false">SUMIF(Monthly!$C$5:$BJ$5,B$3,Monthly!$C$64:$BJ$64)</f>
        <v>-709232.332270295</v>
      </c>
      <c r="C5" s="69" t="n">
        <f aca="false">SUMIF(Monthly!$C$5:$BJ$5,C$3,Monthly!$C$64:$BJ$64)</f>
        <v>-135565.177711501</v>
      </c>
      <c r="D5" s="69" t="n">
        <f aca="false">SUMIF(Monthly!$C$5:$BJ$5,D$3,Monthly!$C$64:$BJ$64)</f>
        <v>140618.481988284</v>
      </c>
      <c r="E5" s="69" t="n">
        <f aca="false">SUMIF(Monthly!$C$5:$BJ$5,E$3,Monthly!$C$64:$BJ$64)</f>
        <v>358016.611176884</v>
      </c>
      <c r="F5" s="69" t="n">
        <f aca="false">SUMIF(Monthly!$C$5:$BJ$5,F$3,Monthly!$C$64:$BJ$64)</f>
        <v>499295.67059495</v>
      </c>
    </row>
    <row r="6" customFormat="false" ht="15" hidden="false" customHeight="false" outlineLevel="0" collapsed="false">
      <c r="A6" s="6" t="s">
        <v>347</v>
      </c>
      <c r="B6" s="69" t="n">
        <f aca="false">-SUMIF(Monthly!$C$5:$BJ$5,B$3,Monthly!$C$75:$BJ$75)</f>
        <v>341666.666666667</v>
      </c>
      <c r="C6" s="69" t="n">
        <f aca="false">-SUMIF(Monthly!$C$5:$BJ$5,C$3,Monthly!$C$75:$BJ$75)</f>
        <v>345000</v>
      </c>
      <c r="D6" s="69" t="n">
        <f aca="false">-SUMIF(Monthly!$C$5:$BJ$5,D$3,Monthly!$C$75:$BJ$75)</f>
        <v>348333.333333333</v>
      </c>
      <c r="E6" s="69" t="n">
        <f aca="false">-SUMIF(Monthly!$C$5:$BJ$5,E$3,Monthly!$C$75:$BJ$75)</f>
        <v>351666.666666667</v>
      </c>
      <c r="F6" s="69" t="n">
        <f aca="false">-SUMIF(Monthly!$C$5:$BJ$5,F$3,Monthly!$C$75:$BJ$75)</f>
        <v>355000</v>
      </c>
    </row>
    <row r="7" customFormat="false" ht="15" hidden="false" customHeight="false" outlineLevel="0" collapsed="false">
      <c r="A7" s="6" t="s">
        <v>348</v>
      </c>
      <c r="B7" s="69" t="n">
        <f aca="false">SUMIF(Monthly!$C$5:$BJ$5,B$3,Monthly!$C$89:$BJ$89)</f>
        <v>-7915.98187505677</v>
      </c>
      <c r="C7" s="69" t="n">
        <f aca="false">SUMIF(Monthly!$C$5:$BJ$5,C$3,Monthly!$C$89:$BJ$89)</f>
        <v>-2001.14314280051</v>
      </c>
      <c r="D7" s="69" t="n">
        <f aca="false">SUMIF(Monthly!$C$5:$BJ$5,D$3,Monthly!$C$89:$BJ$89)</f>
        <v>-1526.76150821267</v>
      </c>
      <c r="E7" s="69" t="n">
        <f aca="false">SUMIF(Monthly!$C$5:$BJ$5,E$3,Monthly!$C$89:$BJ$89)</f>
        <v>-1246.01123850244</v>
      </c>
      <c r="F7" s="69" t="n">
        <f aca="false">SUMIF(Monthly!$C$5:$BJ$5,F$3,Monthly!$C$89:$BJ$89)</f>
        <v>-1087.19329818016</v>
      </c>
    </row>
    <row r="8" customFormat="false" ht="15" hidden="false" customHeight="false" outlineLevel="0" collapsed="false">
      <c r="A8" s="6" t="s">
        <v>349</v>
      </c>
      <c r="B8" s="69" t="n">
        <f aca="false">SUMIF(Monthly!$C$5:$BJ$5,B$3,Monthly!$C$90:$BJ$90)</f>
        <v>-4146.69851764287</v>
      </c>
      <c r="C8" s="69" t="n">
        <f aca="false">SUMIF(Monthly!$C$5:$BJ$5,C$3,Monthly!$C$90:$BJ$90)</f>
        <v>-1195.81298492465</v>
      </c>
      <c r="D8" s="69" t="n">
        <f aca="false">SUMIF(Monthly!$C$5:$BJ$5,D$3,Monthly!$C$90:$BJ$90)</f>
        <v>-929.073533977494</v>
      </c>
      <c r="E8" s="69" t="n">
        <f aca="false">SUMIF(Monthly!$C$5:$BJ$5,E$3,Monthly!$C$90:$BJ$90)</f>
        <v>-772.619732592849</v>
      </c>
      <c r="F8" s="69" t="n">
        <f aca="false">SUMIF(Monthly!$C$5:$BJ$5,F$3,Monthly!$C$90:$BJ$90)</f>
        <v>-686.423712220927</v>
      </c>
    </row>
    <row r="9" customFormat="false" ht="15" hidden="false" customHeight="false" outlineLevel="0" collapsed="false">
      <c r="A9" s="6" t="s">
        <v>350</v>
      </c>
      <c r="B9" s="69" t="n">
        <f aca="false">SUMIF(Monthly!$C$5:$BJ$5,B$3,Monthly!$C$91:$BJ$91)</f>
        <v>11847.7100504082</v>
      </c>
      <c r="C9" s="69" t="n">
        <f aca="false">SUMIF(Monthly!$C$5:$BJ$5,C$3,Monthly!$C$91:$BJ$91)</f>
        <v>3416.60852835615</v>
      </c>
      <c r="D9" s="69" t="n">
        <f aca="false">SUMIF(Monthly!$C$5:$BJ$5,D$3,Monthly!$C$91:$BJ$91)</f>
        <v>2654.49581136427</v>
      </c>
      <c r="E9" s="69" t="n">
        <f aca="false">SUMIF(Monthly!$C$5:$BJ$5,E$3,Monthly!$C$91:$BJ$91)</f>
        <v>2207.48495026528</v>
      </c>
      <c r="F9" s="69" t="n">
        <f aca="false">SUMIF(Monthly!$C$5:$BJ$5,F$3,Monthly!$C$91:$BJ$91)</f>
        <v>1961.21060634551</v>
      </c>
    </row>
    <row r="10" customFormat="false" ht="15" hidden="false" customHeight="false" outlineLevel="0" collapsed="false">
      <c r="A10" s="113" t="s">
        <v>52</v>
      </c>
      <c r="B10" s="70" t="n">
        <f aca="false">SUMIF(Monthly!$C$5:$BJ$5,B$3,Monthly!$C$94:$BJ$94)</f>
        <v>-367780.63594592</v>
      </c>
      <c r="C10" s="70" t="n">
        <f aca="false">SUMIF(Monthly!$C$5:$BJ$5,C$3,Monthly!$C$94:$BJ$94)</f>
        <v>209654.47468913</v>
      </c>
      <c r="D10" s="70" t="n">
        <f aca="false">SUMIF(Monthly!$C$5:$BJ$5,D$3,Monthly!$C$94:$BJ$94)</f>
        <v>489150.476090791</v>
      </c>
      <c r="E10" s="70" t="n">
        <f aca="false">SUMIF(Monthly!$C$5:$BJ$5,E$3,Monthly!$C$94:$BJ$94)</f>
        <v>709872.13182272</v>
      </c>
      <c r="F10" s="70" t="n">
        <f aca="false">SUMIF(Monthly!$C$5:$BJ$5,F$3,Monthly!$C$94:$BJ$94)</f>
        <v>854483.264190895</v>
      </c>
    </row>
    <row r="11" customFormat="false" ht="15" hidden="false" customHeight="false" outlineLevel="0" collapsed="false">
      <c r="A11" s="6" t="s">
        <v>84</v>
      </c>
      <c r="B11" s="69" t="n">
        <f aca="false">SUMIF(Monthly!$C$5:$BJ$5,B$3,Monthly!$C$95:$BJ$95)</f>
        <v>-4100000</v>
      </c>
      <c r="C11" s="69" t="n">
        <f aca="false">SUMIF(Monthly!$C$5:$BJ$5,C$3,Monthly!$C$95:$BJ$95)</f>
        <v>-40000</v>
      </c>
      <c r="D11" s="69" t="n">
        <f aca="false">SUMIF(Monthly!$C$5:$BJ$5,D$3,Monthly!$C$95:$BJ$95)</f>
        <v>-40000</v>
      </c>
      <c r="E11" s="69" t="n">
        <f aca="false">SUMIF(Monthly!$C$5:$BJ$5,E$3,Monthly!$C$95:$BJ$95)</f>
        <v>-40000</v>
      </c>
      <c r="F11" s="69" t="n">
        <f aca="false">SUMIF(Monthly!$C$5:$BJ$5,F$3,Monthly!$C$95:$BJ$95)</f>
        <v>-40000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SUMIF(Monthly!$C$5:$BJ$5,B$3,Monthly!$C$96:$BJ$96)</f>
        <v>2100000</v>
      </c>
      <c r="C12" s="69" t="n">
        <f aca="false">SUMIF(Monthly!$C$5:$BJ$5,C$3,Monthly!$C$96:$BJ$96)</f>
        <v>0</v>
      </c>
      <c r="D12" s="69" t="n">
        <f aca="false">SUMIF(Monthly!$C$5:$BJ$5,D$3,Monthly!$C$96:$BJ$96)</f>
        <v>0</v>
      </c>
      <c r="E12" s="69" t="n">
        <f aca="false">SUMIF(Monthly!$C$5:$BJ$5,E$3,Monthly!$C$96:$BJ$96)</f>
        <v>0</v>
      </c>
      <c r="F12" s="69" t="n">
        <f aca="false">SUMIF(Monthly!$C$5:$BJ$5,F$3,Monthly!$C$96:$BJ$96)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SUMIF(Monthly!$C$5:$BJ$5,B$3,Monthly!$C$81:$BJ$81)</f>
        <v>3000000</v>
      </c>
      <c r="C13" s="69" t="n">
        <f aca="false">SUMIF(Monthly!$C$5:$BJ$5,C$3,Monthly!$C$81:$BJ$81)</f>
        <v>0</v>
      </c>
      <c r="D13" s="69" t="n">
        <f aca="false">SUMIF(Monthly!$C$5:$BJ$5,D$3,Monthly!$C$81:$BJ$81)</f>
        <v>0</v>
      </c>
      <c r="E13" s="69" t="n">
        <f aca="false">SUMIF(Monthly!$C$5:$BJ$5,E$3,Monthly!$C$81:$BJ$81)</f>
        <v>0</v>
      </c>
      <c r="F13" s="69" t="n">
        <f aca="false">SUMIF(Monthly!$C$5:$BJ$5,F$3,Monthly!$C$81:$BJ$81)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SUMIF(Monthly!$C$5:$BJ$5,B$3,Monthly!$C$82:$BJ$82)</f>
        <v>-275000</v>
      </c>
      <c r="C14" s="69" t="n">
        <f aca="false">SUMIF(Monthly!$C$5:$BJ$5,C$3,Monthly!$C$82:$BJ$82)</f>
        <v>-300000</v>
      </c>
      <c r="D14" s="69" t="n">
        <f aca="false">SUMIF(Monthly!$C$5:$BJ$5,D$3,Monthly!$C$82:$BJ$82)</f>
        <v>-300000</v>
      </c>
      <c r="E14" s="69" t="n">
        <f aca="false">SUMIF(Monthly!$C$5:$BJ$5,E$3,Monthly!$C$82:$BJ$82)</f>
        <v>-300000</v>
      </c>
      <c r="F14" s="69" t="n">
        <f aca="false">SUMIF(Monthly!$C$5:$BJ$5,F$3,Monthly!$C$82:$BJ$82)</f>
        <v>-300000</v>
      </c>
    </row>
    <row r="15" customFormat="false" ht="15" hidden="false" customHeight="false" outlineLevel="0" collapsed="false">
      <c r="A15" s="113" t="s">
        <v>54</v>
      </c>
      <c r="B15" s="70" t="n">
        <f aca="false">SUMIF(Monthly!$C$5:$BJ$5,B$3,Monthly!$C$97:$BJ$97)</f>
        <v>4825000</v>
      </c>
      <c r="C15" s="70" t="n">
        <f aca="false">SUMIF(Monthly!$C$5:$BJ$5,C$3,Monthly!$C$97:$BJ$97)</f>
        <v>-300000</v>
      </c>
      <c r="D15" s="70" t="n">
        <f aca="false">SUMIF(Monthly!$C$5:$BJ$5,D$3,Monthly!$C$97:$BJ$97)</f>
        <v>-300000</v>
      </c>
      <c r="E15" s="70" t="n">
        <f aca="false">SUMIF(Monthly!$C$5:$BJ$5,E$3,Monthly!$C$97:$BJ$97)</f>
        <v>-300000</v>
      </c>
      <c r="F15" s="70" t="n">
        <f aca="false">SUMIF(Monthly!$C$5:$BJ$5,F$3,Monthly!$C$97:$BJ$97)</f>
        <v>-300000</v>
      </c>
    </row>
    <row r="16" customFormat="false" ht="15" hidden="false" customHeight="false" outlineLevel="0" collapsed="false">
      <c r="A16" s="4" t="s">
        <v>55</v>
      </c>
      <c r="B16" s="75" t="n">
        <f aca="false">SUMIF(Monthly!$C$5:$BJ$5,B$3,Monthly!$C$98:$BJ$98)</f>
        <v>357219.364054081</v>
      </c>
      <c r="C16" s="75" t="n">
        <f aca="false">SUMIF(Monthly!$C$5:$BJ$5,C$3,Monthly!$C$98:$BJ$98)</f>
        <v>-130345.52531087</v>
      </c>
      <c r="D16" s="75" t="n">
        <f aca="false">SUMIF(Monthly!$C$5:$BJ$5,D$3,Monthly!$C$98:$BJ$98)</f>
        <v>149150.476090791</v>
      </c>
      <c r="E16" s="75" t="n">
        <f aca="false">SUMIF(Monthly!$C$5:$BJ$5,E$3,Monthly!$C$98:$BJ$98)</f>
        <v>369872.13182272</v>
      </c>
      <c r="F16" s="75" t="n">
        <f aca="false">SUMIF(Monthly!$C$5:$BJ$5,F$3,Monthly!$C$98:$BJ$98)</f>
        <v>514483.264190895</v>
      </c>
    </row>
    <row r="17" customFormat="false" ht="15" hidden="false" customHeight="false" outlineLevel="0" collapsed="false">
      <c r="A17" s="6" t="s">
        <v>351</v>
      </c>
      <c r="B17" s="69" t="n">
        <f aca="false">INDEX(Monthly!$C$99:$BJ$99,(B$3-1)*12+1)</f>
        <v>0</v>
      </c>
      <c r="C17" s="69" t="n">
        <f aca="false">INDEX(Monthly!$C$99:$BJ$99,(C$3-1)*12+1)</f>
        <v>357219.364054081</v>
      </c>
      <c r="D17" s="69" t="n">
        <f aca="false">INDEX(Monthly!$C$99:$BJ$99,(D$3-1)*12+1)</f>
        <v>226873.838743211</v>
      </c>
      <c r="E17" s="69" t="n">
        <f aca="false">INDEX(Monthly!$C$99:$BJ$99,(E$3-1)*12+1)</f>
        <v>376024.314834002</v>
      </c>
      <c r="F17" s="69" t="n">
        <f aca="false">INDEX(Monthly!$C$99:$BJ$99,(F$3-1)*12+1)</f>
        <v>745896.446656723</v>
      </c>
    </row>
    <row r="18" customFormat="false" ht="15" hidden="false" customHeight="false" outlineLevel="0" collapsed="false">
      <c r="A18" s="72" t="s">
        <v>87</v>
      </c>
      <c r="B18" s="73" t="n">
        <f aca="false">INDEX(Monthly!$C$100:$BJ$100,B$3*12)</f>
        <v>357219.364054081</v>
      </c>
      <c r="C18" s="73" t="n">
        <f aca="false">INDEX(Monthly!$C$100:$BJ$100,C$3*12)</f>
        <v>226873.838743211</v>
      </c>
      <c r="D18" s="73" t="n">
        <f aca="false">INDEX(Monthly!$C$100:$BJ$100,D$3*12)</f>
        <v>376024.314834002</v>
      </c>
      <c r="E18" s="73" t="n">
        <f aca="false">INDEX(Monthly!$C$100:$BJ$100,E$3*12)</f>
        <v>745896.446656723</v>
      </c>
      <c r="F18" s="73" t="n">
        <f aca="false">INDEX(Monthly!$C$100:$BJ$100,F$3*12)</f>
        <v>1260379.71084762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341</v>
      </c>
    </row>
    <row r="3" customFormat="false" ht="15" hidden="false" customHeight="false" outlineLevel="0" collapsed="false">
      <c r="A3" s="74" t="s">
        <v>155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156</v>
      </c>
      <c r="C4" s="52" t="s">
        <v>157</v>
      </c>
      <c r="D4" s="52" t="s">
        <v>158</v>
      </c>
      <c r="E4" s="52" t="s">
        <v>159</v>
      </c>
      <c r="F4" s="52" t="s">
        <v>160</v>
      </c>
    </row>
    <row r="5" customFormat="false" ht="15" hidden="false" customHeight="false" outlineLevel="0" collapsed="false">
      <c r="A5" s="6" t="s">
        <v>89</v>
      </c>
      <c r="B5" s="69" t="n">
        <f aca="false">INDEX(Monthly!$C$100:$BJ$100,B$3*12)</f>
        <v>357219.364054081</v>
      </c>
      <c r="C5" s="69" t="n">
        <f aca="false">INDEX(Monthly!$C$100:$BJ$100,C$3*12)</f>
        <v>226873.838743211</v>
      </c>
      <c r="D5" s="69" t="n">
        <f aca="false">INDEX(Monthly!$C$100:$BJ$100,D$3*12)</f>
        <v>376024.314834002</v>
      </c>
      <c r="E5" s="69" t="n">
        <f aca="false">INDEX(Monthly!$C$100:$BJ$100,E$3*12)</f>
        <v>745896.446656723</v>
      </c>
      <c r="F5" s="69" t="n">
        <f aca="false">INDEX(Monthly!$C$100:$BJ$100,F$3*12)</f>
        <v>1260379.71084762</v>
      </c>
    </row>
    <row r="6" customFormat="false" ht="15" hidden="false" customHeight="false" outlineLevel="0" collapsed="false">
      <c r="A6" s="6" t="s">
        <v>90</v>
      </c>
      <c r="B6" s="69" t="n">
        <f aca="false">INDEX(Monthly!$C$86:$BJ$86,B$3*12)</f>
        <v>7915.98187505677</v>
      </c>
      <c r="C6" s="69" t="n">
        <f aca="false">INDEX(Monthly!$C$86:$BJ$86,C$3*12)</f>
        <v>9917.12501785728</v>
      </c>
      <c r="D6" s="69" t="n">
        <f aca="false">INDEX(Monthly!$C$86:$BJ$86,D$3*12)</f>
        <v>11443.8865260699</v>
      </c>
      <c r="E6" s="69" t="n">
        <f aca="false">INDEX(Monthly!$C$86:$BJ$86,E$3*12)</f>
        <v>12689.8977645724</v>
      </c>
      <c r="F6" s="69" t="n">
        <f aca="false">INDEX(Monthly!$C$86:$BJ$86,F$3*12)</f>
        <v>13777.0910627525</v>
      </c>
    </row>
    <row r="7" customFormat="false" ht="15" hidden="false" customHeight="false" outlineLevel="0" collapsed="false">
      <c r="A7" s="6" t="s">
        <v>91</v>
      </c>
      <c r="B7" s="69" t="n">
        <f aca="false">INDEX(Monthly!$C$87:$BJ$87,B$3*12)</f>
        <v>4146.69851764287</v>
      </c>
      <c r="C7" s="69" t="n">
        <f aca="false">INDEX(Monthly!$C$87:$BJ$87,C$3*12)</f>
        <v>5342.51150256752</v>
      </c>
      <c r="D7" s="69" t="n">
        <f aca="false">INDEX(Monthly!$C$87:$BJ$87,D$3*12)</f>
        <v>6271.58503654501</v>
      </c>
      <c r="E7" s="69" t="n">
        <f aca="false">INDEX(Monthly!$C$87:$BJ$87,E$3*12)</f>
        <v>7044.20476913786</v>
      </c>
      <c r="F7" s="69" t="n">
        <f aca="false">INDEX(Monthly!$C$87:$BJ$87,F$3*12)</f>
        <v>7730.62848135879</v>
      </c>
    </row>
    <row r="8" customFormat="false" ht="15" hidden="false" customHeight="false" outlineLevel="0" collapsed="false">
      <c r="A8" s="6" t="s">
        <v>92</v>
      </c>
      <c r="B8" s="69" t="n">
        <f aca="false">INDEX(Monthly!$C$77:$BJ$77,B$3*12)</f>
        <v>3758333.33333333</v>
      </c>
      <c r="C8" s="69" t="n">
        <f aca="false">INDEX(Monthly!$C$77:$BJ$77,C$3*12)</f>
        <v>3453333.33333333</v>
      </c>
      <c r="D8" s="69" t="n">
        <f aca="false">INDEX(Monthly!$C$77:$BJ$77,D$3*12)</f>
        <v>3145000</v>
      </c>
      <c r="E8" s="69" t="n">
        <f aca="false">INDEX(Monthly!$C$77:$BJ$77,E$3*12)</f>
        <v>2833333.33333333</v>
      </c>
      <c r="F8" s="69" t="n">
        <f aca="false">INDEX(Monthly!$C$77:$BJ$77,F$3*12)</f>
        <v>2518333.33333334</v>
      </c>
    </row>
    <row r="9" customFormat="false" ht="15" hidden="false" customHeight="false" outlineLevel="0" collapsed="false">
      <c r="A9" s="113" t="s">
        <v>93</v>
      </c>
      <c r="B9" s="70" t="n">
        <f aca="false">INDEX(Monthly!$C$114:$BJ$114,B$3*12)</f>
        <v>4127615.37778011</v>
      </c>
      <c r="C9" s="70" t="n">
        <f aca="false">INDEX(Monthly!$C$114:$BJ$114,C$3*12)</f>
        <v>3695466.80859697</v>
      </c>
      <c r="D9" s="70" t="n">
        <f aca="false">INDEX(Monthly!$C$114:$BJ$114,D$3*12)</f>
        <v>3538739.78639662</v>
      </c>
      <c r="E9" s="70" t="n">
        <f aca="false">INDEX(Monthly!$C$114:$BJ$114,E$3*12)</f>
        <v>3598963.88252377</v>
      </c>
      <c r="F9" s="70" t="n">
        <f aca="false">INDEX(Monthly!$C$114:$BJ$114,F$3*12)</f>
        <v>3800220.76372506</v>
      </c>
    </row>
    <row r="10" customFormat="false" ht="15" hidden="false" customHeight="false" outlineLevel="0" collapsed="false">
      <c r="A10" s="6" t="s">
        <v>94</v>
      </c>
      <c r="B10" s="69" t="n">
        <f aca="false">INDEX(Monthly!$C$88:$BJ$88,B$3*12)</f>
        <v>11847.7100504082</v>
      </c>
      <c r="C10" s="69" t="n">
        <f aca="false">INDEX(Monthly!$C$88:$BJ$88,C$3*12)</f>
        <v>15264.3185787643</v>
      </c>
      <c r="D10" s="69" t="n">
        <f aca="false">INDEX(Monthly!$C$88:$BJ$88,D$3*12)</f>
        <v>17918.8143901286</v>
      </c>
      <c r="E10" s="69" t="n">
        <f aca="false">INDEX(Monthly!$C$88:$BJ$88,E$3*12)</f>
        <v>20126.2993403939</v>
      </c>
      <c r="F10" s="69" t="n">
        <f aca="false">INDEX(Monthly!$C$88:$BJ$88,F$3*12)</f>
        <v>22087.5099467394</v>
      </c>
    </row>
    <row r="11" customFormat="false" ht="15" hidden="false" customHeight="false" outlineLevel="0" collapsed="false">
      <c r="A11" s="6" t="s">
        <v>95</v>
      </c>
      <c r="B11" s="69" t="n">
        <f aca="false">INDEX(Monthly!$C$83:$BJ$83,B$3*12)</f>
        <v>2725000</v>
      </c>
      <c r="C11" s="69" t="n">
        <f aca="false">INDEX(Monthly!$C$83:$BJ$83,C$3*12)</f>
        <v>2425000</v>
      </c>
      <c r="D11" s="69" t="n">
        <f aca="false">INDEX(Monthly!$C$83:$BJ$83,D$3*12)</f>
        <v>2125000</v>
      </c>
      <c r="E11" s="69" t="n">
        <f aca="false">INDEX(Monthly!$C$83:$BJ$83,E$3*12)</f>
        <v>1825000</v>
      </c>
      <c r="F11" s="69" t="n">
        <f aca="false">INDEX(Monthly!$C$83:$BJ$83,F$3*12)</f>
        <v>1525000</v>
      </c>
    </row>
    <row r="12" customFormat="false" ht="15" hidden="false" customHeight="false" outlineLevel="0" collapsed="false">
      <c r="A12" s="114" t="s">
        <v>96</v>
      </c>
      <c r="B12" s="115" t="n">
        <f aca="false">INDEX(Monthly!$C$115:$BJ$115,B$3*12)</f>
        <v>2736847.71005041</v>
      </c>
      <c r="C12" s="115" t="n">
        <f aca="false">INDEX(Monthly!$C$115:$BJ$115,C$3*12)</f>
        <v>2440264.31857876</v>
      </c>
      <c r="D12" s="115" t="n">
        <f aca="false">INDEX(Monthly!$C$115:$BJ$115,D$3*12)</f>
        <v>2142918.81439013</v>
      </c>
      <c r="E12" s="115" t="n">
        <f aca="false">INDEX(Monthly!$C$115:$BJ$115,E$3*12)</f>
        <v>1845126.29934039</v>
      </c>
      <c r="F12" s="115" t="n">
        <f aca="false">INDEX(Monthly!$C$115:$BJ$115,F$3*12)</f>
        <v>1547087.50994674</v>
      </c>
    </row>
    <row r="13" customFormat="false" ht="15" hidden="false" customHeight="false" outlineLevel="0" collapsed="false">
      <c r="A13" s="6" t="s">
        <v>97</v>
      </c>
      <c r="B13" s="69" t="n">
        <f aca="false">INDEX(Monthly!$C$112:$BJ$112,B$3*12)</f>
        <v>2100000</v>
      </c>
      <c r="C13" s="69" t="n">
        <f aca="false">INDEX(Monthly!$C$112:$BJ$112,C$3*12)</f>
        <v>2100000</v>
      </c>
      <c r="D13" s="69" t="n">
        <f aca="false">INDEX(Monthly!$C$112:$BJ$112,D$3*12)</f>
        <v>2100000</v>
      </c>
      <c r="E13" s="69" t="n">
        <f aca="false">INDEX(Monthly!$C$112:$BJ$112,E$3*12)</f>
        <v>2100000</v>
      </c>
      <c r="F13" s="69" t="n">
        <f aca="false">INDEX(Monthly!$C$112:$BJ$112,F$3*12)</f>
        <v>2100000</v>
      </c>
    </row>
    <row r="14" customFormat="false" ht="15" hidden="false" customHeight="false" outlineLevel="0" collapsed="false">
      <c r="A14" s="6" t="s">
        <v>98</v>
      </c>
      <c r="B14" s="69" t="n">
        <f aca="false">INDEX(Monthly!$C$113:$BJ$113,B$3*12)</f>
        <v>-709232.332270295</v>
      </c>
      <c r="C14" s="69" t="n">
        <f aca="false">INDEX(Monthly!$C$113:$BJ$113,C$3*12)</f>
        <v>-844797.509981795</v>
      </c>
      <c r="D14" s="69" t="n">
        <f aca="false">INDEX(Monthly!$C$113:$BJ$113,D$3*12)</f>
        <v>-704179.027993512</v>
      </c>
      <c r="E14" s="69" t="n">
        <f aca="false">INDEX(Monthly!$C$113:$BJ$113,E$3*12)</f>
        <v>-346162.416816628</v>
      </c>
      <c r="F14" s="69" t="n">
        <f aca="false">INDEX(Monthly!$C$113:$BJ$113,F$3*12)</f>
        <v>153133.253778322</v>
      </c>
    </row>
    <row r="15" customFormat="false" ht="15" hidden="false" customHeight="false" outlineLevel="0" collapsed="false">
      <c r="A15" s="114" t="s">
        <v>99</v>
      </c>
      <c r="B15" s="115" t="n">
        <f aca="false">INDEX(Monthly!$C$116:$BJ$116,B$3*12)</f>
        <v>1390767.66772971</v>
      </c>
      <c r="C15" s="115" t="n">
        <f aca="false">INDEX(Monthly!$C$116:$BJ$116,C$3*12)</f>
        <v>1255202.4900182</v>
      </c>
      <c r="D15" s="115" t="n">
        <f aca="false">INDEX(Monthly!$C$116:$BJ$116,D$3*12)</f>
        <v>1395820.97200649</v>
      </c>
      <c r="E15" s="115" t="n">
        <f aca="false">INDEX(Monthly!$C$116:$BJ$116,E$3*12)</f>
        <v>1753837.58318337</v>
      </c>
      <c r="F15" s="115" t="n">
        <f aca="false">INDEX(Monthly!$C$116:$BJ$116,F$3*12)</f>
        <v>2253133.25377832</v>
      </c>
    </row>
    <row r="16" customFormat="false" ht="15" hidden="false" customHeight="false" outlineLevel="0" collapsed="false">
      <c r="A16" s="72" t="s">
        <v>100</v>
      </c>
      <c r="B16" s="73" t="n">
        <f aca="false">INDEX(Monthly!$C$117:$BJ$117,B$3*12)</f>
        <v>4127615.37778011</v>
      </c>
      <c r="C16" s="73" t="n">
        <f aca="false">INDEX(Monthly!$C$117:$BJ$117,C$3*12)</f>
        <v>3695466.80859697</v>
      </c>
      <c r="D16" s="73" t="n">
        <f aca="false">INDEX(Monthly!$C$117:$BJ$117,D$3*12)</f>
        <v>3538739.78639662</v>
      </c>
      <c r="E16" s="73" t="n">
        <f aca="false">INDEX(Monthly!$C$117:$BJ$117,E$3*12)</f>
        <v>3598963.88252377</v>
      </c>
      <c r="F16" s="73" t="n">
        <f aca="false">INDEX(Monthly!$C$117:$BJ$117,F$3*12)</f>
        <v>3800220.76372506</v>
      </c>
    </row>
    <row r="17" customFormat="false" ht="15" hidden="false" customHeight="false" outlineLevel="0" collapsed="false">
      <c r="A17" s="6" t="s">
        <v>352</v>
      </c>
      <c r="B17" s="69" t="n">
        <f aca="false">INDEX(Monthly!$C$118:$BJ$118,B$3*12)</f>
        <v>0</v>
      </c>
      <c r="C17" s="69" t="n">
        <f aca="false">INDEX(Monthly!$C$118:$BJ$118,C$3*12)</f>
        <v>0</v>
      </c>
      <c r="D17" s="69" t="n">
        <f aca="false">INDEX(Monthly!$C$118:$BJ$118,D$3*12)</f>
        <v>0</v>
      </c>
      <c r="E17" s="69" t="n">
        <f aca="false">INDEX(Monthly!$C$118:$BJ$118,E$3*12)</f>
        <v>0</v>
      </c>
      <c r="F17" s="69" t="n">
        <f aca="false">INDEX(Monthly!$C$118:$BJ$118,F$3*12)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353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354</v>
      </c>
    </row>
    <row r="3" customFormat="false" ht="15" hidden="false" customHeight="false" outlineLevel="0" collapsed="false">
      <c r="A3" s="33" t="s">
        <v>355</v>
      </c>
      <c r="C3" s="52" t="s">
        <v>356</v>
      </c>
      <c r="D3" s="52" t="s">
        <v>357</v>
      </c>
      <c r="E3" s="52" t="s">
        <v>358</v>
      </c>
      <c r="F3" s="52" t="s">
        <v>359</v>
      </c>
      <c r="G3" s="52" t="s">
        <v>360</v>
      </c>
      <c r="H3" s="52" t="s">
        <v>361</v>
      </c>
      <c r="I3" s="52" t="s">
        <v>362</v>
      </c>
      <c r="J3" s="52" t="s">
        <v>363</v>
      </c>
      <c r="K3" s="52" t="s">
        <v>364</v>
      </c>
      <c r="L3" s="52" t="s">
        <v>365</v>
      </c>
      <c r="M3" s="52" t="s">
        <v>366</v>
      </c>
      <c r="N3" s="52" t="s">
        <v>367</v>
      </c>
      <c r="O3" s="52" t="s">
        <v>368</v>
      </c>
      <c r="P3" s="52" t="s">
        <v>369</v>
      </c>
      <c r="Q3" s="52" t="s">
        <v>370</v>
      </c>
      <c r="R3" s="52" t="s">
        <v>371</v>
      </c>
      <c r="S3" s="52" t="s">
        <v>372</v>
      </c>
      <c r="T3" s="52" t="s">
        <v>373</v>
      </c>
      <c r="U3" s="52" t="s">
        <v>374</v>
      </c>
      <c r="V3" s="52" t="s">
        <v>375</v>
      </c>
      <c r="W3" s="52" t="s">
        <v>376</v>
      </c>
      <c r="X3" s="52" t="s">
        <v>377</v>
      </c>
      <c r="Y3" s="52" t="s">
        <v>378</v>
      </c>
      <c r="Z3" s="52" t="s">
        <v>379</v>
      </c>
      <c r="AA3" s="52" t="s">
        <v>380</v>
      </c>
      <c r="AB3" s="52" t="s">
        <v>381</v>
      </c>
      <c r="AC3" s="52" t="s">
        <v>382</v>
      </c>
      <c r="AD3" s="52" t="s">
        <v>383</v>
      </c>
      <c r="AE3" s="52" t="s">
        <v>384</v>
      </c>
      <c r="AF3" s="52" t="s">
        <v>385</v>
      </c>
      <c r="AG3" s="52" t="s">
        <v>386</v>
      </c>
      <c r="AH3" s="52" t="s">
        <v>387</v>
      </c>
      <c r="AI3" s="52" t="s">
        <v>388</v>
      </c>
      <c r="AJ3" s="52" t="s">
        <v>389</v>
      </c>
      <c r="AK3" s="52" t="s">
        <v>390</v>
      </c>
      <c r="AL3" s="52" t="s">
        <v>391</v>
      </c>
      <c r="AM3" s="52" t="s">
        <v>392</v>
      </c>
      <c r="AN3" s="52" t="s">
        <v>393</v>
      </c>
      <c r="AO3" s="52" t="s">
        <v>394</v>
      </c>
      <c r="AP3" s="52" t="s">
        <v>395</v>
      </c>
      <c r="AQ3" s="52" t="s">
        <v>396</v>
      </c>
      <c r="AR3" s="52" t="s">
        <v>397</v>
      </c>
      <c r="AS3" s="52" t="s">
        <v>398</v>
      </c>
      <c r="AT3" s="52" t="s">
        <v>399</v>
      </c>
      <c r="AU3" s="52" t="s">
        <v>400</v>
      </c>
      <c r="AV3" s="52" t="s">
        <v>401</v>
      </c>
      <c r="AW3" s="52" t="s">
        <v>402</v>
      </c>
      <c r="AX3" s="52" t="s">
        <v>403</v>
      </c>
      <c r="AY3" s="52" t="s">
        <v>404</v>
      </c>
      <c r="AZ3" s="52" t="s">
        <v>405</v>
      </c>
      <c r="BA3" s="52" t="s">
        <v>406</v>
      </c>
      <c r="BB3" s="52" t="s">
        <v>407</v>
      </c>
      <c r="BC3" s="52" t="s">
        <v>408</v>
      </c>
      <c r="BD3" s="52" t="s">
        <v>409</v>
      </c>
      <c r="BE3" s="52" t="s">
        <v>410</v>
      </c>
      <c r="BF3" s="52" t="s">
        <v>411</v>
      </c>
      <c r="BG3" s="52" t="s">
        <v>412</v>
      </c>
      <c r="BH3" s="52" t="s">
        <v>413</v>
      </c>
      <c r="BI3" s="52" t="s">
        <v>414</v>
      </c>
      <c r="BJ3" s="52" t="s">
        <v>415</v>
      </c>
    </row>
    <row r="4" customFormat="false" ht="15" hidden="false" customHeight="false" outlineLevel="0" collapsed="false">
      <c r="A4" s="74" t="s">
        <v>416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155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417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6" t="s">
        <v>418</v>
      </c>
      <c r="C8" s="117" t="n">
        <f aca="false">MAX(0,MIN(1,Inputs!$E$10-(C$4-1)*1))</f>
        <v>1</v>
      </c>
      <c r="D8" s="117" t="n">
        <f aca="false">MAX(0,MIN(1,Inputs!$E$10-(D$4-1)*1))</f>
        <v>1</v>
      </c>
      <c r="E8" s="117" t="n">
        <f aca="false">MAX(0,MIN(1,Inputs!$E$10-(E$4-1)*1))</f>
        <v>1</v>
      </c>
      <c r="F8" s="117" t="n">
        <f aca="false">MAX(0,MIN(1,Inputs!$E$10-(F$4-1)*1))</f>
        <v>1</v>
      </c>
      <c r="G8" s="117" t="n">
        <f aca="false">MAX(0,MIN(1,Inputs!$E$10-(G$4-1)*1))</f>
        <v>1</v>
      </c>
      <c r="H8" s="117" t="n">
        <f aca="false">MAX(0,MIN(1,Inputs!$E$10-(H$4-1)*1))</f>
        <v>1</v>
      </c>
      <c r="I8" s="117" t="n">
        <f aca="false">MAX(0,MIN(1,Inputs!$E$10-(I$4-1)*1))</f>
        <v>1</v>
      </c>
      <c r="J8" s="117" t="n">
        <f aca="false">MAX(0,MIN(1,Inputs!$E$10-(J$4-1)*1))</f>
        <v>1</v>
      </c>
      <c r="K8" s="117" t="n">
        <f aca="false">MAX(0,MIN(1,Inputs!$E$10-(K$4-1)*1))</f>
        <v>1</v>
      </c>
      <c r="L8" s="117" t="n">
        <f aca="false">MAX(0,MIN(1,Inputs!$E$10-(L$4-1)*1))</f>
        <v>0</v>
      </c>
      <c r="M8" s="117" t="n">
        <f aca="false">MAX(0,MIN(1,Inputs!$E$10-(M$4-1)*1))</f>
        <v>0</v>
      </c>
      <c r="N8" s="117" t="n">
        <f aca="false">MAX(0,MIN(1,Inputs!$E$10-(N$4-1)*1))</f>
        <v>0</v>
      </c>
      <c r="O8" s="117" t="n">
        <f aca="false">MAX(0,MIN(1,Inputs!$E$10-(O$4-1)*1))</f>
        <v>0</v>
      </c>
      <c r="P8" s="117" t="n">
        <f aca="false">MAX(0,MIN(1,Inputs!$E$10-(P$4-1)*1))</f>
        <v>0</v>
      </c>
      <c r="Q8" s="117" t="n">
        <f aca="false">MAX(0,MIN(1,Inputs!$E$10-(Q$4-1)*1))</f>
        <v>0</v>
      </c>
      <c r="R8" s="117" t="n">
        <f aca="false">MAX(0,MIN(1,Inputs!$E$10-(R$4-1)*1))</f>
        <v>0</v>
      </c>
      <c r="S8" s="117" t="n">
        <f aca="false">MAX(0,MIN(1,Inputs!$E$10-(S$4-1)*1))</f>
        <v>0</v>
      </c>
      <c r="T8" s="117" t="n">
        <f aca="false">MAX(0,MIN(1,Inputs!$E$10-(T$4-1)*1))</f>
        <v>0</v>
      </c>
      <c r="U8" s="117" t="n">
        <f aca="false">MAX(0,MIN(1,Inputs!$E$10-(U$4-1)*1))</f>
        <v>0</v>
      </c>
      <c r="V8" s="117" t="n">
        <f aca="false">MAX(0,MIN(1,Inputs!$E$10-(V$4-1)*1))</f>
        <v>0</v>
      </c>
      <c r="W8" s="117" t="n">
        <f aca="false">MAX(0,MIN(1,Inputs!$E$10-(W$4-1)*1))</f>
        <v>0</v>
      </c>
      <c r="X8" s="117" t="n">
        <f aca="false">MAX(0,MIN(1,Inputs!$E$10-(X$4-1)*1))</f>
        <v>0</v>
      </c>
      <c r="Y8" s="117" t="n">
        <f aca="false">MAX(0,MIN(1,Inputs!$E$10-(Y$4-1)*1))</f>
        <v>0</v>
      </c>
      <c r="Z8" s="117" t="n">
        <f aca="false">MAX(0,MIN(1,Inputs!$E$10-(Z$4-1)*1))</f>
        <v>0</v>
      </c>
      <c r="AA8" s="117" t="n">
        <f aca="false">MAX(0,MIN(1,Inputs!$E$10-(AA$4-1)*1))</f>
        <v>0</v>
      </c>
      <c r="AB8" s="117" t="n">
        <f aca="false">MAX(0,MIN(1,Inputs!$E$10-(AB$4-1)*1))</f>
        <v>0</v>
      </c>
      <c r="AC8" s="117" t="n">
        <f aca="false">MAX(0,MIN(1,Inputs!$E$10-(AC$4-1)*1))</f>
        <v>0</v>
      </c>
      <c r="AD8" s="117" t="n">
        <f aca="false">MAX(0,MIN(1,Inputs!$E$10-(AD$4-1)*1))</f>
        <v>0</v>
      </c>
      <c r="AE8" s="117" t="n">
        <f aca="false">MAX(0,MIN(1,Inputs!$E$10-(AE$4-1)*1))</f>
        <v>0</v>
      </c>
      <c r="AF8" s="117" t="n">
        <f aca="false">MAX(0,MIN(1,Inputs!$E$10-(AF$4-1)*1))</f>
        <v>0</v>
      </c>
      <c r="AG8" s="117" t="n">
        <f aca="false">MAX(0,MIN(1,Inputs!$E$10-(AG$4-1)*1))</f>
        <v>0</v>
      </c>
      <c r="AH8" s="117" t="n">
        <f aca="false">MAX(0,MIN(1,Inputs!$E$10-(AH$4-1)*1))</f>
        <v>0</v>
      </c>
      <c r="AI8" s="117" t="n">
        <f aca="false">MAX(0,MIN(1,Inputs!$E$10-(AI$4-1)*1))</f>
        <v>0</v>
      </c>
      <c r="AJ8" s="117" t="n">
        <f aca="false">MAX(0,MIN(1,Inputs!$E$10-(AJ$4-1)*1))</f>
        <v>0</v>
      </c>
      <c r="AK8" s="117" t="n">
        <f aca="false">MAX(0,MIN(1,Inputs!$E$10-(AK$4-1)*1))</f>
        <v>0</v>
      </c>
      <c r="AL8" s="117" t="n">
        <f aca="false">MAX(0,MIN(1,Inputs!$E$10-(AL$4-1)*1))</f>
        <v>0</v>
      </c>
      <c r="AM8" s="117" t="n">
        <f aca="false">MAX(0,MIN(1,Inputs!$E$10-(AM$4-1)*1))</f>
        <v>0</v>
      </c>
      <c r="AN8" s="117" t="n">
        <f aca="false">MAX(0,MIN(1,Inputs!$E$10-(AN$4-1)*1))</f>
        <v>0</v>
      </c>
      <c r="AO8" s="117" t="n">
        <f aca="false">MAX(0,MIN(1,Inputs!$E$10-(AO$4-1)*1))</f>
        <v>0</v>
      </c>
      <c r="AP8" s="117" t="n">
        <f aca="false">MAX(0,MIN(1,Inputs!$E$10-(AP$4-1)*1))</f>
        <v>0</v>
      </c>
      <c r="AQ8" s="117" t="n">
        <f aca="false">MAX(0,MIN(1,Inputs!$E$10-(AQ$4-1)*1))</f>
        <v>0</v>
      </c>
      <c r="AR8" s="117" t="n">
        <f aca="false">MAX(0,MIN(1,Inputs!$E$10-(AR$4-1)*1))</f>
        <v>0</v>
      </c>
      <c r="AS8" s="117" t="n">
        <f aca="false">MAX(0,MIN(1,Inputs!$E$10-(AS$4-1)*1))</f>
        <v>0</v>
      </c>
      <c r="AT8" s="117" t="n">
        <f aca="false">MAX(0,MIN(1,Inputs!$E$10-(AT$4-1)*1))</f>
        <v>0</v>
      </c>
      <c r="AU8" s="117" t="n">
        <f aca="false">MAX(0,MIN(1,Inputs!$E$10-(AU$4-1)*1))</f>
        <v>0</v>
      </c>
      <c r="AV8" s="117" t="n">
        <f aca="false">MAX(0,MIN(1,Inputs!$E$10-(AV$4-1)*1))</f>
        <v>0</v>
      </c>
      <c r="AW8" s="117" t="n">
        <f aca="false">MAX(0,MIN(1,Inputs!$E$10-(AW$4-1)*1))</f>
        <v>0</v>
      </c>
      <c r="AX8" s="117" t="n">
        <f aca="false">MAX(0,MIN(1,Inputs!$E$10-(AX$4-1)*1))</f>
        <v>0</v>
      </c>
      <c r="AY8" s="117" t="n">
        <f aca="false">MAX(0,MIN(1,Inputs!$E$10-(AY$4-1)*1))</f>
        <v>0</v>
      </c>
      <c r="AZ8" s="117" t="n">
        <f aca="false">MAX(0,MIN(1,Inputs!$E$10-(AZ$4-1)*1))</f>
        <v>0</v>
      </c>
      <c r="BA8" s="117" t="n">
        <f aca="false">MAX(0,MIN(1,Inputs!$E$10-(BA$4-1)*1))</f>
        <v>0</v>
      </c>
      <c r="BB8" s="117" t="n">
        <f aca="false">MAX(0,MIN(1,Inputs!$E$10-(BB$4-1)*1))</f>
        <v>0</v>
      </c>
      <c r="BC8" s="117" t="n">
        <f aca="false">MAX(0,MIN(1,Inputs!$E$10-(BC$4-1)*1))</f>
        <v>0</v>
      </c>
      <c r="BD8" s="117" t="n">
        <f aca="false">MAX(0,MIN(1,Inputs!$E$10-(BD$4-1)*1))</f>
        <v>0</v>
      </c>
      <c r="BE8" s="117" t="n">
        <f aca="false">MAX(0,MIN(1,Inputs!$E$10-(BE$4-1)*1))</f>
        <v>0</v>
      </c>
      <c r="BF8" s="117" t="n">
        <f aca="false">MAX(0,MIN(1,Inputs!$E$10-(BF$4-1)*1))</f>
        <v>0</v>
      </c>
      <c r="BG8" s="117" t="n">
        <f aca="false">MAX(0,MIN(1,Inputs!$E$10-(BG$4-1)*1))</f>
        <v>0</v>
      </c>
      <c r="BH8" s="117" t="n">
        <f aca="false">MAX(0,MIN(1,Inputs!$E$10-(BH$4-1)*1))</f>
        <v>0</v>
      </c>
      <c r="BI8" s="117" t="n">
        <f aca="false">MAX(0,MIN(1,Inputs!$E$10-(BI$4-1)*1))</f>
        <v>0</v>
      </c>
      <c r="BJ8" s="117" t="n">
        <f aca="false">MAX(0,MIN(1,Inputs!$E$10-(BJ$4-1)*1))</f>
        <v>0</v>
      </c>
    </row>
    <row r="9" customFormat="false" ht="15" hidden="false" customHeight="false" outlineLevel="0" collapsed="false">
      <c r="A9" s="38" t="s">
        <v>419</v>
      </c>
      <c r="C9" s="76" t="n">
        <f aca="false">IF(Inputs!$E$10&lt;=0,1,(C8*Inputs!$E$11+(1-Inputs!$E$11)/MAX(1,Inputs!$E$10)*(C8*(C$4-1)*1+C8*(C8-1)/2)+1-C8)/1)</f>
        <v>0.45</v>
      </c>
      <c r="D9" s="76" t="n">
        <f aca="false">IF(Inputs!$E$10&lt;=0,1,(D8*Inputs!$E$11+(1-Inputs!$E$11)/MAX(1,Inputs!$E$10)*(D8*(D$4-1)*1+D8*(D8-1)/2)+1-D8)/1)</f>
        <v>0.511111111111111</v>
      </c>
      <c r="E9" s="76" t="n">
        <f aca="false">IF(Inputs!$E$10&lt;=0,1,(E8*Inputs!$E$11+(1-Inputs!$E$11)/MAX(1,Inputs!$E$10)*(E8*(E$4-1)*1+E8*(E8-1)/2)+1-E8)/1)</f>
        <v>0.572222222222222</v>
      </c>
      <c r="F9" s="76" t="n">
        <f aca="false">IF(Inputs!$E$10&lt;=0,1,(F8*Inputs!$E$11+(1-Inputs!$E$11)/MAX(1,Inputs!$E$10)*(F8*(F$4-1)*1+F8*(F8-1)/2)+1-F8)/1)</f>
        <v>0.633333333333333</v>
      </c>
      <c r="G9" s="76" t="n">
        <f aca="false">IF(Inputs!$E$10&lt;=0,1,(G8*Inputs!$E$11+(1-Inputs!$E$11)/MAX(1,Inputs!$E$10)*(G8*(G$4-1)*1+G8*(G8-1)/2)+1-G8)/1)</f>
        <v>0.694444444444444</v>
      </c>
      <c r="H9" s="76" t="n">
        <f aca="false">IF(Inputs!$E$10&lt;=0,1,(H8*Inputs!$E$11+(1-Inputs!$E$11)/MAX(1,Inputs!$E$10)*(H8*(H$4-1)*1+H8*(H8-1)/2)+1-H8)/1)</f>
        <v>0.755555555555556</v>
      </c>
      <c r="I9" s="76" t="n">
        <f aca="false">IF(Inputs!$E$10&lt;=0,1,(I8*Inputs!$E$11+(1-Inputs!$E$11)/MAX(1,Inputs!$E$10)*(I8*(I$4-1)*1+I8*(I8-1)/2)+1-I8)/1)</f>
        <v>0.816666666666667</v>
      </c>
      <c r="J9" s="76" t="n">
        <f aca="false">IF(Inputs!$E$10&lt;=0,1,(J8*Inputs!$E$11+(1-Inputs!$E$11)/MAX(1,Inputs!$E$10)*(J8*(J$4-1)*1+J8*(J8-1)/2)+1-J8)/1)</f>
        <v>0.877777777777778</v>
      </c>
      <c r="K9" s="76" t="n">
        <f aca="false">IF(Inputs!$E$10&lt;=0,1,(K8*Inputs!$E$11+(1-Inputs!$E$11)/MAX(1,Inputs!$E$10)*(K8*(K$4-1)*1+K8*(K8-1)/2)+1-K8)/1)</f>
        <v>0.938888888888889</v>
      </c>
      <c r="L9" s="76" t="n">
        <f aca="false">IF(Inputs!$E$10&lt;=0,1,(L8*Inputs!$E$11+(1-Inputs!$E$11)/MAX(1,Inputs!$E$10)*(L8*(L$4-1)*1+L8*(L8-1)/2)+1-L8)/1)</f>
        <v>1</v>
      </c>
      <c r="M9" s="76" t="n">
        <f aca="false">IF(Inputs!$E$10&lt;=0,1,(M8*Inputs!$E$11+(1-Inputs!$E$11)/MAX(1,Inputs!$E$10)*(M8*(M$4-1)*1+M8*(M8-1)/2)+1-M8)/1)</f>
        <v>1</v>
      </c>
      <c r="N9" s="76" t="n">
        <f aca="false">IF(Inputs!$E$10&lt;=0,1,(N8*Inputs!$E$11+(1-Inputs!$E$11)/MAX(1,Inputs!$E$10)*(N8*(N$4-1)*1+N8*(N8-1)/2)+1-N8)/1)</f>
        <v>1</v>
      </c>
      <c r="O9" s="76" t="n">
        <f aca="false">IF(Inputs!$E$10&lt;=0,1,(O8*Inputs!$E$11+(1-Inputs!$E$11)/MAX(1,Inputs!$E$10)*(O8*(O$4-1)*1+O8*(O8-1)/2)+1-O8)/1)</f>
        <v>1</v>
      </c>
      <c r="P9" s="76" t="n">
        <f aca="false">IF(Inputs!$E$10&lt;=0,1,(P8*Inputs!$E$11+(1-Inputs!$E$11)/MAX(1,Inputs!$E$10)*(P8*(P$4-1)*1+P8*(P8-1)/2)+1-P8)/1)</f>
        <v>1</v>
      </c>
      <c r="Q9" s="76" t="n">
        <f aca="false">IF(Inputs!$E$10&lt;=0,1,(Q8*Inputs!$E$11+(1-Inputs!$E$11)/MAX(1,Inputs!$E$10)*(Q8*(Q$4-1)*1+Q8*(Q8-1)/2)+1-Q8)/1)</f>
        <v>1</v>
      </c>
      <c r="R9" s="76" t="n">
        <f aca="false">IF(Inputs!$E$10&lt;=0,1,(R8*Inputs!$E$11+(1-Inputs!$E$11)/MAX(1,Inputs!$E$10)*(R8*(R$4-1)*1+R8*(R8-1)/2)+1-R8)/1)</f>
        <v>1</v>
      </c>
      <c r="S9" s="76" t="n">
        <f aca="false">IF(Inputs!$E$10&lt;=0,1,(S8*Inputs!$E$11+(1-Inputs!$E$11)/MAX(1,Inputs!$E$10)*(S8*(S$4-1)*1+S8*(S8-1)/2)+1-S8)/1)</f>
        <v>1</v>
      </c>
      <c r="T9" s="76" t="n">
        <f aca="false">IF(Inputs!$E$10&lt;=0,1,(T8*Inputs!$E$11+(1-Inputs!$E$11)/MAX(1,Inputs!$E$10)*(T8*(T$4-1)*1+T8*(T8-1)/2)+1-T8)/1)</f>
        <v>1</v>
      </c>
      <c r="U9" s="76" t="n">
        <f aca="false">IF(Inputs!$E$10&lt;=0,1,(U8*Inputs!$E$11+(1-Inputs!$E$11)/MAX(1,Inputs!$E$10)*(U8*(U$4-1)*1+U8*(U8-1)/2)+1-U8)/1)</f>
        <v>1</v>
      </c>
      <c r="V9" s="76" t="n">
        <f aca="false">IF(Inputs!$E$10&lt;=0,1,(V8*Inputs!$E$11+(1-Inputs!$E$11)/MAX(1,Inputs!$E$10)*(V8*(V$4-1)*1+V8*(V8-1)/2)+1-V8)/1)</f>
        <v>1</v>
      </c>
      <c r="W9" s="76" t="n">
        <f aca="false">IF(Inputs!$E$10&lt;=0,1,(W8*Inputs!$E$11+(1-Inputs!$E$11)/MAX(1,Inputs!$E$10)*(W8*(W$4-1)*1+W8*(W8-1)/2)+1-W8)/1)</f>
        <v>1</v>
      </c>
      <c r="X9" s="76" t="n">
        <f aca="false">IF(Inputs!$E$10&lt;=0,1,(X8*Inputs!$E$11+(1-Inputs!$E$11)/MAX(1,Inputs!$E$10)*(X8*(X$4-1)*1+X8*(X8-1)/2)+1-X8)/1)</f>
        <v>1</v>
      </c>
      <c r="Y9" s="76" t="n">
        <f aca="false">IF(Inputs!$E$10&lt;=0,1,(Y8*Inputs!$E$11+(1-Inputs!$E$11)/MAX(1,Inputs!$E$10)*(Y8*(Y$4-1)*1+Y8*(Y8-1)/2)+1-Y8)/1)</f>
        <v>1</v>
      </c>
      <c r="Z9" s="76" t="n">
        <f aca="false">IF(Inputs!$E$10&lt;=0,1,(Z8*Inputs!$E$11+(1-Inputs!$E$11)/MAX(1,Inputs!$E$10)*(Z8*(Z$4-1)*1+Z8*(Z8-1)/2)+1-Z8)/1)</f>
        <v>1</v>
      </c>
      <c r="AA9" s="76" t="n">
        <f aca="false">IF(Inputs!$E$10&lt;=0,1,(AA8*Inputs!$E$11+(1-Inputs!$E$11)/MAX(1,Inputs!$E$10)*(AA8*(AA$4-1)*1+AA8*(AA8-1)/2)+1-AA8)/1)</f>
        <v>1</v>
      </c>
      <c r="AB9" s="76" t="n">
        <f aca="false">IF(Inputs!$E$10&lt;=0,1,(AB8*Inputs!$E$11+(1-Inputs!$E$11)/MAX(1,Inputs!$E$10)*(AB8*(AB$4-1)*1+AB8*(AB8-1)/2)+1-AB8)/1)</f>
        <v>1</v>
      </c>
      <c r="AC9" s="76" t="n">
        <f aca="false">IF(Inputs!$E$10&lt;=0,1,(AC8*Inputs!$E$11+(1-Inputs!$E$11)/MAX(1,Inputs!$E$10)*(AC8*(AC$4-1)*1+AC8*(AC8-1)/2)+1-AC8)/1)</f>
        <v>1</v>
      </c>
      <c r="AD9" s="76" t="n">
        <f aca="false">IF(Inputs!$E$10&lt;=0,1,(AD8*Inputs!$E$11+(1-Inputs!$E$11)/MAX(1,Inputs!$E$10)*(AD8*(AD$4-1)*1+AD8*(AD8-1)/2)+1-AD8)/1)</f>
        <v>1</v>
      </c>
      <c r="AE9" s="76" t="n">
        <f aca="false">IF(Inputs!$E$10&lt;=0,1,(AE8*Inputs!$E$11+(1-Inputs!$E$11)/MAX(1,Inputs!$E$10)*(AE8*(AE$4-1)*1+AE8*(AE8-1)/2)+1-AE8)/1)</f>
        <v>1</v>
      </c>
      <c r="AF9" s="76" t="n">
        <f aca="false">IF(Inputs!$E$10&lt;=0,1,(AF8*Inputs!$E$11+(1-Inputs!$E$11)/MAX(1,Inputs!$E$10)*(AF8*(AF$4-1)*1+AF8*(AF8-1)/2)+1-AF8)/1)</f>
        <v>1</v>
      </c>
      <c r="AG9" s="76" t="n">
        <f aca="false">IF(Inputs!$E$10&lt;=0,1,(AG8*Inputs!$E$11+(1-Inputs!$E$11)/MAX(1,Inputs!$E$10)*(AG8*(AG$4-1)*1+AG8*(AG8-1)/2)+1-AG8)/1)</f>
        <v>1</v>
      </c>
      <c r="AH9" s="76" t="n">
        <f aca="false">IF(Inputs!$E$10&lt;=0,1,(AH8*Inputs!$E$11+(1-Inputs!$E$11)/MAX(1,Inputs!$E$10)*(AH8*(AH$4-1)*1+AH8*(AH8-1)/2)+1-AH8)/1)</f>
        <v>1</v>
      </c>
      <c r="AI9" s="76" t="n">
        <f aca="false">IF(Inputs!$E$10&lt;=0,1,(AI8*Inputs!$E$11+(1-Inputs!$E$11)/MAX(1,Inputs!$E$10)*(AI8*(AI$4-1)*1+AI8*(AI8-1)/2)+1-AI8)/1)</f>
        <v>1</v>
      </c>
      <c r="AJ9" s="76" t="n">
        <f aca="false">IF(Inputs!$E$10&lt;=0,1,(AJ8*Inputs!$E$11+(1-Inputs!$E$11)/MAX(1,Inputs!$E$10)*(AJ8*(AJ$4-1)*1+AJ8*(AJ8-1)/2)+1-AJ8)/1)</f>
        <v>1</v>
      </c>
      <c r="AK9" s="76" t="n">
        <f aca="false">IF(Inputs!$E$10&lt;=0,1,(AK8*Inputs!$E$11+(1-Inputs!$E$11)/MAX(1,Inputs!$E$10)*(AK8*(AK$4-1)*1+AK8*(AK8-1)/2)+1-AK8)/1)</f>
        <v>1</v>
      </c>
      <c r="AL9" s="76" t="n">
        <f aca="false">IF(Inputs!$E$10&lt;=0,1,(AL8*Inputs!$E$11+(1-Inputs!$E$11)/MAX(1,Inputs!$E$10)*(AL8*(AL$4-1)*1+AL8*(AL8-1)/2)+1-AL8)/1)</f>
        <v>1</v>
      </c>
      <c r="AM9" s="76" t="n">
        <f aca="false">IF(Inputs!$E$10&lt;=0,1,(AM8*Inputs!$E$11+(1-Inputs!$E$11)/MAX(1,Inputs!$E$10)*(AM8*(AM$4-1)*1+AM8*(AM8-1)/2)+1-AM8)/1)</f>
        <v>1</v>
      </c>
      <c r="AN9" s="76" t="n">
        <f aca="false">IF(Inputs!$E$10&lt;=0,1,(AN8*Inputs!$E$11+(1-Inputs!$E$11)/MAX(1,Inputs!$E$10)*(AN8*(AN$4-1)*1+AN8*(AN8-1)/2)+1-AN8)/1)</f>
        <v>1</v>
      </c>
      <c r="AO9" s="76" t="n">
        <f aca="false">IF(Inputs!$E$10&lt;=0,1,(AO8*Inputs!$E$11+(1-Inputs!$E$11)/MAX(1,Inputs!$E$10)*(AO8*(AO$4-1)*1+AO8*(AO8-1)/2)+1-AO8)/1)</f>
        <v>1</v>
      </c>
      <c r="AP9" s="76" t="n">
        <f aca="false">IF(Inputs!$E$10&lt;=0,1,(AP8*Inputs!$E$11+(1-Inputs!$E$11)/MAX(1,Inputs!$E$10)*(AP8*(AP$4-1)*1+AP8*(AP8-1)/2)+1-AP8)/1)</f>
        <v>1</v>
      </c>
      <c r="AQ9" s="76" t="n">
        <f aca="false">IF(Inputs!$E$10&lt;=0,1,(AQ8*Inputs!$E$11+(1-Inputs!$E$11)/MAX(1,Inputs!$E$10)*(AQ8*(AQ$4-1)*1+AQ8*(AQ8-1)/2)+1-AQ8)/1)</f>
        <v>1</v>
      </c>
      <c r="AR9" s="76" t="n">
        <f aca="false">IF(Inputs!$E$10&lt;=0,1,(AR8*Inputs!$E$11+(1-Inputs!$E$11)/MAX(1,Inputs!$E$10)*(AR8*(AR$4-1)*1+AR8*(AR8-1)/2)+1-AR8)/1)</f>
        <v>1</v>
      </c>
      <c r="AS9" s="76" t="n">
        <f aca="false">IF(Inputs!$E$10&lt;=0,1,(AS8*Inputs!$E$11+(1-Inputs!$E$11)/MAX(1,Inputs!$E$10)*(AS8*(AS$4-1)*1+AS8*(AS8-1)/2)+1-AS8)/1)</f>
        <v>1</v>
      </c>
      <c r="AT9" s="76" t="n">
        <f aca="false">IF(Inputs!$E$10&lt;=0,1,(AT8*Inputs!$E$11+(1-Inputs!$E$11)/MAX(1,Inputs!$E$10)*(AT8*(AT$4-1)*1+AT8*(AT8-1)/2)+1-AT8)/1)</f>
        <v>1</v>
      </c>
      <c r="AU9" s="76" t="n">
        <f aca="false">IF(Inputs!$E$10&lt;=0,1,(AU8*Inputs!$E$11+(1-Inputs!$E$11)/MAX(1,Inputs!$E$10)*(AU8*(AU$4-1)*1+AU8*(AU8-1)/2)+1-AU8)/1)</f>
        <v>1</v>
      </c>
      <c r="AV9" s="76" t="n">
        <f aca="false">IF(Inputs!$E$10&lt;=0,1,(AV8*Inputs!$E$11+(1-Inputs!$E$11)/MAX(1,Inputs!$E$10)*(AV8*(AV$4-1)*1+AV8*(AV8-1)/2)+1-AV8)/1)</f>
        <v>1</v>
      </c>
      <c r="AW9" s="76" t="n">
        <f aca="false">IF(Inputs!$E$10&lt;=0,1,(AW8*Inputs!$E$11+(1-Inputs!$E$11)/MAX(1,Inputs!$E$10)*(AW8*(AW$4-1)*1+AW8*(AW8-1)/2)+1-AW8)/1)</f>
        <v>1</v>
      </c>
      <c r="AX9" s="76" t="n">
        <f aca="false">IF(Inputs!$E$10&lt;=0,1,(AX8*Inputs!$E$11+(1-Inputs!$E$11)/MAX(1,Inputs!$E$10)*(AX8*(AX$4-1)*1+AX8*(AX8-1)/2)+1-AX8)/1)</f>
        <v>1</v>
      </c>
      <c r="AY9" s="76" t="n">
        <f aca="false">IF(Inputs!$E$10&lt;=0,1,(AY8*Inputs!$E$11+(1-Inputs!$E$11)/MAX(1,Inputs!$E$10)*(AY8*(AY$4-1)*1+AY8*(AY8-1)/2)+1-AY8)/1)</f>
        <v>1</v>
      </c>
      <c r="AZ9" s="76" t="n">
        <f aca="false">IF(Inputs!$E$10&lt;=0,1,(AZ8*Inputs!$E$11+(1-Inputs!$E$11)/MAX(1,Inputs!$E$10)*(AZ8*(AZ$4-1)*1+AZ8*(AZ8-1)/2)+1-AZ8)/1)</f>
        <v>1</v>
      </c>
      <c r="BA9" s="76" t="n">
        <f aca="false">IF(Inputs!$E$10&lt;=0,1,(BA8*Inputs!$E$11+(1-Inputs!$E$11)/MAX(1,Inputs!$E$10)*(BA8*(BA$4-1)*1+BA8*(BA8-1)/2)+1-BA8)/1)</f>
        <v>1</v>
      </c>
      <c r="BB9" s="76" t="n">
        <f aca="false">IF(Inputs!$E$10&lt;=0,1,(BB8*Inputs!$E$11+(1-Inputs!$E$11)/MAX(1,Inputs!$E$10)*(BB8*(BB$4-1)*1+BB8*(BB8-1)/2)+1-BB8)/1)</f>
        <v>1</v>
      </c>
      <c r="BC9" s="76" t="n">
        <f aca="false">IF(Inputs!$E$10&lt;=0,1,(BC8*Inputs!$E$11+(1-Inputs!$E$11)/MAX(1,Inputs!$E$10)*(BC8*(BC$4-1)*1+BC8*(BC8-1)/2)+1-BC8)/1)</f>
        <v>1</v>
      </c>
      <c r="BD9" s="76" t="n">
        <f aca="false">IF(Inputs!$E$10&lt;=0,1,(BD8*Inputs!$E$11+(1-Inputs!$E$11)/MAX(1,Inputs!$E$10)*(BD8*(BD$4-1)*1+BD8*(BD8-1)/2)+1-BD8)/1)</f>
        <v>1</v>
      </c>
      <c r="BE9" s="76" t="n">
        <f aca="false">IF(Inputs!$E$10&lt;=0,1,(BE8*Inputs!$E$11+(1-Inputs!$E$11)/MAX(1,Inputs!$E$10)*(BE8*(BE$4-1)*1+BE8*(BE8-1)/2)+1-BE8)/1)</f>
        <v>1</v>
      </c>
      <c r="BF9" s="76" t="n">
        <f aca="false">IF(Inputs!$E$10&lt;=0,1,(BF8*Inputs!$E$11+(1-Inputs!$E$11)/MAX(1,Inputs!$E$10)*(BF8*(BF$4-1)*1+BF8*(BF8-1)/2)+1-BF8)/1)</f>
        <v>1</v>
      </c>
      <c r="BG9" s="76" t="n">
        <f aca="false">IF(Inputs!$E$10&lt;=0,1,(BG8*Inputs!$E$11+(1-Inputs!$E$11)/MAX(1,Inputs!$E$10)*(BG8*(BG$4-1)*1+BG8*(BG8-1)/2)+1-BG8)/1)</f>
        <v>1</v>
      </c>
      <c r="BH9" s="76" t="n">
        <f aca="false">IF(Inputs!$E$10&lt;=0,1,(BH8*Inputs!$E$11+(1-Inputs!$E$11)/MAX(1,Inputs!$E$10)*(BH8*(BH$4-1)*1+BH8*(BH8-1)/2)+1-BH8)/1)</f>
        <v>1</v>
      </c>
      <c r="BI9" s="76" t="n">
        <f aca="false">IF(Inputs!$E$10&lt;=0,1,(BI8*Inputs!$E$11+(1-Inputs!$E$11)/MAX(1,Inputs!$E$10)*(BI8*(BI$4-1)*1+BI8*(BI8-1)/2)+1-BI8)/1)</f>
        <v>1</v>
      </c>
      <c r="BJ9" s="76" t="n">
        <f aca="false">IF(Inputs!$E$10&lt;=0,1,(BJ8*Inputs!$E$11+(1-Inputs!$E$11)/MAX(1,Inputs!$E$10)*(BJ8*(BJ$4-1)*1+BJ8*(BJ8-1)/2)+1-BJ8)/1)</f>
        <v>1</v>
      </c>
    </row>
    <row r="10" customFormat="false" ht="15" hidden="false" customHeight="false" outlineLevel="0" collapsed="false">
      <c r="A10" s="6" t="s">
        <v>420</v>
      </c>
      <c r="C10" s="79" t="n">
        <f aca="false">IF(OR(MOD(C$4-1,12)&gt;=11,MOD(C$4-1,12)&lt;=1),1-Inputs!$E$12,1+Inputs!$E$12/3)</f>
        <v>0.85</v>
      </c>
      <c r="D10" s="79" t="n">
        <f aca="false">IF(OR(MOD(D$4-1,12)&gt;=11,MOD(D$4-1,12)&lt;=1),1-Inputs!$E$12,1+Inputs!$E$12/3)</f>
        <v>0.85</v>
      </c>
      <c r="E10" s="79" t="n">
        <f aca="false">IF(OR(MOD(E$4-1,12)&gt;=11,MOD(E$4-1,12)&lt;=1),1-Inputs!$E$12,1+Inputs!$E$12/3)</f>
        <v>1.05</v>
      </c>
      <c r="F10" s="79" t="n">
        <f aca="false">IF(OR(MOD(F$4-1,12)&gt;=11,MOD(F$4-1,12)&lt;=1),1-Inputs!$E$12,1+Inputs!$E$12/3)</f>
        <v>1.05</v>
      </c>
      <c r="G10" s="79" t="n">
        <f aca="false">IF(OR(MOD(G$4-1,12)&gt;=11,MOD(G$4-1,12)&lt;=1),1-Inputs!$E$12,1+Inputs!$E$12/3)</f>
        <v>1.05</v>
      </c>
      <c r="H10" s="79" t="n">
        <f aca="false">IF(OR(MOD(H$4-1,12)&gt;=11,MOD(H$4-1,12)&lt;=1),1-Inputs!$E$12,1+Inputs!$E$12/3)</f>
        <v>1.05</v>
      </c>
      <c r="I10" s="79" t="n">
        <f aca="false">IF(OR(MOD(I$4-1,12)&gt;=11,MOD(I$4-1,12)&lt;=1),1-Inputs!$E$12,1+Inputs!$E$12/3)</f>
        <v>1.05</v>
      </c>
      <c r="J10" s="79" t="n">
        <f aca="false">IF(OR(MOD(J$4-1,12)&gt;=11,MOD(J$4-1,12)&lt;=1),1-Inputs!$E$12,1+Inputs!$E$12/3)</f>
        <v>1.05</v>
      </c>
      <c r="K10" s="79" t="n">
        <f aca="false">IF(OR(MOD(K$4-1,12)&gt;=11,MOD(K$4-1,12)&lt;=1),1-Inputs!$E$12,1+Inputs!$E$12/3)</f>
        <v>1.05</v>
      </c>
      <c r="L10" s="79" t="n">
        <f aca="false">IF(OR(MOD(L$4-1,12)&gt;=11,MOD(L$4-1,12)&lt;=1),1-Inputs!$E$12,1+Inputs!$E$12/3)</f>
        <v>1.05</v>
      </c>
      <c r="M10" s="79" t="n">
        <f aca="false">IF(OR(MOD(M$4-1,12)&gt;=11,MOD(M$4-1,12)&lt;=1),1-Inputs!$E$12,1+Inputs!$E$12/3)</f>
        <v>1.05</v>
      </c>
      <c r="N10" s="79" t="n">
        <f aca="false">IF(OR(MOD(N$4-1,12)&gt;=11,MOD(N$4-1,12)&lt;=1),1-Inputs!$E$12,1+Inputs!$E$12/3)</f>
        <v>0.85</v>
      </c>
      <c r="O10" s="79" t="n">
        <f aca="false">IF(OR(MOD(O$4-1,12)&gt;=11,MOD(O$4-1,12)&lt;=1),1-Inputs!$E$12,1+Inputs!$E$12/3)</f>
        <v>0.85</v>
      </c>
      <c r="P10" s="79" t="n">
        <f aca="false">IF(OR(MOD(P$4-1,12)&gt;=11,MOD(P$4-1,12)&lt;=1),1-Inputs!$E$12,1+Inputs!$E$12/3)</f>
        <v>0.85</v>
      </c>
      <c r="Q10" s="79" t="n">
        <f aca="false">IF(OR(MOD(Q$4-1,12)&gt;=11,MOD(Q$4-1,12)&lt;=1),1-Inputs!$E$12,1+Inputs!$E$12/3)</f>
        <v>1.05</v>
      </c>
      <c r="R10" s="79" t="n">
        <f aca="false">IF(OR(MOD(R$4-1,12)&gt;=11,MOD(R$4-1,12)&lt;=1),1-Inputs!$E$12,1+Inputs!$E$12/3)</f>
        <v>1.05</v>
      </c>
      <c r="S10" s="79" t="n">
        <f aca="false">IF(OR(MOD(S$4-1,12)&gt;=11,MOD(S$4-1,12)&lt;=1),1-Inputs!$E$12,1+Inputs!$E$12/3)</f>
        <v>1.05</v>
      </c>
      <c r="T10" s="79" t="n">
        <f aca="false">IF(OR(MOD(T$4-1,12)&gt;=11,MOD(T$4-1,12)&lt;=1),1-Inputs!$E$12,1+Inputs!$E$12/3)</f>
        <v>1.05</v>
      </c>
      <c r="U10" s="79" t="n">
        <f aca="false">IF(OR(MOD(U$4-1,12)&gt;=11,MOD(U$4-1,12)&lt;=1),1-Inputs!$E$12,1+Inputs!$E$12/3)</f>
        <v>1.05</v>
      </c>
      <c r="V10" s="79" t="n">
        <f aca="false">IF(OR(MOD(V$4-1,12)&gt;=11,MOD(V$4-1,12)&lt;=1),1-Inputs!$E$12,1+Inputs!$E$12/3)</f>
        <v>1.05</v>
      </c>
      <c r="W10" s="79" t="n">
        <f aca="false">IF(OR(MOD(W$4-1,12)&gt;=11,MOD(W$4-1,12)&lt;=1),1-Inputs!$E$12,1+Inputs!$E$12/3)</f>
        <v>1.05</v>
      </c>
      <c r="X10" s="79" t="n">
        <f aca="false">IF(OR(MOD(X$4-1,12)&gt;=11,MOD(X$4-1,12)&lt;=1),1-Inputs!$E$12,1+Inputs!$E$12/3)</f>
        <v>1.05</v>
      </c>
      <c r="Y10" s="79" t="n">
        <f aca="false">IF(OR(MOD(Y$4-1,12)&gt;=11,MOD(Y$4-1,12)&lt;=1),1-Inputs!$E$12,1+Inputs!$E$12/3)</f>
        <v>1.05</v>
      </c>
      <c r="Z10" s="79" t="n">
        <f aca="false">IF(OR(MOD(Z$4-1,12)&gt;=11,MOD(Z$4-1,12)&lt;=1),1-Inputs!$E$12,1+Inputs!$E$12/3)</f>
        <v>0.85</v>
      </c>
      <c r="AA10" s="79" t="n">
        <f aca="false">IF(OR(MOD(AA$4-1,12)&gt;=11,MOD(AA$4-1,12)&lt;=1),1-Inputs!$E$12,1+Inputs!$E$12/3)</f>
        <v>0.85</v>
      </c>
      <c r="AB10" s="79" t="n">
        <f aca="false">IF(OR(MOD(AB$4-1,12)&gt;=11,MOD(AB$4-1,12)&lt;=1),1-Inputs!$E$12,1+Inputs!$E$12/3)</f>
        <v>0.85</v>
      </c>
      <c r="AC10" s="79" t="n">
        <f aca="false">IF(OR(MOD(AC$4-1,12)&gt;=11,MOD(AC$4-1,12)&lt;=1),1-Inputs!$E$12,1+Inputs!$E$12/3)</f>
        <v>1.05</v>
      </c>
      <c r="AD10" s="79" t="n">
        <f aca="false">IF(OR(MOD(AD$4-1,12)&gt;=11,MOD(AD$4-1,12)&lt;=1),1-Inputs!$E$12,1+Inputs!$E$12/3)</f>
        <v>1.05</v>
      </c>
      <c r="AE10" s="79" t="n">
        <f aca="false">IF(OR(MOD(AE$4-1,12)&gt;=11,MOD(AE$4-1,12)&lt;=1),1-Inputs!$E$12,1+Inputs!$E$12/3)</f>
        <v>1.05</v>
      </c>
      <c r="AF10" s="79" t="n">
        <f aca="false">IF(OR(MOD(AF$4-1,12)&gt;=11,MOD(AF$4-1,12)&lt;=1),1-Inputs!$E$12,1+Inputs!$E$12/3)</f>
        <v>1.05</v>
      </c>
      <c r="AG10" s="79" t="n">
        <f aca="false">IF(OR(MOD(AG$4-1,12)&gt;=11,MOD(AG$4-1,12)&lt;=1),1-Inputs!$E$12,1+Inputs!$E$12/3)</f>
        <v>1.05</v>
      </c>
      <c r="AH10" s="79" t="n">
        <f aca="false">IF(OR(MOD(AH$4-1,12)&gt;=11,MOD(AH$4-1,12)&lt;=1),1-Inputs!$E$12,1+Inputs!$E$12/3)</f>
        <v>1.05</v>
      </c>
      <c r="AI10" s="79" t="n">
        <f aca="false">IF(OR(MOD(AI$4-1,12)&gt;=11,MOD(AI$4-1,12)&lt;=1),1-Inputs!$E$12,1+Inputs!$E$12/3)</f>
        <v>1.05</v>
      </c>
      <c r="AJ10" s="79" t="n">
        <f aca="false">IF(OR(MOD(AJ$4-1,12)&gt;=11,MOD(AJ$4-1,12)&lt;=1),1-Inputs!$E$12,1+Inputs!$E$12/3)</f>
        <v>1.05</v>
      </c>
      <c r="AK10" s="79" t="n">
        <f aca="false">IF(OR(MOD(AK$4-1,12)&gt;=11,MOD(AK$4-1,12)&lt;=1),1-Inputs!$E$12,1+Inputs!$E$12/3)</f>
        <v>1.05</v>
      </c>
      <c r="AL10" s="79" t="n">
        <f aca="false">IF(OR(MOD(AL$4-1,12)&gt;=11,MOD(AL$4-1,12)&lt;=1),1-Inputs!$E$12,1+Inputs!$E$12/3)</f>
        <v>0.85</v>
      </c>
      <c r="AM10" s="79" t="n">
        <f aca="false">IF(OR(MOD(AM$4-1,12)&gt;=11,MOD(AM$4-1,12)&lt;=1),1-Inputs!$E$12,1+Inputs!$E$12/3)</f>
        <v>0.85</v>
      </c>
      <c r="AN10" s="79" t="n">
        <f aca="false">IF(OR(MOD(AN$4-1,12)&gt;=11,MOD(AN$4-1,12)&lt;=1),1-Inputs!$E$12,1+Inputs!$E$12/3)</f>
        <v>0.85</v>
      </c>
      <c r="AO10" s="79" t="n">
        <f aca="false">IF(OR(MOD(AO$4-1,12)&gt;=11,MOD(AO$4-1,12)&lt;=1),1-Inputs!$E$12,1+Inputs!$E$12/3)</f>
        <v>1.05</v>
      </c>
      <c r="AP10" s="79" t="n">
        <f aca="false">IF(OR(MOD(AP$4-1,12)&gt;=11,MOD(AP$4-1,12)&lt;=1),1-Inputs!$E$12,1+Inputs!$E$12/3)</f>
        <v>1.05</v>
      </c>
      <c r="AQ10" s="79" t="n">
        <f aca="false">IF(OR(MOD(AQ$4-1,12)&gt;=11,MOD(AQ$4-1,12)&lt;=1),1-Inputs!$E$12,1+Inputs!$E$12/3)</f>
        <v>1.05</v>
      </c>
      <c r="AR10" s="79" t="n">
        <f aca="false">IF(OR(MOD(AR$4-1,12)&gt;=11,MOD(AR$4-1,12)&lt;=1),1-Inputs!$E$12,1+Inputs!$E$12/3)</f>
        <v>1.05</v>
      </c>
      <c r="AS10" s="79" t="n">
        <f aca="false">IF(OR(MOD(AS$4-1,12)&gt;=11,MOD(AS$4-1,12)&lt;=1),1-Inputs!$E$12,1+Inputs!$E$12/3)</f>
        <v>1.05</v>
      </c>
      <c r="AT10" s="79" t="n">
        <f aca="false">IF(OR(MOD(AT$4-1,12)&gt;=11,MOD(AT$4-1,12)&lt;=1),1-Inputs!$E$12,1+Inputs!$E$12/3)</f>
        <v>1.05</v>
      </c>
      <c r="AU10" s="79" t="n">
        <f aca="false">IF(OR(MOD(AU$4-1,12)&gt;=11,MOD(AU$4-1,12)&lt;=1),1-Inputs!$E$12,1+Inputs!$E$12/3)</f>
        <v>1.05</v>
      </c>
      <c r="AV10" s="79" t="n">
        <f aca="false">IF(OR(MOD(AV$4-1,12)&gt;=11,MOD(AV$4-1,12)&lt;=1),1-Inputs!$E$12,1+Inputs!$E$12/3)</f>
        <v>1.05</v>
      </c>
      <c r="AW10" s="79" t="n">
        <f aca="false">IF(OR(MOD(AW$4-1,12)&gt;=11,MOD(AW$4-1,12)&lt;=1),1-Inputs!$E$12,1+Inputs!$E$12/3)</f>
        <v>1.05</v>
      </c>
      <c r="AX10" s="79" t="n">
        <f aca="false">IF(OR(MOD(AX$4-1,12)&gt;=11,MOD(AX$4-1,12)&lt;=1),1-Inputs!$E$12,1+Inputs!$E$12/3)</f>
        <v>0.85</v>
      </c>
      <c r="AY10" s="79" t="n">
        <f aca="false">IF(OR(MOD(AY$4-1,12)&gt;=11,MOD(AY$4-1,12)&lt;=1),1-Inputs!$E$12,1+Inputs!$E$12/3)</f>
        <v>0.85</v>
      </c>
      <c r="AZ10" s="79" t="n">
        <f aca="false">IF(OR(MOD(AZ$4-1,12)&gt;=11,MOD(AZ$4-1,12)&lt;=1),1-Inputs!$E$12,1+Inputs!$E$12/3)</f>
        <v>0.85</v>
      </c>
      <c r="BA10" s="79" t="n">
        <f aca="false">IF(OR(MOD(BA$4-1,12)&gt;=11,MOD(BA$4-1,12)&lt;=1),1-Inputs!$E$12,1+Inputs!$E$12/3)</f>
        <v>1.05</v>
      </c>
      <c r="BB10" s="79" t="n">
        <f aca="false">IF(OR(MOD(BB$4-1,12)&gt;=11,MOD(BB$4-1,12)&lt;=1),1-Inputs!$E$12,1+Inputs!$E$12/3)</f>
        <v>1.05</v>
      </c>
      <c r="BC10" s="79" t="n">
        <f aca="false">IF(OR(MOD(BC$4-1,12)&gt;=11,MOD(BC$4-1,12)&lt;=1),1-Inputs!$E$12,1+Inputs!$E$12/3)</f>
        <v>1.05</v>
      </c>
      <c r="BD10" s="79" t="n">
        <f aca="false">IF(OR(MOD(BD$4-1,12)&gt;=11,MOD(BD$4-1,12)&lt;=1),1-Inputs!$E$12,1+Inputs!$E$12/3)</f>
        <v>1.05</v>
      </c>
      <c r="BE10" s="79" t="n">
        <f aca="false">IF(OR(MOD(BE$4-1,12)&gt;=11,MOD(BE$4-1,12)&lt;=1),1-Inputs!$E$12,1+Inputs!$E$12/3)</f>
        <v>1.05</v>
      </c>
      <c r="BF10" s="79" t="n">
        <f aca="false">IF(OR(MOD(BF$4-1,12)&gt;=11,MOD(BF$4-1,12)&lt;=1),1-Inputs!$E$12,1+Inputs!$E$12/3)</f>
        <v>1.05</v>
      </c>
      <c r="BG10" s="79" t="n">
        <f aca="false">IF(OR(MOD(BG$4-1,12)&gt;=11,MOD(BG$4-1,12)&lt;=1),1-Inputs!$E$12,1+Inputs!$E$12/3)</f>
        <v>1.05</v>
      </c>
      <c r="BH10" s="79" t="n">
        <f aca="false">IF(OR(MOD(BH$4-1,12)&gt;=11,MOD(BH$4-1,12)&lt;=1),1-Inputs!$E$12,1+Inputs!$E$12/3)</f>
        <v>1.05</v>
      </c>
      <c r="BI10" s="79" t="n">
        <f aca="false">IF(OR(MOD(BI$4-1,12)&gt;=11,MOD(BI$4-1,12)&lt;=1),1-Inputs!$E$12,1+Inputs!$E$12/3)</f>
        <v>1.05</v>
      </c>
      <c r="BJ10" s="79" t="n">
        <f aca="false">IF(OR(MOD(BJ$4-1,12)&gt;=11,MOD(BJ$4-1,12)&lt;=1),1-Inputs!$E$12,1+Inputs!$E$12/3)</f>
        <v>0.85</v>
      </c>
    </row>
    <row r="11" customFormat="false" ht="15" hidden="false" customHeight="false" outlineLevel="0" collapsed="false">
      <c r="A11" s="6" t="s">
        <v>421</v>
      </c>
      <c r="C11" s="118" t="n">
        <f aca="false">Inputs!$E$7*(1+Inputs!$E$8)^(C$5-1)*Inputs!$E$9*1*C9*C10</f>
        <v>2662.2</v>
      </c>
      <c r="D11" s="118" t="n">
        <f aca="false">Inputs!$E$7*(1+Inputs!$E$8)^(D$5-1)*Inputs!$E$9*1*D9*D10</f>
        <v>3023.73333333333</v>
      </c>
      <c r="E11" s="118" t="n">
        <f aca="false">Inputs!$E$7*(1+Inputs!$E$8)^(E$5-1)*Inputs!$E$9*1*E9*E10</f>
        <v>4181.8</v>
      </c>
      <c r="F11" s="118" t="n">
        <f aca="false">Inputs!$E$7*(1+Inputs!$E$8)^(F$5-1)*Inputs!$E$9*1*F9*F10</f>
        <v>4628.4</v>
      </c>
      <c r="G11" s="118" t="n">
        <f aca="false">Inputs!$E$7*(1+Inputs!$E$8)^(G$5-1)*Inputs!$E$9*1*G9*G10</f>
        <v>5075</v>
      </c>
      <c r="H11" s="118" t="n">
        <f aca="false">Inputs!$E$7*(1+Inputs!$E$8)^(H$5-1)*Inputs!$E$9*1*H9*H10</f>
        <v>5521.6</v>
      </c>
      <c r="I11" s="118" t="n">
        <f aca="false">Inputs!$E$7*(1+Inputs!$E$8)^(I$5-1)*Inputs!$E$9*1*I9*I10</f>
        <v>5968.2</v>
      </c>
      <c r="J11" s="118" t="n">
        <f aca="false">Inputs!$E$7*(1+Inputs!$E$8)^(J$5-1)*Inputs!$E$9*1*J9*J10</f>
        <v>6414.8</v>
      </c>
      <c r="K11" s="118" t="n">
        <f aca="false">Inputs!$E$7*(1+Inputs!$E$8)^(K$5-1)*Inputs!$E$9*1*K9*K10</f>
        <v>6861.4</v>
      </c>
      <c r="L11" s="118" t="n">
        <f aca="false">Inputs!$E$7*(1+Inputs!$E$8)^(L$5-1)*Inputs!$E$9*1*L9*L10</f>
        <v>7308</v>
      </c>
      <c r="M11" s="118" t="n">
        <f aca="false">Inputs!$E$7*(1+Inputs!$E$8)^(M$5-1)*Inputs!$E$9*1*M9*M10</f>
        <v>7308</v>
      </c>
      <c r="N11" s="118" t="n">
        <f aca="false">Inputs!$E$7*(1+Inputs!$E$8)^(N$5-1)*Inputs!$E$9*1*N9*N10</f>
        <v>5916</v>
      </c>
      <c r="O11" s="118" t="n">
        <f aca="false">Inputs!$E$7*(1+Inputs!$E$8)^(O$5-1)*Inputs!$E$9*1*O9*O10</f>
        <v>6093.48</v>
      </c>
      <c r="P11" s="118" t="n">
        <f aca="false">Inputs!$E$7*(1+Inputs!$E$8)^(P$5-1)*Inputs!$E$9*1*P9*P10</f>
        <v>6093.48</v>
      </c>
      <c r="Q11" s="118" t="n">
        <f aca="false">Inputs!$E$7*(1+Inputs!$E$8)^(Q$5-1)*Inputs!$E$9*1*Q9*Q10</f>
        <v>7527.24</v>
      </c>
      <c r="R11" s="118" t="n">
        <f aca="false">Inputs!$E$7*(1+Inputs!$E$8)^(R$5-1)*Inputs!$E$9*1*R9*R10</f>
        <v>7527.24</v>
      </c>
      <c r="S11" s="118" t="n">
        <f aca="false">Inputs!$E$7*(1+Inputs!$E$8)^(S$5-1)*Inputs!$E$9*1*S9*S10</f>
        <v>7527.24</v>
      </c>
      <c r="T11" s="118" t="n">
        <f aca="false">Inputs!$E$7*(1+Inputs!$E$8)^(T$5-1)*Inputs!$E$9*1*T9*T10</f>
        <v>7527.24</v>
      </c>
      <c r="U11" s="118" t="n">
        <f aca="false">Inputs!$E$7*(1+Inputs!$E$8)^(U$5-1)*Inputs!$E$9*1*U9*U10</f>
        <v>7527.24</v>
      </c>
      <c r="V11" s="118" t="n">
        <f aca="false">Inputs!$E$7*(1+Inputs!$E$8)^(V$5-1)*Inputs!$E$9*1*V9*V10</f>
        <v>7527.24</v>
      </c>
      <c r="W11" s="118" t="n">
        <f aca="false">Inputs!$E$7*(1+Inputs!$E$8)^(W$5-1)*Inputs!$E$9*1*W9*W10</f>
        <v>7527.24</v>
      </c>
      <c r="X11" s="118" t="n">
        <f aca="false">Inputs!$E$7*(1+Inputs!$E$8)^(X$5-1)*Inputs!$E$9*1*X9*X10</f>
        <v>7527.24</v>
      </c>
      <c r="Y11" s="118" t="n">
        <f aca="false">Inputs!$E$7*(1+Inputs!$E$8)^(Y$5-1)*Inputs!$E$9*1*Y9*Y10</f>
        <v>7527.24</v>
      </c>
      <c r="Z11" s="118" t="n">
        <f aca="false">Inputs!$E$7*(1+Inputs!$E$8)^(Z$5-1)*Inputs!$E$9*1*Z9*Z10</f>
        <v>6093.48</v>
      </c>
      <c r="AA11" s="118" t="n">
        <f aca="false">Inputs!$E$7*(1+Inputs!$E$8)^(AA$5-1)*Inputs!$E$9*1*AA9*AA10</f>
        <v>6276.2844</v>
      </c>
      <c r="AB11" s="118" t="n">
        <f aca="false">Inputs!$E$7*(1+Inputs!$E$8)^(AB$5-1)*Inputs!$E$9*1*AB9*AB10</f>
        <v>6276.2844</v>
      </c>
      <c r="AC11" s="118" t="n">
        <f aca="false">Inputs!$E$7*(1+Inputs!$E$8)^(AC$5-1)*Inputs!$E$9*1*AC9*AC10</f>
        <v>7753.0572</v>
      </c>
      <c r="AD11" s="118" t="n">
        <f aca="false">Inputs!$E$7*(1+Inputs!$E$8)^(AD$5-1)*Inputs!$E$9*1*AD9*AD10</f>
        <v>7753.0572</v>
      </c>
      <c r="AE11" s="118" t="n">
        <f aca="false">Inputs!$E$7*(1+Inputs!$E$8)^(AE$5-1)*Inputs!$E$9*1*AE9*AE10</f>
        <v>7753.0572</v>
      </c>
      <c r="AF11" s="118" t="n">
        <f aca="false">Inputs!$E$7*(1+Inputs!$E$8)^(AF$5-1)*Inputs!$E$9*1*AF9*AF10</f>
        <v>7753.0572</v>
      </c>
      <c r="AG11" s="118" t="n">
        <f aca="false">Inputs!$E$7*(1+Inputs!$E$8)^(AG$5-1)*Inputs!$E$9*1*AG9*AG10</f>
        <v>7753.0572</v>
      </c>
      <c r="AH11" s="118" t="n">
        <f aca="false">Inputs!$E$7*(1+Inputs!$E$8)^(AH$5-1)*Inputs!$E$9*1*AH9*AH10</f>
        <v>7753.0572</v>
      </c>
      <c r="AI11" s="118" t="n">
        <f aca="false">Inputs!$E$7*(1+Inputs!$E$8)^(AI$5-1)*Inputs!$E$9*1*AI9*AI10</f>
        <v>7753.0572</v>
      </c>
      <c r="AJ11" s="118" t="n">
        <f aca="false">Inputs!$E$7*(1+Inputs!$E$8)^(AJ$5-1)*Inputs!$E$9*1*AJ9*AJ10</f>
        <v>7753.0572</v>
      </c>
      <c r="AK11" s="118" t="n">
        <f aca="false">Inputs!$E$7*(1+Inputs!$E$8)^(AK$5-1)*Inputs!$E$9*1*AK9*AK10</f>
        <v>7753.0572</v>
      </c>
      <c r="AL11" s="118" t="n">
        <f aca="false">Inputs!$E$7*(1+Inputs!$E$8)^(AL$5-1)*Inputs!$E$9*1*AL9*AL10</f>
        <v>6276.2844</v>
      </c>
      <c r="AM11" s="118" t="n">
        <f aca="false">Inputs!$E$7*(1+Inputs!$E$8)^(AM$5-1)*Inputs!$E$9*1*AM9*AM10</f>
        <v>6464.572932</v>
      </c>
      <c r="AN11" s="118" t="n">
        <f aca="false">Inputs!$E$7*(1+Inputs!$E$8)^(AN$5-1)*Inputs!$E$9*1*AN9*AN10</f>
        <v>6464.572932</v>
      </c>
      <c r="AO11" s="118" t="n">
        <f aca="false">Inputs!$E$7*(1+Inputs!$E$8)^(AO$5-1)*Inputs!$E$9*1*AO9*AO10</f>
        <v>7985.648916</v>
      </c>
      <c r="AP11" s="118" t="n">
        <f aca="false">Inputs!$E$7*(1+Inputs!$E$8)^(AP$5-1)*Inputs!$E$9*1*AP9*AP10</f>
        <v>7985.648916</v>
      </c>
      <c r="AQ11" s="118" t="n">
        <f aca="false">Inputs!$E$7*(1+Inputs!$E$8)^(AQ$5-1)*Inputs!$E$9*1*AQ9*AQ10</f>
        <v>7985.648916</v>
      </c>
      <c r="AR11" s="118" t="n">
        <f aca="false">Inputs!$E$7*(1+Inputs!$E$8)^(AR$5-1)*Inputs!$E$9*1*AR9*AR10</f>
        <v>7985.648916</v>
      </c>
      <c r="AS11" s="118" t="n">
        <f aca="false">Inputs!$E$7*(1+Inputs!$E$8)^(AS$5-1)*Inputs!$E$9*1*AS9*AS10</f>
        <v>7985.648916</v>
      </c>
      <c r="AT11" s="118" t="n">
        <f aca="false">Inputs!$E$7*(1+Inputs!$E$8)^(AT$5-1)*Inputs!$E$9*1*AT9*AT10</f>
        <v>7985.648916</v>
      </c>
      <c r="AU11" s="118" t="n">
        <f aca="false">Inputs!$E$7*(1+Inputs!$E$8)^(AU$5-1)*Inputs!$E$9*1*AU9*AU10</f>
        <v>7985.648916</v>
      </c>
      <c r="AV11" s="118" t="n">
        <f aca="false">Inputs!$E$7*(1+Inputs!$E$8)^(AV$5-1)*Inputs!$E$9*1*AV9*AV10</f>
        <v>7985.648916</v>
      </c>
      <c r="AW11" s="118" t="n">
        <f aca="false">Inputs!$E$7*(1+Inputs!$E$8)^(AW$5-1)*Inputs!$E$9*1*AW9*AW10</f>
        <v>7985.648916</v>
      </c>
      <c r="AX11" s="118" t="n">
        <f aca="false">Inputs!$E$7*(1+Inputs!$E$8)^(AX$5-1)*Inputs!$E$9*1*AX9*AX10</f>
        <v>6464.572932</v>
      </c>
      <c r="AY11" s="118" t="n">
        <f aca="false">Inputs!$E$7*(1+Inputs!$E$8)^(AY$5-1)*Inputs!$E$9*1*AY9*AY10</f>
        <v>6658.51011996</v>
      </c>
      <c r="AZ11" s="118" t="n">
        <f aca="false">Inputs!$E$7*(1+Inputs!$E$8)^(AZ$5-1)*Inputs!$E$9*1*AZ9*AZ10</f>
        <v>6658.51011996</v>
      </c>
      <c r="BA11" s="118" t="n">
        <f aca="false">Inputs!$E$7*(1+Inputs!$E$8)^(BA$5-1)*Inputs!$E$9*1*BA9*BA10</f>
        <v>8225.21838348</v>
      </c>
      <c r="BB11" s="118" t="n">
        <f aca="false">Inputs!$E$7*(1+Inputs!$E$8)^(BB$5-1)*Inputs!$E$9*1*BB9*BB10</f>
        <v>8225.21838348</v>
      </c>
      <c r="BC11" s="118" t="n">
        <f aca="false">Inputs!$E$7*(1+Inputs!$E$8)^(BC$5-1)*Inputs!$E$9*1*BC9*BC10</f>
        <v>8225.21838348</v>
      </c>
      <c r="BD11" s="118" t="n">
        <f aca="false">Inputs!$E$7*(1+Inputs!$E$8)^(BD$5-1)*Inputs!$E$9*1*BD9*BD10</f>
        <v>8225.21838348</v>
      </c>
      <c r="BE11" s="118" t="n">
        <f aca="false">Inputs!$E$7*(1+Inputs!$E$8)^(BE$5-1)*Inputs!$E$9*1*BE9*BE10</f>
        <v>8225.21838348</v>
      </c>
      <c r="BF11" s="118" t="n">
        <f aca="false">Inputs!$E$7*(1+Inputs!$E$8)^(BF$5-1)*Inputs!$E$9*1*BF9*BF10</f>
        <v>8225.21838348</v>
      </c>
      <c r="BG11" s="118" t="n">
        <f aca="false">Inputs!$E$7*(1+Inputs!$E$8)^(BG$5-1)*Inputs!$E$9*1*BG9*BG10</f>
        <v>8225.21838348</v>
      </c>
      <c r="BH11" s="118" t="n">
        <f aca="false">Inputs!$E$7*(1+Inputs!$E$8)^(BH$5-1)*Inputs!$E$9*1*BH9*BH10</f>
        <v>8225.21838348</v>
      </c>
      <c r="BI11" s="118" t="n">
        <f aca="false">Inputs!$E$7*(1+Inputs!$E$8)^(BI$5-1)*Inputs!$E$9*1*BI9*BI10</f>
        <v>8225.21838348</v>
      </c>
      <c r="BJ11" s="118" t="n">
        <f aca="false">Inputs!$E$7*(1+Inputs!$E$8)^(BJ$5-1)*Inputs!$E$9*1*BJ9*BJ10</f>
        <v>6658.51011996</v>
      </c>
    </row>
    <row r="13" customFormat="false" ht="15.75" hidden="false" customHeight="true" outlineLevel="0" collapsed="false">
      <c r="A13" s="7" t="s">
        <v>422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423</v>
      </c>
      <c r="C14" s="117" t="n">
        <f aca="false">C11*Inputs!$E$23</f>
        <v>21.2976</v>
      </c>
      <c r="D14" s="117" t="n">
        <f aca="false">D11*Inputs!$E$23</f>
        <v>24.1898666666667</v>
      </c>
      <c r="E14" s="117" t="n">
        <f aca="false">E11*Inputs!$E$23</f>
        <v>33.4544</v>
      </c>
      <c r="F14" s="117" t="n">
        <f aca="false">F11*Inputs!$E$23</f>
        <v>37.0272</v>
      </c>
      <c r="G14" s="117" t="n">
        <f aca="false">G11*Inputs!$E$23</f>
        <v>40.6</v>
      </c>
      <c r="H14" s="117" t="n">
        <f aca="false">H11*Inputs!$E$23</f>
        <v>44.1728</v>
      </c>
      <c r="I14" s="117" t="n">
        <f aca="false">I11*Inputs!$E$23</f>
        <v>47.7456</v>
      </c>
      <c r="J14" s="117" t="n">
        <f aca="false">J11*Inputs!$E$23</f>
        <v>51.3184</v>
      </c>
      <c r="K14" s="117" t="n">
        <f aca="false">K11*Inputs!$E$23</f>
        <v>54.8912</v>
      </c>
      <c r="L14" s="117" t="n">
        <f aca="false">L11*Inputs!$E$23</f>
        <v>58.464</v>
      </c>
      <c r="M14" s="117" t="n">
        <f aca="false">M11*Inputs!$E$23</f>
        <v>58.464</v>
      </c>
      <c r="N14" s="117" t="n">
        <f aca="false">N11*Inputs!$E$23</f>
        <v>47.328</v>
      </c>
      <c r="O14" s="117" t="n">
        <f aca="false">O11*Inputs!$E$23</f>
        <v>48.74784</v>
      </c>
      <c r="P14" s="117" t="n">
        <f aca="false">P11*Inputs!$E$23</f>
        <v>48.74784</v>
      </c>
      <c r="Q14" s="117" t="n">
        <f aca="false">Q11*Inputs!$E$23</f>
        <v>60.21792</v>
      </c>
      <c r="R14" s="117" t="n">
        <f aca="false">R11*Inputs!$E$23</f>
        <v>60.21792</v>
      </c>
      <c r="S14" s="117" t="n">
        <f aca="false">S11*Inputs!$E$23</f>
        <v>60.21792</v>
      </c>
      <c r="T14" s="117" t="n">
        <f aca="false">T11*Inputs!$E$23</f>
        <v>60.21792</v>
      </c>
      <c r="U14" s="117" t="n">
        <f aca="false">U11*Inputs!$E$23</f>
        <v>60.21792</v>
      </c>
      <c r="V14" s="117" t="n">
        <f aca="false">V11*Inputs!$E$23</f>
        <v>60.21792</v>
      </c>
      <c r="W14" s="117" t="n">
        <f aca="false">W11*Inputs!$E$23</f>
        <v>60.21792</v>
      </c>
      <c r="X14" s="117" t="n">
        <f aca="false">X11*Inputs!$E$23</f>
        <v>60.21792</v>
      </c>
      <c r="Y14" s="117" t="n">
        <f aca="false">Y11*Inputs!$E$23</f>
        <v>60.21792</v>
      </c>
      <c r="Z14" s="117" t="n">
        <f aca="false">Z11*Inputs!$E$23</f>
        <v>48.74784</v>
      </c>
      <c r="AA14" s="117" t="n">
        <f aca="false">AA11*Inputs!$E$23</f>
        <v>50.2102752</v>
      </c>
      <c r="AB14" s="117" t="n">
        <f aca="false">AB11*Inputs!$E$23</f>
        <v>50.2102752</v>
      </c>
      <c r="AC14" s="117" t="n">
        <f aca="false">AC11*Inputs!$E$23</f>
        <v>62.0244576</v>
      </c>
      <c r="AD14" s="117" t="n">
        <f aca="false">AD11*Inputs!$E$23</f>
        <v>62.0244576</v>
      </c>
      <c r="AE14" s="117" t="n">
        <f aca="false">AE11*Inputs!$E$23</f>
        <v>62.0244576</v>
      </c>
      <c r="AF14" s="117" t="n">
        <f aca="false">AF11*Inputs!$E$23</f>
        <v>62.0244576</v>
      </c>
      <c r="AG14" s="117" t="n">
        <f aca="false">AG11*Inputs!$E$23</f>
        <v>62.0244576</v>
      </c>
      <c r="AH14" s="117" t="n">
        <f aca="false">AH11*Inputs!$E$23</f>
        <v>62.0244576</v>
      </c>
      <c r="AI14" s="117" t="n">
        <f aca="false">AI11*Inputs!$E$23</f>
        <v>62.0244576</v>
      </c>
      <c r="AJ14" s="117" t="n">
        <f aca="false">AJ11*Inputs!$E$23</f>
        <v>62.0244576</v>
      </c>
      <c r="AK14" s="117" t="n">
        <f aca="false">AK11*Inputs!$E$23</f>
        <v>62.0244576</v>
      </c>
      <c r="AL14" s="117" t="n">
        <f aca="false">AL11*Inputs!$E$23</f>
        <v>50.2102752</v>
      </c>
      <c r="AM14" s="117" t="n">
        <f aca="false">AM11*Inputs!$E$23</f>
        <v>51.716583456</v>
      </c>
      <c r="AN14" s="117" t="n">
        <f aca="false">AN11*Inputs!$E$23</f>
        <v>51.716583456</v>
      </c>
      <c r="AO14" s="117" t="n">
        <f aca="false">AO11*Inputs!$E$23</f>
        <v>63.885191328</v>
      </c>
      <c r="AP14" s="117" t="n">
        <f aca="false">AP11*Inputs!$E$23</f>
        <v>63.885191328</v>
      </c>
      <c r="AQ14" s="117" t="n">
        <f aca="false">AQ11*Inputs!$E$23</f>
        <v>63.885191328</v>
      </c>
      <c r="AR14" s="117" t="n">
        <f aca="false">AR11*Inputs!$E$23</f>
        <v>63.885191328</v>
      </c>
      <c r="AS14" s="117" t="n">
        <f aca="false">AS11*Inputs!$E$23</f>
        <v>63.885191328</v>
      </c>
      <c r="AT14" s="117" t="n">
        <f aca="false">AT11*Inputs!$E$23</f>
        <v>63.885191328</v>
      </c>
      <c r="AU14" s="117" t="n">
        <f aca="false">AU11*Inputs!$E$23</f>
        <v>63.885191328</v>
      </c>
      <c r="AV14" s="117" t="n">
        <f aca="false">AV11*Inputs!$E$23</f>
        <v>63.885191328</v>
      </c>
      <c r="AW14" s="117" t="n">
        <f aca="false">AW11*Inputs!$E$23</f>
        <v>63.885191328</v>
      </c>
      <c r="AX14" s="117" t="n">
        <f aca="false">AX11*Inputs!$E$23</f>
        <v>51.716583456</v>
      </c>
      <c r="AY14" s="117" t="n">
        <f aca="false">AY11*Inputs!$E$23</f>
        <v>53.26808095968</v>
      </c>
      <c r="AZ14" s="117" t="n">
        <f aca="false">AZ11*Inputs!$E$23</f>
        <v>53.26808095968</v>
      </c>
      <c r="BA14" s="117" t="n">
        <f aca="false">BA11*Inputs!$E$23</f>
        <v>65.80174706784</v>
      </c>
      <c r="BB14" s="117" t="n">
        <f aca="false">BB11*Inputs!$E$23</f>
        <v>65.80174706784</v>
      </c>
      <c r="BC14" s="117" t="n">
        <f aca="false">BC11*Inputs!$E$23</f>
        <v>65.80174706784</v>
      </c>
      <c r="BD14" s="117" t="n">
        <f aca="false">BD11*Inputs!$E$23</f>
        <v>65.80174706784</v>
      </c>
      <c r="BE14" s="117" t="n">
        <f aca="false">BE11*Inputs!$E$23</f>
        <v>65.80174706784</v>
      </c>
      <c r="BF14" s="117" t="n">
        <f aca="false">BF11*Inputs!$E$23</f>
        <v>65.80174706784</v>
      </c>
      <c r="BG14" s="117" t="n">
        <f aca="false">BG11*Inputs!$E$23</f>
        <v>65.80174706784</v>
      </c>
      <c r="BH14" s="117" t="n">
        <f aca="false">BH11*Inputs!$E$23</f>
        <v>65.80174706784</v>
      </c>
      <c r="BI14" s="117" t="n">
        <f aca="false">BI11*Inputs!$E$23</f>
        <v>65.80174706784</v>
      </c>
      <c r="BJ14" s="117" t="n">
        <f aca="false">BJ11*Inputs!$E$23</f>
        <v>53.26808095968</v>
      </c>
    </row>
    <row r="15" customFormat="false" ht="15" hidden="false" customHeight="false" outlineLevel="0" collapsed="false">
      <c r="A15" s="6" t="s">
        <v>424</v>
      </c>
      <c r="C15" s="117" t="n">
        <f aca="false">Inputs!$E$21*(1+Inputs!$E$22)^(C$5-1)*1*C9</f>
        <v>22.5</v>
      </c>
      <c r="D15" s="117" t="n">
        <f aca="false">Inputs!$E$21*(1+Inputs!$E$22)^(D$5-1)*1*D9</f>
        <v>25.5555555555556</v>
      </c>
      <c r="E15" s="117" t="n">
        <f aca="false">Inputs!$E$21*(1+Inputs!$E$22)^(E$5-1)*1*E9</f>
        <v>28.6111111111111</v>
      </c>
      <c r="F15" s="117" t="n">
        <f aca="false">Inputs!$E$21*(1+Inputs!$E$22)^(F$5-1)*1*F9</f>
        <v>31.6666666666667</v>
      </c>
      <c r="G15" s="117" t="n">
        <f aca="false">Inputs!$E$21*(1+Inputs!$E$22)^(G$5-1)*1*G9</f>
        <v>34.7222222222222</v>
      </c>
      <c r="H15" s="117" t="n">
        <f aca="false">Inputs!$E$21*(1+Inputs!$E$22)^(H$5-1)*1*H9</f>
        <v>37.7777777777778</v>
      </c>
      <c r="I15" s="117" t="n">
        <f aca="false">Inputs!$E$21*(1+Inputs!$E$22)^(I$5-1)*1*I9</f>
        <v>40.8333333333333</v>
      </c>
      <c r="J15" s="117" t="n">
        <f aca="false">Inputs!$E$21*(1+Inputs!$E$22)^(J$5-1)*1*J9</f>
        <v>43.8888888888889</v>
      </c>
      <c r="K15" s="117" t="n">
        <f aca="false">Inputs!$E$21*(1+Inputs!$E$22)^(K$5-1)*1*K9</f>
        <v>46.9444444444444</v>
      </c>
      <c r="L15" s="117" t="n">
        <f aca="false">Inputs!$E$21*(1+Inputs!$E$22)^(L$5-1)*1*L9</f>
        <v>50</v>
      </c>
      <c r="M15" s="117" t="n">
        <f aca="false">Inputs!$E$21*(1+Inputs!$E$22)^(M$5-1)*1*M9</f>
        <v>50</v>
      </c>
      <c r="N15" s="117" t="n">
        <f aca="false">Inputs!$E$21*(1+Inputs!$E$22)^(N$5-1)*1*N9</f>
        <v>50</v>
      </c>
      <c r="O15" s="117" t="n">
        <f aca="false">Inputs!$E$21*(1+Inputs!$E$22)^(O$5-1)*1*O9</f>
        <v>52.5</v>
      </c>
      <c r="P15" s="117" t="n">
        <f aca="false">Inputs!$E$21*(1+Inputs!$E$22)^(P$5-1)*1*P9</f>
        <v>52.5</v>
      </c>
      <c r="Q15" s="117" t="n">
        <f aca="false">Inputs!$E$21*(1+Inputs!$E$22)^(Q$5-1)*1*Q9</f>
        <v>52.5</v>
      </c>
      <c r="R15" s="117" t="n">
        <f aca="false">Inputs!$E$21*(1+Inputs!$E$22)^(R$5-1)*1*R9</f>
        <v>52.5</v>
      </c>
      <c r="S15" s="117" t="n">
        <f aca="false">Inputs!$E$21*(1+Inputs!$E$22)^(S$5-1)*1*S9</f>
        <v>52.5</v>
      </c>
      <c r="T15" s="117" t="n">
        <f aca="false">Inputs!$E$21*(1+Inputs!$E$22)^(T$5-1)*1*T9</f>
        <v>52.5</v>
      </c>
      <c r="U15" s="117" t="n">
        <f aca="false">Inputs!$E$21*(1+Inputs!$E$22)^(U$5-1)*1*U9</f>
        <v>52.5</v>
      </c>
      <c r="V15" s="117" t="n">
        <f aca="false">Inputs!$E$21*(1+Inputs!$E$22)^(V$5-1)*1*V9</f>
        <v>52.5</v>
      </c>
      <c r="W15" s="117" t="n">
        <f aca="false">Inputs!$E$21*(1+Inputs!$E$22)^(W$5-1)*1*W9</f>
        <v>52.5</v>
      </c>
      <c r="X15" s="117" t="n">
        <f aca="false">Inputs!$E$21*(1+Inputs!$E$22)^(X$5-1)*1*X9</f>
        <v>52.5</v>
      </c>
      <c r="Y15" s="117" t="n">
        <f aca="false">Inputs!$E$21*(1+Inputs!$E$22)^(Y$5-1)*1*Y9</f>
        <v>52.5</v>
      </c>
      <c r="Z15" s="117" t="n">
        <f aca="false">Inputs!$E$21*(1+Inputs!$E$22)^(Z$5-1)*1*Z9</f>
        <v>52.5</v>
      </c>
      <c r="AA15" s="117" t="n">
        <f aca="false">Inputs!$E$21*(1+Inputs!$E$22)^(AA$5-1)*1*AA9</f>
        <v>55.125</v>
      </c>
      <c r="AB15" s="117" t="n">
        <f aca="false">Inputs!$E$21*(1+Inputs!$E$22)^(AB$5-1)*1*AB9</f>
        <v>55.125</v>
      </c>
      <c r="AC15" s="117" t="n">
        <f aca="false">Inputs!$E$21*(1+Inputs!$E$22)^(AC$5-1)*1*AC9</f>
        <v>55.125</v>
      </c>
      <c r="AD15" s="117" t="n">
        <f aca="false">Inputs!$E$21*(1+Inputs!$E$22)^(AD$5-1)*1*AD9</f>
        <v>55.125</v>
      </c>
      <c r="AE15" s="117" t="n">
        <f aca="false">Inputs!$E$21*(1+Inputs!$E$22)^(AE$5-1)*1*AE9</f>
        <v>55.125</v>
      </c>
      <c r="AF15" s="117" t="n">
        <f aca="false">Inputs!$E$21*(1+Inputs!$E$22)^(AF$5-1)*1*AF9</f>
        <v>55.125</v>
      </c>
      <c r="AG15" s="117" t="n">
        <f aca="false">Inputs!$E$21*(1+Inputs!$E$22)^(AG$5-1)*1*AG9</f>
        <v>55.125</v>
      </c>
      <c r="AH15" s="117" t="n">
        <f aca="false">Inputs!$E$21*(1+Inputs!$E$22)^(AH$5-1)*1*AH9</f>
        <v>55.125</v>
      </c>
      <c r="AI15" s="117" t="n">
        <f aca="false">Inputs!$E$21*(1+Inputs!$E$22)^(AI$5-1)*1*AI9</f>
        <v>55.125</v>
      </c>
      <c r="AJ15" s="117" t="n">
        <f aca="false">Inputs!$E$21*(1+Inputs!$E$22)^(AJ$5-1)*1*AJ9</f>
        <v>55.125</v>
      </c>
      <c r="AK15" s="117" t="n">
        <f aca="false">Inputs!$E$21*(1+Inputs!$E$22)^(AK$5-1)*1*AK9</f>
        <v>55.125</v>
      </c>
      <c r="AL15" s="117" t="n">
        <f aca="false">Inputs!$E$21*(1+Inputs!$E$22)^(AL$5-1)*1*AL9</f>
        <v>55.125</v>
      </c>
      <c r="AM15" s="117" t="n">
        <f aca="false">Inputs!$E$21*(1+Inputs!$E$22)^(AM$5-1)*1*AM9</f>
        <v>57.88125</v>
      </c>
      <c r="AN15" s="117" t="n">
        <f aca="false">Inputs!$E$21*(1+Inputs!$E$22)^(AN$5-1)*1*AN9</f>
        <v>57.88125</v>
      </c>
      <c r="AO15" s="117" t="n">
        <f aca="false">Inputs!$E$21*(1+Inputs!$E$22)^(AO$5-1)*1*AO9</f>
        <v>57.88125</v>
      </c>
      <c r="AP15" s="117" t="n">
        <f aca="false">Inputs!$E$21*(1+Inputs!$E$22)^(AP$5-1)*1*AP9</f>
        <v>57.88125</v>
      </c>
      <c r="AQ15" s="117" t="n">
        <f aca="false">Inputs!$E$21*(1+Inputs!$E$22)^(AQ$5-1)*1*AQ9</f>
        <v>57.88125</v>
      </c>
      <c r="AR15" s="117" t="n">
        <f aca="false">Inputs!$E$21*(1+Inputs!$E$22)^(AR$5-1)*1*AR9</f>
        <v>57.88125</v>
      </c>
      <c r="AS15" s="117" t="n">
        <f aca="false">Inputs!$E$21*(1+Inputs!$E$22)^(AS$5-1)*1*AS9</f>
        <v>57.88125</v>
      </c>
      <c r="AT15" s="117" t="n">
        <f aca="false">Inputs!$E$21*(1+Inputs!$E$22)^(AT$5-1)*1*AT9</f>
        <v>57.88125</v>
      </c>
      <c r="AU15" s="117" t="n">
        <f aca="false">Inputs!$E$21*(1+Inputs!$E$22)^(AU$5-1)*1*AU9</f>
        <v>57.88125</v>
      </c>
      <c r="AV15" s="117" t="n">
        <f aca="false">Inputs!$E$21*(1+Inputs!$E$22)^(AV$5-1)*1*AV9</f>
        <v>57.88125</v>
      </c>
      <c r="AW15" s="117" t="n">
        <f aca="false">Inputs!$E$21*(1+Inputs!$E$22)^(AW$5-1)*1*AW9</f>
        <v>57.88125</v>
      </c>
      <c r="AX15" s="117" t="n">
        <f aca="false">Inputs!$E$21*(1+Inputs!$E$22)^(AX$5-1)*1*AX9</f>
        <v>57.88125</v>
      </c>
      <c r="AY15" s="117" t="n">
        <f aca="false">Inputs!$E$21*(1+Inputs!$E$22)^(AY$5-1)*1*AY9</f>
        <v>60.7753125</v>
      </c>
      <c r="AZ15" s="117" t="n">
        <f aca="false">Inputs!$E$21*(1+Inputs!$E$22)^(AZ$5-1)*1*AZ9</f>
        <v>60.7753125</v>
      </c>
      <c r="BA15" s="117" t="n">
        <f aca="false">Inputs!$E$21*(1+Inputs!$E$22)^(BA$5-1)*1*BA9</f>
        <v>60.7753125</v>
      </c>
      <c r="BB15" s="117" t="n">
        <f aca="false">Inputs!$E$21*(1+Inputs!$E$22)^(BB$5-1)*1*BB9</f>
        <v>60.7753125</v>
      </c>
      <c r="BC15" s="117" t="n">
        <f aca="false">Inputs!$E$21*(1+Inputs!$E$22)^(BC$5-1)*1*BC9</f>
        <v>60.7753125</v>
      </c>
      <c r="BD15" s="117" t="n">
        <f aca="false">Inputs!$E$21*(1+Inputs!$E$22)^(BD$5-1)*1*BD9</f>
        <v>60.7753125</v>
      </c>
      <c r="BE15" s="117" t="n">
        <f aca="false">Inputs!$E$21*(1+Inputs!$E$22)^(BE$5-1)*1*BE9</f>
        <v>60.7753125</v>
      </c>
      <c r="BF15" s="117" t="n">
        <f aca="false">Inputs!$E$21*(1+Inputs!$E$22)^(BF$5-1)*1*BF9</f>
        <v>60.7753125</v>
      </c>
      <c r="BG15" s="117" t="n">
        <f aca="false">Inputs!$E$21*(1+Inputs!$E$22)^(BG$5-1)*1*BG9</f>
        <v>60.7753125</v>
      </c>
      <c r="BH15" s="117" t="n">
        <f aca="false">Inputs!$E$21*(1+Inputs!$E$22)^(BH$5-1)*1*BH9</f>
        <v>60.7753125</v>
      </c>
      <c r="BI15" s="117" t="n">
        <f aca="false">Inputs!$E$21*(1+Inputs!$E$22)^(BI$5-1)*1*BI9</f>
        <v>60.7753125</v>
      </c>
      <c r="BJ15" s="117" t="n">
        <f aca="false">Inputs!$E$21*(1+Inputs!$E$22)^(BJ$5-1)*1*BJ9</f>
        <v>60.7753125</v>
      </c>
    </row>
    <row r="16" customFormat="false" ht="15" hidden="false" customHeight="false" outlineLevel="0" collapsed="false">
      <c r="A16" s="4" t="s">
        <v>425</v>
      </c>
      <c r="C16" s="119" t="n">
        <f aca="false">C14+C15</f>
        <v>43.7976</v>
      </c>
      <c r="D16" s="119" t="n">
        <f aca="false">D14+D15</f>
        <v>49.7454222222222</v>
      </c>
      <c r="E16" s="119" t="n">
        <f aca="false">E14+E15</f>
        <v>62.0655111111111</v>
      </c>
      <c r="F16" s="119" t="n">
        <f aca="false">F14+F15</f>
        <v>68.6938666666667</v>
      </c>
      <c r="G16" s="119" t="n">
        <f aca="false">G14+G15</f>
        <v>75.3222222222222</v>
      </c>
      <c r="H16" s="119" t="n">
        <f aca="false">H14+H15</f>
        <v>81.9505777777778</v>
      </c>
      <c r="I16" s="119" t="n">
        <f aca="false">I14+I15</f>
        <v>88.5789333333333</v>
      </c>
      <c r="J16" s="119" t="n">
        <f aca="false">J14+J15</f>
        <v>95.2072888888889</v>
      </c>
      <c r="K16" s="119" t="n">
        <f aca="false">K14+K15</f>
        <v>101.835644444444</v>
      </c>
      <c r="L16" s="119" t="n">
        <f aca="false">L14+L15</f>
        <v>108.464</v>
      </c>
      <c r="M16" s="119" t="n">
        <f aca="false">M14+M15</f>
        <v>108.464</v>
      </c>
      <c r="N16" s="119" t="n">
        <f aca="false">N14+N15</f>
        <v>97.328</v>
      </c>
      <c r="O16" s="119" t="n">
        <f aca="false">O14+O15</f>
        <v>101.24784</v>
      </c>
      <c r="P16" s="119" t="n">
        <f aca="false">P14+P15</f>
        <v>101.24784</v>
      </c>
      <c r="Q16" s="119" t="n">
        <f aca="false">Q14+Q15</f>
        <v>112.71792</v>
      </c>
      <c r="R16" s="119" t="n">
        <f aca="false">R14+R15</f>
        <v>112.71792</v>
      </c>
      <c r="S16" s="119" t="n">
        <f aca="false">S14+S15</f>
        <v>112.71792</v>
      </c>
      <c r="T16" s="119" t="n">
        <f aca="false">T14+T15</f>
        <v>112.71792</v>
      </c>
      <c r="U16" s="119" t="n">
        <f aca="false">U14+U15</f>
        <v>112.71792</v>
      </c>
      <c r="V16" s="119" t="n">
        <f aca="false">V14+V15</f>
        <v>112.71792</v>
      </c>
      <c r="W16" s="119" t="n">
        <f aca="false">W14+W15</f>
        <v>112.71792</v>
      </c>
      <c r="X16" s="119" t="n">
        <f aca="false">X14+X15</f>
        <v>112.71792</v>
      </c>
      <c r="Y16" s="119" t="n">
        <f aca="false">Y14+Y15</f>
        <v>112.71792</v>
      </c>
      <c r="Z16" s="119" t="n">
        <f aca="false">Z14+Z15</f>
        <v>101.24784</v>
      </c>
      <c r="AA16" s="119" t="n">
        <f aca="false">AA14+AA15</f>
        <v>105.3352752</v>
      </c>
      <c r="AB16" s="119" t="n">
        <f aca="false">AB14+AB15</f>
        <v>105.3352752</v>
      </c>
      <c r="AC16" s="119" t="n">
        <f aca="false">AC14+AC15</f>
        <v>117.1494576</v>
      </c>
      <c r="AD16" s="119" t="n">
        <f aca="false">AD14+AD15</f>
        <v>117.1494576</v>
      </c>
      <c r="AE16" s="119" t="n">
        <f aca="false">AE14+AE15</f>
        <v>117.1494576</v>
      </c>
      <c r="AF16" s="119" t="n">
        <f aca="false">AF14+AF15</f>
        <v>117.1494576</v>
      </c>
      <c r="AG16" s="119" t="n">
        <f aca="false">AG14+AG15</f>
        <v>117.1494576</v>
      </c>
      <c r="AH16" s="119" t="n">
        <f aca="false">AH14+AH15</f>
        <v>117.1494576</v>
      </c>
      <c r="AI16" s="119" t="n">
        <f aca="false">AI14+AI15</f>
        <v>117.1494576</v>
      </c>
      <c r="AJ16" s="119" t="n">
        <f aca="false">AJ14+AJ15</f>
        <v>117.1494576</v>
      </c>
      <c r="AK16" s="119" t="n">
        <f aca="false">AK14+AK15</f>
        <v>117.1494576</v>
      </c>
      <c r="AL16" s="119" t="n">
        <f aca="false">AL14+AL15</f>
        <v>105.3352752</v>
      </c>
      <c r="AM16" s="119" t="n">
        <f aca="false">AM14+AM15</f>
        <v>109.597833456</v>
      </c>
      <c r="AN16" s="119" t="n">
        <f aca="false">AN14+AN15</f>
        <v>109.597833456</v>
      </c>
      <c r="AO16" s="119" t="n">
        <f aca="false">AO14+AO15</f>
        <v>121.766441328</v>
      </c>
      <c r="AP16" s="119" t="n">
        <f aca="false">AP14+AP15</f>
        <v>121.766441328</v>
      </c>
      <c r="AQ16" s="119" t="n">
        <f aca="false">AQ14+AQ15</f>
        <v>121.766441328</v>
      </c>
      <c r="AR16" s="119" t="n">
        <f aca="false">AR14+AR15</f>
        <v>121.766441328</v>
      </c>
      <c r="AS16" s="119" t="n">
        <f aca="false">AS14+AS15</f>
        <v>121.766441328</v>
      </c>
      <c r="AT16" s="119" t="n">
        <f aca="false">AT14+AT15</f>
        <v>121.766441328</v>
      </c>
      <c r="AU16" s="119" t="n">
        <f aca="false">AU14+AU15</f>
        <v>121.766441328</v>
      </c>
      <c r="AV16" s="119" t="n">
        <f aca="false">AV14+AV15</f>
        <v>121.766441328</v>
      </c>
      <c r="AW16" s="119" t="n">
        <f aca="false">AW14+AW15</f>
        <v>121.766441328</v>
      </c>
      <c r="AX16" s="119" t="n">
        <f aca="false">AX14+AX15</f>
        <v>109.597833456</v>
      </c>
      <c r="AY16" s="119" t="n">
        <f aca="false">AY14+AY15</f>
        <v>114.04339345968</v>
      </c>
      <c r="AZ16" s="119" t="n">
        <f aca="false">AZ14+AZ15</f>
        <v>114.04339345968</v>
      </c>
      <c r="BA16" s="119" t="n">
        <f aca="false">BA14+BA15</f>
        <v>126.57705956784</v>
      </c>
      <c r="BB16" s="119" t="n">
        <f aca="false">BB14+BB15</f>
        <v>126.57705956784</v>
      </c>
      <c r="BC16" s="119" t="n">
        <f aca="false">BC14+BC15</f>
        <v>126.57705956784</v>
      </c>
      <c r="BD16" s="119" t="n">
        <f aca="false">BD14+BD15</f>
        <v>126.57705956784</v>
      </c>
      <c r="BE16" s="119" t="n">
        <f aca="false">BE14+BE15</f>
        <v>126.57705956784</v>
      </c>
      <c r="BF16" s="119" t="n">
        <f aca="false">BF14+BF15</f>
        <v>126.57705956784</v>
      </c>
      <c r="BG16" s="119" t="n">
        <f aca="false">BG14+BG15</f>
        <v>126.57705956784</v>
      </c>
      <c r="BH16" s="119" t="n">
        <f aca="false">BH14+BH15</f>
        <v>126.57705956784</v>
      </c>
      <c r="BI16" s="119" t="n">
        <f aca="false">BI14+BI15</f>
        <v>126.57705956784</v>
      </c>
      <c r="BJ16" s="119" t="n">
        <f aca="false">BJ14+BJ15</f>
        <v>114.04339345968</v>
      </c>
    </row>
    <row r="17" customFormat="false" ht="15" hidden="false" customHeight="false" outlineLevel="0" collapsed="false">
      <c r="A17" s="6" t="s">
        <v>426</v>
      </c>
      <c r="C17" s="120" t="n">
        <f aca="false">Inputs!$E$20</f>
        <v>250</v>
      </c>
      <c r="D17" s="117" t="n">
        <f aca="false">C19</f>
        <v>283.7976</v>
      </c>
      <c r="E17" s="117" t="n">
        <f aca="false">D19</f>
        <v>322.191118222222</v>
      </c>
      <c r="F17" s="117" t="n">
        <f aca="false">E19</f>
        <v>371.368984604444</v>
      </c>
      <c r="G17" s="117" t="n">
        <f aca="false">F19</f>
        <v>425.208091886933</v>
      </c>
      <c r="H17" s="117" t="n">
        <f aca="false">G19</f>
        <v>483.521990433678</v>
      </c>
      <c r="I17" s="117" t="n">
        <f aca="false">H19</f>
        <v>546.131688594109</v>
      </c>
      <c r="J17" s="117" t="n">
        <f aca="false">I19</f>
        <v>612.865354383678</v>
      </c>
      <c r="K17" s="117" t="n">
        <f aca="false">J19</f>
        <v>683.55802909722</v>
      </c>
      <c r="L17" s="117" t="n">
        <f aca="false">K19</f>
        <v>758.051352377775</v>
      </c>
      <c r="M17" s="117" t="n">
        <f aca="false">L19</f>
        <v>836.193298282664</v>
      </c>
      <c r="N17" s="117" t="n">
        <f aca="false">M19</f>
        <v>911.209566351358</v>
      </c>
      <c r="O17" s="117" t="n">
        <f aca="false">N19</f>
        <v>972.089183697303</v>
      </c>
      <c r="P17" s="117" t="n">
        <f aca="false">O19</f>
        <v>1034.45345634941</v>
      </c>
      <c r="Q17" s="117" t="n">
        <f aca="false">P19</f>
        <v>1094.32315809543</v>
      </c>
      <c r="R17" s="117" t="n">
        <f aca="false">Q19</f>
        <v>1163.26815177162</v>
      </c>
      <c r="S17" s="117" t="n">
        <f aca="false">R19</f>
        <v>1229.45534570075</v>
      </c>
      <c r="T17" s="117" t="n">
        <f aca="false">S19</f>
        <v>1292.99505187272</v>
      </c>
      <c r="U17" s="117" t="n">
        <f aca="false">T19</f>
        <v>1353.99316979781</v>
      </c>
      <c r="V17" s="117" t="n">
        <f aca="false">U19</f>
        <v>1412.5513630059</v>
      </c>
      <c r="W17" s="117" t="n">
        <f aca="false">V19</f>
        <v>1468.76722848567</v>
      </c>
      <c r="X17" s="117" t="n">
        <f aca="false">W19</f>
        <v>1522.73445934624</v>
      </c>
      <c r="Y17" s="117" t="n">
        <f aca="false">X19</f>
        <v>1574.54300097239</v>
      </c>
      <c r="Z17" s="117" t="n">
        <f aca="false">Y19</f>
        <v>1624.27920093349</v>
      </c>
      <c r="AA17" s="117" t="n">
        <f aca="false">Z19</f>
        <v>1660.55587289615</v>
      </c>
      <c r="AB17" s="117" t="n">
        <f aca="false">AA19</f>
        <v>1699.46891318031</v>
      </c>
      <c r="AC17" s="117" t="n">
        <f aca="false">AB19</f>
        <v>1736.82543185309</v>
      </c>
      <c r="AD17" s="117" t="n">
        <f aca="false">AC19</f>
        <v>1784.50187217897</v>
      </c>
      <c r="AE17" s="117" t="n">
        <f aca="false">AD19</f>
        <v>1830.27125489181</v>
      </c>
      <c r="AF17" s="117" t="n">
        <f aca="false">AE19</f>
        <v>1874.20986229614</v>
      </c>
      <c r="AG17" s="117" t="n">
        <f aca="false">AF19</f>
        <v>1916.39092540429</v>
      </c>
      <c r="AH17" s="117" t="n">
        <f aca="false">AG19</f>
        <v>1956.88474598812</v>
      </c>
      <c r="AI17" s="117" t="n">
        <f aca="false">AH19</f>
        <v>1995.7588137486</v>
      </c>
      <c r="AJ17" s="117" t="n">
        <f aca="false">AI19</f>
        <v>2033.07791879865</v>
      </c>
      <c r="AK17" s="117" t="n">
        <f aca="false">AJ19</f>
        <v>2068.90425964671</v>
      </c>
      <c r="AL17" s="117" t="n">
        <f aca="false">AK19</f>
        <v>2103.29754686084</v>
      </c>
      <c r="AM17" s="117" t="n">
        <f aca="false">AL19</f>
        <v>2124.50092018641</v>
      </c>
      <c r="AN17" s="117" t="n">
        <f aca="false">AM19</f>
        <v>2149.11871683495</v>
      </c>
      <c r="AO17" s="117" t="n">
        <f aca="false">AN19</f>
        <v>2172.75180161755</v>
      </c>
      <c r="AP17" s="117" t="n">
        <f aca="false">AO19</f>
        <v>2207.60817088085</v>
      </c>
      <c r="AQ17" s="117" t="n">
        <f aca="false">AP19</f>
        <v>2241.07028537362</v>
      </c>
      <c r="AR17" s="117" t="n">
        <f aca="false">AQ19</f>
        <v>2273.19391528667</v>
      </c>
      <c r="AS17" s="117" t="n">
        <f aca="false">AR19</f>
        <v>2304.0326000032</v>
      </c>
      <c r="AT17" s="117" t="n">
        <f aca="false">AS19</f>
        <v>2333.63773733107</v>
      </c>
      <c r="AU17" s="117" t="n">
        <f aca="false">AT19</f>
        <v>2362.05866916583</v>
      </c>
      <c r="AV17" s="117" t="n">
        <f aca="false">AU19</f>
        <v>2389.3427637272</v>
      </c>
      <c r="AW17" s="117" t="n">
        <f aca="false">AV19</f>
        <v>2415.53549450611</v>
      </c>
      <c r="AX17" s="117" t="n">
        <f aca="false">AW19</f>
        <v>2440.68051605387</v>
      </c>
      <c r="AY17" s="117" t="n">
        <f aca="false">AX19</f>
        <v>2452.65112886771</v>
      </c>
      <c r="AZ17" s="117" t="n">
        <f aca="false">AY19</f>
        <v>2468.58847717268</v>
      </c>
      <c r="BA17" s="117" t="n">
        <f aca="false">AZ19</f>
        <v>2483.88833154545</v>
      </c>
      <c r="BB17" s="117" t="n">
        <f aca="false">BA19</f>
        <v>2511.10985785148</v>
      </c>
      <c r="BC17" s="117" t="n">
        <f aca="false">BB19</f>
        <v>2537.24252310526</v>
      </c>
      <c r="BD17" s="117" t="n">
        <f aca="false">BC19</f>
        <v>2562.32988174889</v>
      </c>
      <c r="BE17" s="117" t="n">
        <f aca="false">BD19</f>
        <v>2586.41374604677</v>
      </c>
      <c r="BF17" s="117" t="n">
        <f aca="false">BE19</f>
        <v>2609.53425577274</v>
      </c>
      <c r="BG17" s="117" t="n">
        <f aca="false">BF19</f>
        <v>2631.72994510967</v>
      </c>
      <c r="BH17" s="117" t="n">
        <f aca="false">BG19</f>
        <v>2653.03780687312</v>
      </c>
      <c r="BI17" s="117" t="n">
        <f aca="false">BH19</f>
        <v>2673.49335416604</v>
      </c>
      <c r="BJ17" s="117" t="n">
        <f aca="false">BI19</f>
        <v>2693.13067956724</v>
      </c>
    </row>
    <row r="18" customFormat="false" ht="15" hidden="false" customHeight="false" outlineLevel="0" collapsed="false">
      <c r="A18" s="6" t="s">
        <v>427</v>
      </c>
      <c r="C18" s="117" t="n">
        <f aca="false">C19-C17-C16</f>
        <v>-10</v>
      </c>
      <c r="D18" s="117" t="n">
        <f aca="false">D19-D17-D16</f>
        <v>-11.351904</v>
      </c>
      <c r="E18" s="117" t="n">
        <f aca="false">E19-E17-E16</f>
        <v>-12.8876447288889</v>
      </c>
      <c r="F18" s="117" t="n">
        <f aca="false">F19-F17-F16</f>
        <v>-14.8547593841778</v>
      </c>
      <c r="G18" s="117" t="n">
        <f aca="false">G19-G17-G16</f>
        <v>-17.0083236754773</v>
      </c>
      <c r="H18" s="117" t="n">
        <f aca="false">H19-H17-H16</f>
        <v>-19.3408796173471</v>
      </c>
      <c r="I18" s="117" t="n">
        <f aca="false">I19-I17-I16</f>
        <v>-21.8452675437644</v>
      </c>
      <c r="J18" s="117" t="n">
        <f aca="false">J19-J17-J16</f>
        <v>-24.5146141753471</v>
      </c>
      <c r="K18" s="117" t="n">
        <f aca="false">K19-K17-K16</f>
        <v>-27.3423211638887</v>
      </c>
      <c r="L18" s="117" t="n">
        <f aca="false">L19-L17-L16</f>
        <v>-30.322054095111</v>
      </c>
      <c r="M18" s="117" t="n">
        <f aca="false">M19-M17-M16</f>
        <v>-33.4477319313067</v>
      </c>
      <c r="N18" s="117" t="n">
        <f aca="false">N19-N17-N16</f>
        <v>-36.4483826540543</v>
      </c>
      <c r="O18" s="117" t="n">
        <f aca="false">O19-O17-O16</f>
        <v>-38.883567347892</v>
      </c>
      <c r="P18" s="117" t="n">
        <f aca="false">P19-P17-P16</f>
        <v>-41.3781382539764</v>
      </c>
      <c r="Q18" s="117" t="n">
        <f aca="false">Q19-Q17-Q16</f>
        <v>-43.7729263238175</v>
      </c>
      <c r="R18" s="117" t="n">
        <f aca="false">R19-R17-R16</f>
        <v>-46.5307260708648</v>
      </c>
      <c r="S18" s="117" t="n">
        <f aca="false">S19-S17-S16</f>
        <v>-49.17821382803</v>
      </c>
      <c r="T18" s="117" t="n">
        <f aca="false">T19-T17-T16</f>
        <v>-51.719802074909</v>
      </c>
      <c r="U18" s="117" t="n">
        <f aca="false">U19-U17-U16</f>
        <v>-54.1597267919126</v>
      </c>
      <c r="V18" s="117" t="n">
        <f aca="false">V19-V17-V16</f>
        <v>-56.502054520236</v>
      </c>
      <c r="W18" s="117" t="n">
        <f aca="false">W19-W17-W16</f>
        <v>-58.7506891394266</v>
      </c>
      <c r="X18" s="117" t="n">
        <f aca="false">X19-X17-X16</f>
        <v>-60.9093783738496</v>
      </c>
      <c r="Y18" s="117" t="n">
        <f aca="false">Y19-Y17-Y16</f>
        <v>-62.9817200388956</v>
      </c>
      <c r="Z18" s="117" t="n">
        <f aca="false">Z19-Z17-Z16</f>
        <v>-64.9711680373398</v>
      </c>
      <c r="AA18" s="117" t="n">
        <f aca="false">AA19-AA17-AA16</f>
        <v>-66.4222349158462</v>
      </c>
      <c r="AB18" s="117" t="n">
        <f aca="false">AB19-AB17-AB16</f>
        <v>-67.9787565272124</v>
      </c>
      <c r="AC18" s="117" t="n">
        <f aca="false">AC19-AC17-AC16</f>
        <v>-69.4730172741238</v>
      </c>
      <c r="AD18" s="117" t="n">
        <f aca="false">AD19-AD17-AD16</f>
        <v>-71.3800748871588</v>
      </c>
      <c r="AE18" s="117" t="n">
        <f aca="false">AE19-AE17-AE16</f>
        <v>-73.2108501956725</v>
      </c>
      <c r="AF18" s="117" t="n">
        <f aca="false">AF19-AF17-AF16</f>
        <v>-74.9683944918456</v>
      </c>
      <c r="AG18" s="117" t="n">
        <f aca="false">AG19-AG17-AG16</f>
        <v>-76.6556370161718</v>
      </c>
      <c r="AH18" s="117" t="n">
        <f aca="false">AH19-AH17-AH16</f>
        <v>-78.2753898395249</v>
      </c>
      <c r="AI18" s="117" t="n">
        <f aca="false">AI19-AI17-AI16</f>
        <v>-79.8303525499439</v>
      </c>
      <c r="AJ18" s="117" t="n">
        <f aca="false">AJ19-AJ17-AJ16</f>
        <v>-81.3231167519462</v>
      </c>
      <c r="AK18" s="117" t="n">
        <f aca="false">AK19-AK17-AK16</f>
        <v>-82.7561703858682</v>
      </c>
      <c r="AL18" s="117" t="n">
        <f aca="false">AL19-AL17-AL16</f>
        <v>-84.1319018744338</v>
      </c>
      <c r="AM18" s="117" t="n">
        <f aca="false">AM19-AM17-AM16</f>
        <v>-84.9800368074562</v>
      </c>
      <c r="AN18" s="117" t="n">
        <f aca="false">AN19-AN17-AN16</f>
        <v>-85.964748673398</v>
      </c>
      <c r="AO18" s="117" t="n">
        <f aca="false">AO19-AO17-AO16</f>
        <v>-86.9100720647021</v>
      </c>
      <c r="AP18" s="117" t="n">
        <f aca="false">AP19-AP17-AP16</f>
        <v>-88.304326835234</v>
      </c>
      <c r="AQ18" s="117" t="n">
        <f aca="false">AQ19-AQ17-AQ16</f>
        <v>-89.6428114149449</v>
      </c>
      <c r="AR18" s="117" t="n">
        <f aca="false">AR19-AR17-AR16</f>
        <v>-90.9277566114671</v>
      </c>
      <c r="AS18" s="117" t="n">
        <f aca="false">AS19-AS17-AS16</f>
        <v>-92.1613040001285</v>
      </c>
      <c r="AT18" s="117" t="n">
        <f aca="false">AT19-AT17-AT16</f>
        <v>-93.3455094932434</v>
      </c>
      <c r="AU18" s="117" t="n">
        <f aca="false">AU19-AU17-AU16</f>
        <v>-94.4823467666334</v>
      </c>
      <c r="AV18" s="117" t="n">
        <f aca="false">AV19-AV17-AV16</f>
        <v>-95.5737105490881</v>
      </c>
      <c r="AW18" s="117" t="n">
        <f aca="false">AW19-AW17-AW16</f>
        <v>-96.6214197802447</v>
      </c>
      <c r="AX18" s="117" t="n">
        <f aca="false">AX19-AX17-AX16</f>
        <v>-97.6272206421545</v>
      </c>
      <c r="AY18" s="117" t="n">
        <f aca="false">AY19-AY17-AY16</f>
        <v>-98.1060451547088</v>
      </c>
      <c r="AZ18" s="117" t="n">
        <f aca="false">AZ19-AZ17-AZ16</f>
        <v>-98.7435390869074</v>
      </c>
      <c r="BA18" s="117" t="n">
        <f aca="false">BA19-BA17-BA16</f>
        <v>-99.3555332618184</v>
      </c>
      <c r="BB18" s="117" t="n">
        <f aca="false">BB19-BB17-BB16</f>
        <v>-100.444394314059</v>
      </c>
      <c r="BC18" s="117" t="n">
        <f aca="false">BC19-BC17-BC16</f>
        <v>-101.48970092421</v>
      </c>
      <c r="BD18" s="117" t="n">
        <f aca="false">BD19-BD17-BD16</f>
        <v>-102.493195269956</v>
      </c>
      <c r="BE18" s="117" t="n">
        <f aca="false">BE19-BE17-BE16</f>
        <v>-103.456549841871</v>
      </c>
      <c r="BF18" s="117" t="n">
        <f aca="false">BF19-BF17-BF16</f>
        <v>-104.38137023091</v>
      </c>
      <c r="BG18" s="117" t="n">
        <f aca="false">BG19-BG17-BG16</f>
        <v>-105.269197804387</v>
      </c>
      <c r="BH18" s="117" t="n">
        <f aca="false">BH19-BH17-BH16</f>
        <v>-106.121512274925</v>
      </c>
      <c r="BI18" s="117" t="n">
        <f aca="false">BI19-BI17-BI16</f>
        <v>-106.939734166642</v>
      </c>
      <c r="BJ18" s="117" t="n">
        <f aca="false">BJ19-BJ17-BJ16</f>
        <v>-107.72522718269</v>
      </c>
    </row>
    <row r="19" customFormat="false" ht="15" hidden="false" customHeight="false" outlineLevel="0" collapsed="false">
      <c r="A19" s="4" t="s">
        <v>428</v>
      </c>
      <c r="C19" s="119" t="n">
        <f aca="false">C17*(1-Inputs!$E$24)+C16</f>
        <v>283.7976</v>
      </c>
      <c r="D19" s="119" t="n">
        <f aca="false">D17*(1-Inputs!$E$24)+D16</f>
        <v>322.191118222222</v>
      </c>
      <c r="E19" s="119" t="n">
        <f aca="false">E17*(1-Inputs!$E$24)+E16</f>
        <v>371.368984604444</v>
      </c>
      <c r="F19" s="119" t="n">
        <f aca="false">F17*(1-Inputs!$E$24)+F16</f>
        <v>425.208091886933</v>
      </c>
      <c r="G19" s="119" t="n">
        <f aca="false">G17*(1-Inputs!$E$24)+G16</f>
        <v>483.521990433678</v>
      </c>
      <c r="H19" s="119" t="n">
        <f aca="false">H17*(1-Inputs!$E$24)+H16</f>
        <v>546.131688594109</v>
      </c>
      <c r="I19" s="119" t="n">
        <f aca="false">I17*(1-Inputs!$E$24)+I16</f>
        <v>612.865354383678</v>
      </c>
      <c r="J19" s="119" t="n">
        <f aca="false">J17*(1-Inputs!$E$24)+J16</f>
        <v>683.55802909722</v>
      </c>
      <c r="K19" s="119" t="n">
        <f aca="false">K17*(1-Inputs!$E$24)+K16</f>
        <v>758.051352377775</v>
      </c>
      <c r="L19" s="119" t="n">
        <f aca="false">L17*(1-Inputs!$E$24)+L16</f>
        <v>836.193298282664</v>
      </c>
      <c r="M19" s="119" t="n">
        <f aca="false">M17*(1-Inputs!$E$24)+M16</f>
        <v>911.209566351358</v>
      </c>
      <c r="N19" s="119" t="n">
        <f aca="false">N17*(1-Inputs!$E$24)+N16</f>
        <v>972.089183697303</v>
      </c>
      <c r="O19" s="119" t="n">
        <f aca="false">O17*(1-Inputs!$E$24)+O16</f>
        <v>1034.45345634941</v>
      </c>
      <c r="P19" s="119" t="n">
        <f aca="false">P17*(1-Inputs!$E$24)+P16</f>
        <v>1094.32315809543</v>
      </c>
      <c r="Q19" s="119" t="n">
        <f aca="false">Q17*(1-Inputs!$E$24)+Q16</f>
        <v>1163.26815177162</v>
      </c>
      <c r="R19" s="119" t="n">
        <f aca="false">R17*(1-Inputs!$E$24)+R16</f>
        <v>1229.45534570075</v>
      </c>
      <c r="S19" s="119" t="n">
        <f aca="false">S17*(1-Inputs!$E$24)+S16</f>
        <v>1292.99505187272</v>
      </c>
      <c r="T19" s="119" t="n">
        <f aca="false">T17*(1-Inputs!$E$24)+T16</f>
        <v>1353.99316979781</v>
      </c>
      <c r="U19" s="119" t="n">
        <f aca="false">U17*(1-Inputs!$E$24)+U16</f>
        <v>1412.5513630059</v>
      </c>
      <c r="V19" s="119" t="n">
        <f aca="false">V17*(1-Inputs!$E$24)+V16</f>
        <v>1468.76722848567</v>
      </c>
      <c r="W19" s="119" t="n">
        <f aca="false">W17*(1-Inputs!$E$24)+W16</f>
        <v>1522.73445934624</v>
      </c>
      <c r="X19" s="119" t="n">
        <f aca="false">X17*(1-Inputs!$E$24)+X16</f>
        <v>1574.54300097239</v>
      </c>
      <c r="Y19" s="119" t="n">
        <f aca="false">Y17*(1-Inputs!$E$24)+Y16</f>
        <v>1624.27920093349</v>
      </c>
      <c r="Z19" s="119" t="n">
        <f aca="false">Z17*(1-Inputs!$E$24)+Z16</f>
        <v>1660.55587289615</v>
      </c>
      <c r="AA19" s="119" t="n">
        <f aca="false">AA17*(1-Inputs!$E$24)+AA16</f>
        <v>1699.46891318031</v>
      </c>
      <c r="AB19" s="119" t="n">
        <f aca="false">AB17*(1-Inputs!$E$24)+AB16</f>
        <v>1736.82543185309</v>
      </c>
      <c r="AC19" s="119" t="n">
        <f aca="false">AC17*(1-Inputs!$E$24)+AC16</f>
        <v>1784.50187217897</v>
      </c>
      <c r="AD19" s="119" t="n">
        <f aca="false">AD17*(1-Inputs!$E$24)+AD16</f>
        <v>1830.27125489181</v>
      </c>
      <c r="AE19" s="119" t="n">
        <f aca="false">AE17*(1-Inputs!$E$24)+AE16</f>
        <v>1874.20986229614</v>
      </c>
      <c r="AF19" s="119" t="n">
        <f aca="false">AF17*(1-Inputs!$E$24)+AF16</f>
        <v>1916.39092540429</v>
      </c>
      <c r="AG19" s="119" t="n">
        <f aca="false">AG17*(1-Inputs!$E$24)+AG16</f>
        <v>1956.88474598812</v>
      </c>
      <c r="AH19" s="119" t="n">
        <f aca="false">AH17*(1-Inputs!$E$24)+AH16</f>
        <v>1995.7588137486</v>
      </c>
      <c r="AI19" s="119" t="n">
        <f aca="false">AI17*(1-Inputs!$E$24)+AI16</f>
        <v>2033.07791879865</v>
      </c>
      <c r="AJ19" s="119" t="n">
        <f aca="false">AJ17*(1-Inputs!$E$24)+AJ16</f>
        <v>2068.90425964671</v>
      </c>
      <c r="AK19" s="119" t="n">
        <f aca="false">AK17*(1-Inputs!$E$24)+AK16</f>
        <v>2103.29754686084</v>
      </c>
      <c r="AL19" s="119" t="n">
        <f aca="false">AL17*(1-Inputs!$E$24)+AL16</f>
        <v>2124.50092018641</v>
      </c>
      <c r="AM19" s="119" t="n">
        <f aca="false">AM17*(1-Inputs!$E$24)+AM16</f>
        <v>2149.11871683495</v>
      </c>
      <c r="AN19" s="119" t="n">
        <f aca="false">AN17*(1-Inputs!$E$24)+AN16</f>
        <v>2172.75180161755</v>
      </c>
      <c r="AO19" s="119" t="n">
        <f aca="false">AO17*(1-Inputs!$E$24)+AO16</f>
        <v>2207.60817088085</v>
      </c>
      <c r="AP19" s="119" t="n">
        <f aca="false">AP17*(1-Inputs!$E$24)+AP16</f>
        <v>2241.07028537362</v>
      </c>
      <c r="AQ19" s="119" t="n">
        <f aca="false">AQ17*(1-Inputs!$E$24)+AQ16</f>
        <v>2273.19391528667</v>
      </c>
      <c r="AR19" s="119" t="n">
        <f aca="false">AR17*(1-Inputs!$E$24)+AR16</f>
        <v>2304.0326000032</v>
      </c>
      <c r="AS19" s="119" t="n">
        <f aca="false">AS17*(1-Inputs!$E$24)+AS16</f>
        <v>2333.63773733107</v>
      </c>
      <c r="AT19" s="119" t="n">
        <f aca="false">AT17*(1-Inputs!$E$24)+AT16</f>
        <v>2362.05866916583</v>
      </c>
      <c r="AU19" s="119" t="n">
        <f aca="false">AU17*(1-Inputs!$E$24)+AU16</f>
        <v>2389.3427637272</v>
      </c>
      <c r="AV19" s="119" t="n">
        <f aca="false">AV17*(1-Inputs!$E$24)+AV16</f>
        <v>2415.53549450611</v>
      </c>
      <c r="AW19" s="119" t="n">
        <f aca="false">AW17*(1-Inputs!$E$24)+AW16</f>
        <v>2440.68051605387</v>
      </c>
      <c r="AX19" s="119" t="n">
        <f aca="false">AX17*(1-Inputs!$E$24)+AX16</f>
        <v>2452.65112886771</v>
      </c>
      <c r="AY19" s="119" t="n">
        <f aca="false">AY17*(1-Inputs!$E$24)+AY16</f>
        <v>2468.58847717268</v>
      </c>
      <c r="AZ19" s="119" t="n">
        <f aca="false">AZ17*(1-Inputs!$E$24)+AZ16</f>
        <v>2483.88833154545</v>
      </c>
      <c r="BA19" s="119" t="n">
        <f aca="false">BA17*(1-Inputs!$E$24)+BA16</f>
        <v>2511.10985785148</v>
      </c>
      <c r="BB19" s="119" t="n">
        <f aca="false">BB17*(1-Inputs!$E$24)+BB16</f>
        <v>2537.24252310526</v>
      </c>
      <c r="BC19" s="119" t="n">
        <f aca="false">BC17*(1-Inputs!$E$24)+BC16</f>
        <v>2562.32988174889</v>
      </c>
      <c r="BD19" s="119" t="n">
        <f aca="false">BD17*(1-Inputs!$E$24)+BD16</f>
        <v>2586.41374604677</v>
      </c>
      <c r="BE19" s="119" t="n">
        <f aca="false">BE17*(1-Inputs!$E$24)+BE16</f>
        <v>2609.53425577274</v>
      </c>
      <c r="BF19" s="119" t="n">
        <f aca="false">BF17*(1-Inputs!$E$24)+BF16</f>
        <v>2631.72994510967</v>
      </c>
      <c r="BG19" s="119" t="n">
        <f aca="false">BG17*(1-Inputs!$E$24)+BG16</f>
        <v>2653.03780687312</v>
      </c>
      <c r="BH19" s="119" t="n">
        <f aca="false">BH17*(1-Inputs!$E$24)+BH16</f>
        <v>2673.49335416604</v>
      </c>
      <c r="BI19" s="119" t="n">
        <f aca="false">BI17*(1-Inputs!$E$24)+BI16</f>
        <v>2693.13067956724</v>
      </c>
      <c r="BJ19" s="119" t="n">
        <f aca="false">BJ17*(1-Inputs!$E$24)+BJ16</f>
        <v>2699.44884584423</v>
      </c>
    </row>
    <row r="20" customFormat="false" ht="15" hidden="false" customHeight="false" outlineLevel="0" collapsed="false">
      <c r="A20" s="6" t="s">
        <v>429</v>
      </c>
      <c r="C20" s="117" t="n">
        <f aca="false">(C17+C19)/2</f>
        <v>266.8988</v>
      </c>
      <c r="D20" s="117" t="n">
        <f aca="false">(D17+D19)/2</f>
        <v>302.994359111111</v>
      </c>
      <c r="E20" s="117" t="n">
        <f aca="false">(E17+E19)/2</f>
        <v>346.780051413333</v>
      </c>
      <c r="F20" s="117" t="n">
        <f aca="false">(F17+F19)/2</f>
        <v>398.288538245689</v>
      </c>
      <c r="G20" s="117" t="n">
        <f aca="false">(G17+G19)/2</f>
        <v>454.365041160306</v>
      </c>
      <c r="H20" s="117" t="n">
        <f aca="false">(H17+H19)/2</f>
        <v>514.826839513893</v>
      </c>
      <c r="I20" s="117" t="n">
        <f aca="false">(I17+I19)/2</f>
        <v>579.498521488893</v>
      </c>
      <c r="J20" s="117" t="n">
        <f aca="false">(J17+J19)/2</f>
        <v>648.211691740449</v>
      </c>
      <c r="K20" s="117" t="n">
        <f aca="false">(K17+K19)/2</f>
        <v>720.804690737497</v>
      </c>
      <c r="L20" s="117" t="n">
        <f aca="false">(L17+L19)/2</f>
        <v>797.12232533022</v>
      </c>
      <c r="M20" s="117" t="n">
        <f aca="false">(M17+M19)/2</f>
        <v>873.701432317011</v>
      </c>
      <c r="N20" s="117" t="n">
        <f aca="false">(N17+N19)/2</f>
        <v>941.64937502433</v>
      </c>
      <c r="O20" s="117" t="n">
        <f aca="false">(O17+O19)/2</f>
        <v>1003.27132002336</v>
      </c>
      <c r="P20" s="117" t="n">
        <f aca="false">(P17+P19)/2</f>
        <v>1064.38830722242</v>
      </c>
      <c r="Q20" s="117" t="n">
        <f aca="false">(Q17+Q19)/2</f>
        <v>1128.79565493353</v>
      </c>
      <c r="R20" s="117" t="n">
        <f aca="false">(R17+R19)/2</f>
        <v>1196.36174873618</v>
      </c>
      <c r="S20" s="117" t="n">
        <f aca="false">(S17+S19)/2</f>
        <v>1261.22519878674</v>
      </c>
      <c r="T20" s="117" t="n">
        <f aca="false">(T17+T19)/2</f>
        <v>1323.49411083527</v>
      </c>
      <c r="U20" s="117" t="n">
        <f aca="false">(U17+U19)/2</f>
        <v>1383.27226640186</v>
      </c>
      <c r="V20" s="117" t="n">
        <f aca="false">(V17+V19)/2</f>
        <v>1440.65929574578</v>
      </c>
      <c r="W20" s="117" t="n">
        <f aca="false">(W17+W19)/2</f>
        <v>1495.75084391595</v>
      </c>
      <c r="X20" s="117" t="n">
        <f aca="false">(X17+X19)/2</f>
        <v>1548.63873015931</v>
      </c>
      <c r="Y20" s="117" t="n">
        <f aca="false">(Y17+Y19)/2</f>
        <v>1599.41110095294</v>
      </c>
      <c r="Z20" s="117" t="n">
        <f aca="false">(Z17+Z19)/2</f>
        <v>1642.41753691482</v>
      </c>
      <c r="AA20" s="117" t="n">
        <f aca="false">(AA17+AA19)/2</f>
        <v>1680.01239303823</v>
      </c>
      <c r="AB20" s="117" t="n">
        <f aca="false">(AB17+AB19)/2</f>
        <v>1718.1471725167</v>
      </c>
      <c r="AC20" s="117" t="n">
        <f aca="false">(AC17+AC19)/2</f>
        <v>1760.66365201603</v>
      </c>
      <c r="AD20" s="117" t="n">
        <f aca="false">(AD17+AD19)/2</f>
        <v>1807.38656353539</v>
      </c>
      <c r="AE20" s="117" t="n">
        <f aca="false">(AE17+AE19)/2</f>
        <v>1852.24055859398</v>
      </c>
      <c r="AF20" s="117" t="n">
        <f aca="false">(AF17+AF19)/2</f>
        <v>1895.30039385022</v>
      </c>
      <c r="AG20" s="117" t="n">
        <f aca="false">(AG17+AG19)/2</f>
        <v>1936.63783569621</v>
      </c>
      <c r="AH20" s="117" t="n">
        <f aca="false">(AH17+AH19)/2</f>
        <v>1976.32177986836</v>
      </c>
      <c r="AI20" s="117" t="n">
        <f aca="false">(AI17+AI19)/2</f>
        <v>2014.41836627363</v>
      </c>
      <c r="AJ20" s="117" t="n">
        <f aca="false">(AJ17+AJ19)/2</f>
        <v>2050.99108922268</v>
      </c>
      <c r="AK20" s="117" t="n">
        <f aca="false">(AK17+AK19)/2</f>
        <v>2086.10090325377</v>
      </c>
      <c r="AL20" s="117" t="n">
        <f aca="false">(AL17+AL19)/2</f>
        <v>2113.89923352362</v>
      </c>
      <c r="AM20" s="117" t="n">
        <f aca="false">(AM17+AM19)/2</f>
        <v>2136.80981851068</v>
      </c>
      <c r="AN20" s="117" t="n">
        <f aca="false">(AN17+AN19)/2</f>
        <v>2160.93525922625</v>
      </c>
      <c r="AO20" s="117" t="n">
        <f aca="false">(AO17+AO19)/2</f>
        <v>2190.1799862492</v>
      </c>
      <c r="AP20" s="117" t="n">
        <f aca="false">(AP17+AP19)/2</f>
        <v>2224.33922812723</v>
      </c>
      <c r="AQ20" s="117" t="n">
        <f aca="false">(AQ17+AQ19)/2</f>
        <v>2257.13210033014</v>
      </c>
      <c r="AR20" s="117" t="n">
        <f aca="false">(AR17+AR19)/2</f>
        <v>2288.61325764494</v>
      </c>
      <c r="AS20" s="117" t="n">
        <f aca="false">(AS17+AS19)/2</f>
        <v>2318.83516866714</v>
      </c>
      <c r="AT20" s="117" t="n">
        <f aca="false">(AT17+AT19)/2</f>
        <v>2347.84820324845</v>
      </c>
      <c r="AU20" s="117" t="n">
        <f aca="false">(AU17+AU19)/2</f>
        <v>2375.70071644652</v>
      </c>
      <c r="AV20" s="117" t="n">
        <f aca="false">(AV17+AV19)/2</f>
        <v>2402.43912911665</v>
      </c>
      <c r="AW20" s="117" t="n">
        <f aca="false">(AW17+AW19)/2</f>
        <v>2428.10800527999</v>
      </c>
      <c r="AX20" s="117" t="n">
        <f aca="false">(AX17+AX19)/2</f>
        <v>2446.66582246079</v>
      </c>
      <c r="AY20" s="117" t="n">
        <f aca="false">(AY17+AY19)/2</f>
        <v>2460.6198030202</v>
      </c>
      <c r="AZ20" s="117" t="n">
        <f aca="false">(AZ17+AZ19)/2</f>
        <v>2476.23840435907</v>
      </c>
      <c r="BA20" s="117" t="n">
        <f aca="false">(BA17+BA19)/2</f>
        <v>2497.49909469847</v>
      </c>
      <c r="BB20" s="117" t="n">
        <f aca="false">(BB17+BB19)/2</f>
        <v>2524.17619047837</v>
      </c>
      <c r="BC20" s="117" t="n">
        <f aca="false">(BC17+BC19)/2</f>
        <v>2549.78620242707</v>
      </c>
      <c r="BD20" s="117" t="n">
        <f aca="false">(BD17+BD19)/2</f>
        <v>2574.37181389783</v>
      </c>
      <c r="BE20" s="117" t="n">
        <f aca="false">(BE17+BE19)/2</f>
        <v>2597.97400090976</v>
      </c>
      <c r="BF20" s="117" t="n">
        <f aca="false">(BF17+BF19)/2</f>
        <v>2620.63210044121</v>
      </c>
      <c r="BG20" s="117" t="n">
        <f aca="false">(BG17+BG19)/2</f>
        <v>2642.3838759914</v>
      </c>
      <c r="BH20" s="117" t="n">
        <f aca="false">(BH17+BH19)/2</f>
        <v>2663.26558051958</v>
      </c>
      <c r="BI20" s="117" t="n">
        <f aca="false">(BI17+BI19)/2</f>
        <v>2683.31201686664</v>
      </c>
      <c r="BJ20" s="117" t="n">
        <f aca="false">(BJ17+BJ19)/2</f>
        <v>2696.28976270573</v>
      </c>
    </row>
    <row r="22" customFormat="false" ht="15.75" hidden="false" customHeight="true" outlineLevel="0" collapsed="false">
      <c r="A22" s="7" t="s">
        <v>430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431</v>
      </c>
      <c r="C23" s="118" t="n">
        <f aca="false">C20*Inputs!$E$25*C10*1</f>
        <v>794.02393</v>
      </c>
      <c r="D23" s="118" t="n">
        <f aca="false">D20*Inputs!$E$25*D10*1</f>
        <v>901.408218355555</v>
      </c>
      <c r="E23" s="118" t="n">
        <f aca="false">E20*Inputs!$E$25*E10*1</f>
        <v>1274.416688944</v>
      </c>
      <c r="F23" s="118" t="n">
        <f aca="false">F20*Inputs!$E$25*F10*1</f>
        <v>1463.71037805291</v>
      </c>
      <c r="G23" s="118" t="n">
        <f aca="false">G20*Inputs!$E$25*G10*1</f>
        <v>1669.79152626412</v>
      </c>
      <c r="H23" s="118" t="n">
        <f aca="false">H20*Inputs!$E$25*H10*1</f>
        <v>1891.98863521356</v>
      </c>
      <c r="I23" s="118" t="n">
        <f aca="false">I20*Inputs!$E$25*I10*1</f>
        <v>2129.65706647168</v>
      </c>
      <c r="J23" s="118" t="n">
        <f aca="false">J20*Inputs!$E$25*J10*1</f>
        <v>2382.17796714615</v>
      </c>
      <c r="K23" s="118" t="n">
        <f aca="false">K20*Inputs!$E$25*K10*1</f>
        <v>2648.9572384603</v>
      </c>
      <c r="L23" s="118" t="n">
        <f aca="false">L20*Inputs!$E$25*L10*1</f>
        <v>2929.42454558856</v>
      </c>
      <c r="M23" s="118" t="n">
        <f aca="false">M20*Inputs!$E$25*M10*1</f>
        <v>3210.85276376502</v>
      </c>
      <c r="N23" s="118" t="n">
        <f aca="false">N20*Inputs!$E$25*N10*1</f>
        <v>2801.40689069738</v>
      </c>
      <c r="O23" s="118" t="n">
        <f aca="false">O20*Inputs!$E$25*O10*1</f>
        <v>2984.73217706949</v>
      </c>
      <c r="P23" s="118" t="n">
        <f aca="false">P20*Inputs!$E$25*P10*1</f>
        <v>3166.55521398671</v>
      </c>
      <c r="Q23" s="118" t="n">
        <f aca="false">Q20*Inputs!$E$25*Q10*1</f>
        <v>4148.32403188071</v>
      </c>
      <c r="R23" s="118" t="n">
        <f aca="false">R20*Inputs!$E$25*R10*1</f>
        <v>4396.62942660548</v>
      </c>
      <c r="S23" s="118" t="n">
        <f aca="false">S20*Inputs!$E$25*S10*1</f>
        <v>4635.00260554126</v>
      </c>
      <c r="T23" s="118" t="n">
        <f aca="false">T20*Inputs!$E$25*T10*1</f>
        <v>4863.84085731961</v>
      </c>
      <c r="U23" s="118" t="n">
        <f aca="false">U20*Inputs!$E$25*U10*1</f>
        <v>5083.52557902683</v>
      </c>
      <c r="V23" s="118" t="n">
        <f aca="false">V20*Inputs!$E$25*V10*1</f>
        <v>5294.42291186575</v>
      </c>
      <c r="W23" s="118" t="n">
        <f aca="false">W20*Inputs!$E$25*W10*1</f>
        <v>5496.88435139112</v>
      </c>
      <c r="X23" s="118" t="n">
        <f aca="false">X20*Inputs!$E$25*X10*1</f>
        <v>5691.24733333548</v>
      </c>
      <c r="Y23" s="118" t="n">
        <f aca="false">Y20*Inputs!$E$25*Y10*1</f>
        <v>5877.83579600206</v>
      </c>
      <c r="Z23" s="118" t="n">
        <f aca="false">Z20*Inputs!$E$25*Z10*1</f>
        <v>4886.1921723216</v>
      </c>
      <c r="AA23" s="118" t="n">
        <f aca="false">AA20*Inputs!$E$25*AA10*1</f>
        <v>4998.03686928874</v>
      </c>
      <c r="AB23" s="118" t="n">
        <f aca="false">AB20*Inputs!$E$25*AB10*1</f>
        <v>5111.48783823719</v>
      </c>
      <c r="AC23" s="118" t="n">
        <f aca="false">AC20*Inputs!$E$25*AC10*1</f>
        <v>6470.43892115892</v>
      </c>
      <c r="AD23" s="118" t="n">
        <f aca="false">AD20*Inputs!$E$25*AD10*1</f>
        <v>6642.14562099257</v>
      </c>
      <c r="AE23" s="118" t="n">
        <f aca="false">AE20*Inputs!$E$25*AE10*1</f>
        <v>6806.98405283286</v>
      </c>
      <c r="AF23" s="118" t="n">
        <f aca="false">AF20*Inputs!$E$25*AF10*1</f>
        <v>6965.22894739955</v>
      </c>
      <c r="AG23" s="118" t="n">
        <f aca="false">AG20*Inputs!$E$25*AG10*1</f>
        <v>7117.14404618357</v>
      </c>
      <c r="AH23" s="118" t="n">
        <f aca="false">AH20*Inputs!$E$25*AH10*1</f>
        <v>7262.98254101622</v>
      </c>
      <c r="AI23" s="118" t="n">
        <f aca="false">AI20*Inputs!$E$25*AI10*1</f>
        <v>7402.98749605557</v>
      </c>
      <c r="AJ23" s="118" t="n">
        <f aca="false">AJ20*Inputs!$E$25*AJ10*1</f>
        <v>7537.39225289335</v>
      </c>
      <c r="AK23" s="118" t="n">
        <f aca="false">AK20*Inputs!$E$25*AK10*1</f>
        <v>7666.42081945762</v>
      </c>
      <c r="AL23" s="118" t="n">
        <f aca="false">AL20*Inputs!$E$25*AL10*1</f>
        <v>6288.85021973278</v>
      </c>
      <c r="AM23" s="118" t="n">
        <f aca="false">AM20*Inputs!$E$25*AM10*1</f>
        <v>6357.00921006927</v>
      </c>
      <c r="AN23" s="118" t="n">
        <f aca="false">AN20*Inputs!$E$25*AN10*1</f>
        <v>6428.78239619809</v>
      </c>
      <c r="AO23" s="118" t="n">
        <f aca="false">AO20*Inputs!$E$25*AO10*1</f>
        <v>8048.91144946581</v>
      </c>
      <c r="AP23" s="118" t="n">
        <f aca="false">AP20*Inputs!$E$25*AP10*1</f>
        <v>8174.44666336758</v>
      </c>
      <c r="AQ23" s="118" t="n">
        <f aca="false">AQ20*Inputs!$E$25*AQ10*1</f>
        <v>8294.96046871328</v>
      </c>
      <c r="AR23" s="118" t="n">
        <f aca="false">AR20*Inputs!$E$25*AR10*1</f>
        <v>8410.65372184514</v>
      </c>
      <c r="AS23" s="118" t="n">
        <f aca="false">AS20*Inputs!$E$25*AS10*1</f>
        <v>8521.71924485174</v>
      </c>
      <c r="AT23" s="118" t="n">
        <f aca="false">AT20*Inputs!$E$25*AT10*1</f>
        <v>8628.34214693807</v>
      </c>
      <c r="AU23" s="118" t="n">
        <f aca="false">AU20*Inputs!$E$25*AU10*1</f>
        <v>8730.70013294094</v>
      </c>
      <c r="AV23" s="118" t="n">
        <f aca="false">AV20*Inputs!$E$25*AV10*1</f>
        <v>8828.9637995037</v>
      </c>
      <c r="AW23" s="118" t="n">
        <f aca="false">AW20*Inputs!$E$25*AW10*1</f>
        <v>8923.29691940395</v>
      </c>
      <c r="AX23" s="118" t="n">
        <f aca="false">AX20*Inputs!$E$25*AX10*1</f>
        <v>7278.83082182084</v>
      </c>
      <c r="AY23" s="118" t="n">
        <f aca="false">AY20*Inputs!$E$25*AY10*1</f>
        <v>7320.34391398508</v>
      </c>
      <c r="AZ23" s="118" t="n">
        <f aca="false">AZ20*Inputs!$E$25*AZ10*1</f>
        <v>7366.80925296823</v>
      </c>
      <c r="BA23" s="118" t="n">
        <f aca="false">BA20*Inputs!$E$25*BA10*1</f>
        <v>9178.30917301686</v>
      </c>
      <c r="BB23" s="118" t="n">
        <f aca="false">BB20*Inputs!$E$25*BB10*1</f>
        <v>9276.347500008</v>
      </c>
      <c r="BC23" s="118" t="n">
        <f aca="false">BC20*Inputs!$E$25*BC10*1</f>
        <v>9370.46429391949</v>
      </c>
      <c r="BD23" s="118" t="n">
        <f aca="false">BD20*Inputs!$E$25*BD10*1</f>
        <v>9460.81641607452</v>
      </c>
      <c r="BE23" s="118" t="n">
        <f aca="false">BE20*Inputs!$E$25*BE10*1</f>
        <v>9547.55445334335</v>
      </c>
      <c r="BF23" s="118" t="n">
        <f aca="false">BF20*Inputs!$E$25*BF10*1</f>
        <v>9630.82296912143</v>
      </c>
      <c r="BG23" s="118" t="n">
        <f aca="false">BG20*Inputs!$E$25*BG10*1</f>
        <v>9710.76074426838</v>
      </c>
      <c r="BH23" s="118" t="n">
        <f aca="false">BH20*Inputs!$E$25*BH10*1</f>
        <v>9787.50100840946</v>
      </c>
      <c r="BI23" s="118" t="n">
        <f aca="false">BI20*Inputs!$E$25*BI10*1</f>
        <v>9861.17166198489</v>
      </c>
      <c r="BJ23" s="118" t="n">
        <f aca="false">BJ20*Inputs!$E$25*BJ10*1</f>
        <v>8021.46204404955</v>
      </c>
    </row>
    <row r="24" customFormat="false" ht="15" hidden="false" customHeight="false" outlineLevel="0" collapsed="false">
      <c r="A24" s="6" t="s">
        <v>432</v>
      </c>
      <c r="C24" s="118" t="n">
        <f aca="false">Inputs!$E$15*Inputs!$E$16*Inputs!$E$17*Inputs!$E$9*1</f>
        <v>24563</v>
      </c>
      <c r="D24" s="118" t="n">
        <f aca="false">Inputs!$E$15*Inputs!$E$16*Inputs!$E$17*Inputs!$E$9*1</f>
        <v>24563</v>
      </c>
      <c r="E24" s="118" t="n">
        <f aca="false">Inputs!$E$15*Inputs!$E$16*Inputs!$E$17*Inputs!$E$9*1</f>
        <v>24563</v>
      </c>
      <c r="F24" s="118" t="n">
        <f aca="false">Inputs!$E$15*Inputs!$E$16*Inputs!$E$17*Inputs!$E$9*1</f>
        <v>24563</v>
      </c>
      <c r="G24" s="118" t="n">
        <f aca="false">Inputs!$E$15*Inputs!$E$16*Inputs!$E$17*Inputs!$E$9*1</f>
        <v>24563</v>
      </c>
      <c r="H24" s="118" t="n">
        <f aca="false">Inputs!$E$15*Inputs!$E$16*Inputs!$E$17*Inputs!$E$9*1</f>
        <v>24563</v>
      </c>
      <c r="I24" s="118" t="n">
        <f aca="false">Inputs!$E$15*Inputs!$E$16*Inputs!$E$17*Inputs!$E$9*1</f>
        <v>24563</v>
      </c>
      <c r="J24" s="118" t="n">
        <f aca="false">Inputs!$E$15*Inputs!$E$16*Inputs!$E$17*Inputs!$E$9*1</f>
        <v>24563</v>
      </c>
      <c r="K24" s="118" t="n">
        <f aca="false">Inputs!$E$15*Inputs!$E$16*Inputs!$E$17*Inputs!$E$9*1</f>
        <v>24563</v>
      </c>
      <c r="L24" s="118" t="n">
        <f aca="false">Inputs!$E$15*Inputs!$E$16*Inputs!$E$17*Inputs!$E$9*1</f>
        <v>24563</v>
      </c>
      <c r="M24" s="118" t="n">
        <f aca="false">Inputs!$E$15*Inputs!$E$16*Inputs!$E$17*Inputs!$E$9*1</f>
        <v>24563</v>
      </c>
      <c r="N24" s="118" t="n">
        <f aca="false">Inputs!$E$15*Inputs!$E$16*Inputs!$E$17*Inputs!$E$9*1</f>
        <v>24563</v>
      </c>
      <c r="O24" s="118" t="n">
        <f aca="false">Inputs!$E$15*Inputs!$E$16*Inputs!$E$17*Inputs!$E$9*1</f>
        <v>24563</v>
      </c>
      <c r="P24" s="118" t="n">
        <f aca="false">Inputs!$E$15*Inputs!$E$16*Inputs!$E$17*Inputs!$E$9*1</f>
        <v>24563</v>
      </c>
      <c r="Q24" s="118" t="n">
        <f aca="false">Inputs!$E$15*Inputs!$E$16*Inputs!$E$17*Inputs!$E$9*1</f>
        <v>24563</v>
      </c>
      <c r="R24" s="118" t="n">
        <f aca="false">Inputs!$E$15*Inputs!$E$16*Inputs!$E$17*Inputs!$E$9*1</f>
        <v>24563</v>
      </c>
      <c r="S24" s="118" t="n">
        <f aca="false">Inputs!$E$15*Inputs!$E$16*Inputs!$E$17*Inputs!$E$9*1</f>
        <v>24563</v>
      </c>
      <c r="T24" s="118" t="n">
        <f aca="false">Inputs!$E$15*Inputs!$E$16*Inputs!$E$17*Inputs!$E$9*1</f>
        <v>24563</v>
      </c>
      <c r="U24" s="118" t="n">
        <f aca="false">Inputs!$E$15*Inputs!$E$16*Inputs!$E$17*Inputs!$E$9*1</f>
        <v>24563</v>
      </c>
      <c r="V24" s="118" t="n">
        <f aca="false">Inputs!$E$15*Inputs!$E$16*Inputs!$E$17*Inputs!$E$9*1</f>
        <v>24563</v>
      </c>
      <c r="W24" s="118" t="n">
        <f aca="false">Inputs!$E$15*Inputs!$E$16*Inputs!$E$17*Inputs!$E$9*1</f>
        <v>24563</v>
      </c>
      <c r="X24" s="118" t="n">
        <f aca="false">Inputs!$E$15*Inputs!$E$16*Inputs!$E$17*Inputs!$E$9*1</f>
        <v>24563</v>
      </c>
      <c r="Y24" s="118" t="n">
        <f aca="false">Inputs!$E$15*Inputs!$E$16*Inputs!$E$17*Inputs!$E$9*1</f>
        <v>24563</v>
      </c>
      <c r="Z24" s="118" t="n">
        <f aca="false">Inputs!$E$15*Inputs!$E$16*Inputs!$E$17*Inputs!$E$9*1</f>
        <v>24563</v>
      </c>
      <c r="AA24" s="118" t="n">
        <f aca="false">Inputs!$E$15*Inputs!$E$16*Inputs!$E$17*Inputs!$E$9*1</f>
        <v>24563</v>
      </c>
      <c r="AB24" s="118" t="n">
        <f aca="false">Inputs!$E$15*Inputs!$E$16*Inputs!$E$17*Inputs!$E$9*1</f>
        <v>24563</v>
      </c>
      <c r="AC24" s="118" t="n">
        <f aca="false">Inputs!$E$15*Inputs!$E$16*Inputs!$E$17*Inputs!$E$9*1</f>
        <v>24563</v>
      </c>
      <c r="AD24" s="118" t="n">
        <f aca="false">Inputs!$E$15*Inputs!$E$16*Inputs!$E$17*Inputs!$E$9*1</f>
        <v>24563</v>
      </c>
      <c r="AE24" s="118" t="n">
        <f aca="false">Inputs!$E$15*Inputs!$E$16*Inputs!$E$17*Inputs!$E$9*1</f>
        <v>24563</v>
      </c>
      <c r="AF24" s="118" t="n">
        <f aca="false">Inputs!$E$15*Inputs!$E$16*Inputs!$E$17*Inputs!$E$9*1</f>
        <v>24563</v>
      </c>
      <c r="AG24" s="118" t="n">
        <f aca="false">Inputs!$E$15*Inputs!$E$16*Inputs!$E$17*Inputs!$E$9*1</f>
        <v>24563</v>
      </c>
      <c r="AH24" s="118" t="n">
        <f aca="false">Inputs!$E$15*Inputs!$E$16*Inputs!$E$17*Inputs!$E$9*1</f>
        <v>24563</v>
      </c>
      <c r="AI24" s="118" t="n">
        <f aca="false">Inputs!$E$15*Inputs!$E$16*Inputs!$E$17*Inputs!$E$9*1</f>
        <v>24563</v>
      </c>
      <c r="AJ24" s="118" t="n">
        <f aca="false">Inputs!$E$15*Inputs!$E$16*Inputs!$E$17*Inputs!$E$9*1</f>
        <v>24563</v>
      </c>
      <c r="AK24" s="118" t="n">
        <f aca="false">Inputs!$E$15*Inputs!$E$16*Inputs!$E$17*Inputs!$E$9*1</f>
        <v>24563</v>
      </c>
      <c r="AL24" s="118" t="n">
        <f aca="false">Inputs!$E$15*Inputs!$E$16*Inputs!$E$17*Inputs!$E$9*1</f>
        <v>24563</v>
      </c>
      <c r="AM24" s="118" t="n">
        <f aca="false">Inputs!$E$15*Inputs!$E$16*Inputs!$E$17*Inputs!$E$9*1</f>
        <v>24563</v>
      </c>
      <c r="AN24" s="118" t="n">
        <f aca="false">Inputs!$E$15*Inputs!$E$16*Inputs!$E$17*Inputs!$E$9*1</f>
        <v>24563</v>
      </c>
      <c r="AO24" s="118" t="n">
        <f aca="false">Inputs!$E$15*Inputs!$E$16*Inputs!$E$17*Inputs!$E$9*1</f>
        <v>24563</v>
      </c>
      <c r="AP24" s="118" t="n">
        <f aca="false">Inputs!$E$15*Inputs!$E$16*Inputs!$E$17*Inputs!$E$9*1</f>
        <v>24563</v>
      </c>
      <c r="AQ24" s="118" t="n">
        <f aca="false">Inputs!$E$15*Inputs!$E$16*Inputs!$E$17*Inputs!$E$9*1</f>
        <v>24563</v>
      </c>
      <c r="AR24" s="118" t="n">
        <f aca="false">Inputs!$E$15*Inputs!$E$16*Inputs!$E$17*Inputs!$E$9*1</f>
        <v>24563</v>
      </c>
      <c r="AS24" s="118" t="n">
        <f aca="false">Inputs!$E$15*Inputs!$E$16*Inputs!$E$17*Inputs!$E$9*1</f>
        <v>24563</v>
      </c>
      <c r="AT24" s="118" t="n">
        <f aca="false">Inputs!$E$15*Inputs!$E$16*Inputs!$E$17*Inputs!$E$9*1</f>
        <v>24563</v>
      </c>
      <c r="AU24" s="118" t="n">
        <f aca="false">Inputs!$E$15*Inputs!$E$16*Inputs!$E$17*Inputs!$E$9*1</f>
        <v>24563</v>
      </c>
      <c r="AV24" s="118" t="n">
        <f aca="false">Inputs!$E$15*Inputs!$E$16*Inputs!$E$17*Inputs!$E$9*1</f>
        <v>24563</v>
      </c>
      <c r="AW24" s="118" t="n">
        <f aca="false">Inputs!$E$15*Inputs!$E$16*Inputs!$E$17*Inputs!$E$9*1</f>
        <v>24563</v>
      </c>
      <c r="AX24" s="118" t="n">
        <f aca="false">Inputs!$E$15*Inputs!$E$16*Inputs!$E$17*Inputs!$E$9*1</f>
        <v>24563</v>
      </c>
      <c r="AY24" s="118" t="n">
        <f aca="false">Inputs!$E$15*Inputs!$E$16*Inputs!$E$17*Inputs!$E$9*1</f>
        <v>24563</v>
      </c>
      <c r="AZ24" s="118" t="n">
        <f aca="false">Inputs!$E$15*Inputs!$E$16*Inputs!$E$17*Inputs!$E$9*1</f>
        <v>24563</v>
      </c>
      <c r="BA24" s="118" t="n">
        <f aca="false">Inputs!$E$15*Inputs!$E$16*Inputs!$E$17*Inputs!$E$9*1</f>
        <v>24563</v>
      </c>
      <c r="BB24" s="118" t="n">
        <f aca="false">Inputs!$E$15*Inputs!$E$16*Inputs!$E$17*Inputs!$E$9*1</f>
        <v>24563</v>
      </c>
      <c r="BC24" s="118" t="n">
        <f aca="false">Inputs!$E$15*Inputs!$E$16*Inputs!$E$17*Inputs!$E$9*1</f>
        <v>24563</v>
      </c>
      <c r="BD24" s="118" t="n">
        <f aca="false">Inputs!$E$15*Inputs!$E$16*Inputs!$E$17*Inputs!$E$9*1</f>
        <v>24563</v>
      </c>
      <c r="BE24" s="118" t="n">
        <f aca="false">Inputs!$E$15*Inputs!$E$16*Inputs!$E$17*Inputs!$E$9*1</f>
        <v>24563</v>
      </c>
      <c r="BF24" s="118" t="n">
        <f aca="false">Inputs!$E$15*Inputs!$E$16*Inputs!$E$17*Inputs!$E$9*1</f>
        <v>24563</v>
      </c>
      <c r="BG24" s="118" t="n">
        <f aca="false">Inputs!$E$15*Inputs!$E$16*Inputs!$E$17*Inputs!$E$9*1</f>
        <v>24563</v>
      </c>
      <c r="BH24" s="118" t="n">
        <f aca="false">Inputs!$E$15*Inputs!$E$16*Inputs!$E$17*Inputs!$E$9*1</f>
        <v>24563</v>
      </c>
      <c r="BI24" s="118" t="n">
        <f aca="false">Inputs!$E$15*Inputs!$E$16*Inputs!$E$17*Inputs!$E$9*1</f>
        <v>24563</v>
      </c>
      <c r="BJ24" s="118" t="n">
        <f aca="false">Inputs!$E$15*Inputs!$E$16*Inputs!$E$17*Inputs!$E$9*1</f>
        <v>24563</v>
      </c>
    </row>
    <row r="25" customFormat="false" ht="15" hidden="false" customHeight="false" outlineLevel="0" collapsed="false">
      <c r="A25" s="38" t="s">
        <v>433</v>
      </c>
      <c r="C25" s="76" t="n">
        <f aca="false">MIN(1,C24/MAX(1,C11+C23))</f>
        <v>1</v>
      </c>
      <c r="D25" s="76" t="n">
        <f aca="false">MIN(1,D24/MAX(1,D11+D23))</f>
        <v>1</v>
      </c>
      <c r="E25" s="76" t="n">
        <f aca="false">MIN(1,E24/MAX(1,E11+E23))</f>
        <v>1</v>
      </c>
      <c r="F25" s="76" t="n">
        <f aca="false">MIN(1,F24/MAX(1,F11+F23))</f>
        <v>1</v>
      </c>
      <c r="G25" s="76" t="n">
        <f aca="false">MIN(1,G24/MAX(1,G11+G23))</f>
        <v>1</v>
      </c>
      <c r="H25" s="76" t="n">
        <f aca="false">MIN(1,H24/MAX(1,H11+H23))</f>
        <v>1</v>
      </c>
      <c r="I25" s="76" t="n">
        <f aca="false">MIN(1,I24/MAX(1,I11+I23))</f>
        <v>1</v>
      </c>
      <c r="J25" s="76" t="n">
        <f aca="false">MIN(1,J24/MAX(1,J11+J23))</f>
        <v>1</v>
      </c>
      <c r="K25" s="76" t="n">
        <f aca="false">MIN(1,K24/MAX(1,K11+K23))</f>
        <v>1</v>
      </c>
      <c r="L25" s="76" t="n">
        <f aca="false">MIN(1,L24/MAX(1,L11+L23))</f>
        <v>1</v>
      </c>
      <c r="M25" s="76" t="n">
        <f aca="false">MIN(1,M24/MAX(1,M11+M23))</f>
        <v>1</v>
      </c>
      <c r="N25" s="76" t="n">
        <f aca="false">MIN(1,N24/MAX(1,N11+N23))</f>
        <v>1</v>
      </c>
      <c r="O25" s="76" t="n">
        <f aca="false">MIN(1,O24/MAX(1,O11+O23))</f>
        <v>1</v>
      </c>
      <c r="P25" s="76" t="n">
        <f aca="false">MIN(1,P24/MAX(1,P11+P23))</f>
        <v>1</v>
      </c>
      <c r="Q25" s="76" t="n">
        <f aca="false">MIN(1,Q24/MAX(1,Q11+Q23))</f>
        <v>1</v>
      </c>
      <c r="R25" s="76" t="n">
        <f aca="false">MIN(1,R24/MAX(1,R11+R23))</f>
        <v>1</v>
      </c>
      <c r="S25" s="76" t="n">
        <f aca="false">MIN(1,S24/MAX(1,S11+S23))</f>
        <v>1</v>
      </c>
      <c r="T25" s="76" t="n">
        <f aca="false">MIN(1,T24/MAX(1,T11+T23))</f>
        <v>1</v>
      </c>
      <c r="U25" s="76" t="n">
        <f aca="false">MIN(1,U24/MAX(1,U11+U23))</f>
        <v>1</v>
      </c>
      <c r="V25" s="76" t="n">
        <f aca="false">MIN(1,V24/MAX(1,V11+V23))</f>
        <v>1</v>
      </c>
      <c r="W25" s="76" t="n">
        <f aca="false">MIN(1,W24/MAX(1,W11+W23))</f>
        <v>1</v>
      </c>
      <c r="X25" s="76" t="n">
        <f aca="false">MIN(1,X24/MAX(1,X11+X23))</f>
        <v>1</v>
      </c>
      <c r="Y25" s="76" t="n">
        <f aca="false">MIN(1,Y24/MAX(1,Y11+Y23))</f>
        <v>1</v>
      </c>
      <c r="Z25" s="76" t="n">
        <f aca="false">MIN(1,Z24/MAX(1,Z11+Z23))</f>
        <v>1</v>
      </c>
      <c r="AA25" s="76" t="n">
        <f aca="false">MIN(1,AA24/MAX(1,AA11+AA23))</f>
        <v>1</v>
      </c>
      <c r="AB25" s="76" t="n">
        <f aca="false">MIN(1,AB24/MAX(1,AB11+AB23))</f>
        <v>1</v>
      </c>
      <c r="AC25" s="76" t="n">
        <f aca="false">MIN(1,AC24/MAX(1,AC11+AC23))</f>
        <v>1</v>
      </c>
      <c r="AD25" s="76" t="n">
        <f aca="false">MIN(1,AD24/MAX(1,AD11+AD23))</f>
        <v>1</v>
      </c>
      <c r="AE25" s="76" t="n">
        <f aca="false">MIN(1,AE24/MAX(1,AE11+AE23))</f>
        <v>1</v>
      </c>
      <c r="AF25" s="76" t="n">
        <f aca="false">MIN(1,AF24/MAX(1,AF11+AF23))</f>
        <v>1</v>
      </c>
      <c r="AG25" s="76" t="n">
        <f aca="false">MIN(1,AG24/MAX(1,AG11+AG23))</f>
        <v>1</v>
      </c>
      <c r="AH25" s="76" t="n">
        <f aca="false">MIN(1,AH24/MAX(1,AH11+AH23))</f>
        <v>1</v>
      </c>
      <c r="AI25" s="76" t="n">
        <f aca="false">MIN(1,AI24/MAX(1,AI11+AI23))</f>
        <v>1</v>
      </c>
      <c r="AJ25" s="76" t="n">
        <f aca="false">MIN(1,AJ24/MAX(1,AJ11+AJ23))</f>
        <v>1</v>
      </c>
      <c r="AK25" s="76" t="n">
        <f aca="false">MIN(1,AK24/MAX(1,AK11+AK23))</f>
        <v>1</v>
      </c>
      <c r="AL25" s="76" t="n">
        <f aca="false">MIN(1,AL24/MAX(1,AL11+AL23))</f>
        <v>1</v>
      </c>
      <c r="AM25" s="76" t="n">
        <f aca="false">MIN(1,AM24/MAX(1,AM11+AM23))</f>
        <v>1</v>
      </c>
      <c r="AN25" s="76" t="n">
        <f aca="false">MIN(1,AN24/MAX(1,AN11+AN23))</f>
        <v>1</v>
      </c>
      <c r="AO25" s="76" t="n">
        <f aca="false">MIN(1,AO24/MAX(1,AO11+AO23))</f>
        <v>1</v>
      </c>
      <c r="AP25" s="76" t="n">
        <f aca="false">MIN(1,AP24/MAX(1,AP11+AP23))</f>
        <v>1</v>
      </c>
      <c r="AQ25" s="76" t="n">
        <f aca="false">MIN(1,AQ24/MAX(1,AQ11+AQ23))</f>
        <v>1</v>
      </c>
      <c r="AR25" s="76" t="n">
        <f aca="false">MIN(1,AR24/MAX(1,AR11+AR23))</f>
        <v>1</v>
      </c>
      <c r="AS25" s="76" t="n">
        <f aca="false">MIN(1,AS24/MAX(1,AS11+AS23))</f>
        <v>1</v>
      </c>
      <c r="AT25" s="76" t="n">
        <f aca="false">MIN(1,AT24/MAX(1,AT11+AT23))</f>
        <v>1</v>
      </c>
      <c r="AU25" s="76" t="n">
        <f aca="false">MIN(1,AU24/MAX(1,AU11+AU23))</f>
        <v>1</v>
      </c>
      <c r="AV25" s="76" t="n">
        <f aca="false">MIN(1,AV24/MAX(1,AV11+AV23))</f>
        <v>1</v>
      </c>
      <c r="AW25" s="76" t="n">
        <f aca="false">MIN(1,AW24/MAX(1,AW11+AW23))</f>
        <v>1</v>
      </c>
      <c r="AX25" s="76" t="n">
        <f aca="false">MIN(1,AX24/MAX(1,AX11+AX23))</f>
        <v>1</v>
      </c>
      <c r="AY25" s="76" t="n">
        <f aca="false">MIN(1,AY24/MAX(1,AY11+AY23))</f>
        <v>1</v>
      </c>
      <c r="AZ25" s="76" t="n">
        <f aca="false">MIN(1,AZ24/MAX(1,AZ11+AZ23))</f>
        <v>1</v>
      </c>
      <c r="BA25" s="76" t="n">
        <f aca="false">MIN(1,BA24/MAX(1,BA11+BA23))</f>
        <v>1</v>
      </c>
      <c r="BB25" s="76" t="n">
        <f aca="false">MIN(1,BB24/MAX(1,BB11+BB23))</f>
        <v>1</v>
      </c>
      <c r="BC25" s="76" t="n">
        <f aca="false">MIN(1,BC24/MAX(1,BC11+BC23))</f>
        <v>1</v>
      </c>
      <c r="BD25" s="76" t="n">
        <f aca="false">MIN(1,BD24/MAX(1,BD11+BD23))</f>
        <v>1</v>
      </c>
      <c r="BE25" s="76" t="n">
        <f aca="false">MIN(1,BE24/MAX(1,BE11+BE23))</f>
        <v>1</v>
      </c>
      <c r="BF25" s="76" t="n">
        <f aca="false">MIN(1,BF24/MAX(1,BF11+BF23))</f>
        <v>1</v>
      </c>
      <c r="BG25" s="76" t="n">
        <f aca="false">MIN(1,BG24/MAX(1,BG11+BG23))</f>
        <v>1</v>
      </c>
      <c r="BH25" s="76" t="n">
        <f aca="false">MIN(1,BH24/MAX(1,BH11+BH23))</f>
        <v>1</v>
      </c>
      <c r="BI25" s="76" t="n">
        <f aca="false">MIN(1,BI24/MAX(1,BI11+BI23))</f>
        <v>1</v>
      </c>
      <c r="BJ25" s="76" t="n">
        <f aca="false">MIN(1,BJ24/MAX(1,BJ11+BJ23))</f>
        <v>1</v>
      </c>
    </row>
    <row r="26" customFormat="false" ht="15" hidden="false" customHeight="false" outlineLevel="0" collapsed="false">
      <c r="A26" s="6" t="s">
        <v>238</v>
      </c>
      <c r="C26" s="118" t="n">
        <f aca="false">C11*C25</f>
        <v>2662.2</v>
      </c>
      <c r="D26" s="118" t="n">
        <f aca="false">D11*D25</f>
        <v>3023.73333333333</v>
      </c>
      <c r="E26" s="118" t="n">
        <f aca="false">E11*E25</f>
        <v>4181.8</v>
      </c>
      <c r="F26" s="118" t="n">
        <f aca="false">F11*F25</f>
        <v>4628.4</v>
      </c>
      <c r="G26" s="118" t="n">
        <f aca="false">G11*G25</f>
        <v>5075</v>
      </c>
      <c r="H26" s="118" t="n">
        <f aca="false">H11*H25</f>
        <v>5521.6</v>
      </c>
      <c r="I26" s="118" t="n">
        <f aca="false">I11*I25</f>
        <v>5968.2</v>
      </c>
      <c r="J26" s="118" t="n">
        <f aca="false">J11*J25</f>
        <v>6414.8</v>
      </c>
      <c r="K26" s="118" t="n">
        <f aca="false">K11*K25</f>
        <v>6861.4</v>
      </c>
      <c r="L26" s="118" t="n">
        <f aca="false">L11*L25</f>
        <v>7308</v>
      </c>
      <c r="M26" s="118" t="n">
        <f aca="false">M11*M25</f>
        <v>7308</v>
      </c>
      <c r="N26" s="118" t="n">
        <f aca="false">N11*N25</f>
        <v>5916</v>
      </c>
      <c r="O26" s="118" t="n">
        <f aca="false">O11*O25</f>
        <v>6093.48</v>
      </c>
      <c r="P26" s="118" t="n">
        <f aca="false">P11*P25</f>
        <v>6093.48</v>
      </c>
      <c r="Q26" s="118" t="n">
        <f aca="false">Q11*Q25</f>
        <v>7527.24</v>
      </c>
      <c r="R26" s="118" t="n">
        <f aca="false">R11*R25</f>
        <v>7527.24</v>
      </c>
      <c r="S26" s="118" t="n">
        <f aca="false">S11*S25</f>
        <v>7527.24</v>
      </c>
      <c r="T26" s="118" t="n">
        <f aca="false">T11*T25</f>
        <v>7527.24</v>
      </c>
      <c r="U26" s="118" t="n">
        <f aca="false">U11*U25</f>
        <v>7527.24</v>
      </c>
      <c r="V26" s="118" t="n">
        <f aca="false">V11*V25</f>
        <v>7527.24</v>
      </c>
      <c r="W26" s="118" t="n">
        <f aca="false">W11*W25</f>
        <v>7527.24</v>
      </c>
      <c r="X26" s="118" t="n">
        <f aca="false">X11*X25</f>
        <v>7527.24</v>
      </c>
      <c r="Y26" s="118" t="n">
        <f aca="false">Y11*Y25</f>
        <v>7527.24</v>
      </c>
      <c r="Z26" s="118" t="n">
        <f aca="false">Z11*Z25</f>
        <v>6093.48</v>
      </c>
      <c r="AA26" s="118" t="n">
        <f aca="false">AA11*AA25</f>
        <v>6276.2844</v>
      </c>
      <c r="AB26" s="118" t="n">
        <f aca="false">AB11*AB25</f>
        <v>6276.2844</v>
      </c>
      <c r="AC26" s="118" t="n">
        <f aca="false">AC11*AC25</f>
        <v>7753.0572</v>
      </c>
      <c r="AD26" s="118" t="n">
        <f aca="false">AD11*AD25</f>
        <v>7753.0572</v>
      </c>
      <c r="AE26" s="118" t="n">
        <f aca="false">AE11*AE25</f>
        <v>7753.0572</v>
      </c>
      <c r="AF26" s="118" t="n">
        <f aca="false">AF11*AF25</f>
        <v>7753.0572</v>
      </c>
      <c r="AG26" s="118" t="n">
        <f aca="false">AG11*AG25</f>
        <v>7753.0572</v>
      </c>
      <c r="AH26" s="118" t="n">
        <f aca="false">AH11*AH25</f>
        <v>7753.0572</v>
      </c>
      <c r="AI26" s="118" t="n">
        <f aca="false">AI11*AI25</f>
        <v>7753.0572</v>
      </c>
      <c r="AJ26" s="118" t="n">
        <f aca="false">AJ11*AJ25</f>
        <v>7753.0572</v>
      </c>
      <c r="AK26" s="118" t="n">
        <f aca="false">AK11*AK25</f>
        <v>7753.0572</v>
      </c>
      <c r="AL26" s="118" t="n">
        <f aca="false">AL11*AL25</f>
        <v>6276.2844</v>
      </c>
      <c r="AM26" s="118" t="n">
        <f aca="false">AM11*AM25</f>
        <v>6464.572932</v>
      </c>
      <c r="AN26" s="118" t="n">
        <f aca="false">AN11*AN25</f>
        <v>6464.572932</v>
      </c>
      <c r="AO26" s="118" t="n">
        <f aca="false">AO11*AO25</f>
        <v>7985.648916</v>
      </c>
      <c r="AP26" s="118" t="n">
        <f aca="false">AP11*AP25</f>
        <v>7985.648916</v>
      </c>
      <c r="AQ26" s="118" t="n">
        <f aca="false">AQ11*AQ25</f>
        <v>7985.648916</v>
      </c>
      <c r="AR26" s="118" t="n">
        <f aca="false">AR11*AR25</f>
        <v>7985.648916</v>
      </c>
      <c r="AS26" s="118" t="n">
        <f aca="false">AS11*AS25</f>
        <v>7985.648916</v>
      </c>
      <c r="AT26" s="118" t="n">
        <f aca="false">AT11*AT25</f>
        <v>7985.648916</v>
      </c>
      <c r="AU26" s="118" t="n">
        <f aca="false">AU11*AU25</f>
        <v>7985.648916</v>
      </c>
      <c r="AV26" s="118" t="n">
        <f aca="false">AV11*AV25</f>
        <v>7985.648916</v>
      </c>
      <c r="AW26" s="118" t="n">
        <f aca="false">AW11*AW25</f>
        <v>7985.648916</v>
      </c>
      <c r="AX26" s="118" t="n">
        <f aca="false">AX11*AX25</f>
        <v>6464.572932</v>
      </c>
      <c r="AY26" s="118" t="n">
        <f aca="false">AY11*AY25</f>
        <v>6658.51011996</v>
      </c>
      <c r="AZ26" s="118" t="n">
        <f aca="false">AZ11*AZ25</f>
        <v>6658.51011996</v>
      </c>
      <c r="BA26" s="118" t="n">
        <f aca="false">BA11*BA25</f>
        <v>8225.21838348</v>
      </c>
      <c r="BB26" s="118" t="n">
        <f aca="false">BB11*BB25</f>
        <v>8225.21838348</v>
      </c>
      <c r="BC26" s="118" t="n">
        <f aca="false">BC11*BC25</f>
        <v>8225.21838348</v>
      </c>
      <c r="BD26" s="118" t="n">
        <f aca="false">BD11*BD25</f>
        <v>8225.21838348</v>
      </c>
      <c r="BE26" s="118" t="n">
        <f aca="false">BE11*BE25</f>
        <v>8225.21838348</v>
      </c>
      <c r="BF26" s="118" t="n">
        <f aca="false">BF11*BF25</f>
        <v>8225.21838348</v>
      </c>
      <c r="BG26" s="118" t="n">
        <f aca="false">BG11*BG25</f>
        <v>8225.21838348</v>
      </c>
      <c r="BH26" s="118" t="n">
        <f aca="false">BH11*BH25</f>
        <v>8225.21838348</v>
      </c>
      <c r="BI26" s="118" t="n">
        <f aca="false">BI11*BI25</f>
        <v>8225.21838348</v>
      </c>
      <c r="BJ26" s="118" t="n">
        <f aca="false">BJ11*BJ25</f>
        <v>6658.51011996</v>
      </c>
    </row>
    <row r="27" customFormat="false" ht="15" hidden="false" customHeight="false" outlineLevel="0" collapsed="false">
      <c r="A27" s="6" t="s">
        <v>239</v>
      </c>
      <c r="C27" s="118" t="n">
        <f aca="false">C23*C25</f>
        <v>794.02393</v>
      </c>
      <c r="D27" s="118" t="n">
        <f aca="false">D23*D25</f>
        <v>901.408218355555</v>
      </c>
      <c r="E27" s="118" t="n">
        <f aca="false">E23*E25</f>
        <v>1274.416688944</v>
      </c>
      <c r="F27" s="118" t="n">
        <f aca="false">F23*F25</f>
        <v>1463.71037805291</v>
      </c>
      <c r="G27" s="118" t="n">
        <f aca="false">G23*G25</f>
        <v>1669.79152626412</v>
      </c>
      <c r="H27" s="118" t="n">
        <f aca="false">H23*H25</f>
        <v>1891.98863521356</v>
      </c>
      <c r="I27" s="118" t="n">
        <f aca="false">I23*I25</f>
        <v>2129.65706647168</v>
      </c>
      <c r="J27" s="118" t="n">
        <f aca="false">J23*J25</f>
        <v>2382.17796714615</v>
      </c>
      <c r="K27" s="118" t="n">
        <f aca="false">K23*K25</f>
        <v>2648.9572384603</v>
      </c>
      <c r="L27" s="118" t="n">
        <f aca="false">L23*L25</f>
        <v>2929.42454558856</v>
      </c>
      <c r="M27" s="118" t="n">
        <f aca="false">M23*M25</f>
        <v>3210.85276376502</v>
      </c>
      <c r="N27" s="118" t="n">
        <f aca="false">N23*N25</f>
        <v>2801.40689069738</v>
      </c>
      <c r="O27" s="118" t="n">
        <f aca="false">O23*O25</f>
        <v>2984.73217706949</v>
      </c>
      <c r="P27" s="118" t="n">
        <f aca="false">P23*P25</f>
        <v>3166.55521398671</v>
      </c>
      <c r="Q27" s="118" t="n">
        <f aca="false">Q23*Q25</f>
        <v>4148.32403188071</v>
      </c>
      <c r="R27" s="118" t="n">
        <f aca="false">R23*R25</f>
        <v>4396.62942660548</v>
      </c>
      <c r="S27" s="118" t="n">
        <f aca="false">S23*S25</f>
        <v>4635.00260554126</v>
      </c>
      <c r="T27" s="118" t="n">
        <f aca="false">T23*T25</f>
        <v>4863.84085731961</v>
      </c>
      <c r="U27" s="118" t="n">
        <f aca="false">U23*U25</f>
        <v>5083.52557902683</v>
      </c>
      <c r="V27" s="118" t="n">
        <f aca="false">V23*V25</f>
        <v>5294.42291186575</v>
      </c>
      <c r="W27" s="118" t="n">
        <f aca="false">W23*W25</f>
        <v>5496.88435139112</v>
      </c>
      <c r="X27" s="118" t="n">
        <f aca="false">X23*X25</f>
        <v>5691.24733333548</v>
      </c>
      <c r="Y27" s="118" t="n">
        <f aca="false">Y23*Y25</f>
        <v>5877.83579600206</v>
      </c>
      <c r="Z27" s="118" t="n">
        <f aca="false">Z23*Z25</f>
        <v>4886.1921723216</v>
      </c>
      <c r="AA27" s="118" t="n">
        <f aca="false">AA23*AA25</f>
        <v>4998.03686928874</v>
      </c>
      <c r="AB27" s="118" t="n">
        <f aca="false">AB23*AB25</f>
        <v>5111.48783823719</v>
      </c>
      <c r="AC27" s="118" t="n">
        <f aca="false">AC23*AC25</f>
        <v>6470.43892115892</v>
      </c>
      <c r="AD27" s="118" t="n">
        <f aca="false">AD23*AD25</f>
        <v>6642.14562099257</v>
      </c>
      <c r="AE27" s="118" t="n">
        <f aca="false">AE23*AE25</f>
        <v>6806.98405283286</v>
      </c>
      <c r="AF27" s="118" t="n">
        <f aca="false">AF23*AF25</f>
        <v>6965.22894739955</v>
      </c>
      <c r="AG27" s="118" t="n">
        <f aca="false">AG23*AG25</f>
        <v>7117.14404618357</v>
      </c>
      <c r="AH27" s="118" t="n">
        <f aca="false">AH23*AH25</f>
        <v>7262.98254101622</v>
      </c>
      <c r="AI27" s="118" t="n">
        <f aca="false">AI23*AI25</f>
        <v>7402.98749605557</v>
      </c>
      <c r="AJ27" s="118" t="n">
        <f aca="false">AJ23*AJ25</f>
        <v>7537.39225289335</v>
      </c>
      <c r="AK27" s="118" t="n">
        <f aca="false">AK23*AK25</f>
        <v>7666.42081945762</v>
      </c>
      <c r="AL27" s="118" t="n">
        <f aca="false">AL23*AL25</f>
        <v>6288.85021973278</v>
      </c>
      <c r="AM27" s="118" t="n">
        <f aca="false">AM23*AM25</f>
        <v>6357.00921006927</v>
      </c>
      <c r="AN27" s="118" t="n">
        <f aca="false">AN23*AN25</f>
        <v>6428.78239619809</v>
      </c>
      <c r="AO27" s="118" t="n">
        <f aca="false">AO23*AO25</f>
        <v>8048.91144946581</v>
      </c>
      <c r="AP27" s="118" t="n">
        <f aca="false">AP23*AP25</f>
        <v>8174.44666336758</v>
      </c>
      <c r="AQ27" s="118" t="n">
        <f aca="false">AQ23*AQ25</f>
        <v>8294.96046871328</v>
      </c>
      <c r="AR27" s="118" t="n">
        <f aca="false">AR23*AR25</f>
        <v>8410.65372184514</v>
      </c>
      <c r="AS27" s="118" t="n">
        <f aca="false">AS23*AS25</f>
        <v>8521.71924485174</v>
      </c>
      <c r="AT27" s="118" t="n">
        <f aca="false">AT23*AT25</f>
        <v>8628.34214693807</v>
      </c>
      <c r="AU27" s="118" t="n">
        <f aca="false">AU23*AU25</f>
        <v>8730.70013294094</v>
      </c>
      <c r="AV27" s="118" t="n">
        <f aca="false">AV23*AV25</f>
        <v>8828.9637995037</v>
      </c>
      <c r="AW27" s="118" t="n">
        <f aca="false">AW23*AW25</f>
        <v>8923.29691940395</v>
      </c>
      <c r="AX27" s="118" t="n">
        <f aca="false">AX23*AX25</f>
        <v>7278.83082182084</v>
      </c>
      <c r="AY27" s="118" t="n">
        <f aca="false">AY23*AY25</f>
        <v>7320.34391398508</v>
      </c>
      <c r="AZ27" s="118" t="n">
        <f aca="false">AZ23*AZ25</f>
        <v>7366.80925296823</v>
      </c>
      <c r="BA27" s="118" t="n">
        <f aca="false">BA23*BA25</f>
        <v>9178.30917301686</v>
      </c>
      <c r="BB27" s="118" t="n">
        <f aca="false">BB23*BB25</f>
        <v>9276.347500008</v>
      </c>
      <c r="BC27" s="118" t="n">
        <f aca="false">BC23*BC25</f>
        <v>9370.46429391949</v>
      </c>
      <c r="BD27" s="118" t="n">
        <f aca="false">BD23*BD25</f>
        <v>9460.81641607452</v>
      </c>
      <c r="BE27" s="118" t="n">
        <f aca="false">BE23*BE25</f>
        <v>9547.55445334335</v>
      </c>
      <c r="BF27" s="118" t="n">
        <f aca="false">BF23*BF25</f>
        <v>9630.82296912143</v>
      </c>
      <c r="BG27" s="118" t="n">
        <f aca="false">BG23*BG25</f>
        <v>9710.76074426838</v>
      </c>
      <c r="BH27" s="118" t="n">
        <f aca="false">BH23*BH25</f>
        <v>9787.50100840946</v>
      </c>
      <c r="BI27" s="118" t="n">
        <f aca="false">BI23*BI25</f>
        <v>9861.17166198489</v>
      </c>
      <c r="BJ27" s="118" t="n">
        <f aca="false">BJ23*BJ25</f>
        <v>8021.46204404955</v>
      </c>
    </row>
    <row r="28" customFormat="false" ht="15" hidden="false" customHeight="false" outlineLevel="0" collapsed="false">
      <c r="A28" s="4" t="s">
        <v>434</v>
      </c>
      <c r="C28" s="121" t="n">
        <f aca="false">C26+C27</f>
        <v>3456.22393</v>
      </c>
      <c r="D28" s="121" t="n">
        <f aca="false">D26+D27</f>
        <v>3925.14155168889</v>
      </c>
      <c r="E28" s="121" t="n">
        <f aca="false">E26+E27</f>
        <v>5456.216688944</v>
      </c>
      <c r="F28" s="121" t="n">
        <f aca="false">F26+F27</f>
        <v>6092.11037805291</v>
      </c>
      <c r="G28" s="121" t="n">
        <f aca="false">G26+G27</f>
        <v>6744.79152626412</v>
      </c>
      <c r="H28" s="121" t="n">
        <f aca="false">H26+H27</f>
        <v>7413.58863521356</v>
      </c>
      <c r="I28" s="121" t="n">
        <f aca="false">I26+I27</f>
        <v>8097.85706647168</v>
      </c>
      <c r="J28" s="121" t="n">
        <f aca="false">J26+J27</f>
        <v>8796.97796714615</v>
      </c>
      <c r="K28" s="121" t="n">
        <f aca="false">K26+K27</f>
        <v>9510.3572384603</v>
      </c>
      <c r="L28" s="121" t="n">
        <f aca="false">L26+L27</f>
        <v>10237.4245455886</v>
      </c>
      <c r="M28" s="121" t="n">
        <f aca="false">M26+M27</f>
        <v>10518.852763765</v>
      </c>
      <c r="N28" s="121" t="n">
        <f aca="false">N26+N27</f>
        <v>8717.40689069738</v>
      </c>
      <c r="O28" s="121" t="n">
        <f aca="false">O26+O27</f>
        <v>9078.21217706949</v>
      </c>
      <c r="P28" s="121" t="n">
        <f aca="false">P26+P27</f>
        <v>9260.03521398671</v>
      </c>
      <c r="Q28" s="121" t="n">
        <f aca="false">Q26+Q27</f>
        <v>11675.5640318807</v>
      </c>
      <c r="R28" s="121" t="n">
        <f aca="false">R26+R27</f>
        <v>11923.8694266055</v>
      </c>
      <c r="S28" s="121" t="n">
        <f aca="false">S26+S27</f>
        <v>12162.2426055413</v>
      </c>
      <c r="T28" s="121" t="n">
        <f aca="false">T26+T27</f>
        <v>12391.0808573196</v>
      </c>
      <c r="U28" s="121" t="n">
        <f aca="false">U26+U27</f>
        <v>12610.7655790268</v>
      </c>
      <c r="V28" s="121" t="n">
        <f aca="false">V26+V27</f>
        <v>12821.6629118658</v>
      </c>
      <c r="W28" s="121" t="n">
        <f aca="false">W26+W27</f>
        <v>13024.1243513911</v>
      </c>
      <c r="X28" s="121" t="n">
        <f aca="false">X26+X27</f>
        <v>13218.4873333355</v>
      </c>
      <c r="Y28" s="121" t="n">
        <f aca="false">Y26+Y27</f>
        <v>13405.0757960021</v>
      </c>
      <c r="Z28" s="121" t="n">
        <f aca="false">Z26+Z27</f>
        <v>10979.6721723216</v>
      </c>
      <c r="AA28" s="121" t="n">
        <f aca="false">AA26+AA27</f>
        <v>11274.3212692887</v>
      </c>
      <c r="AB28" s="121" t="n">
        <f aca="false">AB26+AB27</f>
        <v>11387.7722382372</v>
      </c>
      <c r="AC28" s="121" t="n">
        <f aca="false">AC26+AC27</f>
        <v>14223.4961211589</v>
      </c>
      <c r="AD28" s="121" t="n">
        <f aca="false">AD26+AD27</f>
        <v>14395.2028209926</v>
      </c>
      <c r="AE28" s="121" t="n">
        <f aca="false">AE26+AE27</f>
        <v>14560.0412528329</v>
      </c>
      <c r="AF28" s="121" t="n">
        <f aca="false">AF26+AF27</f>
        <v>14718.2861473995</v>
      </c>
      <c r="AG28" s="121" t="n">
        <f aca="false">AG26+AG27</f>
        <v>14870.2012461836</v>
      </c>
      <c r="AH28" s="121" t="n">
        <f aca="false">AH26+AH27</f>
        <v>15016.0397410162</v>
      </c>
      <c r="AI28" s="121" t="n">
        <f aca="false">AI26+AI27</f>
        <v>15156.0446960556</v>
      </c>
      <c r="AJ28" s="121" t="n">
        <f aca="false">AJ26+AJ27</f>
        <v>15290.4494528934</v>
      </c>
      <c r="AK28" s="121" t="n">
        <f aca="false">AK26+AK27</f>
        <v>15419.4780194576</v>
      </c>
      <c r="AL28" s="121" t="n">
        <f aca="false">AL26+AL27</f>
        <v>12565.1346197328</v>
      </c>
      <c r="AM28" s="121" t="n">
        <f aca="false">AM26+AM27</f>
        <v>12821.5821420693</v>
      </c>
      <c r="AN28" s="121" t="n">
        <f aca="false">AN26+AN27</f>
        <v>12893.3553281981</v>
      </c>
      <c r="AO28" s="121" t="n">
        <f aca="false">AO26+AO27</f>
        <v>16034.5603654658</v>
      </c>
      <c r="AP28" s="121" t="n">
        <f aca="false">AP26+AP27</f>
        <v>16160.0955793676</v>
      </c>
      <c r="AQ28" s="121" t="n">
        <f aca="false">AQ26+AQ27</f>
        <v>16280.6093847133</v>
      </c>
      <c r="AR28" s="121" t="n">
        <f aca="false">AR26+AR27</f>
        <v>16396.3026378451</v>
      </c>
      <c r="AS28" s="121" t="n">
        <f aca="false">AS26+AS27</f>
        <v>16507.3681608517</v>
      </c>
      <c r="AT28" s="121" t="n">
        <f aca="false">AT26+AT27</f>
        <v>16613.9910629381</v>
      </c>
      <c r="AU28" s="121" t="n">
        <f aca="false">AU26+AU27</f>
        <v>16716.3490489409</v>
      </c>
      <c r="AV28" s="121" t="n">
        <f aca="false">AV26+AV27</f>
        <v>16814.6127155037</v>
      </c>
      <c r="AW28" s="121" t="n">
        <f aca="false">AW26+AW27</f>
        <v>16908.945835404</v>
      </c>
      <c r="AX28" s="121" t="n">
        <f aca="false">AX26+AX27</f>
        <v>13743.4037538208</v>
      </c>
      <c r="AY28" s="121" t="n">
        <f aca="false">AY26+AY27</f>
        <v>13978.8540339451</v>
      </c>
      <c r="AZ28" s="121" t="n">
        <f aca="false">AZ26+AZ27</f>
        <v>14025.3193729282</v>
      </c>
      <c r="BA28" s="121" t="n">
        <f aca="false">BA26+BA27</f>
        <v>17403.5275564969</v>
      </c>
      <c r="BB28" s="121" t="n">
        <f aca="false">BB26+BB27</f>
        <v>17501.565883488</v>
      </c>
      <c r="BC28" s="121" t="n">
        <f aca="false">BC26+BC27</f>
        <v>17595.6826773995</v>
      </c>
      <c r="BD28" s="121" t="n">
        <f aca="false">BD26+BD27</f>
        <v>17686.0347995545</v>
      </c>
      <c r="BE28" s="121" t="n">
        <f aca="false">BE26+BE27</f>
        <v>17772.7728368234</v>
      </c>
      <c r="BF28" s="121" t="n">
        <f aca="false">BF26+BF27</f>
        <v>17856.0413526014</v>
      </c>
      <c r="BG28" s="121" t="n">
        <f aca="false">BG26+BG27</f>
        <v>17935.9791277484</v>
      </c>
      <c r="BH28" s="121" t="n">
        <f aca="false">BH26+BH27</f>
        <v>18012.7193918895</v>
      </c>
      <c r="BI28" s="121" t="n">
        <f aca="false">BI26+BI27</f>
        <v>18086.3900454649</v>
      </c>
      <c r="BJ28" s="121" t="n">
        <f aca="false">BJ26+BJ27</f>
        <v>14679.9721640096</v>
      </c>
    </row>
    <row r="29" customFormat="false" ht="15" hidden="false" customHeight="false" outlineLevel="0" collapsed="false">
      <c r="A29" s="6" t="s">
        <v>242</v>
      </c>
      <c r="C29" s="118" t="n">
        <f aca="false">C11+C23-C28</f>
        <v>0</v>
      </c>
      <c r="D29" s="118" t="n">
        <f aca="false">D11+D23-D28</f>
        <v>0</v>
      </c>
      <c r="E29" s="118" t="n">
        <f aca="false">E11+E23-E28</f>
        <v>0</v>
      </c>
      <c r="F29" s="118" t="n">
        <f aca="false">F11+F23-F28</f>
        <v>0</v>
      </c>
      <c r="G29" s="118" t="n">
        <f aca="false">G11+G23-G28</f>
        <v>0</v>
      </c>
      <c r="H29" s="118" t="n">
        <f aca="false">H11+H23-H28</f>
        <v>0</v>
      </c>
      <c r="I29" s="118" t="n">
        <f aca="false">I11+I23-I28</f>
        <v>0</v>
      </c>
      <c r="J29" s="118" t="n">
        <f aca="false">J11+J23-J28</f>
        <v>0</v>
      </c>
      <c r="K29" s="118" t="n">
        <f aca="false">K11+K23-K28</f>
        <v>0</v>
      </c>
      <c r="L29" s="118" t="n">
        <f aca="false">L11+L23-L28</f>
        <v>0</v>
      </c>
      <c r="M29" s="118" t="n">
        <f aca="false">M11+M23-M28</f>
        <v>0</v>
      </c>
      <c r="N29" s="118" t="n">
        <f aca="false">N11+N23-N28</f>
        <v>0</v>
      </c>
      <c r="O29" s="118" t="n">
        <f aca="false">O11+O23-O28</f>
        <v>0</v>
      </c>
      <c r="P29" s="118" t="n">
        <f aca="false">P11+P23-P28</f>
        <v>0</v>
      </c>
      <c r="Q29" s="118" t="n">
        <f aca="false">Q11+Q23-Q28</f>
        <v>0</v>
      </c>
      <c r="R29" s="118" t="n">
        <f aca="false">R11+R23-R28</f>
        <v>0</v>
      </c>
      <c r="S29" s="118" t="n">
        <f aca="false">S11+S23-S28</f>
        <v>0</v>
      </c>
      <c r="T29" s="118" t="n">
        <f aca="false">T11+T23-T28</f>
        <v>0</v>
      </c>
      <c r="U29" s="118" t="n">
        <f aca="false">U11+U23-U28</f>
        <v>0</v>
      </c>
      <c r="V29" s="118" t="n">
        <f aca="false">V11+V23-V28</f>
        <v>0</v>
      </c>
      <c r="W29" s="118" t="n">
        <f aca="false">W11+W23-W28</f>
        <v>0</v>
      </c>
      <c r="X29" s="118" t="n">
        <f aca="false">X11+X23-X28</f>
        <v>0</v>
      </c>
      <c r="Y29" s="118" t="n">
        <f aca="false">Y11+Y23-Y28</f>
        <v>0</v>
      </c>
      <c r="Z29" s="118" t="n">
        <f aca="false">Z11+Z23-Z28</f>
        <v>0</v>
      </c>
      <c r="AA29" s="118" t="n">
        <f aca="false">AA11+AA23-AA28</f>
        <v>0</v>
      </c>
      <c r="AB29" s="118" t="n">
        <f aca="false">AB11+AB23-AB28</f>
        <v>0</v>
      </c>
      <c r="AC29" s="118" t="n">
        <f aca="false">AC11+AC23-AC28</f>
        <v>0</v>
      </c>
      <c r="AD29" s="118" t="n">
        <f aca="false">AD11+AD23-AD28</f>
        <v>0</v>
      </c>
      <c r="AE29" s="118" t="n">
        <f aca="false">AE11+AE23-AE28</f>
        <v>0</v>
      </c>
      <c r="AF29" s="118" t="n">
        <f aca="false">AF11+AF23-AF28</f>
        <v>0</v>
      </c>
      <c r="AG29" s="118" t="n">
        <f aca="false">AG11+AG23-AG28</f>
        <v>0</v>
      </c>
      <c r="AH29" s="118" t="n">
        <f aca="false">AH11+AH23-AH28</f>
        <v>0</v>
      </c>
      <c r="AI29" s="118" t="n">
        <f aca="false">AI11+AI23-AI28</f>
        <v>0</v>
      </c>
      <c r="AJ29" s="118" t="n">
        <f aca="false">AJ11+AJ23-AJ28</f>
        <v>0</v>
      </c>
      <c r="AK29" s="118" t="n">
        <f aca="false">AK11+AK23-AK28</f>
        <v>0</v>
      </c>
      <c r="AL29" s="118" t="n">
        <f aca="false">AL11+AL23-AL28</f>
        <v>0</v>
      </c>
      <c r="AM29" s="118" t="n">
        <f aca="false">AM11+AM23-AM28</f>
        <v>0</v>
      </c>
      <c r="AN29" s="118" t="n">
        <f aca="false">AN11+AN23-AN28</f>
        <v>0</v>
      </c>
      <c r="AO29" s="118" t="n">
        <f aca="false">AO11+AO23-AO28</f>
        <v>0</v>
      </c>
      <c r="AP29" s="118" t="n">
        <f aca="false">AP11+AP23-AP28</f>
        <v>0</v>
      </c>
      <c r="AQ29" s="118" t="n">
        <f aca="false">AQ11+AQ23-AQ28</f>
        <v>0</v>
      </c>
      <c r="AR29" s="118" t="n">
        <f aca="false">AR11+AR23-AR28</f>
        <v>0</v>
      </c>
      <c r="AS29" s="118" t="n">
        <f aca="false">AS11+AS23-AS28</f>
        <v>0</v>
      </c>
      <c r="AT29" s="118" t="n">
        <f aca="false">AT11+AT23-AT28</f>
        <v>0</v>
      </c>
      <c r="AU29" s="118" t="n">
        <f aca="false">AU11+AU23-AU28</f>
        <v>0</v>
      </c>
      <c r="AV29" s="118" t="n">
        <f aca="false">AV11+AV23-AV28</f>
        <v>0</v>
      </c>
      <c r="AW29" s="118" t="n">
        <f aca="false">AW11+AW23-AW28</f>
        <v>0</v>
      </c>
      <c r="AX29" s="118" t="n">
        <f aca="false">AX11+AX23-AX28</f>
        <v>0</v>
      </c>
      <c r="AY29" s="118" t="n">
        <f aca="false">AY11+AY23-AY28</f>
        <v>0</v>
      </c>
      <c r="AZ29" s="118" t="n">
        <f aca="false">AZ11+AZ23-AZ28</f>
        <v>0</v>
      </c>
      <c r="BA29" s="118" t="n">
        <f aca="false">BA11+BA23-BA28</f>
        <v>0</v>
      </c>
      <c r="BB29" s="118" t="n">
        <f aca="false">BB11+BB23-BB28</f>
        <v>0</v>
      </c>
      <c r="BC29" s="118" t="n">
        <f aca="false">BC11+BC23-BC28</f>
        <v>0</v>
      </c>
      <c r="BD29" s="118" t="n">
        <f aca="false">BD11+BD23-BD28</f>
        <v>0</v>
      </c>
      <c r="BE29" s="118" t="n">
        <f aca="false">BE11+BE23-BE28</f>
        <v>0</v>
      </c>
      <c r="BF29" s="118" t="n">
        <f aca="false">BF11+BF23-BF28</f>
        <v>0</v>
      </c>
      <c r="BG29" s="118" t="n">
        <f aca="false">BG11+BG23-BG28</f>
        <v>0</v>
      </c>
      <c r="BH29" s="118" t="n">
        <f aca="false">BH11+BH23-BH28</f>
        <v>0</v>
      </c>
      <c r="BI29" s="118" t="n">
        <f aca="false">BI11+BI23-BI28</f>
        <v>0</v>
      </c>
      <c r="BJ29" s="118" t="n">
        <f aca="false">BJ11+BJ23-BJ28</f>
        <v>0</v>
      </c>
    </row>
    <row r="31" customFormat="false" ht="15.75" hidden="false" customHeight="true" outlineLevel="0" collapsed="false">
      <c r="A31" s="7" t="s">
        <v>44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435</v>
      </c>
      <c r="C32" s="122" t="n">
        <f aca="false">Inputs!$E$28*(1+Inputs!$E$31)^(C$5-1)</f>
        <v>13</v>
      </c>
      <c r="D32" s="122" t="n">
        <f aca="false">Inputs!$E$28*(1+Inputs!$E$31)^(D$5-1)</f>
        <v>13</v>
      </c>
      <c r="E32" s="122" t="n">
        <f aca="false">Inputs!$E$28*(1+Inputs!$E$31)^(E$5-1)</f>
        <v>13</v>
      </c>
      <c r="F32" s="122" t="n">
        <f aca="false">Inputs!$E$28*(1+Inputs!$E$31)^(F$5-1)</f>
        <v>13</v>
      </c>
      <c r="G32" s="122" t="n">
        <f aca="false">Inputs!$E$28*(1+Inputs!$E$31)^(G$5-1)</f>
        <v>13</v>
      </c>
      <c r="H32" s="122" t="n">
        <f aca="false">Inputs!$E$28*(1+Inputs!$E$31)^(H$5-1)</f>
        <v>13</v>
      </c>
      <c r="I32" s="122" t="n">
        <f aca="false">Inputs!$E$28*(1+Inputs!$E$31)^(I$5-1)</f>
        <v>13</v>
      </c>
      <c r="J32" s="122" t="n">
        <f aca="false">Inputs!$E$28*(1+Inputs!$E$31)^(J$5-1)</f>
        <v>13</v>
      </c>
      <c r="K32" s="122" t="n">
        <f aca="false">Inputs!$E$28*(1+Inputs!$E$31)^(K$5-1)</f>
        <v>13</v>
      </c>
      <c r="L32" s="122" t="n">
        <f aca="false">Inputs!$E$28*(1+Inputs!$E$31)^(L$5-1)</f>
        <v>13</v>
      </c>
      <c r="M32" s="122" t="n">
        <f aca="false">Inputs!$E$28*(1+Inputs!$E$31)^(M$5-1)</f>
        <v>13</v>
      </c>
      <c r="N32" s="122" t="n">
        <f aca="false">Inputs!$E$28*(1+Inputs!$E$31)^(N$5-1)</f>
        <v>13</v>
      </c>
      <c r="O32" s="122" t="n">
        <f aca="false">Inputs!$E$28*(1+Inputs!$E$31)^(O$5-1)</f>
        <v>13.26</v>
      </c>
      <c r="P32" s="122" t="n">
        <f aca="false">Inputs!$E$28*(1+Inputs!$E$31)^(P$5-1)</f>
        <v>13.26</v>
      </c>
      <c r="Q32" s="122" t="n">
        <f aca="false">Inputs!$E$28*(1+Inputs!$E$31)^(Q$5-1)</f>
        <v>13.26</v>
      </c>
      <c r="R32" s="122" t="n">
        <f aca="false">Inputs!$E$28*(1+Inputs!$E$31)^(R$5-1)</f>
        <v>13.26</v>
      </c>
      <c r="S32" s="122" t="n">
        <f aca="false">Inputs!$E$28*(1+Inputs!$E$31)^(S$5-1)</f>
        <v>13.26</v>
      </c>
      <c r="T32" s="122" t="n">
        <f aca="false">Inputs!$E$28*(1+Inputs!$E$31)^(T$5-1)</f>
        <v>13.26</v>
      </c>
      <c r="U32" s="122" t="n">
        <f aca="false">Inputs!$E$28*(1+Inputs!$E$31)^(U$5-1)</f>
        <v>13.26</v>
      </c>
      <c r="V32" s="122" t="n">
        <f aca="false">Inputs!$E$28*(1+Inputs!$E$31)^(V$5-1)</f>
        <v>13.26</v>
      </c>
      <c r="W32" s="122" t="n">
        <f aca="false">Inputs!$E$28*(1+Inputs!$E$31)^(W$5-1)</f>
        <v>13.26</v>
      </c>
      <c r="X32" s="122" t="n">
        <f aca="false">Inputs!$E$28*(1+Inputs!$E$31)^(X$5-1)</f>
        <v>13.26</v>
      </c>
      <c r="Y32" s="122" t="n">
        <f aca="false">Inputs!$E$28*(1+Inputs!$E$31)^(Y$5-1)</f>
        <v>13.26</v>
      </c>
      <c r="Z32" s="122" t="n">
        <f aca="false">Inputs!$E$28*(1+Inputs!$E$31)^(Z$5-1)</f>
        <v>13.26</v>
      </c>
      <c r="AA32" s="122" t="n">
        <f aca="false">Inputs!$E$28*(1+Inputs!$E$31)^(AA$5-1)</f>
        <v>13.5252</v>
      </c>
      <c r="AB32" s="122" t="n">
        <f aca="false">Inputs!$E$28*(1+Inputs!$E$31)^(AB$5-1)</f>
        <v>13.5252</v>
      </c>
      <c r="AC32" s="122" t="n">
        <f aca="false">Inputs!$E$28*(1+Inputs!$E$31)^(AC$5-1)</f>
        <v>13.5252</v>
      </c>
      <c r="AD32" s="122" t="n">
        <f aca="false">Inputs!$E$28*(1+Inputs!$E$31)^(AD$5-1)</f>
        <v>13.5252</v>
      </c>
      <c r="AE32" s="122" t="n">
        <f aca="false">Inputs!$E$28*(1+Inputs!$E$31)^(AE$5-1)</f>
        <v>13.5252</v>
      </c>
      <c r="AF32" s="122" t="n">
        <f aca="false">Inputs!$E$28*(1+Inputs!$E$31)^(AF$5-1)</f>
        <v>13.5252</v>
      </c>
      <c r="AG32" s="122" t="n">
        <f aca="false">Inputs!$E$28*(1+Inputs!$E$31)^(AG$5-1)</f>
        <v>13.5252</v>
      </c>
      <c r="AH32" s="122" t="n">
        <f aca="false">Inputs!$E$28*(1+Inputs!$E$31)^(AH$5-1)</f>
        <v>13.5252</v>
      </c>
      <c r="AI32" s="122" t="n">
        <f aca="false">Inputs!$E$28*(1+Inputs!$E$31)^(AI$5-1)</f>
        <v>13.5252</v>
      </c>
      <c r="AJ32" s="122" t="n">
        <f aca="false">Inputs!$E$28*(1+Inputs!$E$31)^(AJ$5-1)</f>
        <v>13.5252</v>
      </c>
      <c r="AK32" s="122" t="n">
        <f aca="false">Inputs!$E$28*(1+Inputs!$E$31)^(AK$5-1)</f>
        <v>13.5252</v>
      </c>
      <c r="AL32" s="122" t="n">
        <f aca="false">Inputs!$E$28*(1+Inputs!$E$31)^(AL$5-1)</f>
        <v>13.5252</v>
      </c>
      <c r="AM32" s="122" t="n">
        <f aca="false">Inputs!$E$28*(1+Inputs!$E$31)^(AM$5-1)</f>
        <v>13.795704</v>
      </c>
      <c r="AN32" s="122" t="n">
        <f aca="false">Inputs!$E$28*(1+Inputs!$E$31)^(AN$5-1)</f>
        <v>13.795704</v>
      </c>
      <c r="AO32" s="122" t="n">
        <f aca="false">Inputs!$E$28*(1+Inputs!$E$31)^(AO$5-1)</f>
        <v>13.795704</v>
      </c>
      <c r="AP32" s="122" t="n">
        <f aca="false">Inputs!$E$28*(1+Inputs!$E$31)^(AP$5-1)</f>
        <v>13.795704</v>
      </c>
      <c r="AQ32" s="122" t="n">
        <f aca="false">Inputs!$E$28*(1+Inputs!$E$31)^(AQ$5-1)</f>
        <v>13.795704</v>
      </c>
      <c r="AR32" s="122" t="n">
        <f aca="false">Inputs!$E$28*(1+Inputs!$E$31)^(AR$5-1)</f>
        <v>13.795704</v>
      </c>
      <c r="AS32" s="122" t="n">
        <f aca="false">Inputs!$E$28*(1+Inputs!$E$31)^(AS$5-1)</f>
        <v>13.795704</v>
      </c>
      <c r="AT32" s="122" t="n">
        <f aca="false">Inputs!$E$28*(1+Inputs!$E$31)^(AT$5-1)</f>
        <v>13.795704</v>
      </c>
      <c r="AU32" s="122" t="n">
        <f aca="false">Inputs!$E$28*(1+Inputs!$E$31)^(AU$5-1)</f>
        <v>13.795704</v>
      </c>
      <c r="AV32" s="122" t="n">
        <f aca="false">Inputs!$E$28*(1+Inputs!$E$31)^(AV$5-1)</f>
        <v>13.795704</v>
      </c>
      <c r="AW32" s="122" t="n">
        <f aca="false">Inputs!$E$28*(1+Inputs!$E$31)^(AW$5-1)</f>
        <v>13.795704</v>
      </c>
      <c r="AX32" s="122" t="n">
        <f aca="false">Inputs!$E$28*(1+Inputs!$E$31)^(AX$5-1)</f>
        <v>13.795704</v>
      </c>
      <c r="AY32" s="122" t="n">
        <f aca="false">Inputs!$E$28*(1+Inputs!$E$31)^(AY$5-1)</f>
        <v>14.07161808</v>
      </c>
      <c r="AZ32" s="122" t="n">
        <f aca="false">Inputs!$E$28*(1+Inputs!$E$31)^(AZ$5-1)</f>
        <v>14.07161808</v>
      </c>
      <c r="BA32" s="122" t="n">
        <f aca="false">Inputs!$E$28*(1+Inputs!$E$31)^(BA$5-1)</f>
        <v>14.07161808</v>
      </c>
      <c r="BB32" s="122" t="n">
        <f aca="false">Inputs!$E$28*(1+Inputs!$E$31)^(BB$5-1)</f>
        <v>14.07161808</v>
      </c>
      <c r="BC32" s="122" t="n">
        <f aca="false">Inputs!$E$28*(1+Inputs!$E$31)^(BC$5-1)</f>
        <v>14.07161808</v>
      </c>
      <c r="BD32" s="122" t="n">
        <f aca="false">Inputs!$E$28*(1+Inputs!$E$31)^(BD$5-1)</f>
        <v>14.07161808</v>
      </c>
      <c r="BE32" s="122" t="n">
        <f aca="false">Inputs!$E$28*(1+Inputs!$E$31)^(BE$5-1)</f>
        <v>14.07161808</v>
      </c>
      <c r="BF32" s="122" t="n">
        <f aca="false">Inputs!$E$28*(1+Inputs!$E$31)^(BF$5-1)</f>
        <v>14.07161808</v>
      </c>
      <c r="BG32" s="122" t="n">
        <f aca="false">Inputs!$E$28*(1+Inputs!$E$31)^(BG$5-1)</f>
        <v>14.07161808</v>
      </c>
      <c r="BH32" s="122" t="n">
        <f aca="false">Inputs!$E$28*(1+Inputs!$E$31)^(BH$5-1)</f>
        <v>14.07161808</v>
      </c>
      <c r="BI32" s="122" t="n">
        <f aca="false">Inputs!$E$28*(1+Inputs!$E$31)^(BI$5-1)</f>
        <v>14.07161808</v>
      </c>
      <c r="BJ32" s="122" t="n">
        <f aca="false">Inputs!$E$28*(1+Inputs!$E$31)^(BJ$5-1)</f>
        <v>14.07161808</v>
      </c>
    </row>
    <row r="33" customFormat="false" ht="15" hidden="false" customHeight="false" outlineLevel="0" collapsed="false">
      <c r="A33" s="6" t="s">
        <v>436</v>
      </c>
      <c r="C33" s="122" t="n">
        <f aca="false">Inputs!$E$30*(1+Inputs!$E$31)^(C$5-1)</f>
        <v>35</v>
      </c>
      <c r="D33" s="122" t="n">
        <f aca="false">Inputs!$E$30*(1+Inputs!$E$31)^(D$5-1)</f>
        <v>35</v>
      </c>
      <c r="E33" s="122" t="n">
        <f aca="false">Inputs!$E$30*(1+Inputs!$E$31)^(E$5-1)</f>
        <v>35</v>
      </c>
      <c r="F33" s="122" t="n">
        <f aca="false">Inputs!$E$30*(1+Inputs!$E$31)^(F$5-1)</f>
        <v>35</v>
      </c>
      <c r="G33" s="122" t="n">
        <f aca="false">Inputs!$E$30*(1+Inputs!$E$31)^(G$5-1)</f>
        <v>35</v>
      </c>
      <c r="H33" s="122" t="n">
        <f aca="false">Inputs!$E$30*(1+Inputs!$E$31)^(H$5-1)</f>
        <v>35</v>
      </c>
      <c r="I33" s="122" t="n">
        <f aca="false">Inputs!$E$30*(1+Inputs!$E$31)^(I$5-1)</f>
        <v>35</v>
      </c>
      <c r="J33" s="122" t="n">
        <f aca="false">Inputs!$E$30*(1+Inputs!$E$31)^(J$5-1)</f>
        <v>35</v>
      </c>
      <c r="K33" s="122" t="n">
        <f aca="false">Inputs!$E$30*(1+Inputs!$E$31)^(K$5-1)</f>
        <v>35</v>
      </c>
      <c r="L33" s="122" t="n">
        <f aca="false">Inputs!$E$30*(1+Inputs!$E$31)^(L$5-1)</f>
        <v>35</v>
      </c>
      <c r="M33" s="122" t="n">
        <f aca="false">Inputs!$E$30*(1+Inputs!$E$31)^(M$5-1)</f>
        <v>35</v>
      </c>
      <c r="N33" s="122" t="n">
        <f aca="false">Inputs!$E$30*(1+Inputs!$E$31)^(N$5-1)</f>
        <v>35</v>
      </c>
      <c r="O33" s="122" t="n">
        <f aca="false">Inputs!$E$30*(1+Inputs!$E$31)^(O$5-1)</f>
        <v>35.7</v>
      </c>
      <c r="P33" s="122" t="n">
        <f aca="false">Inputs!$E$30*(1+Inputs!$E$31)^(P$5-1)</f>
        <v>35.7</v>
      </c>
      <c r="Q33" s="122" t="n">
        <f aca="false">Inputs!$E$30*(1+Inputs!$E$31)^(Q$5-1)</f>
        <v>35.7</v>
      </c>
      <c r="R33" s="122" t="n">
        <f aca="false">Inputs!$E$30*(1+Inputs!$E$31)^(R$5-1)</f>
        <v>35.7</v>
      </c>
      <c r="S33" s="122" t="n">
        <f aca="false">Inputs!$E$30*(1+Inputs!$E$31)^(S$5-1)</f>
        <v>35.7</v>
      </c>
      <c r="T33" s="122" t="n">
        <f aca="false">Inputs!$E$30*(1+Inputs!$E$31)^(T$5-1)</f>
        <v>35.7</v>
      </c>
      <c r="U33" s="122" t="n">
        <f aca="false">Inputs!$E$30*(1+Inputs!$E$31)^(U$5-1)</f>
        <v>35.7</v>
      </c>
      <c r="V33" s="122" t="n">
        <f aca="false">Inputs!$E$30*(1+Inputs!$E$31)^(V$5-1)</f>
        <v>35.7</v>
      </c>
      <c r="W33" s="122" t="n">
        <f aca="false">Inputs!$E$30*(1+Inputs!$E$31)^(W$5-1)</f>
        <v>35.7</v>
      </c>
      <c r="X33" s="122" t="n">
        <f aca="false">Inputs!$E$30*(1+Inputs!$E$31)^(X$5-1)</f>
        <v>35.7</v>
      </c>
      <c r="Y33" s="122" t="n">
        <f aca="false">Inputs!$E$30*(1+Inputs!$E$31)^(Y$5-1)</f>
        <v>35.7</v>
      </c>
      <c r="Z33" s="122" t="n">
        <f aca="false">Inputs!$E$30*(1+Inputs!$E$31)^(Z$5-1)</f>
        <v>35.7</v>
      </c>
      <c r="AA33" s="122" t="n">
        <f aca="false">Inputs!$E$30*(1+Inputs!$E$31)^(AA$5-1)</f>
        <v>36.414</v>
      </c>
      <c r="AB33" s="122" t="n">
        <f aca="false">Inputs!$E$30*(1+Inputs!$E$31)^(AB$5-1)</f>
        <v>36.414</v>
      </c>
      <c r="AC33" s="122" t="n">
        <f aca="false">Inputs!$E$30*(1+Inputs!$E$31)^(AC$5-1)</f>
        <v>36.414</v>
      </c>
      <c r="AD33" s="122" t="n">
        <f aca="false">Inputs!$E$30*(1+Inputs!$E$31)^(AD$5-1)</f>
        <v>36.414</v>
      </c>
      <c r="AE33" s="122" t="n">
        <f aca="false">Inputs!$E$30*(1+Inputs!$E$31)^(AE$5-1)</f>
        <v>36.414</v>
      </c>
      <c r="AF33" s="122" t="n">
        <f aca="false">Inputs!$E$30*(1+Inputs!$E$31)^(AF$5-1)</f>
        <v>36.414</v>
      </c>
      <c r="AG33" s="122" t="n">
        <f aca="false">Inputs!$E$30*(1+Inputs!$E$31)^(AG$5-1)</f>
        <v>36.414</v>
      </c>
      <c r="AH33" s="122" t="n">
        <f aca="false">Inputs!$E$30*(1+Inputs!$E$31)^(AH$5-1)</f>
        <v>36.414</v>
      </c>
      <c r="AI33" s="122" t="n">
        <f aca="false">Inputs!$E$30*(1+Inputs!$E$31)^(AI$5-1)</f>
        <v>36.414</v>
      </c>
      <c r="AJ33" s="122" t="n">
        <f aca="false">Inputs!$E$30*(1+Inputs!$E$31)^(AJ$5-1)</f>
        <v>36.414</v>
      </c>
      <c r="AK33" s="122" t="n">
        <f aca="false">Inputs!$E$30*(1+Inputs!$E$31)^(AK$5-1)</f>
        <v>36.414</v>
      </c>
      <c r="AL33" s="122" t="n">
        <f aca="false">Inputs!$E$30*(1+Inputs!$E$31)^(AL$5-1)</f>
        <v>36.414</v>
      </c>
      <c r="AM33" s="122" t="n">
        <f aca="false">Inputs!$E$30*(1+Inputs!$E$31)^(AM$5-1)</f>
        <v>37.14228</v>
      </c>
      <c r="AN33" s="122" t="n">
        <f aca="false">Inputs!$E$30*(1+Inputs!$E$31)^(AN$5-1)</f>
        <v>37.14228</v>
      </c>
      <c r="AO33" s="122" t="n">
        <f aca="false">Inputs!$E$30*(1+Inputs!$E$31)^(AO$5-1)</f>
        <v>37.14228</v>
      </c>
      <c r="AP33" s="122" t="n">
        <f aca="false">Inputs!$E$30*(1+Inputs!$E$31)^(AP$5-1)</f>
        <v>37.14228</v>
      </c>
      <c r="AQ33" s="122" t="n">
        <f aca="false">Inputs!$E$30*(1+Inputs!$E$31)^(AQ$5-1)</f>
        <v>37.14228</v>
      </c>
      <c r="AR33" s="122" t="n">
        <f aca="false">Inputs!$E$30*(1+Inputs!$E$31)^(AR$5-1)</f>
        <v>37.14228</v>
      </c>
      <c r="AS33" s="122" t="n">
        <f aca="false">Inputs!$E$30*(1+Inputs!$E$31)^(AS$5-1)</f>
        <v>37.14228</v>
      </c>
      <c r="AT33" s="122" t="n">
        <f aca="false">Inputs!$E$30*(1+Inputs!$E$31)^(AT$5-1)</f>
        <v>37.14228</v>
      </c>
      <c r="AU33" s="122" t="n">
        <f aca="false">Inputs!$E$30*(1+Inputs!$E$31)^(AU$5-1)</f>
        <v>37.14228</v>
      </c>
      <c r="AV33" s="122" t="n">
        <f aca="false">Inputs!$E$30*(1+Inputs!$E$31)^(AV$5-1)</f>
        <v>37.14228</v>
      </c>
      <c r="AW33" s="122" t="n">
        <f aca="false">Inputs!$E$30*(1+Inputs!$E$31)^(AW$5-1)</f>
        <v>37.14228</v>
      </c>
      <c r="AX33" s="122" t="n">
        <f aca="false">Inputs!$E$30*(1+Inputs!$E$31)^(AX$5-1)</f>
        <v>37.14228</v>
      </c>
      <c r="AY33" s="122" t="n">
        <f aca="false">Inputs!$E$30*(1+Inputs!$E$31)^(AY$5-1)</f>
        <v>37.8851256</v>
      </c>
      <c r="AZ33" s="122" t="n">
        <f aca="false">Inputs!$E$30*(1+Inputs!$E$31)^(AZ$5-1)</f>
        <v>37.8851256</v>
      </c>
      <c r="BA33" s="122" t="n">
        <f aca="false">Inputs!$E$30*(1+Inputs!$E$31)^(BA$5-1)</f>
        <v>37.8851256</v>
      </c>
      <c r="BB33" s="122" t="n">
        <f aca="false">Inputs!$E$30*(1+Inputs!$E$31)^(BB$5-1)</f>
        <v>37.8851256</v>
      </c>
      <c r="BC33" s="122" t="n">
        <f aca="false">Inputs!$E$30*(1+Inputs!$E$31)^(BC$5-1)</f>
        <v>37.8851256</v>
      </c>
      <c r="BD33" s="122" t="n">
        <f aca="false">Inputs!$E$30*(1+Inputs!$E$31)^(BD$5-1)</f>
        <v>37.8851256</v>
      </c>
      <c r="BE33" s="122" t="n">
        <f aca="false">Inputs!$E$30*(1+Inputs!$E$31)^(BE$5-1)</f>
        <v>37.8851256</v>
      </c>
      <c r="BF33" s="122" t="n">
        <f aca="false">Inputs!$E$30*(1+Inputs!$E$31)^(BF$5-1)</f>
        <v>37.8851256</v>
      </c>
      <c r="BG33" s="122" t="n">
        <f aca="false">Inputs!$E$30*(1+Inputs!$E$31)^(BG$5-1)</f>
        <v>37.8851256</v>
      </c>
      <c r="BH33" s="122" t="n">
        <f aca="false">Inputs!$E$30*(1+Inputs!$E$31)^(BH$5-1)</f>
        <v>37.8851256</v>
      </c>
      <c r="BI33" s="122" t="n">
        <f aca="false">Inputs!$E$30*(1+Inputs!$E$31)^(BI$5-1)</f>
        <v>37.8851256</v>
      </c>
      <c r="BJ33" s="122" t="n">
        <f aca="false">Inputs!$E$30*(1+Inputs!$E$31)^(BJ$5-1)</f>
        <v>37.8851256</v>
      </c>
    </row>
    <row r="34" customFormat="false" ht="15" hidden="false" customHeight="false" outlineLevel="0" collapsed="false">
      <c r="A34" s="6" t="s">
        <v>437</v>
      </c>
      <c r="C34" s="69" t="n">
        <f aca="false">C26*C32</f>
        <v>34608.6</v>
      </c>
      <c r="D34" s="69" t="n">
        <f aca="false">D26*D32</f>
        <v>39308.5333333333</v>
      </c>
      <c r="E34" s="69" t="n">
        <f aca="false">E26*E32</f>
        <v>54363.4</v>
      </c>
      <c r="F34" s="69" t="n">
        <f aca="false">F26*F32</f>
        <v>60169.2</v>
      </c>
      <c r="G34" s="69" t="n">
        <f aca="false">G26*G32</f>
        <v>65975</v>
      </c>
      <c r="H34" s="69" t="n">
        <f aca="false">H26*H32</f>
        <v>71780.8</v>
      </c>
      <c r="I34" s="69" t="n">
        <f aca="false">I26*I32</f>
        <v>77586.6</v>
      </c>
      <c r="J34" s="69" t="n">
        <f aca="false">J26*J32</f>
        <v>83392.4</v>
      </c>
      <c r="K34" s="69" t="n">
        <f aca="false">K26*K32</f>
        <v>89198.2</v>
      </c>
      <c r="L34" s="69" t="n">
        <f aca="false">L26*L32</f>
        <v>95004</v>
      </c>
      <c r="M34" s="69" t="n">
        <f aca="false">M26*M32</f>
        <v>95004</v>
      </c>
      <c r="N34" s="69" t="n">
        <f aca="false">N26*N32</f>
        <v>76908</v>
      </c>
      <c r="O34" s="69" t="n">
        <f aca="false">O26*O32</f>
        <v>80799.5448</v>
      </c>
      <c r="P34" s="69" t="n">
        <f aca="false">P26*P32</f>
        <v>80799.5448</v>
      </c>
      <c r="Q34" s="69" t="n">
        <f aca="false">Q26*Q32</f>
        <v>99811.2024</v>
      </c>
      <c r="R34" s="69" t="n">
        <f aca="false">R26*R32</f>
        <v>99811.2024</v>
      </c>
      <c r="S34" s="69" t="n">
        <f aca="false">S26*S32</f>
        <v>99811.2024</v>
      </c>
      <c r="T34" s="69" t="n">
        <f aca="false">T26*T32</f>
        <v>99811.2024</v>
      </c>
      <c r="U34" s="69" t="n">
        <f aca="false">U26*U32</f>
        <v>99811.2024</v>
      </c>
      <c r="V34" s="69" t="n">
        <f aca="false">V26*V32</f>
        <v>99811.2024</v>
      </c>
      <c r="W34" s="69" t="n">
        <f aca="false">W26*W32</f>
        <v>99811.2024</v>
      </c>
      <c r="X34" s="69" t="n">
        <f aca="false">X26*X32</f>
        <v>99811.2024</v>
      </c>
      <c r="Y34" s="69" t="n">
        <f aca="false">Y26*Y32</f>
        <v>99811.2024</v>
      </c>
      <c r="Z34" s="69" t="n">
        <f aca="false">Z26*Z32</f>
        <v>80799.5448</v>
      </c>
      <c r="AA34" s="69" t="n">
        <f aca="false">AA26*AA32</f>
        <v>84888.00176688</v>
      </c>
      <c r="AB34" s="69" t="n">
        <f aca="false">AB26*AB32</f>
        <v>84888.00176688</v>
      </c>
      <c r="AC34" s="69" t="n">
        <f aca="false">AC26*AC32</f>
        <v>104861.64924144</v>
      </c>
      <c r="AD34" s="69" t="n">
        <f aca="false">AD26*AD32</f>
        <v>104861.64924144</v>
      </c>
      <c r="AE34" s="69" t="n">
        <f aca="false">AE26*AE32</f>
        <v>104861.64924144</v>
      </c>
      <c r="AF34" s="69" t="n">
        <f aca="false">AF26*AF32</f>
        <v>104861.64924144</v>
      </c>
      <c r="AG34" s="69" t="n">
        <f aca="false">AG26*AG32</f>
        <v>104861.64924144</v>
      </c>
      <c r="AH34" s="69" t="n">
        <f aca="false">AH26*AH32</f>
        <v>104861.64924144</v>
      </c>
      <c r="AI34" s="69" t="n">
        <f aca="false">AI26*AI32</f>
        <v>104861.64924144</v>
      </c>
      <c r="AJ34" s="69" t="n">
        <f aca="false">AJ26*AJ32</f>
        <v>104861.64924144</v>
      </c>
      <c r="AK34" s="69" t="n">
        <f aca="false">AK26*AK32</f>
        <v>104861.64924144</v>
      </c>
      <c r="AL34" s="69" t="n">
        <f aca="false">AL26*AL32</f>
        <v>84888.00176688</v>
      </c>
      <c r="AM34" s="69" t="n">
        <f aca="false">AM26*AM32</f>
        <v>89183.3346562842</v>
      </c>
      <c r="AN34" s="69" t="n">
        <f aca="false">AN26*AN32</f>
        <v>89183.3346562842</v>
      </c>
      <c r="AO34" s="69" t="n">
        <f aca="false">AO26*AO32</f>
        <v>110167.648693057</v>
      </c>
      <c r="AP34" s="69" t="n">
        <f aca="false">AP26*AP32</f>
        <v>110167.648693057</v>
      </c>
      <c r="AQ34" s="69" t="n">
        <f aca="false">AQ26*AQ32</f>
        <v>110167.648693057</v>
      </c>
      <c r="AR34" s="69" t="n">
        <f aca="false">AR26*AR32</f>
        <v>110167.648693057</v>
      </c>
      <c r="AS34" s="69" t="n">
        <f aca="false">AS26*AS32</f>
        <v>110167.648693057</v>
      </c>
      <c r="AT34" s="69" t="n">
        <f aca="false">AT26*AT32</f>
        <v>110167.648693057</v>
      </c>
      <c r="AU34" s="69" t="n">
        <f aca="false">AU26*AU32</f>
        <v>110167.648693057</v>
      </c>
      <c r="AV34" s="69" t="n">
        <f aca="false">AV26*AV32</f>
        <v>110167.648693057</v>
      </c>
      <c r="AW34" s="69" t="n">
        <f aca="false">AW26*AW32</f>
        <v>110167.648693057</v>
      </c>
      <c r="AX34" s="69" t="n">
        <f aca="false">AX26*AX32</f>
        <v>89183.3346562842</v>
      </c>
      <c r="AY34" s="69" t="n">
        <f aca="false">AY26*AY32</f>
        <v>93696.0113898921</v>
      </c>
      <c r="AZ34" s="69" t="n">
        <f aca="false">AZ26*AZ32</f>
        <v>93696.0113898921</v>
      </c>
      <c r="BA34" s="69" t="n">
        <f aca="false">BA26*BA32</f>
        <v>115742.131716926</v>
      </c>
      <c r="BB34" s="69" t="n">
        <f aca="false">BB26*BB32</f>
        <v>115742.131716926</v>
      </c>
      <c r="BC34" s="69" t="n">
        <f aca="false">BC26*BC32</f>
        <v>115742.131716926</v>
      </c>
      <c r="BD34" s="69" t="n">
        <f aca="false">BD26*BD32</f>
        <v>115742.131716926</v>
      </c>
      <c r="BE34" s="69" t="n">
        <f aca="false">BE26*BE32</f>
        <v>115742.131716926</v>
      </c>
      <c r="BF34" s="69" t="n">
        <f aca="false">BF26*BF32</f>
        <v>115742.131716926</v>
      </c>
      <c r="BG34" s="69" t="n">
        <f aca="false">BG26*BG32</f>
        <v>115742.131716926</v>
      </c>
      <c r="BH34" s="69" t="n">
        <f aca="false">BH26*BH32</f>
        <v>115742.131716926</v>
      </c>
      <c r="BI34" s="69" t="n">
        <f aca="false">BI26*BI32</f>
        <v>115742.131716926</v>
      </c>
      <c r="BJ34" s="69" t="n">
        <f aca="false">BJ26*BJ32</f>
        <v>93696.0113898921</v>
      </c>
    </row>
    <row r="35" customFormat="false" ht="15" hidden="false" customHeight="false" outlineLevel="0" collapsed="false">
      <c r="A35" s="6" t="s">
        <v>438</v>
      </c>
      <c r="C35" s="69" t="n">
        <f aca="false">C26*Inputs!$E$29*(1+Inputs!$E$31)^(C$5-1)</f>
        <v>3993.3</v>
      </c>
      <c r="D35" s="69" t="n">
        <f aca="false">D26*Inputs!$E$29*(1+Inputs!$E$31)^(D$5-1)</f>
        <v>4535.6</v>
      </c>
      <c r="E35" s="69" t="n">
        <f aca="false">E26*Inputs!$E$29*(1+Inputs!$E$31)^(E$5-1)</f>
        <v>6272.7</v>
      </c>
      <c r="F35" s="69" t="n">
        <f aca="false">F26*Inputs!$E$29*(1+Inputs!$E$31)^(F$5-1)</f>
        <v>6942.6</v>
      </c>
      <c r="G35" s="69" t="n">
        <f aca="false">G26*Inputs!$E$29*(1+Inputs!$E$31)^(G$5-1)</f>
        <v>7612.5</v>
      </c>
      <c r="H35" s="69" t="n">
        <f aca="false">H26*Inputs!$E$29*(1+Inputs!$E$31)^(H$5-1)</f>
        <v>8282.4</v>
      </c>
      <c r="I35" s="69" t="n">
        <f aca="false">I26*Inputs!$E$29*(1+Inputs!$E$31)^(I$5-1)</f>
        <v>8952.3</v>
      </c>
      <c r="J35" s="69" t="n">
        <f aca="false">J26*Inputs!$E$29*(1+Inputs!$E$31)^(J$5-1)</f>
        <v>9622.2</v>
      </c>
      <c r="K35" s="69" t="n">
        <f aca="false">K26*Inputs!$E$29*(1+Inputs!$E$31)^(K$5-1)</f>
        <v>10292.1</v>
      </c>
      <c r="L35" s="69" t="n">
        <f aca="false">L26*Inputs!$E$29*(1+Inputs!$E$31)^(L$5-1)</f>
        <v>10962</v>
      </c>
      <c r="M35" s="69" t="n">
        <f aca="false">M26*Inputs!$E$29*(1+Inputs!$E$31)^(M$5-1)</f>
        <v>10962</v>
      </c>
      <c r="N35" s="69" t="n">
        <f aca="false">N26*Inputs!$E$29*(1+Inputs!$E$31)^(N$5-1)</f>
        <v>8874</v>
      </c>
      <c r="O35" s="69" t="n">
        <f aca="false">O26*Inputs!$E$29*(1+Inputs!$E$31)^(O$5-1)</f>
        <v>9323.0244</v>
      </c>
      <c r="P35" s="69" t="n">
        <f aca="false">P26*Inputs!$E$29*(1+Inputs!$E$31)^(P$5-1)</f>
        <v>9323.0244</v>
      </c>
      <c r="Q35" s="69" t="n">
        <f aca="false">Q26*Inputs!$E$29*(1+Inputs!$E$31)^(Q$5-1)</f>
        <v>11516.6772</v>
      </c>
      <c r="R35" s="69" t="n">
        <f aca="false">R26*Inputs!$E$29*(1+Inputs!$E$31)^(R$5-1)</f>
        <v>11516.6772</v>
      </c>
      <c r="S35" s="69" t="n">
        <f aca="false">S26*Inputs!$E$29*(1+Inputs!$E$31)^(S$5-1)</f>
        <v>11516.6772</v>
      </c>
      <c r="T35" s="69" t="n">
        <f aca="false">T26*Inputs!$E$29*(1+Inputs!$E$31)^(T$5-1)</f>
        <v>11516.6772</v>
      </c>
      <c r="U35" s="69" t="n">
        <f aca="false">U26*Inputs!$E$29*(1+Inputs!$E$31)^(U$5-1)</f>
        <v>11516.6772</v>
      </c>
      <c r="V35" s="69" t="n">
        <f aca="false">V26*Inputs!$E$29*(1+Inputs!$E$31)^(V$5-1)</f>
        <v>11516.6772</v>
      </c>
      <c r="W35" s="69" t="n">
        <f aca="false">W26*Inputs!$E$29*(1+Inputs!$E$31)^(W$5-1)</f>
        <v>11516.6772</v>
      </c>
      <c r="X35" s="69" t="n">
        <f aca="false">X26*Inputs!$E$29*(1+Inputs!$E$31)^(X$5-1)</f>
        <v>11516.6772</v>
      </c>
      <c r="Y35" s="69" t="n">
        <f aca="false">Y26*Inputs!$E$29*(1+Inputs!$E$31)^(Y$5-1)</f>
        <v>11516.6772</v>
      </c>
      <c r="Z35" s="69" t="n">
        <f aca="false">Z26*Inputs!$E$29*(1+Inputs!$E$31)^(Z$5-1)</f>
        <v>9323.0244</v>
      </c>
      <c r="AA35" s="69" t="n">
        <f aca="false">AA26*Inputs!$E$29*(1+Inputs!$E$31)^(AA$5-1)</f>
        <v>9794.76943464</v>
      </c>
      <c r="AB35" s="69" t="n">
        <f aca="false">AB26*Inputs!$E$29*(1+Inputs!$E$31)^(AB$5-1)</f>
        <v>9794.76943464</v>
      </c>
      <c r="AC35" s="69" t="n">
        <f aca="false">AC26*Inputs!$E$29*(1+Inputs!$E$31)^(AC$5-1)</f>
        <v>12099.42106632</v>
      </c>
      <c r="AD35" s="69" t="n">
        <f aca="false">AD26*Inputs!$E$29*(1+Inputs!$E$31)^(AD$5-1)</f>
        <v>12099.42106632</v>
      </c>
      <c r="AE35" s="69" t="n">
        <f aca="false">AE26*Inputs!$E$29*(1+Inputs!$E$31)^(AE$5-1)</f>
        <v>12099.42106632</v>
      </c>
      <c r="AF35" s="69" t="n">
        <f aca="false">AF26*Inputs!$E$29*(1+Inputs!$E$31)^(AF$5-1)</f>
        <v>12099.42106632</v>
      </c>
      <c r="AG35" s="69" t="n">
        <f aca="false">AG26*Inputs!$E$29*(1+Inputs!$E$31)^(AG$5-1)</f>
        <v>12099.42106632</v>
      </c>
      <c r="AH35" s="69" t="n">
        <f aca="false">AH26*Inputs!$E$29*(1+Inputs!$E$31)^(AH$5-1)</f>
        <v>12099.42106632</v>
      </c>
      <c r="AI35" s="69" t="n">
        <f aca="false">AI26*Inputs!$E$29*(1+Inputs!$E$31)^(AI$5-1)</f>
        <v>12099.42106632</v>
      </c>
      <c r="AJ35" s="69" t="n">
        <f aca="false">AJ26*Inputs!$E$29*(1+Inputs!$E$31)^(AJ$5-1)</f>
        <v>12099.42106632</v>
      </c>
      <c r="AK35" s="69" t="n">
        <f aca="false">AK26*Inputs!$E$29*(1+Inputs!$E$31)^(AK$5-1)</f>
        <v>12099.42106632</v>
      </c>
      <c r="AL35" s="69" t="n">
        <f aca="false">AL26*Inputs!$E$29*(1+Inputs!$E$31)^(AL$5-1)</f>
        <v>9794.76943464</v>
      </c>
      <c r="AM35" s="69" t="n">
        <f aca="false">AM26*Inputs!$E$29*(1+Inputs!$E$31)^(AM$5-1)</f>
        <v>10290.3847680328</v>
      </c>
      <c r="AN35" s="69" t="n">
        <f aca="false">AN26*Inputs!$E$29*(1+Inputs!$E$31)^(AN$5-1)</f>
        <v>10290.3847680328</v>
      </c>
      <c r="AO35" s="69" t="n">
        <f aca="false">AO26*Inputs!$E$29*(1+Inputs!$E$31)^(AO$5-1)</f>
        <v>12711.6517722758</v>
      </c>
      <c r="AP35" s="69" t="n">
        <f aca="false">AP26*Inputs!$E$29*(1+Inputs!$E$31)^(AP$5-1)</f>
        <v>12711.6517722758</v>
      </c>
      <c r="AQ35" s="69" t="n">
        <f aca="false">AQ26*Inputs!$E$29*(1+Inputs!$E$31)^(AQ$5-1)</f>
        <v>12711.6517722758</v>
      </c>
      <c r="AR35" s="69" t="n">
        <f aca="false">AR26*Inputs!$E$29*(1+Inputs!$E$31)^(AR$5-1)</f>
        <v>12711.6517722758</v>
      </c>
      <c r="AS35" s="69" t="n">
        <f aca="false">AS26*Inputs!$E$29*(1+Inputs!$E$31)^(AS$5-1)</f>
        <v>12711.6517722758</v>
      </c>
      <c r="AT35" s="69" t="n">
        <f aca="false">AT26*Inputs!$E$29*(1+Inputs!$E$31)^(AT$5-1)</f>
        <v>12711.6517722758</v>
      </c>
      <c r="AU35" s="69" t="n">
        <f aca="false">AU26*Inputs!$E$29*(1+Inputs!$E$31)^(AU$5-1)</f>
        <v>12711.6517722758</v>
      </c>
      <c r="AV35" s="69" t="n">
        <f aca="false">AV26*Inputs!$E$29*(1+Inputs!$E$31)^(AV$5-1)</f>
        <v>12711.6517722758</v>
      </c>
      <c r="AW35" s="69" t="n">
        <f aca="false">AW26*Inputs!$E$29*(1+Inputs!$E$31)^(AW$5-1)</f>
        <v>12711.6517722758</v>
      </c>
      <c r="AX35" s="69" t="n">
        <f aca="false">AX26*Inputs!$E$29*(1+Inputs!$E$31)^(AX$5-1)</f>
        <v>10290.3847680328</v>
      </c>
      <c r="AY35" s="69" t="n">
        <f aca="false">AY26*Inputs!$E$29*(1+Inputs!$E$31)^(AY$5-1)</f>
        <v>10811.0782372952</v>
      </c>
      <c r="AZ35" s="69" t="n">
        <f aca="false">AZ26*Inputs!$E$29*(1+Inputs!$E$31)^(AZ$5-1)</f>
        <v>10811.0782372952</v>
      </c>
      <c r="BA35" s="69" t="n">
        <f aca="false">BA26*Inputs!$E$29*(1+Inputs!$E$31)^(BA$5-1)</f>
        <v>13354.861351953</v>
      </c>
      <c r="BB35" s="69" t="n">
        <f aca="false">BB26*Inputs!$E$29*(1+Inputs!$E$31)^(BB$5-1)</f>
        <v>13354.861351953</v>
      </c>
      <c r="BC35" s="69" t="n">
        <f aca="false">BC26*Inputs!$E$29*(1+Inputs!$E$31)^(BC$5-1)</f>
        <v>13354.861351953</v>
      </c>
      <c r="BD35" s="69" t="n">
        <f aca="false">BD26*Inputs!$E$29*(1+Inputs!$E$31)^(BD$5-1)</f>
        <v>13354.861351953</v>
      </c>
      <c r="BE35" s="69" t="n">
        <f aca="false">BE26*Inputs!$E$29*(1+Inputs!$E$31)^(BE$5-1)</f>
        <v>13354.861351953</v>
      </c>
      <c r="BF35" s="69" t="n">
        <f aca="false">BF26*Inputs!$E$29*(1+Inputs!$E$31)^(BF$5-1)</f>
        <v>13354.861351953</v>
      </c>
      <c r="BG35" s="69" t="n">
        <f aca="false">BG26*Inputs!$E$29*(1+Inputs!$E$31)^(BG$5-1)</f>
        <v>13354.861351953</v>
      </c>
      <c r="BH35" s="69" t="n">
        <f aca="false">BH26*Inputs!$E$29*(1+Inputs!$E$31)^(BH$5-1)</f>
        <v>13354.861351953</v>
      </c>
      <c r="BI35" s="69" t="n">
        <f aca="false">BI26*Inputs!$E$29*(1+Inputs!$E$31)^(BI$5-1)</f>
        <v>13354.861351953</v>
      </c>
      <c r="BJ35" s="69" t="n">
        <f aca="false">BJ26*Inputs!$E$29*(1+Inputs!$E$31)^(BJ$5-1)</f>
        <v>10811.0782372952</v>
      </c>
    </row>
    <row r="36" customFormat="false" ht="15" hidden="false" customHeight="false" outlineLevel="0" collapsed="false">
      <c r="A36" s="6" t="s">
        <v>243</v>
      </c>
      <c r="C36" s="69" t="n">
        <f aca="false">C20*C33*1</f>
        <v>9341.458</v>
      </c>
      <c r="D36" s="69" t="n">
        <f aca="false">D20*D33*1</f>
        <v>10604.8025688889</v>
      </c>
      <c r="E36" s="69" t="n">
        <f aca="false">E20*E33*1</f>
        <v>12137.3017994667</v>
      </c>
      <c r="F36" s="69" t="n">
        <f aca="false">F20*F33*1</f>
        <v>13940.0988385991</v>
      </c>
      <c r="G36" s="69" t="n">
        <f aca="false">G20*G33*1</f>
        <v>15902.7764406107</v>
      </c>
      <c r="H36" s="69" t="n">
        <f aca="false">H20*H33*1</f>
        <v>18018.9393829863</v>
      </c>
      <c r="I36" s="69" t="n">
        <f aca="false">I20*I33*1</f>
        <v>20282.4482521113</v>
      </c>
      <c r="J36" s="69" t="n">
        <f aca="false">J20*J33*1</f>
        <v>22687.4092109157</v>
      </c>
      <c r="K36" s="69" t="n">
        <f aca="false">K20*K33*1</f>
        <v>25228.1641758124</v>
      </c>
      <c r="L36" s="69" t="n">
        <f aca="false">L20*L33*1</f>
        <v>27899.2813865577</v>
      </c>
      <c r="M36" s="69" t="n">
        <f aca="false">M20*M33*1</f>
        <v>30579.5501310954</v>
      </c>
      <c r="N36" s="69" t="n">
        <f aca="false">N20*N33*1</f>
        <v>32957.7281258516</v>
      </c>
      <c r="O36" s="69" t="n">
        <f aca="false">O20*O33*1</f>
        <v>35816.7861248339</v>
      </c>
      <c r="P36" s="69" t="n">
        <f aca="false">P20*P33*1</f>
        <v>37998.6625678405</v>
      </c>
      <c r="Q36" s="69" t="n">
        <f aca="false">Q20*Q33*1</f>
        <v>40298.0048811269</v>
      </c>
      <c r="R36" s="69" t="n">
        <f aca="false">R20*R33*1</f>
        <v>42710.1144298818</v>
      </c>
      <c r="S36" s="69" t="n">
        <f aca="false">S20*S33*1</f>
        <v>45025.7395966865</v>
      </c>
      <c r="T36" s="69" t="n">
        <f aca="false">T20*T33*1</f>
        <v>47248.7397568191</v>
      </c>
      <c r="U36" s="69" t="n">
        <f aca="false">U20*U33*1</f>
        <v>49382.8199105463</v>
      </c>
      <c r="V36" s="69" t="n">
        <f aca="false">V20*V33*1</f>
        <v>51431.5368581245</v>
      </c>
      <c r="W36" s="69" t="n">
        <f aca="false">W20*W33*1</f>
        <v>53398.3051277995</v>
      </c>
      <c r="X36" s="69" t="n">
        <f aca="false">X20*X33*1</f>
        <v>55286.4026666875</v>
      </c>
      <c r="Y36" s="69" t="n">
        <f aca="false">Y20*Y33*1</f>
        <v>57098.97630402</v>
      </c>
      <c r="Z36" s="69" t="n">
        <f aca="false">Z20*Z33*1</f>
        <v>58634.3060678592</v>
      </c>
      <c r="AA36" s="69" t="n">
        <f aca="false">AA20*AA33*1</f>
        <v>61175.9712800941</v>
      </c>
      <c r="AB36" s="69" t="n">
        <f aca="false">AB20*AB33*1</f>
        <v>62564.6111400232</v>
      </c>
      <c r="AC36" s="69" t="n">
        <f aca="false">AC20*AC33*1</f>
        <v>64112.8062245118</v>
      </c>
      <c r="AD36" s="69" t="n">
        <f aca="false">AD20*AD33*1</f>
        <v>65814.1743245778</v>
      </c>
      <c r="AE36" s="69" t="n">
        <f aca="false">AE20*AE33*1</f>
        <v>67447.487700641</v>
      </c>
      <c r="AF36" s="69" t="n">
        <f aca="false">AF20*AF33*1</f>
        <v>69015.4685416618</v>
      </c>
      <c r="AG36" s="69" t="n">
        <f aca="false">AG20*AG33*1</f>
        <v>70520.7301490417</v>
      </c>
      <c r="AH36" s="69" t="n">
        <f aca="false">AH20*AH33*1</f>
        <v>71965.7812921265</v>
      </c>
      <c r="AI36" s="69" t="n">
        <f aca="false">AI20*AI33*1</f>
        <v>73353.0303894878</v>
      </c>
      <c r="AJ36" s="69" t="n">
        <f aca="false">AJ20*AJ33*1</f>
        <v>74684.7895229547</v>
      </c>
      <c r="AK36" s="69" t="n">
        <f aca="false">AK20*AK33*1</f>
        <v>75963.2782910829</v>
      </c>
      <c r="AL36" s="69" t="n">
        <f aca="false">AL20*AL33*1</f>
        <v>76975.5266895292</v>
      </c>
      <c r="AM36" s="69" t="n">
        <f aca="false">AM20*AM33*1</f>
        <v>79365.9885858728</v>
      </c>
      <c r="AN36" s="69" t="n">
        <f aca="false">AN20*AN33*1</f>
        <v>80262.062460054</v>
      </c>
      <c r="AO36" s="69" t="n">
        <f aca="false">AO20*AO33*1</f>
        <v>81348.278299664</v>
      </c>
      <c r="AP36" s="69" t="n">
        <f aca="false">AP20*AP33*1</f>
        <v>82617.0304260856</v>
      </c>
      <c r="AQ36" s="69" t="n">
        <f aca="false">AQ20*AQ33*1</f>
        <v>83835.0324674503</v>
      </c>
      <c r="AR36" s="69" t="n">
        <f aca="false">AR20*AR33*1</f>
        <v>85004.3144271604</v>
      </c>
      <c r="AS36" s="69" t="n">
        <f aca="false">AS20*AS33*1</f>
        <v>86126.8251084821</v>
      </c>
      <c r="AT36" s="69" t="n">
        <f aca="false">AT20*AT33*1</f>
        <v>87204.435362551</v>
      </c>
      <c r="AU36" s="69" t="n">
        <f aca="false">AU20*AU33*1</f>
        <v>88238.9412064571</v>
      </c>
      <c r="AV36" s="69" t="n">
        <f aca="false">AV20*AV33*1</f>
        <v>89232.0668166069</v>
      </c>
      <c r="AW36" s="69" t="n">
        <f aca="false">AW20*AW33*1</f>
        <v>90185.4674023508</v>
      </c>
      <c r="AX36" s="69" t="n">
        <f aca="false">AX20*AX33*1</f>
        <v>90874.7470442689</v>
      </c>
      <c r="AY36" s="69" t="n">
        <f aca="false">AY20*AY33*1</f>
        <v>93220.8902912674</v>
      </c>
      <c r="AZ36" s="69" t="n">
        <f aca="false">AZ20*AZ33*1</f>
        <v>93812.6029646869</v>
      </c>
      <c r="BA36" s="69" t="n">
        <f aca="false">BA20*BA33*1</f>
        <v>94618.0668885377</v>
      </c>
      <c r="BB36" s="69" t="n">
        <f aca="false">BB20*BB33*1</f>
        <v>95628.7320128024</v>
      </c>
      <c r="BC36" s="69" t="n">
        <f aca="false">BC20*BC33*1</f>
        <v>96598.9705320967</v>
      </c>
      <c r="BD36" s="69" t="n">
        <f aca="false">BD20*BD33*1</f>
        <v>97530.3995106191</v>
      </c>
      <c r="BE36" s="69" t="n">
        <f aca="false">BE20*BE33*1</f>
        <v>98424.5713300006</v>
      </c>
      <c r="BF36" s="69" t="n">
        <f aca="false">BF20*BF33*1</f>
        <v>99282.9762766069</v>
      </c>
      <c r="BG36" s="69" t="n">
        <f aca="false">BG20*BG33*1</f>
        <v>100107.045025349</v>
      </c>
      <c r="BH36" s="69" t="n">
        <f aca="false">BH20*BH33*1</f>
        <v>100898.151024141</v>
      </c>
      <c r="BI36" s="69" t="n">
        <f aca="false">BI20*BI33*1</f>
        <v>101657.612782982</v>
      </c>
      <c r="BJ36" s="69" t="n">
        <f aca="false">BJ20*BJ33*1</f>
        <v>102149.276314101</v>
      </c>
    </row>
    <row r="37" customFormat="false" ht="15" hidden="false" customHeight="false" outlineLevel="0" collapsed="false">
      <c r="A37" s="113" t="s">
        <v>44</v>
      </c>
      <c r="C37" s="70" t="n">
        <f aca="false">C34+C35+C36</f>
        <v>47943.358</v>
      </c>
      <c r="D37" s="70" t="n">
        <f aca="false">D34+D35+D36</f>
        <v>54448.9359022222</v>
      </c>
      <c r="E37" s="70" t="n">
        <f aca="false">E34+E35+E36</f>
        <v>72773.4017994667</v>
      </c>
      <c r="F37" s="70" t="n">
        <f aca="false">F34+F35+F36</f>
        <v>81051.8988385991</v>
      </c>
      <c r="G37" s="70" t="n">
        <f aca="false">G34+G35+G36</f>
        <v>89490.2764406107</v>
      </c>
      <c r="H37" s="70" t="n">
        <f aca="false">H34+H35+H36</f>
        <v>98082.1393829863</v>
      </c>
      <c r="I37" s="70" t="n">
        <f aca="false">I34+I35+I36</f>
        <v>106821.348252111</v>
      </c>
      <c r="J37" s="70" t="n">
        <f aca="false">J34+J35+J36</f>
        <v>115702.009210916</v>
      </c>
      <c r="K37" s="70" t="n">
        <f aca="false">K34+K35+K36</f>
        <v>124718.464175812</v>
      </c>
      <c r="L37" s="70" t="n">
        <f aca="false">L34+L35+L36</f>
        <v>133865.281386558</v>
      </c>
      <c r="M37" s="70" t="n">
        <f aca="false">M34+M35+M36</f>
        <v>136545.550131095</v>
      </c>
      <c r="N37" s="70" t="n">
        <f aca="false">N34+N35+N36</f>
        <v>118739.728125852</v>
      </c>
      <c r="O37" s="70" t="n">
        <f aca="false">O34+O35+O36</f>
        <v>125939.355324834</v>
      </c>
      <c r="P37" s="70" t="n">
        <f aca="false">P34+P35+P36</f>
        <v>128121.23176784</v>
      </c>
      <c r="Q37" s="70" t="n">
        <f aca="false">Q34+Q35+Q36</f>
        <v>151625.884481127</v>
      </c>
      <c r="R37" s="70" t="n">
        <f aca="false">R34+R35+R36</f>
        <v>154037.994029882</v>
      </c>
      <c r="S37" s="70" t="n">
        <f aca="false">S34+S35+S36</f>
        <v>156353.619196687</v>
      </c>
      <c r="T37" s="70" t="n">
        <f aca="false">T34+T35+T36</f>
        <v>158576.619356819</v>
      </c>
      <c r="U37" s="70" t="n">
        <f aca="false">U34+U35+U36</f>
        <v>160710.699510546</v>
      </c>
      <c r="V37" s="70" t="n">
        <f aca="false">V34+V35+V36</f>
        <v>162759.416458124</v>
      </c>
      <c r="W37" s="70" t="n">
        <f aca="false">W34+W35+W36</f>
        <v>164726.1847278</v>
      </c>
      <c r="X37" s="70" t="n">
        <f aca="false">X34+X35+X36</f>
        <v>166614.282266688</v>
      </c>
      <c r="Y37" s="70" t="n">
        <f aca="false">Y34+Y35+Y36</f>
        <v>168426.85590402</v>
      </c>
      <c r="Z37" s="70" t="n">
        <f aca="false">Z34+Z35+Z36</f>
        <v>148756.875267859</v>
      </c>
      <c r="AA37" s="70" t="n">
        <f aca="false">AA34+AA35+AA36</f>
        <v>155858.742481614</v>
      </c>
      <c r="AB37" s="70" t="n">
        <f aca="false">AB34+AB35+AB36</f>
        <v>157247.382341543</v>
      </c>
      <c r="AC37" s="70" t="n">
        <f aca="false">AC34+AC35+AC36</f>
        <v>181073.876532272</v>
      </c>
      <c r="AD37" s="70" t="n">
        <f aca="false">AD34+AD35+AD36</f>
        <v>182775.244632338</v>
      </c>
      <c r="AE37" s="70" t="n">
        <f aca="false">AE34+AE35+AE36</f>
        <v>184408.558008401</v>
      </c>
      <c r="AF37" s="70" t="n">
        <f aca="false">AF34+AF35+AF36</f>
        <v>185976.538849422</v>
      </c>
      <c r="AG37" s="70" t="n">
        <f aca="false">AG34+AG35+AG36</f>
        <v>187481.800456802</v>
      </c>
      <c r="AH37" s="70" t="n">
        <f aca="false">AH34+AH35+AH36</f>
        <v>188926.851599886</v>
      </c>
      <c r="AI37" s="70" t="n">
        <f aca="false">AI34+AI35+AI36</f>
        <v>190314.100697248</v>
      </c>
      <c r="AJ37" s="70" t="n">
        <f aca="false">AJ34+AJ35+AJ36</f>
        <v>191645.859830715</v>
      </c>
      <c r="AK37" s="70" t="n">
        <f aca="false">AK34+AK35+AK36</f>
        <v>192924.348598843</v>
      </c>
      <c r="AL37" s="70" t="n">
        <f aca="false">AL34+AL35+AL36</f>
        <v>171658.297891049</v>
      </c>
      <c r="AM37" s="70" t="n">
        <f aca="false">AM34+AM35+AM36</f>
        <v>178839.70801019</v>
      </c>
      <c r="AN37" s="70" t="n">
        <f aca="false">AN34+AN35+AN36</f>
        <v>179735.781884371</v>
      </c>
      <c r="AO37" s="70" t="n">
        <f aca="false">AO34+AO35+AO36</f>
        <v>204227.578764997</v>
      </c>
      <c r="AP37" s="70" t="n">
        <f aca="false">AP34+AP35+AP36</f>
        <v>205496.330891418</v>
      </c>
      <c r="AQ37" s="70" t="n">
        <f aca="false">AQ34+AQ35+AQ36</f>
        <v>206714.332932783</v>
      </c>
      <c r="AR37" s="70" t="n">
        <f aca="false">AR34+AR35+AR36</f>
        <v>207883.614892493</v>
      </c>
      <c r="AS37" s="70" t="n">
        <f aca="false">AS34+AS35+AS36</f>
        <v>209006.125573815</v>
      </c>
      <c r="AT37" s="70" t="n">
        <f aca="false">AT34+AT35+AT36</f>
        <v>210083.735827884</v>
      </c>
      <c r="AU37" s="70" t="n">
        <f aca="false">AU34+AU35+AU36</f>
        <v>211118.24167179</v>
      </c>
      <c r="AV37" s="70" t="n">
        <f aca="false">AV34+AV35+AV36</f>
        <v>212111.36728194</v>
      </c>
      <c r="AW37" s="70" t="n">
        <f aca="false">AW34+AW35+AW36</f>
        <v>213064.767867684</v>
      </c>
      <c r="AX37" s="70" t="n">
        <f aca="false">AX34+AX35+AX36</f>
        <v>190348.466468586</v>
      </c>
      <c r="AY37" s="70" t="n">
        <f aca="false">AY34+AY35+AY36</f>
        <v>197727.979918455</v>
      </c>
      <c r="AZ37" s="70" t="n">
        <f aca="false">AZ34+AZ35+AZ36</f>
        <v>198319.692591874</v>
      </c>
      <c r="BA37" s="70" t="n">
        <f aca="false">BA34+BA35+BA36</f>
        <v>223715.059957416</v>
      </c>
      <c r="BB37" s="70" t="n">
        <f aca="false">BB34+BB35+BB36</f>
        <v>224725.725081681</v>
      </c>
      <c r="BC37" s="70" t="n">
        <f aca="false">BC34+BC35+BC36</f>
        <v>225695.963600975</v>
      </c>
      <c r="BD37" s="70" t="n">
        <f aca="false">BD34+BD35+BD36</f>
        <v>226627.392579498</v>
      </c>
      <c r="BE37" s="70" t="n">
        <f aca="false">BE34+BE35+BE36</f>
        <v>227521.564398879</v>
      </c>
      <c r="BF37" s="70" t="n">
        <f aca="false">BF34+BF35+BF36</f>
        <v>228379.969345485</v>
      </c>
      <c r="BG37" s="70" t="n">
        <f aca="false">BG34+BG35+BG36</f>
        <v>229204.038094227</v>
      </c>
      <c r="BH37" s="70" t="n">
        <f aca="false">BH34+BH35+BH36</f>
        <v>229995.14409302</v>
      </c>
      <c r="BI37" s="70" t="n">
        <f aca="false">BI34+BI35+BI36</f>
        <v>230754.60585186</v>
      </c>
      <c r="BJ37" s="70" t="n">
        <f aca="false">BJ34+BJ35+BJ36</f>
        <v>206656.365941288</v>
      </c>
    </row>
    <row r="39" customFormat="false" ht="15.75" hidden="false" customHeight="true" outlineLevel="0" collapsed="false">
      <c r="A39" s="7" t="s">
        <v>76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6" t="s">
        <v>439</v>
      </c>
      <c r="C40" s="69" t="n">
        <f aca="false">-C28*Inputs!$E$34*(1+Inputs!$E$39)^(C$5-1)</f>
        <v>-2937.7903405</v>
      </c>
      <c r="D40" s="69" t="n">
        <f aca="false">-D28*Inputs!$E$34*(1+Inputs!$E$39)^(D$5-1)</f>
        <v>-3336.37031893556</v>
      </c>
      <c r="E40" s="69" t="n">
        <f aca="false">-E28*Inputs!$E$34*(1+Inputs!$E$39)^(E$5-1)</f>
        <v>-4637.7841856024</v>
      </c>
      <c r="F40" s="69" t="n">
        <f aca="false">-F28*Inputs!$E$34*(1+Inputs!$E$39)^(F$5-1)</f>
        <v>-5178.29382134497</v>
      </c>
      <c r="G40" s="69" t="n">
        <f aca="false">-G28*Inputs!$E$34*(1+Inputs!$E$39)^(G$5-1)</f>
        <v>-5733.07279732451</v>
      </c>
      <c r="H40" s="69" t="n">
        <f aca="false">-H28*Inputs!$E$34*(1+Inputs!$E$39)^(H$5-1)</f>
        <v>-6301.55033993153</v>
      </c>
      <c r="I40" s="69" t="n">
        <f aca="false">-I28*Inputs!$E$34*(1+Inputs!$E$39)^(I$5-1)</f>
        <v>-6883.17850650093</v>
      </c>
      <c r="J40" s="69" t="n">
        <f aca="false">-J28*Inputs!$E$34*(1+Inputs!$E$39)^(J$5-1)</f>
        <v>-7477.43127207423</v>
      </c>
      <c r="K40" s="69" t="n">
        <f aca="false">-K28*Inputs!$E$34*(1+Inputs!$E$39)^(K$5-1)</f>
        <v>-8083.80365269126</v>
      </c>
      <c r="L40" s="69" t="n">
        <f aca="false">-L28*Inputs!$E$34*(1+Inputs!$E$39)^(L$5-1)</f>
        <v>-8701.81086375027</v>
      </c>
      <c r="M40" s="69" t="n">
        <f aca="false">-M28*Inputs!$E$34*(1+Inputs!$E$39)^(M$5-1)</f>
        <v>-8941.02484920026</v>
      </c>
      <c r="N40" s="69" t="n">
        <f aca="false">-N28*Inputs!$E$34*(1+Inputs!$E$39)^(N$5-1)</f>
        <v>-7409.79585709278</v>
      </c>
      <c r="O40" s="69" t="n">
        <f aca="false">-O28*Inputs!$E$34*(1+Inputs!$E$39)^(O$5-1)</f>
        <v>-7947.97476102434</v>
      </c>
      <c r="P40" s="69" t="n">
        <f aca="false">-P28*Inputs!$E$34*(1+Inputs!$E$39)^(P$5-1)</f>
        <v>-8107.16082984536</v>
      </c>
      <c r="Q40" s="69" t="n">
        <f aca="false">-Q28*Inputs!$E$34*(1+Inputs!$E$39)^(Q$5-1)</f>
        <v>-10221.9563099116</v>
      </c>
      <c r="R40" s="69" t="n">
        <f aca="false">-R28*Inputs!$E$34*(1+Inputs!$E$39)^(R$5-1)</f>
        <v>-10439.3476829931</v>
      </c>
      <c r="S40" s="69" t="n">
        <f aca="false">-S28*Inputs!$E$34*(1+Inputs!$E$39)^(S$5-1)</f>
        <v>-10648.0434011514</v>
      </c>
      <c r="T40" s="69" t="n">
        <f aca="false">-T28*Inputs!$E$34*(1+Inputs!$E$39)^(T$5-1)</f>
        <v>-10848.3912905833</v>
      </c>
      <c r="U40" s="69" t="n">
        <f aca="false">-U28*Inputs!$E$34*(1+Inputs!$E$39)^(U$5-1)</f>
        <v>-11040.725264438</v>
      </c>
      <c r="V40" s="69" t="n">
        <f aca="false">-V28*Inputs!$E$34*(1+Inputs!$E$39)^(V$5-1)</f>
        <v>-11225.3658793385</v>
      </c>
      <c r="W40" s="69" t="n">
        <f aca="false">-W28*Inputs!$E$34*(1+Inputs!$E$39)^(W$5-1)</f>
        <v>-11402.6208696429</v>
      </c>
      <c r="X40" s="69" t="n">
        <f aca="false">-X28*Inputs!$E$34*(1+Inputs!$E$39)^(X$5-1)</f>
        <v>-11572.7856603352</v>
      </c>
      <c r="Y40" s="69" t="n">
        <f aca="false">-Y28*Inputs!$E$34*(1+Inputs!$E$39)^(Y$5-1)</f>
        <v>-11736.1438593998</v>
      </c>
      <c r="Z40" s="69" t="n">
        <f aca="false">-Z28*Inputs!$E$34*(1+Inputs!$E$39)^(Z$5-1)</f>
        <v>-9612.70298686756</v>
      </c>
      <c r="AA40" s="69" t="n">
        <f aca="false">-AA28*Inputs!$E$34*(1+Inputs!$E$39)^(AA$5-1)</f>
        <v>-10166.7883194002</v>
      </c>
      <c r="AB40" s="69" t="n">
        <f aca="false">-AB28*Inputs!$E$34*(1+Inputs!$E$39)^(AB$5-1)</f>
        <v>-10269.094432414</v>
      </c>
      <c r="AC40" s="69" t="n">
        <f aca="false">-AC28*Inputs!$E$34*(1+Inputs!$E$39)^(AC$5-1)</f>
        <v>-12826.2509796969</v>
      </c>
      <c r="AD40" s="69" t="n">
        <f aca="false">-AD28*Inputs!$E$34*(1+Inputs!$E$39)^(AD$5-1)</f>
        <v>-12981.0900718724</v>
      </c>
      <c r="AE40" s="69" t="n">
        <f aca="false">-AE28*Inputs!$E$34*(1+Inputs!$E$39)^(AE$5-1)</f>
        <v>-13129.7356003608</v>
      </c>
      <c r="AF40" s="69" t="n">
        <f aca="false">-AF28*Inputs!$E$34*(1+Inputs!$E$39)^(AF$5-1)</f>
        <v>-13272.4353077098</v>
      </c>
      <c r="AG40" s="69" t="n">
        <f aca="false">-AG28*Inputs!$E$34*(1+Inputs!$E$39)^(AG$5-1)</f>
        <v>-13409.4270267647</v>
      </c>
      <c r="AH40" s="69" t="n">
        <f aca="false">-AH28*Inputs!$E$34*(1+Inputs!$E$39)^(AH$5-1)</f>
        <v>-13540.9390770575</v>
      </c>
      <c r="AI40" s="69" t="n">
        <f aca="false">-AI28*Inputs!$E$34*(1+Inputs!$E$39)^(AI$5-1)</f>
        <v>-13667.1906453386</v>
      </c>
      <c r="AJ40" s="69" t="n">
        <f aca="false">-AJ28*Inputs!$E$34*(1+Inputs!$E$39)^(AJ$5-1)</f>
        <v>-13788.3921508884</v>
      </c>
      <c r="AK40" s="69" t="n">
        <f aca="false">-AK28*Inputs!$E$34*(1+Inputs!$E$39)^(AK$5-1)</f>
        <v>-13904.7455962162</v>
      </c>
      <c r="AL40" s="69" t="n">
        <f aca="false">-AL28*Inputs!$E$34*(1+Inputs!$E$39)^(AL$5-1)</f>
        <v>-11330.7986203633</v>
      </c>
      <c r="AM40" s="69" t="n">
        <f aca="false">-AM28*Inputs!$E$34*(1+Inputs!$E$39)^(AM$5-1)</f>
        <v>-11908.9156409534</v>
      </c>
      <c r="AN40" s="69" t="n">
        <f aca="false">-AN28*Inputs!$E$34*(1+Inputs!$E$39)^(AN$5-1)</f>
        <v>-11975.5798645585</v>
      </c>
      <c r="AO40" s="69" t="n">
        <f aca="false">-AO28*Inputs!$E$34*(1+Inputs!$E$39)^(AO$5-1)</f>
        <v>-14893.1874878032</v>
      </c>
      <c r="AP40" s="69" t="n">
        <f aca="false">-AP28*Inputs!$E$34*(1+Inputs!$E$39)^(AP$5-1)</f>
        <v>-15009.7868478323</v>
      </c>
      <c r="AQ40" s="69" t="n">
        <f aca="false">-AQ28*Inputs!$E$34*(1+Inputs!$E$39)^(AQ$5-1)</f>
        <v>-15121.7222334601</v>
      </c>
      <c r="AR40" s="69" t="n">
        <f aca="false">-AR28*Inputs!$E$34*(1+Inputs!$E$39)^(AR$5-1)</f>
        <v>-15229.1802036629</v>
      </c>
      <c r="AS40" s="69" t="n">
        <f aca="false">-AS28*Inputs!$E$34*(1+Inputs!$E$39)^(AS$5-1)</f>
        <v>-15332.3398550576</v>
      </c>
      <c r="AT40" s="69" t="n">
        <f aca="false">-AT28*Inputs!$E$34*(1+Inputs!$E$39)^(AT$5-1)</f>
        <v>-15431.3731203965</v>
      </c>
      <c r="AU40" s="69" t="n">
        <f aca="false">-AU28*Inputs!$E$34*(1+Inputs!$E$39)^(AU$5-1)</f>
        <v>-15526.4450551218</v>
      </c>
      <c r="AV40" s="69" t="n">
        <f aca="false">-AV28*Inputs!$E$34*(1+Inputs!$E$39)^(AV$5-1)</f>
        <v>-15617.7141124581</v>
      </c>
      <c r="AW40" s="69" t="n">
        <f aca="false">-AW28*Inputs!$E$34*(1+Inputs!$E$39)^(AW$5-1)</f>
        <v>-15705.3324075009</v>
      </c>
      <c r="AX40" s="69" t="n">
        <f aca="false">-AX28*Inputs!$E$34*(1+Inputs!$E$39)^(AX$5-1)</f>
        <v>-12765.1201006462</v>
      </c>
      <c r="AY40" s="69" t="n">
        <f aca="false">-AY28*Inputs!$E$34*(1+Inputs!$E$39)^(AY$5-1)</f>
        <v>-13373.3248635728</v>
      </c>
      <c r="AZ40" s="69" t="n">
        <f aca="false">-AZ28*Inputs!$E$34*(1+Inputs!$E$39)^(AZ$5-1)</f>
        <v>-13417.7774397002</v>
      </c>
      <c r="BA40" s="69" t="n">
        <f aca="false">-BA28*Inputs!$E$34*(1+Inputs!$E$39)^(BA$5-1)</f>
        <v>-16649.6500514277</v>
      </c>
      <c r="BB40" s="69" t="n">
        <f aca="false">-BB28*Inputs!$E$34*(1+Inputs!$E$39)^(BB$5-1)</f>
        <v>-16743.441602062</v>
      </c>
      <c r="BC40" s="69" t="n">
        <f aca="false">-BC28*Inputs!$E$34*(1+Inputs!$E$39)^(BC$5-1)</f>
        <v>-16833.4814906709</v>
      </c>
      <c r="BD40" s="69" t="n">
        <f aca="false">-BD28*Inputs!$E$34*(1+Inputs!$E$39)^(BD$5-1)</f>
        <v>-16919.9197837354</v>
      </c>
      <c r="BE40" s="69" t="n">
        <f aca="false">-BE28*Inputs!$E$34*(1+Inputs!$E$39)^(BE$5-1)</f>
        <v>-17002.9005450774</v>
      </c>
      <c r="BF40" s="69" t="n">
        <f aca="false">-BF28*Inputs!$E$34*(1+Inputs!$E$39)^(BF$5-1)</f>
        <v>-17082.5620759656</v>
      </c>
      <c r="BG40" s="69" t="n">
        <f aca="false">-BG28*Inputs!$E$34*(1+Inputs!$E$39)^(BG$5-1)</f>
        <v>-17159.0371456184</v>
      </c>
      <c r="BH40" s="69" t="n">
        <f aca="false">-BH28*Inputs!$E$34*(1+Inputs!$E$39)^(BH$5-1)</f>
        <v>-17232.453212485</v>
      </c>
      <c r="BI40" s="69" t="n">
        <f aca="false">-BI28*Inputs!$E$34*(1+Inputs!$E$39)^(BI$5-1)</f>
        <v>-17302.932636677</v>
      </c>
      <c r="BJ40" s="69" t="n">
        <f aca="false">-BJ28*Inputs!$E$34*(1+Inputs!$E$39)^(BJ$5-1)</f>
        <v>-14044.0723009754</v>
      </c>
    </row>
    <row r="41" customFormat="false" ht="15" hidden="false" customHeight="false" outlineLevel="0" collapsed="false">
      <c r="A41" s="6" t="s">
        <v>440</v>
      </c>
      <c r="C41" s="69" t="n">
        <f aca="false">-C28*Inputs!$E$35/1000*Inputs!$E$36*(1+Inputs!$E$39)^(C$5-1)</f>
        <v>-1244.2406148</v>
      </c>
      <c r="D41" s="69" t="n">
        <f aca="false">-D28*Inputs!$E$35/1000*Inputs!$E$36*(1+Inputs!$E$39)^(D$5-1)</f>
        <v>-1413.050958608</v>
      </c>
      <c r="E41" s="69" t="n">
        <f aca="false">-E28*Inputs!$E$35/1000*Inputs!$E$36*(1+Inputs!$E$39)^(E$5-1)</f>
        <v>-1964.23800801984</v>
      </c>
      <c r="F41" s="69" t="n">
        <f aca="false">-F28*Inputs!$E$35/1000*Inputs!$E$36*(1+Inputs!$E$39)^(F$5-1)</f>
        <v>-2193.15973609905</v>
      </c>
      <c r="G41" s="69" t="n">
        <f aca="false">-G28*Inputs!$E$35/1000*Inputs!$E$36*(1+Inputs!$E$39)^(G$5-1)</f>
        <v>-2428.12494945509</v>
      </c>
      <c r="H41" s="69" t="n">
        <f aca="false">-H28*Inputs!$E$35/1000*Inputs!$E$36*(1+Inputs!$E$39)^(H$5-1)</f>
        <v>-2668.89190867688</v>
      </c>
      <c r="I41" s="69" t="n">
        <f aca="false">-I28*Inputs!$E$35/1000*Inputs!$E$36*(1+Inputs!$E$39)^(I$5-1)</f>
        <v>-2915.22854392981</v>
      </c>
      <c r="J41" s="69" t="n">
        <f aca="false">-J28*Inputs!$E$35/1000*Inputs!$E$36*(1+Inputs!$E$39)^(J$5-1)</f>
        <v>-3166.91206817261</v>
      </c>
      <c r="K41" s="69" t="n">
        <f aca="false">-K28*Inputs!$E$35/1000*Inputs!$E$36*(1+Inputs!$E$39)^(K$5-1)</f>
        <v>-3423.72860584571</v>
      </c>
      <c r="L41" s="69" t="n">
        <f aca="false">-L28*Inputs!$E$35/1000*Inputs!$E$36*(1+Inputs!$E$39)^(L$5-1)</f>
        <v>-3685.47283641188</v>
      </c>
      <c r="M41" s="69" t="n">
        <f aca="false">-M28*Inputs!$E$35/1000*Inputs!$E$36*(1+Inputs!$E$39)^(M$5-1)</f>
        <v>-3786.78699495541</v>
      </c>
      <c r="N41" s="69" t="n">
        <f aca="false">-N28*Inputs!$E$35/1000*Inputs!$E$36*(1+Inputs!$E$39)^(N$5-1)</f>
        <v>-3138.26648065106</v>
      </c>
      <c r="O41" s="69" t="n">
        <f aca="false">-O28*Inputs!$E$35/1000*Inputs!$E$36*(1+Inputs!$E$39)^(O$5-1)</f>
        <v>-3366.20107525737</v>
      </c>
      <c r="P41" s="69" t="n">
        <f aca="false">-P28*Inputs!$E$35/1000*Inputs!$E$36*(1+Inputs!$E$39)^(P$5-1)</f>
        <v>-3433.62105734627</v>
      </c>
      <c r="Q41" s="69" t="n">
        <f aca="false">-Q28*Inputs!$E$35/1000*Inputs!$E$36*(1+Inputs!$E$39)^(Q$5-1)</f>
        <v>-4329.29914302137</v>
      </c>
      <c r="R41" s="69" t="n">
        <f aca="false">-R28*Inputs!$E$35/1000*Inputs!$E$36*(1+Inputs!$E$39)^(R$5-1)</f>
        <v>-4421.37078338531</v>
      </c>
      <c r="S41" s="69" t="n">
        <f aca="false">-S28*Inputs!$E$35/1000*Inputs!$E$36*(1+Inputs!$E$39)^(S$5-1)</f>
        <v>-4509.7595581347</v>
      </c>
      <c r="T41" s="69" t="n">
        <f aca="false">-T28*Inputs!$E$35/1000*Inputs!$E$36*(1+Inputs!$E$39)^(T$5-1)</f>
        <v>-4594.61278189411</v>
      </c>
      <c r="U41" s="69" t="n">
        <f aca="false">-U28*Inputs!$E$35/1000*Inputs!$E$36*(1+Inputs!$E$39)^(U$5-1)</f>
        <v>-4676.07187670315</v>
      </c>
      <c r="V41" s="69" t="n">
        <f aca="false">-V28*Inputs!$E$35/1000*Inputs!$E$36*(1+Inputs!$E$39)^(V$5-1)</f>
        <v>-4754.27260771982</v>
      </c>
      <c r="W41" s="69" t="n">
        <f aca="false">-W28*Inputs!$E$35/1000*Inputs!$E$36*(1+Inputs!$E$39)^(W$5-1)</f>
        <v>-4829.34530949583</v>
      </c>
      <c r="X41" s="69" t="n">
        <f aca="false">-X28*Inputs!$E$35/1000*Inputs!$E$36*(1+Inputs!$E$39)^(X$5-1)</f>
        <v>-4901.4151032008</v>
      </c>
      <c r="Y41" s="69" t="n">
        <f aca="false">-Y28*Inputs!$E$35/1000*Inputs!$E$36*(1+Inputs!$E$39)^(Y$5-1)</f>
        <v>-4970.60210515756</v>
      </c>
      <c r="Z41" s="69" t="n">
        <f aca="false">-Z28*Inputs!$E$35/1000*Inputs!$E$36*(1+Inputs!$E$39)^(Z$5-1)</f>
        <v>-4071.26244149685</v>
      </c>
      <c r="AA41" s="69" t="n">
        <f aca="false">-AA28*Inputs!$E$35/1000*Inputs!$E$36*(1+Inputs!$E$39)^(AA$5-1)</f>
        <v>-4305.93387645183</v>
      </c>
      <c r="AB41" s="69" t="n">
        <f aca="false">-AB28*Inputs!$E$35/1000*Inputs!$E$36*(1+Inputs!$E$39)^(AB$5-1)</f>
        <v>-4349.2635243165</v>
      </c>
      <c r="AC41" s="69" t="n">
        <f aca="false">-AC28*Inputs!$E$35/1000*Inputs!$E$36*(1+Inputs!$E$39)^(AC$5-1)</f>
        <v>-5432.2945325775</v>
      </c>
      <c r="AD41" s="69" t="n">
        <f aca="false">-AD28*Inputs!$E$35/1000*Inputs!$E$36*(1+Inputs!$E$39)^(AD$5-1)</f>
        <v>-5497.87344220477</v>
      </c>
      <c r="AE41" s="69" t="n">
        <f aca="false">-AE28*Inputs!$E$35/1000*Inputs!$E$36*(1+Inputs!$E$39)^(AE$5-1)</f>
        <v>-5560.82919544694</v>
      </c>
      <c r="AF41" s="69" t="n">
        <f aca="false">-AF28*Inputs!$E$35/1000*Inputs!$E$36*(1+Inputs!$E$39)^(AF$5-1)</f>
        <v>-5621.26671855943</v>
      </c>
      <c r="AG41" s="69" t="n">
        <f aca="false">-AG28*Inputs!$E$35/1000*Inputs!$E$36*(1+Inputs!$E$39)^(AG$5-1)</f>
        <v>-5679.28674074741</v>
      </c>
      <c r="AH41" s="69" t="n">
        <f aca="false">-AH28*Inputs!$E$35/1000*Inputs!$E$36*(1+Inputs!$E$39)^(AH$5-1)</f>
        <v>-5734.98596204788</v>
      </c>
      <c r="AI41" s="69" t="n">
        <f aca="false">-AI28*Inputs!$E$35/1000*Inputs!$E$36*(1+Inputs!$E$39)^(AI$5-1)</f>
        <v>-5788.45721449633</v>
      </c>
      <c r="AJ41" s="69" t="n">
        <f aca="false">-AJ28*Inputs!$E$35/1000*Inputs!$E$36*(1+Inputs!$E$39)^(AJ$5-1)</f>
        <v>-5839.78961684684</v>
      </c>
      <c r="AK41" s="69" t="n">
        <f aca="false">-AK28*Inputs!$E$35/1000*Inputs!$E$36*(1+Inputs!$E$39)^(AK$5-1)</f>
        <v>-5889.06872310333</v>
      </c>
      <c r="AL41" s="69" t="n">
        <f aca="false">-AL28*Inputs!$E$35/1000*Inputs!$E$36*(1+Inputs!$E$39)^(AL$5-1)</f>
        <v>-4798.92647450682</v>
      </c>
      <c r="AM41" s="69" t="n">
        <f aca="false">-AM28*Inputs!$E$35/1000*Inputs!$E$36*(1+Inputs!$E$39)^(AM$5-1)</f>
        <v>-5043.77603616849</v>
      </c>
      <c r="AN41" s="69" t="n">
        <f aca="false">-AN28*Inputs!$E$35/1000*Inputs!$E$36*(1+Inputs!$E$39)^(AN$5-1)</f>
        <v>-5072.01029557773</v>
      </c>
      <c r="AO41" s="69" t="n">
        <f aca="false">-AO28*Inputs!$E$35/1000*Inputs!$E$36*(1+Inputs!$E$39)^(AO$5-1)</f>
        <v>-6307.70293601077</v>
      </c>
      <c r="AP41" s="69" t="n">
        <f aca="false">-AP28*Inputs!$E$35/1000*Inputs!$E$36*(1+Inputs!$E$39)^(AP$5-1)</f>
        <v>-6357.08619437602</v>
      </c>
      <c r="AQ41" s="69" t="n">
        <f aca="false">-AQ28*Inputs!$E$35/1000*Inputs!$E$36*(1+Inputs!$E$39)^(AQ$5-1)</f>
        <v>-6404.49412240665</v>
      </c>
      <c r="AR41" s="69" t="n">
        <f aca="false">-AR28*Inputs!$E$35/1000*Inputs!$E$36*(1+Inputs!$E$39)^(AR$5-1)</f>
        <v>-6450.00573331606</v>
      </c>
      <c r="AS41" s="69" t="n">
        <f aca="false">-AS28*Inputs!$E$35/1000*Inputs!$E$36*(1+Inputs!$E$39)^(AS$5-1)</f>
        <v>-6493.69687978909</v>
      </c>
      <c r="AT41" s="69" t="n">
        <f aca="false">-AT28*Inputs!$E$35/1000*Inputs!$E$36*(1+Inputs!$E$39)^(AT$5-1)</f>
        <v>-6535.6403804032</v>
      </c>
      <c r="AU41" s="69" t="n">
        <f aca="false">-AU28*Inputs!$E$35/1000*Inputs!$E$36*(1+Inputs!$E$39)^(AU$5-1)</f>
        <v>-6575.90614099275</v>
      </c>
      <c r="AV41" s="69" t="n">
        <f aca="false">-AV28*Inputs!$E$35/1000*Inputs!$E$36*(1+Inputs!$E$39)^(AV$5-1)</f>
        <v>-6614.56127115872</v>
      </c>
      <c r="AW41" s="69" t="n">
        <f aca="false">-AW28*Inputs!$E$35/1000*Inputs!$E$36*(1+Inputs!$E$39)^(AW$5-1)</f>
        <v>-6651.67019611805</v>
      </c>
      <c r="AX41" s="69" t="n">
        <f aca="false">-AX28*Inputs!$E$35/1000*Inputs!$E$36*(1+Inputs!$E$39)^(AX$5-1)</f>
        <v>-5406.4038073325</v>
      </c>
      <c r="AY41" s="69" t="n">
        <f aca="false">-AY28*Inputs!$E$35/1000*Inputs!$E$36*(1+Inputs!$E$39)^(AY$5-1)</f>
        <v>-5663.99641280732</v>
      </c>
      <c r="AZ41" s="69" t="n">
        <f aca="false">-AZ28*Inputs!$E$35/1000*Inputs!$E$36*(1+Inputs!$E$39)^(AZ$5-1)</f>
        <v>-5682.82338622598</v>
      </c>
      <c r="BA41" s="69" t="n">
        <f aca="false">-BA28*Inputs!$E$35/1000*Inputs!$E$36*(1+Inputs!$E$39)^(BA$5-1)</f>
        <v>-7051.6164923694</v>
      </c>
      <c r="BB41" s="69" t="n">
        <f aca="false">-BB28*Inputs!$E$35/1000*Inputs!$E$36*(1+Inputs!$E$39)^(BB$5-1)</f>
        <v>-7091.33997263803</v>
      </c>
      <c r="BC41" s="69" t="n">
        <f aca="false">-BC28*Inputs!$E$35/1000*Inputs!$E$36*(1+Inputs!$E$39)^(BC$5-1)</f>
        <v>-7129.47451369591</v>
      </c>
      <c r="BD41" s="69" t="n">
        <f aca="false">-BD28*Inputs!$E$35/1000*Inputs!$E$36*(1+Inputs!$E$39)^(BD$5-1)</f>
        <v>-7166.08367311147</v>
      </c>
      <c r="BE41" s="69" t="n">
        <f aca="false">-BE28*Inputs!$E$35/1000*Inputs!$E$36*(1+Inputs!$E$39)^(BE$5-1)</f>
        <v>-7201.22846615042</v>
      </c>
      <c r="BF41" s="69" t="n">
        <f aca="false">-BF28*Inputs!$E$35/1000*Inputs!$E$36*(1+Inputs!$E$39)^(BF$5-1)</f>
        <v>-7234.9674674678</v>
      </c>
      <c r="BG41" s="69" t="n">
        <f aca="false">-BG28*Inputs!$E$35/1000*Inputs!$E$36*(1+Inputs!$E$39)^(BG$5-1)</f>
        <v>-7267.35690873249</v>
      </c>
      <c r="BH41" s="69" t="n">
        <f aca="false">-BH28*Inputs!$E$35/1000*Inputs!$E$36*(1+Inputs!$E$39)^(BH$5-1)</f>
        <v>-7298.4507723466</v>
      </c>
      <c r="BI41" s="69" t="n">
        <f aca="false">-BI28*Inputs!$E$35/1000*Inputs!$E$36*(1+Inputs!$E$39)^(BI$5-1)</f>
        <v>-7328.30088141614</v>
      </c>
      <c r="BJ41" s="69" t="n">
        <f aca="false">-BJ28*Inputs!$E$35/1000*Inputs!$E$36*(1+Inputs!$E$39)^(BJ$5-1)</f>
        <v>-5948.07768041311</v>
      </c>
    </row>
    <row r="42" customFormat="false" ht="15" hidden="false" customHeight="false" outlineLevel="0" collapsed="false">
      <c r="A42" s="6" t="s">
        <v>441</v>
      </c>
      <c r="C42" s="69" t="n">
        <f aca="false">-C28*Inputs!$E$37*(1+Inputs!$E$39)^(C$5-1)</f>
        <v>-1451.6140506</v>
      </c>
      <c r="D42" s="69" t="n">
        <f aca="false">-D28*Inputs!$E$37*(1+Inputs!$E$39)^(D$5-1)</f>
        <v>-1648.55945170933</v>
      </c>
      <c r="E42" s="69" t="n">
        <f aca="false">-E28*Inputs!$E$37*(1+Inputs!$E$39)^(E$5-1)</f>
        <v>-2291.61100935648</v>
      </c>
      <c r="F42" s="69" t="n">
        <f aca="false">-F28*Inputs!$E$37*(1+Inputs!$E$39)^(F$5-1)</f>
        <v>-2558.68635878222</v>
      </c>
      <c r="G42" s="69" t="n">
        <f aca="false">-G28*Inputs!$E$37*(1+Inputs!$E$39)^(G$5-1)</f>
        <v>-2832.81244103093</v>
      </c>
      <c r="H42" s="69" t="n">
        <f aca="false">-H28*Inputs!$E$37*(1+Inputs!$E$39)^(H$5-1)</f>
        <v>-3113.70722678969</v>
      </c>
      <c r="I42" s="69" t="n">
        <f aca="false">-I28*Inputs!$E$37*(1+Inputs!$E$39)^(I$5-1)</f>
        <v>-3401.09996791811</v>
      </c>
      <c r="J42" s="69" t="n">
        <f aca="false">-J28*Inputs!$E$37*(1+Inputs!$E$39)^(J$5-1)</f>
        <v>-3694.73074620138</v>
      </c>
      <c r="K42" s="69" t="n">
        <f aca="false">-K28*Inputs!$E$37*(1+Inputs!$E$39)^(K$5-1)</f>
        <v>-3994.35004015333</v>
      </c>
      <c r="L42" s="69" t="n">
        <f aca="false">-L28*Inputs!$E$37*(1+Inputs!$E$39)^(L$5-1)</f>
        <v>-4299.71830914719</v>
      </c>
      <c r="M42" s="69" t="n">
        <f aca="false">-M28*Inputs!$E$37*(1+Inputs!$E$39)^(M$5-1)</f>
        <v>-4417.91816078131</v>
      </c>
      <c r="N42" s="69" t="n">
        <f aca="false">-N28*Inputs!$E$37*(1+Inputs!$E$39)^(N$5-1)</f>
        <v>-3661.3108940929</v>
      </c>
      <c r="O42" s="69" t="n">
        <f aca="false">-O28*Inputs!$E$37*(1+Inputs!$E$39)^(O$5-1)</f>
        <v>-3927.23458780026</v>
      </c>
      <c r="P42" s="69" t="n">
        <f aca="false">-P28*Inputs!$E$37*(1+Inputs!$E$39)^(P$5-1)</f>
        <v>-4005.89123357065</v>
      </c>
      <c r="Q42" s="69" t="n">
        <f aca="false">-Q28*Inputs!$E$37*(1+Inputs!$E$39)^(Q$5-1)</f>
        <v>-5050.8490001916</v>
      </c>
      <c r="R42" s="69" t="n">
        <f aca="false">-R28*Inputs!$E$37*(1+Inputs!$E$39)^(R$5-1)</f>
        <v>-5158.26591394953</v>
      </c>
      <c r="S42" s="69" t="n">
        <f aca="false">-S28*Inputs!$E$37*(1+Inputs!$E$39)^(S$5-1)</f>
        <v>-5261.38615115715</v>
      </c>
      <c r="T42" s="69" t="n">
        <f aca="false">-T28*Inputs!$E$37*(1+Inputs!$E$39)^(T$5-1)</f>
        <v>-5360.38157887646</v>
      </c>
      <c r="U42" s="69" t="n">
        <f aca="false">-U28*Inputs!$E$37*(1+Inputs!$E$39)^(U$5-1)</f>
        <v>-5455.41718948701</v>
      </c>
      <c r="V42" s="69" t="n">
        <f aca="false">-V28*Inputs!$E$37*(1+Inputs!$E$39)^(V$5-1)</f>
        <v>-5546.65137567313</v>
      </c>
      <c r="W42" s="69" t="n">
        <f aca="false">-W28*Inputs!$E$37*(1+Inputs!$E$39)^(W$5-1)</f>
        <v>-5634.2361944118</v>
      </c>
      <c r="X42" s="69" t="n">
        <f aca="false">-X28*Inputs!$E$37*(1+Inputs!$E$39)^(X$5-1)</f>
        <v>-5718.31762040093</v>
      </c>
      <c r="Y42" s="69" t="n">
        <f aca="false">-Y28*Inputs!$E$37*(1+Inputs!$E$39)^(Y$5-1)</f>
        <v>-5799.03578935049</v>
      </c>
      <c r="Z42" s="69" t="n">
        <f aca="false">-Z28*Inputs!$E$37*(1+Inputs!$E$39)^(Z$5-1)</f>
        <v>-4749.80618174632</v>
      </c>
      <c r="AA42" s="69" t="n">
        <f aca="false">-AA28*Inputs!$E$37*(1+Inputs!$E$39)^(AA$5-1)</f>
        <v>-5023.58952252714</v>
      </c>
      <c r="AB42" s="69" t="n">
        <f aca="false">-AB28*Inputs!$E$37*(1+Inputs!$E$39)^(AB$5-1)</f>
        <v>-5074.14077836925</v>
      </c>
      <c r="AC42" s="69" t="n">
        <f aca="false">-AC28*Inputs!$E$37*(1+Inputs!$E$39)^(AC$5-1)</f>
        <v>-6337.67695467375</v>
      </c>
      <c r="AD42" s="69" t="n">
        <f aca="false">-AD28*Inputs!$E$37*(1+Inputs!$E$39)^(AD$5-1)</f>
        <v>-6414.18568257223</v>
      </c>
      <c r="AE42" s="69" t="n">
        <f aca="false">-AE28*Inputs!$E$37*(1+Inputs!$E$39)^(AE$5-1)</f>
        <v>-6487.63406135476</v>
      </c>
      <c r="AF42" s="69" t="n">
        <f aca="false">-AF28*Inputs!$E$37*(1+Inputs!$E$39)^(AF$5-1)</f>
        <v>-6558.144504986</v>
      </c>
      <c r="AG42" s="69" t="n">
        <f aca="false">-AG28*Inputs!$E$37*(1+Inputs!$E$39)^(AG$5-1)</f>
        <v>-6625.83453087198</v>
      </c>
      <c r="AH42" s="69" t="n">
        <f aca="false">-AH28*Inputs!$E$37*(1+Inputs!$E$39)^(AH$5-1)</f>
        <v>-6690.81695572253</v>
      </c>
      <c r="AI42" s="69" t="n">
        <f aca="false">-AI28*Inputs!$E$37*(1+Inputs!$E$39)^(AI$5-1)</f>
        <v>-6753.20008357905</v>
      </c>
      <c r="AJ42" s="69" t="n">
        <f aca="false">-AJ28*Inputs!$E$37*(1+Inputs!$E$39)^(AJ$5-1)</f>
        <v>-6813.08788632131</v>
      </c>
      <c r="AK42" s="69" t="n">
        <f aca="false">-AK28*Inputs!$E$37*(1+Inputs!$E$39)^(AK$5-1)</f>
        <v>-6870.58017695389</v>
      </c>
      <c r="AL42" s="69" t="n">
        <f aca="false">-AL28*Inputs!$E$37*(1+Inputs!$E$39)^(AL$5-1)</f>
        <v>-5598.74755359129</v>
      </c>
      <c r="AM42" s="69" t="n">
        <f aca="false">-AM28*Inputs!$E$37*(1+Inputs!$E$39)^(AM$5-1)</f>
        <v>-5884.40537552991</v>
      </c>
      <c r="AN42" s="69" t="n">
        <f aca="false">-AN28*Inputs!$E$37*(1+Inputs!$E$39)^(AN$5-1)</f>
        <v>-5917.34534484069</v>
      </c>
      <c r="AO42" s="69" t="n">
        <f aca="false">-AO28*Inputs!$E$37*(1+Inputs!$E$39)^(AO$5-1)</f>
        <v>-7358.98675867923</v>
      </c>
      <c r="AP42" s="69" t="n">
        <f aca="false">-AP28*Inputs!$E$37*(1+Inputs!$E$39)^(AP$5-1)</f>
        <v>-7416.60056010535</v>
      </c>
      <c r="AQ42" s="69" t="n">
        <f aca="false">-AQ28*Inputs!$E$37*(1+Inputs!$E$39)^(AQ$5-1)</f>
        <v>-7471.90980947443</v>
      </c>
      <c r="AR42" s="69" t="n">
        <f aca="false">-AR28*Inputs!$E$37*(1+Inputs!$E$39)^(AR$5-1)</f>
        <v>-7525.00668886874</v>
      </c>
      <c r="AS42" s="69" t="n">
        <f aca="false">-AS28*Inputs!$E$37*(1+Inputs!$E$39)^(AS$5-1)</f>
        <v>-7575.97969308727</v>
      </c>
      <c r="AT42" s="69" t="n">
        <f aca="false">-AT28*Inputs!$E$37*(1+Inputs!$E$39)^(AT$5-1)</f>
        <v>-7624.91377713707</v>
      </c>
      <c r="AU42" s="69" t="n">
        <f aca="false">-AU28*Inputs!$E$37*(1+Inputs!$E$39)^(AU$5-1)</f>
        <v>-7671.89049782488</v>
      </c>
      <c r="AV42" s="69" t="n">
        <f aca="false">-AV28*Inputs!$E$37*(1+Inputs!$E$39)^(AV$5-1)</f>
        <v>-7716.98814968517</v>
      </c>
      <c r="AW42" s="69" t="n">
        <f aca="false">-AW28*Inputs!$E$37*(1+Inputs!$E$39)^(AW$5-1)</f>
        <v>-7760.28189547105</v>
      </c>
      <c r="AX42" s="69" t="n">
        <f aca="false">-AX28*Inputs!$E$37*(1+Inputs!$E$39)^(AX$5-1)</f>
        <v>-6307.47110855458</v>
      </c>
      <c r="AY42" s="69" t="n">
        <f aca="false">-AY28*Inputs!$E$37*(1+Inputs!$E$39)^(AY$5-1)</f>
        <v>-6607.99581494188</v>
      </c>
      <c r="AZ42" s="69" t="n">
        <f aca="false">-AZ28*Inputs!$E$37*(1+Inputs!$E$39)^(AZ$5-1)</f>
        <v>-6629.96061726365</v>
      </c>
      <c r="BA42" s="69" t="n">
        <f aca="false">-BA28*Inputs!$E$37*(1+Inputs!$E$39)^(BA$5-1)</f>
        <v>-8226.8859077643</v>
      </c>
      <c r="BB42" s="69" t="n">
        <f aca="false">-BB28*Inputs!$E$37*(1+Inputs!$E$39)^(BB$5-1)</f>
        <v>-8273.2299680777</v>
      </c>
      <c r="BC42" s="69" t="n">
        <f aca="false">-BC28*Inputs!$E$37*(1+Inputs!$E$39)^(BC$5-1)</f>
        <v>-8317.72026597856</v>
      </c>
      <c r="BD42" s="69" t="n">
        <f aca="false">-BD28*Inputs!$E$37*(1+Inputs!$E$39)^(BD$5-1)</f>
        <v>-8360.43095196338</v>
      </c>
      <c r="BE42" s="69" t="n">
        <f aca="false">-BE28*Inputs!$E$37*(1+Inputs!$E$39)^(BE$5-1)</f>
        <v>-8401.43321050882</v>
      </c>
      <c r="BF42" s="69" t="n">
        <f aca="false">-BF28*Inputs!$E$37*(1+Inputs!$E$39)^(BF$5-1)</f>
        <v>-8440.79537871244</v>
      </c>
      <c r="BG42" s="69" t="n">
        <f aca="false">-BG28*Inputs!$E$37*(1+Inputs!$E$39)^(BG$5-1)</f>
        <v>-8478.58306018791</v>
      </c>
      <c r="BH42" s="69" t="n">
        <f aca="false">-BH28*Inputs!$E$37*(1+Inputs!$E$39)^(BH$5-1)</f>
        <v>-8514.85923440436</v>
      </c>
      <c r="BI42" s="69" t="n">
        <f aca="false">-BI28*Inputs!$E$37*(1+Inputs!$E$39)^(BI$5-1)</f>
        <v>-8549.68436165216</v>
      </c>
      <c r="BJ42" s="69" t="n">
        <f aca="false">-BJ28*Inputs!$E$37*(1+Inputs!$E$39)^(BJ$5-1)</f>
        <v>-6939.42396048196</v>
      </c>
    </row>
    <row r="43" customFormat="false" ht="15" hidden="false" customHeight="false" outlineLevel="0" collapsed="false">
      <c r="A43" s="6" t="s">
        <v>248</v>
      </c>
      <c r="C43" s="69" t="n">
        <f aca="false">C40+C41+C42</f>
        <v>-5633.6450059</v>
      </c>
      <c r="D43" s="69" t="n">
        <f aca="false">D40+D41+D42</f>
        <v>-6397.98072925289</v>
      </c>
      <c r="E43" s="69" t="n">
        <f aca="false">E40+E41+E42</f>
        <v>-8893.63320297872</v>
      </c>
      <c r="F43" s="69" t="n">
        <f aca="false">F40+F41+F42</f>
        <v>-9930.13991622624</v>
      </c>
      <c r="G43" s="69" t="n">
        <f aca="false">G40+G41+G42</f>
        <v>-10994.0101878105</v>
      </c>
      <c r="H43" s="69" t="n">
        <f aca="false">H40+H41+H42</f>
        <v>-12084.1494753981</v>
      </c>
      <c r="I43" s="69" t="n">
        <f aca="false">I40+I41+I42</f>
        <v>-13199.5070183488</v>
      </c>
      <c r="J43" s="69" t="n">
        <f aca="false">J40+J41+J42</f>
        <v>-14339.0740864482</v>
      </c>
      <c r="K43" s="69" t="n">
        <f aca="false">K40+K41+K42</f>
        <v>-15501.8822986903</v>
      </c>
      <c r="L43" s="69" t="n">
        <f aca="false">L40+L41+L42</f>
        <v>-16687.0020093093</v>
      </c>
      <c r="M43" s="69" t="n">
        <f aca="false">M40+M41+M42</f>
        <v>-17145.730004937</v>
      </c>
      <c r="N43" s="69" t="n">
        <f aca="false">N40+N41+N42</f>
        <v>-14209.3732318367</v>
      </c>
      <c r="O43" s="69" t="n">
        <f aca="false">O40+O41+O42</f>
        <v>-15241.410424082</v>
      </c>
      <c r="P43" s="69" t="n">
        <f aca="false">P40+P41+P42</f>
        <v>-15546.6731207623</v>
      </c>
      <c r="Q43" s="69" t="n">
        <f aca="false">Q40+Q41+Q42</f>
        <v>-19602.1044531245</v>
      </c>
      <c r="R43" s="69" t="n">
        <f aca="false">R40+R41+R42</f>
        <v>-20018.9843803279</v>
      </c>
      <c r="S43" s="69" t="n">
        <f aca="false">S40+S41+S42</f>
        <v>-20419.1891104432</v>
      </c>
      <c r="T43" s="69" t="n">
        <f aca="false">T40+T41+T42</f>
        <v>-20803.3856513539</v>
      </c>
      <c r="U43" s="69" t="n">
        <f aca="false">U40+U41+U42</f>
        <v>-21172.2143306281</v>
      </c>
      <c r="V43" s="69" t="n">
        <f aca="false">V40+V41+V42</f>
        <v>-21526.2898627314</v>
      </c>
      <c r="W43" s="69" t="n">
        <f aca="false">W40+W41+W42</f>
        <v>-21866.2023735506</v>
      </c>
      <c r="X43" s="69" t="n">
        <f aca="false">X40+X41+X42</f>
        <v>-22192.5183839369</v>
      </c>
      <c r="Y43" s="69" t="n">
        <f aca="false">Y40+Y41+Y42</f>
        <v>-22505.7817539079</v>
      </c>
      <c r="Z43" s="69" t="n">
        <f aca="false">Z40+Z41+Z42</f>
        <v>-18433.7716101107</v>
      </c>
      <c r="AA43" s="69" t="n">
        <f aca="false">AA40+AA41+AA42</f>
        <v>-19496.3117183791</v>
      </c>
      <c r="AB43" s="69" t="n">
        <f aca="false">AB40+AB41+AB42</f>
        <v>-19692.4987350997</v>
      </c>
      <c r="AC43" s="69" t="n">
        <f aca="false">AC40+AC41+AC42</f>
        <v>-24596.2224669481</v>
      </c>
      <c r="AD43" s="69" t="n">
        <f aca="false">AD40+AD41+AD42</f>
        <v>-24893.1491966494</v>
      </c>
      <c r="AE43" s="69" t="n">
        <f aca="false">AE40+AE41+AE42</f>
        <v>-25178.1988571625</v>
      </c>
      <c r="AF43" s="69" t="n">
        <f aca="false">AF40+AF41+AF42</f>
        <v>-25451.8465312552</v>
      </c>
      <c r="AG43" s="69" t="n">
        <f aca="false">AG40+AG41+AG42</f>
        <v>-25714.5482983841</v>
      </c>
      <c r="AH43" s="69" t="n">
        <f aca="false">AH40+AH41+AH42</f>
        <v>-25966.7419948279</v>
      </c>
      <c r="AI43" s="69" t="n">
        <f aca="false">AI40+AI41+AI42</f>
        <v>-26208.8479434139</v>
      </c>
      <c r="AJ43" s="69" t="n">
        <f aca="false">AJ40+AJ41+AJ42</f>
        <v>-26441.2696540565</v>
      </c>
      <c r="AK43" s="69" t="n">
        <f aca="false">AK40+AK41+AK42</f>
        <v>-26664.3944962734</v>
      </c>
      <c r="AL43" s="69" t="n">
        <f aca="false">AL40+AL41+AL42</f>
        <v>-21728.4726484614</v>
      </c>
      <c r="AM43" s="69" t="n">
        <f aca="false">AM40+AM41+AM42</f>
        <v>-22837.0970526518</v>
      </c>
      <c r="AN43" s="69" t="n">
        <f aca="false">AN40+AN41+AN42</f>
        <v>-22964.9355049769</v>
      </c>
      <c r="AO43" s="69" t="n">
        <f aca="false">AO40+AO41+AO42</f>
        <v>-28559.8771824932</v>
      </c>
      <c r="AP43" s="69" t="n">
        <f aca="false">AP40+AP41+AP42</f>
        <v>-28783.4736023136</v>
      </c>
      <c r="AQ43" s="69" t="n">
        <f aca="false">AQ40+AQ41+AQ42</f>
        <v>-28998.1261653412</v>
      </c>
      <c r="AR43" s="69" t="n">
        <f aca="false">AR40+AR41+AR42</f>
        <v>-29204.1926258477</v>
      </c>
      <c r="AS43" s="69" t="n">
        <f aca="false">AS40+AS41+AS42</f>
        <v>-29402.0164279339</v>
      </c>
      <c r="AT43" s="69" t="n">
        <f aca="false">AT40+AT41+AT42</f>
        <v>-29591.9272779367</v>
      </c>
      <c r="AU43" s="69" t="n">
        <f aca="false">AU40+AU41+AU42</f>
        <v>-29774.2416939394</v>
      </c>
      <c r="AV43" s="69" t="n">
        <f aca="false">AV40+AV41+AV42</f>
        <v>-29949.263533302</v>
      </c>
      <c r="AW43" s="69" t="n">
        <f aca="false">AW40+AW41+AW42</f>
        <v>-30117.28449909</v>
      </c>
      <c r="AX43" s="69" t="n">
        <f aca="false">AX40+AX41+AX42</f>
        <v>-24478.9950165333</v>
      </c>
      <c r="AY43" s="69" t="n">
        <f aca="false">AY40+AY41+AY42</f>
        <v>-25645.3170913221</v>
      </c>
      <c r="AZ43" s="69" t="n">
        <f aca="false">AZ40+AZ41+AZ42</f>
        <v>-25730.5614431899</v>
      </c>
      <c r="BA43" s="69" t="n">
        <f aca="false">BA40+BA41+BA42</f>
        <v>-31928.1524515614</v>
      </c>
      <c r="BB43" s="69" t="n">
        <f aca="false">BB40+BB41+BB42</f>
        <v>-32108.0115427777</v>
      </c>
      <c r="BC43" s="69" t="n">
        <f aca="false">BC40+BC41+BC42</f>
        <v>-32280.6762703454</v>
      </c>
      <c r="BD43" s="69" t="n">
        <f aca="false">BD40+BD41+BD42</f>
        <v>-32446.4344088103</v>
      </c>
      <c r="BE43" s="69" t="n">
        <f aca="false">BE40+BE41+BE42</f>
        <v>-32605.5622217366</v>
      </c>
      <c r="BF43" s="69" t="n">
        <f aca="false">BF40+BF41+BF42</f>
        <v>-32758.3249221459</v>
      </c>
      <c r="BG43" s="69" t="n">
        <f aca="false">BG40+BG41+BG42</f>
        <v>-32904.9771145388</v>
      </c>
      <c r="BH43" s="69" t="n">
        <f aca="false">BH40+BH41+BH42</f>
        <v>-33045.763219236</v>
      </c>
      <c r="BI43" s="69" t="n">
        <f aca="false">BI40+BI41+BI42</f>
        <v>-33180.9178797453</v>
      </c>
      <c r="BJ43" s="69" t="n">
        <f aca="false">BJ40+BJ41+BJ42</f>
        <v>-26931.5739418705</v>
      </c>
    </row>
    <row r="44" customFormat="false" ht="15" hidden="false" customHeight="false" outlineLevel="0" collapsed="false">
      <c r="A44" s="6" t="s">
        <v>442</v>
      </c>
      <c r="C44" s="69" t="n">
        <f aca="false">-C37*Inputs!$E$38</f>
        <v>-1438.30074</v>
      </c>
      <c r="D44" s="69" t="n">
        <f aca="false">-D37*Inputs!$E$38</f>
        <v>-1633.46807706667</v>
      </c>
      <c r="E44" s="69" t="n">
        <f aca="false">-E37*Inputs!$E$38</f>
        <v>-2183.202053984</v>
      </c>
      <c r="F44" s="69" t="n">
        <f aca="false">-F37*Inputs!$E$38</f>
        <v>-2431.55696515797</v>
      </c>
      <c r="G44" s="69" t="n">
        <f aca="false">-G37*Inputs!$E$38</f>
        <v>-2684.70829321832</v>
      </c>
      <c r="H44" s="69" t="n">
        <f aca="false">-H37*Inputs!$E$38</f>
        <v>-2942.46418148959</v>
      </c>
      <c r="I44" s="69" t="n">
        <f aca="false">-I37*Inputs!$E$38</f>
        <v>-3204.64044756334</v>
      </c>
      <c r="J44" s="69" t="n">
        <f aca="false">-J37*Inputs!$E$38</f>
        <v>-3471.06027632747</v>
      </c>
      <c r="K44" s="69" t="n">
        <f aca="false">-K37*Inputs!$E$38</f>
        <v>-3741.55392527437</v>
      </c>
      <c r="L44" s="69" t="n">
        <f aca="false">-L37*Inputs!$E$38</f>
        <v>-4015.95844159673</v>
      </c>
      <c r="M44" s="69" t="n">
        <f aca="false">-M37*Inputs!$E$38</f>
        <v>-4096.36650393286</v>
      </c>
      <c r="N44" s="69" t="n">
        <f aca="false">-N37*Inputs!$E$38</f>
        <v>-3562.19184377555</v>
      </c>
      <c r="O44" s="69" t="n">
        <f aca="false">-O37*Inputs!$E$38</f>
        <v>-3778.18065974502</v>
      </c>
      <c r="P44" s="69" t="n">
        <f aca="false">-P37*Inputs!$E$38</f>
        <v>-3843.63695303521</v>
      </c>
      <c r="Q44" s="69" t="n">
        <f aca="false">-Q37*Inputs!$E$38</f>
        <v>-4548.77653443381</v>
      </c>
      <c r="R44" s="69" t="n">
        <f aca="false">-R37*Inputs!$E$38</f>
        <v>-4621.13982089645</v>
      </c>
      <c r="S44" s="69" t="n">
        <f aca="false">-S37*Inputs!$E$38</f>
        <v>-4690.6085759006</v>
      </c>
      <c r="T44" s="69" t="n">
        <f aca="false">-T37*Inputs!$E$38</f>
        <v>-4757.29858070457</v>
      </c>
      <c r="U44" s="69" t="n">
        <f aca="false">-U37*Inputs!$E$38</f>
        <v>-4821.32098531639</v>
      </c>
      <c r="V44" s="69" t="n">
        <f aca="false">-V37*Inputs!$E$38</f>
        <v>-4882.78249374373</v>
      </c>
      <c r="W44" s="69" t="n">
        <f aca="false">-W37*Inputs!$E$38</f>
        <v>-4941.78554183399</v>
      </c>
      <c r="X44" s="69" t="n">
        <f aca="false">-X37*Inputs!$E$38</f>
        <v>-4998.42846800063</v>
      </c>
      <c r="Y44" s="69" t="n">
        <f aca="false">-Y37*Inputs!$E$38</f>
        <v>-5052.8056771206</v>
      </c>
      <c r="Z44" s="69" t="n">
        <f aca="false">-Z37*Inputs!$E$38</f>
        <v>-4462.70625803578</v>
      </c>
      <c r="AA44" s="69" t="n">
        <f aca="false">-AA37*Inputs!$E$38</f>
        <v>-4675.76227444842</v>
      </c>
      <c r="AB44" s="69" t="n">
        <f aca="false">-AB37*Inputs!$E$38</f>
        <v>-4717.42147024629</v>
      </c>
      <c r="AC44" s="69" t="n">
        <f aca="false">-AC37*Inputs!$E$38</f>
        <v>-5432.21629596816</v>
      </c>
      <c r="AD44" s="69" t="n">
        <f aca="false">-AD37*Inputs!$E$38</f>
        <v>-5483.25733897013</v>
      </c>
      <c r="AE44" s="69" t="n">
        <f aca="false">-AE37*Inputs!$E$38</f>
        <v>-5532.25674025203</v>
      </c>
      <c r="AF44" s="69" t="n">
        <f aca="false">-AF37*Inputs!$E$38</f>
        <v>-5579.29616548265</v>
      </c>
      <c r="AG44" s="69" t="n">
        <f aca="false">-AG37*Inputs!$E$38</f>
        <v>-5624.45401370405</v>
      </c>
      <c r="AH44" s="69" t="n">
        <f aca="false">-AH37*Inputs!$E$38</f>
        <v>-5667.80554799659</v>
      </c>
      <c r="AI44" s="69" t="n">
        <f aca="false">-AI37*Inputs!$E$38</f>
        <v>-5709.42302091743</v>
      </c>
      <c r="AJ44" s="69" t="n">
        <f aca="false">-AJ37*Inputs!$E$38</f>
        <v>-5749.37579492144</v>
      </c>
      <c r="AK44" s="69" t="n">
        <f aca="false">-AK37*Inputs!$E$38</f>
        <v>-5787.73045796529</v>
      </c>
      <c r="AL44" s="69" t="n">
        <f aca="false">-AL37*Inputs!$E$38</f>
        <v>-5149.74893673148</v>
      </c>
      <c r="AM44" s="69" t="n">
        <f aca="false">-AM37*Inputs!$E$38</f>
        <v>-5365.19124030569</v>
      </c>
      <c r="AN44" s="69" t="n">
        <f aca="false">-AN37*Inputs!$E$38</f>
        <v>-5392.07345653113</v>
      </c>
      <c r="AO44" s="69" t="n">
        <f aca="false">-AO37*Inputs!$E$38</f>
        <v>-6126.8273629499</v>
      </c>
      <c r="AP44" s="69" t="n">
        <f aca="false">-AP37*Inputs!$E$38</f>
        <v>-6164.88992674255</v>
      </c>
      <c r="AQ44" s="69" t="n">
        <f aca="false">-AQ37*Inputs!$E$38</f>
        <v>-6201.42998798349</v>
      </c>
      <c r="AR44" s="69" t="n">
        <f aca="false">-AR37*Inputs!$E$38</f>
        <v>-6236.50844677479</v>
      </c>
      <c r="AS44" s="69" t="n">
        <f aca="false">-AS37*Inputs!$E$38</f>
        <v>-6270.18376721445</v>
      </c>
      <c r="AT44" s="69" t="n">
        <f aca="false">-AT37*Inputs!$E$38</f>
        <v>-6302.51207483651</v>
      </c>
      <c r="AU44" s="69" t="n">
        <f aca="false">-AU37*Inputs!$E$38</f>
        <v>-6333.54725015369</v>
      </c>
      <c r="AV44" s="69" t="n">
        <f aca="false">-AV37*Inputs!$E$38</f>
        <v>-6363.34101845819</v>
      </c>
      <c r="AW44" s="69" t="n">
        <f aca="false">-AW37*Inputs!$E$38</f>
        <v>-6391.9430360305</v>
      </c>
      <c r="AX44" s="69" t="n">
        <f aca="false">-AX37*Inputs!$E$38</f>
        <v>-5710.45399405758</v>
      </c>
      <c r="AY44" s="69" t="n">
        <f aca="false">-AY37*Inputs!$E$38</f>
        <v>-5931.83939755364</v>
      </c>
      <c r="AZ44" s="69" t="n">
        <f aca="false">-AZ37*Inputs!$E$38</f>
        <v>-5949.59077775623</v>
      </c>
      <c r="BA44" s="69" t="n">
        <f aca="false">-BA37*Inputs!$E$38</f>
        <v>-6711.45179872249</v>
      </c>
      <c r="BB44" s="69" t="n">
        <f aca="false">-BB37*Inputs!$E$38</f>
        <v>-6741.77175245043</v>
      </c>
      <c r="BC44" s="69" t="n">
        <f aca="false">-BC37*Inputs!$E$38</f>
        <v>-6770.87890802925</v>
      </c>
      <c r="BD44" s="69" t="n">
        <f aca="false">-BD37*Inputs!$E$38</f>
        <v>-6798.82177738493</v>
      </c>
      <c r="BE44" s="69" t="n">
        <f aca="false">-BE37*Inputs!$E$38</f>
        <v>-6825.64693196637</v>
      </c>
      <c r="BF44" s="69" t="n">
        <f aca="false">-BF37*Inputs!$E$38</f>
        <v>-6851.39908036456</v>
      </c>
      <c r="BG44" s="69" t="n">
        <f aca="false">-BG37*Inputs!$E$38</f>
        <v>-6876.12114282682</v>
      </c>
      <c r="BH44" s="69" t="n">
        <f aca="false">-BH37*Inputs!$E$38</f>
        <v>-6899.85432279059</v>
      </c>
      <c r="BI44" s="69" t="n">
        <f aca="false">-BI37*Inputs!$E$38</f>
        <v>-6922.63817555581</v>
      </c>
      <c r="BJ44" s="69" t="n">
        <f aca="false">-BJ37*Inputs!$E$38</f>
        <v>-6199.69097823865</v>
      </c>
    </row>
    <row r="45" customFormat="false" ht="15" hidden="false" customHeight="false" outlineLevel="0" collapsed="false">
      <c r="A45" s="4" t="s">
        <v>76</v>
      </c>
      <c r="C45" s="75" t="n">
        <f aca="false">C43+C44</f>
        <v>-7071.9457459</v>
      </c>
      <c r="D45" s="75" t="n">
        <f aca="false">D43+D44</f>
        <v>-8031.44880631956</v>
      </c>
      <c r="E45" s="75" t="n">
        <f aca="false">E43+E44</f>
        <v>-11076.8352569627</v>
      </c>
      <c r="F45" s="75" t="n">
        <f aca="false">F43+F44</f>
        <v>-12361.6968813842</v>
      </c>
      <c r="G45" s="75" t="n">
        <f aca="false">G43+G44</f>
        <v>-13678.7184810288</v>
      </c>
      <c r="H45" s="75" t="n">
        <f aca="false">H43+H44</f>
        <v>-15026.6136568877</v>
      </c>
      <c r="I45" s="75" t="n">
        <f aca="false">I43+I44</f>
        <v>-16404.1474659122</v>
      </c>
      <c r="J45" s="75" t="n">
        <f aca="false">J43+J44</f>
        <v>-17810.1343627757</v>
      </c>
      <c r="K45" s="75" t="n">
        <f aca="false">K43+K44</f>
        <v>-19243.4362239647</v>
      </c>
      <c r="L45" s="75" t="n">
        <f aca="false">L43+L44</f>
        <v>-20702.9604509061</v>
      </c>
      <c r="M45" s="75" t="n">
        <f aca="false">M43+M44</f>
        <v>-21242.0965088698</v>
      </c>
      <c r="N45" s="75" t="n">
        <f aca="false">N43+N44</f>
        <v>-17771.5650756123</v>
      </c>
      <c r="O45" s="75" t="n">
        <f aca="false">O43+O44</f>
        <v>-19019.591083827</v>
      </c>
      <c r="P45" s="75" t="n">
        <f aca="false">P43+P44</f>
        <v>-19390.3100737975</v>
      </c>
      <c r="Q45" s="75" t="n">
        <f aca="false">Q43+Q44</f>
        <v>-24150.8809875583</v>
      </c>
      <c r="R45" s="75" t="n">
        <f aca="false">R43+R44</f>
        <v>-24640.1242012244</v>
      </c>
      <c r="S45" s="75" t="n">
        <f aca="false">S43+S44</f>
        <v>-25109.7976863438</v>
      </c>
      <c r="T45" s="75" t="n">
        <f aca="false">T43+T44</f>
        <v>-25560.6842320585</v>
      </c>
      <c r="U45" s="75" t="n">
        <f aca="false">U43+U44</f>
        <v>-25993.5353159445</v>
      </c>
      <c r="V45" s="75" t="n">
        <f aca="false">V43+V44</f>
        <v>-26409.0723564752</v>
      </c>
      <c r="W45" s="75" t="n">
        <f aca="false">W43+W44</f>
        <v>-26807.9879153845</v>
      </c>
      <c r="X45" s="75" t="n">
        <f aca="false">X43+X44</f>
        <v>-27190.9468519376</v>
      </c>
      <c r="Y45" s="75" t="n">
        <f aca="false">Y43+Y44</f>
        <v>-27558.5874310285</v>
      </c>
      <c r="Z45" s="75" t="n">
        <f aca="false">Z43+Z44</f>
        <v>-22896.4778681465</v>
      </c>
      <c r="AA45" s="75" t="n">
        <f aca="false">AA43+AA44</f>
        <v>-24172.0739928275</v>
      </c>
      <c r="AB45" s="75" t="n">
        <f aca="false">AB43+AB44</f>
        <v>-24409.920205346</v>
      </c>
      <c r="AC45" s="75" t="n">
        <f aca="false">AC43+AC44</f>
        <v>-30028.4387629163</v>
      </c>
      <c r="AD45" s="75" t="n">
        <f aca="false">AD43+AD44</f>
        <v>-30376.4065356195</v>
      </c>
      <c r="AE45" s="75" t="n">
        <f aca="false">AE43+AE44</f>
        <v>-30710.4555974146</v>
      </c>
      <c r="AF45" s="75" t="n">
        <f aca="false">AF43+AF44</f>
        <v>-31031.1426967378</v>
      </c>
      <c r="AG45" s="75" t="n">
        <f aca="false">AG43+AG44</f>
        <v>-31339.0023120882</v>
      </c>
      <c r="AH45" s="75" t="n">
        <f aca="false">AH43+AH44</f>
        <v>-31634.5475428245</v>
      </c>
      <c r="AI45" s="75" t="n">
        <f aca="false">AI43+AI44</f>
        <v>-31918.2709643314</v>
      </c>
      <c r="AJ45" s="75" t="n">
        <f aca="false">AJ43+AJ44</f>
        <v>-32190.645448978</v>
      </c>
      <c r="AK45" s="75" t="n">
        <f aca="false">AK43+AK44</f>
        <v>-32452.1249542387</v>
      </c>
      <c r="AL45" s="75" t="n">
        <f aca="false">AL43+AL44</f>
        <v>-26878.2215851929</v>
      </c>
      <c r="AM45" s="75" t="n">
        <f aca="false">AM43+AM44</f>
        <v>-28202.2882929575</v>
      </c>
      <c r="AN45" s="75" t="n">
        <f aca="false">AN43+AN44</f>
        <v>-28357.0089615081</v>
      </c>
      <c r="AO45" s="75" t="n">
        <f aca="false">AO43+AO44</f>
        <v>-34686.7045454431</v>
      </c>
      <c r="AP45" s="75" t="n">
        <f aca="false">AP43+AP44</f>
        <v>-34948.3635290562</v>
      </c>
      <c r="AQ45" s="75" t="n">
        <f aca="false">AQ43+AQ44</f>
        <v>-35199.5561533247</v>
      </c>
      <c r="AR45" s="75" t="n">
        <f aca="false">AR43+AR44</f>
        <v>-35440.7010726225</v>
      </c>
      <c r="AS45" s="75" t="n">
        <f aca="false">AS43+AS44</f>
        <v>-35672.2001951484</v>
      </c>
      <c r="AT45" s="75" t="n">
        <f aca="false">AT43+AT44</f>
        <v>-35894.4393527732</v>
      </c>
      <c r="AU45" s="75" t="n">
        <f aca="false">AU43+AU44</f>
        <v>-36107.7889440931</v>
      </c>
      <c r="AV45" s="75" t="n">
        <f aca="false">AV43+AV44</f>
        <v>-36312.6045517602</v>
      </c>
      <c r="AW45" s="75" t="n">
        <f aca="false">AW43+AW44</f>
        <v>-36509.2275351205</v>
      </c>
      <c r="AX45" s="75" t="n">
        <f aca="false">AX43+AX44</f>
        <v>-30189.4490105908</v>
      </c>
      <c r="AY45" s="75" t="n">
        <f aca="false">AY43+AY44</f>
        <v>-31577.1564888757</v>
      </c>
      <c r="AZ45" s="75" t="n">
        <f aca="false">AZ43+AZ44</f>
        <v>-31680.1522209461</v>
      </c>
      <c r="BA45" s="75" t="n">
        <f aca="false">BA43+BA44</f>
        <v>-38639.6042502839</v>
      </c>
      <c r="BB45" s="75" t="n">
        <f aca="false">BB43+BB44</f>
        <v>-38849.7832952282</v>
      </c>
      <c r="BC45" s="75" t="n">
        <f aca="false">BC43+BC44</f>
        <v>-39051.5551783746</v>
      </c>
      <c r="BD45" s="75" t="n">
        <f aca="false">BD43+BD44</f>
        <v>-39245.2561861952</v>
      </c>
      <c r="BE45" s="75" t="n">
        <f aca="false">BE43+BE44</f>
        <v>-39431.209153703</v>
      </c>
      <c r="BF45" s="75" t="n">
        <f aca="false">BF43+BF44</f>
        <v>-39609.7240025104</v>
      </c>
      <c r="BG45" s="75" t="n">
        <f aca="false">BG43+BG44</f>
        <v>-39781.0982573656</v>
      </c>
      <c r="BH45" s="75" t="n">
        <f aca="false">BH43+BH44</f>
        <v>-39945.6175420266</v>
      </c>
      <c r="BI45" s="75" t="n">
        <f aca="false">BI43+BI44</f>
        <v>-40103.5560553011</v>
      </c>
      <c r="BJ45" s="75" t="n">
        <f aca="false">BJ43+BJ44</f>
        <v>-33131.2649201091</v>
      </c>
    </row>
    <row r="46" customFormat="false" ht="15" hidden="false" customHeight="false" outlineLevel="0" collapsed="false">
      <c r="A46" s="113" t="s">
        <v>45</v>
      </c>
      <c r="C46" s="70" t="n">
        <f aca="false">C37+C45</f>
        <v>40871.4122541</v>
      </c>
      <c r="D46" s="70" t="n">
        <f aca="false">D37+D45</f>
        <v>46417.4870959027</v>
      </c>
      <c r="E46" s="70" t="n">
        <f aca="false">E37+E45</f>
        <v>61696.566542504</v>
      </c>
      <c r="F46" s="70" t="n">
        <f aca="false">F37+F45</f>
        <v>68690.2019572149</v>
      </c>
      <c r="G46" s="70" t="n">
        <f aca="false">G37+G45</f>
        <v>75811.5579595819</v>
      </c>
      <c r="H46" s="70" t="n">
        <f aca="false">H37+H45</f>
        <v>83055.5257260986</v>
      </c>
      <c r="I46" s="70" t="n">
        <f aca="false">I37+I45</f>
        <v>90417.2007861991</v>
      </c>
      <c r="J46" s="70" t="n">
        <f aca="false">J37+J45</f>
        <v>97891.87484814</v>
      </c>
      <c r="K46" s="70" t="n">
        <f aca="false">K37+K45</f>
        <v>105475.027951848</v>
      </c>
      <c r="L46" s="70" t="n">
        <f aca="false">L37+L45</f>
        <v>113162.320935652</v>
      </c>
      <c r="M46" s="70" t="n">
        <f aca="false">M37+M45</f>
        <v>115303.453622226</v>
      </c>
      <c r="N46" s="70" t="n">
        <f aca="false">N37+N45</f>
        <v>100968.163050239</v>
      </c>
      <c r="O46" s="70" t="n">
        <f aca="false">O37+O45</f>
        <v>106919.764241007</v>
      </c>
      <c r="P46" s="70" t="n">
        <f aca="false">P37+P45</f>
        <v>108730.921694043</v>
      </c>
      <c r="Q46" s="70" t="n">
        <f aca="false">Q37+Q45</f>
        <v>127475.003493569</v>
      </c>
      <c r="R46" s="70" t="n">
        <f aca="false">R37+R45</f>
        <v>129397.869828657</v>
      </c>
      <c r="S46" s="70" t="n">
        <f aca="false">S37+S45</f>
        <v>131243.821510343</v>
      </c>
      <c r="T46" s="70" t="n">
        <f aca="false">T37+T45</f>
        <v>133015.935124761</v>
      </c>
      <c r="U46" s="70" t="n">
        <f aca="false">U37+U45</f>
        <v>134717.164194602</v>
      </c>
      <c r="V46" s="70" t="n">
        <f aca="false">V37+V45</f>
        <v>136350.344101649</v>
      </c>
      <c r="W46" s="70" t="n">
        <f aca="false">W37+W45</f>
        <v>137918.196812415</v>
      </c>
      <c r="X46" s="70" t="n">
        <f aca="false">X37+X45</f>
        <v>139423.33541475</v>
      </c>
      <c r="Y46" s="70" t="n">
        <f aca="false">Y37+Y45</f>
        <v>140868.268472992</v>
      </c>
      <c r="Z46" s="70" t="n">
        <f aca="false">Z37+Z45</f>
        <v>125860.397399713</v>
      </c>
      <c r="AA46" s="70" t="n">
        <f aca="false">AA37+AA45</f>
        <v>131686.668488787</v>
      </c>
      <c r="AB46" s="70" t="n">
        <f aca="false">AB37+AB45</f>
        <v>132837.462136197</v>
      </c>
      <c r="AC46" s="70" t="n">
        <f aca="false">AC37+AC45</f>
        <v>151045.437769356</v>
      </c>
      <c r="AD46" s="70" t="n">
        <f aca="false">AD37+AD45</f>
        <v>152398.838096718</v>
      </c>
      <c r="AE46" s="70" t="n">
        <f aca="false">AE37+AE45</f>
        <v>153698.102410987</v>
      </c>
      <c r="AF46" s="70" t="n">
        <f aca="false">AF37+AF45</f>
        <v>154945.396152684</v>
      </c>
      <c r="AG46" s="70" t="n">
        <f aca="false">AG37+AG45</f>
        <v>156142.798144714</v>
      </c>
      <c r="AH46" s="70" t="n">
        <f aca="false">AH37+AH45</f>
        <v>157292.304057062</v>
      </c>
      <c r="AI46" s="70" t="n">
        <f aca="false">AI37+AI45</f>
        <v>158395.829732916</v>
      </c>
      <c r="AJ46" s="70" t="n">
        <f aca="false">AJ37+AJ45</f>
        <v>159455.214381737</v>
      </c>
      <c r="AK46" s="70" t="n">
        <f aca="false">AK37+AK45</f>
        <v>160472.223644604</v>
      </c>
      <c r="AL46" s="70" t="n">
        <f aca="false">AL37+AL45</f>
        <v>144780.076305856</v>
      </c>
      <c r="AM46" s="70" t="n">
        <f aca="false">AM37+AM45</f>
        <v>150637.419717232</v>
      </c>
      <c r="AN46" s="70" t="n">
        <f aca="false">AN37+AN45</f>
        <v>151378.772922863</v>
      </c>
      <c r="AO46" s="70" t="n">
        <f aca="false">AO37+AO45</f>
        <v>169540.874219554</v>
      </c>
      <c r="AP46" s="70" t="n">
        <f aca="false">AP37+AP45</f>
        <v>170547.967362362</v>
      </c>
      <c r="AQ46" s="70" t="n">
        <f aca="false">AQ37+AQ45</f>
        <v>171514.776779458</v>
      </c>
      <c r="AR46" s="70" t="n">
        <f aca="false">AR37+AR45</f>
        <v>172442.913819871</v>
      </c>
      <c r="AS46" s="70" t="n">
        <f aca="false">AS37+AS45</f>
        <v>173333.925378666</v>
      </c>
      <c r="AT46" s="70" t="n">
        <f aca="false">AT37+AT45</f>
        <v>174189.29647511</v>
      </c>
      <c r="AU46" s="70" t="n">
        <f aca="false">AU37+AU45</f>
        <v>175010.452727697</v>
      </c>
      <c r="AV46" s="70" t="n">
        <f aca="false">AV37+AV45</f>
        <v>175798.762730179</v>
      </c>
      <c r="AW46" s="70" t="n">
        <f aca="false">AW37+AW45</f>
        <v>176555.540332563</v>
      </c>
      <c r="AX46" s="70" t="n">
        <f aca="false">AX37+AX45</f>
        <v>160159.017457995</v>
      </c>
      <c r="AY46" s="70" t="n">
        <f aca="false">AY37+AY45</f>
        <v>166150.823429579</v>
      </c>
      <c r="AZ46" s="70" t="n">
        <f aca="false">AZ37+AZ45</f>
        <v>166639.540370928</v>
      </c>
      <c r="BA46" s="70" t="n">
        <f aca="false">BA37+BA45</f>
        <v>185075.455707132</v>
      </c>
      <c r="BB46" s="70" t="n">
        <f aca="false">BB37+BB45</f>
        <v>185875.941786453</v>
      </c>
      <c r="BC46" s="70" t="n">
        <f aca="false">BC37+BC45</f>
        <v>186644.408422601</v>
      </c>
      <c r="BD46" s="70" t="n">
        <f aca="false">BD37+BD45</f>
        <v>187382.136393302</v>
      </c>
      <c r="BE46" s="70" t="n">
        <f aca="false">BE37+BE45</f>
        <v>188090.355245176</v>
      </c>
      <c r="BF46" s="70" t="n">
        <f aca="false">BF37+BF45</f>
        <v>188770.245342975</v>
      </c>
      <c r="BG46" s="70" t="n">
        <f aca="false">BG37+BG45</f>
        <v>189422.939836862</v>
      </c>
      <c r="BH46" s="70" t="n">
        <f aca="false">BH37+BH45</f>
        <v>190049.526550993</v>
      </c>
      <c r="BI46" s="70" t="n">
        <f aca="false">BI37+BI45</f>
        <v>190651.049796559</v>
      </c>
      <c r="BJ46" s="70" t="n">
        <f aca="false">BJ37+BJ45</f>
        <v>173525.101021179</v>
      </c>
    </row>
    <row r="48" customFormat="false" ht="15.75" hidden="false" customHeight="true" outlineLevel="0" collapsed="false">
      <c r="A48" s="7" t="s">
        <v>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342</v>
      </c>
      <c r="C49" s="71" t="n">
        <f aca="false">Headcount!C15</f>
        <v>-36586.6666666667</v>
      </c>
      <c r="D49" s="71" t="n">
        <f aca="false">Headcount!D15</f>
        <v>-36586.6666666667</v>
      </c>
      <c r="E49" s="71" t="n">
        <f aca="false">Headcount!E15</f>
        <v>-36586.6666666667</v>
      </c>
      <c r="F49" s="71" t="n">
        <f aca="false">Headcount!F15</f>
        <v>-36586.6666666667</v>
      </c>
      <c r="G49" s="71" t="n">
        <f aca="false">Headcount!G15</f>
        <v>-36586.6666666667</v>
      </c>
      <c r="H49" s="71" t="n">
        <f aca="false">Headcount!H15</f>
        <v>-36586.6666666667</v>
      </c>
      <c r="I49" s="71" t="n">
        <f aca="false">Headcount!I15</f>
        <v>-36586.6666666667</v>
      </c>
      <c r="J49" s="71" t="n">
        <f aca="false">Headcount!J15</f>
        <v>-36586.6666666667</v>
      </c>
      <c r="K49" s="71" t="n">
        <f aca="false">Headcount!K15</f>
        <v>-36586.6666666667</v>
      </c>
      <c r="L49" s="71" t="n">
        <f aca="false">Headcount!L15</f>
        <v>-36586.6666666667</v>
      </c>
      <c r="M49" s="71" t="n">
        <f aca="false">Headcount!M15</f>
        <v>-36586.6666666667</v>
      </c>
      <c r="N49" s="71" t="n">
        <f aca="false">Headcount!N15</f>
        <v>-36586.6666666667</v>
      </c>
      <c r="O49" s="71" t="n">
        <f aca="false">Headcount!O15</f>
        <v>-37684.2666666667</v>
      </c>
      <c r="P49" s="71" t="n">
        <f aca="false">Headcount!P15</f>
        <v>-37684.2666666667</v>
      </c>
      <c r="Q49" s="71" t="n">
        <f aca="false">Headcount!Q15</f>
        <v>-37684.2666666667</v>
      </c>
      <c r="R49" s="71" t="n">
        <f aca="false">Headcount!R15</f>
        <v>-37684.2666666667</v>
      </c>
      <c r="S49" s="71" t="n">
        <f aca="false">Headcount!S15</f>
        <v>-37684.2666666667</v>
      </c>
      <c r="T49" s="71" t="n">
        <f aca="false">Headcount!T15</f>
        <v>-37684.2666666667</v>
      </c>
      <c r="U49" s="71" t="n">
        <f aca="false">Headcount!U15</f>
        <v>-37684.2666666667</v>
      </c>
      <c r="V49" s="71" t="n">
        <f aca="false">Headcount!V15</f>
        <v>-37684.2666666667</v>
      </c>
      <c r="W49" s="71" t="n">
        <f aca="false">Headcount!W15</f>
        <v>-37684.2666666667</v>
      </c>
      <c r="X49" s="71" t="n">
        <f aca="false">Headcount!X15</f>
        <v>-37684.2666666667</v>
      </c>
      <c r="Y49" s="71" t="n">
        <f aca="false">Headcount!Y15</f>
        <v>-37684.2666666667</v>
      </c>
      <c r="Z49" s="71" t="n">
        <f aca="false">Headcount!Z15</f>
        <v>-37684.2666666667</v>
      </c>
      <c r="AA49" s="71" t="n">
        <f aca="false">Headcount!AA15</f>
        <v>-38814.7946666667</v>
      </c>
      <c r="AB49" s="71" t="n">
        <f aca="false">Headcount!AB15</f>
        <v>-38814.7946666667</v>
      </c>
      <c r="AC49" s="71" t="n">
        <f aca="false">Headcount!AC15</f>
        <v>-38814.7946666667</v>
      </c>
      <c r="AD49" s="71" t="n">
        <f aca="false">Headcount!AD15</f>
        <v>-38814.7946666667</v>
      </c>
      <c r="AE49" s="71" t="n">
        <f aca="false">Headcount!AE15</f>
        <v>-38814.7946666667</v>
      </c>
      <c r="AF49" s="71" t="n">
        <f aca="false">Headcount!AF15</f>
        <v>-38814.7946666667</v>
      </c>
      <c r="AG49" s="71" t="n">
        <f aca="false">Headcount!AG15</f>
        <v>-38814.7946666667</v>
      </c>
      <c r="AH49" s="71" t="n">
        <f aca="false">Headcount!AH15</f>
        <v>-38814.7946666667</v>
      </c>
      <c r="AI49" s="71" t="n">
        <f aca="false">Headcount!AI15</f>
        <v>-38814.7946666667</v>
      </c>
      <c r="AJ49" s="71" t="n">
        <f aca="false">Headcount!AJ15</f>
        <v>-38814.7946666667</v>
      </c>
      <c r="AK49" s="71" t="n">
        <f aca="false">Headcount!AK15</f>
        <v>-38814.7946666667</v>
      </c>
      <c r="AL49" s="71" t="n">
        <f aca="false">Headcount!AL15</f>
        <v>-38814.7946666667</v>
      </c>
      <c r="AM49" s="71" t="n">
        <f aca="false">Headcount!AM15</f>
        <v>-39979.2385066667</v>
      </c>
      <c r="AN49" s="71" t="n">
        <f aca="false">Headcount!AN15</f>
        <v>-39979.2385066667</v>
      </c>
      <c r="AO49" s="71" t="n">
        <f aca="false">Headcount!AO15</f>
        <v>-39979.2385066667</v>
      </c>
      <c r="AP49" s="71" t="n">
        <f aca="false">Headcount!AP15</f>
        <v>-39979.2385066667</v>
      </c>
      <c r="AQ49" s="71" t="n">
        <f aca="false">Headcount!AQ15</f>
        <v>-39979.2385066667</v>
      </c>
      <c r="AR49" s="71" t="n">
        <f aca="false">Headcount!AR15</f>
        <v>-39979.2385066667</v>
      </c>
      <c r="AS49" s="71" t="n">
        <f aca="false">Headcount!AS15</f>
        <v>-39979.2385066667</v>
      </c>
      <c r="AT49" s="71" t="n">
        <f aca="false">Headcount!AT15</f>
        <v>-39979.2385066667</v>
      </c>
      <c r="AU49" s="71" t="n">
        <f aca="false">Headcount!AU15</f>
        <v>-39979.2385066667</v>
      </c>
      <c r="AV49" s="71" t="n">
        <f aca="false">Headcount!AV15</f>
        <v>-39979.2385066667</v>
      </c>
      <c r="AW49" s="71" t="n">
        <f aca="false">Headcount!AW15</f>
        <v>-39979.2385066667</v>
      </c>
      <c r="AX49" s="71" t="n">
        <f aca="false">Headcount!AX15</f>
        <v>-39979.2385066667</v>
      </c>
      <c r="AY49" s="71" t="n">
        <f aca="false">Headcount!AY15</f>
        <v>-41178.6156618667</v>
      </c>
      <c r="AZ49" s="71" t="n">
        <f aca="false">Headcount!AZ15</f>
        <v>-41178.6156618667</v>
      </c>
      <c r="BA49" s="71" t="n">
        <f aca="false">Headcount!BA15</f>
        <v>-41178.6156618667</v>
      </c>
      <c r="BB49" s="71" t="n">
        <f aca="false">Headcount!BB15</f>
        <v>-41178.6156618667</v>
      </c>
      <c r="BC49" s="71" t="n">
        <f aca="false">Headcount!BC15</f>
        <v>-41178.6156618667</v>
      </c>
      <c r="BD49" s="71" t="n">
        <f aca="false">Headcount!BD15</f>
        <v>-41178.6156618667</v>
      </c>
      <c r="BE49" s="71" t="n">
        <f aca="false">Headcount!BE15</f>
        <v>-41178.6156618667</v>
      </c>
      <c r="BF49" s="71" t="n">
        <f aca="false">Headcount!BF15</f>
        <v>-41178.6156618667</v>
      </c>
      <c r="BG49" s="71" t="n">
        <f aca="false">Headcount!BG15</f>
        <v>-41178.6156618667</v>
      </c>
      <c r="BH49" s="71" t="n">
        <f aca="false">Headcount!BH15</f>
        <v>-41178.6156618667</v>
      </c>
      <c r="BI49" s="71" t="n">
        <f aca="false">Headcount!BI15</f>
        <v>-41178.6156618667</v>
      </c>
      <c r="BJ49" s="71" t="n">
        <f aca="false">Headcount!BJ15</f>
        <v>-41178.6156618667</v>
      </c>
    </row>
    <row r="50" customFormat="false" ht="15" hidden="false" customHeight="false" outlineLevel="0" collapsed="false">
      <c r="A50" s="6" t="s">
        <v>343</v>
      </c>
      <c r="C50" s="69" t="n">
        <f aca="false">-Inputs!$E$42*(1+Inputs!$E$43)^(C$5-1)*1</f>
        <v>-30000</v>
      </c>
      <c r="D50" s="69" t="n">
        <f aca="false">-Inputs!$E$42*(1+Inputs!$E$43)^(D$5-1)*1</f>
        <v>-30000</v>
      </c>
      <c r="E50" s="69" t="n">
        <f aca="false">-Inputs!$E$42*(1+Inputs!$E$43)^(E$5-1)*1</f>
        <v>-30000</v>
      </c>
      <c r="F50" s="69" t="n">
        <f aca="false">-Inputs!$E$42*(1+Inputs!$E$43)^(F$5-1)*1</f>
        <v>-30000</v>
      </c>
      <c r="G50" s="69" t="n">
        <f aca="false">-Inputs!$E$42*(1+Inputs!$E$43)^(G$5-1)*1</f>
        <v>-30000</v>
      </c>
      <c r="H50" s="69" t="n">
        <f aca="false">-Inputs!$E$42*(1+Inputs!$E$43)^(H$5-1)*1</f>
        <v>-30000</v>
      </c>
      <c r="I50" s="69" t="n">
        <f aca="false">-Inputs!$E$42*(1+Inputs!$E$43)^(I$5-1)*1</f>
        <v>-30000</v>
      </c>
      <c r="J50" s="69" t="n">
        <f aca="false">-Inputs!$E$42*(1+Inputs!$E$43)^(J$5-1)*1</f>
        <v>-30000</v>
      </c>
      <c r="K50" s="69" t="n">
        <f aca="false">-Inputs!$E$42*(1+Inputs!$E$43)^(K$5-1)*1</f>
        <v>-30000</v>
      </c>
      <c r="L50" s="69" t="n">
        <f aca="false">-Inputs!$E$42*(1+Inputs!$E$43)^(L$5-1)*1</f>
        <v>-30000</v>
      </c>
      <c r="M50" s="69" t="n">
        <f aca="false">-Inputs!$E$42*(1+Inputs!$E$43)^(M$5-1)*1</f>
        <v>-30000</v>
      </c>
      <c r="N50" s="69" t="n">
        <f aca="false">-Inputs!$E$42*(1+Inputs!$E$43)^(N$5-1)*1</f>
        <v>-30000</v>
      </c>
      <c r="O50" s="69" t="n">
        <f aca="false">-Inputs!$E$42*(1+Inputs!$E$43)^(O$5-1)*1</f>
        <v>-30900</v>
      </c>
      <c r="P50" s="69" t="n">
        <f aca="false">-Inputs!$E$42*(1+Inputs!$E$43)^(P$5-1)*1</f>
        <v>-30900</v>
      </c>
      <c r="Q50" s="69" t="n">
        <f aca="false">-Inputs!$E$42*(1+Inputs!$E$43)^(Q$5-1)*1</f>
        <v>-30900</v>
      </c>
      <c r="R50" s="69" t="n">
        <f aca="false">-Inputs!$E$42*(1+Inputs!$E$43)^(R$5-1)*1</f>
        <v>-30900</v>
      </c>
      <c r="S50" s="69" t="n">
        <f aca="false">-Inputs!$E$42*(1+Inputs!$E$43)^(S$5-1)*1</f>
        <v>-30900</v>
      </c>
      <c r="T50" s="69" t="n">
        <f aca="false">-Inputs!$E$42*(1+Inputs!$E$43)^(T$5-1)*1</f>
        <v>-30900</v>
      </c>
      <c r="U50" s="69" t="n">
        <f aca="false">-Inputs!$E$42*(1+Inputs!$E$43)^(U$5-1)*1</f>
        <v>-30900</v>
      </c>
      <c r="V50" s="69" t="n">
        <f aca="false">-Inputs!$E$42*(1+Inputs!$E$43)^(V$5-1)*1</f>
        <v>-30900</v>
      </c>
      <c r="W50" s="69" t="n">
        <f aca="false">-Inputs!$E$42*(1+Inputs!$E$43)^(W$5-1)*1</f>
        <v>-30900</v>
      </c>
      <c r="X50" s="69" t="n">
        <f aca="false">-Inputs!$E$42*(1+Inputs!$E$43)^(X$5-1)*1</f>
        <v>-30900</v>
      </c>
      <c r="Y50" s="69" t="n">
        <f aca="false">-Inputs!$E$42*(1+Inputs!$E$43)^(Y$5-1)*1</f>
        <v>-30900</v>
      </c>
      <c r="Z50" s="69" t="n">
        <f aca="false">-Inputs!$E$42*(1+Inputs!$E$43)^(Z$5-1)*1</f>
        <v>-30900</v>
      </c>
      <c r="AA50" s="69" t="n">
        <f aca="false">-Inputs!$E$42*(1+Inputs!$E$43)^(AA$5-1)*1</f>
        <v>-31827</v>
      </c>
      <c r="AB50" s="69" t="n">
        <f aca="false">-Inputs!$E$42*(1+Inputs!$E$43)^(AB$5-1)*1</f>
        <v>-31827</v>
      </c>
      <c r="AC50" s="69" t="n">
        <f aca="false">-Inputs!$E$42*(1+Inputs!$E$43)^(AC$5-1)*1</f>
        <v>-31827</v>
      </c>
      <c r="AD50" s="69" t="n">
        <f aca="false">-Inputs!$E$42*(1+Inputs!$E$43)^(AD$5-1)*1</f>
        <v>-31827</v>
      </c>
      <c r="AE50" s="69" t="n">
        <f aca="false">-Inputs!$E$42*(1+Inputs!$E$43)^(AE$5-1)*1</f>
        <v>-31827</v>
      </c>
      <c r="AF50" s="69" t="n">
        <f aca="false">-Inputs!$E$42*(1+Inputs!$E$43)^(AF$5-1)*1</f>
        <v>-31827</v>
      </c>
      <c r="AG50" s="69" t="n">
        <f aca="false">-Inputs!$E$42*(1+Inputs!$E$43)^(AG$5-1)*1</f>
        <v>-31827</v>
      </c>
      <c r="AH50" s="69" t="n">
        <f aca="false">-Inputs!$E$42*(1+Inputs!$E$43)^(AH$5-1)*1</f>
        <v>-31827</v>
      </c>
      <c r="AI50" s="69" t="n">
        <f aca="false">-Inputs!$E$42*(1+Inputs!$E$43)^(AI$5-1)*1</f>
        <v>-31827</v>
      </c>
      <c r="AJ50" s="69" t="n">
        <f aca="false">-Inputs!$E$42*(1+Inputs!$E$43)^(AJ$5-1)*1</f>
        <v>-31827</v>
      </c>
      <c r="AK50" s="69" t="n">
        <f aca="false">-Inputs!$E$42*(1+Inputs!$E$43)^(AK$5-1)*1</f>
        <v>-31827</v>
      </c>
      <c r="AL50" s="69" t="n">
        <f aca="false">-Inputs!$E$42*(1+Inputs!$E$43)^(AL$5-1)*1</f>
        <v>-31827</v>
      </c>
      <c r="AM50" s="69" t="n">
        <f aca="false">-Inputs!$E$42*(1+Inputs!$E$43)^(AM$5-1)*1</f>
        <v>-32781.81</v>
      </c>
      <c r="AN50" s="69" t="n">
        <f aca="false">-Inputs!$E$42*(1+Inputs!$E$43)^(AN$5-1)*1</f>
        <v>-32781.81</v>
      </c>
      <c r="AO50" s="69" t="n">
        <f aca="false">-Inputs!$E$42*(1+Inputs!$E$43)^(AO$5-1)*1</f>
        <v>-32781.81</v>
      </c>
      <c r="AP50" s="69" t="n">
        <f aca="false">-Inputs!$E$42*(1+Inputs!$E$43)^(AP$5-1)*1</f>
        <v>-32781.81</v>
      </c>
      <c r="AQ50" s="69" t="n">
        <f aca="false">-Inputs!$E$42*(1+Inputs!$E$43)^(AQ$5-1)*1</f>
        <v>-32781.81</v>
      </c>
      <c r="AR50" s="69" t="n">
        <f aca="false">-Inputs!$E$42*(1+Inputs!$E$43)^(AR$5-1)*1</f>
        <v>-32781.81</v>
      </c>
      <c r="AS50" s="69" t="n">
        <f aca="false">-Inputs!$E$42*(1+Inputs!$E$43)^(AS$5-1)*1</f>
        <v>-32781.81</v>
      </c>
      <c r="AT50" s="69" t="n">
        <f aca="false">-Inputs!$E$42*(1+Inputs!$E$43)^(AT$5-1)*1</f>
        <v>-32781.81</v>
      </c>
      <c r="AU50" s="69" t="n">
        <f aca="false">-Inputs!$E$42*(1+Inputs!$E$43)^(AU$5-1)*1</f>
        <v>-32781.81</v>
      </c>
      <c r="AV50" s="69" t="n">
        <f aca="false">-Inputs!$E$42*(1+Inputs!$E$43)^(AV$5-1)*1</f>
        <v>-32781.81</v>
      </c>
      <c r="AW50" s="69" t="n">
        <f aca="false">-Inputs!$E$42*(1+Inputs!$E$43)^(AW$5-1)*1</f>
        <v>-32781.81</v>
      </c>
      <c r="AX50" s="69" t="n">
        <f aca="false">-Inputs!$E$42*(1+Inputs!$E$43)^(AX$5-1)*1</f>
        <v>-32781.81</v>
      </c>
      <c r="AY50" s="69" t="n">
        <f aca="false">-Inputs!$E$42*(1+Inputs!$E$43)^(AY$5-1)*1</f>
        <v>-33765.2643</v>
      </c>
      <c r="AZ50" s="69" t="n">
        <f aca="false">-Inputs!$E$42*(1+Inputs!$E$43)^(AZ$5-1)*1</f>
        <v>-33765.2643</v>
      </c>
      <c r="BA50" s="69" t="n">
        <f aca="false">-Inputs!$E$42*(1+Inputs!$E$43)^(BA$5-1)*1</f>
        <v>-33765.2643</v>
      </c>
      <c r="BB50" s="69" t="n">
        <f aca="false">-Inputs!$E$42*(1+Inputs!$E$43)^(BB$5-1)*1</f>
        <v>-33765.2643</v>
      </c>
      <c r="BC50" s="69" t="n">
        <f aca="false">-Inputs!$E$42*(1+Inputs!$E$43)^(BC$5-1)*1</f>
        <v>-33765.2643</v>
      </c>
      <c r="BD50" s="69" t="n">
        <f aca="false">-Inputs!$E$42*(1+Inputs!$E$43)^(BD$5-1)*1</f>
        <v>-33765.2643</v>
      </c>
      <c r="BE50" s="69" t="n">
        <f aca="false">-Inputs!$E$42*(1+Inputs!$E$43)^(BE$5-1)*1</f>
        <v>-33765.2643</v>
      </c>
      <c r="BF50" s="69" t="n">
        <f aca="false">-Inputs!$E$42*(1+Inputs!$E$43)^(BF$5-1)*1</f>
        <v>-33765.2643</v>
      </c>
      <c r="BG50" s="69" t="n">
        <f aca="false">-Inputs!$E$42*(1+Inputs!$E$43)^(BG$5-1)*1</f>
        <v>-33765.2643</v>
      </c>
      <c r="BH50" s="69" t="n">
        <f aca="false">-Inputs!$E$42*(1+Inputs!$E$43)^(BH$5-1)*1</f>
        <v>-33765.2643</v>
      </c>
      <c r="BI50" s="69" t="n">
        <f aca="false">-Inputs!$E$42*(1+Inputs!$E$43)^(BI$5-1)*1</f>
        <v>-33765.2643</v>
      </c>
      <c r="BJ50" s="69" t="n">
        <f aca="false">-Inputs!$E$42*(1+Inputs!$E$43)^(BJ$5-1)*1</f>
        <v>-33765.2643</v>
      </c>
    </row>
    <row r="51" customFormat="false" ht="15" hidden="false" customHeight="false" outlineLevel="0" collapsed="false">
      <c r="A51" s="6" t="s">
        <v>344</v>
      </c>
      <c r="C51" s="69" t="n">
        <f aca="false">-Inputs!$E$44*(1+Inputs!$E$39)^(C$5-1)*1</f>
        <v>-5500</v>
      </c>
      <c r="D51" s="69" t="n">
        <f aca="false">-Inputs!$E$44*(1+Inputs!$E$39)^(D$5-1)*1</f>
        <v>-5500</v>
      </c>
      <c r="E51" s="69" t="n">
        <f aca="false">-Inputs!$E$44*(1+Inputs!$E$39)^(E$5-1)*1</f>
        <v>-5500</v>
      </c>
      <c r="F51" s="69" t="n">
        <f aca="false">-Inputs!$E$44*(1+Inputs!$E$39)^(F$5-1)*1</f>
        <v>-5500</v>
      </c>
      <c r="G51" s="69" t="n">
        <f aca="false">-Inputs!$E$44*(1+Inputs!$E$39)^(G$5-1)*1</f>
        <v>-5500</v>
      </c>
      <c r="H51" s="69" t="n">
        <f aca="false">-Inputs!$E$44*(1+Inputs!$E$39)^(H$5-1)*1</f>
        <v>-5500</v>
      </c>
      <c r="I51" s="69" t="n">
        <f aca="false">-Inputs!$E$44*(1+Inputs!$E$39)^(I$5-1)*1</f>
        <v>-5500</v>
      </c>
      <c r="J51" s="69" t="n">
        <f aca="false">-Inputs!$E$44*(1+Inputs!$E$39)^(J$5-1)*1</f>
        <v>-5500</v>
      </c>
      <c r="K51" s="69" t="n">
        <f aca="false">-Inputs!$E$44*(1+Inputs!$E$39)^(K$5-1)*1</f>
        <v>-5500</v>
      </c>
      <c r="L51" s="69" t="n">
        <f aca="false">-Inputs!$E$44*(1+Inputs!$E$39)^(L$5-1)*1</f>
        <v>-5500</v>
      </c>
      <c r="M51" s="69" t="n">
        <f aca="false">-Inputs!$E$44*(1+Inputs!$E$39)^(M$5-1)*1</f>
        <v>-5500</v>
      </c>
      <c r="N51" s="69" t="n">
        <f aca="false">-Inputs!$E$44*(1+Inputs!$E$39)^(N$5-1)*1</f>
        <v>-5500</v>
      </c>
      <c r="O51" s="69" t="n">
        <f aca="false">-Inputs!$E$44*(1+Inputs!$E$39)^(O$5-1)*1</f>
        <v>-5665</v>
      </c>
      <c r="P51" s="69" t="n">
        <f aca="false">-Inputs!$E$44*(1+Inputs!$E$39)^(P$5-1)*1</f>
        <v>-5665</v>
      </c>
      <c r="Q51" s="69" t="n">
        <f aca="false">-Inputs!$E$44*(1+Inputs!$E$39)^(Q$5-1)*1</f>
        <v>-5665</v>
      </c>
      <c r="R51" s="69" t="n">
        <f aca="false">-Inputs!$E$44*(1+Inputs!$E$39)^(R$5-1)*1</f>
        <v>-5665</v>
      </c>
      <c r="S51" s="69" t="n">
        <f aca="false">-Inputs!$E$44*(1+Inputs!$E$39)^(S$5-1)*1</f>
        <v>-5665</v>
      </c>
      <c r="T51" s="69" t="n">
        <f aca="false">-Inputs!$E$44*(1+Inputs!$E$39)^(T$5-1)*1</f>
        <v>-5665</v>
      </c>
      <c r="U51" s="69" t="n">
        <f aca="false">-Inputs!$E$44*(1+Inputs!$E$39)^(U$5-1)*1</f>
        <v>-5665</v>
      </c>
      <c r="V51" s="69" t="n">
        <f aca="false">-Inputs!$E$44*(1+Inputs!$E$39)^(V$5-1)*1</f>
        <v>-5665</v>
      </c>
      <c r="W51" s="69" t="n">
        <f aca="false">-Inputs!$E$44*(1+Inputs!$E$39)^(W$5-1)*1</f>
        <v>-5665</v>
      </c>
      <c r="X51" s="69" t="n">
        <f aca="false">-Inputs!$E$44*(1+Inputs!$E$39)^(X$5-1)*1</f>
        <v>-5665</v>
      </c>
      <c r="Y51" s="69" t="n">
        <f aca="false">-Inputs!$E$44*(1+Inputs!$E$39)^(Y$5-1)*1</f>
        <v>-5665</v>
      </c>
      <c r="Z51" s="69" t="n">
        <f aca="false">-Inputs!$E$44*(1+Inputs!$E$39)^(Z$5-1)*1</f>
        <v>-5665</v>
      </c>
      <c r="AA51" s="69" t="n">
        <f aca="false">-Inputs!$E$44*(1+Inputs!$E$39)^(AA$5-1)*1</f>
        <v>-5834.95</v>
      </c>
      <c r="AB51" s="69" t="n">
        <f aca="false">-Inputs!$E$44*(1+Inputs!$E$39)^(AB$5-1)*1</f>
        <v>-5834.95</v>
      </c>
      <c r="AC51" s="69" t="n">
        <f aca="false">-Inputs!$E$44*(1+Inputs!$E$39)^(AC$5-1)*1</f>
        <v>-5834.95</v>
      </c>
      <c r="AD51" s="69" t="n">
        <f aca="false">-Inputs!$E$44*(1+Inputs!$E$39)^(AD$5-1)*1</f>
        <v>-5834.95</v>
      </c>
      <c r="AE51" s="69" t="n">
        <f aca="false">-Inputs!$E$44*(1+Inputs!$E$39)^(AE$5-1)*1</f>
        <v>-5834.95</v>
      </c>
      <c r="AF51" s="69" t="n">
        <f aca="false">-Inputs!$E$44*(1+Inputs!$E$39)^(AF$5-1)*1</f>
        <v>-5834.95</v>
      </c>
      <c r="AG51" s="69" t="n">
        <f aca="false">-Inputs!$E$44*(1+Inputs!$E$39)^(AG$5-1)*1</f>
        <v>-5834.95</v>
      </c>
      <c r="AH51" s="69" t="n">
        <f aca="false">-Inputs!$E$44*(1+Inputs!$E$39)^(AH$5-1)*1</f>
        <v>-5834.95</v>
      </c>
      <c r="AI51" s="69" t="n">
        <f aca="false">-Inputs!$E$44*(1+Inputs!$E$39)^(AI$5-1)*1</f>
        <v>-5834.95</v>
      </c>
      <c r="AJ51" s="69" t="n">
        <f aca="false">-Inputs!$E$44*(1+Inputs!$E$39)^(AJ$5-1)*1</f>
        <v>-5834.95</v>
      </c>
      <c r="AK51" s="69" t="n">
        <f aca="false">-Inputs!$E$44*(1+Inputs!$E$39)^(AK$5-1)*1</f>
        <v>-5834.95</v>
      </c>
      <c r="AL51" s="69" t="n">
        <f aca="false">-Inputs!$E$44*(1+Inputs!$E$39)^(AL$5-1)*1</f>
        <v>-5834.95</v>
      </c>
      <c r="AM51" s="69" t="n">
        <f aca="false">-Inputs!$E$44*(1+Inputs!$E$39)^(AM$5-1)*1</f>
        <v>-6009.9985</v>
      </c>
      <c r="AN51" s="69" t="n">
        <f aca="false">-Inputs!$E$44*(1+Inputs!$E$39)^(AN$5-1)*1</f>
        <v>-6009.9985</v>
      </c>
      <c r="AO51" s="69" t="n">
        <f aca="false">-Inputs!$E$44*(1+Inputs!$E$39)^(AO$5-1)*1</f>
        <v>-6009.9985</v>
      </c>
      <c r="AP51" s="69" t="n">
        <f aca="false">-Inputs!$E$44*(1+Inputs!$E$39)^(AP$5-1)*1</f>
        <v>-6009.9985</v>
      </c>
      <c r="AQ51" s="69" t="n">
        <f aca="false">-Inputs!$E$44*(1+Inputs!$E$39)^(AQ$5-1)*1</f>
        <v>-6009.9985</v>
      </c>
      <c r="AR51" s="69" t="n">
        <f aca="false">-Inputs!$E$44*(1+Inputs!$E$39)^(AR$5-1)*1</f>
        <v>-6009.9985</v>
      </c>
      <c r="AS51" s="69" t="n">
        <f aca="false">-Inputs!$E$44*(1+Inputs!$E$39)^(AS$5-1)*1</f>
        <v>-6009.9985</v>
      </c>
      <c r="AT51" s="69" t="n">
        <f aca="false">-Inputs!$E$44*(1+Inputs!$E$39)^(AT$5-1)*1</f>
        <v>-6009.9985</v>
      </c>
      <c r="AU51" s="69" t="n">
        <f aca="false">-Inputs!$E$44*(1+Inputs!$E$39)^(AU$5-1)*1</f>
        <v>-6009.9985</v>
      </c>
      <c r="AV51" s="69" t="n">
        <f aca="false">-Inputs!$E$44*(1+Inputs!$E$39)^(AV$5-1)*1</f>
        <v>-6009.9985</v>
      </c>
      <c r="AW51" s="69" t="n">
        <f aca="false">-Inputs!$E$44*(1+Inputs!$E$39)^(AW$5-1)*1</f>
        <v>-6009.9985</v>
      </c>
      <c r="AX51" s="69" t="n">
        <f aca="false">-Inputs!$E$44*(1+Inputs!$E$39)^(AX$5-1)*1</f>
        <v>-6009.9985</v>
      </c>
      <c r="AY51" s="69" t="n">
        <f aca="false">-Inputs!$E$44*(1+Inputs!$E$39)^(AY$5-1)*1</f>
        <v>-6190.298455</v>
      </c>
      <c r="AZ51" s="69" t="n">
        <f aca="false">-Inputs!$E$44*(1+Inputs!$E$39)^(AZ$5-1)*1</f>
        <v>-6190.298455</v>
      </c>
      <c r="BA51" s="69" t="n">
        <f aca="false">-Inputs!$E$44*(1+Inputs!$E$39)^(BA$5-1)*1</f>
        <v>-6190.298455</v>
      </c>
      <c r="BB51" s="69" t="n">
        <f aca="false">-Inputs!$E$44*(1+Inputs!$E$39)^(BB$5-1)*1</f>
        <v>-6190.298455</v>
      </c>
      <c r="BC51" s="69" t="n">
        <f aca="false">-Inputs!$E$44*(1+Inputs!$E$39)^(BC$5-1)*1</f>
        <v>-6190.298455</v>
      </c>
      <c r="BD51" s="69" t="n">
        <f aca="false">-Inputs!$E$44*(1+Inputs!$E$39)^(BD$5-1)*1</f>
        <v>-6190.298455</v>
      </c>
      <c r="BE51" s="69" t="n">
        <f aca="false">-Inputs!$E$44*(1+Inputs!$E$39)^(BE$5-1)*1</f>
        <v>-6190.298455</v>
      </c>
      <c r="BF51" s="69" t="n">
        <f aca="false">-Inputs!$E$44*(1+Inputs!$E$39)^(BF$5-1)*1</f>
        <v>-6190.298455</v>
      </c>
      <c r="BG51" s="69" t="n">
        <f aca="false">-Inputs!$E$44*(1+Inputs!$E$39)^(BG$5-1)*1</f>
        <v>-6190.298455</v>
      </c>
      <c r="BH51" s="69" t="n">
        <f aca="false">-Inputs!$E$44*(1+Inputs!$E$39)^(BH$5-1)*1</f>
        <v>-6190.298455</v>
      </c>
      <c r="BI51" s="69" t="n">
        <f aca="false">-Inputs!$E$44*(1+Inputs!$E$39)^(BI$5-1)*1</f>
        <v>-6190.298455</v>
      </c>
      <c r="BJ51" s="69" t="n">
        <f aca="false">-Inputs!$E$44*(1+Inputs!$E$39)^(BJ$5-1)*1</f>
        <v>-6190.298455</v>
      </c>
    </row>
    <row r="52" customFormat="false" ht="15" hidden="false" customHeight="false" outlineLevel="0" collapsed="false">
      <c r="A52" s="6" t="s">
        <v>345</v>
      </c>
      <c r="C52" s="69" t="n">
        <f aca="false">-Inputs!$E$45*(1+Inputs!$E$39)^(C$5-1)*1</f>
        <v>-9500</v>
      </c>
      <c r="D52" s="69" t="n">
        <f aca="false">-Inputs!$E$45*(1+Inputs!$E$39)^(D$5-1)*1</f>
        <v>-9500</v>
      </c>
      <c r="E52" s="69" t="n">
        <f aca="false">-Inputs!$E$45*(1+Inputs!$E$39)^(E$5-1)*1</f>
        <v>-9500</v>
      </c>
      <c r="F52" s="69" t="n">
        <f aca="false">-Inputs!$E$45*(1+Inputs!$E$39)^(F$5-1)*1</f>
        <v>-9500</v>
      </c>
      <c r="G52" s="69" t="n">
        <f aca="false">-Inputs!$E$45*(1+Inputs!$E$39)^(G$5-1)*1</f>
        <v>-9500</v>
      </c>
      <c r="H52" s="69" t="n">
        <f aca="false">-Inputs!$E$45*(1+Inputs!$E$39)^(H$5-1)*1</f>
        <v>-9500</v>
      </c>
      <c r="I52" s="69" t="n">
        <f aca="false">-Inputs!$E$45*(1+Inputs!$E$39)^(I$5-1)*1</f>
        <v>-9500</v>
      </c>
      <c r="J52" s="69" t="n">
        <f aca="false">-Inputs!$E$45*(1+Inputs!$E$39)^(J$5-1)*1</f>
        <v>-9500</v>
      </c>
      <c r="K52" s="69" t="n">
        <f aca="false">-Inputs!$E$45*(1+Inputs!$E$39)^(K$5-1)*1</f>
        <v>-9500</v>
      </c>
      <c r="L52" s="69" t="n">
        <f aca="false">-Inputs!$E$45*(1+Inputs!$E$39)^(L$5-1)*1</f>
        <v>-9500</v>
      </c>
      <c r="M52" s="69" t="n">
        <f aca="false">-Inputs!$E$45*(1+Inputs!$E$39)^(M$5-1)*1</f>
        <v>-9500</v>
      </c>
      <c r="N52" s="69" t="n">
        <f aca="false">-Inputs!$E$45*(1+Inputs!$E$39)^(N$5-1)*1</f>
        <v>-9500</v>
      </c>
      <c r="O52" s="69" t="n">
        <f aca="false">-Inputs!$E$45*(1+Inputs!$E$39)^(O$5-1)*1</f>
        <v>-9785</v>
      </c>
      <c r="P52" s="69" t="n">
        <f aca="false">-Inputs!$E$45*(1+Inputs!$E$39)^(P$5-1)*1</f>
        <v>-9785</v>
      </c>
      <c r="Q52" s="69" t="n">
        <f aca="false">-Inputs!$E$45*(1+Inputs!$E$39)^(Q$5-1)*1</f>
        <v>-9785</v>
      </c>
      <c r="R52" s="69" t="n">
        <f aca="false">-Inputs!$E$45*(1+Inputs!$E$39)^(R$5-1)*1</f>
        <v>-9785</v>
      </c>
      <c r="S52" s="69" t="n">
        <f aca="false">-Inputs!$E$45*(1+Inputs!$E$39)^(S$5-1)*1</f>
        <v>-9785</v>
      </c>
      <c r="T52" s="69" t="n">
        <f aca="false">-Inputs!$E$45*(1+Inputs!$E$39)^(T$5-1)*1</f>
        <v>-9785</v>
      </c>
      <c r="U52" s="69" t="n">
        <f aca="false">-Inputs!$E$45*(1+Inputs!$E$39)^(U$5-1)*1</f>
        <v>-9785</v>
      </c>
      <c r="V52" s="69" t="n">
        <f aca="false">-Inputs!$E$45*(1+Inputs!$E$39)^(V$5-1)*1</f>
        <v>-9785</v>
      </c>
      <c r="W52" s="69" t="n">
        <f aca="false">-Inputs!$E$45*(1+Inputs!$E$39)^(W$5-1)*1</f>
        <v>-9785</v>
      </c>
      <c r="X52" s="69" t="n">
        <f aca="false">-Inputs!$E$45*(1+Inputs!$E$39)^(X$5-1)*1</f>
        <v>-9785</v>
      </c>
      <c r="Y52" s="69" t="n">
        <f aca="false">-Inputs!$E$45*(1+Inputs!$E$39)^(Y$5-1)*1</f>
        <v>-9785</v>
      </c>
      <c r="Z52" s="69" t="n">
        <f aca="false">-Inputs!$E$45*(1+Inputs!$E$39)^(Z$5-1)*1</f>
        <v>-9785</v>
      </c>
      <c r="AA52" s="69" t="n">
        <f aca="false">-Inputs!$E$45*(1+Inputs!$E$39)^(AA$5-1)*1</f>
        <v>-10078.55</v>
      </c>
      <c r="AB52" s="69" t="n">
        <f aca="false">-Inputs!$E$45*(1+Inputs!$E$39)^(AB$5-1)*1</f>
        <v>-10078.55</v>
      </c>
      <c r="AC52" s="69" t="n">
        <f aca="false">-Inputs!$E$45*(1+Inputs!$E$39)^(AC$5-1)*1</f>
        <v>-10078.55</v>
      </c>
      <c r="AD52" s="69" t="n">
        <f aca="false">-Inputs!$E$45*(1+Inputs!$E$39)^(AD$5-1)*1</f>
        <v>-10078.55</v>
      </c>
      <c r="AE52" s="69" t="n">
        <f aca="false">-Inputs!$E$45*(1+Inputs!$E$39)^(AE$5-1)*1</f>
        <v>-10078.55</v>
      </c>
      <c r="AF52" s="69" t="n">
        <f aca="false">-Inputs!$E$45*(1+Inputs!$E$39)^(AF$5-1)*1</f>
        <v>-10078.55</v>
      </c>
      <c r="AG52" s="69" t="n">
        <f aca="false">-Inputs!$E$45*(1+Inputs!$E$39)^(AG$5-1)*1</f>
        <v>-10078.55</v>
      </c>
      <c r="AH52" s="69" t="n">
        <f aca="false">-Inputs!$E$45*(1+Inputs!$E$39)^(AH$5-1)*1</f>
        <v>-10078.55</v>
      </c>
      <c r="AI52" s="69" t="n">
        <f aca="false">-Inputs!$E$45*(1+Inputs!$E$39)^(AI$5-1)*1</f>
        <v>-10078.55</v>
      </c>
      <c r="AJ52" s="69" t="n">
        <f aca="false">-Inputs!$E$45*(1+Inputs!$E$39)^(AJ$5-1)*1</f>
        <v>-10078.55</v>
      </c>
      <c r="AK52" s="69" t="n">
        <f aca="false">-Inputs!$E$45*(1+Inputs!$E$39)^(AK$5-1)*1</f>
        <v>-10078.55</v>
      </c>
      <c r="AL52" s="69" t="n">
        <f aca="false">-Inputs!$E$45*(1+Inputs!$E$39)^(AL$5-1)*1</f>
        <v>-10078.55</v>
      </c>
      <c r="AM52" s="69" t="n">
        <f aca="false">-Inputs!$E$45*(1+Inputs!$E$39)^(AM$5-1)*1</f>
        <v>-10380.9065</v>
      </c>
      <c r="AN52" s="69" t="n">
        <f aca="false">-Inputs!$E$45*(1+Inputs!$E$39)^(AN$5-1)*1</f>
        <v>-10380.9065</v>
      </c>
      <c r="AO52" s="69" t="n">
        <f aca="false">-Inputs!$E$45*(1+Inputs!$E$39)^(AO$5-1)*1</f>
        <v>-10380.9065</v>
      </c>
      <c r="AP52" s="69" t="n">
        <f aca="false">-Inputs!$E$45*(1+Inputs!$E$39)^(AP$5-1)*1</f>
        <v>-10380.9065</v>
      </c>
      <c r="AQ52" s="69" t="n">
        <f aca="false">-Inputs!$E$45*(1+Inputs!$E$39)^(AQ$5-1)*1</f>
        <v>-10380.9065</v>
      </c>
      <c r="AR52" s="69" t="n">
        <f aca="false">-Inputs!$E$45*(1+Inputs!$E$39)^(AR$5-1)*1</f>
        <v>-10380.9065</v>
      </c>
      <c r="AS52" s="69" t="n">
        <f aca="false">-Inputs!$E$45*(1+Inputs!$E$39)^(AS$5-1)*1</f>
        <v>-10380.9065</v>
      </c>
      <c r="AT52" s="69" t="n">
        <f aca="false">-Inputs!$E$45*(1+Inputs!$E$39)^(AT$5-1)*1</f>
        <v>-10380.9065</v>
      </c>
      <c r="AU52" s="69" t="n">
        <f aca="false">-Inputs!$E$45*(1+Inputs!$E$39)^(AU$5-1)*1</f>
        <v>-10380.9065</v>
      </c>
      <c r="AV52" s="69" t="n">
        <f aca="false">-Inputs!$E$45*(1+Inputs!$E$39)^(AV$5-1)*1</f>
        <v>-10380.9065</v>
      </c>
      <c r="AW52" s="69" t="n">
        <f aca="false">-Inputs!$E$45*(1+Inputs!$E$39)^(AW$5-1)*1</f>
        <v>-10380.9065</v>
      </c>
      <c r="AX52" s="69" t="n">
        <f aca="false">-Inputs!$E$45*(1+Inputs!$E$39)^(AX$5-1)*1</f>
        <v>-10380.9065</v>
      </c>
      <c r="AY52" s="69" t="n">
        <f aca="false">-Inputs!$E$45*(1+Inputs!$E$39)^(AY$5-1)*1</f>
        <v>-10692.333695</v>
      </c>
      <c r="AZ52" s="69" t="n">
        <f aca="false">-Inputs!$E$45*(1+Inputs!$E$39)^(AZ$5-1)*1</f>
        <v>-10692.333695</v>
      </c>
      <c r="BA52" s="69" t="n">
        <f aca="false">-Inputs!$E$45*(1+Inputs!$E$39)^(BA$5-1)*1</f>
        <v>-10692.333695</v>
      </c>
      <c r="BB52" s="69" t="n">
        <f aca="false">-Inputs!$E$45*(1+Inputs!$E$39)^(BB$5-1)*1</f>
        <v>-10692.333695</v>
      </c>
      <c r="BC52" s="69" t="n">
        <f aca="false">-Inputs!$E$45*(1+Inputs!$E$39)^(BC$5-1)*1</f>
        <v>-10692.333695</v>
      </c>
      <c r="BD52" s="69" t="n">
        <f aca="false">-Inputs!$E$45*(1+Inputs!$E$39)^(BD$5-1)*1</f>
        <v>-10692.333695</v>
      </c>
      <c r="BE52" s="69" t="n">
        <f aca="false">-Inputs!$E$45*(1+Inputs!$E$39)^(BE$5-1)*1</f>
        <v>-10692.333695</v>
      </c>
      <c r="BF52" s="69" t="n">
        <f aca="false">-Inputs!$E$45*(1+Inputs!$E$39)^(BF$5-1)*1</f>
        <v>-10692.333695</v>
      </c>
      <c r="BG52" s="69" t="n">
        <f aca="false">-Inputs!$E$45*(1+Inputs!$E$39)^(BG$5-1)*1</f>
        <v>-10692.333695</v>
      </c>
      <c r="BH52" s="69" t="n">
        <f aca="false">-Inputs!$E$45*(1+Inputs!$E$39)^(BH$5-1)*1</f>
        <v>-10692.333695</v>
      </c>
      <c r="BI52" s="69" t="n">
        <f aca="false">-Inputs!$E$45*(1+Inputs!$E$39)^(BI$5-1)*1</f>
        <v>-10692.333695</v>
      </c>
      <c r="BJ52" s="69" t="n">
        <f aca="false">-Inputs!$E$45*(1+Inputs!$E$39)^(BJ$5-1)*1</f>
        <v>-10692.333695</v>
      </c>
    </row>
    <row r="53" customFormat="false" ht="15" hidden="false" customHeight="false" outlineLevel="0" collapsed="false">
      <c r="A53" s="6" t="s">
        <v>346</v>
      </c>
      <c r="C53" s="69" t="n">
        <f aca="false">-Inputs!$E$46*(1+Inputs!$E$47)^(C$5-1)*1</f>
        <v>-12000</v>
      </c>
      <c r="D53" s="69" t="n">
        <f aca="false">-Inputs!$E$46*(1+Inputs!$E$47)^(D$5-1)*1</f>
        <v>-12000</v>
      </c>
      <c r="E53" s="69" t="n">
        <f aca="false">-Inputs!$E$46*(1+Inputs!$E$47)^(E$5-1)*1</f>
        <v>-12000</v>
      </c>
      <c r="F53" s="69" t="n">
        <f aca="false">-Inputs!$E$46*(1+Inputs!$E$47)^(F$5-1)*1</f>
        <v>-12000</v>
      </c>
      <c r="G53" s="69" t="n">
        <f aca="false">-Inputs!$E$46*(1+Inputs!$E$47)^(G$5-1)*1</f>
        <v>-12000</v>
      </c>
      <c r="H53" s="69" t="n">
        <f aca="false">-Inputs!$E$46*(1+Inputs!$E$47)^(H$5-1)*1</f>
        <v>-12000</v>
      </c>
      <c r="I53" s="69" t="n">
        <f aca="false">-Inputs!$E$46*(1+Inputs!$E$47)^(I$5-1)*1</f>
        <v>-12000</v>
      </c>
      <c r="J53" s="69" t="n">
        <f aca="false">-Inputs!$E$46*(1+Inputs!$E$47)^(J$5-1)*1</f>
        <v>-12000</v>
      </c>
      <c r="K53" s="69" t="n">
        <f aca="false">-Inputs!$E$46*(1+Inputs!$E$47)^(K$5-1)*1</f>
        <v>-12000</v>
      </c>
      <c r="L53" s="69" t="n">
        <f aca="false">-Inputs!$E$46*(1+Inputs!$E$47)^(L$5-1)*1</f>
        <v>-12000</v>
      </c>
      <c r="M53" s="69" t="n">
        <f aca="false">-Inputs!$E$46*(1+Inputs!$E$47)^(M$5-1)*1</f>
        <v>-12000</v>
      </c>
      <c r="N53" s="69" t="n">
        <f aca="false">-Inputs!$E$46*(1+Inputs!$E$47)^(N$5-1)*1</f>
        <v>-12000</v>
      </c>
      <c r="O53" s="69" t="n">
        <f aca="false">-Inputs!$E$46*(1+Inputs!$E$47)^(O$5-1)*1</f>
        <v>-9600</v>
      </c>
      <c r="P53" s="69" t="n">
        <f aca="false">-Inputs!$E$46*(1+Inputs!$E$47)^(P$5-1)*1</f>
        <v>-9600</v>
      </c>
      <c r="Q53" s="69" t="n">
        <f aca="false">-Inputs!$E$46*(1+Inputs!$E$47)^(Q$5-1)*1</f>
        <v>-9600</v>
      </c>
      <c r="R53" s="69" t="n">
        <f aca="false">-Inputs!$E$46*(1+Inputs!$E$47)^(R$5-1)*1</f>
        <v>-9600</v>
      </c>
      <c r="S53" s="69" t="n">
        <f aca="false">-Inputs!$E$46*(1+Inputs!$E$47)^(S$5-1)*1</f>
        <v>-9600</v>
      </c>
      <c r="T53" s="69" t="n">
        <f aca="false">-Inputs!$E$46*(1+Inputs!$E$47)^(T$5-1)*1</f>
        <v>-9600</v>
      </c>
      <c r="U53" s="69" t="n">
        <f aca="false">-Inputs!$E$46*(1+Inputs!$E$47)^(U$5-1)*1</f>
        <v>-9600</v>
      </c>
      <c r="V53" s="69" t="n">
        <f aca="false">-Inputs!$E$46*(1+Inputs!$E$47)^(V$5-1)*1</f>
        <v>-9600</v>
      </c>
      <c r="W53" s="69" t="n">
        <f aca="false">-Inputs!$E$46*(1+Inputs!$E$47)^(W$5-1)*1</f>
        <v>-9600</v>
      </c>
      <c r="X53" s="69" t="n">
        <f aca="false">-Inputs!$E$46*(1+Inputs!$E$47)^(X$5-1)*1</f>
        <v>-9600</v>
      </c>
      <c r="Y53" s="69" t="n">
        <f aca="false">-Inputs!$E$46*(1+Inputs!$E$47)^(Y$5-1)*1</f>
        <v>-9600</v>
      </c>
      <c r="Z53" s="69" t="n">
        <f aca="false">-Inputs!$E$46*(1+Inputs!$E$47)^(Z$5-1)*1</f>
        <v>-9600</v>
      </c>
      <c r="AA53" s="69" t="n">
        <f aca="false">-Inputs!$E$46*(1+Inputs!$E$47)^(AA$5-1)*1</f>
        <v>-7680</v>
      </c>
      <c r="AB53" s="69" t="n">
        <f aca="false">-Inputs!$E$46*(1+Inputs!$E$47)^(AB$5-1)*1</f>
        <v>-7680</v>
      </c>
      <c r="AC53" s="69" t="n">
        <f aca="false">-Inputs!$E$46*(1+Inputs!$E$47)^(AC$5-1)*1</f>
        <v>-7680</v>
      </c>
      <c r="AD53" s="69" t="n">
        <f aca="false">-Inputs!$E$46*(1+Inputs!$E$47)^(AD$5-1)*1</f>
        <v>-7680</v>
      </c>
      <c r="AE53" s="69" t="n">
        <f aca="false">-Inputs!$E$46*(1+Inputs!$E$47)^(AE$5-1)*1</f>
        <v>-7680</v>
      </c>
      <c r="AF53" s="69" t="n">
        <f aca="false">-Inputs!$E$46*(1+Inputs!$E$47)^(AF$5-1)*1</f>
        <v>-7680</v>
      </c>
      <c r="AG53" s="69" t="n">
        <f aca="false">-Inputs!$E$46*(1+Inputs!$E$47)^(AG$5-1)*1</f>
        <v>-7680</v>
      </c>
      <c r="AH53" s="69" t="n">
        <f aca="false">-Inputs!$E$46*(1+Inputs!$E$47)^(AH$5-1)*1</f>
        <v>-7680</v>
      </c>
      <c r="AI53" s="69" t="n">
        <f aca="false">-Inputs!$E$46*(1+Inputs!$E$47)^(AI$5-1)*1</f>
        <v>-7680</v>
      </c>
      <c r="AJ53" s="69" t="n">
        <f aca="false">-Inputs!$E$46*(1+Inputs!$E$47)^(AJ$5-1)*1</f>
        <v>-7680</v>
      </c>
      <c r="AK53" s="69" t="n">
        <f aca="false">-Inputs!$E$46*(1+Inputs!$E$47)^(AK$5-1)*1</f>
        <v>-7680</v>
      </c>
      <c r="AL53" s="69" t="n">
        <f aca="false">-Inputs!$E$46*(1+Inputs!$E$47)^(AL$5-1)*1</f>
        <v>-7680</v>
      </c>
      <c r="AM53" s="69" t="n">
        <f aca="false">-Inputs!$E$46*(1+Inputs!$E$47)^(AM$5-1)*1</f>
        <v>-6144</v>
      </c>
      <c r="AN53" s="69" t="n">
        <f aca="false">-Inputs!$E$46*(1+Inputs!$E$47)^(AN$5-1)*1</f>
        <v>-6144</v>
      </c>
      <c r="AO53" s="69" t="n">
        <f aca="false">-Inputs!$E$46*(1+Inputs!$E$47)^(AO$5-1)*1</f>
        <v>-6144</v>
      </c>
      <c r="AP53" s="69" t="n">
        <f aca="false">-Inputs!$E$46*(1+Inputs!$E$47)^(AP$5-1)*1</f>
        <v>-6144</v>
      </c>
      <c r="AQ53" s="69" t="n">
        <f aca="false">-Inputs!$E$46*(1+Inputs!$E$47)^(AQ$5-1)*1</f>
        <v>-6144</v>
      </c>
      <c r="AR53" s="69" t="n">
        <f aca="false">-Inputs!$E$46*(1+Inputs!$E$47)^(AR$5-1)*1</f>
        <v>-6144</v>
      </c>
      <c r="AS53" s="69" t="n">
        <f aca="false">-Inputs!$E$46*(1+Inputs!$E$47)^(AS$5-1)*1</f>
        <v>-6144</v>
      </c>
      <c r="AT53" s="69" t="n">
        <f aca="false">-Inputs!$E$46*(1+Inputs!$E$47)^(AT$5-1)*1</f>
        <v>-6144</v>
      </c>
      <c r="AU53" s="69" t="n">
        <f aca="false">-Inputs!$E$46*(1+Inputs!$E$47)^(AU$5-1)*1</f>
        <v>-6144</v>
      </c>
      <c r="AV53" s="69" t="n">
        <f aca="false">-Inputs!$E$46*(1+Inputs!$E$47)^(AV$5-1)*1</f>
        <v>-6144</v>
      </c>
      <c r="AW53" s="69" t="n">
        <f aca="false">-Inputs!$E$46*(1+Inputs!$E$47)^(AW$5-1)*1</f>
        <v>-6144</v>
      </c>
      <c r="AX53" s="69" t="n">
        <f aca="false">-Inputs!$E$46*(1+Inputs!$E$47)^(AX$5-1)*1</f>
        <v>-6144</v>
      </c>
      <c r="AY53" s="69" t="n">
        <f aca="false">-Inputs!$E$46*(1+Inputs!$E$47)^(AY$5-1)*1</f>
        <v>-4915.2</v>
      </c>
      <c r="AZ53" s="69" t="n">
        <f aca="false">-Inputs!$E$46*(1+Inputs!$E$47)^(AZ$5-1)*1</f>
        <v>-4915.2</v>
      </c>
      <c r="BA53" s="69" t="n">
        <f aca="false">-Inputs!$E$46*(1+Inputs!$E$47)^(BA$5-1)*1</f>
        <v>-4915.2</v>
      </c>
      <c r="BB53" s="69" t="n">
        <f aca="false">-Inputs!$E$46*(1+Inputs!$E$47)^(BB$5-1)*1</f>
        <v>-4915.2</v>
      </c>
      <c r="BC53" s="69" t="n">
        <f aca="false">-Inputs!$E$46*(1+Inputs!$E$47)^(BC$5-1)*1</f>
        <v>-4915.2</v>
      </c>
      <c r="BD53" s="69" t="n">
        <f aca="false">-Inputs!$E$46*(1+Inputs!$E$47)^(BD$5-1)*1</f>
        <v>-4915.2</v>
      </c>
      <c r="BE53" s="69" t="n">
        <f aca="false">-Inputs!$E$46*(1+Inputs!$E$47)^(BE$5-1)*1</f>
        <v>-4915.2</v>
      </c>
      <c r="BF53" s="69" t="n">
        <f aca="false">-Inputs!$E$46*(1+Inputs!$E$47)^(BF$5-1)*1</f>
        <v>-4915.2</v>
      </c>
      <c r="BG53" s="69" t="n">
        <f aca="false">-Inputs!$E$46*(1+Inputs!$E$47)^(BG$5-1)*1</f>
        <v>-4915.2</v>
      </c>
      <c r="BH53" s="69" t="n">
        <f aca="false">-Inputs!$E$46*(1+Inputs!$E$47)^(BH$5-1)*1</f>
        <v>-4915.2</v>
      </c>
      <c r="BI53" s="69" t="n">
        <f aca="false">-Inputs!$E$46*(1+Inputs!$E$47)^(BI$5-1)*1</f>
        <v>-4915.2</v>
      </c>
      <c r="BJ53" s="69" t="n">
        <f aca="false">-Inputs!$E$46*(1+Inputs!$E$47)^(BJ$5-1)*1</f>
        <v>-4915.2</v>
      </c>
    </row>
    <row r="54" customFormat="false" ht="15" hidden="false" customHeight="false" outlineLevel="0" collapsed="false">
      <c r="A54" s="113" t="s">
        <v>77</v>
      </c>
      <c r="C54" s="70" t="n">
        <f aca="false">C49+C50+C51+C52+C53</f>
        <v>-93586.6666666667</v>
      </c>
      <c r="D54" s="70" t="n">
        <f aca="false">D49+D50+D51+D52+D53</f>
        <v>-93586.6666666667</v>
      </c>
      <c r="E54" s="70" t="n">
        <f aca="false">E49+E50+E51+E52+E53</f>
        <v>-93586.6666666667</v>
      </c>
      <c r="F54" s="70" t="n">
        <f aca="false">F49+F50+F51+F52+F53</f>
        <v>-93586.6666666667</v>
      </c>
      <c r="G54" s="70" t="n">
        <f aca="false">G49+G50+G51+G52+G53</f>
        <v>-93586.6666666667</v>
      </c>
      <c r="H54" s="70" t="n">
        <f aca="false">H49+H50+H51+H52+H53</f>
        <v>-93586.6666666667</v>
      </c>
      <c r="I54" s="70" t="n">
        <f aca="false">I49+I50+I51+I52+I53</f>
        <v>-93586.6666666667</v>
      </c>
      <c r="J54" s="70" t="n">
        <f aca="false">J49+J50+J51+J52+J53</f>
        <v>-93586.6666666667</v>
      </c>
      <c r="K54" s="70" t="n">
        <f aca="false">K49+K50+K51+K52+K53</f>
        <v>-93586.6666666667</v>
      </c>
      <c r="L54" s="70" t="n">
        <f aca="false">L49+L50+L51+L52+L53</f>
        <v>-93586.6666666667</v>
      </c>
      <c r="M54" s="70" t="n">
        <f aca="false">M49+M50+M51+M52+M53</f>
        <v>-93586.6666666667</v>
      </c>
      <c r="N54" s="70" t="n">
        <f aca="false">N49+N50+N51+N52+N53</f>
        <v>-93586.6666666667</v>
      </c>
      <c r="O54" s="70" t="n">
        <f aca="false">O49+O50+O51+O52+O53</f>
        <v>-93634.2666666667</v>
      </c>
      <c r="P54" s="70" t="n">
        <f aca="false">P49+P50+P51+P52+P53</f>
        <v>-93634.2666666667</v>
      </c>
      <c r="Q54" s="70" t="n">
        <f aca="false">Q49+Q50+Q51+Q52+Q53</f>
        <v>-93634.2666666667</v>
      </c>
      <c r="R54" s="70" t="n">
        <f aca="false">R49+R50+R51+R52+R53</f>
        <v>-93634.2666666667</v>
      </c>
      <c r="S54" s="70" t="n">
        <f aca="false">S49+S50+S51+S52+S53</f>
        <v>-93634.2666666667</v>
      </c>
      <c r="T54" s="70" t="n">
        <f aca="false">T49+T50+T51+T52+T53</f>
        <v>-93634.2666666667</v>
      </c>
      <c r="U54" s="70" t="n">
        <f aca="false">U49+U50+U51+U52+U53</f>
        <v>-93634.2666666667</v>
      </c>
      <c r="V54" s="70" t="n">
        <f aca="false">V49+V50+V51+V52+V53</f>
        <v>-93634.2666666667</v>
      </c>
      <c r="W54" s="70" t="n">
        <f aca="false">W49+W50+W51+W52+W53</f>
        <v>-93634.2666666667</v>
      </c>
      <c r="X54" s="70" t="n">
        <f aca="false">X49+X50+X51+X52+X53</f>
        <v>-93634.2666666667</v>
      </c>
      <c r="Y54" s="70" t="n">
        <f aca="false">Y49+Y50+Y51+Y52+Y53</f>
        <v>-93634.2666666667</v>
      </c>
      <c r="Z54" s="70" t="n">
        <f aca="false">Z49+Z50+Z51+Z52+Z53</f>
        <v>-93634.2666666667</v>
      </c>
      <c r="AA54" s="70" t="n">
        <f aca="false">AA49+AA50+AA51+AA52+AA53</f>
        <v>-94235.2946666667</v>
      </c>
      <c r="AB54" s="70" t="n">
        <f aca="false">AB49+AB50+AB51+AB52+AB53</f>
        <v>-94235.2946666667</v>
      </c>
      <c r="AC54" s="70" t="n">
        <f aca="false">AC49+AC50+AC51+AC52+AC53</f>
        <v>-94235.2946666667</v>
      </c>
      <c r="AD54" s="70" t="n">
        <f aca="false">AD49+AD50+AD51+AD52+AD53</f>
        <v>-94235.2946666667</v>
      </c>
      <c r="AE54" s="70" t="n">
        <f aca="false">AE49+AE50+AE51+AE52+AE53</f>
        <v>-94235.2946666667</v>
      </c>
      <c r="AF54" s="70" t="n">
        <f aca="false">AF49+AF50+AF51+AF52+AF53</f>
        <v>-94235.2946666667</v>
      </c>
      <c r="AG54" s="70" t="n">
        <f aca="false">AG49+AG50+AG51+AG52+AG53</f>
        <v>-94235.2946666667</v>
      </c>
      <c r="AH54" s="70" t="n">
        <f aca="false">AH49+AH50+AH51+AH52+AH53</f>
        <v>-94235.2946666667</v>
      </c>
      <c r="AI54" s="70" t="n">
        <f aca="false">AI49+AI50+AI51+AI52+AI53</f>
        <v>-94235.2946666667</v>
      </c>
      <c r="AJ54" s="70" t="n">
        <f aca="false">AJ49+AJ50+AJ51+AJ52+AJ53</f>
        <v>-94235.2946666667</v>
      </c>
      <c r="AK54" s="70" t="n">
        <f aca="false">AK49+AK50+AK51+AK52+AK53</f>
        <v>-94235.2946666667</v>
      </c>
      <c r="AL54" s="70" t="n">
        <f aca="false">AL49+AL50+AL51+AL52+AL53</f>
        <v>-94235.2946666667</v>
      </c>
      <c r="AM54" s="70" t="n">
        <f aca="false">AM49+AM50+AM51+AM52+AM53</f>
        <v>-95295.9535066667</v>
      </c>
      <c r="AN54" s="70" t="n">
        <f aca="false">AN49+AN50+AN51+AN52+AN53</f>
        <v>-95295.9535066667</v>
      </c>
      <c r="AO54" s="70" t="n">
        <f aca="false">AO49+AO50+AO51+AO52+AO53</f>
        <v>-95295.9535066667</v>
      </c>
      <c r="AP54" s="70" t="n">
        <f aca="false">AP49+AP50+AP51+AP52+AP53</f>
        <v>-95295.9535066667</v>
      </c>
      <c r="AQ54" s="70" t="n">
        <f aca="false">AQ49+AQ50+AQ51+AQ52+AQ53</f>
        <v>-95295.9535066667</v>
      </c>
      <c r="AR54" s="70" t="n">
        <f aca="false">AR49+AR50+AR51+AR52+AR53</f>
        <v>-95295.9535066667</v>
      </c>
      <c r="AS54" s="70" t="n">
        <f aca="false">AS49+AS50+AS51+AS52+AS53</f>
        <v>-95295.9535066667</v>
      </c>
      <c r="AT54" s="70" t="n">
        <f aca="false">AT49+AT50+AT51+AT52+AT53</f>
        <v>-95295.9535066667</v>
      </c>
      <c r="AU54" s="70" t="n">
        <f aca="false">AU49+AU50+AU51+AU52+AU53</f>
        <v>-95295.9535066667</v>
      </c>
      <c r="AV54" s="70" t="n">
        <f aca="false">AV49+AV50+AV51+AV52+AV53</f>
        <v>-95295.9535066667</v>
      </c>
      <c r="AW54" s="70" t="n">
        <f aca="false">AW49+AW50+AW51+AW52+AW53</f>
        <v>-95295.9535066667</v>
      </c>
      <c r="AX54" s="70" t="n">
        <f aca="false">AX49+AX50+AX51+AX52+AX53</f>
        <v>-95295.9535066667</v>
      </c>
      <c r="AY54" s="70" t="n">
        <f aca="false">AY49+AY50+AY51+AY52+AY53</f>
        <v>-96741.7121118667</v>
      </c>
      <c r="AZ54" s="70" t="n">
        <f aca="false">AZ49+AZ50+AZ51+AZ52+AZ53</f>
        <v>-96741.7121118667</v>
      </c>
      <c r="BA54" s="70" t="n">
        <f aca="false">BA49+BA50+BA51+BA52+BA53</f>
        <v>-96741.7121118667</v>
      </c>
      <c r="BB54" s="70" t="n">
        <f aca="false">BB49+BB50+BB51+BB52+BB53</f>
        <v>-96741.7121118667</v>
      </c>
      <c r="BC54" s="70" t="n">
        <f aca="false">BC49+BC50+BC51+BC52+BC53</f>
        <v>-96741.7121118667</v>
      </c>
      <c r="BD54" s="70" t="n">
        <f aca="false">BD49+BD50+BD51+BD52+BD53</f>
        <v>-96741.7121118667</v>
      </c>
      <c r="BE54" s="70" t="n">
        <f aca="false">BE49+BE50+BE51+BE52+BE53</f>
        <v>-96741.7121118667</v>
      </c>
      <c r="BF54" s="70" t="n">
        <f aca="false">BF49+BF50+BF51+BF52+BF53</f>
        <v>-96741.7121118667</v>
      </c>
      <c r="BG54" s="70" t="n">
        <f aca="false">BG49+BG50+BG51+BG52+BG53</f>
        <v>-96741.7121118667</v>
      </c>
      <c r="BH54" s="70" t="n">
        <f aca="false">BH49+BH50+BH51+BH52+BH53</f>
        <v>-96741.7121118667</v>
      </c>
      <c r="BI54" s="70" t="n">
        <f aca="false">BI49+BI50+BI51+BI52+BI53</f>
        <v>-96741.7121118667</v>
      </c>
      <c r="BJ54" s="70" t="n">
        <f aca="false">BJ49+BJ50+BJ51+BJ52+BJ53</f>
        <v>-96741.7121118667</v>
      </c>
    </row>
    <row r="55" customFormat="false" ht="15" hidden="false" customHeight="false" outlineLevel="0" collapsed="false">
      <c r="A55" s="113" t="s">
        <v>48</v>
      </c>
      <c r="C55" s="70" t="n">
        <f aca="false">C46+C54</f>
        <v>-52715.2544125667</v>
      </c>
      <c r="D55" s="70" t="n">
        <f aca="false">D46+D54</f>
        <v>-47169.179570764</v>
      </c>
      <c r="E55" s="70" t="n">
        <f aca="false">E46+E54</f>
        <v>-31890.1001241627</v>
      </c>
      <c r="F55" s="70" t="n">
        <f aca="false">F46+F54</f>
        <v>-24896.4647094518</v>
      </c>
      <c r="G55" s="70" t="n">
        <f aca="false">G46+G54</f>
        <v>-17775.1087070848</v>
      </c>
      <c r="H55" s="70" t="n">
        <f aca="false">H46+H54</f>
        <v>-10531.1409405681</v>
      </c>
      <c r="I55" s="70" t="n">
        <f aca="false">I46+I54</f>
        <v>-3169.46588046759</v>
      </c>
      <c r="J55" s="70" t="n">
        <f aca="false">J46+J54</f>
        <v>4305.20818147335</v>
      </c>
      <c r="K55" s="70" t="n">
        <f aca="false">K46+K54</f>
        <v>11888.3612851811</v>
      </c>
      <c r="L55" s="70" t="n">
        <f aca="false">L46+L54</f>
        <v>19575.654268985</v>
      </c>
      <c r="M55" s="70" t="n">
        <f aca="false">M46+M54</f>
        <v>21716.7869555589</v>
      </c>
      <c r="N55" s="70" t="n">
        <f aca="false">N46+N54</f>
        <v>7381.49638357262</v>
      </c>
      <c r="O55" s="70" t="n">
        <f aca="false">O46+O54</f>
        <v>13285.4975743402</v>
      </c>
      <c r="P55" s="70" t="n">
        <f aca="false">P46+P54</f>
        <v>15096.6550273763</v>
      </c>
      <c r="Q55" s="70" t="n">
        <f aca="false">Q46+Q54</f>
        <v>33840.7368269019</v>
      </c>
      <c r="R55" s="70" t="n">
        <f aca="false">R46+R54</f>
        <v>35763.6031619908</v>
      </c>
      <c r="S55" s="70" t="n">
        <f aca="false">S46+S54</f>
        <v>37609.554843676</v>
      </c>
      <c r="T55" s="70" t="n">
        <f aca="false">T46+T54</f>
        <v>39381.668458094</v>
      </c>
      <c r="U55" s="70" t="n">
        <f aca="false">U46+U54</f>
        <v>41082.8975279352</v>
      </c>
      <c r="V55" s="70" t="n">
        <f aca="false">V46+V54</f>
        <v>42716.0774349827</v>
      </c>
      <c r="W55" s="70" t="n">
        <f aca="false">W46+W54</f>
        <v>44283.9301457483</v>
      </c>
      <c r="X55" s="70" t="n">
        <f aca="false">X46+X54</f>
        <v>45789.0687480833</v>
      </c>
      <c r="Y55" s="70" t="n">
        <f aca="false">Y46+Y54</f>
        <v>47234.0018063249</v>
      </c>
      <c r="Z55" s="70" t="n">
        <f aca="false">Z46+Z54</f>
        <v>32226.130733046</v>
      </c>
      <c r="AA55" s="70" t="n">
        <f aca="false">AA46+AA54</f>
        <v>37451.3738221199</v>
      </c>
      <c r="AB55" s="70" t="n">
        <f aca="false">AB46+AB54</f>
        <v>38602.1674695305</v>
      </c>
      <c r="AC55" s="70" t="n">
        <f aca="false">AC46+AC54</f>
        <v>56810.1431026889</v>
      </c>
      <c r="AD55" s="70" t="n">
        <f aca="false">AD46+AD54</f>
        <v>58163.5434300516</v>
      </c>
      <c r="AE55" s="70" t="n">
        <f aca="false">AE46+AE54</f>
        <v>59462.8077443198</v>
      </c>
      <c r="AF55" s="70" t="n">
        <f aca="false">AF46+AF54</f>
        <v>60710.1014860173</v>
      </c>
      <c r="AG55" s="70" t="n">
        <f aca="false">AG46+AG54</f>
        <v>61907.5034780469</v>
      </c>
      <c r="AH55" s="70" t="n">
        <f aca="false">AH46+AH54</f>
        <v>63057.0093903953</v>
      </c>
      <c r="AI55" s="70" t="n">
        <f aca="false">AI46+AI54</f>
        <v>64160.5350662498</v>
      </c>
      <c r="AJ55" s="70" t="n">
        <f aca="false">AJ46+AJ54</f>
        <v>65219.9197150701</v>
      </c>
      <c r="AK55" s="70" t="n">
        <f aca="false">AK46+AK54</f>
        <v>66236.9289779375</v>
      </c>
      <c r="AL55" s="70" t="n">
        <f aca="false">AL46+AL54</f>
        <v>50544.7816391896</v>
      </c>
      <c r="AM55" s="70" t="n">
        <f aca="false">AM46+AM54</f>
        <v>55341.4662105656</v>
      </c>
      <c r="AN55" s="70" t="n">
        <f aca="false">AN46+AN54</f>
        <v>56082.8194161962</v>
      </c>
      <c r="AO55" s="70" t="n">
        <f aca="false">AO46+AO54</f>
        <v>74244.9207128869</v>
      </c>
      <c r="AP55" s="70" t="n">
        <f aca="false">AP46+AP54</f>
        <v>75252.0138556954</v>
      </c>
      <c r="AQ55" s="70" t="n">
        <f aca="false">AQ46+AQ54</f>
        <v>76218.8232727916</v>
      </c>
      <c r="AR55" s="70" t="n">
        <f aca="false">AR46+AR54</f>
        <v>77146.9603132039</v>
      </c>
      <c r="AS55" s="70" t="n">
        <f aca="false">AS46+AS54</f>
        <v>78037.9718719998</v>
      </c>
      <c r="AT55" s="70" t="n">
        <f aca="false">AT46+AT54</f>
        <v>78893.3429684437</v>
      </c>
      <c r="AU55" s="70" t="n">
        <f aca="false">AU46+AU54</f>
        <v>79714.49922103</v>
      </c>
      <c r="AV55" s="70" t="n">
        <f aca="false">AV46+AV54</f>
        <v>80502.8092235128</v>
      </c>
      <c r="AW55" s="70" t="n">
        <f aca="false">AW46+AW54</f>
        <v>81259.5868258963</v>
      </c>
      <c r="AX55" s="70" t="n">
        <f aca="false">AX46+AX54</f>
        <v>64863.0639513283</v>
      </c>
      <c r="AY55" s="70" t="n">
        <f aca="false">AY46+AY54</f>
        <v>69409.1113177124</v>
      </c>
      <c r="AZ55" s="70" t="n">
        <f aca="false">AZ46+AZ54</f>
        <v>69897.8282590615</v>
      </c>
      <c r="BA55" s="70" t="n">
        <f aca="false">BA46+BA54</f>
        <v>88333.7435952656</v>
      </c>
      <c r="BB55" s="70" t="n">
        <f aca="false">BB46+BB54</f>
        <v>89134.2296745861</v>
      </c>
      <c r="BC55" s="70" t="n">
        <f aca="false">BC46+BC54</f>
        <v>89902.6963107339</v>
      </c>
      <c r="BD55" s="70" t="n">
        <f aca="false">BD46+BD54</f>
        <v>90640.4242814357</v>
      </c>
      <c r="BE55" s="70" t="n">
        <f aca="false">BE46+BE54</f>
        <v>91348.6431333095</v>
      </c>
      <c r="BF55" s="70" t="n">
        <f aca="false">BF46+BF54</f>
        <v>92028.5332311083</v>
      </c>
      <c r="BG55" s="70" t="n">
        <f aca="false">BG46+BG54</f>
        <v>92681.2277249952</v>
      </c>
      <c r="BH55" s="70" t="n">
        <f aca="false">BH46+BH54</f>
        <v>93307.8144391265</v>
      </c>
      <c r="BI55" s="70" t="n">
        <f aca="false">BI46+BI54</f>
        <v>93909.3376846927</v>
      </c>
      <c r="BJ55" s="70" t="n">
        <f aca="false">BJ46+BJ54</f>
        <v>76783.3889093124</v>
      </c>
    </row>
    <row r="57" customFormat="false" ht="15.75" hidden="false" customHeight="true" outlineLevel="0" collapsed="false">
      <c r="A57" s="7" t="s">
        <v>443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4" t="s">
        <v>79</v>
      </c>
      <c r="C58" s="75" t="n">
        <f aca="false">C55+C75</f>
        <v>-81187.4766347889</v>
      </c>
      <c r="D58" s="75" t="n">
        <f aca="false">D55+D75</f>
        <v>-75641.4017929862</v>
      </c>
      <c r="E58" s="75" t="n">
        <f aca="false">E55+E75</f>
        <v>-60362.3223463849</v>
      </c>
      <c r="F58" s="75" t="n">
        <f aca="false">F55+F75</f>
        <v>-53368.686931674</v>
      </c>
      <c r="G58" s="75" t="n">
        <f aca="false">G55+G75</f>
        <v>-46247.330929307</v>
      </c>
      <c r="H58" s="75" t="n">
        <f aca="false">H55+H75</f>
        <v>-39003.3631627903</v>
      </c>
      <c r="I58" s="75" t="n">
        <f aca="false">I55+I75</f>
        <v>-31641.6881026898</v>
      </c>
      <c r="J58" s="75" t="n">
        <f aca="false">J55+J75</f>
        <v>-24167.0140407489</v>
      </c>
      <c r="K58" s="75" t="n">
        <f aca="false">K55+K75</f>
        <v>-16583.8609370411</v>
      </c>
      <c r="L58" s="75" t="n">
        <f aca="false">L55+L75</f>
        <v>-8896.56795323726</v>
      </c>
      <c r="M58" s="75" t="n">
        <f aca="false">M55+M75</f>
        <v>-6755.43526666334</v>
      </c>
      <c r="N58" s="75" t="n">
        <f aca="false">N55+N75</f>
        <v>-21090.7258386496</v>
      </c>
      <c r="O58" s="75" t="n">
        <f aca="false">O55+O75</f>
        <v>-15464.5024256598</v>
      </c>
      <c r="P58" s="75" t="n">
        <f aca="false">P55+P75</f>
        <v>-13653.3449726237</v>
      </c>
      <c r="Q58" s="75" t="n">
        <f aca="false">Q55+Q75</f>
        <v>5090.73682690191</v>
      </c>
      <c r="R58" s="75" t="n">
        <f aca="false">R55+R75</f>
        <v>7013.60316199076</v>
      </c>
      <c r="S58" s="75" t="n">
        <f aca="false">S55+S75</f>
        <v>8859.55484367604</v>
      </c>
      <c r="T58" s="75" t="n">
        <f aca="false">T55+T75</f>
        <v>10631.6684580939</v>
      </c>
      <c r="U58" s="75" t="n">
        <f aca="false">U55+U75</f>
        <v>12332.8975279352</v>
      </c>
      <c r="V58" s="75" t="n">
        <f aca="false">V55+V75</f>
        <v>13966.0774349827</v>
      </c>
      <c r="W58" s="75" t="n">
        <f aca="false">W55+W75</f>
        <v>15533.9301457483</v>
      </c>
      <c r="X58" s="75" t="n">
        <f aca="false">X55+X75</f>
        <v>17039.0687480833</v>
      </c>
      <c r="Y58" s="75" t="n">
        <f aca="false">Y55+Y75</f>
        <v>18484.0018063249</v>
      </c>
      <c r="Z58" s="75" t="n">
        <f aca="false">Z55+Z75</f>
        <v>3476.13073304603</v>
      </c>
      <c r="AA58" s="75" t="n">
        <f aca="false">AA55+AA75</f>
        <v>8423.59604434211</v>
      </c>
      <c r="AB58" s="75" t="n">
        <f aca="false">AB55+AB75</f>
        <v>9574.38969175272</v>
      </c>
      <c r="AC58" s="75" t="n">
        <f aca="false">AC55+AC75</f>
        <v>27782.3653249111</v>
      </c>
      <c r="AD58" s="75" t="n">
        <f aca="false">AD55+AD75</f>
        <v>29135.7656522738</v>
      </c>
      <c r="AE58" s="75" t="n">
        <f aca="false">AE55+AE75</f>
        <v>30435.0299665421</v>
      </c>
      <c r="AF58" s="75" t="n">
        <f aca="false">AF55+AF75</f>
        <v>31682.3237082395</v>
      </c>
      <c r="AG58" s="75" t="n">
        <f aca="false">AG55+AG75</f>
        <v>32879.7257002691</v>
      </c>
      <c r="AH58" s="75" t="n">
        <f aca="false">AH55+AH75</f>
        <v>34029.2316126175</v>
      </c>
      <c r="AI58" s="75" t="n">
        <f aca="false">AI55+AI75</f>
        <v>35132.757288472</v>
      </c>
      <c r="AJ58" s="75" t="n">
        <f aca="false">AJ55+AJ75</f>
        <v>36192.1419372923</v>
      </c>
      <c r="AK58" s="75" t="n">
        <f aca="false">AK55+AK75</f>
        <v>37209.1512001598</v>
      </c>
      <c r="AL58" s="75" t="n">
        <f aca="false">AL55+AL75</f>
        <v>21517.0038614118</v>
      </c>
      <c r="AM58" s="75" t="n">
        <f aca="false">AM55+AM75</f>
        <v>26035.91065501</v>
      </c>
      <c r="AN58" s="75" t="n">
        <f aca="false">AN55+AN75</f>
        <v>26777.2638606406</v>
      </c>
      <c r="AO58" s="75" t="n">
        <f aca="false">AO55+AO75</f>
        <v>44939.3651573313</v>
      </c>
      <c r="AP58" s="75" t="n">
        <f aca="false">AP55+AP75</f>
        <v>45946.4583001399</v>
      </c>
      <c r="AQ58" s="75" t="n">
        <f aca="false">AQ55+AQ75</f>
        <v>46913.267717236</v>
      </c>
      <c r="AR58" s="75" t="n">
        <f aca="false">AR55+AR75</f>
        <v>47841.4047576484</v>
      </c>
      <c r="AS58" s="75" t="n">
        <f aca="false">AS55+AS75</f>
        <v>48732.4163164442</v>
      </c>
      <c r="AT58" s="75" t="n">
        <f aca="false">AT55+AT75</f>
        <v>49587.7874128882</v>
      </c>
      <c r="AU58" s="75" t="n">
        <f aca="false">AU55+AU75</f>
        <v>50408.9436654745</v>
      </c>
      <c r="AV58" s="75" t="n">
        <f aca="false">AV55+AV75</f>
        <v>51197.2536679572</v>
      </c>
      <c r="AW58" s="75" t="n">
        <f aca="false">AW55+AW75</f>
        <v>51954.0312703407</v>
      </c>
      <c r="AX58" s="75" t="n">
        <f aca="false">AX55+AX75</f>
        <v>35557.5083957728</v>
      </c>
      <c r="AY58" s="75" t="n">
        <f aca="false">AY55+AY75</f>
        <v>39825.7779843791</v>
      </c>
      <c r="AZ58" s="75" t="n">
        <f aca="false">AZ55+AZ75</f>
        <v>40314.4949257282</v>
      </c>
      <c r="BA58" s="75" t="n">
        <f aca="false">BA55+BA75</f>
        <v>58750.4102619323</v>
      </c>
      <c r="BB58" s="75" t="n">
        <f aca="false">BB55+BB75</f>
        <v>59550.8963412528</v>
      </c>
      <c r="BC58" s="75" t="n">
        <f aca="false">BC55+BC75</f>
        <v>60319.3629774006</v>
      </c>
      <c r="BD58" s="75" t="n">
        <f aca="false">BD55+BD75</f>
        <v>61057.0909481024</v>
      </c>
      <c r="BE58" s="75" t="n">
        <f aca="false">BE55+BE75</f>
        <v>61765.3097999762</v>
      </c>
      <c r="BF58" s="75" t="n">
        <f aca="false">BF55+BF75</f>
        <v>62445.199897775</v>
      </c>
      <c r="BG58" s="75" t="n">
        <f aca="false">BG55+BG75</f>
        <v>63097.8943916618</v>
      </c>
      <c r="BH58" s="75" t="n">
        <f aca="false">BH55+BH75</f>
        <v>63724.4811057932</v>
      </c>
      <c r="BI58" s="75" t="n">
        <f aca="false">BI55+BI75</f>
        <v>64326.0043513593</v>
      </c>
      <c r="BJ58" s="75" t="n">
        <f aca="false">BJ55+BJ75</f>
        <v>47200.0555759791</v>
      </c>
    </row>
    <row r="59" customFormat="false" ht="15" hidden="false" customHeight="false" outlineLevel="0" collapsed="false">
      <c r="A59" s="6" t="s">
        <v>444</v>
      </c>
      <c r="C59" s="69" t="n">
        <f aca="false">-(C80+C81+C83)/2*Inputs!$E$71/12</f>
        <v>-21250</v>
      </c>
      <c r="D59" s="69" t="n">
        <f aca="false">-(D80+D81+D83)/2*Inputs!$E$71/12</f>
        <v>-21161.4583333333</v>
      </c>
      <c r="E59" s="69" t="n">
        <f aca="false">-(E80+E81+E83)/2*Inputs!$E$71/12</f>
        <v>-20984.375</v>
      </c>
      <c r="F59" s="69" t="n">
        <f aca="false">-(F80+F81+F83)/2*Inputs!$E$71/12</f>
        <v>-20807.2916666667</v>
      </c>
      <c r="G59" s="69" t="n">
        <f aca="false">-(G80+G81+G83)/2*Inputs!$E$71/12</f>
        <v>-20630.2083333333</v>
      </c>
      <c r="H59" s="69" t="n">
        <f aca="false">-(H80+H81+H83)/2*Inputs!$E$71/12</f>
        <v>-20453.125</v>
      </c>
      <c r="I59" s="69" t="n">
        <f aca="false">-(I80+I81+I83)/2*Inputs!$E$71/12</f>
        <v>-20276.0416666667</v>
      </c>
      <c r="J59" s="69" t="n">
        <f aca="false">-(J80+J81+J83)/2*Inputs!$E$71/12</f>
        <v>-20098.9583333333</v>
      </c>
      <c r="K59" s="69" t="n">
        <f aca="false">-(K80+K81+K83)/2*Inputs!$E$71/12</f>
        <v>-19921.875</v>
      </c>
      <c r="L59" s="69" t="n">
        <f aca="false">-(L80+L81+L83)/2*Inputs!$E$71/12</f>
        <v>-19744.7916666667</v>
      </c>
      <c r="M59" s="69" t="n">
        <f aca="false">-(M80+M81+M83)/2*Inputs!$E$71/12</f>
        <v>-19567.7083333333</v>
      </c>
      <c r="N59" s="69" t="n">
        <f aca="false">-(N80+N81+N83)/2*Inputs!$E$71/12</f>
        <v>-19390.625</v>
      </c>
      <c r="O59" s="69" t="n">
        <f aca="false">-(O80+O81+O83)/2*Inputs!$E$71/12</f>
        <v>-19213.5416666667</v>
      </c>
      <c r="P59" s="69" t="n">
        <f aca="false">-(P80+P81+P83)/2*Inputs!$E$71/12</f>
        <v>-19036.4583333333</v>
      </c>
      <c r="Q59" s="69" t="n">
        <f aca="false">-(Q80+Q81+Q83)/2*Inputs!$E$71/12</f>
        <v>-18859.375</v>
      </c>
      <c r="R59" s="69" t="n">
        <f aca="false">-(R80+R81+R83)/2*Inputs!$E$71/12</f>
        <v>-18682.2916666667</v>
      </c>
      <c r="S59" s="69" t="n">
        <f aca="false">-(S80+S81+S83)/2*Inputs!$E$71/12</f>
        <v>-18505.2083333333</v>
      </c>
      <c r="T59" s="69" t="n">
        <f aca="false">-(T80+T81+T83)/2*Inputs!$E$71/12</f>
        <v>-18328.125</v>
      </c>
      <c r="U59" s="69" t="n">
        <f aca="false">-(U80+U81+U83)/2*Inputs!$E$71/12</f>
        <v>-18151.0416666667</v>
      </c>
      <c r="V59" s="69" t="n">
        <f aca="false">-(V80+V81+V83)/2*Inputs!$E$71/12</f>
        <v>-17973.9583333333</v>
      </c>
      <c r="W59" s="69" t="n">
        <f aca="false">-(W80+W81+W83)/2*Inputs!$E$71/12</f>
        <v>-17796.875</v>
      </c>
      <c r="X59" s="69" t="n">
        <f aca="false">-(X80+X81+X83)/2*Inputs!$E$71/12</f>
        <v>-17619.7916666667</v>
      </c>
      <c r="Y59" s="69" t="n">
        <f aca="false">-(Y80+Y81+Y83)/2*Inputs!$E$71/12</f>
        <v>-17442.7083333333</v>
      </c>
      <c r="Z59" s="69" t="n">
        <f aca="false">-(Z80+Z81+Z83)/2*Inputs!$E$71/12</f>
        <v>-17265.625</v>
      </c>
      <c r="AA59" s="69" t="n">
        <f aca="false">-(AA80+AA81+AA83)/2*Inputs!$E$71/12</f>
        <v>-17088.5416666667</v>
      </c>
      <c r="AB59" s="69" t="n">
        <f aca="false">-(AB80+AB81+AB83)/2*Inputs!$E$71/12</f>
        <v>-16911.4583333333</v>
      </c>
      <c r="AC59" s="69" t="n">
        <f aca="false">-(AC80+AC81+AC83)/2*Inputs!$E$71/12</f>
        <v>-16734.375</v>
      </c>
      <c r="AD59" s="69" t="n">
        <f aca="false">-(AD80+AD81+AD83)/2*Inputs!$E$71/12</f>
        <v>-16557.2916666667</v>
      </c>
      <c r="AE59" s="69" t="n">
        <f aca="false">-(AE80+AE81+AE83)/2*Inputs!$E$71/12</f>
        <v>-16380.2083333333</v>
      </c>
      <c r="AF59" s="69" t="n">
        <f aca="false">-(AF80+AF81+AF83)/2*Inputs!$E$71/12</f>
        <v>-16203.125</v>
      </c>
      <c r="AG59" s="69" t="n">
        <f aca="false">-(AG80+AG81+AG83)/2*Inputs!$E$71/12</f>
        <v>-16026.0416666667</v>
      </c>
      <c r="AH59" s="69" t="n">
        <f aca="false">-(AH80+AH81+AH83)/2*Inputs!$E$71/12</f>
        <v>-15848.9583333333</v>
      </c>
      <c r="AI59" s="69" t="n">
        <f aca="false">-(AI80+AI81+AI83)/2*Inputs!$E$71/12</f>
        <v>-15671.875</v>
      </c>
      <c r="AJ59" s="69" t="n">
        <f aca="false">-(AJ80+AJ81+AJ83)/2*Inputs!$E$71/12</f>
        <v>-15494.7916666667</v>
      </c>
      <c r="AK59" s="69" t="n">
        <f aca="false">-(AK80+AK81+AK83)/2*Inputs!$E$71/12</f>
        <v>-15317.7083333333</v>
      </c>
      <c r="AL59" s="69" t="n">
        <f aca="false">-(AL80+AL81+AL83)/2*Inputs!$E$71/12</f>
        <v>-15140.625</v>
      </c>
      <c r="AM59" s="69" t="n">
        <f aca="false">-(AM80+AM81+AM83)/2*Inputs!$E$71/12</f>
        <v>-14963.5416666667</v>
      </c>
      <c r="AN59" s="69" t="n">
        <f aca="false">-(AN80+AN81+AN83)/2*Inputs!$E$71/12</f>
        <v>-14786.4583333333</v>
      </c>
      <c r="AO59" s="69" t="n">
        <f aca="false">-(AO80+AO81+AO83)/2*Inputs!$E$71/12</f>
        <v>-14609.375</v>
      </c>
      <c r="AP59" s="69" t="n">
        <f aca="false">-(AP80+AP81+AP83)/2*Inputs!$E$71/12</f>
        <v>-14432.2916666667</v>
      </c>
      <c r="AQ59" s="69" t="n">
        <f aca="false">-(AQ80+AQ81+AQ83)/2*Inputs!$E$71/12</f>
        <v>-14255.2083333333</v>
      </c>
      <c r="AR59" s="69" t="n">
        <f aca="false">-(AR80+AR81+AR83)/2*Inputs!$E$71/12</f>
        <v>-14078.125</v>
      </c>
      <c r="AS59" s="69" t="n">
        <f aca="false">-(AS80+AS81+AS83)/2*Inputs!$E$71/12</f>
        <v>-13901.0416666667</v>
      </c>
      <c r="AT59" s="69" t="n">
        <f aca="false">-(AT80+AT81+AT83)/2*Inputs!$E$71/12</f>
        <v>-13723.9583333333</v>
      </c>
      <c r="AU59" s="69" t="n">
        <f aca="false">-(AU80+AU81+AU83)/2*Inputs!$E$71/12</f>
        <v>-13546.875</v>
      </c>
      <c r="AV59" s="69" t="n">
        <f aca="false">-(AV80+AV81+AV83)/2*Inputs!$E$71/12</f>
        <v>-13369.7916666667</v>
      </c>
      <c r="AW59" s="69" t="n">
        <f aca="false">-(AW80+AW81+AW83)/2*Inputs!$E$71/12</f>
        <v>-13192.7083333333</v>
      </c>
      <c r="AX59" s="69" t="n">
        <f aca="false">-(AX80+AX81+AX83)/2*Inputs!$E$71/12</f>
        <v>-13015.625</v>
      </c>
      <c r="AY59" s="69" t="n">
        <f aca="false">-(AY80+AY81+AY83)/2*Inputs!$E$71/12</f>
        <v>-12838.5416666667</v>
      </c>
      <c r="AZ59" s="69" t="n">
        <f aca="false">-(AZ80+AZ81+AZ83)/2*Inputs!$E$71/12</f>
        <v>-12661.4583333333</v>
      </c>
      <c r="BA59" s="69" t="n">
        <f aca="false">-(BA80+BA81+BA83)/2*Inputs!$E$71/12</f>
        <v>-12484.375</v>
      </c>
      <c r="BB59" s="69" t="n">
        <f aca="false">-(BB80+BB81+BB83)/2*Inputs!$E$71/12</f>
        <v>-12307.2916666667</v>
      </c>
      <c r="BC59" s="69" t="n">
        <f aca="false">-(BC80+BC81+BC83)/2*Inputs!$E$71/12</f>
        <v>-12130.2083333333</v>
      </c>
      <c r="BD59" s="69" t="n">
        <f aca="false">-(BD80+BD81+BD83)/2*Inputs!$E$71/12</f>
        <v>-11953.125</v>
      </c>
      <c r="BE59" s="69" t="n">
        <f aca="false">-(BE80+BE81+BE83)/2*Inputs!$E$71/12</f>
        <v>-11776.0416666667</v>
      </c>
      <c r="BF59" s="69" t="n">
        <f aca="false">-(BF80+BF81+BF83)/2*Inputs!$E$71/12</f>
        <v>-11598.9583333333</v>
      </c>
      <c r="BG59" s="69" t="n">
        <f aca="false">-(BG80+BG81+BG83)/2*Inputs!$E$71/12</f>
        <v>-11421.875</v>
      </c>
      <c r="BH59" s="69" t="n">
        <f aca="false">-(BH80+BH81+BH83)/2*Inputs!$E$71/12</f>
        <v>-11244.7916666667</v>
      </c>
      <c r="BI59" s="69" t="n">
        <f aca="false">-(BI80+BI81+BI83)/2*Inputs!$E$71/12</f>
        <v>-11067.7083333333</v>
      </c>
      <c r="BJ59" s="69" t="n">
        <f aca="false">-(BJ80+BJ81+BJ83)/2*Inputs!$E$71/12</f>
        <v>-10890.625</v>
      </c>
    </row>
    <row r="60" customFormat="false" ht="15" hidden="false" customHeight="false" outlineLevel="0" collapsed="false">
      <c r="A60" s="113" t="s">
        <v>81</v>
      </c>
      <c r="C60" s="70" t="n">
        <f aca="false">C58+C59</f>
        <v>-102437.476634789</v>
      </c>
      <c r="D60" s="70" t="n">
        <f aca="false">D58+D59</f>
        <v>-96802.8601263196</v>
      </c>
      <c r="E60" s="70" t="n">
        <f aca="false">E58+E59</f>
        <v>-81346.6973463849</v>
      </c>
      <c r="F60" s="70" t="n">
        <f aca="false">F58+F59</f>
        <v>-74175.9785983407</v>
      </c>
      <c r="G60" s="70" t="n">
        <f aca="false">G58+G59</f>
        <v>-66877.5392626404</v>
      </c>
      <c r="H60" s="70" t="n">
        <f aca="false">H58+H59</f>
        <v>-59456.4881627903</v>
      </c>
      <c r="I60" s="70" t="n">
        <f aca="false">I58+I59</f>
        <v>-51917.7297693565</v>
      </c>
      <c r="J60" s="70" t="n">
        <f aca="false">J58+J59</f>
        <v>-44265.9723740822</v>
      </c>
      <c r="K60" s="70" t="n">
        <f aca="false">K58+K59</f>
        <v>-36505.7359370411</v>
      </c>
      <c r="L60" s="70" t="n">
        <f aca="false">L58+L59</f>
        <v>-28641.3596199039</v>
      </c>
      <c r="M60" s="70" t="n">
        <f aca="false">M58+M59</f>
        <v>-26323.1435999967</v>
      </c>
      <c r="N60" s="70" t="n">
        <f aca="false">N58+N59</f>
        <v>-40481.3508386496</v>
      </c>
      <c r="O60" s="70" t="n">
        <f aca="false">O58+O59</f>
        <v>-34678.0440923265</v>
      </c>
      <c r="P60" s="70" t="n">
        <f aca="false">P58+P59</f>
        <v>-32689.803305957</v>
      </c>
      <c r="Q60" s="70" t="n">
        <f aca="false">Q58+Q59</f>
        <v>-13768.6381730981</v>
      </c>
      <c r="R60" s="70" t="n">
        <f aca="false">R58+R59</f>
        <v>-11668.6885046759</v>
      </c>
      <c r="S60" s="70" t="n">
        <f aca="false">S58+S59</f>
        <v>-9645.65348965729</v>
      </c>
      <c r="T60" s="70" t="n">
        <f aca="false">T58+T59</f>
        <v>-7696.45654190606</v>
      </c>
      <c r="U60" s="70" t="n">
        <f aca="false">U58+U59</f>
        <v>-5818.14413873151</v>
      </c>
      <c r="V60" s="70" t="n">
        <f aca="false">V58+V59</f>
        <v>-4007.88089835067</v>
      </c>
      <c r="W60" s="70" t="n">
        <f aca="false">W58+W59</f>
        <v>-2262.94485425172</v>
      </c>
      <c r="X60" s="70" t="n">
        <f aca="false">X58+X59</f>
        <v>-580.722918583382</v>
      </c>
      <c r="Y60" s="70" t="n">
        <f aca="false">Y58+Y59</f>
        <v>1041.29347299157</v>
      </c>
      <c r="Z60" s="70" t="n">
        <f aca="false">Z58+Z59</f>
        <v>-13789.494266954</v>
      </c>
      <c r="AA60" s="70" t="n">
        <f aca="false">AA58+AA59</f>
        <v>-8664.94562232456</v>
      </c>
      <c r="AB60" s="70" t="n">
        <f aca="false">AB58+AB59</f>
        <v>-7337.06864158062</v>
      </c>
      <c r="AC60" s="70" t="n">
        <f aca="false">AC58+AC59</f>
        <v>11047.9903249111</v>
      </c>
      <c r="AD60" s="70" t="n">
        <f aca="false">AD58+AD59</f>
        <v>12578.4739856072</v>
      </c>
      <c r="AE60" s="70" t="n">
        <f aca="false">AE58+AE59</f>
        <v>14054.8216332087</v>
      </c>
      <c r="AF60" s="70" t="n">
        <f aca="false">AF58+AF59</f>
        <v>15479.1987082395</v>
      </c>
      <c r="AG60" s="70" t="n">
        <f aca="false">AG58+AG59</f>
        <v>16853.6840336025</v>
      </c>
      <c r="AH60" s="70" t="n">
        <f aca="false">AH58+AH59</f>
        <v>18180.2732792842</v>
      </c>
      <c r="AI60" s="70" t="n">
        <f aca="false">AI58+AI59</f>
        <v>19460.882288472</v>
      </c>
      <c r="AJ60" s="70" t="n">
        <f aca="false">AJ58+AJ59</f>
        <v>20697.3502706256</v>
      </c>
      <c r="AK60" s="70" t="n">
        <f aca="false">AK58+AK59</f>
        <v>21891.4428668264</v>
      </c>
      <c r="AL60" s="70" t="n">
        <f aca="false">AL58+AL59</f>
        <v>6376.37886141181</v>
      </c>
      <c r="AM60" s="70" t="n">
        <f aca="false">AM58+AM59</f>
        <v>11072.3689883433</v>
      </c>
      <c r="AN60" s="70" t="n">
        <f aca="false">AN58+AN59</f>
        <v>11990.8055273073</v>
      </c>
      <c r="AO60" s="70" t="n">
        <f aca="false">AO58+AO59</f>
        <v>30329.9901573313</v>
      </c>
      <c r="AP60" s="70" t="n">
        <f aca="false">AP58+AP59</f>
        <v>31514.1666334732</v>
      </c>
      <c r="AQ60" s="70" t="n">
        <f aca="false">AQ58+AQ59</f>
        <v>32658.0593839027</v>
      </c>
      <c r="AR60" s="70" t="n">
        <f aca="false">AR58+AR59</f>
        <v>33763.2797576484</v>
      </c>
      <c r="AS60" s="70" t="n">
        <f aca="false">AS58+AS59</f>
        <v>34831.3746497775</v>
      </c>
      <c r="AT60" s="70" t="n">
        <f aca="false">AT58+AT59</f>
        <v>35863.8290795548</v>
      </c>
      <c r="AU60" s="70" t="n">
        <f aca="false">AU58+AU59</f>
        <v>36862.0686654745</v>
      </c>
      <c r="AV60" s="70" t="n">
        <f aca="false">AV58+AV59</f>
        <v>37827.4620012906</v>
      </c>
      <c r="AW60" s="70" t="n">
        <f aca="false">AW58+AW59</f>
        <v>38761.3229370074</v>
      </c>
      <c r="AX60" s="70" t="n">
        <f aca="false">AX58+AX59</f>
        <v>22541.8833957728</v>
      </c>
      <c r="AY60" s="70" t="n">
        <f aca="false">AY58+AY59</f>
        <v>26987.2363177124</v>
      </c>
      <c r="AZ60" s="70" t="n">
        <f aca="false">AZ58+AZ59</f>
        <v>27653.0365923948</v>
      </c>
      <c r="BA60" s="70" t="n">
        <f aca="false">BA58+BA59</f>
        <v>46266.0352619323</v>
      </c>
      <c r="BB60" s="70" t="n">
        <f aca="false">BB58+BB59</f>
        <v>47243.6046745861</v>
      </c>
      <c r="BC60" s="70" t="n">
        <f aca="false">BC58+BC59</f>
        <v>48189.1546440672</v>
      </c>
      <c r="BD60" s="70" t="n">
        <f aca="false">BD58+BD59</f>
        <v>49103.9659481024</v>
      </c>
      <c r="BE60" s="70" t="n">
        <f aca="false">BE58+BE59</f>
        <v>49989.2681333095</v>
      </c>
      <c r="BF60" s="70" t="n">
        <f aca="false">BF58+BF59</f>
        <v>50846.2415644416</v>
      </c>
      <c r="BG60" s="70" t="n">
        <f aca="false">BG58+BG59</f>
        <v>51676.0193916618</v>
      </c>
      <c r="BH60" s="70" t="n">
        <f aca="false">BH58+BH59</f>
        <v>52479.6894391265</v>
      </c>
      <c r="BI60" s="70" t="n">
        <f aca="false">BI58+BI59</f>
        <v>53258.296018026</v>
      </c>
      <c r="BJ60" s="70" t="n">
        <f aca="false">BJ58+BJ59</f>
        <v>36309.4305759791</v>
      </c>
    </row>
    <row r="61" customFormat="false" ht="15" hidden="false" customHeight="false" outlineLevel="0" collapsed="false">
      <c r="A61" s="116" t="s">
        <v>445</v>
      </c>
      <c r="C61" s="69" t="n">
        <f aca="false">C60</f>
        <v>-102437.476634789</v>
      </c>
      <c r="D61" s="69" t="n">
        <f aca="false">C61+D60</f>
        <v>-199240.336761108</v>
      </c>
      <c r="E61" s="69" t="n">
        <f aca="false">D61+E60</f>
        <v>-280587.034107493</v>
      </c>
      <c r="F61" s="69" t="n">
        <f aca="false">E61+F60</f>
        <v>-354763.012705834</v>
      </c>
      <c r="G61" s="69" t="n">
        <f aca="false">F61+G60</f>
        <v>-421640.551968474</v>
      </c>
      <c r="H61" s="69" t="n">
        <f aca="false">G61+H60</f>
        <v>-481097.040131265</v>
      </c>
      <c r="I61" s="69" t="n">
        <f aca="false">H61+I60</f>
        <v>-533014.769900621</v>
      </c>
      <c r="J61" s="69" t="n">
        <f aca="false">I61+J60</f>
        <v>-577280.742274703</v>
      </c>
      <c r="K61" s="69" t="n">
        <f aca="false">J61+K60</f>
        <v>-613786.478211745</v>
      </c>
      <c r="L61" s="69" t="n">
        <f aca="false">K61+L60</f>
        <v>-642427.837831648</v>
      </c>
      <c r="M61" s="69" t="n">
        <f aca="false">L61+M60</f>
        <v>-668750.981431645</v>
      </c>
      <c r="N61" s="69" t="n">
        <f aca="false">M61+N60</f>
        <v>-709232.332270295</v>
      </c>
      <c r="O61" s="69" t="n">
        <f aca="false">N61+O60</f>
        <v>-743910.376362621</v>
      </c>
      <c r="P61" s="69" t="n">
        <f aca="false">O61+P60</f>
        <v>-776600.179668578</v>
      </c>
      <c r="Q61" s="69" t="n">
        <f aca="false">P61+Q60</f>
        <v>-790368.817841676</v>
      </c>
      <c r="R61" s="69" t="n">
        <f aca="false">Q61+R60</f>
        <v>-802037.506346352</v>
      </c>
      <c r="S61" s="69" t="n">
        <f aca="false">R61+S60</f>
        <v>-811683.159836009</v>
      </c>
      <c r="T61" s="69" t="n">
        <f aca="false">S61+T60</f>
        <v>-819379.616377916</v>
      </c>
      <c r="U61" s="69" t="n">
        <f aca="false">T61+U60</f>
        <v>-825197.760516647</v>
      </c>
      <c r="V61" s="69" t="n">
        <f aca="false">U61+V60</f>
        <v>-829205.641414998</v>
      </c>
      <c r="W61" s="69" t="n">
        <f aca="false">V61+W60</f>
        <v>-831468.586269249</v>
      </c>
      <c r="X61" s="69" t="n">
        <f aca="false">W61+X60</f>
        <v>-832049.309187833</v>
      </c>
      <c r="Y61" s="69" t="n">
        <f aca="false">X61+Y60</f>
        <v>-831008.015714841</v>
      </c>
      <c r="Z61" s="69" t="n">
        <f aca="false">Y61+Z60</f>
        <v>-844797.509981795</v>
      </c>
      <c r="AA61" s="69" t="n">
        <f aca="false">Z61+AA60</f>
        <v>-853462.45560412</v>
      </c>
      <c r="AB61" s="69" t="n">
        <f aca="false">AA61+AB60</f>
        <v>-860799.5242457</v>
      </c>
      <c r="AC61" s="69" t="n">
        <f aca="false">AB61+AC60</f>
        <v>-849751.533920789</v>
      </c>
      <c r="AD61" s="69" t="n">
        <f aca="false">AC61+AD60</f>
        <v>-837173.059935182</v>
      </c>
      <c r="AE61" s="69" t="n">
        <f aca="false">AD61+AE60</f>
        <v>-823118.238301974</v>
      </c>
      <c r="AF61" s="69" t="n">
        <f aca="false">AE61+AF60</f>
        <v>-807639.039593734</v>
      </c>
      <c r="AG61" s="69" t="n">
        <f aca="false">AF61+AG60</f>
        <v>-790785.355560132</v>
      </c>
      <c r="AH61" s="69" t="n">
        <f aca="false">AG61+AH60</f>
        <v>-772605.082280848</v>
      </c>
      <c r="AI61" s="69" t="n">
        <f aca="false">AH61+AI60</f>
        <v>-753144.199992375</v>
      </c>
      <c r="AJ61" s="69" t="n">
        <f aca="false">AI61+AJ60</f>
        <v>-732446.84972175</v>
      </c>
      <c r="AK61" s="69" t="n">
        <f aca="false">AJ61+AK60</f>
        <v>-710555.406854923</v>
      </c>
      <c r="AL61" s="69" t="n">
        <f aca="false">AK61+AL60</f>
        <v>-704179.027993512</v>
      </c>
      <c r="AM61" s="69" t="n">
        <f aca="false">AL61+AM60</f>
        <v>-693106.659005168</v>
      </c>
      <c r="AN61" s="69" t="n">
        <f aca="false">AM61+AN60</f>
        <v>-681115.853477861</v>
      </c>
      <c r="AO61" s="69" t="n">
        <f aca="false">AN61+AO60</f>
        <v>-650785.86332053</v>
      </c>
      <c r="AP61" s="69" t="n">
        <f aca="false">AO61+AP60</f>
        <v>-619271.696687057</v>
      </c>
      <c r="AQ61" s="69" t="n">
        <f aca="false">AP61+AQ60</f>
        <v>-586613.637303154</v>
      </c>
      <c r="AR61" s="69" t="n">
        <f aca="false">AQ61+AR60</f>
        <v>-552850.357545505</v>
      </c>
      <c r="AS61" s="69" t="n">
        <f aca="false">AR61+AS60</f>
        <v>-518018.982895728</v>
      </c>
      <c r="AT61" s="69" t="n">
        <f aca="false">AS61+AT60</f>
        <v>-482155.153816173</v>
      </c>
      <c r="AU61" s="69" t="n">
        <f aca="false">AT61+AU60</f>
        <v>-445293.085150699</v>
      </c>
      <c r="AV61" s="69" t="n">
        <f aca="false">AU61+AV60</f>
        <v>-407465.623149408</v>
      </c>
      <c r="AW61" s="69" t="n">
        <f aca="false">AV61+AW60</f>
        <v>-368704.300212401</v>
      </c>
      <c r="AX61" s="69" t="n">
        <f aca="false">AW61+AX60</f>
        <v>-346162.416816628</v>
      </c>
      <c r="AY61" s="69" t="n">
        <f aca="false">AX61+AY60</f>
        <v>-319175.180498915</v>
      </c>
      <c r="AZ61" s="69" t="n">
        <f aca="false">AY61+AZ60</f>
        <v>-291522.143906521</v>
      </c>
      <c r="BA61" s="69" t="n">
        <f aca="false">AZ61+BA60</f>
        <v>-245256.108644588</v>
      </c>
      <c r="BB61" s="69" t="n">
        <f aca="false">BA61+BB60</f>
        <v>-198012.503970002</v>
      </c>
      <c r="BC61" s="69" t="n">
        <f aca="false">BB61+BC60</f>
        <v>-149823.349325935</v>
      </c>
      <c r="BD61" s="69" t="n">
        <f aca="false">BC61+BD60</f>
        <v>-100719.383377833</v>
      </c>
      <c r="BE61" s="69" t="n">
        <f aca="false">BD61+BE60</f>
        <v>-50730.1152445231</v>
      </c>
      <c r="BF61" s="69" t="n">
        <f aca="false">BE61+BF60</f>
        <v>116.12631991852</v>
      </c>
      <c r="BG61" s="69" t="n">
        <f aca="false">BF61+BG60</f>
        <v>51792.1457115804</v>
      </c>
      <c r="BH61" s="69" t="n">
        <f aca="false">BG61+BH60</f>
        <v>104271.835150707</v>
      </c>
      <c r="BI61" s="69" t="n">
        <f aca="false">BH61+BI60</f>
        <v>157530.131168733</v>
      </c>
      <c r="BJ61" s="69" t="n">
        <f aca="false">BI61+BJ60</f>
        <v>193839.561744712</v>
      </c>
    </row>
    <row r="62" customFormat="false" ht="15" hidden="false" customHeight="false" outlineLevel="0" collapsed="false">
      <c r="A62" s="116" t="s">
        <v>446</v>
      </c>
      <c r="C62" s="69" t="n">
        <f aca="false">MAX(0,C61)</f>
        <v>0</v>
      </c>
      <c r="D62" s="69" t="n">
        <f aca="false">MAX(C62,D61)</f>
        <v>0</v>
      </c>
      <c r="E62" s="69" t="n">
        <f aca="false">MAX(D62,E61)</f>
        <v>0</v>
      </c>
      <c r="F62" s="69" t="n">
        <f aca="false">MAX(E62,F61)</f>
        <v>0</v>
      </c>
      <c r="G62" s="69" t="n">
        <f aca="false">MAX(F62,G61)</f>
        <v>0</v>
      </c>
      <c r="H62" s="69" t="n">
        <f aca="false">MAX(G62,H61)</f>
        <v>0</v>
      </c>
      <c r="I62" s="69" t="n">
        <f aca="false">MAX(H62,I61)</f>
        <v>0</v>
      </c>
      <c r="J62" s="69" t="n">
        <f aca="false">MAX(I62,J61)</f>
        <v>0</v>
      </c>
      <c r="K62" s="69" t="n">
        <f aca="false">MAX(J62,K61)</f>
        <v>0</v>
      </c>
      <c r="L62" s="69" t="n">
        <f aca="false">MAX(K62,L61)</f>
        <v>0</v>
      </c>
      <c r="M62" s="69" t="n">
        <f aca="false">MAX(L62,M61)</f>
        <v>0</v>
      </c>
      <c r="N62" s="69" t="n">
        <f aca="false">MAX(M62,N61)</f>
        <v>0</v>
      </c>
      <c r="O62" s="69" t="n">
        <f aca="false">MAX(N62,O61)</f>
        <v>0</v>
      </c>
      <c r="P62" s="69" t="n">
        <f aca="false">MAX(O62,P61)</f>
        <v>0</v>
      </c>
      <c r="Q62" s="69" t="n">
        <f aca="false">MAX(P62,Q61)</f>
        <v>0</v>
      </c>
      <c r="R62" s="69" t="n">
        <f aca="false">MAX(Q62,R61)</f>
        <v>0</v>
      </c>
      <c r="S62" s="69" t="n">
        <f aca="false">MAX(R62,S61)</f>
        <v>0</v>
      </c>
      <c r="T62" s="69" t="n">
        <f aca="false">MAX(S62,T61)</f>
        <v>0</v>
      </c>
      <c r="U62" s="69" t="n">
        <f aca="false">MAX(T62,U61)</f>
        <v>0</v>
      </c>
      <c r="V62" s="69" t="n">
        <f aca="false">MAX(U62,V61)</f>
        <v>0</v>
      </c>
      <c r="W62" s="69" t="n">
        <f aca="false">MAX(V62,W61)</f>
        <v>0</v>
      </c>
      <c r="X62" s="69" t="n">
        <f aca="false">MAX(W62,X61)</f>
        <v>0</v>
      </c>
      <c r="Y62" s="69" t="n">
        <f aca="false">MAX(X62,Y61)</f>
        <v>0</v>
      </c>
      <c r="Z62" s="69" t="n">
        <f aca="false">MAX(Y62,Z61)</f>
        <v>0</v>
      </c>
      <c r="AA62" s="69" t="n">
        <f aca="false">MAX(Z62,AA61)</f>
        <v>0</v>
      </c>
      <c r="AB62" s="69" t="n">
        <f aca="false">MAX(AA62,AB61)</f>
        <v>0</v>
      </c>
      <c r="AC62" s="69" t="n">
        <f aca="false">MAX(AB62,AC61)</f>
        <v>0</v>
      </c>
      <c r="AD62" s="69" t="n">
        <f aca="false">MAX(AC62,AD61)</f>
        <v>0</v>
      </c>
      <c r="AE62" s="69" t="n">
        <f aca="false">MAX(AD62,AE61)</f>
        <v>0</v>
      </c>
      <c r="AF62" s="69" t="n">
        <f aca="false">MAX(AE62,AF61)</f>
        <v>0</v>
      </c>
      <c r="AG62" s="69" t="n">
        <f aca="false">MAX(AF62,AG61)</f>
        <v>0</v>
      </c>
      <c r="AH62" s="69" t="n">
        <f aca="false">MAX(AG62,AH61)</f>
        <v>0</v>
      </c>
      <c r="AI62" s="69" t="n">
        <f aca="false">MAX(AH62,AI61)</f>
        <v>0</v>
      </c>
      <c r="AJ62" s="69" t="n">
        <f aca="false">MAX(AI62,AJ61)</f>
        <v>0</v>
      </c>
      <c r="AK62" s="69" t="n">
        <f aca="false">MAX(AJ62,AK61)</f>
        <v>0</v>
      </c>
      <c r="AL62" s="69" t="n">
        <f aca="false">MAX(AK62,AL61)</f>
        <v>0</v>
      </c>
      <c r="AM62" s="69" t="n">
        <f aca="false">MAX(AL62,AM61)</f>
        <v>0</v>
      </c>
      <c r="AN62" s="69" t="n">
        <f aca="false">MAX(AM62,AN61)</f>
        <v>0</v>
      </c>
      <c r="AO62" s="69" t="n">
        <f aca="false">MAX(AN62,AO61)</f>
        <v>0</v>
      </c>
      <c r="AP62" s="69" t="n">
        <f aca="false">MAX(AO62,AP61)</f>
        <v>0</v>
      </c>
      <c r="AQ62" s="69" t="n">
        <f aca="false">MAX(AP62,AQ61)</f>
        <v>0</v>
      </c>
      <c r="AR62" s="69" t="n">
        <f aca="false">MAX(AQ62,AR61)</f>
        <v>0</v>
      </c>
      <c r="AS62" s="69" t="n">
        <f aca="false">MAX(AR62,AS61)</f>
        <v>0</v>
      </c>
      <c r="AT62" s="69" t="n">
        <f aca="false">MAX(AS62,AT61)</f>
        <v>0</v>
      </c>
      <c r="AU62" s="69" t="n">
        <f aca="false">MAX(AT62,AU61)</f>
        <v>0</v>
      </c>
      <c r="AV62" s="69" t="n">
        <f aca="false">MAX(AU62,AV61)</f>
        <v>0</v>
      </c>
      <c r="AW62" s="69" t="n">
        <f aca="false">MAX(AV62,AW61)</f>
        <v>0</v>
      </c>
      <c r="AX62" s="69" t="n">
        <f aca="false">MAX(AW62,AX61)</f>
        <v>0</v>
      </c>
      <c r="AY62" s="69" t="n">
        <f aca="false">MAX(AX62,AY61)</f>
        <v>0</v>
      </c>
      <c r="AZ62" s="69" t="n">
        <f aca="false">MAX(AY62,AZ61)</f>
        <v>0</v>
      </c>
      <c r="BA62" s="69" t="n">
        <f aca="false">MAX(AZ62,BA61)</f>
        <v>0</v>
      </c>
      <c r="BB62" s="69" t="n">
        <f aca="false">MAX(BA62,BB61)</f>
        <v>0</v>
      </c>
      <c r="BC62" s="69" t="n">
        <f aca="false">MAX(BB62,BC61)</f>
        <v>0</v>
      </c>
      <c r="BD62" s="69" t="n">
        <f aca="false">MAX(BC62,BD61)</f>
        <v>0</v>
      </c>
      <c r="BE62" s="69" t="n">
        <f aca="false">MAX(BD62,BE61)</f>
        <v>0</v>
      </c>
      <c r="BF62" s="69" t="n">
        <f aca="false">MAX(BE62,BF61)</f>
        <v>116.12631991852</v>
      </c>
      <c r="BG62" s="69" t="n">
        <f aca="false">MAX(BF62,BG61)</f>
        <v>51792.1457115804</v>
      </c>
      <c r="BH62" s="69" t="n">
        <f aca="false">MAX(BG62,BH61)</f>
        <v>104271.835150707</v>
      </c>
      <c r="BI62" s="69" t="n">
        <f aca="false">MAX(BH62,BI61)</f>
        <v>157530.131168733</v>
      </c>
      <c r="BJ62" s="69" t="n">
        <f aca="false">MAX(BI62,BJ61)</f>
        <v>193839.561744712</v>
      </c>
    </row>
    <row r="63" customFormat="false" ht="15" hidden="false" customHeight="false" outlineLevel="0" collapsed="false">
      <c r="A63" s="6" t="s">
        <v>82</v>
      </c>
      <c r="C63" s="69" t="n">
        <f aca="false">-C62*Inputs!$E$81</f>
        <v>-0</v>
      </c>
      <c r="D63" s="69" t="n">
        <f aca="false">-(D62-C62)*Inputs!$E$81</f>
        <v>-0</v>
      </c>
      <c r="E63" s="69" t="n">
        <f aca="false">-(E62-D62)*Inputs!$E$81</f>
        <v>-0</v>
      </c>
      <c r="F63" s="69" t="n">
        <f aca="false">-(F62-E62)*Inputs!$E$81</f>
        <v>-0</v>
      </c>
      <c r="G63" s="69" t="n">
        <f aca="false">-(G62-F62)*Inputs!$E$81</f>
        <v>-0</v>
      </c>
      <c r="H63" s="69" t="n">
        <f aca="false">-(H62-G62)*Inputs!$E$81</f>
        <v>-0</v>
      </c>
      <c r="I63" s="69" t="n">
        <f aca="false">-(I62-H62)*Inputs!$E$81</f>
        <v>-0</v>
      </c>
      <c r="J63" s="69" t="n">
        <f aca="false">-(J62-I62)*Inputs!$E$81</f>
        <v>-0</v>
      </c>
      <c r="K63" s="69" t="n">
        <f aca="false">-(K62-J62)*Inputs!$E$81</f>
        <v>-0</v>
      </c>
      <c r="L63" s="69" t="n">
        <f aca="false">-(L62-K62)*Inputs!$E$81</f>
        <v>-0</v>
      </c>
      <c r="M63" s="69" t="n">
        <f aca="false">-(M62-L62)*Inputs!$E$81</f>
        <v>-0</v>
      </c>
      <c r="N63" s="69" t="n">
        <f aca="false">-(N62-M62)*Inputs!$E$81</f>
        <v>-0</v>
      </c>
      <c r="O63" s="69" t="n">
        <f aca="false">-(O62-N62)*Inputs!$E$81</f>
        <v>-0</v>
      </c>
      <c r="P63" s="69" t="n">
        <f aca="false">-(P62-O62)*Inputs!$E$81</f>
        <v>-0</v>
      </c>
      <c r="Q63" s="69" t="n">
        <f aca="false">-(Q62-P62)*Inputs!$E$81</f>
        <v>-0</v>
      </c>
      <c r="R63" s="69" t="n">
        <f aca="false">-(R62-Q62)*Inputs!$E$81</f>
        <v>-0</v>
      </c>
      <c r="S63" s="69" t="n">
        <f aca="false">-(S62-R62)*Inputs!$E$81</f>
        <v>-0</v>
      </c>
      <c r="T63" s="69" t="n">
        <f aca="false">-(T62-S62)*Inputs!$E$81</f>
        <v>-0</v>
      </c>
      <c r="U63" s="69" t="n">
        <f aca="false">-(U62-T62)*Inputs!$E$81</f>
        <v>-0</v>
      </c>
      <c r="V63" s="69" t="n">
        <f aca="false">-(V62-U62)*Inputs!$E$81</f>
        <v>-0</v>
      </c>
      <c r="W63" s="69" t="n">
        <f aca="false">-(W62-V62)*Inputs!$E$81</f>
        <v>-0</v>
      </c>
      <c r="X63" s="69" t="n">
        <f aca="false">-(X62-W62)*Inputs!$E$81</f>
        <v>-0</v>
      </c>
      <c r="Y63" s="69" t="n">
        <f aca="false">-(Y62-X62)*Inputs!$E$81</f>
        <v>-0</v>
      </c>
      <c r="Z63" s="69" t="n">
        <f aca="false">-(Z62-Y62)*Inputs!$E$81</f>
        <v>-0</v>
      </c>
      <c r="AA63" s="69" t="n">
        <f aca="false">-(AA62-Z62)*Inputs!$E$81</f>
        <v>-0</v>
      </c>
      <c r="AB63" s="69" t="n">
        <f aca="false">-(AB62-AA62)*Inputs!$E$81</f>
        <v>-0</v>
      </c>
      <c r="AC63" s="69" t="n">
        <f aca="false">-(AC62-AB62)*Inputs!$E$81</f>
        <v>-0</v>
      </c>
      <c r="AD63" s="69" t="n">
        <f aca="false">-(AD62-AC62)*Inputs!$E$81</f>
        <v>-0</v>
      </c>
      <c r="AE63" s="69" t="n">
        <f aca="false">-(AE62-AD62)*Inputs!$E$81</f>
        <v>-0</v>
      </c>
      <c r="AF63" s="69" t="n">
        <f aca="false">-(AF62-AE62)*Inputs!$E$81</f>
        <v>-0</v>
      </c>
      <c r="AG63" s="69" t="n">
        <f aca="false">-(AG62-AF62)*Inputs!$E$81</f>
        <v>-0</v>
      </c>
      <c r="AH63" s="69" t="n">
        <f aca="false">-(AH62-AG62)*Inputs!$E$81</f>
        <v>-0</v>
      </c>
      <c r="AI63" s="69" t="n">
        <f aca="false">-(AI62-AH62)*Inputs!$E$81</f>
        <v>-0</v>
      </c>
      <c r="AJ63" s="69" t="n">
        <f aca="false">-(AJ62-AI62)*Inputs!$E$81</f>
        <v>-0</v>
      </c>
      <c r="AK63" s="69" t="n">
        <f aca="false">-(AK62-AJ62)*Inputs!$E$81</f>
        <v>-0</v>
      </c>
      <c r="AL63" s="69" t="n">
        <f aca="false">-(AL62-AK62)*Inputs!$E$81</f>
        <v>-0</v>
      </c>
      <c r="AM63" s="69" t="n">
        <f aca="false">-(AM62-AL62)*Inputs!$E$81</f>
        <v>-0</v>
      </c>
      <c r="AN63" s="69" t="n">
        <f aca="false">-(AN62-AM62)*Inputs!$E$81</f>
        <v>-0</v>
      </c>
      <c r="AO63" s="69" t="n">
        <f aca="false">-(AO62-AN62)*Inputs!$E$81</f>
        <v>-0</v>
      </c>
      <c r="AP63" s="69" t="n">
        <f aca="false">-(AP62-AO62)*Inputs!$E$81</f>
        <v>-0</v>
      </c>
      <c r="AQ63" s="69" t="n">
        <f aca="false">-(AQ62-AP62)*Inputs!$E$81</f>
        <v>-0</v>
      </c>
      <c r="AR63" s="69" t="n">
        <f aca="false">-(AR62-AQ62)*Inputs!$E$81</f>
        <v>-0</v>
      </c>
      <c r="AS63" s="69" t="n">
        <f aca="false">-(AS62-AR62)*Inputs!$E$81</f>
        <v>-0</v>
      </c>
      <c r="AT63" s="69" t="n">
        <f aca="false">-(AT62-AS62)*Inputs!$E$81</f>
        <v>-0</v>
      </c>
      <c r="AU63" s="69" t="n">
        <f aca="false">-(AU62-AT62)*Inputs!$E$81</f>
        <v>-0</v>
      </c>
      <c r="AV63" s="69" t="n">
        <f aca="false">-(AV62-AU62)*Inputs!$E$81</f>
        <v>-0</v>
      </c>
      <c r="AW63" s="69" t="n">
        <f aca="false">-(AW62-AV62)*Inputs!$E$81</f>
        <v>-0</v>
      </c>
      <c r="AX63" s="69" t="n">
        <f aca="false">-(AX62-AW62)*Inputs!$E$81</f>
        <v>-0</v>
      </c>
      <c r="AY63" s="69" t="n">
        <f aca="false">-(AY62-AX62)*Inputs!$E$81</f>
        <v>-0</v>
      </c>
      <c r="AZ63" s="69" t="n">
        <f aca="false">-(AZ62-AY62)*Inputs!$E$81</f>
        <v>-0</v>
      </c>
      <c r="BA63" s="69" t="n">
        <f aca="false">-(BA62-AZ62)*Inputs!$E$81</f>
        <v>-0</v>
      </c>
      <c r="BB63" s="69" t="n">
        <f aca="false">-(BB62-BA62)*Inputs!$E$81</f>
        <v>-0</v>
      </c>
      <c r="BC63" s="69" t="n">
        <f aca="false">-(BC62-BB62)*Inputs!$E$81</f>
        <v>-0</v>
      </c>
      <c r="BD63" s="69" t="n">
        <f aca="false">-(BD62-BC62)*Inputs!$E$81</f>
        <v>-0</v>
      </c>
      <c r="BE63" s="69" t="n">
        <f aca="false">-(BE62-BD62)*Inputs!$E$81</f>
        <v>-0</v>
      </c>
      <c r="BF63" s="69" t="n">
        <f aca="false">-(BF62-BE62)*Inputs!$E$81</f>
        <v>-24.3865271828891</v>
      </c>
      <c r="BG63" s="69" t="n">
        <f aca="false">-(BG62-BF62)*Inputs!$E$81</f>
        <v>-10851.964072249</v>
      </c>
      <c r="BH63" s="69" t="n">
        <f aca="false">-(BH62-BG62)*Inputs!$E$81</f>
        <v>-11020.7347822166</v>
      </c>
      <c r="BI63" s="69" t="n">
        <f aca="false">-(BI62-BH62)*Inputs!$E$81</f>
        <v>-11184.2421637855</v>
      </c>
      <c r="BJ63" s="69" t="n">
        <f aca="false">-(BJ62-BI62)*Inputs!$E$81</f>
        <v>-7624.98042095561</v>
      </c>
    </row>
    <row r="64" customFormat="false" ht="15" hidden="false" customHeight="false" outlineLevel="0" collapsed="false">
      <c r="A64" s="113" t="s">
        <v>50</v>
      </c>
      <c r="C64" s="70" t="n">
        <f aca="false">C60+C63</f>
        <v>-102437.476634789</v>
      </c>
      <c r="D64" s="70" t="n">
        <f aca="false">D60+D63</f>
        <v>-96802.8601263196</v>
      </c>
      <c r="E64" s="70" t="n">
        <f aca="false">E60+E63</f>
        <v>-81346.6973463849</v>
      </c>
      <c r="F64" s="70" t="n">
        <f aca="false">F60+F63</f>
        <v>-74175.9785983407</v>
      </c>
      <c r="G64" s="70" t="n">
        <f aca="false">G60+G63</f>
        <v>-66877.5392626404</v>
      </c>
      <c r="H64" s="70" t="n">
        <f aca="false">H60+H63</f>
        <v>-59456.4881627903</v>
      </c>
      <c r="I64" s="70" t="n">
        <f aca="false">I60+I63</f>
        <v>-51917.7297693565</v>
      </c>
      <c r="J64" s="70" t="n">
        <f aca="false">J60+J63</f>
        <v>-44265.9723740822</v>
      </c>
      <c r="K64" s="70" t="n">
        <f aca="false">K60+K63</f>
        <v>-36505.7359370411</v>
      </c>
      <c r="L64" s="70" t="n">
        <f aca="false">L60+L63</f>
        <v>-28641.3596199039</v>
      </c>
      <c r="M64" s="70" t="n">
        <f aca="false">M60+M63</f>
        <v>-26323.1435999967</v>
      </c>
      <c r="N64" s="70" t="n">
        <f aca="false">N60+N63</f>
        <v>-40481.3508386496</v>
      </c>
      <c r="O64" s="70" t="n">
        <f aca="false">O60+O63</f>
        <v>-34678.0440923265</v>
      </c>
      <c r="P64" s="70" t="n">
        <f aca="false">P60+P63</f>
        <v>-32689.803305957</v>
      </c>
      <c r="Q64" s="70" t="n">
        <f aca="false">Q60+Q63</f>
        <v>-13768.6381730981</v>
      </c>
      <c r="R64" s="70" t="n">
        <f aca="false">R60+R63</f>
        <v>-11668.6885046759</v>
      </c>
      <c r="S64" s="70" t="n">
        <f aca="false">S60+S63</f>
        <v>-9645.65348965729</v>
      </c>
      <c r="T64" s="70" t="n">
        <f aca="false">T60+T63</f>
        <v>-7696.45654190606</v>
      </c>
      <c r="U64" s="70" t="n">
        <f aca="false">U60+U63</f>
        <v>-5818.14413873151</v>
      </c>
      <c r="V64" s="70" t="n">
        <f aca="false">V60+V63</f>
        <v>-4007.88089835067</v>
      </c>
      <c r="W64" s="70" t="n">
        <f aca="false">W60+W63</f>
        <v>-2262.94485425172</v>
      </c>
      <c r="X64" s="70" t="n">
        <f aca="false">X60+X63</f>
        <v>-580.722918583382</v>
      </c>
      <c r="Y64" s="70" t="n">
        <f aca="false">Y60+Y63</f>
        <v>1041.29347299157</v>
      </c>
      <c r="Z64" s="70" t="n">
        <f aca="false">Z60+Z63</f>
        <v>-13789.494266954</v>
      </c>
      <c r="AA64" s="70" t="n">
        <f aca="false">AA60+AA63</f>
        <v>-8664.94562232456</v>
      </c>
      <c r="AB64" s="70" t="n">
        <f aca="false">AB60+AB63</f>
        <v>-7337.06864158062</v>
      </c>
      <c r="AC64" s="70" t="n">
        <f aca="false">AC60+AC63</f>
        <v>11047.9903249111</v>
      </c>
      <c r="AD64" s="70" t="n">
        <f aca="false">AD60+AD63</f>
        <v>12578.4739856072</v>
      </c>
      <c r="AE64" s="70" t="n">
        <f aca="false">AE60+AE63</f>
        <v>14054.8216332087</v>
      </c>
      <c r="AF64" s="70" t="n">
        <f aca="false">AF60+AF63</f>
        <v>15479.1987082395</v>
      </c>
      <c r="AG64" s="70" t="n">
        <f aca="false">AG60+AG63</f>
        <v>16853.6840336025</v>
      </c>
      <c r="AH64" s="70" t="n">
        <f aca="false">AH60+AH63</f>
        <v>18180.2732792842</v>
      </c>
      <c r="AI64" s="70" t="n">
        <f aca="false">AI60+AI63</f>
        <v>19460.882288472</v>
      </c>
      <c r="AJ64" s="70" t="n">
        <f aca="false">AJ60+AJ63</f>
        <v>20697.3502706256</v>
      </c>
      <c r="AK64" s="70" t="n">
        <f aca="false">AK60+AK63</f>
        <v>21891.4428668264</v>
      </c>
      <c r="AL64" s="70" t="n">
        <f aca="false">AL60+AL63</f>
        <v>6376.37886141181</v>
      </c>
      <c r="AM64" s="70" t="n">
        <f aca="false">AM60+AM63</f>
        <v>11072.3689883433</v>
      </c>
      <c r="AN64" s="70" t="n">
        <f aca="false">AN60+AN63</f>
        <v>11990.8055273073</v>
      </c>
      <c r="AO64" s="70" t="n">
        <f aca="false">AO60+AO63</f>
        <v>30329.9901573313</v>
      </c>
      <c r="AP64" s="70" t="n">
        <f aca="false">AP60+AP63</f>
        <v>31514.1666334732</v>
      </c>
      <c r="AQ64" s="70" t="n">
        <f aca="false">AQ60+AQ63</f>
        <v>32658.0593839027</v>
      </c>
      <c r="AR64" s="70" t="n">
        <f aca="false">AR60+AR63</f>
        <v>33763.2797576484</v>
      </c>
      <c r="AS64" s="70" t="n">
        <f aca="false">AS60+AS63</f>
        <v>34831.3746497775</v>
      </c>
      <c r="AT64" s="70" t="n">
        <f aca="false">AT60+AT63</f>
        <v>35863.8290795548</v>
      </c>
      <c r="AU64" s="70" t="n">
        <f aca="false">AU60+AU63</f>
        <v>36862.0686654745</v>
      </c>
      <c r="AV64" s="70" t="n">
        <f aca="false">AV60+AV63</f>
        <v>37827.4620012906</v>
      </c>
      <c r="AW64" s="70" t="n">
        <f aca="false">AW60+AW63</f>
        <v>38761.3229370074</v>
      </c>
      <c r="AX64" s="70" t="n">
        <f aca="false">AX60+AX63</f>
        <v>22541.8833957728</v>
      </c>
      <c r="AY64" s="70" t="n">
        <f aca="false">AY60+AY63</f>
        <v>26987.2363177124</v>
      </c>
      <c r="AZ64" s="70" t="n">
        <f aca="false">AZ60+AZ63</f>
        <v>27653.0365923948</v>
      </c>
      <c r="BA64" s="70" t="n">
        <f aca="false">BA60+BA63</f>
        <v>46266.0352619323</v>
      </c>
      <c r="BB64" s="70" t="n">
        <f aca="false">BB60+BB63</f>
        <v>47243.6046745861</v>
      </c>
      <c r="BC64" s="70" t="n">
        <f aca="false">BC60+BC63</f>
        <v>48189.1546440672</v>
      </c>
      <c r="BD64" s="70" t="n">
        <f aca="false">BD60+BD63</f>
        <v>49103.9659481024</v>
      </c>
      <c r="BE64" s="70" t="n">
        <f aca="false">BE60+BE63</f>
        <v>49989.2681333095</v>
      </c>
      <c r="BF64" s="70" t="n">
        <f aca="false">BF60+BF63</f>
        <v>50821.8550372587</v>
      </c>
      <c r="BG64" s="70" t="n">
        <f aca="false">BG60+BG63</f>
        <v>40824.0553194128</v>
      </c>
      <c r="BH64" s="70" t="n">
        <f aca="false">BH60+BH63</f>
        <v>41458.95465691</v>
      </c>
      <c r="BI64" s="70" t="n">
        <f aca="false">BI60+BI63</f>
        <v>42074.0538542405</v>
      </c>
      <c r="BJ64" s="70" t="n">
        <f aca="false">BJ60+BJ63</f>
        <v>28684.4501550235</v>
      </c>
    </row>
    <row r="66" customFormat="false" ht="15.75" hidden="false" customHeight="true" outlineLevel="0" collapsed="false">
      <c r="A66" s="7" t="s">
        <v>447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448</v>
      </c>
      <c r="C67" s="69" t="n">
        <f aca="false">IF(C$4=1,Inputs!$E$50,0)</f>
        <v>1650000</v>
      </c>
      <c r="D67" s="69" t="n">
        <f aca="false">IF(D$4=1,Inputs!$E$50,0)</f>
        <v>0</v>
      </c>
      <c r="E67" s="69" t="n">
        <f aca="false">IF(E$4=1,Inputs!$E$50,0)</f>
        <v>0</v>
      </c>
      <c r="F67" s="69" t="n">
        <f aca="false">IF(F$4=1,Inputs!$E$50,0)</f>
        <v>0</v>
      </c>
      <c r="G67" s="69" t="n">
        <f aca="false">IF(G$4=1,Inputs!$E$50,0)</f>
        <v>0</v>
      </c>
      <c r="H67" s="69" t="n">
        <f aca="false">IF(H$4=1,Inputs!$E$50,0)</f>
        <v>0</v>
      </c>
      <c r="I67" s="69" t="n">
        <f aca="false">IF(I$4=1,Inputs!$E$50,0)</f>
        <v>0</v>
      </c>
      <c r="J67" s="69" t="n">
        <f aca="false">IF(J$4=1,Inputs!$E$50,0)</f>
        <v>0</v>
      </c>
      <c r="K67" s="69" t="n">
        <f aca="false">IF(K$4=1,Inputs!$E$50,0)</f>
        <v>0</v>
      </c>
      <c r="L67" s="69" t="n">
        <f aca="false">IF(L$4=1,Inputs!$E$50,0)</f>
        <v>0</v>
      </c>
      <c r="M67" s="69" t="n">
        <f aca="false">IF(M$4=1,Inputs!$E$50,0)</f>
        <v>0</v>
      </c>
      <c r="N67" s="69" t="n">
        <f aca="false">IF(N$4=1,Inputs!$E$50,0)</f>
        <v>0</v>
      </c>
      <c r="O67" s="69" t="n">
        <f aca="false">IF(O$4=1,Inputs!$E$50,0)</f>
        <v>0</v>
      </c>
      <c r="P67" s="69" t="n">
        <f aca="false">IF(P$4=1,Inputs!$E$50,0)</f>
        <v>0</v>
      </c>
      <c r="Q67" s="69" t="n">
        <f aca="false">IF(Q$4=1,Inputs!$E$50,0)</f>
        <v>0</v>
      </c>
      <c r="R67" s="69" t="n">
        <f aca="false">IF(R$4=1,Inputs!$E$50,0)</f>
        <v>0</v>
      </c>
      <c r="S67" s="69" t="n">
        <f aca="false">IF(S$4=1,Inputs!$E$50,0)</f>
        <v>0</v>
      </c>
      <c r="T67" s="69" t="n">
        <f aca="false">IF(T$4=1,Inputs!$E$50,0)</f>
        <v>0</v>
      </c>
      <c r="U67" s="69" t="n">
        <f aca="false">IF(U$4=1,Inputs!$E$50,0)</f>
        <v>0</v>
      </c>
      <c r="V67" s="69" t="n">
        <f aca="false">IF(V$4=1,Inputs!$E$50,0)</f>
        <v>0</v>
      </c>
      <c r="W67" s="69" t="n">
        <f aca="false">IF(W$4=1,Inputs!$E$50,0)</f>
        <v>0</v>
      </c>
      <c r="X67" s="69" t="n">
        <f aca="false">IF(X$4=1,Inputs!$E$50,0)</f>
        <v>0</v>
      </c>
      <c r="Y67" s="69" t="n">
        <f aca="false">IF(Y$4=1,Inputs!$E$50,0)</f>
        <v>0</v>
      </c>
      <c r="Z67" s="69" t="n">
        <f aca="false">IF(Z$4=1,Inputs!$E$50,0)</f>
        <v>0</v>
      </c>
      <c r="AA67" s="69" t="n">
        <f aca="false">IF(AA$4=1,Inputs!$E$50,0)</f>
        <v>0</v>
      </c>
      <c r="AB67" s="69" t="n">
        <f aca="false">IF(AB$4=1,Inputs!$E$50,0)</f>
        <v>0</v>
      </c>
      <c r="AC67" s="69" t="n">
        <f aca="false">IF(AC$4=1,Inputs!$E$50,0)</f>
        <v>0</v>
      </c>
      <c r="AD67" s="69" t="n">
        <f aca="false">IF(AD$4=1,Inputs!$E$50,0)</f>
        <v>0</v>
      </c>
      <c r="AE67" s="69" t="n">
        <f aca="false">IF(AE$4=1,Inputs!$E$50,0)</f>
        <v>0</v>
      </c>
      <c r="AF67" s="69" t="n">
        <f aca="false">IF(AF$4=1,Inputs!$E$50,0)</f>
        <v>0</v>
      </c>
      <c r="AG67" s="69" t="n">
        <f aca="false">IF(AG$4=1,Inputs!$E$50,0)</f>
        <v>0</v>
      </c>
      <c r="AH67" s="69" t="n">
        <f aca="false">IF(AH$4=1,Inputs!$E$50,0)</f>
        <v>0</v>
      </c>
      <c r="AI67" s="69" t="n">
        <f aca="false">IF(AI$4=1,Inputs!$E$50,0)</f>
        <v>0</v>
      </c>
      <c r="AJ67" s="69" t="n">
        <f aca="false">IF(AJ$4=1,Inputs!$E$50,0)</f>
        <v>0</v>
      </c>
      <c r="AK67" s="69" t="n">
        <f aca="false">IF(AK$4=1,Inputs!$E$50,0)</f>
        <v>0</v>
      </c>
      <c r="AL67" s="69" t="n">
        <f aca="false">IF(AL$4=1,Inputs!$E$50,0)</f>
        <v>0</v>
      </c>
      <c r="AM67" s="69" t="n">
        <f aca="false">IF(AM$4=1,Inputs!$E$50,0)</f>
        <v>0</v>
      </c>
      <c r="AN67" s="69" t="n">
        <f aca="false">IF(AN$4=1,Inputs!$E$50,0)</f>
        <v>0</v>
      </c>
      <c r="AO67" s="69" t="n">
        <f aca="false">IF(AO$4=1,Inputs!$E$50,0)</f>
        <v>0</v>
      </c>
      <c r="AP67" s="69" t="n">
        <f aca="false">IF(AP$4=1,Inputs!$E$50,0)</f>
        <v>0</v>
      </c>
      <c r="AQ67" s="69" t="n">
        <f aca="false">IF(AQ$4=1,Inputs!$E$50,0)</f>
        <v>0</v>
      </c>
      <c r="AR67" s="69" t="n">
        <f aca="false">IF(AR$4=1,Inputs!$E$50,0)</f>
        <v>0</v>
      </c>
      <c r="AS67" s="69" t="n">
        <f aca="false">IF(AS$4=1,Inputs!$E$50,0)</f>
        <v>0</v>
      </c>
      <c r="AT67" s="69" t="n">
        <f aca="false">IF(AT$4=1,Inputs!$E$50,0)</f>
        <v>0</v>
      </c>
      <c r="AU67" s="69" t="n">
        <f aca="false">IF(AU$4=1,Inputs!$E$50,0)</f>
        <v>0</v>
      </c>
      <c r="AV67" s="69" t="n">
        <f aca="false">IF(AV$4=1,Inputs!$E$50,0)</f>
        <v>0</v>
      </c>
      <c r="AW67" s="69" t="n">
        <f aca="false">IF(AW$4=1,Inputs!$E$50,0)</f>
        <v>0</v>
      </c>
      <c r="AX67" s="69" t="n">
        <f aca="false">IF(AX$4=1,Inputs!$E$50,0)</f>
        <v>0</v>
      </c>
      <c r="AY67" s="69" t="n">
        <f aca="false">IF(AY$4=1,Inputs!$E$50,0)</f>
        <v>0</v>
      </c>
      <c r="AZ67" s="69" t="n">
        <f aca="false">IF(AZ$4=1,Inputs!$E$50,0)</f>
        <v>0</v>
      </c>
      <c r="BA67" s="69" t="n">
        <f aca="false">IF(BA$4=1,Inputs!$E$50,0)</f>
        <v>0</v>
      </c>
      <c r="BB67" s="69" t="n">
        <f aca="false">IF(BB$4=1,Inputs!$E$50,0)</f>
        <v>0</v>
      </c>
      <c r="BC67" s="69" t="n">
        <f aca="false">IF(BC$4=1,Inputs!$E$50,0)</f>
        <v>0</v>
      </c>
      <c r="BD67" s="69" t="n">
        <f aca="false">IF(BD$4=1,Inputs!$E$50,0)</f>
        <v>0</v>
      </c>
      <c r="BE67" s="69" t="n">
        <f aca="false">IF(BE$4=1,Inputs!$E$50,0)</f>
        <v>0</v>
      </c>
      <c r="BF67" s="69" t="n">
        <f aca="false">IF(BF$4=1,Inputs!$E$50,0)</f>
        <v>0</v>
      </c>
      <c r="BG67" s="69" t="n">
        <f aca="false">IF(BG$4=1,Inputs!$E$50,0)</f>
        <v>0</v>
      </c>
      <c r="BH67" s="69" t="n">
        <f aca="false">IF(BH$4=1,Inputs!$E$50,0)</f>
        <v>0</v>
      </c>
      <c r="BI67" s="69" t="n">
        <f aca="false">IF(BI$4=1,Inputs!$E$50,0)</f>
        <v>0</v>
      </c>
      <c r="BJ67" s="69" t="n">
        <f aca="false">IF(BJ$4=1,Inputs!$E$50,0)</f>
        <v>0</v>
      </c>
    </row>
    <row r="68" customFormat="false" ht="15" hidden="false" customHeight="false" outlineLevel="0" collapsed="false">
      <c r="A68" s="6" t="s">
        <v>449</v>
      </c>
      <c r="C68" s="69" t="n">
        <f aca="false">IF(C$4=1,Inputs!$E$51,0)</f>
        <v>2300000</v>
      </c>
      <c r="D68" s="69" t="n">
        <f aca="false">IF(D$4=1,Inputs!$E$51,0)</f>
        <v>0</v>
      </c>
      <c r="E68" s="69" t="n">
        <f aca="false">IF(E$4=1,Inputs!$E$51,0)</f>
        <v>0</v>
      </c>
      <c r="F68" s="69" t="n">
        <f aca="false">IF(F$4=1,Inputs!$E$51,0)</f>
        <v>0</v>
      </c>
      <c r="G68" s="69" t="n">
        <f aca="false">IF(G$4=1,Inputs!$E$51,0)</f>
        <v>0</v>
      </c>
      <c r="H68" s="69" t="n">
        <f aca="false">IF(H$4=1,Inputs!$E$51,0)</f>
        <v>0</v>
      </c>
      <c r="I68" s="69" t="n">
        <f aca="false">IF(I$4=1,Inputs!$E$51,0)</f>
        <v>0</v>
      </c>
      <c r="J68" s="69" t="n">
        <f aca="false">IF(J$4=1,Inputs!$E$51,0)</f>
        <v>0</v>
      </c>
      <c r="K68" s="69" t="n">
        <f aca="false">IF(K$4=1,Inputs!$E$51,0)</f>
        <v>0</v>
      </c>
      <c r="L68" s="69" t="n">
        <f aca="false">IF(L$4=1,Inputs!$E$51,0)</f>
        <v>0</v>
      </c>
      <c r="M68" s="69" t="n">
        <f aca="false">IF(M$4=1,Inputs!$E$51,0)</f>
        <v>0</v>
      </c>
      <c r="N68" s="69" t="n">
        <f aca="false">IF(N$4=1,Inputs!$E$51,0)</f>
        <v>0</v>
      </c>
      <c r="O68" s="69" t="n">
        <f aca="false">IF(O$4=1,Inputs!$E$51,0)</f>
        <v>0</v>
      </c>
      <c r="P68" s="69" t="n">
        <f aca="false">IF(P$4=1,Inputs!$E$51,0)</f>
        <v>0</v>
      </c>
      <c r="Q68" s="69" t="n">
        <f aca="false">IF(Q$4=1,Inputs!$E$51,0)</f>
        <v>0</v>
      </c>
      <c r="R68" s="69" t="n">
        <f aca="false">IF(R$4=1,Inputs!$E$51,0)</f>
        <v>0</v>
      </c>
      <c r="S68" s="69" t="n">
        <f aca="false">IF(S$4=1,Inputs!$E$51,0)</f>
        <v>0</v>
      </c>
      <c r="T68" s="69" t="n">
        <f aca="false">IF(T$4=1,Inputs!$E$51,0)</f>
        <v>0</v>
      </c>
      <c r="U68" s="69" t="n">
        <f aca="false">IF(U$4=1,Inputs!$E$51,0)</f>
        <v>0</v>
      </c>
      <c r="V68" s="69" t="n">
        <f aca="false">IF(V$4=1,Inputs!$E$51,0)</f>
        <v>0</v>
      </c>
      <c r="W68" s="69" t="n">
        <f aca="false">IF(W$4=1,Inputs!$E$51,0)</f>
        <v>0</v>
      </c>
      <c r="X68" s="69" t="n">
        <f aca="false">IF(X$4=1,Inputs!$E$51,0)</f>
        <v>0</v>
      </c>
      <c r="Y68" s="69" t="n">
        <f aca="false">IF(Y$4=1,Inputs!$E$51,0)</f>
        <v>0</v>
      </c>
      <c r="Z68" s="69" t="n">
        <f aca="false">IF(Z$4=1,Inputs!$E$51,0)</f>
        <v>0</v>
      </c>
      <c r="AA68" s="69" t="n">
        <f aca="false">IF(AA$4=1,Inputs!$E$51,0)</f>
        <v>0</v>
      </c>
      <c r="AB68" s="69" t="n">
        <f aca="false">IF(AB$4=1,Inputs!$E$51,0)</f>
        <v>0</v>
      </c>
      <c r="AC68" s="69" t="n">
        <f aca="false">IF(AC$4=1,Inputs!$E$51,0)</f>
        <v>0</v>
      </c>
      <c r="AD68" s="69" t="n">
        <f aca="false">IF(AD$4=1,Inputs!$E$51,0)</f>
        <v>0</v>
      </c>
      <c r="AE68" s="69" t="n">
        <f aca="false">IF(AE$4=1,Inputs!$E$51,0)</f>
        <v>0</v>
      </c>
      <c r="AF68" s="69" t="n">
        <f aca="false">IF(AF$4=1,Inputs!$E$51,0)</f>
        <v>0</v>
      </c>
      <c r="AG68" s="69" t="n">
        <f aca="false">IF(AG$4=1,Inputs!$E$51,0)</f>
        <v>0</v>
      </c>
      <c r="AH68" s="69" t="n">
        <f aca="false">IF(AH$4=1,Inputs!$E$51,0)</f>
        <v>0</v>
      </c>
      <c r="AI68" s="69" t="n">
        <f aca="false">IF(AI$4=1,Inputs!$E$51,0)</f>
        <v>0</v>
      </c>
      <c r="AJ68" s="69" t="n">
        <f aca="false">IF(AJ$4=1,Inputs!$E$51,0)</f>
        <v>0</v>
      </c>
      <c r="AK68" s="69" t="n">
        <f aca="false">IF(AK$4=1,Inputs!$E$51,0)</f>
        <v>0</v>
      </c>
      <c r="AL68" s="69" t="n">
        <f aca="false">IF(AL$4=1,Inputs!$E$51,0)</f>
        <v>0</v>
      </c>
      <c r="AM68" s="69" t="n">
        <f aca="false">IF(AM$4=1,Inputs!$E$51,0)</f>
        <v>0</v>
      </c>
      <c r="AN68" s="69" t="n">
        <f aca="false">IF(AN$4=1,Inputs!$E$51,0)</f>
        <v>0</v>
      </c>
      <c r="AO68" s="69" t="n">
        <f aca="false">IF(AO$4=1,Inputs!$E$51,0)</f>
        <v>0</v>
      </c>
      <c r="AP68" s="69" t="n">
        <f aca="false">IF(AP$4=1,Inputs!$E$51,0)</f>
        <v>0</v>
      </c>
      <c r="AQ68" s="69" t="n">
        <f aca="false">IF(AQ$4=1,Inputs!$E$51,0)</f>
        <v>0</v>
      </c>
      <c r="AR68" s="69" t="n">
        <f aca="false">IF(AR$4=1,Inputs!$E$51,0)</f>
        <v>0</v>
      </c>
      <c r="AS68" s="69" t="n">
        <f aca="false">IF(AS$4=1,Inputs!$E$51,0)</f>
        <v>0</v>
      </c>
      <c r="AT68" s="69" t="n">
        <f aca="false">IF(AT$4=1,Inputs!$E$51,0)</f>
        <v>0</v>
      </c>
      <c r="AU68" s="69" t="n">
        <f aca="false">IF(AU$4=1,Inputs!$E$51,0)</f>
        <v>0</v>
      </c>
      <c r="AV68" s="69" t="n">
        <f aca="false">IF(AV$4=1,Inputs!$E$51,0)</f>
        <v>0</v>
      </c>
      <c r="AW68" s="69" t="n">
        <f aca="false">IF(AW$4=1,Inputs!$E$51,0)</f>
        <v>0</v>
      </c>
      <c r="AX68" s="69" t="n">
        <f aca="false">IF(AX$4=1,Inputs!$E$51,0)</f>
        <v>0</v>
      </c>
      <c r="AY68" s="69" t="n">
        <f aca="false">IF(AY$4=1,Inputs!$E$51,0)</f>
        <v>0</v>
      </c>
      <c r="AZ68" s="69" t="n">
        <f aca="false">IF(AZ$4=1,Inputs!$E$51,0)</f>
        <v>0</v>
      </c>
      <c r="BA68" s="69" t="n">
        <f aca="false">IF(BA$4=1,Inputs!$E$51,0)</f>
        <v>0</v>
      </c>
      <c r="BB68" s="69" t="n">
        <f aca="false">IF(BB$4=1,Inputs!$E$51,0)</f>
        <v>0</v>
      </c>
      <c r="BC68" s="69" t="n">
        <f aca="false">IF(BC$4=1,Inputs!$E$51,0)</f>
        <v>0</v>
      </c>
      <c r="BD68" s="69" t="n">
        <f aca="false">IF(BD$4=1,Inputs!$E$51,0)</f>
        <v>0</v>
      </c>
      <c r="BE68" s="69" t="n">
        <f aca="false">IF(BE$4=1,Inputs!$E$51,0)</f>
        <v>0</v>
      </c>
      <c r="BF68" s="69" t="n">
        <f aca="false">IF(BF$4=1,Inputs!$E$51,0)</f>
        <v>0</v>
      </c>
      <c r="BG68" s="69" t="n">
        <f aca="false">IF(BG$4=1,Inputs!$E$51,0)</f>
        <v>0</v>
      </c>
      <c r="BH68" s="69" t="n">
        <f aca="false">IF(BH$4=1,Inputs!$E$51,0)</f>
        <v>0</v>
      </c>
      <c r="BI68" s="69" t="n">
        <f aca="false">IF(BI$4=1,Inputs!$E$51,0)</f>
        <v>0</v>
      </c>
      <c r="BJ68" s="69" t="n">
        <f aca="false">IF(BJ$4=1,Inputs!$E$51,0)</f>
        <v>0</v>
      </c>
    </row>
    <row r="69" customFormat="false" ht="15" hidden="false" customHeight="false" outlineLevel="0" collapsed="false">
      <c r="A69" s="6" t="s">
        <v>450</v>
      </c>
      <c r="C69" s="69" t="n">
        <f aca="false">IF(C$4=1,Inputs!$E$52,0)</f>
        <v>150000</v>
      </c>
      <c r="D69" s="69" t="n">
        <f aca="false">IF(D$4=1,Inputs!$E$52,0)</f>
        <v>0</v>
      </c>
      <c r="E69" s="69" t="n">
        <f aca="false">IF(E$4=1,Inputs!$E$52,0)</f>
        <v>0</v>
      </c>
      <c r="F69" s="69" t="n">
        <f aca="false">IF(F$4=1,Inputs!$E$52,0)</f>
        <v>0</v>
      </c>
      <c r="G69" s="69" t="n">
        <f aca="false">IF(G$4=1,Inputs!$E$52,0)</f>
        <v>0</v>
      </c>
      <c r="H69" s="69" t="n">
        <f aca="false">IF(H$4=1,Inputs!$E$52,0)</f>
        <v>0</v>
      </c>
      <c r="I69" s="69" t="n">
        <f aca="false">IF(I$4=1,Inputs!$E$52,0)</f>
        <v>0</v>
      </c>
      <c r="J69" s="69" t="n">
        <f aca="false">IF(J$4=1,Inputs!$E$52,0)</f>
        <v>0</v>
      </c>
      <c r="K69" s="69" t="n">
        <f aca="false">IF(K$4=1,Inputs!$E$52,0)</f>
        <v>0</v>
      </c>
      <c r="L69" s="69" t="n">
        <f aca="false">IF(L$4=1,Inputs!$E$52,0)</f>
        <v>0</v>
      </c>
      <c r="M69" s="69" t="n">
        <f aca="false">IF(M$4=1,Inputs!$E$52,0)</f>
        <v>0</v>
      </c>
      <c r="N69" s="69" t="n">
        <f aca="false">IF(N$4=1,Inputs!$E$52,0)</f>
        <v>0</v>
      </c>
      <c r="O69" s="69" t="n">
        <f aca="false">IF(O$4=1,Inputs!$E$52,0)</f>
        <v>0</v>
      </c>
      <c r="P69" s="69" t="n">
        <f aca="false">IF(P$4=1,Inputs!$E$52,0)</f>
        <v>0</v>
      </c>
      <c r="Q69" s="69" t="n">
        <f aca="false">IF(Q$4=1,Inputs!$E$52,0)</f>
        <v>0</v>
      </c>
      <c r="R69" s="69" t="n">
        <f aca="false">IF(R$4=1,Inputs!$E$52,0)</f>
        <v>0</v>
      </c>
      <c r="S69" s="69" t="n">
        <f aca="false">IF(S$4=1,Inputs!$E$52,0)</f>
        <v>0</v>
      </c>
      <c r="T69" s="69" t="n">
        <f aca="false">IF(T$4=1,Inputs!$E$52,0)</f>
        <v>0</v>
      </c>
      <c r="U69" s="69" t="n">
        <f aca="false">IF(U$4=1,Inputs!$E$52,0)</f>
        <v>0</v>
      </c>
      <c r="V69" s="69" t="n">
        <f aca="false">IF(V$4=1,Inputs!$E$52,0)</f>
        <v>0</v>
      </c>
      <c r="W69" s="69" t="n">
        <f aca="false">IF(W$4=1,Inputs!$E$52,0)</f>
        <v>0</v>
      </c>
      <c r="X69" s="69" t="n">
        <f aca="false">IF(X$4=1,Inputs!$E$52,0)</f>
        <v>0</v>
      </c>
      <c r="Y69" s="69" t="n">
        <f aca="false">IF(Y$4=1,Inputs!$E$52,0)</f>
        <v>0</v>
      </c>
      <c r="Z69" s="69" t="n">
        <f aca="false">IF(Z$4=1,Inputs!$E$52,0)</f>
        <v>0</v>
      </c>
      <c r="AA69" s="69" t="n">
        <f aca="false">IF(AA$4=1,Inputs!$E$52,0)</f>
        <v>0</v>
      </c>
      <c r="AB69" s="69" t="n">
        <f aca="false">IF(AB$4=1,Inputs!$E$52,0)</f>
        <v>0</v>
      </c>
      <c r="AC69" s="69" t="n">
        <f aca="false">IF(AC$4=1,Inputs!$E$52,0)</f>
        <v>0</v>
      </c>
      <c r="AD69" s="69" t="n">
        <f aca="false">IF(AD$4=1,Inputs!$E$52,0)</f>
        <v>0</v>
      </c>
      <c r="AE69" s="69" t="n">
        <f aca="false">IF(AE$4=1,Inputs!$E$52,0)</f>
        <v>0</v>
      </c>
      <c r="AF69" s="69" t="n">
        <f aca="false">IF(AF$4=1,Inputs!$E$52,0)</f>
        <v>0</v>
      </c>
      <c r="AG69" s="69" t="n">
        <f aca="false">IF(AG$4=1,Inputs!$E$52,0)</f>
        <v>0</v>
      </c>
      <c r="AH69" s="69" t="n">
        <f aca="false">IF(AH$4=1,Inputs!$E$52,0)</f>
        <v>0</v>
      </c>
      <c r="AI69" s="69" t="n">
        <f aca="false">IF(AI$4=1,Inputs!$E$52,0)</f>
        <v>0</v>
      </c>
      <c r="AJ69" s="69" t="n">
        <f aca="false">IF(AJ$4=1,Inputs!$E$52,0)</f>
        <v>0</v>
      </c>
      <c r="AK69" s="69" t="n">
        <f aca="false">IF(AK$4=1,Inputs!$E$52,0)</f>
        <v>0</v>
      </c>
      <c r="AL69" s="69" t="n">
        <f aca="false">IF(AL$4=1,Inputs!$E$52,0)</f>
        <v>0</v>
      </c>
      <c r="AM69" s="69" t="n">
        <f aca="false">IF(AM$4=1,Inputs!$E$52,0)</f>
        <v>0</v>
      </c>
      <c r="AN69" s="69" t="n">
        <f aca="false">IF(AN$4=1,Inputs!$E$52,0)</f>
        <v>0</v>
      </c>
      <c r="AO69" s="69" t="n">
        <f aca="false">IF(AO$4=1,Inputs!$E$52,0)</f>
        <v>0</v>
      </c>
      <c r="AP69" s="69" t="n">
        <f aca="false">IF(AP$4=1,Inputs!$E$52,0)</f>
        <v>0</v>
      </c>
      <c r="AQ69" s="69" t="n">
        <f aca="false">IF(AQ$4=1,Inputs!$E$52,0)</f>
        <v>0</v>
      </c>
      <c r="AR69" s="69" t="n">
        <f aca="false">IF(AR$4=1,Inputs!$E$52,0)</f>
        <v>0</v>
      </c>
      <c r="AS69" s="69" t="n">
        <f aca="false">IF(AS$4=1,Inputs!$E$52,0)</f>
        <v>0</v>
      </c>
      <c r="AT69" s="69" t="n">
        <f aca="false">IF(AT$4=1,Inputs!$E$52,0)</f>
        <v>0</v>
      </c>
      <c r="AU69" s="69" t="n">
        <f aca="false">IF(AU$4=1,Inputs!$E$52,0)</f>
        <v>0</v>
      </c>
      <c r="AV69" s="69" t="n">
        <f aca="false">IF(AV$4=1,Inputs!$E$52,0)</f>
        <v>0</v>
      </c>
      <c r="AW69" s="69" t="n">
        <f aca="false">IF(AW$4=1,Inputs!$E$52,0)</f>
        <v>0</v>
      </c>
      <c r="AX69" s="69" t="n">
        <f aca="false">IF(AX$4=1,Inputs!$E$52,0)</f>
        <v>0</v>
      </c>
      <c r="AY69" s="69" t="n">
        <f aca="false">IF(AY$4=1,Inputs!$E$52,0)</f>
        <v>0</v>
      </c>
      <c r="AZ69" s="69" t="n">
        <f aca="false">IF(AZ$4=1,Inputs!$E$52,0)</f>
        <v>0</v>
      </c>
      <c r="BA69" s="69" t="n">
        <f aca="false">IF(BA$4=1,Inputs!$E$52,0)</f>
        <v>0</v>
      </c>
      <c r="BB69" s="69" t="n">
        <f aca="false">IF(BB$4=1,Inputs!$E$52,0)</f>
        <v>0</v>
      </c>
      <c r="BC69" s="69" t="n">
        <f aca="false">IF(BC$4=1,Inputs!$E$52,0)</f>
        <v>0</v>
      </c>
      <c r="BD69" s="69" t="n">
        <f aca="false">IF(BD$4=1,Inputs!$E$52,0)</f>
        <v>0</v>
      </c>
      <c r="BE69" s="69" t="n">
        <f aca="false">IF(BE$4=1,Inputs!$E$52,0)</f>
        <v>0</v>
      </c>
      <c r="BF69" s="69" t="n">
        <f aca="false">IF(BF$4=1,Inputs!$E$52,0)</f>
        <v>0</v>
      </c>
      <c r="BG69" s="69" t="n">
        <f aca="false">IF(BG$4=1,Inputs!$E$52,0)</f>
        <v>0</v>
      </c>
      <c r="BH69" s="69" t="n">
        <f aca="false">IF(BH$4=1,Inputs!$E$52,0)</f>
        <v>0</v>
      </c>
      <c r="BI69" s="69" t="n">
        <f aca="false">IF(BI$4=1,Inputs!$E$52,0)</f>
        <v>0</v>
      </c>
      <c r="BJ69" s="69" t="n">
        <f aca="false">IF(BJ$4=1,Inputs!$E$52,0)</f>
        <v>0</v>
      </c>
    </row>
    <row r="70" customFormat="false" ht="15" hidden="false" customHeight="false" outlineLevel="0" collapsed="false">
      <c r="A70" s="6" t="s">
        <v>451</v>
      </c>
      <c r="C70" s="69" t="n">
        <f aca="false">IF(C$4=1,Inputs!$E$53,0)</f>
        <v>0</v>
      </c>
      <c r="D70" s="69" t="n">
        <f aca="false">IF(D$4=1,Inputs!$E$53,0)</f>
        <v>0</v>
      </c>
      <c r="E70" s="69" t="n">
        <f aca="false">IF(E$4=1,Inputs!$E$53,0)</f>
        <v>0</v>
      </c>
      <c r="F70" s="69" t="n">
        <f aca="false">IF(F$4=1,Inputs!$E$53,0)</f>
        <v>0</v>
      </c>
      <c r="G70" s="69" t="n">
        <f aca="false">IF(G$4=1,Inputs!$E$53,0)</f>
        <v>0</v>
      </c>
      <c r="H70" s="69" t="n">
        <f aca="false">IF(H$4=1,Inputs!$E$53,0)</f>
        <v>0</v>
      </c>
      <c r="I70" s="69" t="n">
        <f aca="false">IF(I$4=1,Inputs!$E$53,0)</f>
        <v>0</v>
      </c>
      <c r="J70" s="69" t="n">
        <f aca="false">IF(J$4=1,Inputs!$E$53,0)</f>
        <v>0</v>
      </c>
      <c r="K70" s="69" t="n">
        <f aca="false">IF(K$4=1,Inputs!$E$53,0)</f>
        <v>0</v>
      </c>
      <c r="L70" s="69" t="n">
        <f aca="false">IF(L$4=1,Inputs!$E$53,0)</f>
        <v>0</v>
      </c>
      <c r="M70" s="69" t="n">
        <f aca="false">IF(M$4=1,Inputs!$E$53,0)</f>
        <v>0</v>
      </c>
      <c r="N70" s="69" t="n">
        <f aca="false">IF(N$4=1,Inputs!$E$53,0)</f>
        <v>0</v>
      </c>
      <c r="O70" s="69" t="n">
        <f aca="false">IF(O$4=1,Inputs!$E$53,0)</f>
        <v>0</v>
      </c>
      <c r="P70" s="69" t="n">
        <f aca="false">IF(P$4=1,Inputs!$E$53,0)</f>
        <v>0</v>
      </c>
      <c r="Q70" s="69" t="n">
        <f aca="false">IF(Q$4=1,Inputs!$E$53,0)</f>
        <v>0</v>
      </c>
      <c r="R70" s="69" t="n">
        <f aca="false">IF(R$4=1,Inputs!$E$53,0)</f>
        <v>0</v>
      </c>
      <c r="S70" s="69" t="n">
        <f aca="false">IF(S$4=1,Inputs!$E$53,0)</f>
        <v>0</v>
      </c>
      <c r="T70" s="69" t="n">
        <f aca="false">IF(T$4=1,Inputs!$E$53,0)</f>
        <v>0</v>
      </c>
      <c r="U70" s="69" t="n">
        <f aca="false">IF(U$4=1,Inputs!$E$53,0)</f>
        <v>0</v>
      </c>
      <c r="V70" s="69" t="n">
        <f aca="false">IF(V$4=1,Inputs!$E$53,0)</f>
        <v>0</v>
      </c>
      <c r="W70" s="69" t="n">
        <f aca="false">IF(W$4=1,Inputs!$E$53,0)</f>
        <v>0</v>
      </c>
      <c r="X70" s="69" t="n">
        <f aca="false">IF(X$4=1,Inputs!$E$53,0)</f>
        <v>0</v>
      </c>
      <c r="Y70" s="69" t="n">
        <f aca="false">IF(Y$4=1,Inputs!$E$53,0)</f>
        <v>0</v>
      </c>
      <c r="Z70" s="69" t="n">
        <f aca="false">IF(Z$4=1,Inputs!$E$53,0)</f>
        <v>0</v>
      </c>
      <c r="AA70" s="69" t="n">
        <f aca="false">IF(AA$4=1,Inputs!$E$53,0)</f>
        <v>0</v>
      </c>
      <c r="AB70" s="69" t="n">
        <f aca="false">IF(AB$4=1,Inputs!$E$53,0)</f>
        <v>0</v>
      </c>
      <c r="AC70" s="69" t="n">
        <f aca="false">IF(AC$4=1,Inputs!$E$53,0)</f>
        <v>0</v>
      </c>
      <c r="AD70" s="69" t="n">
        <f aca="false">IF(AD$4=1,Inputs!$E$53,0)</f>
        <v>0</v>
      </c>
      <c r="AE70" s="69" t="n">
        <f aca="false">IF(AE$4=1,Inputs!$E$53,0)</f>
        <v>0</v>
      </c>
      <c r="AF70" s="69" t="n">
        <f aca="false">IF(AF$4=1,Inputs!$E$53,0)</f>
        <v>0</v>
      </c>
      <c r="AG70" s="69" t="n">
        <f aca="false">IF(AG$4=1,Inputs!$E$53,0)</f>
        <v>0</v>
      </c>
      <c r="AH70" s="69" t="n">
        <f aca="false">IF(AH$4=1,Inputs!$E$53,0)</f>
        <v>0</v>
      </c>
      <c r="AI70" s="69" t="n">
        <f aca="false">IF(AI$4=1,Inputs!$E$53,0)</f>
        <v>0</v>
      </c>
      <c r="AJ70" s="69" t="n">
        <f aca="false">IF(AJ$4=1,Inputs!$E$53,0)</f>
        <v>0</v>
      </c>
      <c r="AK70" s="69" t="n">
        <f aca="false">IF(AK$4=1,Inputs!$E$53,0)</f>
        <v>0</v>
      </c>
      <c r="AL70" s="69" t="n">
        <f aca="false">IF(AL$4=1,Inputs!$E$53,0)</f>
        <v>0</v>
      </c>
      <c r="AM70" s="69" t="n">
        <f aca="false">IF(AM$4=1,Inputs!$E$53,0)</f>
        <v>0</v>
      </c>
      <c r="AN70" s="69" t="n">
        <f aca="false">IF(AN$4=1,Inputs!$E$53,0)</f>
        <v>0</v>
      </c>
      <c r="AO70" s="69" t="n">
        <f aca="false">IF(AO$4=1,Inputs!$E$53,0)</f>
        <v>0</v>
      </c>
      <c r="AP70" s="69" t="n">
        <f aca="false">IF(AP$4=1,Inputs!$E$53,0)</f>
        <v>0</v>
      </c>
      <c r="AQ70" s="69" t="n">
        <f aca="false">IF(AQ$4=1,Inputs!$E$53,0)</f>
        <v>0</v>
      </c>
      <c r="AR70" s="69" t="n">
        <f aca="false">IF(AR$4=1,Inputs!$E$53,0)</f>
        <v>0</v>
      </c>
      <c r="AS70" s="69" t="n">
        <f aca="false">IF(AS$4=1,Inputs!$E$53,0)</f>
        <v>0</v>
      </c>
      <c r="AT70" s="69" t="n">
        <f aca="false">IF(AT$4=1,Inputs!$E$53,0)</f>
        <v>0</v>
      </c>
      <c r="AU70" s="69" t="n">
        <f aca="false">IF(AU$4=1,Inputs!$E$53,0)</f>
        <v>0</v>
      </c>
      <c r="AV70" s="69" t="n">
        <f aca="false">IF(AV$4=1,Inputs!$E$53,0)</f>
        <v>0</v>
      </c>
      <c r="AW70" s="69" t="n">
        <f aca="false">IF(AW$4=1,Inputs!$E$53,0)</f>
        <v>0</v>
      </c>
      <c r="AX70" s="69" t="n">
        <f aca="false">IF(AX$4=1,Inputs!$E$53,0)</f>
        <v>0</v>
      </c>
      <c r="AY70" s="69" t="n">
        <f aca="false">IF(AY$4=1,Inputs!$E$53,0)</f>
        <v>0</v>
      </c>
      <c r="AZ70" s="69" t="n">
        <f aca="false">IF(AZ$4=1,Inputs!$E$53,0)</f>
        <v>0</v>
      </c>
      <c r="BA70" s="69" t="n">
        <f aca="false">IF(BA$4=1,Inputs!$E$53,0)</f>
        <v>0</v>
      </c>
      <c r="BB70" s="69" t="n">
        <f aca="false">IF(BB$4=1,Inputs!$E$53,0)</f>
        <v>0</v>
      </c>
      <c r="BC70" s="69" t="n">
        <f aca="false">IF(BC$4=1,Inputs!$E$53,0)</f>
        <v>0</v>
      </c>
      <c r="BD70" s="69" t="n">
        <f aca="false">IF(BD$4=1,Inputs!$E$53,0)</f>
        <v>0</v>
      </c>
      <c r="BE70" s="69" t="n">
        <f aca="false">IF(BE$4=1,Inputs!$E$53,0)</f>
        <v>0</v>
      </c>
      <c r="BF70" s="69" t="n">
        <f aca="false">IF(BF$4=1,Inputs!$E$53,0)</f>
        <v>0</v>
      </c>
      <c r="BG70" s="69" t="n">
        <f aca="false">IF(BG$4=1,Inputs!$E$53,0)</f>
        <v>0</v>
      </c>
      <c r="BH70" s="69" t="n">
        <f aca="false">IF(BH$4=1,Inputs!$E$53,0)</f>
        <v>0</v>
      </c>
      <c r="BI70" s="69" t="n">
        <f aca="false">IF(BI$4=1,Inputs!$E$53,0)</f>
        <v>0</v>
      </c>
      <c r="BJ70" s="69" t="n">
        <f aca="false">IF(BJ$4=1,Inputs!$E$53,0)</f>
        <v>0</v>
      </c>
    </row>
    <row r="71" customFormat="false" ht="15" hidden="false" customHeight="false" outlineLevel="0" collapsed="false">
      <c r="A71" s="6" t="s">
        <v>452</v>
      </c>
      <c r="C71" s="69" t="n">
        <f aca="false">IF(AND(C$5&gt;1,MOD(C$4-1,12)=0),Inputs!$E$54,0)</f>
        <v>0</v>
      </c>
      <c r="D71" s="69" t="n">
        <f aca="false">IF(AND(D$5&gt;1,MOD(D$4-1,12)=0),Inputs!$E$54,0)</f>
        <v>0</v>
      </c>
      <c r="E71" s="69" t="n">
        <f aca="false">IF(AND(E$5&gt;1,MOD(E$4-1,12)=0),Inputs!$E$54,0)</f>
        <v>0</v>
      </c>
      <c r="F71" s="69" t="n">
        <f aca="false">IF(AND(F$5&gt;1,MOD(F$4-1,12)=0),Inputs!$E$54,0)</f>
        <v>0</v>
      </c>
      <c r="G71" s="69" t="n">
        <f aca="false">IF(AND(G$5&gt;1,MOD(G$4-1,12)=0),Inputs!$E$54,0)</f>
        <v>0</v>
      </c>
      <c r="H71" s="69" t="n">
        <f aca="false">IF(AND(H$5&gt;1,MOD(H$4-1,12)=0),Inputs!$E$54,0)</f>
        <v>0</v>
      </c>
      <c r="I71" s="69" t="n">
        <f aca="false">IF(AND(I$5&gt;1,MOD(I$4-1,12)=0),Inputs!$E$54,0)</f>
        <v>0</v>
      </c>
      <c r="J71" s="69" t="n">
        <f aca="false">IF(AND(J$5&gt;1,MOD(J$4-1,12)=0),Inputs!$E$54,0)</f>
        <v>0</v>
      </c>
      <c r="K71" s="69" t="n">
        <f aca="false">IF(AND(K$5&gt;1,MOD(K$4-1,12)=0),Inputs!$E$54,0)</f>
        <v>0</v>
      </c>
      <c r="L71" s="69" t="n">
        <f aca="false">IF(AND(L$5&gt;1,MOD(L$4-1,12)=0),Inputs!$E$54,0)</f>
        <v>0</v>
      </c>
      <c r="M71" s="69" t="n">
        <f aca="false">IF(AND(M$5&gt;1,MOD(M$4-1,12)=0),Inputs!$E$54,0)</f>
        <v>0</v>
      </c>
      <c r="N71" s="69" t="n">
        <f aca="false">IF(AND(N$5&gt;1,MOD(N$4-1,12)=0),Inputs!$E$54,0)</f>
        <v>0</v>
      </c>
      <c r="O71" s="69" t="n">
        <f aca="false">IF(AND(O$5&gt;1,MOD(O$4-1,12)=0),Inputs!$E$54,0)</f>
        <v>40000</v>
      </c>
      <c r="P71" s="69" t="n">
        <f aca="false">IF(AND(P$5&gt;1,MOD(P$4-1,12)=0),Inputs!$E$54,0)</f>
        <v>0</v>
      </c>
      <c r="Q71" s="69" t="n">
        <f aca="false">IF(AND(Q$5&gt;1,MOD(Q$4-1,12)=0),Inputs!$E$54,0)</f>
        <v>0</v>
      </c>
      <c r="R71" s="69" t="n">
        <f aca="false">IF(AND(R$5&gt;1,MOD(R$4-1,12)=0),Inputs!$E$54,0)</f>
        <v>0</v>
      </c>
      <c r="S71" s="69" t="n">
        <f aca="false">IF(AND(S$5&gt;1,MOD(S$4-1,12)=0),Inputs!$E$54,0)</f>
        <v>0</v>
      </c>
      <c r="T71" s="69" t="n">
        <f aca="false">IF(AND(T$5&gt;1,MOD(T$4-1,12)=0),Inputs!$E$54,0)</f>
        <v>0</v>
      </c>
      <c r="U71" s="69" t="n">
        <f aca="false">IF(AND(U$5&gt;1,MOD(U$4-1,12)=0),Inputs!$E$54,0)</f>
        <v>0</v>
      </c>
      <c r="V71" s="69" t="n">
        <f aca="false">IF(AND(V$5&gt;1,MOD(V$4-1,12)=0),Inputs!$E$54,0)</f>
        <v>0</v>
      </c>
      <c r="W71" s="69" t="n">
        <f aca="false">IF(AND(W$5&gt;1,MOD(W$4-1,12)=0),Inputs!$E$54,0)</f>
        <v>0</v>
      </c>
      <c r="X71" s="69" t="n">
        <f aca="false">IF(AND(X$5&gt;1,MOD(X$4-1,12)=0),Inputs!$E$54,0)</f>
        <v>0</v>
      </c>
      <c r="Y71" s="69" t="n">
        <f aca="false">IF(AND(Y$5&gt;1,MOD(Y$4-1,12)=0),Inputs!$E$54,0)</f>
        <v>0</v>
      </c>
      <c r="Z71" s="69" t="n">
        <f aca="false">IF(AND(Z$5&gt;1,MOD(Z$4-1,12)=0),Inputs!$E$54,0)</f>
        <v>0</v>
      </c>
      <c r="AA71" s="69" t="n">
        <f aca="false">IF(AND(AA$5&gt;1,MOD(AA$4-1,12)=0),Inputs!$E$54,0)</f>
        <v>40000</v>
      </c>
      <c r="AB71" s="69" t="n">
        <f aca="false">IF(AND(AB$5&gt;1,MOD(AB$4-1,12)=0),Inputs!$E$54,0)</f>
        <v>0</v>
      </c>
      <c r="AC71" s="69" t="n">
        <f aca="false">IF(AND(AC$5&gt;1,MOD(AC$4-1,12)=0),Inputs!$E$54,0)</f>
        <v>0</v>
      </c>
      <c r="AD71" s="69" t="n">
        <f aca="false">IF(AND(AD$5&gt;1,MOD(AD$4-1,12)=0),Inputs!$E$54,0)</f>
        <v>0</v>
      </c>
      <c r="AE71" s="69" t="n">
        <f aca="false">IF(AND(AE$5&gt;1,MOD(AE$4-1,12)=0),Inputs!$E$54,0)</f>
        <v>0</v>
      </c>
      <c r="AF71" s="69" t="n">
        <f aca="false">IF(AND(AF$5&gt;1,MOD(AF$4-1,12)=0),Inputs!$E$54,0)</f>
        <v>0</v>
      </c>
      <c r="AG71" s="69" t="n">
        <f aca="false">IF(AND(AG$5&gt;1,MOD(AG$4-1,12)=0),Inputs!$E$54,0)</f>
        <v>0</v>
      </c>
      <c r="AH71" s="69" t="n">
        <f aca="false">IF(AND(AH$5&gt;1,MOD(AH$4-1,12)=0),Inputs!$E$54,0)</f>
        <v>0</v>
      </c>
      <c r="AI71" s="69" t="n">
        <f aca="false">IF(AND(AI$5&gt;1,MOD(AI$4-1,12)=0),Inputs!$E$54,0)</f>
        <v>0</v>
      </c>
      <c r="AJ71" s="69" t="n">
        <f aca="false">IF(AND(AJ$5&gt;1,MOD(AJ$4-1,12)=0),Inputs!$E$54,0)</f>
        <v>0</v>
      </c>
      <c r="AK71" s="69" t="n">
        <f aca="false">IF(AND(AK$5&gt;1,MOD(AK$4-1,12)=0),Inputs!$E$54,0)</f>
        <v>0</v>
      </c>
      <c r="AL71" s="69" t="n">
        <f aca="false">IF(AND(AL$5&gt;1,MOD(AL$4-1,12)=0),Inputs!$E$54,0)</f>
        <v>0</v>
      </c>
      <c r="AM71" s="69" t="n">
        <f aca="false">IF(AND(AM$5&gt;1,MOD(AM$4-1,12)=0),Inputs!$E$54,0)</f>
        <v>40000</v>
      </c>
      <c r="AN71" s="69" t="n">
        <f aca="false">IF(AND(AN$5&gt;1,MOD(AN$4-1,12)=0),Inputs!$E$54,0)</f>
        <v>0</v>
      </c>
      <c r="AO71" s="69" t="n">
        <f aca="false">IF(AND(AO$5&gt;1,MOD(AO$4-1,12)=0),Inputs!$E$54,0)</f>
        <v>0</v>
      </c>
      <c r="AP71" s="69" t="n">
        <f aca="false">IF(AND(AP$5&gt;1,MOD(AP$4-1,12)=0),Inputs!$E$54,0)</f>
        <v>0</v>
      </c>
      <c r="AQ71" s="69" t="n">
        <f aca="false">IF(AND(AQ$5&gt;1,MOD(AQ$4-1,12)=0),Inputs!$E$54,0)</f>
        <v>0</v>
      </c>
      <c r="AR71" s="69" t="n">
        <f aca="false">IF(AND(AR$5&gt;1,MOD(AR$4-1,12)=0),Inputs!$E$54,0)</f>
        <v>0</v>
      </c>
      <c r="AS71" s="69" t="n">
        <f aca="false">IF(AND(AS$5&gt;1,MOD(AS$4-1,12)=0),Inputs!$E$54,0)</f>
        <v>0</v>
      </c>
      <c r="AT71" s="69" t="n">
        <f aca="false">IF(AND(AT$5&gt;1,MOD(AT$4-1,12)=0),Inputs!$E$54,0)</f>
        <v>0</v>
      </c>
      <c r="AU71" s="69" t="n">
        <f aca="false">IF(AND(AU$5&gt;1,MOD(AU$4-1,12)=0),Inputs!$E$54,0)</f>
        <v>0</v>
      </c>
      <c r="AV71" s="69" t="n">
        <f aca="false">IF(AND(AV$5&gt;1,MOD(AV$4-1,12)=0),Inputs!$E$54,0)</f>
        <v>0</v>
      </c>
      <c r="AW71" s="69" t="n">
        <f aca="false">IF(AND(AW$5&gt;1,MOD(AW$4-1,12)=0),Inputs!$E$54,0)</f>
        <v>0</v>
      </c>
      <c r="AX71" s="69" t="n">
        <f aca="false">IF(AND(AX$5&gt;1,MOD(AX$4-1,12)=0),Inputs!$E$54,0)</f>
        <v>0</v>
      </c>
      <c r="AY71" s="69" t="n">
        <f aca="false">IF(AND(AY$5&gt;1,MOD(AY$4-1,12)=0),Inputs!$E$54,0)</f>
        <v>40000</v>
      </c>
      <c r="AZ71" s="69" t="n">
        <f aca="false">IF(AND(AZ$5&gt;1,MOD(AZ$4-1,12)=0),Inputs!$E$54,0)</f>
        <v>0</v>
      </c>
      <c r="BA71" s="69" t="n">
        <f aca="false">IF(AND(BA$5&gt;1,MOD(BA$4-1,12)=0),Inputs!$E$54,0)</f>
        <v>0</v>
      </c>
      <c r="BB71" s="69" t="n">
        <f aca="false">IF(AND(BB$5&gt;1,MOD(BB$4-1,12)=0),Inputs!$E$54,0)</f>
        <v>0</v>
      </c>
      <c r="BC71" s="69" t="n">
        <f aca="false">IF(AND(BC$5&gt;1,MOD(BC$4-1,12)=0),Inputs!$E$54,0)</f>
        <v>0</v>
      </c>
      <c r="BD71" s="69" t="n">
        <f aca="false">IF(AND(BD$5&gt;1,MOD(BD$4-1,12)=0),Inputs!$E$54,0)</f>
        <v>0</v>
      </c>
      <c r="BE71" s="69" t="n">
        <f aca="false">IF(AND(BE$5&gt;1,MOD(BE$4-1,12)=0),Inputs!$E$54,0)</f>
        <v>0</v>
      </c>
      <c r="BF71" s="69" t="n">
        <f aca="false">IF(AND(BF$5&gt;1,MOD(BF$4-1,12)=0),Inputs!$E$54,0)</f>
        <v>0</v>
      </c>
      <c r="BG71" s="69" t="n">
        <f aca="false">IF(AND(BG$5&gt;1,MOD(BG$4-1,12)=0),Inputs!$E$54,0)</f>
        <v>0</v>
      </c>
      <c r="BH71" s="69" t="n">
        <f aca="false">IF(AND(BH$5&gt;1,MOD(BH$4-1,12)=0),Inputs!$E$54,0)</f>
        <v>0</v>
      </c>
      <c r="BI71" s="69" t="n">
        <f aca="false">IF(AND(BI$5&gt;1,MOD(BI$4-1,12)=0),Inputs!$E$54,0)</f>
        <v>0</v>
      </c>
      <c r="BJ71" s="69" t="n">
        <f aca="false">IF(AND(BJ$5&gt;1,MOD(BJ$4-1,12)=0),Inputs!$E$54,0)</f>
        <v>0</v>
      </c>
    </row>
    <row r="72" customFormat="false" ht="15" hidden="false" customHeight="false" outlineLevel="0" collapsed="false">
      <c r="A72" s="4" t="s">
        <v>84</v>
      </c>
      <c r="C72" s="75" t="n">
        <f aca="false">C67+C68+C69+C70+C71</f>
        <v>4100000</v>
      </c>
      <c r="D72" s="75" t="n">
        <f aca="false">D67+D68+D69+D70+D71</f>
        <v>0</v>
      </c>
      <c r="E72" s="75" t="n">
        <f aca="false">E67+E68+E69+E70+E71</f>
        <v>0</v>
      </c>
      <c r="F72" s="75" t="n">
        <f aca="false">F67+F68+F69+F70+F71</f>
        <v>0</v>
      </c>
      <c r="G72" s="75" t="n">
        <f aca="false">G67+G68+G69+G70+G71</f>
        <v>0</v>
      </c>
      <c r="H72" s="75" t="n">
        <f aca="false">H67+H68+H69+H70+H71</f>
        <v>0</v>
      </c>
      <c r="I72" s="75" t="n">
        <f aca="false">I67+I68+I69+I70+I71</f>
        <v>0</v>
      </c>
      <c r="J72" s="75" t="n">
        <f aca="false">J67+J68+J69+J70+J71</f>
        <v>0</v>
      </c>
      <c r="K72" s="75" t="n">
        <f aca="false">K67+K68+K69+K70+K71</f>
        <v>0</v>
      </c>
      <c r="L72" s="75" t="n">
        <f aca="false">L67+L68+L69+L70+L71</f>
        <v>0</v>
      </c>
      <c r="M72" s="75" t="n">
        <f aca="false">M67+M68+M69+M70+M71</f>
        <v>0</v>
      </c>
      <c r="N72" s="75" t="n">
        <f aca="false">N67+N68+N69+N70+N71</f>
        <v>0</v>
      </c>
      <c r="O72" s="75" t="n">
        <f aca="false">O67+O68+O69+O70+O71</f>
        <v>40000</v>
      </c>
      <c r="P72" s="75" t="n">
        <f aca="false">P67+P68+P69+P70+P71</f>
        <v>0</v>
      </c>
      <c r="Q72" s="75" t="n">
        <f aca="false">Q67+Q68+Q69+Q70+Q71</f>
        <v>0</v>
      </c>
      <c r="R72" s="75" t="n">
        <f aca="false">R67+R68+R69+R70+R71</f>
        <v>0</v>
      </c>
      <c r="S72" s="75" t="n">
        <f aca="false">S67+S68+S69+S70+S71</f>
        <v>0</v>
      </c>
      <c r="T72" s="75" t="n">
        <f aca="false">T67+T68+T69+T70+T71</f>
        <v>0</v>
      </c>
      <c r="U72" s="75" t="n">
        <f aca="false">U67+U68+U69+U70+U71</f>
        <v>0</v>
      </c>
      <c r="V72" s="75" t="n">
        <f aca="false">V67+V68+V69+V70+V71</f>
        <v>0</v>
      </c>
      <c r="W72" s="75" t="n">
        <f aca="false">W67+W68+W69+W70+W71</f>
        <v>0</v>
      </c>
      <c r="X72" s="75" t="n">
        <f aca="false">X67+X68+X69+X70+X71</f>
        <v>0</v>
      </c>
      <c r="Y72" s="75" t="n">
        <f aca="false">Y67+Y68+Y69+Y70+Y71</f>
        <v>0</v>
      </c>
      <c r="Z72" s="75" t="n">
        <f aca="false">Z67+Z68+Z69+Z70+Z71</f>
        <v>0</v>
      </c>
      <c r="AA72" s="75" t="n">
        <f aca="false">AA67+AA68+AA69+AA70+AA71</f>
        <v>40000</v>
      </c>
      <c r="AB72" s="75" t="n">
        <f aca="false">AB67+AB68+AB69+AB70+AB71</f>
        <v>0</v>
      </c>
      <c r="AC72" s="75" t="n">
        <f aca="false">AC67+AC68+AC69+AC70+AC71</f>
        <v>0</v>
      </c>
      <c r="AD72" s="75" t="n">
        <f aca="false">AD67+AD68+AD69+AD70+AD71</f>
        <v>0</v>
      </c>
      <c r="AE72" s="75" t="n">
        <f aca="false">AE67+AE68+AE69+AE70+AE71</f>
        <v>0</v>
      </c>
      <c r="AF72" s="75" t="n">
        <f aca="false">AF67+AF68+AF69+AF70+AF71</f>
        <v>0</v>
      </c>
      <c r="AG72" s="75" t="n">
        <f aca="false">AG67+AG68+AG69+AG70+AG71</f>
        <v>0</v>
      </c>
      <c r="AH72" s="75" t="n">
        <f aca="false">AH67+AH68+AH69+AH70+AH71</f>
        <v>0</v>
      </c>
      <c r="AI72" s="75" t="n">
        <f aca="false">AI67+AI68+AI69+AI70+AI71</f>
        <v>0</v>
      </c>
      <c r="AJ72" s="75" t="n">
        <f aca="false">AJ67+AJ68+AJ69+AJ70+AJ71</f>
        <v>0</v>
      </c>
      <c r="AK72" s="75" t="n">
        <f aca="false">AK67+AK68+AK69+AK70+AK71</f>
        <v>0</v>
      </c>
      <c r="AL72" s="75" t="n">
        <f aca="false">AL67+AL68+AL69+AL70+AL71</f>
        <v>0</v>
      </c>
      <c r="AM72" s="75" t="n">
        <f aca="false">AM67+AM68+AM69+AM70+AM71</f>
        <v>40000</v>
      </c>
      <c r="AN72" s="75" t="n">
        <f aca="false">AN67+AN68+AN69+AN70+AN71</f>
        <v>0</v>
      </c>
      <c r="AO72" s="75" t="n">
        <f aca="false">AO67+AO68+AO69+AO70+AO71</f>
        <v>0</v>
      </c>
      <c r="AP72" s="75" t="n">
        <f aca="false">AP67+AP68+AP69+AP70+AP71</f>
        <v>0</v>
      </c>
      <c r="AQ72" s="75" t="n">
        <f aca="false">AQ67+AQ68+AQ69+AQ70+AQ71</f>
        <v>0</v>
      </c>
      <c r="AR72" s="75" t="n">
        <f aca="false">AR67+AR68+AR69+AR70+AR71</f>
        <v>0</v>
      </c>
      <c r="AS72" s="75" t="n">
        <f aca="false">AS67+AS68+AS69+AS70+AS71</f>
        <v>0</v>
      </c>
      <c r="AT72" s="75" t="n">
        <f aca="false">AT67+AT68+AT69+AT70+AT71</f>
        <v>0</v>
      </c>
      <c r="AU72" s="75" t="n">
        <f aca="false">AU67+AU68+AU69+AU70+AU71</f>
        <v>0</v>
      </c>
      <c r="AV72" s="75" t="n">
        <f aca="false">AV67+AV68+AV69+AV70+AV71</f>
        <v>0</v>
      </c>
      <c r="AW72" s="75" t="n">
        <f aca="false">AW67+AW68+AW69+AW70+AW71</f>
        <v>0</v>
      </c>
      <c r="AX72" s="75" t="n">
        <f aca="false">AX67+AX68+AX69+AX70+AX71</f>
        <v>0</v>
      </c>
      <c r="AY72" s="75" t="n">
        <f aca="false">AY67+AY68+AY69+AY70+AY71</f>
        <v>40000</v>
      </c>
      <c r="AZ72" s="75" t="n">
        <f aca="false">AZ67+AZ68+AZ69+AZ70+AZ71</f>
        <v>0</v>
      </c>
      <c r="BA72" s="75" t="n">
        <f aca="false">BA67+BA68+BA69+BA70+BA71</f>
        <v>0</v>
      </c>
      <c r="BB72" s="75" t="n">
        <f aca="false">BB67+BB68+BB69+BB70+BB71</f>
        <v>0</v>
      </c>
      <c r="BC72" s="75" t="n">
        <f aca="false">BC67+BC68+BC69+BC70+BC71</f>
        <v>0</v>
      </c>
      <c r="BD72" s="75" t="n">
        <f aca="false">BD67+BD68+BD69+BD70+BD71</f>
        <v>0</v>
      </c>
      <c r="BE72" s="75" t="n">
        <f aca="false">BE67+BE68+BE69+BE70+BE71</f>
        <v>0</v>
      </c>
      <c r="BF72" s="75" t="n">
        <f aca="false">BF67+BF68+BF69+BF70+BF71</f>
        <v>0</v>
      </c>
      <c r="BG72" s="75" t="n">
        <f aca="false">BG67+BG68+BG69+BG70+BG71</f>
        <v>0</v>
      </c>
      <c r="BH72" s="75" t="n">
        <f aca="false">BH67+BH68+BH69+BH70+BH71</f>
        <v>0</v>
      </c>
      <c r="BI72" s="75" t="n">
        <f aca="false">BI67+BI68+BI69+BI70+BI71</f>
        <v>0</v>
      </c>
      <c r="BJ72" s="75" t="n">
        <f aca="false">BJ67+BJ68+BJ69+BJ70+BJ71</f>
        <v>0</v>
      </c>
    </row>
    <row r="73" customFormat="false" ht="15" hidden="false" customHeight="false" outlineLevel="0" collapsed="false">
      <c r="A73" s="6" t="s">
        <v>453</v>
      </c>
      <c r="C73" s="69" t="n">
        <f aca="false">C72</f>
        <v>4100000</v>
      </c>
      <c r="D73" s="69" t="n">
        <f aca="false">C73+D72</f>
        <v>4100000</v>
      </c>
      <c r="E73" s="69" t="n">
        <f aca="false">D73+E72</f>
        <v>4100000</v>
      </c>
      <c r="F73" s="69" t="n">
        <f aca="false">E73+F72</f>
        <v>4100000</v>
      </c>
      <c r="G73" s="69" t="n">
        <f aca="false">F73+G72</f>
        <v>4100000</v>
      </c>
      <c r="H73" s="69" t="n">
        <f aca="false">G73+H72</f>
        <v>4100000</v>
      </c>
      <c r="I73" s="69" t="n">
        <f aca="false">H73+I72</f>
        <v>4100000</v>
      </c>
      <c r="J73" s="69" t="n">
        <f aca="false">I73+J72</f>
        <v>4100000</v>
      </c>
      <c r="K73" s="69" t="n">
        <f aca="false">J73+K72</f>
        <v>4100000</v>
      </c>
      <c r="L73" s="69" t="n">
        <f aca="false">K73+L72</f>
        <v>4100000</v>
      </c>
      <c r="M73" s="69" t="n">
        <f aca="false">L73+M72</f>
        <v>4100000</v>
      </c>
      <c r="N73" s="69" t="n">
        <f aca="false">M73+N72</f>
        <v>4100000</v>
      </c>
      <c r="O73" s="69" t="n">
        <f aca="false">N73+O72</f>
        <v>4140000</v>
      </c>
      <c r="P73" s="69" t="n">
        <f aca="false">O73+P72</f>
        <v>4140000</v>
      </c>
      <c r="Q73" s="69" t="n">
        <f aca="false">P73+Q72</f>
        <v>4140000</v>
      </c>
      <c r="R73" s="69" t="n">
        <f aca="false">Q73+R72</f>
        <v>4140000</v>
      </c>
      <c r="S73" s="69" t="n">
        <f aca="false">R73+S72</f>
        <v>4140000</v>
      </c>
      <c r="T73" s="69" t="n">
        <f aca="false">S73+T72</f>
        <v>4140000</v>
      </c>
      <c r="U73" s="69" t="n">
        <f aca="false">T73+U72</f>
        <v>4140000</v>
      </c>
      <c r="V73" s="69" t="n">
        <f aca="false">U73+V72</f>
        <v>4140000</v>
      </c>
      <c r="W73" s="69" t="n">
        <f aca="false">V73+W72</f>
        <v>4140000</v>
      </c>
      <c r="X73" s="69" t="n">
        <f aca="false">W73+X72</f>
        <v>4140000</v>
      </c>
      <c r="Y73" s="69" t="n">
        <f aca="false">X73+Y72</f>
        <v>4140000</v>
      </c>
      <c r="Z73" s="69" t="n">
        <f aca="false">Y73+Z72</f>
        <v>4140000</v>
      </c>
      <c r="AA73" s="69" t="n">
        <f aca="false">Z73+AA72</f>
        <v>4180000</v>
      </c>
      <c r="AB73" s="69" t="n">
        <f aca="false">AA73+AB72</f>
        <v>4180000</v>
      </c>
      <c r="AC73" s="69" t="n">
        <f aca="false">AB73+AC72</f>
        <v>4180000</v>
      </c>
      <c r="AD73" s="69" t="n">
        <f aca="false">AC73+AD72</f>
        <v>4180000</v>
      </c>
      <c r="AE73" s="69" t="n">
        <f aca="false">AD73+AE72</f>
        <v>4180000</v>
      </c>
      <c r="AF73" s="69" t="n">
        <f aca="false">AE73+AF72</f>
        <v>4180000</v>
      </c>
      <c r="AG73" s="69" t="n">
        <f aca="false">AF73+AG72</f>
        <v>4180000</v>
      </c>
      <c r="AH73" s="69" t="n">
        <f aca="false">AG73+AH72</f>
        <v>4180000</v>
      </c>
      <c r="AI73" s="69" t="n">
        <f aca="false">AH73+AI72</f>
        <v>4180000</v>
      </c>
      <c r="AJ73" s="69" t="n">
        <f aca="false">AI73+AJ72</f>
        <v>4180000</v>
      </c>
      <c r="AK73" s="69" t="n">
        <f aca="false">AJ73+AK72</f>
        <v>4180000</v>
      </c>
      <c r="AL73" s="69" t="n">
        <f aca="false">AK73+AL72</f>
        <v>4180000</v>
      </c>
      <c r="AM73" s="69" t="n">
        <f aca="false">AL73+AM72</f>
        <v>4220000</v>
      </c>
      <c r="AN73" s="69" t="n">
        <f aca="false">AM73+AN72</f>
        <v>4220000</v>
      </c>
      <c r="AO73" s="69" t="n">
        <f aca="false">AN73+AO72</f>
        <v>4220000</v>
      </c>
      <c r="AP73" s="69" t="n">
        <f aca="false">AO73+AP72</f>
        <v>4220000</v>
      </c>
      <c r="AQ73" s="69" t="n">
        <f aca="false">AP73+AQ72</f>
        <v>4220000</v>
      </c>
      <c r="AR73" s="69" t="n">
        <f aca="false">AQ73+AR72</f>
        <v>4220000</v>
      </c>
      <c r="AS73" s="69" t="n">
        <f aca="false">AR73+AS72</f>
        <v>4220000</v>
      </c>
      <c r="AT73" s="69" t="n">
        <f aca="false">AS73+AT72</f>
        <v>4220000</v>
      </c>
      <c r="AU73" s="69" t="n">
        <f aca="false">AT73+AU72</f>
        <v>4220000</v>
      </c>
      <c r="AV73" s="69" t="n">
        <f aca="false">AU73+AV72</f>
        <v>4220000</v>
      </c>
      <c r="AW73" s="69" t="n">
        <f aca="false">AV73+AW72</f>
        <v>4220000</v>
      </c>
      <c r="AX73" s="69" t="n">
        <f aca="false">AW73+AX72</f>
        <v>4220000</v>
      </c>
      <c r="AY73" s="69" t="n">
        <f aca="false">AX73+AY72</f>
        <v>4260000</v>
      </c>
      <c r="AZ73" s="69" t="n">
        <f aca="false">AY73+AZ72</f>
        <v>4260000</v>
      </c>
      <c r="BA73" s="69" t="n">
        <f aca="false">AZ73+BA72</f>
        <v>4260000</v>
      </c>
      <c r="BB73" s="69" t="n">
        <f aca="false">BA73+BB72</f>
        <v>4260000</v>
      </c>
      <c r="BC73" s="69" t="n">
        <f aca="false">BB73+BC72</f>
        <v>4260000</v>
      </c>
      <c r="BD73" s="69" t="n">
        <f aca="false">BC73+BD72</f>
        <v>4260000</v>
      </c>
      <c r="BE73" s="69" t="n">
        <f aca="false">BD73+BE72</f>
        <v>4260000</v>
      </c>
      <c r="BF73" s="69" t="n">
        <f aca="false">BE73+BF72</f>
        <v>4260000</v>
      </c>
      <c r="BG73" s="69" t="n">
        <f aca="false">BF73+BG72</f>
        <v>4260000</v>
      </c>
      <c r="BH73" s="69" t="n">
        <f aca="false">BG73+BH72</f>
        <v>4260000</v>
      </c>
      <c r="BI73" s="69" t="n">
        <f aca="false">BH73+BI72</f>
        <v>4260000</v>
      </c>
      <c r="BJ73" s="69" t="n">
        <f aca="false">BI73+BJ72</f>
        <v>4260000</v>
      </c>
    </row>
    <row r="74" customFormat="false" ht="15" hidden="false" customHeight="false" outlineLevel="0" collapsed="false">
      <c r="A74" s="6" t="s">
        <v>454</v>
      </c>
      <c r="C74" s="69" t="n">
        <f aca="false">C70</f>
        <v>0</v>
      </c>
      <c r="D74" s="69" t="n">
        <f aca="false">C74+D70</f>
        <v>0</v>
      </c>
      <c r="E74" s="69" t="n">
        <f aca="false">D74+E70</f>
        <v>0</v>
      </c>
      <c r="F74" s="69" t="n">
        <f aca="false">E74+F70</f>
        <v>0</v>
      </c>
      <c r="G74" s="69" t="n">
        <f aca="false">F74+G70</f>
        <v>0</v>
      </c>
      <c r="H74" s="69" t="n">
        <f aca="false">G74+H70</f>
        <v>0</v>
      </c>
      <c r="I74" s="69" t="n">
        <f aca="false">H74+I70</f>
        <v>0</v>
      </c>
      <c r="J74" s="69" t="n">
        <f aca="false">I74+J70</f>
        <v>0</v>
      </c>
      <c r="K74" s="69" t="n">
        <f aca="false">J74+K70</f>
        <v>0</v>
      </c>
      <c r="L74" s="69" t="n">
        <f aca="false">K74+L70</f>
        <v>0</v>
      </c>
      <c r="M74" s="69" t="n">
        <f aca="false">L74+M70</f>
        <v>0</v>
      </c>
      <c r="N74" s="69" t="n">
        <f aca="false">M74+N70</f>
        <v>0</v>
      </c>
      <c r="O74" s="69" t="n">
        <f aca="false">N74+O70</f>
        <v>0</v>
      </c>
      <c r="P74" s="69" t="n">
        <f aca="false">O74+P70</f>
        <v>0</v>
      </c>
      <c r="Q74" s="69" t="n">
        <f aca="false">P74+Q70</f>
        <v>0</v>
      </c>
      <c r="R74" s="69" t="n">
        <f aca="false">Q74+R70</f>
        <v>0</v>
      </c>
      <c r="S74" s="69" t="n">
        <f aca="false">R74+S70</f>
        <v>0</v>
      </c>
      <c r="T74" s="69" t="n">
        <f aca="false">S74+T70</f>
        <v>0</v>
      </c>
      <c r="U74" s="69" t="n">
        <f aca="false">T74+U70</f>
        <v>0</v>
      </c>
      <c r="V74" s="69" t="n">
        <f aca="false">U74+V70</f>
        <v>0</v>
      </c>
      <c r="W74" s="69" t="n">
        <f aca="false">V74+W70</f>
        <v>0</v>
      </c>
      <c r="X74" s="69" t="n">
        <f aca="false">W74+X70</f>
        <v>0</v>
      </c>
      <c r="Y74" s="69" t="n">
        <f aca="false">X74+Y70</f>
        <v>0</v>
      </c>
      <c r="Z74" s="69" t="n">
        <f aca="false">Y74+Z70</f>
        <v>0</v>
      </c>
      <c r="AA74" s="69" t="n">
        <f aca="false">Z74+AA70</f>
        <v>0</v>
      </c>
      <c r="AB74" s="69" t="n">
        <f aca="false">AA74+AB70</f>
        <v>0</v>
      </c>
      <c r="AC74" s="69" t="n">
        <f aca="false">AB74+AC70</f>
        <v>0</v>
      </c>
      <c r="AD74" s="69" t="n">
        <f aca="false">AC74+AD70</f>
        <v>0</v>
      </c>
      <c r="AE74" s="69" t="n">
        <f aca="false">AD74+AE70</f>
        <v>0</v>
      </c>
      <c r="AF74" s="69" t="n">
        <f aca="false">AE74+AF70</f>
        <v>0</v>
      </c>
      <c r="AG74" s="69" t="n">
        <f aca="false">AF74+AG70</f>
        <v>0</v>
      </c>
      <c r="AH74" s="69" t="n">
        <f aca="false">AG74+AH70</f>
        <v>0</v>
      </c>
      <c r="AI74" s="69" t="n">
        <f aca="false">AH74+AI70</f>
        <v>0</v>
      </c>
      <c r="AJ74" s="69" t="n">
        <f aca="false">AI74+AJ70</f>
        <v>0</v>
      </c>
      <c r="AK74" s="69" t="n">
        <f aca="false">AJ74+AK70</f>
        <v>0</v>
      </c>
      <c r="AL74" s="69" t="n">
        <f aca="false">AK74+AL70</f>
        <v>0</v>
      </c>
      <c r="AM74" s="69" t="n">
        <f aca="false">AL74+AM70</f>
        <v>0</v>
      </c>
      <c r="AN74" s="69" t="n">
        <f aca="false">AM74+AN70</f>
        <v>0</v>
      </c>
      <c r="AO74" s="69" t="n">
        <f aca="false">AN74+AO70</f>
        <v>0</v>
      </c>
      <c r="AP74" s="69" t="n">
        <f aca="false">AO74+AP70</f>
        <v>0</v>
      </c>
      <c r="AQ74" s="69" t="n">
        <f aca="false">AP74+AQ70</f>
        <v>0</v>
      </c>
      <c r="AR74" s="69" t="n">
        <f aca="false">AQ74+AR70</f>
        <v>0</v>
      </c>
      <c r="AS74" s="69" t="n">
        <f aca="false">AR74+AS70</f>
        <v>0</v>
      </c>
      <c r="AT74" s="69" t="n">
        <f aca="false">AS74+AT70</f>
        <v>0</v>
      </c>
      <c r="AU74" s="69" t="n">
        <f aca="false">AT74+AU70</f>
        <v>0</v>
      </c>
      <c r="AV74" s="69" t="n">
        <f aca="false">AU74+AV70</f>
        <v>0</v>
      </c>
      <c r="AW74" s="69" t="n">
        <f aca="false">AV74+AW70</f>
        <v>0</v>
      </c>
      <c r="AX74" s="69" t="n">
        <f aca="false">AW74+AX70</f>
        <v>0</v>
      </c>
      <c r="AY74" s="69" t="n">
        <f aca="false">AX74+AY70</f>
        <v>0</v>
      </c>
      <c r="AZ74" s="69" t="n">
        <f aca="false">AY74+AZ70</f>
        <v>0</v>
      </c>
      <c r="BA74" s="69" t="n">
        <f aca="false">AZ74+BA70</f>
        <v>0</v>
      </c>
      <c r="BB74" s="69" t="n">
        <f aca="false">BA74+BB70</f>
        <v>0</v>
      </c>
      <c r="BC74" s="69" t="n">
        <f aca="false">BB74+BC70</f>
        <v>0</v>
      </c>
      <c r="BD74" s="69" t="n">
        <f aca="false">BC74+BD70</f>
        <v>0</v>
      </c>
      <c r="BE74" s="69" t="n">
        <f aca="false">BD74+BE70</f>
        <v>0</v>
      </c>
      <c r="BF74" s="69" t="n">
        <f aca="false">BE74+BF70</f>
        <v>0</v>
      </c>
      <c r="BG74" s="69" t="n">
        <f aca="false">BF74+BG70</f>
        <v>0</v>
      </c>
      <c r="BH74" s="69" t="n">
        <f aca="false">BG74+BH70</f>
        <v>0</v>
      </c>
      <c r="BI74" s="69" t="n">
        <f aca="false">BH74+BI70</f>
        <v>0</v>
      </c>
      <c r="BJ74" s="69" t="n">
        <f aca="false">BI74+BJ70</f>
        <v>0</v>
      </c>
    </row>
    <row r="75" customFormat="false" ht="15" hidden="false" customHeight="false" outlineLevel="0" collapsed="false">
      <c r="A75" s="6" t="s">
        <v>78</v>
      </c>
      <c r="C75" s="69" t="n">
        <f aca="false">-MIN((C73-C74)/MAX(1,Inputs!$E$80*12),C72-C74)</f>
        <v>-28472.2222222222</v>
      </c>
      <c r="D75" s="69" t="n">
        <f aca="false">-MIN((D73-D74)/MAX(1,Inputs!$E$80*12),C77+D72-D74)</f>
        <v>-28472.2222222222</v>
      </c>
      <c r="E75" s="69" t="n">
        <f aca="false">-MIN((E73-E74)/MAX(1,Inputs!$E$80*12),D77+E72-E74)</f>
        <v>-28472.2222222222</v>
      </c>
      <c r="F75" s="69" t="n">
        <f aca="false">-MIN((F73-F74)/MAX(1,Inputs!$E$80*12),E77+F72-F74)</f>
        <v>-28472.2222222222</v>
      </c>
      <c r="G75" s="69" t="n">
        <f aca="false">-MIN((G73-G74)/MAX(1,Inputs!$E$80*12),F77+G72-G74)</f>
        <v>-28472.2222222222</v>
      </c>
      <c r="H75" s="69" t="n">
        <f aca="false">-MIN((H73-H74)/MAX(1,Inputs!$E$80*12),G77+H72-H74)</f>
        <v>-28472.2222222222</v>
      </c>
      <c r="I75" s="69" t="n">
        <f aca="false">-MIN((I73-I74)/MAX(1,Inputs!$E$80*12),H77+I72-I74)</f>
        <v>-28472.2222222222</v>
      </c>
      <c r="J75" s="69" t="n">
        <f aca="false">-MIN((J73-J74)/MAX(1,Inputs!$E$80*12),I77+J72-J74)</f>
        <v>-28472.2222222222</v>
      </c>
      <c r="K75" s="69" t="n">
        <f aca="false">-MIN((K73-K74)/MAX(1,Inputs!$E$80*12),J77+K72-K74)</f>
        <v>-28472.2222222222</v>
      </c>
      <c r="L75" s="69" t="n">
        <f aca="false">-MIN((L73-L74)/MAX(1,Inputs!$E$80*12),K77+L72-L74)</f>
        <v>-28472.2222222222</v>
      </c>
      <c r="M75" s="69" t="n">
        <f aca="false">-MIN((M73-M74)/MAX(1,Inputs!$E$80*12),L77+M72-M74)</f>
        <v>-28472.2222222222</v>
      </c>
      <c r="N75" s="69" t="n">
        <f aca="false">-MIN((N73-N74)/MAX(1,Inputs!$E$80*12),M77+N72-N74)</f>
        <v>-28472.2222222222</v>
      </c>
      <c r="O75" s="69" t="n">
        <f aca="false">-MIN((O73-O74)/MAX(1,Inputs!$E$80*12),N77+O72-O74)</f>
        <v>-28750</v>
      </c>
      <c r="P75" s="69" t="n">
        <f aca="false">-MIN((P73-P74)/MAX(1,Inputs!$E$80*12),O77+P72-P74)</f>
        <v>-28750</v>
      </c>
      <c r="Q75" s="69" t="n">
        <f aca="false">-MIN((Q73-Q74)/MAX(1,Inputs!$E$80*12),P77+Q72-Q74)</f>
        <v>-28750</v>
      </c>
      <c r="R75" s="69" t="n">
        <f aca="false">-MIN((R73-R74)/MAX(1,Inputs!$E$80*12),Q77+R72-R74)</f>
        <v>-28750</v>
      </c>
      <c r="S75" s="69" t="n">
        <f aca="false">-MIN((S73-S74)/MAX(1,Inputs!$E$80*12),R77+S72-S74)</f>
        <v>-28750</v>
      </c>
      <c r="T75" s="69" t="n">
        <f aca="false">-MIN((T73-T74)/MAX(1,Inputs!$E$80*12),S77+T72-T74)</f>
        <v>-28750</v>
      </c>
      <c r="U75" s="69" t="n">
        <f aca="false">-MIN((U73-U74)/MAX(1,Inputs!$E$80*12),T77+U72-U74)</f>
        <v>-28750</v>
      </c>
      <c r="V75" s="69" t="n">
        <f aca="false">-MIN((V73-V74)/MAX(1,Inputs!$E$80*12),U77+V72-V74)</f>
        <v>-28750</v>
      </c>
      <c r="W75" s="69" t="n">
        <f aca="false">-MIN((W73-W74)/MAX(1,Inputs!$E$80*12),V77+W72-W74)</f>
        <v>-28750</v>
      </c>
      <c r="X75" s="69" t="n">
        <f aca="false">-MIN((X73-X74)/MAX(1,Inputs!$E$80*12),W77+X72-X74)</f>
        <v>-28750</v>
      </c>
      <c r="Y75" s="69" t="n">
        <f aca="false">-MIN((Y73-Y74)/MAX(1,Inputs!$E$80*12),X77+Y72-Y74)</f>
        <v>-28750</v>
      </c>
      <c r="Z75" s="69" t="n">
        <f aca="false">-MIN((Z73-Z74)/MAX(1,Inputs!$E$80*12),Y77+Z72-Z74)</f>
        <v>-28750</v>
      </c>
      <c r="AA75" s="69" t="n">
        <f aca="false">-MIN((AA73-AA74)/MAX(1,Inputs!$E$80*12),Z77+AA72-AA74)</f>
        <v>-29027.7777777778</v>
      </c>
      <c r="AB75" s="69" t="n">
        <f aca="false">-MIN((AB73-AB74)/MAX(1,Inputs!$E$80*12),AA77+AB72-AB74)</f>
        <v>-29027.7777777778</v>
      </c>
      <c r="AC75" s="69" t="n">
        <f aca="false">-MIN((AC73-AC74)/MAX(1,Inputs!$E$80*12),AB77+AC72-AC74)</f>
        <v>-29027.7777777778</v>
      </c>
      <c r="AD75" s="69" t="n">
        <f aca="false">-MIN((AD73-AD74)/MAX(1,Inputs!$E$80*12),AC77+AD72-AD74)</f>
        <v>-29027.7777777778</v>
      </c>
      <c r="AE75" s="69" t="n">
        <f aca="false">-MIN((AE73-AE74)/MAX(1,Inputs!$E$80*12),AD77+AE72-AE74)</f>
        <v>-29027.7777777778</v>
      </c>
      <c r="AF75" s="69" t="n">
        <f aca="false">-MIN((AF73-AF74)/MAX(1,Inputs!$E$80*12),AE77+AF72-AF74)</f>
        <v>-29027.7777777778</v>
      </c>
      <c r="AG75" s="69" t="n">
        <f aca="false">-MIN((AG73-AG74)/MAX(1,Inputs!$E$80*12),AF77+AG72-AG74)</f>
        <v>-29027.7777777778</v>
      </c>
      <c r="AH75" s="69" t="n">
        <f aca="false">-MIN((AH73-AH74)/MAX(1,Inputs!$E$80*12),AG77+AH72-AH74)</f>
        <v>-29027.7777777778</v>
      </c>
      <c r="AI75" s="69" t="n">
        <f aca="false">-MIN((AI73-AI74)/MAX(1,Inputs!$E$80*12),AH77+AI72-AI74)</f>
        <v>-29027.7777777778</v>
      </c>
      <c r="AJ75" s="69" t="n">
        <f aca="false">-MIN((AJ73-AJ74)/MAX(1,Inputs!$E$80*12),AI77+AJ72-AJ74)</f>
        <v>-29027.7777777778</v>
      </c>
      <c r="AK75" s="69" t="n">
        <f aca="false">-MIN((AK73-AK74)/MAX(1,Inputs!$E$80*12),AJ77+AK72-AK74)</f>
        <v>-29027.7777777778</v>
      </c>
      <c r="AL75" s="69" t="n">
        <f aca="false">-MIN((AL73-AL74)/MAX(1,Inputs!$E$80*12),AK77+AL72-AL74)</f>
        <v>-29027.7777777778</v>
      </c>
      <c r="AM75" s="69" t="n">
        <f aca="false">-MIN((AM73-AM74)/MAX(1,Inputs!$E$80*12),AL77+AM72-AM74)</f>
        <v>-29305.5555555556</v>
      </c>
      <c r="AN75" s="69" t="n">
        <f aca="false">-MIN((AN73-AN74)/MAX(1,Inputs!$E$80*12),AM77+AN72-AN74)</f>
        <v>-29305.5555555556</v>
      </c>
      <c r="AO75" s="69" t="n">
        <f aca="false">-MIN((AO73-AO74)/MAX(1,Inputs!$E$80*12),AN77+AO72-AO74)</f>
        <v>-29305.5555555556</v>
      </c>
      <c r="AP75" s="69" t="n">
        <f aca="false">-MIN((AP73-AP74)/MAX(1,Inputs!$E$80*12),AO77+AP72-AP74)</f>
        <v>-29305.5555555556</v>
      </c>
      <c r="AQ75" s="69" t="n">
        <f aca="false">-MIN((AQ73-AQ74)/MAX(1,Inputs!$E$80*12),AP77+AQ72-AQ74)</f>
        <v>-29305.5555555556</v>
      </c>
      <c r="AR75" s="69" t="n">
        <f aca="false">-MIN((AR73-AR74)/MAX(1,Inputs!$E$80*12),AQ77+AR72-AR74)</f>
        <v>-29305.5555555556</v>
      </c>
      <c r="AS75" s="69" t="n">
        <f aca="false">-MIN((AS73-AS74)/MAX(1,Inputs!$E$80*12),AR77+AS72-AS74)</f>
        <v>-29305.5555555556</v>
      </c>
      <c r="AT75" s="69" t="n">
        <f aca="false">-MIN((AT73-AT74)/MAX(1,Inputs!$E$80*12),AS77+AT72-AT74)</f>
        <v>-29305.5555555556</v>
      </c>
      <c r="AU75" s="69" t="n">
        <f aca="false">-MIN((AU73-AU74)/MAX(1,Inputs!$E$80*12),AT77+AU72-AU74)</f>
        <v>-29305.5555555556</v>
      </c>
      <c r="AV75" s="69" t="n">
        <f aca="false">-MIN((AV73-AV74)/MAX(1,Inputs!$E$80*12),AU77+AV72-AV74)</f>
        <v>-29305.5555555556</v>
      </c>
      <c r="AW75" s="69" t="n">
        <f aca="false">-MIN((AW73-AW74)/MAX(1,Inputs!$E$80*12),AV77+AW72-AW74)</f>
        <v>-29305.5555555556</v>
      </c>
      <c r="AX75" s="69" t="n">
        <f aca="false">-MIN((AX73-AX74)/MAX(1,Inputs!$E$80*12),AW77+AX72-AX74)</f>
        <v>-29305.5555555556</v>
      </c>
      <c r="AY75" s="69" t="n">
        <f aca="false">-MIN((AY73-AY74)/MAX(1,Inputs!$E$80*12),AX77+AY72-AY74)</f>
        <v>-29583.3333333333</v>
      </c>
      <c r="AZ75" s="69" t="n">
        <f aca="false">-MIN((AZ73-AZ74)/MAX(1,Inputs!$E$80*12),AY77+AZ72-AZ74)</f>
        <v>-29583.3333333333</v>
      </c>
      <c r="BA75" s="69" t="n">
        <f aca="false">-MIN((BA73-BA74)/MAX(1,Inputs!$E$80*12),AZ77+BA72-BA74)</f>
        <v>-29583.3333333333</v>
      </c>
      <c r="BB75" s="69" t="n">
        <f aca="false">-MIN((BB73-BB74)/MAX(1,Inputs!$E$80*12),BA77+BB72-BB74)</f>
        <v>-29583.3333333333</v>
      </c>
      <c r="BC75" s="69" t="n">
        <f aca="false">-MIN((BC73-BC74)/MAX(1,Inputs!$E$80*12),BB77+BC72-BC74)</f>
        <v>-29583.3333333333</v>
      </c>
      <c r="BD75" s="69" t="n">
        <f aca="false">-MIN((BD73-BD74)/MAX(1,Inputs!$E$80*12),BC77+BD72-BD74)</f>
        <v>-29583.3333333333</v>
      </c>
      <c r="BE75" s="69" t="n">
        <f aca="false">-MIN((BE73-BE74)/MAX(1,Inputs!$E$80*12),BD77+BE72-BE74)</f>
        <v>-29583.3333333333</v>
      </c>
      <c r="BF75" s="69" t="n">
        <f aca="false">-MIN((BF73-BF74)/MAX(1,Inputs!$E$80*12),BE77+BF72-BF74)</f>
        <v>-29583.3333333333</v>
      </c>
      <c r="BG75" s="69" t="n">
        <f aca="false">-MIN((BG73-BG74)/MAX(1,Inputs!$E$80*12),BF77+BG72-BG74)</f>
        <v>-29583.3333333333</v>
      </c>
      <c r="BH75" s="69" t="n">
        <f aca="false">-MIN((BH73-BH74)/MAX(1,Inputs!$E$80*12),BG77+BH72-BH74)</f>
        <v>-29583.3333333333</v>
      </c>
      <c r="BI75" s="69" t="n">
        <f aca="false">-MIN((BI73-BI74)/MAX(1,Inputs!$E$80*12),BH77+BI72-BI74)</f>
        <v>-29583.3333333333</v>
      </c>
      <c r="BJ75" s="69" t="n">
        <f aca="false">-MIN((BJ73-BJ74)/MAX(1,Inputs!$E$80*12),BI77+BJ72-BJ74)</f>
        <v>-29583.3333333333</v>
      </c>
    </row>
    <row r="76" customFormat="false" ht="15" hidden="false" customHeight="false" outlineLevel="0" collapsed="false">
      <c r="A76" s="6" t="s">
        <v>455</v>
      </c>
      <c r="C76" s="69" t="n">
        <f aca="false">C75</f>
        <v>-28472.2222222222</v>
      </c>
      <c r="D76" s="69" t="n">
        <f aca="false">C76+D75</f>
        <v>-56944.4444444444</v>
      </c>
      <c r="E76" s="69" t="n">
        <f aca="false">D76+E75</f>
        <v>-85416.6666666667</v>
      </c>
      <c r="F76" s="69" t="n">
        <f aca="false">E76+F75</f>
        <v>-113888.888888889</v>
      </c>
      <c r="G76" s="69" t="n">
        <f aca="false">F76+G75</f>
        <v>-142361.111111111</v>
      </c>
      <c r="H76" s="69" t="n">
        <f aca="false">G76+H75</f>
        <v>-170833.333333333</v>
      </c>
      <c r="I76" s="69" t="n">
        <f aca="false">H76+I75</f>
        <v>-199305.555555556</v>
      </c>
      <c r="J76" s="69" t="n">
        <f aca="false">I76+J75</f>
        <v>-227777.777777778</v>
      </c>
      <c r="K76" s="69" t="n">
        <f aca="false">J76+K75</f>
        <v>-256250</v>
      </c>
      <c r="L76" s="69" t="n">
        <f aca="false">K76+L75</f>
        <v>-284722.222222222</v>
      </c>
      <c r="M76" s="69" t="n">
        <f aca="false">L76+M75</f>
        <v>-313194.444444445</v>
      </c>
      <c r="N76" s="69" t="n">
        <f aca="false">M76+N75</f>
        <v>-341666.666666667</v>
      </c>
      <c r="O76" s="69" t="n">
        <f aca="false">N76+O75</f>
        <v>-370416.666666667</v>
      </c>
      <c r="P76" s="69" t="n">
        <f aca="false">O76+P75</f>
        <v>-399166.666666667</v>
      </c>
      <c r="Q76" s="69" t="n">
        <f aca="false">P76+Q75</f>
        <v>-427916.666666667</v>
      </c>
      <c r="R76" s="69" t="n">
        <f aca="false">Q76+R75</f>
        <v>-456666.666666667</v>
      </c>
      <c r="S76" s="69" t="n">
        <f aca="false">R76+S75</f>
        <v>-485416.666666667</v>
      </c>
      <c r="T76" s="69" t="n">
        <f aca="false">S76+T75</f>
        <v>-514166.666666667</v>
      </c>
      <c r="U76" s="69" t="n">
        <f aca="false">T76+U75</f>
        <v>-542916.666666667</v>
      </c>
      <c r="V76" s="69" t="n">
        <f aca="false">U76+V75</f>
        <v>-571666.666666667</v>
      </c>
      <c r="W76" s="69" t="n">
        <f aca="false">V76+W75</f>
        <v>-600416.666666667</v>
      </c>
      <c r="X76" s="69" t="n">
        <f aca="false">W76+X75</f>
        <v>-629166.666666667</v>
      </c>
      <c r="Y76" s="69" t="n">
        <f aca="false">X76+Y75</f>
        <v>-657916.666666667</v>
      </c>
      <c r="Z76" s="69" t="n">
        <f aca="false">Y76+Z75</f>
        <v>-686666.666666667</v>
      </c>
      <c r="AA76" s="69" t="n">
        <f aca="false">Z76+AA75</f>
        <v>-715694.444444445</v>
      </c>
      <c r="AB76" s="69" t="n">
        <f aca="false">AA76+AB75</f>
        <v>-744722.222222222</v>
      </c>
      <c r="AC76" s="69" t="n">
        <f aca="false">AB76+AC75</f>
        <v>-773750</v>
      </c>
      <c r="AD76" s="69" t="n">
        <f aca="false">AC76+AD75</f>
        <v>-802777.777777778</v>
      </c>
      <c r="AE76" s="69" t="n">
        <f aca="false">AD76+AE75</f>
        <v>-831805.555555556</v>
      </c>
      <c r="AF76" s="69" t="n">
        <f aca="false">AE76+AF75</f>
        <v>-860833.333333333</v>
      </c>
      <c r="AG76" s="69" t="n">
        <f aca="false">AF76+AG75</f>
        <v>-889861.111111111</v>
      </c>
      <c r="AH76" s="69" t="n">
        <f aca="false">AG76+AH75</f>
        <v>-918888.888888889</v>
      </c>
      <c r="AI76" s="69" t="n">
        <f aca="false">AH76+AI75</f>
        <v>-947916.666666667</v>
      </c>
      <c r="AJ76" s="69" t="n">
        <f aca="false">AI76+AJ75</f>
        <v>-976944.444444444</v>
      </c>
      <c r="AK76" s="69" t="n">
        <f aca="false">AJ76+AK75</f>
        <v>-1005972.22222222</v>
      </c>
      <c r="AL76" s="69" t="n">
        <f aca="false">AK76+AL75</f>
        <v>-1035000</v>
      </c>
      <c r="AM76" s="69" t="n">
        <f aca="false">AL76+AM75</f>
        <v>-1064305.55555556</v>
      </c>
      <c r="AN76" s="69" t="n">
        <f aca="false">AM76+AN75</f>
        <v>-1093611.11111111</v>
      </c>
      <c r="AO76" s="69" t="n">
        <f aca="false">AN76+AO75</f>
        <v>-1122916.66666667</v>
      </c>
      <c r="AP76" s="69" t="n">
        <f aca="false">AO76+AP75</f>
        <v>-1152222.22222222</v>
      </c>
      <c r="AQ76" s="69" t="n">
        <f aca="false">AP76+AQ75</f>
        <v>-1181527.77777778</v>
      </c>
      <c r="AR76" s="69" t="n">
        <f aca="false">AQ76+AR75</f>
        <v>-1210833.33333333</v>
      </c>
      <c r="AS76" s="69" t="n">
        <f aca="false">AR76+AS75</f>
        <v>-1240138.88888889</v>
      </c>
      <c r="AT76" s="69" t="n">
        <f aca="false">AS76+AT75</f>
        <v>-1269444.44444444</v>
      </c>
      <c r="AU76" s="69" t="n">
        <f aca="false">AT76+AU75</f>
        <v>-1298750</v>
      </c>
      <c r="AV76" s="69" t="n">
        <f aca="false">AU76+AV75</f>
        <v>-1328055.55555555</v>
      </c>
      <c r="AW76" s="69" t="n">
        <f aca="false">AV76+AW75</f>
        <v>-1357361.11111111</v>
      </c>
      <c r="AX76" s="69" t="n">
        <f aca="false">AW76+AX75</f>
        <v>-1386666.66666667</v>
      </c>
      <c r="AY76" s="69" t="n">
        <f aca="false">AX76+AY75</f>
        <v>-1416250</v>
      </c>
      <c r="AZ76" s="69" t="n">
        <f aca="false">AY76+AZ75</f>
        <v>-1445833.33333333</v>
      </c>
      <c r="BA76" s="69" t="n">
        <f aca="false">AZ76+BA75</f>
        <v>-1475416.66666667</v>
      </c>
      <c r="BB76" s="69" t="n">
        <f aca="false">BA76+BB75</f>
        <v>-1505000</v>
      </c>
      <c r="BC76" s="69" t="n">
        <f aca="false">BB76+BC75</f>
        <v>-1534583.33333333</v>
      </c>
      <c r="BD76" s="69" t="n">
        <f aca="false">BC76+BD75</f>
        <v>-1564166.66666667</v>
      </c>
      <c r="BE76" s="69" t="n">
        <f aca="false">BD76+BE75</f>
        <v>-1593750</v>
      </c>
      <c r="BF76" s="69" t="n">
        <f aca="false">BE76+BF75</f>
        <v>-1623333.33333333</v>
      </c>
      <c r="BG76" s="69" t="n">
        <f aca="false">BF76+BG75</f>
        <v>-1652916.66666667</v>
      </c>
      <c r="BH76" s="69" t="n">
        <f aca="false">BG76+BH75</f>
        <v>-1682500</v>
      </c>
      <c r="BI76" s="69" t="n">
        <f aca="false">BH76+BI75</f>
        <v>-1712083.33333333</v>
      </c>
      <c r="BJ76" s="69" t="n">
        <f aca="false">BI76+BJ75</f>
        <v>-1741666.66666666</v>
      </c>
    </row>
    <row r="77" customFormat="false" ht="15" hidden="false" customHeight="false" outlineLevel="0" collapsed="false">
      <c r="A77" s="4" t="s">
        <v>92</v>
      </c>
      <c r="C77" s="75" t="n">
        <f aca="false">C73+C76</f>
        <v>4071527.77777778</v>
      </c>
      <c r="D77" s="75" t="n">
        <f aca="false">D73+D76</f>
        <v>4043055.55555556</v>
      </c>
      <c r="E77" s="75" t="n">
        <f aca="false">E73+E76</f>
        <v>4014583.33333333</v>
      </c>
      <c r="F77" s="75" t="n">
        <f aca="false">F73+F76</f>
        <v>3986111.11111111</v>
      </c>
      <c r="G77" s="75" t="n">
        <f aca="false">G73+G76</f>
        <v>3957638.88888889</v>
      </c>
      <c r="H77" s="75" t="n">
        <f aca="false">H73+H76</f>
        <v>3929166.66666667</v>
      </c>
      <c r="I77" s="75" t="n">
        <f aca="false">I73+I76</f>
        <v>3900694.44444444</v>
      </c>
      <c r="J77" s="75" t="n">
        <f aca="false">J73+J76</f>
        <v>3872222.22222222</v>
      </c>
      <c r="K77" s="75" t="n">
        <f aca="false">K73+K76</f>
        <v>3843750</v>
      </c>
      <c r="L77" s="75" t="n">
        <f aca="false">L73+L76</f>
        <v>3815277.77777778</v>
      </c>
      <c r="M77" s="75" t="n">
        <f aca="false">M73+M76</f>
        <v>3786805.55555556</v>
      </c>
      <c r="N77" s="75" t="n">
        <f aca="false">N73+N76</f>
        <v>3758333.33333333</v>
      </c>
      <c r="O77" s="75" t="n">
        <f aca="false">O73+O76</f>
        <v>3769583.33333333</v>
      </c>
      <c r="P77" s="75" t="n">
        <f aca="false">P73+P76</f>
        <v>3740833.33333333</v>
      </c>
      <c r="Q77" s="75" t="n">
        <f aca="false">Q73+Q76</f>
        <v>3712083.33333333</v>
      </c>
      <c r="R77" s="75" t="n">
        <f aca="false">R73+R76</f>
        <v>3683333.33333333</v>
      </c>
      <c r="S77" s="75" t="n">
        <f aca="false">S73+S76</f>
        <v>3654583.33333333</v>
      </c>
      <c r="T77" s="75" t="n">
        <f aca="false">T73+T76</f>
        <v>3625833.33333333</v>
      </c>
      <c r="U77" s="75" t="n">
        <f aca="false">U73+U76</f>
        <v>3597083.33333333</v>
      </c>
      <c r="V77" s="75" t="n">
        <f aca="false">V73+V76</f>
        <v>3568333.33333333</v>
      </c>
      <c r="W77" s="75" t="n">
        <f aca="false">W73+W76</f>
        <v>3539583.33333333</v>
      </c>
      <c r="X77" s="75" t="n">
        <f aca="false">X73+X76</f>
        <v>3510833.33333333</v>
      </c>
      <c r="Y77" s="75" t="n">
        <f aca="false">Y73+Y76</f>
        <v>3482083.33333333</v>
      </c>
      <c r="Z77" s="75" t="n">
        <f aca="false">Z73+Z76</f>
        <v>3453333.33333333</v>
      </c>
      <c r="AA77" s="75" t="n">
        <f aca="false">AA73+AA76</f>
        <v>3464305.55555556</v>
      </c>
      <c r="AB77" s="75" t="n">
        <f aca="false">AB73+AB76</f>
        <v>3435277.77777778</v>
      </c>
      <c r="AC77" s="75" t="n">
        <f aca="false">AC73+AC76</f>
        <v>3406250</v>
      </c>
      <c r="AD77" s="75" t="n">
        <f aca="false">AD73+AD76</f>
        <v>3377222.22222222</v>
      </c>
      <c r="AE77" s="75" t="n">
        <f aca="false">AE73+AE76</f>
        <v>3348194.44444444</v>
      </c>
      <c r="AF77" s="75" t="n">
        <f aca="false">AF73+AF76</f>
        <v>3319166.66666667</v>
      </c>
      <c r="AG77" s="75" t="n">
        <f aca="false">AG73+AG76</f>
        <v>3290138.88888889</v>
      </c>
      <c r="AH77" s="75" t="n">
        <f aca="false">AH73+AH76</f>
        <v>3261111.11111111</v>
      </c>
      <c r="AI77" s="75" t="n">
        <f aca="false">AI73+AI76</f>
        <v>3232083.33333333</v>
      </c>
      <c r="AJ77" s="75" t="n">
        <f aca="false">AJ73+AJ76</f>
        <v>3203055.55555556</v>
      </c>
      <c r="AK77" s="75" t="n">
        <f aca="false">AK73+AK76</f>
        <v>3174027.77777778</v>
      </c>
      <c r="AL77" s="75" t="n">
        <f aca="false">AL73+AL76</f>
        <v>3145000</v>
      </c>
      <c r="AM77" s="75" t="n">
        <f aca="false">AM73+AM76</f>
        <v>3155694.44444445</v>
      </c>
      <c r="AN77" s="75" t="n">
        <f aca="false">AN73+AN76</f>
        <v>3126388.88888889</v>
      </c>
      <c r="AO77" s="75" t="n">
        <f aca="false">AO73+AO76</f>
        <v>3097083.33333333</v>
      </c>
      <c r="AP77" s="75" t="n">
        <f aca="false">AP73+AP76</f>
        <v>3067777.77777778</v>
      </c>
      <c r="AQ77" s="75" t="n">
        <f aca="false">AQ73+AQ76</f>
        <v>3038472.22222222</v>
      </c>
      <c r="AR77" s="75" t="n">
        <f aca="false">AR73+AR76</f>
        <v>3009166.66666667</v>
      </c>
      <c r="AS77" s="75" t="n">
        <f aca="false">AS73+AS76</f>
        <v>2979861.11111111</v>
      </c>
      <c r="AT77" s="75" t="n">
        <f aca="false">AT73+AT76</f>
        <v>2950555.55555556</v>
      </c>
      <c r="AU77" s="75" t="n">
        <f aca="false">AU73+AU76</f>
        <v>2921250</v>
      </c>
      <c r="AV77" s="75" t="n">
        <f aca="false">AV73+AV76</f>
        <v>2891944.44444445</v>
      </c>
      <c r="AW77" s="75" t="n">
        <f aca="false">AW73+AW76</f>
        <v>2862638.88888889</v>
      </c>
      <c r="AX77" s="75" t="n">
        <f aca="false">AX73+AX76</f>
        <v>2833333.33333333</v>
      </c>
      <c r="AY77" s="75" t="n">
        <f aca="false">AY73+AY76</f>
        <v>2843750</v>
      </c>
      <c r="AZ77" s="75" t="n">
        <f aca="false">AZ73+AZ76</f>
        <v>2814166.66666667</v>
      </c>
      <c r="BA77" s="75" t="n">
        <f aca="false">BA73+BA76</f>
        <v>2784583.33333333</v>
      </c>
      <c r="BB77" s="75" t="n">
        <f aca="false">BB73+BB76</f>
        <v>2755000</v>
      </c>
      <c r="BC77" s="75" t="n">
        <f aca="false">BC73+BC76</f>
        <v>2725416.66666667</v>
      </c>
      <c r="BD77" s="75" t="n">
        <f aca="false">BD73+BD76</f>
        <v>2695833.33333334</v>
      </c>
      <c r="BE77" s="75" t="n">
        <f aca="false">BE73+BE76</f>
        <v>2666250</v>
      </c>
      <c r="BF77" s="75" t="n">
        <f aca="false">BF73+BF76</f>
        <v>2636666.66666667</v>
      </c>
      <c r="BG77" s="75" t="n">
        <f aca="false">BG73+BG76</f>
        <v>2607083.33333334</v>
      </c>
      <c r="BH77" s="75" t="n">
        <f aca="false">BH73+BH76</f>
        <v>2577500</v>
      </c>
      <c r="BI77" s="75" t="n">
        <f aca="false">BI73+BI76</f>
        <v>2547916.66666667</v>
      </c>
      <c r="BJ77" s="75" t="n">
        <f aca="false">BJ73+BJ76</f>
        <v>2518333.33333334</v>
      </c>
    </row>
    <row r="79" customFormat="false" ht="15.75" hidden="false" customHeight="true" outlineLevel="0" collapsed="false">
      <c r="A79" s="7" t="s">
        <v>456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customFormat="false" ht="15" hidden="false" customHeight="false" outlineLevel="0" collapsed="false">
      <c r="A80" s="6" t="s">
        <v>457</v>
      </c>
      <c r="C80" s="69" t="n">
        <f aca="false">0</f>
        <v>0</v>
      </c>
      <c r="D80" s="69" t="n">
        <f aca="false">C83</f>
        <v>3000000</v>
      </c>
      <c r="E80" s="69" t="n">
        <f aca="false">D83</f>
        <v>2975000</v>
      </c>
      <c r="F80" s="69" t="n">
        <f aca="false">E83</f>
        <v>2950000</v>
      </c>
      <c r="G80" s="69" t="n">
        <f aca="false">F83</f>
        <v>2925000</v>
      </c>
      <c r="H80" s="69" t="n">
        <f aca="false">G83</f>
        <v>2900000</v>
      </c>
      <c r="I80" s="69" t="n">
        <f aca="false">H83</f>
        <v>2875000</v>
      </c>
      <c r="J80" s="69" t="n">
        <f aca="false">I83</f>
        <v>2850000</v>
      </c>
      <c r="K80" s="69" t="n">
        <f aca="false">J83</f>
        <v>2825000</v>
      </c>
      <c r="L80" s="69" t="n">
        <f aca="false">K83</f>
        <v>2800000</v>
      </c>
      <c r="M80" s="69" t="n">
        <f aca="false">L83</f>
        <v>2775000</v>
      </c>
      <c r="N80" s="69" t="n">
        <f aca="false">M83</f>
        <v>2750000</v>
      </c>
      <c r="O80" s="69" t="n">
        <f aca="false">N83</f>
        <v>2725000</v>
      </c>
      <c r="P80" s="69" t="n">
        <f aca="false">O83</f>
        <v>2700000</v>
      </c>
      <c r="Q80" s="69" t="n">
        <f aca="false">P83</f>
        <v>2675000</v>
      </c>
      <c r="R80" s="69" t="n">
        <f aca="false">Q83</f>
        <v>2650000</v>
      </c>
      <c r="S80" s="69" t="n">
        <f aca="false">R83</f>
        <v>2625000</v>
      </c>
      <c r="T80" s="69" t="n">
        <f aca="false">S83</f>
        <v>2600000</v>
      </c>
      <c r="U80" s="69" t="n">
        <f aca="false">T83</f>
        <v>2575000</v>
      </c>
      <c r="V80" s="69" t="n">
        <f aca="false">U83</f>
        <v>2550000</v>
      </c>
      <c r="W80" s="69" t="n">
        <f aca="false">V83</f>
        <v>2525000</v>
      </c>
      <c r="X80" s="69" t="n">
        <f aca="false">W83</f>
        <v>2500000</v>
      </c>
      <c r="Y80" s="69" t="n">
        <f aca="false">X83</f>
        <v>2475000</v>
      </c>
      <c r="Z80" s="69" t="n">
        <f aca="false">Y83</f>
        <v>2450000</v>
      </c>
      <c r="AA80" s="69" t="n">
        <f aca="false">Z83</f>
        <v>2425000</v>
      </c>
      <c r="AB80" s="69" t="n">
        <f aca="false">AA83</f>
        <v>2400000</v>
      </c>
      <c r="AC80" s="69" t="n">
        <f aca="false">AB83</f>
        <v>2375000</v>
      </c>
      <c r="AD80" s="69" t="n">
        <f aca="false">AC83</f>
        <v>2350000</v>
      </c>
      <c r="AE80" s="69" t="n">
        <f aca="false">AD83</f>
        <v>2325000</v>
      </c>
      <c r="AF80" s="69" t="n">
        <f aca="false">AE83</f>
        <v>2300000</v>
      </c>
      <c r="AG80" s="69" t="n">
        <f aca="false">AF83</f>
        <v>2275000</v>
      </c>
      <c r="AH80" s="69" t="n">
        <f aca="false">AG83</f>
        <v>2250000</v>
      </c>
      <c r="AI80" s="69" t="n">
        <f aca="false">AH83</f>
        <v>2225000</v>
      </c>
      <c r="AJ80" s="69" t="n">
        <f aca="false">AI83</f>
        <v>2200000</v>
      </c>
      <c r="AK80" s="69" t="n">
        <f aca="false">AJ83</f>
        <v>2175000</v>
      </c>
      <c r="AL80" s="69" t="n">
        <f aca="false">AK83</f>
        <v>2150000</v>
      </c>
      <c r="AM80" s="69" t="n">
        <f aca="false">AL83</f>
        <v>2125000</v>
      </c>
      <c r="AN80" s="69" t="n">
        <f aca="false">AM83</f>
        <v>2100000</v>
      </c>
      <c r="AO80" s="69" t="n">
        <f aca="false">AN83</f>
        <v>2075000</v>
      </c>
      <c r="AP80" s="69" t="n">
        <f aca="false">AO83</f>
        <v>2050000</v>
      </c>
      <c r="AQ80" s="69" t="n">
        <f aca="false">AP83</f>
        <v>2025000</v>
      </c>
      <c r="AR80" s="69" t="n">
        <f aca="false">AQ83</f>
        <v>2000000</v>
      </c>
      <c r="AS80" s="69" t="n">
        <f aca="false">AR83</f>
        <v>1975000</v>
      </c>
      <c r="AT80" s="69" t="n">
        <f aca="false">AS83</f>
        <v>1950000</v>
      </c>
      <c r="AU80" s="69" t="n">
        <f aca="false">AT83</f>
        <v>1925000</v>
      </c>
      <c r="AV80" s="69" t="n">
        <f aca="false">AU83</f>
        <v>1900000</v>
      </c>
      <c r="AW80" s="69" t="n">
        <f aca="false">AV83</f>
        <v>1875000</v>
      </c>
      <c r="AX80" s="69" t="n">
        <f aca="false">AW83</f>
        <v>1850000</v>
      </c>
      <c r="AY80" s="69" t="n">
        <f aca="false">AX83</f>
        <v>1825000</v>
      </c>
      <c r="AZ80" s="69" t="n">
        <f aca="false">AY83</f>
        <v>1800000</v>
      </c>
      <c r="BA80" s="69" t="n">
        <f aca="false">AZ83</f>
        <v>1775000</v>
      </c>
      <c r="BB80" s="69" t="n">
        <f aca="false">BA83</f>
        <v>1750000</v>
      </c>
      <c r="BC80" s="69" t="n">
        <f aca="false">BB83</f>
        <v>1725000</v>
      </c>
      <c r="BD80" s="69" t="n">
        <f aca="false">BC83</f>
        <v>1700000</v>
      </c>
      <c r="BE80" s="69" t="n">
        <f aca="false">BD83</f>
        <v>1675000</v>
      </c>
      <c r="BF80" s="69" t="n">
        <f aca="false">BE83</f>
        <v>1650000</v>
      </c>
      <c r="BG80" s="69" t="n">
        <f aca="false">BF83</f>
        <v>1625000</v>
      </c>
      <c r="BH80" s="69" t="n">
        <f aca="false">BG83</f>
        <v>1600000</v>
      </c>
      <c r="BI80" s="69" t="n">
        <f aca="false">BH83</f>
        <v>1575000</v>
      </c>
      <c r="BJ80" s="69" t="n">
        <f aca="false">BI83</f>
        <v>1550000</v>
      </c>
    </row>
    <row r="81" customFormat="false" ht="15" hidden="false" customHeight="false" outlineLevel="0" collapsed="false">
      <c r="A81" s="6" t="s">
        <v>85</v>
      </c>
      <c r="C81" s="69" t="n">
        <f aca="false">IF(C$4=1,Inputs!$E$70,0)</f>
        <v>3000000</v>
      </c>
      <c r="D81" s="69" t="n">
        <f aca="false">IF(D$4=1,Inputs!$E$70,0)</f>
        <v>0</v>
      </c>
      <c r="E81" s="69" t="n">
        <f aca="false">IF(E$4=1,Inputs!$E$70,0)</f>
        <v>0</v>
      </c>
      <c r="F81" s="69" t="n">
        <f aca="false">IF(F$4=1,Inputs!$E$70,0)</f>
        <v>0</v>
      </c>
      <c r="G81" s="69" t="n">
        <f aca="false">IF(G$4=1,Inputs!$E$70,0)</f>
        <v>0</v>
      </c>
      <c r="H81" s="69" t="n">
        <f aca="false">IF(H$4=1,Inputs!$E$70,0)</f>
        <v>0</v>
      </c>
      <c r="I81" s="69" t="n">
        <f aca="false">IF(I$4=1,Inputs!$E$70,0)</f>
        <v>0</v>
      </c>
      <c r="J81" s="69" t="n">
        <f aca="false">IF(J$4=1,Inputs!$E$70,0)</f>
        <v>0</v>
      </c>
      <c r="K81" s="69" t="n">
        <f aca="false">IF(K$4=1,Inputs!$E$70,0)</f>
        <v>0</v>
      </c>
      <c r="L81" s="69" t="n">
        <f aca="false">IF(L$4=1,Inputs!$E$70,0)</f>
        <v>0</v>
      </c>
      <c r="M81" s="69" t="n">
        <f aca="false">IF(M$4=1,Inputs!$E$70,0)</f>
        <v>0</v>
      </c>
      <c r="N81" s="69" t="n">
        <f aca="false">IF(N$4=1,Inputs!$E$70,0)</f>
        <v>0</v>
      </c>
      <c r="O81" s="69" t="n">
        <f aca="false">IF(O$4=1,Inputs!$E$70,0)</f>
        <v>0</v>
      </c>
      <c r="P81" s="69" t="n">
        <f aca="false">IF(P$4=1,Inputs!$E$70,0)</f>
        <v>0</v>
      </c>
      <c r="Q81" s="69" t="n">
        <f aca="false">IF(Q$4=1,Inputs!$E$70,0)</f>
        <v>0</v>
      </c>
      <c r="R81" s="69" t="n">
        <f aca="false">IF(R$4=1,Inputs!$E$70,0)</f>
        <v>0</v>
      </c>
      <c r="S81" s="69" t="n">
        <f aca="false">IF(S$4=1,Inputs!$E$70,0)</f>
        <v>0</v>
      </c>
      <c r="T81" s="69" t="n">
        <f aca="false">IF(T$4=1,Inputs!$E$70,0)</f>
        <v>0</v>
      </c>
      <c r="U81" s="69" t="n">
        <f aca="false">IF(U$4=1,Inputs!$E$70,0)</f>
        <v>0</v>
      </c>
      <c r="V81" s="69" t="n">
        <f aca="false">IF(V$4=1,Inputs!$E$70,0)</f>
        <v>0</v>
      </c>
      <c r="W81" s="69" t="n">
        <f aca="false">IF(W$4=1,Inputs!$E$70,0)</f>
        <v>0</v>
      </c>
      <c r="X81" s="69" t="n">
        <f aca="false">IF(X$4=1,Inputs!$E$70,0)</f>
        <v>0</v>
      </c>
      <c r="Y81" s="69" t="n">
        <f aca="false">IF(Y$4=1,Inputs!$E$70,0)</f>
        <v>0</v>
      </c>
      <c r="Z81" s="69" t="n">
        <f aca="false">IF(Z$4=1,Inputs!$E$70,0)</f>
        <v>0</v>
      </c>
      <c r="AA81" s="69" t="n">
        <f aca="false">IF(AA$4=1,Inputs!$E$70,0)</f>
        <v>0</v>
      </c>
      <c r="AB81" s="69" t="n">
        <f aca="false">IF(AB$4=1,Inputs!$E$70,0)</f>
        <v>0</v>
      </c>
      <c r="AC81" s="69" t="n">
        <f aca="false">IF(AC$4=1,Inputs!$E$70,0)</f>
        <v>0</v>
      </c>
      <c r="AD81" s="69" t="n">
        <f aca="false">IF(AD$4=1,Inputs!$E$70,0)</f>
        <v>0</v>
      </c>
      <c r="AE81" s="69" t="n">
        <f aca="false">IF(AE$4=1,Inputs!$E$70,0)</f>
        <v>0</v>
      </c>
      <c r="AF81" s="69" t="n">
        <f aca="false">IF(AF$4=1,Inputs!$E$70,0)</f>
        <v>0</v>
      </c>
      <c r="AG81" s="69" t="n">
        <f aca="false">IF(AG$4=1,Inputs!$E$70,0)</f>
        <v>0</v>
      </c>
      <c r="AH81" s="69" t="n">
        <f aca="false">IF(AH$4=1,Inputs!$E$70,0)</f>
        <v>0</v>
      </c>
      <c r="AI81" s="69" t="n">
        <f aca="false">IF(AI$4=1,Inputs!$E$70,0)</f>
        <v>0</v>
      </c>
      <c r="AJ81" s="69" t="n">
        <f aca="false">IF(AJ$4=1,Inputs!$E$70,0)</f>
        <v>0</v>
      </c>
      <c r="AK81" s="69" t="n">
        <f aca="false">IF(AK$4=1,Inputs!$E$70,0)</f>
        <v>0</v>
      </c>
      <c r="AL81" s="69" t="n">
        <f aca="false">IF(AL$4=1,Inputs!$E$70,0)</f>
        <v>0</v>
      </c>
      <c r="AM81" s="69" t="n">
        <f aca="false">IF(AM$4=1,Inputs!$E$70,0)</f>
        <v>0</v>
      </c>
      <c r="AN81" s="69" t="n">
        <f aca="false">IF(AN$4=1,Inputs!$E$70,0)</f>
        <v>0</v>
      </c>
      <c r="AO81" s="69" t="n">
        <f aca="false">IF(AO$4=1,Inputs!$E$70,0)</f>
        <v>0</v>
      </c>
      <c r="AP81" s="69" t="n">
        <f aca="false">IF(AP$4=1,Inputs!$E$70,0)</f>
        <v>0</v>
      </c>
      <c r="AQ81" s="69" t="n">
        <f aca="false">IF(AQ$4=1,Inputs!$E$70,0)</f>
        <v>0</v>
      </c>
      <c r="AR81" s="69" t="n">
        <f aca="false">IF(AR$4=1,Inputs!$E$70,0)</f>
        <v>0</v>
      </c>
      <c r="AS81" s="69" t="n">
        <f aca="false">IF(AS$4=1,Inputs!$E$70,0)</f>
        <v>0</v>
      </c>
      <c r="AT81" s="69" t="n">
        <f aca="false">IF(AT$4=1,Inputs!$E$70,0)</f>
        <v>0</v>
      </c>
      <c r="AU81" s="69" t="n">
        <f aca="false">IF(AU$4=1,Inputs!$E$70,0)</f>
        <v>0</v>
      </c>
      <c r="AV81" s="69" t="n">
        <f aca="false">IF(AV$4=1,Inputs!$E$70,0)</f>
        <v>0</v>
      </c>
      <c r="AW81" s="69" t="n">
        <f aca="false">IF(AW$4=1,Inputs!$E$70,0)</f>
        <v>0</v>
      </c>
      <c r="AX81" s="69" t="n">
        <f aca="false">IF(AX$4=1,Inputs!$E$70,0)</f>
        <v>0</v>
      </c>
      <c r="AY81" s="69" t="n">
        <f aca="false">IF(AY$4=1,Inputs!$E$70,0)</f>
        <v>0</v>
      </c>
      <c r="AZ81" s="69" t="n">
        <f aca="false">IF(AZ$4=1,Inputs!$E$70,0)</f>
        <v>0</v>
      </c>
      <c r="BA81" s="69" t="n">
        <f aca="false">IF(BA$4=1,Inputs!$E$70,0)</f>
        <v>0</v>
      </c>
      <c r="BB81" s="69" t="n">
        <f aca="false">IF(BB$4=1,Inputs!$E$70,0)</f>
        <v>0</v>
      </c>
      <c r="BC81" s="69" t="n">
        <f aca="false">IF(BC$4=1,Inputs!$E$70,0)</f>
        <v>0</v>
      </c>
      <c r="BD81" s="69" t="n">
        <f aca="false">IF(BD$4=1,Inputs!$E$70,0)</f>
        <v>0</v>
      </c>
      <c r="BE81" s="69" t="n">
        <f aca="false">IF(BE$4=1,Inputs!$E$70,0)</f>
        <v>0</v>
      </c>
      <c r="BF81" s="69" t="n">
        <f aca="false">IF(BF$4=1,Inputs!$E$70,0)</f>
        <v>0</v>
      </c>
      <c r="BG81" s="69" t="n">
        <f aca="false">IF(BG$4=1,Inputs!$E$70,0)</f>
        <v>0</v>
      </c>
      <c r="BH81" s="69" t="n">
        <f aca="false">IF(BH$4=1,Inputs!$E$70,0)</f>
        <v>0</v>
      </c>
      <c r="BI81" s="69" t="n">
        <f aca="false">IF(BI$4=1,Inputs!$E$70,0)</f>
        <v>0</v>
      </c>
      <c r="BJ81" s="69" t="n">
        <f aca="false">IF(BJ$4=1,Inputs!$E$70,0)</f>
        <v>0</v>
      </c>
    </row>
    <row r="82" customFormat="false" ht="15" hidden="false" customHeight="false" outlineLevel="0" collapsed="false">
      <c r="A82" s="6" t="s">
        <v>86</v>
      </c>
      <c r="C82" s="69" t="n">
        <f aca="false">-MIN(C80,Inputs!$E$70/MAX(1,Inputs!$E$72*12))</f>
        <v>-0</v>
      </c>
      <c r="D82" s="69" t="n">
        <f aca="false">-MIN(D80,Inputs!$E$70/MAX(1,Inputs!$E$72*12))</f>
        <v>-25000</v>
      </c>
      <c r="E82" s="69" t="n">
        <f aca="false">-MIN(E80,Inputs!$E$70/MAX(1,Inputs!$E$72*12))</f>
        <v>-25000</v>
      </c>
      <c r="F82" s="69" t="n">
        <f aca="false">-MIN(F80,Inputs!$E$70/MAX(1,Inputs!$E$72*12))</f>
        <v>-25000</v>
      </c>
      <c r="G82" s="69" t="n">
        <f aca="false">-MIN(G80,Inputs!$E$70/MAX(1,Inputs!$E$72*12))</f>
        <v>-25000</v>
      </c>
      <c r="H82" s="69" t="n">
        <f aca="false">-MIN(H80,Inputs!$E$70/MAX(1,Inputs!$E$72*12))</f>
        <v>-25000</v>
      </c>
      <c r="I82" s="69" t="n">
        <f aca="false">-MIN(I80,Inputs!$E$70/MAX(1,Inputs!$E$72*12))</f>
        <v>-25000</v>
      </c>
      <c r="J82" s="69" t="n">
        <f aca="false">-MIN(J80,Inputs!$E$70/MAX(1,Inputs!$E$72*12))</f>
        <v>-25000</v>
      </c>
      <c r="K82" s="69" t="n">
        <f aca="false">-MIN(K80,Inputs!$E$70/MAX(1,Inputs!$E$72*12))</f>
        <v>-25000</v>
      </c>
      <c r="L82" s="69" t="n">
        <f aca="false">-MIN(L80,Inputs!$E$70/MAX(1,Inputs!$E$72*12))</f>
        <v>-25000</v>
      </c>
      <c r="M82" s="69" t="n">
        <f aca="false">-MIN(M80,Inputs!$E$70/MAX(1,Inputs!$E$72*12))</f>
        <v>-25000</v>
      </c>
      <c r="N82" s="69" t="n">
        <f aca="false">-MIN(N80,Inputs!$E$70/MAX(1,Inputs!$E$72*12))</f>
        <v>-25000</v>
      </c>
      <c r="O82" s="69" t="n">
        <f aca="false">-MIN(O80,Inputs!$E$70/MAX(1,Inputs!$E$72*12))</f>
        <v>-25000</v>
      </c>
      <c r="P82" s="69" t="n">
        <f aca="false">-MIN(P80,Inputs!$E$70/MAX(1,Inputs!$E$72*12))</f>
        <v>-25000</v>
      </c>
      <c r="Q82" s="69" t="n">
        <f aca="false">-MIN(Q80,Inputs!$E$70/MAX(1,Inputs!$E$72*12))</f>
        <v>-25000</v>
      </c>
      <c r="R82" s="69" t="n">
        <f aca="false">-MIN(R80,Inputs!$E$70/MAX(1,Inputs!$E$72*12))</f>
        <v>-25000</v>
      </c>
      <c r="S82" s="69" t="n">
        <f aca="false">-MIN(S80,Inputs!$E$70/MAX(1,Inputs!$E$72*12))</f>
        <v>-25000</v>
      </c>
      <c r="T82" s="69" t="n">
        <f aca="false">-MIN(T80,Inputs!$E$70/MAX(1,Inputs!$E$72*12))</f>
        <v>-25000</v>
      </c>
      <c r="U82" s="69" t="n">
        <f aca="false">-MIN(U80,Inputs!$E$70/MAX(1,Inputs!$E$72*12))</f>
        <v>-25000</v>
      </c>
      <c r="V82" s="69" t="n">
        <f aca="false">-MIN(V80,Inputs!$E$70/MAX(1,Inputs!$E$72*12))</f>
        <v>-25000</v>
      </c>
      <c r="W82" s="69" t="n">
        <f aca="false">-MIN(W80,Inputs!$E$70/MAX(1,Inputs!$E$72*12))</f>
        <v>-25000</v>
      </c>
      <c r="X82" s="69" t="n">
        <f aca="false">-MIN(X80,Inputs!$E$70/MAX(1,Inputs!$E$72*12))</f>
        <v>-25000</v>
      </c>
      <c r="Y82" s="69" t="n">
        <f aca="false">-MIN(Y80,Inputs!$E$70/MAX(1,Inputs!$E$72*12))</f>
        <v>-25000</v>
      </c>
      <c r="Z82" s="69" t="n">
        <f aca="false">-MIN(Z80,Inputs!$E$70/MAX(1,Inputs!$E$72*12))</f>
        <v>-25000</v>
      </c>
      <c r="AA82" s="69" t="n">
        <f aca="false">-MIN(AA80,Inputs!$E$70/MAX(1,Inputs!$E$72*12))</f>
        <v>-25000</v>
      </c>
      <c r="AB82" s="69" t="n">
        <f aca="false">-MIN(AB80,Inputs!$E$70/MAX(1,Inputs!$E$72*12))</f>
        <v>-25000</v>
      </c>
      <c r="AC82" s="69" t="n">
        <f aca="false">-MIN(AC80,Inputs!$E$70/MAX(1,Inputs!$E$72*12))</f>
        <v>-25000</v>
      </c>
      <c r="AD82" s="69" t="n">
        <f aca="false">-MIN(AD80,Inputs!$E$70/MAX(1,Inputs!$E$72*12))</f>
        <v>-25000</v>
      </c>
      <c r="AE82" s="69" t="n">
        <f aca="false">-MIN(AE80,Inputs!$E$70/MAX(1,Inputs!$E$72*12))</f>
        <v>-25000</v>
      </c>
      <c r="AF82" s="69" t="n">
        <f aca="false">-MIN(AF80,Inputs!$E$70/MAX(1,Inputs!$E$72*12))</f>
        <v>-25000</v>
      </c>
      <c r="AG82" s="69" t="n">
        <f aca="false">-MIN(AG80,Inputs!$E$70/MAX(1,Inputs!$E$72*12))</f>
        <v>-25000</v>
      </c>
      <c r="AH82" s="69" t="n">
        <f aca="false">-MIN(AH80,Inputs!$E$70/MAX(1,Inputs!$E$72*12))</f>
        <v>-25000</v>
      </c>
      <c r="AI82" s="69" t="n">
        <f aca="false">-MIN(AI80,Inputs!$E$70/MAX(1,Inputs!$E$72*12))</f>
        <v>-25000</v>
      </c>
      <c r="AJ82" s="69" t="n">
        <f aca="false">-MIN(AJ80,Inputs!$E$70/MAX(1,Inputs!$E$72*12))</f>
        <v>-25000</v>
      </c>
      <c r="AK82" s="69" t="n">
        <f aca="false">-MIN(AK80,Inputs!$E$70/MAX(1,Inputs!$E$72*12))</f>
        <v>-25000</v>
      </c>
      <c r="AL82" s="69" t="n">
        <f aca="false">-MIN(AL80,Inputs!$E$70/MAX(1,Inputs!$E$72*12))</f>
        <v>-25000</v>
      </c>
      <c r="AM82" s="69" t="n">
        <f aca="false">-MIN(AM80,Inputs!$E$70/MAX(1,Inputs!$E$72*12))</f>
        <v>-25000</v>
      </c>
      <c r="AN82" s="69" t="n">
        <f aca="false">-MIN(AN80,Inputs!$E$70/MAX(1,Inputs!$E$72*12))</f>
        <v>-25000</v>
      </c>
      <c r="AO82" s="69" t="n">
        <f aca="false">-MIN(AO80,Inputs!$E$70/MAX(1,Inputs!$E$72*12))</f>
        <v>-25000</v>
      </c>
      <c r="AP82" s="69" t="n">
        <f aca="false">-MIN(AP80,Inputs!$E$70/MAX(1,Inputs!$E$72*12))</f>
        <v>-25000</v>
      </c>
      <c r="AQ82" s="69" t="n">
        <f aca="false">-MIN(AQ80,Inputs!$E$70/MAX(1,Inputs!$E$72*12))</f>
        <v>-25000</v>
      </c>
      <c r="AR82" s="69" t="n">
        <f aca="false">-MIN(AR80,Inputs!$E$70/MAX(1,Inputs!$E$72*12))</f>
        <v>-25000</v>
      </c>
      <c r="AS82" s="69" t="n">
        <f aca="false">-MIN(AS80,Inputs!$E$70/MAX(1,Inputs!$E$72*12))</f>
        <v>-25000</v>
      </c>
      <c r="AT82" s="69" t="n">
        <f aca="false">-MIN(AT80,Inputs!$E$70/MAX(1,Inputs!$E$72*12))</f>
        <v>-25000</v>
      </c>
      <c r="AU82" s="69" t="n">
        <f aca="false">-MIN(AU80,Inputs!$E$70/MAX(1,Inputs!$E$72*12))</f>
        <v>-25000</v>
      </c>
      <c r="AV82" s="69" t="n">
        <f aca="false">-MIN(AV80,Inputs!$E$70/MAX(1,Inputs!$E$72*12))</f>
        <v>-25000</v>
      </c>
      <c r="AW82" s="69" t="n">
        <f aca="false">-MIN(AW80,Inputs!$E$70/MAX(1,Inputs!$E$72*12))</f>
        <v>-25000</v>
      </c>
      <c r="AX82" s="69" t="n">
        <f aca="false">-MIN(AX80,Inputs!$E$70/MAX(1,Inputs!$E$72*12))</f>
        <v>-25000</v>
      </c>
      <c r="AY82" s="69" t="n">
        <f aca="false">-MIN(AY80,Inputs!$E$70/MAX(1,Inputs!$E$72*12))</f>
        <v>-25000</v>
      </c>
      <c r="AZ82" s="69" t="n">
        <f aca="false">-MIN(AZ80,Inputs!$E$70/MAX(1,Inputs!$E$72*12))</f>
        <v>-25000</v>
      </c>
      <c r="BA82" s="69" t="n">
        <f aca="false">-MIN(BA80,Inputs!$E$70/MAX(1,Inputs!$E$72*12))</f>
        <v>-25000</v>
      </c>
      <c r="BB82" s="69" t="n">
        <f aca="false">-MIN(BB80,Inputs!$E$70/MAX(1,Inputs!$E$72*12))</f>
        <v>-25000</v>
      </c>
      <c r="BC82" s="69" t="n">
        <f aca="false">-MIN(BC80,Inputs!$E$70/MAX(1,Inputs!$E$72*12))</f>
        <v>-25000</v>
      </c>
      <c r="BD82" s="69" t="n">
        <f aca="false">-MIN(BD80,Inputs!$E$70/MAX(1,Inputs!$E$72*12))</f>
        <v>-25000</v>
      </c>
      <c r="BE82" s="69" t="n">
        <f aca="false">-MIN(BE80,Inputs!$E$70/MAX(1,Inputs!$E$72*12))</f>
        <v>-25000</v>
      </c>
      <c r="BF82" s="69" t="n">
        <f aca="false">-MIN(BF80,Inputs!$E$70/MAX(1,Inputs!$E$72*12))</f>
        <v>-25000</v>
      </c>
      <c r="BG82" s="69" t="n">
        <f aca="false">-MIN(BG80,Inputs!$E$70/MAX(1,Inputs!$E$72*12))</f>
        <v>-25000</v>
      </c>
      <c r="BH82" s="69" t="n">
        <f aca="false">-MIN(BH80,Inputs!$E$70/MAX(1,Inputs!$E$72*12))</f>
        <v>-25000</v>
      </c>
      <c r="BI82" s="69" t="n">
        <f aca="false">-MIN(BI80,Inputs!$E$70/MAX(1,Inputs!$E$72*12))</f>
        <v>-25000</v>
      </c>
      <c r="BJ82" s="69" t="n">
        <f aca="false">-MIN(BJ80,Inputs!$E$70/MAX(1,Inputs!$E$72*12))</f>
        <v>-25000</v>
      </c>
    </row>
    <row r="83" customFormat="false" ht="15" hidden="false" customHeight="false" outlineLevel="0" collapsed="false">
      <c r="A83" s="4" t="s">
        <v>458</v>
      </c>
      <c r="C83" s="75" t="n">
        <f aca="false">C80+C81+C82</f>
        <v>3000000</v>
      </c>
      <c r="D83" s="75" t="n">
        <f aca="false">D80+D81+D82</f>
        <v>2975000</v>
      </c>
      <c r="E83" s="75" t="n">
        <f aca="false">E80+E81+E82</f>
        <v>2950000</v>
      </c>
      <c r="F83" s="75" t="n">
        <f aca="false">F80+F81+F82</f>
        <v>2925000</v>
      </c>
      <c r="G83" s="75" t="n">
        <f aca="false">G80+G81+G82</f>
        <v>2900000</v>
      </c>
      <c r="H83" s="75" t="n">
        <f aca="false">H80+H81+H82</f>
        <v>2875000</v>
      </c>
      <c r="I83" s="75" t="n">
        <f aca="false">I80+I81+I82</f>
        <v>2850000</v>
      </c>
      <c r="J83" s="75" t="n">
        <f aca="false">J80+J81+J82</f>
        <v>2825000</v>
      </c>
      <c r="K83" s="75" t="n">
        <f aca="false">K80+K81+K82</f>
        <v>2800000</v>
      </c>
      <c r="L83" s="75" t="n">
        <f aca="false">L80+L81+L82</f>
        <v>2775000</v>
      </c>
      <c r="M83" s="75" t="n">
        <f aca="false">M80+M81+M82</f>
        <v>2750000</v>
      </c>
      <c r="N83" s="75" t="n">
        <f aca="false">N80+N81+N82</f>
        <v>2725000</v>
      </c>
      <c r="O83" s="75" t="n">
        <f aca="false">O80+O81+O82</f>
        <v>2700000</v>
      </c>
      <c r="P83" s="75" t="n">
        <f aca="false">P80+P81+P82</f>
        <v>2675000</v>
      </c>
      <c r="Q83" s="75" t="n">
        <f aca="false">Q80+Q81+Q82</f>
        <v>2650000</v>
      </c>
      <c r="R83" s="75" t="n">
        <f aca="false">R80+R81+R82</f>
        <v>2625000</v>
      </c>
      <c r="S83" s="75" t="n">
        <f aca="false">S80+S81+S82</f>
        <v>2600000</v>
      </c>
      <c r="T83" s="75" t="n">
        <f aca="false">T80+T81+T82</f>
        <v>2575000</v>
      </c>
      <c r="U83" s="75" t="n">
        <f aca="false">U80+U81+U82</f>
        <v>2550000</v>
      </c>
      <c r="V83" s="75" t="n">
        <f aca="false">V80+V81+V82</f>
        <v>2525000</v>
      </c>
      <c r="W83" s="75" t="n">
        <f aca="false">W80+W81+W82</f>
        <v>2500000</v>
      </c>
      <c r="X83" s="75" t="n">
        <f aca="false">X80+X81+X82</f>
        <v>2475000</v>
      </c>
      <c r="Y83" s="75" t="n">
        <f aca="false">Y80+Y81+Y82</f>
        <v>2450000</v>
      </c>
      <c r="Z83" s="75" t="n">
        <f aca="false">Z80+Z81+Z82</f>
        <v>2425000</v>
      </c>
      <c r="AA83" s="75" t="n">
        <f aca="false">AA80+AA81+AA82</f>
        <v>2400000</v>
      </c>
      <c r="AB83" s="75" t="n">
        <f aca="false">AB80+AB81+AB82</f>
        <v>2375000</v>
      </c>
      <c r="AC83" s="75" t="n">
        <f aca="false">AC80+AC81+AC82</f>
        <v>2350000</v>
      </c>
      <c r="AD83" s="75" t="n">
        <f aca="false">AD80+AD81+AD82</f>
        <v>2325000</v>
      </c>
      <c r="AE83" s="75" t="n">
        <f aca="false">AE80+AE81+AE82</f>
        <v>2300000</v>
      </c>
      <c r="AF83" s="75" t="n">
        <f aca="false">AF80+AF81+AF82</f>
        <v>2275000</v>
      </c>
      <c r="AG83" s="75" t="n">
        <f aca="false">AG80+AG81+AG82</f>
        <v>2250000</v>
      </c>
      <c r="AH83" s="75" t="n">
        <f aca="false">AH80+AH81+AH82</f>
        <v>2225000</v>
      </c>
      <c r="AI83" s="75" t="n">
        <f aca="false">AI80+AI81+AI82</f>
        <v>2200000</v>
      </c>
      <c r="AJ83" s="75" t="n">
        <f aca="false">AJ80+AJ81+AJ82</f>
        <v>2175000</v>
      </c>
      <c r="AK83" s="75" t="n">
        <f aca="false">AK80+AK81+AK82</f>
        <v>2150000</v>
      </c>
      <c r="AL83" s="75" t="n">
        <f aca="false">AL80+AL81+AL82</f>
        <v>2125000</v>
      </c>
      <c r="AM83" s="75" t="n">
        <f aca="false">AM80+AM81+AM82</f>
        <v>2100000</v>
      </c>
      <c r="AN83" s="75" t="n">
        <f aca="false">AN80+AN81+AN82</f>
        <v>2075000</v>
      </c>
      <c r="AO83" s="75" t="n">
        <f aca="false">AO80+AO81+AO82</f>
        <v>2050000</v>
      </c>
      <c r="AP83" s="75" t="n">
        <f aca="false">AP80+AP81+AP82</f>
        <v>2025000</v>
      </c>
      <c r="AQ83" s="75" t="n">
        <f aca="false">AQ80+AQ81+AQ82</f>
        <v>2000000</v>
      </c>
      <c r="AR83" s="75" t="n">
        <f aca="false">AR80+AR81+AR82</f>
        <v>1975000</v>
      </c>
      <c r="AS83" s="75" t="n">
        <f aca="false">AS80+AS81+AS82</f>
        <v>1950000</v>
      </c>
      <c r="AT83" s="75" t="n">
        <f aca="false">AT80+AT81+AT82</f>
        <v>1925000</v>
      </c>
      <c r="AU83" s="75" t="n">
        <f aca="false">AU80+AU81+AU82</f>
        <v>1900000</v>
      </c>
      <c r="AV83" s="75" t="n">
        <f aca="false">AV80+AV81+AV82</f>
        <v>1875000</v>
      </c>
      <c r="AW83" s="75" t="n">
        <f aca="false">AW80+AW81+AW82</f>
        <v>1850000</v>
      </c>
      <c r="AX83" s="75" t="n">
        <f aca="false">AX80+AX81+AX82</f>
        <v>1825000</v>
      </c>
      <c r="AY83" s="75" t="n">
        <f aca="false">AY80+AY81+AY82</f>
        <v>1800000</v>
      </c>
      <c r="AZ83" s="75" t="n">
        <f aca="false">AZ80+AZ81+AZ82</f>
        <v>1775000</v>
      </c>
      <c r="BA83" s="75" t="n">
        <f aca="false">BA80+BA81+BA82</f>
        <v>1750000</v>
      </c>
      <c r="BB83" s="75" t="n">
        <f aca="false">BB80+BB81+BB82</f>
        <v>1725000</v>
      </c>
      <c r="BC83" s="75" t="n">
        <f aca="false">BC80+BC81+BC82</f>
        <v>1700000</v>
      </c>
      <c r="BD83" s="75" t="n">
        <f aca="false">BD80+BD81+BD82</f>
        <v>1675000</v>
      </c>
      <c r="BE83" s="75" t="n">
        <f aca="false">BE80+BE81+BE82</f>
        <v>1650000</v>
      </c>
      <c r="BF83" s="75" t="n">
        <f aca="false">BF80+BF81+BF82</f>
        <v>1625000</v>
      </c>
      <c r="BG83" s="75" t="n">
        <f aca="false">BG80+BG81+BG82</f>
        <v>1600000</v>
      </c>
      <c r="BH83" s="75" t="n">
        <f aca="false">BH80+BH81+BH82</f>
        <v>1575000</v>
      </c>
      <c r="BI83" s="75" t="n">
        <f aca="false">BI80+BI81+BI82</f>
        <v>1550000</v>
      </c>
      <c r="BJ83" s="75" t="n">
        <f aca="false">BJ80+BJ81+BJ82</f>
        <v>1525000</v>
      </c>
    </row>
    <row r="85" customFormat="false" ht="15.75" hidden="false" customHeight="true" outlineLevel="0" collapsed="false">
      <c r="A85" s="7" t="s">
        <v>326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6" t="s">
        <v>90</v>
      </c>
      <c r="C86" s="69" t="n">
        <f aca="false">C37*Inputs!$E$75/30</f>
        <v>3196.22386666667</v>
      </c>
      <c r="D86" s="69" t="n">
        <f aca="false">D37*Inputs!$E$75/30</f>
        <v>3629.92906014815</v>
      </c>
      <c r="E86" s="69" t="n">
        <f aca="false">E37*Inputs!$E$75/30</f>
        <v>4851.56011996444</v>
      </c>
      <c r="F86" s="69" t="n">
        <f aca="false">F37*Inputs!$E$75/30</f>
        <v>5403.45992257327</v>
      </c>
      <c r="G86" s="69" t="n">
        <f aca="false">G37*Inputs!$E$75/30</f>
        <v>5966.01842937405</v>
      </c>
      <c r="H86" s="69" t="n">
        <f aca="false">H37*Inputs!$E$75/30</f>
        <v>6538.80929219909</v>
      </c>
      <c r="I86" s="69" t="n">
        <f aca="false">I37*Inputs!$E$75/30</f>
        <v>7121.42321680742</v>
      </c>
      <c r="J86" s="69" t="n">
        <f aca="false">J37*Inputs!$E$75/30</f>
        <v>7713.46728072771</v>
      </c>
      <c r="K86" s="69" t="n">
        <f aca="false">K37*Inputs!$E$75/30</f>
        <v>8314.5642783875</v>
      </c>
      <c r="L86" s="69" t="n">
        <f aca="false">L37*Inputs!$E$75/30</f>
        <v>8924.35209243718</v>
      </c>
      <c r="M86" s="69" t="n">
        <f aca="false">M37*Inputs!$E$75/30</f>
        <v>9103.03667540636</v>
      </c>
      <c r="N86" s="69" t="n">
        <f aca="false">N37*Inputs!$E$75/30</f>
        <v>7915.98187505677</v>
      </c>
      <c r="O86" s="69" t="n">
        <f aca="false">O37*Inputs!$E$75/30</f>
        <v>8395.95702165559</v>
      </c>
      <c r="P86" s="69" t="n">
        <f aca="false">P37*Inputs!$E$75/30</f>
        <v>8541.41545118937</v>
      </c>
      <c r="Q86" s="69" t="n">
        <f aca="false">Q37*Inputs!$E$75/30</f>
        <v>10108.3922987418</v>
      </c>
      <c r="R86" s="69" t="n">
        <f aca="false">R37*Inputs!$E$75/30</f>
        <v>10269.1996019921</v>
      </c>
      <c r="S86" s="69" t="n">
        <f aca="false">S37*Inputs!$E$75/30</f>
        <v>10423.5746131124</v>
      </c>
      <c r="T86" s="69" t="n">
        <f aca="false">T37*Inputs!$E$75/30</f>
        <v>10571.7746237879</v>
      </c>
      <c r="U86" s="69" t="n">
        <f aca="false">U37*Inputs!$E$75/30</f>
        <v>10714.0466340364</v>
      </c>
      <c r="V86" s="69" t="n">
        <f aca="false">V37*Inputs!$E$75/30</f>
        <v>10850.627763875</v>
      </c>
      <c r="W86" s="69" t="n">
        <f aca="false">W37*Inputs!$E$75/30</f>
        <v>10981.74564852</v>
      </c>
      <c r="X86" s="69" t="n">
        <f aca="false">X37*Inputs!$E$75/30</f>
        <v>11107.6188177792</v>
      </c>
      <c r="Y86" s="69" t="n">
        <f aca="false">Y37*Inputs!$E$75/30</f>
        <v>11228.457060268</v>
      </c>
      <c r="Z86" s="69" t="n">
        <f aca="false">Z37*Inputs!$E$75/30</f>
        <v>9917.12501785728</v>
      </c>
      <c r="AA86" s="69" t="n">
        <f aca="false">AA37*Inputs!$E$75/30</f>
        <v>10390.5828321076</v>
      </c>
      <c r="AB86" s="69" t="n">
        <f aca="false">AB37*Inputs!$E$75/30</f>
        <v>10483.1588227695</v>
      </c>
      <c r="AC86" s="69" t="n">
        <f aca="false">AC37*Inputs!$E$75/30</f>
        <v>12071.5917688181</v>
      </c>
      <c r="AD86" s="69" t="n">
        <f aca="false">AD37*Inputs!$E$75/30</f>
        <v>12185.0163088225</v>
      </c>
      <c r="AE86" s="69" t="n">
        <f aca="false">AE37*Inputs!$E$75/30</f>
        <v>12293.9038672267</v>
      </c>
      <c r="AF86" s="69" t="n">
        <f aca="false">AF37*Inputs!$E$75/30</f>
        <v>12398.4359232948</v>
      </c>
      <c r="AG86" s="69" t="n">
        <f aca="false">AG37*Inputs!$E$75/30</f>
        <v>12498.7866971201</v>
      </c>
      <c r="AH86" s="69" t="n">
        <f aca="false">AH37*Inputs!$E$75/30</f>
        <v>12595.1234399924</v>
      </c>
      <c r="AI86" s="69" t="n">
        <f aca="false">AI37*Inputs!$E$75/30</f>
        <v>12687.6067131499</v>
      </c>
      <c r="AJ86" s="69" t="n">
        <f aca="false">AJ37*Inputs!$E$75/30</f>
        <v>12776.390655381</v>
      </c>
      <c r="AK86" s="69" t="n">
        <f aca="false">AK37*Inputs!$E$75/30</f>
        <v>12861.6232399229</v>
      </c>
      <c r="AL86" s="69" t="n">
        <f aca="false">AL37*Inputs!$E$75/30</f>
        <v>11443.8865260699</v>
      </c>
      <c r="AM86" s="69" t="n">
        <f aca="false">AM37*Inputs!$E$75/30</f>
        <v>11922.6472006793</v>
      </c>
      <c r="AN86" s="69" t="n">
        <f aca="false">AN37*Inputs!$E$75/30</f>
        <v>11982.3854589581</v>
      </c>
      <c r="AO86" s="69" t="n">
        <f aca="false">AO37*Inputs!$E$75/30</f>
        <v>13615.1719176664</v>
      </c>
      <c r="AP86" s="69" t="n">
        <f aca="false">AP37*Inputs!$E$75/30</f>
        <v>13699.7553927612</v>
      </c>
      <c r="AQ86" s="69" t="n">
        <f aca="false">AQ37*Inputs!$E$75/30</f>
        <v>13780.9555288522</v>
      </c>
      <c r="AR86" s="69" t="n">
        <f aca="false">AR37*Inputs!$E$75/30</f>
        <v>13858.9076594995</v>
      </c>
      <c r="AS86" s="69" t="n">
        <f aca="false">AS37*Inputs!$E$75/30</f>
        <v>13933.741704921</v>
      </c>
      <c r="AT86" s="69" t="n">
        <f aca="false">AT37*Inputs!$E$75/30</f>
        <v>14005.5823885256</v>
      </c>
      <c r="AU86" s="69" t="n">
        <f aca="false">AU37*Inputs!$E$75/30</f>
        <v>14074.549444786</v>
      </c>
      <c r="AV86" s="69" t="n">
        <f aca="false">AV37*Inputs!$E$75/30</f>
        <v>14140.757818796</v>
      </c>
      <c r="AW86" s="69" t="n">
        <f aca="false">AW37*Inputs!$E$75/30</f>
        <v>14204.3178578456</v>
      </c>
      <c r="AX86" s="69" t="n">
        <f aca="false">AX37*Inputs!$E$75/30</f>
        <v>12689.8977645724</v>
      </c>
      <c r="AY86" s="69" t="n">
        <f aca="false">AY37*Inputs!$E$75/30</f>
        <v>13181.865327897</v>
      </c>
      <c r="AZ86" s="69" t="n">
        <f aca="false">AZ37*Inputs!$E$75/30</f>
        <v>13221.3128394583</v>
      </c>
      <c r="BA86" s="69" t="n">
        <f aca="false">BA37*Inputs!$E$75/30</f>
        <v>14914.3373304944</v>
      </c>
      <c r="BB86" s="69" t="n">
        <f aca="false">BB37*Inputs!$E$75/30</f>
        <v>14981.7150054454</v>
      </c>
      <c r="BC86" s="69" t="n">
        <f aca="false">BC37*Inputs!$E$75/30</f>
        <v>15046.3975733983</v>
      </c>
      <c r="BD86" s="69" t="n">
        <f aca="false">BD37*Inputs!$E$75/30</f>
        <v>15108.4928386332</v>
      </c>
      <c r="BE86" s="69" t="n">
        <f aca="false">BE37*Inputs!$E$75/30</f>
        <v>15168.1042932586</v>
      </c>
      <c r="BF86" s="69" t="n">
        <f aca="false">BF37*Inputs!$E$75/30</f>
        <v>15225.331289699</v>
      </c>
      <c r="BG86" s="69" t="n">
        <f aca="false">BG37*Inputs!$E$75/30</f>
        <v>15280.2692062818</v>
      </c>
      <c r="BH86" s="69" t="n">
        <f aca="false">BH37*Inputs!$E$75/30</f>
        <v>15333.0096062013</v>
      </c>
      <c r="BI86" s="69" t="n">
        <f aca="false">BI37*Inputs!$E$75/30</f>
        <v>15383.640390124</v>
      </c>
      <c r="BJ86" s="69" t="n">
        <f aca="false">BJ37*Inputs!$E$75/30</f>
        <v>13777.0910627525</v>
      </c>
    </row>
    <row r="87" customFormat="false" ht="15" hidden="false" customHeight="false" outlineLevel="0" collapsed="false">
      <c r="A87" s="6" t="s">
        <v>91</v>
      </c>
      <c r="C87" s="69" t="n">
        <f aca="false">-C45*Inputs!$E$76/30</f>
        <v>1650.12067404333</v>
      </c>
      <c r="D87" s="69" t="n">
        <f aca="false">-D45*Inputs!$E$76/30</f>
        <v>1874.00472147456</v>
      </c>
      <c r="E87" s="69" t="n">
        <f aca="false">-E45*Inputs!$E$76/30</f>
        <v>2584.5948932913</v>
      </c>
      <c r="F87" s="69" t="n">
        <f aca="false">-F45*Inputs!$E$76/30</f>
        <v>2884.39593898965</v>
      </c>
      <c r="G87" s="69" t="n">
        <f aca="false">-G45*Inputs!$E$76/30</f>
        <v>3191.70097890673</v>
      </c>
      <c r="H87" s="69" t="n">
        <f aca="false">-H45*Inputs!$E$76/30</f>
        <v>3506.20985327379</v>
      </c>
      <c r="I87" s="69" t="n">
        <f aca="false">-I45*Inputs!$E$76/30</f>
        <v>3827.63440871284</v>
      </c>
      <c r="J87" s="69" t="n">
        <f aca="false">-J45*Inputs!$E$76/30</f>
        <v>4155.698017981</v>
      </c>
      <c r="K87" s="69" t="n">
        <f aca="false">-K45*Inputs!$E$76/30</f>
        <v>4490.13511892509</v>
      </c>
      <c r="L87" s="69" t="n">
        <f aca="false">-L45*Inputs!$E$76/30</f>
        <v>4830.69077187809</v>
      </c>
      <c r="M87" s="69" t="n">
        <f aca="false">-M45*Inputs!$E$76/30</f>
        <v>4956.48918540296</v>
      </c>
      <c r="N87" s="69" t="n">
        <f aca="false">-N45*Inputs!$E$76/30</f>
        <v>4146.69851764287</v>
      </c>
      <c r="O87" s="69" t="n">
        <f aca="false">-O45*Inputs!$E$76/30</f>
        <v>4437.9045862263</v>
      </c>
      <c r="P87" s="69" t="n">
        <f aca="false">-P45*Inputs!$E$76/30</f>
        <v>4524.40568388608</v>
      </c>
      <c r="Q87" s="69" t="n">
        <f aca="false">-Q45*Inputs!$E$76/30</f>
        <v>5635.20556376361</v>
      </c>
      <c r="R87" s="69" t="n">
        <f aca="false">-R45*Inputs!$E$76/30</f>
        <v>5749.36231361903</v>
      </c>
      <c r="S87" s="69" t="n">
        <f aca="false">-S45*Inputs!$E$76/30</f>
        <v>5858.95279348023</v>
      </c>
      <c r="T87" s="69" t="n">
        <f aca="false">-T45*Inputs!$E$76/30</f>
        <v>5964.15965414698</v>
      </c>
      <c r="U87" s="69" t="n">
        <f aca="false">-U45*Inputs!$E$76/30</f>
        <v>6065.15824038706</v>
      </c>
      <c r="V87" s="69" t="n">
        <f aca="false">-V45*Inputs!$E$76/30</f>
        <v>6162.11688317754</v>
      </c>
      <c r="W87" s="69" t="n">
        <f aca="false">-W45*Inputs!$E$76/30</f>
        <v>6255.19718025639</v>
      </c>
      <c r="X87" s="69" t="n">
        <f aca="false">-X45*Inputs!$E$76/30</f>
        <v>6344.5542654521</v>
      </c>
      <c r="Y87" s="69" t="n">
        <f aca="false">-Y45*Inputs!$E$76/30</f>
        <v>6430.33706723997</v>
      </c>
      <c r="Z87" s="69" t="n">
        <f aca="false">-Z45*Inputs!$E$76/30</f>
        <v>5342.51150256752</v>
      </c>
      <c r="AA87" s="69" t="n">
        <f aca="false">-AA45*Inputs!$E$76/30</f>
        <v>5640.15059832643</v>
      </c>
      <c r="AB87" s="69" t="n">
        <f aca="false">-AB45*Inputs!$E$76/30</f>
        <v>5695.64804791407</v>
      </c>
      <c r="AC87" s="69" t="n">
        <f aca="false">-AC45*Inputs!$E$76/30</f>
        <v>7006.63571134713</v>
      </c>
      <c r="AD87" s="69" t="n">
        <f aca="false">-AD45*Inputs!$E$76/30</f>
        <v>7087.82819164455</v>
      </c>
      <c r="AE87" s="69" t="n">
        <f aca="false">-AE45*Inputs!$E$76/30</f>
        <v>7165.77297273006</v>
      </c>
      <c r="AF87" s="69" t="n">
        <f aca="false">-AF45*Inputs!$E$76/30</f>
        <v>7240.59996257216</v>
      </c>
      <c r="AG87" s="69" t="n">
        <f aca="false">-AG45*Inputs!$E$76/30</f>
        <v>7312.43387282057</v>
      </c>
      <c r="AH87" s="69" t="n">
        <f aca="false">-AH45*Inputs!$E$76/30</f>
        <v>7381.39442665905</v>
      </c>
      <c r="AI87" s="69" t="n">
        <f aca="false">-AI45*Inputs!$E$76/30</f>
        <v>7447.59655834399</v>
      </c>
      <c r="AJ87" s="69" t="n">
        <f aca="false">-AJ45*Inputs!$E$76/30</f>
        <v>7511.15060476153</v>
      </c>
      <c r="AK87" s="69" t="n">
        <f aca="false">-AK45*Inputs!$E$76/30</f>
        <v>7572.16248932236</v>
      </c>
      <c r="AL87" s="69" t="n">
        <f aca="false">-AL45*Inputs!$E$76/30</f>
        <v>6271.58503654501</v>
      </c>
      <c r="AM87" s="69" t="n">
        <f aca="false">-AM45*Inputs!$E$76/30</f>
        <v>6580.53393502341</v>
      </c>
      <c r="AN87" s="69" t="n">
        <f aca="false">-AN45*Inputs!$E$76/30</f>
        <v>6616.63542435188</v>
      </c>
      <c r="AO87" s="69" t="n">
        <f aca="false">-AO45*Inputs!$E$76/30</f>
        <v>8093.56439393673</v>
      </c>
      <c r="AP87" s="69" t="n">
        <f aca="false">-AP45*Inputs!$E$76/30</f>
        <v>8154.61815677977</v>
      </c>
      <c r="AQ87" s="69" t="n">
        <f aca="false">-AQ45*Inputs!$E$76/30</f>
        <v>8213.2297691091</v>
      </c>
      <c r="AR87" s="69" t="n">
        <f aca="false">-AR45*Inputs!$E$76/30</f>
        <v>8269.49691694525</v>
      </c>
      <c r="AS87" s="69" t="n">
        <f aca="false">-AS45*Inputs!$E$76/30</f>
        <v>8323.51337886796</v>
      </c>
      <c r="AT87" s="69" t="n">
        <f aca="false">-AT45*Inputs!$E$76/30</f>
        <v>8375.36918231376</v>
      </c>
      <c r="AU87" s="69" t="n">
        <f aca="false">-AU45*Inputs!$E$76/30</f>
        <v>8425.15075362172</v>
      </c>
      <c r="AV87" s="69" t="n">
        <f aca="false">-AV45*Inputs!$E$76/30</f>
        <v>8472.94106207737</v>
      </c>
      <c r="AW87" s="69" t="n">
        <f aca="false">-AW45*Inputs!$E$76/30</f>
        <v>8518.81975819479</v>
      </c>
      <c r="AX87" s="69" t="n">
        <f aca="false">-AX45*Inputs!$E$76/30</f>
        <v>7044.20476913786</v>
      </c>
      <c r="AY87" s="69" t="n">
        <f aca="false">-AY45*Inputs!$E$76/30</f>
        <v>7368.00318073766</v>
      </c>
      <c r="AZ87" s="69" t="n">
        <f aca="false">-AZ45*Inputs!$E$76/30</f>
        <v>7392.03551822076</v>
      </c>
      <c r="BA87" s="69" t="n">
        <f aca="false">-BA45*Inputs!$E$76/30</f>
        <v>9015.90765839958</v>
      </c>
      <c r="BB87" s="69" t="n">
        <f aca="false">-BB45*Inputs!$E$76/30</f>
        <v>9064.94943555324</v>
      </c>
      <c r="BC87" s="69" t="n">
        <f aca="false">-BC45*Inputs!$E$76/30</f>
        <v>9112.02954162074</v>
      </c>
      <c r="BD87" s="69" t="n">
        <f aca="false">-BD45*Inputs!$E$76/30</f>
        <v>9157.22644344555</v>
      </c>
      <c r="BE87" s="69" t="n">
        <f aca="false">-BE45*Inputs!$E$76/30</f>
        <v>9200.61546919736</v>
      </c>
      <c r="BF87" s="69" t="n">
        <f aca="false">-BF45*Inputs!$E$76/30</f>
        <v>9242.2689339191</v>
      </c>
      <c r="BG87" s="69" t="n">
        <f aca="false">-BG45*Inputs!$E$76/30</f>
        <v>9282.25626005198</v>
      </c>
      <c r="BH87" s="69" t="n">
        <f aca="false">-BH45*Inputs!$E$76/30</f>
        <v>9320.64409313953</v>
      </c>
      <c r="BI87" s="69" t="n">
        <f aca="false">-BI45*Inputs!$E$76/30</f>
        <v>9357.49641290359</v>
      </c>
      <c r="BJ87" s="69" t="n">
        <f aca="false">-BJ45*Inputs!$E$76/30</f>
        <v>7730.62848135879</v>
      </c>
    </row>
    <row r="88" customFormat="false" ht="15" hidden="false" customHeight="false" outlineLevel="0" collapsed="false">
      <c r="A88" s="6" t="s">
        <v>94</v>
      </c>
      <c r="C88" s="69" t="n">
        <f aca="false">-C45*Inputs!$E$77/30</f>
        <v>4714.63049726667</v>
      </c>
      <c r="D88" s="69" t="n">
        <f aca="false">-D45*Inputs!$E$77/30</f>
        <v>5354.29920421304</v>
      </c>
      <c r="E88" s="69" t="n">
        <f aca="false">-E45*Inputs!$E$77/30</f>
        <v>7384.55683797515</v>
      </c>
      <c r="F88" s="69" t="n">
        <f aca="false">-F45*Inputs!$E$77/30</f>
        <v>8241.13125425614</v>
      </c>
      <c r="G88" s="69" t="n">
        <f aca="false">-G45*Inputs!$E$77/30</f>
        <v>9119.14565401923</v>
      </c>
      <c r="H88" s="69" t="n">
        <f aca="false">-H45*Inputs!$E$77/30</f>
        <v>10017.7424379251</v>
      </c>
      <c r="I88" s="69" t="n">
        <f aca="false">-I45*Inputs!$E$77/30</f>
        <v>10936.0983106081</v>
      </c>
      <c r="J88" s="69" t="n">
        <f aca="false">-J45*Inputs!$E$77/30</f>
        <v>11873.4229085171</v>
      </c>
      <c r="K88" s="69" t="n">
        <f aca="false">-K45*Inputs!$E$77/30</f>
        <v>12828.9574826431</v>
      </c>
      <c r="L88" s="69" t="n">
        <f aca="false">-L45*Inputs!$E$77/30</f>
        <v>13801.9736339374</v>
      </c>
      <c r="M88" s="69" t="n">
        <f aca="false">-M45*Inputs!$E$77/30</f>
        <v>14161.3976725799</v>
      </c>
      <c r="N88" s="69" t="n">
        <f aca="false">-N45*Inputs!$E$77/30</f>
        <v>11847.7100504082</v>
      </c>
      <c r="O88" s="69" t="n">
        <f aca="false">-O45*Inputs!$E$77/30</f>
        <v>12679.727389218</v>
      </c>
      <c r="P88" s="69" t="n">
        <f aca="false">-P45*Inputs!$E$77/30</f>
        <v>12926.8733825317</v>
      </c>
      <c r="Q88" s="69" t="n">
        <f aca="false">-Q45*Inputs!$E$77/30</f>
        <v>16100.5873250389</v>
      </c>
      <c r="R88" s="69" t="n">
        <f aca="false">-R45*Inputs!$E$77/30</f>
        <v>16426.7494674829</v>
      </c>
      <c r="S88" s="69" t="n">
        <f aca="false">-S45*Inputs!$E$77/30</f>
        <v>16739.8651242292</v>
      </c>
      <c r="T88" s="69" t="n">
        <f aca="false">-T45*Inputs!$E$77/30</f>
        <v>17040.4561547056</v>
      </c>
      <c r="U88" s="69" t="n">
        <f aca="false">-U45*Inputs!$E$77/30</f>
        <v>17329.023543963</v>
      </c>
      <c r="V88" s="69" t="n">
        <f aca="false">-V45*Inputs!$E$77/30</f>
        <v>17606.0482376501</v>
      </c>
      <c r="W88" s="69" t="n">
        <f aca="false">-W45*Inputs!$E$77/30</f>
        <v>17871.9919435897</v>
      </c>
      <c r="X88" s="69" t="n">
        <f aca="false">-X45*Inputs!$E$77/30</f>
        <v>18127.2979012917</v>
      </c>
      <c r="Y88" s="69" t="n">
        <f aca="false">-Y45*Inputs!$E$77/30</f>
        <v>18372.3916206856</v>
      </c>
      <c r="Z88" s="69" t="n">
        <f aca="false">-Z45*Inputs!$E$77/30</f>
        <v>15264.3185787643</v>
      </c>
      <c r="AA88" s="69" t="n">
        <f aca="false">-AA45*Inputs!$E$77/30</f>
        <v>16114.7159952184</v>
      </c>
      <c r="AB88" s="69" t="n">
        <f aca="false">-AB45*Inputs!$E$77/30</f>
        <v>16273.2801368973</v>
      </c>
      <c r="AC88" s="69" t="n">
        <f aca="false">-AC45*Inputs!$E$77/30</f>
        <v>20018.9591752775</v>
      </c>
      <c r="AD88" s="69" t="n">
        <f aca="false">-AD45*Inputs!$E$77/30</f>
        <v>20250.937690413</v>
      </c>
      <c r="AE88" s="69" t="n">
        <f aca="false">-AE45*Inputs!$E$77/30</f>
        <v>20473.637064943</v>
      </c>
      <c r="AF88" s="69" t="n">
        <f aca="false">-AF45*Inputs!$E$77/30</f>
        <v>20687.4284644919</v>
      </c>
      <c r="AG88" s="69" t="n">
        <f aca="false">-AG45*Inputs!$E$77/30</f>
        <v>20892.6682080588</v>
      </c>
      <c r="AH88" s="69" t="n">
        <f aca="false">-AH45*Inputs!$E$77/30</f>
        <v>21089.698361883</v>
      </c>
      <c r="AI88" s="69" t="n">
        <f aca="false">-AI45*Inputs!$E$77/30</f>
        <v>21278.8473095542</v>
      </c>
      <c r="AJ88" s="69" t="n">
        <f aca="false">-AJ45*Inputs!$E$77/30</f>
        <v>21460.4302993186</v>
      </c>
      <c r="AK88" s="69" t="n">
        <f aca="false">-AK45*Inputs!$E$77/30</f>
        <v>21634.7499694925</v>
      </c>
      <c r="AL88" s="69" t="n">
        <f aca="false">-AL45*Inputs!$E$77/30</f>
        <v>17918.8143901286</v>
      </c>
      <c r="AM88" s="69" t="n">
        <f aca="false">-AM45*Inputs!$E$77/30</f>
        <v>18801.5255286383</v>
      </c>
      <c r="AN88" s="69" t="n">
        <f aca="false">-AN45*Inputs!$E$77/30</f>
        <v>18904.6726410054</v>
      </c>
      <c r="AO88" s="69" t="n">
        <f aca="false">-AO45*Inputs!$E$77/30</f>
        <v>23124.4696969621</v>
      </c>
      <c r="AP88" s="69" t="n">
        <f aca="false">-AP45*Inputs!$E$77/30</f>
        <v>23298.9090193708</v>
      </c>
      <c r="AQ88" s="69" t="n">
        <f aca="false">-AQ45*Inputs!$E$77/30</f>
        <v>23466.3707688831</v>
      </c>
      <c r="AR88" s="69" t="n">
        <f aca="false">-AR45*Inputs!$E$77/30</f>
        <v>23627.134048415</v>
      </c>
      <c r="AS88" s="69" t="n">
        <f aca="false">-AS45*Inputs!$E$77/30</f>
        <v>23781.4667967656</v>
      </c>
      <c r="AT88" s="69" t="n">
        <f aca="false">-AT45*Inputs!$E$77/30</f>
        <v>23929.6262351822</v>
      </c>
      <c r="AU88" s="69" t="n">
        <f aca="false">-AU45*Inputs!$E$77/30</f>
        <v>24071.8592960621</v>
      </c>
      <c r="AV88" s="69" t="n">
        <f aca="false">-AV45*Inputs!$E$77/30</f>
        <v>24208.4030345068</v>
      </c>
      <c r="AW88" s="69" t="n">
        <f aca="false">-AW45*Inputs!$E$77/30</f>
        <v>24339.4850234137</v>
      </c>
      <c r="AX88" s="69" t="n">
        <f aca="false">-AX45*Inputs!$E$77/30</f>
        <v>20126.2993403939</v>
      </c>
      <c r="AY88" s="69" t="n">
        <f aca="false">-AY45*Inputs!$E$77/30</f>
        <v>21051.4376592505</v>
      </c>
      <c r="AZ88" s="69" t="n">
        <f aca="false">-AZ45*Inputs!$E$77/30</f>
        <v>21120.1014806307</v>
      </c>
      <c r="BA88" s="69" t="n">
        <f aca="false">-BA45*Inputs!$E$77/30</f>
        <v>25759.7361668559</v>
      </c>
      <c r="BB88" s="69" t="n">
        <f aca="false">-BB45*Inputs!$E$77/30</f>
        <v>25899.8555301521</v>
      </c>
      <c r="BC88" s="69" t="n">
        <f aca="false">-BC45*Inputs!$E$77/30</f>
        <v>26034.3701189164</v>
      </c>
      <c r="BD88" s="69" t="n">
        <f aca="false">-BD45*Inputs!$E$77/30</f>
        <v>26163.5041241301</v>
      </c>
      <c r="BE88" s="69" t="n">
        <f aca="false">-BE45*Inputs!$E$77/30</f>
        <v>26287.4727691353</v>
      </c>
      <c r="BF88" s="69" t="n">
        <f aca="false">-BF45*Inputs!$E$77/30</f>
        <v>26406.4826683403</v>
      </c>
      <c r="BG88" s="69" t="n">
        <f aca="false">-BG45*Inputs!$E$77/30</f>
        <v>26520.7321715771</v>
      </c>
      <c r="BH88" s="69" t="n">
        <f aca="false">-BH45*Inputs!$E$77/30</f>
        <v>26630.4116946844</v>
      </c>
      <c r="BI88" s="69" t="n">
        <f aca="false">-BI45*Inputs!$E$77/30</f>
        <v>26735.7040368674</v>
      </c>
      <c r="BJ88" s="69" t="n">
        <f aca="false">-BJ45*Inputs!$E$77/30</f>
        <v>22087.5099467394</v>
      </c>
    </row>
    <row r="89" customFormat="false" ht="15" hidden="false" customHeight="false" outlineLevel="0" collapsed="false">
      <c r="A89" s="6" t="s">
        <v>348</v>
      </c>
      <c r="C89" s="69" t="n">
        <f aca="false">-C86</f>
        <v>-3196.22386666667</v>
      </c>
      <c r="D89" s="69" t="n">
        <f aca="false">C86-D86</f>
        <v>-433.705193481482</v>
      </c>
      <c r="E89" s="69" t="n">
        <f aca="false">D86-E86</f>
        <v>-1221.6310598163</v>
      </c>
      <c r="F89" s="69" t="n">
        <f aca="false">E86-F86</f>
        <v>-551.899802608829</v>
      </c>
      <c r="G89" s="69" t="n">
        <f aca="false">F86-G86</f>
        <v>-562.558506800773</v>
      </c>
      <c r="H89" s="69" t="n">
        <f aca="false">G86-H86</f>
        <v>-572.790862825039</v>
      </c>
      <c r="I89" s="69" t="n">
        <f aca="false">H86-I86</f>
        <v>-582.613924608332</v>
      </c>
      <c r="J89" s="69" t="n">
        <f aca="false">I86-J86</f>
        <v>-592.044063920296</v>
      </c>
      <c r="K89" s="69" t="n">
        <f aca="false">J86-K86</f>
        <v>-601.096997659782</v>
      </c>
      <c r="L89" s="69" t="n">
        <f aca="false">K86-L86</f>
        <v>-609.787814049685</v>
      </c>
      <c r="M89" s="69" t="n">
        <f aca="false">L86-M86</f>
        <v>-178.684582969179</v>
      </c>
      <c r="N89" s="69" t="n">
        <f aca="false">M86-N86</f>
        <v>1187.05480034959</v>
      </c>
      <c r="O89" s="69" t="n">
        <f aca="false">N86-O86</f>
        <v>-479.975146598818</v>
      </c>
      <c r="P89" s="69" t="n">
        <f aca="false">O86-P86</f>
        <v>-145.458429533775</v>
      </c>
      <c r="Q89" s="69" t="n">
        <f aca="false">P86-Q86</f>
        <v>-1566.97684755243</v>
      </c>
      <c r="R89" s="69" t="n">
        <f aca="false">Q86-R86</f>
        <v>-160.807303250327</v>
      </c>
      <c r="S89" s="69" t="n">
        <f aca="false">R86-S86</f>
        <v>-154.375011120315</v>
      </c>
      <c r="T89" s="69" t="n">
        <f aca="false">S86-T86</f>
        <v>-148.200010675502</v>
      </c>
      <c r="U89" s="69" t="n">
        <f aca="false">T86-U86</f>
        <v>-142.272010248485</v>
      </c>
      <c r="V89" s="69" t="n">
        <f aca="false">U86-V86</f>
        <v>-136.581129838542</v>
      </c>
      <c r="W89" s="69" t="n">
        <f aca="false">V86-W86</f>
        <v>-131.117884645002</v>
      </c>
      <c r="X89" s="69" t="n">
        <f aca="false">W86-X86</f>
        <v>-125.873169259201</v>
      </c>
      <c r="Y89" s="69" t="n">
        <f aca="false">X86-Y86</f>
        <v>-120.838242488833</v>
      </c>
      <c r="Z89" s="69" t="n">
        <f aca="false">Y86-Z86</f>
        <v>1311.33204241072</v>
      </c>
      <c r="AA89" s="69" t="n">
        <f aca="false">Z86-AA86</f>
        <v>-473.457814250329</v>
      </c>
      <c r="AB89" s="69" t="n">
        <f aca="false">AA86-AB86</f>
        <v>-92.5759906619351</v>
      </c>
      <c r="AC89" s="69" t="n">
        <f aca="false">AB86-AC86</f>
        <v>-1588.43294604858</v>
      </c>
      <c r="AD89" s="69" t="n">
        <f aca="false">AC86-AD86</f>
        <v>-113.424540004396</v>
      </c>
      <c r="AE89" s="69" t="n">
        <f aca="false">AD86-AE86</f>
        <v>-108.887558404218</v>
      </c>
      <c r="AF89" s="69" t="n">
        <f aca="false">AE86-AF86</f>
        <v>-104.53205606805</v>
      </c>
      <c r="AG89" s="69" t="n">
        <f aca="false">AF86-AG86</f>
        <v>-100.350773825328</v>
      </c>
      <c r="AH89" s="69" t="n">
        <f aca="false">AG86-AH86</f>
        <v>-96.3367428723159</v>
      </c>
      <c r="AI89" s="69" t="n">
        <f aca="false">AH86-AI86</f>
        <v>-92.4832731574225</v>
      </c>
      <c r="AJ89" s="69" t="n">
        <f aca="false">AI86-AJ86</f>
        <v>-88.7839422311281</v>
      </c>
      <c r="AK89" s="69" t="n">
        <f aca="false">AJ86-AK86</f>
        <v>-85.23258454188</v>
      </c>
      <c r="AL89" s="69" t="n">
        <f aca="false">AK86-AL86</f>
        <v>1417.73671385292</v>
      </c>
      <c r="AM89" s="69" t="n">
        <f aca="false">AL86-AM86</f>
        <v>-478.760674609368</v>
      </c>
      <c r="AN89" s="69" t="n">
        <f aca="false">AM86-AN86</f>
        <v>-59.7382582787486</v>
      </c>
      <c r="AO89" s="69" t="n">
        <f aca="false">AN86-AO86</f>
        <v>-1632.78645870838</v>
      </c>
      <c r="AP89" s="69" t="n">
        <f aca="false">AO86-AP86</f>
        <v>-84.5834750947706</v>
      </c>
      <c r="AQ89" s="69" t="n">
        <f aca="false">AP86-AQ86</f>
        <v>-81.2001360909817</v>
      </c>
      <c r="AR89" s="69" t="n">
        <f aca="false">AQ86-AR86</f>
        <v>-77.9521306473416</v>
      </c>
      <c r="AS89" s="69" t="n">
        <f aca="false">AR86-AS86</f>
        <v>-74.8340454214485</v>
      </c>
      <c r="AT89" s="69" t="n">
        <f aca="false">AS86-AT86</f>
        <v>-71.8406836045888</v>
      </c>
      <c r="AU89" s="69" t="n">
        <f aca="false">AT86-AU86</f>
        <v>-68.9670562604097</v>
      </c>
      <c r="AV89" s="69" t="n">
        <f aca="false">AU86-AV86</f>
        <v>-66.2083740099879</v>
      </c>
      <c r="AW89" s="69" t="n">
        <f aca="false">AV86-AW86</f>
        <v>-63.5600390495929</v>
      </c>
      <c r="AX89" s="69" t="n">
        <f aca="false">AW86-AX86</f>
        <v>1514.42009327318</v>
      </c>
      <c r="AY89" s="69" t="n">
        <f aca="false">AX86-AY86</f>
        <v>-491.967563324595</v>
      </c>
      <c r="AZ89" s="69" t="n">
        <f aca="false">AY86-AZ86</f>
        <v>-39.4475115613004</v>
      </c>
      <c r="BA89" s="69" t="n">
        <f aca="false">AZ86-BA86</f>
        <v>-1693.02449103613</v>
      </c>
      <c r="BB89" s="69" t="n">
        <f aca="false">BA86-BB86</f>
        <v>-67.3776749509852</v>
      </c>
      <c r="BC89" s="69" t="n">
        <f aca="false">BB86-BC86</f>
        <v>-64.6825679529466</v>
      </c>
      <c r="BD89" s="69" t="n">
        <f aca="false">BC86-BD86</f>
        <v>-62.0952652348278</v>
      </c>
      <c r="BE89" s="69" t="n">
        <f aca="false">BD86-BE86</f>
        <v>-59.6114546254357</v>
      </c>
      <c r="BF89" s="69" t="n">
        <f aca="false">BE86-BF86</f>
        <v>-57.2269964404186</v>
      </c>
      <c r="BG89" s="69" t="n">
        <f aca="false">BF86-BG86</f>
        <v>-54.9379165828032</v>
      </c>
      <c r="BH89" s="69" t="n">
        <f aca="false">BG86-BH86</f>
        <v>-52.7403999194885</v>
      </c>
      <c r="BI89" s="69" t="n">
        <f aca="false">BH86-BI86</f>
        <v>-50.6307839227084</v>
      </c>
      <c r="BJ89" s="69" t="n">
        <f aca="false">BI86-BJ86</f>
        <v>1606.54932737148</v>
      </c>
    </row>
    <row r="90" customFormat="false" ht="15" hidden="false" customHeight="false" outlineLevel="0" collapsed="false">
      <c r="A90" s="6" t="s">
        <v>349</v>
      </c>
      <c r="C90" s="69" t="n">
        <f aca="false">-C87</f>
        <v>-1650.12067404333</v>
      </c>
      <c r="D90" s="69" t="n">
        <f aca="false">C87-D87</f>
        <v>-223.88404743123</v>
      </c>
      <c r="E90" s="69" t="n">
        <f aca="false">D87-E87</f>
        <v>-710.590171816739</v>
      </c>
      <c r="F90" s="69" t="n">
        <f aca="false">E87-F87</f>
        <v>-299.801045698348</v>
      </c>
      <c r="G90" s="69" t="n">
        <f aca="false">F87-G87</f>
        <v>-307.30503991708</v>
      </c>
      <c r="H90" s="69" t="n">
        <f aca="false">G87-H87</f>
        <v>-314.508874367064</v>
      </c>
      <c r="I90" s="69" t="n">
        <f aca="false">H87-I87</f>
        <v>-321.424555439047</v>
      </c>
      <c r="J90" s="69" t="n">
        <f aca="false">I87-J87</f>
        <v>-328.063609268154</v>
      </c>
      <c r="K90" s="69" t="n">
        <f aca="false">J87-K87</f>
        <v>-334.437100944093</v>
      </c>
      <c r="L90" s="69" t="n">
        <f aca="false">K87-L87</f>
        <v>-340.555652952998</v>
      </c>
      <c r="M90" s="69" t="n">
        <f aca="false">L87-M87</f>
        <v>-125.798413524875</v>
      </c>
      <c r="N90" s="69" t="n">
        <f aca="false">M87-N87</f>
        <v>809.790667760095</v>
      </c>
      <c r="O90" s="69" t="n">
        <f aca="false">N87-O87</f>
        <v>-291.206068583429</v>
      </c>
      <c r="P90" s="69" t="n">
        <f aca="false">O87-P87</f>
        <v>-86.5010976597878</v>
      </c>
      <c r="Q90" s="69" t="n">
        <f aca="false">P87-Q87</f>
        <v>-1110.79987987753</v>
      </c>
      <c r="R90" s="69" t="n">
        <f aca="false">Q87-R87</f>
        <v>-114.156749855415</v>
      </c>
      <c r="S90" s="69" t="n">
        <f aca="false">R87-S87</f>
        <v>-109.5904798612</v>
      </c>
      <c r="T90" s="69" t="n">
        <f aca="false">S87-T87</f>
        <v>-105.206860666752</v>
      </c>
      <c r="U90" s="69" t="n">
        <f aca="false">T87-U87</f>
        <v>-100.998586240079</v>
      </c>
      <c r="V90" s="69" t="n">
        <f aca="false">U87-V87</f>
        <v>-96.9586427904787</v>
      </c>
      <c r="W90" s="69" t="n">
        <f aca="false">V87-W87</f>
        <v>-93.0802970788591</v>
      </c>
      <c r="X90" s="69" t="n">
        <f aca="false">W87-X87</f>
        <v>-89.3570851957029</v>
      </c>
      <c r="Y90" s="69" t="n">
        <f aca="false">X87-Y87</f>
        <v>-85.7828017878774</v>
      </c>
      <c r="Z90" s="69" t="n">
        <f aca="false">Y87-Z87</f>
        <v>1087.82556467245</v>
      </c>
      <c r="AA90" s="69" t="n">
        <f aca="false">Z87-AA87</f>
        <v>-297.639095758907</v>
      </c>
      <c r="AB90" s="69" t="n">
        <f aca="false">AA87-AB87</f>
        <v>-55.4974495876395</v>
      </c>
      <c r="AC90" s="69" t="n">
        <f aca="false">AB87-AC87</f>
        <v>-1310.98766343307</v>
      </c>
      <c r="AD90" s="69" t="n">
        <f aca="false">AC87-AD87</f>
        <v>-81.1924802974136</v>
      </c>
      <c r="AE90" s="69" t="n">
        <f aca="false">AD87-AE87</f>
        <v>-77.9447810855181</v>
      </c>
      <c r="AF90" s="69" t="n">
        <f aca="false">AE87-AF87</f>
        <v>-74.8269898420958</v>
      </c>
      <c r="AG90" s="69" t="n">
        <f aca="false">AF87-AG87</f>
        <v>-71.8339102484142</v>
      </c>
      <c r="AH90" s="69" t="n">
        <f aca="false">AG87-AH87</f>
        <v>-68.960553838474</v>
      </c>
      <c r="AI90" s="69" t="n">
        <f aca="false">AH87-AI87</f>
        <v>-66.2021316849387</v>
      </c>
      <c r="AJ90" s="69" t="n">
        <f aca="false">AI87-AJ87</f>
        <v>-63.554046417541</v>
      </c>
      <c r="AK90" s="69" t="n">
        <f aca="false">AJ87-AK87</f>
        <v>-61.0118845608367</v>
      </c>
      <c r="AL90" s="69" t="n">
        <f aca="false">AK87-AL87</f>
        <v>1300.57745277735</v>
      </c>
      <c r="AM90" s="69" t="n">
        <f aca="false">AL87-AM87</f>
        <v>-308.948898478398</v>
      </c>
      <c r="AN90" s="69" t="n">
        <f aca="false">AM87-AN87</f>
        <v>-36.1014893284728</v>
      </c>
      <c r="AO90" s="69" t="n">
        <f aca="false">AN87-AO87</f>
        <v>-1476.92896958484</v>
      </c>
      <c r="AP90" s="69" t="n">
        <f aca="false">AO87-AP87</f>
        <v>-61.0537628430493</v>
      </c>
      <c r="AQ90" s="69" t="n">
        <f aca="false">AP87-AQ87</f>
        <v>-58.611612329325</v>
      </c>
      <c r="AR90" s="69" t="n">
        <f aca="false">AQ87-AR87</f>
        <v>-56.2671478361517</v>
      </c>
      <c r="AS90" s="69" t="n">
        <f aca="false">AR87-AS87</f>
        <v>-54.0164619227071</v>
      </c>
      <c r="AT90" s="69" t="n">
        <f aca="false">AS87-AT87</f>
        <v>-51.8558034457983</v>
      </c>
      <c r="AU90" s="69" t="n">
        <f aca="false">AT87-AU87</f>
        <v>-49.7815713079672</v>
      </c>
      <c r="AV90" s="69" t="n">
        <f aca="false">AU87-AV87</f>
        <v>-47.7903084556474</v>
      </c>
      <c r="AW90" s="69" t="n">
        <f aca="false">AV87-AW87</f>
        <v>-45.8786961174228</v>
      </c>
      <c r="AX90" s="69" t="n">
        <f aca="false">AW87-AX87</f>
        <v>1474.61498905693</v>
      </c>
      <c r="AY90" s="69" t="n">
        <f aca="false">AX87-AY87</f>
        <v>-323.7984115998</v>
      </c>
      <c r="AZ90" s="69" t="n">
        <f aca="false">AY87-AZ87</f>
        <v>-24.0323374830932</v>
      </c>
      <c r="BA90" s="69" t="n">
        <f aca="false">AZ87-BA87</f>
        <v>-1623.87214017883</v>
      </c>
      <c r="BB90" s="69" t="n">
        <f aca="false">BA87-BB87</f>
        <v>-49.041777153654</v>
      </c>
      <c r="BC90" s="69" t="n">
        <f aca="false">BB87-BC87</f>
        <v>-47.0801060675058</v>
      </c>
      <c r="BD90" s="69" t="n">
        <f aca="false">BC87-BD87</f>
        <v>-45.1969018248074</v>
      </c>
      <c r="BE90" s="69" t="n">
        <f aca="false">BD87-BE87</f>
        <v>-43.3890257518142</v>
      </c>
      <c r="BF90" s="69" t="n">
        <f aca="false">BE87-BF87</f>
        <v>-41.6534647217413</v>
      </c>
      <c r="BG90" s="69" t="n">
        <f aca="false">BF87-BG87</f>
        <v>-39.9873261328721</v>
      </c>
      <c r="BH90" s="69" t="n">
        <f aca="false">BG87-BH87</f>
        <v>-38.3878330875577</v>
      </c>
      <c r="BI90" s="69" t="n">
        <f aca="false">BH87-BI87</f>
        <v>-36.8523197640534</v>
      </c>
      <c r="BJ90" s="69" t="n">
        <f aca="false">BI87-BJ87</f>
        <v>1626.8679315448</v>
      </c>
    </row>
    <row r="91" customFormat="false" ht="15" hidden="false" customHeight="false" outlineLevel="0" collapsed="false">
      <c r="A91" s="6" t="s">
        <v>350</v>
      </c>
      <c r="C91" s="69" t="n">
        <f aca="false">C88</f>
        <v>4714.63049726667</v>
      </c>
      <c r="D91" s="69" t="n">
        <f aca="false">D88-C88</f>
        <v>639.668706946371</v>
      </c>
      <c r="E91" s="69" t="n">
        <f aca="false">E88-D88</f>
        <v>2030.25763376211</v>
      </c>
      <c r="F91" s="69" t="n">
        <f aca="false">F88-E88</f>
        <v>856.574416280994</v>
      </c>
      <c r="G91" s="69" t="n">
        <f aca="false">G88-F88</f>
        <v>878.014399763088</v>
      </c>
      <c r="H91" s="69" t="n">
        <f aca="false">H88-G88</f>
        <v>898.596783905898</v>
      </c>
      <c r="I91" s="69" t="n">
        <f aca="false">I88-H88</f>
        <v>918.355872682992</v>
      </c>
      <c r="J91" s="69" t="n">
        <f aca="false">J88-I88</f>
        <v>937.32459790901</v>
      </c>
      <c r="K91" s="69" t="n">
        <f aca="false">K88-J88</f>
        <v>955.534574125983</v>
      </c>
      <c r="L91" s="69" t="n">
        <f aca="false">L88-K88</f>
        <v>973.016151294276</v>
      </c>
      <c r="M91" s="69" t="n">
        <f aca="false">M88-L88</f>
        <v>359.424038642504</v>
      </c>
      <c r="N91" s="69" t="n">
        <f aca="false">N88-M88</f>
        <v>-2313.68762217171</v>
      </c>
      <c r="O91" s="69" t="n">
        <f aca="false">O88-N88</f>
        <v>832.017338809799</v>
      </c>
      <c r="P91" s="69" t="n">
        <f aca="false">P88-O88</f>
        <v>247.145993313681</v>
      </c>
      <c r="Q91" s="69" t="n">
        <f aca="false">Q88-P88</f>
        <v>3173.71394250722</v>
      </c>
      <c r="R91" s="69" t="n">
        <f aca="false">R88-Q88</f>
        <v>326.16214244404</v>
      </c>
      <c r="S91" s="69" t="n">
        <f aca="false">S88-R88</f>
        <v>313.115656746286</v>
      </c>
      <c r="T91" s="69" t="n">
        <f aca="false">T88-S88</f>
        <v>300.591030476433</v>
      </c>
      <c r="U91" s="69" t="n">
        <f aca="false">U88-T88</f>
        <v>288.567389257369</v>
      </c>
      <c r="V91" s="69" t="n">
        <f aca="false">V88-U88</f>
        <v>277.024693687083</v>
      </c>
      <c r="W91" s="69" t="n">
        <f aca="false">W88-V88</f>
        <v>265.943705939601</v>
      </c>
      <c r="X91" s="69" t="n">
        <f aca="false">X88-W88</f>
        <v>255.305957702007</v>
      </c>
      <c r="Y91" s="69" t="n">
        <f aca="false">Y88-X88</f>
        <v>245.093719393935</v>
      </c>
      <c r="Z91" s="69" t="n">
        <f aca="false">Z88-Y88</f>
        <v>-3108.0730419213</v>
      </c>
      <c r="AA91" s="69" t="n">
        <f aca="false">AA88-Z88</f>
        <v>850.397416454023</v>
      </c>
      <c r="AB91" s="69" t="n">
        <f aca="false">AB88-AA88</f>
        <v>158.564141678966</v>
      </c>
      <c r="AC91" s="69" t="n">
        <f aca="false">AC88-AB88</f>
        <v>3745.67903838019</v>
      </c>
      <c r="AD91" s="69" t="n">
        <f aca="false">AD88-AC88</f>
        <v>231.97851513547</v>
      </c>
      <c r="AE91" s="69" t="n">
        <f aca="false">AE88-AD88</f>
        <v>222.69937453005</v>
      </c>
      <c r="AF91" s="69" t="n">
        <f aca="false">AF88-AE88</f>
        <v>213.791399548849</v>
      </c>
      <c r="AG91" s="69" t="n">
        <f aca="false">AG88-AF88</f>
        <v>205.23974356689</v>
      </c>
      <c r="AH91" s="69" t="n">
        <f aca="false">AH88-AG88</f>
        <v>197.03015382422</v>
      </c>
      <c r="AI91" s="69" t="n">
        <f aca="false">AI88-AH88</f>
        <v>189.148947671249</v>
      </c>
      <c r="AJ91" s="69" t="n">
        <f aca="false">AJ88-AI88</f>
        <v>181.582989764403</v>
      </c>
      <c r="AK91" s="69" t="n">
        <f aca="false">AK88-AJ88</f>
        <v>174.319670173823</v>
      </c>
      <c r="AL91" s="69" t="n">
        <f aca="false">AL88-AK88</f>
        <v>-3715.93557936386</v>
      </c>
      <c r="AM91" s="69" t="n">
        <f aca="false">AM88-AL88</f>
        <v>882.711138509709</v>
      </c>
      <c r="AN91" s="69" t="n">
        <f aca="false">AN88-AM88</f>
        <v>103.147112367064</v>
      </c>
      <c r="AO91" s="69" t="n">
        <f aca="false">AO88-AN88</f>
        <v>4219.79705595669</v>
      </c>
      <c r="AP91" s="69" t="n">
        <f aca="false">AP88-AO88</f>
        <v>174.439322408707</v>
      </c>
      <c r="AQ91" s="69" t="n">
        <f aca="false">AQ88-AP88</f>
        <v>167.46174951236</v>
      </c>
      <c r="AR91" s="69" t="n">
        <f aca="false">AR88-AQ88</f>
        <v>160.76327953186</v>
      </c>
      <c r="AS91" s="69" t="n">
        <f aca="false">AS88-AR88</f>
        <v>154.332748350589</v>
      </c>
      <c r="AT91" s="69" t="n">
        <f aca="false">AT88-AS88</f>
        <v>148.159438416569</v>
      </c>
      <c r="AU91" s="69" t="n">
        <f aca="false">AU88-AT88</f>
        <v>142.233060879909</v>
      </c>
      <c r="AV91" s="69" t="n">
        <f aca="false">AV88-AU88</f>
        <v>136.543738444703</v>
      </c>
      <c r="AW91" s="69" t="n">
        <f aca="false">AW88-AV88</f>
        <v>131.081988906917</v>
      </c>
      <c r="AX91" s="69" t="n">
        <f aca="false">AX88-AW88</f>
        <v>-4213.1856830198</v>
      </c>
      <c r="AY91" s="69" t="n">
        <f aca="false">AY88-AX88</f>
        <v>925.138318856567</v>
      </c>
      <c r="AZ91" s="69" t="n">
        <f aca="false">AZ88-AY88</f>
        <v>68.6638213802689</v>
      </c>
      <c r="BA91" s="69" t="n">
        <f aca="false">BA88-AZ88</f>
        <v>4639.63468622522</v>
      </c>
      <c r="BB91" s="69" t="n">
        <f aca="false">BB88-BA88</f>
        <v>140.119363296155</v>
      </c>
      <c r="BC91" s="69" t="n">
        <f aca="false">BC88-BB88</f>
        <v>134.514588764301</v>
      </c>
      <c r="BD91" s="69" t="n">
        <f aca="false">BD88-BC88</f>
        <v>129.134005213735</v>
      </c>
      <c r="BE91" s="69" t="n">
        <f aca="false">BE88-BD88</f>
        <v>123.968645005181</v>
      </c>
      <c r="BF91" s="69" t="n">
        <f aca="false">BF88-BE88</f>
        <v>119.009899204972</v>
      </c>
      <c r="BG91" s="69" t="n">
        <f aca="false">BG88-BF88</f>
        <v>114.249503236784</v>
      </c>
      <c r="BH91" s="69" t="n">
        <f aca="false">BH88-BG88</f>
        <v>109.679523107305</v>
      </c>
      <c r="BI91" s="69" t="n">
        <f aca="false">BI88-BH88</f>
        <v>105.292342183016</v>
      </c>
      <c r="BJ91" s="69" t="n">
        <f aca="false">BJ88-BI88</f>
        <v>-4648.194090128</v>
      </c>
    </row>
    <row r="93" customFormat="false" ht="15.75" hidden="false" customHeight="true" outlineLevel="0" collapsed="false">
      <c r="A93" s="7" t="s">
        <v>459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4" t="s">
        <v>52</v>
      </c>
      <c r="C94" s="75" t="n">
        <f aca="false">C64-C75+C89+C90+C91</f>
        <v>-74096.96845601</v>
      </c>
      <c r="D94" s="75" t="n">
        <f aca="false">D64-D75+D89+D90+D91</f>
        <v>-68348.5584380637</v>
      </c>
      <c r="E94" s="75" t="n">
        <f aca="false">E64-E75+E89+E90+E91</f>
        <v>-52776.4387220337</v>
      </c>
      <c r="F94" s="75" t="n">
        <f aca="false">F64-F75+F89+F90+F91</f>
        <v>-45698.8828081446</v>
      </c>
      <c r="G94" s="75" t="n">
        <f aca="false">G64-G75+G89+G90+G91</f>
        <v>-38397.1661873729</v>
      </c>
      <c r="H94" s="75" t="n">
        <f aca="false">H64-H75+H89+H90+H91</f>
        <v>-30972.9688938543</v>
      </c>
      <c r="I94" s="75" t="n">
        <f aca="false">I64-I75+I89+I90+I91</f>
        <v>-23431.1901544986</v>
      </c>
      <c r="J94" s="75" t="n">
        <f aca="false">J64-J75+J89+J90+J91</f>
        <v>-15776.5332271394</v>
      </c>
      <c r="K94" s="75" t="n">
        <f aca="false">K64-K75+K89+K90+K91</f>
        <v>-8013.5132392968</v>
      </c>
      <c r="L94" s="75" t="n">
        <f aca="false">L64-L75+L89+L90+L91</f>
        <v>-146.464713390115</v>
      </c>
      <c r="M94" s="75" t="n">
        <f aca="false">M64-M75+M89+M90+M91</f>
        <v>2204.019664374</v>
      </c>
      <c r="N94" s="75" t="n">
        <f aca="false">N64-N75+N89+N90+N91</f>
        <v>-12325.9707704894</v>
      </c>
      <c r="O94" s="75" t="n">
        <f aca="false">O64-O75+O89+O90+O91</f>
        <v>-5867.20796869892</v>
      </c>
      <c r="P94" s="75" t="n">
        <f aca="false">P64-P75+P89+P90+P91</f>
        <v>-3924.6168398369</v>
      </c>
      <c r="Q94" s="75" t="n">
        <f aca="false">Q64-Q75+Q89+Q90+Q91</f>
        <v>15477.2990419792</v>
      </c>
      <c r="R94" s="75" t="n">
        <f aca="false">R64-R75+R89+R90+R91</f>
        <v>17132.5095846624</v>
      </c>
      <c r="S94" s="75" t="n">
        <f aca="false">S64-S75+S89+S90+S91</f>
        <v>19153.4966761075</v>
      </c>
      <c r="T94" s="75" t="n">
        <f aca="false">T64-T75+T89+T90+T91</f>
        <v>21100.7276172281</v>
      </c>
      <c r="U94" s="75" t="n">
        <f aca="false">U64-U75+U89+U90+U91</f>
        <v>22977.1526540373</v>
      </c>
      <c r="V94" s="75" t="n">
        <f aca="false">V64-V75+V89+V90+V91</f>
        <v>24785.6040227074</v>
      </c>
      <c r="W94" s="75" t="n">
        <f aca="false">W64-W75+W89+W90+W91</f>
        <v>26528.800669964</v>
      </c>
      <c r="X94" s="75" t="n">
        <f aca="false">X64-X75+X89+X90+X91</f>
        <v>28209.3527846637</v>
      </c>
      <c r="Y94" s="75" t="n">
        <f aca="false">Y64-Y75+Y89+Y90+Y91</f>
        <v>29829.7661481088</v>
      </c>
      <c r="Z94" s="75" t="n">
        <f aca="false">Z64-Z75+Z89+Z90+Z91</f>
        <v>14251.5902982079</v>
      </c>
      <c r="AA94" s="75" t="n">
        <f aca="false">AA64-AA75+AA89+AA90+AA91</f>
        <v>20442.132661898</v>
      </c>
      <c r="AB94" s="75" t="n">
        <f aca="false">AB64-AB75+AB89+AB90+AB91</f>
        <v>21701.1998376266</v>
      </c>
      <c r="AC94" s="75" t="n">
        <f aca="false">AC64-AC75+AC89+AC90+AC91</f>
        <v>40922.0265315874</v>
      </c>
      <c r="AD94" s="75" t="n">
        <f aca="false">AD64-AD75+AD89+AD90+AD91</f>
        <v>41643.6132582186</v>
      </c>
      <c r="AE94" s="75" t="n">
        <f aca="false">AE64-AE75+AE89+AE90+AE91</f>
        <v>43118.4664460268</v>
      </c>
      <c r="AF94" s="75" t="n">
        <f aca="false">AF64-AF75+AF89+AF90+AF91</f>
        <v>44541.408839656</v>
      </c>
      <c r="AG94" s="75" t="n">
        <f aca="false">AG64-AG75+AG89+AG90+AG91</f>
        <v>45914.5168708734</v>
      </c>
      <c r="AH94" s="75" t="n">
        <f aca="false">AH64-AH75+AH89+AH90+AH91</f>
        <v>47239.7839141754</v>
      </c>
      <c r="AI94" s="75" t="n">
        <f aca="false">AI64-AI75+AI89+AI90+AI91</f>
        <v>48519.1236090787</v>
      </c>
      <c r="AJ94" s="75" t="n">
        <f aca="false">AJ64-AJ75+AJ89+AJ90+AJ91</f>
        <v>49754.3730495191</v>
      </c>
      <c r="AK94" s="75" t="n">
        <f aca="false">AK64-AK75+AK89+AK90+AK91</f>
        <v>50947.2958456753</v>
      </c>
      <c r="AL94" s="75" t="n">
        <f aca="false">AL64-AL75+AL89+AL90+AL91</f>
        <v>34406.535226456</v>
      </c>
      <c r="AM94" s="75" t="n">
        <f aca="false">AM64-AM75+AM89+AM90+AM91</f>
        <v>40472.9261093208</v>
      </c>
      <c r="AN94" s="75" t="n">
        <f aca="false">AN64-AN75+AN89+AN90+AN91</f>
        <v>41303.6684476227</v>
      </c>
      <c r="AO94" s="75" t="n">
        <f aca="false">AO64-AO75+AO89+AO90+AO91</f>
        <v>60745.6273405503</v>
      </c>
      <c r="AP94" s="75" t="n">
        <f aca="false">AP64-AP75+AP89+AP90+AP91</f>
        <v>60848.5242734996</v>
      </c>
      <c r="AQ94" s="75" t="n">
        <f aca="false">AQ64-AQ75+AQ89+AQ90+AQ91</f>
        <v>61991.2649405503</v>
      </c>
      <c r="AR94" s="75" t="n">
        <f aca="false">AR64-AR75+AR89+AR90+AR91</f>
        <v>63095.3793142523</v>
      </c>
      <c r="AS94" s="75" t="n">
        <f aca="false">AS64-AS75+AS89+AS90+AS91</f>
        <v>64162.4124463395</v>
      </c>
      <c r="AT94" s="75" t="n">
        <f aca="false">AT64-AT75+AT89+AT90+AT91</f>
        <v>65193.8475864766</v>
      </c>
      <c r="AU94" s="75" t="n">
        <f aca="false">AU64-AU75+AU89+AU90+AU91</f>
        <v>66191.1086543415</v>
      </c>
      <c r="AV94" s="75" t="n">
        <f aca="false">AV64-AV75+AV89+AV90+AV91</f>
        <v>67155.5626128252</v>
      </c>
      <c r="AW94" s="75" t="n">
        <f aca="false">AW64-AW75+AW89+AW90+AW91</f>
        <v>68088.5217463028</v>
      </c>
      <c r="AX94" s="75" t="n">
        <f aca="false">AX64-AX75+AX89+AX90+AX91</f>
        <v>50623.2883506386</v>
      </c>
      <c r="AY94" s="75" t="n">
        <f aca="false">AY64-AY75+AY89+AY90+AY91</f>
        <v>56679.9419949779</v>
      </c>
      <c r="AZ94" s="75" t="n">
        <f aca="false">AZ64-AZ75+AZ89+AZ90+AZ91</f>
        <v>57241.553898064</v>
      </c>
      <c r="BA94" s="75" t="n">
        <f aca="false">BA64-BA75+BA89+BA90+BA91</f>
        <v>77172.1066502759</v>
      </c>
      <c r="BB94" s="75" t="n">
        <f aca="false">BB64-BB75+BB89+BB90+BB91</f>
        <v>76850.637919111</v>
      </c>
      <c r="BC94" s="75" t="n">
        <f aca="false">BC64-BC75+BC89+BC90+BC91</f>
        <v>77795.2398921444</v>
      </c>
      <c r="BD94" s="75" t="n">
        <f aca="false">BD64-BD75+BD89+BD90+BD91</f>
        <v>78709.1411195898</v>
      </c>
      <c r="BE94" s="75" t="n">
        <f aca="false">BE64-BE75+BE89+BE90+BE91</f>
        <v>79593.5696312708</v>
      </c>
      <c r="BF94" s="75" t="n">
        <f aca="false">BF64-BF75+BF89+BF90+BF91</f>
        <v>80425.3178086349</v>
      </c>
      <c r="BG94" s="75" t="n">
        <f aca="false">BG64-BG75+BG89+BG90+BG91</f>
        <v>70426.7129132673</v>
      </c>
      <c r="BH94" s="75" t="n">
        <f aca="false">BH64-BH75+BH89+BH90+BH91</f>
        <v>71060.8392803436</v>
      </c>
      <c r="BI94" s="75" t="n">
        <f aca="false">BI64-BI75+BI89+BI90+BI91</f>
        <v>71675.1964260701</v>
      </c>
      <c r="BJ94" s="75" t="n">
        <f aca="false">BJ64-BJ75+BJ89+BJ90+BJ91</f>
        <v>56853.0066571451</v>
      </c>
    </row>
    <row r="95" customFormat="false" ht="15" hidden="false" customHeight="false" outlineLevel="0" collapsed="false">
      <c r="A95" s="6" t="s">
        <v>460</v>
      </c>
      <c r="C95" s="69" t="n">
        <f aca="false">-C72</f>
        <v>-4100000</v>
      </c>
      <c r="D95" s="69" t="n">
        <f aca="false">-D72</f>
        <v>-0</v>
      </c>
      <c r="E95" s="69" t="n">
        <f aca="false">-E72</f>
        <v>-0</v>
      </c>
      <c r="F95" s="69" t="n">
        <f aca="false">-F72</f>
        <v>-0</v>
      </c>
      <c r="G95" s="69" t="n">
        <f aca="false">-G72</f>
        <v>-0</v>
      </c>
      <c r="H95" s="69" t="n">
        <f aca="false">-H72</f>
        <v>-0</v>
      </c>
      <c r="I95" s="69" t="n">
        <f aca="false">-I72</f>
        <v>-0</v>
      </c>
      <c r="J95" s="69" t="n">
        <f aca="false">-J72</f>
        <v>-0</v>
      </c>
      <c r="K95" s="69" t="n">
        <f aca="false">-K72</f>
        <v>-0</v>
      </c>
      <c r="L95" s="69" t="n">
        <f aca="false">-L72</f>
        <v>-0</v>
      </c>
      <c r="M95" s="69" t="n">
        <f aca="false">-M72</f>
        <v>-0</v>
      </c>
      <c r="N95" s="69" t="n">
        <f aca="false">-N72</f>
        <v>-0</v>
      </c>
      <c r="O95" s="69" t="n">
        <f aca="false">-O72</f>
        <v>-40000</v>
      </c>
      <c r="P95" s="69" t="n">
        <f aca="false">-P72</f>
        <v>-0</v>
      </c>
      <c r="Q95" s="69" t="n">
        <f aca="false">-Q72</f>
        <v>-0</v>
      </c>
      <c r="R95" s="69" t="n">
        <f aca="false">-R72</f>
        <v>-0</v>
      </c>
      <c r="S95" s="69" t="n">
        <f aca="false">-S72</f>
        <v>-0</v>
      </c>
      <c r="T95" s="69" t="n">
        <f aca="false">-T72</f>
        <v>-0</v>
      </c>
      <c r="U95" s="69" t="n">
        <f aca="false">-U72</f>
        <v>-0</v>
      </c>
      <c r="V95" s="69" t="n">
        <f aca="false">-V72</f>
        <v>-0</v>
      </c>
      <c r="W95" s="69" t="n">
        <f aca="false">-W72</f>
        <v>-0</v>
      </c>
      <c r="X95" s="69" t="n">
        <f aca="false">-X72</f>
        <v>-0</v>
      </c>
      <c r="Y95" s="69" t="n">
        <f aca="false">-Y72</f>
        <v>-0</v>
      </c>
      <c r="Z95" s="69" t="n">
        <f aca="false">-Z72</f>
        <v>-0</v>
      </c>
      <c r="AA95" s="69" t="n">
        <f aca="false">-AA72</f>
        <v>-40000</v>
      </c>
      <c r="AB95" s="69" t="n">
        <f aca="false">-AB72</f>
        <v>-0</v>
      </c>
      <c r="AC95" s="69" t="n">
        <f aca="false">-AC72</f>
        <v>-0</v>
      </c>
      <c r="AD95" s="69" t="n">
        <f aca="false">-AD72</f>
        <v>-0</v>
      </c>
      <c r="AE95" s="69" t="n">
        <f aca="false">-AE72</f>
        <v>-0</v>
      </c>
      <c r="AF95" s="69" t="n">
        <f aca="false">-AF72</f>
        <v>-0</v>
      </c>
      <c r="AG95" s="69" t="n">
        <f aca="false">-AG72</f>
        <v>-0</v>
      </c>
      <c r="AH95" s="69" t="n">
        <f aca="false">-AH72</f>
        <v>-0</v>
      </c>
      <c r="AI95" s="69" t="n">
        <f aca="false">-AI72</f>
        <v>-0</v>
      </c>
      <c r="AJ95" s="69" t="n">
        <f aca="false">-AJ72</f>
        <v>-0</v>
      </c>
      <c r="AK95" s="69" t="n">
        <f aca="false">-AK72</f>
        <v>-0</v>
      </c>
      <c r="AL95" s="69" t="n">
        <f aca="false">-AL72</f>
        <v>-0</v>
      </c>
      <c r="AM95" s="69" t="n">
        <f aca="false">-AM72</f>
        <v>-40000</v>
      </c>
      <c r="AN95" s="69" t="n">
        <f aca="false">-AN72</f>
        <v>-0</v>
      </c>
      <c r="AO95" s="69" t="n">
        <f aca="false">-AO72</f>
        <v>-0</v>
      </c>
      <c r="AP95" s="69" t="n">
        <f aca="false">-AP72</f>
        <v>-0</v>
      </c>
      <c r="AQ95" s="69" t="n">
        <f aca="false">-AQ72</f>
        <v>-0</v>
      </c>
      <c r="AR95" s="69" t="n">
        <f aca="false">-AR72</f>
        <v>-0</v>
      </c>
      <c r="AS95" s="69" t="n">
        <f aca="false">-AS72</f>
        <v>-0</v>
      </c>
      <c r="AT95" s="69" t="n">
        <f aca="false">-AT72</f>
        <v>-0</v>
      </c>
      <c r="AU95" s="69" t="n">
        <f aca="false">-AU72</f>
        <v>-0</v>
      </c>
      <c r="AV95" s="69" t="n">
        <f aca="false">-AV72</f>
        <v>-0</v>
      </c>
      <c r="AW95" s="69" t="n">
        <f aca="false">-AW72</f>
        <v>-0</v>
      </c>
      <c r="AX95" s="69" t="n">
        <f aca="false">-AX72</f>
        <v>-0</v>
      </c>
      <c r="AY95" s="69" t="n">
        <f aca="false">-AY72</f>
        <v>-40000</v>
      </c>
      <c r="AZ95" s="69" t="n">
        <f aca="false">-AZ72</f>
        <v>-0</v>
      </c>
      <c r="BA95" s="69" t="n">
        <f aca="false">-BA72</f>
        <v>-0</v>
      </c>
      <c r="BB95" s="69" t="n">
        <f aca="false">-BB72</f>
        <v>-0</v>
      </c>
      <c r="BC95" s="69" t="n">
        <f aca="false">-BC72</f>
        <v>-0</v>
      </c>
      <c r="BD95" s="69" t="n">
        <f aca="false">-BD72</f>
        <v>-0</v>
      </c>
      <c r="BE95" s="69" t="n">
        <f aca="false">-BE72</f>
        <v>-0</v>
      </c>
      <c r="BF95" s="69" t="n">
        <f aca="false">-BF72</f>
        <v>-0</v>
      </c>
      <c r="BG95" s="69" t="n">
        <f aca="false">-BG72</f>
        <v>-0</v>
      </c>
      <c r="BH95" s="69" t="n">
        <f aca="false">-BH72</f>
        <v>-0</v>
      </c>
      <c r="BI95" s="69" t="n">
        <f aca="false">-BI72</f>
        <v>-0</v>
      </c>
      <c r="BJ95" s="69" t="n">
        <f aca="false">-BJ72</f>
        <v>-0</v>
      </c>
    </row>
    <row r="96" customFormat="false" ht="15" hidden="false" customHeight="false" outlineLevel="0" collapsed="false">
      <c r="A96" s="6" t="s">
        <v>64</v>
      </c>
      <c r="C96" s="69" t="n">
        <f aca="false">IF(C$4=1,Inputs!$E$69,0)</f>
        <v>2100000</v>
      </c>
      <c r="D96" s="69" t="n">
        <f aca="false">IF(D$4=1,Inputs!$E$69,0)</f>
        <v>0</v>
      </c>
      <c r="E96" s="69" t="n">
        <f aca="false">IF(E$4=1,Inputs!$E$69,0)</f>
        <v>0</v>
      </c>
      <c r="F96" s="69" t="n">
        <f aca="false">IF(F$4=1,Inputs!$E$69,0)</f>
        <v>0</v>
      </c>
      <c r="G96" s="69" t="n">
        <f aca="false">IF(G$4=1,Inputs!$E$69,0)</f>
        <v>0</v>
      </c>
      <c r="H96" s="69" t="n">
        <f aca="false">IF(H$4=1,Inputs!$E$69,0)</f>
        <v>0</v>
      </c>
      <c r="I96" s="69" t="n">
        <f aca="false">IF(I$4=1,Inputs!$E$69,0)</f>
        <v>0</v>
      </c>
      <c r="J96" s="69" t="n">
        <f aca="false">IF(J$4=1,Inputs!$E$69,0)</f>
        <v>0</v>
      </c>
      <c r="K96" s="69" t="n">
        <f aca="false">IF(K$4=1,Inputs!$E$69,0)</f>
        <v>0</v>
      </c>
      <c r="L96" s="69" t="n">
        <f aca="false">IF(L$4=1,Inputs!$E$69,0)</f>
        <v>0</v>
      </c>
      <c r="M96" s="69" t="n">
        <f aca="false">IF(M$4=1,Inputs!$E$69,0)</f>
        <v>0</v>
      </c>
      <c r="N96" s="69" t="n">
        <f aca="false">IF(N$4=1,Inputs!$E$69,0)</f>
        <v>0</v>
      </c>
      <c r="O96" s="69" t="n">
        <f aca="false">IF(O$4=1,Inputs!$E$69,0)</f>
        <v>0</v>
      </c>
      <c r="P96" s="69" t="n">
        <f aca="false">IF(P$4=1,Inputs!$E$69,0)</f>
        <v>0</v>
      </c>
      <c r="Q96" s="69" t="n">
        <f aca="false">IF(Q$4=1,Inputs!$E$69,0)</f>
        <v>0</v>
      </c>
      <c r="R96" s="69" t="n">
        <f aca="false">IF(R$4=1,Inputs!$E$69,0)</f>
        <v>0</v>
      </c>
      <c r="S96" s="69" t="n">
        <f aca="false">IF(S$4=1,Inputs!$E$69,0)</f>
        <v>0</v>
      </c>
      <c r="T96" s="69" t="n">
        <f aca="false">IF(T$4=1,Inputs!$E$69,0)</f>
        <v>0</v>
      </c>
      <c r="U96" s="69" t="n">
        <f aca="false">IF(U$4=1,Inputs!$E$69,0)</f>
        <v>0</v>
      </c>
      <c r="V96" s="69" t="n">
        <f aca="false">IF(V$4=1,Inputs!$E$69,0)</f>
        <v>0</v>
      </c>
      <c r="W96" s="69" t="n">
        <f aca="false">IF(W$4=1,Inputs!$E$69,0)</f>
        <v>0</v>
      </c>
      <c r="X96" s="69" t="n">
        <f aca="false">IF(X$4=1,Inputs!$E$69,0)</f>
        <v>0</v>
      </c>
      <c r="Y96" s="69" t="n">
        <f aca="false">IF(Y$4=1,Inputs!$E$69,0)</f>
        <v>0</v>
      </c>
      <c r="Z96" s="69" t="n">
        <f aca="false">IF(Z$4=1,Inputs!$E$69,0)</f>
        <v>0</v>
      </c>
      <c r="AA96" s="69" t="n">
        <f aca="false">IF(AA$4=1,Inputs!$E$69,0)</f>
        <v>0</v>
      </c>
      <c r="AB96" s="69" t="n">
        <f aca="false">IF(AB$4=1,Inputs!$E$69,0)</f>
        <v>0</v>
      </c>
      <c r="AC96" s="69" t="n">
        <f aca="false">IF(AC$4=1,Inputs!$E$69,0)</f>
        <v>0</v>
      </c>
      <c r="AD96" s="69" t="n">
        <f aca="false">IF(AD$4=1,Inputs!$E$69,0)</f>
        <v>0</v>
      </c>
      <c r="AE96" s="69" t="n">
        <f aca="false">IF(AE$4=1,Inputs!$E$69,0)</f>
        <v>0</v>
      </c>
      <c r="AF96" s="69" t="n">
        <f aca="false">IF(AF$4=1,Inputs!$E$69,0)</f>
        <v>0</v>
      </c>
      <c r="AG96" s="69" t="n">
        <f aca="false">IF(AG$4=1,Inputs!$E$69,0)</f>
        <v>0</v>
      </c>
      <c r="AH96" s="69" t="n">
        <f aca="false">IF(AH$4=1,Inputs!$E$69,0)</f>
        <v>0</v>
      </c>
      <c r="AI96" s="69" t="n">
        <f aca="false">IF(AI$4=1,Inputs!$E$69,0)</f>
        <v>0</v>
      </c>
      <c r="AJ96" s="69" t="n">
        <f aca="false">IF(AJ$4=1,Inputs!$E$69,0)</f>
        <v>0</v>
      </c>
      <c r="AK96" s="69" t="n">
        <f aca="false">IF(AK$4=1,Inputs!$E$69,0)</f>
        <v>0</v>
      </c>
      <c r="AL96" s="69" t="n">
        <f aca="false">IF(AL$4=1,Inputs!$E$69,0)</f>
        <v>0</v>
      </c>
      <c r="AM96" s="69" t="n">
        <f aca="false">IF(AM$4=1,Inputs!$E$69,0)</f>
        <v>0</v>
      </c>
      <c r="AN96" s="69" t="n">
        <f aca="false">IF(AN$4=1,Inputs!$E$69,0)</f>
        <v>0</v>
      </c>
      <c r="AO96" s="69" t="n">
        <f aca="false">IF(AO$4=1,Inputs!$E$69,0)</f>
        <v>0</v>
      </c>
      <c r="AP96" s="69" t="n">
        <f aca="false">IF(AP$4=1,Inputs!$E$69,0)</f>
        <v>0</v>
      </c>
      <c r="AQ96" s="69" t="n">
        <f aca="false">IF(AQ$4=1,Inputs!$E$69,0)</f>
        <v>0</v>
      </c>
      <c r="AR96" s="69" t="n">
        <f aca="false">IF(AR$4=1,Inputs!$E$69,0)</f>
        <v>0</v>
      </c>
      <c r="AS96" s="69" t="n">
        <f aca="false">IF(AS$4=1,Inputs!$E$69,0)</f>
        <v>0</v>
      </c>
      <c r="AT96" s="69" t="n">
        <f aca="false">IF(AT$4=1,Inputs!$E$69,0)</f>
        <v>0</v>
      </c>
      <c r="AU96" s="69" t="n">
        <f aca="false">IF(AU$4=1,Inputs!$E$69,0)</f>
        <v>0</v>
      </c>
      <c r="AV96" s="69" t="n">
        <f aca="false">IF(AV$4=1,Inputs!$E$69,0)</f>
        <v>0</v>
      </c>
      <c r="AW96" s="69" t="n">
        <f aca="false">IF(AW$4=1,Inputs!$E$69,0)</f>
        <v>0</v>
      </c>
      <c r="AX96" s="69" t="n">
        <f aca="false">IF(AX$4=1,Inputs!$E$69,0)</f>
        <v>0</v>
      </c>
      <c r="AY96" s="69" t="n">
        <f aca="false">IF(AY$4=1,Inputs!$E$69,0)</f>
        <v>0</v>
      </c>
      <c r="AZ96" s="69" t="n">
        <f aca="false">IF(AZ$4=1,Inputs!$E$69,0)</f>
        <v>0</v>
      </c>
      <c r="BA96" s="69" t="n">
        <f aca="false">IF(BA$4=1,Inputs!$E$69,0)</f>
        <v>0</v>
      </c>
      <c r="BB96" s="69" t="n">
        <f aca="false">IF(BB$4=1,Inputs!$E$69,0)</f>
        <v>0</v>
      </c>
      <c r="BC96" s="69" t="n">
        <f aca="false">IF(BC$4=1,Inputs!$E$69,0)</f>
        <v>0</v>
      </c>
      <c r="BD96" s="69" t="n">
        <f aca="false">IF(BD$4=1,Inputs!$E$69,0)</f>
        <v>0</v>
      </c>
      <c r="BE96" s="69" t="n">
        <f aca="false">IF(BE$4=1,Inputs!$E$69,0)</f>
        <v>0</v>
      </c>
      <c r="BF96" s="69" t="n">
        <f aca="false">IF(BF$4=1,Inputs!$E$69,0)</f>
        <v>0</v>
      </c>
      <c r="BG96" s="69" t="n">
        <f aca="false">IF(BG$4=1,Inputs!$E$69,0)</f>
        <v>0</v>
      </c>
      <c r="BH96" s="69" t="n">
        <f aca="false">IF(BH$4=1,Inputs!$E$69,0)</f>
        <v>0</v>
      </c>
      <c r="BI96" s="69" t="n">
        <f aca="false">IF(BI$4=1,Inputs!$E$69,0)</f>
        <v>0</v>
      </c>
      <c r="BJ96" s="69" t="n">
        <f aca="false">IF(BJ$4=1,Inputs!$E$69,0)</f>
        <v>0</v>
      </c>
    </row>
    <row r="97" customFormat="false" ht="15" hidden="false" customHeight="false" outlineLevel="0" collapsed="false">
      <c r="A97" s="6" t="s">
        <v>54</v>
      </c>
      <c r="C97" s="69" t="n">
        <f aca="false">C96+C81+C82</f>
        <v>5100000</v>
      </c>
      <c r="D97" s="69" t="n">
        <f aca="false">D96+D81+D82</f>
        <v>-25000</v>
      </c>
      <c r="E97" s="69" t="n">
        <f aca="false">E96+E81+E82</f>
        <v>-25000</v>
      </c>
      <c r="F97" s="69" t="n">
        <f aca="false">F96+F81+F82</f>
        <v>-25000</v>
      </c>
      <c r="G97" s="69" t="n">
        <f aca="false">G96+G81+G82</f>
        <v>-25000</v>
      </c>
      <c r="H97" s="69" t="n">
        <f aca="false">H96+H81+H82</f>
        <v>-25000</v>
      </c>
      <c r="I97" s="69" t="n">
        <f aca="false">I96+I81+I82</f>
        <v>-25000</v>
      </c>
      <c r="J97" s="69" t="n">
        <f aca="false">J96+J81+J82</f>
        <v>-25000</v>
      </c>
      <c r="K97" s="69" t="n">
        <f aca="false">K96+K81+K82</f>
        <v>-25000</v>
      </c>
      <c r="L97" s="69" t="n">
        <f aca="false">L96+L81+L82</f>
        <v>-25000</v>
      </c>
      <c r="M97" s="69" t="n">
        <f aca="false">M96+M81+M82</f>
        <v>-25000</v>
      </c>
      <c r="N97" s="69" t="n">
        <f aca="false">N96+N81+N82</f>
        <v>-25000</v>
      </c>
      <c r="O97" s="69" t="n">
        <f aca="false">O96+O81+O82</f>
        <v>-25000</v>
      </c>
      <c r="P97" s="69" t="n">
        <f aca="false">P96+P81+P82</f>
        <v>-25000</v>
      </c>
      <c r="Q97" s="69" t="n">
        <f aca="false">Q96+Q81+Q82</f>
        <v>-25000</v>
      </c>
      <c r="R97" s="69" t="n">
        <f aca="false">R96+R81+R82</f>
        <v>-25000</v>
      </c>
      <c r="S97" s="69" t="n">
        <f aca="false">S96+S81+S82</f>
        <v>-25000</v>
      </c>
      <c r="T97" s="69" t="n">
        <f aca="false">T96+T81+T82</f>
        <v>-25000</v>
      </c>
      <c r="U97" s="69" t="n">
        <f aca="false">U96+U81+U82</f>
        <v>-25000</v>
      </c>
      <c r="V97" s="69" t="n">
        <f aca="false">V96+V81+V82</f>
        <v>-25000</v>
      </c>
      <c r="W97" s="69" t="n">
        <f aca="false">W96+W81+W82</f>
        <v>-25000</v>
      </c>
      <c r="X97" s="69" t="n">
        <f aca="false">X96+X81+X82</f>
        <v>-25000</v>
      </c>
      <c r="Y97" s="69" t="n">
        <f aca="false">Y96+Y81+Y82</f>
        <v>-25000</v>
      </c>
      <c r="Z97" s="69" t="n">
        <f aca="false">Z96+Z81+Z82</f>
        <v>-25000</v>
      </c>
      <c r="AA97" s="69" t="n">
        <f aca="false">AA96+AA81+AA82</f>
        <v>-25000</v>
      </c>
      <c r="AB97" s="69" t="n">
        <f aca="false">AB96+AB81+AB82</f>
        <v>-25000</v>
      </c>
      <c r="AC97" s="69" t="n">
        <f aca="false">AC96+AC81+AC82</f>
        <v>-25000</v>
      </c>
      <c r="AD97" s="69" t="n">
        <f aca="false">AD96+AD81+AD82</f>
        <v>-25000</v>
      </c>
      <c r="AE97" s="69" t="n">
        <f aca="false">AE96+AE81+AE82</f>
        <v>-25000</v>
      </c>
      <c r="AF97" s="69" t="n">
        <f aca="false">AF96+AF81+AF82</f>
        <v>-25000</v>
      </c>
      <c r="AG97" s="69" t="n">
        <f aca="false">AG96+AG81+AG82</f>
        <v>-25000</v>
      </c>
      <c r="AH97" s="69" t="n">
        <f aca="false">AH96+AH81+AH82</f>
        <v>-25000</v>
      </c>
      <c r="AI97" s="69" t="n">
        <f aca="false">AI96+AI81+AI82</f>
        <v>-25000</v>
      </c>
      <c r="AJ97" s="69" t="n">
        <f aca="false">AJ96+AJ81+AJ82</f>
        <v>-25000</v>
      </c>
      <c r="AK97" s="69" t="n">
        <f aca="false">AK96+AK81+AK82</f>
        <v>-25000</v>
      </c>
      <c r="AL97" s="69" t="n">
        <f aca="false">AL96+AL81+AL82</f>
        <v>-25000</v>
      </c>
      <c r="AM97" s="69" t="n">
        <f aca="false">AM96+AM81+AM82</f>
        <v>-25000</v>
      </c>
      <c r="AN97" s="69" t="n">
        <f aca="false">AN96+AN81+AN82</f>
        <v>-25000</v>
      </c>
      <c r="AO97" s="69" t="n">
        <f aca="false">AO96+AO81+AO82</f>
        <v>-25000</v>
      </c>
      <c r="AP97" s="69" t="n">
        <f aca="false">AP96+AP81+AP82</f>
        <v>-25000</v>
      </c>
      <c r="AQ97" s="69" t="n">
        <f aca="false">AQ96+AQ81+AQ82</f>
        <v>-25000</v>
      </c>
      <c r="AR97" s="69" t="n">
        <f aca="false">AR96+AR81+AR82</f>
        <v>-25000</v>
      </c>
      <c r="AS97" s="69" t="n">
        <f aca="false">AS96+AS81+AS82</f>
        <v>-25000</v>
      </c>
      <c r="AT97" s="69" t="n">
        <f aca="false">AT96+AT81+AT82</f>
        <v>-25000</v>
      </c>
      <c r="AU97" s="69" t="n">
        <f aca="false">AU96+AU81+AU82</f>
        <v>-25000</v>
      </c>
      <c r="AV97" s="69" t="n">
        <f aca="false">AV96+AV81+AV82</f>
        <v>-25000</v>
      </c>
      <c r="AW97" s="69" t="n">
        <f aca="false">AW96+AW81+AW82</f>
        <v>-25000</v>
      </c>
      <c r="AX97" s="69" t="n">
        <f aca="false">AX96+AX81+AX82</f>
        <v>-25000</v>
      </c>
      <c r="AY97" s="69" t="n">
        <f aca="false">AY96+AY81+AY82</f>
        <v>-25000</v>
      </c>
      <c r="AZ97" s="69" t="n">
        <f aca="false">AZ96+AZ81+AZ82</f>
        <v>-25000</v>
      </c>
      <c r="BA97" s="69" t="n">
        <f aca="false">BA96+BA81+BA82</f>
        <v>-25000</v>
      </c>
      <c r="BB97" s="69" t="n">
        <f aca="false">BB96+BB81+BB82</f>
        <v>-25000</v>
      </c>
      <c r="BC97" s="69" t="n">
        <f aca="false">BC96+BC81+BC82</f>
        <v>-25000</v>
      </c>
      <c r="BD97" s="69" t="n">
        <f aca="false">BD96+BD81+BD82</f>
        <v>-25000</v>
      </c>
      <c r="BE97" s="69" t="n">
        <f aca="false">BE96+BE81+BE82</f>
        <v>-25000</v>
      </c>
      <c r="BF97" s="69" t="n">
        <f aca="false">BF96+BF81+BF82</f>
        <v>-25000</v>
      </c>
      <c r="BG97" s="69" t="n">
        <f aca="false">BG96+BG81+BG82</f>
        <v>-25000</v>
      </c>
      <c r="BH97" s="69" t="n">
        <f aca="false">BH96+BH81+BH82</f>
        <v>-25000</v>
      </c>
      <c r="BI97" s="69" t="n">
        <f aca="false">BI96+BI81+BI82</f>
        <v>-25000</v>
      </c>
      <c r="BJ97" s="69" t="n">
        <f aca="false">BJ96+BJ81+BJ82</f>
        <v>-25000</v>
      </c>
    </row>
    <row r="98" customFormat="false" ht="15" hidden="false" customHeight="false" outlineLevel="0" collapsed="false">
      <c r="A98" s="113" t="s">
        <v>461</v>
      </c>
      <c r="C98" s="70" t="n">
        <f aca="false">C94+C95+C97</f>
        <v>925903.03154399</v>
      </c>
      <c r="D98" s="70" t="n">
        <f aca="false">D94+D95+D97</f>
        <v>-93348.5584380637</v>
      </c>
      <c r="E98" s="70" t="n">
        <f aca="false">E94+E95+E97</f>
        <v>-77776.4387220337</v>
      </c>
      <c r="F98" s="70" t="n">
        <f aca="false">F94+F95+F97</f>
        <v>-70698.8828081446</v>
      </c>
      <c r="G98" s="70" t="n">
        <f aca="false">G94+G95+G97</f>
        <v>-63397.1661873729</v>
      </c>
      <c r="H98" s="70" t="n">
        <f aca="false">H94+H95+H97</f>
        <v>-55972.9688938543</v>
      </c>
      <c r="I98" s="70" t="n">
        <f aca="false">I94+I95+I97</f>
        <v>-48431.1901544986</v>
      </c>
      <c r="J98" s="70" t="n">
        <f aca="false">J94+J95+J97</f>
        <v>-40776.5332271394</v>
      </c>
      <c r="K98" s="70" t="n">
        <f aca="false">K94+K95+K97</f>
        <v>-33013.5132392968</v>
      </c>
      <c r="L98" s="70" t="n">
        <f aca="false">L94+L95+L97</f>
        <v>-25146.4647133901</v>
      </c>
      <c r="M98" s="70" t="n">
        <f aca="false">M94+M95+M97</f>
        <v>-22795.980335626</v>
      </c>
      <c r="N98" s="70" t="n">
        <f aca="false">N94+N95+N97</f>
        <v>-37325.9707704894</v>
      </c>
      <c r="O98" s="70" t="n">
        <f aca="false">O94+O95+O97</f>
        <v>-70867.2079686989</v>
      </c>
      <c r="P98" s="70" t="n">
        <f aca="false">P94+P95+P97</f>
        <v>-28924.6168398369</v>
      </c>
      <c r="Q98" s="70" t="n">
        <f aca="false">Q94+Q95+Q97</f>
        <v>-9522.70095802083</v>
      </c>
      <c r="R98" s="70" t="n">
        <f aca="false">R94+R95+R97</f>
        <v>-7867.49041533761</v>
      </c>
      <c r="S98" s="70" t="n">
        <f aca="false">S94+S95+S97</f>
        <v>-5846.50332389252</v>
      </c>
      <c r="T98" s="70" t="n">
        <f aca="false">T94+T95+T97</f>
        <v>-3899.27238277188</v>
      </c>
      <c r="U98" s="70" t="n">
        <f aca="false">U94+U95+U97</f>
        <v>-2022.84734596271</v>
      </c>
      <c r="V98" s="70" t="n">
        <f aca="false">V94+V95+V97</f>
        <v>-214.395977292606</v>
      </c>
      <c r="W98" s="70" t="n">
        <f aca="false">W94+W95+W97</f>
        <v>1528.80066996402</v>
      </c>
      <c r="X98" s="70" t="n">
        <f aca="false">X94+X95+X97</f>
        <v>3209.35278466372</v>
      </c>
      <c r="Y98" s="70" t="n">
        <f aca="false">Y94+Y95+Y97</f>
        <v>4829.76614810879</v>
      </c>
      <c r="Z98" s="70" t="n">
        <f aca="false">Z94+Z95+Z97</f>
        <v>-10748.4097017921</v>
      </c>
      <c r="AA98" s="70" t="n">
        <f aca="false">AA94+AA95+AA97</f>
        <v>-44557.867338102</v>
      </c>
      <c r="AB98" s="70" t="n">
        <f aca="false">AB94+AB95+AB97</f>
        <v>-3298.80016237345</v>
      </c>
      <c r="AC98" s="70" t="n">
        <f aca="false">AC94+AC95+AC97</f>
        <v>15922.0265315874</v>
      </c>
      <c r="AD98" s="70" t="n">
        <f aca="false">AD94+AD95+AD97</f>
        <v>16643.6132582186</v>
      </c>
      <c r="AE98" s="70" t="n">
        <f aca="false">AE94+AE95+AE97</f>
        <v>18118.4664460268</v>
      </c>
      <c r="AF98" s="70" t="n">
        <f aca="false">AF94+AF95+AF97</f>
        <v>19541.408839656</v>
      </c>
      <c r="AG98" s="70" t="n">
        <f aca="false">AG94+AG95+AG97</f>
        <v>20914.5168708734</v>
      </c>
      <c r="AH98" s="70" t="n">
        <f aca="false">AH94+AH95+AH97</f>
        <v>22239.7839141754</v>
      </c>
      <c r="AI98" s="70" t="n">
        <f aca="false">AI94+AI95+AI97</f>
        <v>23519.1236090787</v>
      </c>
      <c r="AJ98" s="70" t="n">
        <f aca="false">AJ94+AJ95+AJ97</f>
        <v>24754.3730495191</v>
      </c>
      <c r="AK98" s="70" t="n">
        <f aca="false">AK94+AK95+AK97</f>
        <v>25947.2958456753</v>
      </c>
      <c r="AL98" s="70" t="n">
        <f aca="false">AL94+AL95+AL97</f>
        <v>9406.535226456</v>
      </c>
      <c r="AM98" s="70" t="n">
        <f aca="false">AM94+AM95+AM97</f>
        <v>-24527.0738906792</v>
      </c>
      <c r="AN98" s="70" t="n">
        <f aca="false">AN94+AN95+AN97</f>
        <v>16303.6684476227</v>
      </c>
      <c r="AO98" s="70" t="n">
        <f aca="false">AO94+AO95+AO97</f>
        <v>35745.6273405503</v>
      </c>
      <c r="AP98" s="70" t="n">
        <f aca="false">AP94+AP95+AP97</f>
        <v>35848.5242734996</v>
      </c>
      <c r="AQ98" s="70" t="n">
        <f aca="false">AQ94+AQ95+AQ97</f>
        <v>36991.2649405503</v>
      </c>
      <c r="AR98" s="70" t="n">
        <f aca="false">AR94+AR95+AR97</f>
        <v>38095.3793142523</v>
      </c>
      <c r="AS98" s="70" t="n">
        <f aca="false">AS94+AS95+AS97</f>
        <v>39162.4124463395</v>
      </c>
      <c r="AT98" s="70" t="n">
        <f aca="false">AT94+AT95+AT97</f>
        <v>40193.8475864766</v>
      </c>
      <c r="AU98" s="70" t="n">
        <f aca="false">AU94+AU95+AU97</f>
        <v>41191.1086543415</v>
      </c>
      <c r="AV98" s="70" t="n">
        <f aca="false">AV94+AV95+AV97</f>
        <v>42155.5626128252</v>
      </c>
      <c r="AW98" s="70" t="n">
        <f aca="false">AW94+AW95+AW97</f>
        <v>43088.5217463028</v>
      </c>
      <c r="AX98" s="70" t="n">
        <f aca="false">AX94+AX95+AX97</f>
        <v>25623.2883506386</v>
      </c>
      <c r="AY98" s="70" t="n">
        <f aca="false">AY94+AY95+AY97</f>
        <v>-8320.05800502209</v>
      </c>
      <c r="AZ98" s="70" t="n">
        <f aca="false">AZ94+AZ95+AZ97</f>
        <v>32241.553898064</v>
      </c>
      <c r="BA98" s="70" t="n">
        <f aca="false">BA94+BA95+BA97</f>
        <v>52172.1066502759</v>
      </c>
      <c r="BB98" s="70" t="n">
        <f aca="false">BB94+BB95+BB97</f>
        <v>51850.637919111</v>
      </c>
      <c r="BC98" s="70" t="n">
        <f aca="false">BC94+BC95+BC97</f>
        <v>52795.2398921444</v>
      </c>
      <c r="BD98" s="70" t="n">
        <f aca="false">BD94+BD95+BD97</f>
        <v>53709.1411195898</v>
      </c>
      <c r="BE98" s="70" t="n">
        <f aca="false">BE94+BE95+BE97</f>
        <v>54593.5696312708</v>
      </c>
      <c r="BF98" s="70" t="n">
        <f aca="false">BF94+BF95+BF97</f>
        <v>55425.3178086349</v>
      </c>
      <c r="BG98" s="70" t="n">
        <f aca="false">BG94+BG95+BG97</f>
        <v>45426.7129132673</v>
      </c>
      <c r="BH98" s="70" t="n">
        <f aca="false">BH94+BH95+BH97</f>
        <v>46060.8392803436</v>
      </c>
      <c r="BI98" s="70" t="n">
        <f aca="false">BI94+BI95+BI97</f>
        <v>46675.1964260701</v>
      </c>
      <c r="BJ98" s="70" t="n">
        <f aca="false">BJ94+BJ95+BJ97</f>
        <v>31853.0066571451</v>
      </c>
    </row>
    <row r="99" customFormat="false" ht="15" hidden="false" customHeight="false" outlineLevel="0" collapsed="false">
      <c r="A99" s="6" t="s">
        <v>351</v>
      </c>
      <c r="C99" s="69" t="n">
        <f aca="false">0</f>
        <v>0</v>
      </c>
      <c r="D99" s="69" t="n">
        <f aca="false">C100</f>
        <v>925903.03154399</v>
      </c>
      <c r="E99" s="69" t="n">
        <f aca="false">D100</f>
        <v>832554.473105926</v>
      </c>
      <c r="F99" s="69" t="n">
        <f aca="false">E100</f>
        <v>754778.034383893</v>
      </c>
      <c r="G99" s="69" t="n">
        <f aca="false">F100</f>
        <v>684079.151575748</v>
      </c>
      <c r="H99" s="69" t="n">
        <f aca="false">G100</f>
        <v>620681.985388375</v>
      </c>
      <c r="I99" s="69" t="n">
        <f aca="false">H100</f>
        <v>564709.016494521</v>
      </c>
      <c r="J99" s="69" t="n">
        <f aca="false">I100</f>
        <v>516277.826340022</v>
      </c>
      <c r="K99" s="69" t="n">
        <f aca="false">J100</f>
        <v>475501.293112883</v>
      </c>
      <c r="L99" s="69" t="n">
        <f aca="false">K100</f>
        <v>442487.779873586</v>
      </c>
      <c r="M99" s="69" t="n">
        <f aca="false">L100</f>
        <v>417341.315160196</v>
      </c>
      <c r="N99" s="69" t="n">
        <f aca="false">M100</f>
        <v>394545.33482457</v>
      </c>
      <c r="O99" s="69" t="n">
        <f aca="false">N100</f>
        <v>357219.364054081</v>
      </c>
      <c r="P99" s="69" t="n">
        <f aca="false">O100</f>
        <v>286352.156085382</v>
      </c>
      <c r="Q99" s="69" t="n">
        <f aca="false">P100</f>
        <v>257427.539245545</v>
      </c>
      <c r="R99" s="69" t="n">
        <f aca="false">Q100</f>
        <v>247904.838287524</v>
      </c>
      <c r="S99" s="69" t="n">
        <f aca="false">R100</f>
        <v>240037.347872186</v>
      </c>
      <c r="T99" s="69" t="n">
        <f aca="false">S100</f>
        <v>234190.844548294</v>
      </c>
      <c r="U99" s="69" t="n">
        <f aca="false">T100</f>
        <v>230291.572165522</v>
      </c>
      <c r="V99" s="69" t="n">
        <f aca="false">U100</f>
        <v>228268.724819559</v>
      </c>
      <c r="W99" s="69" t="n">
        <f aca="false">V100</f>
        <v>228054.328842267</v>
      </c>
      <c r="X99" s="69" t="n">
        <f aca="false">W100</f>
        <v>229583.129512231</v>
      </c>
      <c r="Y99" s="69" t="n">
        <f aca="false">X100</f>
        <v>232792.482296894</v>
      </c>
      <c r="Z99" s="69" t="n">
        <f aca="false">Y100</f>
        <v>237622.248445003</v>
      </c>
      <c r="AA99" s="69" t="n">
        <f aca="false">Z100</f>
        <v>226873.838743211</v>
      </c>
      <c r="AB99" s="69" t="n">
        <f aca="false">AA100</f>
        <v>182315.971405109</v>
      </c>
      <c r="AC99" s="69" t="n">
        <f aca="false">AB100</f>
        <v>179017.171242736</v>
      </c>
      <c r="AD99" s="69" t="n">
        <f aca="false">AC100</f>
        <v>194939.197774323</v>
      </c>
      <c r="AE99" s="69" t="n">
        <f aca="false">AD100</f>
        <v>211582.811032542</v>
      </c>
      <c r="AF99" s="69" t="n">
        <f aca="false">AE100</f>
        <v>229701.277478568</v>
      </c>
      <c r="AG99" s="69" t="n">
        <f aca="false">AF100</f>
        <v>249242.686318224</v>
      </c>
      <c r="AH99" s="69" t="n">
        <f aca="false">AG100</f>
        <v>270157.203189098</v>
      </c>
      <c r="AI99" s="69" t="n">
        <f aca="false">AH100</f>
        <v>292396.987103273</v>
      </c>
      <c r="AJ99" s="69" t="n">
        <f aca="false">AI100</f>
        <v>315916.110712352</v>
      </c>
      <c r="AK99" s="69" t="n">
        <f aca="false">AJ100</f>
        <v>340670.483761871</v>
      </c>
      <c r="AL99" s="69" t="n">
        <f aca="false">AK100</f>
        <v>366617.779607546</v>
      </c>
      <c r="AM99" s="69" t="n">
        <f aca="false">AL100</f>
        <v>376024.314834002</v>
      </c>
      <c r="AN99" s="69" t="n">
        <f aca="false">AM100</f>
        <v>351497.240943323</v>
      </c>
      <c r="AO99" s="69" t="n">
        <f aca="false">AN100</f>
        <v>367800.909390946</v>
      </c>
      <c r="AP99" s="69" t="n">
        <f aca="false">AO100</f>
        <v>403546.536731496</v>
      </c>
      <c r="AQ99" s="69" t="n">
        <f aca="false">AP100</f>
        <v>439395.061004996</v>
      </c>
      <c r="AR99" s="69" t="n">
        <f aca="false">AQ100</f>
        <v>476386.325945546</v>
      </c>
      <c r="AS99" s="69" t="n">
        <f aca="false">AR100</f>
        <v>514481.705259798</v>
      </c>
      <c r="AT99" s="69" t="n">
        <f aca="false">AS100</f>
        <v>553644.117706138</v>
      </c>
      <c r="AU99" s="69" t="n">
        <f aca="false">AT100</f>
        <v>593837.965292614</v>
      </c>
      <c r="AV99" s="69" t="n">
        <f aca="false">AU100</f>
        <v>635029.073946956</v>
      </c>
      <c r="AW99" s="69" t="n">
        <f aca="false">AV100</f>
        <v>677184.636559781</v>
      </c>
      <c r="AX99" s="69" t="n">
        <f aca="false">AW100</f>
        <v>720273.158306084</v>
      </c>
      <c r="AY99" s="69" t="n">
        <f aca="false">AX100</f>
        <v>745896.446656723</v>
      </c>
      <c r="AZ99" s="69" t="n">
        <f aca="false">AY100</f>
        <v>737576.388651701</v>
      </c>
      <c r="BA99" s="69" t="n">
        <f aca="false">AZ100</f>
        <v>769817.942549765</v>
      </c>
      <c r="BB99" s="69" t="n">
        <f aca="false">BA100</f>
        <v>821990.04920004</v>
      </c>
      <c r="BC99" s="69" t="n">
        <f aca="false">BB100</f>
        <v>873840.687119151</v>
      </c>
      <c r="BD99" s="69" t="n">
        <f aca="false">BC100</f>
        <v>926635.927011296</v>
      </c>
      <c r="BE99" s="69" t="n">
        <f aca="false">BD100</f>
        <v>980345.068130886</v>
      </c>
      <c r="BF99" s="69" t="n">
        <f aca="false">BE100</f>
        <v>1034938.63776216</v>
      </c>
      <c r="BG99" s="69" t="n">
        <f aca="false">BF100</f>
        <v>1090363.95557079</v>
      </c>
      <c r="BH99" s="69" t="n">
        <f aca="false">BG100</f>
        <v>1135790.66848406</v>
      </c>
      <c r="BI99" s="69" t="n">
        <f aca="false">BH100</f>
        <v>1181851.5077644</v>
      </c>
      <c r="BJ99" s="69" t="n">
        <f aca="false">BI100</f>
        <v>1228526.70419047</v>
      </c>
    </row>
    <row r="100" customFormat="false" ht="15" hidden="false" customHeight="false" outlineLevel="0" collapsed="false">
      <c r="A100" s="113" t="s">
        <v>87</v>
      </c>
      <c r="C100" s="70" t="n">
        <f aca="false">C99+C98</f>
        <v>925903.03154399</v>
      </c>
      <c r="D100" s="70" t="n">
        <f aca="false">D99+D98</f>
        <v>832554.473105926</v>
      </c>
      <c r="E100" s="70" t="n">
        <f aca="false">E99+E98</f>
        <v>754778.034383893</v>
      </c>
      <c r="F100" s="70" t="n">
        <f aca="false">F99+F98</f>
        <v>684079.151575748</v>
      </c>
      <c r="G100" s="70" t="n">
        <f aca="false">G99+G98</f>
        <v>620681.985388375</v>
      </c>
      <c r="H100" s="70" t="n">
        <f aca="false">H99+H98</f>
        <v>564709.016494521</v>
      </c>
      <c r="I100" s="70" t="n">
        <f aca="false">I99+I98</f>
        <v>516277.826340022</v>
      </c>
      <c r="J100" s="70" t="n">
        <f aca="false">J99+J98</f>
        <v>475501.293112883</v>
      </c>
      <c r="K100" s="70" t="n">
        <f aca="false">K99+K98</f>
        <v>442487.779873586</v>
      </c>
      <c r="L100" s="70" t="n">
        <f aca="false">L99+L98</f>
        <v>417341.315160196</v>
      </c>
      <c r="M100" s="70" t="n">
        <f aca="false">M99+M98</f>
        <v>394545.33482457</v>
      </c>
      <c r="N100" s="70" t="n">
        <f aca="false">N99+N98</f>
        <v>357219.364054081</v>
      </c>
      <c r="O100" s="70" t="n">
        <f aca="false">O99+O98</f>
        <v>286352.156085382</v>
      </c>
      <c r="P100" s="70" t="n">
        <f aca="false">P99+P98</f>
        <v>257427.539245545</v>
      </c>
      <c r="Q100" s="70" t="n">
        <f aca="false">Q99+Q98</f>
        <v>247904.838287524</v>
      </c>
      <c r="R100" s="70" t="n">
        <f aca="false">R99+R98</f>
        <v>240037.347872186</v>
      </c>
      <c r="S100" s="70" t="n">
        <f aca="false">S99+S98</f>
        <v>234190.844548294</v>
      </c>
      <c r="T100" s="70" t="n">
        <f aca="false">T99+T98</f>
        <v>230291.572165522</v>
      </c>
      <c r="U100" s="70" t="n">
        <f aca="false">U99+U98</f>
        <v>228268.724819559</v>
      </c>
      <c r="V100" s="70" t="n">
        <f aca="false">V99+V98</f>
        <v>228054.328842267</v>
      </c>
      <c r="W100" s="70" t="n">
        <f aca="false">W99+W98</f>
        <v>229583.129512231</v>
      </c>
      <c r="X100" s="70" t="n">
        <f aca="false">X99+X98</f>
        <v>232792.482296894</v>
      </c>
      <c r="Y100" s="70" t="n">
        <f aca="false">Y99+Y98</f>
        <v>237622.248445003</v>
      </c>
      <c r="Z100" s="70" t="n">
        <f aca="false">Z99+Z98</f>
        <v>226873.838743211</v>
      </c>
      <c r="AA100" s="70" t="n">
        <f aca="false">AA99+AA98</f>
        <v>182315.971405109</v>
      </c>
      <c r="AB100" s="70" t="n">
        <f aca="false">AB99+AB98</f>
        <v>179017.171242736</v>
      </c>
      <c r="AC100" s="70" t="n">
        <f aca="false">AC99+AC98</f>
        <v>194939.197774323</v>
      </c>
      <c r="AD100" s="70" t="n">
        <f aca="false">AD99+AD98</f>
        <v>211582.811032542</v>
      </c>
      <c r="AE100" s="70" t="n">
        <f aca="false">AE99+AE98</f>
        <v>229701.277478568</v>
      </c>
      <c r="AF100" s="70" t="n">
        <f aca="false">AF99+AF98</f>
        <v>249242.686318224</v>
      </c>
      <c r="AG100" s="70" t="n">
        <f aca="false">AG99+AG98</f>
        <v>270157.203189098</v>
      </c>
      <c r="AH100" s="70" t="n">
        <f aca="false">AH99+AH98</f>
        <v>292396.987103273</v>
      </c>
      <c r="AI100" s="70" t="n">
        <f aca="false">AI99+AI98</f>
        <v>315916.110712352</v>
      </c>
      <c r="AJ100" s="70" t="n">
        <f aca="false">AJ99+AJ98</f>
        <v>340670.483761871</v>
      </c>
      <c r="AK100" s="70" t="n">
        <f aca="false">AK99+AK98</f>
        <v>366617.779607546</v>
      </c>
      <c r="AL100" s="70" t="n">
        <f aca="false">AL99+AL98</f>
        <v>376024.314834002</v>
      </c>
      <c r="AM100" s="70" t="n">
        <f aca="false">AM99+AM98</f>
        <v>351497.240943323</v>
      </c>
      <c r="AN100" s="70" t="n">
        <f aca="false">AN99+AN98</f>
        <v>367800.909390946</v>
      </c>
      <c r="AO100" s="70" t="n">
        <f aca="false">AO99+AO98</f>
        <v>403546.536731496</v>
      </c>
      <c r="AP100" s="70" t="n">
        <f aca="false">AP99+AP98</f>
        <v>439395.061004996</v>
      </c>
      <c r="AQ100" s="70" t="n">
        <f aca="false">AQ99+AQ98</f>
        <v>476386.325945546</v>
      </c>
      <c r="AR100" s="70" t="n">
        <f aca="false">AR99+AR98</f>
        <v>514481.705259798</v>
      </c>
      <c r="AS100" s="70" t="n">
        <f aca="false">AS99+AS98</f>
        <v>553644.117706138</v>
      </c>
      <c r="AT100" s="70" t="n">
        <f aca="false">AT99+AT98</f>
        <v>593837.965292614</v>
      </c>
      <c r="AU100" s="70" t="n">
        <f aca="false">AU99+AU98</f>
        <v>635029.073946956</v>
      </c>
      <c r="AV100" s="70" t="n">
        <f aca="false">AV99+AV98</f>
        <v>677184.636559781</v>
      </c>
      <c r="AW100" s="70" t="n">
        <f aca="false">AW99+AW98</f>
        <v>720273.158306084</v>
      </c>
      <c r="AX100" s="70" t="n">
        <f aca="false">AX99+AX98</f>
        <v>745896.446656723</v>
      </c>
      <c r="AY100" s="70" t="n">
        <f aca="false">AY99+AY98</f>
        <v>737576.388651701</v>
      </c>
      <c r="AZ100" s="70" t="n">
        <f aca="false">AZ99+AZ98</f>
        <v>769817.942549765</v>
      </c>
      <c r="BA100" s="70" t="n">
        <f aca="false">BA99+BA98</f>
        <v>821990.04920004</v>
      </c>
      <c r="BB100" s="70" t="n">
        <f aca="false">BB99+BB98</f>
        <v>873840.687119151</v>
      </c>
      <c r="BC100" s="70" t="n">
        <f aca="false">BC99+BC98</f>
        <v>926635.927011296</v>
      </c>
      <c r="BD100" s="70" t="n">
        <f aca="false">BD99+BD98</f>
        <v>980345.068130886</v>
      </c>
      <c r="BE100" s="70" t="n">
        <f aca="false">BE99+BE98</f>
        <v>1034938.63776216</v>
      </c>
      <c r="BF100" s="70" t="n">
        <f aca="false">BF99+BF98</f>
        <v>1090363.95557079</v>
      </c>
      <c r="BG100" s="70" t="n">
        <f aca="false">BG99+BG98</f>
        <v>1135790.66848406</v>
      </c>
      <c r="BH100" s="70" t="n">
        <f aca="false">BH99+BH98</f>
        <v>1181851.5077644</v>
      </c>
      <c r="BI100" s="70" t="n">
        <f aca="false">BI99+BI98</f>
        <v>1228526.70419047</v>
      </c>
      <c r="BJ100" s="70" t="n">
        <f aca="false">BJ99+BJ98</f>
        <v>1260379.71084762</v>
      </c>
    </row>
    <row r="101" customFormat="false" ht="15" hidden="false" customHeight="false" outlineLevel="0" collapsed="false">
      <c r="A101" s="116" t="s">
        <v>462</v>
      </c>
      <c r="C101" s="118" t="n">
        <f aca="false">IF(C55&gt;0,1,0)</f>
        <v>0</v>
      </c>
      <c r="D101" s="118" t="n">
        <f aca="false">IF(D55&gt;0,1,0)</f>
        <v>0</v>
      </c>
      <c r="E101" s="118" t="n">
        <f aca="false">IF(E55&gt;0,1,0)</f>
        <v>0</v>
      </c>
      <c r="F101" s="118" t="n">
        <f aca="false">IF(F55&gt;0,1,0)</f>
        <v>0</v>
      </c>
      <c r="G101" s="118" t="n">
        <f aca="false">IF(G55&gt;0,1,0)</f>
        <v>0</v>
      </c>
      <c r="H101" s="118" t="n">
        <f aca="false">IF(H55&gt;0,1,0)</f>
        <v>0</v>
      </c>
      <c r="I101" s="118" t="n">
        <f aca="false">IF(I55&gt;0,1,0)</f>
        <v>0</v>
      </c>
      <c r="J101" s="118" t="n">
        <f aca="false">IF(J55&gt;0,1,0)</f>
        <v>1</v>
      </c>
      <c r="K101" s="118" t="n">
        <f aca="false">IF(K55&gt;0,1,0)</f>
        <v>1</v>
      </c>
      <c r="L101" s="118" t="n">
        <f aca="false">IF(L55&gt;0,1,0)</f>
        <v>1</v>
      </c>
      <c r="M101" s="118" t="n">
        <f aca="false">IF(M55&gt;0,1,0)</f>
        <v>1</v>
      </c>
      <c r="N101" s="118" t="n">
        <f aca="false">IF(N55&gt;0,1,0)</f>
        <v>1</v>
      </c>
      <c r="O101" s="118" t="n">
        <f aca="false">IF(O55&gt;0,1,0)</f>
        <v>1</v>
      </c>
      <c r="P101" s="118" t="n">
        <f aca="false">IF(P55&gt;0,1,0)</f>
        <v>1</v>
      </c>
      <c r="Q101" s="118" t="n">
        <f aca="false">IF(Q55&gt;0,1,0)</f>
        <v>1</v>
      </c>
      <c r="R101" s="118" t="n">
        <f aca="false">IF(R55&gt;0,1,0)</f>
        <v>1</v>
      </c>
      <c r="S101" s="118" t="n">
        <f aca="false">IF(S55&gt;0,1,0)</f>
        <v>1</v>
      </c>
      <c r="T101" s="118" t="n">
        <f aca="false">IF(T55&gt;0,1,0)</f>
        <v>1</v>
      </c>
      <c r="U101" s="118" t="n">
        <f aca="false">IF(U55&gt;0,1,0)</f>
        <v>1</v>
      </c>
      <c r="V101" s="118" t="n">
        <f aca="false">IF(V55&gt;0,1,0)</f>
        <v>1</v>
      </c>
      <c r="W101" s="118" t="n">
        <f aca="false">IF(W55&gt;0,1,0)</f>
        <v>1</v>
      </c>
      <c r="X101" s="118" t="n">
        <f aca="false">IF(X55&gt;0,1,0)</f>
        <v>1</v>
      </c>
      <c r="Y101" s="118" t="n">
        <f aca="false">IF(Y55&gt;0,1,0)</f>
        <v>1</v>
      </c>
      <c r="Z101" s="118" t="n">
        <f aca="false">IF(Z55&gt;0,1,0)</f>
        <v>1</v>
      </c>
      <c r="AA101" s="118" t="n">
        <f aca="false">IF(AA55&gt;0,1,0)</f>
        <v>1</v>
      </c>
      <c r="AB101" s="118" t="n">
        <f aca="false">IF(AB55&gt;0,1,0)</f>
        <v>1</v>
      </c>
      <c r="AC101" s="118" t="n">
        <f aca="false">IF(AC55&gt;0,1,0)</f>
        <v>1</v>
      </c>
      <c r="AD101" s="118" t="n">
        <f aca="false">IF(AD55&gt;0,1,0)</f>
        <v>1</v>
      </c>
      <c r="AE101" s="118" t="n">
        <f aca="false">IF(AE55&gt;0,1,0)</f>
        <v>1</v>
      </c>
      <c r="AF101" s="118" t="n">
        <f aca="false">IF(AF55&gt;0,1,0)</f>
        <v>1</v>
      </c>
      <c r="AG101" s="118" t="n">
        <f aca="false">IF(AG55&gt;0,1,0)</f>
        <v>1</v>
      </c>
      <c r="AH101" s="118" t="n">
        <f aca="false">IF(AH55&gt;0,1,0)</f>
        <v>1</v>
      </c>
      <c r="AI101" s="118" t="n">
        <f aca="false">IF(AI55&gt;0,1,0)</f>
        <v>1</v>
      </c>
      <c r="AJ101" s="118" t="n">
        <f aca="false">IF(AJ55&gt;0,1,0)</f>
        <v>1</v>
      </c>
      <c r="AK101" s="118" t="n">
        <f aca="false">IF(AK55&gt;0,1,0)</f>
        <v>1</v>
      </c>
      <c r="AL101" s="118" t="n">
        <f aca="false">IF(AL55&gt;0,1,0)</f>
        <v>1</v>
      </c>
      <c r="AM101" s="118" t="n">
        <f aca="false">IF(AM55&gt;0,1,0)</f>
        <v>1</v>
      </c>
      <c r="AN101" s="118" t="n">
        <f aca="false">IF(AN55&gt;0,1,0)</f>
        <v>1</v>
      </c>
      <c r="AO101" s="118" t="n">
        <f aca="false">IF(AO55&gt;0,1,0)</f>
        <v>1</v>
      </c>
      <c r="AP101" s="118" t="n">
        <f aca="false">IF(AP55&gt;0,1,0)</f>
        <v>1</v>
      </c>
      <c r="AQ101" s="118" t="n">
        <f aca="false">IF(AQ55&gt;0,1,0)</f>
        <v>1</v>
      </c>
      <c r="AR101" s="118" t="n">
        <f aca="false">IF(AR55&gt;0,1,0)</f>
        <v>1</v>
      </c>
      <c r="AS101" s="118" t="n">
        <f aca="false">IF(AS55&gt;0,1,0)</f>
        <v>1</v>
      </c>
      <c r="AT101" s="118" t="n">
        <f aca="false">IF(AT55&gt;0,1,0)</f>
        <v>1</v>
      </c>
      <c r="AU101" s="118" t="n">
        <f aca="false">IF(AU55&gt;0,1,0)</f>
        <v>1</v>
      </c>
      <c r="AV101" s="118" t="n">
        <f aca="false">IF(AV55&gt;0,1,0)</f>
        <v>1</v>
      </c>
      <c r="AW101" s="118" t="n">
        <f aca="false">IF(AW55&gt;0,1,0)</f>
        <v>1</v>
      </c>
      <c r="AX101" s="118" t="n">
        <f aca="false">IF(AX55&gt;0,1,0)</f>
        <v>1</v>
      </c>
      <c r="AY101" s="118" t="n">
        <f aca="false">IF(AY55&gt;0,1,0)</f>
        <v>1</v>
      </c>
      <c r="AZ101" s="118" t="n">
        <f aca="false">IF(AZ55&gt;0,1,0)</f>
        <v>1</v>
      </c>
      <c r="BA101" s="118" t="n">
        <f aca="false">IF(BA55&gt;0,1,0)</f>
        <v>1</v>
      </c>
      <c r="BB101" s="118" t="n">
        <f aca="false">IF(BB55&gt;0,1,0)</f>
        <v>1</v>
      </c>
      <c r="BC101" s="118" t="n">
        <f aca="false">IF(BC55&gt;0,1,0)</f>
        <v>1</v>
      </c>
      <c r="BD101" s="118" t="n">
        <f aca="false">IF(BD55&gt;0,1,0)</f>
        <v>1</v>
      </c>
      <c r="BE101" s="118" t="n">
        <f aca="false">IF(BE55&gt;0,1,0)</f>
        <v>1</v>
      </c>
      <c r="BF101" s="118" t="n">
        <f aca="false">IF(BF55&gt;0,1,0)</f>
        <v>1</v>
      </c>
      <c r="BG101" s="118" t="n">
        <f aca="false">IF(BG55&gt;0,1,0)</f>
        <v>1</v>
      </c>
      <c r="BH101" s="118" t="n">
        <f aca="false">IF(BH55&gt;0,1,0)</f>
        <v>1</v>
      </c>
      <c r="BI101" s="118" t="n">
        <f aca="false">IF(BI55&gt;0,1,0)</f>
        <v>1</v>
      </c>
      <c r="BJ101" s="118" t="n">
        <f aca="false">IF(BJ55&gt;0,1,0)</f>
        <v>1</v>
      </c>
    </row>
    <row r="103" customFormat="false" ht="15.75" hidden="false" customHeight="true" outlineLevel="0" collapsed="false">
      <c r="A103" s="7" t="s">
        <v>463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</row>
    <row r="104" customFormat="false" ht="15" hidden="false" customHeight="false" outlineLevel="0" collapsed="false">
      <c r="A104" s="116" t="s">
        <v>464</v>
      </c>
      <c r="C104" s="118" t="n">
        <f aca="false">IF(C64&gt;0,1,0)</f>
        <v>0</v>
      </c>
      <c r="D104" s="118" t="n">
        <f aca="false">IF(D64&gt;0,1,0)</f>
        <v>0</v>
      </c>
      <c r="E104" s="118" t="n">
        <f aca="false">IF(E64&gt;0,1,0)</f>
        <v>0</v>
      </c>
      <c r="F104" s="118" t="n">
        <f aca="false">IF(F64&gt;0,1,0)</f>
        <v>0</v>
      </c>
      <c r="G104" s="118" t="n">
        <f aca="false">IF(G64&gt;0,1,0)</f>
        <v>0</v>
      </c>
      <c r="H104" s="118" t="n">
        <f aca="false">IF(H64&gt;0,1,0)</f>
        <v>0</v>
      </c>
      <c r="I104" s="118" t="n">
        <f aca="false">IF(I64&gt;0,1,0)</f>
        <v>0</v>
      </c>
      <c r="J104" s="118" t="n">
        <f aca="false">IF(J64&gt;0,1,0)</f>
        <v>0</v>
      </c>
      <c r="K104" s="118" t="n">
        <f aca="false">IF(K64&gt;0,1,0)</f>
        <v>0</v>
      </c>
      <c r="L104" s="118" t="n">
        <f aca="false">IF(L64&gt;0,1,0)</f>
        <v>0</v>
      </c>
      <c r="M104" s="118" t="n">
        <f aca="false">IF(M64&gt;0,1,0)</f>
        <v>0</v>
      </c>
      <c r="N104" s="118" t="n">
        <f aca="false">IF(N64&gt;0,1,0)</f>
        <v>0</v>
      </c>
      <c r="O104" s="118" t="n">
        <f aca="false">IF(O64&gt;0,1,0)</f>
        <v>0</v>
      </c>
      <c r="P104" s="118" t="n">
        <f aca="false">IF(P64&gt;0,1,0)</f>
        <v>0</v>
      </c>
      <c r="Q104" s="118" t="n">
        <f aca="false">IF(Q64&gt;0,1,0)</f>
        <v>0</v>
      </c>
      <c r="R104" s="118" t="n">
        <f aca="false">IF(R64&gt;0,1,0)</f>
        <v>0</v>
      </c>
      <c r="S104" s="118" t="n">
        <f aca="false">IF(S64&gt;0,1,0)</f>
        <v>0</v>
      </c>
      <c r="T104" s="118" t="n">
        <f aca="false">IF(T64&gt;0,1,0)</f>
        <v>0</v>
      </c>
      <c r="U104" s="118" t="n">
        <f aca="false">IF(U64&gt;0,1,0)</f>
        <v>0</v>
      </c>
      <c r="V104" s="118" t="n">
        <f aca="false">IF(V64&gt;0,1,0)</f>
        <v>0</v>
      </c>
      <c r="W104" s="118" t="n">
        <f aca="false">IF(W64&gt;0,1,0)</f>
        <v>0</v>
      </c>
      <c r="X104" s="118" t="n">
        <f aca="false">IF(X64&gt;0,1,0)</f>
        <v>0</v>
      </c>
      <c r="Y104" s="118" t="n">
        <f aca="false">IF(Y64&gt;0,1,0)</f>
        <v>1</v>
      </c>
      <c r="Z104" s="118" t="n">
        <f aca="false">IF(Z64&gt;0,1,0)</f>
        <v>0</v>
      </c>
      <c r="AA104" s="118" t="n">
        <f aca="false">IF(AA64&gt;0,1,0)</f>
        <v>0</v>
      </c>
      <c r="AB104" s="118" t="n">
        <f aca="false">IF(AB64&gt;0,1,0)</f>
        <v>0</v>
      </c>
      <c r="AC104" s="118" t="n">
        <f aca="false">IF(AC64&gt;0,1,0)</f>
        <v>1</v>
      </c>
      <c r="AD104" s="118" t="n">
        <f aca="false">IF(AD64&gt;0,1,0)</f>
        <v>1</v>
      </c>
      <c r="AE104" s="118" t="n">
        <f aca="false">IF(AE64&gt;0,1,0)</f>
        <v>1</v>
      </c>
      <c r="AF104" s="118" t="n">
        <f aca="false">IF(AF64&gt;0,1,0)</f>
        <v>1</v>
      </c>
      <c r="AG104" s="118" t="n">
        <f aca="false">IF(AG64&gt;0,1,0)</f>
        <v>1</v>
      </c>
      <c r="AH104" s="118" t="n">
        <f aca="false">IF(AH64&gt;0,1,0)</f>
        <v>1</v>
      </c>
      <c r="AI104" s="118" t="n">
        <f aca="false">IF(AI64&gt;0,1,0)</f>
        <v>1</v>
      </c>
      <c r="AJ104" s="118" t="n">
        <f aca="false">IF(AJ64&gt;0,1,0)</f>
        <v>1</v>
      </c>
      <c r="AK104" s="118" t="n">
        <f aca="false">IF(AK64&gt;0,1,0)</f>
        <v>1</v>
      </c>
      <c r="AL104" s="118" t="n">
        <f aca="false">IF(AL64&gt;0,1,0)</f>
        <v>1</v>
      </c>
      <c r="AM104" s="118" t="n">
        <f aca="false">IF(AM64&gt;0,1,0)</f>
        <v>1</v>
      </c>
      <c r="AN104" s="118" t="n">
        <f aca="false">IF(AN64&gt;0,1,0)</f>
        <v>1</v>
      </c>
      <c r="AO104" s="118" t="n">
        <f aca="false">IF(AO64&gt;0,1,0)</f>
        <v>1</v>
      </c>
      <c r="AP104" s="118" t="n">
        <f aca="false">IF(AP64&gt;0,1,0)</f>
        <v>1</v>
      </c>
      <c r="AQ104" s="118" t="n">
        <f aca="false">IF(AQ64&gt;0,1,0)</f>
        <v>1</v>
      </c>
      <c r="AR104" s="118" t="n">
        <f aca="false">IF(AR64&gt;0,1,0)</f>
        <v>1</v>
      </c>
      <c r="AS104" s="118" t="n">
        <f aca="false">IF(AS64&gt;0,1,0)</f>
        <v>1</v>
      </c>
      <c r="AT104" s="118" t="n">
        <f aca="false">IF(AT64&gt;0,1,0)</f>
        <v>1</v>
      </c>
      <c r="AU104" s="118" t="n">
        <f aca="false">IF(AU64&gt;0,1,0)</f>
        <v>1</v>
      </c>
      <c r="AV104" s="118" t="n">
        <f aca="false">IF(AV64&gt;0,1,0)</f>
        <v>1</v>
      </c>
      <c r="AW104" s="118" t="n">
        <f aca="false">IF(AW64&gt;0,1,0)</f>
        <v>1</v>
      </c>
      <c r="AX104" s="118" t="n">
        <f aca="false">IF(AX64&gt;0,1,0)</f>
        <v>1</v>
      </c>
      <c r="AY104" s="118" t="n">
        <f aca="false">IF(AY64&gt;0,1,0)</f>
        <v>1</v>
      </c>
      <c r="AZ104" s="118" t="n">
        <f aca="false">IF(AZ64&gt;0,1,0)</f>
        <v>1</v>
      </c>
      <c r="BA104" s="118" t="n">
        <f aca="false">IF(BA64&gt;0,1,0)</f>
        <v>1</v>
      </c>
      <c r="BB104" s="118" t="n">
        <f aca="false">IF(BB64&gt;0,1,0)</f>
        <v>1</v>
      </c>
      <c r="BC104" s="118" t="n">
        <f aca="false">IF(BC64&gt;0,1,0)</f>
        <v>1</v>
      </c>
      <c r="BD104" s="118" t="n">
        <f aca="false">IF(BD64&gt;0,1,0)</f>
        <v>1</v>
      </c>
      <c r="BE104" s="118" t="n">
        <f aca="false">IF(BE64&gt;0,1,0)</f>
        <v>1</v>
      </c>
      <c r="BF104" s="118" t="n">
        <f aca="false">IF(BF64&gt;0,1,0)</f>
        <v>1</v>
      </c>
      <c r="BG104" s="118" t="n">
        <f aca="false">IF(BG64&gt;0,1,0)</f>
        <v>1</v>
      </c>
      <c r="BH104" s="118" t="n">
        <f aca="false">IF(BH64&gt;0,1,0)</f>
        <v>1</v>
      </c>
      <c r="BI104" s="118" t="n">
        <f aca="false">IF(BI64&gt;0,1,0)</f>
        <v>1</v>
      </c>
      <c r="BJ104" s="118" t="n">
        <f aca="false">IF(BJ64&gt;0,1,0)</f>
        <v>1</v>
      </c>
    </row>
    <row r="105" customFormat="false" ht="15" hidden="false" customHeight="false" outlineLevel="0" collapsed="false">
      <c r="A105" s="6" t="s">
        <v>465</v>
      </c>
      <c r="C105" s="69" t="n">
        <f aca="false">C94+C95</f>
        <v>-4174096.96845601</v>
      </c>
      <c r="D105" s="69" t="n">
        <f aca="false">D94+D95</f>
        <v>-68348.5584380637</v>
      </c>
      <c r="E105" s="69" t="n">
        <f aca="false">E94+E95</f>
        <v>-52776.4387220337</v>
      </c>
      <c r="F105" s="69" t="n">
        <f aca="false">F94+F95</f>
        <v>-45698.8828081446</v>
      </c>
      <c r="G105" s="69" t="n">
        <f aca="false">G94+G95</f>
        <v>-38397.1661873729</v>
      </c>
      <c r="H105" s="69" t="n">
        <f aca="false">H94+H95</f>
        <v>-30972.9688938543</v>
      </c>
      <c r="I105" s="69" t="n">
        <f aca="false">I94+I95</f>
        <v>-23431.1901544986</v>
      </c>
      <c r="J105" s="69" t="n">
        <f aca="false">J94+J95</f>
        <v>-15776.5332271394</v>
      </c>
      <c r="K105" s="69" t="n">
        <f aca="false">K94+K95</f>
        <v>-8013.5132392968</v>
      </c>
      <c r="L105" s="69" t="n">
        <f aca="false">L94+L95</f>
        <v>-146.464713390115</v>
      </c>
      <c r="M105" s="69" t="n">
        <f aca="false">M94+M95</f>
        <v>2204.019664374</v>
      </c>
      <c r="N105" s="69" t="n">
        <f aca="false">N94+N95</f>
        <v>-12325.9707704894</v>
      </c>
      <c r="O105" s="69" t="n">
        <f aca="false">O94+O95</f>
        <v>-45867.2079686989</v>
      </c>
      <c r="P105" s="69" t="n">
        <f aca="false">P94+P95</f>
        <v>-3924.6168398369</v>
      </c>
      <c r="Q105" s="69" t="n">
        <f aca="false">Q94+Q95</f>
        <v>15477.2990419792</v>
      </c>
      <c r="R105" s="69" t="n">
        <f aca="false">R94+R95</f>
        <v>17132.5095846624</v>
      </c>
      <c r="S105" s="69" t="n">
        <f aca="false">S94+S95</f>
        <v>19153.4966761075</v>
      </c>
      <c r="T105" s="69" t="n">
        <f aca="false">T94+T95</f>
        <v>21100.7276172281</v>
      </c>
      <c r="U105" s="69" t="n">
        <f aca="false">U94+U95</f>
        <v>22977.1526540373</v>
      </c>
      <c r="V105" s="69" t="n">
        <f aca="false">V94+V95</f>
        <v>24785.6040227074</v>
      </c>
      <c r="W105" s="69" t="n">
        <f aca="false">W94+W95</f>
        <v>26528.800669964</v>
      </c>
      <c r="X105" s="69" t="n">
        <f aca="false">X94+X95</f>
        <v>28209.3527846637</v>
      </c>
      <c r="Y105" s="69" t="n">
        <f aca="false">Y94+Y95</f>
        <v>29829.7661481088</v>
      </c>
      <c r="Z105" s="69" t="n">
        <f aca="false">Z94+Z95</f>
        <v>14251.5902982079</v>
      </c>
      <c r="AA105" s="69" t="n">
        <f aca="false">AA94+AA95</f>
        <v>-19557.867338102</v>
      </c>
      <c r="AB105" s="69" t="n">
        <f aca="false">AB94+AB95</f>
        <v>21701.1998376266</v>
      </c>
      <c r="AC105" s="69" t="n">
        <f aca="false">AC94+AC95</f>
        <v>40922.0265315874</v>
      </c>
      <c r="AD105" s="69" t="n">
        <f aca="false">AD94+AD95</f>
        <v>41643.6132582186</v>
      </c>
      <c r="AE105" s="69" t="n">
        <f aca="false">AE94+AE95</f>
        <v>43118.4664460268</v>
      </c>
      <c r="AF105" s="69" t="n">
        <f aca="false">AF94+AF95</f>
        <v>44541.408839656</v>
      </c>
      <c r="AG105" s="69" t="n">
        <f aca="false">AG94+AG95</f>
        <v>45914.5168708734</v>
      </c>
      <c r="AH105" s="69" t="n">
        <f aca="false">AH94+AH95</f>
        <v>47239.7839141754</v>
      </c>
      <c r="AI105" s="69" t="n">
        <f aca="false">AI94+AI95</f>
        <v>48519.1236090787</v>
      </c>
      <c r="AJ105" s="69" t="n">
        <f aca="false">AJ94+AJ95</f>
        <v>49754.3730495191</v>
      </c>
      <c r="AK105" s="69" t="n">
        <f aca="false">AK94+AK95</f>
        <v>50947.2958456753</v>
      </c>
      <c r="AL105" s="69" t="n">
        <f aca="false">AL94+AL95</f>
        <v>34406.535226456</v>
      </c>
      <c r="AM105" s="69" t="n">
        <f aca="false">AM94+AM95</f>
        <v>472.926109320841</v>
      </c>
      <c r="AN105" s="69" t="n">
        <f aca="false">AN94+AN95</f>
        <v>41303.6684476227</v>
      </c>
      <c r="AO105" s="69" t="n">
        <f aca="false">AO94+AO95</f>
        <v>60745.6273405503</v>
      </c>
      <c r="AP105" s="69" t="n">
        <f aca="false">AP94+AP95</f>
        <v>60848.5242734996</v>
      </c>
      <c r="AQ105" s="69" t="n">
        <f aca="false">AQ94+AQ95</f>
        <v>61991.2649405503</v>
      </c>
      <c r="AR105" s="69" t="n">
        <f aca="false">AR94+AR95</f>
        <v>63095.3793142523</v>
      </c>
      <c r="AS105" s="69" t="n">
        <f aca="false">AS94+AS95</f>
        <v>64162.4124463395</v>
      </c>
      <c r="AT105" s="69" t="n">
        <f aca="false">AT94+AT95</f>
        <v>65193.8475864766</v>
      </c>
      <c r="AU105" s="69" t="n">
        <f aca="false">AU94+AU95</f>
        <v>66191.1086543415</v>
      </c>
      <c r="AV105" s="69" t="n">
        <f aca="false">AV94+AV95</f>
        <v>67155.5626128252</v>
      </c>
      <c r="AW105" s="69" t="n">
        <f aca="false">AW94+AW95</f>
        <v>68088.5217463028</v>
      </c>
      <c r="AX105" s="69" t="n">
        <f aca="false">AX94+AX95</f>
        <v>50623.2883506386</v>
      </c>
      <c r="AY105" s="69" t="n">
        <f aca="false">AY94+AY95</f>
        <v>16679.9419949779</v>
      </c>
      <c r="AZ105" s="69" t="n">
        <f aca="false">AZ94+AZ95</f>
        <v>57241.553898064</v>
      </c>
      <c r="BA105" s="69" t="n">
        <f aca="false">BA94+BA95</f>
        <v>77172.1066502759</v>
      </c>
      <c r="BB105" s="69" t="n">
        <f aca="false">BB94+BB95</f>
        <v>76850.637919111</v>
      </c>
      <c r="BC105" s="69" t="n">
        <f aca="false">BC94+BC95</f>
        <v>77795.2398921444</v>
      </c>
      <c r="BD105" s="69" t="n">
        <f aca="false">BD94+BD95</f>
        <v>78709.1411195898</v>
      </c>
      <c r="BE105" s="69" t="n">
        <f aca="false">BE94+BE95</f>
        <v>79593.5696312708</v>
      </c>
      <c r="BF105" s="69" t="n">
        <f aca="false">BF94+BF95</f>
        <v>80425.3178086349</v>
      </c>
      <c r="BG105" s="69" t="n">
        <f aca="false">BG94+BG95</f>
        <v>70426.7129132673</v>
      </c>
      <c r="BH105" s="69" t="n">
        <f aca="false">BH94+BH95</f>
        <v>71060.8392803436</v>
      </c>
      <c r="BI105" s="69" t="n">
        <f aca="false">BI94+BI95</f>
        <v>71675.1964260701</v>
      </c>
      <c r="BJ105" s="69" t="n">
        <f aca="false">BJ94+BJ95</f>
        <v>56853.0066571451</v>
      </c>
    </row>
    <row r="106" customFormat="false" ht="15" hidden="false" customHeight="false" outlineLevel="0" collapsed="false">
      <c r="A106" s="6" t="s">
        <v>466</v>
      </c>
      <c r="C106" s="69" t="n">
        <f aca="false">C105</f>
        <v>-4174096.96845601</v>
      </c>
      <c r="D106" s="69" t="n">
        <f aca="false">C106+D105</f>
        <v>-4242445.52689407</v>
      </c>
      <c r="E106" s="69" t="n">
        <f aca="false">D106+E105</f>
        <v>-4295221.96561611</v>
      </c>
      <c r="F106" s="69" t="n">
        <f aca="false">E106+F105</f>
        <v>-4340920.84842425</v>
      </c>
      <c r="G106" s="69" t="n">
        <f aca="false">F106+G105</f>
        <v>-4379318.01461163</v>
      </c>
      <c r="H106" s="69" t="n">
        <f aca="false">G106+H105</f>
        <v>-4410290.98350548</v>
      </c>
      <c r="I106" s="69" t="n">
        <f aca="false">H106+I105</f>
        <v>-4433722.17365998</v>
      </c>
      <c r="J106" s="69" t="n">
        <f aca="false">I106+J105</f>
        <v>-4449498.70688712</v>
      </c>
      <c r="K106" s="69" t="n">
        <f aca="false">J106+K105</f>
        <v>-4457512.22012641</v>
      </c>
      <c r="L106" s="69" t="n">
        <f aca="false">K106+L105</f>
        <v>-4457658.6848398</v>
      </c>
      <c r="M106" s="69" t="n">
        <f aca="false">L106+M105</f>
        <v>-4455454.66517543</v>
      </c>
      <c r="N106" s="69" t="n">
        <f aca="false">M106+N105</f>
        <v>-4467780.63594592</v>
      </c>
      <c r="O106" s="69" t="n">
        <f aca="false">N106+O105</f>
        <v>-4513647.84391462</v>
      </c>
      <c r="P106" s="69" t="n">
        <f aca="false">O106+P105</f>
        <v>-4517572.46075446</v>
      </c>
      <c r="Q106" s="69" t="n">
        <f aca="false">P106+Q105</f>
        <v>-4502095.16171248</v>
      </c>
      <c r="R106" s="69" t="n">
        <f aca="false">Q106+R105</f>
        <v>-4484962.65212781</v>
      </c>
      <c r="S106" s="69" t="n">
        <f aca="false">R106+S105</f>
        <v>-4465809.15545171</v>
      </c>
      <c r="T106" s="69" t="n">
        <f aca="false">S106+T105</f>
        <v>-4444708.42783448</v>
      </c>
      <c r="U106" s="69" t="n">
        <f aca="false">T106+U105</f>
        <v>-4421731.27518044</v>
      </c>
      <c r="V106" s="69" t="n">
        <f aca="false">U106+V105</f>
        <v>-4396945.67115773</v>
      </c>
      <c r="W106" s="69" t="n">
        <f aca="false">V106+W105</f>
        <v>-4370416.87048777</v>
      </c>
      <c r="X106" s="69" t="n">
        <f aca="false">W106+X105</f>
        <v>-4342207.51770311</v>
      </c>
      <c r="Y106" s="69" t="n">
        <f aca="false">X106+Y105</f>
        <v>-4312377.751555</v>
      </c>
      <c r="Z106" s="69" t="n">
        <f aca="false">Y106+Z105</f>
        <v>-4298126.16125679</v>
      </c>
      <c r="AA106" s="69" t="n">
        <f aca="false">Z106+AA105</f>
        <v>-4317684.02859489</v>
      </c>
      <c r="AB106" s="69" t="n">
        <f aca="false">AA106+AB105</f>
        <v>-4295982.82875726</v>
      </c>
      <c r="AC106" s="69" t="n">
        <f aca="false">AB106+AC105</f>
        <v>-4255060.80222568</v>
      </c>
      <c r="AD106" s="69" t="n">
        <f aca="false">AC106+AD105</f>
        <v>-4213417.18896746</v>
      </c>
      <c r="AE106" s="69" t="n">
        <f aca="false">AD106+AE105</f>
        <v>-4170298.72252143</v>
      </c>
      <c r="AF106" s="69" t="n">
        <f aca="false">AE106+AF105</f>
        <v>-4125757.31368178</v>
      </c>
      <c r="AG106" s="69" t="n">
        <f aca="false">AF106+AG105</f>
        <v>-4079842.7968109</v>
      </c>
      <c r="AH106" s="69" t="n">
        <f aca="false">AG106+AH105</f>
        <v>-4032603.01289673</v>
      </c>
      <c r="AI106" s="69" t="n">
        <f aca="false">AH106+AI105</f>
        <v>-3984083.88928765</v>
      </c>
      <c r="AJ106" s="69" t="n">
        <f aca="false">AI106+AJ105</f>
        <v>-3934329.51623813</v>
      </c>
      <c r="AK106" s="69" t="n">
        <f aca="false">AJ106+AK105</f>
        <v>-3883382.22039245</v>
      </c>
      <c r="AL106" s="69" t="n">
        <f aca="false">AK106+AL105</f>
        <v>-3848975.685166</v>
      </c>
      <c r="AM106" s="69" t="n">
        <f aca="false">AL106+AM105</f>
        <v>-3848502.75905668</v>
      </c>
      <c r="AN106" s="69" t="n">
        <f aca="false">AM106+AN105</f>
        <v>-3807199.09060905</v>
      </c>
      <c r="AO106" s="69" t="n">
        <f aca="false">AN106+AO105</f>
        <v>-3746453.4632685</v>
      </c>
      <c r="AP106" s="69" t="n">
        <f aca="false">AO106+AP105</f>
        <v>-3685604.938995</v>
      </c>
      <c r="AQ106" s="69" t="n">
        <f aca="false">AP106+AQ105</f>
        <v>-3623613.67405445</v>
      </c>
      <c r="AR106" s="69" t="n">
        <f aca="false">AQ106+AR105</f>
        <v>-3560518.2947402</v>
      </c>
      <c r="AS106" s="69" t="n">
        <f aca="false">AR106+AS105</f>
        <v>-3496355.88229386</v>
      </c>
      <c r="AT106" s="69" t="n">
        <f aca="false">AS106+AT105</f>
        <v>-3431162.03470739</v>
      </c>
      <c r="AU106" s="69" t="n">
        <f aca="false">AT106+AU105</f>
        <v>-3364970.92605304</v>
      </c>
      <c r="AV106" s="69" t="n">
        <f aca="false">AU106+AV105</f>
        <v>-3297815.36344022</v>
      </c>
      <c r="AW106" s="69" t="n">
        <f aca="false">AV106+AW105</f>
        <v>-3229726.84169392</v>
      </c>
      <c r="AX106" s="69" t="n">
        <f aca="false">AW106+AX105</f>
        <v>-3179103.55334328</v>
      </c>
      <c r="AY106" s="69" t="n">
        <f aca="false">AX106+AY105</f>
        <v>-3162423.6113483</v>
      </c>
      <c r="AZ106" s="69" t="n">
        <f aca="false">AY106+AZ105</f>
        <v>-3105182.05745024</v>
      </c>
      <c r="BA106" s="69" t="n">
        <f aca="false">AZ106+BA105</f>
        <v>-3028009.95079996</v>
      </c>
      <c r="BB106" s="69" t="n">
        <f aca="false">BA106+BB105</f>
        <v>-2951159.31288085</v>
      </c>
      <c r="BC106" s="69" t="n">
        <f aca="false">BB106+BC105</f>
        <v>-2873364.0729887</v>
      </c>
      <c r="BD106" s="69" t="n">
        <f aca="false">BC106+BD105</f>
        <v>-2794654.93186911</v>
      </c>
      <c r="BE106" s="69" t="n">
        <f aca="false">BD106+BE105</f>
        <v>-2715061.36223784</v>
      </c>
      <c r="BF106" s="69" t="n">
        <f aca="false">BE106+BF105</f>
        <v>-2634636.04442921</v>
      </c>
      <c r="BG106" s="69" t="n">
        <f aca="false">BF106+BG105</f>
        <v>-2564209.33151594</v>
      </c>
      <c r="BH106" s="69" t="n">
        <f aca="false">BG106+BH105</f>
        <v>-2493148.4922356</v>
      </c>
      <c r="BI106" s="69" t="n">
        <f aca="false">BH106+BI105</f>
        <v>-2421473.29580953</v>
      </c>
      <c r="BJ106" s="69" t="n">
        <f aca="false">BI106+BJ105</f>
        <v>-2364620.28915238</v>
      </c>
    </row>
    <row r="107" customFormat="false" ht="15" hidden="false" customHeight="false" outlineLevel="0" collapsed="false">
      <c r="A107" s="116" t="s">
        <v>467</v>
      </c>
      <c r="C107" s="69" t="n">
        <f aca="false">C106</f>
        <v>-4174096.96845601</v>
      </c>
      <c r="D107" s="69" t="n">
        <f aca="false">MIN(C107,D106)</f>
        <v>-4242445.52689407</v>
      </c>
      <c r="E107" s="69" t="n">
        <f aca="false">MIN(D107,E106)</f>
        <v>-4295221.96561611</v>
      </c>
      <c r="F107" s="69" t="n">
        <f aca="false">MIN(E107,F106)</f>
        <v>-4340920.84842425</v>
      </c>
      <c r="G107" s="69" t="n">
        <f aca="false">MIN(F107,G106)</f>
        <v>-4379318.01461163</v>
      </c>
      <c r="H107" s="69" t="n">
        <f aca="false">MIN(G107,H106)</f>
        <v>-4410290.98350548</v>
      </c>
      <c r="I107" s="69" t="n">
        <f aca="false">MIN(H107,I106)</f>
        <v>-4433722.17365998</v>
      </c>
      <c r="J107" s="69" t="n">
        <f aca="false">MIN(I107,J106)</f>
        <v>-4449498.70688712</v>
      </c>
      <c r="K107" s="69" t="n">
        <f aca="false">MIN(J107,K106)</f>
        <v>-4457512.22012641</v>
      </c>
      <c r="L107" s="69" t="n">
        <f aca="false">MIN(K107,L106)</f>
        <v>-4457658.6848398</v>
      </c>
      <c r="M107" s="69" t="n">
        <f aca="false">MIN(L107,M106)</f>
        <v>-4457658.6848398</v>
      </c>
      <c r="N107" s="69" t="n">
        <f aca="false">MIN(M107,N106)</f>
        <v>-4467780.63594592</v>
      </c>
      <c r="O107" s="69" t="n">
        <f aca="false">MIN(N107,O106)</f>
        <v>-4513647.84391462</v>
      </c>
      <c r="P107" s="69" t="n">
        <f aca="false">MIN(O107,P106)</f>
        <v>-4517572.46075446</v>
      </c>
      <c r="Q107" s="69" t="n">
        <f aca="false">MIN(P107,Q106)</f>
        <v>-4517572.46075446</v>
      </c>
      <c r="R107" s="69" t="n">
        <f aca="false">MIN(Q107,R106)</f>
        <v>-4517572.46075446</v>
      </c>
      <c r="S107" s="69" t="n">
        <f aca="false">MIN(R107,S106)</f>
        <v>-4517572.46075446</v>
      </c>
      <c r="T107" s="69" t="n">
        <f aca="false">MIN(S107,T106)</f>
        <v>-4517572.46075446</v>
      </c>
      <c r="U107" s="69" t="n">
        <f aca="false">MIN(T107,U106)</f>
        <v>-4517572.46075446</v>
      </c>
      <c r="V107" s="69" t="n">
        <f aca="false">MIN(U107,V106)</f>
        <v>-4517572.46075446</v>
      </c>
      <c r="W107" s="69" t="n">
        <f aca="false">MIN(V107,W106)</f>
        <v>-4517572.46075446</v>
      </c>
      <c r="X107" s="69" t="n">
        <f aca="false">MIN(W107,X106)</f>
        <v>-4517572.46075446</v>
      </c>
      <c r="Y107" s="69" t="n">
        <f aca="false">MIN(X107,Y106)</f>
        <v>-4517572.46075446</v>
      </c>
      <c r="Z107" s="69" t="n">
        <f aca="false">MIN(Y107,Z106)</f>
        <v>-4517572.46075446</v>
      </c>
      <c r="AA107" s="69" t="n">
        <f aca="false">MIN(Z107,AA106)</f>
        <v>-4517572.46075446</v>
      </c>
      <c r="AB107" s="69" t="n">
        <f aca="false">MIN(AA107,AB106)</f>
        <v>-4517572.46075446</v>
      </c>
      <c r="AC107" s="69" t="n">
        <f aca="false">MIN(AB107,AC106)</f>
        <v>-4517572.46075446</v>
      </c>
      <c r="AD107" s="69" t="n">
        <f aca="false">MIN(AC107,AD106)</f>
        <v>-4517572.46075446</v>
      </c>
      <c r="AE107" s="69" t="n">
        <f aca="false">MIN(AD107,AE106)</f>
        <v>-4517572.46075446</v>
      </c>
      <c r="AF107" s="69" t="n">
        <f aca="false">MIN(AE107,AF106)</f>
        <v>-4517572.46075446</v>
      </c>
      <c r="AG107" s="69" t="n">
        <f aca="false">MIN(AF107,AG106)</f>
        <v>-4517572.46075446</v>
      </c>
      <c r="AH107" s="69" t="n">
        <f aca="false">MIN(AG107,AH106)</f>
        <v>-4517572.46075446</v>
      </c>
      <c r="AI107" s="69" t="n">
        <f aca="false">MIN(AH107,AI106)</f>
        <v>-4517572.46075446</v>
      </c>
      <c r="AJ107" s="69" t="n">
        <f aca="false">MIN(AI107,AJ106)</f>
        <v>-4517572.46075446</v>
      </c>
      <c r="AK107" s="69" t="n">
        <f aca="false">MIN(AJ107,AK106)</f>
        <v>-4517572.46075446</v>
      </c>
      <c r="AL107" s="69" t="n">
        <f aca="false">MIN(AK107,AL106)</f>
        <v>-4517572.46075446</v>
      </c>
      <c r="AM107" s="69" t="n">
        <f aca="false">MIN(AL107,AM106)</f>
        <v>-4517572.46075446</v>
      </c>
      <c r="AN107" s="69" t="n">
        <f aca="false">MIN(AM107,AN106)</f>
        <v>-4517572.46075446</v>
      </c>
      <c r="AO107" s="69" t="n">
        <f aca="false">MIN(AN107,AO106)</f>
        <v>-4517572.46075446</v>
      </c>
      <c r="AP107" s="69" t="n">
        <f aca="false">MIN(AO107,AP106)</f>
        <v>-4517572.46075446</v>
      </c>
      <c r="AQ107" s="69" t="n">
        <f aca="false">MIN(AP107,AQ106)</f>
        <v>-4517572.46075446</v>
      </c>
      <c r="AR107" s="69" t="n">
        <f aca="false">MIN(AQ107,AR106)</f>
        <v>-4517572.46075446</v>
      </c>
      <c r="AS107" s="69" t="n">
        <f aca="false">MIN(AR107,AS106)</f>
        <v>-4517572.46075446</v>
      </c>
      <c r="AT107" s="69" t="n">
        <f aca="false">MIN(AS107,AT106)</f>
        <v>-4517572.46075446</v>
      </c>
      <c r="AU107" s="69" t="n">
        <f aca="false">MIN(AT107,AU106)</f>
        <v>-4517572.46075446</v>
      </c>
      <c r="AV107" s="69" t="n">
        <f aca="false">MIN(AU107,AV106)</f>
        <v>-4517572.46075446</v>
      </c>
      <c r="AW107" s="69" t="n">
        <f aca="false">MIN(AV107,AW106)</f>
        <v>-4517572.46075446</v>
      </c>
      <c r="AX107" s="69" t="n">
        <f aca="false">MIN(AW107,AX106)</f>
        <v>-4517572.46075446</v>
      </c>
      <c r="AY107" s="69" t="n">
        <f aca="false">MIN(AX107,AY106)</f>
        <v>-4517572.46075446</v>
      </c>
      <c r="AZ107" s="69" t="n">
        <f aca="false">MIN(AY107,AZ106)</f>
        <v>-4517572.46075446</v>
      </c>
      <c r="BA107" s="69" t="n">
        <f aca="false">MIN(AZ107,BA106)</f>
        <v>-4517572.46075446</v>
      </c>
      <c r="BB107" s="69" t="n">
        <f aca="false">MIN(BA107,BB106)</f>
        <v>-4517572.46075446</v>
      </c>
      <c r="BC107" s="69" t="n">
        <f aca="false">MIN(BB107,BC106)</f>
        <v>-4517572.46075446</v>
      </c>
      <c r="BD107" s="69" t="n">
        <f aca="false">MIN(BC107,BD106)</f>
        <v>-4517572.46075446</v>
      </c>
      <c r="BE107" s="69" t="n">
        <f aca="false">MIN(BD107,BE106)</f>
        <v>-4517572.46075446</v>
      </c>
      <c r="BF107" s="69" t="n">
        <f aca="false">MIN(BE107,BF106)</f>
        <v>-4517572.46075446</v>
      </c>
      <c r="BG107" s="69" t="n">
        <f aca="false">MIN(BF107,BG106)</f>
        <v>-4517572.46075446</v>
      </c>
      <c r="BH107" s="69" t="n">
        <f aca="false">MIN(BG107,BH106)</f>
        <v>-4517572.46075446</v>
      </c>
      <c r="BI107" s="69" t="n">
        <f aca="false">MIN(BH107,BI106)</f>
        <v>-4517572.46075446</v>
      </c>
      <c r="BJ107" s="69" t="n">
        <f aca="false">MIN(BI107,BJ106)</f>
        <v>-4517572.46075446</v>
      </c>
    </row>
    <row r="108" customFormat="false" ht="15" hidden="false" customHeight="false" outlineLevel="0" collapsed="false">
      <c r="A108" s="116" t="s">
        <v>468</v>
      </c>
      <c r="C108" s="118" t="n">
        <f aca="false">IF(AND(C106&gt;=0,C107&lt;0),1,0)</f>
        <v>0</v>
      </c>
      <c r="D108" s="118" t="n">
        <f aca="false">IF(AND(D106&gt;=0,D107&lt;0),1,0)</f>
        <v>0</v>
      </c>
      <c r="E108" s="118" t="n">
        <f aca="false">IF(AND(E106&gt;=0,E107&lt;0),1,0)</f>
        <v>0</v>
      </c>
      <c r="F108" s="118" t="n">
        <f aca="false">IF(AND(F106&gt;=0,F107&lt;0),1,0)</f>
        <v>0</v>
      </c>
      <c r="G108" s="118" t="n">
        <f aca="false">IF(AND(G106&gt;=0,G107&lt;0),1,0)</f>
        <v>0</v>
      </c>
      <c r="H108" s="118" t="n">
        <f aca="false">IF(AND(H106&gt;=0,H107&lt;0),1,0)</f>
        <v>0</v>
      </c>
      <c r="I108" s="118" t="n">
        <f aca="false">IF(AND(I106&gt;=0,I107&lt;0),1,0)</f>
        <v>0</v>
      </c>
      <c r="J108" s="118" t="n">
        <f aca="false">IF(AND(J106&gt;=0,J107&lt;0),1,0)</f>
        <v>0</v>
      </c>
      <c r="K108" s="118" t="n">
        <f aca="false">IF(AND(K106&gt;=0,K107&lt;0),1,0)</f>
        <v>0</v>
      </c>
      <c r="L108" s="118" t="n">
        <f aca="false">IF(AND(L106&gt;=0,L107&lt;0),1,0)</f>
        <v>0</v>
      </c>
      <c r="M108" s="118" t="n">
        <f aca="false">IF(AND(M106&gt;=0,M107&lt;0),1,0)</f>
        <v>0</v>
      </c>
      <c r="N108" s="118" t="n">
        <f aca="false">IF(AND(N106&gt;=0,N107&lt;0),1,0)</f>
        <v>0</v>
      </c>
      <c r="O108" s="118" t="n">
        <f aca="false">IF(AND(O106&gt;=0,O107&lt;0),1,0)</f>
        <v>0</v>
      </c>
      <c r="P108" s="118" t="n">
        <f aca="false">IF(AND(P106&gt;=0,P107&lt;0),1,0)</f>
        <v>0</v>
      </c>
      <c r="Q108" s="118" t="n">
        <f aca="false">IF(AND(Q106&gt;=0,Q107&lt;0),1,0)</f>
        <v>0</v>
      </c>
      <c r="R108" s="118" t="n">
        <f aca="false">IF(AND(R106&gt;=0,R107&lt;0),1,0)</f>
        <v>0</v>
      </c>
      <c r="S108" s="118" t="n">
        <f aca="false">IF(AND(S106&gt;=0,S107&lt;0),1,0)</f>
        <v>0</v>
      </c>
      <c r="T108" s="118" t="n">
        <f aca="false">IF(AND(T106&gt;=0,T107&lt;0),1,0)</f>
        <v>0</v>
      </c>
      <c r="U108" s="118" t="n">
        <f aca="false">IF(AND(U106&gt;=0,U107&lt;0),1,0)</f>
        <v>0</v>
      </c>
      <c r="V108" s="118" t="n">
        <f aca="false">IF(AND(V106&gt;=0,V107&lt;0),1,0)</f>
        <v>0</v>
      </c>
      <c r="W108" s="118" t="n">
        <f aca="false">IF(AND(W106&gt;=0,W107&lt;0),1,0)</f>
        <v>0</v>
      </c>
      <c r="X108" s="118" t="n">
        <f aca="false">IF(AND(X106&gt;=0,X107&lt;0),1,0)</f>
        <v>0</v>
      </c>
      <c r="Y108" s="118" t="n">
        <f aca="false">IF(AND(Y106&gt;=0,Y107&lt;0),1,0)</f>
        <v>0</v>
      </c>
      <c r="Z108" s="118" t="n">
        <f aca="false">IF(AND(Z106&gt;=0,Z107&lt;0),1,0)</f>
        <v>0</v>
      </c>
      <c r="AA108" s="118" t="n">
        <f aca="false">IF(AND(AA106&gt;=0,AA107&lt;0),1,0)</f>
        <v>0</v>
      </c>
      <c r="AB108" s="118" t="n">
        <f aca="false">IF(AND(AB106&gt;=0,AB107&lt;0),1,0)</f>
        <v>0</v>
      </c>
      <c r="AC108" s="118" t="n">
        <f aca="false">IF(AND(AC106&gt;=0,AC107&lt;0),1,0)</f>
        <v>0</v>
      </c>
      <c r="AD108" s="118" t="n">
        <f aca="false">IF(AND(AD106&gt;=0,AD107&lt;0),1,0)</f>
        <v>0</v>
      </c>
      <c r="AE108" s="118" t="n">
        <f aca="false">IF(AND(AE106&gt;=0,AE107&lt;0),1,0)</f>
        <v>0</v>
      </c>
      <c r="AF108" s="118" t="n">
        <f aca="false">IF(AND(AF106&gt;=0,AF107&lt;0),1,0)</f>
        <v>0</v>
      </c>
      <c r="AG108" s="118" t="n">
        <f aca="false">IF(AND(AG106&gt;=0,AG107&lt;0),1,0)</f>
        <v>0</v>
      </c>
      <c r="AH108" s="118" t="n">
        <f aca="false">IF(AND(AH106&gt;=0,AH107&lt;0),1,0)</f>
        <v>0</v>
      </c>
      <c r="AI108" s="118" t="n">
        <f aca="false">IF(AND(AI106&gt;=0,AI107&lt;0),1,0)</f>
        <v>0</v>
      </c>
      <c r="AJ108" s="118" t="n">
        <f aca="false">IF(AND(AJ106&gt;=0,AJ107&lt;0),1,0)</f>
        <v>0</v>
      </c>
      <c r="AK108" s="118" t="n">
        <f aca="false">IF(AND(AK106&gt;=0,AK107&lt;0),1,0)</f>
        <v>0</v>
      </c>
      <c r="AL108" s="118" t="n">
        <f aca="false">IF(AND(AL106&gt;=0,AL107&lt;0),1,0)</f>
        <v>0</v>
      </c>
      <c r="AM108" s="118" t="n">
        <f aca="false">IF(AND(AM106&gt;=0,AM107&lt;0),1,0)</f>
        <v>0</v>
      </c>
      <c r="AN108" s="118" t="n">
        <f aca="false">IF(AND(AN106&gt;=0,AN107&lt;0),1,0)</f>
        <v>0</v>
      </c>
      <c r="AO108" s="118" t="n">
        <f aca="false">IF(AND(AO106&gt;=0,AO107&lt;0),1,0)</f>
        <v>0</v>
      </c>
      <c r="AP108" s="118" t="n">
        <f aca="false">IF(AND(AP106&gt;=0,AP107&lt;0),1,0)</f>
        <v>0</v>
      </c>
      <c r="AQ108" s="118" t="n">
        <f aca="false">IF(AND(AQ106&gt;=0,AQ107&lt;0),1,0)</f>
        <v>0</v>
      </c>
      <c r="AR108" s="118" t="n">
        <f aca="false">IF(AND(AR106&gt;=0,AR107&lt;0),1,0)</f>
        <v>0</v>
      </c>
      <c r="AS108" s="118" t="n">
        <f aca="false">IF(AND(AS106&gt;=0,AS107&lt;0),1,0)</f>
        <v>0</v>
      </c>
      <c r="AT108" s="118" t="n">
        <f aca="false">IF(AND(AT106&gt;=0,AT107&lt;0),1,0)</f>
        <v>0</v>
      </c>
      <c r="AU108" s="118" t="n">
        <f aca="false">IF(AND(AU106&gt;=0,AU107&lt;0),1,0)</f>
        <v>0</v>
      </c>
      <c r="AV108" s="118" t="n">
        <f aca="false">IF(AND(AV106&gt;=0,AV107&lt;0),1,0)</f>
        <v>0</v>
      </c>
      <c r="AW108" s="118" t="n">
        <f aca="false">IF(AND(AW106&gt;=0,AW107&lt;0),1,0)</f>
        <v>0</v>
      </c>
      <c r="AX108" s="118" t="n">
        <f aca="false">IF(AND(AX106&gt;=0,AX107&lt;0),1,0)</f>
        <v>0</v>
      </c>
      <c r="AY108" s="118" t="n">
        <f aca="false">IF(AND(AY106&gt;=0,AY107&lt;0),1,0)</f>
        <v>0</v>
      </c>
      <c r="AZ108" s="118" t="n">
        <f aca="false">IF(AND(AZ106&gt;=0,AZ107&lt;0),1,0)</f>
        <v>0</v>
      </c>
      <c r="BA108" s="118" t="n">
        <f aca="false">IF(AND(BA106&gt;=0,BA107&lt;0),1,0)</f>
        <v>0</v>
      </c>
      <c r="BB108" s="118" t="n">
        <f aca="false">IF(AND(BB106&gt;=0,BB107&lt;0),1,0)</f>
        <v>0</v>
      </c>
      <c r="BC108" s="118" t="n">
        <f aca="false">IF(AND(BC106&gt;=0,BC107&lt;0),1,0)</f>
        <v>0</v>
      </c>
      <c r="BD108" s="118" t="n">
        <f aca="false">IF(AND(BD106&gt;=0,BD107&lt;0),1,0)</f>
        <v>0</v>
      </c>
      <c r="BE108" s="118" t="n">
        <f aca="false">IF(AND(BE106&gt;=0,BE107&lt;0),1,0)</f>
        <v>0</v>
      </c>
      <c r="BF108" s="118" t="n">
        <f aca="false">IF(AND(BF106&gt;=0,BF107&lt;0),1,0)</f>
        <v>0</v>
      </c>
      <c r="BG108" s="118" t="n">
        <f aca="false">IF(AND(BG106&gt;=0,BG107&lt;0),1,0)</f>
        <v>0</v>
      </c>
      <c r="BH108" s="118" t="n">
        <f aca="false">IF(AND(BH106&gt;=0,BH107&lt;0),1,0)</f>
        <v>0</v>
      </c>
      <c r="BI108" s="118" t="n">
        <f aca="false">IF(AND(BI106&gt;=0,BI107&lt;0),1,0)</f>
        <v>0</v>
      </c>
      <c r="BJ108" s="118" t="n">
        <f aca="false">IF(AND(BJ106&gt;=0,BJ107&lt;0),1,0)</f>
        <v>0</v>
      </c>
    </row>
    <row r="109" customFormat="false" ht="15" hidden="false" customHeight="false" outlineLevel="0" collapsed="false">
      <c r="A109" s="6" t="s">
        <v>469</v>
      </c>
      <c r="C109" s="69" t="n">
        <f aca="false">C94-C59*(1-Inputs!$E$81)+C95</f>
        <v>-4157309.46845601</v>
      </c>
      <c r="D109" s="69" t="n">
        <f aca="false">D94-D59*(1-Inputs!$E$81)+D95</f>
        <v>-51631.0063547304</v>
      </c>
      <c r="E109" s="69" t="n">
        <f aca="false">E94-E59*(1-Inputs!$E$81)+E95</f>
        <v>-36198.7824720337</v>
      </c>
      <c r="F109" s="69" t="n">
        <f aca="false">F94-F59*(1-Inputs!$E$81)+F95</f>
        <v>-29261.122391478</v>
      </c>
      <c r="G109" s="69" t="n">
        <f aca="false">G94-G59*(1-Inputs!$E$81)+G95</f>
        <v>-22099.3016040396</v>
      </c>
      <c r="H109" s="69" t="n">
        <f aca="false">H94-H59*(1-Inputs!$E$81)+H95</f>
        <v>-14815.0001438543</v>
      </c>
      <c r="I109" s="69" t="n">
        <f aca="false">I94-I59*(1-Inputs!$E$81)+I95</f>
        <v>-7413.11723783197</v>
      </c>
      <c r="J109" s="69" t="n">
        <f aca="false">J94-J59*(1-Inputs!$E$81)+J95</f>
        <v>101.64385619391</v>
      </c>
      <c r="K109" s="69" t="n">
        <f aca="false">K94-K59*(1-Inputs!$E$81)+K95</f>
        <v>7724.7680107032</v>
      </c>
      <c r="L109" s="69" t="n">
        <f aca="false">L94-L59*(1-Inputs!$E$81)+L95</f>
        <v>15451.9207032766</v>
      </c>
      <c r="M109" s="69" t="n">
        <f aca="false">M94-M59*(1-Inputs!$E$81)+M95</f>
        <v>17662.5092477073</v>
      </c>
      <c r="N109" s="69" t="n">
        <f aca="false">N94-N59*(1-Inputs!$E$81)+N95</f>
        <v>2992.6229795106</v>
      </c>
      <c r="O109" s="69" t="n">
        <f aca="false">O94-O59*(1-Inputs!$E$81)+O95</f>
        <v>-30688.5100520323</v>
      </c>
      <c r="P109" s="69" t="n">
        <f aca="false">P94-P59*(1-Inputs!$E$81)+P95</f>
        <v>11114.1852434964</v>
      </c>
      <c r="Q109" s="69" t="n">
        <f aca="false">Q94-Q59*(1-Inputs!$E$81)+Q95</f>
        <v>30376.2052919792</v>
      </c>
      <c r="R109" s="69" t="n">
        <f aca="false">R94-R59*(1-Inputs!$E$81)+R95</f>
        <v>31891.5200013291</v>
      </c>
      <c r="S109" s="69" t="n">
        <f aca="false">S94-S59*(1-Inputs!$E$81)+S95</f>
        <v>33772.6112594408</v>
      </c>
      <c r="T109" s="69" t="n">
        <f aca="false">T94-T59*(1-Inputs!$E$81)+T95</f>
        <v>35579.9463672281</v>
      </c>
      <c r="U109" s="69" t="n">
        <f aca="false">U94-U59*(1-Inputs!$E$81)+U95</f>
        <v>37316.475570704</v>
      </c>
      <c r="V109" s="69" t="n">
        <f aca="false">V94-V59*(1-Inputs!$E$81)+V95</f>
        <v>38985.0311060407</v>
      </c>
      <c r="W109" s="69" t="n">
        <f aca="false">W94-W59*(1-Inputs!$E$81)+W95</f>
        <v>40588.331919964</v>
      </c>
      <c r="X109" s="69" t="n">
        <f aca="false">X94-X59*(1-Inputs!$E$81)+X95</f>
        <v>42128.9882013304</v>
      </c>
      <c r="Y109" s="69" t="n">
        <f aca="false">Y94-Y59*(1-Inputs!$E$81)+Y95</f>
        <v>43609.5057314421</v>
      </c>
      <c r="Z109" s="69" t="n">
        <f aca="false">Z94-Z59*(1-Inputs!$E$81)+Z95</f>
        <v>27891.4340482079</v>
      </c>
      <c r="AA109" s="69" t="n">
        <f aca="false">AA94-AA59*(1-Inputs!$E$81)+AA95</f>
        <v>-6057.91942143532</v>
      </c>
      <c r="AB109" s="69" t="n">
        <f aca="false">AB94-AB59*(1-Inputs!$E$81)+AB95</f>
        <v>35061.2519209599</v>
      </c>
      <c r="AC109" s="69" t="n">
        <f aca="false">AC94-AC59*(1-Inputs!$E$81)+AC95</f>
        <v>54142.1827815874</v>
      </c>
      <c r="AD109" s="69" t="n">
        <f aca="false">AD94-AD59*(1-Inputs!$E$81)+AD95</f>
        <v>54723.8736748853</v>
      </c>
      <c r="AE109" s="69" t="n">
        <f aca="false">AE94-AE59*(1-Inputs!$E$81)+AE95</f>
        <v>56058.8310293601</v>
      </c>
      <c r="AF109" s="69" t="n">
        <f aca="false">AF94-AF59*(1-Inputs!$E$81)+AF95</f>
        <v>57341.877589656</v>
      </c>
      <c r="AG109" s="69" t="n">
        <f aca="false">AG94-AG59*(1-Inputs!$E$81)+AG95</f>
        <v>58575.08978754</v>
      </c>
      <c r="AH109" s="69" t="n">
        <f aca="false">AH94-AH59*(1-Inputs!$E$81)+AH95</f>
        <v>59760.4609975087</v>
      </c>
      <c r="AI109" s="69" t="n">
        <f aca="false">AI94-AI59*(1-Inputs!$E$81)+AI95</f>
        <v>60899.9048590787</v>
      </c>
      <c r="AJ109" s="69" t="n">
        <f aca="false">AJ94-AJ59*(1-Inputs!$E$81)+AJ95</f>
        <v>61995.2584661858</v>
      </c>
      <c r="AK109" s="69" t="n">
        <f aca="false">AK94-AK59*(1-Inputs!$E$81)+AK95</f>
        <v>63048.2854290086</v>
      </c>
      <c r="AL109" s="69" t="n">
        <f aca="false">AL94-AL59*(1-Inputs!$E$81)+AL95</f>
        <v>46367.628976456</v>
      </c>
      <c r="AM109" s="69" t="n">
        <f aca="false">AM94-AM59*(1-Inputs!$E$81)+AM95</f>
        <v>12294.1240259875</v>
      </c>
      <c r="AN109" s="69" t="n">
        <f aca="false">AN94-AN59*(1-Inputs!$E$81)+AN95</f>
        <v>52984.970530956</v>
      </c>
      <c r="AO109" s="69" t="n">
        <f aca="false">AO94-AO59*(1-Inputs!$E$81)+AO95</f>
        <v>72287.0335905504</v>
      </c>
      <c r="AP109" s="69" t="n">
        <f aca="false">AP94-AP59*(1-Inputs!$E$81)+AP95</f>
        <v>72250.0346901663</v>
      </c>
      <c r="AQ109" s="69" t="n">
        <f aca="false">AQ94-AQ59*(1-Inputs!$E$81)+AQ95</f>
        <v>73252.8795238836</v>
      </c>
      <c r="AR109" s="69" t="n">
        <f aca="false">AR94-AR59*(1-Inputs!$E$81)+AR95</f>
        <v>74217.0980642523</v>
      </c>
      <c r="AS109" s="69" t="n">
        <f aca="false">AS94-AS59*(1-Inputs!$E$81)+AS95</f>
        <v>75144.2353630062</v>
      </c>
      <c r="AT109" s="69" t="n">
        <f aca="false">AT94-AT59*(1-Inputs!$E$81)+AT95</f>
        <v>76035.7746698099</v>
      </c>
      <c r="AU109" s="69" t="n">
        <f aca="false">AU94-AU59*(1-Inputs!$E$81)+AU95</f>
        <v>76893.1399043415</v>
      </c>
      <c r="AV109" s="69" t="n">
        <f aca="false">AV94-AV59*(1-Inputs!$E$81)+AV95</f>
        <v>77717.6980294919</v>
      </c>
      <c r="AW109" s="69" t="n">
        <f aca="false">AW94-AW59*(1-Inputs!$E$81)+AW95</f>
        <v>78510.7613296362</v>
      </c>
      <c r="AX109" s="69" t="n">
        <f aca="false">AX94-AX59*(1-Inputs!$E$81)+AX95</f>
        <v>60905.6321006386</v>
      </c>
      <c r="AY109" s="69" t="n">
        <f aca="false">AY94-AY59*(1-Inputs!$E$81)+AY95</f>
        <v>26822.3899116446</v>
      </c>
      <c r="AZ109" s="69" t="n">
        <f aca="false">AZ94-AZ59*(1-Inputs!$E$81)+AZ95</f>
        <v>67244.1059813974</v>
      </c>
      <c r="BA109" s="69" t="n">
        <f aca="false">BA94-BA59*(1-Inputs!$E$81)+BA95</f>
        <v>87034.7629002759</v>
      </c>
      <c r="BB109" s="69" t="n">
        <f aca="false">BB94-BB59*(1-Inputs!$E$81)+BB95</f>
        <v>86573.3983357777</v>
      </c>
      <c r="BC109" s="69" t="n">
        <f aca="false">BC94-BC59*(1-Inputs!$E$81)+BC95</f>
        <v>87378.1044754778</v>
      </c>
      <c r="BD109" s="69" t="n">
        <f aca="false">BD94-BD59*(1-Inputs!$E$81)+BD95</f>
        <v>88152.1098695898</v>
      </c>
      <c r="BE109" s="69" t="n">
        <f aca="false">BE94-BE59*(1-Inputs!$E$81)+BE95</f>
        <v>88896.6425479374</v>
      </c>
      <c r="BF109" s="69" t="n">
        <f aca="false">BF94-BF59*(1-Inputs!$E$81)+BF95</f>
        <v>89588.4948919682</v>
      </c>
      <c r="BG109" s="69" t="n">
        <f aca="false">BG94-BG59*(1-Inputs!$E$81)+BG95</f>
        <v>79449.9941632673</v>
      </c>
      <c r="BH109" s="69" t="n">
        <f aca="false">BH94-BH59*(1-Inputs!$E$81)+BH95</f>
        <v>79944.2246970102</v>
      </c>
      <c r="BI109" s="69" t="n">
        <f aca="false">BI94-BI59*(1-Inputs!$E$81)+BI95</f>
        <v>80418.6860094035</v>
      </c>
      <c r="BJ109" s="69" t="n">
        <f aca="false">BJ94-BJ59*(1-Inputs!$E$81)+BJ95</f>
        <v>65456.6004071451</v>
      </c>
    </row>
    <row r="111" customFormat="false" ht="15.75" hidden="false" customHeight="true" outlineLevel="0" collapsed="false">
      <c r="A111" s="7" t="s">
        <v>470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97</v>
      </c>
      <c r="C112" s="69" t="n">
        <f aca="false">C96</f>
        <v>2100000</v>
      </c>
      <c r="D112" s="69" t="n">
        <f aca="false">C112+D96</f>
        <v>2100000</v>
      </c>
      <c r="E112" s="69" t="n">
        <f aca="false">D112+E96</f>
        <v>2100000</v>
      </c>
      <c r="F112" s="69" t="n">
        <f aca="false">E112+F96</f>
        <v>2100000</v>
      </c>
      <c r="G112" s="69" t="n">
        <f aca="false">F112+G96</f>
        <v>2100000</v>
      </c>
      <c r="H112" s="69" t="n">
        <f aca="false">G112+H96</f>
        <v>2100000</v>
      </c>
      <c r="I112" s="69" t="n">
        <f aca="false">H112+I96</f>
        <v>2100000</v>
      </c>
      <c r="J112" s="69" t="n">
        <f aca="false">I112+J96</f>
        <v>2100000</v>
      </c>
      <c r="K112" s="69" t="n">
        <f aca="false">J112+K96</f>
        <v>2100000</v>
      </c>
      <c r="L112" s="69" t="n">
        <f aca="false">K112+L96</f>
        <v>2100000</v>
      </c>
      <c r="M112" s="69" t="n">
        <f aca="false">L112+M96</f>
        <v>2100000</v>
      </c>
      <c r="N112" s="69" t="n">
        <f aca="false">M112+N96</f>
        <v>2100000</v>
      </c>
      <c r="O112" s="69" t="n">
        <f aca="false">N112+O96</f>
        <v>2100000</v>
      </c>
      <c r="P112" s="69" t="n">
        <f aca="false">O112+P96</f>
        <v>2100000</v>
      </c>
      <c r="Q112" s="69" t="n">
        <f aca="false">P112+Q96</f>
        <v>2100000</v>
      </c>
      <c r="R112" s="69" t="n">
        <f aca="false">Q112+R96</f>
        <v>2100000</v>
      </c>
      <c r="S112" s="69" t="n">
        <f aca="false">R112+S96</f>
        <v>2100000</v>
      </c>
      <c r="T112" s="69" t="n">
        <f aca="false">S112+T96</f>
        <v>2100000</v>
      </c>
      <c r="U112" s="69" t="n">
        <f aca="false">T112+U96</f>
        <v>2100000</v>
      </c>
      <c r="V112" s="69" t="n">
        <f aca="false">U112+V96</f>
        <v>2100000</v>
      </c>
      <c r="W112" s="69" t="n">
        <f aca="false">V112+W96</f>
        <v>2100000</v>
      </c>
      <c r="X112" s="69" t="n">
        <f aca="false">W112+X96</f>
        <v>2100000</v>
      </c>
      <c r="Y112" s="69" t="n">
        <f aca="false">X112+Y96</f>
        <v>2100000</v>
      </c>
      <c r="Z112" s="69" t="n">
        <f aca="false">Y112+Z96</f>
        <v>2100000</v>
      </c>
      <c r="AA112" s="69" t="n">
        <f aca="false">Z112+AA96</f>
        <v>2100000</v>
      </c>
      <c r="AB112" s="69" t="n">
        <f aca="false">AA112+AB96</f>
        <v>2100000</v>
      </c>
      <c r="AC112" s="69" t="n">
        <f aca="false">AB112+AC96</f>
        <v>2100000</v>
      </c>
      <c r="AD112" s="69" t="n">
        <f aca="false">AC112+AD96</f>
        <v>2100000</v>
      </c>
      <c r="AE112" s="69" t="n">
        <f aca="false">AD112+AE96</f>
        <v>2100000</v>
      </c>
      <c r="AF112" s="69" t="n">
        <f aca="false">AE112+AF96</f>
        <v>2100000</v>
      </c>
      <c r="AG112" s="69" t="n">
        <f aca="false">AF112+AG96</f>
        <v>2100000</v>
      </c>
      <c r="AH112" s="69" t="n">
        <f aca="false">AG112+AH96</f>
        <v>2100000</v>
      </c>
      <c r="AI112" s="69" t="n">
        <f aca="false">AH112+AI96</f>
        <v>2100000</v>
      </c>
      <c r="AJ112" s="69" t="n">
        <f aca="false">AI112+AJ96</f>
        <v>2100000</v>
      </c>
      <c r="AK112" s="69" t="n">
        <f aca="false">AJ112+AK96</f>
        <v>2100000</v>
      </c>
      <c r="AL112" s="69" t="n">
        <f aca="false">AK112+AL96</f>
        <v>2100000</v>
      </c>
      <c r="AM112" s="69" t="n">
        <f aca="false">AL112+AM96</f>
        <v>2100000</v>
      </c>
      <c r="AN112" s="69" t="n">
        <f aca="false">AM112+AN96</f>
        <v>2100000</v>
      </c>
      <c r="AO112" s="69" t="n">
        <f aca="false">AN112+AO96</f>
        <v>2100000</v>
      </c>
      <c r="AP112" s="69" t="n">
        <f aca="false">AO112+AP96</f>
        <v>2100000</v>
      </c>
      <c r="AQ112" s="69" t="n">
        <f aca="false">AP112+AQ96</f>
        <v>2100000</v>
      </c>
      <c r="AR112" s="69" t="n">
        <f aca="false">AQ112+AR96</f>
        <v>2100000</v>
      </c>
      <c r="AS112" s="69" t="n">
        <f aca="false">AR112+AS96</f>
        <v>2100000</v>
      </c>
      <c r="AT112" s="69" t="n">
        <f aca="false">AS112+AT96</f>
        <v>2100000</v>
      </c>
      <c r="AU112" s="69" t="n">
        <f aca="false">AT112+AU96</f>
        <v>2100000</v>
      </c>
      <c r="AV112" s="69" t="n">
        <f aca="false">AU112+AV96</f>
        <v>2100000</v>
      </c>
      <c r="AW112" s="69" t="n">
        <f aca="false">AV112+AW96</f>
        <v>2100000</v>
      </c>
      <c r="AX112" s="69" t="n">
        <f aca="false">AW112+AX96</f>
        <v>2100000</v>
      </c>
      <c r="AY112" s="69" t="n">
        <f aca="false">AX112+AY96</f>
        <v>2100000</v>
      </c>
      <c r="AZ112" s="69" t="n">
        <f aca="false">AY112+AZ96</f>
        <v>2100000</v>
      </c>
      <c r="BA112" s="69" t="n">
        <f aca="false">AZ112+BA96</f>
        <v>2100000</v>
      </c>
      <c r="BB112" s="69" t="n">
        <f aca="false">BA112+BB96</f>
        <v>2100000</v>
      </c>
      <c r="BC112" s="69" t="n">
        <f aca="false">BB112+BC96</f>
        <v>2100000</v>
      </c>
      <c r="BD112" s="69" t="n">
        <f aca="false">BC112+BD96</f>
        <v>2100000</v>
      </c>
      <c r="BE112" s="69" t="n">
        <f aca="false">BD112+BE96</f>
        <v>2100000</v>
      </c>
      <c r="BF112" s="69" t="n">
        <f aca="false">BE112+BF96</f>
        <v>2100000</v>
      </c>
      <c r="BG112" s="69" t="n">
        <f aca="false">BF112+BG96</f>
        <v>2100000</v>
      </c>
      <c r="BH112" s="69" t="n">
        <f aca="false">BG112+BH96</f>
        <v>2100000</v>
      </c>
      <c r="BI112" s="69" t="n">
        <f aca="false">BH112+BI96</f>
        <v>2100000</v>
      </c>
      <c r="BJ112" s="69" t="n">
        <f aca="false">BI112+BJ96</f>
        <v>2100000</v>
      </c>
    </row>
    <row r="113" customFormat="false" ht="15" hidden="false" customHeight="false" outlineLevel="0" collapsed="false">
      <c r="A113" s="6" t="s">
        <v>98</v>
      </c>
      <c r="C113" s="69" t="n">
        <f aca="false">C64</f>
        <v>-102437.476634789</v>
      </c>
      <c r="D113" s="69" t="n">
        <f aca="false">C113+D64</f>
        <v>-199240.336761108</v>
      </c>
      <c r="E113" s="69" t="n">
        <f aca="false">D113+E64</f>
        <v>-280587.034107493</v>
      </c>
      <c r="F113" s="69" t="n">
        <f aca="false">E113+F64</f>
        <v>-354763.012705834</v>
      </c>
      <c r="G113" s="69" t="n">
        <f aca="false">F113+G64</f>
        <v>-421640.551968474</v>
      </c>
      <c r="H113" s="69" t="n">
        <f aca="false">G113+H64</f>
        <v>-481097.040131265</v>
      </c>
      <c r="I113" s="69" t="n">
        <f aca="false">H113+I64</f>
        <v>-533014.769900621</v>
      </c>
      <c r="J113" s="69" t="n">
        <f aca="false">I113+J64</f>
        <v>-577280.742274703</v>
      </c>
      <c r="K113" s="69" t="n">
        <f aca="false">J113+K64</f>
        <v>-613786.478211745</v>
      </c>
      <c r="L113" s="69" t="n">
        <f aca="false">K113+L64</f>
        <v>-642427.837831648</v>
      </c>
      <c r="M113" s="69" t="n">
        <f aca="false">L113+M64</f>
        <v>-668750.981431645</v>
      </c>
      <c r="N113" s="69" t="n">
        <f aca="false">M113+N64</f>
        <v>-709232.332270295</v>
      </c>
      <c r="O113" s="69" t="n">
        <f aca="false">N113+O64</f>
        <v>-743910.376362621</v>
      </c>
      <c r="P113" s="69" t="n">
        <f aca="false">O113+P64</f>
        <v>-776600.179668578</v>
      </c>
      <c r="Q113" s="69" t="n">
        <f aca="false">P113+Q64</f>
        <v>-790368.817841676</v>
      </c>
      <c r="R113" s="69" t="n">
        <f aca="false">Q113+R64</f>
        <v>-802037.506346352</v>
      </c>
      <c r="S113" s="69" t="n">
        <f aca="false">R113+S64</f>
        <v>-811683.159836009</v>
      </c>
      <c r="T113" s="69" t="n">
        <f aca="false">S113+T64</f>
        <v>-819379.616377916</v>
      </c>
      <c r="U113" s="69" t="n">
        <f aca="false">T113+U64</f>
        <v>-825197.760516647</v>
      </c>
      <c r="V113" s="69" t="n">
        <f aca="false">U113+V64</f>
        <v>-829205.641414998</v>
      </c>
      <c r="W113" s="69" t="n">
        <f aca="false">V113+W64</f>
        <v>-831468.586269249</v>
      </c>
      <c r="X113" s="69" t="n">
        <f aca="false">W113+X64</f>
        <v>-832049.309187833</v>
      </c>
      <c r="Y113" s="69" t="n">
        <f aca="false">X113+Y64</f>
        <v>-831008.015714841</v>
      </c>
      <c r="Z113" s="69" t="n">
        <f aca="false">Y113+Z64</f>
        <v>-844797.509981795</v>
      </c>
      <c r="AA113" s="69" t="n">
        <f aca="false">Z113+AA64</f>
        <v>-853462.45560412</v>
      </c>
      <c r="AB113" s="69" t="n">
        <f aca="false">AA113+AB64</f>
        <v>-860799.5242457</v>
      </c>
      <c r="AC113" s="69" t="n">
        <f aca="false">AB113+AC64</f>
        <v>-849751.533920789</v>
      </c>
      <c r="AD113" s="69" t="n">
        <f aca="false">AC113+AD64</f>
        <v>-837173.059935182</v>
      </c>
      <c r="AE113" s="69" t="n">
        <f aca="false">AD113+AE64</f>
        <v>-823118.238301974</v>
      </c>
      <c r="AF113" s="69" t="n">
        <f aca="false">AE113+AF64</f>
        <v>-807639.039593734</v>
      </c>
      <c r="AG113" s="69" t="n">
        <f aca="false">AF113+AG64</f>
        <v>-790785.355560132</v>
      </c>
      <c r="AH113" s="69" t="n">
        <f aca="false">AG113+AH64</f>
        <v>-772605.082280848</v>
      </c>
      <c r="AI113" s="69" t="n">
        <f aca="false">AH113+AI64</f>
        <v>-753144.199992375</v>
      </c>
      <c r="AJ113" s="69" t="n">
        <f aca="false">AI113+AJ64</f>
        <v>-732446.84972175</v>
      </c>
      <c r="AK113" s="69" t="n">
        <f aca="false">AJ113+AK64</f>
        <v>-710555.406854923</v>
      </c>
      <c r="AL113" s="69" t="n">
        <f aca="false">AK113+AL64</f>
        <v>-704179.027993512</v>
      </c>
      <c r="AM113" s="69" t="n">
        <f aca="false">AL113+AM64</f>
        <v>-693106.659005168</v>
      </c>
      <c r="AN113" s="69" t="n">
        <f aca="false">AM113+AN64</f>
        <v>-681115.853477861</v>
      </c>
      <c r="AO113" s="69" t="n">
        <f aca="false">AN113+AO64</f>
        <v>-650785.86332053</v>
      </c>
      <c r="AP113" s="69" t="n">
        <f aca="false">AO113+AP64</f>
        <v>-619271.696687057</v>
      </c>
      <c r="AQ113" s="69" t="n">
        <f aca="false">AP113+AQ64</f>
        <v>-586613.637303154</v>
      </c>
      <c r="AR113" s="69" t="n">
        <f aca="false">AQ113+AR64</f>
        <v>-552850.357545505</v>
      </c>
      <c r="AS113" s="69" t="n">
        <f aca="false">AR113+AS64</f>
        <v>-518018.982895728</v>
      </c>
      <c r="AT113" s="69" t="n">
        <f aca="false">AS113+AT64</f>
        <v>-482155.153816173</v>
      </c>
      <c r="AU113" s="69" t="n">
        <f aca="false">AT113+AU64</f>
        <v>-445293.085150699</v>
      </c>
      <c r="AV113" s="69" t="n">
        <f aca="false">AU113+AV64</f>
        <v>-407465.623149408</v>
      </c>
      <c r="AW113" s="69" t="n">
        <f aca="false">AV113+AW64</f>
        <v>-368704.300212401</v>
      </c>
      <c r="AX113" s="69" t="n">
        <f aca="false">AW113+AX64</f>
        <v>-346162.416816628</v>
      </c>
      <c r="AY113" s="69" t="n">
        <f aca="false">AX113+AY64</f>
        <v>-319175.180498915</v>
      </c>
      <c r="AZ113" s="69" t="n">
        <f aca="false">AY113+AZ64</f>
        <v>-291522.143906521</v>
      </c>
      <c r="BA113" s="69" t="n">
        <f aca="false">AZ113+BA64</f>
        <v>-245256.108644588</v>
      </c>
      <c r="BB113" s="69" t="n">
        <f aca="false">BA113+BB64</f>
        <v>-198012.503970002</v>
      </c>
      <c r="BC113" s="69" t="n">
        <f aca="false">BB113+BC64</f>
        <v>-149823.349325935</v>
      </c>
      <c r="BD113" s="69" t="n">
        <f aca="false">BC113+BD64</f>
        <v>-100719.383377833</v>
      </c>
      <c r="BE113" s="69" t="n">
        <f aca="false">BD113+BE64</f>
        <v>-50730.1152445231</v>
      </c>
      <c r="BF113" s="69" t="n">
        <f aca="false">BE113+BF64</f>
        <v>91.7397927356287</v>
      </c>
      <c r="BG113" s="69" t="n">
        <f aca="false">BF113+BG64</f>
        <v>40915.7951121485</v>
      </c>
      <c r="BH113" s="69" t="n">
        <f aca="false">BG113+BH64</f>
        <v>82374.7497690584</v>
      </c>
      <c r="BI113" s="69" t="n">
        <f aca="false">BH113+BI64</f>
        <v>124448.803623299</v>
      </c>
      <c r="BJ113" s="69" t="n">
        <f aca="false">BI113+BJ64</f>
        <v>153133.253778322</v>
      </c>
    </row>
    <row r="114" customFormat="false" ht="15" hidden="false" customHeight="false" outlineLevel="0" collapsed="false">
      <c r="A114" s="4" t="s">
        <v>93</v>
      </c>
      <c r="C114" s="75" t="n">
        <f aca="false">C100+C86+C87+C77</f>
        <v>5002277.15386248</v>
      </c>
      <c r="D114" s="75" t="n">
        <f aca="false">D100+D86+D87+D77</f>
        <v>4881113.96244311</v>
      </c>
      <c r="E114" s="75" t="n">
        <f aca="false">E100+E86+E87+E77</f>
        <v>4776797.52273048</v>
      </c>
      <c r="F114" s="75" t="n">
        <f aca="false">F100+F86+F87+F77</f>
        <v>4678478.11854842</v>
      </c>
      <c r="G114" s="75" t="n">
        <f aca="false">G100+G86+G87+G77</f>
        <v>4587478.59368555</v>
      </c>
      <c r="H114" s="75" t="n">
        <f aca="false">H100+H86+H87+H77</f>
        <v>4503920.70230666</v>
      </c>
      <c r="I114" s="75" t="n">
        <f aca="false">I100+I86+I87+I77</f>
        <v>4427921.32840999</v>
      </c>
      <c r="J114" s="75" t="n">
        <f aca="false">J100+J86+J87+J77</f>
        <v>4359592.68063381</v>
      </c>
      <c r="K114" s="75" t="n">
        <f aca="false">K100+K86+K87+K77</f>
        <v>4299042.4792709</v>
      </c>
      <c r="L114" s="75" t="n">
        <f aca="false">L100+L86+L87+L77</f>
        <v>4246374.13580229</v>
      </c>
      <c r="M114" s="75" t="n">
        <f aca="false">M100+M86+M87+M77</f>
        <v>4195410.41624094</v>
      </c>
      <c r="N114" s="75" t="n">
        <f aca="false">N100+N86+N87+N77</f>
        <v>4127615.37778011</v>
      </c>
      <c r="O114" s="75" t="n">
        <f aca="false">O100+O86+O87+O77</f>
        <v>4068769.3510266</v>
      </c>
      <c r="P114" s="75" t="n">
        <f aca="false">P100+P86+P87+P77</f>
        <v>4011326.69371395</v>
      </c>
      <c r="Q114" s="75" t="n">
        <f aca="false">Q100+Q86+Q87+Q77</f>
        <v>3975731.76948336</v>
      </c>
      <c r="R114" s="75" t="n">
        <f aca="false">R100+R86+R87+R77</f>
        <v>3939389.24312113</v>
      </c>
      <c r="S114" s="75" t="n">
        <f aca="false">S100+S86+S87+S77</f>
        <v>3905056.70528822</v>
      </c>
      <c r="T114" s="75" t="n">
        <f aca="false">T100+T86+T87+T77</f>
        <v>3872660.83977679</v>
      </c>
      <c r="U114" s="75" t="n">
        <f aca="false">U100+U86+U87+U77</f>
        <v>3842131.26302732</v>
      </c>
      <c r="V114" s="75" t="n">
        <f aca="false">V100+V86+V87+V77</f>
        <v>3813400.40682265</v>
      </c>
      <c r="W114" s="75" t="n">
        <f aca="false">W100+W86+W87+W77</f>
        <v>3786403.40567434</v>
      </c>
      <c r="X114" s="75" t="n">
        <f aca="false">X100+X86+X87+X77</f>
        <v>3761077.98871346</v>
      </c>
      <c r="Y114" s="75" t="n">
        <f aca="false">Y100+Y86+Y87+Y77</f>
        <v>3737364.37590584</v>
      </c>
      <c r="Z114" s="75" t="n">
        <f aca="false">Z100+Z86+Z87+Z77</f>
        <v>3695466.80859697</v>
      </c>
      <c r="AA114" s="75" t="n">
        <f aca="false">AA100+AA86+AA87+AA77</f>
        <v>3662652.2603911</v>
      </c>
      <c r="AB114" s="75" t="n">
        <f aca="false">AB100+AB86+AB87+AB77</f>
        <v>3630473.7558912</v>
      </c>
      <c r="AC114" s="75" t="n">
        <f aca="false">AC100+AC86+AC87+AC77</f>
        <v>3620267.42525449</v>
      </c>
      <c r="AD114" s="75" t="n">
        <f aca="false">AD100+AD86+AD87+AD77</f>
        <v>3608077.87775523</v>
      </c>
      <c r="AE114" s="75" t="n">
        <f aca="false">AE100+AE86+AE87+AE77</f>
        <v>3597355.39876297</v>
      </c>
      <c r="AF114" s="75" t="n">
        <f aca="false">AF100+AF86+AF87+AF77</f>
        <v>3588048.38887076</v>
      </c>
      <c r="AG114" s="75" t="n">
        <f aca="false">AG100+AG86+AG87+AG77</f>
        <v>3580107.31264793</v>
      </c>
      <c r="AH114" s="75" t="n">
        <f aca="false">AH100+AH86+AH87+AH77</f>
        <v>3573484.61608104</v>
      </c>
      <c r="AI114" s="75" t="n">
        <f aca="false">AI100+AI86+AI87+AI77</f>
        <v>3568134.64731718</v>
      </c>
      <c r="AJ114" s="75" t="n">
        <f aca="false">AJ100+AJ86+AJ87+AJ77</f>
        <v>3564013.58057757</v>
      </c>
      <c r="AK114" s="75" t="n">
        <f aca="false">AK100+AK86+AK87+AK77</f>
        <v>3561079.34311457</v>
      </c>
      <c r="AL114" s="75" t="n">
        <f aca="false">AL100+AL86+AL87+AL77</f>
        <v>3538739.78639662</v>
      </c>
      <c r="AM114" s="75" t="n">
        <f aca="false">AM100+AM86+AM87+AM77</f>
        <v>3525694.86652347</v>
      </c>
      <c r="AN114" s="75" t="n">
        <f aca="false">AN100+AN86+AN87+AN77</f>
        <v>3512788.81916314</v>
      </c>
      <c r="AO114" s="75" t="n">
        <f aca="false">AO100+AO86+AO87+AO77</f>
        <v>3522338.60637643</v>
      </c>
      <c r="AP114" s="75" t="n">
        <f aca="false">AP100+AP86+AP87+AP77</f>
        <v>3529027.21233232</v>
      </c>
      <c r="AQ114" s="75" t="n">
        <f aca="false">AQ100+AQ86+AQ87+AQ77</f>
        <v>3536852.73346573</v>
      </c>
      <c r="AR114" s="75" t="n">
        <f aca="false">AR100+AR86+AR87+AR77</f>
        <v>3545776.77650291</v>
      </c>
      <c r="AS114" s="75" t="n">
        <f aca="false">AS100+AS86+AS87+AS77</f>
        <v>3555762.48390104</v>
      </c>
      <c r="AT114" s="75" t="n">
        <f aca="false">AT100+AT86+AT87+AT77</f>
        <v>3566774.47241901</v>
      </c>
      <c r="AU114" s="75" t="n">
        <f aca="false">AU100+AU86+AU87+AU77</f>
        <v>3578778.77414536</v>
      </c>
      <c r="AV114" s="75" t="n">
        <f aca="false">AV100+AV86+AV87+AV77</f>
        <v>3591742.7798851</v>
      </c>
      <c r="AW114" s="75" t="n">
        <f aca="false">AW100+AW86+AW87+AW77</f>
        <v>3605635.18481101</v>
      </c>
      <c r="AX114" s="75" t="n">
        <f aca="false">AX100+AX86+AX87+AX77</f>
        <v>3598963.88252377</v>
      </c>
      <c r="AY114" s="75" t="n">
        <f aca="false">AY100+AY86+AY87+AY77</f>
        <v>3601876.25716034</v>
      </c>
      <c r="AZ114" s="75" t="n">
        <f aca="false">AZ100+AZ86+AZ87+AZ77</f>
        <v>3604597.95757411</v>
      </c>
      <c r="BA114" s="75" t="n">
        <f aca="false">BA100+BA86+BA87+BA77</f>
        <v>3630503.62752227</v>
      </c>
      <c r="BB114" s="75" t="n">
        <f aca="false">BB100+BB86+BB87+BB77</f>
        <v>3652887.35156015</v>
      </c>
      <c r="BC114" s="75" t="n">
        <f aca="false">BC100+BC86+BC87+BC77</f>
        <v>3676211.02079298</v>
      </c>
      <c r="BD114" s="75" t="n">
        <f aca="false">BD100+BD86+BD87+BD77</f>
        <v>3700444.1207463</v>
      </c>
      <c r="BE114" s="75" t="n">
        <f aca="false">BE100+BE86+BE87+BE77</f>
        <v>3725557.35752461</v>
      </c>
      <c r="BF114" s="75" t="n">
        <f aca="false">BF100+BF86+BF87+BF77</f>
        <v>3751498.22246108</v>
      </c>
      <c r="BG114" s="75" t="n">
        <f aca="false">BG100+BG86+BG87+BG77</f>
        <v>3767436.52728373</v>
      </c>
      <c r="BH114" s="75" t="n">
        <f aca="false">BH100+BH86+BH87+BH77</f>
        <v>3784005.16146375</v>
      </c>
      <c r="BI114" s="75" t="n">
        <f aca="false">BI100+BI86+BI87+BI77</f>
        <v>3801184.50766017</v>
      </c>
      <c r="BJ114" s="75" t="n">
        <f aca="false">BJ100+BJ86+BJ87+BJ77</f>
        <v>3800220.76372506</v>
      </c>
    </row>
    <row r="115" customFormat="false" ht="15" hidden="false" customHeight="false" outlineLevel="0" collapsed="false">
      <c r="A115" s="6" t="s">
        <v>96</v>
      </c>
      <c r="C115" s="69" t="n">
        <f aca="false">C88+C83</f>
        <v>3004714.63049727</v>
      </c>
      <c r="D115" s="69" t="n">
        <f aca="false">D88+D83</f>
        <v>2980354.29920421</v>
      </c>
      <c r="E115" s="69" t="n">
        <f aca="false">E88+E83</f>
        <v>2957384.55683798</v>
      </c>
      <c r="F115" s="69" t="n">
        <f aca="false">F88+F83</f>
        <v>2933241.13125426</v>
      </c>
      <c r="G115" s="69" t="n">
        <f aca="false">G88+G83</f>
        <v>2909119.14565402</v>
      </c>
      <c r="H115" s="69" t="n">
        <f aca="false">H88+H83</f>
        <v>2885017.74243793</v>
      </c>
      <c r="I115" s="69" t="n">
        <f aca="false">I88+I83</f>
        <v>2860936.09831061</v>
      </c>
      <c r="J115" s="69" t="n">
        <f aca="false">J88+J83</f>
        <v>2836873.42290852</v>
      </c>
      <c r="K115" s="69" t="n">
        <f aca="false">K88+K83</f>
        <v>2812828.95748264</v>
      </c>
      <c r="L115" s="69" t="n">
        <f aca="false">L88+L83</f>
        <v>2788801.97363394</v>
      </c>
      <c r="M115" s="69" t="n">
        <f aca="false">M88+M83</f>
        <v>2764161.39767258</v>
      </c>
      <c r="N115" s="69" t="n">
        <f aca="false">N88+N83</f>
        <v>2736847.71005041</v>
      </c>
      <c r="O115" s="69" t="n">
        <f aca="false">O88+O83</f>
        <v>2712679.72738922</v>
      </c>
      <c r="P115" s="69" t="n">
        <f aca="false">P88+P83</f>
        <v>2687926.87338253</v>
      </c>
      <c r="Q115" s="69" t="n">
        <f aca="false">Q88+Q83</f>
        <v>2666100.58732504</v>
      </c>
      <c r="R115" s="69" t="n">
        <f aca="false">R88+R83</f>
        <v>2641426.74946748</v>
      </c>
      <c r="S115" s="69" t="n">
        <f aca="false">S88+S83</f>
        <v>2616739.86512423</v>
      </c>
      <c r="T115" s="69" t="n">
        <f aca="false">T88+T83</f>
        <v>2592040.45615471</v>
      </c>
      <c r="U115" s="69" t="n">
        <f aca="false">U88+U83</f>
        <v>2567329.02354396</v>
      </c>
      <c r="V115" s="69" t="n">
        <f aca="false">V88+V83</f>
        <v>2542606.04823765</v>
      </c>
      <c r="W115" s="69" t="n">
        <f aca="false">W88+W83</f>
        <v>2517871.99194359</v>
      </c>
      <c r="X115" s="69" t="n">
        <f aca="false">X88+X83</f>
        <v>2493127.29790129</v>
      </c>
      <c r="Y115" s="69" t="n">
        <f aca="false">Y88+Y83</f>
        <v>2468372.39162069</v>
      </c>
      <c r="Z115" s="69" t="n">
        <f aca="false">Z88+Z83</f>
        <v>2440264.31857876</v>
      </c>
      <c r="AA115" s="69" t="n">
        <f aca="false">AA88+AA83</f>
        <v>2416114.71599522</v>
      </c>
      <c r="AB115" s="69" t="n">
        <f aca="false">AB88+AB83</f>
        <v>2391273.2801369</v>
      </c>
      <c r="AC115" s="69" t="n">
        <f aca="false">AC88+AC83</f>
        <v>2370018.95917528</v>
      </c>
      <c r="AD115" s="69" t="n">
        <f aca="false">AD88+AD83</f>
        <v>2345250.93769041</v>
      </c>
      <c r="AE115" s="69" t="n">
        <f aca="false">AE88+AE83</f>
        <v>2320473.63706494</v>
      </c>
      <c r="AF115" s="69" t="n">
        <f aca="false">AF88+AF83</f>
        <v>2295687.42846449</v>
      </c>
      <c r="AG115" s="69" t="n">
        <f aca="false">AG88+AG83</f>
        <v>2270892.66820806</v>
      </c>
      <c r="AH115" s="69" t="n">
        <f aca="false">AH88+AH83</f>
        <v>2246089.69836188</v>
      </c>
      <c r="AI115" s="69" t="n">
        <f aca="false">AI88+AI83</f>
        <v>2221278.84730955</v>
      </c>
      <c r="AJ115" s="69" t="n">
        <f aca="false">AJ88+AJ83</f>
        <v>2196460.43029932</v>
      </c>
      <c r="AK115" s="69" t="n">
        <f aca="false">AK88+AK83</f>
        <v>2171634.74996949</v>
      </c>
      <c r="AL115" s="69" t="n">
        <f aca="false">AL88+AL83</f>
        <v>2142918.81439013</v>
      </c>
      <c r="AM115" s="69" t="n">
        <f aca="false">AM88+AM83</f>
        <v>2118801.52552864</v>
      </c>
      <c r="AN115" s="69" t="n">
        <f aca="false">AN88+AN83</f>
        <v>2093904.67264101</v>
      </c>
      <c r="AO115" s="69" t="n">
        <f aca="false">AO88+AO83</f>
        <v>2073124.46969696</v>
      </c>
      <c r="AP115" s="69" t="n">
        <f aca="false">AP88+AP83</f>
        <v>2048298.90901937</v>
      </c>
      <c r="AQ115" s="69" t="n">
        <f aca="false">AQ88+AQ83</f>
        <v>2023466.37076888</v>
      </c>
      <c r="AR115" s="69" t="n">
        <f aca="false">AR88+AR83</f>
        <v>1998627.13404842</v>
      </c>
      <c r="AS115" s="69" t="n">
        <f aca="false">AS88+AS83</f>
        <v>1973781.46679677</v>
      </c>
      <c r="AT115" s="69" t="n">
        <f aca="false">AT88+AT83</f>
        <v>1948929.62623518</v>
      </c>
      <c r="AU115" s="69" t="n">
        <f aca="false">AU88+AU83</f>
        <v>1924071.85929606</v>
      </c>
      <c r="AV115" s="69" t="n">
        <f aca="false">AV88+AV83</f>
        <v>1899208.40303451</v>
      </c>
      <c r="AW115" s="69" t="n">
        <f aca="false">AW88+AW83</f>
        <v>1874339.48502341</v>
      </c>
      <c r="AX115" s="69" t="n">
        <f aca="false">AX88+AX83</f>
        <v>1845126.29934039</v>
      </c>
      <c r="AY115" s="69" t="n">
        <f aca="false">AY88+AY83</f>
        <v>1821051.43765925</v>
      </c>
      <c r="AZ115" s="69" t="n">
        <f aca="false">AZ88+AZ83</f>
        <v>1796120.10148063</v>
      </c>
      <c r="BA115" s="69" t="n">
        <f aca="false">BA88+BA83</f>
        <v>1775759.73616686</v>
      </c>
      <c r="BB115" s="69" t="n">
        <f aca="false">BB88+BB83</f>
        <v>1750899.85553015</v>
      </c>
      <c r="BC115" s="69" t="n">
        <f aca="false">BC88+BC83</f>
        <v>1726034.37011892</v>
      </c>
      <c r="BD115" s="69" t="n">
        <f aca="false">BD88+BD83</f>
        <v>1701163.50412413</v>
      </c>
      <c r="BE115" s="69" t="n">
        <f aca="false">BE88+BE83</f>
        <v>1676287.47276914</v>
      </c>
      <c r="BF115" s="69" t="n">
        <f aca="false">BF88+BF83</f>
        <v>1651406.48266834</v>
      </c>
      <c r="BG115" s="69" t="n">
        <f aca="false">BG88+BG83</f>
        <v>1626520.73217158</v>
      </c>
      <c r="BH115" s="69" t="n">
        <f aca="false">BH88+BH83</f>
        <v>1601630.41169468</v>
      </c>
      <c r="BI115" s="69" t="n">
        <f aca="false">BI88+BI83</f>
        <v>1576735.70403687</v>
      </c>
      <c r="BJ115" s="69" t="n">
        <f aca="false">BJ88+BJ83</f>
        <v>1547087.50994674</v>
      </c>
    </row>
    <row r="116" customFormat="false" ht="15" hidden="false" customHeight="false" outlineLevel="0" collapsed="false">
      <c r="A116" s="6" t="s">
        <v>99</v>
      </c>
      <c r="C116" s="69" t="n">
        <f aca="false">C112+C113</f>
        <v>1997562.52336521</v>
      </c>
      <c r="D116" s="69" t="n">
        <f aca="false">D112+D113</f>
        <v>1900759.66323889</v>
      </c>
      <c r="E116" s="69" t="n">
        <f aca="false">E112+E113</f>
        <v>1819412.96589251</v>
      </c>
      <c r="F116" s="69" t="n">
        <f aca="false">F112+F113</f>
        <v>1745236.98729417</v>
      </c>
      <c r="G116" s="69" t="n">
        <f aca="false">G112+G113</f>
        <v>1678359.44803153</v>
      </c>
      <c r="H116" s="69" t="n">
        <f aca="false">H112+H113</f>
        <v>1618902.95986874</v>
      </c>
      <c r="I116" s="69" t="n">
        <f aca="false">I112+I113</f>
        <v>1566985.23009938</v>
      </c>
      <c r="J116" s="69" t="n">
        <f aca="false">J112+J113</f>
        <v>1522719.2577253</v>
      </c>
      <c r="K116" s="69" t="n">
        <f aca="false">K112+K113</f>
        <v>1486213.52178826</v>
      </c>
      <c r="L116" s="69" t="n">
        <f aca="false">L112+L113</f>
        <v>1457572.16216835</v>
      </c>
      <c r="M116" s="69" t="n">
        <f aca="false">M112+M113</f>
        <v>1431249.01856836</v>
      </c>
      <c r="N116" s="69" t="n">
        <f aca="false">N112+N113</f>
        <v>1390767.66772971</v>
      </c>
      <c r="O116" s="69" t="n">
        <f aca="false">O112+O113</f>
        <v>1356089.62363738</v>
      </c>
      <c r="P116" s="69" t="n">
        <f aca="false">P112+P113</f>
        <v>1323399.82033142</v>
      </c>
      <c r="Q116" s="69" t="n">
        <f aca="false">Q112+Q113</f>
        <v>1309631.18215832</v>
      </c>
      <c r="R116" s="69" t="n">
        <f aca="false">R112+R113</f>
        <v>1297962.49365365</v>
      </c>
      <c r="S116" s="69" t="n">
        <f aca="false">S112+S113</f>
        <v>1288316.84016399</v>
      </c>
      <c r="T116" s="69" t="n">
        <f aca="false">T112+T113</f>
        <v>1280620.38362208</v>
      </c>
      <c r="U116" s="69" t="n">
        <f aca="false">U112+U113</f>
        <v>1274802.23948335</v>
      </c>
      <c r="V116" s="69" t="n">
        <f aca="false">V112+V113</f>
        <v>1270794.358585</v>
      </c>
      <c r="W116" s="69" t="n">
        <f aca="false">W112+W113</f>
        <v>1268531.41373075</v>
      </c>
      <c r="X116" s="69" t="n">
        <f aca="false">X112+X113</f>
        <v>1267950.69081217</v>
      </c>
      <c r="Y116" s="69" t="n">
        <f aca="false">Y112+Y113</f>
        <v>1268991.98428516</v>
      </c>
      <c r="Z116" s="69" t="n">
        <f aca="false">Z112+Z113</f>
        <v>1255202.4900182</v>
      </c>
      <c r="AA116" s="69" t="n">
        <f aca="false">AA112+AA113</f>
        <v>1246537.54439588</v>
      </c>
      <c r="AB116" s="69" t="n">
        <f aca="false">AB112+AB113</f>
        <v>1239200.4757543</v>
      </c>
      <c r="AC116" s="69" t="n">
        <f aca="false">AC112+AC113</f>
        <v>1250248.46607921</v>
      </c>
      <c r="AD116" s="69" t="n">
        <f aca="false">AD112+AD113</f>
        <v>1262826.94006482</v>
      </c>
      <c r="AE116" s="69" t="n">
        <f aca="false">AE112+AE113</f>
        <v>1276881.76169803</v>
      </c>
      <c r="AF116" s="69" t="n">
        <f aca="false">AF112+AF113</f>
        <v>1292360.96040627</v>
      </c>
      <c r="AG116" s="69" t="n">
        <f aca="false">AG112+AG113</f>
        <v>1309214.64443987</v>
      </c>
      <c r="AH116" s="69" t="n">
        <f aca="false">AH112+AH113</f>
        <v>1327394.91771915</v>
      </c>
      <c r="AI116" s="69" t="n">
        <f aca="false">AI112+AI113</f>
        <v>1346855.80000762</v>
      </c>
      <c r="AJ116" s="69" t="n">
        <f aca="false">AJ112+AJ113</f>
        <v>1367553.15027825</v>
      </c>
      <c r="AK116" s="69" t="n">
        <f aca="false">AK112+AK113</f>
        <v>1389444.59314508</v>
      </c>
      <c r="AL116" s="69" t="n">
        <f aca="false">AL112+AL113</f>
        <v>1395820.97200649</v>
      </c>
      <c r="AM116" s="69" t="n">
        <f aca="false">AM112+AM113</f>
        <v>1406893.34099483</v>
      </c>
      <c r="AN116" s="69" t="n">
        <f aca="false">AN112+AN113</f>
        <v>1418884.14652214</v>
      </c>
      <c r="AO116" s="69" t="n">
        <f aca="false">AO112+AO113</f>
        <v>1449214.13667947</v>
      </c>
      <c r="AP116" s="69" t="n">
        <f aca="false">AP112+AP113</f>
        <v>1480728.30331294</v>
      </c>
      <c r="AQ116" s="69" t="n">
        <f aca="false">AQ112+AQ113</f>
        <v>1513386.36269685</v>
      </c>
      <c r="AR116" s="69" t="n">
        <f aca="false">AR112+AR113</f>
        <v>1547149.64245449</v>
      </c>
      <c r="AS116" s="69" t="n">
        <f aca="false">AS112+AS113</f>
        <v>1581981.01710427</v>
      </c>
      <c r="AT116" s="69" t="n">
        <f aca="false">AT112+AT113</f>
        <v>1617844.84618383</v>
      </c>
      <c r="AU116" s="69" t="n">
        <f aca="false">AU112+AU113</f>
        <v>1654706.9148493</v>
      </c>
      <c r="AV116" s="69" t="n">
        <f aca="false">AV112+AV113</f>
        <v>1692534.37685059</v>
      </c>
      <c r="AW116" s="69" t="n">
        <f aca="false">AW112+AW113</f>
        <v>1731295.6997876</v>
      </c>
      <c r="AX116" s="69" t="n">
        <f aca="false">AX112+AX113</f>
        <v>1753837.58318337</v>
      </c>
      <c r="AY116" s="69" t="n">
        <f aca="false">AY112+AY113</f>
        <v>1780824.81950108</v>
      </c>
      <c r="AZ116" s="69" t="n">
        <f aca="false">AZ112+AZ113</f>
        <v>1808477.85609348</v>
      </c>
      <c r="BA116" s="69" t="n">
        <f aca="false">BA112+BA113</f>
        <v>1854743.89135541</v>
      </c>
      <c r="BB116" s="69" t="n">
        <f aca="false">BB112+BB113</f>
        <v>1901987.49603</v>
      </c>
      <c r="BC116" s="69" t="n">
        <f aca="false">BC112+BC113</f>
        <v>1950176.65067407</v>
      </c>
      <c r="BD116" s="69" t="n">
        <f aca="false">BD112+BD113</f>
        <v>1999280.61662217</v>
      </c>
      <c r="BE116" s="69" t="n">
        <f aca="false">BE112+BE113</f>
        <v>2049269.88475548</v>
      </c>
      <c r="BF116" s="69" t="n">
        <f aca="false">BF112+BF113</f>
        <v>2100091.73979274</v>
      </c>
      <c r="BG116" s="69" t="n">
        <f aca="false">BG112+BG113</f>
        <v>2140915.79511215</v>
      </c>
      <c r="BH116" s="69" t="n">
        <f aca="false">BH112+BH113</f>
        <v>2182374.74976906</v>
      </c>
      <c r="BI116" s="69" t="n">
        <f aca="false">BI112+BI113</f>
        <v>2224448.8036233</v>
      </c>
      <c r="BJ116" s="69" t="n">
        <f aca="false">BJ112+BJ113</f>
        <v>2253133.25377832</v>
      </c>
    </row>
    <row r="117" customFormat="false" ht="15" hidden="false" customHeight="false" outlineLevel="0" collapsed="false">
      <c r="A117" s="4" t="s">
        <v>100</v>
      </c>
      <c r="C117" s="75" t="n">
        <f aca="false">C115+C116</f>
        <v>5002277.15386248</v>
      </c>
      <c r="D117" s="75" t="n">
        <f aca="false">D115+D116</f>
        <v>4881113.9624431</v>
      </c>
      <c r="E117" s="75" t="n">
        <f aca="false">E115+E116</f>
        <v>4776797.52273048</v>
      </c>
      <c r="F117" s="75" t="n">
        <f aca="false">F115+F116</f>
        <v>4678478.11854842</v>
      </c>
      <c r="G117" s="75" t="n">
        <f aca="false">G115+G116</f>
        <v>4587478.59368555</v>
      </c>
      <c r="H117" s="75" t="n">
        <f aca="false">H115+H116</f>
        <v>4503920.70230666</v>
      </c>
      <c r="I117" s="75" t="n">
        <f aca="false">I115+I116</f>
        <v>4427921.32840999</v>
      </c>
      <c r="J117" s="75" t="n">
        <f aca="false">J115+J116</f>
        <v>4359592.68063381</v>
      </c>
      <c r="K117" s="75" t="n">
        <f aca="false">K115+K116</f>
        <v>4299042.4792709</v>
      </c>
      <c r="L117" s="75" t="n">
        <f aca="false">L115+L116</f>
        <v>4246374.13580229</v>
      </c>
      <c r="M117" s="75" t="n">
        <f aca="false">M115+M116</f>
        <v>4195410.41624094</v>
      </c>
      <c r="N117" s="75" t="n">
        <f aca="false">N115+N116</f>
        <v>4127615.37778011</v>
      </c>
      <c r="O117" s="75" t="n">
        <f aca="false">O115+O116</f>
        <v>4068769.3510266</v>
      </c>
      <c r="P117" s="75" t="n">
        <f aca="false">P115+P116</f>
        <v>4011326.69371395</v>
      </c>
      <c r="Q117" s="75" t="n">
        <f aca="false">Q115+Q116</f>
        <v>3975731.76948336</v>
      </c>
      <c r="R117" s="75" t="n">
        <f aca="false">R115+R116</f>
        <v>3939389.24312113</v>
      </c>
      <c r="S117" s="75" t="n">
        <f aca="false">S115+S116</f>
        <v>3905056.70528822</v>
      </c>
      <c r="T117" s="75" t="n">
        <f aca="false">T115+T116</f>
        <v>3872660.83977679</v>
      </c>
      <c r="U117" s="75" t="n">
        <f aca="false">U115+U116</f>
        <v>3842131.26302732</v>
      </c>
      <c r="V117" s="75" t="n">
        <f aca="false">V115+V116</f>
        <v>3813400.40682265</v>
      </c>
      <c r="W117" s="75" t="n">
        <f aca="false">W115+W116</f>
        <v>3786403.40567434</v>
      </c>
      <c r="X117" s="75" t="n">
        <f aca="false">X115+X116</f>
        <v>3761077.98871346</v>
      </c>
      <c r="Y117" s="75" t="n">
        <f aca="false">Y115+Y116</f>
        <v>3737364.37590584</v>
      </c>
      <c r="Z117" s="75" t="n">
        <f aca="false">Z115+Z116</f>
        <v>3695466.80859697</v>
      </c>
      <c r="AA117" s="75" t="n">
        <f aca="false">AA115+AA116</f>
        <v>3662652.2603911</v>
      </c>
      <c r="AB117" s="75" t="n">
        <f aca="false">AB115+AB116</f>
        <v>3630473.7558912</v>
      </c>
      <c r="AC117" s="75" t="n">
        <f aca="false">AC115+AC116</f>
        <v>3620267.42525449</v>
      </c>
      <c r="AD117" s="75" t="n">
        <f aca="false">AD115+AD116</f>
        <v>3608077.87775523</v>
      </c>
      <c r="AE117" s="75" t="n">
        <f aca="false">AE115+AE116</f>
        <v>3597355.39876297</v>
      </c>
      <c r="AF117" s="75" t="n">
        <f aca="false">AF115+AF116</f>
        <v>3588048.38887076</v>
      </c>
      <c r="AG117" s="75" t="n">
        <f aca="false">AG115+AG116</f>
        <v>3580107.31264793</v>
      </c>
      <c r="AH117" s="75" t="n">
        <f aca="false">AH115+AH116</f>
        <v>3573484.61608104</v>
      </c>
      <c r="AI117" s="75" t="n">
        <f aca="false">AI115+AI116</f>
        <v>3568134.64731718</v>
      </c>
      <c r="AJ117" s="75" t="n">
        <f aca="false">AJ115+AJ116</f>
        <v>3564013.58057757</v>
      </c>
      <c r="AK117" s="75" t="n">
        <f aca="false">AK115+AK116</f>
        <v>3561079.34311457</v>
      </c>
      <c r="AL117" s="75" t="n">
        <f aca="false">AL115+AL116</f>
        <v>3538739.78639662</v>
      </c>
      <c r="AM117" s="75" t="n">
        <f aca="false">AM115+AM116</f>
        <v>3525694.86652347</v>
      </c>
      <c r="AN117" s="75" t="n">
        <f aca="false">AN115+AN116</f>
        <v>3512788.81916314</v>
      </c>
      <c r="AO117" s="75" t="n">
        <f aca="false">AO115+AO116</f>
        <v>3522338.60637643</v>
      </c>
      <c r="AP117" s="75" t="n">
        <f aca="false">AP115+AP116</f>
        <v>3529027.21233231</v>
      </c>
      <c r="AQ117" s="75" t="n">
        <f aca="false">AQ115+AQ116</f>
        <v>3536852.73346573</v>
      </c>
      <c r="AR117" s="75" t="n">
        <f aca="false">AR115+AR116</f>
        <v>3545776.77650291</v>
      </c>
      <c r="AS117" s="75" t="n">
        <f aca="false">AS115+AS116</f>
        <v>3555762.48390104</v>
      </c>
      <c r="AT117" s="75" t="n">
        <f aca="false">AT115+AT116</f>
        <v>3566774.47241901</v>
      </c>
      <c r="AU117" s="75" t="n">
        <f aca="false">AU115+AU116</f>
        <v>3578778.77414536</v>
      </c>
      <c r="AV117" s="75" t="n">
        <f aca="false">AV115+AV116</f>
        <v>3591742.7798851</v>
      </c>
      <c r="AW117" s="75" t="n">
        <f aca="false">AW115+AW116</f>
        <v>3605635.18481101</v>
      </c>
      <c r="AX117" s="75" t="n">
        <f aca="false">AX115+AX116</f>
        <v>3598963.88252377</v>
      </c>
      <c r="AY117" s="75" t="n">
        <f aca="false">AY115+AY116</f>
        <v>3601876.25716034</v>
      </c>
      <c r="AZ117" s="75" t="n">
        <f aca="false">AZ115+AZ116</f>
        <v>3604597.95757411</v>
      </c>
      <c r="BA117" s="75" t="n">
        <f aca="false">BA115+BA116</f>
        <v>3630503.62752227</v>
      </c>
      <c r="BB117" s="75" t="n">
        <f aca="false">BB115+BB116</f>
        <v>3652887.35156015</v>
      </c>
      <c r="BC117" s="75" t="n">
        <f aca="false">BC115+BC116</f>
        <v>3676211.02079298</v>
      </c>
      <c r="BD117" s="75" t="n">
        <f aca="false">BD115+BD116</f>
        <v>3700444.1207463</v>
      </c>
      <c r="BE117" s="75" t="n">
        <f aca="false">BE115+BE116</f>
        <v>3725557.35752461</v>
      </c>
      <c r="BF117" s="75" t="n">
        <f aca="false">BF115+BF116</f>
        <v>3751498.22246108</v>
      </c>
      <c r="BG117" s="75" t="n">
        <f aca="false">BG115+BG116</f>
        <v>3767436.52728373</v>
      </c>
      <c r="BH117" s="75" t="n">
        <f aca="false">BH115+BH116</f>
        <v>3784005.16146374</v>
      </c>
      <c r="BI117" s="75" t="n">
        <f aca="false">BI115+BI116</f>
        <v>3801184.50766017</v>
      </c>
      <c r="BJ117" s="75" t="n">
        <f aca="false">BJ115+BJ116</f>
        <v>3800220.76372506</v>
      </c>
    </row>
    <row r="118" customFormat="false" ht="15" hidden="false" customHeight="false" outlineLevel="0" collapsed="false">
      <c r="A118" s="6" t="s">
        <v>471</v>
      </c>
      <c r="C118" s="69" t="n">
        <f aca="false">C114-C117</f>
        <v>0</v>
      </c>
      <c r="D118" s="69" t="n">
        <f aca="false">D114-D117</f>
        <v>0</v>
      </c>
      <c r="E118" s="69" t="n">
        <f aca="false">E114-E117</f>
        <v>0</v>
      </c>
      <c r="F118" s="69" t="n">
        <f aca="false">F114-F117</f>
        <v>0</v>
      </c>
      <c r="G118" s="69" t="n">
        <f aca="false">G114-G117</f>
        <v>0</v>
      </c>
      <c r="H118" s="69" t="n">
        <f aca="false">H114-H117</f>
        <v>0</v>
      </c>
      <c r="I118" s="69" t="n">
        <f aca="false">I114-I117</f>
        <v>0</v>
      </c>
      <c r="J118" s="69" t="n">
        <f aca="false">J114-J117</f>
        <v>0</v>
      </c>
      <c r="K118" s="69" t="n">
        <f aca="false">K114-K117</f>
        <v>0</v>
      </c>
      <c r="L118" s="69" t="n">
        <f aca="false">L114-L117</f>
        <v>0</v>
      </c>
      <c r="M118" s="69" t="n">
        <f aca="false">M114-M117</f>
        <v>0</v>
      </c>
      <c r="N118" s="69" t="n">
        <f aca="false">N114-N117</f>
        <v>0</v>
      </c>
      <c r="O118" s="69" t="n">
        <f aca="false">O114-O117</f>
        <v>0</v>
      </c>
      <c r="P118" s="69" t="n">
        <f aca="false">P114-P117</f>
        <v>0</v>
      </c>
      <c r="Q118" s="69" t="n">
        <f aca="false">Q114-Q117</f>
        <v>0</v>
      </c>
      <c r="R118" s="69" t="n">
        <f aca="false">R114-R117</f>
        <v>0</v>
      </c>
      <c r="S118" s="69" t="n">
        <f aca="false">S114-S117</f>
        <v>0</v>
      </c>
      <c r="T118" s="69" t="n">
        <f aca="false">T114-T117</f>
        <v>0</v>
      </c>
      <c r="U118" s="69" t="n">
        <f aca="false">U114-U117</f>
        <v>0</v>
      </c>
      <c r="V118" s="69" t="n">
        <f aca="false">V114-V117</f>
        <v>0</v>
      </c>
      <c r="W118" s="69" t="n">
        <f aca="false">W114-W117</f>
        <v>0</v>
      </c>
      <c r="X118" s="69" t="n">
        <f aca="false">X114-X117</f>
        <v>0</v>
      </c>
      <c r="Y118" s="69" t="n">
        <f aca="false">Y114-Y117</f>
        <v>0</v>
      </c>
      <c r="Z118" s="69" t="n">
        <f aca="false">Z114-Z117</f>
        <v>0</v>
      </c>
      <c r="AA118" s="69" t="n">
        <f aca="false">AA114-AA117</f>
        <v>0</v>
      </c>
      <c r="AB118" s="69" t="n">
        <f aca="false">AB114-AB117</f>
        <v>0</v>
      </c>
      <c r="AC118" s="69" t="n">
        <f aca="false">AC114-AC117</f>
        <v>0</v>
      </c>
      <c r="AD118" s="69" t="n">
        <f aca="false">AD114-AD117</f>
        <v>0</v>
      </c>
      <c r="AE118" s="69" t="n">
        <f aca="false">AE114-AE117</f>
        <v>0</v>
      </c>
      <c r="AF118" s="69" t="n">
        <f aca="false">AF114-AF117</f>
        <v>0</v>
      </c>
      <c r="AG118" s="69" t="n">
        <f aca="false">AG114-AG117</f>
        <v>0</v>
      </c>
      <c r="AH118" s="69" t="n">
        <f aca="false">AH114-AH117</f>
        <v>0</v>
      </c>
      <c r="AI118" s="69" t="n">
        <f aca="false">AI114-AI117</f>
        <v>0</v>
      </c>
      <c r="AJ118" s="69" t="n">
        <f aca="false">AJ114-AJ117</f>
        <v>0</v>
      </c>
      <c r="AK118" s="69" t="n">
        <f aca="false">AK114-AK117</f>
        <v>0</v>
      </c>
      <c r="AL118" s="69" t="n">
        <f aca="false">AL114-AL117</f>
        <v>0</v>
      </c>
      <c r="AM118" s="69" t="n">
        <f aca="false">AM114-AM117</f>
        <v>0</v>
      </c>
      <c r="AN118" s="69" t="n">
        <f aca="false">AN114-AN117</f>
        <v>0</v>
      </c>
      <c r="AO118" s="69" t="n">
        <f aca="false">AO114-AO117</f>
        <v>0</v>
      </c>
      <c r="AP118" s="69" t="n">
        <f aca="false">AP114-AP117</f>
        <v>0</v>
      </c>
      <c r="AQ118" s="69" t="n">
        <f aca="false">AQ114-AQ117</f>
        <v>0</v>
      </c>
      <c r="AR118" s="69" t="n">
        <f aca="false">AR114-AR117</f>
        <v>0</v>
      </c>
      <c r="AS118" s="69" t="n">
        <f aca="false">AS114-AS117</f>
        <v>0</v>
      </c>
      <c r="AT118" s="69" t="n">
        <f aca="false">AT114-AT117</f>
        <v>0</v>
      </c>
      <c r="AU118" s="69" t="n">
        <f aca="false">AU114-AU117</f>
        <v>0</v>
      </c>
      <c r="AV118" s="69" t="n">
        <f aca="false">AV114-AV117</f>
        <v>0</v>
      </c>
      <c r="AW118" s="69" t="n">
        <f aca="false">AW114-AW117</f>
        <v>0</v>
      </c>
      <c r="AX118" s="69" t="n">
        <f aca="false">AX114-AX117</f>
        <v>0</v>
      </c>
      <c r="AY118" s="69" t="n">
        <f aca="false">AY114-AY117</f>
        <v>0</v>
      </c>
      <c r="AZ118" s="69" t="n">
        <f aca="false">AZ114-AZ117</f>
        <v>0</v>
      </c>
      <c r="BA118" s="69" t="n">
        <f aca="false">BA114-BA117</f>
        <v>0</v>
      </c>
      <c r="BB118" s="69" t="n">
        <f aca="false">BB114-BB117</f>
        <v>0</v>
      </c>
      <c r="BC118" s="69" t="n">
        <f aca="false">BC114-BC117</f>
        <v>0</v>
      </c>
      <c r="BD118" s="69" t="n">
        <f aca="false">BD114-BD117</f>
        <v>0</v>
      </c>
      <c r="BE118" s="69" t="n">
        <f aca="false">BE114-BE117</f>
        <v>0</v>
      </c>
      <c r="BF118" s="69" t="n">
        <f aca="false">BF114-BF117</f>
        <v>0</v>
      </c>
      <c r="BG118" s="69" t="n">
        <f aca="false">BG114-BG117</f>
        <v>0</v>
      </c>
      <c r="BH118" s="69" t="n">
        <f aca="false">BH114-BH117</f>
        <v>0</v>
      </c>
      <c r="BI118" s="69" t="n">
        <f aca="false">BI114-BI117</f>
        <v>0</v>
      </c>
      <c r="BJ118" s="69" t="n">
        <f aca="false">BJ114-BJ117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472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354</v>
      </c>
    </row>
    <row r="3" customFormat="false" ht="15" hidden="false" customHeight="false" outlineLevel="0" collapsed="false">
      <c r="A3" s="33" t="s">
        <v>355</v>
      </c>
      <c r="C3" s="52" t="s">
        <v>356</v>
      </c>
      <c r="D3" s="52" t="s">
        <v>357</v>
      </c>
      <c r="E3" s="52" t="s">
        <v>358</v>
      </c>
      <c r="F3" s="52" t="s">
        <v>359</v>
      </c>
      <c r="G3" s="52" t="s">
        <v>360</v>
      </c>
      <c r="H3" s="52" t="s">
        <v>361</v>
      </c>
      <c r="I3" s="52" t="s">
        <v>362</v>
      </c>
      <c r="J3" s="52" t="s">
        <v>363</v>
      </c>
      <c r="K3" s="52" t="s">
        <v>364</v>
      </c>
      <c r="L3" s="52" t="s">
        <v>365</v>
      </c>
      <c r="M3" s="52" t="s">
        <v>366</v>
      </c>
      <c r="N3" s="52" t="s">
        <v>367</v>
      </c>
      <c r="O3" s="52" t="s">
        <v>368</v>
      </c>
      <c r="P3" s="52" t="s">
        <v>369</v>
      </c>
      <c r="Q3" s="52" t="s">
        <v>370</v>
      </c>
      <c r="R3" s="52" t="s">
        <v>371</v>
      </c>
      <c r="S3" s="52" t="s">
        <v>372</v>
      </c>
      <c r="T3" s="52" t="s">
        <v>373</v>
      </c>
      <c r="U3" s="52" t="s">
        <v>374</v>
      </c>
      <c r="V3" s="52" t="s">
        <v>375</v>
      </c>
      <c r="W3" s="52" t="s">
        <v>376</v>
      </c>
      <c r="X3" s="52" t="s">
        <v>377</v>
      </c>
      <c r="Y3" s="52" t="s">
        <v>378</v>
      </c>
      <c r="Z3" s="52" t="s">
        <v>379</v>
      </c>
      <c r="AA3" s="52" t="s">
        <v>380</v>
      </c>
      <c r="AB3" s="52" t="s">
        <v>381</v>
      </c>
      <c r="AC3" s="52" t="s">
        <v>382</v>
      </c>
      <c r="AD3" s="52" t="s">
        <v>383</v>
      </c>
      <c r="AE3" s="52" t="s">
        <v>384</v>
      </c>
      <c r="AF3" s="52" t="s">
        <v>385</v>
      </c>
      <c r="AG3" s="52" t="s">
        <v>386</v>
      </c>
      <c r="AH3" s="52" t="s">
        <v>387</v>
      </c>
      <c r="AI3" s="52" t="s">
        <v>388</v>
      </c>
      <c r="AJ3" s="52" t="s">
        <v>389</v>
      </c>
      <c r="AK3" s="52" t="s">
        <v>390</v>
      </c>
      <c r="AL3" s="52" t="s">
        <v>391</v>
      </c>
      <c r="AM3" s="52" t="s">
        <v>392</v>
      </c>
      <c r="AN3" s="52" t="s">
        <v>393</v>
      </c>
      <c r="AO3" s="52" t="s">
        <v>394</v>
      </c>
      <c r="AP3" s="52" t="s">
        <v>395</v>
      </c>
      <c r="AQ3" s="52" t="s">
        <v>396</v>
      </c>
      <c r="AR3" s="52" t="s">
        <v>397</v>
      </c>
      <c r="AS3" s="52" t="s">
        <v>398</v>
      </c>
      <c r="AT3" s="52" t="s">
        <v>399</v>
      </c>
      <c r="AU3" s="52" t="s">
        <v>400</v>
      </c>
      <c r="AV3" s="52" t="s">
        <v>401</v>
      </c>
      <c r="AW3" s="52" t="s">
        <v>402</v>
      </c>
      <c r="AX3" s="52" t="s">
        <v>403</v>
      </c>
      <c r="AY3" s="52" t="s">
        <v>404</v>
      </c>
      <c r="AZ3" s="52" t="s">
        <v>405</v>
      </c>
      <c r="BA3" s="52" t="s">
        <v>406</v>
      </c>
      <c r="BB3" s="52" t="s">
        <v>407</v>
      </c>
      <c r="BC3" s="52" t="s">
        <v>408</v>
      </c>
      <c r="BD3" s="52" t="s">
        <v>409</v>
      </c>
      <c r="BE3" s="52" t="s">
        <v>410</v>
      </c>
      <c r="BF3" s="52" t="s">
        <v>411</v>
      </c>
      <c r="BG3" s="52" t="s">
        <v>412</v>
      </c>
      <c r="BH3" s="52" t="s">
        <v>413</v>
      </c>
      <c r="BI3" s="52" t="s">
        <v>414</v>
      </c>
      <c r="BJ3" s="52" t="s">
        <v>415</v>
      </c>
    </row>
    <row r="4" customFormat="false" ht="15" hidden="false" customHeight="false" outlineLevel="0" collapsed="false">
      <c r="A4" s="74" t="s">
        <v>416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155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473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474</v>
      </c>
      <c r="C8" s="117" t="n">
        <f aca="false">Inputs!$E$57*(1+Inputs!$E$59)^(C$5-1)*MAX(0,MIN(1,C$4*1-Inputs!$E$60+1))/1</f>
        <v>1</v>
      </c>
      <c r="D8" s="117" t="n">
        <f aca="false">Inputs!$E$57*(1+Inputs!$E$59)^(D$5-1)*MAX(0,MIN(1,D$4*1-Inputs!$E$60+1))/1</f>
        <v>1</v>
      </c>
      <c r="E8" s="117" t="n">
        <f aca="false">Inputs!$E$57*(1+Inputs!$E$59)^(E$5-1)*MAX(0,MIN(1,E$4*1-Inputs!$E$60+1))/1</f>
        <v>1</v>
      </c>
      <c r="F8" s="117" t="n">
        <f aca="false">Inputs!$E$57*(1+Inputs!$E$59)^(F$5-1)*MAX(0,MIN(1,F$4*1-Inputs!$E$60+1))/1</f>
        <v>1</v>
      </c>
      <c r="G8" s="117" t="n">
        <f aca="false">Inputs!$E$57*(1+Inputs!$E$59)^(G$5-1)*MAX(0,MIN(1,G$4*1-Inputs!$E$60+1))/1</f>
        <v>1</v>
      </c>
      <c r="H8" s="117" t="n">
        <f aca="false">Inputs!$E$57*(1+Inputs!$E$59)^(H$5-1)*MAX(0,MIN(1,H$4*1-Inputs!$E$60+1))/1</f>
        <v>1</v>
      </c>
      <c r="I8" s="117" t="n">
        <f aca="false">Inputs!$E$57*(1+Inputs!$E$59)^(I$5-1)*MAX(0,MIN(1,I$4*1-Inputs!$E$60+1))/1</f>
        <v>1</v>
      </c>
      <c r="J8" s="117" t="n">
        <f aca="false">Inputs!$E$57*(1+Inputs!$E$59)^(J$5-1)*MAX(0,MIN(1,J$4*1-Inputs!$E$60+1))/1</f>
        <v>1</v>
      </c>
      <c r="K8" s="117" t="n">
        <f aca="false">Inputs!$E$57*(1+Inputs!$E$59)^(K$5-1)*MAX(0,MIN(1,K$4*1-Inputs!$E$60+1))/1</f>
        <v>1</v>
      </c>
      <c r="L8" s="117" t="n">
        <f aca="false">Inputs!$E$57*(1+Inputs!$E$59)^(L$5-1)*MAX(0,MIN(1,L$4*1-Inputs!$E$60+1))/1</f>
        <v>1</v>
      </c>
      <c r="M8" s="117" t="n">
        <f aca="false">Inputs!$E$57*(1+Inputs!$E$59)^(M$5-1)*MAX(0,MIN(1,M$4*1-Inputs!$E$60+1))/1</f>
        <v>1</v>
      </c>
      <c r="N8" s="117" t="n">
        <f aca="false">Inputs!$E$57*(1+Inputs!$E$59)^(N$5-1)*MAX(0,MIN(1,N$4*1-Inputs!$E$60+1))/1</f>
        <v>1</v>
      </c>
      <c r="O8" s="117" t="n">
        <f aca="false">Inputs!$E$57*(1+Inputs!$E$59)^(O$5-1)*MAX(0,MIN(1,O$4*1-Inputs!$E$60+1))/1</f>
        <v>1</v>
      </c>
      <c r="P8" s="117" t="n">
        <f aca="false">Inputs!$E$57*(1+Inputs!$E$59)^(P$5-1)*MAX(0,MIN(1,P$4*1-Inputs!$E$60+1))/1</f>
        <v>1</v>
      </c>
      <c r="Q8" s="117" t="n">
        <f aca="false">Inputs!$E$57*(1+Inputs!$E$59)^(Q$5-1)*MAX(0,MIN(1,Q$4*1-Inputs!$E$60+1))/1</f>
        <v>1</v>
      </c>
      <c r="R8" s="117" t="n">
        <f aca="false">Inputs!$E$57*(1+Inputs!$E$59)^(R$5-1)*MAX(0,MIN(1,R$4*1-Inputs!$E$60+1))/1</f>
        <v>1</v>
      </c>
      <c r="S8" s="117" t="n">
        <f aca="false">Inputs!$E$57*(1+Inputs!$E$59)^(S$5-1)*MAX(0,MIN(1,S$4*1-Inputs!$E$60+1))/1</f>
        <v>1</v>
      </c>
      <c r="T8" s="117" t="n">
        <f aca="false">Inputs!$E$57*(1+Inputs!$E$59)^(T$5-1)*MAX(0,MIN(1,T$4*1-Inputs!$E$60+1))/1</f>
        <v>1</v>
      </c>
      <c r="U8" s="117" t="n">
        <f aca="false">Inputs!$E$57*(1+Inputs!$E$59)^(U$5-1)*MAX(0,MIN(1,U$4*1-Inputs!$E$60+1))/1</f>
        <v>1</v>
      </c>
      <c r="V8" s="117" t="n">
        <f aca="false">Inputs!$E$57*(1+Inputs!$E$59)^(V$5-1)*MAX(0,MIN(1,V$4*1-Inputs!$E$60+1))/1</f>
        <v>1</v>
      </c>
      <c r="W8" s="117" t="n">
        <f aca="false">Inputs!$E$57*(1+Inputs!$E$59)^(W$5-1)*MAX(0,MIN(1,W$4*1-Inputs!$E$60+1))/1</f>
        <v>1</v>
      </c>
      <c r="X8" s="117" t="n">
        <f aca="false">Inputs!$E$57*(1+Inputs!$E$59)^(X$5-1)*MAX(0,MIN(1,X$4*1-Inputs!$E$60+1))/1</f>
        <v>1</v>
      </c>
      <c r="Y8" s="117" t="n">
        <f aca="false">Inputs!$E$57*(1+Inputs!$E$59)^(Y$5-1)*MAX(0,MIN(1,Y$4*1-Inputs!$E$60+1))/1</f>
        <v>1</v>
      </c>
      <c r="Z8" s="117" t="n">
        <f aca="false">Inputs!$E$57*(1+Inputs!$E$59)^(Z$5-1)*MAX(0,MIN(1,Z$4*1-Inputs!$E$60+1))/1</f>
        <v>1</v>
      </c>
      <c r="AA8" s="117" t="n">
        <f aca="false">Inputs!$E$57*(1+Inputs!$E$59)^(AA$5-1)*MAX(0,MIN(1,AA$4*1-Inputs!$E$60+1))/1</f>
        <v>1</v>
      </c>
      <c r="AB8" s="117" t="n">
        <f aca="false">Inputs!$E$57*(1+Inputs!$E$59)^(AB$5-1)*MAX(0,MIN(1,AB$4*1-Inputs!$E$60+1))/1</f>
        <v>1</v>
      </c>
      <c r="AC8" s="117" t="n">
        <f aca="false">Inputs!$E$57*(1+Inputs!$E$59)^(AC$5-1)*MAX(0,MIN(1,AC$4*1-Inputs!$E$60+1))/1</f>
        <v>1</v>
      </c>
      <c r="AD8" s="117" t="n">
        <f aca="false">Inputs!$E$57*(1+Inputs!$E$59)^(AD$5-1)*MAX(0,MIN(1,AD$4*1-Inputs!$E$60+1))/1</f>
        <v>1</v>
      </c>
      <c r="AE8" s="117" t="n">
        <f aca="false">Inputs!$E$57*(1+Inputs!$E$59)^(AE$5-1)*MAX(0,MIN(1,AE$4*1-Inputs!$E$60+1))/1</f>
        <v>1</v>
      </c>
      <c r="AF8" s="117" t="n">
        <f aca="false">Inputs!$E$57*(1+Inputs!$E$59)^(AF$5-1)*MAX(0,MIN(1,AF$4*1-Inputs!$E$60+1))/1</f>
        <v>1</v>
      </c>
      <c r="AG8" s="117" t="n">
        <f aca="false">Inputs!$E$57*(1+Inputs!$E$59)^(AG$5-1)*MAX(0,MIN(1,AG$4*1-Inputs!$E$60+1))/1</f>
        <v>1</v>
      </c>
      <c r="AH8" s="117" t="n">
        <f aca="false">Inputs!$E$57*(1+Inputs!$E$59)^(AH$5-1)*MAX(0,MIN(1,AH$4*1-Inputs!$E$60+1))/1</f>
        <v>1</v>
      </c>
      <c r="AI8" s="117" t="n">
        <f aca="false">Inputs!$E$57*(1+Inputs!$E$59)^(AI$5-1)*MAX(0,MIN(1,AI$4*1-Inputs!$E$60+1))/1</f>
        <v>1</v>
      </c>
      <c r="AJ8" s="117" t="n">
        <f aca="false">Inputs!$E$57*(1+Inputs!$E$59)^(AJ$5-1)*MAX(0,MIN(1,AJ$4*1-Inputs!$E$60+1))/1</f>
        <v>1</v>
      </c>
      <c r="AK8" s="117" t="n">
        <f aca="false">Inputs!$E$57*(1+Inputs!$E$59)^(AK$5-1)*MAX(0,MIN(1,AK$4*1-Inputs!$E$60+1))/1</f>
        <v>1</v>
      </c>
      <c r="AL8" s="117" t="n">
        <f aca="false">Inputs!$E$57*(1+Inputs!$E$59)^(AL$5-1)*MAX(0,MIN(1,AL$4*1-Inputs!$E$60+1))/1</f>
        <v>1</v>
      </c>
      <c r="AM8" s="117" t="n">
        <f aca="false">Inputs!$E$57*(1+Inputs!$E$59)^(AM$5-1)*MAX(0,MIN(1,AM$4*1-Inputs!$E$60+1))/1</f>
        <v>1</v>
      </c>
      <c r="AN8" s="117" t="n">
        <f aca="false">Inputs!$E$57*(1+Inputs!$E$59)^(AN$5-1)*MAX(0,MIN(1,AN$4*1-Inputs!$E$60+1))/1</f>
        <v>1</v>
      </c>
      <c r="AO8" s="117" t="n">
        <f aca="false">Inputs!$E$57*(1+Inputs!$E$59)^(AO$5-1)*MAX(0,MIN(1,AO$4*1-Inputs!$E$60+1))/1</f>
        <v>1</v>
      </c>
      <c r="AP8" s="117" t="n">
        <f aca="false">Inputs!$E$57*(1+Inputs!$E$59)^(AP$5-1)*MAX(0,MIN(1,AP$4*1-Inputs!$E$60+1))/1</f>
        <v>1</v>
      </c>
      <c r="AQ8" s="117" t="n">
        <f aca="false">Inputs!$E$57*(1+Inputs!$E$59)^(AQ$5-1)*MAX(0,MIN(1,AQ$4*1-Inputs!$E$60+1))/1</f>
        <v>1</v>
      </c>
      <c r="AR8" s="117" t="n">
        <f aca="false">Inputs!$E$57*(1+Inputs!$E$59)^(AR$5-1)*MAX(0,MIN(1,AR$4*1-Inputs!$E$60+1))/1</f>
        <v>1</v>
      </c>
      <c r="AS8" s="117" t="n">
        <f aca="false">Inputs!$E$57*(1+Inputs!$E$59)^(AS$5-1)*MAX(0,MIN(1,AS$4*1-Inputs!$E$60+1))/1</f>
        <v>1</v>
      </c>
      <c r="AT8" s="117" t="n">
        <f aca="false">Inputs!$E$57*(1+Inputs!$E$59)^(AT$5-1)*MAX(0,MIN(1,AT$4*1-Inputs!$E$60+1))/1</f>
        <v>1</v>
      </c>
      <c r="AU8" s="117" t="n">
        <f aca="false">Inputs!$E$57*(1+Inputs!$E$59)^(AU$5-1)*MAX(0,MIN(1,AU$4*1-Inputs!$E$60+1))/1</f>
        <v>1</v>
      </c>
      <c r="AV8" s="117" t="n">
        <f aca="false">Inputs!$E$57*(1+Inputs!$E$59)^(AV$5-1)*MAX(0,MIN(1,AV$4*1-Inputs!$E$60+1))/1</f>
        <v>1</v>
      </c>
      <c r="AW8" s="117" t="n">
        <f aca="false">Inputs!$E$57*(1+Inputs!$E$59)^(AW$5-1)*MAX(0,MIN(1,AW$4*1-Inputs!$E$60+1))/1</f>
        <v>1</v>
      </c>
      <c r="AX8" s="117" t="n">
        <f aca="false">Inputs!$E$57*(1+Inputs!$E$59)^(AX$5-1)*MAX(0,MIN(1,AX$4*1-Inputs!$E$60+1))/1</f>
        <v>1</v>
      </c>
      <c r="AY8" s="117" t="n">
        <f aca="false">Inputs!$E$57*(1+Inputs!$E$59)^(AY$5-1)*MAX(0,MIN(1,AY$4*1-Inputs!$E$60+1))/1</f>
        <v>1</v>
      </c>
      <c r="AZ8" s="117" t="n">
        <f aca="false">Inputs!$E$57*(1+Inputs!$E$59)^(AZ$5-1)*MAX(0,MIN(1,AZ$4*1-Inputs!$E$60+1))/1</f>
        <v>1</v>
      </c>
      <c r="BA8" s="117" t="n">
        <f aca="false">Inputs!$E$57*(1+Inputs!$E$59)^(BA$5-1)*MAX(0,MIN(1,BA$4*1-Inputs!$E$60+1))/1</f>
        <v>1</v>
      </c>
      <c r="BB8" s="117" t="n">
        <f aca="false">Inputs!$E$57*(1+Inputs!$E$59)^(BB$5-1)*MAX(0,MIN(1,BB$4*1-Inputs!$E$60+1))/1</f>
        <v>1</v>
      </c>
      <c r="BC8" s="117" t="n">
        <f aca="false">Inputs!$E$57*(1+Inputs!$E$59)^(BC$5-1)*MAX(0,MIN(1,BC$4*1-Inputs!$E$60+1))/1</f>
        <v>1</v>
      </c>
      <c r="BD8" s="117" t="n">
        <f aca="false">Inputs!$E$57*(1+Inputs!$E$59)^(BD$5-1)*MAX(0,MIN(1,BD$4*1-Inputs!$E$60+1))/1</f>
        <v>1</v>
      </c>
      <c r="BE8" s="117" t="n">
        <f aca="false">Inputs!$E$57*(1+Inputs!$E$59)^(BE$5-1)*MAX(0,MIN(1,BE$4*1-Inputs!$E$60+1))/1</f>
        <v>1</v>
      </c>
      <c r="BF8" s="117" t="n">
        <f aca="false">Inputs!$E$57*(1+Inputs!$E$59)^(BF$5-1)*MAX(0,MIN(1,BF$4*1-Inputs!$E$60+1))/1</f>
        <v>1</v>
      </c>
      <c r="BG8" s="117" t="n">
        <f aca="false">Inputs!$E$57*(1+Inputs!$E$59)^(BG$5-1)*MAX(0,MIN(1,BG$4*1-Inputs!$E$60+1))/1</f>
        <v>1</v>
      </c>
      <c r="BH8" s="117" t="n">
        <f aca="false">Inputs!$E$57*(1+Inputs!$E$59)^(BH$5-1)*MAX(0,MIN(1,BH$4*1-Inputs!$E$60+1))/1</f>
        <v>1</v>
      </c>
      <c r="BI8" s="117" t="n">
        <f aca="false">Inputs!$E$57*(1+Inputs!$E$59)^(BI$5-1)*MAX(0,MIN(1,BI$4*1-Inputs!$E$60+1))/1</f>
        <v>1</v>
      </c>
      <c r="BJ8" s="117" t="n">
        <f aca="false">Inputs!$E$57*(1+Inputs!$E$59)^(BJ$5-1)*MAX(0,MIN(1,BJ$4*1-Inputs!$E$60+1))/1</f>
        <v>1</v>
      </c>
    </row>
    <row r="9" customFormat="false" ht="15" hidden="false" customHeight="false" outlineLevel="0" collapsed="false">
      <c r="A9" s="6" t="s">
        <v>475</v>
      </c>
      <c r="C9" s="117" t="n">
        <f aca="false">Inputs!$E$61*(1+Inputs!$E$63)^(C$5-1)*MAX(0,MIN(1,C$4*1-Inputs!$E$64+1))/1</f>
        <v>10</v>
      </c>
      <c r="D9" s="117" t="n">
        <f aca="false">Inputs!$E$61*(1+Inputs!$E$63)^(D$5-1)*MAX(0,MIN(1,D$4*1-Inputs!$E$64+1))/1</f>
        <v>10</v>
      </c>
      <c r="E9" s="117" t="n">
        <f aca="false">Inputs!$E$61*(1+Inputs!$E$63)^(E$5-1)*MAX(0,MIN(1,E$4*1-Inputs!$E$64+1))/1</f>
        <v>10</v>
      </c>
      <c r="F9" s="117" t="n">
        <f aca="false">Inputs!$E$61*(1+Inputs!$E$63)^(F$5-1)*MAX(0,MIN(1,F$4*1-Inputs!$E$64+1))/1</f>
        <v>10</v>
      </c>
      <c r="G9" s="117" t="n">
        <f aca="false">Inputs!$E$61*(1+Inputs!$E$63)^(G$5-1)*MAX(0,MIN(1,G$4*1-Inputs!$E$64+1))/1</f>
        <v>10</v>
      </c>
      <c r="H9" s="117" t="n">
        <f aca="false">Inputs!$E$61*(1+Inputs!$E$63)^(H$5-1)*MAX(0,MIN(1,H$4*1-Inputs!$E$64+1))/1</f>
        <v>10</v>
      </c>
      <c r="I9" s="117" t="n">
        <f aca="false">Inputs!$E$61*(1+Inputs!$E$63)^(I$5-1)*MAX(0,MIN(1,I$4*1-Inputs!$E$64+1))/1</f>
        <v>10</v>
      </c>
      <c r="J9" s="117" t="n">
        <f aca="false">Inputs!$E$61*(1+Inputs!$E$63)^(J$5-1)*MAX(0,MIN(1,J$4*1-Inputs!$E$64+1))/1</f>
        <v>10</v>
      </c>
      <c r="K9" s="117" t="n">
        <f aca="false">Inputs!$E$61*(1+Inputs!$E$63)^(K$5-1)*MAX(0,MIN(1,K$4*1-Inputs!$E$64+1))/1</f>
        <v>10</v>
      </c>
      <c r="L9" s="117" t="n">
        <f aca="false">Inputs!$E$61*(1+Inputs!$E$63)^(L$5-1)*MAX(0,MIN(1,L$4*1-Inputs!$E$64+1))/1</f>
        <v>10</v>
      </c>
      <c r="M9" s="117" t="n">
        <f aca="false">Inputs!$E$61*(1+Inputs!$E$63)^(M$5-1)*MAX(0,MIN(1,M$4*1-Inputs!$E$64+1))/1</f>
        <v>10</v>
      </c>
      <c r="N9" s="117" t="n">
        <f aca="false">Inputs!$E$61*(1+Inputs!$E$63)^(N$5-1)*MAX(0,MIN(1,N$4*1-Inputs!$E$64+1))/1</f>
        <v>10</v>
      </c>
      <c r="O9" s="117" t="n">
        <f aca="false">Inputs!$E$61*(1+Inputs!$E$63)^(O$5-1)*MAX(0,MIN(1,O$4*1-Inputs!$E$64+1))/1</f>
        <v>10</v>
      </c>
      <c r="P9" s="117" t="n">
        <f aca="false">Inputs!$E$61*(1+Inputs!$E$63)^(P$5-1)*MAX(0,MIN(1,P$4*1-Inputs!$E$64+1))/1</f>
        <v>10</v>
      </c>
      <c r="Q9" s="117" t="n">
        <f aca="false">Inputs!$E$61*(1+Inputs!$E$63)^(Q$5-1)*MAX(0,MIN(1,Q$4*1-Inputs!$E$64+1))/1</f>
        <v>10</v>
      </c>
      <c r="R9" s="117" t="n">
        <f aca="false">Inputs!$E$61*(1+Inputs!$E$63)^(R$5-1)*MAX(0,MIN(1,R$4*1-Inputs!$E$64+1))/1</f>
        <v>10</v>
      </c>
      <c r="S9" s="117" t="n">
        <f aca="false">Inputs!$E$61*(1+Inputs!$E$63)^(S$5-1)*MAX(0,MIN(1,S$4*1-Inputs!$E$64+1))/1</f>
        <v>10</v>
      </c>
      <c r="T9" s="117" t="n">
        <f aca="false">Inputs!$E$61*(1+Inputs!$E$63)^(T$5-1)*MAX(0,MIN(1,T$4*1-Inputs!$E$64+1))/1</f>
        <v>10</v>
      </c>
      <c r="U9" s="117" t="n">
        <f aca="false">Inputs!$E$61*(1+Inputs!$E$63)^(U$5-1)*MAX(0,MIN(1,U$4*1-Inputs!$E$64+1))/1</f>
        <v>10</v>
      </c>
      <c r="V9" s="117" t="n">
        <f aca="false">Inputs!$E$61*(1+Inputs!$E$63)^(V$5-1)*MAX(0,MIN(1,V$4*1-Inputs!$E$64+1))/1</f>
        <v>10</v>
      </c>
      <c r="W9" s="117" t="n">
        <f aca="false">Inputs!$E$61*(1+Inputs!$E$63)^(W$5-1)*MAX(0,MIN(1,W$4*1-Inputs!$E$64+1))/1</f>
        <v>10</v>
      </c>
      <c r="X9" s="117" t="n">
        <f aca="false">Inputs!$E$61*(1+Inputs!$E$63)^(X$5-1)*MAX(0,MIN(1,X$4*1-Inputs!$E$64+1))/1</f>
        <v>10</v>
      </c>
      <c r="Y9" s="117" t="n">
        <f aca="false">Inputs!$E$61*(1+Inputs!$E$63)^(Y$5-1)*MAX(0,MIN(1,Y$4*1-Inputs!$E$64+1))/1</f>
        <v>10</v>
      </c>
      <c r="Z9" s="117" t="n">
        <f aca="false">Inputs!$E$61*(1+Inputs!$E$63)^(Z$5-1)*MAX(0,MIN(1,Z$4*1-Inputs!$E$64+1))/1</f>
        <v>10</v>
      </c>
      <c r="AA9" s="117" t="n">
        <f aca="false">Inputs!$E$61*(1+Inputs!$E$63)^(AA$5-1)*MAX(0,MIN(1,AA$4*1-Inputs!$E$64+1))/1</f>
        <v>10</v>
      </c>
      <c r="AB9" s="117" t="n">
        <f aca="false">Inputs!$E$61*(1+Inputs!$E$63)^(AB$5-1)*MAX(0,MIN(1,AB$4*1-Inputs!$E$64+1))/1</f>
        <v>10</v>
      </c>
      <c r="AC9" s="117" t="n">
        <f aca="false">Inputs!$E$61*(1+Inputs!$E$63)^(AC$5-1)*MAX(0,MIN(1,AC$4*1-Inputs!$E$64+1))/1</f>
        <v>10</v>
      </c>
      <c r="AD9" s="117" t="n">
        <f aca="false">Inputs!$E$61*(1+Inputs!$E$63)^(AD$5-1)*MAX(0,MIN(1,AD$4*1-Inputs!$E$64+1))/1</f>
        <v>10</v>
      </c>
      <c r="AE9" s="117" t="n">
        <f aca="false">Inputs!$E$61*(1+Inputs!$E$63)^(AE$5-1)*MAX(0,MIN(1,AE$4*1-Inputs!$E$64+1))/1</f>
        <v>10</v>
      </c>
      <c r="AF9" s="117" t="n">
        <f aca="false">Inputs!$E$61*(1+Inputs!$E$63)^(AF$5-1)*MAX(0,MIN(1,AF$4*1-Inputs!$E$64+1))/1</f>
        <v>10</v>
      </c>
      <c r="AG9" s="117" t="n">
        <f aca="false">Inputs!$E$61*(1+Inputs!$E$63)^(AG$5-1)*MAX(0,MIN(1,AG$4*1-Inputs!$E$64+1))/1</f>
        <v>10</v>
      </c>
      <c r="AH9" s="117" t="n">
        <f aca="false">Inputs!$E$61*(1+Inputs!$E$63)^(AH$5-1)*MAX(0,MIN(1,AH$4*1-Inputs!$E$64+1))/1</f>
        <v>10</v>
      </c>
      <c r="AI9" s="117" t="n">
        <f aca="false">Inputs!$E$61*(1+Inputs!$E$63)^(AI$5-1)*MAX(0,MIN(1,AI$4*1-Inputs!$E$64+1))/1</f>
        <v>10</v>
      </c>
      <c r="AJ9" s="117" t="n">
        <f aca="false">Inputs!$E$61*(1+Inputs!$E$63)^(AJ$5-1)*MAX(0,MIN(1,AJ$4*1-Inputs!$E$64+1))/1</f>
        <v>10</v>
      </c>
      <c r="AK9" s="117" t="n">
        <f aca="false">Inputs!$E$61*(1+Inputs!$E$63)^(AK$5-1)*MAX(0,MIN(1,AK$4*1-Inputs!$E$64+1))/1</f>
        <v>10</v>
      </c>
      <c r="AL9" s="117" t="n">
        <f aca="false">Inputs!$E$61*(1+Inputs!$E$63)^(AL$5-1)*MAX(0,MIN(1,AL$4*1-Inputs!$E$64+1))/1</f>
        <v>10</v>
      </c>
      <c r="AM9" s="117" t="n">
        <f aca="false">Inputs!$E$61*(1+Inputs!$E$63)^(AM$5-1)*MAX(0,MIN(1,AM$4*1-Inputs!$E$64+1))/1</f>
        <v>10</v>
      </c>
      <c r="AN9" s="117" t="n">
        <f aca="false">Inputs!$E$61*(1+Inputs!$E$63)^(AN$5-1)*MAX(0,MIN(1,AN$4*1-Inputs!$E$64+1))/1</f>
        <v>10</v>
      </c>
      <c r="AO9" s="117" t="n">
        <f aca="false">Inputs!$E$61*(1+Inputs!$E$63)^(AO$5-1)*MAX(0,MIN(1,AO$4*1-Inputs!$E$64+1))/1</f>
        <v>10</v>
      </c>
      <c r="AP9" s="117" t="n">
        <f aca="false">Inputs!$E$61*(1+Inputs!$E$63)^(AP$5-1)*MAX(0,MIN(1,AP$4*1-Inputs!$E$64+1))/1</f>
        <v>10</v>
      </c>
      <c r="AQ9" s="117" t="n">
        <f aca="false">Inputs!$E$61*(1+Inputs!$E$63)^(AQ$5-1)*MAX(0,MIN(1,AQ$4*1-Inputs!$E$64+1))/1</f>
        <v>10</v>
      </c>
      <c r="AR9" s="117" t="n">
        <f aca="false">Inputs!$E$61*(1+Inputs!$E$63)^(AR$5-1)*MAX(0,MIN(1,AR$4*1-Inputs!$E$64+1))/1</f>
        <v>10</v>
      </c>
      <c r="AS9" s="117" t="n">
        <f aca="false">Inputs!$E$61*(1+Inputs!$E$63)^(AS$5-1)*MAX(0,MIN(1,AS$4*1-Inputs!$E$64+1))/1</f>
        <v>10</v>
      </c>
      <c r="AT9" s="117" t="n">
        <f aca="false">Inputs!$E$61*(1+Inputs!$E$63)^(AT$5-1)*MAX(0,MIN(1,AT$4*1-Inputs!$E$64+1))/1</f>
        <v>10</v>
      </c>
      <c r="AU9" s="117" t="n">
        <f aca="false">Inputs!$E$61*(1+Inputs!$E$63)^(AU$5-1)*MAX(0,MIN(1,AU$4*1-Inputs!$E$64+1))/1</f>
        <v>10</v>
      </c>
      <c r="AV9" s="117" t="n">
        <f aca="false">Inputs!$E$61*(1+Inputs!$E$63)^(AV$5-1)*MAX(0,MIN(1,AV$4*1-Inputs!$E$64+1))/1</f>
        <v>10</v>
      </c>
      <c r="AW9" s="117" t="n">
        <f aca="false">Inputs!$E$61*(1+Inputs!$E$63)^(AW$5-1)*MAX(0,MIN(1,AW$4*1-Inputs!$E$64+1))/1</f>
        <v>10</v>
      </c>
      <c r="AX9" s="117" t="n">
        <f aca="false">Inputs!$E$61*(1+Inputs!$E$63)^(AX$5-1)*MAX(0,MIN(1,AX$4*1-Inputs!$E$64+1))/1</f>
        <v>10</v>
      </c>
      <c r="AY9" s="117" t="n">
        <f aca="false">Inputs!$E$61*(1+Inputs!$E$63)^(AY$5-1)*MAX(0,MIN(1,AY$4*1-Inputs!$E$64+1))/1</f>
        <v>10</v>
      </c>
      <c r="AZ9" s="117" t="n">
        <f aca="false">Inputs!$E$61*(1+Inputs!$E$63)^(AZ$5-1)*MAX(0,MIN(1,AZ$4*1-Inputs!$E$64+1))/1</f>
        <v>10</v>
      </c>
      <c r="BA9" s="117" t="n">
        <f aca="false">Inputs!$E$61*(1+Inputs!$E$63)^(BA$5-1)*MAX(0,MIN(1,BA$4*1-Inputs!$E$64+1))/1</f>
        <v>10</v>
      </c>
      <c r="BB9" s="117" t="n">
        <f aca="false">Inputs!$E$61*(1+Inputs!$E$63)^(BB$5-1)*MAX(0,MIN(1,BB$4*1-Inputs!$E$64+1))/1</f>
        <v>10</v>
      </c>
      <c r="BC9" s="117" t="n">
        <f aca="false">Inputs!$E$61*(1+Inputs!$E$63)^(BC$5-1)*MAX(0,MIN(1,BC$4*1-Inputs!$E$64+1))/1</f>
        <v>10</v>
      </c>
      <c r="BD9" s="117" t="n">
        <f aca="false">Inputs!$E$61*(1+Inputs!$E$63)^(BD$5-1)*MAX(0,MIN(1,BD$4*1-Inputs!$E$64+1))/1</f>
        <v>10</v>
      </c>
      <c r="BE9" s="117" t="n">
        <f aca="false">Inputs!$E$61*(1+Inputs!$E$63)^(BE$5-1)*MAX(0,MIN(1,BE$4*1-Inputs!$E$64+1))/1</f>
        <v>10</v>
      </c>
      <c r="BF9" s="117" t="n">
        <f aca="false">Inputs!$E$61*(1+Inputs!$E$63)^(BF$5-1)*MAX(0,MIN(1,BF$4*1-Inputs!$E$64+1))/1</f>
        <v>10</v>
      </c>
      <c r="BG9" s="117" t="n">
        <f aca="false">Inputs!$E$61*(1+Inputs!$E$63)^(BG$5-1)*MAX(0,MIN(1,BG$4*1-Inputs!$E$64+1))/1</f>
        <v>10</v>
      </c>
      <c r="BH9" s="117" t="n">
        <f aca="false">Inputs!$E$61*(1+Inputs!$E$63)^(BH$5-1)*MAX(0,MIN(1,BH$4*1-Inputs!$E$64+1))/1</f>
        <v>10</v>
      </c>
      <c r="BI9" s="117" t="n">
        <f aca="false">Inputs!$E$61*(1+Inputs!$E$63)^(BI$5-1)*MAX(0,MIN(1,BI$4*1-Inputs!$E$64+1))/1</f>
        <v>10</v>
      </c>
      <c r="BJ9" s="117" t="n">
        <f aca="false">Inputs!$E$61*(1+Inputs!$E$63)^(BJ$5-1)*MAX(0,MIN(1,BJ$4*1-Inputs!$E$64+1))/1</f>
        <v>10</v>
      </c>
    </row>
    <row r="10" customFormat="false" ht="15" hidden="false" customHeight="false" outlineLevel="0" collapsed="false">
      <c r="A10" s="113" t="s">
        <v>476</v>
      </c>
      <c r="C10" s="123" t="n">
        <f aca="false">C8+C9</f>
        <v>11</v>
      </c>
      <c r="D10" s="123" t="n">
        <f aca="false">D8+D9</f>
        <v>11</v>
      </c>
      <c r="E10" s="123" t="n">
        <f aca="false">E8+E9</f>
        <v>11</v>
      </c>
      <c r="F10" s="123" t="n">
        <f aca="false">F8+F9</f>
        <v>11</v>
      </c>
      <c r="G10" s="123" t="n">
        <f aca="false">G8+G9</f>
        <v>11</v>
      </c>
      <c r="H10" s="123" t="n">
        <f aca="false">H8+H9</f>
        <v>11</v>
      </c>
      <c r="I10" s="123" t="n">
        <f aca="false">I8+I9</f>
        <v>11</v>
      </c>
      <c r="J10" s="123" t="n">
        <f aca="false">J8+J9</f>
        <v>11</v>
      </c>
      <c r="K10" s="123" t="n">
        <f aca="false">K8+K9</f>
        <v>11</v>
      </c>
      <c r="L10" s="123" t="n">
        <f aca="false">L8+L9</f>
        <v>11</v>
      </c>
      <c r="M10" s="123" t="n">
        <f aca="false">M8+M9</f>
        <v>11</v>
      </c>
      <c r="N10" s="123" t="n">
        <f aca="false">N8+N9</f>
        <v>11</v>
      </c>
      <c r="O10" s="123" t="n">
        <f aca="false">O8+O9</f>
        <v>11</v>
      </c>
      <c r="P10" s="123" t="n">
        <f aca="false">P8+P9</f>
        <v>11</v>
      </c>
      <c r="Q10" s="123" t="n">
        <f aca="false">Q8+Q9</f>
        <v>11</v>
      </c>
      <c r="R10" s="123" t="n">
        <f aca="false">R8+R9</f>
        <v>11</v>
      </c>
      <c r="S10" s="123" t="n">
        <f aca="false">S8+S9</f>
        <v>11</v>
      </c>
      <c r="T10" s="123" t="n">
        <f aca="false">T8+T9</f>
        <v>11</v>
      </c>
      <c r="U10" s="123" t="n">
        <f aca="false">U8+U9</f>
        <v>11</v>
      </c>
      <c r="V10" s="123" t="n">
        <f aca="false">V8+V9</f>
        <v>11</v>
      </c>
      <c r="W10" s="123" t="n">
        <f aca="false">W8+W9</f>
        <v>11</v>
      </c>
      <c r="X10" s="123" t="n">
        <f aca="false">X8+X9</f>
        <v>11</v>
      </c>
      <c r="Y10" s="123" t="n">
        <f aca="false">Y8+Y9</f>
        <v>11</v>
      </c>
      <c r="Z10" s="123" t="n">
        <f aca="false">Z8+Z9</f>
        <v>11</v>
      </c>
      <c r="AA10" s="123" t="n">
        <f aca="false">AA8+AA9</f>
        <v>11</v>
      </c>
      <c r="AB10" s="123" t="n">
        <f aca="false">AB8+AB9</f>
        <v>11</v>
      </c>
      <c r="AC10" s="123" t="n">
        <f aca="false">AC8+AC9</f>
        <v>11</v>
      </c>
      <c r="AD10" s="123" t="n">
        <f aca="false">AD8+AD9</f>
        <v>11</v>
      </c>
      <c r="AE10" s="123" t="n">
        <f aca="false">AE8+AE9</f>
        <v>11</v>
      </c>
      <c r="AF10" s="123" t="n">
        <f aca="false">AF8+AF9</f>
        <v>11</v>
      </c>
      <c r="AG10" s="123" t="n">
        <f aca="false">AG8+AG9</f>
        <v>11</v>
      </c>
      <c r="AH10" s="123" t="n">
        <f aca="false">AH8+AH9</f>
        <v>11</v>
      </c>
      <c r="AI10" s="123" t="n">
        <f aca="false">AI8+AI9</f>
        <v>11</v>
      </c>
      <c r="AJ10" s="123" t="n">
        <f aca="false">AJ8+AJ9</f>
        <v>11</v>
      </c>
      <c r="AK10" s="123" t="n">
        <f aca="false">AK8+AK9</f>
        <v>11</v>
      </c>
      <c r="AL10" s="123" t="n">
        <f aca="false">AL8+AL9</f>
        <v>11</v>
      </c>
      <c r="AM10" s="123" t="n">
        <f aca="false">AM8+AM9</f>
        <v>11</v>
      </c>
      <c r="AN10" s="123" t="n">
        <f aca="false">AN8+AN9</f>
        <v>11</v>
      </c>
      <c r="AO10" s="123" t="n">
        <f aca="false">AO8+AO9</f>
        <v>11</v>
      </c>
      <c r="AP10" s="123" t="n">
        <f aca="false">AP8+AP9</f>
        <v>11</v>
      </c>
      <c r="AQ10" s="123" t="n">
        <f aca="false">AQ8+AQ9</f>
        <v>11</v>
      </c>
      <c r="AR10" s="123" t="n">
        <f aca="false">AR8+AR9</f>
        <v>11</v>
      </c>
      <c r="AS10" s="123" t="n">
        <f aca="false">AS8+AS9</f>
        <v>11</v>
      </c>
      <c r="AT10" s="123" t="n">
        <f aca="false">AT8+AT9</f>
        <v>11</v>
      </c>
      <c r="AU10" s="123" t="n">
        <f aca="false">AU8+AU9</f>
        <v>11</v>
      </c>
      <c r="AV10" s="123" t="n">
        <f aca="false">AV8+AV9</f>
        <v>11</v>
      </c>
      <c r="AW10" s="123" t="n">
        <f aca="false">AW8+AW9</f>
        <v>11</v>
      </c>
      <c r="AX10" s="123" t="n">
        <f aca="false">AX8+AX9</f>
        <v>11</v>
      </c>
      <c r="AY10" s="123" t="n">
        <f aca="false">AY8+AY9</f>
        <v>11</v>
      </c>
      <c r="AZ10" s="123" t="n">
        <f aca="false">AZ8+AZ9</f>
        <v>11</v>
      </c>
      <c r="BA10" s="123" t="n">
        <f aca="false">BA8+BA9</f>
        <v>11</v>
      </c>
      <c r="BB10" s="123" t="n">
        <f aca="false">BB8+BB9</f>
        <v>11</v>
      </c>
      <c r="BC10" s="123" t="n">
        <f aca="false">BC8+BC9</f>
        <v>11</v>
      </c>
      <c r="BD10" s="123" t="n">
        <f aca="false">BD8+BD9</f>
        <v>11</v>
      </c>
      <c r="BE10" s="123" t="n">
        <f aca="false">BE8+BE9</f>
        <v>11</v>
      </c>
      <c r="BF10" s="123" t="n">
        <f aca="false">BF8+BF9</f>
        <v>11</v>
      </c>
      <c r="BG10" s="123" t="n">
        <f aca="false">BG8+BG9</f>
        <v>11</v>
      </c>
      <c r="BH10" s="123" t="n">
        <f aca="false">BH8+BH9</f>
        <v>11</v>
      </c>
      <c r="BI10" s="123" t="n">
        <f aca="false">BI8+BI9</f>
        <v>11</v>
      </c>
      <c r="BJ10" s="123" t="n">
        <f aca="false">BJ8+BJ9</f>
        <v>11</v>
      </c>
    </row>
    <row r="12" customFormat="false" ht="15.75" hidden="false" customHeight="true" outlineLevel="0" collapsed="false">
      <c r="A12" s="7" t="s">
        <v>477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478</v>
      </c>
      <c r="C13" s="69" t="n">
        <f aca="false">-C8*Inputs!$E$58/12*1*(1+Inputs!$E$65)*(1+Inputs!$E$66)^(C$5-1)</f>
        <v>-6720</v>
      </c>
      <c r="D13" s="69" t="n">
        <f aca="false">-D8*Inputs!$E$58/12*1*(1+Inputs!$E$65)*(1+Inputs!$E$66)^(D$5-1)</f>
        <v>-6720</v>
      </c>
      <c r="E13" s="69" t="n">
        <f aca="false">-E8*Inputs!$E$58/12*1*(1+Inputs!$E$65)*(1+Inputs!$E$66)^(E$5-1)</f>
        <v>-6720</v>
      </c>
      <c r="F13" s="69" t="n">
        <f aca="false">-F8*Inputs!$E$58/12*1*(1+Inputs!$E$65)*(1+Inputs!$E$66)^(F$5-1)</f>
        <v>-6720</v>
      </c>
      <c r="G13" s="69" t="n">
        <f aca="false">-G8*Inputs!$E$58/12*1*(1+Inputs!$E$65)*(1+Inputs!$E$66)^(G$5-1)</f>
        <v>-6720</v>
      </c>
      <c r="H13" s="69" t="n">
        <f aca="false">-H8*Inputs!$E$58/12*1*(1+Inputs!$E$65)*(1+Inputs!$E$66)^(H$5-1)</f>
        <v>-6720</v>
      </c>
      <c r="I13" s="69" t="n">
        <f aca="false">-I8*Inputs!$E$58/12*1*(1+Inputs!$E$65)*(1+Inputs!$E$66)^(I$5-1)</f>
        <v>-6720</v>
      </c>
      <c r="J13" s="69" t="n">
        <f aca="false">-J8*Inputs!$E$58/12*1*(1+Inputs!$E$65)*(1+Inputs!$E$66)^(J$5-1)</f>
        <v>-6720</v>
      </c>
      <c r="K13" s="69" t="n">
        <f aca="false">-K8*Inputs!$E$58/12*1*(1+Inputs!$E$65)*(1+Inputs!$E$66)^(K$5-1)</f>
        <v>-6720</v>
      </c>
      <c r="L13" s="69" t="n">
        <f aca="false">-L8*Inputs!$E$58/12*1*(1+Inputs!$E$65)*(1+Inputs!$E$66)^(L$5-1)</f>
        <v>-6720</v>
      </c>
      <c r="M13" s="69" t="n">
        <f aca="false">-M8*Inputs!$E$58/12*1*(1+Inputs!$E$65)*(1+Inputs!$E$66)^(M$5-1)</f>
        <v>-6720</v>
      </c>
      <c r="N13" s="69" t="n">
        <f aca="false">-N8*Inputs!$E$58/12*1*(1+Inputs!$E$65)*(1+Inputs!$E$66)^(N$5-1)</f>
        <v>-6720</v>
      </c>
      <c r="O13" s="69" t="n">
        <f aca="false">-O8*Inputs!$E$58/12*1*(1+Inputs!$E$65)*(1+Inputs!$E$66)^(O$5-1)</f>
        <v>-6921.6</v>
      </c>
      <c r="P13" s="69" t="n">
        <f aca="false">-P8*Inputs!$E$58/12*1*(1+Inputs!$E$65)*(1+Inputs!$E$66)^(P$5-1)</f>
        <v>-6921.6</v>
      </c>
      <c r="Q13" s="69" t="n">
        <f aca="false">-Q8*Inputs!$E$58/12*1*(1+Inputs!$E$65)*(1+Inputs!$E$66)^(Q$5-1)</f>
        <v>-6921.6</v>
      </c>
      <c r="R13" s="69" t="n">
        <f aca="false">-R8*Inputs!$E$58/12*1*(1+Inputs!$E$65)*(1+Inputs!$E$66)^(R$5-1)</f>
        <v>-6921.6</v>
      </c>
      <c r="S13" s="69" t="n">
        <f aca="false">-S8*Inputs!$E$58/12*1*(1+Inputs!$E$65)*(1+Inputs!$E$66)^(S$5-1)</f>
        <v>-6921.6</v>
      </c>
      <c r="T13" s="69" t="n">
        <f aca="false">-T8*Inputs!$E$58/12*1*(1+Inputs!$E$65)*(1+Inputs!$E$66)^(T$5-1)</f>
        <v>-6921.6</v>
      </c>
      <c r="U13" s="69" t="n">
        <f aca="false">-U8*Inputs!$E$58/12*1*(1+Inputs!$E$65)*(1+Inputs!$E$66)^(U$5-1)</f>
        <v>-6921.6</v>
      </c>
      <c r="V13" s="69" t="n">
        <f aca="false">-V8*Inputs!$E$58/12*1*(1+Inputs!$E$65)*(1+Inputs!$E$66)^(V$5-1)</f>
        <v>-6921.6</v>
      </c>
      <c r="W13" s="69" t="n">
        <f aca="false">-W8*Inputs!$E$58/12*1*(1+Inputs!$E$65)*(1+Inputs!$E$66)^(W$5-1)</f>
        <v>-6921.6</v>
      </c>
      <c r="X13" s="69" t="n">
        <f aca="false">-X8*Inputs!$E$58/12*1*(1+Inputs!$E$65)*(1+Inputs!$E$66)^(X$5-1)</f>
        <v>-6921.6</v>
      </c>
      <c r="Y13" s="69" t="n">
        <f aca="false">-Y8*Inputs!$E$58/12*1*(1+Inputs!$E$65)*(1+Inputs!$E$66)^(Y$5-1)</f>
        <v>-6921.6</v>
      </c>
      <c r="Z13" s="69" t="n">
        <f aca="false">-Z8*Inputs!$E$58/12*1*(1+Inputs!$E$65)*(1+Inputs!$E$66)^(Z$5-1)</f>
        <v>-6921.6</v>
      </c>
      <c r="AA13" s="69" t="n">
        <f aca="false">-AA8*Inputs!$E$58/12*1*(1+Inputs!$E$65)*(1+Inputs!$E$66)^(AA$5-1)</f>
        <v>-7129.248</v>
      </c>
      <c r="AB13" s="69" t="n">
        <f aca="false">-AB8*Inputs!$E$58/12*1*(1+Inputs!$E$65)*(1+Inputs!$E$66)^(AB$5-1)</f>
        <v>-7129.248</v>
      </c>
      <c r="AC13" s="69" t="n">
        <f aca="false">-AC8*Inputs!$E$58/12*1*(1+Inputs!$E$65)*(1+Inputs!$E$66)^(AC$5-1)</f>
        <v>-7129.248</v>
      </c>
      <c r="AD13" s="69" t="n">
        <f aca="false">-AD8*Inputs!$E$58/12*1*(1+Inputs!$E$65)*(1+Inputs!$E$66)^(AD$5-1)</f>
        <v>-7129.248</v>
      </c>
      <c r="AE13" s="69" t="n">
        <f aca="false">-AE8*Inputs!$E$58/12*1*(1+Inputs!$E$65)*(1+Inputs!$E$66)^(AE$5-1)</f>
        <v>-7129.248</v>
      </c>
      <c r="AF13" s="69" t="n">
        <f aca="false">-AF8*Inputs!$E$58/12*1*(1+Inputs!$E$65)*(1+Inputs!$E$66)^(AF$5-1)</f>
        <v>-7129.248</v>
      </c>
      <c r="AG13" s="69" t="n">
        <f aca="false">-AG8*Inputs!$E$58/12*1*(1+Inputs!$E$65)*(1+Inputs!$E$66)^(AG$5-1)</f>
        <v>-7129.248</v>
      </c>
      <c r="AH13" s="69" t="n">
        <f aca="false">-AH8*Inputs!$E$58/12*1*(1+Inputs!$E$65)*(1+Inputs!$E$66)^(AH$5-1)</f>
        <v>-7129.248</v>
      </c>
      <c r="AI13" s="69" t="n">
        <f aca="false">-AI8*Inputs!$E$58/12*1*(1+Inputs!$E$65)*(1+Inputs!$E$66)^(AI$5-1)</f>
        <v>-7129.248</v>
      </c>
      <c r="AJ13" s="69" t="n">
        <f aca="false">-AJ8*Inputs!$E$58/12*1*(1+Inputs!$E$65)*(1+Inputs!$E$66)^(AJ$5-1)</f>
        <v>-7129.248</v>
      </c>
      <c r="AK13" s="69" t="n">
        <f aca="false">-AK8*Inputs!$E$58/12*1*(1+Inputs!$E$65)*(1+Inputs!$E$66)^(AK$5-1)</f>
        <v>-7129.248</v>
      </c>
      <c r="AL13" s="69" t="n">
        <f aca="false">-AL8*Inputs!$E$58/12*1*(1+Inputs!$E$65)*(1+Inputs!$E$66)^(AL$5-1)</f>
        <v>-7129.248</v>
      </c>
      <c r="AM13" s="69" t="n">
        <f aca="false">-AM8*Inputs!$E$58/12*1*(1+Inputs!$E$65)*(1+Inputs!$E$66)^(AM$5-1)</f>
        <v>-7343.12544</v>
      </c>
      <c r="AN13" s="69" t="n">
        <f aca="false">-AN8*Inputs!$E$58/12*1*(1+Inputs!$E$65)*(1+Inputs!$E$66)^(AN$5-1)</f>
        <v>-7343.12544</v>
      </c>
      <c r="AO13" s="69" t="n">
        <f aca="false">-AO8*Inputs!$E$58/12*1*(1+Inputs!$E$65)*(1+Inputs!$E$66)^(AO$5-1)</f>
        <v>-7343.12544</v>
      </c>
      <c r="AP13" s="69" t="n">
        <f aca="false">-AP8*Inputs!$E$58/12*1*(1+Inputs!$E$65)*(1+Inputs!$E$66)^(AP$5-1)</f>
        <v>-7343.12544</v>
      </c>
      <c r="AQ13" s="69" t="n">
        <f aca="false">-AQ8*Inputs!$E$58/12*1*(1+Inputs!$E$65)*(1+Inputs!$E$66)^(AQ$5-1)</f>
        <v>-7343.12544</v>
      </c>
      <c r="AR13" s="69" t="n">
        <f aca="false">-AR8*Inputs!$E$58/12*1*(1+Inputs!$E$65)*(1+Inputs!$E$66)^(AR$5-1)</f>
        <v>-7343.12544</v>
      </c>
      <c r="AS13" s="69" t="n">
        <f aca="false">-AS8*Inputs!$E$58/12*1*(1+Inputs!$E$65)*(1+Inputs!$E$66)^(AS$5-1)</f>
        <v>-7343.12544</v>
      </c>
      <c r="AT13" s="69" t="n">
        <f aca="false">-AT8*Inputs!$E$58/12*1*(1+Inputs!$E$65)*(1+Inputs!$E$66)^(AT$5-1)</f>
        <v>-7343.12544</v>
      </c>
      <c r="AU13" s="69" t="n">
        <f aca="false">-AU8*Inputs!$E$58/12*1*(1+Inputs!$E$65)*(1+Inputs!$E$66)^(AU$5-1)</f>
        <v>-7343.12544</v>
      </c>
      <c r="AV13" s="69" t="n">
        <f aca="false">-AV8*Inputs!$E$58/12*1*(1+Inputs!$E$65)*(1+Inputs!$E$66)^(AV$5-1)</f>
        <v>-7343.12544</v>
      </c>
      <c r="AW13" s="69" t="n">
        <f aca="false">-AW8*Inputs!$E$58/12*1*(1+Inputs!$E$65)*(1+Inputs!$E$66)^(AW$5-1)</f>
        <v>-7343.12544</v>
      </c>
      <c r="AX13" s="69" t="n">
        <f aca="false">-AX8*Inputs!$E$58/12*1*(1+Inputs!$E$65)*(1+Inputs!$E$66)^(AX$5-1)</f>
        <v>-7343.12544</v>
      </c>
      <c r="AY13" s="69" t="n">
        <f aca="false">-AY8*Inputs!$E$58/12*1*(1+Inputs!$E$65)*(1+Inputs!$E$66)^(AY$5-1)</f>
        <v>-7563.4192032</v>
      </c>
      <c r="AZ13" s="69" t="n">
        <f aca="false">-AZ8*Inputs!$E$58/12*1*(1+Inputs!$E$65)*(1+Inputs!$E$66)^(AZ$5-1)</f>
        <v>-7563.4192032</v>
      </c>
      <c r="BA13" s="69" t="n">
        <f aca="false">-BA8*Inputs!$E$58/12*1*(1+Inputs!$E$65)*(1+Inputs!$E$66)^(BA$5-1)</f>
        <v>-7563.4192032</v>
      </c>
      <c r="BB13" s="69" t="n">
        <f aca="false">-BB8*Inputs!$E$58/12*1*(1+Inputs!$E$65)*(1+Inputs!$E$66)^(BB$5-1)</f>
        <v>-7563.4192032</v>
      </c>
      <c r="BC13" s="69" t="n">
        <f aca="false">-BC8*Inputs!$E$58/12*1*(1+Inputs!$E$65)*(1+Inputs!$E$66)^(BC$5-1)</f>
        <v>-7563.4192032</v>
      </c>
      <c r="BD13" s="69" t="n">
        <f aca="false">-BD8*Inputs!$E$58/12*1*(1+Inputs!$E$65)*(1+Inputs!$E$66)^(BD$5-1)</f>
        <v>-7563.4192032</v>
      </c>
      <c r="BE13" s="69" t="n">
        <f aca="false">-BE8*Inputs!$E$58/12*1*(1+Inputs!$E$65)*(1+Inputs!$E$66)^(BE$5-1)</f>
        <v>-7563.4192032</v>
      </c>
      <c r="BF13" s="69" t="n">
        <f aca="false">-BF8*Inputs!$E$58/12*1*(1+Inputs!$E$65)*(1+Inputs!$E$66)^(BF$5-1)</f>
        <v>-7563.4192032</v>
      </c>
      <c r="BG13" s="69" t="n">
        <f aca="false">-BG8*Inputs!$E$58/12*1*(1+Inputs!$E$65)*(1+Inputs!$E$66)^(BG$5-1)</f>
        <v>-7563.4192032</v>
      </c>
      <c r="BH13" s="69" t="n">
        <f aca="false">-BH8*Inputs!$E$58/12*1*(1+Inputs!$E$65)*(1+Inputs!$E$66)^(BH$5-1)</f>
        <v>-7563.4192032</v>
      </c>
      <c r="BI13" s="69" t="n">
        <f aca="false">-BI8*Inputs!$E$58/12*1*(1+Inputs!$E$65)*(1+Inputs!$E$66)^(BI$5-1)</f>
        <v>-7563.4192032</v>
      </c>
      <c r="BJ13" s="69" t="n">
        <f aca="false">-BJ8*Inputs!$E$58/12*1*(1+Inputs!$E$65)*(1+Inputs!$E$66)^(BJ$5-1)</f>
        <v>-7563.4192032</v>
      </c>
    </row>
    <row r="14" customFormat="false" ht="15" hidden="false" customHeight="false" outlineLevel="0" collapsed="false">
      <c r="A14" s="6" t="s">
        <v>479</v>
      </c>
      <c r="C14" s="69" t="n">
        <f aca="false">-C9*Inputs!$E$62/12*1*(1+Inputs!$E$65)*(1+Inputs!$E$66)^(C$5-1)</f>
        <v>-29866.6666666667</v>
      </c>
      <c r="D14" s="69" t="n">
        <f aca="false">-D9*Inputs!$E$62/12*1*(1+Inputs!$E$65)*(1+Inputs!$E$66)^(D$5-1)</f>
        <v>-29866.6666666667</v>
      </c>
      <c r="E14" s="69" t="n">
        <f aca="false">-E9*Inputs!$E$62/12*1*(1+Inputs!$E$65)*(1+Inputs!$E$66)^(E$5-1)</f>
        <v>-29866.6666666667</v>
      </c>
      <c r="F14" s="69" t="n">
        <f aca="false">-F9*Inputs!$E$62/12*1*(1+Inputs!$E$65)*(1+Inputs!$E$66)^(F$5-1)</f>
        <v>-29866.6666666667</v>
      </c>
      <c r="G14" s="69" t="n">
        <f aca="false">-G9*Inputs!$E$62/12*1*(1+Inputs!$E$65)*(1+Inputs!$E$66)^(G$5-1)</f>
        <v>-29866.6666666667</v>
      </c>
      <c r="H14" s="69" t="n">
        <f aca="false">-H9*Inputs!$E$62/12*1*(1+Inputs!$E$65)*(1+Inputs!$E$66)^(H$5-1)</f>
        <v>-29866.6666666667</v>
      </c>
      <c r="I14" s="69" t="n">
        <f aca="false">-I9*Inputs!$E$62/12*1*(1+Inputs!$E$65)*(1+Inputs!$E$66)^(I$5-1)</f>
        <v>-29866.6666666667</v>
      </c>
      <c r="J14" s="69" t="n">
        <f aca="false">-J9*Inputs!$E$62/12*1*(1+Inputs!$E$65)*(1+Inputs!$E$66)^(J$5-1)</f>
        <v>-29866.6666666667</v>
      </c>
      <c r="K14" s="69" t="n">
        <f aca="false">-K9*Inputs!$E$62/12*1*(1+Inputs!$E$65)*(1+Inputs!$E$66)^(K$5-1)</f>
        <v>-29866.6666666667</v>
      </c>
      <c r="L14" s="69" t="n">
        <f aca="false">-L9*Inputs!$E$62/12*1*(1+Inputs!$E$65)*(1+Inputs!$E$66)^(L$5-1)</f>
        <v>-29866.6666666667</v>
      </c>
      <c r="M14" s="69" t="n">
        <f aca="false">-M9*Inputs!$E$62/12*1*(1+Inputs!$E$65)*(1+Inputs!$E$66)^(M$5-1)</f>
        <v>-29866.6666666667</v>
      </c>
      <c r="N14" s="69" t="n">
        <f aca="false">-N9*Inputs!$E$62/12*1*(1+Inputs!$E$65)*(1+Inputs!$E$66)^(N$5-1)</f>
        <v>-29866.6666666667</v>
      </c>
      <c r="O14" s="69" t="n">
        <f aca="false">-O9*Inputs!$E$62/12*1*(1+Inputs!$E$65)*(1+Inputs!$E$66)^(O$5-1)</f>
        <v>-30762.6666666667</v>
      </c>
      <c r="P14" s="69" t="n">
        <f aca="false">-P9*Inputs!$E$62/12*1*(1+Inputs!$E$65)*(1+Inputs!$E$66)^(P$5-1)</f>
        <v>-30762.6666666667</v>
      </c>
      <c r="Q14" s="69" t="n">
        <f aca="false">-Q9*Inputs!$E$62/12*1*(1+Inputs!$E$65)*(1+Inputs!$E$66)^(Q$5-1)</f>
        <v>-30762.6666666667</v>
      </c>
      <c r="R14" s="69" t="n">
        <f aca="false">-R9*Inputs!$E$62/12*1*(1+Inputs!$E$65)*(1+Inputs!$E$66)^(R$5-1)</f>
        <v>-30762.6666666667</v>
      </c>
      <c r="S14" s="69" t="n">
        <f aca="false">-S9*Inputs!$E$62/12*1*(1+Inputs!$E$65)*(1+Inputs!$E$66)^(S$5-1)</f>
        <v>-30762.6666666667</v>
      </c>
      <c r="T14" s="69" t="n">
        <f aca="false">-T9*Inputs!$E$62/12*1*(1+Inputs!$E$65)*(1+Inputs!$E$66)^(T$5-1)</f>
        <v>-30762.6666666667</v>
      </c>
      <c r="U14" s="69" t="n">
        <f aca="false">-U9*Inputs!$E$62/12*1*(1+Inputs!$E$65)*(1+Inputs!$E$66)^(U$5-1)</f>
        <v>-30762.6666666667</v>
      </c>
      <c r="V14" s="69" t="n">
        <f aca="false">-V9*Inputs!$E$62/12*1*(1+Inputs!$E$65)*(1+Inputs!$E$66)^(V$5-1)</f>
        <v>-30762.6666666667</v>
      </c>
      <c r="W14" s="69" t="n">
        <f aca="false">-W9*Inputs!$E$62/12*1*(1+Inputs!$E$65)*(1+Inputs!$E$66)^(W$5-1)</f>
        <v>-30762.6666666667</v>
      </c>
      <c r="X14" s="69" t="n">
        <f aca="false">-X9*Inputs!$E$62/12*1*(1+Inputs!$E$65)*(1+Inputs!$E$66)^(X$5-1)</f>
        <v>-30762.6666666667</v>
      </c>
      <c r="Y14" s="69" t="n">
        <f aca="false">-Y9*Inputs!$E$62/12*1*(1+Inputs!$E$65)*(1+Inputs!$E$66)^(Y$5-1)</f>
        <v>-30762.6666666667</v>
      </c>
      <c r="Z14" s="69" t="n">
        <f aca="false">-Z9*Inputs!$E$62/12*1*(1+Inputs!$E$65)*(1+Inputs!$E$66)^(Z$5-1)</f>
        <v>-30762.6666666667</v>
      </c>
      <c r="AA14" s="69" t="n">
        <f aca="false">-AA9*Inputs!$E$62/12*1*(1+Inputs!$E$65)*(1+Inputs!$E$66)^(AA$5-1)</f>
        <v>-31685.5466666667</v>
      </c>
      <c r="AB14" s="69" t="n">
        <f aca="false">-AB9*Inputs!$E$62/12*1*(1+Inputs!$E$65)*(1+Inputs!$E$66)^(AB$5-1)</f>
        <v>-31685.5466666667</v>
      </c>
      <c r="AC14" s="69" t="n">
        <f aca="false">-AC9*Inputs!$E$62/12*1*(1+Inputs!$E$65)*(1+Inputs!$E$66)^(AC$5-1)</f>
        <v>-31685.5466666667</v>
      </c>
      <c r="AD14" s="69" t="n">
        <f aca="false">-AD9*Inputs!$E$62/12*1*(1+Inputs!$E$65)*(1+Inputs!$E$66)^(AD$5-1)</f>
        <v>-31685.5466666667</v>
      </c>
      <c r="AE14" s="69" t="n">
        <f aca="false">-AE9*Inputs!$E$62/12*1*(1+Inputs!$E$65)*(1+Inputs!$E$66)^(AE$5-1)</f>
        <v>-31685.5466666667</v>
      </c>
      <c r="AF14" s="69" t="n">
        <f aca="false">-AF9*Inputs!$E$62/12*1*(1+Inputs!$E$65)*(1+Inputs!$E$66)^(AF$5-1)</f>
        <v>-31685.5466666667</v>
      </c>
      <c r="AG14" s="69" t="n">
        <f aca="false">-AG9*Inputs!$E$62/12*1*(1+Inputs!$E$65)*(1+Inputs!$E$66)^(AG$5-1)</f>
        <v>-31685.5466666667</v>
      </c>
      <c r="AH14" s="69" t="n">
        <f aca="false">-AH9*Inputs!$E$62/12*1*(1+Inputs!$E$65)*(1+Inputs!$E$66)^(AH$5-1)</f>
        <v>-31685.5466666667</v>
      </c>
      <c r="AI14" s="69" t="n">
        <f aca="false">-AI9*Inputs!$E$62/12*1*(1+Inputs!$E$65)*(1+Inputs!$E$66)^(AI$5-1)</f>
        <v>-31685.5466666667</v>
      </c>
      <c r="AJ14" s="69" t="n">
        <f aca="false">-AJ9*Inputs!$E$62/12*1*(1+Inputs!$E$65)*(1+Inputs!$E$66)^(AJ$5-1)</f>
        <v>-31685.5466666667</v>
      </c>
      <c r="AK14" s="69" t="n">
        <f aca="false">-AK9*Inputs!$E$62/12*1*(1+Inputs!$E$65)*(1+Inputs!$E$66)^(AK$5-1)</f>
        <v>-31685.5466666667</v>
      </c>
      <c r="AL14" s="69" t="n">
        <f aca="false">-AL9*Inputs!$E$62/12*1*(1+Inputs!$E$65)*(1+Inputs!$E$66)^(AL$5-1)</f>
        <v>-31685.5466666667</v>
      </c>
      <c r="AM14" s="69" t="n">
        <f aca="false">-AM9*Inputs!$E$62/12*1*(1+Inputs!$E$65)*(1+Inputs!$E$66)^(AM$5-1)</f>
        <v>-32636.1130666667</v>
      </c>
      <c r="AN14" s="69" t="n">
        <f aca="false">-AN9*Inputs!$E$62/12*1*(1+Inputs!$E$65)*(1+Inputs!$E$66)^(AN$5-1)</f>
        <v>-32636.1130666667</v>
      </c>
      <c r="AO14" s="69" t="n">
        <f aca="false">-AO9*Inputs!$E$62/12*1*(1+Inputs!$E$65)*(1+Inputs!$E$66)^(AO$5-1)</f>
        <v>-32636.1130666667</v>
      </c>
      <c r="AP14" s="69" t="n">
        <f aca="false">-AP9*Inputs!$E$62/12*1*(1+Inputs!$E$65)*(1+Inputs!$E$66)^(AP$5-1)</f>
        <v>-32636.1130666667</v>
      </c>
      <c r="AQ14" s="69" t="n">
        <f aca="false">-AQ9*Inputs!$E$62/12*1*(1+Inputs!$E$65)*(1+Inputs!$E$66)^(AQ$5-1)</f>
        <v>-32636.1130666667</v>
      </c>
      <c r="AR14" s="69" t="n">
        <f aca="false">-AR9*Inputs!$E$62/12*1*(1+Inputs!$E$65)*(1+Inputs!$E$66)^(AR$5-1)</f>
        <v>-32636.1130666667</v>
      </c>
      <c r="AS14" s="69" t="n">
        <f aca="false">-AS9*Inputs!$E$62/12*1*(1+Inputs!$E$65)*(1+Inputs!$E$66)^(AS$5-1)</f>
        <v>-32636.1130666667</v>
      </c>
      <c r="AT14" s="69" t="n">
        <f aca="false">-AT9*Inputs!$E$62/12*1*(1+Inputs!$E$65)*(1+Inputs!$E$66)^(AT$5-1)</f>
        <v>-32636.1130666667</v>
      </c>
      <c r="AU14" s="69" t="n">
        <f aca="false">-AU9*Inputs!$E$62/12*1*(1+Inputs!$E$65)*(1+Inputs!$E$66)^(AU$5-1)</f>
        <v>-32636.1130666667</v>
      </c>
      <c r="AV14" s="69" t="n">
        <f aca="false">-AV9*Inputs!$E$62/12*1*(1+Inputs!$E$65)*(1+Inputs!$E$66)^(AV$5-1)</f>
        <v>-32636.1130666667</v>
      </c>
      <c r="AW14" s="69" t="n">
        <f aca="false">-AW9*Inputs!$E$62/12*1*(1+Inputs!$E$65)*(1+Inputs!$E$66)^(AW$5-1)</f>
        <v>-32636.1130666667</v>
      </c>
      <c r="AX14" s="69" t="n">
        <f aca="false">-AX9*Inputs!$E$62/12*1*(1+Inputs!$E$65)*(1+Inputs!$E$66)^(AX$5-1)</f>
        <v>-32636.1130666667</v>
      </c>
      <c r="AY14" s="69" t="n">
        <f aca="false">-AY9*Inputs!$E$62/12*1*(1+Inputs!$E$65)*(1+Inputs!$E$66)^(AY$5-1)</f>
        <v>-33615.1964586667</v>
      </c>
      <c r="AZ14" s="69" t="n">
        <f aca="false">-AZ9*Inputs!$E$62/12*1*(1+Inputs!$E$65)*(1+Inputs!$E$66)^(AZ$5-1)</f>
        <v>-33615.1964586667</v>
      </c>
      <c r="BA14" s="69" t="n">
        <f aca="false">-BA9*Inputs!$E$62/12*1*(1+Inputs!$E$65)*(1+Inputs!$E$66)^(BA$5-1)</f>
        <v>-33615.1964586667</v>
      </c>
      <c r="BB14" s="69" t="n">
        <f aca="false">-BB9*Inputs!$E$62/12*1*(1+Inputs!$E$65)*(1+Inputs!$E$66)^(BB$5-1)</f>
        <v>-33615.1964586667</v>
      </c>
      <c r="BC14" s="69" t="n">
        <f aca="false">-BC9*Inputs!$E$62/12*1*(1+Inputs!$E$65)*(1+Inputs!$E$66)^(BC$5-1)</f>
        <v>-33615.1964586667</v>
      </c>
      <c r="BD14" s="69" t="n">
        <f aca="false">-BD9*Inputs!$E$62/12*1*(1+Inputs!$E$65)*(1+Inputs!$E$66)^(BD$5-1)</f>
        <v>-33615.1964586667</v>
      </c>
      <c r="BE14" s="69" t="n">
        <f aca="false">-BE9*Inputs!$E$62/12*1*(1+Inputs!$E$65)*(1+Inputs!$E$66)^(BE$5-1)</f>
        <v>-33615.1964586667</v>
      </c>
      <c r="BF14" s="69" t="n">
        <f aca="false">-BF9*Inputs!$E$62/12*1*(1+Inputs!$E$65)*(1+Inputs!$E$66)^(BF$5-1)</f>
        <v>-33615.1964586667</v>
      </c>
      <c r="BG14" s="69" t="n">
        <f aca="false">-BG9*Inputs!$E$62/12*1*(1+Inputs!$E$65)*(1+Inputs!$E$66)^(BG$5-1)</f>
        <v>-33615.1964586667</v>
      </c>
      <c r="BH14" s="69" t="n">
        <f aca="false">-BH9*Inputs!$E$62/12*1*(1+Inputs!$E$65)*(1+Inputs!$E$66)^(BH$5-1)</f>
        <v>-33615.1964586667</v>
      </c>
      <c r="BI14" s="69" t="n">
        <f aca="false">-BI9*Inputs!$E$62/12*1*(1+Inputs!$E$65)*(1+Inputs!$E$66)^(BI$5-1)</f>
        <v>-33615.1964586667</v>
      </c>
      <c r="BJ14" s="69" t="n">
        <f aca="false">-BJ9*Inputs!$E$62/12*1*(1+Inputs!$E$65)*(1+Inputs!$E$66)^(BJ$5-1)</f>
        <v>-33615.1964586667</v>
      </c>
    </row>
    <row r="15" customFormat="false" ht="15" hidden="false" customHeight="false" outlineLevel="0" collapsed="false">
      <c r="A15" s="113" t="s">
        <v>480</v>
      </c>
      <c r="C15" s="70" t="n">
        <f aca="false">C13+C14</f>
        <v>-36586.6666666667</v>
      </c>
      <c r="D15" s="70" t="n">
        <f aca="false">D13+D14</f>
        <v>-36586.6666666667</v>
      </c>
      <c r="E15" s="70" t="n">
        <f aca="false">E13+E14</f>
        <v>-36586.6666666667</v>
      </c>
      <c r="F15" s="70" t="n">
        <f aca="false">F13+F14</f>
        <v>-36586.6666666667</v>
      </c>
      <c r="G15" s="70" t="n">
        <f aca="false">G13+G14</f>
        <v>-36586.6666666667</v>
      </c>
      <c r="H15" s="70" t="n">
        <f aca="false">H13+H14</f>
        <v>-36586.6666666667</v>
      </c>
      <c r="I15" s="70" t="n">
        <f aca="false">I13+I14</f>
        <v>-36586.6666666667</v>
      </c>
      <c r="J15" s="70" t="n">
        <f aca="false">J13+J14</f>
        <v>-36586.6666666667</v>
      </c>
      <c r="K15" s="70" t="n">
        <f aca="false">K13+K14</f>
        <v>-36586.6666666667</v>
      </c>
      <c r="L15" s="70" t="n">
        <f aca="false">L13+L14</f>
        <v>-36586.6666666667</v>
      </c>
      <c r="M15" s="70" t="n">
        <f aca="false">M13+M14</f>
        <v>-36586.6666666667</v>
      </c>
      <c r="N15" s="70" t="n">
        <f aca="false">N13+N14</f>
        <v>-36586.6666666667</v>
      </c>
      <c r="O15" s="70" t="n">
        <f aca="false">O13+O14</f>
        <v>-37684.2666666667</v>
      </c>
      <c r="P15" s="70" t="n">
        <f aca="false">P13+P14</f>
        <v>-37684.2666666667</v>
      </c>
      <c r="Q15" s="70" t="n">
        <f aca="false">Q13+Q14</f>
        <v>-37684.2666666667</v>
      </c>
      <c r="R15" s="70" t="n">
        <f aca="false">R13+R14</f>
        <v>-37684.2666666667</v>
      </c>
      <c r="S15" s="70" t="n">
        <f aca="false">S13+S14</f>
        <v>-37684.2666666667</v>
      </c>
      <c r="T15" s="70" t="n">
        <f aca="false">T13+T14</f>
        <v>-37684.2666666667</v>
      </c>
      <c r="U15" s="70" t="n">
        <f aca="false">U13+U14</f>
        <v>-37684.2666666667</v>
      </c>
      <c r="V15" s="70" t="n">
        <f aca="false">V13+V14</f>
        <v>-37684.2666666667</v>
      </c>
      <c r="W15" s="70" t="n">
        <f aca="false">W13+W14</f>
        <v>-37684.2666666667</v>
      </c>
      <c r="X15" s="70" t="n">
        <f aca="false">X13+X14</f>
        <v>-37684.2666666667</v>
      </c>
      <c r="Y15" s="70" t="n">
        <f aca="false">Y13+Y14</f>
        <v>-37684.2666666667</v>
      </c>
      <c r="Z15" s="70" t="n">
        <f aca="false">Z13+Z14</f>
        <v>-37684.2666666667</v>
      </c>
      <c r="AA15" s="70" t="n">
        <f aca="false">AA13+AA14</f>
        <v>-38814.7946666667</v>
      </c>
      <c r="AB15" s="70" t="n">
        <f aca="false">AB13+AB14</f>
        <v>-38814.7946666667</v>
      </c>
      <c r="AC15" s="70" t="n">
        <f aca="false">AC13+AC14</f>
        <v>-38814.7946666667</v>
      </c>
      <c r="AD15" s="70" t="n">
        <f aca="false">AD13+AD14</f>
        <v>-38814.7946666667</v>
      </c>
      <c r="AE15" s="70" t="n">
        <f aca="false">AE13+AE14</f>
        <v>-38814.7946666667</v>
      </c>
      <c r="AF15" s="70" t="n">
        <f aca="false">AF13+AF14</f>
        <v>-38814.7946666667</v>
      </c>
      <c r="AG15" s="70" t="n">
        <f aca="false">AG13+AG14</f>
        <v>-38814.7946666667</v>
      </c>
      <c r="AH15" s="70" t="n">
        <f aca="false">AH13+AH14</f>
        <v>-38814.7946666667</v>
      </c>
      <c r="AI15" s="70" t="n">
        <f aca="false">AI13+AI14</f>
        <v>-38814.7946666667</v>
      </c>
      <c r="AJ15" s="70" t="n">
        <f aca="false">AJ13+AJ14</f>
        <v>-38814.7946666667</v>
      </c>
      <c r="AK15" s="70" t="n">
        <f aca="false">AK13+AK14</f>
        <v>-38814.7946666667</v>
      </c>
      <c r="AL15" s="70" t="n">
        <f aca="false">AL13+AL14</f>
        <v>-38814.7946666667</v>
      </c>
      <c r="AM15" s="70" t="n">
        <f aca="false">AM13+AM14</f>
        <v>-39979.2385066667</v>
      </c>
      <c r="AN15" s="70" t="n">
        <f aca="false">AN13+AN14</f>
        <v>-39979.2385066667</v>
      </c>
      <c r="AO15" s="70" t="n">
        <f aca="false">AO13+AO14</f>
        <v>-39979.2385066667</v>
      </c>
      <c r="AP15" s="70" t="n">
        <f aca="false">AP13+AP14</f>
        <v>-39979.2385066667</v>
      </c>
      <c r="AQ15" s="70" t="n">
        <f aca="false">AQ13+AQ14</f>
        <v>-39979.2385066667</v>
      </c>
      <c r="AR15" s="70" t="n">
        <f aca="false">AR13+AR14</f>
        <v>-39979.2385066667</v>
      </c>
      <c r="AS15" s="70" t="n">
        <f aca="false">AS13+AS14</f>
        <v>-39979.2385066667</v>
      </c>
      <c r="AT15" s="70" t="n">
        <f aca="false">AT13+AT14</f>
        <v>-39979.2385066667</v>
      </c>
      <c r="AU15" s="70" t="n">
        <f aca="false">AU13+AU14</f>
        <v>-39979.2385066667</v>
      </c>
      <c r="AV15" s="70" t="n">
        <f aca="false">AV13+AV14</f>
        <v>-39979.2385066667</v>
      </c>
      <c r="AW15" s="70" t="n">
        <f aca="false">AW13+AW14</f>
        <v>-39979.2385066667</v>
      </c>
      <c r="AX15" s="70" t="n">
        <f aca="false">AX13+AX14</f>
        <v>-39979.2385066667</v>
      </c>
      <c r="AY15" s="70" t="n">
        <f aca="false">AY13+AY14</f>
        <v>-41178.6156618667</v>
      </c>
      <c r="AZ15" s="70" t="n">
        <f aca="false">AZ13+AZ14</f>
        <v>-41178.6156618667</v>
      </c>
      <c r="BA15" s="70" t="n">
        <f aca="false">BA13+BA14</f>
        <v>-41178.6156618667</v>
      </c>
      <c r="BB15" s="70" t="n">
        <f aca="false">BB13+BB14</f>
        <v>-41178.6156618667</v>
      </c>
      <c r="BC15" s="70" t="n">
        <f aca="false">BC13+BC14</f>
        <v>-41178.6156618667</v>
      </c>
      <c r="BD15" s="70" t="n">
        <f aca="false">BD13+BD14</f>
        <v>-41178.6156618667</v>
      </c>
      <c r="BE15" s="70" t="n">
        <f aca="false">BE13+BE14</f>
        <v>-41178.6156618667</v>
      </c>
      <c r="BF15" s="70" t="n">
        <f aca="false">BF13+BF14</f>
        <v>-41178.6156618667</v>
      </c>
      <c r="BG15" s="70" t="n">
        <f aca="false">BG13+BG14</f>
        <v>-41178.6156618667</v>
      </c>
      <c r="BH15" s="70" t="n">
        <f aca="false">BH13+BH14</f>
        <v>-41178.6156618667</v>
      </c>
      <c r="BI15" s="70" t="n">
        <f aca="false">BI13+BI14</f>
        <v>-41178.6156618667</v>
      </c>
      <c r="BJ15" s="70" t="n">
        <f aca="false">BJ13+BJ14</f>
        <v>-41178.6156618667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8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481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482</v>
      </c>
    </row>
    <row r="4" customFormat="false" ht="15.75" hidden="false" customHeight="true" outlineLevel="0" collapsed="false">
      <c r="A4" s="7" t="s">
        <v>483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355</v>
      </c>
      <c r="C5" s="52" t="s">
        <v>356</v>
      </c>
      <c r="D5" s="52" t="s">
        <v>357</v>
      </c>
      <c r="E5" s="52" t="s">
        <v>358</v>
      </c>
      <c r="F5" s="52" t="s">
        <v>359</v>
      </c>
      <c r="G5" s="52" t="s">
        <v>360</v>
      </c>
      <c r="H5" s="52" t="s">
        <v>361</v>
      </c>
      <c r="I5" s="52" t="s">
        <v>362</v>
      </c>
      <c r="J5" s="52" t="s">
        <v>363</v>
      </c>
      <c r="K5" s="52" t="s">
        <v>364</v>
      </c>
      <c r="L5" s="52" t="s">
        <v>365</v>
      </c>
      <c r="M5" s="52" t="s">
        <v>366</v>
      </c>
      <c r="N5" s="52" t="s">
        <v>367</v>
      </c>
      <c r="O5" s="52" t="s">
        <v>368</v>
      </c>
      <c r="P5" s="52" t="s">
        <v>369</v>
      </c>
      <c r="Q5" s="52" t="s">
        <v>370</v>
      </c>
      <c r="R5" s="52" t="s">
        <v>371</v>
      </c>
      <c r="S5" s="52" t="s">
        <v>372</v>
      </c>
      <c r="T5" s="52" t="s">
        <v>373</v>
      </c>
      <c r="U5" s="52" t="s">
        <v>374</v>
      </c>
      <c r="V5" s="52" t="s">
        <v>375</v>
      </c>
      <c r="W5" s="52" t="s">
        <v>376</v>
      </c>
      <c r="X5" s="52" t="s">
        <v>377</v>
      </c>
      <c r="Y5" s="52" t="s">
        <v>378</v>
      </c>
      <c r="Z5" s="52" t="s">
        <v>379</v>
      </c>
      <c r="AA5" s="52" t="s">
        <v>380</v>
      </c>
      <c r="AB5" s="52" t="s">
        <v>381</v>
      </c>
      <c r="AC5" s="52" t="s">
        <v>382</v>
      </c>
      <c r="AD5" s="52" t="s">
        <v>383</v>
      </c>
      <c r="AE5" s="52" t="s">
        <v>384</v>
      </c>
      <c r="AF5" s="52" t="s">
        <v>385</v>
      </c>
      <c r="AG5" s="52" t="s">
        <v>386</v>
      </c>
      <c r="AH5" s="52" t="s">
        <v>387</v>
      </c>
      <c r="AI5" s="52" t="s">
        <v>388</v>
      </c>
      <c r="AJ5" s="52" t="s">
        <v>389</v>
      </c>
      <c r="AK5" s="52" t="s">
        <v>390</v>
      </c>
      <c r="AL5" s="52" t="s">
        <v>391</v>
      </c>
      <c r="AM5" s="52" t="s">
        <v>392</v>
      </c>
      <c r="AN5" s="52" t="s">
        <v>393</v>
      </c>
      <c r="AO5" s="52" t="s">
        <v>394</v>
      </c>
      <c r="AP5" s="52" t="s">
        <v>395</v>
      </c>
      <c r="AQ5" s="52" t="s">
        <v>396</v>
      </c>
      <c r="AR5" s="52" t="s">
        <v>397</v>
      </c>
      <c r="AS5" s="52" t="s">
        <v>398</v>
      </c>
      <c r="AT5" s="52" t="s">
        <v>399</v>
      </c>
      <c r="AU5" s="52" t="s">
        <v>400</v>
      </c>
      <c r="AV5" s="52" t="s">
        <v>401</v>
      </c>
      <c r="AW5" s="52" t="s">
        <v>402</v>
      </c>
      <c r="AX5" s="52" t="s">
        <v>403</v>
      </c>
      <c r="AY5" s="52" t="s">
        <v>404</v>
      </c>
      <c r="AZ5" s="52" t="s">
        <v>405</v>
      </c>
      <c r="BA5" s="52" t="s">
        <v>406</v>
      </c>
      <c r="BB5" s="52" t="s">
        <v>407</v>
      </c>
      <c r="BC5" s="52" t="s">
        <v>408</v>
      </c>
      <c r="BD5" s="52" t="s">
        <v>409</v>
      </c>
      <c r="BE5" s="52" t="s">
        <v>410</v>
      </c>
      <c r="BF5" s="52" t="s">
        <v>411</v>
      </c>
      <c r="BG5" s="52" t="s">
        <v>412</v>
      </c>
      <c r="BH5" s="52" t="s">
        <v>413</v>
      </c>
      <c r="BI5" s="52" t="s">
        <v>414</v>
      </c>
      <c r="BJ5" s="52" t="s">
        <v>415</v>
      </c>
    </row>
    <row r="6" customFormat="false" ht="15" hidden="false" customHeight="false" outlineLevel="0" collapsed="false">
      <c r="A6" s="74" t="s">
        <v>416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  <c r="AM6" s="74" t="n">
        <v>37</v>
      </c>
      <c r="AN6" s="74" t="n">
        <v>38</v>
      </c>
      <c r="AO6" s="74" t="n">
        <v>39</v>
      </c>
      <c r="AP6" s="74" t="n">
        <v>40</v>
      </c>
      <c r="AQ6" s="74" t="n">
        <v>41</v>
      </c>
      <c r="AR6" s="74" t="n">
        <v>42</v>
      </c>
      <c r="AS6" s="74" t="n">
        <v>43</v>
      </c>
      <c r="AT6" s="74" t="n">
        <v>44</v>
      </c>
      <c r="AU6" s="74" t="n">
        <v>45</v>
      </c>
      <c r="AV6" s="74" t="n">
        <v>46</v>
      </c>
      <c r="AW6" s="74" t="n">
        <v>47</v>
      </c>
      <c r="AX6" s="74" t="n">
        <v>48</v>
      </c>
      <c r="AY6" s="74" t="n">
        <v>49</v>
      </c>
      <c r="AZ6" s="74" t="n">
        <v>50</v>
      </c>
      <c r="BA6" s="74" t="n">
        <v>51</v>
      </c>
      <c r="BB6" s="74" t="n">
        <v>52</v>
      </c>
      <c r="BC6" s="74" t="n">
        <v>53</v>
      </c>
      <c r="BD6" s="74" t="n">
        <v>54</v>
      </c>
      <c r="BE6" s="74" t="n">
        <v>55</v>
      </c>
      <c r="BF6" s="74" t="n">
        <v>56</v>
      </c>
      <c r="BG6" s="74" t="n">
        <v>57</v>
      </c>
      <c r="BH6" s="74" t="n">
        <v>58</v>
      </c>
      <c r="BI6" s="74" t="n">
        <v>59</v>
      </c>
      <c r="BJ6" s="74" t="n">
        <v>60</v>
      </c>
    </row>
    <row r="7" customFormat="false" ht="15" hidden="false" customHeight="false" outlineLevel="0" collapsed="false">
      <c r="A7" s="74" t="s">
        <v>155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  <c r="AM7" s="74" t="n">
        <f aca="false">ROUNDUP(AM6*1/12,0)</f>
        <v>4</v>
      </c>
      <c r="AN7" s="74" t="n">
        <f aca="false">ROUNDUP(AN6*1/12,0)</f>
        <v>4</v>
      </c>
      <c r="AO7" s="74" t="n">
        <f aca="false">ROUNDUP(AO6*1/12,0)</f>
        <v>4</v>
      </c>
      <c r="AP7" s="74" t="n">
        <f aca="false">ROUNDUP(AP6*1/12,0)</f>
        <v>4</v>
      </c>
      <c r="AQ7" s="74" t="n">
        <f aca="false">ROUNDUP(AQ6*1/12,0)</f>
        <v>4</v>
      </c>
      <c r="AR7" s="74" t="n">
        <f aca="false">ROUNDUP(AR6*1/12,0)</f>
        <v>4</v>
      </c>
      <c r="AS7" s="74" t="n">
        <f aca="false">ROUNDUP(AS6*1/12,0)</f>
        <v>4</v>
      </c>
      <c r="AT7" s="74" t="n">
        <f aca="false">ROUNDUP(AT6*1/12,0)</f>
        <v>4</v>
      </c>
      <c r="AU7" s="74" t="n">
        <f aca="false">ROUNDUP(AU6*1/12,0)</f>
        <v>4</v>
      </c>
      <c r="AV7" s="74" t="n">
        <f aca="false">ROUNDUP(AV6*1/12,0)</f>
        <v>4</v>
      </c>
      <c r="AW7" s="74" t="n">
        <f aca="false">ROUNDUP(AW6*1/12,0)</f>
        <v>4</v>
      </c>
      <c r="AX7" s="74" t="n">
        <f aca="false">ROUNDUP(AX6*1/12,0)</f>
        <v>4</v>
      </c>
      <c r="AY7" s="74" t="n">
        <f aca="false">ROUNDUP(AY6*1/12,0)</f>
        <v>5</v>
      </c>
      <c r="AZ7" s="74" t="n">
        <f aca="false">ROUNDUP(AZ6*1/12,0)</f>
        <v>5</v>
      </c>
      <c r="BA7" s="74" t="n">
        <f aca="false">ROUNDUP(BA6*1/12,0)</f>
        <v>5</v>
      </c>
      <c r="BB7" s="74" t="n">
        <f aca="false">ROUNDUP(BB6*1/12,0)</f>
        <v>5</v>
      </c>
      <c r="BC7" s="74" t="n">
        <f aca="false">ROUNDUP(BC6*1/12,0)</f>
        <v>5</v>
      </c>
      <c r="BD7" s="74" t="n">
        <f aca="false">ROUNDUP(BD6*1/12,0)</f>
        <v>5</v>
      </c>
      <c r="BE7" s="74" t="n">
        <f aca="false">ROUNDUP(BE6*1/12,0)</f>
        <v>5</v>
      </c>
      <c r="BF7" s="74" t="n">
        <f aca="false">ROUNDUP(BF6*1/12,0)</f>
        <v>5</v>
      </c>
      <c r="BG7" s="74" t="n">
        <f aca="false">ROUNDUP(BG6*1/12,0)</f>
        <v>5</v>
      </c>
      <c r="BH7" s="74" t="n">
        <f aca="false">ROUNDUP(BH6*1/12,0)</f>
        <v>5</v>
      </c>
      <c r="BI7" s="74" t="n">
        <f aca="false">ROUNDUP(BI6*1/12,0)</f>
        <v>5</v>
      </c>
      <c r="BJ7" s="74" t="n">
        <f aca="false">ROUNDUP(BJ6*1/12,0)</f>
        <v>5</v>
      </c>
    </row>
    <row r="9" customFormat="false" ht="15.75" hidden="false" customHeight="true" outlineLevel="0" collapsed="false">
      <c r="A9" s="7" t="s">
        <v>417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6" t="s">
        <v>418</v>
      </c>
      <c r="C10" s="117" t="n">
        <f aca="false">MAX(0,MIN(1,Inputs!$B$10-(C$6-1)*1))</f>
        <v>1</v>
      </c>
      <c r="D10" s="117" t="n">
        <f aca="false">MAX(0,MIN(1,Inputs!$B$10-(D$6-1)*1))</f>
        <v>1</v>
      </c>
      <c r="E10" s="117" t="n">
        <f aca="false">MAX(0,MIN(1,Inputs!$B$10-(E$6-1)*1))</f>
        <v>1</v>
      </c>
      <c r="F10" s="117" t="n">
        <f aca="false">MAX(0,MIN(1,Inputs!$B$10-(F$6-1)*1))</f>
        <v>1</v>
      </c>
      <c r="G10" s="117" t="n">
        <f aca="false">MAX(0,MIN(1,Inputs!$B$10-(G$6-1)*1))</f>
        <v>1</v>
      </c>
      <c r="H10" s="117" t="n">
        <f aca="false">MAX(0,MIN(1,Inputs!$B$10-(H$6-1)*1))</f>
        <v>1</v>
      </c>
      <c r="I10" s="117" t="n">
        <f aca="false">MAX(0,MIN(1,Inputs!$B$10-(I$6-1)*1))</f>
        <v>1</v>
      </c>
      <c r="J10" s="117" t="n">
        <f aca="false">MAX(0,MIN(1,Inputs!$B$10-(J$6-1)*1))</f>
        <v>1</v>
      </c>
      <c r="K10" s="117" t="n">
        <f aca="false">MAX(0,MIN(1,Inputs!$B$10-(K$6-1)*1))</f>
        <v>1</v>
      </c>
      <c r="L10" s="117" t="n">
        <f aca="false">MAX(0,MIN(1,Inputs!$B$10-(L$6-1)*1))</f>
        <v>1</v>
      </c>
      <c r="M10" s="117" t="n">
        <f aca="false">MAX(0,MIN(1,Inputs!$B$10-(M$6-1)*1))</f>
        <v>1</v>
      </c>
      <c r="N10" s="117" t="n">
        <f aca="false">MAX(0,MIN(1,Inputs!$B$10-(N$6-1)*1))</f>
        <v>1</v>
      </c>
      <c r="O10" s="117" t="n">
        <f aca="false">MAX(0,MIN(1,Inputs!$B$10-(O$6-1)*1))</f>
        <v>0</v>
      </c>
      <c r="P10" s="117" t="n">
        <f aca="false">MAX(0,MIN(1,Inputs!$B$10-(P$6-1)*1))</f>
        <v>0</v>
      </c>
      <c r="Q10" s="117" t="n">
        <f aca="false">MAX(0,MIN(1,Inputs!$B$10-(Q$6-1)*1))</f>
        <v>0</v>
      </c>
      <c r="R10" s="117" t="n">
        <f aca="false">MAX(0,MIN(1,Inputs!$B$10-(R$6-1)*1))</f>
        <v>0</v>
      </c>
      <c r="S10" s="117" t="n">
        <f aca="false">MAX(0,MIN(1,Inputs!$B$10-(S$6-1)*1))</f>
        <v>0</v>
      </c>
      <c r="T10" s="117" t="n">
        <f aca="false">MAX(0,MIN(1,Inputs!$B$10-(T$6-1)*1))</f>
        <v>0</v>
      </c>
      <c r="U10" s="117" t="n">
        <f aca="false">MAX(0,MIN(1,Inputs!$B$10-(U$6-1)*1))</f>
        <v>0</v>
      </c>
      <c r="V10" s="117" t="n">
        <f aca="false">MAX(0,MIN(1,Inputs!$B$10-(V$6-1)*1))</f>
        <v>0</v>
      </c>
      <c r="W10" s="117" t="n">
        <f aca="false">MAX(0,MIN(1,Inputs!$B$10-(W$6-1)*1))</f>
        <v>0</v>
      </c>
      <c r="X10" s="117" t="n">
        <f aca="false">MAX(0,MIN(1,Inputs!$B$10-(X$6-1)*1))</f>
        <v>0</v>
      </c>
      <c r="Y10" s="117" t="n">
        <f aca="false">MAX(0,MIN(1,Inputs!$B$10-(Y$6-1)*1))</f>
        <v>0</v>
      </c>
      <c r="Z10" s="117" t="n">
        <f aca="false">MAX(0,MIN(1,Inputs!$B$10-(Z$6-1)*1))</f>
        <v>0</v>
      </c>
      <c r="AA10" s="117" t="n">
        <f aca="false">MAX(0,MIN(1,Inputs!$B$10-(AA$6-1)*1))</f>
        <v>0</v>
      </c>
      <c r="AB10" s="117" t="n">
        <f aca="false">MAX(0,MIN(1,Inputs!$B$10-(AB$6-1)*1))</f>
        <v>0</v>
      </c>
      <c r="AC10" s="117" t="n">
        <f aca="false">MAX(0,MIN(1,Inputs!$B$10-(AC$6-1)*1))</f>
        <v>0</v>
      </c>
      <c r="AD10" s="117" t="n">
        <f aca="false">MAX(0,MIN(1,Inputs!$B$10-(AD$6-1)*1))</f>
        <v>0</v>
      </c>
      <c r="AE10" s="117" t="n">
        <f aca="false">MAX(0,MIN(1,Inputs!$B$10-(AE$6-1)*1))</f>
        <v>0</v>
      </c>
      <c r="AF10" s="117" t="n">
        <f aca="false">MAX(0,MIN(1,Inputs!$B$10-(AF$6-1)*1))</f>
        <v>0</v>
      </c>
      <c r="AG10" s="117" t="n">
        <f aca="false">MAX(0,MIN(1,Inputs!$B$10-(AG$6-1)*1))</f>
        <v>0</v>
      </c>
      <c r="AH10" s="117" t="n">
        <f aca="false">MAX(0,MIN(1,Inputs!$B$10-(AH$6-1)*1))</f>
        <v>0</v>
      </c>
      <c r="AI10" s="117" t="n">
        <f aca="false">MAX(0,MIN(1,Inputs!$B$10-(AI$6-1)*1))</f>
        <v>0</v>
      </c>
      <c r="AJ10" s="117" t="n">
        <f aca="false">MAX(0,MIN(1,Inputs!$B$10-(AJ$6-1)*1))</f>
        <v>0</v>
      </c>
      <c r="AK10" s="117" t="n">
        <f aca="false">MAX(0,MIN(1,Inputs!$B$10-(AK$6-1)*1))</f>
        <v>0</v>
      </c>
      <c r="AL10" s="117" t="n">
        <f aca="false">MAX(0,MIN(1,Inputs!$B$10-(AL$6-1)*1))</f>
        <v>0</v>
      </c>
      <c r="AM10" s="117" t="n">
        <f aca="false">MAX(0,MIN(1,Inputs!$B$10-(AM$6-1)*1))</f>
        <v>0</v>
      </c>
      <c r="AN10" s="117" t="n">
        <f aca="false">MAX(0,MIN(1,Inputs!$B$10-(AN$6-1)*1))</f>
        <v>0</v>
      </c>
      <c r="AO10" s="117" t="n">
        <f aca="false">MAX(0,MIN(1,Inputs!$B$10-(AO$6-1)*1))</f>
        <v>0</v>
      </c>
      <c r="AP10" s="117" t="n">
        <f aca="false">MAX(0,MIN(1,Inputs!$B$10-(AP$6-1)*1))</f>
        <v>0</v>
      </c>
      <c r="AQ10" s="117" t="n">
        <f aca="false">MAX(0,MIN(1,Inputs!$B$10-(AQ$6-1)*1))</f>
        <v>0</v>
      </c>
      <c r="AR10" s="117" t="n">
        <f aca="false">MAX(0,MIN(1,Inputs!$B$10-(AR$6-1)*1))</f>
        <v>0</v>
      </c>
      <c r="AS10" s="117" t="n">
        <f aca="false">MAX(0,MIN(1,Inputs!$B$10-(AS$6-1)*1))</f>
        <v>0</v>
      </c>
      <c r="AT10" s="117" t="n">
        <f aca="false">MAX(0,MIN(1,Inputs!$B$10-(AT$6-1)*1))</f>
        <v>0</v>
      </c>
      <c r="AU10" s="117" t="n">
        <f aca="false">MAX(0,MIN(1,Inputs!$B$10-(AU$6-1)*1))</f>
        <v>0</v>
      </c>
      <c r="AV10" s="117" t="n">
        <f aca="false">MAX(0,MIN(1,Inputs!$B$10-(AV$6-1)*1))</f>
        <v>0</v>
      </c>
      <c r="AW10" s="117" t="n">
        <f aca="false">MAX(0,MIN(1,Inputs!$B$10-(AW$6-1)*1))</f>
        <v>0</v>
      </c>
      <c r="AX10" s="117" t="n">
        <f aca="false">MAX(0,MIN(1,Inputs!$B$10-(AX$6-1)*1))</f>
        <v>0</v>
      </c>
      <c r="AY10" s="117" t="n">
        <f aca="false">MAX(0,MIN(1,Inputs!$B$10-(AY$6-1)*1))</f>
        <v>0</v>
      </c>
      <c r="AZ10" s="117" t="n">
        <f aca="false">MAX(0,MIN(1,Inputs!$B$10-(AZ$6-1)*1))</f>
        <v>0</v>
      </c>
      <c r="BA10" s="117" t="n">
        <f aca="false">MAX(0,MIN(1,Inputs!$B$10-(BA$6-1)*1))</f>
        <v>0</v>
      </c>
      <c r="BB10" s="117" t="n">
        <f aca="false">MAX(0,MIN(1,Inputs!$B$10-(BB$6-1)*1))</f>
        <v>0</v>
      </c>
      <c r="BC10" s="117" t="n">
        <f aca="false">MAX(0,MIN(1,Inputs!$B$10-(BC$6-1)*1))</f>
        <v>0</v>
      </c>
      <c r="BD10" s="117" t="n">
        <f aca="false">MAX(0,MIN(1,Inputs!$B$10-(BD$6-1)*1))</f>
        <v>0</v>
      </c>
      <c r="BE10" s="117" t="n">
        <f aca="false">MAX(0,MIN(1,Inputs!$B$10-(BE$6-1)*1))</f>
        <v>0</v>
      </c>
      <c r="BF10" s="117" t="n">
        <f aca="false">MAX(0,MIN(1,Inputs!$B$10-(BF$6-1)*1))</f>
        <v>0</v>
      </c>
      <c r="BG10" s="117" t="n">
        <f aca="false">MAX(0,MIN(1,Inputs!$B$10-(BG$6-1)*1))</f>
        <v>0</v>
      </c>
      <c r="BH10" s="117" t="n">
        <f aca="false">MAX(0,MIN(1,Inputs!$B$10-(BH$6-1)*1))</f>
        <v>0</v>
      </c>
      <c r="BI10" s="117" t="n">
        <f aca="false">MAX(0,MIN(1,Inputs!$B$10-(BI$6-1)*1))</f>
        <v>0</v>
      </c>
      <c r="BJ10" s="117" t="n">
        <f aca="false">MAX(0,MIN(1,Inputs!$B$10-(BJ$6-1)*1))</f>
        <v>0</v>
      </c>
    </row>
    <row r="11" customFormat="false" ht="15" hidden="false" customHeight="false" outlineLevel="0" collapsed="false">
      <c r="A11" s="38" t="s">
        <v>419</v>
      </c>
      <c r="C11" s="76" t="n">
        <f aca="false">IF(Inputs!$B$10&lt;=0,1,(C10*Inputs!$B$11+(1-Inputs!$B$11)/MAX(1,Inputs!$B$10)*(C10*(C$6-1)*1+C10*(C10-1)/2)+1-C10)/1)</f>
        <v>0.35</v>
      </c>
      <c r="D11" s="76" t="n">
        <f aca="false">IF(Inputs!$B$10&lt;=0,1,(D10*Inputs!$B$11+(1-Inputs!$B$11)/MAX(1,Inputs!$B$10)*(D10*(D$6-1)*1+D10*(D10-1)/2)+1-D10)/1)</f>
        <v>0.404166666666667</v>
      </c>
      <c r="E11" s="76" t="n">
        <f aca="false">IF(Inputs!$B$10&lt;=0,1,(E10*Inputs!$B$11+(1-Inputs!$B$11)/MAX(1,Inputs!$B$10)*(E10*(E$6-1)*1+E10*(E10-1)/2)+1-E10)/1)</f>
        <v>0.458333333333333</v>
      </c>
      <c r="F11" s="76" t="n">
        <f aca="false">IF(Inputs!$B$10&lt;=0,1,(F10*Inputs!$B$11+(1-Inputs!$B$11)/MAX(1,Inputs!$B$10)*(F10*(F$6-1)*1+F10*(F10-1)/2)+1-F10)/1)</f>
        <v>0.5125</v>
      </c>
      <c r="G11" s="76" t="n">
        <f aca="false">IF(Inputs!$B$10&lt;=0,1,(G10*Inputs!$B$11+(1-Inputs!$B$11)/MAX(1,Inputs!$B$10)*(G10*(G$6-1)*1+G10*(G10-1)/2)+1-G10)/1)</f>
        <v>0.566666666666667</v>
      </c>
      <c r="H11" s="76" t="n">
        <f aca="false">IF(Inputs!$B$10&lt;=0,1,(H10*Inputs!$B$11+(1-Inputs!$B$11)/MAX(1,Inputs!$B$10)*(H10*(H$6-1)*1+H10*(H10-1)/2)+1-H10)/1)</f>
        <v>0.620833333333333</v>
      </c>
      <c r="I11" s="76" t="n">
        <f aca="false">IF(Inputs!$B$10&lt;=0,1,(I10*Inputs!$B$11+(1-Inputs!$B$11)/MAX(1,Inputs!$B$10)*(I10*(I$6-1)*1+I10*(I10-1)/2)+1-I10)/1)</f>
        <v>0.675</v>
      </c>
      <c r="J11" s="76" t="n">
        <f aca="false">IF(Inputs!$B$10&lt;=0,1,(J10*Inputs!$B$11+(1-Inputs!$B$11)/MAX(1,Inputs!$B$10)*(J10*(J$6-1)*1+J10*(J10-1)/2)+1-J10)/1)</f>
        <v>0.729166666666667</v>
      </c>
      <c r="K11" s="76" t="n">
        <f aca="false">IF(Inputs!$B$10&lt;=0,1,(K10*Inputs!$B$11+(1-Inputs!$B$11)/MAX(1,Inputs!$B$10)*(K10*(K$6-1)*1+K10*(K10-1)/2)+1-K10)/1)</f>
        <v>0.783333333333333</v>
      </c>
      <c r="L11" s="76" t="n">
        <f aca="false">IF(Inputs!$B$10&lt;=0,1,(L10*Inputs!$B$11+(1-Inputs!$B$11)/MAX(1,Inputs!$B$10)*(L10*(L$6-1)*1+L10*(L10-1)/2)+1-L10)/1)</f>
        <v>0.8375</v>
      </c>
      <c r="M11" s="76" t="n">
        <f aca="false">IF(Inputs!$B$10&lt;=0,1,(M10*Inputs!$B$11+(1-Inputs!$B$11)/MAX(1,Inputs!$B$10)*(M10*(M$6-1)*1+M10*(M10-1)/2)+1-M10)/1)</f>
        <v>0.891666666666667</v>
      </c>
      <c r="N11" s="76" t="n">
        <f aca="false">IF(Inputs!$B$10&lt;=0,1,(N10*Inputs!$B$11+(1-Inputs!$B$11)/MAX(1,Inputs!$B$10)*(N10*(N$6-1)*1+N10*(N10-1)/2)+1-N10)/1)</f>
        <v>0.945833333333333</v>
      </c>
      <c r="O11" s="76" t="n">
        <f aca="false">IF(Inputs!$B$10&lt;=0,1,(O10*Inputs!$B$11+(1-Inputs!$B$11)/MAX(1,Inputs!$B$10)*(O10*(O$6-1)*1+O10*(O10-1)/2)+1-O10)/1)</f>
        <v>1</v>
      </c>
      <c r="P11" s="76" t="n">
        <f aca="false">IF(Inputs!$B$10&lt;=0,1,(P10*Inputs!$B$11+(1-Inputs!$B$11)/MAX(1,Inputs!$B$10)*(P10*(P$6-1)*1+P10*(P10-1)/2)+1-P10)/1)</f>
        <v>1</v>
      </c>
      <c r="Q11" s="76" t="n">
        <f aca="false">IF(Inputs!$B$10&lt;=0,1,(Q10*Inputs!$B$11+(1-Inputs!$B$11)/MAX(1,Inputs!$B$10)*(Q10*(Q$6-1)*1+Q10*(Q10-1)/2)+1-Q10)/1)</f>
        <v>1</v>
      </c>
      <c r="R11" s="76" t="n">
        <f aca="false">IF(Inputs!$B$10&lt;=0,1,(R10*Inputs!$B$11+(1-Inputs!$B$11)/MAX(1,Inputs!$B$10)*(R10*(R$6-1)*1+R10*(R10-1)/2)+1-R10)/1)</f>
        <v>1</v>
      </c>
      <c r="S11" s="76" t="n">
        <f aca="false">IF(Inputs!$B$10&lt;=0,1,(S10*Inputs!$B$11+(1-Inputs!$B$11)/MAX(1,Inputs!$B$10)*(S10*(S$6-1)*1+S10*(S10-1)/2)+1-S10)/1)</f>
        <v>1</v>
      </c>
      <c r="T11" s="76" t="n">
        <f aca="false">IF(Inputs!$B$10&lt;=0,1,(T10*Inputs!$B$11+(1-Inputs!$B$11)/MAX(1,Inputs!$B$10)*(T10*(T$6-1)*1+T10*(T10-1)/2)+1-T10)/1)</f>
        <v>1</v>
      </c>
      <c r="U11" s="76" t="n">
        <f aca="false">IF(Inputs!$B$10&lt;=0,1,(U10*Inputs!$B$11+(1-Inputs!$B$11)/MAX(1,Inputs!$B$10)*(U10*(U$6-1)*1+U10*(U10-1)/2)+1-U10)/1)</f>
        <v>1</v>
      </c>
      <c r="V11" s="76" t="n">
        <f aca="false">IF(Inputs!$B$10&lt;=0,1,(V10*Inputs!$B$11+(1-Inputs!$B$11)/MAX(1,Inputs!$B$10)*(V10*(V$6-1)*1+V10*(V10-1)/2)+1-V10)/1)</f>
        <v>1</v>
      </c>
      <c r="W11" s="76" t="n">
        <f aca="false">IF(Inputs!$B$10&lt;=0,1,(W10*Inputs!$B$11+(1-Inputs!$B$11)/MAX(1,Inputs!$B$10)*(W10*(W$6-1)*1+W10*(W10-1)/2)+1-W10)/1)</f>
        <v>1</v>
      </c>
      <c r="X11" s="76" t="n">
        <f aca="false">IF(Inputs!$B$10&lt;=0,1,(X10*Inputs!$B$11+(1-Inputs!$B$11)/MAX(1,Inputs!$B$10)*(X10*(X$6-1)*1+X10*(X10-1)/2)+1-X10)/1)</f>
        <v>1</v>
      </c>
      <c r="Y11" s="76" t="n">
        <f aca="false">IF(Inputs!$B$10&lt;=0,1,(Y10*Inputs!$B$11+(1-Inputs!$B$11)/MAX(1,Inputs!$B$10)*(Y10*(Y$6-1)*1+Y10*(Y10-1)/2)+1-Y10)/1)</f>
        <v>1</v>
      </c>
      <c r="Z11" s="76" t="n">
        <f aca="false">IF(Inputs!$B$10&lt;=0,1,(Z10*Inputs!$B$11+(1-Inputs!$B$11)/MAX(1,Inputs!$B$10)*(Z10*(Z$6-1)*1+Z10*(Z10-1)/2)+1-Z10)/1)</f>
        <v>1</v>
      </c>
      <c r="AA11" s="76" t="n">
        <f aca="false">IF(Inputs!$B$10&lt;=0,1,(AA10*Inputs!$B$11+(1-Inputs!$B$11)/MAX(1,Inputs!$B$10)*(AA10*(AA$6-1)*1+AA10*(AA10-1)/2)+1-AA10)/1)</f>
        <v>1</v>
      </c>
      <c r="AB11" s="76" t="n">
        <f aca="false">IF(Inputs!$B$10&lt;=0,1,(AB10*Inputs!$B$11+(1-Inputs!$B$11)/MAX(1,Inputs!$B$10)*(AB10*(AB$6-1)*1+AB10*(AB10-1)/2)+1-AB10)/1)</f>
        <v>1</v>
      </c>
      <c r="AC11" s="76" t="n">
        <f aca="false">IF(Inputs!$B$10&lt;=0,1,(AC10*Inputs!$B$11+(1-Inputs!$B$11)/MAX(1,Inputs!$B$10)*(AC10*(AC$6-1)*1+AC10*(AC10-1)/2)+1-AC10)/1)</f>
        <v>1</v>
      </c>
      <c r="AD11" s="76" t="n">
        <f aca="false">IF(Inputs!$B$10&lt;=0,1,(AD10*Inputs!$B$11+(1-Inputs!$B$11)/MAX(1,Inputs!$B$10)*(AD10*(AD$6-1)*1+AD10*(AD10-1)/2)+1-AD10)/1)</f>
        <v>1</v>
      </c>
      <c r="AE11" s="76" t="n">
        <f aca="false">IF(Inputs!$B$10&lt;=0,1,(AE10*Inputs!$B$11+(1-Inputs!$B$11)/MAX(1,Inputs!$B$10)*(AE10*(AE$6-1)*1+AE10*(AE10-1)/2)+1-AE10)/1)</f>
        <v>1</v>
      </c>
      <c r="AF11" s="76" t="n">
        <f aca="false">IF(Inputs!$B$10&lt;=0,1,(AF10*Inputs!$B$11+(1-Inputs!$B$11)/MAX(1,Inputs!$B$10)*(AF10*(AF$6-1)*1+AF10*(AF10-1)/2)+1-AF10)/1)</f>
        <v>1</v>
      </c>
      <c r="AG11" s="76" t="n">
        <f aca="false">IF(Inputs!$B$10&lt;=0,1,(AG10*Inputs!$B$11+(1-Inputs!$B$11)/MAX(1,Inputs!$B$10)*(AG10*(AG$6-1)*1+AG10*(AG10-1)/2)+1-AG10)/1)</f>
        <v>1</v>
      </c>
      <c r="AH11" s="76" t="n">
        <f aca="false">IF(Inputs!$B$10&lt;=0,1,(AH10*Inputs!$B$11+(1-Inputs!$B$11)/MAX(1,Inputs!$B$10)*(AH10*(AH$6-1)*1+AH10*(AH10-1)/2)+1-AH10)/1)</f>
        <v>1</v>
      </c>
      <c r="AI11" s="76" t="n">
        <f aca="false">IF(Inputs!$B$10&lt;=0,1,(AI10*Inputs!$B$11+(1-Inputs!$B$11)/MAX(1,Inputs!$B$10)*(AI10*(AI$6-1)*1+AI10*(AI10-1)/2)+1-AI10)/1)</f>
        <v>1</v>
      </c>
      <c r="AJ11" s="76" t="n">
        <f aca="false">IF(Inputs!$B$10&lt;=0,1,(AJ10*Inputs!$B$11+(1-Inputs!$B$11)/MAX(1,Inputs!$B$10)*(AJ10*(AJ$6-1)*1+AJ10*(AJ10-1)/2)+1-AJ10)/1)</f>
        <v>1</v>
      </c>
      <c r="AK11" s="76" t="n">
        <f aca="false">IF(Inputs!$B$10&lt;=0,1,(AK10*Inputs!$B$11+(1-Inputs!$B$11)/MAX(1,Inputs!$B$10)*(AK10*(AK$6-1)*1+AK10*(AK10-1)/2)+1-AK10)/1)</f>
        <v>1</v>
      </c>
      <c r="AL11" s="76" t="n">
        <f aca="false">IF(Inputs!$B$10&lt;=0,1,(AL10*Inputs!$B$11+(1-Inputs!$B$11)/MAX(1,Inputs!$B$10)*(AL10*(AL$6-1)*1+AL10*(AL10-1)/2)+1-AL10)/1)</f>
        <v>1</v>
      </c>
      <c r="AM11" s="76" t="n">
        <f aca="false">IF(Inputs!$B$10&lt;=0,1,(AM10*Inputs!$B$11+(1-Inputs!$B$11)/MAX(1,Inputs!$B$10)*(AM10*(AM$6-1)*1+AM10*(AM10-1)/2)+1-AM10)/1)</f>
        <v>1</v>
      </c>
      <c r="AN11" s="76" t="n">
        <f aca="false">IF(Inputs!$B$10&lt;=0,1,(AN10*Inputs!$B$11+(1-Inputs!$B$11)/MAX(1,Inputs!$B$10)*(AN10*(AN$6-1)*1+AN10*(AN10-1)/2)+1-AN10)/1)</f>
        <v>1</v>
      </c>
      <c r="AO11" s="76" t="n">
        <f aca="false">IF(Inputs!$B$10&lt;=0,1,(AO10*Inputs!$B$11+(1-Inputs!$B$11)/MAX(1,Inputs!$B$10)*(AO10*(AO$6-1)*1+AO10*(AO10-1)/2)+1-AO10)/1)</f>
        <v>1</v>
      </c>
      <c r="AP11" s="76" t="n">
        <f aca="false">IF(Inputs!$B$10&lt;=0,1,(AP10*Inputs!$B$11+(1-Inputs!$B$11)/MAX(1,Inputs!$B$10)*(AP10*(AP$6-1)*1+AP10*(AP10-1)/2)+1-AP10)/1)</f>
        <v>1</v>
      </c>
      <c r="AQ11" s="76" t="n">
        <f aca="false">IF(Inputs!$B$10&lt;=0,1,(AQ10*Inputs!$B$11+(1-Inputs!$B$11)/MAX(1,Inputs!$B$10)*(AQ10*(AQ$6-1)*1+AQ10*(AQ10-1)/2)+1-AQ10)/1)</f>
        <v>1</v>
      </c>
      <c r="AR11" s="76" t="n">
        <f aca="false">IF(Inputs!$B$10&lt;=0,1,(AR10*Inputs!$B$11+(1-Inputs!$B$11)/MAX(1,Inputs!$B$10)*(AR10*(AR$6-1)*1+AR10*(AR10-1)/2)+1-AR10)/1)</f>
        <v>1</v>
      </c>
      <c r="AS11" s="76" t="n">
        <f aca="false">IF(Inputs!$B$10&lt;=0,1,(AS10*Inputs!$B$11+(1-Inputs!$B$11)/MAX(1,Inputs!$B$10)*(AS10*(AS$6-1)*1+AS10*(AS10-1)/2)+1-AS10)/1)</f>
        <v>1</v>
      </c>
      <c r="AT11" s="76" t="n">
        <f aca="false">IF(Inputs!$B$10&lt;=0,1,(AT10*Inputs!$B$11+(1-Inputs!$B$11)/MAX(1,Inputs!$B$10)*(AT10*(AT$6-1)*1+AT10*(AT10-1)/2)+1-AT10)/1)</f>
        <v>1</v>
      </c>
      <c r="AU11" s="76" t="n">
        <f aca="false">IF(Inputs!$B$10&lt;=0,1,(AU10*Inputs!$B$11+(1-Inputs!$B$11)/MAX(1,Inputs!$B$10)*(AU10*(AU$6-1)*1+AU10*(AU10-1)/2)+1-AU10)/1)</f>
        <v>1</v>
      </c>
      <c r="AV11" s="76" t="n">
        <f aca="false">IF(Inputs!$B$10&lt;=0,1,(AV10*Inputs!$B$11+(1-Inputs!$B$11)/MAX(1,Inputs!$B$10)*(AV10*(AV$6-1)*1+AV10*(AV10-1)/2)+1-AV10)/1)</f>
        <v>1</v>
      </c>
      <c r="AW11" s="76" t="n">
        <f aca="false">IF(Inputs!$B$10&lt;=0,1,(AW10*Inputs!$B$11+(1-Inputs!$B$11)/MAX(1,Inputs!$B$10)*(AW10*(AW$6-1)*1+AW10*(AW10-1)/2)+1-AW10)/1)</f>
        <v>1</v>
      </c>
      <c r="AX11" s="76" t="n">
        <f aca="false">IF(Inputs!$B$10&lt;=0,1,(AX10*Inputs!$B$11+(1-Inputs!$B$11)/MAX(1,Inputs!$B$10)*(AX10*(AX$6-1)*1+AX10*(AX10-1)/2)+1-AX10)/1)</f>
        <v>1</v>
      </c>
      <c r="AY11" s="76" t="n">
        <f aca="false">IF(Inputs!$B$10&lt;=0,1,(AY10*Inputs!$B$11+(1-Inputs!$B$11)/MAX(1,Inputs!$B$10)*(AY10*(AY$6-1)*1+AY10*(AY10-1)/2)+1-AY10)/1)</f>
        <v>1</v>
      </c>
      <c r="AZ11" s="76" t="n">
        <f aca="false">IF(Inputs!$B$10&lt;=0,1,(AZ10*Inputs!$B$11+(1-Inputs!$B$11)/MAX(1,Inputs!$B$10)*(AZ10*(AZ$6-1)*1+AZ10*(AZ10-1)/2)+1-AZ10)/1)</f>
        <v>1</v>
      </c>
      <c r="BA11" s="76" t="n">
        <f aca="false">IF(Inputs!$B$10&lt;=0,1,(BA10*Inputs!$B$11+(1-Inputs!$B$11)/MAX(1,Inputs!$B$10)*(BA10*(BA$6-1)*1+BA10*(BA10-1)/2)+1-BA10)/1)</f>
        <v>1</v>
      </c>
      <c r="BB11" s="76" t="n">
        <f aca="false">IF(Inputs!$B$10&lt;=0,1,(BB10*Inputs!$B$11+(1-Inputs!$B$11)/MAX(1,Inputs!$B$10)*(BB10*(BB$6-1)*1+BB10*(BB10-1)/2)+1-BB10)/1)</f>
        <v>1</v>
      </c>
      <c r="BC11" s="76" t="n">
        <f aca="false">IF(Inputs!$B$10&lt;=0,1,(BC10*Inputs!$B$11+(1-Inputs!$B$11)/MAX(1,Inputs!$B$10)*(BC10*(BC$6-1)*1+BC10*(BC10-1)/2)+1-BC10)/1)</f>
        <v>1</v>
      </c>
      <c r="BD11" s="76" t="n">
        <f aca="false">IF(Inputs!$B$10&lt;=0,1,(BD10*Inputs!$B$11+(1-Inputs!$B$11)/MAX(1,Inputs!$B$10)*(BD10*(BD$6-1)*1+BD10*(BD10-1)/2)+1-BD10)/1)</f>
        <v>1</v>
      </c>
      <c r="BE11" s="76" t="n">
        <f aca="false">IF(Inputs!$B$10&lt;=0,1,(BE10*Inputs!$B$11+(1-Inputs!$B$11)/MAX(1,Inputs!$B$10)*(BE10*(BE$6-1)*1+BE10*(BE10-1)/2)+1-BE10)/1)</f>
        <v>1</v>
      </c>
      <c r="BF11" s="76" t="n">
        <f aca="false">IF(Inputs!$B$10&lt;=0,1,(BF10*Inputs!$B$11+(1-Inputs!$B$11)/MAX(1,Inputs!$B$10)*(BF10*(BF$6-1)*1+BF10*(BF10-1)/2)+1-BF10)/1)</f>
        <v>1</v>
      </c>
      <c r="BG11" s="76" t="n">
        <f aca="false">IF(Inputs!$B$10&lt;=0,1,(BG10*Inputs!$B$11+(1-Inputs!$B$11)/MAX(1,Inputs!$B$10)*(BG10*(BG$6-1)*1+BG10*(BG10-1)/2)+1-BG10)/1)</f>
        <v>1</v>
      </c>
      <c r="BH11" s="76" t="n">
        <f aca="false">IF(Inputs!$B$10&lt;=0,1,(BH10*Inputs!$B$11+(1-Inputs!$B$11)/MAX(1,Inputs!$B$10)*(BH10*(BH$6-1)*1+BH10*(BH10-1)/2)+1-BH10)/1)</f>
        <v>1</v>
      </c>
      <c r="BI11" s="76" t="n">
        <f aca="false">IF(Inputs!$B$10&lt;=0,1,(BI10*Inputs!$B$11+(1-Inputs!$B$11)/MAX(1,Inputs!$B$10)*(BI10*(BI$6-1)*1+BI10*(BI10-1)/2)+1-BI10)/1)</f>
        <v>1</v>
      </c>
      <c r="BJ11" s="76" t="n">
        <f aca="false">IF(Inputs!$B$10&lt;=0,1,(BJ10*Inputs!$B$11+(1-Inputs!$B$11)/MAX(1,Inputs!$B$10)*(BJ10*(BJ$6-1)*1+BJ10*(BJ10-1)/2)+1-BJ10)/1)</f>
        <v>1</v>
      </c>
    </row>
    <row r="12" customFormat="false" ht="15" hidden="false" customHeight="false" outlineLevel="0" collapsed="false">
      <c r="A12" s="6" t="s">
        <v>420</v>
      </c>
      <c r="C12" s="79" t="n">
        <f aca="false">IF(OR(MOD(C$6-1,12)&gt;=11,MOD(C$6-1,12)&lt;=1),1-Inputs!$B$12,1+Inputs!$B$12/3)</f>
        <v>0.8</v>
      </c>
      <c r="D12" s="79" t="n">
        <f aca="false">IF(OR(MOD(D$6-1,12)&gt;=11,MOD(D$6-1,12)&lt;=1),1-Inputs!$B$12,1+Inputs!$B$12/3)</f>
        <v>0.8</v>
      </c>
      <c r="E12" s="79" t="n">
        <f aca="false">IF(OR(MOD(E$6-1,12)&gt;=11,MOD(E$6-1,12)&lt;=1),1-Inputs!$B$12,1+Inputs!$B$12/3)</f>
        <v>1.06666666666667</v>
      </c>
      <c r="F12" s="79" t="n">
        <f aca="false">IF(OR(MOD(F$6-1,12)&gt;=11,MOD(F$6-1,12)&lt;=1),1-Inputs!$B$12,1+Inputs!$B$12/3)</f>
        <v>1.06666666666667</v>
      </c>
      <c r="G12" s="79" t="n">
        <f aca="false">IF(OR(MOD(G$6-1,12)&gt;=11,MOD(G$6-1,12)&lt;=1),1-Inputs!$B$12,1+Inputs!$B$12/3)</f>
        <v>1.06666666666667</v>
      </c>
      <c r="H12" s="79" t="n">
        <f aca="false">IF(OR(MOD(H$6-1,12)&gt;=11,MOD(H$6-1,12)&lt;=1),1-Inputs!$B$12,1+Inputs!$B$12/3)</f>
        <v>1.06666666666667</v>
      </c>
      <c r="I12" s="79" t="n">
        <f aca="false">IF(OR(MOD(I$6-1,12)&gt;=11,MOD(I$6-1,12)&lt;=1),1-Inputs!$B$12,1+Inputs!$B$12/3)</f>
        <v>1.06666666666667</v>
      </c>
      <c r="J12" s="79" t="n">
        <f aca="false">IF(OR(MOD(J$6-1,12)&gt;=11,MOD(J$6-1,12)&lt;=1),1-Inputs!$B$12,1+Inputs!$B$12/3)</f>
        <v>1.06666666666667</v>
      </c>
      <c r="K12" s="79" t="n">
        <f aca="false">IF(OR(MOD(K$6-1,12)&gt;=11,MOD(K$6-1,12)&lt;=1),1-Inputs!$B$12,1+Inputs!$B$12/3)</f>
        <v>1.06666666666667</v>
      </c>
      <c r="L12" s="79" t="n">
        <f aca="false">IF(OR(MOD(L$6-1,12)&gt;=11,MOD(L$6-1,12)&lt;=1),1-Inputs!$B$12,1+Inputs!$B$12/3)</f>
        <v>1.06666666666667</v>
      </c>
      <c r="M12" s="79" t="n">
        <f aca="false">IF(OR(MOD(M$6-1,12)&gt;=11,MOD(M$6-1,12)&lt;=1),1-Inputs!$B$12,1+Inputs!$B$12/3)</f>
        <v>1.06666666666667</v>
      </c>
      <c r="N12" s="79" t="n">
        <f aca="false">IF(OR(MOD(N$6-1,12)&gt;=11,MOD(N$6-1,12)&lt;=1),1-Inputs!$B$12,1+Inputs!$B$12/3)</f>
        <v>0.8</v>
      </c>
      <c r="O12" s="79" t="n">
        <f aca="false">IF(OR(MOD(O$6-1,12)&gt;=11,MOD(O$6-1,12)&lt;=1),1-Inputs!$B$12,1+Inputs!$B$12/3)</f>
        <v>0.8</v>
      </c>
      <c r="P12" s="79" t="n">
        <f aca="false">IF(OR(MOD(P$6-1,12)&gt;=11,MOD(P$6-1,12)&lt;=1),1-Inputs!$B$12,1+Inputs!$B$12/3)</f>
        <v>0.8</v>
      </c>
      <c r="Q12" s="79" t="n">
        <f aca="false">IF(OR(MOD(Q$6-1,12)&gt;=11,MOD(Q$6-1,12)&lt;=1),1-Inputs!$B$12,1+Inputs!$B$12/3)</f>
        <v>1.06666666666667</v>
      </c>
      <c r="R12" s="79" t="n">
        <f aca="false">IF(OR(MOD(R$6-1,12)&gt;=11,MOD(R$6-1,12)&lt;=1),1-Inputs!$B$12,1+Inputs!$B$12/3)</f>
        <v>1.06666666666667</v>
      </c>
      <c r="S12" s="79" t="n">
        <f aca="false">IF(OR(MOD(S$6-1,12)&gt;=11,MOD(S$6-1,12)&lt;=1),1-Inputs!$B$12,1+Inputs!$B$12/3)</f>
        <v>1.06666666666667</v>
      </c>
      <c r="T12" s="79" t="n">
        <f aca="false">IF(OR(MOD(T$6-1,12)&gt;=11,MOD(T$6-1,12)&lt;=1),1-Inputs!$B$12,1+Inputs!$B$12/3)</f>
        <v>1.06666666666667</v>
      </c>
      <c r="U12" s="79" t="n">
        <f aca="false">IF(OR(MOD(U$6-1,12)&gt;=11,MOD(U$6-1,12)&lt;=1),1-Inputs!$B$12,1+Inputs!$B$12/3)</f>
        <v>1.06666666666667</v>
      </c>
      <c r="V12" s="79" t="n">
        <f aca="false">IF(OR(MOD(V$6-1,12)&gt;=11,MOD(V$6-1,12)&lt;=1),1-Inputs!$B$12,1+Inputs!$B$12/3)</f>
        <v>1.06666666666667</v>
      </c>
      <c r="W12" s="79" t="n">
        <f aca="false">IF(OR(MOD(W$6-1,12)&gt;=11,MOD(W$6-1,12)&lt;=1),1-Inputs!$B$12,1+Inputs!$B$12/3)</f>
        <v>1.06666666666667</v>
      </c>
      <c r="X12" s="79" t="n">
        <f aca="false">IF(OR(MOD(X$6-1,12)&gt;=11,MOD(X$6-1,12)&lt;=1),1-Inputs!$B$12,1+Inputs!$B$12/3)</f>
        <v>1.06666666666667</v>
      </c>
      <c r="Y12" s="79" t="n">
        <f aca="false">IF(OR(MOD(Y$6-1,12)&gt;=11,MOD(Y$6-1,12)&lt;=1),1-Inputs!$B$12,1+Inputs!$B$12/3)</f>
        <v>1.06666666666667</v>
      </c>
      <c r="Z12" s="79" t="n">
        <f aca="false">IF(OR(MOD(Z$6-1,12)&gt;=11,MOD(Z$6-1,12)&lt;=1),1-Inputs!$B$12,1+Inputs!$B$12/3)</f>
        <v>0.8</v>
      </c>
      <c r="AA12" s="79" t="n">
        <f aca="false">IF(OR(MOD(AA$6-1,12)&gt;=11,MOD(AA$6-1,12)&lt;=1),1-Inputs!$B$12,1+Inputs!$B$12/3)</f>
        <v>0.8</v>
      </c>
      <c r="AB12" s="79" t="n">
        <f aca="false">IF(OR(MOD(AB$6-1,12)&gt;=11,MOD(AB$6-1,12)&lt;=1),1-Inputs!$B$12,1+Inputs!$B$12/3)</f>
        <v>0.8</v>
      </c>
      <c r="AC12" s="79" t="n">
        <f aca="false">IF(OR(MOD(AC$6-1,12)&gt;=11,MOD(AC$6-1,12)&lt;=1),1-Inputs!$B$12,1+Inputs!$B$12/3)</f>
        <v>1.06666666666667</v>
      </c>
      <c r="AD12" s="79" t="n">
        <f aca="false">IF(OR(MOD(AD$6-1,12)&gt;=11,MOD(AD$6-1,12)&lt;=1),1-Inputs!$B$12,1+Inputs!$B$12/3)</f>
        <v>1.06666666666667</v>
      </c>
      <c r="AE12" s="79" t="n">
        <f aca="false">IF(OR(MOD(AE$6-1,12)&gt;=11,MOD(AE$6-1,12)&lt;=1),1-Inputs!$B$12,1+Inputs!$B$12/3)</f>
        <v>1.06666666666667</v>
      </c>
      <c r="AF12" s="79" t="n">
        <f aca="false">IF(OR(MOD(AF$6-1,12)&gt;=11,MOD(AF$6-1,12)&lt;=1),1-Inputs!$B$12,1+Inputs!$B$12/3)</f>
        <v>1.06666666666667</v>
      </c>
      <c r="AG12" s="79" t="n">
        <f aca="false">IF(OR(MOD(AG$6-1,12)&gt;=11,MOD(AG$6-1,12)&lt;=1),1-Inputs!$B$12,1+Inputs!$B$12/3)</f>
        <v>1.06666666666667</v>
      </c>
      <c r="AH12" s="79" t="n">
        <f aca="false">IF(OR(MOD(AH$6-1,12)&gt;=11,MOD(AH$6-1,12)&lt;=1),1-Inputs!$B$12,1+Inputs!$B$12/3)</f>
        <v>1.06666666666667</v>
      </c>
      <c r="AI12" s="79" t="n">
        <f aca="false">IF(OR(MOD(AI$6-1,12)&gt;=11,MOD(AI$6-1,12)&lt;=1),1-Inputs!$B$12,1+Inputs!$B$12/3)</f>
        <v>1.06666666666667</v>
      </c>
      <c r="AJ12" s="79" t="n">
        <f aca="false">IF(OR(MOD(AJ$6-1,12)&gt;=11,MOD(AJ$6-1,12)&lt;=1),1-Inputs!$B$12,1+Inputs!$B$12/3)</f>
        <v>1.06666666666667</v>
      </c>
      <c r="AK12" s="79" t="n">
        <f aca="false">IF(OR(MOD(AK$6-1,12)&gt;=11,MOD(AK$6-1,12)&lt;=1),1-Inputs!$B$12,1+Inputs!$B$12/3)</f>
        <v>1.06666666666667</v>
      </c>
      <c r="AL12" s="79" t="n">
        <f aca="false">IF(OR(MOD(AL$6-1,12)&gt;=11,MOD(AL$6-1,12)&lt;=1),1-Inputs!$B$12,1+Inputs!$B$12/3)</f>
        <v>0.8</v>
      </c>
      <c r="AM12" s="79" t="n">
        <f aca="false">IF(OR(MOD(AM$6-1,12)&gt;=11,MOD(AM$6-1,12)&lt;=1),1-Inputs!$B$12,1+Inputs!$B$12/3)</f>
        <v>0.8</v>
      </c>
      <c r="AN12" s="79" t="n">
        <f aca="false">IF(OR(MOD(AN$6-1,12)&gt;=11,MOD(AN$6-1,12)&lt;=1),1-Inputs!$B$12,1+Inputs!$B$12/3)</f>
        <v>0.8</v>
      </c>
      <c r="AO12" s="79" t="n">
        <f aca="false">IF(OR(MOD(AO$6-1,12)&gt;=11,MOD(AO$6-1,12)&lt;=1),1-Inputs!$B$12,1+Inputs!$B$12/3)</f>
        <v>1.06666666666667</v>
      </c>
      <c r="AP12" s="79" t="n">
        <f aca="false">IF(OR(MOD(AP$6-1,12)&gt;=11,MOD(AP$6-1,12)&lt;=1),1-Inputs!$B$12,1+Inputs!$B$12/3)</f>
        <v>1.06666666666667</v>
      </c>
      <c r="AQ12" s="79" t="n">
        <f aca="false">IF(OR(MOD(AQ$6-1,12)&gt;=11,MOD(AQ$6-1,12)&lt;=1),1-Inputs!$B$12,1+Inputs!$B$12/3)</f>
        <v>1.06666666666667</v>
      </c>
      <c r="AR12" s="79" t="n">
        <f aca="false">IF(OR(MOD(AR$6-1,12)&gt;=11,MOD(AR$6-1,12)&lt;=1),1-Inputs!$B$12,1+Inputs!$B$12/3)</f>
        <v>1.06666666666667</v>
      </c>
      <c r="AS12" s="79" t="n">
        <f aca="false">IF(OR(MOD(AS$6-1,12)&gt;=11,MOD(AS$6-1,12)&lt;=1),1-Inputs!$B$12,1+Inputs!$B$12/3)</f>
        <v>1.06666666666667</v>
      </c>
      <c r="AT12" s="79" t="n">
        <f aca="false">IF(OR(MOD(AT$6-1,12)&gt;=11,MOD(AT$6-1,12)&lt;=1),1-Inputs!$B$12,1+Inputs!$B$12/3)</f>
        <v>1.06666666666667</v>
      </c>
      <c r="AU12" s="79" t="n">
        <f aca="false">IF(OR(MOD(AU$6-1,12)&gt;=11,MOD(AU$6-1,12)&lt;=1),1-Inputs!$B$12,1+Inputs!$B$12/3)</f>
        <v>1.06666666666667</v>
      </c>
      <c r="AV12" s="79" t="n">
        <f aca="false">IF(OR(MOD(AV$6-1,12)&gt;=11,MOD(AV$6-1,12)&lt;=1),1-Inputs!$B$12,1+Inputs!$B$12/3)</f>
        <v>1.06666666666667</v>
      </c>
      <c r="AW12" s="79" t="n">
        <f aca="false">IF(OR(MOD(AW$6-1,12)&gt;=11,MOD(AW$6-1,12)&lt;=1),1-Inputs!$B$12,1+Inputs!$B$12/3)</f>
        <v>1.06666666666667</v>
      </c>
      <c r="AX12" s="79" t="n">
        <f aca="false">IF(OR(MOD(AX$6-1,12)&gt;=11,MOD(AX$6-1,12)&lt;=1),1-Inputs!$B$12,1+Inputs!$B$12/3)</f>
        <v>0.8</v>
      </c>
      <c r="AY12" s="79" t="n">
        <f aca="false">IF(OR(MOD(AY$6-1,12)&gt;=11,MOD(AY$6-1,12)&lt;=1),1-Inputs!$B$12,1+Inputs!$B$12/3)</f>
        <v>0.8</v>
      </c>
      <c r="AZ12" s="79" t="n">
        <f aca="false">IF(OR(MOD(AZ$6-1,12)&gt;=11,MOD(AZ$6-1,12)&lt;=1),1-Inputs!$B$12,1+Inputs!$B$12/3)</f>
        <v>0.8</v>
      </c>
      <c r="BA12" s="79" t="n">
        <f aca="false">IF(OR(MOD(BA$6-1,12)&gt;=11,MOD(BA$6-1,12)&lt;=1),1-Inputs!$B$12,1+Inputs!$B$12/3)</f>
        <v>1.06666666666667</v>
      </c>
      <c r="BB12" s="79" t="n">
        <f aca="false">IF(OR(MOD(BB$6-1,12)&gt;=11,MOD(BB$6-1,12)&lt;=1),1-Inputs!$B$12,1+Inputs!$B$12/3)</f>
        <v>1.06666666666667</v>
      </c>
      <c r="BC12" s="79" t="n">
        <f aca="false">IF(OR(MOD(BC$6-1,12)&gt;=11,MOD(BC$6-1,12)&lt;=1),1-Inputs!$B$12,1+Inputs!$B$12/3)</f>
        <v>1.06666666666667</v>
      </c>
      <c r="BD12" s="79" t="n">
        <f aca="false">IF(OR(MOD(BD$6-1,12)&gt;=11,MOD(BD$6-1,12)&lt;=1),1-Inputs!$B$12,1+Inputs!$B$12/3)</f>
        <v>1.06666666666667</v>
      </c>
      <c r="BE12" s="79" t="n">
        <f aca="false">IF(OR(MOD(BE$6-1,12)&gt;=11,MOD(BE$6-1,12)&lt;=1),1-Inputs!$B$12,1+Inputs!$B$12/3)</f>
        <v>1.06666666666667</v>
      </c>
      <c r="BF12" s="79" t="n">
        <f aca="false">IF(OR(MOD(BF$6-1,12)&gt;=11,MOD(BF$6-1,12)&lt;=1),1-Inputs!$B$12,1+Inputs!$B$12/3)</f>
        <v>1.06666666666667</v>
      </c>
      <c r="BG12" s="79" t="n">
        <f aca="false">IF(OR(MOD(BG$6-1,12)&gt;=11,MOD(BG$6-1,12)&lt;=1),1-Inputs!$B$12,1+Inputs!$B$12/3)</f>
        <v>1.06666666666667</v>
      </c>
      <c r="BH12" s="79" t="n">
        <f aca="false">IF(OR(MOD(BH$6-1,12)&gt;=11,MOD(BH$6-1,12)&lt;=1),1-Inputs!$B$12,1+Inputs!$B$12/3)</f>
        <v>1.06666666666667</v>
      </c>
      <c r="BI12" s="79" t="n">
        <f aca="false">IF(OR(MOD(BI$6-1,12)&gt;=11,MOD(BI$6-1,12)&lt;=1),1-Inputs!$B$12,1+Inputs!$B$12/3)</f>
        <v>1.06666666666667</v>
      </c>
      <c r="BJ12" s="79" t="n">
        <f aca="false">IF(OR(MOD(BJ$6-1,12)&gt;=11,MOD(BJ$6-1,12)&lt;=1),1-Inputs!$B$12,1+Inputs!$B$12/3)</f>
        <v>0.8</v>
      </c>
    </row>
    <row r="13" customFormat="false" ht="15" hidden="false" customHeight="false" outlineLevel="0" collapsed="false">
      <c r="A13" s="6" t="s">
        <v>421</v>
      </c>
      <c r="C13" s="118" t="n">
        <f aca="false">Inputs!$B$7*(1+Inputs!$B$8)^(C$7-1)*Inputs!$B$9*1*C11*C12</f>
        <v>1624</v>
      </c>
      <c r="D13" s="118" t="n">
        <f aca="false">Inputs!$B$7*(1+Inputs!$B$8)^(D$7-1)*Inputs!$B$9*1*D11*D12</f>
        <v>1875.33333333333</v>
      </c>
      <c r="E13" s="118" t="n">
        <f aca="false">Inputs!$B$7*(1+Inputs!$B$8)^(E$7-1)*Inputs!$B$9*1*E11*E12</f>
        <v>2835.55555555556</v>
      </c>
      <c r="F13" s="118" t="n">
        <f aca="false">Inputs!$B$7*(1+Inputs!$B$8)^(F$7-1)*Inputs!$B$9*1*F11*F12</f>
        <v>3170.66666666667</v>
      </c>
      <c r="G13" s="118" t="n">
        <f aca="false">Inputs!$B$7*(1+Inputs!$B$8)^(G$7-1)*Inputs!$B$9*1*G11*G12</f>
        <v>3505.77777777778</v>
      </c>
      <c r="H13" s="118" t="n">
        <f aca="false">Inputs!$B$7*(1+Inputs!$B$8)^(H$7-1)*Inputs!$B$9*1*H11*H12</f>
        <v>3840.88888888889</v>
      </c>
      <c r="I13" s="118" t="n">
        <f aca="false">Inputs!$B$7*(1+Inputs!$B$8)^(I$7-1)*Inputs!$B$9*1*I11*I12</f>
        <v>4176</v>
      </c>
      <c r="J13" s="118" t="n">
        <f aca="false">Inputs!$B$7*(1+Inputs!$B$8)^(J$7-1)*Inputs!$B$9*1*J11*J12</f>
        <v>4511.11111111111</v>
      </c>
      <c r="K13" s="118" t="n">
        <f aca="false">Inputs!$B$7*(1+Inputs!$B$8)^(K$7-1)*Inputs!$B$9*1*K11*K12</f>
        <v>4846.22222222222</v>
      </c>
      <c r="L13" s="118" t="n">
        <f aca="false">Inputs!$B$7*(1+Inputs!$B$8)^(L$7-1)*Inputs!$B$9*1*L11*L12</f>
        <v>5181.33333333333</v>
      </c>
      <c r="M13" s="118" t="n">
        <f aca="false">Inputs!$B$7*(1+Inputs!$B$8)^(M$7-1)*Inputs!$B$9*1*M11*M12</f>
        <v>5516.44444444444</v>
      </c>
      <c r="N13" s="118" t="n">
        <f aca="false">Inputs!$B$7*(1+Inputs!$B$8)^(N$7-1)*Inputs!$B$9*1*N11*N12</f>
        <v>4388.66666666667</v>
      </c>
      <c r="O13" s="118" t="n">
        <f aca="false">Inputs!$B$7*(1+Inputs!$B$8)^(O$7-1)*Inputs!$B$9*1*O11*O12</f>
        <v>4640</v>
      </c>
      <c r="P13" s="118" t="n">
        <f aca="false">Inputs!$B$7*(1+Inputs!$B$8)^(P$7-1)*Inputs!$B$9*1*P11*P12</f>
        <v>4640</v>
      </c>
      <c r="Q13" s="118" t="n">
        <f aca="false">Inputs!$B$7*(1+Inputs!$B$8)^(Q$7-1)*Inputs!$B$9*1*Q11*Q12</f>
        <v>6186.66666666667</v>
      </c>
      <c r="R13" s="118" t="n">
        <f aca="false">Inputs!$B$7*(1+Inputs!$B$8)^(R$7-1)*Inputs!$B$9*1*R11*R12</f>
        <v>6186.66666666667</v>
      </c>
      <c r="S13" s="118" t="n">
        <f aca="false">Inputs!$B$7*(1+Inputs!$B$8)^(S$7-1)*Inputs!$B$9*1*S11*S12</f>
        <v>6186.66666666667</v>
      </c>
      <c r="T13" s="118" t="n">
        <f aca="false">Inputs!$B$7*(1+Inputs!$B$8)^(T$7-1)*Inputs!$B$9*1*T11*T12</f>
        <v>6186.66666666667</v>
      </c>
      <c r="U13" s="118" t="n">
        <f aca="false">Inputs!$B$7*(1+Inputs!$B$8)^(U$7-1)*Inputs!$B$9*1*U11*U12</f>
        <v>6186.66666666667</v>
      </c>
      <c r="V13" s="118" t="n">
        <f aca="false">Inputs!$B$7*(1+Inputs!$B$8)^(V$7-1)*Inputs!$B$9*1*V11*V12</f>
        <v>6186.66666666667</v>
      </c>
      <c r="W13" s="118" t="n">
        <f aca="false">Inputs!$B$7*(1+Inputs!$B$8)^(W$7-1)*Inputs!$B$9*1*W11*W12</f>
        <v>6186.66666666667</v>
      </c>
      <c r="X13" s="118" t="n">
        <f aca="false">Inputs!$B$7*(1+Inputs!$B$8)^(X$7-1)*Inputs!$B$9*1*X11*X12</f>
        <v>6186.66666666667</v>
      </c>
      <c r="Y13" s="118" t="n">
        <f aca="false">Inputs!$B$7*(1+Inputs!$B$8)^(Y$7-1)*Inputs!$B$9*1*Y11*Y12</f>
        <v>6186.66666666667</v>
      </c>
      <c r="Z13" s="118" t="n">
        <f aca="false">Inputs!$B$7*(1+Inputs!$B$8)^(Z$7-1)*Inputs!$B$9*1*Z11*Z12</f>
        <v>4640</v>
      </c>
      <c r="AA13" s="118" t="n">
        <f aca="false">Inputs!$B$7*(1+Inputs!$B$8)^(AA$7-1)*Inputs!$B$9*1*AA11*AA12</f>
        <v>4640</v>
      </c>
      <c r="AB13" s="118" t="n">
        <f aca="false">Inputs!$B$7*(1+Inputs!$B$8)^(AB$7-1)*Inputs!$B$9*1*AB11*AB12</f>
        <v>4640</v>
      </c>
      <c r="AC13" s="118" t="n">
        <f aca="false">Inputs!$B$7*(1+Inputs!$B$8)^(AC$7-1)*Inputs!$B$9*1*AC11*AC12</f>
        <v>6186.66666666667</v>
      </c>
      <c r="AD13" s="118" t="n">
        <f aca="false">Inputs!$B$7*(1+Inputs!$B$8)^(AD$7-1)*Inputs!$B$9*1*AD11*AD12</f>
        <v>6186.66666666667</v>
      </c>
      <c r="AE13" s="118" t="n">
        <f aca="false">Inputs!$B$7*(1+Inputs!$B$8)^(AE$7-1)*Inputs!$B$9*1*AE11*AE12</f>
        <v>6186.66666666667</v>
      </c>
      <c r="AF13" s="118" t="n">
        <f aca="false">Inputs!$B$7*(1+Inputs!$B$8)^(AF$7-1)*Inputs!$B$9*1*AF11*AF12</f>
        <v>6186.66666666667</v>
      </c>
      <c r="AG13" s="118" t="n">
        <f aca="false">Inputs!$B$7*(1+Inputs!$B$8)^(AG$7-1)*Inputs!$B$9*1*AG11*AG12</f>
        <v>6186.66666666667</v>
      </c>
      <c r="AH13" s="118" t="n">
        <f aca="false">Inputs!$B$7*(1+Inputs!$B$8)^(AH$7-1)*Inputs!$B$9*1*AH11*AH12</f>
        <v>6186.66666666667</v>
      </c>
      <c r="AI13" s="118" t="n">
        <f aca="false">Inputs!$B$7*(1+Inputs!$B$8)^(AI$7-1)*Inputs!$B$9*1*AI11*AI12</f>
        <v>6186.66666666667</v>
      </c>
      <c r="AJ13" s="118" t="n">
        <f aca="false">Inputs!$B$7*(1+Inputs!$B$8)^(AJ$7-1)*Inputs!$B$9*1*AJ11*AJ12</f>
        <v>6186.66666666667</v>
      </c>
      <c r="AK13" s="118" t="n">
        <f aca="false">Inputs!$B$7*(1+Inputs!$B$8)^(AK$7-1)*Inputs!$B$9*1*AK11*AK12</f>
        <v>6186.66666666667</v>
      </c>
      <c r="AL13" s="118" t="n">
        <f aca="false">Inputs!$B$7*(1+Inputs!$B$8)^(AL$7-1)*Inputs!$B$9*1*AL11*AL12</f>
        <v>4640</v>
      </c>
      <c r="AM13" s="118" t="n">
        <f aca="false">Inputs!$B$7*(1+Inputs!$B$8)^(AM$7-1)*Inputs!$B$9*1*AM11*AM12</f>
        <v>4640</v>
      </c>
      <c r="AN13" s="118" t="n">
        <f aca="false">Inputs!$B$7*(1+Inputs!$B$8)^(AN$7-1)*Inputs!$B$9*1*AN11*AN12</f>
        <v>4640</v>
      </c>
      <c r="AO13" s="118" t="n">
        <f aca="false">Inputs!$B$7*(1+Inputs!$B$8)^(AO$7-1)*Inputs!$B$9*1*AO11*AO12</f>
        <v>6186.66666666667</v>
      </c>
      <c r="AP13" s="118" t="n">
        <f aca="false">Inputs!$B$7*(1+Inputs!$B$8)^(AP$7-1)*Inputs!$B$9*1*AP11*AP12</f>
        <v>6186.66666666667</v>
      </c>
      <c r="AQ13" s="118" t="n">
        <f aca="false">Inputs!$B$7*(1+Inputs!$B$8)^(AQ$7-1)*Inputs!$B$9*1*AQ11*AQ12</f>
        <v>6186.66666666667</v>
      </c>
      <c r="AR13" s="118" t="n">
        <f aca="false">Inputs!$B$7*(1+Inputs!$B$8)^(AR$7-1)*Inputs!$B$9*1*AR11*AR12</f>
        <v>6186.66666666667</v>
      </c>
      <c r="AS13" s="118" t="n">
        <f aca="false">Inputs!$B$7*(1+Inputs!$B$8)^(AS$7-1)*Inputs!$B$9*1*AS11*AS12</f>
        <v>6186.66666666667</v>
      </c>
      <c r="AT13" s="118" t="n">
        <f aca="false">Inputs!$B$7*(1+Inputs!$B$8)^(AT$7-1)*Inputs!$B$9*1*AT11*AT12</f>
        <v>6186.66666666667</v>
      </c>
      <c r="AU13" s="118" t="n">
        <f aca="false">Inputs!$B$7*(1+Inputs!$B$8)^(AU$7-1)*Inputs!$B$9*1*AU11*AU12</f>
        <v>6186.66666666667</v>
      </c>
      <c r="AV13" s="118" t="n">
        <f aca="false">Inputs!$B$7*(1+Inputs!$B$8)^(AV$7-1)*Inputs!$B$9*1*AV11*AV12</f>
        <v>6186.66666666667</v>
      </c>
      <c r="AW13" s="118" t="n">
        <f aca="false">Inputs!$B$7*(1+Inputs!$B$8)^(AW$7-1)*Inputs!$B$9*1*AW11*AW12</f>
        <v>6186.66666666667</v>
      </c>
      <c r="AX13" s="118" t="n">
        <f aca="false">Inputs!$B$7*(1+Inputs!$B$8)^(AX$7-1)*Inputs!$B$9*1*AX11*AX12</f>
        <v>4640</v>
      </c>
      <c r="AY13" s="118" t="n">
        <f aca="false">Inputs!$B$7*(1+Inputs!$B$8)^(AY$7-1)*Inputs!$B$9*1*AY11*AY12</f>
        <v>4640</v>
      </c>
      <c r="AZ13" s="118" t="n">
        <f aca="false">Inputs!$B$7*(1+Inputs!$B$8)^(AZ$7-1)*Inputs!$B$9*1*AZ11*AZ12</f>
        <v>4640</v>
      </c>
      <c r="BA13" s="118" t="n">
        <f aca="false">Inputs!$B$7*(1+Inputs!$B$8)^(BA$7-1)*Inputs!$B$9*1*BA11*BA12</f>
        <v>6186.66666666667</v>
      </c>
      <c r="BB13" s="118" t="n">
        <f aca="false">Inputs!$B$7*(1+Inputs!$B$8)^(BB$7-1)*Inputs!$B$9*1*BB11*BB12</f>
        <v>6186.66666666667</v>
      </c>
      <c r="BC13" s="118" t="n">
        <f aca="false">Inputs!$B$7*(1+Inputs!$B$8)^(BC$7-1)*Inputs!$B$9*1*BC11*BC12</f>
        <v>6186.66666666667</v>
      </c>
      <c r="BD13" s="118" t="n">
        <f aca="false">Inputs!$B$7*(1+Inputs!$B$8)^(BD$7-1)*Inputs!$B$9*1*BD11*BD12</f>
        <v>6186.66666666667</v>
      </c>
      <c r="BE13" s="118" t="n">
        <f aca="false">Inputs!$B$7*(1+Inputs!$B$8)^(BE$7-1)*Inputs!$B$9*1*BE11*BE12</f>
        <v>6186.66666666667</v>
      </c>
      <c r="BF13" s="118" t="n">
        <f aca="false">Inputs!$B$7*(1+Inputs!$B$8)^(BF$7-1)*Inputs!$B$9*1*BF11*BF12</f>
        <v>6186.66666666667</v>
      </c>
      <c r="BG13" s="118" t="n">
        <f aca="false">Inputs!$B$7*(1+Inputs!$B$8)^(BG$7-1)*Inputs!$B$9*1*BG11*BG12</f>
        <v>6186.66666666667</v>
      </c>
      <c r="BH13" s="118" t="n">
        <f aca="false">Inputs!$B$7*(1+Inputs!$B$8)^(BH$7-1)*Inputs!$B$9*1*BH11*BH12</f>
        <v>6186.66666666667</v>
      </c>
      <c r="BI13" s="118" t="n">
        <f aca="false">Inputs!$B$7*(1+Inputs!$B$8)^(BI$7-1)*Inputs!$B$9*1*BI11*BI12</f>
        <v>6186.66666666667</v>
      </c>
      <c r="BJ13" s="118" t="n">
        <f aca="false">Inputs!$B$7*(1+Inputs!$B$8)^(BJ$7-1)*Inputs!$B$9*1*BJ11*BJ12</f>
        <v>4640</v>
      </c>
    </row>
    <row r="15" customFormat="false" ht="15.75" hidden="false" customHeight="true" outlineLevel="0" collapsed="false">
      <c r="A15" s="7" t="s">
        <v>422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customFormat="false" ht="15" hidden="false" customHeight="false" outlineLevel="0" collapsed="false">
      <c r="A16" s="6" t="s">
        <v>423</v>
      </c>
      <c r="C16" s="117" t="n">
        <f aca="false">C13*Inputs!$B$23</f>
        <v>9.744</v>
      </c>
      <c r="D16" s="117" t="n">
        <f aca="false">D13*Inputs!$B$23</f>
        <v>11.252</v>
      </c>
      <c r="E16" s="117" t="n">
        <f aca="false">E13*Inputs!$B$23</f>
        <v>17.0133333333333</v>
      </c>
      <c r="F16" s="117" t="n">
        <f aca="false">F13*Inputs!$B$23</f>
        <v>19.024</v>
      </c>
      <c r="G16" s="117" t="n">
        <f aca="false">G13*Inputs!$B$23</f>
        <v>21.0346666666667</v>
      </c>
      <c r="H16" s="117" t="n">
        <f aca="false">H13*Inputs!$B$23</f>
        <v>23.0453333333333</v>
      </c>
      <c r="I16" s="117" t="n">
        <f aca="false">I13*Inputs!$B$23</f>
        <v>25.056</v>
      </c>
      <c r="J16" s="117" t="n">
        <f aca="false">J13*Inputs!$B$23</f>
        <v>27.0666666666667</v>
      </c>
      <c r="K16" s="117" t="n">
        <f aca="false">K13*Inputs!$B$23</f>
        <v>29.0773333333333</v>
      </c>
      <c r="L16" s="117" t="n">
        <f aca="false">L13*Inputs!$B$23</f>
        <v>31.088</v>
      </c>
      <c r="M16" s="117" t="n">
        <f aca="false">M13*Inputs!$B$23</f>
        <v>33.0986666666667</v>
      </c>
      <c r="N16" s="117" t="n">
        <f aca="false">N13*Inputs!$B$23</f>
        <v>26.332</v>
      </c>
      <c r="O16" s="117" t="n">
        <f aca="false">O13*Inputs!$B$23</f>
        <v>27.84</v>
      </c>
      <c r="P16" s="117" t="n">
        <f aca="false">P13*Inputs!$B$23</f>
        <v>27.84</v>
      </c>
      <c r="Q16" s="117" t="n">
        <f aca="false">Q13*Inputs!$B$23</f>
        <v>37.12</v>
      </c>
      <c r="R16" s="117" t="n">
        <f aca="false">R13*Inputs!$B$23</f>
        <v>37.12</v>
      </c>
      <c r="S16" s="117" t="n">
        <f aca="false">S13*Inputs!$B$23</f>
        <v>37.12</v>
      </c>
      <c r="T16" s="117" t="n">
        <f aca="false">T13*Inputs!$B$23</f>
        <v>37.12</v>
      </c>
      <c r="U16" s="117" t="n">
        <f aca="false">U13*Inputs!$B$23</f>
        <v>37.12</v>
      </c>
      <c r="V16" s="117" t="n">
        <f aca="false">V13*Inputs!$B$23</f>
        <v>37.12</v>
      </c>
      <c r="W16" s="117" t="n">
        <f aca="false">W13*Inputs!$B$23</f>
        <v>37.12</v>
      </c>
      <c r="X16" s="117" t="n">
        <f aca="false">X13*Inputs!$B$23</f>
        <v>37.12</v>
      </c>
      <c r="Y16" s="117" t="n">
        <f aca="false">Y13*Inputs!$B$23</f>
        <v>37.12</v>
      </c>
      <c r="Z16" s="117" t="n">
        <f aca="false">Z13*Inputs!$B$23</f>
        <v>27.84</v>
      </c>
      <c r="AA16" s="117" t="n">
        <f aca="false">AA13*Inputs!$B$23</f>
        <v>27.84</v>
      </c>
      <c r="AB16" s="117" t="n">
        <f aca="false">AB13*Inputs!$B$23</f>
        <v>27.84</v>
      </c>
      <c r="AC16" s="117" t="n">
        <f aca="false">AC13*Inputs!$B$23</f>
        <v>37.12</v>
      </c>
      <c r="AD16" s="117" t="n">
        <f aca="false">AD13*Inputs!$B$23</f>
        <v>37.12</v>
      </c>
      <c r="AE16" s="117" t="n">
        <f aca="false">AE13*Inputs!$B$23</f>
        <v>37.12</v>
      </c>
      <c r="AF16" s="117" t="n">
        <f aca="false">AF13*Inputs!$B$23</f>
        <v>37.12</v>
      </c>
      <c r="AG16" s="117" t="n">
        <f aca="false">AG13*Inputs!$B$23</f>
        <v>37.12</v>
      </c>
      <c r="AH16" s="117" t="n">
        <f aca="false">AH13*Inputs!$B$23</f>
        <v>37.12</v>
      </c>
      <c r="AI16" s="117" t="n">
        <f aca="false">AI13*Inputs!$B$23</f>
        <v>37.12</v>
      </c>
      <c r="AJ16" s="117" t="n">
        <f aca="false">AJ13*Inputs!$B$23</f>
        <v>37.12</v>
      </c>
      <c r="AK16" s="117" t="n">
        <f aca="false">AK13*Inputs!$B$23</f>
        <v>37.12</v>
      </c>
      <c r="AL16" s="117" t="n">
        <f aca="false">AL13*Inputs!$B$23</f>
        <v>27.84</v>
      </c>
      <c r="AM16" s="117" t="n">
        <f aca="false">AM13*Inputs!$B$23</f>
        <v>27.84</v>
      </c>
      <c r="AN16" s="117" t="n">
        <f aca="false">AN13*Inputs!$B$23</f>
        <v>27.84</v>
      </c>
      <c r="AO16" s="117" t="n">
        <f aca="false">AO13*Inputs!$B$23</f>
        <v>37.12</v>
      </c>
      <c r="AP16" s="117" t="n">
        <f aca="false">AP13*Inputs!$B$23</f>
        <v>37.12</v>
      </c>
      <c r="AQ16" s="117" t="n">
        <f aca="false">AQ13*Inputs!$B$23</f>
        <v>37.12</v>
      </c>
      <c r="AR16" s="117" t="n">
        <f aca="false">AR13*Inputs!$B$23</f>
        <v>37.12</v>
      </c>
      <c r="AS16" s="117" t="n">
        <f aca="false">AS13*Inputs!$B$23</f>
        <v>37.12</v>
      </c>
      <c r="AT16" s="117" t="n">
        <f aca="false">AT13*Inputs!$B$23</f>
        <v>37.12</v>
      </c>
      <c r="AU16" s="117" t="n">
        <f aca="false">AU13*Inputs!$B$23</f>
        <v>37.12</v>
      </c>
      <c r="AV16" s="117" t="n">
        <f aca="false">AV13*Inputs!$B$23</f>
        <v>37.12</v>
      </c>
      <c r="AW16" s="117" t="n">
        <f aca="false">AW13*Inputs!$B$23</f>
        <v>37.12</v>
      </c>
      <c r="AX16" s="117" t="n">
        <f aca="false">AX13*Inputs!$B$23</f>
        <v>27.84</v>
      </c>
      <c r="AY16" s="117" t="n">
        <f aca="false">AY13*Inputs!$B$23</f>
        <v>27.84</v>
      </c>
      <c r="AZ16" s="117" t="n">
        <f aca="false">AZ13*Inputs!$B$23</f>
        <v>27.84</v>
      </c>
      <c r="BA16" s="117" t="n">
        <f aca="false">BA13*Inputs!$B$23</f>
        <v>37.12</v>
      </c>
      <c r="BB16" s="117" t="n">
        <f aca="false">BB13*Inputs!$B$23</f>
        <v>37.12</v>
      </c>
      <c r="BC16" s="117" t="n">
        <f aca="false">BC13*Inputs!$B$23</f>
        <v>37.12</v>
      </c>
      <c r="BD16" s="117" t="n">
        <f aca="false">BD13*Inputs!$B$23</f>
        <v>37.12</v>
      </c>
      <c r="BE16" s="117" t="n">
        <f aca="false">BE13*Inputs!$B$23</f>
        <v>37.12</v>
      </c>
      <c r="BF16" s="117" t="n">
        <f aca="false">BF13*Inputs!$B$23</f>
        <v>37.12</v>
      </c>
      <c r="BG16" s="117" t="n">
        <f aca="false">BG13*Inputs!$B$23</f>
        <v>37.12</v>
      </c>
      <c r="BH16" s="117" t="n">
        <f aca="false">BH13*Inputs!$B$23</f>
        <v>37.12</v>
      </c>
      <c r="BI16" s="117" t="n">
        <f aca="false">BI13*Inputs!$B$23</f>
        <v>37.12</v>
      </c>
      <c r="BJ16" s="117" t="n">
        <f aca="false">BJ13*Inputs!$B$23</f>
        <v>27.84</v>
      </c>
    </row>
    <row r="17" customFormat="false" ht="15" hidden="false" customHeight="false" outlineLevel="0" collapsed="false">
      <c r="A17" s="6" t="s">
        <v>424</v>
      </c>
      <c r="C17" s="117" t="n">
        <f aca="false">Inputs!$B$21*(1+Inputs!$B$22)^(C$7-1)*1*C11</f>
        <v>14</v>
      </c>
      <c r="D17" s="117" t="n">
        <f aca="false">Inputs!$B$21*(1+Inputs!$B$22)^(D$7-1)*1*D11</f>
        <v>16.1666666666667</v>
      </c>
      <c r="E17" s="117" t="n">
        <f aca="false">Inputs!$B$21*(1+Inputs!$B$22)^(E$7-1)*1*E11</f>
        <v>18.3333333333333</v>
      </c>
      <c r="F17" s="117" t="n">
        <f aca="false">Inputs!$B$21*(1+Inputs!$B$22)^(F$7-1)*1*F11</f>
        <v>20.5</v>
      </c>
      <c r="G17" s="117" t="n">
        <f aca="false">Inputs!$B$21*(1+Inputs!$B$22)^(G$7-1)*1*G11</f>
        <v>22.6666666666667</v>
      </c>
      <c r="H17" s="117" t="n">
        <f aca="false">Inputs!$B$21*(1+Inputs!$B$22)^(H$7-1)*1*H11</f>
        <v>24.8333333333333</v>
      </c>
      <c r="I17" s="117" t="n">
        <f aca="false">Inputs!$B$21*(1+Inputs!$B$22)^(I$7-1)*1*I11</f>
        <v>27</v>
      </c>
      <c r="J17" s="117" t="n">
        <f aca="false">Inputs!$B$21*(1+Inputs!$B$22)^(J$7-1)*1*J11</f>
        <v>29.1666666666667</v>
      </c>
      <c r="K17" s="117" t="n">
        <f aca="false">Inputs!$B$21*(1+Inputs!$B$22)^(K$7-1)*1*K11</f>
        <v>31.3333333333333</v>
      </c>
      <c r="L17" s="117" t="n">
        <f aca="false">Inputs!$B$21*(1+Inputs!$B$22)^(L$7-1)*1*L11</f>
        <v>33.5</v>
      </c>
      <c r="M17" s="117" t="n">
        <f aca="false">Inputs!$B$21*(1+Inputs!$B$22)^(M$7-1)*1*M11</f>
        <v>35.6666666666667</v>
      </c>
      <c r="N17" s="117" t="n">
        <f aca="false">Inputs!$B$21*(1+Inputs!$B$22)^(N$7-1)*1*N11</f>
        <v>37.8333333333333</v>
      </c>
      <c r="O17" s="117" t="n">
        <f aca="false">Inputs!$B$21*(1+Inputs!$B$22)^(O$7-1)*1*O11</f>
        <v>40</v>
      </c>
      <c r="P17" s="117" t="n">
        <f aca="false">Inputs!$B$21*(1+Inputs!$B$22)^(P$7-1)*1*P11</f>
        <v>40</v>
      </c>
      <c r="Q17" s="117" t="n">
        <f aca="false">Inputs!$B$21*(1+Inputs!$B$22)^(Q$7-1)*1*Q11</f>
        <v>40</v>
      </c>
      <c r="R17" s="117" t="n">
        <f aca="false">Inputs!$B$21*(1+Inputs!$B$22)^(R$7-1)*1*R11</f>
        <v>40</v>
      </c>
      <c r="S17" s="117" t="n">
        <f aca="false">Inputs!$B$21*(1+Inputs!$B$22)^(S$7-1)*1*S11</f>
        <v>40</v>
      </c>
      <c r="T17" s="117" t="n">
        <f aca="false">Inputs!$B$21*(1+Inputs!$B$22)^(T$7-1)*1*T11</f>
        <v>40</v>
      </c>
      <c r="U17" s="117" t="n">
        <f aca="false">Inputs!$B$21*(1+Inputs!$B$22)^(U$7-1)*1*U11</f>
        <v>40</v>
      </c>
      <c r="V17" s="117" t="n">
        <f aca="false">Inputs!$B$21*(1+Inputs!$B$22)^(V$7-1)*1*V11</f>
        <v>40</v>
      </c>
      <c r="W17" s="117" t="n">
        <f aca="false">Inputs!$B$21*(1+Inputs!$B$22)^(W$7-1)*1*W11</f>
        <v>40</v>
      </c>
      <c r="X17" s="117" t="n">
        <f aca="false">Inputs!$B$21*(1+Inputs!$B$22)^(X$7-1)*1*X11</f>
        <v>40</v>
      </c>
      <c r="Y17" s="117" t="n">
        <f aca="false">Inputs!$B$21*(1+Inputs!$B$22)^(Y$7-1)*1*Y11</f>
        <v>40</v>
      </c>
      <c r="Z17" s="117" t="n">
        <f aca="false">Inputs!$B$21*(1+Inputs!$B$22)^(Z$7-1)*1*Z11</f>
        <v>40</v>
      </c>
      <c r="AA17" s="117" t="n">
        <f aca="false">Inputs!$B$21*(1+Inputs!$B$22)^(AA$7-1)*1*AA11</f>
        <v>40</v>
      </c>
      <c r="AB17" s="117" t="n">
        <f aca="false">Inputs!$B$21*(1+Inputs!$B$22)^(AB$7-1)*1*AB11</f>
        <v>40</v>
      </c>
      <c r="AC17" s="117" t="n">
        <f aca="false">Inputs!$B$21*(1+Inputs!$B$22)^(AC$7-1)*1*AC11</f>
        <v>40</v>
      </c>
      <c r="AD17" s="117" t="n">
        <f aca="false">Inputs!$B$21*(1+Inputs!$B$22)^(AD$7-1)*1*AD11</f>
        <v>40</v>
      </c>
      <c r="AE17" s="117" t="n">
        <f aca="false">Inputs!$B$21*(1+Inputs!$B$22)^(AE$7-1)*1*AE11</f>
        <v>40</v>
      </c>
      <c r="AF17" s="117" t="n">
        <f aca="false">Inputs!$B$21*(1+Inputs!$B$22)^(AF$7-1)*1*AF11</f>
        <v>40</v>
      </c>
      <c r="AG17" s="117" t="n">
        <f aca="false">Inputs!$B$21*(1+Inputs!$B$22)^(AG$7-1)*1*AG11</f>
        <v>40</v>
      </c>
      <c r="AH17" s="117" t="n">
        <f aca="false">Inputs!$B$21*(1+Inputs!$B$22)^(AH$7-1)*1*AH11</f>
        <v>40</v>
      </c>
      <c r="AI17" s="117" t="n">
        <f aca="false">Inputs!$B$21*(1+Inputs!$B$22)^(AI$7-1)*1*AI11</f>
        <v>40</v>
      </c>
      <c r="AJ17" s="117" t="n">
        <f aca="false">Inputs!$B$21*(1+Inputs!$B$22)^(AJ$7-1)*1*AJ11</f>
        <v>40</v>
      </c>
      <c r="AK17" s="117" t="n">
        <f aca="false">Inputs!$B$21*(1+Inputs!$B$22)^(AK$7-1)*1*AK11</f>
        <v>40</v>
      </c>
      <c r="AL17" s="117" t="n">
        <f aca="false">Inputs!$B$21*(1+Inputs!$B$22)^(AL$7-1)*1*AL11</f>
        <v>40</v>
      </c>
      <c r="AM17" s="117" t="n">
        <f aca="false">Inputs!$B$21*(1+Inputs!$B$22)^(AM$7-1)*1*AM11</f>
        <v>40</v>
      </c>
      <c r="AN17" s="117" t="n">
        <f aca="false">Inputs!$B$21*(1+Inputs!$B$22)^(AN$7-1)*1*AN11</f>
        <v>40</v>
      </c>
      <c r="AO17" s="117" t="n">
        <f aca="false">Inputs!$B$21*(1+Inputs!$B$22)^(AO$7-1)*1*AO11</f>
        <v>40</v>
      </c>
      <c r="AP17" s="117" t="n">
        <f aca="false">Inputs!$B$21*(1+Inputs!$B$22)^(AP$7-1)*1*AP11</f>
        <v>40</v>
      </c>
      <c r="AQ17" s="117" t="n">
        <f aca="false">Inputs!$B$21*(1+Inputs!$B$22)^(AQ$7-1)*1*AQ11</f>
        <v>40</v>
      </c>
      <c r="AR17" s="117" t="n">
        <f aca="false">Inputs!$B$21*(1+Inputs!$B$22)^(AR$7-1)*1*AR11</f>
        <v>40</v>
      </c>
      <c r="AS17" s="117" t="n">
        <f aca="false">Inputs!$B$21*(1+Inputs!$B$22)^(AS$7-1)*1*AS11</f>
        <v>40</v>
      </c>
      <c r="AT17" s="117" t="n">
        <f aca="false">Inputs!$B$21*(1+Inputs!$B$22)^(AT$7-1)*1*AT11</f>
        <v>40</v>
      </c>
      <c r="AU17" s="117" t="n">
        <f aca="false">Inputs!$B$21*(1+Inputs!$B$22)^(AU$7-1)*1*AU11</f>
        <v>40</v>
      </c>
      <c r="AV17" s="117" t="n">
        <f aca="false">Inputs!$B$21*(1+Inputs!$B$22)^(AV$7-1)*1*AV11</f>
        <v>40</v>
      </c>
      <c r="AW17" s="117" t="n">
        <f aca="false">Inputs!$B$21*(1+Inputs!$B$22)^(AW$7-1)*1*AW11</f>
        <v>40</v>
      </c>
      <c r="AX17" s="117" t="n">
        <f aca="false">Inputs!$B$21*(1+Inputs!$B$22)^(AX$7-1)*1*AX11</f>
        <v>40</v>
      </c>
      <c r="AY17" s="117" t="n">
        <f aca="false">Inputs!$B$21*(1+Inputs!$B$22)^(AY$7-1)*1*AY11</f>
        <v>40</v>
      </c>
      <c r="AZ17" s="117" t="n">
        <f aca="false">Inputs!$B$21*(1+Inputs!$B$22)^(AZ$7-1)*1*AZ11</f>
        <v>40</v>
      </c>
      <c r="BA17" s="117" t="n">
        <f aca="false">Inputs!$B$21*(1+Inputs!$B$22)^(BA$7-1)*1*BA11</f>
        <v>40</v>
      </c>
      <c r="BB17" s="117" t="n">
        <f aca="false">Inputs!$B$21*(1+Inputs!$B$22)^(BB$7-1)*1*BB11</f>
        <v>40</v>
      </c>
      <c r="BC17" s="117" t="n">
        <f aca="false">Inputs!$B$21*(1+Inputs!$B$22)^(BC$7-1)*1*BC11</f>
        <v>40</v>
      </c>
      <c r="BD17" s="117" t="n">
        <f aca="false">Inputs!$B$21*(1+Inputs!$B$22)^(BD$7-1)*1*BD11</f>
        <v>40</v>
      </c>
      <c r="BE17" s="117" t="n">
        <f aca="false">Inputs!$B$21*(1+Inputs!$B$22)^(BE$7-1)*1*BE11</f>
        <v>40</v>
      </c>
      <c r="BF17" s="117" t="n">
        <f aca="false">Inputs!$B$21*(1+Inputs!$B$22)^(BF$7-1)*1*BF11</f>
        <v>40</v>
      </c>
      <c r="BG17" s="117" t="n">
        <f aca="false">Inputs!$B$21*(1+Inputs!$B$22)^(BG$7-1)*1*BG11</f>
        <v>40</v>
      </c>
      <c r="BH17" s="117" t="n">
        <f aca="false">Inputs!$B$21*(1+Inputs!$B$22)^(BH$7-1)*1*BH11</f>
        <v>40</v>
      </c>
      <c r="BI17" s="117" t="n">
        <f aca="false">Inputs!$B$21*(1+Inputs!$B$22)^(BI$7-1)*1*BI11</f>
        <v>40</v>
      </c>
      <c r="BJ17" s="117" t="n">
        <f aca="false">Inputs!$B$21*(1+Inputs!$B$22)^(BJ$7-1)*1*BJ11</f>
        <v>40</v>
      </c>
    </row>
    <row r="18" customFormat="false" ht="15" hidden="false" customHeight="false" outlineLevel="0" collapsed="false">
      <c r="A18" s="4" t="s">
        <v>425</v>
      </c>
      <c r="C18" s="119" t="n">
        <f aca="false">C16+C17</f>
        <v>23.744</v>
      </c>
      <c r="D18" s="119" t="n">
        <f aca="false">D16+D17</f>
        <v>27.4186666666667</v>
      </c>
      <c r="E18" s="119" t="n">
        <f aca="false">E16+E17</f>
        <v>35.3466666666667</v>
      </c>
      <c r="F18" s="119" t="n">
        <f aca="false">F16+F17</f>
        <v>39.524</v>
      </c>
      <c r="G18" s="119" t="n">
        <f aca="false">G16+G17</f>
        <v>43.7013333333333</v>
      </c>
      <c r="H18" s="119" t="n">
        <f aca="false">H16+H17</f>
        <v>47.8786666666667</v>
      </c>
      <c r="I18" s="119" t="n">
        <f aca="false">I16+I17</f>
        <v>52.056</v>
      </c>
      <c r="J18" s="119" t="n">
        <f aca="false">J16+J17</f>
        <v>56.2333333333333</v>
      </c>
      <c r="K18" s="119" t="n">
        <f aca="false">K16+K17</f>
        <v>60.4106666666667</v>
      </c>
      <c r="L18" s="119" t="n">
        <f aca="false">L16+L17</f>
        <v>64.588</v>
      </c>
      <c r="M18" s="119" t="n">
        <f aca="false">M16+M17</f>
        <v>68.7653333333333</v>
      </c>
      <c r="N18" s="119" t="n">
        <f aca="false">N16+N17</f>
        <v>64.1653333333333</v>
      </c>
      <c r="O18" s="119" t="n">
        <f aca="false">O16+O17</f>
        <v>67.84</v>
      </c>
      <c r="P18" s="119" t="n">
        <f aca="false">P16+P17</f>
        <v>67.84</v>
      </c>
      <c r="Q18" s="119" t="n">
        <f aca="false">Q16+Q17</f>
        <v>77.12</v>
      </c>
      <c r="R18" s="119" t="n">
        <f aca="false">R16+R17</f>
        <v>77.12</v>
      </c>
      <c r="S18" s="119" t="n">
        <f aca="false">S16+S17</f>
        <v>77.12</v>
      </c>
      <c r="T18" s="119" t="n">
        <f aca="false">T16+T17</f>
        <v>77.12</v>
      </c>
      <c r="U18" s="119" t="n">
        <f aca="false">U16+U17</f>
        <v>77.12</v>
      </c>
      <c r="V18" s="119" t="n">
        <f aca="false">V16+V17</f>
        <v>77.12</v>
      </c>
      <c r="W18" s="119" t="n">
        <f aca="false">W16+W17</f>
        <v>77.12</v>
      </c>
      <c r="X18" s="119" t="n">
        <f aca="false">X16+X17</f>
        <v>77.12</v>
      </c>
      <c r="Y18" s="119" t="n">
        <f aca="false">Y16+Y17</f>
        <v>77.12</v>
      </c>
      <c r="Z18" s="119" t="n">
        <f aca="false">Z16+Z17</f>
        <v>67.84</v>
      </c>
      <c r="AA18" s="119" t="n">
        <f aca="false">AA16+AA17</f>
        <v>67.84</v>
      </c>
      <c r="AB18" s="119" t="n">
        <f aca="false">AB16+AB17</f>
        <v>67.84</v>
      </c>
      <c r="AC18" s="119" t="n">
        <f aca="false">AC16+AC17</f>
        <v>77.12</v>
      </c>
      <c r="AD18" s="119" t="n">
        <f aca="false">AD16+AD17</f>
        <v>77.12</v>
      </c>
      <c r="AE18" s="119" t="n">
        <f aca="false">AE16+AE17</f>
        <v>77.12</v>
      </c>
      <c r="AF18" s="119" t="n">
        <f aca="false">AF16+AF17</f>
        <v>77.12</v>
      </c>
      <c r="AG18" s="119" t="n">
        <f aca="false">AG16+AG17</f>
        <v>77.12</v>
      </c>
      <c r="AH18" s="119" t="n">
        <f aca="false">AH16+AH17</f>
        <v>77.12</v>
      </c>
      <c r="AI18" s="119" t="n">
        <f aca="false">AI16+AI17</f>
        <v>77.12</v>
      </c>
      <c r="AJ18" s="119" t="n">
        <f aca="false">AJ16+AJ17</f>
        <v>77.12</v>
      </c>
      <c r="AK18" s="119" t="n">
        <f aca="false">AK16+AK17</f>
        <v>77.12</v>
      </c>
      <c r="AL18" s="119" t="n">
        <f aca="false">AL16+AL17</f>
        <v>67.84</v>
      </c>
      <c r="AM18" s="119" t="n">
        <f aca="false">AM16+AM17</f>
        <v>67.84</v>
      </c>
      <c r="AN18" s="119" t="n">
        <f aca="false">AN16+AN17</f>
        <v>67.84</v>
      </c>
      <c r="AO18" s="119" t="n">
        <f aca="false">AO16+AO17</f>
        <v>77.12</v>
      </c>
      <c r="AP18" s="119" t="n">
        <f aca="false">AP16+AP17</f>
        <v>77.12</v>
      </c>
      <c r="AQ18" s="119" t="n">
        <f aca="false">AQ16+AQ17</f>
        <v>77.12</v>
      </c>
      <c r="AR18" s="119" t="n">
        <f aca="false">AR16+AR17</f>
        <v>77.12</v>
      </c>
      <c r="AS18" s="119" t="n">
        <f aca="false">AS16+AS17</f>
        <v>77.12</v>
      </c>
      <c r="AT18" s="119" t="n">
        <f aca="false">AT16+AT17</f>
        <v>77.12</v>
      </c>
      <c r="AU18" s="119" t="n">
        <f aca="false">AU16+AU17</f>
        <v>77.12</v>
      </c>
      <c r="AV18" s="119" t="n">
        <f aca="false">AV16+AV17</f>
        <v>77.12</v>
      </c>
      <c r="AW18" s="119" t="n">
        <f aca="false">AW16+AW17</f>
        <v>77.12</v>
      </c>
      <c r="AX18" s="119" t="n">
        <f aca="false">AX16+AX17</f>
        <v>67.84</v>
      </c>
      <c r="AY18" s="119" t="n">
        <f aca="false">AY16+AY17</f>
        <v>67.84</v>
      </c>
      <c r="AZ18" s="119" t="n">
        <f aca="false">AZ16+AZ17</f>
        <v>67.84</v>
      </c>
      <c r="BA18" s="119" t="n">
        <f aca="false">BA16+BA17</f>
        <v>77.12</v>
      </c>
      <c r="BB18" s="119" t="n">
        <f aca="false">BB16+BB17</f>
        <v>77.12</v>
      </c>
      <c r="BC18" s="119" t="n">
        <f aca="false">BC16+BC17</f>
        <v>77.12</v>
      </c>
      <c r="BD18" s="119" t="n">
        <f aca="false">BD16+BD17</f>
        <v>77.12</v>
      </c>
      <c r="BE18" s="119" t="n">
        <f aca="false">BE16+BE17</f>
        <v>77.12</v>
      </c>
      <c r="BF18" s="119" t="n">
        <f aca="false">BF16+BF17</f>
        <v>77.12</v>
      </c>
      <c r="BG18" s="119" t="n">
        <f aca="false">BG16+BG17</f>
        <v>77.12</v>
      </c>
      <c r="BH18" s="119" t="n">
        <f aca="false">BH16+BH17</f>
        <v>77.12</v>
      </c>
      <c r="BI18" s="119" t="n">
        <f aca="false">BI16+BI17</f>
        <v>77.12</v>
      </c>
      <c r="BJ18" s="119" t="n">
        <f aca="false">BJ16+BJ17</f>
        <v>67.84</v>
      </c>
    </row>
    <row r="19" customFormat="false" ht="15" hidden="false" customHeight="false" outlineLevel="0" collapsed="false">
      <c r="A19" s="6" t="s">
        <v>426</v>
      </c>
      <c r="C19" s="120" t="n">
        <f aca="false">Inputs!$B$20</f>
        <v>150</v>
      </c>
      <c r="D19" s="117" t="n">
        <f aca="false">C21</f>
        <v>166.244</v>
      </c>
      <c r="E19" s="117" t="n">
        <f aca="false">D21</f>
        <v>185.350466666667</v>
      </c>
      <c r="F19" s="117" t="n">
        <f aca="false">E21</f>
        <v>211.42961</v>
      </c>
      <c r="G19" s="117" t="n">
        <f aca="false">F21</f>
        <v>240.3821295</v>
      </c>
      <c r="H19" s="117" t="n">
        <f aca="false">G21</f>
        <v>272.064356358333</v>
      </c>
      <c r="I19" s="117" t="n">
        <f aca="false">H21</f>
        <v>306.339805207083</v>
      </c>
      <c r="J19" s="117" t="n">
        <f aca="false">I21</f>
        <v>343.078814946729</v>
      </c>
      <c r="K19" s="117" t="n">
        <f aca="false">J21</f>
        <v>382.158207532726</v>
      </c>
      <c r="L19" s="117" t="n">
        <f aca="false">K21</f>
        <v>423.460963822756</v>
      </c>
      <c r="M19" s="117" t="n">
        <f aca="false">L21</f>
        <v>466.875915631618</v>
      </c>
      <c r="N19" s="117" t="n">
        <f aca="false">M21</f>
        <v>512.297453183371</v>
      </c>
      <c r="O19" s="117" t="n">
        <f aca="false">N21</f>
        <v>550.847913857536</v>
      </c>
      <c r="P19" s="117" t="n">
        <f aca="false">O21</f>
        <v>591.145518164659</v>
      </c>
      <c r="Q19" s="117" t="n">
        <f aca="false">P21</f>
        <v>629.428242256426</v>
      </c>
      <c r="R19" s="117" t="n">
        <f aca="false">Q21</f>
        <v>675.076830143605</v>
      </c>
      <c r="S19" s="117" t="n">
        <f aca="false">R21</f>
        <v>718.442988636424</v>
      </c>
      <c r="T19" s="117" t="n">
        <f aca="false">S21</f>
        <v>759.640839204603</v>
      </c>
      <c r="U19" s="117" t="n">
        <f aca="false">T21</f>
        <v>798.778797244373</v>
      </c>
      <c r="V19" s="117" t="n">
        <f aca="false">U21</f>
        <v>835.959857382154</v>
      </c>
      <c r="W19" s="117" t="n">
        <f aca="false">V21</f>
        <v>871.281864513047</v>
      </c>
      <c r="X19" s="117" t="n">
        <f aca="false">W21</f>
        <v>904.837771287394</v>
      </c>
      <c r="Y19" s="117" t="n">
        <f aca="false">X21</f>
        <v>936.715882723024</v>
      </c>
      <c r="Z19" s="117" t="n">
        <f aca="false">Y21</f>
        <v>967.000088586873</v>
      </c>
      <c r="AA19" s="117" t="n">
        <f aca="false">Z21</f>
        <v>986.49008415753</v>
      </c>
      <c r="AB19" s="117" t="n">
        <f aca="false">AA21</f>
        <v>1005.00557994965</v>
      </c>
      <c r="AC19" s="117" t="n">
        <f aca="false">AB21</f>
        <v>1022.59530095217</v>
      </c>
      <c r="AD19" s="117" t="n">
        <f aca="false">AC21</f>
        <v>1048.58553590456</v>
      </c>
      <c r="AE19" s="117" t="n">
        <f aca="false">AD21</f>
        <v>1073.27625910933</v>
      </c>
      <c r="AF19" s="117" t="n">
        <f aca="false">AE21</f>
        <v>1096.73244615387</v>
      </c>
      <c r="AG19" s="117" t="n">
        <f aca="false">AF21</f>
        <v>1119.01582384617</v>
      </c>
      <c r="AH19" s="117" t="n">
        <f aca="false">AG21</f>
        <v>1140.18503265386</v>
      </c>
      <c r="AI19" s="117" t="n">
        <f aca="false">AH21</f>
        <v>1160.29578102117</v>
      </c>
      <c r="AJ19" s="117" t="n">
        <f aca="false">AI21</f>
        <v>1179.40099197011</v>
      </c>
      <c r="AK19" s="117" t="n">
        <f aca="false">AJ21</f>
        <v>1197.55094237161</v>
      </c>
      <c r="AL19" s="117" t="n">
        <f aca="false">AK21</f>
        <v>1214.79339525303</v>
      </c>
      <c r="AM19" s="117" t="n">
        <f aca="false">AL21</f>
        <v>1221.89372549038</v>
      </c>
      <c r="AN19" s="117" t="n">
        <f aca="false">AM21</f>
        <v>1228.63903921586</v>
      </c>
      <c r="AO19" s="117" t="n">
        <f aca="false">AN21</f>
        <v>1235.04708725506</v>
      </c>
      <c r="AP19" s="117" t="n">
        <f aca="false">AO21</f>
        <v>1250.41473289231</v>
      </c>
      <c r="AQ19" s="117" t="n">
        <f aca="false">AP21</f>
        <v>1265.01399624769</v>
      </c>
      <c r="AR19" s="117" t="n">
        <f aca="false">AQ21</f>
        <v>1278.88329643531</v>
      </c>
      <c r="AS19" s="117" t="n">
        <f aca="false">AR21</f>
        <v>1292.05913161354</v>
      </c>
      <c r="AT19" s="117" t="n">
        <f aca="false">AS21</f>
        <v>1304.57617503287</v>
      </c>
      <c r="AU19" s="117" t="n">
        <f aca="false">AT21</f>
        <v>1316.46736628122</v>
      </c>
      <c r="AV19" s="117" t="n">
        <f aca="false">AU21</f>
        <v>1327.76399796716</v>
      </c>
      <c r="AW19" s="117" t="n">
        <f aca="false">AV21</f>
        <v>1338.49579806881</v>
      </c>
      <c r="AX19" s="117" t="n">
        <f aca="false">AW21</f>
        <v>1348.69100816536</v>
      </c>
      <c r="AY19" s="117" t="n">
        <f aca="false">AX21</f>
        <v>1349.0964577571</v>
      </c>
      <c r="AZ19" s="117" t="n">
        <f aca="false">AY21</f>
        <v>1349.48163486924</v>
      </c>
      <c r="BA19" s="117" t="n">
        <f aca="false">AZ21</f>
        <v>1349.84755312578</v>
      </c>
      <c r="BB19" s="117" t="n">
        <f aca="false">BA21</f>
        <v>1359.47517546949</v>
      </c>
      <c r="BC19" s="117" t="n">
        <f aca="false">BB21</f>
        <v>1368.62141669602</v>
      </c>
      <c r="BD19" s="117" t="n">
        <f aca="false">BC21</f>
        <v>1377.31034586122</v>
      </c>
      <c r="BE19" s="117" t="n">
        <f aca="false">BD21</f>
        <v>1385.56482856815</v>
      </c>
      <c r="BF19" s="117" t="n">
        <f aca="false">BE21</f>
        <v>1393.40658713975</v>
      </c>
      <c r="BG19" s="117" t="n">
        <f aca="false">BF21</f>
        <v>1400.85625778276</v>
      </c>
      <c r="BH19" s="117" t="n">
        <f aca="false">BG21</f>
        <v>1407.93344489362</v>
      </c>
      <c r="BI19" s="117" t="n">
        <f aca="false">BH21</f>
        <v>1414.65677264894</v>
      </c>
      <c r="BJ19" s="117" t="n">
        <f aca="false">BI21</f>
        <v>1421.04393401649</v>
      </c>
    </row>
    <row r="20" customFormat="false" ht="15" hidden="false" customHeight="false" outlineLevel="0" collapsed="false">
      <c r="A20" s="6" t="s">
        <v>427</v>
      </c>
      <c r="C20" s="117" t="n">
        <f aca="false">C21-C19-C18</f>
        <v>-7.50000000000001</v>
      </c>
      <c r="D20" s="117" t="n">
        <f aca="false">D21-D19-D18</f>
        <v>-8.31220000000003</v>
      </c>
      <c r="E20" s="117" t="n">
        <f aca="false">E21-E19-E18</f>
        <v>-9.26752333333334</v>
      </c>
      <c r="F20" s="117" t="n">
        <f aca="false">F21-F19-F18</f>
        <v>-10.5714805</v>
      </c>
      <c r="G20" s="117" t="n">
        <f aca="false">G21-G19-G18</f>
        <v>-12.019106475</v>
      </c>
      <c r="H20" s="117" t="n">
        <f aca="false">H21-H19-H18</f>
        <v>-13.6032178179167</v>
      </c>
      <c r="I20" s="117" t="n">
        <f aca="false">I21-I19-I18</f>
        <v>-15.3169902603542</v>
      </c>
      <c r="J20" s="117" t="n">
        <f aca="false">J21-J19-J18</f>
        <v>-17.1539407473365</v>
      </c>
      <c r="K20" s="117" t="n">
        <f aca="false">K21-K19-K18</f>
        <v>-19.1079103766363</v>
      </c>
      <c r="L20" s="117" t="n">
        <f aca="false">L21-L19-L18</f>
        <v>-21.1730481911378</v>
      </c>
      <c r="M20" s="117" t="n">
        <f aca="false">M21-M19-M18</f>
        <v>-23.3437957815809</v>
      </c>
      <c r="N20" s="117" t="n">
        <f aca="false">N21-N19-N18</f>
        <v>-25.6148726591685</v>
      </c>
      <c r="O20" s="117" t="n">
        <f aca="false">O21-O19-O18</f>
        <v>-27.5423956928767</v>
      </c>
      <c r="P20" s="117" t="n">
        <f aca="false">P21-P19-P18</f>
        <v>-29.557275908233</v>
      </c>
      <c r="Q20" s="117" t="n">
        <f aca="false">Q21-Q19-Q18</f>
        <v>-31.4714121128213</v>
      </c>
      <c r="R20" s="117" t="n">
        <f aca="false">R21-R19-R18</f>
        <v>-33.7538415071803</v>
      </c>
      <c r="S20" s="117" t="n">
        <f aca="false">S21-S19-S18</f>
        <v>-35.9221494318213</v>
      </c>
      <c r="T20" s="117" t="n">
        <f aca="false">T21-T19-T18</f>
        <v>-37.9820419602302</v>
      </c>
      <c r="U20" s="117" t="n">
        <f aca="false">U21-U19-U18</f>
        <v>-39.9389398622187</v>
      </c>
      <c r="V20" s="117" t="n">
        <f aca="false">V21-V19-V18</f>
        <v>-41.7979928691077</v>
      </c>
      <c r="W20" s="117" t="n">
        <f aca="false">W21-W19-W18</f>
        <v>-43.5640932256524</v>
      </c>
      <c r="X20" s="117" t="n">
        <f aca="false">X21-X19-X18</f>
        <v>-45.2418885643698</v>
      </c>
      <c r="Y20" s="117" t="n">
        <f aca="false">Y21-Y19-Y18</f>
        <v>-46.8357941361512</v>
      </c>
      <c r="Z20" s="117" t="n">
        <f aca="false">Z21-Z19-Z18</f>
        <v>-48.3500044293437</v>
      </c>
      <c r="AA20" s="117" t="n">
        <f aca="false">AA21-AA19-AA18</f>
        <v>-49.3245042078765</v>
      </c>
      <c r="AB20" s="117" t="n">
        <f aca="false">AB21-AB19-AB18</f>
        <v>-50.2502789974827</v>
      </c>
      <c r="AC20" s="117" t="n">
        <f aca="false">AC21-AC19-AC18</f>
        <v>-51.1297650476085</v>
      </c>
      <c r="AD20" s="117" t="n">
        <f aca="false">AD21-AD19-AD18</f>
        <v>-52.429276795228</v>
      </c>
      <c r="AE20" s="117" t="n">
        <f aca="false">AE21-AE19-AE18</f>
        <v>-53.6638129554668</v>
      </c>
      <c r="AF20" s="117" t="n">
        <f aca="false">AF21-AF19-AF18</f>
        <v>-54.8366223076934</v>
      </c>
      <c r="AG20" s="117" t="n">
        <f aca="false">AG21-AG19-AG18</f>
        <v>-55.9507911923089</v>
      </c>
      <c r="AH20" s="117" t="n">
        <f aca="false">AH21-AH19-AH18</f>
        <v>-57.0092516326932</v>
      </c>
      <c r="AI20" s="117" t="n">
        <f aca="false">AI21-AI19-AI18</f>
        <v>-58.0147890510585</v>
      </c>
      <c r="AJ20" s="117" t="n">
        <f aca="false">AJ21-AJ19-AJ18</f>
        <v>-58.9700495985059</v>
      </c>
      <c r="AK20" s="117" t="n">
        <f aca="false">AK21-AK19-AK18</f>
        <v>-59.8775471185805</v>
      </c>
      <c r="AL20" s="117" t="n">
        <f aca="false">AL21-AL19-AL18</f>
        <v>-60.7396697626515</v>
      </c>
      <c r="AM20" s="117" t="n">
        <f aca="false">AM21-AM19-AM18</f>
        <v>-61.0946862745189</v>
      </c>
      <c r="AN20" s="117" t="n">
        <f aca="false">AN21-AN19-AN18</f>
        <v>-61.431951960793</v>
      </c>
      <c r="AO20" s="117" t="n">
        <f aca="false">AO21-AO19-AO18</f>
        <v>-61.7523543627532</v>
      </c>
      <c r="AP20" s="117" t="n">
        <f aca="false">AP21-AP19-AP18</f>
        <v>-62.5207366446153</v>
      </c>
      <c r="AQ20" s="117" t="n">
        <f aca="false">AQ21-AQ19-AQ18</f>
        <v>-63.2506998123846</v>
      </c>
      <c r="AR20" s="117" t="n">
        <f aca="false">AR21-AR19-AR18</f>
        <v>-63.9441648217654</v>
      </c>
      <c r="AS20" s="117" t="n">
        <f aca="false">AS21-AS19-AS18</f>
        <v>-64.6029565806772</v>
      </c>
      <c r="AT20" s="117" t="n">
        <f aca="false">AT21-AT19-AT18</f>
        <v>-65.2288087516432</v>
      </c>
      <c r="AU20" s="117" t="n">
        <f aca="false">AU21-AU19-AU18</f>
        <v>-65.8233683140612</v>
      </c>
      <c r="AV20" s="117" t="n">
        <f aca="false">AV21-AV19-AV18</f>
        <v>-66.388199898358</v>
      </c>
      <c r="AW20" s="117" t="n">
        <f aca="false">AW21-AW19-AW18</f>
        <v>-66.9247899034405</v>
      </c>
      <c r="AX20" s="117" t="n">
        <f aca="false">AX21-AX19-AX18</f>
        <v>-67.4345504082683</v>
      </c>
      <c r="AY20" s="117" t="n">
        <f aca="false">AY21-AY19-AY18</f>
        <v>-67.4548228878549</v>
      </c>
      <c r="AZ20" s="117" t="n">
        <f aca="false">AZ21-AZ19-AZ18</f>
        <v>-67.4740817434623</v>
      </c>
      <c r="BA20" s="117" t="n">
        <f aca="false">BA21-BA19-BA18</f>
        <v>-67.4923776562888</v>
      </c>
      <c r="BB20" s="117" t="n">
        <f aca="false">BB21-BB19-BB18</f>
        <v>-67.9737587734745</v>
      </c>
      <c r="BC20" s="117" t="n">
        <f aca="false">BC21-BC19-BC18</f>
        <v>-68.4310708348008</v>
      </c>
      <c r="BD20" s="117" t="n">
        <f aca="false">BD21-BD19-BD18</f>
        <v>-68.8655172930609</v>
      </c>
      <c r="BE20" s="117" t="n">
        <f aca="false">BE21-BE19-BE18</f>
        <v>-69.2782414284076</v>
      </c>
      <c r="BF20" s="117" t="n">
        <f aca="false">BF21-BF19-BF18</f>
        <v>-69.6703293569873</v>
      </c>
      <c r="BG20" s="117" t="n">
        <f aca="false">BG21-BG19-BG18</f>
        <v>-70.0428128891382</v>
      </c>
      <c r="BH20" s="117" t="n">
        <f aca="false">BH21-BH19-BH18</f>
        <v>-70.3966722446813</v>
      </c>
      <c r="BI20" s="117" t="n">
        <f aca="false">BI21-BI19-BI18</f>
        <v>-70.7328386324472</v>
      </c>
      <c r="BJ20" s="117" t="n">
        <f aca="false">BJ21-BJ19-BJ18</f>
        <v>-71.0521967008247</v>
      </c>
    </row>
    <row r="21" customFormat="false" ht="15" hidden="false" customHeight="false" outlineLevel="0" collapsed="false">
      <c r="A21" s="4" t="s">
        <v>428</v>
      </c>
      <c r="C21" s="119" t="n">
        <f aca="false">C19*(1-Inputs!$B$24)+C18</f>
        <v>166.244</v>
      </c>
      <c r="D21" s="119" t="n">
        <f aca="false">D19*(1-Inputs!$B$24)+D18</f>
        <v>185.350466666667</v>
      </c>
      <c r="E21" s="119" t="n">
        <f aca="false">E19*(1-Inputs!$B$24)+E18</f>
        <v>211.42961</v>
      </c>
      <c r="F21" s="119" t="n">
        <f aca="false">F19*(1-Inputs!$B$24)+F18</f>
        <v>240.3821295</v>
      </c>
      <c r="G21" s="119" t="n">
        <f aca="false">G19*(1-Inputs!$B$24)+G18</f>
        <v>272.064356358333</v>
      </c>
      <c r="H21" s="119" t="n">
        <f aca="false">H19*(1-Inputs!$B$24)+H18</f>
        <v>306.339805207083</v>
      </c>
      <c r="I21" s="119" t="n">
        <f aca="false">I19*(1-Inputs!$B$24)+I18</f>
        <v>343.078814946729</v>
      </c>
      <c r="J21" s="119" t="n">
        <f aca="false">J19*(1-Inputs!$B$24)+J18</f>
        <v>382.158207532726</v>
      </c>
      <c r="K21" s="119" t="n">
        <f aca="false">K19*(1-Inputs!$B$24)+K18</f>
        <v>423.460963822756</v>
      </c>
      <c r="L21" s="119" t="n">
        <f aca="false">L19*(1-Inputs!$B$24)+L18</f>
        <v>466.875915631618</v>
      </c>
      <c r="M21" s="119" t="n">
        <f aca="false">M19*(1-Inputs!$B$24)+M18</f>
        <v>512.297453183371</v>
      </c>
      <c r="N21" s="119" t="n">
        <f aca="false">N19*(1-Inputs!$B$24)+N18</f>
        <v>550.847913857536</v>
      </c>
      <c r="O21" s="119" t="n">
        <f aca="false">O19*(1-Inputs!$B$24)+O18</f>
        <v>591.145518164659</v>
      </c>
      <c r="P21" s="119" t="n">
        <f aca="false">P19*(1-Inputs!$B$24)+P18</f>
        <v>629.428242256426</v>
      </c>
      <c r="Q21" s="119" t="n">
        <f aca="false">Q19*(1-Inputs!$B$24)+Q18</f>
        <v>675.076830143605</v>
      </c>
      <c r="R21" s="119" t="n">
        <f aca="false">R19*(1-Inputs!$B$24)+R18</f>
        <v>718.442988636424</v>
      </c>
      <c r="S21" s="119" t="n">
        <f aca="false">S19*(1-Inputs!$B$24)+S18</f>
        <v>759.640839204603</v>
      </c>
      <c r="T21" s="119" t="n">
        <f aca="false">T19*(1-Inputs!$B$24)+T18</f>
        <v>798.778797244373</v>
      </c>
      <c r="U21" s="119" t="n">
        <f aca="false">U19*(1-Inputs!$B$24)+U18</f>
        <v>835.959857382154</v>
      </c>
      <c r="V21" s="119" t="n">
        <f aca="false">V19*(1-Inputs!$B$24)+V18</f>
        <v>871.281864513047</v>
      </c>
      <c r="W21" s="119" t="n">
        <f aca="false">W19*(1-Inputs!$B$24)+W18</f>
        <v>904.837771287394</v>
      </c>
      <c r="X21" s="119" t="n">
        <f aca="false">X19*(1-Inputs!$B$24)+X18</f>
        <v>936.715882723024</v>
      </c>
      <c r="Y21" s="119" t="n">
        <f aca="false">Y19*(1-Inputs!$B$24)+Y18</f>
        <v>967.000088586873</v>
      </c>
      <c r="Z21" s="119" t="n">
        <f aca="false">Z19*(1-Inputs!$B$24)+Z18</f>
        <v>986.49008415753</v>
      </c>
      <c r="AA21" s="119" t="n">
        <f aca="false">AA19*(1-Inputs!$B$24)+AA18</f>
        <v>1005.00557994965</v>
      </c>
      <c r="AB21" s="119" t="n">
        <f aca="false">AB19*(1-Inputs!$B$24)+AB18</f>
        <v>1022.59530095217</v>
      </c>
      <c r="AC21" s="119" t="n">
        <f aca="false">AC19*(1-Inputs!$B$24)+AC18</f>
        <v>1048.58553590456</v>
      </c>
      <c r="AD21" s="119" t="n">
        <f aca="false">AD19*(1-Inputs!$B$24)+AD18</f>
        <v>1073.27625910933</v>
      </c>
      <c r="AE21" s="119" t="n">
        <f aca="false">AE19*(1-Inputs!$B$24)+AE18</f>
        <v>1096.73244615387</v>
      </c>
      <c r="AF21" s="119" t="n">
        <f aca="false">AF19*(1-Inputs!$B$24)+AF18</f>
        <v>1119.01582384617</v>
      </c>
      <c r="AG21" s="119" t="n">
        <f aca="false">AG19*(1-Inputs!$B$24)+AG18</f>
        <v>1140.18503265386</v>
      </c>
      <c r="AH21" s="119" t="n">
        <f aca="false">AH19*(1-Inputs!$B$24)+AH18</f>
        <v>1160.29578102117</v>
      </c>
      <c r="AI21" s="119" t="n">
        <f aca="false">AI19*(1-Inputs!$B$24)+AI18</f>
        <v>1179.40099197011</v>
      </c>
      <c r="AJ21" s="119" t="n">
        <f aca="false">AJ19*(1-Inputs!$B$24)+AJ18</f>
        <v>1197.55094237161</v>
      </c>
      <c r="AK21" s="119" t="n">
        <f aca="false">AK19*(1-Inputs!$B$24)+AK18</f>
        <v>1214.79339525303</v>
      </c>
      <c r="AL21" s="119" t="n">
        <f aca="false">AL19*(1-Inputs!$B$24)+AL18</f>
        <v>1221.89372549038</v>
      </c>
      <c r="AM21" s="119" t="n">
        <f aca="false">AM19*(1-Inputs!$B$24)+AM18</f>
        <v>1228.63903921586</v>
      </c>
      <c r="AN21" s="119" t="n">
        <f aca="false">AN19*(1-Inputs!$B$24)+AN18</f>
        <v>1235.04708725506</v>
      </c>
      <c r="AO21" s="119" t="n">
        <f aca="false">AO19*(1-Inputs!$B$24)+AO18</f>
        <v>1250.41473289231</v>
      </c>
      <c r="AP21" s="119" t="n">
        <f aca="false">AP19*(1-Inputs!$B$24)+AP18</f>
        <v>1265.01399624769</v>
      </c>
      <c r="AQ21" s="119" t="n">
        <f aca="false">AQ19*(1-Inputs!$B$24)+AQ18</f>
        <v>1278.88329643531</v>
      </c>
      <c r="AR21" s="119" t="n">
        <f aca="false">AR19*(1-Inputs!$B$24)+AR18</f>
        <v>1292.05913161354</v>
      </c>
      <c r="AS21" s="119" t="n">
        <f aca="false">AS19*(1-Inputs!$B$24)+AS18</f>
        <v>1304.57617503287</v>
      </c>
      <c r="AT21" s="119" t="n">
        <f aca="false">AT19*(1-Inputs!$B$24)+AT18</f>
        <v>1316.46736628122</v>
      </c>
      <c r="AU21" s="119" t="n">
        <f aca="false">AU19*(1-Inputs!$B$24)+AU18</f>
        <v>1327.76399796716</v>
      </c>
      <c r="AV21" s="119" t="n">
        <f aca="false">AV19*(1-Inputs!$B$24)+AV18</f>
        <v>1338.49579806881</v>
      </c>
      <c r="AW21" s="119" t="n">
        <f aca="false">AW19*(1-Inputs!$B$24)+AW18</f>
        <v>1348.69100816536</v>
      </c>
      <c r="AX21" s="119" t="n">
        <f aca="false">AX19*(1-Inputs!$B$24)+AX18</f>
        <v>1349.0964577571</v>
      </c>
      <c r="AY21" s="119" t="n">
        <f aca="false">AY19*(1-Inputs!$B$24)+AY18</f>
        <v>1349.48163486924</v>
      </c>
      <c r="AZ21" s="119" t="n">
        <f aca="false">AZ19*(1-Inputs!$B$24)+AZ18</f>
        <v>1349.84755312578</v>
      </c>
      <c r="BA21" s="119" t="n">
        <f aca="false">BA19*(1-Inputs!$B$24)+BA18</f>
        <v>1359.47517546949</v>
      </c>
      <c r="BB21" s="119" t="n">
        <f aca="false">BB19*(1-Inputs!$B$24)+BB18</f>
        <v>1368.62141669602</v>
      </c>
      <c r="BC21" s="119" t="n">
        <f aca="false">BC19*(1-Inputs!$B$24)+BC18</f>
        <v>1377.31034586122</v>
      </c>
      <c r="BD21" s="119" t="n">
        <f aca="false">BD19*(1-Inputs!$B$24)+BD18</f>
        <v>1385.56482856815</v>
      </c>
      <c r="BE21" s="119" t="n">
        <f aca="false">BE19*(1-Inputs!$B$24)+BE18</f>
        <v>1393.40658713975</v>
      </c>
      <c r="BF21" s="119" t="n">
        <f aca="false">BF19*(1-Inputs!$B$24)+BF18</f>
        <v>1400.85625778276</v>
      </c>
      <c r="BG21" s="119" t="n">
        <f aca="false">BG19*(1-Inputs!$B$24)+BG18</f>
        <v>1407.93344489362</v>
      </c>
      <c r="BH21" s="119" t="n">
        <f aca="false">BH19*(1-Inputs!$B$24)+BH18</f>
        <v>1414.65677264894</v>
      </c>
      <c r="BI21" s="119" t="n">
        <f aca="false">BI19*(1-Inputs!$B$24)+BI18</f>
        <v>1421.04393401649</v>
      </c>
      <c r="BJ21" s="119" t="n">
        <f aca="false">BJ19*(1-Inputs!$B$24)+BJ18</f>
        <v>1417.83173731567</v>
      </c>
    </row>
    <row r="22" customFormat="false" ht="15" hidden="false" customHeight="false" outlineLevel="0" collapsed="false">
      <c r="A22" s="6" t="s">
        <v>429</v>
      </c>
      <c r="C22" s="117" t="n">
        <f aca="false">(C19+C21)/2</f>
        <v>158.122</v>
      </c>
      <c r="D22" s="117" t="n">
        <f aca="false">(D19+D21)/2</f>
        <v>175.797233333333</v>
      </c>
      <c r="E22" s="117" t="n">
        <f aca="false">(E19+E21)/2</f>
        <v>198.390038333333</v>
      </c>
      <c r="F22" s="117" t="n">
        <f aca="false">(F19+F21)/2</f>
        <v>225.90586975</v>
      </c>
      <c r="G22" s="117" t="n">
        <f aca="false">(G19+G21)/2</f>
        <v>256.223242929167</v>
      </c>
      <c r="H22" s="117" t="n">
        <f aca="false">(H19+H21)/2</f>
        <v>289.202080782708</v>
      </c>
      <c r="I22" s="117" t="n">
        <f aca="false">(I19+I21)/2</f>
        <v>324.709310076906</v>
      </c>
      <c r="J22" s="117" t="n">
        <f aca="false">(J19+J21)/2</f>
        <v>362.618511239727</v>
      </c>
      <c r="K22" s="117" t="n">
        <f aca="false">(K19+K21)/2</f>
        <v>402.809585677741</v>
      </c>
      <c r="L22" s="117" t="n">
        <f aca="false">(L19+L21)/2</f>
        <v>445.168439727187</v>
      </c>
      <c r="M22" s="117" t="n">
        <f aca="false">(M19+M21)/2</f>
        <v>489.586684407495</v>
      </c>
      <c r="N22" s="117" t="n">
        <f aca="false">(N19+N21)/2</f>
        <v>531.572683520453</v>
      </c>
      <c r="O22" s="117" t="n">
        <f aca="false">(O19+O21)/2</f>
        <v>570.996716011097</v>
      </c>
      <c r="P22" s="117" t="n">
        <f aca="false">(P19+P21)/2</f>
        <v>610.286880210542</v>
      </c>
      <c r="Q22" s="117" t="n">
        <f aca="false">(Q19+Q21)/2</f>
        <v>652.252536200015</v>
      </c>
      <c r="R22" s="117" t="n">
        <f aca="false">(R19+R21)/2</f>
        <v>696.759909390015</v>
      </c>
      <c r="S22" s="117" t="n">
        <f aca="false">(S19+S21)/2</f>
        <v>739.041913920514</v>
      </c>
      <c r="T22" s="117" t="n">
        <f aca="false">(T19+T21)/2</f>
        <v>779.209818224488</v>
      </c>
      <c r="U22" s="117" t="n">
        <f aca="false">(U19+U21)/2</f>
        <v>817.369327313264</v>
      </c>
      <c r="V22" s="117" t="n">
        <f aca="false">(V19+V21)/2</f>
        <v>853.620860947601</v>
      </c>
      <c r="W22" s="117" t="n">
        <f aca="false">(W19+W21)/2</f>
        <v>888.05981790022</v>
      </c>
      <c r="X22" s="117" t="n">
        <f aca="false">(X19+X21)/2</f>
        <v>920.776827005209</v>
      </c>
      <c r="Y22" s="117" t="n">
        <f aca="false">(Y19+Y21)/2</f>
        <v>951.857985654949</v>
      </c>
      <c r="Z22" s="117" t="n">
        <f aca="false">(Z19+Z21)/2</f>
        <v>976.745086372201</v>
      </c>
      <c r="AA22" s="117" t="n">
        <f aca="false">(AA19+AA21)/2</f>
        <v>995.747832053591</v>
      </c>
      <c r="AB22" s="117" t="n">
        <f aca="false">(AB19+AB21)/2</f>
        <v>1013.80044045091</v>
      </c>
      <c r="AC22" s="117" t="n">
        <f aca="false">(AC19+AC21)/2</f>
        <v>1035.59041842837</v>
      </c>
      <c r="AD22" s="117" t="n">
        <f aca="false">(AD19+AD21)/2</f>
        <v>1060.93089750695</v>
      </c>
      <c r="AE22" s="117" t="n">
        <f aca="false">(AE19+AE21)/2</f>
        <v>1085.0043526316</v>
      </c>
      <c r="AF22" s="117" t="n">
        <f aca="false">(AF19+AF21)/2</f>
        <v>1107.87413500002</v>
      </c>
      <c r="AG22" s="117" t="n">
        <f aca="false">(AG19+AG21)/2</f>
        <v>1129.60042825002</v>
      </c>
      <c r="AH22" s="117" t="n">
        <f aca="false">(AH19+AH21)/2</f>
        <v>1150.24040683752</v>
      </c>
      <c r="AI22" s="117" t="n">
        <f aca="false">(AI19+AI21)/2</f>
        <v>1169.84838649564</v>
      </c>
      <c r="AJ22" s="117" t="n">
        <f aca="false">(AJ19+AJ21)/2</f>
        <v>1188.47596717086</v>
      </c>
      <c r="AK22" s="117" t="n">
        <f aca="false">(AK19+AK21)/2</f>
        <v>1206.17216881232</v>
      </c>
      <c r="AL22" s="117" t="n">
        <f aca="false">(AL19+AL21)/2</f>
        <v>1218.3435603717</v>
      </c>
      <c r="AM22" s="117" t="n">
        <f aca="false">(AM19+AM21)/2</f>
        <v>1225.26638235312</v>
      </c>
      <c r="AN22" s="117" t="n">
        <f aca="false">(AN19+AN21)/2</f>
        <v>1231.84306323546</v>
      </c>
      <c r="AO22" s="117" t="n">
        <f aca="false">(AO19+AO21)/2</f>
        <v>1242.73091007369</v>
      </c>
      <c r="AP22" s="117" t="n">
        <f aca="false">(AP19+AP21)/2</f>
        <v>1257.71436457</v>
      </c>
      <c r="AQ22" s="117" t="n">
        <f aca="false">(AQ19+AQ21)/2</f>
        <v>1271.9486463415</v>
      </c>
      <c r="AR22" s="117" t="n">
        <f aca="false">(AR19+AR21)/2</f>
        <v>1285.47121402443</v>
      </c>
      <c r="AS22" s="117" t="n">
        <f aca="false">(AS19+AS21)/2</f>
        <v>1298.31765332321</v>
      </c>
      <c r="AT22" s="117" t="n">
        <f aca="false">(AT19+AT21)/2</f>
        <v>1310.52177065705</v>
      </c>
      <c r="AU22" s="117" t="n">
        <f aca="false">(AU19+AU21)/2</f>
        <v>1322.11568212419</v>
      </c>
      <c r="AV22" s="117" t="n">
        <f aca="false">(AV19+AV21)/2</f>
        <v>1333.12989801798</v>
      </c>
      <c r="AW22" s="117" t="n">
        <f aca="false">(AW19+AW21)/2</f>
        <v>1343.59340311708</v>
      </c>
      <c r="AX22" s="117" t="n">
        <f aca="false">(AX19+AX21)/2</f>
        <v>1348.89373296123</v>
      </c>
      <c r="AY22" s="117" t="n">
        <f aca="false">(AY19+AY21)/2</f>
        <v>1349.28904631317</v>
      </c>
      <c r="AZ22" s="117" t="n">
        <f aca="false">(AZ19+AZ21)/2</f>
        <v>1349.66459399751</v>
      </c>
      <c r="BA22" s="117" t="n">
        <f aca="false">(BA19+BA21)/2</f>
        <v>1354.66136429763</v>
      </c>
      <c r="BB22" s="117" t="n">
        <f aca="false">(BB19+BB21)/2</f>
        <v>1364.04829608275</v>
      </c>
      <c r="BC22" s="117" t="n">
        <f aca="false">(BC19+BC21)/2</f>
        <v>1372.96588127862</v>
      </c>
      <c r="BD22" s="117" t="n">
        <f aca="false">(BD19+BD21)/2</f>
        <v>1381.43758721468</v>
      </c>
      <c r="BE22" s="117" t="n">
        <f aca="false">(BE19+BE21)/2</f>
        <v>1389.48570785395</v>
      </c>
      <c r="BF22" s="117" t="n">
        <f aca="false">(BF19+BF21)/2</f>
        <v>1397.13142246125</v>
      </c>
      <c r="BG22" s="117" t="n">
        <f aca="false">(BG19+BG21)/2</f>
        <v>1404.39485133819</v>
      </c>
      <c r="BH22" s="117" t="n">
        <f aca="false">(BH19+BH21)/2</f>
        <v>1411.29510877128</v>
      </c>
      <c r="BI22" s="117" t="n">
        <f aca="false">(BI19+BI21)/2</f>
        <v>1417.85035333272</v>
      </c>
      <c r="BJ22" s="117" t="n">
        <f aca="false">(BJ19+BJ21)/2</f>
        <v>1419.43783566608</v>
      </c>
    </row>
    <row r="24" customFormat="false" ht="15.75" hidden="false" customHeight="true" outlineLevel="0" collapsed="false">
      <c r="A24" s="7" t="s">
        <v>430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431</v>
      </c>
      <c r="C25" s="118" t="n">
        <f aca="false">C22*Inputs!$B$25*C12*1</f>
        <v>480.69088</v>
      </c>
      <c r="D25" s="118" t="n">
        <f aca="false">D22*Inputs!$B$25*D12*1</f>
        <v>534.423589333333</v>
      </c>
      <c r="E25" s="118" t="n">
        <f aca="false">E22*Inputs!$B$25*E12*1</f>
        <v>804.140955377778</v>
      </c>
      <c r="F25" s="118" t="n">
        <f aca="false">F22*Inputs!$B$25*F12*1</f>
        <v>915.671792053333</v>
      </c>
      <c r="G25" s="118" t="n">
        <f aca="false">G22*Inputs!$B$25*G12*1</f>
        <v>1038.55821133956</v>
      </c>
      <c r="H25" s="118" t="n">
        <f aca="false">H22*Inputs!$B$25*H12*1</f>
        <v>1172.23243410591</v>
      </c>
      <c r="I25" s="118" t="n">
        <f aca="false">I22*Inputs!$B$25*I12*1</f>
        <v>1316.15507017839</v>
      </c>
      <c r="J25" s="118" t="n">
        <f aca="false">J22*Inputs!$B$25*J12*1</f>
        <v>1469.8136988917</v>
      </c>
      <c r="K25" s="118" t="n">
        <f aca="false">K22*Inputs!$B$25*K12*1</f>
        <v>1632.72152061378</v>
      </c>
      <c r="L25" s="118" t="n">
        <f aca="false">L22*Inputs!$B$25*L12*1</f>
        <v>1804.4160756942</v>
      </c>
      <c r="M25" s="118" t="n">
        <f aca="false">M22*Inputs!$B$25*M12*1</f>
        <v>1984.45802746504</v>
      </c>
      <c r="N25" s="118" t="n">
        <f aca="false">N22*Inputs!$B$25*N12*1</f>
        <v>1615.98095790218</v>
      </c>
      <c r="O25" s="118" t="n">
        <f aca="false">O22*Inputs!$B$25*O12*1</f>
        <v>1735.83001667374</v>
      </c>
      <c r="P25" s="118" t="n">
        <f aca="false">P22*Inputs!$B$25*P12*1</f>
        <v>1855.27211584005</v>
      </c>
      <c r="Q25" s="118" t="n">
        <f aca="false">Q22*Inputs!$B$25*Q12*1</f>
        <v>2643.79694673073</v>
      </c>
      <c r="R25" s="118" t="n">
        <f aca="false">R22*Inputs!$B$25*R12*1</f>
        <v>2824.20016606086</v>
      </c>
      <c r="S25" s="118" t="n">
        <f aca="false">S22*Inputs!$B$25*S12*1</f>
        <v>2995.58322442448</v>
      </c>
      <c r="T25" s="118" t="n">
        <f aca="false">T22*Inputs!$B$25*T12*1</f>
        <v>3158.39712986993</v>
      </c>
      <c r="U25" s="118" t="n">
        <f aca="false">U22*Inputs!$B$25*U12*1</f>
        <v>3313.0703400431</v>
      </c>
      <c r="V25" s="118" t="n">
        <f aca="false">V22*Inputs!$B$25*V12*1</f>
        <v>3460.00988970761</v>
      </c>
      <c r="W25" s="118" t="n">
        <f aca="false">W22*Inputs!$B$25*W12*1</f>
        <v>3599.60246188889</v>
      </c>
      <c r="X25" s="118" t="n">
        <f aca="false">X22*Inputs!$B$25*X12*1</f>
        <v>3732.21540546111</v>
      </c>
      <c r="Y25" s="118" t="n">
        <f aca="false">Y22*Inputs!$B$25*Y12*1</f>
        <v>3858.19770185473</v>
      </c>
      <c r="Z25" s="118" t="n">
        <f aca="false">Z22*Inputs!$B$25*Z12*1</f>
        <v>2969.30506257149</v>
      </c>
      <c r="AA25" s="118" t="n">
        <f aca="false">AA22*Inputs!$B$25*AA12*1</f>
        <v>3027.07340944292</v>
      </c>
      <c r="AB25" s="118" t="n">
        <f aca="false">AB22*Inputs!$B$25*AB12*1</f>
        <v>3081.95333897077</v>
      </c>
      <c r="AC25" s="118" t="n">
        <f aca="false">AC22*Inputs!$B$25*AC12*1</f>
        <v>4197.59316269631</v>
      </c>
      <c r="AD25" s="118" t="n">
        <f aca="false">AD22*Inputs!$B$25*AD12*1</f>
        <v>4300.30657122816</v>
      </c>
      <c r="AE25" s="118" t="n">
        <f aca="false">AE22*Inputs!$B$25*AE12*1</f>
        <v>4397.88430933342</v>
      </c>
      <c r="AF25" s="118" t="n">
        <f aca="false">AF22*Inputs!$B$25*AF12*1</f>
        <v>4490.58316053342</v>
      </c>
      <c r="AG25" s="118" t="n">
        <f aca="false">AG22*Inputs!$B$25*AG12*1</f>
        <v>4578.64706917341</v>
      </c>
      <c r="AH25" s="118" t="n">
        <f aca="false">AH22*Inputs!$B$25*AH12*1</f>
        <v>4662.30778238141</v>
      </c>
      <c r="AI25" s="118" t="n">
        <f aca="false">AI22*Inputs!$B$25*AI12*1</f>
        <v>4741.785459929</v>
      </c>
      <c r="AJ25" s="118" t="n">
        <f aca="false">AJ22*Inputs!$B$25*AJ12*1</f>
        <v>4817.28925359922</v>
      </c>
      <c r="AK25" s="118" t="n">
        <f aca="false">AK22*Inputs!$B$25*AK12*1</f>
        <v>4889.01785758592</v>
      </c>
      <c r="AL25" s="118" t="n">
        <f aca="false">AL22*Inputs!$B$25*AL12*1</f>
        <v>3703.76442352997</v>
      </c>
      <c r="AM25" s="118" t="n">
        <f aca="false">AM22*Inputs!$B$25*AM12*1</f>
        <v>3724.80980235347</v>
      </c>
      <c r="AN25" s="118" t="n">
        <f aca="false">AN22*Inputs!$B$25*AN12*1</f>
        <v>3744.8029122358</v>
      </c>
      <c r="AO25" s="118" t="n">
        <f aca="false">AO22*Inputs!$B$25*AO12*1</f>
        <v>5037.20262216534</v>
      </c>
      <c r="AP25" s="118" t="n">
        <f aca="false">AP22*Inputs!$B$25*AP12*1</f>
        <v>5097.93555772374</v>
      </c>
      <c r="AQ25" s="118" t="n">
        <f aca="false">AQ22*Inputs!$B$25*AQ12*1</f>
        <v>5155.63184650422</v>
      </c>
      <c r="AR25" s="118" t="n">
        <f aca="false">AR22*Inputs!$B$25*AR12*1</f>
        <v>5210.44332084568</v>
      </c>
      <c r="AS25" s="118" t="n">
        <f aca="false">AS22*Inputs!$B$25*AS12*1</f>
        <v>5262.51422147006</v>
      </c>
      <c r="AT25" s="118" t="n">
        <f aca="false">AT22*Inputs!$B$25*AT12*1</f>
        <v>5311.98157706323</v>
      </c>
      <c r="AU25" s="118" t="n">
        <f aca="false">AU22*Inputs!$B$25*AU12*1</f>
        <v>5358.97556487673</v>
      </c>
      <c r="AV25" s="118" t="n">
        <f aca="false">AV22*Inputs!$B$25*AV12*1</f>
        <v>5403.61985329956</v>
      </c>
      <c r="AW25" s="118" t="n">
        <f aca="false">AW22*Inputs!$B$25*AW12*1</f>
        <v>5446.03192730125</v>
      </c>
      <c r="AX25" s="118" t="n">
        <f aca="false">AX22*Inputs!$B$25*AX12*1</f>
        <v>4100.63694820214</v>
      </c>
      <c r="AY25" s="118" t="n">
        <f aca="false">AY22*Inputs!$B$25*AY12*1</f>
        <v>4101.83870079203</v>
      </c>
      <c r="AZ25" s="118" t="n">
        <f aca="false">AZ22*Inputs!$B$25*AZ12*1</f>
        <v>4102.98036575243</v>
      </c>
      <c r="BA25" s="118" t="n">
        <f aca="false">BA22*Inputs!$B$25*BA12*1</f>
        <v>5490.89406328641</v>
      </c>
      <c r="BB25" s="118" t="n">
        <f aca="false">BB22*Inputs!$B$25*BB12*1</f>
        <v>5528.94242678876</v>
      </c>
      <c r="BC25" s="118" t="n">
        <f aca="false">BC22*Inputs!$B$25*BC12*1</f>
        <v>5565.08837211599</v>
      </c>
      <c r="BD25" s="118" t="n">
        <f aca="false">BD22*Inputs!$B$25*BD12*1</f>
        <v>5599.42702017685</v>
      </c>
      <c r="BE25" s="118" t="n">
        <f aca="false">BE22*Inputs!$B$25*BE12*1</f>
        <v>5632.04873583468</v>
      </c>
      <c r="BF25" s="118" t="n">
        <f aca="false">BF22*Inputs!$B$25*BF12*1</f>
        <v>5663.03936570961</v>
      </c>
      <c r="BG25" s="118" t="n">
        <f aca="false">BG22*Inputs!$B$25*BG12*1</f>
        <v>5692.4804640908</v>
      </c>
      <c r="BH25" s="118" t="n">
        <f aca="false">BH22*Inputs!$B$25*BH12*1</f>
        <v>5720.44950755292</v>
      </c>
      <c r="BI25" s="118" t="n">
        <f aca="false">BI22*Inputs!$B$25*BI12*1</f>
        <v>5747.02009884194</v>
      </c>
      <c r="BJ25" s="118" t="n">
        <f aca="false">BJ22*Inputs!$B$25*BJ12*1</f>
        <v>4315.09102042488</v>
      </c>
    </row>
    <row r="26" customFormat="false" ht="15" hidden="false" customHeight="false" outlineLevel="0" collapsed="false">
      <c r="A26" s="6" t="s">
        <v>432</v>
      </c>
      <c r="C26" s="118" t="n">
        <f aca="false">Inputs!$B$15*Inputs!$B$16*Inputs!$B$17*Inputs!$B$9*1</f>
        <v>24563</v>
      </c>
      <c r="D26" s="118" t="n">
        <f aca="false">Inputs!$B$15*Inputs!$B$16*Inputs!$B$17*Inputs!$B$9*1</f>
        <v>24563</v>
      </c>
      <c r="E26" s="118" t="n">
        <f aca="false">Inputs!$B$15*Inputs!$B$16*Inputs!$B$17*Inputs!$B$9*1</f>
        <v>24563</v>
      </c>
      <c r="F26" s="118" t="n">
        <f aca="false">Inputs!$B$15*Inputs!$B$16*Inputs!$B$17*Inputs!$B$9*1</f>
        <v>24563</v>
      </c>
      <c r="G26" s="118" t="n">
        <f aca="false">Inputs!$B$15*Inputs!$B$16*Inputs!$B$17*Inputs!$B$9*1</f>
        <v>24563</v>
      </c>
      <c r="H26" s="118" t="n">
        <f aca="false">Inputs!$B$15*Inputs!$B$16*Inputs!$B$17*Inputs!$B$9*1</f>
        <v>24563</v>
      </c>
      <c r="I26" s="118" t="n">
        <f aca="false">Inputs!$B$15*Inputs!$B$16*Inputs!$B$17*Inputs!$B$9*1</f>
        <v>24563</v>
      </c>
      <c r="J26" s="118" t="n">
        <f aca="false">Inputs!$B$15*Inputs!$B$16*Inputs!$B$17*Inputs!$B$9*1</f>
        <v>24563</v>
      </c>
      <c r="K26" s="118" t="n">
        <f aca="false">Inputs!$B$15*Inputs!$B$16*Inputs!$B$17*Inputs!$B$9*1</f>
        <v>24563</v>
      </c>
      <c r="L26" s="118" t="n">
        <f aca="false">Inputs!$B$15*Inputs!$B$16*Inputs!$B$17*Inputs!$B$9*1</f>
        <v>24563</v>
      </c>
      <c r="M26" s="118" t="n">
        <f aca="false">Inputs!$B$15*Inputs!$B$16*Inputs!$B$17*Inputs!$B$9*1</f>
        <v>24563</v>
      </c>
      <c r="N26" s="118" t="n">
        <f aca="false">Inputs!$B$15*Inputs!$B$16*Inputs!$B$17*Inputs!$B$9*1</f>
        <v>24563</v>
      </c>
      <c r="O26" s="118" t="n">
        <f aca="false">Inputs!$B$15*Inputs!$B$16*Inputs!$B$17*Inputs!$B$9*1</f>
        <v>24563</v>
      </c>
      <c r="P26" s="118" t="n">
        <f aca="false">Inputs!$B$15*Inputs!$B$16*Inputs!$B$17*Inputs!$B$9*1</f>
        <v>24563</v>
      </c>
      <c r="Q26" s="118" t="n">
        <f aca="false">Inputs!$B$15*Inputs!$B$16*Inputs!$B$17*Inputs!$B$9*1</f>
        <v>24563</v>
      </c>
      <c r="R26" s="118" t="n">
        <f aca="false">Inputs!$B$15*Inputs!$B$16*Inputs!$B$17*Inputs!$B$9*1</f>
        <v>24563</v>
      </c>
      <c r="S26" s="118" t="n">
        <f aca="false">Inputs!$B$15*Inputs!$B$16*Inputs!$B$17*Inputs!$B$9*1</f>
        <v>24563</v>
      </c>
      <c r="T26" s="118" t="n">
        <f aca="false">Inputs!$B$15*Inputs!$B$16*Inputs!$B$17*Inputs!$B$9*1</f>
        <v>24563</v>
      </c>
      <c r="U26" s="118" t="n">
        <f aca="false">Inputs!$B$15*Inputs!$B$16*Inputs!$B$17*Inputs!$B$9*1</f>
        <v>24563</v>
      </c>
      <c r="V26" s="118" t="n">
        <f aca="false">Inputs!$B$15*Inputs!$B$16*Inputs!$B$17*Inputs!$B$9*1</f>
        <v>24563</v>
      </c>
      <c r="W26" s="118" t="n">
        <f aca="false">Inputs!$B$15*Inputs!$B$16*Inputs!$B$17*Inputs!$B$9*1</f>
        <v>24563</v>
      </c>
      <c r="X26" s="118" t="n">
        <f aca="false">Inputs!$B$15*Inputs!$B$16*Inputs!$B$17*Inputs!$B$9*1</f>
        <v>24563</v>
      </c>
      <c r="Y26" s="118" t="n">
        <f aca="false">Inputs!$B$15*Inputs!$B$16*Inputs!$B$17*Inputs!$B$9*1</f>
        <v>24563</v>
      </c>
      <c r="Z26" s="118" t="n">
        <f aca="false">Inputs!$B$15*Inputs!$B$16*Inputs!$B$17*Inputs!$B$9*1</f>
        <v>24563</v>
      </c>
      <c r="AA26" s="118" t="n">
        <f aca="false">Inputs!$B$15*Inputs!$B$16*Inputs!$B$17*Inputs!$B$9*1</f>
        <v>24563</v>
      </c>
      <c r="AB26" s="118" t="n">
        <f aca="false">Inputs!$B$15*Inputs!$B$16*Inputs!$B$17*Inputs!$B$9*1</f>
        <v>24563</v>
      </c>
      <c r="AC26" s="118" t="n">
        <f aca="false">Inputs!$B$15*Inputs!$B$16*Inputs!$B$17*Inputs!$B$9*1</f>
        <v>24563</v>
      </c>
      <c r="AD26" s="118" t="n">
        <f aca="false">Inputs!$B$15*Inputs!$B$16*Inputs!$B$17*Inputs!$B$9*1</f>
        <v>24563</v>
      </c>
      <c r="AE26" s="118" t="n">
        <f aca="false">Inputs!$B$15*Inputs!$B$16*Inputs!$B$17*Inputs!$B$9*1</f>
        <v>24563</v>
      </c>
      <c r="AF26" s="118" t="n">
        <f aca="false">Inputs!$B$15*Inputs!$B$16*Inputs!$B$17*Inputs!$B$9*1</f>
        <v>24563</v>
      </c>
      <c r="AG26" s="118" t="n">
        <f aca="false">Inputs!$B$15*Inputs!$B$16*Inputs!$B$17*Inputs!$B$9*1</f>
        <v>24563</v>
      </c>
      <c r="AH26" s="118" t="n">
        <f aca="false">Inputs!$B$15*Inputs!$B$16*Inputs!$B$17*Inputs!$B$9*1</f>
        <v>24563</v>
      </c>
      <c r="AI26" s="118" t="n">
        <f aca="false">Inputs!$B$15*Inputs!$B$16*Inputs!$B$17*Inputs!$B$9*1</f>
        <v>24563</v>
      </c>
      <c r="AJ26" s="118" t="n">
        <f aca="false">Inputs!$B$15*Inputs!$B$16*Inputs!$B$17*Inputs!$B$9*1</f>
        <v>24563</v>
      </c>
      <c r="AK26" s="118" t="n">
        <f aca="false">Inputs!$B$15*Inputs!$B$16*Inputs!$B$17*Inputs!$B$9*1</f>
        <v>24563</v>
      </c>
      <c r="AL26" s="118" t="n">
        <f aca="false">Inputs!$B$15*Inputs!$B$16*Inputs!$B$17*Inputs!$B$9*1</f>
        <v>24563</v>
      </c>
      <c r="AM26" s="118" t="n">
        <f aca="false">Inputs!$B$15*Inputs!$B$16*Inputs!$B$17*Inputs!$B$9*1</f>
        <v>24563</v>
      </c>
      <c r="AN26" s="118" t="n">
        <f aca="false">Inputs!$B$15*Inputs!$B$16*Inputs!$B$17*Inputs!$B$9*1</f>
        <v>24563</v>
      </c>
      <c r="AO26" s="118" t="n">
        <f aca="false">Inputs!$B$15*Inputs!$B$16*Inputs!$B$17*Inputs!$B$9*1</f>
        <v>24563</v>
      </c>
      <c r="AP26" s="118" t="n">
        <f aca="false">Inputs!$B$15*Inputs!$B$16*Inputs!$B$17*Inputs!$B$9*1</f>
        <v>24563</v>
      </c>
      <c r="AQ26" s="118" t="n">
        <f aca="false">Inputs!$B$15*Inputs!$B$16*Inputs!$B$17*Inputs!$B$9*1</f>
        <v>24563</v>
      </c>
      <c r="AR26" s="118" t="n">
        <f aca="false">Inputs!$B$15*Inputs!$B$16*Inputs!$B$17*Inputs!$B$9*1</f>
        <v>24563</v>
      </c>
      <c r="AS26" s="118" t="n">
        <f aca="false">Inputs!$B$15*Inputs!$B$16*Inputs!$B$17*Inputs!$B$9*1</f>
        <v>24563</v>
      </c>
      <c r="AT26" s="118" t="n">
        <f aca="false">Inputs!$B$15*Inputs!$B$16*Inputs!$B$17*Inputs!$B$9*1</f>
        <v>24563</v>
      </c>
      <c r="AU26" s="118" t="n">
        <f aca="false">Inputs!$B$15*Inputs!$B$16*Inputs!$B$17*Inputs!$B$9*1</f>
        <v>24563</v>
      </c>
      <c r="AV26" s="118" t="n">
        <f aca="false">Inputs!$B$15*Inputs!$B$16*Inputs!$B$17*Inputs!$B$9*1</f>
        <v>24563</v>
      </c>
      <c r="AW26" s="118" t="n">
        <f aca="false">Inputs!$B$15*Inputs!$B$16*Inputs!$B$17*Inputs!$B$9*1</f>
        <v>24563</v>
      </c>
      <c r="AX26" s="118" t="n">
        <f aca="false">Inputs!$B$15*Inputs!$B$16*Inputs!$B$17*Inputs!$B$9*1</f>
        <v>24563</v>
      </c>
      <c r="AY26" s="118" t="n">
        <f aca="false">Inputs!$B$15*Inputs!$B$16*Inputs!$B$17*Inputs!$B$9*1</f>
        <v>24563</v>
      </c>
      <c r="AZ26" s="118" t="n">
        <f aca="false">Inputs!$B$15*Inputs!$B$16*Inputs!$B$17*Inputs!$B$9*1</f>
        <v>24563</v>
      </c>
      <c r="BA26" s="118" t="n">
        <f aca="false">Inputs!$B$15*Inputs!$B$16*Inputs!$B$17*Inputs!$B$9*1</f>
        <v>24563</v>
      </c>
      <c r="BB26" s="118" t="n">
        <f aca="false">Inputs!$B$15*Inputs!$B$16*Inputs!$B$17*Inputs!$B$9*1</f>
        <v>24563</v>
      </c>
      <c r="BC26" s="118" t="n">
        <f aca="false">Inputs!$B$15*Inputs!$B$16*Inputs!$B$17*Inputs!$B$9*1</f>
        <v>24563</v>
      </c>
      <c r="BD26" s="118" t="n">
        <f aca="false">Inputs!$B$15*Inputs!$B$16*Inputs!$B$17*Inputs!$B$9*1</f>
        <v>24563</v>
      </c>
      <c r="BE26" s="118" t="n">
        <f aca="false">Inputs!$B$15*Inputs!$B$16*Inputs!$B$17*Inputs!$B$9*1</f>
        <v>24563</v>
      </c>
      <c r="BF26" s="118" t="n">
        <f aca="false">Inputs!$B$15*Inputs!$B$16*Inputs!$B$17*Inputs!$B$9*1</f>
        <v>24563</v>
      </c>
      <c r="BG26" s="118" t="n">
        <f aca="false">Inputs!$B$15*Inputs!$B$16*Inputs!$B$17*Inputs!$B$9*1</f>
        <v>24563</v>
      </c>
      <c r="BH26" s="118" t="n">
        <f aca="false">Inputs!$B$15*Inputs!$B$16*Inputs!$B$17*Inputs!$B$9*1</f>
        <v>24563</v>
      </c>
      <c r="BI26" s="118" t="n">
        <f aca="false">Inputs!$B$15*Inputs!$B$16*Inputs!$B$17*Inputs!$B$9*1</f>
        <v>24563</v>
      </c>
      <c r="BJ26" s="118" t="n">
        <f aca="false">Inputs!$B$15*Inputs!$B$16*Inputs!$B$17*Inputs!$B$9*1</f>
        <v>24563</v>
      </c>
    </row>
    <row r="27" customFormat="false" ht="15" hidden="false" customHeight="false" outlineLevel="0" collapsed="false">
      <c r="A27" s="38" t="s">
        <v>433</v>
      </c>
      <c r="C27" s="76" t="n">
        <f aca="false">MIN(1,C26/MAX(1,C13+C25))</f>
        <v>1</v>
      </c>
      <c r="D27" s="76" t="n">
        <f aca="false">MIN(1,D26/MAX(1,D13+D25))</f>
        <v>1</v>
      </c>
      <c r="E27" s="76" t="n">
        <f aca="false">MIN(1,E26/MAX(1,E13+E25))</f>
        <v>1</v>
      </c>
      <c r="F27" s="76" t="n">
        <f aca="false">MIN(1,F26/MAX(1,F13+F25))</f>
        <v>1</v>
      </c>
      <c r="G27" s="76" t="n">
        <f aca="false">MIN(1,G26/MAX(1,G13+G25))</f>
        <v>1</v>
      </c>
      <c r="H27" s="76" t="n">
        <f aca="false">MIN(1,H26/MAX(1,H13+H25))</f>
        <v>1</v>
      </c>
      <c r="I27" s="76" t="n">
        <f aca="false">MIN(1,I26/MAX(1,I13+I25))</f>
        <v>1</v>
      </c>
      <c r="J27" s="76" t="n">
        <f aca="false">MIN(1,J26/MAX(1,J13+J25))</f>
        <v>1</v>
      </c>
      <c r="K27" s="76" t="n">
        <f aca="false">MIN(1,K26/MAX(1,K13+K25))</f>
        <v>1</v>
      </c>
      <c r="L27" s="76" t="n">
        <f aca="false">MIN(1,L26/MAX(1,L13+L25))</f>
        <v>1</v>
      </c>
      <c r="M27" s="76" t="n">
        <f aca="false">MIN(1,M26/MAX(1,M13+M25))</f>
        <v>1</v>
      </c>
      <c r="N27" s="76" t="n">
        <f aca="false">MIN(1,N26/MAX(1,N13+N25))</f>
        <v>1</v>
      </c>
      <c r="O27" s="76" t="n">
        <f aca="false">MIN(1,O26/MAX(1,O13+O25))</f>
        <v>1</v>
      </c>
      <c r="P27" s="76" t="n">
        <f aca="false">MIN(1,P26/MAX(1,P13+P25))</f>
        <v>1</v>
      </c>
      <c r="Q27" s="76" t="n">
        <f aca="false">MIN(1,Q26/MAX(1,Q13+Q25))</f>
        <v>1</v>
      </c>
      <c r="R27" s="76" t="n">
        <f aca="false">MIN(1,R26/MAX(1,R13+R25))</f>
        <v>1</v>
      </c>
      <c r="S27" s="76" t="n">
        <f aca="false">MIN(1,S26/MAX(1,S13+S25))</f>
        <v>1</v>
      </c>
      <c r="T27" s="76" t="n">
        <f aca="false">MIN(1,T26/MAX(1,T13+T25))</f>
        <v>1</v>
      </c>
      <c r="U27" s="76" t="n">
        <f aca="false">MIN(1,U26/MAX(1,U13+U25))</f>
        <v>1</v>
      </c>
      <c r="V27" s="76" t="n">
        <f aca="false">MIN(1,V26/MAX(1,V13+V25))</f>
        <v>1</v>
      </c>
      <c r="W27" s="76" t="n">
        <f aca="false">MIN(1,W26/MAX(1,W13+W25))</f>
        <v>1</v>
      </c>
      <c r="X27" s="76" t="n">
        <f aca="false">MIN(1,X26/MAX(1,X13+X25))</f>
        <v>1</v>
      </c>
      <c r="Y27" s="76" t="n">
        <f aca="false">MIN(1,Y26/MAX(1,Y13+Y25))</f>
        <v>1</v>
      </c>
      <c r="Z27" s="76" t="n">
        <f aca="false">MIN(1,Z26/MAX(1,Z13+Z25))</f>
        <v>1</v>
      </c>
      <c r="AA27" s="76" t="n">
        <f aca="false">MIN(1,AA26/MAX(1,AA13+AA25))</f>
        <v>1</v>
      </c>
      <c r="AB27" s="76" t="n">
        <f aca="false">MIN(1,AB26/MAX(1,AB13+AB25))</f>
        <v>1</v>
      </c>
      <c r="AC27" s="76" t="n">
        <f aca="false">MIN(1,AC26/MAX(1,AC13+AC25))</f>
        <v>1</v>
      </c>
      <c r="AD27" s="76" t="n">
        <f aca="false">MIN(1,AD26/MAX(1,AD13+AD25))</f>
        <v>1</v>
      </c>
      <c r="AE27" s="76" t="n">
        <f aca="false">MIN(1,AE26/MAX(1,AE13+AE25))</f>
        <v>1</v>
      </c>
      <c r="AF27" s="76" t="n">
        <f aca="false">MIN(1,AF26/MAX(1,AF13+AF25))</f>
        <v>1</v>
      </c>
      <c r="AG27" s="76" t="n">
        <f aca="false">MIN(1,AG26/MAX(1,AG13+AG25))</f>
        <v>1</v>
      </c>
      <c r="AH27" s="76" t="n">
        <f aca="false">MIN(1,AH26/MAX(1,AH13+AH25))</f>
        <v>1</v>
      </c>
      <c r="AI27" s="76" t="n">
        <f aca="false">MIN(1,AI26/MAX(1,AI13+AI25))</f>
        <v>1</v>
      </c>
      <c r="AJ27" s="76" t="n">
        <f aca="false">MIN(1,AJ26/MAX(1,AJ13+AJ25))</f>
        <v>1</v>
      </c>
      <c r="AK27" s="76" t="n">
        <f aca="false">MIN(1,AK26/MAX(1,AK13+AK25))</f>
        <v>1</v>
      </c>
      <c r="AL27" s="76" t="n">
        <f aca="false">MIN(1,AL26/MAX(1,AL13+AL25))</f>
        <v>1</v>
      </c>
      <c r="AM27" s="76" t="n">
        <f aca="false">MIN(1,AM26/MAX(1,AM13+AM25))</f>
        <v>1</v>
      </c>
      <c r="AN27" s="76" t="n">
        <f aca="false">MIN(1,AN26/MAX(1,AN13+AN25))</f>
        <v>1</v>
      </c>
      <c r="AO27" s="76" t="n">
        <f aca="false">MIN(1,AO26/MAX(1,AO13+AO25))</f>
        <v>1</v>
      </c>
      <c r="AP27" s="76" t="n">
        <f aca="false">MIN(1,AP26/MAX(1,AP13+AP25))</f>
        <v>1</v>
      </c>
      <c r="AQ27" s="76" t="n">
        <f aca="false">MIN(1,AQ26/MAX(1,AQ13+AQ25))</f>
        <v>1</v>
      </c>
      <c r="AR27" s="76" t="n">
        <f aca="false">MIN(1,AR26/MAX(1,AR13+AR25))</f>
        <v>1</v>
      </c>
      <c r="AS27" s="76" t="n">
        <f aca="false">MIN(1,AS26/MAX(1,AS13+AS25))</f>
        <v>1</v>
      </c>
      <c r="AT27" s="76" t="n">
        <f aca="false">MIN(1,AT26/MAX(1,AT13+AT25))</f>
        <v>1</v>
      </c>
      <c r="AU27" s="76" t="n">
        <f aca="false">MIN(1,AU26/MAX(1,AU13+AU25))</f>
        <v>1</v>
      </c>
      <c r="AV27" s="76" t="n">
        <f aca="false">MIN(1,AV26/MAX(1,AV13+AV25))</f>
        <v>1</v>
      </c>
      <c r="AW27" s="76" t="n">
        <f aca="false">MIN(1,AW26/MAX(1,AW13+AW25))</f>
        <v>1</v>
      </c>
      <c r="AX27" s="76" t="n">
        <f aca="false">MIN(1,AX26/MAX(1,AX13+AX25))</f>
        <v>1</v>
      </c>
      <c r="AY27" s="76" t="n">
        <f aca="false">MIN(1,AY26/MAX(1,AY13+AY25))</f>
        <v>1</v>
      </c>
      <c r="AZ27" s="76" t="n">
        <f aca="false">MIN(1,AZ26/MAX(1,AZ13+AZ25))</f>
        <v>1</v>
      </c>
      <c r="BA27" s="76" t="n">
        <f aca="false">MIN(1,BA26/MAX(1,BA13+BA25))</f>
        <v>1</v>
      </c>
      <c r="BB27" s="76" t="n">
        <f aca="false">MIN(1,BB26/MAX(1,BB13+BB25))</f>
        <v>1</v>
      </c>
      <c r="BC27" s="76" t="n">
        <f aca="false">MIN(1,BC26/MAX(1,BC13+BC25))</f>
        <v>1</v>
      </c>
      <c r="BD27" s="76" t="n">
        <f aca="false">MIN(1,BD26/MAX(1,BD13+BD25))</f>
        <v>1</v>
      </c>
      <c r="BE27" s="76" t="n">
        <f aca="false">MIN(1,BE26/MAX(1,BE13+BE25))</f>
        <v>1</v>
      </c>
      <c r="BF27" s="76" t="n">
        <f aca="false">MIN(1,BF26/MAX(1,BF13+BF25))</f>
        <v>1</v>
      </c>
      <c r="BG27" s="76" t="n">
        <f aca="false">MIN(1,BG26/MAX(1,BG13+BG25))</f>
        <v>1</v>
      </c>
      <c r="BH27" s="76" t="n">
        <f aca="false">MIN(1,BH26/MAX(1,BH13+BH25))</f>
        <v>1</v>
      </c>
      <c r="BI27" s="76" t="n">
        <f aca="false">MIN(1,BI26/MAX(1,BI13+BI25))</f>
        <v>1</v>
      </c>
      <c r="BJ27" s="76" t="n">
        <f aca="false">MIN(1,BJ26/MAX(1,BJ13+BJ25))</f>
        <v>1</v>
      </c>
    </row>
    <row r="28" customFormat="false" ht="15" hidden="false" customHeight="false" outlineLevel="0" collapsed="false">
      <c r="A28" s="6" t="s">
        <v>238</v>
      </c>
      <c r="C28" s="118" t="n">
        <f aca="false">C13*C27</f>
        <v>1624</v>
      </c>
      <c r="D28" s="118" t="n">
        <f aca="false">D13*D27</f>
        <v>1875.33333333333</v>
      </c>
      <c r="E28" s="118" t="n">
        <f aca="false">E13*E27</f>
        <v>2835.55555555556</v>
      </c>
      <c r="F28" s="118" t="n">
        <f aca="false">F13*F27</f>
        <v>3170.66666666667</v>
      </c>
      <c r="G28" s="118" t="n">
        <f aca="false">G13*G27</f>
        <v>3505.77777777778</v>
      </c>
      <c r="H28" s="118" t="n">
        <f aca="false">H13*H27</f>
        <v>3840.88888888889</v>
      </c>
      <c r="I28" s="118" t="n">
        <f aca="false">I13*I27</f>
        <v>4176</v>
      </c>
      <c r="J28" s="118" t="n">
        <f aca="false">J13*J27</f>
        <v>4511.11111111111</v>
      </c>
      <c r="K28" s="118" t="n">
        <f aca="false">K13*K27</f>
        <v>4846.22222222222</v>
      </c>
      <c r="L28" s="118" t="n">
        <f aca="false">L13*L27</f>
        <v>5181.33333333333</v>
      </c>
      <c r="M28" s="118" t="n">
        <f aca="false">M13*M27</f>
        <v>5516.44444444444</v>
      </c>
      <c r="N28" s="118" t="n">
        <f aca="false">N13*N27</f>
        <v>4388.66666666667</v>
      </c>
      <c r="O28" s="118" t="n">
        <f aca="false">O13*O27</f>
        <v>4640</v>
      </c>
      <c r="P28" s="118" t="n">
        <f aca="false">P13*P27</f>
        <v>4640</v>
      </c>
      <c r="Q28" s="118" t="n">
        <f aca="false">Q13*Q27</f>
        <v>6186.66666666667</v>
      </c>
      <c r="R28" s="118" t="n">
        <f aca="false">R13*R27</f>
        <v>6186.66666666667</v>
      </c>
      <c r="S28" s="118" t="n">
        <f aca="false">S13*S27</f>
        <v>6186.66666666667</v>
      </c>
      <c r="T28" s="118" t="n">
        <f aca="false">T13*T27</f>
        <v>6186.66666666667</v>
      </c>
      <c r="U28" s="118" t="n">
        <f aca="false">U13*U27</f>
        <v>6186.66666666667</v>
      </c>
      <c r="V28" s="118" t="n">
        <f aca="false">V13*V27</f>
        <v>6186.66666666667</v>
      </c>
      <c r="W28" s="118" t="n">
        <f aca="false">W13*W27</f>
        <v>6186.66666666667</v>
      </c>
      <c r="X28" s="118" t="n">
        <f aca="false">X13*X27</f>
        <v>6186.66666666667</v>
      </c>
      <c r="Y28" s="118" t="n">
        <f aca="false">Y13*Y27</f>
        <v>6186.66666666667</v>
      </c>
      <c r="Z28" s="118" t="n">
        <f aca="false">Z13*Z27</f>
        <v>4640</v>
      </c>
      <c r="AA28" s="118" t="n">
        <f aca="false">AA13*AA27</f>
        <v>4640</v>
      </c>
      <c r="AB28" s="118" t="n">
        <f aca="false">AB13*AB27</f>
        <v>4640</v>
      </c>
      <c r="AC28" s="118" t="n">
        <f aca="false">AC13*AC27</f>
        <v>6186.66666666667</v>
      </c>
      <c r="AD28" s="118" t="n">
        <f aca="false">AD13*AD27</f>
        <v>6186.66666666667</v>
      </c>
      <c r="AE28" s="118" t="n">
        <f aca="false">AE13*AE27</f>
        <v>6186.66666666667</v>
      </c>
      <c r="AF28" s="118" t="n">
        <f aca="false">AF13*AF27</f>
        <v>6186.66666666667</v>
      </c>
      <c r="AG28" s="118" t="n">
        <f aca="false">AG13*AG27</f>
        <v>6186.66666666667</v>
      </c>
      <c r="AH28" s="118" t="n">
        <f aca="false">AH13*AH27</f>
        <v>6186.66666666667</v>
      </c>
      <c r="AI28" s="118" t="n">
        <f aca="false">AI13*AI27</f>
        <v>6186.66666666667</v>
      </c>
      <c r="AJ28" s="118" t="n">
        <f aca="false">AJ13*AJ27</f>
        <v>6186.66666666667</v>
      </c>
      <c r="AK28" s="118" t="n">
        <f aca="false">AK13*AK27</f>
        <v>6186.66666666667</v>
      </c>
      <c r="AL28" s="118" t="n">
        <f aca="false">AL13*AL27</f>
        <v>4640</v>
      </c>
      <c r="AM28" s="118" t="n">
        <f aca="false">AM13*AM27</f>
        <v>4640</v>
      </c>
      <c r="AN28" s="118" t="n">
        <f aca="false">AN13*AN27</f>
        <v>4640</v>
      </c>
      <c r="AO28" s="118" t="n">
        <f aca="false">AO13*AO27</f>
        <v>6186.66666666667</v>
      </c>
      <c r="AP28" s="118" t="n">
        <f aca="false">AP13*AP27</f>
        <v>6186.66666666667</v>
      </c>
      <c r="AQ28" s="118" t="n">
        <f aca="false">AQ13*AQ27</f>
        <v>6186.66666666667</v>
      </c>
      <c r="AR28" s="118" t="n">
        <f aca="false">AR13*AR27</f>
        <v>6186.66666666667</v>
      </c>
      <c r="AS28" s="118" t="n">
        <f aca="false">AS13*AS27</f>
        <v>6186.66666666667</v>
      </c>
      <c r="AT28" s="118" t="n">
        <f aca="false">AT13*AT27</f>
        <v>6186.66666666667</v>
      </c>
      <c r="AU28" s="118" t="n">
        <f aca="false">AU13*AU27</f>
        <v>6186.66666666667</v>
      </c>
      <c r="AV28" s="118" t="n">
        <f aca="false">AV13*AV27</f>
        <v>6186.66666666667</v>
      </c>
      <c r="AW28" s="118" t="n">
        <f aca="false">AW13*AW27</f>
        <v>6186.66666666667</v>
      </c>
      <c r="AX28" s="118" t="n">
        <f aca="false">AX13*AX27</f>
        <v>4640</v>
      </c>
      <c r="AY28" s="118" t="n">
        <f aca="false">AY13*AY27</f>
        <v>4640</v>
      </c>
      <c r="AZ28" s="118" t="n">
        <f aca="false">AZ13*AZ27</f>
        <v>4640</v>
      </c>
      <c r="BA28" s="118" t="n">
        <f aca="false">BA13*BA27</f>
        <v>6186.66666666667</v>
      </c>
      <c r="BB28" s="118" t="n">
        <f aca="false">BB13*BB27</f>
        <v>6186.66666666667</v>
      </c>
      <c r="BC28" s="118" t="n">
        <f aca="false">BC13*BC27</f>
        <v>6186.66666666667</v>
      </c>
      <c r="BD28" s="118" t="n">
        <f aca="false">BD13*BD27</f>
        <v>6186.66666666667</v>
      </c>
      <c r="BE28" s="118" t="n">
        <f aca="false">BE13*BE27</f>
        <v>6186.66666666667</v>
      </c>
      <c r="BF28" s="118" t="n">
        <f aca="false">BF13*BF27</f>
        <v>6186.66666666667</v>
      </c>
      <c r="BG28" s="118" t="n">
        <f aca="false">BG13*BG27</f>
        <v>6186.66666666667</v>
      </c>
      <c r="BH28" s="118" t="n">
        <f aca="false">BH13*BH27</f>
        <v>6186.66666666667</v>
      </c>
      <c r="BI28" s="118" t="n">
        <f aca="false">BI13*BI27</f>
        <v>6186.66666666667</v>
      </c>
      <c r="BJ28" s="118" t="n">
        <f aca="false">BJ13*BJ27</f>
        <v>4640</v>
      </c>
    </row>
    <row r="29" customFormat="false" ht="15" hidden="false" customHeight="false" outlineLevel="0" collapsed="false">
      <c r="A29" s="6" t="s">
        <v>239</v>
      </c>
      <c r="C29" s="118" t="n">
        <f aca="false">C25*C27</f>
        <v>480.69088</v>
      </c>
      <c r="D29" s="118" t="n">
        <f aca="false">D25*D27</f>
        <v>534.423589333333</v>
      </c>
      <c r="E29" s="118" t="n">
        <f aca="false">E25*E27</f>
        <v>804.140955377778</v>
      </c>
      <c r="F29" s="118" t="n">
        <f aca="false">F25*F27</f>
        <v>915.671792053333</v>
      </c>
      <c r="G29" s="118" t="n">
        <f aca="false">G25*G27</f>
        <v>1038.55821133956</v>
      </c>
      <c r="H29" s="118" t="n">
        <f aca="false">H25*H27</f>
        <v>1172.23243410591</v>
      </c>
      <c r="I29" s="118" t="n">
        <f aca="false">I25*I27</f>
        <v>1316.15507017839</v>
      </c>
      <c r="J29" s="118" t="n">
        <f aca="false">J25*J27</f>
        <v>1469.8136988917</v>
      </c>
      <c r="K29" s="118" t="n">
        <f aca="false">K25*K27</f>
        <v>1632.72152061378</v>
      </c>
      <c r="L29" s="118" t="n">
        <f aca="false">L25*L27</f>
        <v>1804.4160756942</v>
      </c>
      <c r="M29" s="118" t="n">
        <f aca="false">M25*M27</f>
        <v>1984.45802746504</v>
      </c>
      <c r="N29" s="118" t="n">
        <f aca="false">N25*N27</f>
        <v>1615.98095790218</v>
      </c>
      <c r="O29" s="118" t="n">
        <f aca="false">O25*O27</f>
        <v>1735.83001667374</v>
      </c>
      <c r="P29" s="118" t="n">
        <f aca="false">P25*P27</f>
        <v>1855.27211584005</v>
      </c>
      <c r="Q29" s="118" t="n">
        <f aca="false">Q25*Q27</f>
        <v>2643.79694673073</v>
      </c>
      <c r="R29" s="118" t="n">
        <f aca="false">R25*R27</f>
        <v>2824.20016606086</v>
      </c>
      <c r="S29" s="118" t="n">
        <f aca="false">S25*S27</f>
        <v>2995.58322442448</v>
      </c>
      <c r="T29" s="118" t="n">
        <f aca="false">T25*T27</f>
        <v>3158.39712986993</v>
      </c>
      <c r="U29" s="118" t="n">
        <f aca="false">U25*U27</f>
        <v>3313.0703400431</v>
      </c>
      <c r="V29" s="118" t="n">
        <f aca="false">V25*V27</f>
        <v>3460.00988970761</v>
      </c>
      <c r="W29" s="118" t="n">
        <f aca="false">W25*W27</f>
        <v>3599.60246188889</v>
      </c>
      <c r="X29" s="118" t="n">
        <f aca="false">X25*X27</f>
        <v>3732.21540546111</v>
      </c>
      <c r="Y29" s="118" t="n">
        <f aca="false">Y25*Y27</f>
        <v>3858.19770185473</v>
      </c>
      <c r="Z29" s="118" t="n">
        <f aca="false">Z25*Z27</f>
        <v>2969.30506257149</v>
      </c>
      <c r="AA29" s="118" t="n">
        <f aca="false">AA25*AA27</f>
        <v>3027.07340944292</v>
      </c>
      <c r="AB29" s="118" t="n">
        <f aca="false">AB25*AB27</f>
        <v>3081.95333897077</v>
      </c>
      <c r="AC29" s="118" t="n">
        <f aca="false">AC25*AC27</f>
        <v>4197.59316269631</v>
      </c>
      <c r="AD29" s="118" t="n">
        <f aca="false">AD25*AD27</f>
        <v>4300.30657122816</v>
      </c>
      <c r="AE29" s="118" t="n">
        <f aca="false">AE25*AE27</f>
        <v>4397.88430933342</v>
      </c>
      <c r="AF29" s="118" t="n">
        <f aca="false">AF25*AF27</f>
        <v>4490.58316053342</v>
      </c>
      <c r="AG29" s="118" t="n">
        <f aca="false">AG25*AG27</f>
        <v>4578.64706917341</v>
      </c>
      <c r="AH29" s="118" t="n">
        <f aca="false">AH25*AH27</f>
        <v>4662.30778238141</v>
      </c>
      <c r="AI29" s="118" t="n">
        <f aca="false">AI25*AI27</f>
        <v>4741.785459929</v>
      </c>
      <c r="AJ29" s="118" t="n">
        <f aca="false">AJ25*AJ27</f>
        <v>4817.28925359922</v>
      </c>
      <c r="AK29" s="118" t="n">
        <f aca="false">AK25*AK27</f>
        <v>4889.01785758592</v>
      </c>
      <c r="AL29" s="118" t="n">
        <f aca="false">AL25*AL27</f>
        <v>3703.76442352997</v>
      </c>
      <c r="AM29" s="118" t="n">
        <f aca="false">AM25*AM27</f>
        <v>3724.80980235347</v>
      </c>
      <c r="AN29" s="118" t="n">
        <f aca="false">AN25*AN27</f>
        <v>3744.8029122358</v>
      </c>
      <c r="AO29" s="118" t="n">
        <f aca="false">AO25*AO27</f>
        <v>5037.20262216534</v>
      </c>
      <c r="AP29" s="118" t="n">
        <f aca="false">AP25*AP27</f>
        <v>5097.93555772374</v>
      </c>
      <c r="AQ29" s="118" t="n">
        <f aca="false">AQ25*AQ27</f>
        <v>5155.63184650422</v>
      </c>
      <c r="AR29" s="118" t="n">
        <f aca="false">AR25*AR27</f>
        <v>5210.44332084568</v>
      </c>
      <c r="AS29" s="118" t="n">
        <f aca="false">AS25*AS27</f>
        <v>5262.51422147006</v>
      </c>
      <c r="AT29" s="118" t="n">
        <f aca="false">AT25*AT27</f>
        <v>5311.98157706323</v>
      </c>
      <c r="AU29" s="118" t="n">
        <f aca="false">AU25*AU27</f>
        <v>5358.97556487673</v>
      </c>
      <c r="AV29" s="118" t="n">
        <f aca="false">AV25*AV27</f>
        <v>5403.61985329956</v>
      </c>
      <c r="AW29" s="118" t="n">
        <f aca="false">AW25*AW27</f>
        <v>5446.03192730125</v>
      </c>
      <c r="AX29" s="118" t="n">
        <f aca="false">AX25*AX27</f>
        <v>4100.63694820214</v>
      </c>
      <c r="AY29" s="118" t="n">
        <f aca="false">AY25*AY27</f>
        <v>4101.83870079203</v>
      </c>
      <c r="AZ29" s="118" t="n">
        <f aca="false">AZ25*AZ27</f>
        <v>4102.98036575243</v>
      </c>
      <c r="BA29" s="118" t="n">
        <f aca="false">BA25*BA27</f>
        <v>5490.89406328641</v>
      </c>
      <c r="BB29" s="118" t="n">
        <f aca="false">BB25*BB27</f>
        <v>5528.94242678876</v>
      </c>
      <c r="BC29" s="118" t="n">
        <f aca="false">BC25*BC27</f>
        <v>5565.08837211599</v>
      </c>
      <c r="BD29" s="118" t="n">
        <f aca="false">BD25*BD27</f>
        <v>5599.42702017685</v>
      </c>
      <c r="BE29" s="118" t="n">
        <f aca="false">BE25*BE27</f>
        <v>5632.04873583468</v>
      </c>
      <c r="BF29" s="118" t="n">
        <f aca="false">BF25*BF27</f>
        <v>5663.03936570961</v>
      </c>
      <c r="BG29" s="118" t="n">
        <f aca="false">BG25*BG27</f>
        <v>5692.4804640908</v>
      </c>
      <c r="BH29" s="118" t="n">
        <f aca="false">BH25*BH27</f>
        <v>5720.44950755292</v>
      </c>
      <c r="BI29" s="118" t="n">
        <f aca="false">BI25*BI27</f>
        <v>5747.02009884194</v>
      </c>
      <c r="BJ29" s="118" t="n">
        <f aca="false">BJ25*BJ27</f>
        <v>4315.09102042488</v>
      </c>
    </row>
    <row r="30" customFormat="false" ht="15" hidden="false" customHeight="false" outlineLevel="0" collapsed="false">
      <c r="A30" s="4" t="s">
        <v>434</v>
      </c>
      <c r="C30" s="121" t="n">
        <f aca="false">C28+C29</f>
        <v>2104.69088</v>
      </c>
      <c r="D30" s="121" t="n">
        <f aca="false">D28+D29</f>
        <v>2409.75692266667</v>
      </c>
      <c r="E30" s="121" t="n">
        <f aca="false">E28+E29</f>
        <v>3639.69651093333</v>
      </c>
      <c r="F30" s="121" t="n">
        <f aca="false">F28+F29</f>
        <v>4086.33845872</v>
      </c>
      <c r="G30" s="121" t="n">
        <f aca="false">G28+G29</f>
        <v>4544.33598911733</v>
      </c>
      <c r="H30" s="121" t="n">
        <f aca="false">H28+H29</f>
        <v>5013.1213229948</v>
      </c>
      <c r="I30" s="121" t="n">
        <f aca="false">I28+I29</f>
        <v>5492.15507017839</v>
      </c>
      <c r="J30" s="121" t="n">
        <f aca="false">J28+J29</f>
        <v>5980.92481000281</v>
      </c>
      <c r="K30" s="121" t="n">
        <f aca="false">K28+K29</f>
        <v>6478.943742836</v>
      </c>
      <c r="L30" s="121" t="n">
        <f aca="false">L28+L29</f>
        <v>6985.74940902753</v>
      </c>
      <c r="M30" s="121" t="n">
        <f aca="false">M28+M29</f>
        <v>7500.90247190949</v>
      </c>
      <c r="N30" s="121" t="n">
        <f aca="false">N28+N29</f>
        <v>6004.64762456885</v>
      </c>
      <c r="O30" s="121" t="n">
        <f aca="false">O28+O29</f>
        <v>6375.83001667374</v>
      </c>
      <c r="P30" s="121" t="n">
        <f aca="false">P28+P29</f>
        <v>6495.27211584005</v>
      </c>
      <c r="Q30" s="121" t="n">
        <f aca="false">Q28+Q29</f>
        <v>8830.4636133974</v>
      </c>
      <c r="R30" s="121" t="n">
        <f aca="false">R28+R29</f>
        <v>9010.86683272753</v>
      </c>
      <c r="S30" s="121" t="n">
        <f aca="false">S28+S29</f>
        <v>9182.24989109115</v>
      </c>
      <c r="T30" s="121" t="n">
        <f aca="false">T28+T29</f>
        <v>9345.06379653659</v>
      </c>
      <c r="U30" s="121" t="n">
        <f aca="false">U28+U29</f>
        <v>9499.73700670976</v>
      </c>
      <c r="V30" s="121" t="n">
        <f aca="false">V28+V29</f>
        <v>9646.67655637427</v>
      </c>
      <c r="W30" s="121" t="n">
        <f aca="false">W28+W29</f>
        <v>9786.26912855556</v>
      </c>
      <c r="X30" s="121" t="n">
        <f aca="false">X28+X29</f>
        <v>9918.88207212778</v>
      </c>
      <c r="Y30" s="121" t="n">
        <f aca="false">Y28+Y29</f>
        <v>10044.8643685214</v>
      </c>
      <c r="Z30" s="121" t="n">
        <f aca="false">Z28+Z29</f>
        <v>7609.30506257149</v>
      </c>
      <c r="AA30" s="121" t="n">
        <f aca="false">AA28+AA29</f>
        <v>7667.07340944292</v>
      </c>
      <c r="AB30" s="121" t="n">
        <f aca="false">AB28+AB29</f>
        <v>7721.95333897077</v>
      </c>
      <c r="AC30" s="121" t="n">
        <f aca="false">AC28+AC29</f>
        <v>10384.259829363</v>
      </c>
      <c r="AD30" s="121" t="n">
        <f aca="false">AD28+AD29</f>
        <v>10486.9732378948</v>
      </c>
      <c r="AE30" s="121" t="n">
        <f aca="false">AE28+AE29</f>
        <v>10584.5509760001</v>
      </c>
      <c r="AF30" s="121" t="n">
        <f aca="false">AF28+AF29</f>
        <v>10677.2498272001</v>
      </c>
      <c r="AG30" s="121" t="n">
        <f aca="false">AG28+AG29</f>
        <v>10765.3137358401</v>
      </c>
      <c r="AH30" s="121" t="n">
        <f aca="false">AH28+AH29</f>
        <v>10848.9744490481</v>
      </c>
      <c r="AI30" s="121" t="n">
        <f aca="false">AI28+AI29</f>
        <v>10928.4521265957</v>
      </c>
      <c r="AJ30" s="121" t="n">
        <f aca="false">AJ28+AJ29</f>
        <v>11003.9559202659</v>
      </c>
      <c r="AK30" s="121" t="n">
        <f aca="false">AK28+AK29</f>
        <v>11075.6845242526</v>
      </c>
      <c r="AL30" s="121" t="n">
        <f aca="false">AL28+AL29</f>
        <v>8343.76442352997</v>
      </c>
      <c r="AM30" s="121" t="n">
        <f aca="false">AM28+AM29</f>
        <v>8364.80980235347</v>
      </c>
      <c r="AN30" s="121" t="n">
        <f aca="false">AN28+AN29</f>
        <v>8384.8029122358</v>
      </c>
      <c r="AO30" s="121" t="n">
        <f aca="false">AO28+AO29</f>
        <v>11223.869288832</v>
      </c>
      <c r="AP30" s="121" t="n">
        <f aca="false">AP28+AP29</f>
        <v>11284.6022243904</v>
      </c>
      <c r="AQ30" s="121" t="n">
        <f aca="false">AQ28+AQ29</f>
        <v>11342.2985131709</v>
      </c>
      <c r="AR30" s="121" t="n">
        <f aca="false">AR28+AR29</f>
        <v>11397.1099875123</v>
      </c>
      <c r="AS30" s="121" t="n">
        <f aca="false">AS28+AS29</f>
        <v>11449.1808881367</v>
      </c>
      <c r="AT30" s="121" t="n">
        <f aca="false">AT28+AT29</f>
        <v>11498.6482437299</v>
      </c>
      <c r="AU30" s="121" t="n">
        <f aca="false">AU28+AU29</f>
        <v>11545.6422315434</v>
      </c>
      <c r="AV30" s="121" t="n">
        <f aca="false">AV28+AV29</f>
        <v>11590.2865199662</v>
      </c>
      <c r="AW30" s="121" t="n">
        <f aca="false">AW28+AW29</f>
        <v>11632.6985939679</v>
      </c>
      <c r="AX30" s="121" t="n">
        <f aca="false">AX28+AX29</f>
        <v>8740.63694820214</v>
      </c>
      <c r="AY30" s="121" t="n">
        <f aca="false">AY28+AY29</f>
        <v>8741.83870079203</v>
      </c>
      <c r="AZ30" s="121" t="n">
        <f aca="false">AZ28+AZ29</f>
        <v>8742.98036575243</v>
      </c>
      <c r="BA30" s="121" t="n">
        <f aca="false">BA28+BA29</f>
        <v>11677.5607299531</v>
      </c>
      <c r="BB30" s="121" t="n">
        <f aca="false">BB28+BB29</f>
        <v>11715.6090934554</v>
      </c>
      <c r="BC30" s="121" t="n">
        <f aca="false">BC28+BC29</f>
        <v>11751.7550387827</v>
      </c>
      <c r="BD30" s="121" t="n">
        <f aca="false">BD28+BD29</f>
        <v>11786.0936868435</v>
      </c>
      <c r="BE30" s="121" t="n">
        <f aca="false">BE28+BE29</f>
        <v>11818.7154025013</v>
      </c>
      <c r="BF30" s="121" t="n">
        <f aca="false">BF28+BF29</f>
        <v>11849.7060323763</v>
      </c>
      <c r="BG30" s="121" t="n">
        <f aca="false">BG28+BG29</f>
        <v>11879.1471307575</v>
      </c>
      <c r="BH30" s="121" t="n">
        <f aca="false">BH28+BH29</f>
        <v>11907.1161742196</v>
      </c>
      <c r="BI30" s="121" t="n">
        <f aca="false">BI28+BI29</f>
        <v>11933.6867655086</v>
      </c>
      <c r="BJ30" s="121" t="n">
        <f aca="false">BJ28+BJ29</f>
        <v>8955.09102042488</v>
      </c>
    </row>
    <row r="31" customFormat="false" ht="15" hidden="false" customHeight="false" outlineLevel="0" collapsed="false">
      <c r="A31" s="6" t="s">
        <v>242</v>
      </c>
      <c r="C31" s="118" t="n">
        <f aca="false">C13+C25-C30</f>
        <v>0</v>
      </c>
      <c r="D31" s="118" t="n">
        <f aca="false">D13+D25-D30</f>
        <v>0</v>
      </c>
      <c r="E31" s="118" t="n">
        <f aca="false">E13+E25-E30</f>
        <v>0</v>
      </c>
      <c r="F31" s="118" t="n">
        <f aca="false">F13+F25-F30</f>
        <v>0</v>
      </c>
      <c r="G31" s="118" t="n">
        <f aca="false">G13+G25-G30</f>
        <v>0</v>
      </c>
      <c r="H31" s="118" t="n">
        <f aca="false">H13+H25-H30</f>
        <v>0</v>
      </c>
      <c r="I31" s="118" t="n">
        <f aca="false">I13+I25-I30</f>
        <v>0</v>
      </c>
      <c r="J31" s="118" t="n">
        <f aca="false">J13+J25-J30</f>
        <v>0</v>
      </c>
      <c r="K31" s="118" t="n">
        <f aca="false">K13+K25-K30</f>
        <v>0</v>
      </c>
      <c r="L31" s="118" t="n">
        <f aca="false">L13+L25-L30</f>
        <v>0</v>
      </c>
      <c r="M31" s="118" t="n">
        <f aca="false">M13+M25-M30</f>
        <v>0</v>
      </c>
      <c r="N31" s="118" t="n">
        <f aca="false">N13+N25-N30</f>
        <v>0</v>
      </c>
      <c r="O31" s="118" t="n">
        <f aca="false">O13+O25-O30</f>
        <v>0</v>
      </c>
      <c r="P31" s="118" t="n">
        <f aca="false">P13+P25-P30</f>
        <v>0</v>
      </c>
      <c r="Q31" s="118" t="n">
        <f aca="false">Q13+Q25-Q30</f>
        <v>0</v>
      </c>
      <c r="R31" s="118" t="n">
        <f aca="false">R13+R25-R30</f>
        <v>0</v>
      </c>
      <c r="S31" s="118" t="n">
        <f aca="false">S13+S25-S30</f>
        <v>0</v>
      </c>
      <c r="T31" s="118" t="n">
        <f aca="false">T13+T25-T30</f>
        <v>0</v>
      </c>
      <c r="U31" s="118" t="n">
        <f aca="false">U13+U25-U30</f>
        <v>0</v>
      </c>
      <c r="V31" s="118" t="n">
        <f aca="false">V13+V25-V30</f>
        <v>0</v>
      </c>
      <c r="W31" s="118" t="n">
        <f aca="false">W13+W25-W30</f>
        <v>0</v>
      </c>
      <c r="X31" s="118" t="n">
        <f aca="false">X13+X25-X30</f>
        <v>0</v>
      </c>
      <c r="Y31" s="118" t="n">
        <f aca="false">Y13+Y25-Y30</f>
        <v>0</v>
      </c>
      <c r="Z31" s="118" t="n">
        <f aca="false">Z13+Z25-Z30</f>
        <v>0</v>
      </c>
      <c r="AA31" s="118" t="n">
        <f aca="false">AA13+AA25-AA30</f>
        <v>0</v>
      </c>
      <c r="AB31" s="118" t="n">
        <f aca="false">AB13+AB25-AB30</f>
        <v>0</v>
      </c>
      <c r="AC31" s="118" t="n">
        <f aca="false">AC13+AC25-AC30</f>
        <v>0</v>
      </c>
      <c r="AD31" s="118" t="n">
        <f aca="false">AD13+AD25-AD30</f>
        <v>0</v>
      </c>
      <c r="AE31" s="118" t="n">
        <f aca="false">AE13+AE25-AE30</f>
        <v>0</v>
      </c>
      <c r="AF31" s="118" t="n">
        <f aca="false">AF13+AF25-AF30</f>
        <v>0</v>
      </c>
      <c r="AG31" s="118" t="n">
        <f aca="false">AG13+AG25-AG30</f>
        <v>0</v>
      </c>
      <c r="AH31" s="118" t="n">
        <f aca="false">AH13+AH25-AH30</f>
        <v>0</v>
      </c>
      <c r="AI31" s="118" t="n">
        <f aca="false">AI13+AI25-AI30</f>
        <v>0</v>
      </c>
      <c r="AJ31" s="118" t="n">
        <f aca="false">AJ13+AJ25-AJ30</f>
        <v>0</v>
      </c>
      <c r="AK31" s="118" t="n">
        <f aca="false">AK13+AK25-AK30</f>
        <v>0</v>
      </c>
      <c r="AL31" s="118" t="n">
        <f aca="false">AL13+AL25-AL30</f>
        <v>0</v>
      </c>
      <c r="AM31" s="118" t="n">
        <f aca="false">AM13+AM25-AM30</f>
        <v>0</v>
      </c>
      <c r="AN31" s="118" t="n">
        <f aca="false">AN13+AN25-AN30</f>
        <v>0</v>
      </c>
      <c r="AO31" s="118" t="n">
        <f aca="false">AO13+AO25-AO30</f>
        <v>0</v>
      </c>
      <c r="AP31" s="118" t="n">
        <f aca="false">AP13+AP25-AP30</f>
        <v>0</v>
      </c>
      <c r="AQ31" s="118" t="n">
        <f aca="false">AQ13+AQ25-AQ30</f>
        <v>0</v>
      </c>
      <c r="AR31" s="118" t="n">
        <f aca="false">AR13+AR25-AR30</f>
        <v>0</v>
      </c>
      <c r="AS31" s="118" t="n">
        <f aca="false">AS13+AS25-AS30</f>
        <v>0</v>
      </c>
      <c r="AT31" s="118" t="n">
        <f aca="false">AT13+AT25-AT30</f>
        <v>0</v>
      </c>
      <c r="AU31" s="118" t="n">
        <f aca="false">AU13+AU25-AU30</f>
        <v>0</v>
      </c>
      <c r="AV31" s="118" t="n">
        <f aca="false">AV13+AV25-AV30</f>
        <v>0</v>
      </c>
      <c r="AW31" s="118" t="n">
        <f aca="false">AW13+AW25-AW30</f>
        <v>0</v>
      </c>
      <c r="AX31" s="118" t="n">
        <f aca="false">AX13+AX25-AX30</f>
        <v>0</v>
      </c>
      <c r="AY31" s="118" t="n">
        <f aca="false">AY13+AY25-AY30</f>
        <v>0</v>
      </c>
      <c r="AZ31" s="118" t="n">
        <f aca="false">AZ13+AZ25-AZ30</f>
        <v>0</v>
      </c>
      <c r="BA31" s="118" t="n">
        <f aca="false">BA13+BA25-BA30</f>
        <v>0</v>
      </c>
      <c r="BB31" s="118" t="n">
        <f aca="false">BB13+BB25-BB30</f>
        <v>0</v>
      </c>
      <c r="BC31" s="118" t="n">
        <f aca="false">BC13+BC25-BC30</f>
        <v>0</v>
      </c>
      <c r="BD31" s="118" t="n">
        <f aca="false">BD13+BD25-BD30</f>
        <v>0</v>
      </c>
      <c r="BE31" s="118" t="n">
        <f aca="false">BE13+BE25-BE30</f>
        <v>0</v>
      </c>
      <c r="BF31" s="118" t="n">
        <f aca="false">BF13+BF25-BF30</f>
        <v>0</v>
      </c>
      <c r="BG31" s="118" t="n">
        <f aca="false">BG13+BG25-BG30</f>
        <v>0</v>
      </c>
      <c r="BH31" s="118" t="n">
        <f aca="false">BH13+BH25-BH30</f>
        <v>0</v>
      </c>
      <c r="BI31" s="118" t="n">
        <f aca="false">BI13+BI25-BI30</f>
        <v>0</v>
      </c>
      <c r="BJ31" s="118" t="n">
        <f aca="false">BJ13+BJ25-BJ30</f>
        <v>0</v>
      </c>
    </row>
    <row r="33" customFormat="false" ht="15.75" hidden="false" customHeight="true" outlineLevel="0" collapsed="false">
      <c r="A33" s="7" t="s">
        <v>44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435</v>
      </c>
      <c r="C34" s="122" t="n">
        <f aca="false">Inputs!$B$28*(1+Inputs!$B$31)^(C$7-1)</f>
        <v>12</v>
      </c>
      <c r="D34" s="122" t="n">
        <f aca="false">Inputs!$B$28*(1+Inputs!$B$31)^(D$7-1)</f>
        <v>12</v>
      </c>
      <c r="E34" s="122" t="n">
        <f aca="false">Inputs!$B$28*(1+Inputs!$B$31)^(E$7-1)</f>
        <v>12</v>
      </c>
      <c r="F34" s="122" t="n">
        <f aca="false">Inputs!$B$28*(1+Inputs!$B$31)^(F$7-1)</f>
        <v>12</v>
      </c>
      <c r="G34" s="122" t="n">
        <f aca="false">Inputs!$B$28*(1+Inputs!$B$31)^(G$7-1)</f>
        <v>12</v>
      </c>
      <c r="H34" s="122" t="n">
        <f aca="false">Inputs!$B$28*(1+Inputs!$B$31)^(H$7-1)</f>
        <v>12</v>
      </c>
      <c r="I34" s="122" t="n">
        <f aca="false">Inputs!$B$28*(1+Inputs!$B$31)^(I$7-1)</f>
        <v>12</v>
      </c>
      <c r="J34" s="122" t="n">
        <f aca="false">Inputs!$B$28*(1+Inputs!$B$31)^(J$7-1)</f>
        <v>12</v>
      </c>
      <c r="K34" s="122" t="n">
        <f aca="false">Inputs!$B$28*(1+Inputs!$B$31)^(K$7-1)</f>
        <v>12</v>
      </c>
      <c r="L34" s="122" t="n">
        <f aca="false">Inputs!$B$28*(1+Inputs!$B$31)^(L$7-1)</f>
        <v>12</v>
      </c>
      <c r="M34" s="122" t="n">
        <f aca="false">Inputs!$B$28*(1+Inputs!$B$31)^(M$7-1)</f>
        <v>12</v>
      </c>
      <c r="N34" s="122" t="n">
        <f aca="false">Inputs!$B$28*(1+Inputs!$B$31)^(N$7-1)</f>
        <v>12</v>
      </c>
      <c r="O34" s="122" t="n">
        <f aca="false">Inputs!$B$28*(1+Inputs!$B$31)^(O$7-1)</f>
        <v>12.12</v>
      </c>
      <c r="P34" s="122" t="n">
        <f aca="false">Inputs!$B$28*(1+Inputs!$B$31)^(P$7-1)</f>
        <v>12.12</v>
      </c>
      <c r="Q34" s="122" t="n">
        <f aca="false">Inputs!$B$28*(1+Inputs!$B$31)^(Q$7-1)</f>
        <v>12.12</v>
      </c>
      <c r="R34" s="122" t="n">
        <f aca="false">Inputs!$B$28*(1+Inputs!$B$31)^(R$7-1)</f>
        <v>12.12</v>
      </c>
      <c r="S34" s="122" t="n">
        <f aca="false">Inputs!$B$28*(1+Inputs!$B$31)^(S$7-1)</f>
        <v>12.12</v>
      </c>
      <c r="T34" s="122" t="n">
        <f aca="false">Inputs!$B$28*(1+Inputs!$B$31)^(T$7-1)</f>
        <v>12.12</v>
      </c>
      <c r="U34" s="122" t="n">
        <f aca="false">Inputs!$B$28*(1+Inputs!$B$31)^(U$7-1)</f>
        <v>12.12</v>
      </c>
      <c r="V34" s="122" t="n">
        <f aca="false">Inputs!$B$28*(1+Inputs!$B$31)^(V$7-1)</f>
        <v>12.12</v>
      </c>
      <c r="W34" s="122" t="n">
        <f aca="false">Inputs!$B$28*(1+Inputs!$B$31)^(W$7-1)</f>
        <v>12.12</v>
      </c>
      <c r="X34" s="122" t="n">
        <f aca="false">Inputs!$B$28*(1+Inputs!$B$31)^(X$7-1)</f>
        <v>12.12</v>
      </c>
      <c r="Y34" s="122" t="n">
        <f aca="false">Inputs!$B$28*(1+Inputs!$B$31)^(Y$7-1)</f>
        <v>12.12</v>
      </c>
      <c r="Z34" s="122" t="n">
        <f aca="false">Inputs!$B$28*(1+Inputs!$B$31)^(Z$7-1)</f>
        <v>12.12</v>
      </c>
      <c r="AA34" s="122" t="n">
        <f aca="false">Inputs!$B$28*(1+Inputs!$B$31)^(AA$7-1)</f>
        <v>12.2412</v>
      </c>
      <c r="AB34" s="122" t="n">
        <f aca="false">Inputs!$B$28*(1+Inputs!$B$31)^(AB$7-1)</f>
        <v>12.2412</v>
      </c>
      <c r="AC34" s="122" t="n">
        <f aca="false">Inputs!$B$28*(1+Inputs!$B$31)^(AC$7-1)</f>
        <v>12.2412</v>
      </c>
      <c r="AD34" s="122" t="n">
        <f aca="false">Inputs!$B$28*(1+Inputs!$B$31)^(AD$7-1)</f>
        <v>12.2412</v>
      </c>
      <c r="AE34" s="122" t="n">
        <f aca="false">Inputs!$B$28*(1+Inputs!$B$31)^(AE$7-1)</f>
        <v>12.2412</v>
      </c>
      <c r="AF34" s="122" t="n">
        <f aca="false">Inputs!$B$28*(1+Inputs!$B$31)^(AF$7-1)</f>
        <v>12.2412</v>
      </c>
      <c r="AG34" s="122" t="n">
        <f aca="false">Inputs!$B$28*(1+Inputs!$B$31)^(AG$7-1)</f>
        <v>12.2412</v>
      </c>
      <c r="AH34" s="122" t="n">
        <f aca="false">Inputs!$B$28*(1+Inputs!$B$31)^(AH$7-1)</f>
        <v>12.2412</v>
      </c>
      <c r="AI34" s="122" t="n">
        <f aca="false">Inputs!$B$28*(1+Inputs!$B$31)^(AI$7-1)</f>
        <v>12.2412</v>
      </c>
      <c r="AJ34" s="122" t="n">
        <f aca="false">Inputs!$B$28*(1+Inputs!$B$31)^(AJ$7-1)</f>
        <v>12.2412</v>
      </c>
      <c r="AK34" s="122" t="n">
        <f aca="false">Inputs!$B$28*(1+Inputs!$B$31)^(AK$7-1)</f>
        <v>12.2412</v>
      </c>
      <c r="AL34" s="122" t="n">
        <f aca="false">Inputs!$B$28*(1+Inputs!$B$31)^(AL$7-1)</f>
        <v>12.2412</v>
      </c>
      <c r="AM34" s="122" t="n">
        <f aca="false">Inputs!$B$28*(1+Inputs!$B$31)^(AM$7-1)</f>
        <v>12.363612</v>
      </c>
      <c r="AN34" s="122" t="n">
        <f aca="false">Inputs!$B$28*(1+Inputs!$B$31)^(AN$7-1)</f>
        <v>12.363612</v>
      </c>
      <c r="AO34" s="122" t="n">
        <f aca="false">Inputs!$B$28*(1+Inputs!$B$31)^(AO$7-1)</f>
        <v>12.363612</v>
      </c>
      <c r="AP34" s="122" t="n">
        <f aca="false">Inputs!$B$28*(1+Inputs!$B$31)^(AP$7-1)</f>
        <v>12.363612</v>
      </c>
      <c r="AQ34" s="122" t="n">
        <f aca="false">Inputs!$B$28*(1+Inputs!$B$31)^(AQ$7-1)</f>
        <v>12.363612</v>
      </c>
      <c r="AR34" s="122" t="n">
        <f aca="false">Inputs!$B$28*(1+Inputs!$B$31)^(AR$7-1)</f>
        <v>12.363612</v>
      </c>
      <c r="AS34" s="122" t="n">
        <f aca="false">Inputs!$B$28*(1+Inputs!$B$31)^(AS$7-1)</f>
        <v>12.363612</v>
      </c>
      <c r="AT34" s="122" t="n">
        <f aca="false">Inputs!$B$28*(1+Inputs!$B$31)^(AT$7-1)</f>
        <v>12.363612</v>
      </c>
      <c r="AU34" s="122" t="n">
        <f aca="false">Inputs!$B$28*(1+Inputs!$B$31)^(AU$7-1)</f>
        <v>12.363612</v>
      </c>
      <c r="AV34" s="122" t="n">
        <f aca="false">Inputs!$B$28*(1+Inputs!$B$31)^(AV$7-1)</f>
        <v>12.363612</v>
      </c>
      <c r="AW34" s="122" t="n">
        <f aca="false">Inputs!$B$28*(1+Inputs!$B$31)^(AW$7-1)</f>
        <v>12.363612</v>
      </c>
      <c r="AX34" s="122" t="n">
        <f aca="false">Inputs!$B$28*(1+Inputs!$B$31)^(AX$7-1)</f>
        <v>12.363612</v>
      </c>
      <c r="AY34" s="122" t="n">
        <f aca="false">Inputs!$B$28*(1+Inputs!$B$31)^(AY$7-1)</f>
        <v>12.48724812</v>
      </c>
      <c r="AZ34" s="122" t="n">
        <f aca="false">Inputs!$B$28*(1+Inputs!$B$31)^(AZ$7-1)</f>
        <v>12.48724812</v>
      </c>
      <c r="BA34" s="122" t="n">
        <f aca="false">Inputs!$B$28*(1+Inputs!$B$31)^(BA$7-1)</f>
        <v>12.48724812</v>
      </c>
      <c r="BB34" s="122" t="n">
        <f aca="false">Inputs!$B$28*(1+Inputs!$B$31)^(BB$7-1)</f>
        <v>12.48724812</v>
      </c>
      <c r="BC34" s="122" t="n">
        <f aca="false">Inputs!$B$28*(1+Inputs!$B$31)^(BC$7-1)</f>
        <v>12.48724812</v>
      </c>
      <c r="BD34" s="122" t="n">
        <f aca="false">Inputs!$B$28*(1+Inputs!$B$31)^(BD$7-1)</f>
        <v>12.48724812</v>
      </c>
      <c r="BE34" s="122" t="n">
        <f aca="false">Inputs!$B$28*(1+Inputs!$B$31)^(BE$7-1)</f>
        <v>12.48724812</v>
      </c>
      <c r="BF34" s="122" t="n">
        <f aca="false">Inputs!$B$28*(1+Inputs!$B$31)^(BF$7-1)</f>
        <v>12.48724812</v>
      </c>
      <c r="BG34" s="122" t="n">
        <f aca="false">Inputs!$B$28*(1+Inputs!$B$31)^(BG$7-1)</f>
        <v>12.48724812</v>
      </c>
      <c r="BH34" s="122" t="n">
        <f aca="false">Inputs!$B$28*(1+Inputs!$B$31)^(BH$7-1)</f>
        <v>12.48724812</v>
      </c>
      <c r="BI34" s="122" t="n">
        <f aca="false">Inputs!$B$28*(1+Inputs!$B$31)^(BI$7-1)</f>
        <v>12.48724812</v>
      </c>
      <c r="BJ34" s="122" t="n">
        <f aca="false">Inputs!$B$28*(1+Inputs!$B$31)^(BJ$7-1)</f>
        <v>12.48724812</v>
      </c>
    </row>
    <row r="35" customFormat="false" ht="15" hidden="false" customHeight="false" outlineLevel="0" collapsed="false">
      <c r="A35" s="6" t="s">
        <v>436</v>
      </c>
      <c r="C35" s="122" t="n">
        <f aca="false">Inputs!$B$30*(1+Inputs!$B$31)^(C$7-1)</f>
        <v>32</v>
      </c>
      <c r="D35" s="122" t="n">
        <f aca="false">Inputs!$B$30*(1+Inputs!$B$31)^(D$7-1)</f>
        <v>32</v>
      </c>
      <c r="E35" s="122" t="n">
        <f aca="false">Inputs!$B$30*(1+Inputs!$B$31)^(E$7-1)</f>
        <v>32</v>
      </c>
      <c r="F35" s="122" t="n">
        <f aca="false">Inputs!$B$30*(1+Inputs!$B$31)^(F$7-1)</f>
        <v>32</v>
      </c>
      <c r="G35" s="122" t="n">
        <f aca="false">Inputs!$B$30*(1+Inputs!$B$31)^(G$7-1)</f>
        <v>32</v>
      </c>
      <c r="H35" s="122" t="n">
        <f aca="false">Inputs!$B$30*(1+Inputs!$B$31)^(H$7-1)</f>
        <v>32</v>
      </c>
      <c r="I35" s="122" t="n">
        <f aca="false">Inputs!$B$30*(1+Inputs!$B$31)^(I$7-1)</f>
        <v>32</v>
      </c>
      <c r="J35" s="122" t="n">
        <f aca="false">Inputs!$B$30*(1+Inputs!$B$31)^(J$7-1)</f>
        <v>32</v>
      </c>
      <c r="K35" s="122" t="n">
        <f aca="false">Inputs!$B$30*(1+Inputs!$B$31)^(K$7-1)</f>
        <v>32</v>
      </c>
      <c r="L35" s="122" t="n">
        <f aca="false">Inputs!$B$30*(1+Inputs!$B$31)^(L$7-1)</f>
        <v>32</v>
      </c>
      <c r="M35" s="122" t="n">
        <f aca="false">Inputs!$B$30*(1+Inputs!$B$31)^(M$7-1)</f>
        <v>32</v>
      </c>
      <c r="N35" s="122" t="n">
        <f aca="false">Inputs!$B$30*(1+Inputs!$B$31)^(N$7-1)</f>
        <v>32</v>
      </c>
      <c r="O35" s="122" t="n">
        <f aca="false">Inputs!$B$30*(1+Inputs!$B$31)^(O$7-1)</f>
        <v>32.32</v>
      </c>
      <c r="P35" s="122" t="n">
        <f aca="false">Inputs!$B$30*(1+Inputs!$B$31)^(P$7-1)</f>
        <v>32.32</v>
      </c>
      <c r="Q35" s="122" t="n">
        <f aca="false">Inputs!$B$30*(1+Inputs!$B$31)^(Q$7-1)</f>
        <v>32.32</v>
      </c>
      <c r="R35" s="122" t="n">
        <f aca="false">Inputs!$B$30*(1+Inputs!$B$31)^(R$7-1)</f>
        <v>32.32</v>
      </c>
      <c r="S35" s="122" t="n">
        <f aca="false">Inputs!$B$30*(1+Inputs!$B$31)^(S$7-1)</f>
        <v>32.32</v>
      </c>
      <c r="T35" s="122" t="n">
        <f aca="false">Inputs!$B$30*(1+Inputs!$B$31)^(T$7-1)</f>
        <v>32.32</v>
      </c>
      <c r="U35" s="122" t="n">
        <f aca="false">Inputs!$B$30*(1+Inputs!$B$31)^(U$7-1)</f>
        <v>32.32</v>
      </c>
      <c r="V35" s="122" t="n">
        <f aca="false">Inputs!$B$30*(1+Inputs!$B$31)^(V$7-1)</f>
        <v>32.32</v>
      </c>
      <c r="W35" s="122" t="n">
        <f aca="false">Inputs!$B$30*(1+Inputs!$B$31)^(W$7-1)</f>
        <v>32.32</v>
      </c>
      <c r="X35" s="122" t="n">
        <f aca="false">Inputs!$B$30*(1+Inputs!$B$31)^(X$7-1)</f>
        <v>32.32</v>
      </c>
      <c r="Y35" s="122" t="n">
        <f aca="false">Inputs!$B$30*(1+Inputs!$B$31)^(Y$7-1)</f>
        <v>32.32</v>
      </c>
      <c r="Z35" s="122" t="n">
        <f aca="false">Inputs!$B$30*(1+Inputs!$B$31)^(Z$7-1)</f>
        <v>32.32</v>
      </c>
      <c r="AA35" s="122" t="n">
        <f aca="false">Inputs!$B$30*(1+Inputs!$B$31)^(AA$7-1)</f>
        <v>32.6432</v>
      </c>
      <c r="AB35" s="122" t="n">
        <f aca="false">Inputs!$B$30*(1+Inputs!$B$31)^(AB$7-1)</f>
        <v>32.6432</v>
      </c>
      <c r="AC35" s="122" t="n">
        <f aca="false">Inputs!$B$30*(1+Inputs!$B$31)^(AC$7-1)</f>
        <v>32.6432</v>
      </c>
      <c r="AD35" s="122" t="n">
        <f aca="false">Inputs!$B$30*(1+Inputs!$B$31)^(AD$7-1)</f>
        <v>32.6432</v>
      </c>
      <c r="AE35" s="122" t="n">
        <f aca="false">Inputs!$B$30*(1+Inputs!$B$31)^(AE$7-1)</f>
        <v>32.6432</v>
      </c>
      <c r="AF35" s="122" t="n">
        <f aca="false">Inputs!$B$30*(1+Inputs!$B$31)^(AF$7-1)</f>
        <v>32.6432</v>
      </c>
      <c r="AG35" s="122" t="n">
        <f aca="false">Inputs!$B$30*(1+Inputs!$B$31)^(AG$7-1)</f>
        <v>32.6432</v>
      </c>
      <c r="AH35" s="122" t="n">
        <f aca="false">Inputs!$B$30*(1+Inputs!$B$31)^(AH$7-1)</f>
        <v>32.6432</v>
      </c>
      <c r="AI35" s="122" t="n">
        <f aca="false">Inputs!$B$30*(1+Inputs!$B$31)^(AI$7-1)</f>
        <v>32.6432</v>
      </c>
      <c r="AJ35" s="122" t="n">
        <f aca="false">Inputs!$B$30*(1+Inputs!$B$31)^(AJ$7-1)</f>
        <v>32.6432</v>
      </c>
      <c r="AK35" s="122" t="n">
        <f aca="false">Inputs!$B$30*(1+Inputs!$B$31)^(AK$7-1)</f>
        <v>32.6432</v>
      </c>
      <c r="AL35" s="122" t="n">
        <f aca="false">Inputs!$B$30*(1+Inputs!$B$31)^(AL$7-1)</f>
        <v>32.6432</v>
      </c>
      <c r="AM35" s="122" t="n">
        <f aca="false">Inputs!$B$30*(1+Inputs!$B$31)^(AM$7-1)</f>
        <v>32.969632</v>
      </c>
      <c r="AN35" s="122" t="n">
        <f aca="false">Inputs!$B$30*(1+Inputs!$B$31)^(AN$7-1)</f>
        <v>32.969632</v>
      </c>
      <c r="AO35" s="122" t="n">
        <f aca="false">Inputs!$B$30*(1+Inputs!$B$31)^(AO$7-1)</f>
        <v>32.969632</v>
      </c>
      <c r="AP35" s="122" t="n">
        <f aca="false">Inputs!$B$30*(1+Inputs!$B$31)^(AP$7-1)</f>
        <v>32.969632</v>
      </c>
      <c r="AQ35" s="122" t="n">
        <f aca="false">Inputs!$B$30*(1+Inputs!$B$31)^(AQ$7-1)</f>
        <v>32.969632</v>
      </c>
      <c r="AR35" s="122" t="n">
        <f aca="false">Inputs!$B$30*(1+Inputs!$B$31)^(AR$7-1)</f>
        <v>32.969632</v>
      </c>
      <c r="AS35" s="122" t="n">
        <f aca="false">Inputs!$B$30*(1+Inputs!$B$31)^(AS$7-1)</f>
        <v>32.969632</v>
      </c>
      <c r="AT35" s="122" t="n">
        <f aca="false">Inputs!$B$30*(1+Inputs!$B$31)^(AT$7-1)</f>
        <v>32.969632</v>
      </c>
      <c r="AU35" s="122" t="n">
        <f aca="false">Inputs!$B$30*(1+Inputs!$B$31)^(AU$7-1)</f>
        <v>32.969632</v>
      </c>
      <c r="AV35" s="122" t="n">
        <f aca="false">Inputs!$B$30*(1+Inputs!$B$31)^(AV$7-1)</f>
        <v>32.969632</v>
      </c>
      <c r="AW35" s="122" t="n">
        <f aca="false">Inputs!$B$30*(1+Inputs!$B$31)^(AW$7-1)</f>
        <v>32.969632</v>
      </c>
      <c r="AX35" s="122" t="n">
        <f aca="false">Inputs!$B$30*(1+Inputs!$B$31)^(AX$7-1)</f>
        <v>32.969632</v>
      </c>
      <c r="AY35" s="122" t="n">
        <f aca="false">Inputs!$B$30*(1+Inputs!$B$31)^(AY$7-1)</f>
        <v>33.29932832</v>
      </c>
      <c r="AZ35" s="122" t="n">
        <f aca="false">Inputs!$B$30*(1+Inputs!$B$31)^(AZ$7-1)</f>
        <v>33.29932832</v>
      </c>
      <c r="BA35" s="122" t="n">
        <f aca="false">Inputs!$B$30*(1+Inputs!$B$31)^(BA$7-1)</f>
        <v>33.29932832</v>
      </c>
      <c r="BB35" s="122" t="n">
        <f aca="false">Inputs!$B$30*(1+Inputs!$B$31)^(BB$7-1)</f>
        <v>33.29932832</v>
      </c>
      <c r="BC35" s="122" t="n">
        <f aca="false">Inputs!$B$30*(1+Inputs!$B$31)^(BC$7-1)</f>
        <v>33.29932832</v>
      </c>
      <c r="BD35" s="122" t="n">
        <f aca="false">Inputs!$B$30*(1+Inputs!$B$31)^(BD$7-1)</f>
        <v>33.29932832</v>
      </c>
      <c r="BE35" s="122" t="n">
        <f aca="false">Inputs!$B$30*(1+Inputs!$B$31)^(BE$7-1)</f>
        <v>33.29932832</v>
      </c>
      <c r="BF35" s="122" t="n">
        <f aca="false">Inputs!$B$30*(1+Inputs!$B$31)^(BF$7-1)</f>
        <v>33.29932832</v>
      </c>
      <c r="BG35" s="122" t="n">
        <f aca="false">Inputs!$B$30*(1+Inputs!$B$31)^(BG$7-1)</f>
        <v>33.29932832</v>
      </c>
      <c r="BH35" s="122" t="n">
        <f aca="false">Inputs!$B$30*(1+Inputs!$B$31)^(BH$7-1)</f>
        <v>33.29932832</v>
      </c>
      <c r="BI35" s="122" t="n">
        <f aca="false">Inputs!$B$30*(1+Inputs!$B$31)^(BI$7-1)</f>
        <v>33.29932832</v>
      </c>
      <c r="BJ35" s="122" t="n">
        <f aca="false">Inputs!$B$30*(1+Inputs!$B$31)^(BJ$7-1)</f>
        <v>33.29932832</v>
      </c>
    </row>
    <row r="36" customFormat="false" ht="15" hidden="false" customHeight="false" outlineLevel="0" collapsed="false">
      <c r="A36" s="6" t="s">
        <v>437</v>
      </c>
      <c r="C36" s="69" t="n">
        <f aca="false">C28*C34</f>
        <v>19488</v>
      </c>
      <c r="D36" s="69" t="n">
        <f aca="false">D28*D34</f>
        <v>22504</v>
      </c>
      <c r="E36" s="69" t="n">
        <f aca="false">E28*E34</f>
        <v>34026.6666666667</v>
      </c>
      <c r="F36" s="69" t="n">
        <f aca="false">F28*F34</f>
        <v>38048</v>
      </c>
      <c r="G36" s="69" t="n">
        <f aca="false">G28*G34</f>
        <v>42069.3333333333</v>
      </c>
      <c r="H36" s="69" t="n">
        <f aca="false">H28*H34</f>
        <v>46090.6666666667</v>
      </c>
      <c r="I36" s="69" t="n">
        <f aca="false">I28*I34</f>
        <v>50112</v>
      </c>
      <c r="J36" s="69" t="n">
        <f aca="false">J28*J34</f>
        <v>54133.3333333333</v>
      </c>
      <c r="K36" s="69" t="n">
        <f aca="false">K28*K34</f>
        <v>58154.6666666667</v>
      </c>
      <c r="L36" s="69" t="n">
        <f aca="false">L28*L34</f>
        <v>62176</v>
      </c>
      <c r="M36" s="69" t="n">
        <f aca="false">M28*M34</f>
        <v>66197.3333333333</v>
      </c>
      <c r="N36" s="69" t="n">
        <f aca="false">N28*N34</f>
        <v>52664</v>
      </c>
      <c r="O36" s="69" t="n">
        <f aca="false">O28*O34</f>
        <v>56236.8</v>
      </c>
      <c r="P36" s="69" t="n">
        <f aca="false">P28*P34</f>
        <v>56236.8</v>
      </c>
      <c r="Q36" s="69" t="n">
        <f aca="false">Q28*Q34</f>
        <v>74982.4</v>
      </c>
      <c r="R36" s="69" t="n">
        <f aca="false">R28*R34</f>
        <v>74982.4</v>
      </c>
      <c r="S36" s="69" t="n">
        <f aca="false">S28*S34</f>
        <v>74982.4</v>
      </c>
      <c r="T36" s="69" t="n">
        <f aca="false">T28*T34</f>
        <v>74982.4</v>
      </c>
      <c r="U36" s="69" t="n">
        <f aca="false">U28*U34</f>
        <v>74982.4</v>
      </c>
      <c r="V36" s="69" t="n">
        <f aca="false">V28*V34</f>
        <v>74982.4</v>
      </c>
      <c r="W36" s="69" t="n">
        <f aca="false">W28*W34</f>
        <v>74982.4</v>
      </c>
      <c r="X36" s="69" t="n">
        <f aca="false">X28*X34</f>
        <v>74982.4</v>
      </c>
      <c r="Y36" s="69" t="n">
        <f aca="false">Y28*Y34</f>
        <v>74982.4</v>
      </c>
      <c r="Z36" s="69" t="n">
        <f aca="false">Z28*Z34</f>
        <v>56236.8</v>
      </c>
      <c r="AA36" s="69" t="n">
        <f aca="false">AA28*AA34</f>
        <v>56799.168</v>
      </c>
      <c r="AB36" s="69" t="n">
        <f aca="false">AB28*AB34</f>
        <v>56799.168</v>
      </c>
      <c r="AC36" s="69" t="n">
        <f aca="false">AC28*AC34</f>
        <v>75732.224</v>
      </c>
      <c r="AD36" s="69" t="n">
        <f aca="false">AD28*AD34</f>
        <v>75732.224</v>
      </c>
      <c r="AE36" s="69" t="n">
        <f aca="false">AE28*AE34</f>
        <v>75732.224</v>
      </c>
      <c r="AF36" s="69" t="n">
        <f aca="false">AF28*AF34</f>
        <v>75732.224</v>
      </c>
      <c r="AG36" s="69" t="n">
        <f aca="false">AG28*AG34</f>
        <v>75732.224</v>
      </c>
      <c r="AH36" s="69" t="n">
        <f aca="false">AH28*AH34</f>
        <v>75732.224</v>
      </c>
      <c r="AI36" s="69" t="n">
        <f aca="false">AI28*AI34</f>
        <v>75732.224</v>
      </c>
      <c r="AJ36" s="69" t="n">
        <f aca="false">AJ28*AJ34</f>
        <v>75732.224</v>
      </c>
      <c r="AK36" s="69" t="n">
        <f aca="false">AK28*AK34</f>
        <v>75732.224</v>
      </c>
      <c r="AL36" s="69" t="n">
        <f aca="false">AL28*AL34</f>
        <v>56799.168</v>
      </c>
      <c r="AM36" s="69" t="n">
        <f aca="false">AM28*AM34</f>
        <v>57367.15968</v>
      </c>
      <c r="AN36" s="69" t="n">
        <f aca="false">AN28*AN34</f>
        <v>57367.15968</v>
      </c>
      <c r="AO36" s="69" t="n">
        <f aca="false">AO28*AO34</f>
        <v>76489.54624</v>
      </c>
      <c r="AP36" s="69" t="n">
        <f aca="false">AP28*AP34</f>
        <v>76489.54624</v>
      </c>
      <c r="AQ36" s="69" t="n">
        <f aca="false">AQ28*AQ34</f>
        <v>76489.54624</v>
      </c>
      <c r="AR36" s="69" t="n">
        <f aca="false">AR28*AR34</f>
        <v>76489.54624</v>
      </c>
      <c r="AS36" s="69" t="n">
        <f aca="false">AS28*AS34</f>
        <v>76489.54624</v>
      </c>
      <c r="AT36" s="69" t="n">
        <f aca="false">AT28*AT34</f>
        <v>76489.54624</v>
      </c>
      <c r="AU36" s="69" t="n">
        <f aca="false">AU28*AU34</f>
        <v>76489.54624</v>
      </c>
      <c r="AV36" s="69" t="n">
        <f aca="false">AV28*AV34</f>
        <v>76489.54624</v>
      </c>
      <c r="AW36" s="69" t="n">
        <f aca="false">AW28*AW34</f>
        <v>76489.54624</v>
      </c>
      <c r="AX36" s="69" t="n">
        <f aca="false">AX28*AX34</f>
        <v>57367.15968</v>
      </c>
      <c r="AY36" s="69" t="n">
        <f aca="false">AY28*AY34</f>
        <v>57940.8312768</v>
      </c>
      <c r="AZ36" s="69" t="n">
        <f aca="false">AZ28*AZ34</f>
        <v>57940.8312768</v>
      </c>
      <c r="BA36" s="69" t="n">
        <f aca="false">BA28*BA34</f>
        <v>77254.4417024</v>
      </c>
      <c r="BB36" s="69" t="n">
        <f aca="false">BB28*BB34</f>
        <v>77254.4417024</v>
      </c>
      <c r="BC36" s="69" t="n">
        <f aca="false">BC28*BC34</f>
        <v>77254.4417024</v>
      </c>
      <c r="BD36" s="69" t="n">
        <f aca="false">BD28*BD34</f>
        <v>77254.4417024</v>
      </c>
      <c r="BE36" s="69" t="n">
        <f aca="false">BE28*BE34</f>
        <v>77254.4417024</v>
      </c>
      <c r="BF36" s="69" t="n">
        <f aca="false">BF28*BF34</f>
        <v>77254.4417024</v>
      </c>
      <c r="BG36" s="69" t="n">
        <f aca="false">BG28*BG34</f>
        <v>77254.4417024</v>
      </c>
      <c r="BH36" s="69" t="n">
        <f aca="false">BH28*BH34</f>
        <v>77254.4417024</v>
      </c>
      <c r="BI36" s="69" t="n">
        <f aca="false">BI28*BI34</f>
        <v>77254.4417024</v>
      </c>
      <c r="BJ36" s="69" t="n">
        <f aca="false">BJ28*BJ34</f>
        <v>57940.8312768</v>
      </c>
    </row>
    <row r="37" customFormat="false" ht="15" hidden="false" customHeight="false" outlineLevel="0" collapsed="false">
      <c r="A37" s="6" t="s">
        <v>438</v>
      </c>
      <c r="C37" s="69" t="n">
        <f aca="false">C28*Inputs!$B$29*(1+Inputs!$B$31)^(C$7-1)</f>
        <v>1948.8</v>
      </c>
      <c r="D37" s="69" t="n">
        <f aca="false">D28*Inputs!$B$29*(1+Inputs!$B$31)^(D$7-1)</f>
        <v>2250.4</v>
      </c>
      <c r="E37" s="69" t="n">
        <f aca="false">E28*Inputs!$B$29*(1+Inputs!$B$31)^(E$7-1)</f>
        <v>3402.66666666667</v>
      </c>
      <c r="F37" s="69" t="n">
        <f aca="false">F28*Inputs!$B$29*(1+Inputs!$B$31)^(F$7-1)</f>
        <v>3804.8</v>
      </c>
      <c r="G37" s="69" t="n">
        <f aca="false">G28*Inputs!$B$29*(1+Inputs!$B$31)^(G$7-1)</f>
        <v>4206.93333333333</v>
      </c>
      <c r="H37" s="69" t="n">
        <f aca="false">H28*Inputs!$B$29*(1+Inputs!$B$31)^(H$7-1)</f>
        <v>4609.06666666667</v>
      </c>
      <c r="I37" s="69" t="n">
        <f aca="false">I28*Inputs!$B$29*(1+Inputs!$B$31)^(I$7-1)</f>
        <v>5011.2</v>
      </c>
      <c r="J37" s="69" t="n">
        <f aca="false">J28*Inputs!$B$29*(1+Inputs!$B$31)^(J$7-1)</f>
        <v>5413.33333333333</v>
      </c>
      <c r="K37" s="69" t="n">
        <f aca="false">K28*Inputs!$B$29*(1+Inputs!$B$31)^(K$7-1)</f>
        <v>5815.46666666667</v>
      </c>
      <c r="L37" s="69" t="n">
        <f aca="false">L28*Inputs!$B$29*(1+Inputs!$B$31)^(L$7-1)</f>
        <v>6217.6</v>
      </c>
      <c r="M37" s="69" t="n">
        <f aca="false">M28*Inputs!$B$29*(1+Inputs!$B$31)^(M$7-1)</f>
        <v>6619.73333333333</v>
      </c>
      <c r="N37" s="69" t="n">
        <f aca="false">N28*Inputs!$B$29*(1+Inputs!$B$31)^(N$7-1)</f>
        <v>5266.4</v>
      </c>
      <c r="O37" s="69" t="n">
        <f aca="false">O28*Inputs!$B$29*(1+Inputs!$B$31)^(O$7-1)</f>
        <v>5623.68</v>
      </c>
      <c r="P37" s="69" t="n">
        <f aca="false">P28*Inputs!$B$29*(1+Inputs!$B$31)^(P$7-1)</f>
        <v>5623.68</v>
      </c>
      <c r="Q37" s="69" t="n">
        <f aca="false">Q28*Inputs!$B$29*(1+Inputs!$B$31)^(Q$7-1)</f>
        <v>7498.24</v>
      </c>
      <c r="R37" s="69" t="n">
        <f aca="false">R28*Inputs!$B$29*(1+Inputs!$B$31)^(R$7-1)</f>
        <v>7498.24</v>
      </c>
      <c r="S37" s="69" t="n">
        <f aca="false">S28*Inputs!$B$29*(1+Inputs!$B$31)^(S$7-1)</f>
        <v>7498.24</v>
      </c>
      <c r="T37" s="69" t="n">
        <f aca="false">T28*Inputs!$B$29*(1+Inputs!$B$31)^(T$7-1)</f>
        <v>7498.24</v>
      </c>
      <c r="U37" s="69" t="n">
        <f aca="false">U28*Inputs!$B$29*(1+Inputs!$B$31)^(U$7-1)</f>
        <v>7498.24</v>
      </c>
      <c r="V37" s="69" t="n">
        <f aca="false">V28*Inputs!$B$29*(1+Inputs!$B$31)^(V$7-1)</f>
        <v>7498.24</v>
      </c>
      <c r="W37" s="69" t="n">
        <f aca="false">W28*Inputs!$B$29*(1+Inputs!$B$31)^(W$7-1)</f>
        <v>7498.24</v>
      </c>
      <c r="X37" s="69" t="n">
        <f aca="false">X28*Inputs!$B$29*(1+Inputs!$B$31)^(X$7-1)</f>
        <v>7498.24</v>
      </c>
      <c r="Y37" s="69" t="n">
        <f aca="false">Y28*Inputs!$B$29*(1+Inputs!$B$31)^(Y$7-1)</f>
        <v>7498.24</v>
      </c>
      <c r="Z37" s="69" t="n">
        <f aca="false">Z28*Inputs!$B$29*(1+Inputs!$B$31)^(Z$7-1)</f>
        <v>5623.68</v>
      </c>
      <c r="AA37" s="69" t="n">
        <f aca="false">AA28*Inputs!$B$29*(1+Inputs!$B$31)^(AA$7-1)</f>
        <v>5679.9168</v>
      </c>
      <c r="AB37" s="69" t="n">
        <f aca="false">AB28*Inputs!$B$29*(1+Inputs!$B$31)^(AB$7-1)</f>
        <v>5679.9168</v>
      </c>
      <c r="AC37" s="69" t="n">
        <f aca="false">AC28*Inputs!$B$29*(1+Inputs!$B$31)^(AC$7-1)</f>
        <v>7573.2224</v>
      </c>
      <c r="AD37" s="69" t="n">
        <f aca="false">AD28*Inputs!$B$29*(1+Inputs!$B$31)^(AD$7-1)</f>
        <v>7573.2224</v>
      </c>
      <c r="AE37" s="69" t="n">
        <f aca="false">AE28*Inputs!$B$29*(1+Inputs!$B$31)^(AE$7-1)</f>
        <v>7573.2224</v>
      </c>
      <c r="AF37" s="69" t="n">
        <f aca="false">AF28*Inputs!$B$29*(1+Inputs!$B$31)^(AF$7-1)</f>
        <v>7573.2224</v>
      </c>
      <c r="AG37" s="69" t="n">
        <f aca="false">AG28*Inputs!$B$29*(1+Inputs!$B$31)^(AG$7-1)</f>
        <v>7573.2224</v>
      </c>
      <c r="AH37" s="69" t="n">
        <f aca="false">AH28*Inputs!$B$29*(1+Inputs!$B$31)^(AH$7-1)</f>
        <v>7573.2224</v>
      </c>
      <c r="AI37" s="69" t="n">
        <f aca="false">AI28*Inputs!$B$29*(1+Inputs!$B$31)^(AI$7-1)</f>
        <v>7573.2224</v>
      </c>
      <c r="AJ37" s="69" t="n">
        <f aca="false">AJ28*Inputs!$B$29*(1+Inputs!$B$31)^(AJ$7-1)</f>
        <v>7573.2224</v>
      </c>
      <c r="AK37" s="69" t="n">
        <f aca="false">AK28*Inputs!$B$29*(1+Inputs!$B$31)^(AK$7-1)</f>
        <v>7573.2224</v>
      </c>
      <c r="AL37" s="69" t="n">
        <f aca="false">AL28*Inputs!$B$29*(1+Inputs!$B$31)^(AL$7-1)</f>
        <v>5679.9168</v>
      </c>
      <c r="AM37" s="69" t="n">
        <f aca="false">AM28*Inputs!$B$29*(1+Inputs!$B$31)^(AM$7-1)</f>
        <v>5736.715968</v>
      </c>
      <c r="AN37" s="69" t="n">
        <f aca="false">AN28*Inputs!$B$29*(1+Inputs!$B$31)^(AN$7-1)</f>
        <v>5736.715968</v>
      </c>
      <c r="AO37" s="69" t="n">
        <f aca="false">AO28*Inputs!$B$29*(1+Inputs!$B$31)^(AO$7-1)</f>
        <v>7648.954624</v>
      </c>
      <c r="AP37" s="69" t="n">
        <f aca="false">AP28*Inputs!$B$29*(1+Inputs!$B$31)^(AP$7-1)</f>
        <v>7648.954624</v>
      </c>
      <c r="AQ37" s="69" t="n">
        <f aca="false">AQ28*Inputs!$B$29*(1+Inputs!$B$31)^(AQ$7-1)</f>
        <v>7648.954624</v>
      </c>
      <c r="AR37" s="69" t="n">
        <f aca="false">AR28*Inputs!$B$29*(1+Inputs!$B$31)^(AR$7-1)</f>
        <v>7648.954624</v>
      </c>
      <c r="AS37" s="69" t="n">
        <f aca="false">AS28*Inputs!$B$29*(1+Inputs!$B$31)^(AS$7-1)</f>
        <v>7648.954624</v>
      </c>
      <c r="AT37" s="69" t="n">
        <f aca="false">AT28*Inputs!$B$29*(1+Inputs!$B$31)^(AT$7-1)</f>
        <v>7648.954624</v>
      </c>
      <c r="AU37" s="69" t="n">
        <f aca="false">AU28*Inputs!$B$29*(1+Inputs!$B$31)^(AU$7-1)</f>
        <v>7648.954624</v>
      </c>
      <c r="AV37" s="69" t="n">
        <f aca="false">AV28*Inputs!$B$29*(1+Inputs!$B$31)^(AV$7-1)</f>
        <v>7648.954624</v>
      </c>
      <c r="AW37" s="69" t="n">
        <f aca="false">AW28*Inputs!$B$29*(1+Inputs!$B$31)^(AW$7-1)</f>
        <v>7648.954624</v>
      </c>
      <c r="AX37" s="69" t="n">
        <f aca="false">AX28*Inputs!$B$29*(1+Inputs!$B$31)^(AX$7-1)</f>
        <v>5736.715968</v>
      </c>
      <c r="AY37" s="69" t="n">
        <f aca="false">AY28*Inputs!$B$29*(1+Inputs!$B$31)^(AY$7-1)</f>
        <v>5794.08312768</v>
      </c>
      <c r="AZ37" s="69" t="n">
        <f aca="false">AZ28*Inputs!$B$29*(1+Inputs!$B$31)^(AZ$7-1)</f>
        <v>5794.08312768</v>
      </c>
      <c r="BA37" s="69" t="n">
        <f aca="false">BA28*Inputs!$B$29*(1+Inputs!$B$31)^(BA$7-1)</f>
        <v>7725.44417024</v>
      </c>
      <c r="BB37" s="69" t="n">
        <f aca="false">BB28*Inputs!$B$29*(1+Inputs!$B$31)^(BB$7-1)</f>
        <v>7725.44417024</v>
      </c>
      <c r="BC37" s="69" t="n">
        <f aca="false">BC28*Inputs!$B$29*(1+Inputs!$B$31)^(BC$7-1)</f>
        <v>7725.44417024</v>
      </c>
      <c r="BD37" s="69" t="n">
        <f aca="false">BD28*Inputs!$B$29*(1+Inputs!$B$31)^(BD$7-1)</f>
        <v>7725.44417024</v>
      </c>
      <c r="BE37" s="69" t="n">
        <f aca="false">BE28*Inputs!$B$29*(1+Inputs!$B$31)^(BE$7-1)</f>
        <v>7725.44417024</v>
      </c>
      <c r="BF37" s="69" t="n">
        <f aca="false">BF28*Inputs!$B$29*(1+Inputs!$B$31)^(BF$7-1)</f>
        <v>7725.44417024</v>
      </c>
      <c r="BG37" s="69" t="n">
        <f aca="false">BG28*Inputs!$B$29*(1+Inputs!$B$31)^(BG$7-1)</f>
        <v>7725.44417024</v>
      </c>
      <c r="BH37" s="69" t="n">
        <f aca="false">BH28*Inputs!$B$29*(1+Inputs!$B$31)^(BH$7-1)</f>
        <v>7725.44417024</v>
      </c>
      <c r="BI37" s="69" t="n">
        <f aca="false">BI28*Inputs!$B$29*(1+Inputs!$B$31)^(BI$7-1)</f>
        <v>7725.44417024</v>
      </c>
      <c r="BJ37" s="69" t="n">
        <f aca="false">BJ28*Inputs!$B$29*(1+Inputs!$B$31)^(BJ$7-1)</f>
        <v>5794.08312768</v>
      </c>
    </row>
    <row r="38" customFormat="false" ht="15" hidden="false" customHeight="false" outlineLevel="0" collapsed="false">
      <c r="A38" s="6" t="s">
        <v>243</v>
      </c>
      <c r="C38" s="69" t="n">
        <f aca="false">C22*C35*1</f>
        <v>5059.904</v>
      </c>
      <c r="D38" s="69" t="n">
        <f aca="false">D22*D35*1</f>
        <v>5625.51146666667</v>
      </c>
      <c r="E38" s="69" t="n">
        <f aca="false">E22*E35*1</f>
        <v>6348.48122666667</v>
      </c>
      <c r="F38" s="69" t="n">
        <f aca="false">F22*F35*1</f>
        <v>7228.987832</v>
      </c>
      <c r="G38" s="69" t="n">
        <f aca="false">G22*G35*1</f>
        <v>8199.14377373333</v>
      </c>
      <c r="H38" s="69" t="n">
        <f aca="false">H22*H35*1</f>
        <v>9254.46658504666</v>
      </c>
      <c r="I38" s="69" t="n">
        <f aca="false">I22*I35*1</f>
        <v>10390.697922461</v>
      </c>
      <c r="J38" s="69" t="n">
        <f aca="false">J22*J35*1</f>
        <v>11603.7923596713</v>
      </c>
      <c r="K38" s="69" t="n">
        <f aca="false">K22*K35*1</f>
        <v>12889.9067416877</v>
      </c>
      <c r="L38" s="69" t="n">
        <f aca="false">L22*L35*1</f>
        <v>14245.39007127</v>
      </c>
      <c r="M38" s="69" t="n">
        <f aca="false">M22*M35*1</f>
        <v>15666.7739010398</v>
      </c>
      <c r="N38" s="69" t="n">
        <f aca="false">N22*N35*1</f>
        <v>17010.3258726545</v>
      </c>
      <c r="O38" s="69" t="n">
        <f aca="false">O22*O35*1</f>
        <v>18454.6138614787</v>
      </c>
      <c r="P38" s="69" t="n">
        <f aca="false">P22*P35*1</f>
        <v>19724.4719684047</v>
      </c>
      <c r="Q38" s="69" t="n">
        <f aca="false">Q22*Q35*1</f>
        <v>21080.8019699845</v>
      </c>
      <c r="R38" s="69" t="n">
        <f aca="false">R22*R35*1</f>
        <v>22519.2802714853</v>
      </c>
      <c r="S38" s="69" t="n">
        <f aca="false">S22*S35*1</f>
        <v>23885.834657911</v>
      </c>
      <c r="T38" s="69" t="n">
        <f aca="false">T22*T35*1</f>
        <v>25184.0613250155</v>
      </c>
      <c r="U38" s="69" t="n">
        <f aca="false">U22*U35*1</f>
        <v>26417.3766587647</v>
      </c>
      <c r="V38" s="69" t="n">
        <f aca="false">V22*V35*1</f>
        <v>27589.0262258265</v>
      </c>
      <c r="W38" s="69" t="n">
        <f aca="false">W22*W35*1</f>
        <v>28702.0933145351</v>
      </c>
      <c r="X38" s="69" t="n">
        <f aca="false">X22*X35*1</f>
        <v>29759.5070488084</v>
      </c>
      <c r="Y38" s="69" t="n">
        <f aca="false">Y22*Y35*1</f>
        <v>30764.0500963679</v>
      </c>
      <c r="Z38" s="69" t="n">
        <f aca="false">Z22*Z35*1</f>
        <v>31568.4011915495</v>
      </c>
      <c r="AA38" s="69" t="n">
        <f aca="false">AA22*AA35*1</f>
        <v>32504.3956312918</v>
      </c>
      <c r="AB38" s="69" t="n">
        <f aca="false">AB22*AB35*1</f>
        <v>33093.6905377272</v>
      </c>
      <c r="AC38" s="69" t="n">
        <f aca="false">AC22*AC35*1</f>
        <v>33804.9851468408</v>
      </c>
      <c r="AD38" s="69" t="n">
        <f aca="false">AD22*AD35*1</f>
        <v>34632.1794734988</v>
      </c>
      <c r="AE38" s="69" t="n">
        <f aca="false">AE22*AE35*1</f>
        <v>35418.0140838239</v>
      </c>
      <c r="AF38" s="69" t="n">
        <f aca="false">AF22*AF35*1</f>
        <v>36164.5569636327</v>
      </c>
      <c r="AG38" s="69" t="n">
        <f aca="false">AG22*AG35*1</f>
        <v>36873.772699451</v>
      </c>
      <c r="AH38" s="69" t="n">
        <f aca="false">AH22*AH35*1</f>
        <v>37547.5276484785</v>
      </c>
      <c r="AI38" s="69" t="n">
        <f aca="false">AI22*AI35*1</f>
        <v>38187.5948500546</v>
      </c>
      <c r="AJ38" s="69" t="n">
        <f aca="false">AJ22*AJ35*1</f>
        <v>38795.6586915518</v>
      </c>
      <c r="AK38" s="69" t="n">
        <f aca="false">AK22*AK35*1</f>
        <v>39373.3193409742</v>
      </c>
      <c r="AL38" s="69" t="n">
        <f aca="false">AL22*AL35*1</f>
        <v>39770.6325099255</v>
      </c>
      <c r="AM38" s="69" t="n">
        <f aca="false">AM22*AM35*1</f>
        <v>40396.5817281535</v>
      </c>
      <c r="AN38" s="69" t="n">
        <f aca="false">AN22*AN35*1</f>
        <v>40613.4124766259</v>
      </c>
      <c r="AO38" s="69" t="n">
        <f aca="false">AO22*AO35*1</f>
        <v>40972.3807801546</v>
      </c>
      <c r="AP38" s="69" t="n">
        <f aca="false">AP22*AP35*1</f>
        <v>41466.3797609868</v>
      </c>
      <c r="AQ38" s="69" t="n">
        <f aca="false">AQ22*AQ35*1</f>
        <v>41935.6787927775</v>
      </c>
      <c r="AR38" s="69" t="n">
        <f aca="false">AR22*AR35*1</f>
        <v>42381.5128729786</v>
      </c>
      <c r="AS38" s="69" t="n">
        <f aca="false">AS22*AS35*1</f>
        <v>42805.0552491697</v>
      </c>
      <c r="AT38" s="69" t="n">
        <f aca="false">AT22*AT35*1</f>
        <v>43207.4205065512</v>
      </c>
      <c r="AU38" s="69" t="n">
        <f aca="false">AU22*AU35*1</f>
        <v>43589.6675010636</v>
      </c>
      <c r="AV38" s="69" t="n">
        <f aca="false">AV22*AV35*1</f>
        <v>43952.8021458505</v>
      </c>
      <c r="AW38" s="69" t="n">
        <f aca="false">AW22*AW35*1</f>
        <v>44297.7800583979</v>
      </c>
      <c r="AX38" s="69" t="n">
        <f aca="false">AX22*AX35*1</f>
        <v>44472.529982838</v>
      </c>
      <c r="AY38" s="69" t="n">
        <f aca="false">AY22*AY35*1</f>
        <v>44930.4189517619</v>
      </c>
      <c r="AZ38" s="69" t="n">
        <f aca="false">AZ22*AZ35*1</f>
        <v>44942.9244374026</v>
      </c>
      <c r="BA38" s="69" t="n">
        <f aca="false">BA22*BA35*1</f>
        <v>45109.3135321661</v>
      </c>
      <c r="BB38" s="69" t="n">
        <f aca="false">BB22*BB35*1</f>
        <v>45421.8920555962</v>
      </c>
      <c r="BC38" s="69" t="n">
        <f aca="false">BC22*BC35*1</f>
        <v>45718.8416528548</v>
      </c>
      <c r="BD38" s="69" t="n">
        <f aca="false">BD22*BD35*1</f>
        <v>46000.9437702504</v>
      </c>
      <c r="BE38" s="69" t="n">
        <f aca="false">BE22*BE35*1</f>
        <v>46268.9407817763</v>
      </c>
      <c r="BF38" s="69" t="n">
        <f aca="false">BF22*BF35*1</f>
        <v>46523.5379427259</v>
      </c>
      <c r="BG38" s="69" t="n">
        <f aca="false">BG22*BG35*1</f>
        <v>46765.405245628</v>
      </c>
      <c r="BH38" s="69" t="n">
        <f aca="false">BH22*BH35*1</f>
        <v>46995.179183385</v>
      </c>
      <c r="BI38" s="69" t="n">
        <f aca="false">BI22*BI35*1</f>
        <v>47213.4644242541</v>
      </c>
      <c r="BJ38" s="69" t="n">
        <f aca="false">BJ22*BJ35*1</f>
        <v>47266.326519675</v>
      </c>
    </row>
    <row r="39" customFormat="false" ht="15" hidden="false" customHeight="false" outlineLevel="0" collapsed="false">
      <c r="A39" s="113" t="s">
        <v>44</v>
      </c>
      <c r="C39" s="70" t="n">
        <f aca="false">C36+C37+C38</f>
        <v>26496.704</v>
      </c>
      <c r="D39" s="70" t="n">
        <f aca="false">D36+D37+D38</f>
        <v>30379.9114666667</v>
      </c>
      <c r="E39" s="70" t="n">
        <f aca="false">E36+E37+E38</f>
        <v>43777.81456</v>
      </c>
      <c r="F39" s="70" t="n">
        <f aca="false">F36+F37+F38</f>
        <v>49081.787832</v>
      </c>
      <c r="G39" s="70" t="n">
        <f aca="false">G36+G37+G38</f>
        <v>54475.4104404</v>
      </c>
      <c r="H39" s="70" t="n">
        <f aca="false">H36+H37+H38</f>
        <v>59954.19991838</v>
      </c>
      <c r="I39" s="70" t="n">
        <f aca="false">I36+I37+I38</f>
        <v>65513.897922461</v>
      </c>
      <c r="J39" s="70" t="n">
        <f aca="false">J36+J37+J38</f>
        <v>71150.4590263379</v>
      </c>
      <c r="K39" s="70" t="n">
        <f aca="false">K36+K37+K38</f>
        <v>76860.040075021</v>
      </c>
      <c r="L39" s="70" t="n">
        <f aca="false">L36+L37+L38</f>
        <v>82638.99007127</v>
      </c>
      <c r="M39" s="70" t="n">
        <f aca="false">M36+M37+M38</f>
        <v>88483.8405677065</v>
      </c>
      <c r="N39" s="70" t="n">
        <f aca="false">N36+N37+N38</f>
        <v>74940.7258726545</v>
      </c>
      <c r="O39" s="70" t="n">
        <f aca="false">O36+O37+O38</f>
        <v>80315.0938614787</v>
      </c>
      <c r="P39" s="70" t="n">
        <f aca="false">P36+P37+P38</f>
        <v>81584.9519684047</v>
      </c>
      <c r="Q39" s="70" t="n">
        <f aca="false">Q36+Q37+Q38</f>
        <v>103561.441969985</v>
      </c>
      <c r="R39" s="70" t="n">
        <f aca="false">R36+R37+R38</f>
        <v>104999.920271485</v>
      </c>
      <c r="S39" s="70" t="n">
        <f aca="false">S36+S37+S38</f>
        <v>106366.474657911</v>
      </c>
      <c r="T39" s="70" t="n">
        <f aca="false">T36+T37+T38</f>
        <v>107664.701325015</v>
      </c>
      <c r="U39" s="70" t="n">
        <f aca="false">U36+U37+U38</f>
        <v>108898.016658765</v>
      </c>
      <c r="V39" s="70" t="n">
        <f aca="false">V36+V37+V38</f>
        <v>110069.666225826</v>
      </c>
      <c r="W39" s="70" t="n">
        <f aca="false">W36+W37+W38</f>
        <v>111182.733314535</v>
      </c>
      <c r="X39" s="70" t="n">
        <f aca="false">X36+X37+X38</f>
        <v>112240.147048808</v>
      </c>
      <c r="Y39" s="70" t="n">
        <f aca="false">Y36+Y37+Y38</f>
        <v>113244.690096368</v>
      </c>
      <c r="Z39" s="70" t="n">
        <f aca="false">Z36+Z37+Z38</f>
        <v>93428.8811915496</v>
      </c>
      <c r="AA39" s="70" t="n">
        <f aca="false">AA36+AA37+AA38</f>
        <v>94983.4804312918</v>
      </c>
      <c r="AB39" s="70" t="n">
        <f aca="false">AB36+AB37+AB38</f>
        <v>95572.7753377272</v>
      </c>
      <c r="AC39" s="70" t="n">
        <f aca="false">AC36+AC37+AC38</f>
        <v>117110.431546841</v>
      </c>
      <c r="AD39" s="70" t="n">
        <f aca="false">AD36+AD37+AD38</f>
        <v>117937.625873499</v>
      </c>
      <c r="AE39" s="70" t="n">
        <f aca="false">AE36+AE37+AE38</f>
        <v>118723.460483824</v>
      </c>
      <c r="AF39" s="70" t="n">
        <f aca="false">AF36+AF37+AF38</f>
        <v>119470.003363633</v>
      </c>
      <c r="AG39" s="70" t="n">
        <f aca="false">AG36+AG37+AG38</f>
        <v>120179.219099451</v>
      </c>
      <c r="AH39" s="70" t="n">
        <f aca="false">AH36+AH37+AH38</f>
        <v>120852.974048478</v>
      </c>
      <c r="AI39" s="70" t="n">
        <f aca="false">AI36+AI37+AI38</f>
        <v>121493.041250055</v>
      </c>
      <c r="AJ39" s="70" t="n">
        <f aca="false">AJ36+AJ37+AJ38</f>
        <v>122101.105091552</v>
      </c>
      <c r="AK39" s="70" t="n">
        <f aca="false">AK36+AK37+AK38</f>
        <v>122678.765740974</v>
      </c>
      <c r="AL39" s="70" t="n">
        <f aca="false">AL36+AL37+AL38</f>
        <v>102249.717309926</v>
      </c>
      <c r="AM39" s="70" t="n">
        <f aca="false">AM36+AM37+AM38</f>
        <v>103500.457376154</v>
      </c>
      <c r="AN39" s="70" t="n">
        <f aca="false">AN36+AN37+AN38</f>
        <v>103717.288124626</v>
      </c>
      <c r="AO39" s="70" t="n">
        <f aca="false">AO36+AO37+AO38</f>
        <v>125110.881644155</v>
      </c>
      <c r="AP39" s="70" t="n">
        <f aca="false">AP36+AP37+AP38</f>
        <v>125604.880624987</v>
      </c>
      <c r="AQ39" s="70" t="n">
        <f aca="false">AQ36+AQ37+AQ38</f>
        <v>126074.179656778</v>
      </c>
      <c r="AR39" s="70" t="n">
        <f aca="false">AR36+AR37+AR38</f>
        <v>126520.013736979</v>
      </c>
      <c r="AS39" s="70" t="n">
        <f aca="false">AS36+AS37+AS38</f>
        <v>126943.55611317</v>
      </c>
      <c r="AT39" s="70" t="n">
        <f aca="false">AT36+AT37+AT38</f>
        <v>127345.921370551</v>
      </c>
      <c r="AU39" s="70" t="n">
        <f aca="false">AU36+AU37+AU38</f>
        <v>127728.168365064</v>
      </c>
      <c r="AV39" s="70" t="n">
        <f aca="false">AV36+AV37+AV38</f>
        <v>128091.30300985</v>
      </c>
      <c r="AW39" s="70" t="n">
        <f aca="false">AW36+AW37+AW38</f>
        <v>128436.280922398</v>
      </c>
      <c r="AX39" s="70" t="n">
        <f aca="false">AX36+AX37+AX38</f>
        <v>107576.405630838</v>
      </c>
      <c r="AY39" s="70" t="n">
        <f aca="false">AY36+AY37+AY38</f>
        <v>108665.333356242</v>
      </c>
      <c r="AZ39" s="70" t="n">
        <f aca="false">AZ36+AZ37+AZ38</f>
        <v>108677.838841883</v>
      </c>
      <c r="BA39" s="70" t="n">
        <f aca="false">BA36+BA37+BA38</f>
        <v>130089.199404806</v>
      </c>
      <c r="BB39" s="70" t="n">
        <f aca="false">BB36+BB37+BB38</f>
        <v>130401.777928236</v>
      </c>
      <c r="BC39" s="70" t="n">
        <f aca="false">BC36+BC37+BC38</f>
        <v>130698.727525495</v>
      </c>
      <c r="BD39" s="70" t="n">
        <f aca="false">BD36+BD37+BD38</f>
        <v>130980.82964289</v>
      </c>
      <c r="BE39" s="70" t="n">
        <f aca="false">BE36+BE37+BE38</f>
        <v>131248.826654416</v>
      </c>
      <c r="BF39" s="70" t="n">
        <f aca="false">BF36+BF37+BF38</f>
        <v>131503.423815366</v>
      </c>
      <c r="BG39" s="70" t="n">
        <f aca="false">BG36+BG37+BG38</f>
        <v>131745.291118268</v>
      </c>
      <c r="BH39" s="70" t="n">
        <f aca="false">BH36+BH37+BH38</f>
        <v>131975.065056025</v>
      </c>
      <c r="BI39" s="70" t="n">
        <f aca="false">BI36+BI37+BI38</f>
        <v>132193.350296894</v>
      </c>
      <c r="BJ39" s="70" t="n">
        <f aca="false">BJ36+BJ37+BJ38</f>
        <v>111001.240924155</v>
      </c>
    </row>
    <row r="41" customFormat="false" ht="15.75" hidden="false" customHeight="true" outlineLevel="0" collapsed="false">
      <c r="A41" s="7" t="s">
        <v>76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customFormat="false" ht="15" hidden="false" customHeight="false" outlineLevel="0" collapsed="false">
      <c r="A42" s="6" t="s">
        <v>439</v>
      </c>
      <c r="C42" s="69" t="n">
        <f aca="false">-C30*Inputs!$B$34*(1+Inputs!$B$39)^(C$7-1)</f>
        <v>-1999.456336</v>
      </c>
      <c r="D42" s="69" t="n">
        <f aca="false">-D30*Inputs!$B$34*(1+Inputs!$B$39)^(D$7-1)</f>
        <v>-2289.26907653333</v>
      </c>
      <c r="E42" s="69" t="n">
        <f aca="false">-E30*Inputs!$B$34*(1+Inputs!$B$39)^(E$7-1)</f>
        <v>-3457.71168538667</v>
      </c>
      <c r="F42" s="69" t="n">
        <f aca="false">-F30*Inputs!$B$34*(1+Inputs!$B$39)^(F$7-1)</f>
        <v>-3882.021535784</v>
      </c>
      <c r="G42" s="69" t="n">
        <f aca="false">-G30*Inputs!$B$34*(1+Inputs!$B$39)^(G$7-1)</f>
        <v>-4317.11918966147</v>
      </c>
      <c r="H42" s="69" t="n">
        <f aca="false">-H30*Inputs!$B$34*(1+Inputs!$B$39)^(H$7-1)</f>
        <v>-4762.46525684506</v>
      </c>
      <c r="I42" s="69" t="n">
        <f aca="false">-I30*Inputs!$B$34*(1+Inputs!$B$39)^(I$7-1)</f>
        <v>-5217.54731666947</v>
      </c>
      <c r="J42" s="69" t="n">
        <f aca="false">-J30*Inputs!$B$34*(1+Inputs!$B$39)^(J$7-1)</f>
        <v>-5681.87856950266</v>
      </c>
      <c r="K42" s="69" t="n">
        <f aca="false">-K30*Inputs!$B$34*(1+Inputs!$B$39)^(K$7-1)</f>
        <v>-6154.9965556942</v>
      </c>
      <c r="L42" s="69" t="n">
        <f aca="false">-L30*Inputs!$B$34*(1+Inputs!$B$39)^(L$7-1)</f>
        <v>-6636.46193857615</v>
      </c>
      <c r="M42" s="69" t="n">
        <f aca="false">-M30*Inputs!$B$34*(1+Inputs!$B$39)^(M$7-1)</f>
        <v>-7125.85734831401</v>
      </c>
      <c r="N42" s="69" t="n">
        <f aca="false">-N30*Inputs!$B$34*(1+Inputs!$B$39)^(N$7-1)</f>
        <v>-5704.4152433404</v>
      </c>
      <c r="O42" s="69" t="n">
        <f aca="false">-O30*Inputs!$B$34*(1+Inputs!$B$39)^(O$7-1)</f>
        <v>-6299.32005647365</v>
      </c>
      <c r="P42" s="69" t="n">
        <f aca="false">-P30*Inputs!$B$34*(1+Inputs!$B$39)^(P$7-1)</f>
        <v>-6417.32885044997</v>
      </c>
      <c r="Q42" s="69" t="n">
        <f aca="false">-Q30*Inputs!$B$34*(1+Inputs!$B$39)^(Q$7-1)</f>
        <v>-8724.49805003663</v>
      </c>
      <c r="R42" s="69" t="n">
        <f aca="false">-R30*Inputs!$B$34*(1+Inputs!$B$39)^(R$7-1)</f>
        <v>-8902.73643073479</v>
      </c>
      <c r="S42" s="69" t="n">
        <f aca="false">-S30*Inputs!$B$34*(1+Inputs!$B$39)^(S$7-1)</f>
        <v>-9072.06289239806</v>
      </c>
      <c r="T42" s="69" t="n">
        <f aca="false">-T30*Inputs!$B$34*(1+Inputs!$B$39)^(T$7-1)</f>
        <v>-9232.92303097815</v>
      </c>
      <c r="U42" s="69" t="n">
        <f aca="false">-U30*Inputs!$B$34*(1+Inputs!$B$39)^(U$7-1)</f>
        <v>-9385.74016262925</v>
      </c>
      <c r="V42" s="69" t="n">
        <f aca="false">-V30*Inputs!$B$34*(1+Inputs!$B$39)^(V$7-1)</f>
        <v>-9530.91643769778</v>
      </c>
      <c r="W42" s="69" t="n">
        <f aca="false">-W30*Inputs!$B$34*(1+Inputs!$B$39)^(W$7-1)</f>
        <v>-9668.83389901289</v>
      </c>
      <c r="X42" s="69" t="n">
        <f aca="false">-X30*Inputs!$B$34*(1+Inputs!$B$39)^(X$7-1)</f>
        <v>-9799.85548726225</v>
      </c>
      <c r="Y42" s="69" t="n">
        <f aca="false">-Y30*Inputs!$B$34*(1+Inputs!$B$39)^(Y$7-1)</f>
        <v>-9924.32599609914</v>
      </c>
      <c r="Z42" s="69" t="n">
        <f aca="false">-Z30*Inputs!$B$34*(1+Inputs!$B$39)^(Z$7-1)</f>
        <v>-7517.99340182063</v>
      </c>
      <c r="AA42" s="69" t="n">
        <f aca="false">-AA30*Inputs!$B$34*(1+Inputs!$B$39)^(AA$7-1)</f>
        <v>-7878.07126967079</v>
      </c>
      <c r="AB42" s="69" t="n">
        <f aca="false">-AB30*Inputs!$B$34*(1+Inputs!$B$39)^(AB$7-1)</f>
        <v>-7934.46149485925</v>
      </c>
      <c r="AC42" s="69" t="n">
        <f aca="false">-AC30*Inputs!$B$34*(1+Inputs!$B$39)^(AC$7-1)</f>
        <v>-10670.034659867</v>
      </c>
      <c r="AD42" s="69" t="n">
        <f aca="false">-AD30*Inputs!$B$34*(1+Inputs!$B$39)^(AD$7-1)</f>
        <v>-10775.5747414017</v>
      </c>
      <c r="AE42" s="69" t="n">
        <f aca="false">-AE30*Inputs!$B$34*(1+Inputs!$B$39)^(AE$7-1)</f>
        <v>-10875.8378188596</v>
      </c>
      <c r="AF42" s="69" t="n">
        <f aca="false">-AF30*Inputs!$B$34*(1+Inputs!$B$39)^(AF$7-1)</f>
        <v>-10971.0877424446</v>
      </c>
      <c r="AG42" s="69" t="n">
        <f aca="false">-AG30*Inputs!$B$34*(1+Inputs!$B$39)^(AG$7-1)</f>
        <v>-11061.5751698504</v>
      </c>
      <c r="AH42" s="69" t="n">
        <f aca="false">-AH30*Inputs!$B$34*(1+Inputs!$B$39)^(AH$7-1)</f>
        <v>-11147.5382258859</v>
      </c>
      <c r="AI42" s="69" t="n">
        <f aca="false">-AI30*Inputs!$B$34*(1+Inputs!$B$39)^(AI$7-1)</f>
        <v>-11229.2031291196</v>
      </c>
      <c r="AJ42" s="69" t="n">
        <f aca="false">-AJ30*Inputs!$B$34*(1+Inputs!$B$39)^(AJ$7-1)</f>
        <v>-11306.7847871916</v>
      </c>
      <c r="AK42" s="69" t="n">
        <f aca="false">-AK30*Inputs!$B$34*(1+Inputs!$B$39)^(AK$7-1)</f>
        <v>-11380.48736236</v>
      </c>
      <c r="AL42" s="69" t="n">
        <f aca="false">-AL30*Inputs!$B$34*(1+Inputs!$B$39)^(AL$7-1)</f>
        <v>-8573.38482046552</v>
      </c>
      <c r="AM42" s="69" t="n">
        <f aca="false">-AM30*Inputs!$B$34*(1+Inputs!$B$39)^(AM$7-1)</f>
        <v>-8938.80974283881</v>
      </c>
      <c r="AN42" s="69" t="n">
        <f aca="false">-AN30*Inputs!$B$34*(1+Inputs!$B$39)^(AN$7-1)</f>
        <v>-8960.17479591575</v>
      </c>
      <c r="AO42" s="69" t="n">
        <f aca="false">-AO30*Inputs!$B$34*(1+Inputs!$B$39)^(AO$7-1)</f>
        <v>-11994.0601785271</v>
      </c>
      <c r="AP42" s="69" t="n">
        <f aca="false">-AP30*Inputs!$B$34*(1+Inputs!$B$39)^(AP$7-1)</f>
        <v>-12058.9606567099</v>
      </c>
      <c r="AQ42" s="69" t="n">
        <f aca="false">-AQ30*Inputs!$B$34*(1+Inputs!$B$39)^(AQ$7-1)</f>
        <v>-12120.6161109835</v>
      </c>
      <c r="AR42" s="69" t="n">
        <f aca="false">-AR30*Inputs!$B$34*(1+Inputs!$B$39)^(AR$7-1)</f>
        <v>-12179.1887925434</v>
      </c>
      <c r="AS42" s="69" t="n">
        <f aca="false">-AS30*Inputs!$B$34*(1+Inputs!$B$39)^(AS$7-1)</f>
        <v>-12234.8328400254</v>
      </c>
      <c r="AT42" s="69" t="n">
        <f aca="false">-AT30*Inputs!$B$34*(1+Inputs!$B$39)^(AT$7-1)</f>
        <v>-12287.6946851332</v>
      </c>
      <c r="AU42" s="69" t="n">
        <f aca="false">-AU30*Inputs!$B$34*(1+Inputs!$B$39)^(AU$7-1)</f>
        <v>-12337.9134379857</v>
      </c>
      <c r="AV42" s="69" t="n">
        <f aca="false">-AV30*Inputs!$B$34*(1+Inputs!$B$39)^(AV$7-1)</f>
        <v>-12385.6212531955</v>
      </c>
      <c r="AW42" s="69" t="n">
        <f aca="false">-AW30*Inputs!$B$34*(1+Inputs!$B$39)^(AW$7-1)</f>
        <v>-12430.9436776449</v>
      </c>
      <c r="AX42" s="69" t="n">
        <f aca="false">-AX30*Inputs!$B$34*(1+Inputs!$B$39)^(AX$7-1)</f>
        <v>-9340.42644809733</v>
      </c>
      <c r="AY42" s="69" t="n">
        <f aca="false">-AY30*Inputs!$B$34*(1+Inputs!$B$39)^(AY$7-1)</f>
        <v>-9715.3790925478</v>
      </c>
      <c r="AZ42" s="69" t="n">
        <f aca="false">-AZ30*Inputs!$B$34*(1+Inputs!$B$39)^(AZ$7-1)</f>
        <v>-9716.64789974804</v>
      </c>
      <c r="BA42" s="69" t="n">
        <f aca="false">-BA30*Inputs!$B$34*(1+Inputs!$B$39)^(BA$7-1)</f>
        <v>-12978.0396608627</v>
      </c>
      <c r="BB42" s="69" t="n">
        <f aca="false">-BB30*Inputs!$B$34*(1+Inputs!$B$39)^(BB$7-1)</f>
        <v>-13020.325304413</v>
      </c>
      <c r="BC42" s="69" t="n">
        <f aca="false">-BC30*Inputs!$B$34*(1+Inputs!$B$39)^(BC$7-1)</f>
        <v>-13060.4966657859</v>
      </c>
      <c r="BD42" s="69" t="n">
        <f aca="false">-BD30*Inputs!$B$34*(1+Inputs!$B$39)^(BD$7-1)</f>
        <v>-13098.6594590901</v>
      </c>
      <c r="BE42" s="69" t="n">
        <f aca="false">-BE30*Inputs!$B$34*(1+Inputs!$B$39)^(BE$7-1)</f>
        <v>-13134.914112729</v>
      </c>
      <c r="BF42" s="69" t="n">
        <f aca="false">-BF30*Inputs!$B$34*(1+Inputs!$B$39)^(BF$7-1)</f>
        <v>-13169.3560336861</v>
      </c>
      <c r="BG42" s="69" t="n">
        <f aca="false">-BG30*Inputs!$B$34*(1+Inputs!$B$39)^(BG$7-1)</f>
        <v>-13202.0758585953</v>
      </c>
      <c r="BH42" s="69" t="n">
        <f aca="false">-BH30*Inputs!$B$34*(1+Inputs!$B$39)^(BH$7-1)</f>
        <v>-13233.159692259</v>
      </c>
      <c r="BI42" s="69" t="n">
        <f aca="false">-BI30*Inputs!$B$34*(1+Inputs!$B$39)^(BI$7-1)</f>
        <v>-13262.6893342395</v>
      </c>
      <c r="BJ42" s="69" t="n">
        <f aca="false">-BJ30*Inputs!$B$34*(1+Inputs!$B$39)^(BJ$7-1)</f>
        <v>-9952.38039153203</v>
      </c>
    </row>
    <row r="43" customFormat="false" ht="15" hidden="false" customHeight="false" outlineLevel="0" collapsed="false">
      <c r="A43" s="6" t="s">
        <v>440</v>
      </c>
      <c r="C43" s="69" t="n">
        <f aca="false">-C30*Inputs!$B$35/1000*Inputs!$B$36*(1+Inputs!$B$39)^(C$7-1)</f>
        <v>-947.110896</v>
      </c>
      <c r="D43" s="69" t="n">
        <f aca="false">-D30*Inputs!$B$35/1000*Inputs!$B$36*(1+Inputs!$B$39)^(D$7-1)</f>
        <v>-1084.3906152</v>
      </c>
      <c r="E43" s="69" t="n">
        <f aca="false">-E30*Inputs!$B$35/1000*Inputs!$B$36*(1+Inputs!$B$39)^(E$7-1)</f>
        <v>-1637.86342992</v>
      </c>
      <c r="F43" s="69" t="n">
        <f aca="false">-F30*Inputs!$B$35/1000*Inputs!$B$36*(1+Inputs!$B$39)^(F$7-1)</f>
        <v>-1838.852306424</v>
      </c>
      <c r="G43" s="69" t="n">
        <f aca="false">-G30*Inputs!$B$35/1000*Inputs!$B$36*(1+Inputs!$B$39)^(G$7-1)</f>
        <v>-2044.9511951028</v>
      </c>
      <c r="H43" s="69" t="n">
        <f aca="false">-H30*Inputs!$B$35/1000*Inputs!$B$36*(1+Inputs!$B$39)^(H$7-1)</f>
        <v>-2255.90459534766</v>
      </c>
      <c r="I43" s="69" t="n">
        <f aca="false">-I30*Inputs!$B$35/1000*Inputs!$B$36*(1+Inputs!$B$39)^(I$7-1)</f>
        <v>-2471.46978158028</v>
      </c>
      <c r="J43" s="69" t="n">
        <f aca="false">-J30*Inputs!$B$35/1000*Inputs!$B$36*(1+Inputs!$B$39)^(J$7-1)</f>
        <v>-2691.41616450126</v>
      </c>
      <c r="K43" s="69" t="n">
        <f aca="false">-K30*Inputs!$B$35/1000*Inputs!$B$36*(1+Inputs!$B$39)^(K$7-1)</f>
        <v>-2915.5246842762</v>
      </c>
      <c r="L43" s="69" t="n">
        <f aca="false">-L30*Inputs!$B$35/1000*Inputs!$B$36*(1+Inputs!$B$39)^(L$7-1)</f>
        <v>-3143.58723406239</v>
      </c>
      <c r="M43" s="69" t="n">
        <f aca="false">-M30*Inputs!$B$35/1000*Inputs!$B$36*(1+Inputs!$B$39)^(M$7-1)</f>
        <v>-3375.40611235927</v>
      </c>
      <c r="N43" s="69" t="n">
        <f aca="false">-N30*Inputs!$B$35/1000*Inputs!$B$36*(1+Inputs!$B$39)^(N$7-1)</f>
        <v>-2702.09143105598</v>
      </c>
      <c r="O43" s="69" t="n">
        <f aca="false">-O30*Inputs!$B$35/1000*Inputs!$B$36*(1+Inputs!$B$39)^(O$7-1)</f>
        <v>-2983.88844780331</v>
      </c>
      <c r="P43" s="69" t="n">
        <f aca="false">-P30*Inputs!$B$35/1000*Inputs!$B$36*(1+Inputs!$B$39)^(P$7-1)</f>
        <v>-3039.78735021314</v>
      </c>
      <c r="Q43" s="69" t="n">
        <f aca="false">-Q30*Inputs!$B$35/1000*Inputs!$B$36*(1+Inputs!$B$39)^(Q$7-1)</f>
        <v>-4132.65697106998</v>
      </c>
      <c r="R43" s="69" t="n">
        <f aca="false">-R30*Inputs!$B$35/1000*Inputs!$B$36*(1+Inputs!$B$39)^(R$7-1)</f>
        <v>-4217.08567771648</v>
      </c>
      <c r="S43" s="69" t="n">
        <f aca="false">-S30*Inputs!$B$35/1000*Inputs!$B$36*(1+Inputs!$B$39)^(S$7-1)</f>
        <v>-4297.29294903066</v>
      </c>
      <c r="T43" s="69" t="n">
        <f aca="false">-T30*Inputs!$B$35/1000*Inputs!$B$36*(1+Inputs!$B$39)^(T$7-1)</f>
        <v>-4373.48985677912</v>
      </c>
      <c r="U43" s="69" t="n">
        <f aca="false">-U30*Inputs!$B$35/1000*Inputs!$B$36*(1+Inputs!$B$39)^(U$7-1)</f>
        <v>-4445.87691914017</v>
      </c>
      <c r="V43" s="69" t="n">
        <f aca="false">-V30*Inputs!$B$35/1000*Inputs!$B$36*(1+Inputs!$B$39)^(V$7-1)</f>
        <v>-4514.64462838316</v>
      </c>
      <c r="W43" s="69" t="n">
        <f aca="false">-W30*Inputs!$B$35/1000*Inputs!$B$36*(1+Inputs!$B$39)^(W$7-1)</f>
        <v>-4579.973952164</v>
      </c>
      <c r="X43" s="69" t="n">
        <f aca="false">-X30*Inputs!$B$35/1000*Inputs!$B$36*(1+Inputs!$B$39)^(X$7-1)</f>
        <v>-4642.0368097558</v>
      </c>
      <c r="Y43" s="69" t="n">
        <f aca="false">-Y30*Inputs!$B$35/1000*Inputs!$B$36*(1+Inputs!$B$39)^(Y$7-1)</f>
        <v>-4700.99652446801</v>
      </c>
      <c r="Z43" s="69" t="n">
        <f aca="false">-Z30*Inputs!$B$35/1000*Inputs!$B$36*(1+Inputs!$B$39)^(Z$7-1)</f>
        <v>-3561.15476928346</v>
      </c>
      <c r="AA43" s="69" t="n">
        <f aca="false">-AA30*Inputs!$B$35/1000*Inputs!$B$36*(1+Inputs!$B$39)^(AA$7-1)</f>
        <v>-3731.71796984406</v>
      </c>
      <c r="AB43" s="69" t="n">
        <f aca="false">-AB30*Inputs!$B$35/1000*Inputs!$B$36*(1+Inputs!$B$39)^(AB$7-1)</f>
        <v>-3758.42912914385</v>
      </c>
      <c r="AC43" s="69" t="n">
        <f aca="false">-AC30*Inputs!$B$35/1000*Inputs!$B$36*(1+Inputs!$B$39)^(AC$7-1)</f>
        <v>-5054.22694414755</v>
      </c>
      <c r="AD43" s="69" t="n">
        <f aca="false">-AD30*Inputs!$B$35/1000*Inputs!$B$36*(1+Inputs!$B$39)^(AD$7-1)</f>
        <v>-5104.21961434817</v>
      </c>
      <c r="AE43" s="69" t="n">
        <f aca="false">-AE30*Inputs!$B$35/1000*Inputs!$B$36*(1+Inputs!$B$39)^(AE$7-1)</f>
        <v>-5151.71265103876</v>
      </c>
      <c r="AF43" s="69" t="n">
        <f aca="false">-AF30*Inputs!$B$35/1000*Inputs!$B$36*(1+Inputs!$B$39)^(AF$7-1)</f>
        <v>-5196.83103589482</v>
      </c>
      <c r="AG43" s="69" t="n">
        <f aca="false">-AG30*Inputs!$B$35/1000*Inputs!$B$36*(1+Inputs!$B$39)^(AG$7-1)</f>
        <v>-5239.69350150808</v>
      </c>
      <c r="AH43" s="69" t="n">
        <f aca="false">-AH30*Inputs!$B$35/1000*Inputs!$B$36*(1+Inputs!$B$39)^(AH$7-1)</f>
        <v>-5280.41284384068</v>
      </c>
      <c r="AI43" s="69" t="n">
        <f aca="false">-AI30*Inputs!$B$35/1000*Inputs!$B$36*(1+Inputs!$B$39)^(AI$7-1)</f>
        <v>-5319.09621905665</v>
      </c>
      <c r="AJ43" s="69" t="n">
        <f aca="false">-AJ30*Inputs!$B$35/1000*Inputs!$B$36*(1+Inputs!$B$39)^(AJ$7-1)</f>
        <v>-5355.84542551181</v>
      </c>
      <c r="AK43" s="69" t="n">
        <f aca="false">-AK30*Inputs!$B$35/1000*Inputs!$B$36*(1+Inputs!$B$39)^(AK$7-1)</f>
        <v>-5390.75717164422</v>
      </c>
      <c r="AL43" s="69" t="n">
        <f aca="false">-AL30*Inputs!$B$35/1000*Inputs!$B$36*(1+Inputs!$B$39)^(AL$7-1)</f>
        <v>-4061.07702022051</v>
      </c>
      <c r="AM43" s="69" t="n">
        <f aca="false">-AM30*Inputs!$B$35/1000*Inputs!$B$36*(1+Inputs!$B$39)^(AM$7-1)</f>
        <v>-4234.17303608154</v>
      </c>
      <c r="AN43" s="69" t="n">
        <f aca="false">-AN30*Inputs!$B$35/1000*Inputs!$B$36*(1+Inputs!$B$39)^(AN$7-1)</f>
        <v>-4244.29332438114</v>
      </c>
      <c r="AO43" s="69" t="n">
        <f aca="false">-AO30*Inputs!$B$35/1000*Inputs!$B$36*(1+Inputs!$B$39)^(AO$7-1)</f>
        <v>-5681.39692667073</v>
      </c>
      <c r="AP43" s="69" t="n">
        <f aca="false">-AP30*Inputs!$B$35/1000*Inputs!$B$36*(1+Inputs!$B$39)^(AP$7-1)</f>
        <v>-5712.13925844151</v>
      </c>
      <c r="AQ43" s="69" t="n">
        <f aca="false">-AQ30*Inputs!$B$35/1000*Inputs!$B$36*(1+Inputs!$B$39)^(AQ$7-1)</f>
        <v>-5741.34447362376</v>
      </c>
      <c r="AR43" s="69" t="n">
        <f aca="false">-AR30*Inputs!$B$35/1000*Inputs!$B$36*(1+Inputs!$B$39)^(AR$7-1)</f>
        <v>-5769.08942804689</v>
      </c>
      <c r="AS43" s="69" t="n">
        <f aca="false">-AS30*Inputs!$B$35/1000*Inputs!$B$36*(1+Inputs!$B$39)^(AS$7-1)</f>
        <v>-5795.44713474887</v>
      </c>
      <c r="AT43" s="69" t="n">
        <f aca="false">-AT30*Inputs!$B$35/1000*Inputs!$B$36*(1+Inputs!$B$39)^(AT$7-1)</f>
        <v>-5820.48695611574</v>
      </c>
      <c r="AU43" s="69" t="n">
        <f aca="false">-AU30*Inputs!$B$35/1000*Inputs!$B$36*(1+Inputs!$B$39)^(AU$7-1)</f>
        <v>-5844.27478641428</v>
      </c>
      <c r="AV43" s="69" t="n">
        <f aca="false">-AV30*Inputs!$B$35/1000*Inputs!$B$36*(1+Inputs!$B$39)^(AV$7-1)</f>
        <v>-5866.87322519788</v>
      </c>
      <c r="AW43" s="69" t="n">
        <f aca="false">-AW30*Inputs!$B$35/1000*Inputs!$B$36*(1+Inputs!$B$39)^(AW$7-1)</f>
        <v>-5888.34174204231</v>
      </c>
      <c r="AX43" s="69" t="n">
        <f aca="false">-AX30*Inputs!$B$35/1000*Inputs!$B$36*(1+Inputs!$B$39)^(AX$7-1)</f>
        <v>-4424.4125280461</v>
      </c>
      <c r="AY43" s="69" t="n">
        <f aca="false">-AY30*Inputs!$B$35/1000*Inputs!$B$36*(1+Inputs!$B$39)^(AY$7-1)</f>
        <v>-4602.02167541738</v>
      </c>
      <c r="AZ43" s="69" t="n">
        <f aca="false">-AZ30*Inputs!$B$35/1000*Inputs!$B$36*(1+Inputs!$B$39)^(AZ$7-1)</f>
        <v>-4602.62268935434</v>
      </c>
      <c r="BA43" s="69" t="n">
        <f aca="false">-BA30*Inputs!$B$35/1000*Inputs!$B$36*(1+Inputs!$B$39)^(BA$7-1)</f>
        <v>-6147.49247093496</v>
      </c>
      <c r="BB43" s="69" t="n">
        <f aca="false">-BB30*Inputs!$B$35/1000*Inputs!$B$36*(1+Inputs!$B$39)^(BB$7-1)</f>
        <v>-6167.5225126167</v>
      </c>
      <c r="BC43" s="69" t="n">
        <f aca="false">-BC30*Inputs!$B$35/1000*Inputs!$B$36*(1+Inputs!$B$39)^(BC$7-1)</f>
        <v>-6186.55105221436</v>
      </c>
      <c r="BD43" s="69" t="n">
        <f aca="false">-BD30*Inputs!$B$35/1000*Inputs!$B$36*(1+Inputs!$B$39)^(BD$7-1)</f>
        <v>-6204.62816483214</v>
      </c>
      <c r="BE43" s="69" t="n">
        <f aca="false">-BE30*Inputs!$B$35/1000*Inputs!$B$36*(1+Inputs!$B$39)^(BE$7-1)</f>
        <v>-6221.80142181902</v>
      </c>
      <c r="BF43" s="69" t="n">
        <f aca="false">-BF30*Inputs!$B$35/1000*Inputs!$B$36*(1+Inputs!$B$39)^(BF$7-1)</f>
        <v>-6238.11601595656</v>
      </c>
      <c r="BG43" s="69" t="n">
        <f aca="false">-BG30*Inputs!$B$35/1000*Inputs!$B$36*(1+Inputs!$B$39)^(BG$7-1)</f>
        <v>-6253.61488038723</v>
      </c>
      <c r="BH43" s="69" t="n">
        <f aca="false">-BH30*Inputs!$B$35/1000*Inputs!$B$36*(1+Inputs!$B$39)^(BH$7-1)</f>
        <v>-6268.33880159636</v>
      </c>
      <c r="BI43" s="69" t="n">
        <f aca="false">-BI30*Inputs!$B$35/1000*Inputs!$B$36*(1+Inputs!$B$39)^(BI$7-1)</f>
        <v>-6282.32652674503</v>
      </c>
      <c r="BJ43" s="69" t="n">
        <f aca="false">-BJ30*Inputs!$B$35/1000*Inputs!$B$36*(1+Inputs!$B$39)^(BJ$7-1)</f>
        <v>-4714.28544862043</v>
      </c>
    </row>
    <row r="44" customFormat="false" ht="15" hidden="false" customHeight="false" outlineLevel="0" collapsed="false">
      <c r="A44" s="6" t="s">
        <v>441</v>
      </c>
      <c r="C44" s="69" t="n">
        <f aca="false">-C30*Inputs!$B$37*(1+Inputs!$B$39)^(C$7-1)</f>
        <v>-947.110896</v>
      </c>
      <c r="D44" s="69" t="n">
        <f aca="false">-D30*Inputs!$B$37*(1+Inputs!$B$39)^(D$7-1)</f>
        <v>-1084.3906152</v>
      </c>
      <c r="E44" s="69" t="n">
        <f aca="false">-E30*Inputs!$B$37*(1+Inputs!$B$39)^(E$7-1)</f>
        <v>-1637.86342992</v>
      </c>
      <c r="F44" s="69" t="n">
        <f aca="false">-F30*Inputs!$B$37*(1+Inputs!$B$39)^(F$7-1)</f>
        <v>-1838.852306424</v>
      </c>
      <c r="G44" s="69" t="n">
        <f aca="false">-G30*Inputs!$B$37*(1+Inputs!$B$39)^(G$7-1)</f>
        <v>-2044.9511951028</v>
      </c>
      <c r="H44" s="69" t="n">
        <f aca="false">-H30*Inputs!$B$37*(1+Inputs!$B$39)^(H$7-1)</f>
        <v>-2255.90459534766</v>
      </c>
      <c r="I44" s="69" t="n">
        <f aca="false">-I30*Inputs!$B$37*(1+Inputs!$B$39)^(I$7-1)</f>
        <v>-2471.46978158028</v>
      </c>
      <c r="J44" s="69" t="n">
        <f aca="false">-J30*Inputs!$B$37*(1+Inputs!$B$39)^(J$7-1)</f>
        <v>-2691.41616450126</v>
      </c>
      <c r="K44" s="69" t="n">
        <f aca="false">-K30*Inputs!$B$37*(1+Inputs!$B$39)^(K$7-1)</f>
        <v>-2915.5246842762</v>
      </c>
      <c r="L44" s="69" t="n">
        <f aca="false">-L30*Inputs!$B$37*(1+Inputs!$B$39)^(L$7-1)</f>
        <v>-3143.58723406239</v>
      </c>
      <c r="M44" s="69" t="n">
        <f aca="false">-M30*Inputs!$B$37*(1+Inputs!$B$39)^(M$7-1)</f>
        <v>-3375.40611235927</v>
      </c>
      <c r="N44" s="69" t="n">
        <f aca="false">-N30*Inputs!$B$37*(1+Inputs!$B$39)^(N$7-1)</f>
        <v>-2702.09143105598</v>
      </c>
      <c r="O44" s="69" t="n">
        <f aca="false">-O30*Inputs!$B$37*(1+Inputs!$B$39)^(O$7-1)</f>
        <v>-2983.88844780331</v>
      </c>
      <c r="P44" s="69" t="n">
        <f aca="false">-P30*Inputs!$B$37*(1+Inputs!$B$39)^(P$7-1)</f>
        <v>-3039.78735021314</v>
      </c>
      <c r="Q44" s="69" t="n">
        <f aca="false">-Q30*Inputs!$B$37*(1+Inputs!$B$39)^(Q$7-1)</f>
        <v>-4132.65697106998</v>
      </c>
      <c r="R44" s="69" t="n">
        <f aca="false">-R30*Inputs!$B$37*(1+Inputs!$B$39)^(R$7-1)</f>
        <v>-4217.08567771648</v>
      </c>
      <c r="S44" s="69" t="n">
        <f aca="false">-S30*Inputs!$B$37*(1+Inputs!$B$39)^(S$7-1)</f>
        <v>-4297.29294903066</v>
      </c>
      <c r="T44" s="69" t="n">
        <f aca="false">-T30*Inputs!$B$37*(1+Inputs!$B$39)^(T$7-1)</f>
        <v>-4373.48985677912</v>
      </c>
      <c r="U44" s="69" t="n">
        <f aca="false">-U30*Inputs!$B$37*(1+Inputs!$B$39)^(U$7-1)</f>
        <v>-4445.87691914017</v>
      </c>
      <c r="V44" s="69" t="n">
        <f aca="false">-V30*Inputs!$B$37*(1+Inputs!$B$39)^(V$7-1)</f>
        <v>-4514.64462838316</v>
      </c>
      <c r="W44" s="69" t="n">
        <f aca="false">-W30*Inputs!$B$37*(1+Inputs!$B$39)^(W$7-1)</f>
        <v>-4579.973952164</v>
      </c>
      <c r="X44" s="69" t="n">
        <f aca="false">-X30*Inputs!$B$37*(1+Inputs!$B$39)^(X$7-1)</f>
        <v>-4642.0368097558</v>
      </c>
      <c r="Y44" s="69" t="n">
        <f aca="false">-Y30*Inputs!$B$37*(1+Inputs!$B$39)^(Y$7-1)</f>
        <v>-4700.99652446801</v>
      </c>
      <c r="Z44" s="69" t="n">
        <f aca="false">-Z30*Inputs!$B$37*(1+Inputs!$B$39)^(Z$7-1)</f>
        <v>-3561.15476928346</v>
      </c>
      <c r="AA44" s="69" t="n">
        <f aca="false">-AA30*Inputs!$B$37*(1+Inputs!$B$39)^(AA$7-1)</f>
        <v>-3731.71796984406</v>
      </c>
      <c r="AB44" s="69" t="n">
        <f aca="false">-AB30*Inputs!$B$37*(1+Inputs!$B$39)^(AB$7-1)</f>
        <v>-3758.42912914386</v>
      </c>
      <c r="AC44" s="69" t="n">
        <f aca="false">-AC30*Inputs!$B$37*(1+Inputs!$B$39)^(AC$7-1)</f>
        <v>-5054.22694414755</v>
      </c>
      <c r="AD44" s="69" t="n">
        <f aca="false">-AD30*Inputs!$B$37*(1+Inputs!$B$39)^(AD$7-1)</f>
        <v>-5104.21961434817</v>
      </c>
      <c r="AE44" s="69" t="n">
        <f aca="false">-AE30*Inputs!$B$37*(1+Inputs!$B$39)^(AE$7-1)</f>
        <v>-5151.71265103876</v>
      </c>
      <c r="AF44" s="69" t="n">
        <f aca="false">-AF30*Inputs!$B$37*(1+Inputs!$B$39)^(AF$7-1)</f>
        <v>-5196.83103589482</v>
      </c>
      <c r="AG44" s="69" t="n">
        <f aca="false">-AG30*Inputs!$B$37*(1+Inputs!$B$39)^(AG$7-1)</f>
        <v>-5239.69350150808</v>
      </c>
      <c r="AH44" s="69" t="n">
        <f aca="false">-AH30*Inputs!$B$37*(1+Inputs!$B$39)^(AH$7-1)</f>
        <v>-5280.41284384068</v>
      </c>
      <c r="AI44" s="69" t="n">
        <f aca="false">-AI30*Inputs!$B$37*(1+Inputs!$B$39)^(AI$7-1)</f>
        <v>-5319.09621905665</v>
      </c>
      <c r="AJ44" s="69" t="n">
        <f aca="false">-AJ30*Inputs!$B$37*(1+Inputs!$B$39)^(AJ$7-1)</f>
        <v>-5355.84542551181</v>
      </c>
      <c r="AK44" s="69" t="n">
        <f aca="false">-AK30*Inputs!$B$37*(1+Inputs!$B$39)^(AK$7-1)</f>
        <v>-5390.75717164422</v>
      </c>
      <c r="AL44" s="69" t="n">
        <f aca="false">-AL30*Inputs!$B$37*(1+Inputs!$B$39)^(AL$7-1)</f>
        <v>-4061.07702022051</v>
      </c>
      <c r="AM44" s="69" t="n">
        <f aca="false">-AM30*Inputs!$B$37*(1+Inputs!$B$39)^(AM$7-1)</f>
        <v>-4234.17303608154</v>
      </c>
      <c r="AN44" s="69" t="n">
        <f aca="false">-AN30*Inputs!$B$37*(1+Inputs!$B$39)^(AN$7-1)</f>
        <v>-4244.29332438114</v>
      </c>
      <c r="AO44" s="69" t="n">
        <f aca="false">-AO30*Inputs!$B$37*(1+Inputs!$B$39)^(AO$7-1)</f>
        <v>-5681.39692667073</v>
      </c>
      <c r="AP44" s="69" t="n">
        <f aca="false">-AP30*Inputs!$B$37*(1+Inputs!$B$39)^(AP$7-1)</f>
        <v>-5712.13925844151</v>
      </c>
      <c r="AQ44" s="69" t="n">
        <f aca="false">-AQ30*Inputs!$B$37*(1+Inputs!$B$39)^(AQ$7-1)</f>
        <v>-5741.34447362376</v>
      </c>
      <c r="AR44" s="69" t="n">
        <f aca="false">-AR30*Inputs!$B$37*(1+Inputs!$B$39)^(AR$7-1)</f>
        <v>-5769.08942804689</v>
      </c>
      <c r="AS44" s="69" t="n">
        <f aca="false">-AS30*Inputs!$B$37*(1+Inputs!$B$39)^(AS$7-1)</f>
        <v>-5795.44713474887</v>
      </c>
      <c r="AT44" s="69" t="n">
        <f aca="false">-AT30*Inputs!$B$37*(1+Inputs!$B$39)^(AT$7-1)</f>
        <v>-5820.48695611574</v>
      </c>
      <c r="AU44" s="69" t="n">
        <f aca="false">-AU30*Inputs!$B$37*(1+Inputs!$B$39)^(AU$7-1)</f>
        <v>-5844.27478641428</v>
      </c>
      <c r="AV44" s="69" t="n">
        <f aca="false">-AV30*Inputs!$B$37*(1+Inputs!$B$39)^(AV$7-1)</f>
        <v>-5866.87322519788</v>
      </c>
      <c r="AW44" s="69" t="n">
        <f aca="false">-AW30*Inputs!$B$37*(1+Inputs!$B$39)^(AW$7-1)</f>
        <v>-5888.34174204231</v>
      </c>
      <c r="AX44" s="69" t="n">
        <f aca="false">-AX30*Inputs!$B$37*(1+Inputs!$B$39)^(AX$7-1)</f>
        <v>-4424.4125280461</v>
      </c>
      <c r="AY44" s="69" t="n">
        <f aca="false">-AY30*Inputs!$B$37*(1+Inputs!$B$39)^(AY$7-1)</f>
        <v>-4602.02167541738</v>
      </c>
      <c r="AZ44" s="69" t="n">
        <f aca="false">-AZ30*Inputs!$B$37*(1+Inputs!$B$39)^(AZ$7-1)</f>
        <v>-4602.62268935434</v>
      </c>
      <c r="BA44" s="69" t="n">
        <f aca="false">-BA30*Inputs!$B$37*(1+Inputs!$B$39)^(BA$7-1)</f>
        <v>-6147.49247093496</v>
      </c>
      <c r="BB44" s="69" t="n">
        <f aca="false">-BB30*Inputs!$B$37*(1+Inputs!$B$39)^(BB$7-1)</f>
        <v>-6167.5225126167</v>
      </c>
      <c r="BC44" s="69" t="n">
        <f aca="false">-BC30*Inputs!$B$37*(1+Inputs!$B$39)^(BC$7-1)</f>
        <v>-6186.55105221436</v>
      </c>
      <c r="BD44" s="69" t="n">
        <f aca="false">-BD30*Inputs!$B$37*(1+Inputs!$B$39)^(BD$7-1)</f>
        <v>-6204.62816483213</v>
      </c>
      <c r="BE44" s="69" t="n">
        <f aca="false">-BE30*Inputs!$B$37*(1+Inputs!$B$39)^(BE$7-1)</f>
        <v>-6221.80142181902</v>
      </c>
      <c r="BF44" s="69" t="n">
        <f aca="false">-BF30*Inputs!$B$37*(1+Inputs!$B$39)^(BF$7-1)</f>
        <v>-6238.11601595656</v>
      </c>
      <c r="BG44" s="69" t="n">
        <f aca="false">-BG30*Inputs!$B$37*(1+Inputs!$B$39)^(BG$7-1)</f>
        <v>-6253.61488038723</v>
      </c>
      <c r="BH44" s="69" t="n">
        <f aca="false">-BH30*Inputs!$B$37*(1+Inputs!$B$39)^(BH$7-1)</f>
        <v>-6268.33880159636</v>
      </c>
      <c r="BI44" s="69" t="n">
        <f aca="false">-BI30*Inputs!$B$37*(1+Inputs!$B$39)^(BI$7-1)</f>
        <v>-6282.32652674503</v>
      </c>
      <c r="BJ44" s="69" t="n">
        <f aca="false">-BJ30*Inputs!$B$37*(1+Inputs!$B$39)^(BJ$7-1)</f>
        <v>-4714.28544862043</v>
      </c>
    </row>
    <row r="45" customFormat="false" ht="15" hidden="false" customHeight="false" outlineLevel="0" collapsed="false">
      <c r="A45" s="6" t="s">
        <v>248</v>
      </c>
      <c r="C45" s="69" t="n">
        <f aca="false">C42+C43+C44</f>
        <v>-3893.678128</v>
      </c>
      <c r="D45" s="69" t="n">
        <f aca="false">D42+D43+D44</f>
        <v>-4458.05030693334</v>
      </c>
      <c r="E45" s="69" t="n">
        <f aca="false">E42+E43+E44</f>
        <v>-6733.43854522667</v>
      </c>
      <c r="F45" s="69" t="n">
        <f aca="false">F42+F43+F44</f>
        <v>-7559.726148632</v>
      </c>
      <c r="G45" s="69" t="n">
        <f aca="false">G42+G43+G44</f>
        <v>-8407.02157986707</v>
      </c>
      <c r="H45" s="69" t="n">
        <f aca="false">H42+H43+H44</f>
        <v>-9274.27444754038</v>
      </c>
      <c r="I45" s="69" t="n">
        <f aca="false">I42+I43+I44</f>
        <v>-10160.48687983</v>
      </c>
      <c r="J45" s="69" t="n">
        <f aca="false">J42+J43+J44</f>
        <v>-11064.7108985052</v>
      </c>
      <c r="K45" s="69" t="n">
        <f aca="false">K42+K43+K44</f>
        <v>-11986.0459242466</v>
      </c>
      <c r="L45" s="69" t="n">
        <f aca="false">L42+L43+L44</f>
        <v>-12923.6364067009</v>
      </c>
      <c r="M45" s="69" t="n">
        <f aca="false">M42+M43+M44</f>
        <v>-13876.6695730326</v>
      </c>
      <c r="N45" s="69" t="n">
        <f aca="false">N42+N43+N44</f>
        <v>-11108.5981054524</v>
      </c>
      <c r="O45" s="69" t="n">
        <f aca="false">O42+O43+O44</f>
        <v>-12267.0969520803</v>
      </c>
      <c r="P45" s="69" t="n">
        <f aca="false">P42+P43+P44</f>
        <v>-12496.9035508763</v>
      </c>
      <c r="Q45" s="69" t="n">
        <f aca="false">Q42+Q43+Q44</f>
        <v>-16989.8119921766</v>
      </c>
      <c r="R45" s="69" t="n">
        <f aca="false">R42+R43+R44</f>
        <v>-17336.9077861678</v>
      </c>
      <c r="S45" s="69" t="n">
        <f aca="false">S42+S43+S44</f>
        <v>-17666.6487904594</v>
      </c>
      <c r="T45" s="69" t="n">
        <f aca="false">T42+T43+T44</f>
        <v>-17979.9027445364</v>
      </c>
      <c r="U45" s="69" t="n">
        <f aca="false">U42+U43+U44</f>
        <v>-18277.4940009096</v>
      </c>
      <c r="V45" s="69" t="n">
        <f aca="false">V42+V43+V44</f>
        <v>-18560.2056944641</v>
      </c>
      <c r="W45" s="69" t="n">
        <f aca="false">W42+W43+W44</f>
        <v>-18828.7818033409</v>
      </c>
      <c r="X45" s="69" t="n">
        <f aca="false">X42+X43+X44</f>
        <v>-19083.9291067739</v>
      </c>
      <c r="Y45" s="69" t="n">
        <f aca="false">Y42+Y43+Y44</f>
        <v>-19326.3190450352</v>
      </c>
      <c r="Z45" s="69" t="n">
        <f aca="false">Z42+Z43+Z44</f>
        <v>-14640.3029403876</v>
      </c>
      <c r="AA45" s="69" t="n">
        <f aca="false">AA42+AA43+AA44</f>
        <v>-15341.5072093589</v>
      </c>
      <c r="AB45" s="69" t="n">
        <f aca="false">AB42+AB43+AB44</f>
        <v>-15451.319753147</v>
      </c>
      <c r="AC45" s="69" t="n">
        <f aca="false">AC42+AC43+AC44</f>
        <v>-20778.4885481621</v>
      </c>
      <c r="AD45" s="69" t="n">
        <f aca="false">AD42+AD43+AD44</f>
        <v>-20984.013970098</v>
      </c>
      <c r="AE45" s="69" t="n">
        <f aca="false">AE42+AE43+AE44</f>
        <v>-21179.2631209371</v>
      </c>
      <c r="AF45" s="69" t="n">
        <f aca="false">AF42+AF43+AF44</f>
        <v>-21364.7498142343</v>
      </c>
      <c r="AG45" s="69" t="n">
        <f aca="false">AG42+AG43+AG44</f>
        <v>-21540.9621728666</v>
      </c>
      <c r="AH45" s="69" t="n">
        <f aca="false">AH42+AH43+AH44</f>
        <v>-21708.3639135672</v>
      </c>
      <c r="AI45" s="69" t="n">
        <f aca="false">AI42+AI43+AI44</f>
        <v>-21867.3955672329</v>
      </c>
      <c r="AJ45" s="69" t="n">
        <f aca="false">AJ42+AJ43+AJ44</f>
        <v>-22018.4756382152</v>
      </c>
      <c r="AK45" s="69" t="n">
        <f aca="false">AK42+AK43+AK44</f>
        <v>-22162.0017056485</v>
      </c>
      <c r="AL45" s="69" t="n">
        <f aca="false">AL42+AL43+AL44</f>
        <v>-16695.5388609065</v>
      </c>
      <c r="AM45" s="69" t="n">
        <f aca="false">AM42+AM43+AM44</f>
        <v>-17407.1558150019</v>
      </c>
      <c r="AN45" s="69" t="n">
        <f aca="false">AN42+AN43+AN44</f>
        <v>-17448.761444678</v>
      </c>
      <c r="AO45" s="69" t="n">
        <f aca="false">AO42+AO43+AO44</f>
        <v>-23356.8540318686</v>
      </c>
      <c r="AP45" s="69" t="n">
        <f aca="false">AP42+AP43+AP44</f>
        <v>-23483.2391735929</v>
      </c>
      <c r="AQ45" s="69" t="n">
        <f aca="false">AQ42+AQ43+AQ44</f>
        <v>-23603.305058231</v>
      </c>
      <c r="AR45" s="69" t="n">
        <f aca="false">AR42+AR43+AR44</f>
        <v>-23717.3676486372</v>
      </c>
      <c r="AS45" s="69" t="n">
        <f aca="false">AS42+AS43+AS44</f>
        <v>-23825.7271095231</v>
      </c>
      <c r="AT45" s="69" t="n">
        <f aca="false">AT42+AT43+AT44</f>
        <v>-23928.6685973647</v>
      </c>
      <c r="AU45" s="69" t="n">
        <f aca="false">AU42+AU43+AU44</f>
        <v>-24026.4630108142</v>
      </c>
      <c r="AV45" s="69" t="n">
        <f aca="false">AV42+AV43+AV44</f>
        <v>-24119.3677035913</v>
      </c>
      <c r="AW45" s="69" t="n">
        <f aca="false">AW42+AW43+AW44</f>
        <v>-24207.6271617295</v>
      </c>
      <c r="AX45" s="69" t="n">
        <f aca="false">AX42+AX43+AX44</f>
        <v>-18189.2515041895</v>
      </c>
      <c r="AY45" s="69" t="n">
        <f aca="false">AY42+AY43+AY44</f>
        <v>-18919.4224433826</v>
      </c>
      <c r="AZ45" s="69" t="n">
        <f aca="false">AZ42+AZ43+AZ44</f>
        <v>-18921.8932784567</v>
      </c>
      <c r="BA45" s="69" t="n">
        <f aca="false">BA42+BA43+BA44</f>
        <v>-25273.0246027326</v>
      </c>
      <c r="BB45" s="69" t="n">
        <f aca="false">BB42+BB43+BB44</f>
        <v>-25355.3703296464</v>
      </c>
      <c r="BC45" s="69" t="n">
        <f aca="false">BC42+BC43+BC44</f>
        <v>-25433.5987702146</v>
      </c>
      <c r="BD45" s="69" t="n">
        <f aca="false">BD42+BD43+BD44</f>
        <v>-25507.9157887543</v>
      </c>
      <c r="BE45" s="69" t="n">
        <f aca="false">BE42+BE43+BE44</f>
        <v>-25578.5169563671</v>
      </c>
      <c r="BF45" s="69" t="n">
        <f aca="false">BF42+BF43+BF44</f>
        <v>-25645.5880655992</v>
      </c>
      <c r="BG45" s="69" t="n">
        <f aca="false">BG42+BG43+BG44</f>
        <v>-25709.3056193697</v>
      </c>
      <c r="BH45" s="69" t="n">
        <f aca="false">BH42+BH43+BH44</f>
        <v>-25769.8372954517</v>
      </c>
      <c r="BI45" s="69" t="n">
        <f aca="false">BI42+BI43+BI44</f>
        <v>-25827.3423877296</v>
      </c>
      <c r="BJ45" s="69" t="n">
        <f aca="false">BJ42+BJ43+BJ44</f>
        <v>-19380.9512887729</v>
      </c>
    </row>
    <row r="46" customFormat="false" ht="15" hidden="false" customHeight="false" outlineLevel="0" collapsed="false">
      <c r="A46" s="6" t="s">
        <v>442</v>
      </c>
      <c r="C46" s="69" t="n">
        <f aca="false">-C39*Inputs!$B$38</f>
        <v>-847.894528</v>
      </c>
      <c r="D46" s="69" t="n">
        <f aca="false">-D39*Inputs!$B$38</f>
        <v>-972.157166933334</v>
      </c>
      <c r="E46" s="69" t="n">
        <f aca="false">-E39*Inputs!$B$38</f>
        <v>-1400.89006592</v>
      </c>
      <c r="F46" s="69" t="n">
        <f aca="false">-F39*Inputs!$B$38</f>
        <v>-1570.617210624</v>
      </c>
      <c r="G46" s="69" t="n">
        <f aca="false">-G39*Inputs!$B$38</f>
        <v>-1743.2131340928</v>
      </c>
      <c r="H46" s="69" t="n">
        <f aca="false">-H39*Inputs!$B$38</f>
        <v>-1918.53439738816</v>
      </c>
      <c r="I46" s="69" t="n">
        <f aca="false">-I39*Inputs!$B$38</f>
        <v>-2096.44473351875</v>
      </c>
      <c r="J46" s="69" t="n">
        <f aca="false">-J39*Inputs!$B$38</f>
        <v>-2276.81468884281</v>
      </c>
      <c r="K46" s="69" t="n">
        <f aca="false">-K39*Inputs!$B$38</f>
        <v>-2459.52128240067</v>
      </c>
      <c r="L46" s="69" t="n">
        <f aca="false">-L39*Inputs!$B$38</f>
        <v>-2644.44768228064</v>
      </c>
      <c r="M46" s="69" t="n">
        <f aca="false">-M39*Inputs!$B$38</f>
        <v>-2831.48289816661</v>
      </c>
      <c r="N46" s="69" t="n">
        <f aca="false">-N39*Inputs!$B$38</f>
        <v>-2398.10322792494</v>
      </c>
      <c r="O46" s="69" t="n">
        <f aca="false">-O39*Inputs!$B$38</f>
        <v>-2570.08300356732</v>
      </c>
      <c r="P46" s="69" t="n">
        <f aca="false">-P39*Inputs!$B$38</f>
        <v>-2610.71846298895</v>
      </c>
      <c r="Q46" s="69" t="n">
        <f aca="false">-Q39*Inputs!$B$38</f>
        <v>-3313.9661430395</v>
      </c>
      <c r="R46" s="69" t="n">
        <f aca="false">-R39*Inputs!$B$38</f>
        <v>-3359.99744868753</v>
      </c>
      <c r="S46" s="69" t="n">
        <f aca="false">-S39*Inputs!$B$38</f>
        <v>-3403.72718905315</v>
      </c>
      <c r="T46" s="69" t="n">
        <f aca="false">-T39*Inputs!$B$38</f>
        <v>-3445.2704424005</v>
      </c>
      <c r="U46" s="69" t="n">
        <f aca="false">-U39*Inputs!$B$38</f>
        <v>-3484.73653308047</v>
      </c>
      <c r="V46" s="69" t="n">
        <f aca="false">-V39*Inputs!$B$38</f>
        <v>-3522.22931922645</v>
      </c>
      <c r="W46" s="69" t="n">
        <f aca="false">-W39*Inputs!$B$38</f>
        <v>-3557.84746606512</v>
      </c>
      <c r="X46" s="69" t="n">
        <f aca="false">-X39*Inputs!$B$38</f>
        <v>-3591.68470556187</v>
      </c>
      <c r="Y46" s="69" t="n">
        <f aca="false">-Y39*Inputs!$B$38</f>
        <v>-3623.83008308377</v>
      </c>
      <c r="Z46" s="69" t="n">
        <f aca="false">-Z39*Inputs!$B$38</f>
        <v>-2989.72419812959</v>
      </c>
      <c r="AA46" s="69" t="n">
        <f aca="false">-AA39*Inputs!$B$38</f>
        <v>-3039.47137380134</v>
      </c>
      <c r="AB46" s="69" t="n">
        <f aca="false">-AB39*Inputs!$B$38</f>
        <v>-3058.32881080727</v>
      </c>
      <c r="AC46" s="69" t="n">
        <f aca="false">-AC39*Inputs!$B$38</f>
        <v>-3747.53380949891</v>
      </c>
      <c r="AD46" s="69" t="n">
        <f aca="false">-AD39*Inputs!$B$38</f>
        <v>-3774.00402795196</v>
      </c>
      <c r="AE46" s="69" t="n">
        <f aca="false">-AE39*Inputs!$B$38</f>
        <v>-3799.15073548236</v>
      </c>
      <c r="AF46" s="69" t="n">
        <f aca="false">-AF39*Inputs!$B$38</f>
        <v>-3823.04010763625</v>
      </c>
      <c r="AG46" s="69" t="n">
        <f aca="false">-AG39*Inputs!$B$38</f>
        <v>-3845.73501118243</v>
      </c>
      <c r="AH46" s="69" t="n">
        <f aca="false">-AH39*Inputs!$B$38</f>
        <v>-3867.29516955131</v>
      </c>
      <c r="AI46" s="69" t="n">
        <f aca="false">-AI39*Inputs!$B$38</f>
        <v>-3887.77732000175</v>
      </c>
      <c r="AJ46" s="69" t="n">
        <f aca="false">-AJ39*Inputs!$B$38</f>
        <v>-3907.23536292966</v>
      </c>
      <c r="AK46" s="69" t="n">
        <f aca="false">-AK39*Inputs!$B$38</f>
        <v>-3925.72050371118</v>
      </c>
      <c r="AL46" s="69" t="n">
        <f aca="false">-AL39*Inputs!$B$38</f>
        <v>-3271.99095391762</v>
      </c>
      <c r="AM46" s="69" t="n">
        <f aca="false">-AM39*Inputs!$B$38</f>
        <v>-3312.01463603691</v>
      </c>
      <c r="AN46" s="69" t="n">
        <f aca="false">-AN39*Inputs!$B$38</f>
        <v>-3318.95321998803</v>
      </c>
      <c r="AO46" s="69" t="n">
        <f aca="false">-AO39*Inputs!$B$38</f>
        <v>-4003.54821261295</v>
      </c>
      <c r="AP46" s="69" t="n">
        <f aca="false">-AP39*Inputs!$B$38</f>
        <v>-4019.35617999958</v>
      </c>
      <c r="AQ46" s="69" t="n">
        <f aca="false">-AQ39*Inputs!$B$38</f>
        <v>-4034.37374901688</v>
      </c>
      <c r="AR46" s="69" t="n">
        <f aca="false">-AR39*Inputs!$B$38</f>
        <v>-4048.64043958332</v>
      </c>
      <c r="AS46" s="69" t="n">
        <f aca="false">-AS39*Inputs!$B$38</f>
        <v>-4062.19379562143</v>
      </c>
      <c r="AT46" s="69" t="n">
        <f aca="false">-AT39*Inputs!$B$38</f>
        <v>-4075.06948385764</v>
      </c>
      <c r="AU46" s="69" t="n">
        <f aca="false">-AU39*Inputs!$B$38</f>
        <v>-4087.30138768204</v>
      </c>
      <c r="AV46" s="69" t="n">
        <f aca="false">-AV39*Inputs!$B$38</f>
        <v>-4098.92169631522</v>
      </c>
      <c r="AW46" s="69" t="n">
        <f aca="false">-AW39*Inputs!$B$38</f>
        <v>-4109.96098951674</v>
      </c>
      <c r="AX46" s="69" t="n">
        <f aca="false">-AX39*Inputs!$B$38</f>
        <v>-3442.44498018682</v>
      </c>
      <c r="AY46" s="69" t="n">
        <f aca="false">-AY39*Inputs!$B$38</f>
        <v>-3477.29066739974</v>
      </c>
      <c r="AZ46" s="69" t="n">
        <f aca="false">-AZ39*Inputs!$B$38</f>
        <v>-3477.69084294024</v>
      </c>
      <c r="BA46" s="69" t="n">
        <f aca="false">-BA39*Inputs!$B$38</f>
        <v>-4162.85438095379</v>
      </c>
      <c r="BB46" s="69" t="n">
        <f aca="false">-BB39*Inputs!$B$38</f>
        <v>-4172.85689370356</v>
      </c>
      <c r="BC46" s="69" t="n">
        <f aca="false">-BC39*Inputs!$B$38</f>
        <v>-4182.35928081583</v>
      </c>
      <c r="BD46" s="69" t="n">
        <f aca="false">-BD39*Inputs!$B$38</f>
        <v>-4191.38654857249</v>
      </c>
      <c r="BE46" s="69" t="n">
        <f aca="false">-BE39*Inputs!$B$38</f>
        <v>-4199.96245294132</v>
      </c>
      <c r="BF46" s="69" t="n">
        <f aca="false">-BF39*Inputs!$B$38</f>
        <v>-4208.10956209171</v>
      </c>
      <c r="BG46" s="69" t="n">
        <f aca="false">-BG39*Inputs!$B$38</f>
        <v>-4215.84931578458</v>
      </c>
      <c r="BH46" s="69" t="n">
        <f aca="false">-BH39*Inputs!$B$38</f>
        <v>-4223.2020817928</v>
      </c>
      <c r="BI46" s="69" t="n">
        <f aca="false">-BI39*Inputs!$B$38</f>
        <v>-4230.18720950061</v>
      </c>
      <c r="BJ46" s="69" t="n">
        <f aca="false">-BJ39*Inputs!$B$38</f>
        <v>-3552.03970957296</v>
      </c>
    </row>
    <row r="47" customFormat="false" ht="15" hidden="false" customHeight="false" outlineLevel="0" collapsed="false">
      <c r="A47" s="4" t="s">
        <v>76</v>
      </c>
      <c r="C47" s="75" t="n">
        <f aca="false">C45+C46</f>
        <v>-4741.572656</v>
      </c>
      <c r="D47" s="75" t="n">
        <f aca="false">D45+D46</f>
        <v>-5430.20747386667</v>
      </c>
      <c r="E47" s="75" t="n">
        <f aca="false">E45+E46</f>
        <v>-8134.32861114667</v>
      </c>
      <c r="F47" s="75" t="n">
        <f aca="false">F45+F46</f>
        <v>-9130.343359256</v>
      </c>
      <c r="G47" s="75" t="n">
        <f aca="false">G45+G46</f>
        <v>-10150.2347139599</v>
      </c>
      <c r="H47" s="75" t="n">
        <f aca="false">H45+H46</f>
        <v>-11192.8088449285</v>
      </c>
      <c r="I47" s="75" t="n">
        <f aca="false">I45+I46</f>
        <v>-12256.9316133488</v>
      </c>
      <c r="J47" s="75" t="n">
        <f aca="false">J45+J46</f>
        <v>-13341.525587348</v>
      </c>
      <c r="K47" s="75" t="n">
        <f aca="false">K45+K46</f>
        <v>-14445.5672066473</v>
      </c>
      <c r="L47" s="75" t="n">
        <f aca="false">L45+L46</f>
        <v>-15568.0840889816</v>
      </c>
      <c r="M47" s="75" t="n">
        <f aca="false">M45+M46</f>
        <v>-16708.1524711992</v>
      </c>
      <c r="N47" s="75" t="n">
        <f aca="false">N45+N46</f>
        <v>-13506.7013333773</v>
      </c>
      <c r="O47" s="75" t="n">
        <f aca="false">O45+O46</f>
        <v>-14837.1799556476</v>
      </c>
      <c r="P47" s="75" t="n">
        <f aca="false">P45+P46</f>
        <v>-15107.6220138652</v>
      </c>
      <c r="Q47" s="75" t="n">
        <f aca="false">Q45+Q46</f>
        <v>-20303.7781352161</v>
      </c>
      <c r="R47" s="75" t="n">
        <f aca="false">R45+R46</f>
        <v>-20696.9052348553</v>
      </c>
      <c r="S47" s="75" t="n">
        <f aca="false">S45+S46</f>
        <v>-21070.3759795125</v>
      </c>
      <c r="T47" s="75" t="n">
        <f aca="false">T45+T46</f>
        <v>-21425.1731869369</v>
      </c>
      <c r="U47" s="75" t="n">
        <f aca="false">U45+U46</f>
        <v>-21762.2305339901</v>
      </c>
      <c r="V47" s="75" t="n">
        <f aca="false">V45+V46</f>
        <v>-22082.4350136906</v>
      </c>
      <c r="W47" s="75" t="n">
        <f aca="false">W45+W46</f>
        <v>-22386.629269406</v>
      </c>
      <c r="X47" s="75" t="n">
        <f aca="false">X45+X46</f>
        <v>-22675.6138123357</v>
      </c>
      <c r="Y47" s="75" t="n">
        <f aca="false">Y45+Y46</f>
        <v>-22950.1491281189</v>
      </c>
      <c r="Z47" s="75" t="n">
        <f aca="false">Z45+Z46</f>
        <v>-17630.0271385171</v>
      </c>
      <c r="AA47" s="75" t="n">
        <f aca="false">AA45+AA46</f>
        <v>-18380.9785831602</v>
      </c>
      <c r="AB47" s="75" t="n">
        <f aca="false">AB45+AB46</f>
        <v>-18509.6485639542</v>
      </c>
      <c r="AC47" s="75" t="n">
        <f aca="false">AC45+AC46</f>
        <v>-24526.0223576611</v>
      </c>
      <c r="AD47" s="75" t="n">
        <f aca="false">AD45+AD46</f>
        <v>-24758.01799805</v>
      </c>
      <c r="AE47" s="75" t="n">
        <f aca="false">AE45+AE46</f>
        <v>-24978.4138564195</v>
      </c>
      <c r="AF47" s="75" t="n">
        <f aca="false">AF45+AF46</f>
        <v>-25187.7899218705</v>
      </c>
      <c r="AG47" s="75" t="n">
        <f aca="false">AG45+AG46</f>
        <v>-25386.697184049</v>
      </c>
      <c r="AH47" s="75" t="n">
        <f aca="false">AH45+AH46</f>
        <v>-25575.6590831185</v>
      </c>
      <c r="AI47" s="75" t="n">
        <f aca="false">AI45+AI46</f>
        <v>-25755.1728872346</v>
      </c>
      <c r="AJ47" s="75" t="n">
        <f aca="false">AJ45+AJ46</f>
        <v>-25925.7110011449</v>
      </c>
      <c r="AK47" s="75" t="n">
        <f aca="false">AK45+AK46</f>
        <v>-26087.7222093596</v>
      </c>
      <c r="AL47" s="75" t="n">
        <f aca="false">AL45+AL46</f>
        <v>-19967.5298148241</v>
      </c>
      <c r="AM47" s="75" t="n">
        <f aca="false">AM45+AM46</f>
        <v>-20719.1704510388</v>
      </c>
      <c r="AN47" s="75" t="n">
        <f aca="false">AN45+AN46</f>
        <v>-20767.7146646661</v>
      </c>
      <c r="AO47" s="75" t="n">
        <f aca="false">AO45+AO46</f>
        <v>-27360.4022444815</v>
      </c>
      <c r="AP47" s="75" t="n">
        <f aca="false">AP45+AP46</f>
        <v>-27502.5953535925</v>
      </c>
      <c r="AQ47" s="75" t="n">
        <f aca="false">AQ45+AQ46</f>
        <v>-27637.6788072479</v>
      </c>
      <c r="AR47" s="75" t="n">
        <f aca="false">AR45+AR46</f>
        <v>-27766.0080882205</v>
      </c>
      <c r="AS47" s="75" t="n">
        <f aca="false">AS45+AS46</f>
        <v>-27887.9209051445</v>
      </c>
      <c r="AT47" s="75" t="n">
        <f aca="false">AT45+AT46</f>
        <v>-28003.7380812224</v>
      </c>
      <c r="AU47" s="75" t="n">
        <f aca="false">AU45+AU46</f>
        <v>-28113.7643984963</v>
      </c>
      <c r="AV47" s="75" t="n">
        <f aca="false">AV45+AV46</f>
        <v>-28218.2893999065</v>
      </c>
      <c r="AW47" s="75" t="n">
        <f aca="false">AW45+AW46</f>
        <v>-28317.5881512462</v>
      </c>
      <c r="AX47" s="75" t="n">
        <f aca="false">AX45+AX46</f>
        <v>-21631.6964843764</v>
      </c>
      <c r="AY47" s="75" t="n">
        <f aca="false">AY45+AY46</f>
        <v>-22396.7131107823</v>
      </c>
      <c r="AZ47" s="75" t="n">
        <f aca="false">AZ45+AZ46</f>
        <v>-22399.584121397</v>
      </c>
      <c r="BA47" s="75" t="n">
        <f aca="false">BA45+BA46</f>
        <v>-29435.8789836864</v>
      </c>
      <c r="BB47" s="75" t="n">
        <f aca="false">BB45+BB46</f>
        <v>-29528.22722335</v>
      </c>
      <c r="BC47" s="75" t="n">
        <f aca="false">BC45+BC46</f>
        <v>-29615.9580510304</v>
      </c>
      <c r="BD47" s="75" t="n">
        <f aca="false">BD45+BD46</f>
        <v>-29699.3023373268</v>
      </c>
      <c r="BE47" s="75" t="n">
        <f aca="false">BE45+BE46</f>
        <v>-29778.4794093084</v>
      </c>
      <c r="BF47" s="75" t="n">
        <f aca="false">BF45+BF46</f>
        <v>-29853.6976276909</v>
      </c>
      <c r="BG47" s="75" t="n">
        <f aca="false">BG45+BG46</f>
        <v>-29925.1549351543</v>
      </c>
      <c r="BH47" s="75" t="n">
        <f aca="false">BH45+BH46</f>
        <v>-29993.0393772445</v>
      </c>
      <c r="BI47" s="75" t="n">
        <f aca="false">BI45+BI46</f>
        <v>-30057.5295972302</v>
      </c>
      <c r="BJ47" s="75" t="n">
        <f aca="false">BJ45+BJ46</f>
        <v>-22932.9909983459</v>
      </c>
    </row>
    <row r="48" customFormat="false" ht="15" hidden="false" customHeight="false" outlineLevel="0" collapsed="false">
      <c r="A48" s="113" t="s">
        <v>45</v>
      </c>
      <c r="C48" s="70" t="n">
        <f aca="false">C39+C47</f>
        <v>21755.131344</v>
      </c>
      <c r="D48" s="70" t="n">
        <f aca="false">D39+D47</f>
        <v>24949.7039928</v>
      </c>
      <c r="E48" s="70" t="n">
        <f aca="false">E39+E47</f>
        <v>35643.4859488533</v>
      </c>
      <c r="F48" s="70" t="n">
        <f aca="false">F39+F47</f>
        <v>39951.444472744</v>
      </c>
      <c r="G48" s="70" t="n">
        <f aca="false">G39+G47</f>
        <v>44325.1757264401</v>
      </c>
      <c r="H48" s="70" t="n">
        <f aca="false">H39+H47</f>
        <v>48761.3910734515</v>
      </c>
      <c r="I48" s="70" t="n">
        <f aca="false">I39+I47</f>
        <v>53256.9663091122</v>
      </c>
      <c r="J48" s="70" t="n">
        <f aca="false">J39+J47</f>
        <v>57808.9334389899</v>
      </c>
      <c r="K48" s="70" t="n">
        <f aca="false">K39+K47</f>
        <v>62414.4728683738</v>
      </c>
      <c r="L48" s="70" t="n">
        <f aca="false">L39+L47</f>
        <v>67070.9059822884</v>
      </c>
      <c r="M48" s="70" t="n">
        <f aca="false">M39+M47</f>
        <v>71775.6880965073</v>
      </c>
      <c r="N48" s="70" t="n">
        <f aca="false">N39+N47</f>
        <v>61434.0245392772</v>
      </c>
      <c r="O48" s="70" t="n">
        <f aca="false">O39+O47</f>
        <v>65477.9139058311</v>
      </c>
      <c r="P48" s="70" t="n">
        <f aca="false">P39+P47</f>
        <v>66477.3299545395</v>
      </c>
      <c r="Q48" s="70" t="n">
        <f aca="false">Q39+Q47</f>
        <v>83257.6638347684</v>
      </c>
      <c r="R48" s="70" t="n">
        <f aca="false">R39+R47</f>
        <v>84303.01503663</v>
      </c>
      <c r="S48" s="70" t="n">
        <f aca="false">S39+S47</f>
        <v>85296.0986783985</v>
      </c>
      <c r="T48" s="70" t="n">
        <f aca="false">T39+T47</f>
        <v>86239.5281380786</v>
      </c>
      <c r="U48" s="70" t="n">
        <f aca="false">U39+U47</f>
        <v>87135.7861247746</v>
      </c>
      <c r="V48" s="70" t="n">
        <f aca="false">V39+V47</f>
        <v>87987.2312121359</v>
      </c>
      <c r="W48" s="70" t="n">
        <f aca="false">W39+W47</f>
        <v>88796.1040451291</v>
      </c>
      <c r="X48" s="70" t="n">
        <f aca="false">X39+X47</f>
        <v>89564.5332364727</v>
      </c>
      <c r="Y48" s="70" t="n">
        <f aca="false">Y39+Y47</f>
        <v>90294.540968249</v>
      </c>
      <c r="Z48" s="70" t="n">
        <f aca="false">Z39+Z47</f>
        <v>75798.8540530324</v>
      </c>
      <c r="AA48" s="70" t="n">
        <f aca="false">AA39+AA47</f>
        <v>76602.5018481316</v>
      </c>
      <c r="AB48" s="70" t="n">
        <f aca="false">AB39+AB47</f>
        <v>77063.126773773</v>
      </c>
      <c r="AC48" s="70" t="n">
        <f aca="false">AC39+AC47</f>
        <v>92584.4091891798</v>
      </c>
      <c r="AD48" s="70" t="n">
        <f aca="false">AD39+AD47</f>
        <v>93179.6078754488</v>
      </c>
      <c r="AE48" s="70" t="n">
        <f aca="false">AE39+AE47</f>
        <v>93745.0466274044</v>
      </c>
      <c r="AF48" s="70" t="n">
        <f aca="false">AF39+AF47</f>
        <v>94282.2134417621</v>
      </c>
      <c r="AG48" s="70" t="n">
        <f aca="false">AG39+AG47</f>
        <v>94792.521915402</v>
      </c>
      <c r="AH48" s="70" t="n">
        <f aca="false">AH39+AH47</f>
        <v>95277.3149653599</v>
      </c>
      <c r="AI48" s="70" t="n">
        <f aca="false">AI39+AI47</f>
        <v>95737.8683628199</v>
      </c>
      <c r="AJ48" s="70" t="n">
        <f aca="false">AJ39+AJ47</f>
        <v>96175.3940904069</v>
      </c>
      <c r="AK48" s="70" t="n">
        <f aca="false">AK39+AK47</f>
        <v>96591.0435316146</v>
      </c>
      <c r="AL48" s="70" t="n">
        <f aca="false">AL39+AL47</f>
        <v>82282.1874951014</v>
      </c>
      <c r="AM48" s="70" t="n">
        <f aca="false">AM39+AM47</f>
        <v>82781.2869251147</v>
      </c>
      <c r="AN48" s="70" t="n">
        <f aca="false">AN39+AN47</f>
        <v>82949.5734599598</v>
      </c>
      <c r="AO48" s="70" t="n">
        <f aca="false">AO39+AO47</f>
        <v>97750.4793996731</v>
      </c>
      <c r="AP48" s="70" t="n">
        <f aca="false">AP39+AP47</f>
        <v>98102.2852713944</v>
      </c>
      <c r="AQ48" s="70" t="n">
        <f aca="false">AQ39+AQ47</f>
        <v>98436.5008495296</v>
      </c>
      <c r="AR48" s="70" t="n">
        <f aca="false">AR39+AR47</f>
        <v>98754.0056487581</v>
      </c>
      <c r="AS48" s="70" t="n">
        <f aca="false">AS39+AS47</f>
        <v>99055.6352080252</v>
      </c>
      <c r="AT48" s="70" t="n">
        <f aca="false">AT39+AT47</f>
        <v>99342.1832893289</v>
      </c>
      <c r="AU48" s="70" t="n">
        <f aca="false">AU39+AU47</f>
        <v>99614.4039665674</v>
      </c>
      <c r="AV48" s="70" t="n">
        <f aca="false">AV39+AV47</f>
        <v>99873.013609944</v>
      </c>
      <c r="AW48" s="70" t="n">
        <f aca="false">AW39+AW47</f>
        <v>100118.692771152</v>
      </c>
      <c r="AX48" s="70" t="n">
        <f aca="false">AX39+AX47</f>
        <v>85944.7091464617</v>
      </c>
      <c r="AY48" s="70" t="n">
        <f aca="false">AY39+AY47</f>
        <v>86268.6202454596</v>
      </c>
      <c r="AZ48" s="70" t="n">
        <f aca="false">AZ39+AZ47</f>
        <v>86278.2547204856</v>
      </c>
      <c r="BA48" s="70" t="n">
        <f aca="false">BA39+BA47</f>
        <v>100653.32042112</v>
      </c>
      <c r="BB48" s="70" t="n">
        <f aca="false">BB39+BB47</f>
        <v>100873.550704886</v>
      </c>
      <c r="BC48" s="70" t="n">
        <f aca="false">BC39+BC47</f>
        <v>101082.769474464</v>
      </c>
      <c r="BD48" s="70" t="n">
        <f aca="false">BD39+BD47</f>
        <v>101281.527305564</v>
      </c>
      <c r="BE48" s="70" t="n">
        <f aca="false">BE39+BE47</f>
        <v>101470.347245108</v>
      </c>
      <c r="BF48" s="70" t="n">
        <f aca="false">BF39+BF47</f>
        <v>101649.726187675</v>
      </c>
      <c r="BG48" s="70" t="n">
        <f aca="false">BG39+BG47</f>
        <v>101820.136183114</v>
      </c>
      <c r="BH48" s="70" t="n">
        <f aca="false">BH39+BH47</f>
        <v>101982.025678781</v>
      </c>
      <c r="BI48" s="70" t="n">
        <f aca="false">BI39+BI47</f>
        <v>102135.820699664</v>
      </c>
      <c r="BJ48" s="70" t="n">
        <f aca="false">BJ39+BJ47</f>
        <v>88068.2499258092</v>
      </c>
    </row>
    <row r="50" customFormat="false" ht="15.75" hidden="false" customHeight="true" outlineLevel="0" collapsed="false">
      <c r="A50" s="7" t="s">
        <v>47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6" t="s">
        <v>342</v>
      </c>
      <c r="C51" s="69" t="n">
        <f aca="false">C130</f>
        <v>-36586.6666666667</v>
      </c>
      <c r="D51" s="69" t="n">
        <f aca="false">D130</f>
        <v>-36586.6666666667</v>
      </c>
      <c r="E51" s="69" t="n">
        <f aca="false">E130</f>
        <v>-36586.6666666667</v>
      </c>
      <c r="F51" s="69" t="n">
        <f aca="false">F130</f>
        <v>-36586.6666666667</v>
      </c>
      <c r="G51" s="69" t="n">
        <f aca="false">G130</f>
        <v>-36586.6666666667</v>
      </c>
      <c r="H51" s="69" t="n">
        <f aca="false">H130</f>
        <v>-36586.6666666667</v>
      </c>
      <c r="I51" s="69" t="n">
        <f aca="false">I130</f>
        <v>-36586.6666666667</v>
      </c>
      <c r="J51" s="69" t="n">
        <f aca="false">J130</f>
        <v>-36586.6666666667</v>
      </c>
      <c r="K51" s="69" t="n">
        <f aca="false">K130</f>
        <v>-36586.6666666667</v>
      </c>
      <c r="L51" s="69" t="n">
        <f aca="false">L130</f>
        <v>-36586.6666666667</v>
      </c>
      <c r="M51" s="69" t="n">
        <f aca="false">M130</f>
        <v>-36586.6666666667</v>
      </c>
      <c r="N51" s="69" t="n">
        <f aca="false">N130</f>
        <v>-36586.6666666667</v>
      </c>
      <c r="O51" s="69" t="n">
        <f aca="false">O130</f>
        <v>-37684.2666666667</v>
      </c>
      <c r="P51" s="69" t="n">
        <f aca="false">P130</f>
        <v>-37684.2666666667</v>
      </c>
      <c r="Q51" s="69" t="n">
        <f aca="false">Q130</f>
        <v>-37684.2666666667</v>
      </c>
      <c r="R51" s="69" t="n">
        <f aca="false">R130</f>
        <v>-37684.2666666667</v>
      </c>
      <c r="S51" s="69" t="n">
        <f aca="false">S130</f>
        <v>-37684.2666666667</v>
      </c>
      <c r="T51" s="69" t="n">
        <f aca="false">T130</f>
        <v>-37684.2666666667</v>
      </c>
      <c r="U51" s="69" t="n">
        <f aca="false">U130</f>
        <v>-37684.2666666667</v>
      </c>
      <c r="V51" s="69" t="n">
        <f aca="false">V130</f>
        <v>-37684.2666666667</v>
      </c>
      <c r="W51" s="69" t="n">
        <f aca="false">W130</f>
        <v>-37684.2666666667</v>
      </c>
      <c r="X51" s="69" t="n">
        <f aca="false">X130</f>
        <v>-37684.2666666667</v>
      </c>
      <c r="Y51" s="69" t="n">
        <f aca="false">Y130</f>
        <v>-37684.2666666667</v>
      </c>
      <c r="Z51" s="69" t="n">
        <f aca="false">Z130</f>
        <v>-37684.2666666667</v>
      </c>
      <c r="AA51" s="69" t="n">
        <f aca="false">AA130</f>
        <v>-38814.7946666667</v>
      </c>
      <c r="AB51" s="69" t="n">
        <f aca="false">AB130</f>
        <v>-38814.7946666667</v>
      </c>
      <c r="AC51" s="69" t="n">
        <f aca="false">AC130</f>
        <v>-38814.7946666667</v>
      </c>
      <c r="AD51" s="69" t="n">
        <f aca="false">AD130</f>
        <v>-38814.7946666667</v>
      </c>
      <c r="AE51" s="69" t="n">
        <f aca="false">AE130</f>
        <v>-38814.7946666667</v>
      </c>
      <c r="AF51" s="69" t="n">
        <f aca="false">AF130</f>
        <v>-38814.7946666667</v>
      </c>
      <c r="AG51" s="69" t="n">
        <f aca="false">AG130</f>
        <v>-38814.7946666667</v>
      </c>
      <c r="AH51" s="69" t="n">
        <f aca="false">AH130</f>
        <v>-38814.7946666667</v>
      </c>
      <c r="AI51" s="69" t="n">
        <f aca="false">AI130</f>
        <v>-38814.7946666667</v>
      </c>
      <c r="AJ51" s="69" t="n">
        <f aca="false">AJ130</f>
        <v>-38814.7946666667</v>
      </c>
      <c r="AK51" s="69" t="n">
        <f aca="false">AK130</f>
        <v>-38814.7946666667</v>
      </c>
      <c r="AL51" s="69" t="n">
        <f aca="false">AL130</f>
        <v>-38814.7946666667</v>
      </c>
      <c r="AM51" s="69" t="n">
        <f aca="false">AM130</f>
        <v>-39979.2385066667</v>
      </c>
      <c r="AN51" s="69" t="n">
        <f aca="false">AN130</f>
        <v>-39979.2385066667</v>
      </c>
      <c r="AO51" s="69" t="n">
        <f aca="false">AO130</f>
        <v>-39979.2385066667</v>
      </c>
      <c r="AP51" s="69" t="n">
        <f aca="false">AP130</f>
        <v>-39979.2385066667</v>
      </c>
      <c r="AQ51" s="69" t="n">
        <f aca="false">AQ130</f>
        <v>-39979.2385066667</v>
      </c>
      <c r="AR51" s="69" t="n">
        <f aca="false">AR130</f>
        <v>-39979.2385066667</v>
      </c>
      <c r="AS51" s="69" t="n">
        <f aca="false">AS130</f>
        <v>-39979.2385066667</v>
      </c>
      <c r="AT51" s="69" t="n">
        <f aca="false">AT130</f>
        <v>-39979.2385066667</v>
      </c>
      <c r="AU51" s="69" t="n">
        <f aca="false">AU130</f>
        <v>-39979.2385066667</v>
      </c>
      <c r="AV51" s="69" t="n">
        <f aca="false">AV130</f>
        <v>-39979.2385066667</v>
      </c>
      <c r="AW51" s="69" t="n">
        <f aca="false">AW130</f>
        <v>-39979.2385066667</v>
      </c>
      <c r="AX51" s="69" t="n">
        <f aca="false">AX130</f>
        <v>-39979.2385066667</v>
      </c>
      <c r="AY51" s="69" t="n">
        <f aca="false">AY130</f>
        <v>-41178.6156618667</v>
      </c>
      <c r="AZ51" s="69" t="n">
        <f aca="false">AZ130</f>
        <v>-41178.6156618667</v>
      </c>
      <c r="BA51" s="69" t="n">
        <f aca="false">BA130</f>
        <v>-41178.6156618667</v>
      </c>
      <c r="BB51" s="69" t="n">
        <f aca="false">BB130</f>
        <v>-41178.6156618667</v>
      </c>
      <c r="BC51" s="69" t="n">
        <f aca="false">BC130</f>
        <v>-41178.6156618667</v>
      </c>
      <c r="BD51" s="69" t="n">
        <f aca="false">BD130</f>
        <v>-41178.6156618667</v>
      </c>
      <c r="BE51" s="69" t="n">
        <f aca="false">BE130</f>
        <v>-41178.6156618667</v>
      </c>
      <c r="BF51" s="69" t="n">
        <f aca="false">BF130</f>
        <v>-41178.6156618667</v>
      </c>
      <c r="BG51" s="69" t="n">
        <f aca="false">BG130</f>
        <v>-41178.6156618667</v>
      </c>
      <c r="BH51" s="69" t="n">
        <f aca="false">BH130</f>
        <v>-41178.6156618667</v>
      </c>
      <c r="BI51" s="69" t="n">
        <f aca="false">BI130</f>
        <v>-41178.6156618667</v>
      </c>
      <c r="BJ51" s="69" t="n">
        <f aca="false">BJ130</f>
        <v>-41178.6156618667</v>
      </c>
    </row>
    <row r="52" customFormat="false" ht="15" hidden="false" customHeight="false" outlineLevel="0" collapsed="false">
      <c r="A52" s="6" t="s">
        <v>343</v>
      </c>
      <c r="C52" s="69" t="n">
        <f aca="false">-Inputs!$B$42*(1+Inputs!$B$43)^(C$7-1)*1</f>
        <v>-30000</v>
      </c>
      <c r="D52" s="69" t="n">
        <f aca="false">-Inputs!$B$42*(1+Inputs!$B$43)^(D$7-1)*1</f>
        <v>-30000</v>
      </c>
      <c r="E52" s="69" t="n">
        <f aca="false">-Inputs!$B$42*(1+Inputs!$B$43)^(E$7-1)*1</f>
        <v>-30000</v>
      </c>
      <c r="F52" s="69" t="n">
        <f aca="false">-Inputs!$B$42*(1+Inputs!$B$43)^(F$7-1)*1</f>
        <v>-30000</v>
      </c>
      <c r="G52" s="69" t="n">
        <f aca="false">-Inputs!$B$42*(1+Inputs!$B$43)^(G$7-1)*1</f>
        <v>-30000</v>
      </c>
      <c r="H52" s="69" t="n">
        <f aca="false">-Inputs!$B$42*(1+Inputs!$B$43)^(H$7-1)*1</f>
        <v>-30000</v>
      </c>
      <c r="I52" s="69" t="n">
        <f aca="false">-Inputs!$B$42*(1+Inputs!$B$43)^(I$7-1)*1</f>
        <v>-30000</v>
      </c>
      <c r="J52" s="69" t="n">
        <f aca="false">-Inputs!$B$42*(1+Inputs!$B$43)^(J$7-1)*1</f>
        <v>-30000</v>
      </c>
      <c r="K52" s="69" t="n">
        <f aca="false">-Inputs!$B$42*(1+Inputs!$B$43)^(K$7-1)*1</f>
        <v>-30000</v>
      </c>
      <c r="L52" s="69" t="n">
        <f aca="false">-Inputs!$B$42*(1+Inputs!$B$43)^(L$7-1)*1</f>
        <v>-30000</v>
      </c>
      <c r="M52" s="69" t="n">
        <f aca="false">-Inputs!$B$42*(1+Inputs!$B$43)^(M$7-1)*1</f>
        <v>-30000</v>
      </c>
      <c r="N52" s="69" t="n">
        <f aca="false">-Inputs!$B$42*(1+Inputs!$B$43)^(N$7-1)*1</f>
        <v>-30000</v>
      </c>
      <c r="O52" s="69" t="n">
        <f aca="false">-Inputs!$B$42*(1+Inputs!$B$43)^(O$7-1)*1</f>
        <v>-30900</v>
      </c>
      <c r="P52" s="69" t="n">
        <f aca="false">-Inputs!$B$42*(1+Inputs!$B$43)^(P$7-1)*1</f>
        <v>-30900</v>
      </c>
      <c r="Q52" s="69" t="n">
        <f aca="false">-Inputs!$B$42*(1+Inputs!$B$43)^(Q$7-1)*1</f>
        <v>-30900</v>
      </c>
      <c r="R52" s="69" t="n">
        <f aca="false">-Inputs!$B$42*(1+Inputs!$B$43)^(R$7-1)*1</f>
        <v>-30900</v>
      </c>
      <c r="S52" s="69" t="n">
        <f aca="false">-Inputs!$B$42*(1+Inputs!$B$43)^(S$7-1)*1</f>
        <v>-30900</v>
      </c>
      <c r="T52" s="69" t="n">
        <f aca="false">-Inputs!$B$42*(1+Inputs!$B$43)^(T$7-1)*1</f>
        <v>-30900</v>
      </c>
      <c r="U52" s="69" t="n">
        <f aca="false">-Inputs!$B$42*(1+Inputs!$B$43)^(U$7-1)*1</f>
        <v>-30900</v>
      </c>
      <c r="V52" s="69" t="n">
        <f aca="false">-Inputs!$B$42*(1+Inputs!$B$43)^(V$7-1)*1</f>
        <v>-30900</v>
      </c>
      <c r="W52" s="69" t="n">
        <f aca="false">-Inputs!$B$42*(1+Inputs!$B$43)^(W$7-1)*1</f>
        <v>-30900</v>
      </c>
      <c r="X52" s="69" t="n">
        <f aca="false">-Inputs!$B$42*(1+Inputs!$B$43)^(X$7-1)*1</f>
        <v>-30900</v>
      </c>
      <c r="Y52" s="69" t="n">
        <f aca="false">-Inputs!$B$42*(1+Inputs!$B$43)^(Y$7-1)*1</f>
        <v>-30900</v>
      </c>
      <c r="Z52" s="69" t="n">
        <f aca="false">-Inputs!$B$42*(1+Inputs!$B$43)^(Z$7-1)*1</f>
        <v>-30900</v>
      </c>
      <c r="AA52" s="69" t="n">
        <f aca="false">-Inputs!$B$42*(1+Inputs!$B$43)^(AA$7-1)*1</f>
        <v>-31827</v>
      </c>
      <c r="AB52" s="69" t="n">
        <f aca="false">-Inputs!$B$42*(1+Inputs!$B$43)^(AB$7-1)*1</f>
        <v>-31827</v>
      </c>
      <c r="AC52" s="69" t="n">
        <f aca="false">-Inputs!$B$42*(1+Inputs!$B$43)^(AC$7-1)*1</f>
        <v>-31827</v>
      </c>
      <c r="AD52" s="69" t="n">
        <f aca="false">-Inputs!$B$42*(1+Inputs!$B$43)^(AD$7-1)*1</f>
        <v>-31827</v>
      </c>
      <c r="AE52" s="69" t="n">
        <f aca="false">-Inputs!$B$42*(1+Inputs!$B$43)^(AE$7-1)*1</f>
        <v>-31827</v>
      </c>
      <c r="AF52" s="69" t="n">
        <f aca="false">-Inputs!$B$42*(1+Inputs!$B$43)^(AF$7-1)*1</f>
        <v>-31827</v>
      </c>
      <c r="AG52" s="69" t="n">
        <f aca="false">-Inputs!$B$42*(1+Inputs!$B$43)^(AG$7-1)*1</f>
        <v>-31827</v>
      </c>
      <c r="AH52" s="69" t="n">
        <f aca="false">-Inputs!$B$42*(1+Inputs!$B$43)^(AH$7-1)*1</f>
        <v>-31827</v>
      </c>
      <c r="AI52" s="69" t="n">
        <f aca="false">-Inputs!$B$42*(1+Inputs!$B$43)^(AI$7-1)*1</f>
        <v>-31827</v>
      </c>
      <c r="AJ52" s="69" t="n">
        <f aca="false">-Inputs!$B$42*(1+Inputs!$B$43)^(AJ$7-1)*1</f>
        <v>-31827</v>
      </c>
      <c r="AK52" s="69" t="n">
        <f aca="false">-Inputs!$B$42*(1+Inputs!$B$43)^(AK$7-1)*1</f>
        <v>-31827</v>
      </c>
      <c r="AL52" s="69" t="n">
        <f aca="false">-Inputs!$B$42*(1+Inputs!$B$43)^(AL$7-1)*1</f>
        <v>-31827</v>
      </c>
      <c r="AM52" s="69" t="n">
        <f aca="false">-Inputs!$B$42*(1+Inputs!$B$43)^(AM$7-1)*1</f>
        <v>-32781.81</v>
      </c>
      <c r="AN52" s="69" t="n">
        <f aca="false">-Inputs!$B$42*(1+Inputs!$B$43)^(AN$7-1)*1</f>
        <v>-32781.81</v>
      </c>
      <c r="AO52" s="69" t="n">
        <f aca="false">-Inputs!$B$42*(1+Inputs!$B$43)^(AO$7-1)*1</f>
        <v>-32781.81</v>
      </c>
      <c r="AP52" s="69" t="n">
        <f aca="false">-Inputs!$B$42*(1+Inputs!$B$43)^(AP$7-1)*1</f>
        <v>-32781.81</v>
      </c>
      <c r="AQ52" s="69" t="n">
        <f aca="false">-Inputs!$B$42*(1+Inputs!$B$43)^(AQ$7-1)*1</f>
        <v>-32781.81</v>
      </c>
      <c r="AR52" s="69" t="n">
        <f aca="false">-Inputs!$B$42*(1+Inputs!$B$43)^(AR$7-1)*1</f>
        <v>-32781.81</v>
      </c>
      <c r="AS52" s="69" t="n">
        <f aca="false">-Inputs!$B$42*(1+Inputs!$B$43)^(AS$7-1)*1</f>
        <v>-32781.81</v>
      </c>
      <c r="AT52" s="69" t="n">
        <f aca="false">-Inputs!$B$42*(1+Inputs!$B$43)^(AT$7-1)*1</f>
        <v>-32781.81</v>
      </c>
      <c r="AU52" s="69" t="n">
        <f aca="false">-Inputs!$B$42*(1+Inputs!$B$43)^(AU$7-1)*1</f>
        <v>-32781.81</v>
      </c>
      <c r="AV52" s="69" t="n">
        <f aca="false">-Inputs!$B$42*(1+Inputs!$B$43)^(AV$7-1)*1</f>
        <v>-32781.81</v>
      </c>
      <c r="AW52" s="69" t="n">
        <f aca="false">-Inputs!$B$42*(1+Inputs!$B$43)^(AW$7-1)*1</f>
        <v>-32781.81</v>
      </c>
      <c r="AX52" s="69" t="n">
        <f aca="false">-Inputs!$B$42*(1+Inputs!$B$43)^(AX$7-1)*1</f>
        <v>-32781.81</v>
      </c>
      <c r="AY52" s="69" t="n">
        <f aca="false">-Inputs!$B$42*(1+Inputs!$B$43)^(AY$7-1)*1</f>
        <v>-33765.2643</v>
      </c>
      <c r="AZ52" s="69" t="n">
        <f aca="false">-Inputs!$B$42*(1+Inputs!$B$43)^(AZ$7-1)*1</f>
        <v>-33765.2643</v>
      </c>
      <c r="BA52" s="69" t="n">
        <f aca="false">-Inputs!$B$42*(1+Inputs!$B$43)^(BA$7-1)*1</f>
        <v>-33765.2643</v>
      </c>
      <c r="BB52" s="69" t="n">
        <f aca="false">-Inputs!$B$42*(1+Inputs!$B$43)^(BB$7-1)*1</f>
        <v>-33765.2643</v>
      </c>
      <c r="BC52" s="69" t="n">
        <f aca="false">-Inputs!$B$42*(1+Inputs!$B$43)^(BC$7-1)*1</f>
        <v>-33765.2643</v>
      </c>
      <c r="BD52" s="69" t="n">
        <f aca="false">-Inputs!$B$42*(1+Inputs!$B$43)^(BD$7-1)*1</f>
        <v>-33765.2643</v>
      </c>
      <c r="BE52" s="69" t="n">
        <f aca="false">-Inputs!$B$42*(1+Inputs!$B$43)^(BE$7-1)*1</f>
        <v>-33765.2643</v>
      </c>
      <c r="BF52" s="69" t="n">
        <f aca="false">-Inputs!$B$42*(1+Inputs!$B$43)^(BF$7-1)*1</f>
        <v>-33765.2643</v>
      </c>
      <c r="BG52" s="69" t="n">
        <f aca="false">-Inputs!$B$42*(1+Inputs!$B$43)^(BG$7-1)*1</f>
        <v>-33765.2643</v>
      </c>
      <c r="BH52" s="69" t="n">
        <f aca="false">-Inputs!$B$42*(1+Inputs!$B$43)^(BH$7-1)*1</f>
        <v>-33765.2643</v>
      </c>
      <c r="BI52" s="69" t="n">
        <f aca="false">-Inputs!$B$42*(1+Inputs!$B$43)^(BI$7-1)*1</f>
        <v>-33765.2643</v>
      </c>
      <c r="BJ52" s="69" t="n">
        <f aca="false">-Inputs!$B$42*(1+Inputs!$B$43)^(BJ$7-1)*1</f>
        <v>-33765.2643</v>
      </c>
    </row>
    <row r="53" customFormat="false" ht="15" hidden="false" customHeight="false" outlineLevel="0" collapsed="false">
      <c r="A53" s="6" t="s">
        <v>344</v>
      </c>
      <c r="C53" s="69" t="n">
        <f aca="false">-Inputs!$B$44*(1+Inputs!$B$39)^(C$7-1)*1</f>
        <v>-5500</v>
      </c>
      <c r="D53" s="69" t="n">
        <f aca="false">-Inputs!$B$44*(1+Inputs!$B$39)^(D$7-1)*1</f>
        <v>-5500</v>
      </c>
      <c r="E53" s="69" t="n">
        <f aca="false">-Inputs!$B$44*(1+Inputs!$B$39)^(E$7-1)*1</f>
        <v>-5500</v>
      </c>
      <c r="F53" s="69" t="n">
        <f aca="false">-Inputs!$B$44*(1+Inputs!$B$39)^(F$7-1)*1</f>
        <v>-5500</v>
      </c>
      <c r="G53" s="69" t="n">
        <f aca="false">-Inputs!$B$44*(1+Inputs!$B$39)^(G$7-1)*1</f>
        <v>-5500</v>
      </c>
      <c r="H53" s="69" t="n">
        <f aca="false">-Inputs!$B$44*(1+Inputs!$B$39)^(H$7-1)*1</f>
        <v>-5500</v>
      </c>
      <c r="I53" s="69" t="n">
        <f aca="false">-Inputs!$B$44*(1+Inputs!$B$39)^(I$7-1)*1</f>
        <v>-5500</v>
      </c>
      <c r="J53" s="69" t="n">
        <f aca="false">-Inputs!$B$44*(1+Inputs!$B$39)^(J$7-1)*1</f>
        <v>-5500</v>
      </c>
      <c r="K53" s="69" t="n">
        <f aca="false">-Inputs!$B$44*(1+Inputs!$B$39)^(K$7-1)*1</f>
        <v>-5500</v>
      </c>
      <c r="L53" s="69" t="n">
        <f aca="false">-Inputs!$B$44*(1+Inputs!$B$39)^(L$7-1)*1</f>
        <v>-5500</v>
      </c>
      <c r="M53" s="69" t="n">
        <f aca="false">-Inputs!$B$44*(1+Inputs!$B$39)^(M$7-1)*1</f>
        <v>-5500</v>
      </c>
      <c r="N53" s="69" t="n">
        <f aca="false">-Inputs!$B$44*(1+Inputs!$B$39)^(N$7-1)*1</f>
        <v>-5500</v>
      </c>
      <c r="O53" s="69" t="n">
        <f aca="false">-Inputs!$B$44*(1+Inputs!$B$39)^(O$7-1)*1</f>
        <v>-5720</v>
      </c>
      <c r="P53" s="69" t="n">
        <f aca="false">-Inputs!$B$44*(1+Inputs!$B$39)^(P$7-1)*1</f>
        <v>-5720</v>
      </c>
      <c r="Q53" s="69" t="n">
        <f aca="false">-Inputs!$B$44*(1+Inputs!$B$39)^(Q$7-1)*1</f>
        <v>-5720</v>
      </c>
      <c r="R53" s="69" t="n">
        <f aca="false">-Inputs!$B$44*(1+Inputs!$B$39)^(R$7-1)*1</f>
        <v>-5720</v>
      </c>
      <c r="S53" s="69" t="n">
        <f aca="false">-Inputs!$B$44*(1+Inputs!$B$39)^(S$7-1)*1</f>
        <v>-5720</v>
      </c>
      <c r="T53" s="69" t="n">
        <f aca="false">-Inputs!$B$44*(1+Inputs!$B$39)^(T$7-1)*1</f>
        <v>-5720</v>
      </c>
      <c r="U53" s="69" t="n">
        <f aca="false">-Inputs!$B$44*(1+Inputs!$B$39)^(U$7-1)*1</f>
        <v>-5720</v>
      </c>
      <c r="V53" s="69" t="n">
        <f aca="false">-Inputs!$B$44*(1+Inputs!$B$39)^(V$7-1)*1</f>
        <v>-5720</v>
      </c>
      <c r="W53" s="69" t="n">
        <f aca="false">-Inputs!$B$44*(1+Inputs!$B$39)^(W$7-1)*1</f>
        <v>-5720</v>
      </c>
      <c r="X53" s="69" t="n">
        <f aca="false">-Inputs!$B$44*(1+Inputs!$B$39)^(X$7-1)*1</f>
        <v>-5720</v>
      </c>
      <c r="Y53" s="69" t="n">
        <f aca="false">-Inputs!$B$44*(1+Inputs!$B$39)^(Y$7-1)*1</f>
        <v>-5720</v>
      </c>
      <c r="Z53" s="69" t="n">
        <f aca="false">-Inputs!$B$44*(1+Inputs!$B$39)^(Z$7-1)*1</f>
        <v>-5720</v>
      </c>
      <c r="AA53" s="69" t="n">
        <f aca="false">-Inputs!$B$44*(1+Inputs!$B$39)^(AA$7-1)*1</f>
        <v>-5948.8</v>
      </c>
      <c r="AB53" s="69" t="n">
        <f aca="false">-Inputs!$B$44*(1+Inputs!$B$39)^(AB$7-1)*1</f>
        <v>-5948.8</v>
      </c>
      <c r="AC53" s="69" t="n">
        <f aca="false">-Inputs!$B$44*(1+Inputs!$B$39)^(AC$7-1)*1</f>
        <v>-5948.8</v>
      </c>
      <c r="AD53" s="69" t="n">
        <f aca="false">-Inputs!$B$44*(1+Inputs!$B$39)^(AD$7-1)*1</f>
        <v>-5948.8</v>
      </c>
      <c r="AE53" s="69" t="n">
        <f aca="false">-Inputs!$B$44*(1+Inputs!$B$39)^(AE$7-1)*1</f>
        <v>-5948.8</v>
      </c>
      <c r="AF53" s="69" t="n">
        <f aca="false">-Inputs!$B$44*(1+Inputs!$B$39)^(AF$7-1)*1</f>
        <v>-5948.8</v>
      </c>
      <c r="AG53" s="69" t="n">
        <f aca="false">-Inputs!$B$44*(1+Inputs!$B$39)^(AG$7-1)*1</f>
        <v>-5948.8</v>
      </c>
      <c r="AH53" s="69" t="n">
        <f aca="false">-Inputs!$B$44*(1+Inputs!$B$39)^(AH$7-1)*1</f>
        <v>-5948.8</v>
      </c>
      <c r="AI53" s="69" t="n">
        <f aca="false">-Inputs!$B$44*(1+Inputs!$B$39)^(AI$7-1)*1</f>
        <v>-5948.8</v>
      </c>
      <c r="AJ53" s="69" t="n">
        <f aca="false">-Inputs!$B$44*(1+Inputs!$B$39)^(AJ$7-1)*1</f>
        <v>-5948.8</v>
      </c>
      <c r="AK53" s="69" t="n">
        <f aca="false">-Inputs!$B$44*(1+Inputs!$B$39)^(AK$7-1)*1</f>
        <v>-5948.8</v>
      </c>
      <c r="AL53" s="69" t="n">
        <f aca="false">-Inputs!$B$44*(1+Inputs!$B$39)^(AL$7-1)*1</f>
        <v>-5948.8</v>
      </c>
      <c r="AM53" s="69" t="n">
        <f aca="false">-Inputs!$B$44*(1+Inputs!$B$39)^(AM$7-1)*1</f>
        <v>-6186.752</v>
      </c>
      <c r="AN53" s="69" t="n">
        <f aca="false">-Inputs!$B$44*(1+Inputs!$B$39)^(AN$7-1)*1</f>
        <v>-6186.752</v>
      </c>
      <c r="AO53" s="69" t="n">
        <f aca="false">-Inputs!$B$44*(1+Inputs!$B$39)^(AO$7-1)*1</f>
        <v>-6186.752</v>
      </c>
      <c r="AP53" s="69" t="n">
        <f aca="false">-Inputs!$B$44*(1+Inputs!$B$39)^(AP$7-1)*1</f>
        <v>-6186.752</v>
      </c>
      <c r="AQ53" s="69" t="n">
        <f aca="false">-Inputs!$B$44*(1+Inputs!$B$39)^(AQ$7-1)*1</f>
        <v>-6186.752</v>
      </c>
      <c r="AR53" s="69" t="n">
        <f aca="false">-Inputs!$B$44*(1+Inputs!$B$39)^(AR$7-1)*1</f>
        <v>-6186.752</v>
      </c>
      <c r="AS53" s="69" t="n">
        <f aca="false">-Inputs!$B$44*(1+Inputs!$B$39)^(AS$7-1)*1</f>
        <v>-6186.752</v>
      </c>
      <c r="AT53" s="69" t="n">
        <f aca="false">-Inputs!$B$44*(1+Inputs!$B$39)^(AT$7-1)*1</f>
        <v>-6186.752</v>
      </c>
      <c r="AU53" s="69" t="n">
        <f aca="false">-Inputs!$B$44*(1+Inputs!$B$39)^(AU$7-1)*1</f>
        <v>-6186.752</v>
      </c>
      <c r="AV53" s="69" t="n">
        <f aca="false">-Inputs!$B$44*(1+Inputs!$B$39)^(AV$7-1)*1</f>
        <v>-6186.752</v>
      </c>
      <c r="AW53" s="69" t="n">
        <f aca="false">-Inputs!$B$44*(1+Inputs!$B$39)^(AW$7-1)*1</f>
        <v>-6186.752</v>
      </c>
      <c r="AX53" s="69" t="n">
        <f aca="false">-Inputs!$B$44*(1+Inputs!$B$39)^(AX$7-1)*1</f>
        <v>-6186.752</v>
      </c>
      <c r="AY53" s="69" t="n">
        <f aca="false">-Inputs!$B$44*(1+Inputs!$B$39)^(AY$7-1)*1</f>
        <v>-6434.22208</v>
      </c>
      <c r="AZ53" s="69" t="n">
        <f aca="false">-Inputs!$B$44*(1+Inputs!$B$39)^(AZ$7-1)*1</f>
        <v>-6434.22208</v>
      </c>
      <c r="BA53" s="69" t="n">
        <f aca="false">-Inputs!$B$44*(1+Inputs!$B$39)^(BA$7-1)*1</f>
        <v>-6434.22208</v>
      </c>
      <c r="BB53" s="69" t="n">
        <f aca="false">-Inputs!$B$44*(1+Inputs!$B$39)^(BB$7-1)*1</f>
        <v>-6434.22208</v>
      </c>
      <c r="BC53" s="69" t="n">
        <f aca="false">-Inputs!$B$44*(1+Inputs!$B$39)^(BC$7-1)*1</f>
        <v>-6434.22208</v>
      </c>
      <c r="BD53" s="69" t="n">
        <f aca="false">-Inputs!$B$44*(1+Inputs!$B$39)^(BD$7-1)*1</f>
        <v>-6434.22208</v>
      </c>
      <c r="BE53" s="69" t="n">
        <f aca="false">-Inputs!$B$44*(1+Inputs!$B$39)^(BE$7-1)*1</f>
        <v>-6434.22208</v>
      </c>
      <c r="BF53" s="69" t="n">
        <f aca="false">-Inputs!$B$44*(1+Inputs!$B$39)^(BF$7-1)*1</f>
        <v>-6434.22208</v>
      </c>
      <c r="BG53" s="69" t="n">
        <f aca="false">-Inputs!$B$44*(1+Inputs!$B$39)^(BG$7-1)*1</f>
        <v>-6434.22208</v>
      </c>
      <c r="BH53" s="69" t="n">
        <f aca="false">-Inputs!$B$44*(1+Inputs!$B$39)^(BH$7-1)*1</f>
        <v>-6434.22208</v>
      </c>
      <c r="BI53" s="69" t="n">
        <f aca="false">-Inputs!$B$44*(1+Inputs!$B$39)^(BI$7-1)*1</f>
        <v>-6434.22208</v>
      </c>
      <c r="BJ53" s="69" t="n">
        <f aca="false">-Inputs!$B$44*(1+Inputs!$B$39)^(BJ$7-1)*1</f>
        <v>-6434.22208</v>
      </c>
    </row>
    <row r="54" customFormat="false" ht="15" hidden="false" customHeight="false" outlineLevel="0" collapsed="false">
      <c r="A54" s="6" t="s">
        <v>345</v>
      </c>
      <c r="C54" s="69" t="n">
        <f aca="false">-Inputs!$B$45*(1+Inputs!$B$39)^(C$7-1)*1</f>
        <v>-9500</v>
      </c>
      <c r="D54" s="69" t="n">
        <f aca="false">-Inputs!$B$45*(1+Inputs!$B$39)^(D$7-1)*1</f>
        <v>-9500</v>
      </c>
      <c r="E54" s="69" t="n">
        <f aca="false">-Inputs!$B$45*(1+Inputs!$B$39)^(E$7-1)*1</f>
        <v>-9500</v>
      </c>
      <c r="F54" s="69" t="n">
        <f aca="false">-Inputs!$B$45*(1+Inputs!$B$39)^(F$7-1)*1</f>
        <v>-9500</v>
      </c>
      <c r="G54" s="69" t="n">
        <f aca="false">-Inputs!$B$45*(1+Inputs!$B$39)^(G$7-1)*1</f>
        <v>-9500</v>
      </c>
      <c r="H54" s="69" t="n">
        <f aca="false">-Inputs!$B$45*(1+Inputs!$B$39)^(H$7-1)*1</f>
        <v>-9500</v>
      </c>
      <c r="I54" s="69" t="n">
        <f aca="false">-Inputs!$B$45*(1+Inputs!$B$39)^(I$7-1)*1</f>
        <v>-9500</v>
      </c>
      <c r="J54" s="69" t="n">
        <f aca="false">-Inputs!$B$45*(1+Inputs!$B$39)^(J$7-1)*1</f>
        <v>-9500</v>
      </c>
      <c r="K54" s="69" t="n">
        <f aca="false">-Inputs!$B$45*(1+Inputs!$B$39)^(K$7-1)*1</f>
        <v>-9500</v>
      </c>
      <c r="L54" s="69" t="n">
        <f aca="false">-Inputs!$B$45*(1+Inputs!$B$39)^(L$7-1)*1</f>
        <v>-9500</v>
      </c>
      <c r="M54" s="69" t="n">
        <f aca="false">-Inputs!$B$45*(1+Inputs!$B$39)^(M$7-1)*1</f>
        <v>-9500</v>
      </c>
      <c r="N54" s="69" t="n">
        <f aca="false">-Inputs!$B$45*(1+Inputs!$B$39)^(N$7-1)*1</f>
        <v>-9500</v>
      </c>
      <c r="O54" s="69" t="n">
        <f aca="false">-Inputs!$B$45*(1+Inputs!$B$39)^(O$7-1)*1</f>
        <v>-9880</v>
      </c>
      <c r="P54" s="69" t="n">
        <f aca="false">-Inputs!$B$45*(1+Inputs!$B$39)^(P$7-1)*1</f>
        <v>-9880</v>
      </c>
      <c r="Q54" s="69" t="n">
        <f aca="false">-Inputs!$B$45*(1+Inputs!$B$39)^(Q$7-1)*1</f>
        <v>-9880</v>
      </c>
      <c r="R54" s="69" t="n">
        <f aca="false">-Inputs!$B$45*(1+Inputs!$B$39)^(R$7-1)*1</f>
        <v>-9880</v>
      </c>
      <c r="S54" s="69" t="n">
        <f aca="false">-Inputs!$B$45*(1+Inputs!$B$39)^(S$7-1)*1</f>
        <v>-9880</v>
      </c>
      <c r="T54" s="69" t="n">
        <f aca="false">-Inputs!$B$45*(1+Inputs!$B$39)^(T$7-1)*1</f>
        <v>-9880</v>
      </c>
      <c r="U54" s="69" t="n">
        <f aca="false">-Inputs!$B$45*(1+Inputs!$B$39)^(U$7-1)*1</f>
        <v>-9880</v>
      </c>
      <c r="V54" s="69" t="n">
        <f aca="false">-Inputs!$B$45*(1+Inputs!$B$39)^(V$7-1)*1</f>
        <v>-9880</v>
      </c>
      <c r="W54" s="69" t="n">
        <f aca="false">-Inputs!$B$45*(1+Inputs!$B$39)^(W$7-1)*1</f>
        <v>-9880</v>
      </c>
      <c r="X54" s="69" t="n">
        <f aca="false">-Inputs!$B$45*(1+Inputs!$B$39)^(X$7-1)*1</f>
        <v>-9880</v>
      </c>
      <c r="Y54" s="69" t="n">
        <f aca="false">-Inputs!$B$45*(1+Inputs!$B$39)^(Y$7-1)*1</f>
        <v>-9880</v>
      </c>
      <c r="Z54" s="69" t="n">
        <f aca="false">-Inputs!$B$45*(1+Inputs!$B$39)^(Z$7-1)*1</f>
        <v>-9880</v>
      </c>
      <c r="AA54" s="69" t="n">
        <f aca="false">-Inputs!$B$45*(1+Inputs!$B$39)^(AA$7-1)*1</f>
        <v>-10275.2</v>
      </c>
      <c r="AB54" s="69" t="n">
        <f aca="false">-Inputs!$B$45*(1+Inputs!$B$39)^(AB$7-1)*1</f>
        <v>-10275.2</v>
      </c>
      <c r="AC54" s="69" t="n">
        <f aca="false">-Inputs!$B$45*(1+Inputs!$B$39)^(AC$7-1)*1</f>
        <v>-10275.2</v>
      </c>
      <c r="AD54" s="69" t="n">
        <f aca="false">-Inputs!$B$45*(1+Inputs!$B$39)^(AD$7-1)*1</f>
        <v>-10275.2</v>
      </c>
      <c r="AE54" s="69" t="n">
        <f aca="false">-Inputs!$B$45*(1+Inputs!$B$39)^(AE$7-1)*1</f>
        <v>-10275.2</v>
      </c>
      <c r="AF54" s="69" t="n">
        <f aca="false">-Inputs!$B$45*(1+Inputs!$B$39)^(AF$7-1)*1</f>
        <v>-10275.2</v>
      </c>
      <c r="AG54" s="69" t="n">
        <f aca="false">-Inputs!$B$45*(1+Inputs!$B$39)^(AG$7-1)*1</f>
        <v>-10275.2</v>
      </c>
      <c r="AH54" s="69" t="n">
        <f aca="false">-Inputs!$B$45*(1+Inputs!$B$39)^(AH$7-1)*1</f>
        <v>-10275.2</v>
      </c>
      <c r="AI54" s="69" t="n">
        <f aca="false">-Inputs!$B$45*(1+Inputs!$B$39)^(AI$7-1)*1</f>
        <v>-10275.2</v>
      </c>
      <c r="AJ54" s="69" t="n">
        <f aca="false">-Inputs!$B$45*(1+Inputs!$B$39)^(AJ$7-1)*1</f>
        <v>-10275.2</v>
      </c>
      <c r="AK54" s="69" t="n">
        <f aca="false">-Inputs!$B$45*(1+Inputs!$B$39)^(AK$7-1)*1</f>
        <v>-10275.2</v>
      </c>
      <c r="AL54" s="69" t="n">
        <f aca="false">-Inputs!$B$45*(1+Inputs!$B$39)^(AL$7-1)*1</f>
        <v>-10275.2</v>
      </c>
      <c r="AM54" s="69" t="n">
        <f aca="false">-Inputs!$B$45*(1+Inputs!$B$39)^(AM$7-1)*1</f>
        <v>-10686.208</v>
      </c>
      <c r="AN54" s="69" t="n">
        <f aca="false">-Inputs!$B$45*(1+Inputs!$B$39)^(AN$7-1)*1</f>
        <v>-10686.208</v>
      </c>
      <c r="AO54" s="69" t="n">
        <f aca="false">-Inputs!$B$45*(1+Inputs!$B$39)^(AO$7-1)*1</f>
        <v>-10686.208</v>
      </c>
      <c r="AP54" s="69" t="n">
        <f aca="false">-Inputs!$B$45*(1+Inputs!$B$39)^(AP$7-1)*1</f>
        <v>-10686.208</v>
      </c>
      <c r="AQ54" s="69" t="n">
        <f aca="false">-Inputs!$B$45*(1+Inputs!$B$39)^(AQ$7-1)*1</f>
        <v>-10686.208</v>
      </c>
      <c r="AR54" s="69" t="n">
        <f aca="false">-Inputs!$B$45*(1+Inputs!$B$39)^(AR$7-1)*1</f>
        <v>-10686.208</v>
      </c>
      <c r="AS54" s="69" t="n">
        <f aca="false">-Inputs!$B$45*(1+Inputs!$B$39)^(AS$7-1)*1</f>
        <v>-10686.208</v>
      </c>
      <c r="AT54" s="69" t="n">
        <f aca="false">-Inputs!$B$45*(1+Inputs!$B$39)^(AT$7-1)*1</f>
        <v>-10686.208</v>
      </c>
      <c r="AU54" s="69" t="n">
        <f aca="false">-Inputs!$B$45*(1+Inputs!$B$39)^(AU$7-1)*1</f>
        <v>-10686.208</v>
      </c>
      <c r="AV54" s="69" t="n">
        <f aca="false">-Inputs!$B$45*(1+Inputs!$B$39)^(AV$7-1)*1</f>
        <v>-10686.208</v>
      </c>
      <c r="AW54" s="69" t="n">
        <f aca="false">-Inputs!$B$45*(1+Inputs!$B$39)^(AW$7-1)*1</f>
        <v>-10686.208</v>
      </c>
      <c r="AX54" s="69" t="n">
        <f aca="false">-Inputs!$B$45*(1+Inputs!$B$39)^(AX$7-1)*1</f>
        <v>-10686.208</v>
      </c>
      <c r="AY54" s="69" t="n">
        <f aca="false">-Inputs!$B$45*(1+Inputs!$B$39)^(AY$7-1)*1</f>
        <v>-11113.65632</v>
      </c>
      <c r="AZ54" s="69" t="n">
        <f aca="false">-Inputs!$B$45*(1+Inputs!$B$39)^(AZ$7-1)*1</f>
        <v>-11113.65632</v>
      </c>
      <c r="BA54" s="69" t="n">
        <f aca="false">-Inputs!$B$45*(1+Inputs!$B$39)^(BA$7-1)*1</f>
        <v>-11113.65632</v>
      </c>
      <c r="BB54" s="69" t="n">
        <f aca="false">-Inputs!$B$45*(1+Inputs!$B$39)^(BB$7-1)*1</f>
        <v>-11113.65632</v>
      </c>
      <c r="BC54" s="69" t="n">
        <f aca="false">-Inputs!$B$45*(1+Inputs!$B$39)^(BC$7-1)*1</f>
        <v>-11113.65632</v>
      </c>
      <c r="BD54" s="69" t="n">
        <f aca="false">-Inputs!$B$45*(1+Inputs!$B$39)^(BD$7-1)*1</f>
        <v>-11113.65632</v>
      </c>
      <c r="BE54" s="69" t="n">
        <f aca="false">-Inputs!$B$45*(1+Inputs!$B$39)^(BE$7-1)*1</f>
        <v>-11113.65632</v>
      </c>
      <c r="BF54" s="69" t="n">
        <f aca="false">-Inputs!$B$45*(1+Inputs!$B$39)^(BF$7-1)*1</f>
        <v>-11113.65632</v>
      </c>
      <c r="BG54" s="69" t="n">
        <f aca="false">-Inputs!$B$45*(1+Inputs!$B$39)^(BG$7-1)*1</f>
        <v>-11113.65632</v>
      </c>
      <c r="BH54" s="69" t="n">
        <f aca="false">-Inputs!$B$45*(1+Inputs!$B$39)^(BH$7-1)*1</f>
        <v>-11113.65632</v>
      </c>
      <c r="BI54" s="69" t="n">
        <f aca="false">-Inputs!$B$45*(1+Inputs!$B$39)^(BI$7-1)*1</f>
        <v>-11113.65632</v>
      </c>
      <c r="BJ54" s="69" t="n">
        <f aca="false">-Inputs!$B$45*(1+Inputs!$B$39)^(BJ$7-1)*1</f>
        <v>-11113.65632</v>
      </c>
    </row>
    <row r="55" customFormat="false" ht="15" hidden="false" customHeight="false" outlineLevel="0" collapsed="false">
      <c r="A55" s="6" t="s">
        <v>346</v>
      </c>
      <c r="C55" s="69" t="n">
        <f aca="false">-Inputs!$B$46*(1+Inputs!$B$47)^(C$7-1)*1</f>
        <v>-12000</v>
      </c>
      <c r="D55" s="69" t="n">
        <f aca="false">-Inputs!$B$46*(1+Inputs!$B$47)^(D$7-1)*1</f>
        <v>-12000</v>
      </c>
      <c r="E55" s="69" t="n">
        <f aca="false">-Inputs!$B$46*(1+Inputs!$B$47)^(E$7-1)*1</f>
        <v>-12000</v>
      </c>
      <c r="F55" s="69" t="n">
        <f aca="false">-Inputs!$B$46*(1+Inputs!$B$47)^(F$7-1)*1</f>
        <v>-12000</v>
      </c>
      <c r="G55" s="69" t="n">
        <f aca="false">-Inputs!$B$46*(1+Inputs!$B$47)^(G$7-1)*1</f>
        <v>-12000</v>
      </c>
      <c r="H55" s="69" t="n">
        <f aca="false">-Inputs!$B$46*(1+Inputs!$B$47)^(H$7-1)*1</f>
        <v>-12000</v>
      </c>
      <c r="I55" s="69" t="n">
        <f aca="false">-Inputs!$B$46*(1+Inputs!$B$47)^(I$7-1)*1</f>
        <v>-12000</v>
      </c>
      <c r="J55" s="69" t="n">
        <f aca="false">-Inputs!$B$46*(1+Inputs!$B$47)^(J$7-1)*1</f>
        <v>-12000</v>
      </c>
      <c r="K55" s="69" t="n">
        <f aca="false">-Inputs!$B$46*(1+Inputs!$B$47)^(K$7-1)*1</f>
        <v>-12000</v>
      </c>
      <c r="L55" s="69" t="n">
        <f aca="false">-Inputs!$B$46*(1+Inputs!$B$47)^(L$7-1)*1</f>
        <v>-12000</v>
      </c>
      <c r="M55" s="69" t="n">
        <f aca="false">-Inputs!$B$46*(1+Inputs!$B$47)^(M$7-1)*1</f>
        <v>-12000</v>
      </c>
      <c r="N55" s="69" t="n">
        <f aca="false">-Inputs!$B$46*(1+Inputs!$B$47)^(N$7-1)*1</f>
        <v>-12000</v>
      </c>
      <c r="O55" s="69" t="n">
        <f aca="false">-Inputs!$B$46*(1+Inputs!$B$47)^(O$7-1)*1</f>
        <v>-8400</v>
      </c>
      <c r="P55" s="69" t="n">
        <f aca="false">-Inputs!$B$46*(1+Inputs!$B$47)^(P$7-1)*1</f>
        <v>-8400</v>
      </c>
      <c r="Q55" s="69" t="n">
        <f aca="false">-Inputs!$B$46*(1+Inputs!$B$47)^(Q$7-1)*1</f>
        <v>-8400</v>
      </c>
      <c r="R55" s="69" t="n">
        <f aca="false">-Inputs!$B$46*(1+Inputs!$B$47)^(R$7-1)*1</f>
        <v>-8400</v>
      </c>
      <c r="S55" s="69" t="n">
        <f aca="false">-Inputs!$B$46*(1+Inputs!$B$47)^(S$7-1)*1</f>
        <v>-8400</v>
      </c>
      <c r="T55" s="69" t="n">
        <f aca="false">-Inputs!$B$46*(1+Inputs!$B$47)^(T$7-1)*1</f>
        <v>-8400</v>
      </c>
      <c r="U55" s="69" t="n">
        <f aca="false">-Inputs!$B$46*(1+Inputs!$B$47)^(U$7-1)*1</f>
        <v>-8400</v>
      </c>
      <c r="V55" s="69" t="n">
        <f aca="false">-Inputs!$B$46*(1+Inputs!$B$47)^(V$7-1)*1</f>
        <v>-8400</v>
      </c>
      <c r="W55" s="69" t="n">
        <f aca="false">-Inputs!$B$46*(1+Inputs!$B$47)^(W$7-1)*1</f>
        <v>-8400</v>
      </c>
      <c r="X55" s="69" t="n">
        <f aca="false">-Inputs!$B$46*(1+Inputs!$B$47)^(X$7-1)*1</f>
        <v>-8400</v>
      </c>
      <c r="Y55" s="69" t="n">
        <f aca="false">-Inputs!$B$46*(1+Inputs!$B$47)^(Y$7-1)*1</f>
        <v>-8400</v>
      </c>
      <c r="Z55" s="69" t="n">
        <f aca="false">-Inputs!$B$46*(1+Inputs!$B$47)^(Z$7-1)*1</f>
        <v>-8400</v>
      </c>
      <c r="AA55" s="69" t="n">
        <f aca="false">-Inputs!$B$46*(1+Inputs!$B$47)^(AA$7-1)*1</f>
        <v>-5880</v>
      </c>
      <c r="AB55" s="69" t="n">
        <f aca="false">-Inputs!$B$46*(1+Inputs!$B$47)^(AB$7-1)*1</f>
        <v>-5880</v>
      </c>
      <c r="AC55" s="69" t="n">
        <f aca="false">-Inputs!$B$46*(1+Inputs!$B$47)^(AC$7-1)*1</f>
        <v>-5880</v>
      </c>
      <c r="AD55" s="69" t="n">
        <f aca="false">-Inputs!$B$46*(1+Inputs!$B$47)^(AD$7-1)*1</f>
        <v>-5880</v>
      </c>
      <c r="AE55" s="69" t="n">
        <f aca="false">-Inputs!$B$46*(1+Inputs!$B$47)^(AE$7-1)*1</f>
        <v>-5880</v>
      </c>
      <c r="AF55" s="69" t="n">
        <f aca="false">-Inputs!$B$46*(1+Inputs!$B$47)^(AF$7-1)*1</f>
        <v>-5880</v>
      </c>
      <c r="AG55" s="69" t="n">
        <f aca="false">-Inputs!$B$46*(1+Inputs!$B$47)^(AG$7-1)*1</f>
        <v>-5880</v>
      </c>
      <c r="AH55" s="69" t="n">
        <f aca="false">-Inputs!$B$46*(1+Inputs!$B$47)^(AH$7-1)*1</f>
        <v>-5880</v>
      </c>
      <c r="AI55" s="69" t="n">
        <f aca="false">-Inputs!$B$46*(1+Inputs!$B$47)^(AI$7-1)*1</f>
        <v>-5880</v>
      </c>
      <c r="AJ55" s="69" t="n">
        <f aca="false">-Inputs!$B$46*(1+Inputs!$B$47)^(AJ$7-1)*1</f>
        <v>-5880</v>
      </c>
      <c r="AK55" s="69" t="n">
        <f aca="false">-Inputs!$B$46*(1+Inputs!$B$47)^(AK$7-1)*1</f>
        <v>-5880</v>
      </c>
      <c r="AL55" s="69" t="n">
        <f aca="false">-Inputs!$B$46*(1+Inputs!$B$47)^(AL$7-1)*1</f>
        <v>-5880</v>
      </c>
      <c r="AM55" s="69" t="n">
        <f aca="false">-Inputs!$B$46*(1+Inputs!$B$47)^(AM$7-1)*1</f>
        <v>-4116</v>
      </c>
      <c r="AN55" s="69" t="n">
        <f aca="false">-Inputs!$B$46*(1+Inputs!$B$47)^(AN$7-1)*1</f>
        <v>-4116</v>
      </c>
      <c r="AO55" s="69" t="n">
        <f aca="false">-Inputs!$B$46*(1+Inputs!$B$47)^(AO$7-1)*1</f>
        <v>-4116</v>
      </c>
      <c r="AP55" s="69" t="n">
        <f aca="false">-Inputs!$B$46*(1+Inputs!$B$47)^(AP$7-1)*1</f>
        <v>-4116</v>
      </c>
      <c r="AQ55" s="69" t="n">
        <f aca="false">-Inputs!$B$46*(1+Inputs!$B$47)^(AQ$7-1)*1</f>
        <v>-4116</v>
      </c>
      <c r="AR55" s="69" t="n">
        <f aca="false">-Inputs!$B$46*(1+Inputs!$B$47)^(AR$7-1)*1</f>
        <v>-4116</v>
      </c>
      <c r="AS55" s="69" t="n">
        <f aca="false">-Inputs!$B$46*(1+Inputs!$B$47)^(AS$7-1)*1</f>
        <v>-4116</v>
      </c>
      <c r="AT55" s="69" t="n">
        <f aca="false">-Inputs!$B$46*(1+Inputs!$B$47)^(AT$7-1)*1</f>
        <v>-4116</v>
      </c>
      <c r="AU55" s="69" t="n">
        <f aca="false">-Inputs!$B$46*(1+Inputs!$B$47)^(AU$7-1)*1</f>
        <v>-4116</v>
      </c>
      <c r="AV55" s="69" t="n">
        <f aca="false">-Inputs!$B$46*(1+Inputs!$B$47)^(AV$7-1)*1</f>
        <v>-4116</v>
      </c>
      <c r="AW55" s="69" t="n">
        <f aca="false">-Inputs!$B$46*(1+Inputs!$B$47)^(AW$7-1)*1</f>
        <v>-4116</v>
      </c>
      <c r="AX55" s="69" t="n">
        <f aca="false">-Inputs!$B$46*(1+Inputs!$B$47)^(AX$7-1)*1</f>
        <v>-4116</v>
      </c>
      <c r="AY55" s="69" t="n">
        <f aca="false">-Inputs!$B$46*(1+Inputs!$B$47)^(AY$7-1)*1</f>
        <v>-2881.2</v>
      </c>
      <c r="AZ55" s="69" t="n">
        <f aca="false">-Inputs!$B$46*(1+Inputs!$B$47)^(AZ$7-1)*1</f>
        <v>-2881.2</v>
      </c>
      <c r="BA55" s="69" t="n">
        <f aca="false">-Inputs!$B$46*(1+Inputs!$B$47)^(BA$7-1)*1</f>
        <v>-2881.2</v>
      </c>
      <c r="BB55" s="69" t="n">
        <f aca="false">-Inputs!$B$46*(1+Inputs!$B$47)^(BB$7-1)*1</f>
        <v>-2881.2</v>
      </c>
      <c r="BC55" s="69" t="n">
        <f aca="false">-Inputs!$B$46*(1+Inputs!$B$47)^(BC$7-1)*1</f>
        <v>-2881.2</v>
      </c>
      <c r="BD55" s="69" t="n">
        <f aca="false">-Inputs!$B$46*(1+Inputs!$B$47)^(BD$7-1)*1</f>
        <v>-2881.2</v>
      </c>
      <c r="BE55" s="69" t="n">
        <f aca="false">-Inputs!$B$46*(1+Inputs!$B$47)^(BE$7-1)*1</f>
        <v>-2881.2</v>
      </c>
      <c r="BF55" s="69" t="n">
        <f aca="false">-Inputs!$B$46*(1+Inputs!$B$47)^(BF$7-1)*1</f>
        <v>-2881.2</v>
      </c>
      <c r="BG55" s="69" t="n">
        <f aca="false">-Inputs!$B$46*(1+Inputs!$B$47)^(BG$7-1)*1</f>
        <v>-2881.2</v>
      </c>
      <c r="BH55" s="69" t="n">
        <f aca="false">-Inputs!$B$46*(1+Inputs!$B$47)^(BH$7-1)*1</f>
        <v>-2881.2</v>
      </c>
      <c r="BI55" s="69" t="n">
        <f aca="false">-Inputs!$B$46*(1+Inputs!$B$47)^(BI$7-1)*1</f>
        <v>-2881.2</v>
      </c>
      <c r="BJ55" s="69" t="n">
        <f aca="false">-Inputs!$B$46*(1+Inputs!$B$47)^(BJ$7-1)*1</f>
        <v>-2881.2</v>
      </c>
    </row>
    <row r="56" customFormat="false" ht="15" hidden="false" customHeight="false" outlineLevel="0" collapsed="false">
      <c r="A56" s="113" t="s">
        <v>77</v>
      </c>
      <c r="C56" s="70" t="n">
        <f aca="false">C51+C52+C53+C54+C55</f>
        <v>-93586.6666666667</v>
      </c>
      <c r="D56" s="70" t="n">
        <f aca="false">D51+D52+D53+D54+D55</f>
        <v>-93586.6666666667</v>
      </c>
      <c r="E56" s="70" t="n">
        <f aca="false">E51+E52+E53+E54+E55</f>
        <v>-93586.6666666667</v>
      </c>
      <c r="F56" s="70" t="n">
        <f aca="false">F51+F52+F53+F54+F55</f>
        <v>-93586.6666666667</v>
      </c>
      <c r="G56" s="70" t="n">
        <f aca="false">G51+G52+G53+G54+G55</f>
        <v>-93586.6666666667</v>
      </c>
      <c r="H56" s="70" t="n">
        <f aca="false">H51+H52+H53+H54+H55</f>
        <v>-93586.6666666667</v>
      </c>
      <c r="I56" s="70" t="n">
        <f aca="false">I51+I52+I53+I54+I55</f>
        <v>-93586.6666666667</v>
      </c>
      <c r="J56" s="70" t="n">
        <f aca="false">J51+J52+J53+J54+J55</f>
        <v>-93586.6666666667</v>
      </c>
      <c r="K56" s="70" t="n">
        <f aca="false">K51+K52+K53+K54+K55</f>
        <v>-93586.6666666667</v>
      </c>
      <c r="L56" s="70" t="n">
        <f aca="false">L51+L52+L53+L54+L55</f>
        <v>-93586.6666666667</v>
      </c>
      <c r="M56" s="70" t="n">
        <f aca="false">M51+M52+M53+M54+M55</f>
        <v>-93586.6666666667</v>
      </c>
      <c r="N56" s="70" t="n">
        <f aca="false">N51+N52+N53+N54+N55</f>
        <v>-93586.6666666667</v>
      </c>
      <c r="O56" s="70" t="n">
        <f aca="false">O51+O52+O53+O54+O55</f>
        <v>-92584.2666666667</v>
      </c>
      <c r="P56" s="70" t="n">
        <f aca="false">P51+P52+P53+P54+P55</f>
        <v>-92584.2666666667</v>
      </c>
      <c r="Q56" s="70" t="n">
        <f aca="false">Q51+Q52+Q53+Q54+Q55</f>
        <v>-92584.2666666667</v>
      </c>
      <c r="R56" s="70" t="n">
        <f aca="false">R51+R52+R53+R54+R55</f>
        <v>-92584.2666666667</v>
      </c>
      <c r="S56" s="70" t="n">
        <f aca="false">S51+S52+S53+S54+S55</f>
        <v>-92584.2666666667</v>
      </c>
      <c r="T56" s="70" t="n">
        <f aca="false">T51+T52+T53+T54+T55</f>
        <v>-92584.2666666667</v>
      </c>
      <c r="U56" s="70" t="n">
        <f aca="false">U51+U52+U53+U54+U55</f>
        <v>-92584.2666666667</v>
      </c>
      <c r="V56" s="70" t="n">
        <f aca="false">V51+V52+V53+V54+V55</f>
        <v>-92584.2666666667</v>
      </c>
      <c r="W56" s="70" t="n">
        <f aca="false">W51+W52+W53+W54+W55</f>
        <v>-92584.2666666667</v>
      </c>
      <c r="X56" s="70" t="n">
        <f aca="false">X51+X52+X53+X54+X55</f>
        <v>-92584.2666666667</v>
      </c>
      <c r="Y56" s="70" t="n">
        <f aca="false">Y51+Y52+Y53+Y54+Y55</f>
        <v>-92584.2666666667</v>
      </c>
      <c r="Z56" s="70" t="n">
        <f aca="false">Z51+Z52+Z53+Z54+Z55</f>
        <v>-92584.2666666667</v>
      </c>
      <c r="AA56" s="70" t="n">
        <f aca="false">AA51+AA52+AA53+AA54+AA55</f>
        <v>-92745.7946666667</v>
      </c>
      <c r="AB56" s="70" t="n">
        <f aca="false">AB51+AB52+AB53+AB54+AB55</f>
        <v>-92745.7946666667</v>
      </c>
      <c r="AC56" s="70" t="n">
        <f aca="false">AC51+AC52+AC53+AC54+AC55</f>
        <v>-92745.7946666667</v>
      </c>
      <c r="AD56" s="70" t="n">
        <f aca="false">AD51+AD52+AD53+AD54+AD55</f>
        <v>-92745.7946666667</v>
      </c>
      <c r="AE56" s="70" t="n">
        <f aca="false">AE51+AE52+AE53+AE54+AE55</f>
        <v>-92745.7946666667</v>
      </c>
      <c r="AF56" s="70" t="n">
        <f aca="false">AF51+AF52+AF53+AF54+AF55</f>
        <v>-92745.7946666667</v>
      </c>
      <c r="AG56" s="70" t="n">
        <f aca="false">AG51+AG52+AG53+AG54+AG55</f>
        <v>-92745.7946666667</v>
      </c>
      <c r="AH56" s="70" t="n">
        <f aca="false">AH51+AH52+AH53+AH54+AH55</f>
        <v>-92745.7946666667</v>
      </c>
      <c r="AI56" s="70" t="n">
        <f aca="false">AI51+AI52+AI53+AI54+AI55</f>
        <v>-92745.7946666667</v>
      </c>
      <c r="AJ56" s="70" t="n">
        <f aca="false">AJ51+AJ52+AJ53+AJ54+AJ55</f>
        <v>-92745.7946666667</v>
      </c>
      <c r="AK56" s="70" t="n">
        <f aca="false">AK51+AK52+AK53+AK54+AK55</f>
        <v>-92745.7946666667</v>
      </c>
      <c r="AL56" s="70" t="n">
        <f aca="false">AL51+AL52+AL53+AL54+AL55</f>
        <v>-92745.7946666667</v>
      </c>
      <c r="AM56" s="70" t="n">
        <f aca="false">AM51+AM52+AM53+AM54+AM55</f>
        <v>-93750.0085066667</v>
      </c>
      <c r="AN56" s="70" t="n">
        <f aca="false">AN51+AN52+AN53+AN54+AN55</f>
        <v>-93750.0085066667</v>
      </c>
      <c r="AO56" s="70" t="n">
        <f aca="false">AO51+AO52+AO53+AO54+AO55</f>
        <v>-93750.0085066667</v>
      </c>
      <c r="AP56" s="70" t="n">
        <f aca="false">AP51+AP52+AP53+AP54+AP55</f>
        <v>-93750.0085066667</v>
      </c>
      <c r="AQ56" s="70" t="n">
        <f aca="false">AQ51+AQ52+AQ53+AQ54+AQ55</f>
        <v>-93750.0085066667</v>
      </c>
      <c r="AR56" s="70" t="n">
        <f aca="false">AR51+AR52+AR53+AR54+AR55</f>
        <v>-93750.0085066667</v>
      </c>
      <c r="AS56" s="70" t="n">
        <f aca="false">AS51+AS52+AS53+AS54+AS55</f>
        <v>-93750.0085066667</v>
      </c>
      <c r="AT56" s="70" t="n">
        <f aca="false">AT51+AT52+AT53+AT54+AT55</f>
        <v>-93750.0085066667</v>
      </c>
      <c r="AU56" s="70" t="n">
        <f aca="false">AU51+AU52+AU53+AU54+AU55</f>
        <v>-93750.0085066667</v>
      </c>
      <c r="AV56" s="70" t="n">
        <f aca="false">AV51+AV52+AV53+AV54+AV55</f>
        <v>-93750.0085066667</v>
      </c>
      <c r="AW56" s="70" t="n">
        <f aca="false">AW51+AW52+AW53+AW54+AW55</f>
        <v>-93750.0085066667</v>
      </c>
      <c r="AX56" s="70" t="n">
        <f aca="false">AX51+AX52+AX53+AX54+AX55</f>
        <v>-93750.0085066667</v>
      </c>
      <c r="AY56" s="70" t="n">
        <f aca="false">AY51+AY52+AY53+AY54+AY55</f>
        <v>-95372.9583618667</v>
      </c>
      <c r="AZ56" s="70" t="n">
        <f aca="false">AZ51+AZ52+AZ53+AZ54+AZ55</f>
        <v>-95372.9583618667</v>
      </c>
      <c r="BA56" s="70" t="n">
        <f aca="false">BA51+BA52+BA53+BA54+BA55</f>
        <v>-95372.9583618667</v>
      </c>
      <c r="BB56" s="70" t="n">
        <f aca="false">BB51+BB52+BB53+BB54+BB55</f>
        <v>-95372.9583618667</v>
      </c>
      <c r="BC56" s="70" t="n">
        <f aca="false">BC51+BC52+BC53+BC54+BC55</f>
        <v>-95372.9583618667</v>
      </c>
      <c r="BD56" s="70" t="n">
        <f aca="false">BD51+BD52+BD53+BD54+BD55</f>
        <v>-95372.9583618667</v>
      </c>
      <c r="BE56" s="70" t="n">
        <f aca="false">BE51+BE52+BE53+BE54+BE55</f>
        <v>-95372.9583618667</v>
      </c>
      <c r="BF56" s="70" t="n">
        <f aca="false">BF51+BF52+BF53+BF54+BF55</f>
        <v>-95372.9583618667</v>
      </c>
      <c r="BG56" s="70" t="n">
        <f aca="false">BG51+BG52+BG53+BG54+BG55</f>
        <v>-95372.9583618667</v>
      </c>
      <c r="BH56" s="70" t="n">
        <f aca="false">BH51+BH52+BH53+BH54+BH55</f>
        <v>-95372.9583618667</v>
      </c>
      <c r="BI56" s="70" t="n">
        <f aca="false">BI51+BI52+BI53+BI54+BI55</f>
        <v>-95372.9583618667</v>
      </c>
      <c r="BJ56" s="70" t="n">
        <f aca="false">BJ51+BJ52+BJ53+BJ54+BJ55</f>
        <v>-95372.9583618667</v>
      </c>
    </row>
    <row r="57" customFormat="false" ht="15" hidden="false" customHeight="false" outlineLevel="0" collapsed="false">
      <c r="A57" s="113" t="s">
        <v>48</v>
      </c>
      <c r="C57" s="70" t="n">
        <f aca="false">C48+C56</f>
        <v>-71831.5353226667</v>
      </c>
      <c r="D57" s="70" t="n">
        <f aca="false">D48+D56</f>
        <v>-68636.9626738667</v>
      </c>
      <c r="E57" s="70" t="n">
        <f aca="false">E48+E56</f>
        <v>-57943.1807178133</v>
      </c>
      <c r="F57" s="70" t="n">
        <f aca="false">F48+F56</f>
        <v>-53635.2221939227</v>
      </c>
      <c r="G57" s="70" t="n">
        <f aca="false">G48+G56</f>
        <v>-49261.4909402266</v>
      </c>
      <c r="H57" s="70" t="n">
        <f aca="false">H48+H56</f>
        <v>-44825.2755932152</v>
      </c>
      <c r="I57" s="70" t="n">
        <f aca="false">I48+I56</f>
        <v>-40329.7003575545</v>
      </c>
      <c r="J57" s="70" t="n">
        <f aca="false">J48+J56</f>
        <v>-35777.7332276767</v>
      </c>
      <c r="K57" s="70" t="n">
        <f aca="false">K48+K56</f>
        <v>-31172.1937982929</v>
      </c>
      <c r="L57" s="70" t="n">
        <f aca="false">L48+L56</f>
        <v>-26515.7606843783</v>
      </c>
      <c r="M57" s="70" t="n">
        <f aca="false">M48+M56</f>
        <v>-21810.9785701594</v>
      </c>
      <c r="N57" s="70" t="n">
        <f aca="false">N48+N56</f>
        <v>-32152.6421273895</v>
      </c>
      <c r="O57" s="70" t="n">
        <f aca="false">O48+O56</f>
        <v>-27106.3527608356</v>
      </c>
      <c r="P57" s="70" t="n">
        <f aca="false">P48+P56</f>
        <v>-26106.9367121271</v>
      </c>
      <c r="Q57" s="70" t="n">
        <f aca="false">Q48+Q56</f>
        <v>-9326.60283189826</v>
      </c>
      <c r="R57" s="70" t="n">
        <f aca="false">R48+R56</f>
        <v>-8281.25163003666</v>
      </c>
      <c r="S57" s="70" t="n">
        <f aca="false">S48+S56</f>
        <v>-7288.16798826816</v>
      </c>
      <c r="T57" s="70" t="n">
        <f aca="false">T48+T56</f>
        <v>-6344.73852858809</v>
      </c>
      <c r="U57" s="70" t="n">
        <f aca="false">U48+U56</f>
        <v>-5448.48054189203</v>
      </c>
      <c r="V57" s="70" t="n">
        <f aca="false">V48+V56</f>
        <v>-4597.03545453076</v>
      </c>
      <c r="W57" s="70" t="n">
        <f aca="false">W48+W56</f>
        <v>-3788.16262153754</v>
      </c>
      <c r="X57" s="70" t="n">
        <f aca="false">X48+X56</f>
        <v>-3019.73343019401</v>
      </c>
      <c r="Y57" s="70" t="n">
        <f aca="false">Y48+Y56</f>
        <v>-2289.72569841763</v>
      </c>
      <c r="Z57" s="70" t="n">
        <f aca="false">Z48+Z56</f>
        <v>-16785.4126136343</v>
      </c>
      <c r="AA57" s="70" t="n">
        <f aca="false">AA48+AA56</f>
        <v>-16143.2928185351</v>
      </c>
      <c r="AB57" s="70" t="n">
        <f aca="false">AB48+AB56</f>
        <v>-15682.6678928937</v>
      </c>
      <c r="AC57" s="70" t="n">
        <f aca="false">AC48+AC56</f>
        <v>-161.385477486867</v>
      </c>
      <c r="AD57" s="70" t="n">
        <f aca="false">AD48+AD56</f>
        <v>433.813208782129</v>
      </c>
      <c r="AE57" s="70" t="n">
        <f aca="false">AE48+AE56</f>
        <v>999.251960737704</v>
      </c>
      <c r="AF57" s="70" t="n">
        <f aca="false">AF48+AF56</f>
        <v>1536.41877509547</v>
      </c>
      <c r="AG57" s="70" t="n">
        <f aca="false">AG48+AG56</f>
        <v>2046.72724873536</v>
      </c>
      <c r="AH57" s="70" t="n">
        <f aca="false">AH48+AH56</f>
        <v>2531.52029869326</v>
      </c>
      <c r="AI57" s="70" t="n">
        <f aca="false">AI48+AI56</f>
        <v>2992.07369615325</v>
      </c>
      <c r="AJ57" s="70" t="n">
        <f aca="false">AJ48+AJ56</f>
        <v>3429.59942374026</v>
      </c>
      <c r="AK57" s="70" t="n">
        <f aca="false">AK48+AK56</f>
        <v>3845.24886494792</v>
      </c>
      <c r="AL57" s="70" t="n">
        <f aca="false">AL48+AL56</f>
        <v>-10463.6071715653</v>
      </c>
      <c r="AM57" s="70" t="n">
        <f aca="false">AM48+AM56</f>
        <v>-10968.721581552</v>
      </c>
      <c r="AN57" s="70" t="n">
        <f aca="false">AN48+AN56</f>
        <v>-10800.4350467069</v>
      </c>
      <c r="AO57" s="70" t="n">
        <f aca="false">AO48+AO56</f>
        <v>4000.47089300639</v>
      </c>
      <c r="AP57" s="70" t="n">
        <f aca="false">AP48+AP56</f>
        <v>4352.27676472769</v>
      </c>
      <c r="AQ57" s="70" t="n">
        <f aca="false">AQ48+AQ56</f>
        <v>4686.49234286294</v>
      </c>
      <c r="AR57" s="70" t="n">
        <f aca="false">AR48+AR56</f>
        <v>5003.99714209144</v>
      </c>
      <c r="AS57" s="70" t="n">
        <f aca="false">AS48+AS56</f>
        <v>5305.62670135849</v>
      </c>
      <c r="AT57" s="70" t="n">
        <f aca="false">AT48+AT56</f>
        <v>5592.17478266219</v>
      </c>
      <c r="AU57" s="70" t="n">
        <f aca="false">AU48+AU56</f>
        <v>5864.39545990071</v>
      </c>
      <c r="AV57" s="70" t="n">
        <f aca="false">AV48+AV56</f>
        <v>6123.00510327729</v>
      </c>
      <c r="AW57" s="70" t="n">
        <f aca="false">AW48+AW56</f>
        <v>6368.68426448506</v>
      </c>
      <c r="AX57" s="70" t="n">
        <f aca="false">AX48+AX56</f>
        <v>-7805.299360205</v>
      </c>
      <c r="AY57" s="70" t="n">
        <f aca="false">AY48+AY56</f>
        <v>-9104.33811640709</v>
      </c>
      <c r="AZ57" s="70" t="n">
        <f aca="false">AZ48+AZ56</f>
        <v>-9094.70364138106</v>
      </c>
      <c r="BA57" s="70" t="n">
        <f aca="false">BA48+BA56</f>
        <v>5280.36205925299</v>
      </c>
      <c r="BB57" s="70" t="n">
        <f aca="false">BB48+BB56</f>
        <v>5500.59234301948</v>
      </c>
      <c r="BC57" s="70" t="n">
        <f aca="false">BC48+BC56</f>
        <v>5709.81111259764</v>
      </c>
      <c r="BD57" s="70" t="n">
        <f aca="false">BD48+BD56</f>
        <v>5908.56894369691</v>
      </c>
      <c r="BE57" s="70" t="n">
        <f aca="false">BE48+BE56</f>
        <v>6097.38888324121</v>
      </c>
      <c r="BF57" s="70" t="n">
        <f aca="false">BF48+BF56</f>
        <v>6276.76782580827</v>
      </c>
      <c r="BG57" s="70" t="n">
        <f aca="false">BG48+BG56</f>
        <v>6447.17782124701</v>
      </c>
      <c r="BH57" s="70" t="n">
        <f aca="false">BH48+BH56</f>
        <v>6609.0673169138</v>
      </c>
      <c r="BI57" s="70" t="n">
        <f aca="false">BI48+BI56</f>
        <v>6762.86233779725</v>
      </c>
      <c r="BJ57" s="70" t="n">
        <f aca="false">BJ48+BJ56</f>
        <v>-7304.70843605754</v>
      </c>
    </row>
    <row r="59" customFormat="false" ht="15.75" hidden="false" customHeight="true" outlineLevel="0" collapsed="false">
      <c r="A59" s="7" t="s">
        <v>443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4" t="s">
        <v>79</v>
      </c>
      <c r="C60" s="75" t="n">
        <f aca="false">C57+C77</f>
        <v>-100303.757544889</v>
      </c>
      <c r="D60" s="75" t="n">
        <f aca="false">D57+D77</f>
        <v>-97109.1848960889</v>
      </c>
      <c r="E60" s="75" t="n">
        <f aca="false">E57+E77</f>
        <v>-86415.4029400356</v>
      </c>
      <c r="F60" s="75" t="n">
        <f aca="false">F57+F77</f>
        <v>-82107.4444161449</v>
      </c>
      <c r="G60" s="75" t="n">
        <f aca="false">G57+G77</f>
        <v>-77733.7131624488</v>
      </c>
      <c r="H60" s="75" t="n">
        <f aca="false">H57+H77</f>
        <v>-73297.4978154374</v>
      </c>
      <c r="I60" s="75" t="n">
        <f aca="false">I57+I77</f>
        <v>-68801.9225797767</v>
      </c>
      <c r="J60" s="75" t="n">
        <f aca="false">J57+J77</f>
        <v>-64249.955449899</v>
      </c>
      <c r="K60" s="75" t="n">
        <f aca="false">K57+K77</f>
        <v>-59644.4160205151</v>
      </c>
      <c r="L60" s="75" t="n">
        <f aca="false">L57+L77</f>
        <v>-54987.9829066005</v>
      </c>
      <c r="M60" s="75" t="n">
        <f aca="false">M57+M77</f>
        <v>-50283.2007923816</v>
      </c>
      <c r="N60" s="75" t="n">
        <f aca="false">N57+N77</f>
        <v>-60624.8643496117</v>
      </c>
      <c r="O60" s="75" t="n">
        <f aca="false">O57+O77</f>
        <v>-55856.3527608356</v>
      </c>
      <c r="P60" s="75" t="n">
        <f aca="false">P57+P77</f>
        <v>-54856.9367121271</v>
      </c>
      <c r="Q60" s="75" t="n">
        <f aca="false">Q57+Q77</f>
        <v>-38076.6028318983</v>
      </c>
      <c r="R60" s="75" t="n">
        <f aca="false">R57+R77</f>
        <v>-37031.2516300367</v>
      </c>
      <c r="S60" s="75" t="n">
        <f aca="false">S57+S77</f>
        <v>-36038.1679882682</v>
      </c>
      <c r="T60" s="75" t="n">
        <f aca="false">T57+T77</f>
        <v>-35094.7385285881</v>
      </c>
      <c r="U60" s="75" t="n">
        <f aca="false">U57+U77</f>
        <v>-34198.480541892</v>
      </c>
      <c r="V60" s="75" t="n">
        <f aca="false">V57+V77</f>
        <v>-33347.0354545308</v>
      </c>
      <c r="W60" s="75" t="n">
        <f aca="false">W57+W77</f>
        <v>-32538.1626215375</v>
      </c>
      <c r="X60" s="75" t="n">
        <f aca="false">X57+X77</f>
        <v>-31769.733430194</v>
      </c>
      <c r="Y60" s="75" t="n">
        <f aca="false">Y57+Y77</f>
        <v>-31039.7256984176</v>
      </c>
      <c r="Z60" s="75" t="n">
        <f aca="false">Z57+Z77</f>
        <v>-45535.4126136343</v>
      </c>
      <c r="AA60" s="75" t="n">
        <f aca="false">AA57+AA77</f>
        <v>-45171.0705963129</v>
      </c>
      <c r="AB60" s="75" t="n">
        <f aca="false">AB57+AB77</f>
        <v>-44710.4456706715</v>
      </c>
      <c r="AC60" s="75" t="n">
        <f aca="false">AC57+AC77</f>
        <v>-29189.1632552646</v>
      </c>
      <c r="AD60" s="75" t="n">
        <f aca="false">AD57+AD77</f>
        <v>-28593.9645689957</v>
      </c>
      <c r="AE60" s="75" t="n">
        <f aca="false">AE57+AE77</f>
        <v>-28028.5258170401</v>
      </c>
      <c r="AF60" s="75" t="n">
        <f aca="false">AF57+AF77</f>
        <v>-27491.3590026823</v>
      </c>
      <c r="AG60" s="75" t="n">
        <f aca="false">AG57+AG77</f>
        <v>-26981.0505290424</v>
      </c>
      <c r="AH60" s="75" t="n">
        <f aca="false">AH57+AH77</f>
        <v>-26496.2574790845</v>
      </c>
      <c r="AI60" s="75" t="n">
        <f aca="false">AI57+AI77</f>
        <v>-26035.7040816245</v>
      </c>
      <c r="AJ60" s="75" t="n">
        <f aca="false">AJ57+AJ77</f>
        <v>-25598.1783540375</v>
      </c>
      <c r="AK60" s="75" t="n">
        <f aca="false">AK57+AK77</f>
        <v>-25182.5289128299</v>
      </c>
      <c r="AL60" s="75" t="n">
        <f aca="false">AL57+AL77</f>
        <v>-39491.3849493431</v>
      </c>
      <c r="AM60" s="75" t="n">
        <f aca="false">AM57+AM77</f>
        <v>-40274.2771371075</v>
      </c>
      <c r="AN60" s="75" t="n">
        <f aca="false">AN57+AN77</f>
        <v>-40105.9906022624</v>
      </c>
      <c r="AO60" s="75" t="n">
        <f aca="false">AO57+AO77</f>
        <v>-25305.0846625492</v>
      </c>
      <c r="AP60" s="75" t="n">
        <f aca="false">AP57+AP77</f>
        <v>-24953.2787908279</v>
      </c>
      <c r="AQ60" s="75" t="n">
        <f aca="false">AQ57+AQ77</f>
        <v>-24619.0632126926</v>
      </c>
      <c r="AR60" s="75" t="n">
        <f aca="false">AR57+AR77</f>
        <v>-24301.5584134641</v>
      </c>
      <c r="AS60" s="75" t="n">
        <f aca="false">AS57+AS77</f>
        <v>-23999.9288541971</v>
      </c>
      <c r="AT60" s="75" t="n">
        <f aca="false">AT57+AT77</f>
        <v>-23713.3807728934</v>
      </c>
      <c r="AU60" s="75" t="n">
        <f aca="false">AU57+AU77</f>
        <v>-23441.1600956548</v>
      </c>
      <c r="AV60" s="75" t="n">
        <f aca="false">AV57+AV77</f>
        <v>-23182.5504522783</v>
      </c>
      <c r="AW60" s="75" t="n">
        <f aca="false">AW57+AW77</f>
        <v>-22936.8712910705</v>
      </c>
      <c r="AX60" s="75" t="n">
        <f aca="false">AX57+AX77</f>
        <v>-37110.8549157606</v>
      </c>
      <c r="AY60" s="75" t="n">
        <f aca="false">AY57+AY77</f>
        <v>-38687.6714497404</v>
      </c>
      <c r="AZ60" s="75" t="n">
        <f aca="false">AZ57+AZ77</f>
        <v>-38678.0369747144</v>
      </c>
      <c r="BA60" s="75" t="n">
        <f aca="false">BA57+BA77</f>
        <v>-24302.9712740803</v>
      </c>
      <c r="BB60" s="75" t="n">
        <f aca="false">BB57+BB77</f>
        <v>-24082.7409903139</v>
      </c>
      <c r="BC60" s="75" t="n">
        <f aca="false">BC57+BC77</f>
        <v>-23873.5222207357</v>
      </c>
      <c r="BD60" s="75" t="n">
        <f aca="false">BD57+BD77</f>
        <v>-23674.7643896364</v>
      </c>
      <c r="BE60" s="75" t="n">
        <f aca="false">BE57+BE77</f>
        <v>-23485.9444500921</v>
      </c>
      <c r="BF60" s="75" t="n">
        <f aca="false">BF57+BF77</f>
        <v>-23306.5655075251</v>
      </c>
      <c r="BG60" s="75" t="n">
        <f aca="false">BG57+BG77</f>
        <v>-23136.1555120863</v>
      </c>
      <c r="BH60" s="75" t="n">
        <f aca="false">BH57+BH77</f>
        <v>-22974.2660164195</v>
      </c>
      <c r="BI60" s="75" t="n">
        <f aca="false">BI57+BI77</f>
        <v>-22820.4709955361</v>
      </c>
      <c r="BJ60" s="75" t="n">
        <f aca="false">BJ57+BJ77</f>
        <v>-36888.0417693909</v>
      </c>
    </row>
    <row r="61" customFormat="false" ht="15" hidden="false" customHeight="false" outlineLevel="0" collapsed="false">
      <c r="A61" s="6" t="s">
        <v>444</v>
      </c>
      <c r="C61" s="69" t="n">
        <f aca="false">-(C82+C83+C85)/2*Inputs!$B$71/12</f>
        <v>-21250</v>
      </c>
      <c r="D61" s="69" t="n">
        <f aca="false">-(D82+D83+D85)/2*Inputs!$B$71/12</f>
        <v>-21161.4583333333</v>
      </c>
      <c r="E61" s="69" t="n">
        <f aca="false">-(E82+E83+E85)/2*Inputs!$B$71/12</f>
        <v>-20984.375</v>
      </c>
      <c r="F61" s="69" t="n">
        <f aca="false">-(F82+F83+F85)/2*Inputs!$B$71/12</f>
        <v>-20807.2916666667</v>
      </c>
      <c r="G61" s="69" t="n">
        <f aca="false">-(G82+G83+G85)/2*Inputs!$B$71/12</f>
        <v>-20630.2083333333</v>
      </c>
      <c r="H61" s="69" t="n">
        <f aca="false">-(H82+H83+H85)/2*Inputs!$B$71/12</f>
        <v>-20453.125</v>
      </c>
      <c r="I61" s="69" t="n">
        <f aca="false">-(I82+I83+I85)/2*Inputs!$B$71/12</f>
        <v>-20276.0416666667</v>
      </c>
      <c r="J61" s="69" t="n">
        <f aca="false">-(J82+J83+J85)/2*Inputs!$B$71/12</f>
        <v>-20098.9583333333</v>
      </c>
      <c r="K61" s="69" t="n">
        <f aca="false">-(K82+K83+K85)/2*Inputs!$B$71/12</f>
        <v>-19921.875</v>
      </c>
      <c r="L61" s="69" t="n">
        <f aca="false">-(L82+L83+L85)/2*Inputs!$B$71/12</f>
        <v>-19744.7916666667</v>
      </c>
      <c r="M61" s="69" t="n">
        <f aca="false">-(M82+M83+M85)/2*Inputs!$B$71/12</f>
        <v>-19567.7083333333</v>
      </c>
      <c r="N61" s="69" t="n">
        <f aca="false">-(N82+N83+N85)/2*Inputs!$B$71/12</f>
        <v>-19390.625</v>
      </c>
      <c r="O61" s="69" t="n">
        <f aca="false">-(O82+O83+O85)/2*Inputs!$B$71/12</f>
        <v>-19213.5416666667</v>
      </c>
      <c r="P61" s="69" t="n">
        <f aca="false">-(P82+P83+P85)/2*Inputs!$B$71/12</f>
        <v>-19036.4583333333</v>
      </c>
      <c r="Q61" s="69" t="n">
        <f aca="false">-(Q82+Q83+Q85)/2*Inputs!$B$71/12</f>
        <v>-18859.375</v>
      </c>
      <c r="R61" s="69" t="n">
        <f aca="false">-(R82+R83+R85)/2*Inputs!$B$71/12</f>
        <v>-18682.2916666667</v>
      </c>
      <c r="S61" s="69" t="n">
        <f aca="false">-(S82+S83+S85)/2*Inputs!$B$71/12</f>
        <v>-18505.2083333333</v>
      </c>
      <c r="T61" s="69" t="n">
        <f aca="false">-(T82+T83+T85)/2*Inputs!$B$71/12</f>
        <v>-18328.125</v>
      </c>
      <c r="U61" s="69" t="n">
        <f aca="false">-(U82+U83+U85)/2*Inputs!$B$71/12</f>
        <v>-18151.0416666667</v>
      </c>
      <c r="V61" s="69" t="n">
        <f aca="false">-(V82+V83+V85)/2*Inputs!$B$71/12</f>
        <v>-17973.9583333333</v>
      </c>
      <c r="W61" s="69" t="n">
        <f aca="false">-(W82+W83+W85)/2*Inputs!$B$71/12</f>
        <v>-17796.875</v>
      </c>
      <c r="X61" s="69" t="n">
        <f aca="false">-(X82+X83+X85)/2*Inputs!$B$71/12</f>
        <v>-17619.7916666667</v>
      </c>
      <c r="Y61" s="69" t="n">
        <f aca="false">-(Y82+Y83+Y85)/2*Inputs!$B$71/12</f>
        <v>-17442.7083333333</v>
      </c>
      <c r="Z61" s="69" t="n">
        <f aca="false">-(Z82+Z83+Z85)/2*Inputs!$B$71/12</f>
        <v>-17265.625</v>
      </c>
      <c r="AA61" s="69" t="n">
        <f aca="false">-(AA82+AA83+AA85)/2*Inputs!$B$71/12</f>
        <v>-17088.5416666667</v>
      </c>
      <c r="AB61" s="69" t="n">
        <f aca="false">-(AB82+AB83+AB85)/2*Inputs!$B$71/12</f>
        <v>-16911.4583333333</v>
      </c>
      <c r="AC61" s="69" t="n">
        <f aca="false">-(AC82+AC83+AC85)/2*Inputs!$B$71/12</f>
        <v>-16734.375</v>
      </c>
      <c r="AD61" s="69" t="n">
        <f aca="false">-(AD82+AD83+AD85)/2*Inputs!$B$71/12</f>
        <v>-16557.2916666667</v>
      </c>
      <c r="AE61" s="69" t="n">
        <f aca="false">-(AE82+AE83+AE85)/2*Inputs!$B$71/12</f>
        <v>-16380.2083333333</v>
      </c>
      <c r="AF61" s="69" t="n">
        <f aca="false">-(AF82+AF83+AF85)/2*Inputs!$B$71/12</f>
        <v>-16203.125</v>
      </c>
      <c r="AG61" s="69" t="n">
        <f aca="false">-(AG82+AG83+AG85)/2*Inputs!$B$71/12</f>
        <v>-16026.0416666667</v>
      </c>
      <c r="AH61" s="69" t="n">
        <f aca="false">-(AH82+AH83+AH85)/2*Inputs!$B$71/12</f>
        <v>-15848.9583333333</v>
      </c>
      <c r="AI61" s="69" t="n">
        <f aca="false">-(AI82+AI83+AI85)/2*Inputs!$B$71/12</f>
        <v>-15671.875</v>
      </c>
      <c r="AJ61" s="69" t="n">
        <f aca="false">-(AJ82+AJ83+AJ85)/2*Inputs!$B$71/12</f>
        <v>-15494.7916666667</v>
      </c>
      <c r="AK61" s="69" t="n">
        <f aca="false">-(AK82+AK83+AK85)/2*Inputs!$B$71/12</f>
        <v>-15317.7083333333</v>
      </c>
      <c r="AL61" s="69" t="n">
        <f aca="false">-(AL82+AL83+AL85)/2*Inputs!$B$71/12</f>
        <v>-15140.625</v>
      </c>
      <c r="AM61" s="69" t="n">
        <f aca="false">-(AM82+AM83+AM85)/2*Inputs!$B$71/12</f>
        <v>-14963.5416666667</v>
      </c>
      <c r="AN61" s="69" t="n">
        <f aca="false">-(AN82+AN83+AN85)/2*Inputs!$B$71/12</f>
        <v>-14786.4583333333</v>
      </c>
      <c r="AO61" s="69" t="n">
        <f aca="false">-(AO82+AO83+AO85)/2*Inputs!$B$71/12</f>
        <v>-14609.375</v>
      </c>
      <c r="AP61" s="69" t="n">
        <f aca="false">-(AP82+AP83+AP85)/2*Inputs!$B$71/12</f>
        <v>-14432.2916666667</v>
      </c>
      <c r="AQ61" s="69" t="n">
        <f aca="false">-(AQ82+AQ83+AQ85)/2*Inputs!$B$71/12</f>
        <v>-14255.2083333333</v>
      </c>
      <c r="AR61" s="69" t="n">
        <f aca="false">-(AR82+AR83+AR85)/2*Inputs!$B$71/12</f>
        <v>-14078.125</v>
      </c>
      <c r="AS61" s="69" t="n">
        <f aca="false">-(AS82+AS83+AS85)/2*Inputs!$B$71/12</f>
        <v>-13901.0416666667</v>
      </c>
      <c r="AT61" s="69" t="n">
        <f aca="false">-(AT82+AT83+AT85)/2*Inputs!$B$71/12</f>
        <v>-13723.9583333333</v>
      </c>
      <c r="AU61" s="69" t="n">
        <f aca="false">-(AU82+AU83+AU85)/2*Inputs!$B$71/12</f>
        <v>-13546.875</v>
      </c>
      <c r="AV61" s="69" t="n">
        <f aca="false">-(AV82+AV83+AV85)/2*Inputs!$B$71/12</f>
        <v>-13369.7916666667</v>
      </c>
      <c r="AW61" s="69" t="n">
        <f aca="false">-(AW82+AW83+AW85)/2*Inputs!$B$71/12</f>
        <v>-13192.7083333333</v>
      </c>
      <c r="AX61" s="69" t="n">
        <f aca="false">-(AX82+AX83+AX85)/2*Inputs!$B$71/12</f>
        <v>-13015.625</v>
      </c>
      <c r="AY61" s="69" t="n">
        <f aca="false">-(AY82+AY83+AY85)/2*Inputs!$B$71/12</f>
        <v>-12838.5416666667</v>
      </c>
      <c r="AZ61" s="69" t="n">
        <f aca="false">-(AZ82+AZ83+AZ85)/2*Inputs!$B$71/12</f>
        <v>-12661.4583333333</v>
      </c>
      <c r="BA61" s="69" t="n">
        <f aca="false">-(BA82+BA83+BA85)/2*Inputs!$B$71/12</f>
        <v>-12484.375</v>
      </c>
      <c r="BB61" s="69" t="n">
        <f aca="false">-(BB82+BB83+BB85)/2*Inputs!$B$71/12</f>
        <v>-12307.2916666667</v>
      </c>
      <c r="BC61" s="69" t="n">
        <f aca="false">-(BC82+BC83+BC85)/2*Inputs!$B$71/12</f>
        <v>-12130.2083333333</v>
      </c>
      <c r="BD61" s="69" t="n">
        <f aca="false">-(BD82+BD83+BD85)/2*Inputs!$B$71/12</f>
        <v>-11953.125</v>
      </c>
      <c r="BE61" s="69" t="n">
        <f aca="false">-(BE82+BE83+BE85)/2*Inputs!$B$71/12</f>
        <v>-11776.0416666667</v>
      </c>
      <c r="BF61" s="69" t="n">
        <f aca="false">-(BF82+BF83+BF85)/2*Inputs!$B$71/12</f>
        <v>-11598.9583333333</v>
      </c>
      <c r="BG61" s="69" t="n">
        <f aca="false">-(BG82+BG83+BG85)/2*Inputs!$B$71/12</f>
        <v>-11421.875</v>
      </c>
      <c r="BH61" s="69" t="n">
        <f aca="false">-(BH82+BH83+BH85)/2*Inputs!$B$71/12</f>
        <v>-11244.7916666667</v>
      </c>
      <c r="BI61" s="69" t="n">
        <f aca="false">-(BI82+BI83+BI85)/2*Inputs!$B$71/12</f>
        <v>-11067.7083333333</v>
      </c>
      <c r="BJ61" s="69" t="n">
        <f aca="false">-(BJ82+BJ83+BJ85)/2*Inputs!$B$71/12</f>
        <v>-10890.625</v>
      </c>
    </row>
    <row r="62" customFormat="false" ht="15" hidden="false" customHeight="false" outlineLevel="0" collapsed="false">
      <c r="A62" s="113" t="s">
        <v>81</v>
      </c>
      <c r="C62" s="70" t="n">
        <f aca="false">C60+C61</f>
        <v>-121553.757544889</v>
      </c>
      <c r="D62" s="70" t="n">
        <f aca="false">D60+D61</f>
        <v>-118270.643229422</v>
      </c>
      <c r="E62" s="70" t="n">
        <f aca="false">E60+E61</f>
        <v>-107399.777940036</v>
      </c>
      <c r="F62" s="70" t="n">
        <f aca="false">F60+F61</f>
        <v>-102914.736082812</v>
      </c>
      <c r="G62" s="70" t="n">
        <f aca="false">G60+G61</f>
        <v>-98363.9214957821</v>
      </c>
      <c r="H62" s="70" t="n">
        <f aca="false">H60+H61</f>
        <v>-93750.6228154374</v>
      </c>
      <c r="I62" s="70" t="n">
        <f aca="false">I60+I61</f>
        <v>-89077.9642464434</v>
      </c>
      <c r="J62" s="70" t="n">
        <f aca="false">J60+J61</f>
        <v>-84348.9137832323</v>
      </c>
      <c r="K62" s="70" t="n">
        <f aca="false">K60+K61</f>
        <v>-79566.2910205151</v>
      </c>
      <c r="L62" s="70" t="n">
        <f aca="false">L60+L61</f>
        <v>-74732.7745732672</v>
      </c>
      <c r="M62" s="70" t="n">
        <f aca="false">M60+M61</f>
        <v>-69850.9091257149</v>
      </c>
      <c r="N62" s="70" t="n">
        <f aca="false">N60+N61</f>
        <v>-80015.4893496117</v>
      </c>
      <c r="O62" s="70" t="n">
        <f aca="false">O60+O61</f>
        <v>-75069.8944275023</v>
      </c>
      <c r="P62" s="70" t="n">
        <f aca="false">P60+P61</f>
        <v>-73893.3950454605</v>
      </c>
      <c r="Q62" s="70" t="n">
        <f aca="false">Q60+Q61</f>
        <v>-56935.9778318983</v>
      </c>
      <c r="R62" s="70" t="n">
        <f aca="false">R60+R61</f>
        <v>-55713.5432967033</v>
      </c>
      <c r="S62" s="70" t="n">
        <f aca="false">S60+S61</f>
        <v>-54543.3763216015</v>
      </c>
      <c r="T62" s="70" t="n">
        <f aca="false">T60+T61</f>
        <v>-53422.8635285881</v>
      </c>
      <c r="U62" s="70" t="n">
        <f aca="false">U60+U61</f>
        <v>-52349.5222085587</v>
      </c>
      <c r="V62" s="70" t="n">
        <f aca="false">V60+V61</f>
        <v>-51320.9937878641</v>
      </c>
      <c r="W62" s="70" t="n">
        <f aca="false">W60+W61</f>
        <v>-50335.0376215375</v>
      </c>
      <c r="X62" s="70" t="n">
        <f aca="false">X60+X61</f>
        <v>-49389.5250968607</v>
      </c>
      <c r="Y62" s="70" t="n">
        <f aca="false">Y60+Y61</f>
        <v>-48482.434031751</v>
      </c>
      <c r="Z62" s="70" t="n">
        <f aca="false">Z60+Z61</f>
        <v>-62801.0376136343</v>
      </c>
      <c r="AA62" s="70" t="n">
        <f aca="false">AA60+AA61</f>
        <v>-62259.6122629796</v>
      </c>
      <c r="AB62" s="70" t="n">
        <f aca="false">AB60+AB61</f>
        <v>-61621.9040040048</v>
      </c>
      <c r="AC62" s="70" t="n">
        <f aca="false">AC60+AC61</f>
        <v>-45923.5382552647</v>
      </c>
      <c r="AD62" s="70" t="n">
        <f aca="false">AD60+AD61</f>
        <v>-45151.2562356623</v>
      </c>
      <c r="AE62" s="70" t="n">
        <f aca="false">AE60+AE61</f>
        <v>-44408.7341503734</v>
      </c>
      <c r="AF62" s="70" t="n">
        <f aca="false">AF60+AF61</f>
        <v>-43694.4840026823</v>
      </c>
      <c r="AG62" s="70" t="n">
        <f aca="false">AG60+AG61</f>
        <v>-43007.0921957091</v>
      </c>
      <c r="AH62" s="70" t="n">
        <f aca="false">AH60+AH61</f>
        <v>-42345.2158124179</v>
      </c>
      <c r="AI62" s="70" t="n">
        <f aca="false">AI60+AI61</f>
        <v>-41707.5790816245</v>
      </c>
      <c r="AJ62" s="70" t="n">
        <f aca="false">AJ60+AJ61</f>
        <v>-41092.9700207042</v>
      </c>
      <c r="AK62" s="70" t="n">
        <f aca="false">AK60+AK61</f>
        <v>-40500.2372461632</v>
      </c>
      <c r="AL62" s="70" t="n">
        <f aca="false">AL60+AL61</f>
        <v>-54632.0099493431</v>
      </c>
      <c r="AM62" s="70" t="n">
        <f aca="false">AM60+AM61</f>
        <v>-55237.8188037742</v>
      </c>
      <c r="AN62" s="70" t="n">
        <f aca="false">AN60+AN61</f>
        <v>-54892.4489355958</v>
      </c>
      <c r="AO62" s="70" t="n">
        <f aca="false">AO60+AO61</f>
        <v>-39914.4596625492</v>
      </c>
      <c r="AP62" s="70" t="n">
        <f aca="false">AP60+AP61</f>
        <v>-39385.5704574945</v>
      </c>
      <c r="AQ62" s="70" t="n">
        <f aca="false">AQ60+AQ61</f>
        <v>-38874.271546026</v>
      </c>
      <c r="AR62" s="70" t="n">
        <f aca="false">AR60+AR61</f>
        <v>-38379.6834134641</v>
      </c>
      <c r="AS62" s="70" t="n">
        <f aca="false">AS60+AS61</f>
        <v>-37900.9705208637</v>
      </c>
      <c r="AT62" s="70" t="n">
        <f aca="false">AT60+AT61</f>
        <v>-37437.3391062267</v>
      </c>
      <c r="AU62" s="70" t="n">
        <f aca="false">AU60+AU61</f>
        <v>-36988.0350956548</v>
      </c>
      <c r="AV62" s="70" t="n">
        <f aca="false">AV60+AV61</f>
        <v>-36552.3421189449</v>
      </c>
      <c r="AW62" s="70" t="n">
        <f aca="false">AW60+AW61</f>
        <v>-36129.5796244038</v>
      </c>
      <c r="AX62" s="70" t="n">
        <f aca="false">AX60+AX61</f>
        <v>-50126.4799157606</v>
      </c>
      <c r="AY62" s="70" t="n">
        <f aca="false">AY60+AY61</f>
        <v>-51526.2131164071</v>
      </c>
      <c r="AZ62" s="70" t="n">
        <f aca="false">AZ60+AZ61</f>
        <v>-51339.4953080477</v>
      </c>
      <c r="BA62" s="70" t="n">
        <f aca="false">BA60+BA61</f>
        <v>-36787.3462740803</v>
      </c>
      <c r="BB62" s="70" t="n">
        <f aca="false">BB60+BB61</f>
        <v>-36390.0326569805</v>
      </c>
      <c r="BC62" s="70" t="n">
        <f aca="false">BC60+BC61</f>
        <v>-36003.730554069</v>
      </c>
      <c r="BD62" s="70" t="n">
        <f aca="false">BD60+BD61</f>
        <v>-35627.8893896364</v>
      </c>
      <c r="BE62" s="70" t="n">
        <f aca="false">BE60+BE61</f>
        <v>-35261.9861167588</v>
      </c>
      <c r="BF62" s="70" t="n">
        <f aca="false">BF60+BF61</f>
        <v>-34905.5238408584</v>
      </c>
      <c r="BG62" s="70" t="n">
        <f aca="false">BG60+BG61</f>
        <v>-34558.0305120863</v>
      </c>
      <c r="BH62" s="70" t="n">
        <f aca="false">BH60+BH61</f>
        <v>-34219.0576830862</v>
      </c>
      <c r="BI62" s="70" t="n">
        <f aca="false">BI60+BI61</f>
        <v>-33888.1793288694</v>
      </c>
      <c r="BJ62" s="70" t="n">
        <f aca="false">BJ60+BJ61</f>
        <v>-47778.6667693909</v>
      </c>
    </row>
    <row r="63" customFormat="false" ht="15" hidden="false" customHeight="false" outlineLevel="0" collapsed="false">
      <c r="A63" s="116" t="s">
        <v>445</v>
      </c>
      <c r="C63" s="69" t="n">
        <f aca="false">C62</f>
        <v>-121553.757544889</v>
      </c>
      <c r="D63" s="69" t="n">
        <f aca="false">C63+D62</f>
        <v>-239824.400774311</v>
      </c>
      <c r="E63" s="69" t="n">
        <f aca="false">D63+E62</f>
        <v>-347224.178714347</v>
      </c>
      <c r="F63" s="69" t="n">
        <f aca="false">E63+F62</f>
        <v>-450138.914797158</v>
      </c>
      <c r="G63" s="69" t="n">
        <f aca="false">F63+G62</f>
        <v>-548502.83629294</v>
      </c>
      <c r="H63" s="69" t="n">
        <f aca="false">G63+H62</f>
        <v>-642253.459108378</v>
      </c>
      <c r="I63" s="69" t="n">
        <f aca="false">H63+I62</f>
        <v>-731331.423354821</v>
      </c>
      <c r="J63" s="69" t="n">
        <f aca="false">I63+J62</f>
        <v>-815680.337138053</v>
      </c>
      <c r="K63" s="69" t="n">
        <f aca="false">J63+K62</f>
        <v>-895246.628158569</v>
      </c>
      <c r="L63" s="69" t="n">
        <f aca="false">K63+L62</f>
        <v>-969979.402731836</v>
      </c>
      <c r="M63" s="69" t="n">
        <f aca="false">L63+M62</f>
        <v>-1039830.31185755</v>
      </c>
      <c r="N63" s="69" t="n">
        <f aca="false">M63+N62</f>
        <v>-1119845.80120716</v>
      </c>
      <c r="O63" s="69" t="n">
        <f aca="false">N63+O62</f>
        <v>-1194915.69563466</v>
      </c>
      <c r="P63" s="69" t="n">
        <f aca="false">O63+P62</f>
        <v>-1268809.09068013</v>
      </c>
      <c r="Q63" s="69" t="n">
        <f aca="false">P63+Q62</f>
        <v>-1325745.06851202</v>
      </c>
      <c r="R63" s="69" t="n">
        <f aca="false">Q63+R62</f>
        <v>-1381458.61180873</v>
      </c>
      <c r="S63" s="69" t="n">
        <f aca="false">R63+S62</f>
        <v>-1436001.98813033</v>
      </c>
      <c r="T63" s="69" t="n">
        <f aca="false">S63+T62</f>
        <v>-1489424.85165892</v>
      </c>
      <c r="U63" s="69" t="n">
        <f aca="false">T63+U62</f>
        <v>-1541774.37386748</v>
      </c>
      <c r="V63" s="69" t="n">
        <f aca="false">U63+V62</f>
        <v>-1593095.36765534</v>
      </c>
      <c r="W63" s="69" t="n">
        <f aca="false">V63+W62</f>
        <v>-1643430.40527688</v>
      </c>
      <c r="X63" s="69" t="n">
        <f aca="false">W63+X62</f>
        <v>-1692819.93037374</v>
      </c>
      <c r="Y63" s="69" t="n">
        <f aca="false">X63+Y62</f>
        <v>-1741302.36440549</v>
      </c>
      <c r="Z63" s="69" t="n">
        <f aca="false">Y63+Z62</f>
        <v>-1804103.40201912</v>
      </c>
      <c r="AA63" s="69" t="n">
        <f aca="false">Z63+AA62</f>
        <v>-1866363.0142821</v>
      </c>
      <c r="AB63" s="69" t="n">
        <f aca="false">AA63+AB62</f>
        <v>-1927984.91828611</v>
      </c>
      <c r="AC63" s="69" t="n">
        <f aca="false">AB63+AC62</f>
        <v>-1973908.45654137</v>
      </c>
      <c r="AD63" s="69" t="n">
        <f aca="false">AC63+AD62</f>
        <v>-2019059.71277703</v>
      </c>
      <c r="AE63" s="69" t="n">
        <f aca="false">AD63+AE62</f>
        <v>-2063468.44692741</v>
      </c>
      <c r="AF63" s="69" t="n">
        <f aca="false">AE63+AF62</f>
        <v>-2107162.93093009</v>
      </c>
      <c r="AG63" s="69" t="n">
        <f aca="false">AF63+AG62</f>
        <v>-2150170.0231258</v>
      </c>
      <c r="AH63" s="69" t="n">
        <f aca="false">AG63+AH62</f>
        <v>-2192515.23893822</v>
      </c>
      <c r="AI63" s="69" t="n">
        <f aca="false">AH63+AI62</f>
        <v>-2234222.81801984</v>
      </c>
      <c r="AJ63" s="69" t="n">
        <f aca="false">AI63+AJ62</f>
        <v>-2275315.78804055</v>
      </c>
      <c r="AK63" s="69" t="n">
        <f aca="false">AJ63+AK62</f>
        <v>-2315816.02528671</v>
      </c>
      <c r="AL63" s="69" t="n">
        <f aca="false">AK63+AL62</f>
        <v>-2370448.03523605</v>
      </c>
      <c r="AM63" s="69" t="n">
        <f aca="false">AL63+AM62</f>
        <v>-2425685.85403983</v>
      </c>
      <c r="AN63" s="69" t="n">
        <f aca="false">AM63+AN62</f>
        <v>-2480578.30297542</v>
      </c>
      <c r="AO63" s="69" t="n">
        <f aca="false">AN63+AO62</f>
        <v>-2520492.76263797</v>
      </c>
      <c r="AP63" s="69" t="n">
        <f aca="false">AO63+AP62</f>
        <v>-2559878.33309547</v>
      </c>
      <c r="AQ63" s="69" t="n">
        <f aca="false">AP63+AQ62</f>
        <v>-2598752.60464149</v>
      </c>
      <c r="AR63" s="69" t="n">
        <f aca="false">AQ63+AR62</f>
        <v>-2637132.28805496</v>
      </c>
      <c r="AS63" s="69" t="n">
        <f aca="false">AR63+AS62</f>
        <v>-2675033.25857582</v>
      </c>
      <c r="AT63" s="69" t="n">
        <f aca="false">AS63+AT62</f>
        <v>-2712470.59768205</v>
      </c>
      <c r="AU63" s="69" t="n">
        <f aca="false">AT63+AU62</f>
        <v>-2749458.6327777</v>
      </c>
      <c r="AV63" s="69" t="n">
        <f aca="false">AU63+AV62</f>
        <v>-2786010.97489665</v>
      </c>
      <c r="AW63" s="69" t="n">
        <f aca="false">AV63+AW62</f>
        <v>-2822140.55452105</v>
      </c>
      <c r="AX63" s="69" t="n">
        <f aca="false">AW63+AX62</f>
        <v>-2872267.03443681</v>
      </c>
      <c r="AY63" s="69" t="n">
        <f aca="false">AX63+AY62</f>
        <v>-2923793.24755322</v>
      </c>
      <c r="AZ63" s="69" t="n">
        <f aca="false">AY63+AZ62</f>
        <v>-2975132.74286126</v>
      </c>
      <c r="BA63" s="69" t="n">
        <f aca="false">AZ63+BA62</f>
        <v>-3011920.08913534</v>
      </c>
      <c r="BB63" s="69" t="n">
        <f aca="false">BA63+BB62</f>
        <v>-3048310.12179233</v>
      </c>
      <c r="BC63" s="69" t="n">
        <f aca="false">BB63+BC62</f>
        <v>-3084313.85234639</v>
      </c>
      <c r="BD63" s="69" t="n">
        <f aca="false">BC63+BD62</f>
        <v>-3119941.74173603</v>
      </c>
      <c r="BE63" s="69" t="n">
        <f aca="false">BD63+BE62</f>
        <v>-3155203.72785279</v>
      </c>
      <c r="BF63" s="69" t="n">
        <f aca="false">BE63+BF62</f>
        <v>-3190109.25169365</v>
      </c>
      <c r="BG63" s="69" t="n">
        <f aca="false">BF63+BG62</f>
        <v>-3224667.28220573</v>
      </c>
      <c r="BH63" s="69" t="n">
        <f aca="false">BG63+BH62</f>
        <v>-3258886.33988882</v>
      </c>
      <c r="BI63" s="69" t="n">
        <f aca="false">BH63+BI62</f>
        <v>-3292774.51921769</v>
      </c>
      <c r="BJ63" s="69" t="n">
        <f aca="false">BI63+BJ62</f>
        <v>-3340553.18598708</v>
      </c>
    </row>
    <row r="64" customFormat="false" ht="15" hidden="false" customHeight="false" outlineLevel="0" collapsed="false">
      <c r="A64" s="116" t="s">
        <v>446</v>
      </c>
      <c r="C64" s="69" t="n">
        <f aca="false">MAX(0,C63)</f>
        <v>0</v>
      </c>
      <c r="D64" s="69" t="n">
        <f aca="false">MAX(C64,D63)</f>
        <v>0</v>
      </c>
      <c r="E64" s="69" t="n">
        <f aca="false">MAX(D64,E63)</f>
        <v>0</v>
      </c>
      <c r="F64" s="69" t="n">
        <f aca="false">MAX(E64,F63)</f>
        <v>0</v>
      </c>
      <c r="G64" s="69" t="n">
        <f aca="false">MAX(F64,G63)</f>
        <v>0</v>
      </c>
      <c r="H64" s="69" t="n">
        <f aca="false">MAX(G64,H63)</f>
        <v>0</v>
      </c>
      <c r="I64" s="69" t="n">
        <f aca="false">MAX(H64,I63)</f>
        <v>0</v>
      </c>
      <c r="J64" s="69" t="n">
        <f aca="false">MAX(I64,J63)</f>
        <v>0</v>
      </c>
      <c r="K64" s="69" t="n">
        <f aca="false">MAX(J64,K63)</f>
        <v>0</v>
      </c>
      <c r="L64" s="69" t="n">
        <f aca="false">MAX(K64,L63)</f>
        <v>0</v>
      </c>
      <c r="M64" s="69" t="n">
        <f aca="false">MAX(L64,M63)</f>
        <v>0</v>
      </c>
      <c r="N64" s="69" t="n">
        <f aca="false">MAX(M64,N63)</f>
        <v>0</v>
      </c>
      <c r="O64" s="69" t="n">
        <f aca="false">MAX(N64,O63)</f>
        <v>0</v>
      </c>
      <c r="P64" s="69" t="n">
        <f aca="false">MAX(O64,P63)</f>
        <v>0</v>
      </c>
      <c r="Q64" s="69" t="n">
        <f aca="false">MAX(P64,Q63)</f>
        <v>0</v>
      </c>
      <c r="R64" s="69" t="n">
        <f aca="false">MAX(Q64,R63)</f>
        <v>0</v>
      </c>
      <c r="S64" s="69" t="n">
        <f aca="false">MAX(R64,S63)</f>
        <v>0</v>
      </c>
      <c r="T64" s="69" t="n">
        <f aca="false">MAX(S64,T63)</f>
        <v>0</v>
      </c>
      <c r="U64" s="69" t="n">
        <f aca="false">MAX(T64,U63)</f>
        <v>0</v>
      </c>
      <c r="V64" s="69" t="n">
        <f aca="false">MAX(U64,V63)</f>
        <v>0</v>
      </c>
      <c r="W64" s="69" t="n">
        <f aca="false">MAX(V64,W63)</f>
        <v>0</v>
      </c>
      <c r="X64" s="69" t="n">
        <f aca="false">MAX(W64,X63)</f>
        <v>0</v>
      </c>
      <c r="Y64" s="69" t="n">
        <f aca="false">MAX(X64,Y63)</f>
        <v>0</v>
      </c>
      <c r="Z64" s="69" t="n">
        <f aca="false">MAX(Y64,Z63)</f>
        <v>0</v>
      </c>
      <c r="AA64" s="69" t="n">
        <f aca="false">MAX(Z64,AA63)</f>
        <v>0</v>
      </c>
      <c r="AB64" s="69" t="n">
        <f aca="false">MAX(AA64,AB63)</f>
        <v>0</v>
      </c>
      <c r="AC64" s="69" t="n">
        <f aca="false">MAX(AB64,AC63)</f>
        <v>0</v>
      </c>
      <c r="AD64" s="69" t="n">
        <f aca="false">MAX(AC64,AD63)</f>
        <v>0</v>
      </c>
      <c r="AE64" s="69" t="n">
        <f aca="false">MAX(AD64,AE63)</f>
        <v>0</v>
      </c>
      <c r="AF64" s="69" t="n">
        <f aca="false">MAX(AE64,AF63)</f>
        <v>0</v>
      </c>
      <c r="AG64" s="69" t="n">
        <f aca="false">MAX(AF64,AG63)</f>
        <v>0</v>
      </c>
      <c r="AH64" s="69" t="n">
        <f aca="false">MAX(AG64,AH63)</f>
        <v>0</v>
      </c>
      <c r="AI64" s="69" t="n">
        <f aca="false">MAX(AH64,AI63)</f>
        <v>0</v>
      </c>
      <c r="AJ64" s="69" t="n">
        <f aca="false">MAX(AI64,AJ63)</f>
        <v>0</v>
      </c>
      <c r="AK64" s="69" t="n">
        <f aca="false">MAX(AJ64,AK63)</f>
        <v>0</v>
      </c>
      <c r="AL64" s="69" t="n">
        <f aca="false">MAX(AK64,AL63)</f>
        <v>0</v>
      </c>
      <c r="AM64" s="69" t="n">
        <f aca="false">MAX(AL64,AM63)</f>
        <v>0</v>
      </c>
      <c r="AN64" s="69" t="n">
        <f aca="false">MAX(AM64,AN63)</f>
        <v>0</v>
      </c>
      <c r="AO64" s="69" t="n">
        <f aca="false">MAX(AN64,AO63)</f>
        <v>0</v>
      </c>
      <c r="AP64" s="69" t="n">
        <f aca="false">MAX(AO64,AP63)</f>
        <v>0</v>
      </c>
      <c r="AQ64" s="69" t="n">
        <f aca="false">MAX(AP64,AQ63)</f>
        <v>0</v>
      </c>
      <c r="AR64" s="69" t="n">
        <f aca="false">MAX(AQ64,AR63)</f>
        <v>0</v>
      </c>
      <c r="AS64" s="69" t="n">
        <f aca="false">MAX(AR64,AS63)</f>
        <v>0</v>
      </c>
      <c r="AT64" s="69" t="n">
        <f aca="false">MAX(AS64,AT63)</f>
        <v>0</v>
      </c>
      <c r="AU64" s="69" t="n">
        <f aca="false">MAX(AT64,AU63)</f>
        <v>0</v>
      </c>
      <c r="AV64" s="69" t="n">
        <f aca="false">MAX(AU64,AV63)</f>
        <v>0</v>
      </c>
      <c r="AW64" s="69" t="n">
        <f aca="false">MAX(AV64,AW63)</f>
        <v>0</v>
      </c>
      <c r="AX64" s="69" t="n">
        <f aca="false">MAX(AW64,AX63)</f>
        <v>0</v>
      </c>
      <c r="AY64" s="69" t="n">
        <f aca="false">MAX(AX64,AY63)</f>
        <v>0</v>
      </c>
      <c r="AZ64" s="69" t="n">
        <f aca="false">MAX(AY64,AZ63)</f>
        <v>0</v>
      </c>
      <c r="BA64" s="69" t="n">
        <f aca="false">MAX(AZ64,BA63)</f>
        <v>0</v>
      </c>
      <c r="BB64" s="69" t="n">
        <f aca="false">MAX(BA64,BB63)</f>
        <v>0</v>
      </c>
      <c r="BC64" s="69" t="n">
        <f aca="false">MAX(BB64,BC63)</f>
        <v>0</v>
      </c>
      <c r="BD64" s="69" t="n">
        <f aca="false">MAX(BC64,BD63)</f>
        <v>0</v>
      </c>
      <c r="BE64" s="69" t="n">
        <f aca="false">MAX(BD64,BE63)</f>
        <v>0</v>
      </c>
      <c r="BF64" s="69" t="n">
        <f aca="false">MAX(BE64,BF63)</f>
        <v>0</v>
      </c>
      <c r="BG64" s="69" t="n">
        <f aca="false">MAX(BF64,BG63)</f>
        <v>0</v>
      </c>
      <c r="BH64" s="69" t="n">
        <f aca="false">MAX(BG64,BH63)</f>
        <v>0</v>
      </c>
      <c r="BI64" s="69" t="n">
        <f aca="false">MAX(BH64,BI63)</f>
        <v>0</v>
      </c>
      <c r="BJ64" s="69" t="n">
        <f aca="false">MAX(BI64,BJ63)</f>
        <v>0</v>
      </c>
    </row>
    <row r="65" customFormat="false" ht="15" hidden="false" customHeight="false" outlineLevel="0" collapsed="false">
      <c r="A65" s="6" t="s">
        <v>82</v>
      </c>
      <c r="C65" s="69" t="n">
        <f aca="false">-C64*Inputs!$B$81</f>
        <v>-0</v>
      </c>
      <c r="D65" s="69" t="n">
        <f aca="false">-(D64-C64)*Inputs!$B$81</f>
        <v>-0</v>
      </c>
      <c r="E65" s="69" t="n">
        <f aca="false">-(E64-D64)*Inputs!$B$81</f>
        <v>-0</v>
      </c>
      <c r="F65" s="69" t="n">
        <f aca="false">-(F64-E64)*Inputs!$B$81</f>
        <v>-0</v>
      </c>
      <c r="G65" s="69" t="n">
        <f aca="false">-(G64-F64)*Inputs!$B$81</f>
        <v>-0</v>
      </c>
      <c r="H65" s="69" t="n">
        <f aca="false">-(H64-G64)*Inputs!$B$81</f>
        <v>-0</v>
      </c>
      <c r="I65" s="69" t="n">
        <f aca="false">-(I64-H64)*Inputs!$B$81</f>
        <v>-0</v>
      </c>
      <c r="J65" s="69" t="n">
        <f aca="false">-(J64-I64)*Inputs!$B$81</f>
        <v>-0</v>
      </c>
      <c r="K65" s="69" t="n">
        <f aca="false">-(K64-J64)*Inputs!$B$81</f>
        <v>-0</v>
      </c>
      <c r="L65" s="69" t="n">
        <f aca="false">-(L64-K64)*Inputs!$B$81</f>
        <v>-0</v>
      </c>
      <c r="M65" s="69" t="n">
        <f aca="false">-(M64-L64)*Inputs!$B$81</f>
        <v>-0</v>
      </c>
      <c r="N65" s="69" t="n">
        <f aca="false">-(N64-M64)*Inputs!$B$81</f>
        <v>-0</v>
      </c>
      <c r="O65" s="69" t="n">
        <f aca="false">-(O64-N64)*Inputs!$B$81</f>
        <v>-0</v>
      </c>
      <c r="P65" s="69" t="n">
        <f aca="false">-(P64-O64)*Inputs!$B$81</f>
        <v>-0</v>
      </c>
      <c r="Q65" s="69" t="n">
        <f aca="false">-(Q64-P64)*Inputs!$B$81</f>
        <v>-0</v>
      </c>
      <c r="R65" s="69" t="n">
        <f aca="false">-(R64-Q64)*Inputs!$B$81</f>
        <v>-0</v>
      </c>
      <c r="S65" s="69" t="n">
        <f aca="false">-(S64-R64)*Inputs!$B$81</f>
        <v>-0</v>
      </c>
      <c r="T65" s="69" t="n">
        <f aca="false">-(T64-S64)*Inputs!$B$81</f>
        <v>-0</v>
      </c>
      <c r="U65" s="69" t="n">
        <f aca="false">-(U64-T64)*Inputs!$B$81</f>
        <v>-0</v>
      </c>
      <c r="V65" s="69" t="n">
        <f aca="false">-(V64-U64)*Inputs!$B$81</f>
        <v>-0</v>
      </c>
      <c r="W65" s="69" t="n">
        <f aca="false">-(W64-V64)*Inputs!$B$81</f>
        <v>-0</v>
      </c>
      <c r="X65" s="69" t="n">
        <f aca="false">-(X64-W64)*Inputs!$B$81</f>
        <v>-0</v>
      </c>
      <c r="Y65" s="69" t="n">
        <f aca="false">-(Y64-X64)*Inputs!$B$81</f>
        <v>-0</v>
      </c>
      <c r="Z65" s="69" t="n">
        <f aca="false">-(Z64-Y64)*Inputs!$B$81</f>
        <v>-0</v>
      </c>
      <c r="AA65" s="69" t="n">
        <f aca="false">-(AA64-Z64)*Inputs!$B$81</f>
        <v>-0</v>
      </c>
      <c r="AB65" s="69" t="n">
        <f aca="false">-(AB64-AA64)*Inputs!$B$81</f>
        <v>-0</v>
      </c>
      <c r="AC65" s="69" t="n">
        <f aca="false">-(AC64-AB64)*Inputs!$B$81</f>
        <v>-0</v>
      </c>
      <c r="AD65" s="69" t="n">
        <f aca="false">-(AD64-AC64)*Inputs!$B$81</f>
        <v>-0</v>
      </c>
      <c r="AE65" s="69" t="n">
        <f aca="false">-(AE64-AD64)*Inputs!$B$81</f>
        <v>-0</v>
      </c>
      <c r="AF65" s="69" t="n">
        <f aca="false">-(AF64-AE64)*Inputs!$B$81</f>
        <v>-0</v>
      </c>
      <c r="AG65" s="69" t="n">
        <f aca="false">-(AG64-AF64)*Inputs!$B$81</f>
        <v>-0</v>
      </c>
      <c r="AH65" s="69" t="n">
        <f aca="false">-(AH64-AG64)*Inputs!$B$81</f>
        <v>-0</v>
      </c>
      <c r="AI65" s="69" t="n">
        <f aca="false">-(AI64-AH64)*Inputs!$B$81</f>
        <v>-0</v>
      </c>
      <c r="AJ65" s="69" t="n">
        <f aca="false">-(AJ64-AI64)*Inputs!$B$81</f>
        <v>-0</v>
      </c>
      <c r="AK65" s="69" t="n">
        <f aca="false">-(AK64-AJ64)*Inputs!$B$81</f>
        <v>-0</v>
      </c>
      <c r="AL65" s="69" t="n">
        <f aca="false">-(AL64-AK64)*Inputs!$B$81</f>
        <v>-0</v>
      </c>
      <c r="AM65" s="69" t="n">
        <f aca="false">-(AM64-AL64)*Inputs!$B$81</f>
        <v>-0</v>
      </c>
      <c r="AN65" s="69" t="n">
        <f aca="false">-(AN64-AM64)*Inputs!$B$81</f>
        <v>-0</v>
      </c>
      <c r="AO65" s="69" t="n">
        <f aca="false">-(AO64-AN64)*Inputs!$B$81</f>
        <v>-0</v>
      </c>
      <c r="AP65" s="69" t="n">
        <f aca="false">-(AP64-AO64)*Inputs!$B$81</f>
        <v>-0</v>
      </c>
      <c r="AQ65" s="69" t="n">
        <f aca="false">-(AQ64-AP64)*Inputs!$B$81</f>
        <v>-0</v>
      </c>
      <c r="AR65" s="69" t="n">
        <f aca="false">-(AR64-AQ64)*Inputs!$B$81</f>
        <v>-0</v>
      </c>
      <c r="AS65" s="69" t="n">
        <f aca="false">-(AS64-AR64)*Inputs!$B$81</f>
        <v>-0</v>
      </c>
      <c r="AT65" s="69" t="n">
        <f aca="false">-(AT64-AS64)*Inputs!$B$81</f>
        <v>-0</v>
      </c>
      <c r="AU65" s="69" t="n">
        <f aca="false">-(AU64-AT64)*Inputs!$B$81</f>
        <v>-0</v>
      </c>
      <c r="AV65" s="69" t="n">
        <f aca="false">-(AV64-AU64)*Inputs!$B$81</f>
        <v>-0</v>
      </c>
      <c r="AW65" s="69" t="n">
        <f aca="false">-(AW64-AV64)*Inputs!$B$81</f>
        <v>-0</v>
      </c>
      <c r="AX65" s="69" t="n">
        <f aca="false">-(AX64-AW64)*Inputs!$B$81</f>
        <v>-0</v>
      </c>
      <c r="AY65" s="69" t="n">
        <f aca="false">-(AY64-AX64)*Inputs!$B$81</f>
        <v>-0</v>
      </c>
      <c r="AZ65" s="69" t="n">
        <f aca="false">-(AZ64-AY64)*Inputs!$B$81</f>
        <v>-0</v>
      </c>
      <c r="BA65" s="69" t="n">
        <f aca="false">-(BA64-AZ64)*Inputs!$B$81</f>
        <v>-0</v>
      </c>
      <c r="BB65" s="69" t="n">
        <f aca="false">-(BB64-BA64)*Inputs!$B$81</f>
        <v>-0</v>
      </c>
      <c r="BC65" s="69" t="n">
        <f aca="false">-(BC64-BB64)*Inputs!$B$81</f>
        <v>-0</v>
      </c>
      <c r="BD65" s="69" t="n">
        <f aca="false">-(BD64-BC64)*Inputs!$B$81</f>
        <v>-0</v>
      </c>
      <c r="BE65" s="69" t="n">
        <f aca="false">-(BE64-BD64)*Inputs!$B$81</f>
        <v>-0</v>
      </c>
      <c r="BF65" s="69" t="n">
        <f aca="false">-(BF64-BE64)*Inputs!$B$81</f>
        <v>-0</v>
      </c>
      <c r="BG65" s="69" t="n">
        <f aca="false">-(BG64-BF64)*Inputs!$B$81</f>
        <v>-0</v>
      </c>
      <c r="BH65" s="69" t="n">
        <f aca="false">-(BH64-BG64)*Inputs!$B$81</f>
        <v>-0</v>
      </c>
      <c r="BI65" s="69" t="n">
        <f aca="false">-(BI64-BH64)*Inputs!$B$81</f>
        <v>-0</v>
      </c>
      <c r="BJ65" s="69" t="n">
        <f aca="false">-(BJ64-BI64)*Inputs!$B$81</f>
        <v>-0</v>
      </c>
    </row>
    <row r="66" customFormat="false" ht="15" hidden="false" customHeight="false" outlineLevel="0" collapsed="false">
      <c r="A66" s="113" t="s">
        <v>50</v>
      </c>
      <c r="C66" s="70" t="n">
        <f aca="false">C62+C65</f>
        <v>-121553.757544889</v>
      </c>
      <c r="D66" s="70" t="n">
        <f aca="false">D62+D65</f>
        <v>-118270.643229422</v>
      </c>
      <c r="E66" s="70" t="n">
        <f aca="false">E62+E65</f>
        <v>-107399.777940036</v>
      </c>
      <c r="F66" s="70" t="n">
        <f aca="false">F62+F65</f>
        <v>-102914.736082812</v>
      </c>
      <c r="G66" s="70" t="n">
        <f aca="false">G62+G65</f>
        <v>-98363.9214957821</v>
      </c>
      <c r="H66" s="70" t="n">
        <f aca="false">H62+H65</f>
        <v>-93750.6228154374</v>
      </c>
      <c r="I66" s="70" t="n">
        <f aca="false">I62+I65</f>
        <v>-89077.9642464434</v>
      </c>
      <c r="J66" s="70" t="n">
        <f aca="false">J62+J65</f>
        <v>-84348.9137832323</v>
      </c>
      <c r="K66" s="70" t="n">
        <f aca="false">K62+K65</f>
        <v>-79566.2910205151</v>
      </c>
      <c r="L66" s="70" t="n">
        <f aca="false">L62+L65</f>
        <v>-74732.7745732672</v>
      </c>
      <c r="M66" s="70" t="n">
        <f aca="false">M62+M65</f>
        <v>-69850.9091257149</v>
      </c>
      <c r="N66" s="70" t="n">
        <f aca="false">N62+N65</f>
        <v>-80015.4893496117</v>
      </c>
      <c r="O66" s="70" t="n">
        <f aca="false">O62+O65</f>
        <v>-75069.8944275023</v>
      </c>
      <c r="P66" s="70" t="n">
        <f aca="false">P62+P65</f>
        <v>-73893.3950454605</v>
      </c>
      <c r="Q66" s="70" t="n">
        <f aca="false">Q62+Q65</f>
        <v>-56935.9778318983</v>
      </c>
      <c r="R66" s="70" t="n">
        <f aca="false">R62+R65</f>
        <v>-55713.5432967033</v>
      </c>
      <c r="S66" s="70" t="n">
        <f aca="false">S62+S65</f>
        <v>-54543.3763216015</v>
      </c>
      <c r="T66" s="70" t="n">
        <f aca="false">T62+T65</f>
        <v>-53422.8635285881</v>
      </c>
      <c r="U66" s="70" t="n">
        <f aca="false">U62+U65</f>
        <v>-52349.5222085587</v>
      </c>
      <c r="V66" s="70" t="n">
        <f aca="false">V62+V65</f>
        <v>-51320.9937878641</v>
      </c>
      <c r="W66" s="70" t="n">
        <f aca="false">W62+W65</f>
        <v>-50335.0376215375</v>
      </c>
      <c r="X66" s="70" t="n">
        <f aca="false">X62+X65</f>
        <v>-49389.5250968607</v>
      </c>
      <c r="Y66" s="70" t="n">
        <f aca="false">Y62+Y65</f>
        <v>-48482.434031751</v>
      </c>
      <c r="Z66" s="70" t="n">
        <f aca="false">Z62+Z65</f>
        <v>-62801.0376136343</v>
      </c>
      <c r="AA66" s="70" t="n">
        <f aca="false">AA62+AA65</f>
        <v>-62259.6122629796</v>
      </c>
      <c r="AB66" s="70" t="n">
        <f aca="false">AB62+AB65</f>
        <v>-61621.9040040048</v>
      </c>
      <c r="AC66" s="70" t="n">
        <f aca="false">AC62+AC65</f>
        <v>-45923.5382552647</v>
      </c>
      <c r="AD66" s="70" t="n">
        <f aca="false">AD62+AD65</f>
        <v>-45151.2562356623</v>
      </c>
      <c r="AE66" s="70" t="n">
        <f aca="false">AE62+AE65</f>
        <v>-44408.7341503734</v>
      </c>
      <c r="AF66" s="70" t="n">
        <f aca="false">AF62+AF65</f>
        <v>-43694.4840026823</v>
      </c>
      <c r="AG66" s="70" t="n">
        <f aca="false">AG62+AG65</f>
        <v>-43007.0921957091</v>
      </c>
      <c r="AH66" s="70" t="n">
        <f aca="false">AH62+AH65</f>
        <v>-42345.2158124179</v>
      </c>
      <c r="AI66" s="70" t="n">
        <f aca="false">AI62+AI65</f>
        <v>-41707.5790816245</v>
      </c>
      <c r="AJ66" s="70" t="n">
        <f aca="false">AJ62+AJ65</f>
        <v>-41092.9700207042</v>
      </c>
      <c r="AK66" s="70" t="n">
        <f aca="false">AK62+AK65</f>
        <v>-40500.2372461632</v>
      </c>
      <c r="AL66" s="70" t="n">
        <f aca="false">AL62+AL65</f>
        <v>-54632.0099493431</v>
      </c>
      <c r="AM66" s="70" t="n">
        <f aca="false">AM62+AM65</f>
        <v>-55237.8188037742</v>
      </c>
      <c r="AN66" s="70" t="n">
        <f aca="false">AN62+AN65</f>
        <v>-54892.4489355958</v>
      </c>
      <c r="AO66" s="70" t="n">
        <f aca="false">AO62+AO65</f>
        <v>-39914.4596625492</v>
      </c>
      <c r="AP66" s="70" t="n">
        <f aca="false">AP62+AP65</f>
        <v>-39385.5704574945</v>
      </c>
      <c r="AQ66" s="70" t="n">
        <f aca="false">AQ62+AQ65</f>
        <v>-38874.271546026</v>
      </c>
      <c r="AR66" s="70" t="n">
        <f aca="false">AR62+AR65</f>
        <v>-38379.6834134641</v>
      </c>
      <c r="AS66" s="70" t="n">
        <f aca="false">AS62+AS65</f>
        <v>-37900.9705208637</v>
      </c>
      <c r="AT66" s="70" t="n">
        <f aca="false">AT62+AT65</f>
        <v>-37437.3391062267</v>
      </c>
      <c r="AU66" s="70" t="n">
        <f aca="false">AU62+AU65</f>
        <v>-36988.0350956548</v>
      </c>
      <c r="AV66" s="70" t="n">
        <f aca="false">AV62+AV65</f>
        <v>-36552.3421189449</v>
      </c>
      <c r="AW66" s="70" t="n">
        <f aca="false">AW62+AW65</f>
        <v>-36129.5796244038</v>
      </c>
      <c r="AX66" s="70" t="n">
        <f aca="false">AX62+AX65</f>
        <v>-50126.4799157606</v>
      </c>
      <c r="AY66" s="70" t="n">
        <f aca="false">AY62+AY65</f>
        <v>-51526.2131164071</v>
      </c>
      <c r="AZ66" s="70" t="n">
        <f aca="false">AZ62+AZ65</f>
        <v>-51339.4953080477</v>
      </c>
      <c r="BA66" s="70" t="n">
        <f aca="false">BA62+BA65</f>
        <v>-36787.3462740803</v>
      </c>
      <c r="BB66" s="70" t="n">
        <f aca="false">BB62+BB65</f>
        <v>-36390.0326569805</v>
      </c>
      <c r="BC66" s="70" t="n">
        <f aca="false">BC62+BC65</f>
        <v>-36003.730554069</v>
      </c>
      <c r="BD66" s="70" t="n">
        <f aca="false">BD62+BD65</f>
        <v>-35627.8893896364</v>
      </c>
      <c r="BE66" s="70" t="n">
        <f aca="false">BE62+BE65</f>
        <v>-35261.9861167588</v>
      </c>
      <c r="BF66" s="70" t="n">
        <f aca="false">BF62+BF65</f>
        <v>-34905.5238408584</v>
      </c>
      <c r="BG66" s="70" t="n">
        <f aca="false">BG62+BG65</f>
        <v>-34558.0305120863</v>
      </c>
      <c r="BH66" s="70" t="n">
        <f aca="false">BH62+BH65</f>
        <v>-34219.0576830862</v>
      </c>
      <c r="BI66" s="70" t="n">
        <f aca="false">BI62+BI65</f>
        <v>-33888.1793288694</v>
      </c>
      <c r="BJ66" s="70" t="n">
        <f aca="false">BJ62+BJ65</f>
        <v>-47778.6667693909</v>
      </c>
    </row>
    <row r="68" customFormat="false" ht="15.75" hidden="false" customHeight="true" outlineLevel="0" collapsed="false">
      <c r="A68" s="7" t="s">
        <v>447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448</v>
      </c>
      <c r="C69" s="69" t="n">
        <f aca="false">IF(C$6=1,Inputs!$B$50,0)</f>
        <v>1650000</v>
      </c>
      <c r="D69" s="69" t="n">
        <f aca="false">IF(D$6=1,Inputs!$B$50,0)</f>
        <v>0</v>
      </c>
      <c r="E69" s="69" t="n">
        <f aca="false">IF(E$6=1,Inputs!$B$50,0)</f>
        <v>0</v>
      </c>
      <c r="F69" s="69" t="n">
        <f aca="false">IF(F$6=1,Inputs!$B$50,0)</f>
        <v>0</v>
      </c>
      <c r="G69" s="69" t="n">
        <f aca="false">IF(G$6=1,Inputs!$B$50,0)</f>
        <v>0</v>
      </c>
      <c r="H69" s="69" t="n">
        <f aca="false">IF(H$6=1,Inputs!$B$50,0)</f>
        <v>0</v>
      </c>
      <c r="I69" s="69" t="n">
        <f aca="false">IF(I$6=1,Inputs!$B$50,0)</f>
        <v>0</v>
      </c>
      <c r="J69" s="69" t="n">
        <f aca="false">IF(J$6=1,Inputs!$B$50,0)</f>
        <v>0</v>
      </c>
      <c r="K69" s="69" t="n">
        <f aca="false">IF(K$6=1,Inputs!$B$50,0)</f>
        <v>0</v>
      </c>
      <c r="L69" s="69" t="n">
        <f aca="false">IF(L$6=1,Inputs!$B$50,0)</f>
        <v>0</v>
      </c>
      <c r="M69" s="69" t="n">
        <f aca="false">IF(M$6=1,Inputs!$B$50,0)</f>
        <v>0</v>
      </c>
      <c r="N69" s="69" t="n">
        <f aca="false">IF(N$6=1,Inputs!$B$50,0)</f>
        <v>0</v>
      </c>
      <c r="O69" s="69" t="n">
        <f aca="false">IF(O$6=1,Inputs!$B$50,0)</f>
        <v>0</v>
      </c>
      <c r="P69" s="69" t="n">
        <f aca="false">IF(P$6=1,Inputs!$B$50,0)</f>
        <v>0</v>
      </c>
      <c r="Q69" s="69" t="n">
        <f aca="false">IF(Q$6=1,Inputs!$B$50,0)</f>
        <v>0</v>
      </c>
      <c r="R69" s="69" t="n">
        <f aca="false">IF(R$6=1,Inputs!$B$50,0)</f>
        <v>0</v>
      </c>
      <c r="S69" s="69" t="n">
        <f aca="false">IF(S$6=1,Inputs!$B$50,0)</f>
        <v>0</v>
      </c>
      <c r="T69" s="69" t="n">
        <f aca="false">IF(T$6=1,Inputs!$B$50,0)</f>
        <v>0</v>
      </c>
      <c r="U69" s="69" t="n">
        <f aca="false">IF(U$6=1,Inputs!$B$50,0)</f>
        <v>0</v>
      </c>
      <c r="V69" s="69" t="n">
        <f aca="false">IF(V$6=1,Inputs!$B$50,0)</f>
        <v>0</v>
      </c>
      <c r="W69" s="69" t="n">
        <f aca="false">IF(W$6=1,Inputs!$B$50,0)</f>
        <v>0</v>
      </c>
      <c r="X69" s="69" t="n">
        <f aca="false">IF(X$6=1,Inputs!$B$50,0)</f>
        <v>0</v>
      </c>
      <c r="Y69" s="69" t="n">
        <f aca="false">IF(Y$6=1,Inputs!$B$50,0)</f>
        <v>0</v>
      </c>
      <c r="Z69" s="69" t="n">
        <f aca="false">IF(Z$6=1,Inputs!$B$50,0)</f>
        <v>0</v>
      </c>
      <c r="AA69" s="69" t="n">
        <f aca="false">IF(AA$6=1,Inputs!$B$50,0)</f>
        <v>0</v>
      </c>
      <c r="AB69" s="69" t="n">
        <f aca="false">IF(AB$6=1,Inputs!$B$50,0)</f>
        <v>0</v>
      </c>
      <c r="AC69" s="69" t="n">
        <f aca="false">IF(AC$6=1,Inputs!$B$50,0)</f>
        <v>0</v>
      </c>
      <c r="AD69" s="69" t="n">
        <f aca="false">IF(AD$6=1,Inputs!$B$50,0)</f>
        <v>0</v>
      </c>
      <c r="AE69" s="69" t="n">
        <f aca="false">IF(AE$6=1,Inputs!$B$50,0)</f>
        <v>0</v>
      </c>
      <c r="AF69" s="69" t="n">
        <f aca="false">IF(AF$6=1,Inputs!$B$50,0)</f>
        <v>0</v>
      </c>
      <c r="AG69" s="69" t="n">
        <f aca="false">IF(AG$6=1,Inputs!$B$50,0)</f>
        <v>0</v>
      </c>
      <c r="AH69" s="69" t="n">
        <f aca="false">IF(AH$6=1,Inputs!$B$50,0)</f>
        <v>0</v>
      </c>
      <c r="AI69" s="69" t="n">
        <f aca="false">IF(AI$6=1,Inputs!$B$50,0)</f>
        <v>0</v>
      </c>
      <c r="AJ69" s="69" t="n">
        <f aca="false">IF(AJ$6=1,Inputs!$B$50,0)</f>
        <v>0</v>
      </c>
      <c r="AK69" s="69" t="n">
        <f aca="false">IF(AK$6=1,Inputs!$B$50,0)</f>
        <v>0</v>
      </c>
      <c r="AL69" s="69" t="n">
        <f aca="false">IF(AL$6=1,Inputs!$B$50,0)</f>
        <v>0</v>
      </c>
      <c r="AM69" s="69" t="n">
        <f aca="false">IF(AM$6=1,Inputs!$B$50,0)</f>
        <v>0</v>
      </c>
      <c r="AN69" s="69" t="n">
        <f aca="false">IF(AN$6=1,Inputs!$B$50,0)</f>
        <v>0</v>
      </c>
      <c r="AO69" s="69" t="n">
        <f aca="false">IF(AO$6=1,Inputs!$B$50,0)</f>
        <v>0</v>
      </c>
      <c r="AP69" s="69" t="n">
        <f aca="false">IF(AP$6=1,Inputs!$B$50,0)</f>
        <v>0</v>
      </c>
      <c r="AQ69" s="69" t="n">
        <f aca="false">IF(AQ$6=1,Inputs!$B$50,0)</f>
        <v>0</v>
      </c>
      <c r="AR69" s="69" t="n">
        <f aca="false">IF(AR$6=1,Inputs!$B$50,0)</f>
        <v>0</v>
      </c>
      <c r="AS69" s="69" t="n">
        <f aca="false">IF(AS$6=1,Inputs!$B$50,0)</f>
        <v>0</v>
      </c>
      <c r="AT69" s="69" t="n">
        <f aca="false">IF(AT$6=1,Inputs!$B$50,0)</f>
        <v>0</v>
      </c>
      <c r="AU69" s="69" t="n">
        <f aca="false">IF(AU$6=1,Inputs!$B$50,0)</f>
        <v>0</v>
      </c>
      <c r="AV69" s="69" t="n">
        <f aca="false">IF(AV$6=1,Inputs!$B$50,0)</f>
        <v>0</v>
      </c>
      <c r="AW69" s="69" t="n">
        <f aca="false">IF(AW$6=1,Inputs!$B$50,0)</f>
        <v>0</v>
      </c>
      <c r="AX69" s="69" t="n">
        <f aca="false">IF(AX$6=1,Inputs!$B$50,0)</f>
        <v>0</v>
      </c>
      <c r="AY69" s="69" t="n">
        <f aca="false">IF(AY$6=1,Inputs!$B$50,0)</f>
        <v>0</v>
      </c>
      <c r="AZ69" s="69" t="n">
        <f aca="false">IF(AZ$6=1,Inputs!$B$50,0)</f>
        <v>0</v>
      </c>
      <c r="BA69" s="69" t="n">
        <f aca="false">IF(BA$6=1,Inputs!$B$50,0)</f>
        <v>0</v>
      </c>
      <c r="BB69" s="69" t="n">
        <f aca="false">IF(BB$6=1,Inputs!$B$50,0)</f>
        <v>0</v>
      </c>
      <c r="BC69" s="69" t="n">
        <f aca="false">IF(BC$6=1,Inputs!$B$50,0)</f>
        <v>0</v>
      </c>
      <c r="BD69" s="69" t="n">
        <f aca="false">IF(BD$6=1,Inputs!$B$50,0)</f>
        <v>0</v>
      </c>
      <c r="BE69" s="69" t="n">
        <f aca="false">IF(BE$6=1,Inputs!$B$50,0)</f>
        <v>0</v>
      </c>
      <c r="BF69" s="69" t="n">
        <f aca="false">IF(BF$6=1,Inputs!$B$50,0)</f>
        <v>0</v>
      </c>
      <c r="BG69" s="69" t="n">
        <f aca="false">IF(BG$6=1,Inputs!$B$50,0)</f>
        <v>0</v>
      </c>
      <c r="BH69" s="69" t="n">
        <f aca="false">IF(BH$6=1,Inputs!$B$50,0)</f>
        <v>0</v>
      </c>
      <c r="BI69" s="69" t="n">
        <f aca="false">IF(BI$6=1,Inputs!$B$50,0)</f>
        <v>0</v>
      </c>
      <c r="BJ69" s="69" t="n">
        <f aca="false">IF(BJ$6=1,Inputs!$B$50,0)</f>
        <v>0</v>
      </c>
    </row>
    <row r="70" customFormat="false" ht="15" hidden="false" customHeight="false" outlineLevel="0" collapsed="false">
      <c r="A70" s="6" t="s">
        <v>449</v>
      </c>
      <c r="C70" s="69" t="n">
        <f aca="false">IF(C$6=1,Inputs!$B$51,0)</f>
        <v>2300000</v>
      </c>
      <c r="D70" s="69" t="n">
        <f aca="false">IF(D$6=1,Inputs!$B$51,0)</f>
        <v>0</v>
      </c>
      <c r="E70" s="69" t="n">
        <f aca="false">IF(E$6=1,Inputs!$B$51,0)</f>
        <v>0</v>
      </c>
      <c r="F70" s="69" t="n">
        <f aca="false">IF(F$6=1,Inputs!$B$51,0)</f>
        <v>0</v>
      </c>
      <c r="G70" s="69" t="n">
        <f aca="false">IF(G$6=1,Inputs!$B$51,0)</f>
        <v>0</v>
      </c>
      <c r="H70" s="69" t="n">
        <f aca="false">IF(H$6=1,Inputs!$B$51,0)</f>
        <v>0</v>
      </c>
      <c r="I70" s="69" t="n">
        <f aca="false">IF(I$6=1,Inputs!$B$51,0)</f>
        <v>0</v>
      </c>
      <c r="J70" s="69" t="n">
        <f aca="false">IF(J$6=1,Inputs!$B$51,0)</f>
        <v>0</v>
      </c>
      <c r="K70" s="69" t="n">
        <f aca="false">IF(K$6=1,Inputs!$B$51,0)</f>
        <v>0</v>
      </c>
      <c r="L70" s="69" t="n">
        <f aca="false">IF(L$6=1,Inputs!$B$51,0)</f>
        <v>0</v>
      </c>
      <c r="M70" s="69" t="n">
        <f aca="false">IF(M$6=1,Inputs!$B$51,0)</f>
        <v>0</v>
      </c>
      <c r="N70" s="69" t="n">
        <f aca="false">IF(N$6=1,Inputs!$B$51,0)</f>
        <v>0</v>
      </c>
      <c r="O70" s="69" t="n">
        <f aca="false">IF(O$6=1,Inputs!$B$51,0)</f>
        <v>0</v>
      </c>
      <c r="P70" s="69" t="n">
        <f aca="false">IF(P$6=1,Inputs!$B$51,0)</f>
        <v>0</v>
      </c>
      <c r="Q70" s="69" t="n">
        <f aca="false">IF(Q$6=1,Inputs!$B$51,0)</f>
        <v>0</v>
      </c>
      <c r="R70" s="69" t="n">
        <f aca="false">IF(R$6=1,Inputs!$B$51,0)</f>
        <v>0</v>
      </c>
      <c r="S70" s="69" t="n">
        <f aca="false">IF(S$6=1,Inputs!$B$51,0)</f>
        <v>0</v>
      </c>
      <c r="T70" s="69" t="n">
        <f aca="false">IF(T$6=1,Inputs!$B$51,0)</f>
        <v>0</v>
      </c>
      <c r="U70" s="69" t="n">
        <f aca="false">IF(U$6=1,Inputs!$B$51,0)</f>
        <v>0</v>
      </c>
      <c r="V70" s="69" t="n">
        <f aca="false">IF(V$6=1,Inputs!$B$51,0)</f>
        <v>0</v>
      </c>
      <c r="W70" s="69" t="n">
        <f aca="false">IF(W$6=1,Inputs!$B$51,0)</f>
        <v>0</v>
      </c>
      <c r="X70" s="69" t="n">
        <f aca="false">IF(X$6=1,Inputs!$B$51,0)</f>
        <v>0</v>
      </c>
      <c r="Y70" s="69" t="n">
        <f aca="false">IF(Y$6=1,Inputs!$B$51,0)</f>
        <v>0</v>
      </c>
      <c r="Z70" s="69" t="n">
        <f aca="false">IF(Z$6=1,Inputs!$B$51,0)</f>
        <v>0</v>
      </c>
      <c r="AA70" s="69" t="n">
        <f aca="false">IF(AA$6=1,Inputs!$B$51,0)</f>
        <v>0</v>
      </c>
      <c r="AB70" s="69" t="n">
        <f aca="false">IF(AB$6=1,Inputs!$B$51,0)</f>
        <v>0</v>
      </c>
      <c r="AC70" s="69" t="n">
        <f aca="false">IF(AC$6=1,Inputs!$B$51,0)</f>
        <v>0</v>
      </c>
      <c r="AD70" s="69" t="n">
        <f aca="false">IF(AD$6=1,Inputs!$B$51,0)</f>
        <v>0</v>
      </c>
      <c r="AE70" s="69" t="n">
        <f aca="false">IF(AE$6=1,Inputs!$B$51,0)</f>
        <v>0</v>
      </c>
      <c r="AF70" s="69" t="n">
        <f aca="false">IF(AF$6=1,Inputs!$B$51,0)</f>
        <v>0</v>
      </c>
      <c r="AG70" s="69" t="n">
        <f aca="false">IF(AG$6=1,Inputs!$B$51,0)</f>
        <v>0</v>
      </c>
      <c r="AH70" s="69" t="n">
        <f aca="false">IF(AH$6=1,Inputs!$B$51,0)</f>
        <v>0</v>
      </c>
      <c r="AI70" s="69" t="n">
        <f aca="false">IF(AI$6=1,Inputs!$B$51,0)</f>
        <v>0</v>
      </c>
      <c r="AJ70" s="69" t="n">
        <f aca="false">IF(AJ$6=1,Inputs!$B$51,0)</f>
        <v>0</v>
      </c>
      <c r="AK70" s="69" t="n">
        <f aca="false">IF(AK$6=1,Inputs!$B$51,0)</f>
        <v>0</v>
      </c>
      <c r="AL70" s="69" t="n">
        <f aca="false">IF(AL$6=1,Inputs!$B$51,0)</f>
        <v>0</v>
      </c>
      <c r="AM70" s="69" t="n">
        <f aca="false">IF(AM$6=1,Inputs!$B$51,0)</f>
        <v>0</v>
      </c>
      <c r="AN70" s="69" t="n">
        <f aca="false">IF(AN$6=1,Inputs!$B$51,0)</f>
        <v>0</v>
      </c>
      <c r="AO70" s="69" t="n">
        <f aca="false">IF(AO$6=1,Inputs!$B$51,0)</f>
        <v>0</v>
      </c>
      <c r="AP70" s="69" t="n">
        <f aca="false">IF(AP$6=1,Inputs!$B$51,0)</f>
        <v>0</v>
      </c>
      <c r="AQ70" s="69" t="n">
        <f aca="false">IF(AQ$6=1,Inputs!$B$51,0)</f>
        <v>0</v>
      </c>
      <c r="AR70" s="69" t="n">
        <f aca="false">IF(AR$6=1,Inputs!$B$51,0)</f>
        <v>0</v>
      </c>
      <c r="AS70" s="69" t="n">
        <f aca="false">IF(AS$6=1,Inputs!$B$51,0)</f>
        <v>0</v>
      </c>
      <c r="AT70" s="69" t="n">
        <f aca="false">IF(AT$6=1,Inputs!$B$51,0)</f>
        <v>0</v>
      </c>
      <c r="AU70" s="69" t="n">
        <f aca="false">IF(AU$6=1,Inputs!$B$51,0)</f>
        <v>0</v>
      </c>
      <c r="AV70" s="69" t="n">
        <f aca="false">IF(AV$6=1,Inputs!$B$51,0)</f>
        <v>0</v>
      </c>
      <c r="AW70" s="69" t="n">
        <f aca="false">IF(AW$6=1,Inputs!$B$51,0)</f>
        <v>0</v>
      </c>
      <c r="AX70" s="69" t="n">
        <f aca="false">IF(AX$6=1,Inputs!$B$51,0)</f>
        <v>0</v>
      </c>
      <c r="AY70" s="69" t="n">
        <f aca="false">IF(AY$6=1,Inputs!$B$51,0)</f>
        <v>0</v>
      </c>
      <c r="AZ70" s="69" t="n">
        <f aca="false">IF(AZ$6=1,Inputs!$B$51,0)</f>
        <v>0</v>
      </c>
      <c r="BA70" s="69" t="n">
        <f aca="false">IF(BA$6=1,Inputs!$B$51,0)</f>
        <v>0</v>
      </c>
      <c r="BB70" s="69" t="n">
        <f aca="false">IF(BB$6=1,Inputs!$B$51,0)</f>
        <v>0</v>
      </c>
      <c r="BC70" s="69" t="n">
        <f aca="false">IF(BC$6=1,Inputs!$B$51,0)</f>
        <v>0</v>
      </c>
      <c r="BD70" s="69" t="n">
        <f aca="false">IF(BD$6=1,Inputs!$B$51,0)</f>
        <v>0</v>
      </c>
      <c r="BE70" s="69" t="n">
        <f aca="false">IF(BE$6=1,Inputs!$B$51,0)</f>
        <v>0</v>
      </c>
      <c r="BF70" s="69" t="n">
        <f aca="false">IF(BF$6=1,Inputs!$B$51,0)</f>
        <v>0</v>
      </c>
      <c r="BG70" s="69" t="n">
        <f aca="false">IF(BG$6=1,Inputs!$B$51,0)</f>
        <v>0</v>
      </c>
      <c r="BH70" s="69" t="n">
        <f aca="false">IF(BH$6=1,Inputs!$B$51,0)</f>
        <v>0</v>
      </c>
      <c r="BI70" s="69" t="n">
        <f aca="false">IF(BI$6=1,Inputs!$B$51,0)</f>
        <v>0</v>
      </c>
      <c r="BJ70" s="69" t="n">
        <f aca="false">IF(BJ$6=1,Inputs!$B$51,0)</f>
        <v>0</v>
      </c>
    </row>
    <row r="71" customFormat="false" ht="15" hidden="false" customHeight="false" outlineLevel="0" collapsed="false">
      <c r="A71" s="6" t="s">
        <v>450</v>
      </c>
      <c r="C71" s="69" t="n">
        <f aca="false">IF(C$6=1,Inputs!$B$52,0)</f>
        <v>150000</v>
      </c>
      <c r="D71" s="69" t="n">
        <f aca="false">IF(D$6=1,Inputs!$B$52,0)</f>
        <v>0</v>
      </c>
      <c r="E71" s="69" t="n">
        <f aca="false">IF(E$6=1,Inputs!$B$52,0)</f>
        <v>0</v>
      </c>
      <c r="F71" s="69" t="n">
        <f aca="false">IF(F$6=1,Inputs!$B$52,0)</f>
        <v>0</v>
      </c>
      <c r="G71" s="69" t="n">
        <f aca="false">IF(G$6=1,Inputs!$B$52,0)</f>
        <v>0</v>
      </c>
      <c r="H71" s="69" t="n">
        <f aca="false">IF(H$6=1,Inputs!$B$52,0)</f>
        <v>0</v>
      </c>
      <c r="I71" s="69" t="n">
        <f aca="false">IF(I$6=1,Inputs!$B$52,0)</f>
        <v>0</v>
      </c>
      <c r="J71" s="69" t="n">
        <f aca="false">IF(J$6=1,Inputs!$B$52,0)</f>
        <v>0</v>
      </c>
      <c r="K71" s="69" t="n">
        <f aca="false">IF(K$6=1,Inputs!$B$52,0)</f>
        <v>0</v>
      </c>
      <c r="L71" s="69" t="n">
        <f aca="false">IF(L$6=1,Inputs!$B$52,0)</f>
        <v>0</v>
      </c>
      <c r="M71" s="69" t="n">
        <f aca="false">IF(M$6=1,Inputs!$B$52,0)</f>
        <v>0</v>
      </c>
      <c r="N71" s="69" t="n">
        <f aca="false">IF(N$6=1,Inputs!$B$52,0)</f>
        <v>0</v>
      </c>
      <c r="O71" s="69" t="n">
        <f aca="false">IF(O$6=1,Inputs!$B$52,0)</f>
        <v>0</v>
      </c>
      <c r="P71" s="69" t="n">
        <f aca="false">IF(P$6=1,Inputs!$B$52,0)</f>
        <v>0</v>
      </c>
      <c r="Q71" s="69" t="n">
        <f aca="false">IF(Q$6=1,Inputs!$B$52,0)</f>
        <v>0</v>
      </c>
      <c r="R71" s="69" t="n">
        <f aca="false">IF(R$6=1,Inputs!$B$52,0)</f>
        <v>0</v>
      </c>
      <c r="S71" s="69" t="n">
        <f aca="false">IF(S$6=1,Inputs!$B$52,0)</f>
        <v>0</v>
      </c>
      <c r="T71" s="69" t="n">
        <f aca="false">IF(T$6=1,Inputs!$B$52,0)</f>
        <v>0</v>
      </c>
      <c r="U71" s="69" t="n">
        <f aca="false">IF(U$6=1,Inputs!$B$52,0)</f>
        <v>0</v>
      </c>
      <c r="V71" s="69" t="n">
        <f aca="false">IF(V$6=1,Inputs!$B$52,0)</f>
        <v>0</v>
      </c>
      <c r="W71" s="69" t="n">
        <f aca="false">IF(W$6=1,Inputs!$B$52,0)</f>
        <v>0</v>
      </c>
      <c r="X71" s="69" t="n">
        <f aca="false">IF(X$6=1,Inputs!$B$52,0)</f>
        <v>0</v>
      </c>
      <c r="Y71" s="69" t="n">
        <f aca="false">IF(Y$6=1,Inputs!$B$52,0)</f>
        <v>0</v>
      </c>
      <c r="Z71" s="69" t="n">
        <f aca="false">IF(Z$6=1,Inputs!$B$52,0)</f>
        <v>0</v>
      </c>
      <c r="AA71" s="69" t="n">
        <f aca="false">IF(AA$6=1,Inputs!$B$52,0)</f>
        <v>0</v>
      </c>
      <c r="AB71" s="69" t="n">
        <f aca="false">IF(AB$6=1,Inputs!$B$52,0)</f>
        <v>0</v>
      </c>
      <c r="AC71" s="69" t="n">
        <f aca="false">IF(AC$6=1,Inputs!$B$52,0)</f>
        <v>0</v>
      </c>
      <c r="AD71" s="69" t="n">
        <f aca="false">IF(AD$6=1,Inputs!$B$52,0)</f>
        <v>0</v>
      </c>
      <c r="AE71" s="69" t="n">
        <f aca="false">IF(AE$6=1,Inputs!$B$52,0)</f>
        <v>0</v>
      </c>
      <c r="AF71" s="69" t="n">
        <f aca="false">IF(AF$6=1,Inputs!$B$52,0)</f>
        <v>0</v>
      </c>
      <c r="AG71" s="69" t="n">
        <f aca="false">IF(AG$6=1,Inputs!$B$52,0)</f>
        <v>0</v>
      </c>
      <c r="AH71" s="69" t="n">
        <f aca="false">IF(AH$6=1,Inputs!$B$52,0)</f>
        <v>0</v>
      </c>
      <c r="AI71" s="69" t="n">
        <f aca="false">IF(AI$6=1,Inputs!$B$52,0)</f>
        <v>0</v>
      </c>
      <c r="AJ71" s="69" t="n">
        <f aca="false">IF(AJ$6=1,Inputs!$B$52,0)</f>
        <v>0</v>
      </c>
      <c r="AK71" s="69" t="n">
        <f aca="false">IF(AK$6=1,Inputs!$B$52,0)</f>
        <v>0</v>
      </c>
      <c r="AL71" s="69" t="n">
        <f aca="false">IF(AL$6=1,Inputs!$B$52,0)</f>
        <v>0</v>
      </c>
      <c r="AM71" s="69" t="n">
        <f aca="false">IF(AM$6=1,Inputs!$B$52,0)</f>
        <v>0</v>
      </c>
      <c r="AN71" s="69" t="n">
        <f aca="false">IF(AN$6=1,Inputs!$B$52,0)</f>
        <v>0</v>
      </c>
      <c r="AO71" s="69" t="n">
        <f aca="false">IF(AO$6=1,Inputs!$B$52,0)</f>
        <v>0</v>
      </c>
      <c r="AP71" s="69" t="n">
        <f aca="false">IF(AP$6=1,Inputs!$B$52,0)</f>
        <v>0</v>
      </c>
      <c r="AQ71" s="69" t="n">
        <f aca="false">IF(AQ$6=1,Inputs!$B$52,0)</f>
        <v>0</v>
      </c>
      <c r="AR71" s="69" t="n">
        <f aca="false">IF(AR$6=1,Inputs!$B$52,0)</f>
        <v>0</v>
      </c>
      <c r="AS71" s="69" t="n">
        <f aca="false">IF(AS$6=1,Inputs!$B$52,0)</f>
        <v>0</v>
      </c>
      <c r="AT71" s="69" t="n">
        <f aca="false">IF(AT$6=1,Inputs!$B$52,0)</f>
        <v>0</v>
      </c>
      <c r="AU71" s="69" t="n">
        <f aca="false">IF(AU$6=1,Inputs!$B$52,0)</f>
        <v>0</v>
      </c>
      <c r="AV71" s="69" t="n">
        <f aca="false">IF(AV$6=1,Inputs!$B$52,0)</f>
        <v>0</v>
      </c>
      <c r="AW71" s="69" t="n">
        <f aca="false">IF(AW$6=1,Inputs!$B$52,0)</f>
        <v>0</v>
      </c>
      <c r="AX71" s="69" t="n">
        <f aca="false">IF(AX$6=1,Inputs!$B$52,0)</f>
        <v>0</v>
      </c>
      <c r="AY71" s="69" t="n">
        <f aca="false">IF(AY$6=1,Inputs!$B$52,0)</f>
        <v>0</v>
      </c>
      <c r="AZ71" s="69" t="n">
        <f aca="false">IF(AZ$6=1,Inputs!$B$52,0)</f>
        <v>0</v>
      </c>
      <c r="BA71" s="69" t="n">
        <f aca="false">IF(BA$6=1,Inputs!$B$52,0)</f>
        <v>0</v>
      </c>
      <c r="BB71" s="69" t="n">
        <f aca="false">IF(BB$6=1,Inputs!$B$52,0)</f>
        <v>0</v>
      </c>
      <c r="BC71" s="69" t="n">
        <f aca="false">IF(BC$6=1,Inputs!$B$52,0)</f>
        <v>0</v>
      </c>
      <c r="BD71" s="69" t="n">
        <f aca="false">IF(BD$6=1,Inputs!$B$52,0)</f>
        <v>0</v>
      </c>
      <c r="BE71" s="69" t="n">
        <f aca="false">IF(BE$6=1,Inputs!$B$52,0)</f>
        <v>0</v>
      </c>
      <c r="BF71" s="69" t="n">
        <f aca="false">IF(BF$6=1,Inputs!$B$52,0)</f>
        <v>0</v>
      </c>
      <c r="BG71" s="69" t="n">
        <f aca="false">IF(BG$6=1,Inputs!$B$52,0)</f>
        <v>0</v>
      </c>
      <c r="BH71" s="69" t="n">
        <f aca="false">IF(BH$6=1,Inputs!$B$52,0)</f>
        <v>0</v>
      </c>
      <c r="BI71" s="69" t="n">
        <f aca="false">IF(BI$6=1,Inputs!$B$52,0)</f>
        <v>0</v>
      </c>
      <c r="BJ71" s="69" t="n">
        <f aca="false">IF(BJ$6=1,Inputs!$B$52,0)</f>
        <v>0</v>
      </c>
    </row>
    <row r="72" customFormat="false" ht="15" hidden="false" customHeight="false" outlineLevel="0" collapsed="false">
      <c r="A72" s="6" t="s">
        <v>451</v>
      </c>
      <c r="C72" s="69" t="n">
        <f aca="false">IF(C$6=1,Inputs!$B$53,0)</f>
        <v>0</v>
      </c>
      <c r="D72" s="69" t="n">
        <f aca="false">IF(D$6=1,Inputs!$B$53,0)</f>
        <v>0</v>
      </c>
      <c r="E72" s="69" t="n">
        <f aca="false">IF(E$6=1,Inputs!$B$53,0)</f>
        <v>0</v>
      </c>
      <c r="F72" s="69" t="n">
        <f aca="false">IF(F$6=1,Inputs!$B$53,0)</f>
        <v>0</v>
      </c>
      <c r="G72" s="69" t="n">
        <f aca="false">IF(G$6=1,Inputs!$B$53,0)</f>
        <v>0</v>
      </c>
      <c r="H72" s="69" t="n">
        <f aca="false">IF(H$6=1,Inputs!$B$53,0)</f>
        <v>0</v>
      </c>
      <c r="I72" s="69" t="n">
        <f aca="false">IF(I$6=1,Inputs!$B$53,0)</f>
        <v>0</v>
      </c>
      <c r="J72" s="69" t="n">
        <f aca="false">IF(J$6=1,Inputs!$B$53,0)</f>
        <v>0</v>
      </c>
      <c r="K72" s="69" t="n">
        <f aca="false">IF(K$6=1,Inputs!$B$53,0)</f>
        <v>0</v>
      </c>
      <c r="L72" s="69" t="n">
        <f aca="false">IF(L$6=1,Inputs!$B$53,0)</f>
        <v>0</v>
      </c>
      <c r="M72" s="69" t="n">
        <f aca="false">IF(M$6=1,Inputs!$B$53,0)</f>
        <v>0</v>
      </c>
      <c r="N72" s="69" t="n">
        <f aca="false">IF(N$6=1,Inputs!$B$53,0)</f>
        <v>0</v>
      </c>
      <c r="O72" s="69" t="n">
        <f aca="false">IF(O$6=1,Inputs!$B$53,0)</f>
        <v>0</v>
      </c>
      <c r="P72" s="69" t="n">
        <f aca="false">IF(P$6=1,Inputs!$B$53,0)</f>
        <v>0</v>
      </c>
      <c r="Q72" s="69" t="n">
        <f aca="false">IF(Q$6=1,Inputs!$B$53,0)</f>
        <v>0</v>
      </c>
      <c r="R72" s="69" t="n">
        <f aca="false">IF(R$6=1,Inputs!$B$53,0)</f>
        <v>0</v>
      </c>
      <c r="S72" s="69" t="n">
        <f aca="false">IF(S$6=1,Inputs!$B$53,0)</f>
        <v>0</v>
      </c>
      <c r="T72" s="69" t="n">
        <f aca="false">IF(T$6=1,Inputs!$B$53,0)</f>
        <v>0</v>
      </c>
      <c r="U72" s="69" t="n">
        <f aca="false">IF(U$6=1,Inputs!$B$53,0)</f>
        <v>0</v>
      </c>
      <c r="V72" s="69" t="n">
        <f aca="false">IF(V$6=1,Inputs!$B$53,0)</f>
        <v>0</v>
      </c>
      <c r="W72" s="69" t="n">
        <f aca="false">IF(W$6=1,Inputs!$B$53,0)</f>
        <v>0</v>
      </c>
      <c r="X72" s="69" t="n">
        <f aca="false">IF(X$6=1,Inputs!$B$53,0)</f>
        <v>0</v>
      </c>
      <c r="Y72" s="69" t="n">
        <f aca="false">IF(Y$6=1,Inputs!$B$53,0)</f>
        <v>0</v>
      </c>
      <c r="Z72" s="69" t="n">
        <f aca="false">IF(Z$6=1,Inputs!$B$53,0)</f>
        <v>0</v>
      </c>
      <c r="AA72" s="69" t="n">
        <f aca="false">IF(AA$6=1,Inputs!$B$53,0)</f>
        <v>0</v>
      </c>
      <c r="AB72" s="69" t="n">
        <f aca="false">IF(AB$6=1,Inputs!$B$53,0)</f>
        <v>0</v>
      </c>
      <c r="AC72" s="69" t="n">
        <f aca="false">IF(AC$6=1,Inputs!$B$53,0)</f>
        <v>0</v>
      </c>
      <c r="AD72" s="69" t="n">
        <f aca="false">IF(AD$6=1,Inputs!$B$53,0)</f>
        <v>0</v>
      </c>
      <c r="AE72" s="69" t="n">
        <f aca="false">IF(AE$6=1,Inputs!$B$53,0)</f>
        <v>0</v>
      </c>
      <c r="AF72" s="69" t="n">
        <f aca="false">IF(AF$6=1,Inputs!$B$53,0)</f>
        <v>0</v>
      </c>
      <c r="AG72" s="69" t="n">
        <f aca="false">IF(AG$6=1,Inputs!$B$53,0)</f>
        <v>0</v>
      </c>
      <c r="AH72" s="69" t="n">
        <f aca="false">IF(AH$6=1,Inputs!$B$53,0)</f>
        <v>0</v>
      </c>
      <c r="AI72" s="69" t="n">
        <f aca="false">IF(AI$6=1,Inputs!$B$53,0)</f>
        <v>0</v>
      </c>
      <c r="AJ72" s="69" t="n">
        <f aca="false">IF(AJ$6=1,Inputs!$B$53,0)</f>
        <v>0</v>
      </c>
      <c r="AK72" s="69" t="n">
        <f aca="false">IF(AK$6=1,Inputs!$B$53,0)</f>
        <v>0</v>
      </c>
      <c r="AL72" s="69" t="n">
        <f aca="false">IF(AL$6=1,Inputs!$B$53,0)</f>
        <v>0</v>
      </c>
      <c r="AM72" s="69" t="n">
        <f aca="false">IF(AM$6=1,Inputs!$B$53,0)</f>
        <v>0</v>
      </c>
      <c r="AN72" s="69" t="n">
        <f aca="false">IF(AN$6=1,Inputs!$B$53,0)</f>
        <v>0</v>
      </c>
      <c r="AO72" s="69" t="n">
        <f aca="false">IF(AO$6=1,Inputs!$B$53,0)</f>
        <v>0</v>
      </c>
      <c r="AP72" s="69" t="n">
        <f aca="false">IF(AP$6=1,Inputs!$B$53,0)</f>
        <v>0</v>
      </c>
      <c r="AQ72" s="69" t="n">
        <f aca="false">IF(AQ$6=1,Inputs!$B$53,0)</f>
        <v>0</v>
      </c>
      <c r="AR72" s="69" t="n">
        <f aca="false">IF(AR$6=1,Inputs!$B$53,0)</f>
        <v>0</v>
      </c>
      <c r="AS72" s="69" t="n">
        <f aca="false">IF(AS$6=1,Inputs!$B$53,0)</f>
        <v>0</v>
      </c>
      <c r="AT72" s="69" t="n">
        <f aca="false">IF(AT$6=1,Inputs!$B$53,0)</f>
        <v>0</v>
      </c>
      <c r="AU72" s="69" t="n">
        <f aca="false">IF(AU$6=1,Inputs!$B$53,0)</f>
        <v>0</v>
      </c>
      <c r="AV72" s="69" t="n">
        <f aca="false">IF(AV$6=1,Inputs!$B$53,0)</f>
        <v>0</v>
      </c>
      <c r="AW72" s="69" t="n">
        <f aca="false">IF(AW$6=1,Inputs!$B$53,0)</f>
        <v>0</v>
      </c>
      <c r="AX72" s="69" t="n">
        <f aca="false">IF(AX$6=1,Inputs!$B$53,0)</f>
        <v>0</v>
      </c>
      <c r="AY72" s="69" t="n">
        <f aca="false">IF(AY$6=1,Inputs!$B$53,0)</f>
        <v>0</v>
      </c>
      <c r="AZ72" s="69" t="n">
        <f aca="false">IF(AZ$6=1,Inputs!$B$53,0)</f>
        <v>0</v>
      </c>
      <c r="BA72" s="69" t="n">
        <f aca="false">IF(BA$6=1,Inputs!$B$53,0)</f>
        <v>0</v>
      </c>
      <c r="BB72" s="69" t="n">
        <f aca="false">IF(BB$6=1,Inputs!$B$53,0)</f>
        <v>0</v>
      </c>
      <c r="BC72" s="69" t="n">
        <f aca="false">IF(BC$6=1,Inputs!$B$53,0)</f>
        <v>0</v>
      </c>
      <c r="BD72" s="69" t="n">
        <f aca="false">IF(BD$6=1,Inputs!$B$53,0)</f>
        <v>0</v>
      </c>
      <c r="BE72" s="69" t="n">
        <f aca="false">IF(BE$6=1,Inputs!$B$53,0)</f>
        <v>0</v>
      </c>
      <c r="BF72" s="69" t="n">
        <f aca="false">IF(BF$6=1,Inputs!$B$53,0)</f>
        <v>0</v>
      </c>
      <c r="BG72" s="69" t="n">
        <f aca="false">IF(BG$6=1,Inputs!$B$53,0)</f>
        <v>0</v>
      </c>
      <c r="BH72" s="69" t="n">
        <f aca="false">IF(BH$6=1,Inputs!$B$53,0)</f>
        <v>0</v>
      </c>
      <c r="BI72" s="69" t="n">
        <f aca="false">IF(BI$6=1,Inputs!$B$53,0)</f>
        <v>0</v>
      </c>
      <c r="BJ72" s="69" t="n">
        <f aca="false">IF(BJ$6=1,Inputs!$B$53,0)</f>
        <v>0</v>
      </c>
    </row>
    <row r="73" customFormat="false" ht="15" hidden="false" customHeight="false" outlineLevel="0" collapsed="false">
      <c r="A73" s="6" t="s">
        <v>452</v>
      </c>
      <c r="C73" s="69" t="n">
        <f aca="false">IF(AND(C$7&gt;1,MOD(C$6-1,12)=0),Inputs!$B$54,0)</f>
        <v>0</v>
      </c>
      <c r="D73" s="69" t="n">
        <f aca="false">IF(AND(D$7&gt;1,MOD(D$6-1,12)=0),Inputs!$B$54,0)</f>
        <v>0</v>
      </c>
      <c r="E73" s="69" t="n">
        <f aca="false">IF(AND(E$7&gt;1,MOD(E$6-1,12)=0),Inputs!$B$54,0)</f>
        <v>0</v>
      </c>
      <c r="F73" s="69" t="n">
        <f aca="false">IF(AND(F$7&gt;1,MOD(F$6-1,12)=0),Inputs!$B$54,0)</f>
        <v>0</v>
      </c>
      <c r="G73" s="69" t="n">
        <f aca="false">IF(AND(G$7&gt;1,MOD(G$6-1,12)=0),Inputs!$B$54,0)</f>
        <v>0</v>
      </c>
      <c r="H73" s="69" t="n">
        <f aca="false">IF(AND(H$7&gt;1,MOD(H$6-1,12)=0),Inputs!$B$54,0)</f>
        <v>0</v>
      </c>
      <c r="I73" s="69" t="n">
        <f aca="false">IF(AND(I$7&gt;1,MOD(I$6-1,12)=0),Inputs!$B$54,0)</f>
        <v>0</v>
      </c>
      <c r="J73" s="69" t="n">
        <f aca="false">IF(AND(J$7&gt;1,MOD(J$6-1,12)=0),Inputs!$B$54,0)</f>
        <v>0</v>
      </c>
      <c r="K73" s="69" t="n">
        <f aca="false">IF(AND(K$7&gt;1,MOD(K$6-1,12)=0),Inputs!$B$54,0)</f>
        <v>0</v>
      </c>
      <c r="L73" s="69" t="n">
        <f aca="false">IF(AND(L$7&gt;1,MOD(L$6-1,12)=0),Inputs!$B$54,0)</f>
        <v>0</v>
      </c>
      <c r="M73" s="69" t="n">
        <f aca="false">IF(AND(M$7&gt;1,MOD(M$6-1,12)=0),Inputs!$B$54,0)</f>
        <v>0</v>
      </c>
      <c r="N73" s="69" t="n">
        <f aca="false">IF(AND(N$7&gt;1,MOD(N$6-1,12)=0),Inputs!$B$54,0)</f>
        <v>0</v>
      </c>
      <c r="O73" s="69" t="n">
        <f aca="false">IF(AND(O$7&gt;1,MOD(O$6-1,12)=0),Inputs!$B$54,0)</f>
        <v>40000</v>
      </c>
      <c r="P73" s="69" t="n">
        <f aca="false">IF(AND(P$7&gt;1,MOD(P$6-1,12)=0),Inputs!$B$54,0)</f>
        <v>0</v>
      </c>
      <c r="Q73" s="69" t="n">
        <f aca="false">IF(AND(Q$7&gt;1,MOD(Q$6-1,12)=0),Inputs!$B$54,0)</f>
        <v>0</v>
      </c>
      <c r="R73" s="69" t="n">
        <f aca="false">IF(AND(R$7&gt;1,MOD(R$6-1,12)=0),Inputs!$B$54,0)</f>
        <v>0</v>
      </c>
      <c r="S73" s="69" t="n">
        <f aca="false">IF(AND(S$7&gt;1,MOD(S$6-1,12)=0),Inputs!$B$54,0)</f>
        <v>0</v>
      </c>
      <c r="T73" s="69" t="n">
        <f aca="false">IF(AND(T$7&gt;1,MOD(T$6-1,12)=0),Inputs!$B$54,0)</f>
        <v>0</v>
      </c>
      <c r="U73" s="69" t="n">
        <f aca="false">IF(AND(U$7&gt;1,MOD(U$6-1,12)=0),Inputs!$B$54,0)</f>
        <v>0</v>
      </c>
      <c r="V73" s="69" t="n">
        <f aca="false">IF(AND(V$7&gt;1,MOD(V$6-1,12)=0),Inputs!$B$54,0)</f>
        <v>0</v>
      </c>
      <c r="W73" s="69" t="n">
        <f aca="false">IF(AND(W$7&gt;1,MOD(W$6-1,12)=0),Inputs!$B$54,0)</f>
        <v>0</v>
      </c>
      <c r="X73" s="69" t="n">
        <f aca="false">IF(AND(X$7&gt;1,MOD(X$6-1,12)=0),Inputs!$B$54,0)</f>
        <v>0</v>
      </c>
      <c r="Y73" s="69" t="n">
        <f aca="false">IF(AND(Y$7&gt;1,MOD(Y$6-1,12)=0),Inputs!$B$54,0)</f>
        <v>0</v>
      </c>
      <c r="Z73" s="69" t="n">
        <f aca="false">IF(AND(Z$7&gt;1,MOD(Z$6-1,12)=0),Inputs!$B$54,0)</f>
        <v>0</v>
      </c>
      <c r="AA73" s="69" t="n">
        <f aca="false">IF(AND(AA$7&gt;1,MOD(AA$6-1,12)=0),Inputs!$B$54,0)</f>
        <v>40000</v>
      </c>
      <c r="AB73" s="69" t="n">
        <f aca="false">IF(AND(AB$7&gt;1,MOD(AB$6-1,12)=0),Inputs!$B$54,0)</f>
        <v>0</v>
      </c>
      <c r="AC73" s="69" t="n">
        <f aca="false">IF(AND(AC$7&gt;1,MOD(AC$6-1,12)=0),Inputs!$B$54,0)</f>
        <v>0</v>
      </c>
      <c r="AD73" s="69" t="n">
        <f aca="false">IF(AND(AD$7&gt;1,MOD(AD$6-1,12)=0),Inputs!$B$54,0)</f>
        <v>0</v>
      </c>
      <c r="AE73" s="69" t="n">
        <f aca="false">IF(AND(AE$7&gt;1,MOD(AE$6-1,12)=0),Inputs!$B$54,0)</f>
        <v>0</v>
      </c>
      <c r="AF73" s="69" t="n">
        <f aca="false">IF(AND(AF$7&gt;1,MOD(AF$6-1,12)=0),Inputs!$B$54,0)</f>
        <v>0</v>
      </c>
      <c r="AG73" s="69" t="n">
        <f aca="false">IF(AND(AG$7&gt;1,MOD(AG$6-1,12)=0),Inputs!$B$54,0)</f>
        <v>0</v>
      </c>
      <c r="AH73" s="69" t="n">
        <f aca="false">IF(AND(AH$7&gt;1,MOD(AH$6-1,12)=0),Inputs!$B$54,0)</f>
        <v>0</v>
      </c>
      <c r="AI73" s="69" t="n">
        <f aca="false">IF(AND(AI$7&gt;1,MOD(AI$6-1,12)=0),Inputs!$B$54,0)</f>
        <v>0</v>
      </c>
      <c r="AJ73" s="69" t="n">
        <f aca="false">IF(AND(AJ$7&gt;1,MOD(AJ$6-1,12)=0),Inputs!$B$54,0)</f>
        <v>0</v>
      </c>
      <c r="AK73" s="69" t="n">
        <f aca="false">IF(AND(AK$7&gt;1,MOD(AK$6-1,12)=0),Inputs!$B$54,0)</f>
        <v>0</v>
      </c>
      <c r="AL73" s="69" t="n">
        <f aca="false">IF(AND(AL$7&gt;1,MOD(AL$6-1,12)=0),Inputs!$B$54,0)</f>
        <v>0</v>
      </c>
      <c r="AM73" s="69" t="n">
        <f aca="false">IF(AND(AM$7&gt;1,MOD(AM$6-1,12)=0),Inputs!$B$54,0)</f>
        <v>40000</v>
      </c>
      <c r="AN73" s="69" t="n">
        <f aca="false">IF(AND(AN$7&gt;1,MOD(AN$6-1,12)=0),Inputs!$B$54,0)</f>
        <v>0</v>
      </c>
      <c r="AO73" s="69" t="n">
        <f aca="false">IF(AND(AO$7&gt;1,MOD(AO$6-1,12)=0),Inputs!$B$54,0)</f>
        <v>0</v>
      </c>
      <c r="AP73" s="69" t="n">
        <f aca="false">IF(AND(AP$7&gt;1,MOD(AP$6-1,12)=0),Inputs!$B$54,0)</f>
        <v>0</v>
      </c>
      <c r="AQ73" s="69" t="n">
        <f aca="false">IF(AND(AQ$7&gt;1,MOD(AQ$6-1,12)=0),Inputs!$B$54,0)</f>
        <v>0</v>
      </c>
      <c r="AR73" s="69" t="n">
        <f aca="false">IF(AND(AR$7&gt;1,MOD(AR$6-1,12)=0),Inputs!$B$54,0)</f>
        <v>0</v>
      </c>
      <c r="AS73" s="69" t="n">
        <f aca="false">IF(AND(AS$7&gt;1,MOD(AS$6-1,12)=0),Inputs!$B$54,0)</f>
        <v>0</v>
      </c>
      <c r="AT73" s="69" t="n">
        <f aca="false">IF(AND(AT$7&gt;1,MOD(AT$6-1,12)=0),Inputs!$B$54,0)</f>
        <v>0</v>
      </c>
      <c r="AU73" s="69" t="n">
        <f aca="false">IF(AND(AU$7&gt;1,MOD(AU$6-1,12)=0),Inputs!$B$54,0)</f>
        <v>0</v>
      </c>
      <c r="AV73" s="69" t="n">
        <f aca="false">IF(AND(AV$7&gt;1,MOD(AV$6-1,12)=0),Inputs!$B$54,0)</f>
        <v>0</v>
      </c>
      <c r="AW73" s="69" t="n">
        <f aca="false">IF(AND(AW$7&gt;1,MOD(AW$6-1,12)=0),Inputs!$B$54,0)</f>
        <v>0</v>
      </c>
      <c r="AX73" s="69" t="n">
        <f aca="false">IF(AND(AX$7&gt;1,MOD(AX$6-1,12)=0),Inputs!$B$54,0)</f>
        <v>0</v>
      </c>
      <c r="AY73" s="69" t="n">
        <f aca="false">IF(AND(AY$7&gt;1,MOD(AY$6-1,12)=0),Inputs!$B$54,0)</f>
        <v>40000</v>
      </c>
      <c r="AZ73" s="69" t="n">
        <f aca="false">IF(AND(AZ$7&gt;1,MOD(AZ$6-1,12)=0),Inputs!$B$54,0)</f>
        <v>0</v>
      </c>
      <c r="BA73" s="69" t="n">
        <f aca="false">IF(AND(BA$7&gt;1,MOD(BA$6-1,12)=0),Inputs!$B$54,0)</f>
        <v>0</v>
      </c>
      <c r="BB73" s="69" t="n">
        <f aca="false">IF(AND(BB$7&gt;1,MOD(BB$6-1,12)=0),Inputs!$B$54,0)</f>
        <v>0</v>
      </c>
      <c r="BC73" s="69" t="n">
        <f aca="false">IF(AND(BC$7&gt;1,MOD(BC$6-1,12)=0),Inputs!$B$54,0)</f>
        <v>0</v>
      </c>
      <c r="BD73" s="69" t="n">
        <f aca="false">IF(AND(BD$7&gt;1,MOD(BD$6-1,12)=0),Inputs!$B$54,0)</f>
        <v>0</v>
      </c>
      <c r="BE73" s="69" t="n">
        <f aca="false">IF(AND(BE$7&gt;1,MOD(BE$6-1,12)=0),Inputs!$B$54,0)</f>
        <v>0</v>
      </c>
      <c r="BF73" s="69" t="n">
        <f aca="false">IF(AND(BF$7&gt;1,MOD(BF$6-1,12)=0),Inputs!$B$54,0)</f>
        <v>0</v>
      </c>
      <c r="BG73" s="69" t="n">
        <f aca="false">IF(AND(BG$7&gt;1,MOD(BG$6-1,12)=0),Inputs!$B$54,0)</f>
        <v>0</v>
      </c>
      <c r="BH73" s="69" t="n">
        <f aca="false">IF(AND(BH$7&gt;1,MOD(BH$6-1,12)=0),Inputs!$B$54,0)</f>
        <v>0</v>
      </c>
      <c r="BI73" s="69" t="n">
        <f aca="false">IF(AND(BI$7&gt;1,MOD(BI$6-1,12)=0),Inputs!$B$54,0)</f>
        <v>0</v>
      </c>
      <c r="BJ73" s="69" t="n">
        <f aca="false">IF(AND(BJ$7&gt;1,MOD(BJ$6-1,12)=0),Inputs!$B$54,0)</f>
        <v>0</v>
      </c>
    </row>
    <row r="74" customFormat="false" ht="15" hidden="false" customHeight="false" outlineLevel="0" collapsed="false">
      <c r="A74" s="4" t="s">
        <v>84</v>
      </c>
      <c r="C74" s="75" t="n">
        <f aca="false">C69+C70+C71+C72+C73</f>
        <v>4100000</v>
      </c>
      <c r="D74" s="75" t="n">
        <f aca="false">D69+D70+D71+D72+D73</f>
        <v>0</v>
      </c>
      <c r="E74" s="75" t="n">
        <f aca="false">E69+E70+E71+E72+E73</f>
        <v>0</v>
      </c>
      <c r="F74" s="75" t="n">
        <f aca="false">F69+F70+F71+F72+F73</f>
        <v>0</v>
      </c>
      <c r="G74" s="75" t="n">
        <f aca="false">G69+G70+G71+G72+G73</f>
        <v>0</v>
      </c>
      <c r="H74" s="75" t="n">
        <f aca="false">H69+H70+H71+H72+H73</f>
        <v>0</v>
      </c>
      <c r="I74" s="75" t="n">
        <f aca="false">I69+I70+I71+I72+I73</f>
        <v>0</v>
      </c>
      <c r="J74" s="75" t="n">
        <f aca="false">J69+J70+J71+J72+J73</f>
        <v>0</v>
      </c>
      <c r="K74" s="75" t="n">
        <f aca="false">K69+K70+K71+K72+K73</f>
        <v>0</v>
      </c>
      <c r="L74" s="75" t="n">
        <f aca="false">L69+L70+L71+L72+L73</f>
        <v>0</v>
      </c>
      <c r="M74" s="75" t="n">
        <f aca="false">M69+M70+M71+M72+M73</f>
        <v>0</v>
      </c>
      <c r="N74" s="75" t="n">
        <f aca="false">N69+N70+N71+N72+N73</f>
        <v>0</v>
      </c>
      <c r="O74" s="75" t="n">
        <f aca="false">O69+O70+O71+O72+O73</f>
        <v>40000</v>
      </c>
      <c r="P74" s="75" t="n">
        <f aca="false">P69+P70+P71+P72+P73</f>
        <v>0</v>
      </c>
      <c r="Q74" s="75" t="n">
        <f aca="false">Q69+Q70+Q71+Q72+Q73</f>
        <v>0</v>
      </c>
      <c r="R74" s="75" t="n">
        <f aca="false">R69+R70+R71+R72+R73</f>
        <v>0</v>
      </c>
      <c r="S74" s="75" t="n">
        <f aca="false">S69+S70+S71+S72+S73</f>
        <v>0</v>
      </c>
      <c r="T74" s="75" t="n">
        <f aca="false">T69+T70+T71+T72+T73</f>
        <v>0</v>
      </c>
      <c r="U74" s="75" t="n">
        <f aca="false">U69+U70+U71+U72+U73</f>
        <v>0</v>
      </c>
      <c r="V74" s="75" t="n">
        <f aca="false">V69+V70+V71+V72+V73</f>
        <v>0</v>
      </c>
      <c r="W74" s="75" t="n">
        <f aca="false">W69+W70+W71+W72+W73</f>
        <v>0</v>
      </c>
      <c r="X74" s="75" t="n">
        <f aca="false">X69+X70+X71+X72+X73</f>
        <v>0</v>
      </c>
      <c r="Y74" s="75" t="n">
        <f aca="false">Y69+Y70+Y71+Y72+Y73</f>
        <v>0</v>
      </c>
      <c r="Z74" s="75" t="n">
        <f aca="false">Z69+Z70+Z71+Z72+Z73</f>
        <v>0</v>
      </c>
      <c r="AA74" s="75" t="n">
        <f aca="false">AA69+AA70+AA71+AA72+AA73</f>
        <v>40000</v>
      </c>
      <c r="AB74" s="75" t="n">
        <f aca="false">AB69+AB70+AB71+AB72+AB73</f>
        <v>0</v>
      </c>
      <c r="AC74" s="75" t="n">
        <f aca="false">AC69+AC70+AC71+AC72+AC73</f>
        <v>0</v>
      </c>
      <c r="AD74" s="75" t="n">
        <f aca="false">AD69+AD70+AD71+AD72+AD73</f>
        <v>0</v>
      </c>
      <c r="AE74" s="75" t="n">
        <f aca="false">AE69+AE70+AE71+AE72+AE73</f>
        <v>0</v>
      </c>
      <c r="AF74" s="75" t="n">
        <f aca="false">AF69+AF70+AF71+AF72+AF73</f>
        <v>0</v>
      </c>
      <c r="AG74" s="75" t="n">
        <f aca="false">AG69+AG70+AG71+AG72+AG73</f>
        <v>0</v>
      </c>
      <c r="AH74" s="75" t="n">
        <f aca="false">AH69+AH70+AH71+AH72+AH73</f>
        <v>0</v>
      </c>
      <c r="AI74" s="75" t="n">
        <f aca="false">AI69+AI70+AI71+AI72+AI73</f>
        <v>0</v>
      </c>
      <c r="AJ74" s="75" t="n">
        <f aca="false">AJ69+AJ70+AJ71+AJ72+AJ73</f>
        <v>0</v>
      </c>
      <c r="AK74" s="75" t="n">
        <f aca="false">AK69+AK70+AK71+AK72+AK73</f>
        <v>0</v>
      </c>
      <c r="AL74" s="75" t="n">
        <f aca="false">AL69+AL70+AL71+AL72+AL73</f>
        <v>0</v>
      </c>
      <c r="AM74" s="75" t="n">
        <f aca="false">AM69+AM70+AM71+AM72+AM73</f>
        <v>40000</v>
      </c>
      <c r="AN74" s="75" t="n">
        <f aca="false">AN69+AN70+AN71+AN72+AN73</f>
        <v>0</v>
      </c>
      <c r="AO74" s="75" t="n">
        <f aca="false">AO69+AO70+AO71+AO72+AO73</f>
        <v>0</v>
      </c>
      <c r="AP74" s="75" t="n">
        <f aca="false">AP69+AP70+AP71+AP72+AP73</f>
        <v>0</v>
      </c>
      <c r="AQ74" s="75" t="n">
        <f aca="false">AQ69+AQ70+AQ71+AQ72+AQ73</f>
        <v>0</v>
      </c>
      <c r="AR74" s="75" t="n">
        <f aca="false">AR69+AR70+AR71+AR72+AR73</f>
        <v>0</v>
      </c>
      <c r="AS74" s="75" t="n">
        <f aca="false">AS69+AS70+AS71+AS72+AS73</f>
        <v>0</v>
      </c>
      <c r="AT74" s="75" t="n">
        <f aca="false">AT69+AT70+AT71+AT72+AT73</f>
        <v>0</v>
      </c>
      <c r="AU74" s="75" t="n">
        <f aca="false">AU69+AU70+AU71+AU72+AU73</f>
        <v>0</v>
      </c>
      <c r="AV74" s="75" t="n">
        <f aca="false">AV69+AV70+AV71+AV72+AV73</f>
        <v>0</v>
      </c>
      <c r="AW74" s="75" t="n">
        <f aca="false">AW69+AW70+AW71+AW72+AW73</f>
        <v>0</v>
      </c>
      <c r="AX74" s="75" t="n">
        <f aca="false">AX69+AX70+AX71+AX72+AX73</f>
        <v>0</v>
      </c>
      <c r="AY74" s="75" t="n">
        <f aca="false">AY69+AY70+AY71+AY72+AY73</f>
        <v>40000</v>
      </c>
      <c r="AZ74" s="75" t="n">
        <f aca="false">AZ69+AZ70+AZ71+AZ72+AZ73</f>
        <v>0</v>
      </c>
      <c r="BA74" s="75" t="n">
        <f aca="false">BA69+BA70+BA71+BA72+BA73</f>
        <v>0</v>
      </c>
      <c r="BB74" s="75" t="n">
        <f aca="false">BB69+BB70+BB71+BB72+BB73</f>
        <v>0</v>
      </c>
      <c r="BC74" s="75" t="n">
        <f aca="false">BC69+BC70+BC71+BC72+BC73</f>
        <v>0</v>
      </c>
      <c r="BD74" s="75" t="n">
        <f aca="false">BD69+BD70+BD71+BD72+BD73</f>
        <v>0</v>
      </c>
      <c r="BE74" s="75" t="n">
        <f aca="false">BE69+BE70+BE71+BE72+BE73</f>
        <v>0</v>
      </c>
      <c r="BF74" s="75" t="n">
        <f aca="false">BF69+BF70+BF71+BF72+BF73</f>
        <v>0</v>
      </c>
      <c r="BG74" s="75" t="n">
        <f aca="false">BG69+BG70+BG71+BG72+BG73</f>
        <v>0</v>
      </c>
      <c r="BH74" s="75" t="n">
        <f aca="false">BH69+BH70+BH71+BH72+BH73</f>
        <v>0</v>
      </c>
      <c r="BI74" s="75" t="n">
        <f aca="false">BI69+BI70+BI71+BI72+BI73</f>
        <v>0</v>
      </c>
      <c r="BJ74" s="75" t="n">
        <f aca="false">BJ69+BJ70+BJ71+BJ72+BJ73</f>
        <v>0</v>
      </c>
    </row>
    <row r="75" customFormat="false" ht="15" hidden="false" customHeight="false" outlineLevel="0" collapsed="false">
      <c r="A75" s="6" t="s">
        <v>453</v>
      </c>
      <c r="C75" s="69" t="n">
        <f aca="false">C74</f>
        <v>4100000</v>
      </c>
      <c r="D75" s="69" t="n">
        <f aca="false">C75+D74</f>
        <v>4100000</v>
      </c>
      <c r="E75" s="69" t="n">
        <f aca="false">D75+E74</f>
        <v>4100000</v>
      </c>
      <c r="F75" s="69" t="n">
        <f aca="false">E75+F74</f>
        <v>4100000</v>
      </c>
      <c r="G75" s="69" t="n">
        <f aca="false">F75+G74</f>
        <v>4100000</v>
      </c>
      <c r="H75" s="69" t="n">
        <f aca="false">G75+H74</f>
        <v>4100000</v>
      </c>
      <c r="I75" s="69" t="n">
        <f aca="false">H75+I74</f>
        <v>4100000</v>
      </c>
      <c r="J75" s="69" t="n">
        <f aca="false">I75+J74</f>
        <v>4100000</v>
      </c>
      <c r="K75" s="69" t="n">
        <f aca="false">J75+K74</f>
        <v>4100000</v>
      </c>
      <c r="L75" s="69" t="n">
        <f aca="false">K75+L74</f>
        <v>4100000</v>
      </c>
      <c r="M75" s="69" t="n">
        <f aca="false">L75+M74</f>
        <v>4100000</v>
      </c>
      <c r="N75" s="69" t="n">
        <f aca="false">M75+N74</f>
        <v>4100000</v>
      </c>
      <c r="O75" s="69" t="n">
        <f aca="false">N75+O74</f>
        <v>4140000</v>
      </c>
      <c r="P75" s="69" t="n">
        <f aca="false">O75+P74</f>
        <v>4140000</v>
      </c>
      <c r="Q75" s="69" t="n">
        <f aca="false">P75+Q74</f>
        <v>4140000</v>
      </c>
      <c r="R75" s="69" t="n">
        <f aca="false">Q75+R74</f>
        <v>4140000</v>
      </c>
      <c r="S75" s="69" t="n">
        <f aca="false">R75+S74</f>
        <v>4140000</v>
      </c>
      <c r="T75" s="69" t="n">
        <f aca="false">S75+T74</f>
        <v>4140000</v>
      </c>
      <c r="U75" s="69" t="n">
        <f aca="false">T75+U74</f>
        <v>4140000</v>
      </c>
      <c r="V75" s="69" t="n">
        <f aca="false">U75+V74</f>
        <v>4140000</v>
      </c>
      <c r="W75" s="69" t="n">
        <f aca="false">V75+W74</f>
        <v>4140000</v>
      </c>
      <c r="X75" s="69" t="n">
        <f aca="false">W75+X74</f>
        <v>4140000</v>
      </c>
      <c r="Y75" s="69" t="n">
        <f aca="false">X75+Y74</f>
        <v>4140000</v>
      </c>
      <c r="Z75" s="69" t="n">
        <f aca="false">Y75+Z74</f>
        <v>4140000</v>
      </c>
      <c r="AA75" s="69" t="n">
        <f aca="false">Z75+AA74</f>
        <v>4180000</v>
      </c>
      <c r="AB75" s="69" t="n">
        <f aca="false">AA75+AB74</f>
        <v>4180000</v>
      </c>
      <c r="AC75" s="69" t="n">
        <f aca="false">AB75+AC74</f>
        <v>4180000</v>
      </c>
      <c r="AD75" s="69" t="n">
        <f aca="false">AC75+AD74</f>
        <v>4180000</v>
      </c>
      <c r="AE75" s="69" t="n">
        <f aca="false">AD75+AE74</f>
        <v>4180000</v>
      </c>
      <c r="AF75" s="69" t="n">
        <f aca="false">AE75+AF74</f>
        <v>4180000</v>
      </c>
      <c r="AG75" s="69" t="n">
        <f aca="false">AF75+AG74</f>
        <v>4180000</v>
      </c>
      <c r="AH75" s="69" t="n">
        <f aca="false">AG75+AH74</f>
        <v>4180000</v>
      </c>
      <c r="AI75" s="69" t="n">
        <f aca="false">AH75+AI74</f>
        <v>4180000</v>
      </c>
      <c r="AJ75" s="69" t="n">
        <f aca="false">AI75+AJ74</f>
        <v>4180000</v>
      </c>
      <c r="AK75" s="69" t="n">
        <f aca="false">AJ75+AK74</f>
        <v>4180000</v>
      </c>
      <c r="AL75" s="69" t="n">
        <f aca="false">AK75+AL74</f>
        <v>4180000</v>
      </c>
      <c r="AM75" s="69" t="n">
        <f aca="false">AL75+AM74</f>
        <v>4220000</v>
      </c>
      <c r="AN75" s="69" t="n">
        <f aca="false">AM75+AN74</f>
        <v>4220000</v>
      </c>
      <c r="AO75" s="69" t="n">
        <f aca="false">AN75+AO74</f>
        <v>4220000</v>
      </c>
      <c r="AP75" s="69" t="n">
        <f aca="false">AO75+AP74</f>
        <v>4220000</v>
      </c>
      <c r="AQ75" s="69" t="n">
        <f aca="false">AP75+AQ74</f>
        <v>4220000</v>
      </c>
      <c r="AR75" s="69" t="n">
        <f aca="false">AQ75+AR74</f>
        <v>4220000</v>
      </c>
      <c r="AS75" s="69" t="n">
        <f aca="false">AR75+AS74</f>
        <v>4220000</v>
      </c>
      <c r="AT75" s="69" t="n">
        <f aca="false">AS75+AT74</f>
        <v>4220000</v>
      </c>
      <c r="AU75" s="69" t="n">
        <f aca="false">AT75+AU74</f>
        <v>4220000</v>
      </c>
      <c r="AV75" s="69" t="n">
        <f aca="false">AU75+AV74</f>
        <v>4220000</v>
      </c>
      <c r="AW75" s="69" t="n">
        <f aca="false">AV75+AW74</f>
        <v>4220000</v>
      </c>
      <c r="AX75" s="69" t="n">
        <f aca="false">AW75+AX74</f>
        <v>4220000</v>
      </c>
      <c r="AY75" s="69" t="n">
        <f aca="false">AX75+AY74</f>
        <v>4260000</v>
      </c>
      <c r="AZ75" s="69" t="n">
        <f aca="false">AY75+AZ74</f>
        <v>4260000</v>
      </c>
      <c r="BA75" s="69" t="n">
        <f aca="false">AZ75+BA74</f>
        <v>4260000</v>
      </c>
      <c r="BB75" s="69" t="n">
        <f aca="false">BA75+BB74</f>
        <v>4260000</v>
      </c>
      <c r="BC75" s="69" t="n">
        <f aca="false">BB75+BC74</f>
        <v>4260000</v>
      </c>
      <c r="BD75" s="69" t="n">
        <f aca="false">BC75+BD74</f>
        <v>4260000</v>
      </c>
      <c r="BE75" s="69" t="n">
        <f aca="false">BD75+BE74</f>
        <v>4260000</v>
      </c>
      <c r="BF75" s="69" t="n">
        <f aca="false">BE75+BF74</f>
        <v>4260000</v>
      </c>
      <c r="BG75" s="69" t="n">
        <f aca="false">BF75+BG74</f>
        <v>4260000</v>
      </c>
      <c r="BH75" s="69" t="n">
        <f aca="false">BG75+BH74</f>
        <v>4260000</v>
      </c>
      <c r="BI75" s="69" t="n">
        <f aca="false">BH75+BI74</f>
        <v>4260000</v>
      </c>
      <c r="BJ75" s="69" t="n">
        <f aca="false">BI75+BJ74</f>
        <v>4260000</v>
      </c>
    </row>
    <row r="76" customFormat="false" ht="15" hidden="false" customHeight="false" outlineLevel="0" collapsed="false">
      <c r="A76" s="6" t="s">
        <v>454</v>
      </c>
      <c r="C76" s="69" t="n">
        <f aca="false">C72</f>
        <v>0</v>
      </c>
      <c r="D76" s="69" t="n">
        <f aca="false">C76+D72</f>
        <v>0</v>
      </c>
      <c r="E76" s="69" t="n">
        <f aca="false">D76+E72</f>
        <v>0</v>
      </c>
      <c r="F76" s="69" t="n">
        <f aca="false">E76+F72</f>
        <v>0</v>
      </c>
      <c r="G76" s="69" t="n">
        <f aca="false">F76+G72</f>
        <v>0</v>
      </c>
      <c r="H76" s="69" t="n">
        <f aca="false">G76+H72</f>
        <v>0</v>
      </c>
      <c r="I76" s="69" t="n">
        <f aca="false">H76+I72</f>
        <v>0</v>
      </c>
      <c r="J76" s="69" t="n">
        <f aca="false">I76+J72</f>
        <v>0</v>
      </c>
      <c r="K76" s="69" t="n">
        <f aca="false">J76+K72</f>
        <v>0</v>
      </c>
      <c r="L76" s="69" t="n">
        <f aca="false">K76+L72</f>
        <v>0</v>
      </c>
      <c r="M76" s="69" t="n">
        <f aca="false">L76+M72</f>
        <v>0</v>
      </c>
      <c r="N76" s="69" t="n">
        <f aca="false">M76+N72</f>
        <v>0</v>
      </c>
      <c r="O76" s="69" t="n">
        <f aca="false">N76+O72</f>
        <v>0</v>
      </c>
      <c r="P76" s="69" t="n">
        <f aca="false">O76+P72</f>
        <v>0</v>
      </c>
      <c r="Q76" s="69" t="n">
        <f aca="false">P76+Q72</f>
        <v>0</v>
      </c>
      <c r="R76" s="69" t="n">
        <f aca="false">Q76+R72</f>
        <v>0</v>
      </c>
      <c r="S76" s="69" t="n">
        <f aca="false">R76+S72</f>
        <v>0</v>
      </c>
      <c r="T76" s="69" t="n">
        <f aca="false">S76+T72</f>
        <v>0</v>
      </c>
      <c r="U76" s="69" t="n">
        <f aca="false">T76+U72</f>
        <v>0</v>
      </c>
      <c r="V76" s="69" t="n">
        <f aca="false">U76+V72</f>
        <v>0</v>
      </c>
      <c r="W76" s="69" t="n">
        <f aca="false">V76+W72</f>
        <v>0</v>
      </c>
      <c r="X76" s="69" t="n">
        <f aca="false">W76+X72</f>
        <v>0</v>
      </c>
      <c r="Y76" s="69" t="n">
        <f aca="false">X76+Y72</f>
        <v>0</v>
      </c>
      <c r="Z76" s="69" t="n">
        <f aca="false">Y76+Z72</f>
        <v>0</v>
      </c>
      <c r="AA76" s="69" t="n">
        <f aca="false">Z76+AA72</f>
        <v>0</v>
      </c>
      <c r="AB76" s="69" t="n">
        <f aca="false">AA76+AB72</f>
        <v>0</v>
      </c>
      <c r="AC76" s="69" t="n">
        <f aca="false">AB76+AC72</f>
        <v>0</v>
      </c>
      <c r="AD76" s="69" t="n">
        <f aca="false">AC76+AD72</f>
        <v>0</v>
      </c>
      <c r="AE76" s="69" t="n">
        <f aca="false">AD76+AE72</f>
        <v>0</v>
      </c>
      <c r="AF76" s="69" t="n">
        <f aca="false">AE76+AF72</f>
        <v>0</v>
      </c>
      <c r="AG76" s="69" t="n">
        <f aca="false">AF76+AG72</f>
        <v>0</v>
      </c>
      <c r="AH76" s="69" t="n">
        <f aca="false">AG76+AH72</f>
        <v>0</v>
      </c>
      <c r="AI76" s="69" t="n">
        <f aca="false">AH76+AI72</f>
        <v>0</v>
      </c>
      <c r="AJ76" s="69" t="n">
        <f aca="false">AI76+AJ72</f>
        <v>0</v>
      </c>
      <c r="AK76" s="69" t="n">
        <f aca="false">AJ76+AK72</f>
        <v>0</v>
      </c>
      <c r="AL76" s="69" t="n">
        <f aca="false">AK76+AL72</f>
        <v>0</v>
      </c>
      <c r="AM76" s="69" t="n">
        <f aca="false">AL76+AM72</f>
        <v>0</v>
      </c>
      <c r="AN76" s="69" t="n">
        <f aca="false">AM76+AN72</f>
        <v>0</v>
      </c>
      <c r="AO76" s="69" t="n">
        <f aca="false">AN76+AO72</f>
        <v>0</v>
      </c>
      <c r="AP76" s="69" t="n">
        <f aca="false">AO76+AP72</f>
        <v>0</v>
      </c>
      <c r="AQ76" s="69" t="n">
        <f aca="false">AP76+AQ72</f>
        <v>0</v>
      </c>
      <c r="AR76" s="69" t="n">
        <f aca="false">AQ76+AR72</f>
        <v>0</v>
      </c>
      <c r="AS76" s="69" t="n">
        <f aca="false">AR76+AS72</f>
        <v>0</v>
      </c>
      <c r="AT76" s="69" t="n">
        <f aca="false">AS76+AT72</f>
        <v>0</v>
      </c>
      <c r="AU76" s="69" t="n">
        <f aca="false">AT76+AU72</f>
        <v>0</v>
      </c>
      <c r="AV76" s="69" t="n">
        <f aca="false">AU76+AV72</f>
        <v>0</v>
      </c>
      <c r="AW76" s="69" t="n">
        <f aca="false">AV76+AW72</f>
        <v>0</v>
      </c>
      <c r="AX76" s="69" t="n">
        <f aca="false">AW76+AX72</f>
        <v>0</v>
      </c>
      <c r="AY76" s="69" t="n">
        <f aca="false">AX76+AY72</f>
        <v>0</v>
      </c>
      <c r="AZ76" s="69" t="n">
        <f aca="false">AY76+AZ72</f>
        <v>0</v>
      </c>
      <c r="BA76" s="69" t="n">
        <f aca="false">AZ76+BA72</f>
        <v>0</v>
      </c>
      <c r="BB76" s="69" t="n">
        <f aca="false">BA76+BB72</f>
        <v>0</v>
      </c>
      <c r="BC76" s="69" t="n">
        <f aca="false">BB76+BC72</f>
        <v>0</v>
      </c>
      <c r="BD76" s="69" t="n">
        <f aca="false">BC76+BD72</f>
        <v>0</v>
      </c>
      <c r="BE76" s="69" t="n">
        <f aca="false">BD76+BE72</f>
        <v>0</v>
      </c>
      <c r="BF76" s="69" t="n">
        <f aca="false">BE76+BF72</f>
        <v>0</v>
      </c>
      <c r="BG76" s="69" t="n">
        <f aca="false">BF76+BG72</f>
        <v>0</v>
      </c>
      <c r="BH76" s="69" t="n">
        <f aca="false">BG76+BH72</f>
        <v>0</v>
      </c>
      <c r="BI76" s="69" t="n">
        <f aca="false">BH76+BI72</f>
        <v>0</v>
      </c>
      <c r="BJ76" s="69" t="n">
        <f aca="false">BI76+BJ72</f>
        <v>0</v>
      </c>
    </row>
    <row r="77" customFormat="false" ht="15" hidden="false" customHeight="false" outlineLevel="0" collapsed="false">
      <c r="A77" s="6" t="s">
        <v>78</v>
      </c>
      <c r="C77" s="69" t="n">
        <f aca="false">-MIN((C75-C76)/MAX(1,Inputs!$B$80*12),C74-C76)</f>
        <v>-28472.2222222222</v>
      </c>
      <c r="D77" s="69" t="n">
        <f aca="false">-MIN((D75-D76)/MAX(1,Inputs!$B$80*12),C79+D74-D76)</f>
        <v>-28472.2222222222</v>
      </c>
      <c r="E77" s="69" t="n">
        <f aca="false">-MIN((E75-E76)/MAX(1,Inputs!$B$80*12),D79+E74-E76)</f>
        <v>-28472.2222222222</v>
      </c>
      <c r="F77" s="69" t="n">
        <f aca="false">-MIN((F75-F76)/MAX(1,Inputs!$B$80*12),E79+F74-F76)</f>
        <v>-28472.2222222222</v>
      </c>
      <c r="G77" s="69" t="n">
        <f aca="false">-MIN((G75-G76)/MAX(1,Inputs!$B$80*12),F79+G74-G76)</f>
        <v>-28472.2222222222</v>
      </c>
      <c r="H77" s="69" t="n">
        <f aca="false">-MIN((H75-H76)/MAX(1,Inputs!$B$80*12),G79+H74-H76)</f>
        <v>-28472.2222222222</v>
      </c>
      <c r="I77" s="69" t="n">
        <f aca="false">-MIN((I75-I76)/MAX(1,Inputs!$B$80*12),H79+I74-I76)</f>
        <v>-28472.2222222222</v>
      </c>
      <c r="J77" s="69" t="n">
        <f aca="false">-MIN((J75-J76)/MAX(1,Inputs!$B$80*12),I79+J74-J76)</f>
        <v>-28472.2222222222</v>
      </c>
      <c r="K77" s="69" t="n">
        <f aca="false">-MIN((K75-K76)/MAX(1,Inputs!$B$80*12),J79+K74-K76)</f>
        <v>-28472.2222222222</v>
      </c>
      <c r="L77" s="69" t="n">
        <f aca="false">-MIN((L75-L76)/MAX(1,Inputs!$B$80*12),K79+L74-L76)</f>
        <v>-28472.2222222222</v>
      </c>
      <c r="M77" s="69" t="n">
        <f aca="false">-MIN((M75-M76)/MAX(1,Inputs!$B$80*12),L79+M74-M76)</f>
        <v>-28472.2222222222</v>
      </c>
      <c r="N77" s="69" t="n">
        <f aca="false">-MIN((N75-N76)/MAX(1,Inputs!$B$80*12),M79+N74-N76)</f>
        <v>-28472.2222222222</v>
      </c>
      <c r="O77" s="69" t="n">
        <f aca="false">-MIN((O75-O76)/MAX(1,Inputs!$B$80*12),N79+O74-O76)</f>
        <v>-28750</v>
      </c>
      <c r="P77" s="69" t="n">
        <f aca="false">-MIN((P75-P76)/MAX(1,Inputs!$B$80*12),O79+P74-P76)</f>
        <v>-28750</v>
      </c>
      <c r="Q77" s="69" t="n">
        <f aca="false">-MIN((Q75-Q76)/MAX(1,Inputs!$B$80*12),P79+Q74-Q76)</f>
        <v>-28750</v>
      </c>
      <c r="R77" s="69" t="n">
        <f aca="false">-MIN((R75-R76)/MAX(1,Inputs!$B$80*12),Q79+R74-R76)</f>
        <v>-28750</v>
      </c>
      <c r="S77" s="69" t="n">
        <f aca="false">-MIN((S75-S76)/MAX(1,Inputs!$B$80*12),R79+S74-S76)</f>
        <v>-28750</v>
      </c>
      <c r="T77" s="69" t="n">
        <f aca="false">-MIN((T75-T76)/MAX(1,Inputs!$B$80*12),S79+T74-T76)</f>
        <v>-28750</v>
      </c>
      <c r="U77" s="69" t="n">
        <f aca="false">-MIN((U75-U76)/MAX(1,Inputs!$B$80*12),T79+U74-U76)</f>
        <v>-28750</v>
      </c>
      <c r="V77" s="69" t="n">
        <f aca="false">-MIN((V75-V76)/MAX(1,Inputs!$B$80*12),U79+V74-V76)</f>
        <v>-28750</v>
      </c>
      <c r="W77" s="69" t="n">
        <f aca="false">-MIN((W75-W76)/MAX(1,Inputs!$B$80*12),V79+W74-W76)</f>
        <v>-28750</v>
      </c>
      <c r="X77" s="69" t="n">
        <f aca="false">-MIN((X75-X76)/MAX(1,Inputs!$B$80*12),W79+X74-X76)</f>
        <v>-28750</v>
      </c>
      <c r="Y77" s="69" t="n">
        <f aca="false">-MIN((Y75-Y76)/MAX(1,Inputs!$B$80*12),X79+Y74-Y76)</f>
        <v>-28750</v>
      </c>
      <c r="Z77" s="69" t="n">
        <f aca="false">-MIN((Z75-Z76)/MAX(1,Inputs!$B$80*12),Y79+Z74-Z76)</f>
        <v>-28750</v>
      </c>
      <c r="AA77" s="69" t="n">
        <f aca="false">-MIN((AA75-AA76)/MAX(1,Inputs!$B$80*12),Z79+AA74-AA76)</f>
        <v>-29027.7777777778</v>
      </c>
      <c r="AB77" s="69" t="n">
        <f aca="false">-MIN((AB75-AB76)/MAX(1,Inputs!$B$80*12),AA79+AB74-AB76)</f>
        <v>-29027.7777777778</v>
      </c>
      <c r="AC77" s="69" t="n">
        <f aca="false">-MIN((AC75-AC76)/MAX(1,Inputs!$B$80*12),AB79+AC74-AC76)</f>
        <v>-29027.7777777778</v>
      </c>
      <c r="AD77" s="69" t="n">
        <f aca="false">-MIN((AD75-AD76)/MAX(1,Inputs!$B$80*12),AC79+AD74-AD76)</f>
        <v>-29027.7777777778</v>
      </c>
      <c r="AE77" s="69" t="n">
        <f aca="false">-MIN((AE75-AE76)/MAX(1,Inputs!$B$80*12),AD79+AE74-AE76)</f>
        <v>-29027.7777777778</v>
      </c>
      <c r="AF77" s="69" t="n">
        <f aca="false">-MIN((AF75-AF76)/MAX(1,Inputs!$B$80*12),AE79+AF74-AF76)</f>
        <v>-29027.7777777778</v>
      </c>
      <c r="AG77" s="69" t="n">
        <f aca="false">-MIN((AG75-AG76)/MAX(1,Inputs!$B$80*12),AF79+AG74-AG76)</f>
        <v>-29027.7777777778</v>
      </c>
      <c r="AH77" s="69" t="n">
        <f aca="false">-MIN((AH75-AH76)/MAX(1,Inputs!$B$80*12),AG79+AH74-AH76)</f>
        <v>-29027.7777777778</v>
      </c>
      <c r="AI77" s="69" t="n">
        <f aca="false">-MIN((AI75-AI76)/MAX(1,Inputs!$B$80*12),AH79+AI74-AI76)</f>
        <v>-29027.7777777778</v>
      </c>
      <c r="AJ77" s="69" t="n">
        <f aca="false">-MIN((AJ75-AJ76)/MAX(1,Inputs!$B$80*12),AI79+AJ74-AJ76)</f>
        <v>-29027.7777777778</v>
      </c>
      <c r="AK77" s="69" t="n">
        <f aca="false">-MIN((AK75-AK76)/MAX(1,Inputs!$B$80*12),AJ79+AK74-AK76)</f>
        <v>-29027.7777777778</v>
      </c>
      <c r="AL77" s="69" t="n">
        <f aca="false">-MIN((AL75-AL76)/MAX(1,Inputs!$B$80*12),AK79+AL74-AL76)</f>
        <v>-29027.7777777778</v>
      </c>
      <c r="AM77" s="69" t="n">
        <f aca="false">-MIN((AM75-AM76)/MAX(1,Inputs!$B$80*12),AL79+AM74-AM76)</f>
        <v>-29305.5555555556</v>
      </c>
      <c r="AN77" s="69" t="n">
        <f aca="false">-MIN((AN75-AN76)/MAX(1,Inputs!$B$80*12),AM79+AN74-AN76)</f>
        <v>-29305.5555555556</v>
      </c>
      <c r="AO77" s="69" t="n">
        <f aca="false">-MIN((AO75-AO76)/MAX(1,Inputs!$B$80*12),AN79+AO74-AO76)</f>
        <v>-29305.5555555556</v>
      </c>
      <c r="AP77" s="69" t="n">
        <f aca="false">-MIN((AP75-AP76)/MAX(1,Inputs!$B$80*12),AO79+AP74-AP76)</f>
        <v>-29305.5555555556</v>
      </c>
      <c r="AQ77" s="69" t="n">
        <f aca="false">-MIN((AQ75-AQ76)/MAX(1,Inputs!$B$80*12),AP79+AQ74-AQ76)</f>
        <v>-29305.5555555556</v>
      </c>
      <c r="AR77" s="69" t="n">
        <f aca="false">-MIN((AR75-AR76)/MAX(1,Inputs!$B$80*12),AQ79+AR74-AR76)</f>
        <v>-29305.5555555556</v>
      </c>
      <c r="AS77" s="69" t="n">
        <f aca="false">-MIN((AS75-AS76)/MAX(1,Inputs!$B$80*12),AR79+AS74-AS76)</f>
        <v>-29305.5555555556</v>
      </c>
      <c r="AT77" s="69" t="n">
        <f aca="false">-MIN((AT75-AT76)/MAX(1,Inputs!$B$80*12),AS79+AT74-AT76)</f>
        <v>-29305.5555555556</v>
      </c>
      <c r="AU77" s="69" t="n">
        <f aca="false">-MIN((AU75-AU76)/MAX(1,Inputs!$B$80*12),AT79+AU74-AU76)</f>
        <v>-29305.5555555556</v>
      </c>
      <c r="AV77" s="69" t="n">
        <f aca="false">-MIN((AV75-AV76)/MAX(1,Inputs!$B$80*12),AU79+AV74-AV76)</f>
        <v>-29305.5555555556</v>
      </c>
      <c r="AW77" s="69" t="n">
        <f aca="false">-MIN((AW75-AW76)/MAX(1,Inputs!$B$80*12),AV79+AW74-AW76)</f>
        <v>-29305.5555555556</v>
      </c>
      <c r="AX77" s="69" t="n">
        <f aca="false">-MIN((AX75-AX76)/MAX(1,Inputs!$B$80*12),AW79+AX74-AX76)</f>
        <v>-29305.5555555556</v>
      </c>
      <c r="AY77" s="69" t="n">
        <f aca="false">-MIN((AY75-AY76)/MAX(1,Inputs!$B$80*12),AX79+AY74-AY76)</f>
        <v>-29583.3333333333</v>
      </c>
      <c r="AZ77" s="69" t="n">
        <f aca="false">-MIN((AZ75-AZ76)/MAX(1,Inputs!$B$80*12),AY79+AZ74-AZ76)</f>
        <v>-29583.3333333333</v>
      </c>
      <c r="BA77" s="69" t="n">
        <f aca="false">-MIN((BA75-BA76)/MAX(1,Inputs!$B$80*12),AZ79+BA74-BA76)</f>
        <v>-29583.3333333333</v>
      </c>
      <c r="BB77" s="69" t="n">
        <f aca="false">-MIN((BB75-BB76)/MAX(1,Inputs!$B$80*12),BA79+BB74-BB76)</f>
        <v>-29583.3333333333</v>
      </c>
      <c r="BC77" s="69" t="n">
        <f aca="false">-MIN((BC75-BC76)/MAX(1,Inputs!$B$80*12),BB79+BC74-BC76)</f>
        <v>-29583.3333333333</v>
      </c>
      <c r="BD77" s="69" t="n">
        <f aca="false">-MIN((BD75-BD76)/MAX(1,Inputs!$B$80*12),BC79+BD74-BD76)</f>
        <v>-29583.3333333333</v>
      </c>
      <c r="BE77" s="69" t="n">
        <f aca="false">-MIN((BE75-BE76)/MAX(1,Inputs!$B$80*12),BD79+BE74-BE76)</f>
        <v>-29583.3333333333</v>
      </c>
      <c r="BF77" s="69" t="n">
        <f aca="false">-MIN((BF75-BF76)/MAX(1,Inputs!$B$80*12),BE79+BF74-BF76)</f>
        <v>-29583.3333333333</v>
      </c>
      <c r="BG77" s="69" t="n">
        <f aca="false">-MIN((BG75-BG76)/MAX(1,Inputs!$B$80*12),BF79+BG74-BG76)</f>
        <v>-29583.3333333333</v>
      </c>
      <c r="BH77" s="69" t="n">
        <f aca="false">-MIN((BH75-BH76)/MAX(1,Inputs!$B$80*12),BG79+BH74-BH76)</f>
        <v>-29583.3333333333</v>
      </c>
      <c r="BI77" s="69" t="n">
        <f aca="false">-MIN((BI75-BI76)/MAX(1,Inputs!$B$80*12),BH79+BI74-BI76)</f>
        <v>-29583.3333333333</v>
      </c>
      <c r="BJ77" s="69" t="n">
        <f aca="false">-MIN((BJ75-BJ76)/MAX(1,Inputs!$B$80*12),BI79+BJ74-BJ76)</f>
        <v>-29583.3333333333</v>
      </c>
    </row>
    <row r="78" customFormat="false" ht="15" hidden="false" customHeight="false" outlineLevel="0" collapsed="false">
      <c r="A78" s="6" t="s">
        <v>455</v>
      </c>
      <c r="C78" s="69" t="n">
        <f aca="false">C77</f>
        <v>-28472.2222222222</v>
      </c>
      <c r="D78" s="69" t="n">
        <f aca="false">C78+D77</f>
        <v>-56944.4444444444</v>
      </c>
      <c r="E78" s="69" t="n">
        <f aca="false">D78+E77</f>
        <v>-85416.6666666667</v>
      </c>
      <c r="F78" s="69" t="n">
        <f aca="false">E78+F77</f>
        <v>-113888.888888889</v>
      </c>
      <c r="G78" s="69" t="n">
        <f aca="false">F78+G77</f>
        <v>-142361.111111111</v>
      </c>
      <c r="H78" s="69" t="n">
        <f aca="false">G78+H77</f>
        <v>-170833.333333333</v>
      </c>
      <c r="I78" s="69" t="n">
        <f aca="false">H78+I77</f>
        <v>-199305.555555556</v>
      </c>
      <c r="J78" s="69" t="n">
        <f aca="false">I78+J77</f>
        <v>-227777.777777778</v>
      </c>
      <c r="K78" s="69" t="n">
        <f aca="false">J78+K77</f>
        <v>-256250</v>
      </c>
      <c r="L78" s="69" t="n">
        <f aca="false">K78+L77</f>
        <v>-284722.222222222</v>
      </c>
      <c r="M78" s="69" t="n">
        <f aca="false">L78+M77</f>
        <v>-313194.444444445</v>
      </c>
      <c r="N78" s="69" t="n">
        <f aca="false">M78+N77</f>
        <v>-341666.666666667</v>
      </c>
      <c r="O78" s="69" t="n">
        <f aca="false">N78+O77</f>
        <v>-370416.666666667</v>
      </c>
      <c r="P78" s="69" t="n">
        <f aca="false">O78+P77</f>
        <v>-399166.666666667</v>
      </c>
      <c r="Q78" s="69" t="n">
        <f aca="false">P78+Q77</f>
        <v>-427916.666666667</v>
      </c>
      <c r="R78" s="69" t="n">
        <f aca="false">Q78+R77</f>
        <v>-456666.666666667</v>
      </c>
      <c r="S78" s="69" t="n">
        <f aca="false">R78+S77</f>
        <v>-485416.666666667</v>
      </c>
      <c r="T78" s="69" t="n">
        <f aca="false">S78+T77</f>
        <v>-514166.666666667</v>
      </c>
      <c r="U78" s="69" t="n">
        <f aca="false">T78+U77</f>
        <v>-542916.666666667</v>
      </c>
      <c r="V78" s="69" t="n">
        <f aca="false">U78+V77</f>
        <v>-571666.666666667</v>
      </c>
      <c r="W78" s="69" t="n">
        <f aca="false">V78+W77</f>
        <v>-600416.666666667</v>
      </c>
      <c r="X78" s="69" t="n">
        <f aca="false">W78+X77</f>
        <v>-629166.666666667</v>
      </c>
      <c r="Y78" s="69" t="n">
        <f aca="false">X78+Y77</f>
        <v>-657916.666666667</v>
      </c>
      <c r="Z78" s="69" t="n">
        <f aca="false">Y78+Z77</f>
        <v>-686666.666666667</v>
      </c>
      <c r="AA78" s="69" t="n">
        <f aca="false">Z78+AA77</f>
        <v>-715694.444444445</v>
      </c>
      <c r="AB78" s="69" t="n">
        <f aca="false">AA78+AB77</f>
        <v>-744722.222222222</v>
      </c>
      <c r="AC78" s="69" t="n">
        <f aca="false">AB78+AC77</f>
        <v>-773750</v>
      </c>
      <c r="AD78" s="69" t="n">
        <f aca="false">AC78+AD77</f>
        <v>-802777.777777778</v>
      </c>
      <c r="AE78" s="69" t="n">
        <f aca="false">AD78+AE77</f>
        <v>-831805.555555556</v>
      </c>
      <c r="AF78" s="69" t="n">
        <f aca="false">AE78+AF77</f>
        <v>-860833.333333333</v>
      </c>
      <c r="AG78" s="69" t="n">
        <f aca="false">AF78+AG77</f>
        <v>-889861.111111111</v>
      </c>
      <c r="AH78" s="69" t="n">
        <f aca="false">AG78+AH77</f>
        <v>-918888.888888889</v>
      </c>
      <c r="AI78" s="69" t="n">
        <f aca="false">AH78+AI77</f>
        <v>-947916.666666667</v>
      </c>
      <c r="AJ78" s="69" t="n">
        <f aca="false">AI78+AJ77</f>
        <v>-976944.444444444</v>
      </c>
      <c r="AK78" s="69" t="n">
        <f aca="false">AJ78+AK77</f>
        <v>-1005972.22222222</v>
      </c>
      <c r="AL78" s="69" t="n">
        <f aca="false">AK78+AL77</f>
        <v>-1035000</v>
      </c>
      <c r="AM78" s="69" t="n">
        <f aca="false">AL78+AM77</f>
        <v>-1064305.55555556</v>
      </c>
      <c r="AN78" s="69" t="n">
        <f aca="false">AM78+AN77</f>
        <v>-1093611.11111111</v>
      </c>
      <c r="AO78" s="69" t="n">
        <f aca="false">AN78+AO77</f>
        <v>-1122916.66666667</v>
      </c>
      <c r="AP78" s="69" t="n">
        <f aca="false">AO78+AP77</f>
        <v>-1152222.22222222</v>
      </c>
      <c r="AQ78" s="69" t="n">
        <f aca="false">AP78+AQ77</f>
        <v>-1181527.77777778</v>
      </c>
      <c r="AR78" s="69" t="n">
        <f aca="false">AQ78+AR77</f>
        <v>-1210833.33333333</v>
      </c>
      <c r="AS78" s="69" t="n">
        <f aca="false">AR78+AS77</f>
        <v>-1240138.88888889</v>
      </c>
      <c r="AT78" s="69" t="n">
        <f aca="false">AS78+AT77</f>
        <v>-1269444.44444444</v>
      </c>
      <c r="AU78" s="69" t="n">
        <f aca="false">AT78+AU77</f>
        <v>-1298750</v>
      </c>
      <c r="AV78" s="69" t="n">
        <f aca="false">AU78+AV77</f>
        <v>-1328055.55555555</v>
      </c>
      <c r="AW78" s="69" t="n">
        <f aca="false">AV78+AW77</f>
        <v>-1357361.11111111</v>
      </c>
      <c r="AX78" s="69" t="n">
        <f aca="false">AW78+AX77</f>
        <v>-1386666.66666667</v>
      </c>
      <c r="AY78" s="69" t="n">
        <f aca="false">AX78+AY77</f>
        <v>-1416250</v>
      </c>
      <c r="AZ78" s="69" t="n">
        <f aca="false">AY78+AZ77</f>
        <v>-1445833.33333333</v>
      </c>
      <c r="BA78" s="69" t="n">
        <f aca="false">AZ78+BA77</f>
        <v>-1475416.66666667</v>
      </c>
      <c r="BB78" s="69" t="n">
        <f aca="false">BA78+BB77</f>
        <v>-1505000</v>
      </c>
      <c r="BC78" s="69" t="n">
        <f aca="false">BB78+BC77</f>
        <v>-1534583.33333333</v>
      </c>
      <c r="BD78" s="69" t="n">
        <f aca="false">BC78+BD77</f>
        <v>-1564166.66666667</v>
      </c>
      <c r="BE78" s="69" t="n">
        <f aca="false">BD78+BE77</f>
        <v>-1593750</v>
      </c>
      <c r="BF78" s="69" t="n">
        <f aca="false">BE78+BF77</f>
        <v>-1623333.33333333</v>
      </c>
      <c r="BG78" s="69" t="n">
        <f aca="false">BF78+BG77</f>
        <v>-1652916.66666667</v>
      </c>
      <c r="BH78" s="69" t="n">
        <f aca="false">BG78+BH77</f>
        <v>-1682500</v>
      </c>
      <c r="BI78" s="69" t="n">
        <f aca="false">BH78+BI77</f>
        <v>-1712083.33333333</v>
      </c>
      <c r="BJ78" s="69" t="n">
        <f aca="false">BI78+BJ77</f>
        <v>-1741666.66666666</v>
      </c>
    </row>
    <row r="79" customFormat="false" ht="15" hidden="false" customHeight="false" outlineLevel="0" collapsed="false">
      <c r="A79" s="4" t="s">
        <v>92</v>
      </c>
      <c r="C79" s="75" t="n">
        <f aca="false">C75+C78</f>
        <v>4071527.77777778</v>
      </c>
      <c r="D79" s="75" t="n">
        <f aca="false">D75+D78</f>
        <v>4043055.55555556</v>
      </c>
      <c r="E79" s="75" t="n">
        <f aca="false">E75+E78</f>
        <v>4014583.33333333</v>
      </c>
      <c r="F79" s="75" t="n">
        <f aca="false">F75+F78</f>
        <v>3986111.11111111</v>
      </c>
      <c r="G79" s="75" t="n">
        <f aca="false">G75+G78</f>
        <v>3957638.88888889</v>
      </c>
      <c r="H79" s="75" t="n">
        <f aca="false">H75+H78</f>
        <v>3929166.66666667</v>
      </c>
      <c r="I79" s="75" t="n">
        <f aca="false">I75+I78</f>
        <v>3900694.44444444</v>
      </c>
      <c r="J79" s="75" t="n">
        <f aca="false">J75+J78</f>
        <v>3872222.22222222</v>
      </c>
      <c r="K79" s="75" t="n">
        <f aca="false">K75+K78</f>
        <v>3843750</v>
      </c>
      <c r="L79" s="75" t="n">
        <f aca="false">L75+L78</f>
        <v>3815277.77777778</v>
      </c>
      <c r="M79" s="75" t="n">
        <f aca="false">M75+M78</f>
        <v>3786805.55555556</v>
      </c>
      <c r="N79" s="75" t="n">
        <f aca="false">N75+N78</f>
        <v>3758333.33333333</v>
      </c>
      <c r="O79" s="75" t="n">
        <f aca="false">O75+O78</f>
        <v>3769583.33333333</v>
      </c>
      <c r="P79" s="75" t="n">
        <f aca="false">P75+P78</f>
        <v>3740833.33333333</v>
      </c>
      <c r="Q79" s="75" t="n">
        <f aca="false">Q75+Q78</f>
        <v>3712083.33333333</v>
      </c>
      <c r="R79" s="75" t="n">
        <f aca="false">R75+R78</f>
        <v>3683333.33333333</v>
      </c>
      <c r="S79" s="75" t="n">
        <f aca="false">S75+S78</f>
        <v>3654583.33333333</v>
      </c>
      <c r="T79" s="75" t="n">
        <f aca="false">T75+T78</f>
        <v>3625833.33333333</v>
      </c>
      <c r="U79" s="75" t="n">
        <f aca="false">U75+U78</f>
        <v>3597083.33333333</v>
      </c>
      <c r="V79" s="75" t="n">
        <f aca="false">V75+V78</f>
        <v>3568333.33333333</v>
      </c>
      <c r="W79" s="75" t="n">
        <f aca="false">W75+W78</f>
        <v>3539583.33333333</v>
      </c>
      <c r="X79" s="75" t="n">
        <f aca="false">X75+X78</f>
        <v>3510833.33333333</v>
      </c>
      <c r="Y79" s="75" t="n">
        <f aca="false">Y75+Y78</f>
        <v>3482083.33333333</v>
      </c>
      <c r="Z79" s="75" t="n">
        <f aca="false">Z75+Z78</f>
        <v>3453333.33333333</v>
      </c>
      <c r="AA79" s="75" t="n">
        <f aca="false">AA75+AA78</f>
        <v>3464305.55555556</v>
      </c>
      <c r="AB79" s="75" t="n">
        <f aca="false">AB75+AB78</f>
        <v>3435277.77777778</v>
      </c>
      <c r="AC79" s="75" t="n">
        <f aca="false">AC75+AC78</f>
        <v>3406250</v>
      </c>
      <c r="AD79" s="75" t="n">
        <f aca="false">AD75+AD78</f>
        <v>3377222.22222222</v>
      </c>
      <c r="AE79" s="75" t="n">
        <f aca="false">AE75+AE78</f>
        <v>3348194.44444444</v>
      </c>
      <c r="AF79" s="75" t="n">
        <f aca="false">AF75+AF78</f>
        <v>3319166.66666667</v>
      </c>
      <c r="AG79" s="75" t="n">
        <f aca="false">AG75+AG78</f>
        <v>3290138.88888889</v>
      </c>
      <c r="AH79" s="75" t="n">
        <f aca="false">AH75+AH78</f>
        <v>3261111.11111111</v>
      </c>
      <c r="AI79" s="75" t="n">
        <f aca="false">AI75+AI78</f>
        <v>3232083.33333333</v>
      </c>
      <c r="AJ79" s="75" t="n">
        <f aca="false">AJ75+AJ78</f>
        <v>3203055.55555556</v>
      </c>
      <c r="AK79" s="75" t="n">
        <f aca="false">AK75+AK78</f>
        <v>3174027.77777778</v>
      </c>
      <c r="AL79" s="75" t="n">
        <f aca="false">AL75+AL78</f>
        <v>3145000</v>
      </c>
      <c r="AM79" s="75" t="n">
        <f aca="false">AM75+AM78</f>
        <v>3155694.44444445</v>
      </c>
      <c r="AN79" s="75" t="n">
        <f aca="false">AN75+AN78</f>
        <v>3126388.88888889</v>
      </c>
      <c r="AO79" s="75" t="n">
        <f aca="false">AO75+AO78</f>
        <v>3097083.33333333</v>
      </c>
      <c r="AP79" s="75" t="n">
        <f aca="false">AP75+AP78</f>
        <v>3067777.77777778</v>
      </c>
      <c r="AQ79" s="75" t="n">
        <f aca="false">AQ75+AQ78</f>
        <v>3038472.22222222</v>
      </c>
      <c r="AR79" s="75" t="n">
        <f aca="false">AR75+AR78</f>
        <v>3009166.66666667</v>
      </c>
      <c r="AS79" s="75" t="n">
        <f aca="false">AS75+AS78</f>
        <v>2979861.11111111</v>
      </c>
      <c r="AT79" s="75" t="n">
        <f aca="false">AT75+AT78</f>
        <v>2950555.55555556</v>
      </c>
      <c r="AU79" s="75" t="n">
        <f aca="false">AU75+AU78</f>
        <v>2921250</v>
      </c>
      <c r="AV79" s="75" t="n">
        <f aca="false">AV75+AV78</f>
        <v>2891944.44444445</v>
      </c>
      <c r="AW79" s="75" t="n">
        <f aca="false">AW75+AW78</f>
        <v>2862638.88888889</v>
      </c>
      <c r="AX79" s="75" t="n">
        <f aca="false">AX75+AX78</f>
        <v>2833333.33333333</v>
      </c>
      <c r="AY79" s="75" t="n">
        <f aca="false">AY75+AY78</f>
        <v>2843750</v>
      </c>
      <c r="AZ79" s="75" t="n">
        <f aca="false">AZ75+AZ78</f>
        <v>2814166.66666667</v>
      </c>
      <c r="BA79" s="75" t="n">
        <f aca="false">BA75+BA78</f>
        <v>2784583.33333333</v>
      </c>
      <c r="BB79" s="75" t="n">
        <f aca="false">BB75+BB78</f>
        <v>2755000</v>
      </c>
      <c r="BC79" s="75" t="n">
        <f aca="false">BC75+BC78</f>
        <v>2725416.66666667</v>
      </c>
      <c r="BD79" s="75" t="n">
        <f aca="false">BD75+BD78</f>
        <v>2695833.33333334</v>
      </c>
      <c r="BE79" s="75" t="n">
        <f aca="false">BE75+BE78</f>
        <v>2666250</v>
      </c>
      <c r="BF79" s="75" t="n">
        <f aca="false">BF75+BF78</f>
        <v>2636666.66666667</v>
      </c>
      <c r="BG79" s="75" t="n">
        <f aca="false">BG75+BG78</f>
        <v>2607083.33333334</v>
      </c>
      <c r="BH79" s="75" t="n">
        <f aca="false">BH75+BH78</f>
        <v>2577500</v>
      </c>
      <c r="BI79" s="75" t="n">
        <f aca="false">BI75+BI78</f>
        <v>2547916.66666667</v>
      </c>
      <c r="BJ79" s="75" t="n">
        <f aca="false">BJ75+BJ78</f>
        <v>2518333.33333334</v>
      </c>
    </row>
    <row r="81" customFormat="false" ht="15.75" hidden="false" customHeight="true" outlineLevel="0" collapsed="false">
      <c r="A81" s="7" t="s">
        <v>456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</row>
    <row r="82" customFormat="false" ht="15" hidden="false" customHeight="false" outlineLevel="0" collapsed="false">
      <c r="A82" s="6" t="s">
        <v>457</v>
      </c>
      <c r="C82" s="69" t="n">
        <f aca="false">0</f>
        <v>0</v>
      </c>
      <c r="D82" s="69" t="n">
        <f aca="false">C85</f>
        <v>3000000</v>
      </c>
      <c r="E82" s="69" t="n">
        <f aca="false">D85</f>
        <v>2975000</v>
      </c>
      <c r="F82" s="69" t="n">
        <f aca="false">E85</f>
        <v>2950000</v>
      </c>
      <c r="G82" s="69" t="n">
        <f aca="false">F85</f>
        <v>2925000</v>
      </c>
      <c r="H82" s="69" t="n">
        <f aca="false">G85</f>
        <v>2900000</v>
      </c>
      <c r="I82" s="69" t="n">
        <f aca="false">H85</f>
        <v>2875000</v>
      </c>
      <c r="J82" s="69" t="n">
        <f aca="false">I85</f>
        <v>2850000</v>
      </c>
      <c r="K82" s="69" t="n">
        <f aca="false">J85</f>
        <v>2825000</v>
      </c>
      <c r="L82" s="69" t="n">
        <f aca="false">K85</f>
        <v>2800000</v>
      </c>
      <c r="M82" s="69" t="n">
        <f aca="false">L85</f>
        <v>2775000</v>
      </c>
      <c r="N82" s="69" t="n">
        <f aca="false">M85</f>
        <v>2750000</v>
      </c>
      <c r="O82" s="69" t="n">
        <f aca="false">N85</f>
        <v>2725000</v>
      </c>
      <c r="P82" s="69" t="n">
        <f aca="false">O85</f>
        <v>2700000</v>
      </c>
      <c r="Q82" s="69" t="n">
        <f aca="false">P85</f>
        <v>2675000</v>
      </c>
      <c r="R82" s="69" t="n">
        <f aca="false">Q85</f>
        <v>2650000</v>
      </c>
      <c r="S82" s="69" t="n">
        <f aca="false">R85</f>
        <v>2625000</v>
      </c>
      <c r="T82" s="69" t="n">
        <f aca="false">S85</f>
        <v>2600000</v>
      </c>
      <c r="U82" s="69" t="n">
        <f aca="false">T85</f>
        <v>2575000</v>
      </c>
      <c r="V82" s="69" t="n">
        <f aca="false">U85</f>
        <v>2550000</v>
      </c>
      <c r="W82" s="69" t="n">
        <f aca="false">V85</f>
        <v>2525000</v>
      </c>
      <c r="X82" s="69" t="n">
        <f aca="false">W85</f>
        <v>2500000</v>
      </c>
      <c r="Y82" s="69" t="n">
        <f aca="false">X85</f>
        <v>2475000</v>
      </c>
      <c r="Z82" s="69" t="n">
        <f aca="false">Y85</f>
        <v>2450000</v>
      </c>
      <c r="AA82" s="69" t="n">
        <f aca="false">Z85</f>
        <v>2425000</v>
      </c>
      <c r="AB82" s="69" t="n">
        <f aca="false">AA85</f>
        <v>2400000</v>
      </c>
      <c r="AC82" s="69" t="n">
        <f aca="false">AB85</f>
        <v>2375000</v>
      </c>
      <c r="AD82" s="69" t="n">
        <f aca="false">AC85</f>
        <v>2350000</v>
      </c>
      <c r="AE82" s="69" t="n">
        <f aca="false">AD85</f>
        <v>2325000</v>
      </c>
      <c r="AF82" s="69" t="n">
        <f aca="false">AE85</f>
        <v>2300000</v>
      </c>
      <c r="AG82" s="69" t="n">
        <f aca="false">AF85</f>
        <v>2275000</v>
      </c>
      <c r="AH82" s="69" t="n">
        <f aca="false">AG85</f>
        <v>2250000</v>
      </c>
      <c r="AI82" s="69" t="n">
        <f aca="false">AH85</f>
        <v>2225000</v>
      </c>
      <c r="AJ82" s="69" t="n">
        <f aca="false">AI85</f>
        <v>2200000</v>
      </c>
      <c r="AK82" s="69" t="n">
        <f aca="false">AJ85</f>
        <v>2175000</v>
      </c>
      <c r="AL82" s="69" t="n">
        <f aca="false">AK85</f>
        <v>2150000</v>
      </c>
      <c r="AM82" s="69" t="n">
        <f aca="false">AL85</f>
        <v>2125000</v>
      </c>
      <c r="AN82" s="69" t="n">
        <f aca="false">AM85</f>
        <v>2100000</v>
      </c>
      <c r="AO82" s="69" t="n">
        <f aca="false">AN85</f>
        <v>2075000</v>
      </c>
      <c r="AP82" s="69" t="n">
        <f aca="false">AO85</f>
        <v>2050000</v>
      </c>
      <c r="AQ82" s="69" t="n">
        <f aca="false">AP85</f>
        <v>2025000</v>
      </c>
      <c r="AR82" s="69" t="n">
        <f aca="false">AQ85</f>
        <v>2000000</v>
      </c>
      <c r="AS82" s="69" t="n">
        <f aca="false">AR85</f>
        <v>1975000</v>
      </c>
      <c r="AT82" s="69" t="n">
        <f aca="false">AS85</f>
        <v>1950000</v>
      </c>
      <c r="AU82" s="69" t="n">
        <f aca="false">AT85</f>
        <v>1925000</v>
      </c>
      <c r="AV82" s="69" t="n">
        <f aca="false">AU85</f>
        <v>1900000</v>
      </c>
      <c r="AW82" s="69" t="n">
        <f aca="false">AV85</f>
        <v>1875000</v>
      </c>
      <c r="AX82" s="69" t="n">
        <f aca="false">AW85</f>
        <v>1850000</v>
      </c>
      <c r="AY82" s="69" t="n">
        <f aca="false">AX85</f>
        <v>1825000</v>
      </c>
      <c r="AZ82" s="69" t="n">
        <f aca="false">AY85</f>
        <v>1800000</v>
      </c>
      <c r="BA82" s="69" t="n">
        <f aca="false">AZ85</f>
        <v>1775000</v>
      </c>
      <c r="BB82" s="69" t="n">
        <f aca="false">BA85</f>
        <v>1750000</v>
      </c>
      <c r="BC82" s="69" t="n">
        <f aca="false">BB85</f>
        <v>1725000</v>
      </c>
      <c r="BD82" s="69" t="n">
        <f aca="false">BC85</f>
        <v>1700000</v>
      </c>
      <c r="BE82" s="69" t="n">
        <f aca="false">BD85</f>
        <v>1675000</v>
      </c>
      <c r="BF82" s="69" t="n">
        <f aca="false">BE85</f>
        <v>1650000</v>
      </c>
      <c r="BG82" s="69" t="n">
        <f aca="false">BF85</f>
        <v>1625000</v>
      </c>
      <c r="BH82" s="69" t="n">
        <f aca="false">BG85</f>
        <v>1600000</v>
      </c>
      <c r="BI82" s="69" t="n">
        <f aca="false">BH85</f>
        <v>1575000</v>
      </c>
      <c r="BJ82" s="69" t="n">
        <f aca="false">BI85</f>
        <v>1550000</v>
      </c>
    </row>
    <row r="83" customFormat="false" ht="15" hidden="false" customHeight="false" outlineLevel="0" collapsed="false">
      <c r="A83" s="6" t="s">
        <v>85</v>
      </c>
      <c r="C83" s="69" t="n">
        <f aca="false">IF(C$6=1,Inputs!$B$70,0)</f>
        <v>3000000</v>
      </c>
      <c r="D83" s="69" t="n">
        <f aca="false">IF(D$6=1,Inputs!$B$70,0)</f>
        <v>0</v>
      </c>
      <c r="E83" s="69" t="n">
        <f aca="false">IF(E$6=1,Inputs!$B$70,0)</f>
        <v>0</v>
      </c>
      <c r="F83" s="69" t="n">
        <f aca="false">IF(F$6=1,Inputs!$B$70,0)</f>
        <v>0</v>
      </c>
      <c r="G83" s="69" t="n">
        <f aca="false">IF(G$6=1,Inputs!$B$70,0)</f>
        <v>0</v>
      </c>
      <c r="H83" s="69" t="n">
        <f aca="false">IF(H$6=1,Inputs!$B$70,0)</f>
        <v>0</v>
      </c>
      <c r="I83" s="69" t="n">
        <f aca="false">IF(I$6=1,Inputs!$B$70,0)</f>
        <v>0</v>
      </c>
      <c r="J83" s="69" t="n">
        <f aca="false">IF(J$6=1,Inputs!$B$70,0)</f>
        <v>0</v>
      </c>
      <c r="K83" s="69" t="n">
        <f aca="false">IF(K$6=1,Inputs!$B$70,0)</f>
        <v>0</v>
      </c>
      <c r="L83" s="69" t="n">
        <f aca="false">IF(L$6=1,Inputs!$B$70,0)</f>
        <v>0</v>
      </c>
      <c r="M83" s="69" t="n">
        <f aca="false">IF(M$6=1,Inputs!$B$70,0)</f>
        <v>0</v>
      </c>
      <c r="N83" s="69" t="n">
        <f aca="false">IF(N$6=1,Inputs!$B$70,0)</f>
        <v>0</v>
      </c>
      <c r="O83" s="69" t="n">
        <f aca="false">IF(O$6=1,Inputs!$B$70,0)</f>
        <v>0</v>
      </c>
      <c r="P83" s="69" t="n">
        <f aca="false">IF(P$6=1,Inputs!$B$70,0)</f>
        <v>0</v>
      </c>
      <c r="Q83" s="69" t="n">
        <f aca="false">IF(Q$6=1,Inputs!$B$70,0)</f>
        <v>0</v>
      </c>
      <c r="R83" s="69" t="n">
        <f aca="false">IF(R$6=1,Inputs!$B$70,0)</f>
        <v>0</v>
      </c>
      <c r="S83" s="69" t="n">
        <f aca="false">IF(S$6=1,Inputs!$B$70,0)</f>
        <v>0</v>
      </c>
      <c r="T83" s="69" t="n">
        <f aca="false">IF(T$6=1,Inputs!$B$70,0)</f>
        <v>0</v>
      </c>
      <c r="U83" s="69" t="n">
        <f aca="false">IF(U$6=1,Inputs!$B$70,0)</f>
        <v>0</v>
      </c>
      <c r="V83" s="69" t="n">
        <f aca="false">IF(V$6=1,Inputs!$B$70,0)</f>
        <v>0</v>
      </c>
      <c r="W83" s="69" t="n">
        <f aca="false">IF(W$6=1,Inputs!$B$70,0)</f>
        <v>0</v>
      </c>
      <c r="X83" s="69" t="n">
        <f aca="false">IF(X$6=1,Inputs!$B$70,0)</f>
        <v>0</v>
      </c>
      <c r="Y83" s="69" t="n">
        <f aca="false">IF(Y$6=1,Inputs!$B$70,0)</f>
        <v>0</v>
      </c>
      <c r="Z83" s="69" t="n">
        <f aca="false">IF(Z$6=1,Inputs!$B$70,0)</f>
        <v>0</v>
      </c>
      <c r="AA83" s="69" t="n">
        <f aca="false">IF(AA$6=1,Inputs!$B$70,0)</f>
        <v>0</v>
      </c>
      <c r="AB83" s="69" t="n">
        <f aca="false">IF(AB$6=1,Inputs!$B$70,0)</f>
        <v>0</v>
      </c>
      <c r="AC83" s="69" t="n">
        <f aca="false">IF(AC$6=1,Inputs!$B$70,0)</f>
        <v>0</v>
      </c>
      <c r="AD83" s="69" t="n">
        <f aca="false">IF(AD$6=1,Inputs!$B$70,0)</f>
        <v>0</v>
      </c>
      <c r="AE83" s="69" t="n">
        <f aca="false">IF(AE$6=1,Inputs!$B$70,0)</f>
        <v>0</v>
      </c>
      <c r="AF83" s="69" t="n">
        <f aca="false">IF(AF$6=1,Inputs!$B$70,0)</f>
        <v>0</v>
      </c>
      <c r="AG83" s="69" t="n">
        <f aca="false">IF(AG$6=1,Inputs!$B$70,0)</f>
        <v>0</v>
      </c>
      <c r="AH83" s="69" t="n">
        <f aca="false">IF(AH$6=1,Inputs!$B$70,0)</f>
        <v>0</v>
      </c>
      <c r="AI83" s="69" t="n">
        <f aca="false">IF(AI$6=1,Inputs!$B$70,0)</f>
        <v>0</v>
      </c>
      <c r="AJ83" s="69" t="n">
        <f aca="false">IF(AJ$6=1,Inputs!$B$70,0)</f>
        <v>0</v>
      </c>
      <c r="AK83" s="69" t="n">
        <f aca="false">IF(AK$6=1,Inputs!$B$70,0)</f>
        <v>0</v>
      </c>
      <c r="AL83" s="69" t="n">
        <f aca="false">IF(AL$6=1,Inputs!$B$70,0)</f>
        <v>0</v>
      </c>
      <c r="AM83" s="69" t="n">
        <f aca="false">IF(AM$6=1,Inputs!$B$70,0)</f>
        <v>0</v>
      </c>
      <c r="AN83" s="69" t="n">
        <f aca="false">IF(AN$6=1,Inputs!$B$70,0)</f>
        <v>0</v>
      </c>
      <c r="AO83" s="69" t="n">
        <f aca="false">IF(AO$6=1,Inputs!$B$70,0)</f>
        <v>0</v>
      </c>
      <c r="AP83" s="69" t="n">
        <f aca="false">IF(AP$6=1,Inputs!$B$70,0)</f>
        <v>0</v>
      </c>
      <c r="AQ83" s="69" t="n">
        <f aca="false">IF(AQ$6=1,Inputs!$B$70,0)</f>
        <v>0</v>
      </c>
      <c r="AR83" s="69" t="n">
        <f aca="false">IF(AR$6=1,Inputs!$B$70,0)</f>
        <v>0</v>
      </c>
      <c r="AS83" s="69" t="n">
        <f aca="false">IF(AS$6=1,Inputs!$B$70,0)</f>
        <v>0</v>
      </c>
      <c r="AT83" s="69" t="n">
        <f aca="false">IF(AT$6=1,Inputs!$B$70,0)</f>
        <v>0</v>
      </c>
      <c r="AU83" s="69" t="n">
        <f aca="false">IF(AU$6=1,Inputs!$B$70,0)</f>
        <v>0</v>
      </c>
      <c r="AV83" s="69" t="n">
        <f aca="false">IF(AV$6=1,Inputs!$B$70,0)</f>
        <v>0</v>
      </c>
      <c r="AW83" s="69" t="n">
        <f aca="false">IF(AW$6=1,Inputs!$B$70,0)</f>
        <v>0</v>
      </c>
      <c r="AX83" s="69" t="n">
        <f aca="false">IF(AX$6=1,Inputs!$B$70,0)</f>
        <v>0</v>
      </c>
      <c r="AY83" s="69" t="n">
        <f aca="false">IF(AY$6=1,Inputs!$B$70,0)</f>
        <v>0</v>
      </c>
      <c r="AZ83" s="69" t="n">
        <f aca="false">IF(AZ$6=1,Inputs!$B$70,0)</f>
        <v>0</v>
      </c>
      <c r="BA83" s="69" t="n">
        <f aca="false">IF(BA$6=1,Inputs!$B$70,0)</f>
        <v>0</v>
      </c>
      <c r="BB83" s="69" t="n">
        <f aca="false">IF(BB$6=1,Inputs!$B$70,0)</f>
        <v>0</v>
      </c>
      <c r="BC83" s="69" t="n">
        <f aca="false">IF(BC$6=1,Inputs!$B$70,0)</f>
        <v>0</v>
      </c>
      <c r="BD83" s="69" t="n">
        <f aca="false">IF(BD$6=1,Inputs!$B$70,0)</f>
        <v>0</v>
      </c>
      <c r="BE83" s="69" t="n">
        <f aca="false">IF(BE$6=1,Inputs!$B$70,0)</f>
        <v>0</v>
      </c>
      <c r="BF83" s="69" t="n">
        <f aca="false">IF(BF$6=1,Inputs!$B$70,0)</f>
        <v>0</v>
      </c>
      <c r="BG83" s="69" t="n">
        <f aca="false">IF(BG$6=1,Inputs!$B$70,0)</f>
        <v>0</v>
      </c>
      <c r="BH83" s="69" t="n">
        <f aca="false">IF(BH$6=1,Inputs!$B$70,0)</f>
        <v>0</v>
      </c>
      <c r="BI83" s="69" t="n">
        <f aca="false">IF(BI$6=1,Inputs!$B$70,0)</f>
        <v>0</v>
      </c>
      <c r="BJ83" s="69" t="n">
        <f aca="false">IF(BJ$6=1,Inputs!$B$70,0)</f>
        <v>0</v>
      </c>
    </row>
    <row r="84" customFormat="false" ht="15" hidden="false" customHeight="false" outlineLevel="0" collapsed="false">
      <c r="A84" s="6" t="s">
        <v>86</v>
      </c>
      <c r="C84" s="69" t="n">
        <f aca="false">-MIN(C82,Inputs!$B$70/MAX(1,Inputs!$B$72*12))</f>
        <v>-0</v>
      </c>
      <c r="D84" s="69" t="n">
        <f aca="false">-MIN(D82,Inputs!$B$70/MAX(1,Inputs!$B$72*12))</f>
        <v>-25000</v>
      </c>
      <c r="E84" s="69" t="n">
        <f aca="false">-MIN(E82,Inputs!$B$70/MAX(1,Inputs!$B$72*12))</f>
        <v>-25000</v>
      </c>
      <c r="F84" s="69" t="n">
        <f aca="false">-MIN(F82,Inputs!$B$70/MAX(1,Inputs!$B$72*12))</f>
        <v>-25000</v>
      </c>
      <c r="G84" s="69" t="n">
        <f aca="false">-MIN(G82,Inputs!$B$70/MAX(1,Inputs!$B$72*12))</f>
        <v>-25000</v>
      </c>
      <c r="H84" s="69" t="n">
        <f aca="false">-MIN(H82,Inputs!$B$70/MAX(1,Inputs!$B$72*12))</f>
        <v>-25000</v>
      </c>
      <c r="I84" s="69" t="n">
        <f aca="false">-MIN(I82,Inputs!$B$70/MAX(1,Inputs!$B$72*12))</f>
        <v>-25000</v>
      </c>
      <c r="J84" s="69" t="n">
        <f aca="false">-MIN(J82,Inputs!$B$70/MAX(1,Inputs!$B$72*12))</f>
        <v>-25000</v>
      </c>
      <c r="K84" s="69" t="n">
        <f aca="false">-MIN(K82,Inputs!$B$70/MAX(1,Inputs!$B$72*12))</f>
        <v>-25000</v>
      </c>
      <c r="L84" s="69" t="n">
        <f aca="false">-MIN(L82,Inputs!$B$70/MAX(1,Inputs!$B$72*12))</f>
        <v>-25000</v>
      </c>
      <c r="M84" s="69" t="n">
        <f aca="false">-MIN(M82,Inputs!$B$70/MAX(1,Inputs!$B$72*12))</f>
        <v>-25000</v>
      </c>
      <c r="N84" s="69" t="n">
        <f aca="false">-MIN(N82,Inputs!$B$70/MAX(1,Inputs!$B$72*12))</f>
        <v>-25000</v>
      </c>
      <c r="O84" s="69" t="n">
        <f aca="false">-MIN(O82,Inputs!$B$70/MAX(1,Inputs!$B$72*12))</f>
        <v>-25000</v>
      </c>
      <c r="P84" s="69" t="n">
        <f aca="false">-MIN(P82,Inputs!$B$70/MAX(1,Inputs!$B$72*12))</f>
        <v>-25000</v>
      </c>
      <c r="Q84" s="69" t="n">
        <f aca="false">-MIN(Q82,Inputs!$B$70/MAX(1,Inputs!$B$72*12))</f>
        <v>-25000</v>
      </c>
      <c r="R84" s="69" t="n">
        <f aca="false">-MIN(R82,Inputs!$B$70/MAX(1,Inputs!$B$72*12))</f>
        <v>-25000</v>
      </c>
      <c r="S84" s="69" t="n">
        <f aca="false">-MIN(S82,Inputs!$B$70/MAX(1,Inputs!$B$72*12))</f>
        <v>-25000</v>
      </c>
      <c r="T84" s="69" t="n">
        <f aca="false">-MIN(T82,Inputs!$B$70/MAX(1,Inputs!$B$72*12))</f>
        <v>-25000</v>
      </c>
      <c r="U84" s="69" t="n">
        <f aca="false">-MIN(U82,Inputs!$B$70/MAX(1,Inputs!$B$72*12))</f>
        <v>-25000</v>
      </c>
      <c r="V84" s="69" t="n">
        <f aca="false">-MIN(V82,Inputs!$B$70/MAX(1,Inputs!$B$72*12))</f>
        <v>-25000</v>
      </c>
      <c r="W84" s="69" t="n">
        <f aca="false">-MIN(W82,Inputs!$B$70/MAX(1,Inputs!$B$72*12))</f>
        <v>-25000</v>
      </c>
      <c r="X84" s="69" t="n">
        <f aca="false">-MIN(X82,Inputs!$B$70/MAX(1,Inputs!$B$72*12))</f>
        <v>-25000</v>
      </c>
      <c r="Y84" s="69" t="n">
        <f aca="false">-MIN(Y82,Inputs!$B$70/MAX(1,Inputs!$B$72*12))</f>
        <v>-25000</v>
      </c>
      <c r="Z84" s="69" t="n">
        <f aca="false">-MIN(Z82,Inputs!$B$70/MAX(1,Inputs!$B$72*12))</f>
        <v>-25000</v>
      </c>
      <c r="AA84" s="69" t="n">
        <f aca="false">-MIN(AA82,Inputs!$B$70/MAX(1,Inputs!$B$72*12))</f>
        <v>-25000</v>
      </c>
      <c r="AB84" s="69" t="n">
        <f aca="false">-MIN(AB82,Inputs!$B$70/MAX(1,Inputs!$B$72*12))</f>
        <v>-25000</v>
      </c>
      <c r="AC84" s="69" t="n">
        <f aca="false">-MIN(AC82,Inputs!$B$70/MAX(1,Inputs!$B$72*12))</f>
        <v>-25000</v>
      </c>
      <c r="AD84" s="69" t="n">
        <f aca="false">-MIN(AD82,Inputs!$B$70/MAX(1,Inputs!$B$72*12))</f>
        <v>-25000</v>
      </c>
      <c r="AE84" s="69" t="n">
        <f aca="false">-MIN(AE82,Inputs!$B$70/MAX(1,Inputs!$B$72*12))</f>
        <v>-25000</v>
      </c>
      <c r="AF84" s="69" t="n">
        <f aca="false">-MIN(AF82,Inputs!$B$70/MAX(1,Inputs!$B$72*12))</f>
        <v>-25000</v>
      </c>
      <c r="AG84" s="69" t="n">
        <f aca="false">-MIN(AG82,Inputs!$B$70/MAX(1,Inputs!$B$72*12))</f>
        <v>-25000</v>
      </c>
      <c r="AH84" s="69" t="n">
        <f aca="false">-MIN(AH82,Inputs!$B$70/MAX(1,Inputs!$B$72*12))</f>
        <v>-25000</v>
      </c>
      <c r="AI84" s="69" t="n">
        <f aca="false">-MIN(AI82,Inputs!$B$70/MAX(1,Inputs!$B$72*12))</f>
        <v>-25000</v>
      </c>
      <c r="AJ84" s="69" t="n">
        <f aca="false">-MIN(AJ82,Inputs!$B$70/MAX(1,Inputs!$B$72*12))</f>
        <v>-25000</v>
      </c>
      <c r="AK84" s="69" t="n">
        <f aca="false">-MIN(AK82,Inputs!$B$70/MAX(1,Inputs!$B$72*12))</f>
        <v>-25000</v>
      </c>
      <c r="AL84" s="69" t="n">
        <f aca="false">-MIN(AL82,Inputs!$B$70/MAX(1,Inputs!$B$72*12))</f>
        <v>-25000</v>
      </c>
      <c r="AM84" s="69" t="n">
        <f aca="false">-MIN(AM82,Inputs!$B$70/MAX(1,Inputs!$B$72*12))</f>
        <v>-25000</v>
      </c>
      <c r="AN84" s="69" t="n">
        <f aca="false">-MIN(AN82,Inputs!$B$70/MAX(1,Inputs!$B$72*12))</f>
        <v>-25000</v>
      </c>
      <c r="AO84" s="69" t="n">
        <f aca="false">-MIN(AO82,Inputs!$B$70/MAX(1,Inputs!$B$72*12))</f>
        <v>-25000</v>
      </c>
      <c r="AP84" s="69" t="n">
        <f aca="false">-MIN(AP82,Inputs!$B$70/MAX(1,Inputs!$B$72*12))</f>
        <v>-25000</v>
      </c>
      <c r="AQ84" s="69" t="n">
        <f aca="false">-MIN(AQ82,Inputs!$B$70/MAX(1,Inputs!$B$72*12))</f>
        <v>-25000</v>
      </c>
      <c r="AR84" s="69" t="n">
        <f aca="false">-MIN(AR82,Inputs!$B$70/MAX(1,Inputs!$B$72*12))</f>
        <v>-25000</v>
      </c>
      <c r="AS84" s="69" t="n">
        <f aca="false">-MIN(AS82,Inputs!$B$70/MAX(1,Inputs!$B$72*12))</f>
        <v>-25000</v>
      </c>
      <c r="AT84" s="69" t="n">
        <f aca="false">-MIN(AT82,Inputs!$B$70/MAX(1,Inputs!$B$72*12))</f>
        <v>-25000</v>
      </c>
      <c r="AU84" s="69" t="n">
        <f aca="false">-MIN(AU82,Inputs!$B$70/MAX(1,Inputs!$B$72*12))</f>
        <v>-25000</v>
      </c>
      <c r="AV84" s="69" t="n">
        <f aca="false">-MIN(AV82,Inputs!$B$70/MAX(1,Inputs!$B$72*12))</f>
        <v>-25000</v>
      </c>
      <c r="AW84" s="69" t="n">
        <f aca="false">-MIN(AW82,Inputs!$B$70/MAX(1,Inputs!$B$72*12))</f>
        <v>-25000</v>
      </c>
      <c r="AX84" s="69" t="n">
        <f aca="false">-MIN(AX82,Inputs!$B$70/MAX(1,Inputs!$B$72*12))</f>
        <v>-25000</v>
      </c>
      <c r="AY84" s="69" t="n">
        <f aca="false">-MIN(AY82,Inputs!$B$70/MAX(1,Inputs!$B$72*12))</f>
        <v>-25000</v>
      </c>
      <c r="AZ84" s="69" t="n">
        <f aca="false">-MIN(AZ82,Inputs!$B$70/MAX(1,Inputs!$B$72*12))</f>
        <v>-25000</v>
      </c>
      <c r="BA84" s="69" t="n">
        <f aca="false">-MIN(BA82,Inputs!$B$70/MAX(1,Inputs!$B$72*12))</f>
        <v>-25000</v>
      </c>
      <c r="BB84" s="69" t="n">
        <f aca="false">-MIN(BB82,Inputs!$B$70/MAX(1,Inputs!$B$72*12))</f>
        <v>-25000</v>
      </c>
      <c r="BC84" s="69" t="n">
        <f aca="false">-MIN(BC82,Inputs!$B$70/MAX(1,Inputs!$B$72*12))</f>
        <v>-25000</v>
      </c>
      <c r="BD84" s="69" t="n">
        <f aca="false">-MIN(BD82,Inputs!$B$70/MAX(1,Inputs!$B$72*12))</f>
        <v>-25000</v>
      </c>
      <c r="BE84" s="69" t="n">
        <f aca="false">-MIN(BE82,Inputs!$B$70/MAX(1,Inputs!$B$72*12))</f>
        <v>-25000</v>
      </c>
      <c r="BF84" s="69" t="n">
        <f aca="false">-MIN(BF82,Inputs!$B$70/MAX(1,Inputs!$B$72*12))</f>
        <v>-25000</v>
      </c>
      <c r="BG84" s="69" t="n">
        <f aca="false">-MIN(BG82,Inputs!$B$70/MAX(1,Inputs!$B$72*12))</f>
        <v>-25000</v>
      </c>
      <c r="BH84" s="69" t="n">
        <f aca="false">-MIN(BH82,Inputs!$B$70/MAX(1,Inputs!$B$72*12))</f>
        <v>-25000</v>
      </c>
      <c r="BI84" s="69" t="n">
        <f aca="false">-MIN(BI82,Inputs!$B$70/MAX(1,Inputs!$B$72*12))</f>
        <v>-25000</v>
      </c>
      <c r="BJ84" s="69" t="n">
        <f aca="false">-MIN(BJ82,Inputs!$B$70/MAX(1,Inputs!$B$72*12))</f>
        <v>-25000</v>
      </c>
    </row>
    <row r="85" customFormat="false" ht="15" hidden="false" customHeight="false" outlineLevel="0" collapsed="false">
      <c r="A85" s="4" t="s">
        <v>458</v>
      </c>
      <c r="C85" s="75" t="n">
        <f aca="false">C82+C83+C84</f>
        <v>3000000</v>
      </c>
      <c r="D85" s="75" t="n">
        <f aca="false">D82+D83+D84</f>
        <v>2975000</v>
      </c>
      <c r="E85" s="75" t="n">
        <f aca="false">E82+E83+E84</f>
        <v>2950000</v>
      </c>
      <c r="F85" s="75" t="n">
        <f aca="false">F82+F83+F84</f>
        <v>2925000</v>
      </c>
      <c r="G85" s="75" t="n">
        <f aca="false">G82+G83+G84</f>
        <v>2900000</v>
      </c>
      <c r="H85" s="75" t="n">
        <f aca="false">H82+H83+H84</f>
        <v>2875000</v>
      </c>
      <c r="I85" s="75" t="n">
        <f aca="false">I82+I83+I84</f>
        <v>2850000</v>
      </c>
      <c r="J85" s="75" t="n">
        <f aca="false">J82+J83+J84</f>
        <v>2825000</v>
      </c>
      <c r="K85" s="75" t="n">
        <f aca="false">K82+K83+K84</f>
        <v>2800000</v>
      </c>
      <c r="L85" s="75" t="n">
        <f aca="false">L82+L83+L84</f>
        <v>2775000</v>
      </c>
      <c r="M85" s="75" t="n">
        <f aca="false">M82+M83+M84</f>
        <v>2750000</v>
      </c>
      <c r="N85" s="75" t="n">
        <f aca="false">N82+N83+N84</f>
        <v>2725000</v>
      </c>
      <c r="O85" s="75" t="n">
        <f aca="false">O82+O83+O84</f>
        <v>2700000</v>
      </c>
      <c r="P85" s="75" t="n">
        <f aca="false">P82+P83+P84</f>
        <v>2675000</v>
      </c>
      <c r="Q85" s="75" t="n">
        <f aca="false">Q82+Q83+Q84</f>
        <v>2650000</v>
      </c>
      <c r="R85" s="75" t="n">
        <f aca="false">R82+R83+R84</f>
        <v>2625000</v>
      </c>
      <c r="S85" s="75" t="n">
        <f aca="false">S82+S83+S84</f>
        <v>2600000</v>
      </c>
      <c r="T85" s="75" t="n">
        <f aca="false">T82+T83+T84</f>
        <v>2575000</v>
      </c>
      <c r="U85" s="75" t="n">
        <f aca="false">U82+U83+U84</f>
        <v>2550000</v>
      </c>
      <c r="V85" s="75" t="n">
        <f aca="false">V82+V83+V84</f>
        <v>2525000</v>
      </c>
      <c r="W85" s="75" t="n">
        <f aca="false">W82+W83+W84</f>
        <v>2500000</v>
      </c>
      <c r="X85" s="75" t="n">
        <f aca="false">X82+X83+X84</f>
        <v>2475000</v>
      </c>
      <c r="Y85" s="75" t="n">
        <f aca="false">Y82+Y83+Y84</f>
        <v>2450000</v>
      </c>
      <c r="Z85" s="75" t="n">
        <f aca="false">Z82+Z83+Z84</f>
        <v>2425000</v>
      </c>
      <c r="AA85" s="75" t="n">
        <f aca="false">AA82+AA83+AA84</f>
        <v>2400000</v>
      </c>
      <c r="AB85" s="75" t="n">
        <f aca="false">AB82+AB83+AB84</f>
        <v>2375000</v>
      </c>
      <c r="AC85" s="75" t="n">
        <f aca="false">AC82+AC83+AC84</f>
        <v>2350000</v>
      </c>
      <c r="AD85" s="75" t="n">
        <f aca="false">AD82+AD83+AD84</f>
        <v>2325000</v>
      </c>
      <c r="AE85" s="75" t="n">
        <f aca="false">AE82+AE83+AE84</f>
        <v>2300000</v>
      </c>
      <c r="AF85" s="75" t="n">
        <f aca="false">AF82+AF83+AF84</f>
        <v>2275000</v>
      </c>
      <c r="AG85" s="75" t="n">
        <f aca="false">AG82+AG83+AG84</f>
        <v>2250000</v>
      </c>
      <c r="AH85" s="75" t="n">
        <f aca="false">AH82+AH83+AH84</f>
        <v>2225000</v>
      </c>
      <c r="AI85" s="75" t="n">
        <f aca="false">AI82+AI83+AI84</f>
        <v>2200000</v>
      </c>
      <c r="AJ85" s="75" t="n">
        <f aca="false">AJ82+AJ83+AJ84</f>
        <v>2175000</v>
      </c>
      <c r="AK85" s="75" t="n">
        <f aca="false">AK82+AK83+AK84</f>
        <v>2150000</v>
      </c>
      <c r="AL85" s="75" t="n">
        <f aca="false">AL82+AL83+AL84</f>
        <v>2125000</v>
      </c>
      <c r="AM85" s="75" t="n">
        <f aca="false">AM82+AM83+AM84</f>
        <v>2100000</v>
      </c>
      <c r="AN85" s="75" t="n">
        <f aca="false">AN82+AN83+AN84</f>
        <v>2075000</v>
      </c>
      <c r="AO85" s="75" t="n">
        <f aca="false">AO82+AO83+AO84</f>
        <v>2050000</v>
      </c>
      <c r="AP85" s="75" t="n">
        <f aca="false">AP82+AP83+AP84</f>
        <v>2025000</v>
      </c>
      <c r="AQ85" s="75" t="n">
        <f aca="false">AQ82+AQ83+AQ84</f>
        <v>2000000</v>
      </c>
      <c r="AR85" s="75" t="n">
        <f aca="false">AR82+AR83+AR84</f>
        <v>1975000</v>
      </c>
      <c r="AS85" s="75" t="n">
        <f aca="false">AS82+AS83+AS84</f>
        <v>1950000</v>
      </c>
      <c r="AT85" s="75" t="n">
        <f aca="false">AT82+AT83+AT84</f>
        <v>1925000</v>
      </c>
      <c r="AU85" s="75" t="n">
        <f aca="false">AU82+AU83+AU84</f>
        <v>1900000</v>
      </c>
      <c r="AV85" s="75" t="n">
        <f aca="false">AV82+AV83+AV84</f>
        <v>1875000</v>
      </c>
      <c r="AW85" s="75" t="n">
        <f aca="false">AW82+AW83+AW84</f>
        <v>1850000</v>
      </c>
      <c r="AX85" s="75" t="n">
        <f aca="false">AX82+AX83+AX84</f>
        <v>1825000</v>
      </c>
      <c r="AY85" s="75" t="n">
        <f aca="false">AY82+AY83+AY84</f>
        <v>1800000</v>
      </c>
      <c r="AZ85" s="75" t="n">
        <f aca="false">AZ82+AZ83+AZ84</f>
        <v>1775000</v>
      </c>
      <c r="BA85" s="75" t="n">
        <f aca="false">BA82+BA83+BA84</f>
        <v>1750000</v>
      </c>
      <c r="BB85" s="75" t="n">
        <f aca="false">BB82+BB83+BB84</f>
        <v>1725000</v>
      </c>
      <c r="BC85" s="75" t="n">
        <f aca="false">BC82+BC83+BC84</f>
        <v>1700000</v>
      </c>
      <c r="BD85" s="75" t="n">
        <f aca="false">BD82+BD83+BD84</f>
        <v>1675000</v>
      </c>
      <c r="BE85" s="75" t="n">
        <f aca="false">BE82+BE83+BE84</f>
        <v>1650000</v>
      </c>
      <c r="BF85" s="75" t="n">
        <f aca="false">BF82+BF83+BF84</f>
        <v>1625000</v>
      </c>
      <c r="BG85" s="75" t="n">
        <f aca="false">BG82+BG83+BG84</f>
        <v>1600000</v>
      </c>
      <c r="BH85" s="75" t="n">
        <f aca="false">BH82+BH83+BH84</f>
        <v>1575000</v>
      </c>
      <c r="BI85" s="75" t="n">
        <f aca="false">BI82+BI83+BI84</f>
        <v>1550000</v>
      </c>
      <c r="BJ85" s="75" t="n">
        <f aca="false">BJ82+BJ83+BJ84</f>
        <v>1525000</v>
      </c>
    </row>
    <row r="87" customFormat="false" ht="15.75" hidden="false" customHeight="true" outlineLevel="0" collapsed="false">
      <c r="A87" s="7" t="s">
        <v>326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</row>
    <row r="88" customFormat="false" ht="15" hidden="false" customHeight="false" outlineLevel="0" collapsed="false">
      <c r="A88" s="6" t="s">
        <v>90</v>
      </c>
      <c r="C88" s="69" t="n">
        <f aca="false">C39*Inputs!$B$75/30</f>
        <v>1766.44693333333</v>
      </c>
      <c r="D88" s="69" t="n">
        <f aca="false">D39*Inputs!$B$75/30</f>
        <v>2025.32743111111</v>
      </c>
      <c r="E88" s="69" t="n">
        <f aca="false">E39*Inputs!$B$75/30</f>
        <v>2918.52097066667</v>
      </c>
      <c r="F88" s="69" t="n">
        <f aca="false">F39*Inputs!$B$75/30</f>
        <v>3272.1191888</v>
      </c>
      <c r="G88" s="69" t="n">
        <f aca="false">G39*Inputs!$B$75/30</f>
        <v>3631.69402936</v>
      </c>
      <c r="H88" s="69" t="n">
        <f aca="false">H39*Inputs!$B$75/30</f>
        <v>3996.94666122533</v>
      </c>
      <c r="I88" s="69" t="n">
        <f aca="false">I39*Inputs!$B$75/30</f>
        <v>4367.59319483073</v>
      </c>
      <c r="J88" s="69" t="n">
        <f aca="false">J39*Inputs!$B$75/30</f>
        <v>4743.3639350892</v>
      </c>
      <c r="K88" s="69" t="n">
        <f aca="false">K39*Inputs!$B$75/30</f>
        <v>5124.00267166807</v>
      </c>
      <c r="L88" s="69" t="n">
        <f aca="false">L39*Inputs!$B$75/30</f>
        <v>5509.26600475133</v>
      </c>
      <c r="M88" s="69" t="n">
        <f aca="false">M39*Inputs!$B$75/30</f>
        <v>5898.92270451377</v>
      </c>
      <c r="N88" s="69" t="n">
        <f aca="false">N39*Inputs!$B$75/30</f>
        <v>4996.0483915103</v>
      </c>
      <c r="O88" s="69" t="n">
        <f aca="false">O39*Inputs!$B$75/30</f>
        <v>5354.33959076525</v>
      </c>
      <c r="P88" s="69" t="n">
        <f aca="false">P39*Inputs!$B$75/30</f>
        <v>5438.99679789365</v>
      </c>
      <c r="Q88" s="69" t="n">
        <f aca="false">Q39*Inputs!$B$75/30</f>
        <v>6904.0961313323</v>
      </c>
      <c r="R88" s="69" t="n">
        <f aca="false">R39*Inputs!$B$75/30</f>
        <v>6999.99468476569</v>
      </c>
      <c r="S88" s="69" t="n">
        <f aca="false">S39*Inputs!$B$75/30</f>
        <v>7091.0983105274</v>
      </c>
      <c r="T88" s="69" t="n">
        <f aca="false">T39*Inputs!$B$75/30</f>
        <v>7177.64675500103</v>
      </c>
      <c r="U88" s="69" t="n">
        <f aca="false">U39*Inputs!$B$75/30</f>
        <v>7259.86777725098</v>
      </c>
      <c r="V88" s="69" t="n">
        <f aca="false">V39*Inputs!$B$75/30</f>
        <v>7337.97774838843</v>
      </c>
      <c r="W88" s="69" t="n">
        <f aca="false">W39*Inputs!$B$75/30</f>
        <v>7412.18222096901</v>
      </c>
      <c r="X88" s="69" t="n">
        <f aca="false">X39*Inputs!$B$75/30</f>
        <v>7482.67646992056</v>
      </c>
      <c r="Y88" s="69" t="n">
        <f aca="false">Y39*Inputs!$B$75/30</f>
        <v>7549.64600642453</v>
      </c>
      <c r="Z88" s="69" t="n">
        <f aca="false">Z39*Inputs!$B$75/30</f>
        <v>6228.59207943664</v>
      </c>
      <c r="AA88" s="69" t="n">
        <f aca="false">AA39*Inputs!$B$75/30</f>
        <v>6332.23202875279</v>
      </c>
      <c r="AB88" s="69" t="n">
        <f aca="false">AB39*Inputs!$B$75/30</f>
        <v>6371.51835584848</v>
      </c>
      <c r="AC88" s="69" t="n">
        <f aca="false">AC39*Inputs!$B$75/30</f>
        <v>7807.36210312272</v>
      </c>
      <c r="AD88" s="69" t="n">
        <f aca="false">AD39*Inputs!$B$75/30</f>
        <v>7862.50839156659</v>
      </c>
      <c r="AE88" s="69" t="n">
        <f aca="false">AE39*Inputs!$B$75/30</f>
        <v>7914.89736558826</v>
      </c>
      <c r="AF88" s="69" t="n">
        <f aca="false">AF39*Inputs!$B$75/30</f>
        <v>7964.66689090884</v>
      </c>
      <c r="AG88" s="69" t="n">
        <f aca="false">AG39*Inputs!$B$75/30</f>
        <v>8011.9479399634</v>
      </c>
      <c r="AH88" s="69" t="n">
        <f aca="false">AH39*Inputs!$B$75/30</f>
        <v>8056.86493656523</v>
      </c>
      <c r="AI88" s="69" t="n">
        <f aca="false">AI39*Inputs!$B$75/30</f>
        <v>8099.53608333697</v>
      </c>
      <c r="AJ88" s="69" t="n">
        <f aca="false">AJ39*Inputs!$B$75/30</f>
        <v>8140.07367277012</v>
      </c>
      <c r="AK88" s="69" t="n">
        <f aca="false">AK39*Inputs!$B$75/30</f>
        <v>8178.58438273162</v>
      </c>
      <c r="AL88" s="69" t="n">
        <f aca="false">AL39*Inputs!$B$75/30</f>
        <v>6816.6478206617</v>
      </c>
      <c r="AM88" s="69" t="n">
        <f aca="false">AM39*Inputs!$B$75/30</f>
        <v>6900.03049174357</v>
      </c>
      <c r="AN88" s="69" t="n">
        <f aca="false">AN39*Inputs!$B$75/30</f>
        <v>6914.48587497506</v>
      </c>
      <c r="AO88" s="69" t="n">
        <f aca="false">AO39*Inputs!$B$75/30</f>
        <v>8340.72544294364</v>
      </c>
      <c r="AP88" s="69" t="n">
        <f aca="false">AP39*Inputs!$B$75/30</f>
        <v>8373.65870833246</v>
      </c>
      <c r="AQ88" s="69" t="n">
        <f aca="false">AQ39*Inputs!$B$75/30</f>
        <v>8404.94531045183</v>
      </c>
      <c r="AR88" s="69" t="n">
        <f aca="false">AR39*Inputs!$B$75/30</f>
        <v>8434.66758246524</v>
      </c>
      <c r="AS88" s="69" t="n">
        <f aca="false">AS39*Inputs!$B$75/30</f>
        <v>8462.90374087798</v>
      </c>
      <c r="AT88" s="69" t="n">
        <f aca="false">AT39*Inputs!$B$75/30</f>
        <v>8489.72809137008</v>
      </c>
      <c r="AU88" s="69" t="n">
        <f aca="false">AU39*Inputs!$B$75/30</f>
        <v>8515.21122433758</v>
      </c>
      <c r="AV88" s="69" t="n">
        <f aca="false">AV39*Inputs!$B$75/30</f>
        <v>8539.4202006567</v>
      </c>
      <c r="AW88" s="69" t="n">
        <f aca="false">AW39*Inputs!$B$75/30</f>
        <v>8562.41872815986</v>
      </c>
      <c r="AX88" s="69" t="n">
        <f aca="false">AX39*Inputs!$B$75/30</f>
        <v>7171.7603753892</v>
      </c>
      <c r="AY88" s="69" t="n">
        <f aca="false">AY39*Inputs!$B$75/30</f>
        <v>7244.35555708279</v>
      </c>
      <c r="AZ88" s="69" t="n">
        <f aca="false">AZ39*Inputs!$B$75/30</f>
        <v>7245.18925612551</v>
      </c>
      <c r="BA88" s="69" t="n">
        <f aca="false">BA39*Inputs!$B$75/30</f>
        <v>8672.61329365374</v>
      </c>
      <c r="BB88" s="69" t="n">
        <f aca="false">BB39*Inputs!$B$75/30</f>
        <v>8693.45186188241</v>
      </c>
      <c r="BC88" s="69" t="n">
        <f aca="false">BC39*Inputs!$B$75/30</f>
        <v>8713.24850169965</v>
      </c>
      <c r="BD88" s="69" t="n">
        <f aca="false">BD39*Inputs!$B$75/30</f>
        <v>8732.05530952603</v>
      </c>
      <c r="BE88" s="69" t="n">
        <f aca="false">BE39*Inputs!$B$75/30</f>
        <v>8749.92177696109</v>
      </c>
      <c r="BF88" s="69" t="n">
        <f aca="false">BF39*Inputs!$B$75/30</f>
        <v>8766.89492102439</v>
      </c>
      <c r="BG88" s="69" t="n">
        <f aca="false">BG39*Inputs!$B$75/30</f>
        <v>8783.01940788453</v>
      </c>
      <c r="BH88" s="69" t="n">
        <f aca="false">BH39*Inputs!$B$75/30</f>
        <v>8798.33767040167</v>
      </c>
      <c r="BI88" s="69" t="n">
        <f aca="false">BI39*Inputs!$B$75/30</f>
        <v>8812.89001979294</v>
      </c>
      <c r="BJ88" s="69" t="n">
        <f aca="false">BJ39*Inputs!$B$75/30</f>
        <v>7400.082728277</v>
      </c>
    </row>
    <row r="89" customFormat="false" ht="15" hidden="false" customHeight="false" outlineLevel="0" collapsed="false">
      <c r="A89" s="6" t="s">
        <v>91</v>
      </c>
      <c r="C89" s="69" t="n">
        <f aca="false">-C47*Inputs!$B$76/30</f>
        <v>1106.36695306667</v>
      </c>
      <c r="D89" s="69" t="n">
        <f aca="false">-D47*Inputs!$B$76/30</f>
        <v>1267.04841056889</v>
      </c>
      <c r="E89" s="69" t="n">
        <f aca="false">-E47*Inputs!$B$76/30</f>
        <v>1898.01000926756</v>
      </c>
      <c r="F89" s="69" t="n">
        <f aca="false">-F47*Inputs!$B$76/30</f>
        <v>2130.41345049307</v>
      </c>
      <c r="G89" s="69" t="n">
        <f aca="false">-G47*Inputs!$B$76/30</f>
        <v>2368.38809992397</v>
      </c>
      <c r="H89" s="69" t="n">
        <f aca="false">-H47*Inputs!$B$76/30</f>
        <v>2611.65539714999</v>
      </c>
      <c r="I89" s="69" t="n">
        <f aca="false">-I47*Inputs!$B$76/30</f>
        <v>2859.95070978138</v>
      </c>
      <c r="J89" s="69" t="n">
        <f aca="false">-J47*Inputs!$B$76/30</f>
        <v>3113.02263704787</v>
      </c>
      <c r="K89" s="69" t="n">
        <f aca="false">-K47*Inputs!$B$76/30</f>
        <v>3370.6323482177</v>
      </c>
      <c r="L89" s="69" t="n">
        <f aca="false">-L47*Inputs!$B$76/30</f>
        <v>3632.5529540957</v>
      </c>
      <c r="M89" s="69" t="n">
        <f aca="false">-M47*Inputs!$B$76/30</f>
        <v>3898.56890994647</v>
      </c>
      <c r="N89" s="69" t="n">
        <f aca="false">-N47*Inputs!$B$76/30</f>
        <v>3151.56364445471</v>
      </c>
      <c r="O89" s="69" t="n">
        <f aca="false">-O47*Inputs!$B$76/30</f>
        <v>3462.00865631777</v>
      </c>
      <c r="P89" s="69" t="n">
        <f aca="false">-P47*Inputs!$B$76/30</f>
        <v>3525.11180323521</v>
      </c>
      <c r="Q89" s="69" t="n">
        <f aca="false">-Q47*Inputs!$B$76/30</f>
        <v>4737.54823155042</v>
      </c>
      <c r="R89" s="69" t="n">
        <f aca="false">-R47*Inputs!$B$76/30</f>
        <v>4829.2778881329</v>
      </c>
      <c r="S89" s="69" t="n">
        <f aca="false">-S47*Inputs!$B$76/30</f>
        <v>4916.42106188625</v>
      </c>
      <c r="T89" s="69" t="n">
        <f aca="false">-T47*Inputs!$B$76/30</f>
        <v>4999.20707695194</v>
      </c>
      <c r="U89" s="69" t="n">
        <f aca="false">-U47*Inputs!$B$76/30</f>
        <v>5077.85379126435</v>
      </c>
      <c r="V89" s="69" t="n">
        <f aca="false">-V47*Inputs!$B$76/30</f>
        <v>5152.56816986113</v>
      </c>
      <c r="W89" s="69" t="n">
        <f aca="false">-W47*Inputs!$B$76/30</f>
        <v>5223.54682952807</v>
      </c>
      <c r="X89" s="69" t="n">
        <f aca="false">-X47*Inputs!$B$76/30</f>
        <v>5290.97655621167</v>
      </c>
      <c r="Y89" s="69" t="n">
        <f aca="false">-Y47*Inputs!$B$76/30</f>
        <v>5355.03479656109</v>
      </c>
      <c r="Z89" s="69" t="n">
        <f aca="false">-Z47*Inputs!$B$76/30</f>
        <v>4113.67299898733</v>
      </c>
      <c r="AA89" s="69" t="n">
        <f aca="false">-AA47*Inputs!$B$76/30</f>
        <v>4288.89500273739</v>
      </c>
      <c r="AB89" s="69" t="n">
        <f aca="false">-AB47*Inputs!$B$76/30</f>
        <v>4318.91799825599</v>
      </c>
      <c r="AC89" s="69" t="n">
        <f aca="false">-AC47*Inputs!$B$76/30</f>
        <v>5722.73855012091</v>
      </c>
      <c r="AD89" s="69" t="n">
        <f aca="false">-AD47*Inputs!$B$76/30</f>
        <v>5776.87086621167</v>
      </c>
      <c r="AE89" s="69" t="n">
        <f aca="false">-AE47*Inputs!$B$76/30</f>
        <v>5828.29656649788</v>
      </c>
      <c r="AF89" s="69" t="n">
        <f aca="false">-AF47*Inputs!$B$76/30</f>
        <v>5877.15098176979</v>
      </c>
      <c r="AG89" s="69" t="n">
        <f aca="false">-AG47*Inputs!$B$76/30</f>
        <v>5923.5626762781</v>
      </c>
      <c r="AH89" s="69" t="n">
        <f aca="false">-AH47*Inputs!$B$76/30</f>
        <v>5967.65378606099</v>
      </c>
      <c r="AI89" s="69" t="n">
        <f aca="false">-AI47*Inputs!$B$76/30</f>
        <v>6009.54034035474</v>
      </c>
      <c r="AJ89" s="69" t="n">
        <f aca="false">-AJ47*Inputs!$B$76/30</f>
        <v>6049.33256693381</v>
      </c>
      <c r="AK89" s="69" t="n">
        <f aca="false">-AK47*Inputs!$B$76/30</f>
        <v>6087.13518218392</v>
      </c>
      <c r="AL89" s="69" t="n">
        <f aca="false">-AL47*Inputs!$B$76/30</f>
        <v>4659.09029012563</v>
      </c>
      <c r="AM89" s="69" t="n">
        <f aca="false">-AM47*Inputs!$B$76/30</f>
        <v>4834.47310524239</v>
      </c>
      <c r="AN89" s="69" t="n">
        <f aca="false">-AN47*Inputs!$B$76/30</f>
        <v>4845.80008842208</v>
      </c>
      <c r="AO89" s="69" t="n">
        <f aca="false">-AO47*Inputs!$B$76/30</f>
        <v>6384.09385704568</v>
      </c>
      <c r="AP89" s="69" t="n">
        <f aca="false">-AP47*Inputs!$B$76/30</f>
        <v>6417.27224917157</v>
      </c>
      <c r="AQ89" s="69" t="n">
        <f aca="false">-AQ47*Inputs!$B$76/30</f>
        <v>6448.79172169117</v>
      </c>
      <c r="AR89" s="69" t="n">
        <f aca="false">-AR47*Inputs!$B$76/30</f>
        <v>6478.73522058479</v>
      </c>
      <c r="AS89" s="69" t="n">
        <f aca="false">-AS47*Inputs!$B$76/30</f>
        <v>6507.18154453373</v>
      </c>
      <c r="AT89" s="69" t="n">
        <f aca="false">-AT47*Inputs!$B$76/30</f>
        <v>6534.20555228522</v>
      </c>
      <c r="AU89" s="69" t="n">
        <f aca="false">-AU47*Inputs!$B$76/30</f>
        <v>6559.87835964913</v>
      </c>
      <c r="AV89" s="69" t="n">
        <f aca="false">-AV47*Inputs!$B$76/30</f>
        <v>6584.26752664485</v>
      </c>
      <c r="AW89" s="69" t="n">
        <f aca="false">-AW47*Inputs!$B$76/30</f>
        <v>6607.43723529078</v>
      </c>
      <c r="AX89" s="69" t="n">
        <f aca="false">-AX47*Inputs!$B$76/30</f>
        <v>5047.39584635448</v>
      </c>
      <c r="AY89" s="69" t="n">
        <f aca="false">-AY47*Inputs!$B$76/30</f>
        <v>5225.8997258492</v>
      </c>
      <c r="AZ89" s="69" t="n">
        <f aca="false">-AZ47*Inputs!$B$76/30</f>
        <v>5226.56962832596</v>
      </c>
      <c r="BA89" s="69" t="n">
        <f aca="false">-BA47*Inputs!$B$76/30</f>
        <v>6868.37176286016</v>
      </c>
      <c r="BB89" s="69" t="n">
        <f aca="false">-BB47*Inputs!$B$76/30</f>
        <v>6889.91968544833</v>
      </c>
      <c r="BC89" s="69" t="n">
        <f aca="false">-BC47*Inputs!$B$76/30</f>
        <v>6910.3902119071</v>
      </c>
      <c r="BD89" s="69" t="n">
        <f aca="false">-BD47*Inputs!$B$76/30</f>
        <v>6929.83721204293</v>
      </c>
      <c r="BE89" s="69" t="n">
        <f aca="false">-BE47*Inputs!$B$76/30</f>
        <v>6948.31186217196</v>
      </c>
      <c r="BF89" s="69" t="n">
        <f aca="false">-BF47*Inputs!$B$76/30</f>
        <v>6965.86277979455</v>
      </c>
      <c r="BG89" s="69" t="n">
        <f aca="false">-BG47*Inputs!$B$76/30</f>
        <v>6982.536151536</v>
      </c>
      <c r="BH89" s="69" t="n">
        <f aca="false">-BH47*Inputs!$B$76/30</f>
        <v>6998.37585469038</v>
      </c>
      <c r="BI89" s="69" t="n">
        <f aca="false">-BI47*Inputs!$B$76/30</f>
        <v>7013.42357268704</v>
      </c>
      <c r="BJ89" s="69" t="n">
        <f aca="false">-BJ47*Inputs!$B$76/30</f>
        <v>5351.03123294737</v>
      </c>
    </row>
    <row r="90" customFormat="false" ht="15" hidden="false" customHeight="false" outlineLevel="0" collapsed="false">
      <c r="A90" s="6" t="s">
        <v>94</v>
      </c>
      <c r="C90" s="69" t="n">
        <f aca="false">-C47*Inputs!$B$77/30</f>
        <v>3161.04843733333</v>
      </c>
      <c r="D90" s="69" t="n">
        <f aca="false">-D47*Inputs!$B$77/30</f>
        <v>3620.13831591111</v>
      </c>
      <c r="E90" s="69" t="n">
        <f aca="false">-E47*Inputs!$B$77/30</f>
        <v>5422.88574076444</v>
      </c>
      <c r="F90" s="69" t="n">
        <f aca="false">-F47*Inputs!$B$77/30</f>
        <v>6086.89557283733</v>
      </c>
      <c r="G90" s="69" t="n">
        <f aca="false">-G47*Inputs!$B$77/30</f>
        <v>6766.82314263991</v>
      </c>
      <c r="H90" s="69" t="n">
        <f aca="false">-H47*Inputs!$B$77/30</f>
        <v>7461.87256328569</v>
      </c>
      <c r="I90" s="69" t="n">
        <f aca="false">-I47*Inputs!$B$77/30</f>
        <v>8171.28774223252</v>
      </c>
      <c r="J90" s="69" t="n">
        <f aca="false">-J47*Inputs!$B$77/30</f>
        <v>8894.35039156534</v>
      </c>
      <c r="K90" s="69" t="n">
        <f aca="false">-K47*Inputs!$B$77/30</f>
        <v>9630.37813776485</v>
      </c>
      <c r="L90" s="69" t="n">
        <f aca="false">-L47*Inputs!$B$77/30</f>
        <v>10378.7227259877</v>
      </c>
      <c r="M90" s="69" t="n">
        <f aca="false">-M47*Inputs!$B$77/30</f>
        <v>11138.7683141328</v>
      </c>
      <c r="N90" s="69" t="n">
        <f aca="false">-N47*Inputs!$B$77/30</f>
        <v>9004.46755558487</v>
      </c>
      <c r="O90" s="69" t="n">
        <f aca="false">-O47*Inputs!$B$77/30</f>
        <v>9891.45330376506</v>
      </c>
      <c r="P90" s="69" t="n">
        <f aca="false">-P47*Inputs!$B$77/30</f>
        <v>10071.7480092435</v>
      </c>
      <c r="Q90" s="69" t="n">
        <f aca="false">-Q47*Inputs!$B$77/30</f>
        <v>13535.8520901441</v>
      </c>
      <c r="R90" s="69" t="n">
        <f aca="false">-R47*Inputs!$B$77/30</f>
        <v>13797.9368232369</v>
      </c>
      <c r="S90" s="69" t="n">
        <f aca="false">-S47*Inputs!$B$77/30</f>
        <v>14046.917319675</v>
      </c>
      <c r="T90" s="69" t="n">
        <f aca="false">-T47*Inputs!$B$77/30</f>
        <v>14283.4487912913</v>
      </c>
      <c r="U90" s="69" t="n">
        <f aca="false">-U47*Inputs!$B$77/30</f>
        <v>14508.1536893267</v>
      </c>
      <c r="V90" s="69" t="n">
        <f aca="false">-V47*Inputs!$B$77/30</f>
        <v>14721.6233424604</v>
      </c>
      <c r="W90" s="69" t="n">
        <f aca="false">-W47*Inputs!$B$77/30</f>
        <v>14924.4195129374</v>
      </c>
      <c r="X90" s="69" t="n">
        <f aca="false">-X47*Inputs!$B$77/30</f>
        <v>15117.0758748905</v>
      </c>
      <c r="Y90" s="69" t="n">
        <f aca="false">-Y47*Inputs!$B$77/30</f>
        <v>15300.099418746</v>
      </c>
      <c r="Z90" s="69" t="n">
        <f aca="false">-Z47*Inputs!$B$77/30</f>
        <v>11753.3514256781</v>
      </c>
      <c r="AA90" s="69" t="n">
        <f aca="false">-AA47*Inputs!$B$77/30</f>
        <v>12253.9857221068</v>
      </c>
      <c r="AB90" s="69" t="n">
        <f aca="false">-AB47*Inputs!$B$77/30</f>
        <v>12339.7657093028</v>
      </c>
      <c r="AC90" s="69" t="n">
        <f aca="false">-AC47*Inputs!$B$77/30</f>
        <v>16350.681571774</v>
      </c>
      <c r="AD90" s="69" t="n">
        <f aca="false">-AD47*Inputs!$B$77/30</f>
        <v>16505.3453320333</v>
      </c>
      <c r="AE90" s="69" t="n">
        <f aca="false">-AE47*Inputs!$B$77/30</f>
        <v>16652.2759042797</v>
      </c>
      <c r="AF90" s="69" t="n">
        <f aca="false">-AF47*Inputs!$B$77/30</f>
        <v>16791.8599479137</v>
      </c>
      <c r="AG90" s="69" t="n">
        <f aca="false">-AG47*Inputs!$B$77/30</f>
        <v>16924.464789366</v>
      </c>
      <c r="AH90" s="69" t="n">
        <f aca="false">-AH47*Inputs!$B$77/30</f>
        <v>17050.4393887457</v>
      </c>
      <c r="AI90" s="69" t="n">
        <f aca="false">-AI47*Inputs!$B$77/30</f>
        <v>17170.1152581564</v>
      </c>
      <c r="AJ90" s="69" t="n">
        <f aca="false">-AJ47*Inputs!$B$77/30</f>
        <v>17283.8073340966</v>
      </c>
      <c r="AK90" s="69" t="n">
        <f aca="false">-AK47*Inputs!$B$77/30</f>
        <v>17391.8148062398</v>
      </c>
      <c r="AL90" s="69" t="n">
        <f aca="false">-AL47*Inputs!$B$77/30</f>
        <v>13311.6865432161</v>
      </c>
      <c r="AM90" s="69" t="n">
        <f aca="false">-AM47*Inputs!$B$77/30</f>
        <v>13812.7803006925</v>
      </c>
      <c r="AN90" s="69" t="n">
        <f aca="false">-AN47*Inputs!$B$77/30</f>
        <v>13845.1431097774</v>
      </c>
      <c r="AO90" s="69" t="n">
        <f aca="false">-AO47*Inputs!$B$77/30</f>
        <v>18240.2681629877</v>
      </c>
      <c r="AP90" s="69" t="n">
        <f aca="false">-AP47*Inputs!$B$77/30</f>
        <v>18335.0635690616</v>
      </c>
      <c r="AQ90" s="69" t="n">
        <f aca="false">-AQ47*Inputs!$B$77/30</f>
        <v>18425.1192048319</v>
      </c>
      <c r="AR90" s="69" t="n">
        <f aca="false">-AR47*Inputs!$B$77/30</f>
        <v>18510.6720588137</v>
      </c>
      <c r="AS90" s="69" t="n">
        <f aca="false">-AS47*Inputs!$B$77/30</f>
        <v>18591.9472700964</v>
      </c>
      <c r="AT90" s="69" t="n">
        <f aca="false">-AT47*Inputs!$B$77/30</f>
        <v>18669.1587208149</v>
      </c>
      <c r="AU90" s="69" t="n">
        <f aca="false">-AU47*Inputs!$B$77/30</f>
        <v>18742.5095989975</v>
      </c>
      <c r="AV90" s="69" t="n">
        <f aca="false">-AV47*Inputs!$B$77/30</f>
        <v>18812.192933271</v>
      </c>
      <c r="AW90" s="69" t="n">
        <f aca="false">-AW47*Inputs!$B$77/30</f>
        <v>18878.3921008308</v>
      </c>
      <c r="AX90" s="69" t="n">
        <f aca="false">-AX47*Inputs!$B$77/30</f>
        <v>14421.1309895842</v>
      </c>
      <c r="AY90" s="69" t="n">
        <f aca="false">-AY47*Inputs!$B$77/30</f>
        <v>14931.1420738549</v>
      </c>
      <c r="AZ90" s="69" t="n">
        <f aca="false">-AZ47*Inputs!$B$77/30</f>
        <v>14933.0560809313</v>
      </c>
      <c r="BA90" s="69" t="n">
        <f aca="false">-BA47*Inputs!$B$77/30</f>
        <v>19623.9193224576</v>
      </c>
      <c r="BB90" s="69" t="n">
        <f aca="false">-BB47*Inputs!$B$77/30</f>
        <v>19685.4848155667</v>
      </c>
      <c r="BC90" s="69" t="n">
        <f aca="false">-BC47*Inputs!$B$77/30</f>
        <v>19743.9720340203</v>
      </c>
      <c r="BD90" s="69" t="n">
        <f aca="false">-BD47*Inputs!$B$77/30</f>
        <v>19799.5348915512</v>
      </c>
      <c r="BE90" s="69" t="n">
        <f aca="false">-BE47*Inputs!$B$77/30</f>
        <v>19852.3196062056</v>
      </c>
      <c r="BF90" s="69" t="n">
        <f aca="false">-BF47*Inputs!$B$77/30</f>
        <v>19902.4650851273</v>
      </c>
      <c r="BG90" s="69" t="n">
        <f aca="false">-BG47*Inputs!$B$77/30</f>
        <v>19950.1032901029</v>
      </c>
      <c r="BH90" s="69" t="n">
        <f aca="false">-BH47*Inputs!$B$77/30</f>
        <v>19995.3595848297</v>
      </c>
      <c r="BI90" s="69" t="n">
        <f aca="false">-BI47*Inputs!$B$77/30</f>
        <v>20038.3530648201</v>
      </c>
      <c r="BJ90" s="69" t="n">
        <f aca="false">-BJ47*Inputs!$B$77/30</f>
        <v>15288.6606655639</v>
      </c>
    </row>
    <row r="91" customFormat="false" ht="15" hidden="false" customHeight="false" outlineLevel="0" collapsed="false">
      <c r="A91" s="6" t="s">
        <v>348</v>
      </c>
      <c r="C91" s="69" t="n">
        <f aca="false">-C88</f>
        <v>-1766.44693333333</v>
      </c>
      <c r="D91" s="69" t="n">
        <f aca="false">C88-D88</f>
        <v>-258.880497777778</v>
      </c>
      <c r="E91" s="69" t="n">
        <f aca="false">D88-E88</f>
        <v>-893.193539555554</v>
      </c>
      <c r="F91" s="69" t="n">
        <f aca="false">E88-F88</f>
        <v>-353.598218133333</v>
      </c>
      <c r="G91" s="69" t="n">
        <f aca="false">F88-G88</f>
        <v>-359.574840560001</v>
      </c>
      <c r="H91" s="69" t="n">
        <f aca="false">G88-H88</f>
        <v>-365.252631865334</v>
      </c>
      <c r="I91" s="69" t="n">
        <f aca="false">H88-I88</f>
        <v>-370.646533605399</v>
      </c>
      <c r="J91" s="69" t="n">
        <f aca="false">I88-J88</f>
        <v>-375.770740258463</v>
      </c>
      <c r="K91" s="69" t="n">
        <f aca="false">J88-K88</f>
        <v>-380.638736578874</v>
      </c>
      <c r="L91" s="69" t="n">
        <f aca="false">K88-L88</f>
        <v>-385.263333083262</v>
      </c>
      <c r="M91" s="69" t="n">
        <f aca="false">L88-M88</f>
        <v>-389.656699762433</v>
      </c>
      <c r="N91" s="69" t="n">
        <f aca="false">M88-N88</f>
        <v>902.874313003465</v>
      </c>
      <c r="O91" s="69" t="n">
        <f aca="false">N88-O88</f>
        <v>-358.291199254945</v>
      </c>
      <c r="P91" s="69" t="n">
        <f aca="false">O88-P88</f>
        <v>-84.6572071284036</v>
      </c>
      <c r="Q91" s="69" t="n">
        <f aca="false">P88-Q88</f>
        <v>-1465.09933343865</v>
      </c>
      <c r="R91" s="69" t="n">
        <f aca="false">Q88-R88</f>
        <v>-95.8985534333851</v>
      </c>
      <c r="S91" s="69" t="n">
        <f aca="false">R88-S88</f>
        <v>-91.1036257617161</v>
      </c>
      <c r="T91" s="69" t="n">
        <f aca="false">S88-T88</f>
        <v>-86.5484444736294</v>
      </c>
      <c r="U91" s="69" t="n">
        <f aca="false">T88-U88</f>
        <v>-82.2210222499489</v>
      </c>
      <c r="V91" s="69" t="n">
        <f aca="false">U88-V88</f>
        <v>-78.10997113745</v>
      </c>
      <c r="W91" s="69" t="n">
        <f aca="false">V88-W88</f>
        <v>-74.2044725805799</v>
      </c>
      <c r="X91" s="69" t="n">
        <f aca="false">W88-X88</f>
        <v>-70.4942489515479</v>
      </c>
      <c r="Y91" s="69" t="n">
        <f aca="false">X88-Y88</f>
        <v>-66.9695365039734</v>
      </c>
      <c r="Z91" s="69" t="n">
        <f aca="false">Y88-Z88</f>
        <v>1321.05392698789</v>
      </c>
      <c r="AA91" s="69" t="n">
        <f aca="false">Z88-AA88</f>
        <v>-103.639949316149</v>
      </c>
      <c r="AB91" s="69" t="n">
        <f aca="false">AA88-AB88</f>
        <v>-39.2863270956941</v>
      </c>
      <c r="AC91" s="69" t="n">
        <f aca="false">AB88-AC88</f>
        <v>-1435.84374727424</v>
      </c>
      <c r="AD91" s="69" t="n">
        <f aca="false">AC88-AD88</f>
        <v>-55.1462884438633</v>
      </c>
      <c r="AE91" s="69" t="n">
        <f aca="false">AD88-AE88</f>
        <v>-52.388974021671</v>
      </c>
      <c r="AF91" s="69" t="n">
        <f aca="false">AE88-AF88</f>
        <v>-49.7695253205866</v>
      </c>
      <c r="AG91" s="69" t="n">
        <f aca="false">AF88-AG88</f>
        <v>-47.281049054558</v>
      </c>
      <c r="AH91" s="69" t="n">
        <f aca="false">AG88-AH88</f>
        <v>-44.9169966018299</v>
      </c>
      <c r="AI91" s="69" t="n">
        <f aca="false">AH88-AI88</f>
        <v>-42.6711467717378</v>
      </c>
      <c r="AJ91" s="69" t="n">
        <f aca="false">AI88-AJ88</f>
        <v>-40.537589433151</v>
      </c>
      <c r="AK91" s="69" t="n">
        <f aca="false">AJ88-AK88</f>
        <v>-38.5107099614943</v>
      </c>
      <c r="AL91" s="69" t="n">
        <f aca="false">AK88-AL88</f>
        <v>1361.93656206991</v>
      </c>
      <c r="AM91" s="69" t="n">
        <f aca="false">AL88-AM88</f>
        <v>-83.3826710818685</v>
      </c>
      <c r="AN91" s="69" t="n">
        <f aca="false">AM88-AN88</f>
        <v>-14.4553832314878</v>
      </c>
      <c r="AO91" s="69" t="n">
        <f aca="false">AN88-AO88</f>
        <v>-1426.23956796858</v>
      </c>
      <c r="AP91" s="69" t="n">
        <f aca="false">AO88-AP88</f>
        <v>-32.9332653888177</v>
      </c>
      <c r="AQ91" s="69" t="n">
        <f aca="false">AP88-AQ88</f>
        <v>-31.2866021193786</v>
      </c>
      <c r="AR91" s="69" t="n">
        <f aca="false">AQ88-AR88</f>
        <v>-29.7222720134087</v>
      </c>
      <c r="AS91" s="69" t="n">
        <f aca="false">AR88-AS88</f>
        <v>-28.2361584127375</v>
      </c>
      <c r="AT91" s="69" t="n">
        <f aca="false">AS88-AT88</f>
        <v>-26.8243504921011</v>
      </c>
      <c r="AU91" s="69" t="n">
        <f aca="false">AT88-AU88</f>
        <v>-25.4831329674962</v>
      </c>
      <c r="AV91" s="69" t="n">
        <f aca="false">AU88-AV88</f>
        <v>-24.2089763191216</v>
      </c>
      <c r="AW91" s="69" t="n">
        <f aca="false">AV88-AW88</f>
        <v>-22.998527503165</v>
      </c>
      <c r="AX91" s="69" t="n">
        <f aca="false">AW88-AX88</f>
        <v>1390.65835277066</v>
      </c>
      <c r="AY91" s="69" t="n">
        <f aca="false">AX88-AY88</f>
        <v>-72.5951816935904</v>
      </c>
      <c r="AZ91" s="69" t="n">
        <f aca="false">AY88-AZ88</f>
        <v>-0.833699042713306</v>
      </c>
      <c r="BA91" s="69" t="n">
        <f aca="false">AZ88-BA88</f>
        <v>-1427.42403752823</v>
      </c>
      <c r="BB91" s="69" t="n">
        <f aca="false">BA88-BB88</f>
        <v>-20.8385682286735</v>
      </c>
      <c r="BC91" s="69" t="n">
        <f aca="false">BB88-BC88</f>
        <v>-19.7966398172393</v>
      </c>
      <c r="BD91" s="69" t="n">
        <f aca="false">BC88-BD88</f>
        <v>-18.8068078263786</v>
      </c>
      <c r="BE91" s="69" t="n">
        <f aca="false">BD88-BE88</f>
        <v>-17.8664674350584</v>
      </c>
      <c r="BF91" s="69" t="n">
        <f aca="false">BE88-BF88</f>
        <v>-16.9731440633041</v>
      </c>
      <c r="BG91" s="69" t="n">
        <f aca="false">BF88-BG88</f>
        <v>-16.1244868601407</v>
      </c>
      <c r="BH91" s="69" t="n">
        <f aca="false">BG88-BH88</f>
        <v>-15.3182625171339</v>
      </c>
      <c r="BI91" s="69" t="n">
        <f aca="false">BH88-BI88</f>
        <v>-14.5523493912769</v>
      </c>
      <c r="BJ91" s="69" t="n">
        <f aca="false">BI88-BJ88</f>
        <v>1412.80729151594</v>
      </c>
    </row>
    <row r="92" customFormat="false" ht="15" hidden="false" customHeight="false" outlineLevel="0" collapsed="false">
      <c r="A92" s="6" t="s">
        <v>349</v>
      </c>
      <c r="C92" s="69" t="n">
        <f aca="false">-C89</f>
        <v>-1106.36695306667</v>
      </c>
      <c r="D92" s="69" t="n">
        <f aca="false">C89-D89</f>
        <v>-160.681457502222</v>
      </c>
      <c r="E92" s="69" t="n">
        <f aca="false">D89-E89</f>
        <v>-630.961598698666</v>
      </c>
      <c r="F92" s="69" t="n">
        <f aca="false">E89-F89</f>
        <v>-232.403441225511</v>
      </c>
      <c r="G92" s="69" t="n">
        <f aca="false">F89-G89</f>
        <v>-237.974649430903</v>
      </c>
      <c r="H92" s="69" t="n">
        <f aca="false">G89-H89</f>
        <v>-243.267297226023</v>
      </c>
      <c r="I92" s="69" t="n">
        <f aca="false">H89-I89</f>
        <v>-248.29531263139</v>
      </c>
      <c r="J92" s="69" t="n">
        <f aca="false">I89-J89</f>
        <v>-253.071927266486</v>
      </c>
      <c r="K92" s="69" t="n">
        <f aca="false">J89-K89</f>
        <v>-257.609711169829</v>
      </c>
      <c r="L92" s="69" t="n">
        <f aca="false">K89-L89</f>
        <v>-261.920605878003</v>
      </c>
      <c r="M92" s="69" t="n">
        <f aca="false">L89-M89</f>
        <v>-266.015955850771</v>
      </c>
      <c r="N92" s="69" t="n">
        <f aca="false">M89-N89</f>
        <v>747.005265491765</v>
      </c>
      <c r="O92" s="69" t="n">
        <f aca="false">N89-O89</f>
        <v>-310.445011863065</v>
      </c>
      <c r="P92" s="69" t="n">
        <f aca="false">O89-P89</f>
        <v>-63.103146917445</v>
      </c>
      <c r="Q92" s="69" t="n">
        <f aca="false">P89-Q89</f>
        <v>-1212.43642831521</v>
      </c>
      <c r="R92" s="69" t="n">
        <f aca="false">Q89-R89</f>
        <v>-91.72965658248</v>
      </c>
      <c r="S92" s="69" t="n">
        <f aca="false">R89-S89</f>
        <v>-87.143173753354</v>
      </c>
      <c r="T92" s="69" t="n">
        <f aca="false">S89-T89</f>
        <v>-82.7860150656888</v>
      </c>
      <c r="U92" s="69" t="n">
        <f aca="false">T89-U89</f>
        <v>-78.6467143124037</v>
      </c>
      <c r="V92" s="69" t="n">
        <f aca="false">U89-V89</f>
        <v>-74.7143785967819</v>
      </c>
      <c r="W92" s="69" t="n">
        <f aca="false">V89-W89</f>
        <v>-70.9786596669437</v>
      </c>
      <c r="X92" s="69" t="n">
        <f aca="false">W89-X89</f>
        <v>-67.4297266835956</v>
      </c>
      <c r="Y92" s="69" t="n">
        <f aca="false">X89-Y89</f>
        <v>-64.0582403494173</v>
      </c>
      <c r="Z92" s="69" t="n">
        <f aca="false">Y89-Z89</f>
        <v>1241.36179757375</v>
      </c>
      <c r="AA92" s="69" t="n">
        <f aca="false">Z89-AA89</f>
        <v>-175.222003750057</v>
      </c>
      <c r="AB92" s="69" t="n">
        <f aca="false">AA89-AB89</f>
        <v>-30.0229955185978</v>
      </c>
      <c r="AC92" s="69" t="n">
        <f aca="false">AB89-AC89</f>
        <v>-1403.82055186492</v>
      </c>
      <c r="AD92" s="69" t="n">
        <f aca="false">AC89-AD89</f>
        <v>-54.1323160907541</v>
      </c>
      <c r="AE92" s="69" t="n">
        <f aca="false">AD89-AE89</f>
        <v>-51.4257002862159</v>
      </c>
      <c r="AF92" s="69" t="n">
        <f aca="false">AE89-AF89</f>
        <v>-48.8544152719069</v>
      </c>
      <c r="AG92" s="69" t="n">
        <f aca="false">AF89-AG89</f>
        <v>-46.4116945083115</v>
      </c>
      <c r="AH92" s="69" t="n">
        <f aca="false">AG89-AH89</f>
        <v>-44.0911097828939</v>
      </c>
      <c r="AI92" s="69" t="n">
        <f aca="false">AH89-AI89</f>
        <v>-41.8865542937501</v>
      </c>
      <c r="AJ92" s="69" t="n">
        <f aca="false">AI89-AJ89</f>
        <v>-39.7922265790621</v>
      </c>
      <c r="AK92" s="69" t="n">
        <f aca="false">AJ89-AK89</f>
        <v>-37.8026152501097</v>
      </c>
      <c r="AL92" s="69" t="n">
        <f aca="false">AK89-AL89</f>
        <v>1428.04489205828</v>
      </c>
      <c r="AM92" s="69" t="n">
        <f aca="false">AL89-AM89</f>
        <v>-175.382815116754</v>
      </c>
      <c r="AN92" s="69" t="n">
        <f aca="false">AM89-AN89</f>
        <v>-11.3269831796933</v>
      </c>
      <c r="AO92" s="69" t="n">
        <f aca="false">AN89-AO89</f>
        <v>-1538.2937686236</v>
      </c>
      <c r="AP92" s="69" t="n">
        <f aca="false">AO89-AP89</f>
        <v>-33.1783921258921</v>
      </c>
      <c r="AQ92" s="69" t="n">
        <f aca="false">AP89-AQ89</f>
        <v>-31.5194725195979</v>
      </c>
      <c r="AR92" s="69" t="n">
        <f aca="false">AQ89-AR89</f>
        <v>-29.9434988936173</v>
      </c>
      <c r="AS92" s="69" t="n">
        <f aca="false">AR89-AS89</f>
        <v>-28.4463239489378</v>
      </c>
      <c r="AT92" s="69" t="n">
        <f aca="false">AS89-AT89</f>
        <v>-27.02400775149</v>
      </c>
      <c r="AU92" s="69" t="n">
        <f aca="false">AT89-AU89</f>
        <v>-25.6728073639151</v>
      </c>
      <c r="AV92" s="69" t="n">
        <f aca="false">AU89-AV89</f>
        <v>-24.3891669957193</v>
      </c>
      <c r="AW92" s="69" t="n">
        <f aca="false">AV89-AW89</f>
        <v>-23.1697086459326</v>
      </c>
      <c r="AX92" s="69" t="n">
        <f aca="false">AW89-AX89</f>
        <v>1560.0413889363</v>
      </c>
      <c r="AY92" s="69" t="n">
        <f aca="false">AX89-AY89</f>
        <v>-178.50387949472</v>
      </c>
      <c r="AZ92" s="69" t="n">
        <f aca="false">AY89-AZ89</f>
        <v>-0.669902476754032</v>
      </c>
      <c r="BA92" s="69" t="n">
        <f aca="false">AZ89-BA89</f>
        <v>-1641.8021345342</v>
      </c>
      <c r="BB92" s="69" t="n">
        <f aca="false">BA89-BB89</f>
        <v>-21.5479225881736</v>
      </c>
      <c r="BC92" s="69" t="n">
        <f aca="false">BB89-BC89</f>
        <v>-20.4705264587665</v>
      </c>
      <c r="BD92" s="69" t="n">
        <f aca="false">BC89-BD89</f>
        <v>-19.4470001358268</v>
      </c>
      <c r="BE92" s="69" t="n">
        <f aca="false">BD89-BE89</f>
        <v>-18.4746501290365</v>
      </c>
      <c r="BF92" s="69" t="n">
        <f aca="false">BE89-BF89</f>
        <v>-17.5509176225842</v>
      </c>
      <c r="BG92" s="69" t="n">
        <f aca="false">BF89-BG89</f>
        <v>-16.6733717414536</v>
      </c>
      <c r="BH92" s="69" t="n">
        <f aca="false">BG89-BH89</f>
        <v>-15.8397031543827</v>
      </c>
      <c r="BI92" s="69" t="n">
        <f aca="false">BH89-BI89</f>
        <v>-15.0477179966611</v>
      </c>
      <c r="BJ92" s="69" t="n">
        <f aca="false">BI89-BJ89</f>
        <v>1662.39233973968</v>
      </c>
    </row>
    <row r="93" customFormat="false" ht="15" hidden="false" customHeight="false" outlineLevel="0" collapsed="false">
      <c r="A93" s="6" t="s">
        <v>350</v>
      </c>
      <c r="C93" s="69" t="n">
        <f aca="false">C90</f>
        <v>3161.04843733333</v>
      </c>
      <c r="D93" s="69" t="n">
        <f aca="false">D90-C90</f>
        <v>459.089878577779</v>
      </c>
      <c r="E93" s="69" t="n">
        <f aca="false">E90-D90</f>
        <v>1802.74742485333</v>
      </c>
      <c r="F93" s="69" t="n">
        <f aca="false">F90-E90</f>
        <v>664.009832072889</v>
      </c>
      <c r="G93" s="69" t="n">
        <f aca="false">G90-F90</f>
        <v>679.927569802581</v>
      </c>
      <c r="H93" s="69" t="n">
        <f aca="false">H90-G90</f>
        <v>695.049420645781</v>
      </c>
      <c r="I93" s="69" t="n">
        <f aca="false">I90-H90</f>
        <v>709.415178946827</v>
      </c>
      <c r="J93" s="69" t="n">
        <f aca="false">J90-I90</f>
        <v>723.062649332815</v>
      </c>
      <c r="K93" s="69" t="n">
        <f aca="false">K90-J90</f>
        <v>736.027746199512</v>
      </c>
      <c r="L93" s="69" t="n">
        <f aca="false">L90-K90</f>
        <v>748.344588222868</v>
      </c>
      <c r="M93" s="69" t="n">
        <f aca="false">M90-L90</f>
        <v>760.04558814506</v>
      </c>
      <c r="N93" s="69" t="n">
        <f aca="false">N90-M90</f>
        <v>-2134.3007585479</v>
      </c>
      <c r="O93" s="69" t="n">
        <f aca="false">O90-N90</f>
        <v>886.985748180186</v>
      </c>
      <c r="P93" s="69" t="n">
        <f aca="false">P90-O90</f>
        <v>180.294705478411</v>
      </c>
      <c r="Q93" s="69" t="n">
        <f aca="false">Q90-P90</f>
        <v>3464.10408090059</v>
      </c>
      <c r="R93" s="69" t="n">
        <f aca="false">R90-Q90</f>
        <v>262.084733092795</v>
      </c>
      <c r="S93" s="69" t="n">
        <f aca="false">S90-R90</f>
        <v>248.980496438156</v>
      </c>
      <c r="T93" s="69" t="n">
        <f aca="false">T90-S90</f>
        <v>236.531471616252</v>
      </c>
      <c r="U93" s="69" t="n">
        <f aca="false">U90-T90</f>
        <v>224.704898035438</v>
      </c>
      <c r="V93" s="69" t="n">
        <f aca="false">V90-U90</f>
        <v>213.469653133667</v>
      </c>
      <c r="W93" s="69" t="n">
        <f aca="false">W90-V90</f>
        <v>202.79617047698</v>
      </c>
      <c r="X93" s="69" t="n">
        <f aca="false">X90-W90</f>
        <v>192.656361953132</v>
      </c>
      <c r="Y93" s="69" t="n">
        <f aca="false">Y90-X90</f>
        <v>183.023543855477</v>
      </c>
      <c r="Z93" s="69" t="n">
        <f aca="false">Z90-Y90</f>
        <v>-3546.74799306787</v>
      </c>
      <c r="AA93" s="69" t="n">
        <f aca="false">AA90-Z90</f>
        <v>500.634296428734</v>
      </c>
      <c r="AB93" s="69" t="n">
        <f aca="false">AB90-AA90</f>
        <v>85.7799871959942</v>
      </c>
      <c r="AC93" s="69" t="n">
        <f aca="false">AC90-AB90</f>
        <v>4010.91586247121</v>
      </c>
      <c r="AD93" s="69" t="n">
        <f aca="false">AD90-AC90</f>
        <v>154.663760259298</v>
      </c>
      <c r="AE93" s="69" t="n">
        <f aca="false">AE90-AD90</f>
        <v>146.930572246332</v>
      </c>
      <c r="AF93" s="69" t="n">
        <f aca="false">AF90-AE90</f>
        <v>139.584043634015</v>
      </c>
      <c r="AG93" s="69" t="n">
        <f aca="false">AG90-AF90</f>
        <v>132.604841452321</v>
      </c>
      <c r="AH93" s="69" t="n">
        <f aca="false">AH90-AG90</f>
        <v>125.974599379697</v>
      </c>
      <c r="AI93" s="69" t="n">
        <f aca="false">AI90-AH90</f>
        <v>119.675869410719</v>
      </c>
      <c r="AJ93" s="69" t="n">
        <f aca="false">AJ90-AI90</f>
        <v>113.692075940173</v>
      </c>
      <c r="AK93" s="69" t="n">
        <f aca="false">AK90-AJ90</f>
        <v>108.00747214317</v>
      </c>
      <c r="AL93" s="69" t="n">
        <f aca="false">AL90-AK90</f>
        <v>-4080.12826302366</v>
      </c>
      <c r="AM93" s="69" t="n">
        <f aca="false">AM90-AL90</f>
        <v>501.093757476441</v>
      </c>
      <c r="AN93" s="69" t="n">
        <f aca="false">AN90-AM90</f>
        <v>32.3628090848397</v>
      </c>
      <c r="AO93" s="69" t="n">
        <f aca="false">AO90-AN90</f>
        <v>4395.12505321029</v>
      </c>
      <c r="AP93" s="69" t="n">
        <f aca="false">AP90-AO90</f>
        <v>94.7954060739794</v>
      </c>
      <c r="AQ93" s="69" t="n">
        <f aca="false">AQ90-AP90</f>
        <v>90.0556357702808</v>
      </c>
      <c r="AR93" s="69" t="n">
        <f aca="false">AR90-AQ90</f>
        <v>85.5528539817606</v>
      </c>
      <c r="AS93" s="69" t="n">
        <f aca="false">AS90-AR90</f>
        <v>81.2752112826747</v>
      </c>
      <c r="AT93" s="69" t="n">
        <f aca="false">AT90-AS90</f>
        <v>77.2114507185434</v>
      </c>
      <c r="AU93" s="69" t="n">
        <f aca="false">AU90-AT90</f>
        <v>73.3508781826204</v>
      </c>
      <c r="AV93" s="69" t="n">
        <f aca="false">AV90-AU90</f>
        <v>69.683334273479</v>
      </c>
      <c r="AW93" s="69" t="n">
        <f aca="false">AW90-AV90</f>
        <v>66.1991675598074</v>
      </c>
      <c r="AX93" s="69" t="n">
        <f aca="false">AX90-AW90</f>
        <v>-4457.26111124657</v>
      </c>
      <c r="AY93" s="69" t="n">
        <f aca="false">AY90-AX90</f>
        <v>510.011084270627</v>
      </c>
      <c r="AZ93" s="69" t="n">
        <f aca="false">AZ90-AY90</f>
        <v>1.91400707644061</v>
      </c>
      <c r="BA93" s="69" t="n">
        <f aca="false">BA90-AZ90</f>
        <v>4690.86324152629</v>
      </c>
      <c r="BB93" s="69" t="n">
        <f aca="false">BB90-BA90</f>
        <v>61.5654931090721</v>
      </c>
      <c r="BC93" s="69" t="n">
        <f aca="false">BC90-BB90</f>
        <v>58.487218453618</v>
      </c>
      <c r="BD93" s="69" t="n">
        <f aca="false">BD90-BC90</f>
        <v>55.5628575309274</v>
      </c>
      <c r="BE93" s="69" t="n">
        <f aca="false">BE90-BD90</f>
        <v>52.7847146543973</v>
      </c>
      <c r="BF93" s="69" t="n">
        <f aca="false">BF90-BE90</f>
        <v>50.1454789216659</v>
      </c>
      <c r="BG93" s="69" t="n">
        <f aca="false">BG90-BF90</f>
        <v>47.6382049755812</v>
      </c>
      <c r="BH93" s="69" t="n">
        <f aca="false">BH90-BG90</f>
        <v>45.2562947268052</v>
      </c>
      <c r="BI93" s="69" t="n">
        <f aca="false">BI90-BH90</f>
        <v>42.9934799904659</v>
      </c>
      <c r="BJ93" s="69" t="n">
        <f aca="false">BJ90-BI90</f>
        <v>-4749.69239925622</v>
      </c>
    </row>
    <row r="95" customFormat="false" ht="15.75" hidden="false" customHeight="true" outlineLevel="0" collapsed="false">
      <c r="A95" s="7" t="s">
        <v>459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customFormat="false" ht="15" hidden="false" customHeight="false" outlineLevel="0" collapsed="false">
      <c r="A96" s="4" t="s">
        <v>52</v>
      </c>
      <c r="C96" s="75" t="n">
        <f aca="false">C66-C77+C91+C92+C93</f>
        <v>-92793.3007717333</v>
      </c>
      <c r="D96" s="75" t="n">
        <f aca="false">D66-D77+D91+D92+D93</f>
        <v>-89758.8930839022</v>
      </c>
      <c r="E96" s="75" t="n">
        <f aca="false">E66-E77+E91+E92+E93</f>
        <v>-78648.9634312142</v>
      </c>
      <c r="F96" s="75" t="n">
        <f aca="false">F66-F77+F91+F92+F93</f>
        <v>-74364.5056878753</v>
      </c>
      <c r="G96" s="75" t="n">
        <f aca="false">G66-G77+G91+G92+G93</f>
        <v>-69809.3211937482</v>
      </c>
      <c r="H96" s="75" t="n">
        <f aca="false">H66-H77+H91+H92+H93</f>
        <v>-65191.8711016608</v>
      </c>
      <c r="I96" s="75" t="n">
        <f aca="false">I66-I77+I91+I92+I93</f>
        <v>-60515.2686915111</v>
      </c>
      <c r="J96" s="75" t="n">
        <f aca="false">J66-J77+J91+J92+J93</f>
        <v>-55782.4715792022</v>
      </c>
      <c r="K96" s="75" t="n">
        <f aca="false">K66-K77+K91+K92+K93</f>
        <v>-50996.2894998421</v>
      </c>
      <c r="L96" s="75" t="n">
        <f aca="false">L66-L77+L91+L92+L93</f>
        <v>-46159.3917017833</v>
      </c>
      <c r="M96" s="75" t="n">
        <f aca="false">M66-M77+M91+M92+M93</f>
        <v>-41274.3139709608</v>
      </c>
      <c r="N96" s="75" t="n">
        <f aca="false">N66-N77+N91+N92+N93</f>
        <v>-52027.6883074422</v>
      </c>
      <c r="O96" s="75" t="n">
        <f aca="false">O66-O77+O91+O92+O93</f>
        <v>-46101.6448904401</v>
      </c>
      <c r="P96" s="75" t="n">
        <f aca="false">P66-P77+P91+P92+P93</f>
        <v>-45110.8606940279</v>
      </c>
      <c r="Q96" s="75" t="n">
        <f aca="false">Q66-Q77+Q91+Q92+Q93</f>
        <v>-27399.4095127515</v>
      </c>
      <c r="R96" s="75" t="n">
        <f aca="false">R66-R77+R91+R92+R93</f>
        <v>-26889.0867736264</v>
      </c>
      <c r="S96" s="75" t="n">
        <f aca="false">S66-S77+S91+S92+S93</f>
        <v>-25722.6426246784</v>
      </c>
      <c r="T96" s="75" t="n">
        <f aca="false">T66-T77+T91+T92+T93</f>
        <v>-24605.6665165112</v>
      </c>
      <c r="U96" s="75" t="n">
        <f aca="false">U66-U77+U91+U92+U93</f>
        <v>-23535.6850470856</v>
      </c>
      <c r="V96" s="75" t="n">
        <f aca="false">V66-V77+V91+V92+V93</f>
        <v>-22510.3484844647</v>
      </c>
      <c r="W96" s="75" t="n">
        <f aca="false">W66-W77+W91+W92+W93</f>
        <v>-21527.4245833081</v>
      </c>
      <c r="X96" s="75" t="n">
        <f aca="false">X66-X77+X91+X92+X93</f>
        <v>-20584.7927105427</v>
      </c>
      <c r="Y96" s="75" t="n">
        <f aca="false">Y66-Y77+Y91+Y92+Y93</f>
        <v>-19680.4382647489</v>
      </c>
      <c r="Z96" s="75" t="n">
        <f aca="false">Z66-Z77+Z91+Z92+Z93</f>
        <v>-35035.3698821405</v>
      </c>
      <c r="AA96" s="75" t="n">
        <f aca="false">AA66-AA77+AA91+AA92+AA93</f>
        <v>-33010.0621418393</v>
      </c>
      <c r="AB96" s="75" t="n">
        <f aca="false">AB66-AB77+AB91+AB92+AB93</f>
        <v>-32577.6555616453</v>
      </c>
      <c r="AC96" s="75" t="n">
        <f aca="false">AC66-AC77+AC91+AC92+AC93</f>
        <v>-15724.5089141548</v>
      </c>
      <c r="AD96" s="75" t="n">
        <f aca="false">AD66-AD77+AD91+AD92+AD93</f>
        <v>-16078.0933021599</v>
      </c>
      <c r="AE96" s="75" t="n">
        <f aca="false">AE66-AE77+AE91+AE92+AE93</f>
        <v>-15337.8404746572</v>
      </c>
      <c r="AF96" s="75" t="n">
        <f aca="false">AF66-AF77+AF91+AF92+AF93</f>
        <v>-14625.746121863</v>
      </c>
      <c r="AG96" s="75" t="n">
        <f aca="false">AG66-AG77+AG91+AG92+AG93</f>
        <v>-13940.4023200419</v>
      </c>
      <c r="AH96" s="75" t="n">
        <f aca="false">AH66-AH77+AH91+AH92+AH93</f>
        <v>-13280.4715416451</v>
      </c>
      <c r="AI96" s="75" t="n">
        <f aca="false">AI66-AI77+AI91+AI92+AI93</f>
        <v>-12644.6831355015</v>
      </c>
      <c r="AJ96" s="75" t="n">
        <f aca="false">AJ66-AJ77+AJ91+AJ92+AJ93</f>
        <v>-12031.8299829984</v>
      </c>
      <c r="AK96" s="75" t="n">
        <f aca="false">AK66-AK77+AK91+AK92+AK93</f>
        <v>-11440.7653214538</v>
      </c>
      <c r="AL96" s="75" t="n">
        <f aca="false">AL66-AL77+AL91+AL92+AL93</f>
        <v>-26894.3789804608</v>
      </c>
      <c r="AM96" s="75" t="n">
        <f aca="false">AM66-AM77+AM91+AM92+AM93</f>
        <v>-25689.9349769408</v>
      </c>
      <c r="AN96" s="75" t="n">
        <f aca="false">AN66-AN77+AN91+AN92+AN93</f>
        <v>-25580.3129373666</v>
      </c>
      <c r="AO96" s="75" t="n">
        <f aca="false">AO66-AO77+AO91+AO92+AO93</f>
        <v>-9178.3123903755</v>
      </c>
      <c r="AP96" s="75" t="n">
        <f aca="false">AP66-AP77+AP91+AP92+AP93</f>
        <v>-10051.3311533797</v>
      </c>
      <c r="AQ96" s="75" t="n">
        <f aca="false">AQ66-AQ77+AQ91+AQ92+AQ93</f>
        <v>-9541.46642933909</v>
      </c>
      <c r="AR96" s="75" t="n">
        <f aca="false">AR66-AR77+AR91+AR92+AR93</f>
        <v>-9048.24077483383</v>
      </c>
      <c r="AS96" s="75" t="n">
        <f aca="false">AS66-AS77+AS91+AS92+AS93</f>
        <v>-8570.82223638718</v>
      </c>
      <c r="AT96" s="75" t="n">
        <f aca="false">AT66-AT77+AT91+AT92+AT93</f>
        <v>-8108.4204581962</v>
      </c>
      <c r="AU96" s="75" t="n">
        <f aca="false">AU66-AU77+AU91+AU92+AU93</f>
        <v>-7660.28460224808</v>
      </c>
      <c r="AV96" s="75" t="n">
        <f aca="false">AV66-AV77+AV91+AV92+AV93</f>
        <v>-7225.70137243074</v>
      </c>
      <c r="AW96" s="75" t="n">
        <f aca="false">AW66-AW77+AW91+AW92+AW93</f>
        <v>-6803.99313743757</v>
      </c>
      <c r="AX96" s="75" t="n">
        <f aca="false">AX66-AX77+AX91+AX92+AX93</f>
        <v>-22327.4857297446</v>
      </c>
      <c r="AY96" s="75" t="n">
        <f aca="false">AY66-AY77+AY91+AY92+AY93</f>
        <v>-21683.9677599914</v>
      </c>
      <c r="AZ96" s="75" t="n">
        <f aca="false">AZ66-AZ77+AZ91+AZ92+AZ93</f>
        <v>-21755.7515691574</v>
      </c>
      <c r="BA96" s="75" t="n">
        <f aca="false">BA66-BA77+BA91+BA92+BA93</f>
        <v>-5582.37587128315</v>
      </c>
      <c r="BB96" s="75" t="n">
        <f aca="false">BB66-BB77+BB91+BB92+BB93</f>
        <v>-6787.52032135496</v>
      </c>
      <c r="BC96" s="75" t="n">
        <f aca="false">BC66-BC77+BC91+BC92+BC93</f>
        <v>-6402.17716855808</v>
      </c>
      <c r="BD96" s="75" t="n">
        <f aca="false">BD66-BD77+BD91+BD92+BD93</f>
        <v>-6027.24700673436</v>
      </c>
      <c r="BE96" s="75" t="n">
        <f aca="false">BE66-BE77+BE91+BE92+BE93</f>
        <v>-5662.20918633516</v>
      </c>
      <c r="BF96" s="75" t="n">
        <f aca="false">BF66-BF77+BF91+BF92+BF93</f>
        <v>-5306.56909028928</v>
      </c>
      <c r="BG96" s="75" t="n">
        <f aca="false">BG66-BG77+BG91+BG92+BG93</f>
        <v>-4959.856832379</v>
      </c>
      <c r="BH96" s="75" t="n">
        <f aca="false">BH66-BH77+BH91+BH92+BH93</f>
        <v>-4621.62602069758</v>
      </c>
      <c r="BI96" s="75" t="n">
        <f aca="false">BI66-BI77+BI91+BI92+BI93</f>
        <v>-4291.45258293355</v>
      </c>
      <c r="BJ96" s="75" t="n">
        <f aca="false">BJ66-BJ77+BJ91+BJ92+BJ93</f>
        <v>-19869.8262040581</v>
      </c>
    </row>
    <row r="97" customFormat="false" ht="15" hidden="false" customHeight="false" outlineLevel="0" collapsed="false">
      <c r="A97" s="6" t="s">
        <v>460</v>
      </c>
      <c r="C97" s="69" t="n">
        <f aca="false">-C74</f>
        <v>-4100000</v>
      </c>
      <c r="D97" s="69" t="n">
        <f aca="false">-D74</f>
        <v>-0</v>
      </c>
      <c r="E97" s="69" t="n">
        <f aca="false">-E74</f>
        <v>-0</v>
      </c>
      <c r="F97" s="69" t="n">
        <f aca="false">-F74</f>
        <v>-0</v>
      </c>
      <c r="G97" s="69" t="n">
        <f aca="false">-G74</f>
        <v>-0</v>
      </c>
      <c r="H97" s="69" t="n">
        <f aca="false">-H74</f>
        <v>-0</v>
      </c>
      <c r="I97" s="69" t="n">
        <f aca="false">-I74</f>
        <v>-0</v>
      </c>
      <c r="J97" s="69" t="n">
        <f aca="false">-J74</f>
        <v>-0</v>
      </c>
      <c r="K97" s="69" t="n">
        <f aca="false">-K74</f>
        <v>-0</v>
      </c>
      <c r="L97" s="69" t="n">
        <f aca="false">-L74</f>
        <v>-0</v>
      </c>
      <c r="M97" s="69" t="n">
        <f aca="false">-M74</f>
        <v>-0</v>
      </c>
      <c r="N97" s="69" t="n">
        <f aca="false">-N74</f>
        <v>-0</v>
      </c>
      <c r="O97" s="69" t="n">
        <f aca="false">-O74</f>
        <v>-40000</v>
      </c>
      <c r="P97" s="69" t="n">
        <f aca="false">-P74</f>
        <v>-0</v>
      </c>
      <c r="Q97" s="69" t="n">
        <f aca="false">-Q74</f>
        <v>-0</v>
      </c>
      <c r="R97" s="69" t="n">
        <f aca="false">-R74</f>
        <v>-0</v>
      </c>
      <c r="S97" s="69" t="n">
        <f aca="false">-S74</f>
        <v>-0</v>
      </c>
      <c r="T97" s="69" t="n">
        <f aca="false">-T74</f>
        <v>-0</v>
      </c>
      <c r="U97" s="69" t="n">
        <f aca="false">-U74</f>
        <v>-0</v>
      </c>
      <c r="V97" s="69" t="n">
        <f aca="false">-V74</f>
        <v>-0</v>
      </c>
      <c r="W97" s="69" t="n">
        <f aca="false">-W74</f>
        <v>-0</v>
      </c>
      <c r="X97" s="69" t="n">
        <f aca="false">-X74</f>
        <v>-0</v>
      </c>
      <c r="Y97" s="69" t="n">
        <f aca="false">-Y74</f>
        <v>-0</v>
      </c>
      <c r="Z97" s="69" t="n">
        <f aca="false">-Z74</f>
        <v>-0</v>
      </c>
      <c r="AA97" s="69" t="n">
        <f aca="false">-AA74</f>
        <v>-40000</v>
      </c>
      <c r="AB97" s="69" t="n">
        <f aca="false">-AB74</f>
        <v>-0</v>
      </c>
      <c r="AC97" s="69" t="n">
        <f aca="false">-AC74</f>
        <v>-0</v>
      </c>
      <c r="AD97" s="69" t="n">
        <f aca="false">-AD74</f>
        <v>-0</v>
      </c>
      <c r="AE97" s="69" t="n">
        <f aca="false">-AE74</f>
        <v>-0</v>
      </c>
      <c r="AF97" s="69" t="n">
        <f aca="false">-AF74</f>
        <v>-0</v>
      </c>
      <c r="AG97" s="69" t="n">
        <f aca="false">-AG74</f>
        <v>-0</v>
      </c>
      <c r="AH97" s="69" t="n">
        <f aca="false">-AH74</f>
        <v>-0</v>
      </c>
      <c r="AI97" s="69" t="n">
        <f aca="false">-AI74</f>
        <v>-0</v>
      </c>
      <c r="AJ97" s="69" t="n">
        <f aca="false">-AJ74</f>
        <v>-0</v>
      </c>
      <c r="AK97" s="69" t="n">
        <f aca="false">-AK74</f>
        <v>-0</v>
      </c>
      <c r="AL97" s="69" t="n">
        <f aca="false">-AL74</f>
        <v>-0</v>
      </c>
      <c r="AM97" s="69" t="n">
        <f aca="false">-AM74</f>
        <v>-40000</v>
      </c>
      <c r="AN97" s="69" t="n">
        <f aca="false">-AN74</f>
        <v>-0</v>
      </c>
      <c r="AO97" s="69" t="n">
        <f aca="false">-AO74</f>
        <v>-0</v>
      </c>
      <c r="AP97" s="69" t="n">
        <f aca="false">-AP74</f>
        <v>-0</v>
      </c>
      <c r="AQ97" s="69" t="n">
        <f aca="false">-AQ74</f>
        <v>-0</v>
      </c>
      <c r="AR97" s="69" t="n">
        <f aca="false">-AR74</f>
        <v>-0</v>
      </c>
      <c r="AS97" s="69" t="n">
        <f aca="false">-AS74</f>
        <v>-0</v>
      </c>
      <c r="AT97" s="69" t="n">
        <f aca="false">-AT74</f>
        <v>-0</v>
      </c>
      <c r="AU97" s="69" t="n">
        <f aca="false">-AU74</f>
        <v>-0</v>
      </c>
      <c r="AV97" s="69" t="n">
        <f aca="false">-AV74</f>
        <v>-0</v>
      </c>
      <c r="AW97" s="69" t="n">
        <f aca="false">-AW74</f>
        <v>-0</v>
      </c>
      <c r="AX97" s="69" t="n">
        <f aca="false">-AX74</f>
        <v>-0</v>
      </c>
      <c r="AY97" s="69" t="n">
        <f aca="false">-AY74</f>
        <v>-40000</v>
      </c>
      <c r="AZ97" s="69" t="n">
        <f aca="false">-AZ74</f>
        <v>-0</v>
      </c>
      <c r="BA97" s="69" t="n">
        <f aca="false">-BA74</f>
        <v>-0</v>
      </c>
      <c r="BB97" s="69" t="n">
        <f aca="false">-BB74</f>
        <v>-0</v>
      </c>
      <c r="BC97" s="69" t="n">
        <f aca="false">-BC74</f>
        <v>-0</v>
      </c>
      <c r="BD97" s="69" t="n">
        <f aca="false">-BD74</f>
        <v>-0</v>
      </c>
      <c r="BE97" s="69" t="n">
        <f aca="false">-BE74</f>
        <v>-0</v>
      </c>
      <c r="BF97" s="69" t="n">
        <f aca="false">-BF74</f>
        <v>-0</v>
      </c>
      <c r="BG97" s="69" t="n">
        <f aca="false">-BG74</f>
        <v>-0</v>
      </c>
      <c r="BH97" s="69" t="n">
        <f aca="false">-BH74</f>
        <v>-0</v>
      </c>
      <c r="BI97" s="69" t="n">
        <f aca="false">-BI74</f>
        <v>-0</v>
      </c>
      <c r="BJ97" s="69" t="n">
        <f aca="false">-BJ74</f>
        <v>-0</v>
      </c>
    </row>
    <row r="98" customFormat="false" ht="15" hidden="false" customHeight="false" outlineLevel="0" collapsed="false">
      <c r="A98" s="6" t="s">
        <v>64</v>
      </c>
      <c r="C98" s="69" t="n">
        <f aca="false">IF(C$6=1,Inputs!$B$69,0)</f>
        <v>2100000</v>
      </c>
      <c r="D98" s="69" t="n">
        <f aca="false">IF(D$6=1,Inputs!$B$69,0)</f>
        <v>0</v>
      </c>
      <c r="E98" s="69" t="n">
        <f aca="false">IF(E$6=1,Inputs!$B$69,0)</f>
        <v>0</v>
      </c>
      <c r="F98" s="69" t="n">
        <f aca="false">IF(F$6=1,Inputs!$B$69,0)</f>
        <v>0</v>
      </c>
      <c r="G98" s="69" t="n">
        <f aca="false">IF(G$6=1,Inputs!$B$69,0)</f>
        <v>0</v>
      </c>
      <c r="H98" s="69" t="n">
        <f aca="false">IF(H$6=1,Inputs!$B$69,0)</f>
        <v>0</v>
      </c>
      <c r="I98" s="69" t="n">
        <f aca="false">IF(I$6=1,Inputs!$B$69,0)</f>
        <v>0</v>
      </c>
      <c r="J98" s="69" t="n">
        <f aca="false">IF(J$6=1,Inputs!$B$69,0)</f>
        <v>0</v>
      </c>
      <c r="K98" s="69" t="n">
        <f aca="false">IF(K$6=1,Inputs!$B$69,0)</f>
        <v>0</v>
      </c>
      <c r="L98" s="69" t="n">
        <f aca="false">IF(L$6=1,Inputs!$B$69,0)</f>
        <v>0</v>
      </c>
      <c r="M98" s="69" t="n">
        <f aca="false">IF(M$6=1,Inputs!$B$69,0)</f>
        <v>0</v>
      </c>
      <c r="N98" s="69" t="n">
        <f aca="false">IF(N$6=1,Inputs!$B$69,0)</f>
        <v>0</v>
      </c>
      <c r="O98" s="69" t="n">
        <f aca="false">IF(O$6=1,Inputs!$B$69,0)</f>
        <v>0</v>
      </c>
      <c r="P98" s="69" t="n">
        <f aca="false">IF(P$6=1,Inputs!$B$69,0)</f>
        <v>0</v>
      </c>
      <c r="Q98" s="69" t="n">
        <f aca="false">IF(Q$6=1,Inputs!$B$69,0)</f>
        <v>0</v>
      </c>
      <c r="R98" s="69" t="n">
        <f aca="false">IF(R$6=1,Inputs!$B$69,0)</f>
        <v>0</v>
      </c>
      <c r="S98" s="69" t="n">
        <f aca="false">IF(S$6=1,Inputs!$B$69,0)</f>
        <v>0</v>
      </c>
      <c r="T98" s="69" t="n">
        <f aca="false">IF(T$6=1,Inputs!$B$69,0)</f>
        <v>0</v>
      </c>
      <c r="U98" s="69" t="n">
        <f aca="false">IF(U$6=1,Inputs!$B$69,0)</f>
        <v>0</v>
      </c>
      <c r="V98" s="69" t="n">
        <f aca="false">IF(V$6=1,Inputs!$B$69,0)</f>
        <v>0</v>
      </c>
      <c r="W98" s="69" t="n">
        <f aca="false">IF(W$6=1,Inputs!$B$69,0)</f>
        <v>0</v>
      </c>
      <c r="X98" s="69" t="n">
        <f aca="false">IF(X$6=1,Inputs!$B$69,0)</f>
        <v>0</v>
      </c>
      <c r="Y98" s="69" t="n">
        <f aca="false">IF(Y$6=1,Inputs!$B$69,0)</f>
        <v>0</v>
      </c>
      <c r="Z98" s="69" t="n">
        <f aca="false">IF(Z$6=1,Inputs!$B$69,0)</f>
        <v>0</v>
      </c>
      <c r="AA98" s="69" t="n">
        <f aca="false">IF(AA$6=1,Inputs!$B$69,0)</f>
        <v>0</v>
      </c>
      <c r="AB98" s="69" t="n">
        <f aca="false">IF(AB$6=1,Inputs!$B$69,0)</f>
        <v>0</v>
      </c>
      <c r="AC98" s="69" t="n">
        <f aca="false">IF(AC$6=1,Inputs!$B$69,0)</f>
        <v>0</v>
      </c>
      <c r="AD98" s="69" t="n">
        <f aca="false">IF(AD$6=1,Inputs!$B$69,0)</f>
        <v>0</v>
      </c>
      <c r="AE98" s="69" t="n">
        <f aca="false">IF(AE$6=1,Inputs!$B$69,0)</f>
        <v>0</v>
      </c>
      <c r="AF98" s="69" t="n">
        <f aca="false">IF(AF$6=1,Inputs!$B$69,0)</f>
        <v>0</v>
      </c>
      <c r="AG98" s="69" t="n">
        <f aca="false">IF(AG$6=1,Inputs!$B$69,0)</f>
        <v>0</v>
      </c>
      <c r="AH98" s="69" t="n">
        <f aca="false">IF(AH$6=1,Inputs!$B$69,0)</f>
        <v>0</v>
      </c>
      <c r="AI98" s="69" t="n">
        <f aca="false">IF(AI$6=1,Inputs!$B$69,0)</f>
        <v>0</v>
      </c>
      <c r="AJ98" s="69" t="n">
        <f aca="false">IF(AJ$6=1,Inputs!$B$69,0)</f>
        <v>0</v>
      </c>
      <c r="AK98" s="69" t="n">
        <f aca="false">IF(AK$6=1,Inputs!$B$69,0)</f>
        <v>0</v>
      </c>
      <c r="AL98" s="69" t="n">
        <f aca="false">IF(AL$6=1,Inputs!$B$69,0)</f>
        <v>0</v>
      </c>
      <c r="AM98" s="69" t="n">
        <f aca="false">IF(AM$6=1,Inputs!$B$69,0)</f>
        <v>0</v>
      </c>
      <c r="AN98" s="69" t="n">
        <f aca="false">IF(AN$6=1,Inputs!$B$69,0)</f>
        <v>0</v>
      </c>
      <c r="AO98" s="69" t="n">
        <f aca="false">IF(AO$6=1,Inputs!$B$69,0)</f>
        <v>0</v>
      </c>
      <c r="AP98" s="69" t="n">
        <f aca="false">IF(AP$6=1,Inputs!$B$69,0)</f>
        <v>0</v>
      </c>
      <c r="AQ98" s="69" t="n">
        <f aca="false">IF(AQ$6=1,Inputs!$B$69,0)</f>
        <v>0</v>
      </c>
      <c r="AR98" s="69" t="n">
        <f aca="false">IF(AR$6=1,Inputs!$B$69,0)</f>
        <v>0</v>
      </c>
      <c r="AS98" s="69" t="n">
        <f aca="false">IF(AS$6=1,Inputs!$B$69,0)</f>
        <v>0</v>
      </c>
      <c r="AT98" s="69" t="n">
        <f aca="false">IF(AT$6=1,Inputs!$B$69,0)</f>
        <v>0</v>
      </c>
      <c r="AU98" s="69" t="n">
        <f aca="false">IF(AU$6=1,Inputs!$B$69,0)</f>
        <v>0</v>
      </c>
      <c r="AV98" s="69" t="n">
        <f aca="false">IF(AV$6=1,Inputs!$B$69,0)</f>
        <v>0</v>
      </c>
      <c r="AW98" s="69" t="n">
        <f aca="false">IF(AW$6=1,Inputs!$B$69,0)</f>
        <v>0</v>
      </c>
      <c r="AX98" s="69" t="n">
        <f aca="false">IF(AX$6=1,Inputs!$B$69,0)</f>
        <v>0</v>
      </c>
      <c r="AY98" s="69" t="n">
        <f aca="false">IF(AY$6=1,Inputs!$B$69,0)</f>
        <v>0</v>
      </c>
      <c r="AZ98" s="69" t="n">
        <f aca="false">IF(AZ$6=1,Inputs!$B$69,0)</f>
        <v>0</v>
      </c>
      <c r="BA98" s="69" t="n">
        <f aca="false">IF(BA$6=1,Inputs!$B$69,0)</f>
        <v>0</v>
      </c>
      <c r="BB98" s="69" t="n">
        <f aca="false">IF(BB$6=1,Inputs!$B$69,0)</f>
        <v>0</v>
      </c>
      <c r="BC98" s="69" t="n">
        <f aca="false">IF(BC$6=1,Inputs!$B$69,0)</f>
        <v>0</v>
      </c>
      <c r="BD98" s="69" t="n">
        <f aca="false">IF(BD$6=1,Inputs!$B$69,0)</f>
        <v>0</v>
      </c>
      <c r="BE98" s="69" t="n">
        <f aca="false">IF(BE$6=1,Inputs!$B$69,0)</f>
        <v>0</v>
      </c>
      <c r="BF98" s="69" t="n">
        <f aca="false">IF(BF$6=1,Inputs!$B$69,0)</f>
        <v>0</v>
      </c>
      <c r="BG98" s="69" t="n">
        <f aca="false">IF(BG$6=1,Inputs!$B$69,0)</f>
        <v>0</v>
      </c>
      <c r="BH98" s="69" t="n">
        <f aca="false">IF(BH$6=1,Inputs!$B$69,0)</f>
        <v>0</v>
      </c>
      <c r="BI98" s="69" t="n">
        <f aca="false">IF(BI$6=1,Inputs!$B$69,0)</f>
        <v>0</v>
      </c>
      <c r="BJ98" s="69" t="n">
        <f aca="false">IF(BJ$6=1,Inputs!$B$69,0)</f>
        <v>0</v>
      </c>
    </row>
    <row r="99" customFormat="false" ht="15" hidden="false" customHeight="false" outlineLevel="0" collapsed="false">
      <c r="A99" s="6" t="s">
        <v>54</v>
      </c>
      <c r="C99" s="69" t="n">
        <f aca="false">C98+C83+C84</f>
        <v>5100000</v>
      </c>
      <c r="D99" s="69" t="n">
        <f aca="false">D98+D83+D84</f>
        <v>-25000</v>
      </c>
      <c r="E99" s="69" t="n">
        <f aca="false">E98+E83+E84</f>
        <v>-25000</v>
      </c>
      <c r="F99" s="69" t="n">
        <f aca="false">F98+F83+F84</f>
        <v>-25000</v>
      </c>
      <c r="G99" s="69" t="n">
        <f aca="false">G98+G83+G84</f>
        <v>-25000</v>
      </c>
      <c r="H99" s="69" t="n">
        <f aca="false">H98+H83+H84</f>
        <v>-25000</v>
      </c>
      <c r="I99" s="69" t="n">
        <f aca="false">I98+I83+I84</f>
        <v>-25000</v>
      </c>
      <c r="J99" s="69" t="n">
        <f aca="false">J98+J83+J84</f>
        <v>-25000</v>
      </c>
      <c r="K99" s="69" t="n">
        <f aca="false">K98+K83+K84</f>
        <v>-25000</v>
      </c>
      <c r="L99" s="69" t="n">
        <f aca="false">L98+L83+L84</f>
        <v>-25000</v>
      </c>
      <c r="M99" s="69" t="n">
        <f aca="false">M98+M83+M84</f>
        <v>-25000</v>
      </c>
      <c r="N99" s="69" t="n">
        <f aca="false">N98+N83+N84</f>
        <v>-25000</v>
      </c>
      <c r="O99" s="69" t="n">
        <f aca="false">O98+O83+O84</f>
        <v>-25000</v>
      </c>
      <c r="P99" s="69" t="n">
        <f aca="false">P98+P83+P84</f>
        <v>-25000</v>
      </c>
      <c r="Q99" s="69" t="n">
        <f aca="false">Q98+Q83+Q84</f>
        <v>-25000</v>
      </c>
      <c r="R99" s="69" t="n">
        <f aca="false">R98+R83+R84</f>
        <v>-25000</v>
      </c>
      <c r="S99" s="69" t="n">
        <f aca="false">S98+S83+S84</f>
        <v>-25000</v>
      </c>
      <c r="T99" s="69" t="n">
        <f aca="false">T98+T83+T84</f>
        <v>-25000</v>
      </c>
      <c r="U99" s="69" t="n">
        <f aca="false">U98+U83+U84</f>
        <v>-25000</v>
      </c>
      <c r="V99" s="69" t="n">
        <f aca="false">V98+V83+V84</f>
        <v>-25000</v>
      </c>
      <c r="W99" s="69" t="n">
        <f aca="false">W98+W83+W84</f>
        <v>-25000</v>
      </c>
      <c r="X99" s="69" t="n">
        <f aca="false">X98+X83+X84</f>
        <v>-25000</v>
      </c>
      <c r="Y99" s="69" t="n">
        <f aca="false">Y98+Y83+Y84</f>
        <v>-25000</v>
      </c>
      <c r="Z99" s="69" t="n">
        <f aca="false">Z98+Z83+Z84</f>
        <v>-25000</v>
      </c>
      <c r="AA99" s="69" t="n">
        <f aca="false">AA98+AA83+AA84</f>
        <v>-25000</v>
      </c>
      <c r="AB99" s="69" t="n">
        <f aca="false">AB98+AB83+AB84</f>
        <v>-25000</v>
      </c>
      <c r="AC99" s="69" t="n">
        <f aca="false">AC98+AC83+AC84</f>
        <v>-25000</v>
      </c>
      <c r="AD99" s="69" t="n">
        <f aca="false">AD98+AD83+AD84</f>
        <v>-25000</v>
      </c>
      <c r="AE99" s="69" t="n">
        <f aca="false">AE98+AE83+AE84</f>
        <v>-25000</v>
      </c>
      <c r="AF99" s="69" t="n">
        <f aca="false">AF98+AF83+AF84</f>
        <v>-25000</v>
      </c>
      <c r="AG99" s="69" t="n">
        <f aca="false">AG98+AG83+AG84</f>
        <v>-25000</v>
      </c>
      <c r="AH99" s="69" t="n">
        <f aca="false">AH98+AH83+AH84</f>
        <v>-25000</v>
      </c>
      <c r="AI99" s="69" t="n">
        <f aca="false">AI98+AI83+AI84</f>
        <v>-25000</v>
      </c>
      <c r="AJ99" s="69" t="n">
        <f aca="false">AJ98+AJ83+AJ84</f>
        <v>-25000</v>
      </c>
      <c r="AK99" s="69" t="n">
        <f aca="false">AK98+AK83+AK84</f>
        <v>-25000</v>
      </c>
      <c r="AL99" s="69" t="n">
        <f aca="false">AL98+AL83+AL84</f>
        <v>-25000</v>
      </c>
      <c r="AM99" s="69" t="n">
        <f aca="false">AM98+AM83+AM84</f>
        <v>-25000</v>
      </c>
      <c r="AN99" s="69" t="n">
        <f aca="false">AN98+AN83+AN84</f>
        <v>-25000</v>
      </c>
      <c r="AO99" s="69" t="n">
        <f aca="false">AO98+AO83+AO84</f>
        <v>-25000</v>
      </c>
      <c r="AP99" s="69" t="n">
        <f aca="false">AP98+AP83+AP84</f>
        <v>-25000</v>
      </c>
      <c r="AQ99" s="69" t="n">
        <f aca="false">AQ98+AQ83+AQ84</f>
        <v>-25000</v>
      </c>
      <c r="AR99" s="69" t="n">
        <f aca="false">AR98+AR83+AR84</f>
        <v>-25000</v>
      </c>
      <c r="AS99" s="69" t="n">
        <f aca="false">AS98+AS83+AS84</f>
        <v>-25000</v>
      </c>
      <c r="AT99" s="69" t="n">
        <f aca="false">AT98+AT83+AT84</f>
        <v>-25000</v>
      </c>
      <c r="AU99" s="69" t="n">
        <f aca="false">AU98+AU83+AU84</f>
        <v>-25000</v>
      </c>
      <c r="AV99" s="69" t="n">
        <f aca="false">AV98+AV83+AV84</f>
        <v>-25000</v>
      </c>
      <c r="AW99" s="69" t="n">
        <f aca="false">AW98+AW83+AW84</f>
        <v>-25000</v>
      </c>
      <c r="AX99" s="69" t="n">
        <f aca="false">AX98+AX83+AX84</f>
        <v>-25000</v>
      </c>
      <c r="AY99" s="69" t="n">
        <f aca="false">AY98+AY83+AY84</f>
        <v>-25000</v>
      </c>
      <c r="AZ99" s="69" t="n">
        <f aca="false">AZ98+AZ83+AZ84</f>
        <v>-25000</v>
      </c>
      <c r="BA99" s="69" t="n">
        <f aca="false">BA98+BA83+BA84</f>
        <v>-25000</v>
      </c>
      <c r="BB99" s="69" t="n">
        <f aca="false">BB98+BB83+BB84</f>
        <v>-25000</v>
      </c>
      <c r="BC99" s="69" t="n">
        <f aca="false">BC98+BC83+BC84</f>
        <v>-25000</v>
      </c>
      <c r="BD99" s="69" t="n">
        <f aca="false">BD98+BD83+BD84</f>
        <v>-25000</v>
      </c>
      <c r="BE99" s="69" t="n">
        <f aca="false">BE98+BE83+BE84</f>
        <v>-25000</v>
      </c>
      <c r="BF99" s="69" t="n">
        <f aca="false">BF98+BF83+BF84</f>
        <v>-25000</v>
      </c>
      <c r="BG99" s="69" t="n">
        <f aca="false">BG98+BG83+BG84</f>
        <v>-25000</v>
      </c>
      <c r="BH99" s="69" t="n">
        <f aca="false">BH98+BH83+BH84</f>
        <v>-25000</v>
      </c>
      <c r="BI99" s="69" t="n">
        <f aca="false">BI98+BI83+BI84</f>
        <v>-25000</v>
      </c>
      <c r="BJ99" s="69" t="n">
        <f aca="false">BJ98+BJ83+BJ84</f>
        <v>-25000</v>
      </c>
    </row>
    <row r="100" customFormat="false" ht="15" hidden="false" customHeight="false" outlineLevel="0" collapsed="false">
      <c r="A100" s="113" t="s">
        <v>461</v>
      </c>
      <c r="C100" s="70" t="n">
        <f aca="false">C96+C97+C99</f>
        <v>907206.699228267</v>
      </c>
      <c r="D100" s="70" t="n">
        <f aca="false">D96+D97+D99</f>
        <v>-114758.893083902</v>
      </c>
      <c r="E100" s="70" t="n">
        <f aca="false">E96+E97+E99</f>
        <v>-103648.963431214</v>
      </c>
      <c r="F100" s="70" t="n">
        <f aca="false">F96+F97+F99</f>
        <v>-99364.5056878753</v>
      </c>
      <c r="G100" s="70" t="n">
        <f aca="false">G96+G97+G99</f>
        <v>-94809.3211937482</v>
      </c>
      <c r="H100" s="70" t="n">
        <f aca="false">H96+H97+H99</f>
        <v>-90191.8711016608</v>
      </c>
      <c r="I100" s="70" t="n">
        <f aca="false">I96+I97+I99</f>
        <v>-85515.2686915111</v>
      </c>
      <c r="J100" s="70" t="n">
        <f aca="false">J96+J97+J99</f>
        <v>-80782.4715792022</v>
      </c>
      <c r="K100" s="70" t="n">
        <f aca="false">K96+K97+K99</f>
        <v>-75996.2894998421</v>
      </c>
      <c r="L100" s="70" t="n">
        <f aca="false">L96+L97+L99</f>
        <v>-71159.3917017833</v>
      </c>
      <c r="M100" s="70" t="n">
        <f aca="false">M96+M97+M99</f>
        <v>-66274.3139709608</v>
      </c>
      <c r="N100" s="70" t="n">
        <f aca="false">N96+N97+N99</f>
        <v>-77027.6883074422</v>
      </c>
      <c r="O100" s="70" t="n">
        <f aca="false">O96+O97+O99</f>
        <v>-111101.64489044</v>
      </c>
      <c r="P100" s="70" t="n">
        <f aca="false">P96+P97+P99</f>
        <v>-70110.8606940279</v>
      </c>
      <c r="Q100" s="70" t="n">
        <f aca="false">Q96+Q97+Q99</f>
        <v>-52399.4095127515</v>
      </c>
      <c r="R100" s="70" t="n">
        <f aca="false">R96+R97+R99</f>
        <v>-51889.0867736264</v>
      </c>
      <c r="S100" s="70" t="n">
        <f aca="false">S96+S97+S99</f>
        <v>-50722.6426246784</v>
      </c>
      <c r="T100" s="70" t="n">
        <f aca="false">T96+T97+T99</f>
        <v>-49605.6665165112</v>
      </c>
      <c r="U100" s="70" t="n">
        <f aca="false">U96+U97+U99</f>
        <v>-48535.6850470856</v>
      </c>
      <c r="V100" s="70" t="n">
        <f aca="false">V96+V97+V99</f>
        <v>-47510.3484844647</v>
      </c>
      <c r="W100" s="70" t="n">
        <f aca="false">W96+W97+W99</f>
        <v>-46527.4245833081</v>
      </c>
      <c r="X100" s="70" t="n">
        <f aca="false">X96+X97+X99</f>
        <v>-45584.7927105427</v>
      </c>
      <c r="Y100" s="70" t="n">
        <f aca="false">Y96+Y97+Y99</f>
        <v>-44680.4382647489</v>
      </c>
      <c r="Z100" s="70" t="n">
        <f aca="false">Z96+Z97+Z99</f>
        <v>-60035.3698821405</v>
      </c>
      <c r="AA100" s="70" t="n">
        <f aca="false">AA96+AA97+AA99</f>
        <v>-98010.0621418393</v>
      </c>
      <c r="AB100" s="70" t="n">
        <f aca="false">AB96+AB97+AB99</f>
        <v>-57577.6555616453</v>
      </c>
      <c r="AC100" s="70" t="n">
        <f aca="false">AC96+AC97+AC99</f>
        <v>-40724.5089141548</v>
      </c>
      <c r="AD100" s="70" t="n">
        <f aca="false">AD96+AD97+AD99</f>
        <v>-41078.0933021599</v>
      </c>
      <c r="AE100" s="70" t="n">
        <f aca="false">AE96+AE97+AE99</f>
        <v>-40337.8404746572</v>
      </c>
      <c r="AF100" s="70" t="n">
        <f aca="false">AF96+AF97+AF99</f>
        <v>-39625.746121863</v>
      </c>
      <c r="AG100" s="70" t="n">
        <f aca="false">AG96+AG97+AG99</f>
        <v>-38940.4023200419</v>
      </c>
      <c r="AH100" s="70" t="n">
        <f aca="false">AH96+AH97+AH99</f>
        <v>-38280.4715416451</v>
      </c>
      <c r="AI100" s="70" t="n">
        <f aca="false">AI96+AI97+AI99</f>
        <v>-37644.6831355015</v>
      </c>
      <c r="AJ100" s="70" t="n">
        <f aca="false">AJ96+AJ97+AJ99</f>
        <v>-37031.8299829984</v>
      </c>
      <c r="AK100" s="70" t="n">
        <f aca="false">AK96+AK97+AK99</f>
        <v>-36440.7653214538</v>
      </c>
      <c r="AL100" s="70" t="n">
        <f aca="false">AL96+AL97+AL99</f>
        <v>-51894.3789804608</v>
      </c>
      <c r="AM100" s="70" t="n">
        <f aca="false">AM96+AM97+AM99</f>
        <v>-90689.9349769408</v>
      </c>
      <c r="AN100" s="70" t="n">
        <f aca="false">AN96+AN97+AN99</f>
        <v>-50580.3129373666</v>
      </c>
      <c r="AO100" s="70" t="n">
        <f aca="false">AO96+AO97+AO99</f>
        <v>-34178.3123903755</v>
      </c>
      <c r="AP100" s="70" t="n">
        <f aca="false">AP96+AP97+AP99</f>
        <v>-35051.3311533797</v>
      </c>
      <c r="AQ100" s="70" t="n">
        <f aca="false">AQ96+AQ97+AQ99</f>
        <v>-34541.4664293391</v>
      </c>
      <c r="AR100" s="70" t="n">
        <f aca="false">AR96+AR97+AR99</f>
        <v>-34048.2407748338</v>
      </c>
      <c r="AS100" s="70" t="n">
        <f aca="false">AS96+AS97+AS99</f>
        <v>-33570.8222363872</v>
      </c>
      <c r="AT100" s="70" t="n">
        <f aca="false">AT96+AT97+AT99</f>
        <v>-33108.4204581962</v>
      </c>
      <c r="AU100" s="70" t="n">
        <f aca="false">AU96+AU97+AU99</f>
        <v>-32660.2846022481</v>
      </c>
      <c r="AV100" s="70" t="n">
        <f aca="false">AV96+AV97+AV99</f>
        <v>-32225.7013724307</v>
      </c>
      <c r="AW100" s="70" t="n">
        <f aca="false">AW96+AW97+AW99</f>
        <v>-31803.9931374376</v>
      </c>
      <c r="AX100" s="70" t="n">
        <f aca="false">AX96+AX97+AX99</f>
        <v>-47327.4857297446</v>
      </c>
      <c r="AY100" s="70" t="n">
        <f aca="false">AY96+AY97+AY99</f>
        <v>-86683.9677599914</v>
      </c>
      <c r="AZ100" s="70" t="n">
        <f aca="false">AZ96+AZ97+AZ99</f>
        <v>-46755.7515691574</v>
      </c>
      <c r="BA100" s="70" t="n">
        <f aca="false">BA96+BA97+BA99</f>
        <v>-30582.3758712831</v>
      </c>
      <c r="BB100" s="70" t="n">
        <f aca="false">BB96+BB97+BB99</f>
        <v>-31787.520321355</v>
      </c>
      <c r="BC100" s="70" t="n">
        <f aca="false">BC96+BC97+BC99</f>
        <v>-31402.1771685581</v>
      </c>
      <c r="BD100" s="70" t="n">
        <f aca="false">BD96+BD97+BD99</f>
        <v>-31027.2470067344</v>
      </c>
      <c r="BE100" s="70" t="n">
        <f aca="false">BE96+BE97+BE99</f>
        <v>-30662.2091863352</v>
      </c>
      <c r="BF100" s="70" t="n">
        <f aca="false">BF96+BF97+BF99</f>
        <v>-30306.5690902893</v>
      </c>
      <c r="BG100" s="70" t="n">
        <f aca="false">BG96+BG97+BG99</f>
        <v>-29959.856832379</v>
      </c>
      <c r="BH100" s="70" t="n">
        <f aca="false">BH96+BH97+BH99</f>
        <v>-29621.6260206976</v>
      </c>
      <c r="BI100" s="70" t="n">
        <f aca="false">BI96+BI97+BI99</f>
        <v>-29291.4525829336</v>
      </c>
      <c r="BJ100" s="70" t="n">
        <f aca="false">BJ96+BJ97+BJ99</f>
        <v>-44869.8262040581</v>
      </c>
    </row>
    <row r="101" customFormat="false" ht="15" hidden="false" customHeight="false" outlineLevel="0" collapsed="false">
      <c r="A101" s="6" t="s">
        <v>351</v>
      </c>
      <c r="C101" s="69" t="n">
        <f aca="false">0</f>
        <v>0</v>
      </c>
      <c r="D101" s="69" t="n">
        <f aca="false">C102</f>
        <v>907206.699228267</v>
      </c>
      <c r="E101" s="69" t="n">
        <f aca="false">D102</f>
        <v>792447.806144365</v>
      </c>
      <c r="F101" s="69" t="n">
        <f aca="false">E102</f>
        <v>688798.84271315</v>
      </c>
      <c r="G101" s="69" t="n">
        <f aca="false">F102</f>
        <v>589434.337025275</v>
      </c>
      <c r="H101" s="69" t="n">
        <f aca="false">G102</f>
        <v>494625.015831527</v>
      </c>
      <c r="I101" s="69" t="n">
        <f aca="false">H102</f>
        <v>404433.144729866</v>
      </c>
      <c r="J101" s="69" t="n">
        <f aca="false">I102</f>
        <v>318917.876038355</v>
      </c>
      <c r="K101" s="69" t="n">
        <f aca="false">J102</f>
        <v>238135.404459153</v>
      </c>
      <c r="L101" s="69" t="n">
        <f aca="false">K102</f>
        <v>162139.114959311</v>
      </c>
      <c r="M101" s="69" t="n">
        <f aca="false">L102</f>
        <v>90979.7232575273</v>
      </c>
      <c r="N101" s="69" t="n">
        <f aca="false">M102</f>
        <v>24705.4092865664</v>
      </c>
      <c r="O101" s="69" t="n">
        <f aca="false">N102</f>
        <v>-52322.2790208757</v>
      </c>
      <c r="P101" s="69" t="n">
        <f aca="false">O102</f>
        <v>-163423.923911316</v>
      </c>
      <c r="Q101" s="69" t="n">
        <f aca="false">P102</f>
        <v>-233534.784605344</v>
      </c>
      <c r="R101" s="69" t="n">
        <f aca="false">Q102</f>
        <v>-285934.194118095</v>
      </c>
      <c r="S101" s="69" t="n">
        <f aca="false">R102</f>
        <v>-337823.280891722</v>
      </c>
      <c r="T101" s="69" t="n">
        <f aca="false">S102</f>
        <v>-388545.9235164</v>
      </c>
      <c r="U101" s="69" t="n">
        <f aca="false">T102</f>
        <v>-438151.590032911</v>
      </c>
      <c r="V101" s="69" t="n">
        <f aca="false">U102</f>
        <v>-486687.275079997</v>
      </c>
      <c r="W101" s="69" t="n">
        <f aca="false">V102</f>
        <v>-534197.623564462</v>
      </c>
      <c r="X101" s="69" t="n">
        <f aca="false">W102</f>
        <v>-580725.04814777</v>
      </c>
      <c r="Y101" s="69" t="n">
        <f aca="false">X102</f>
        <v>-626309.840858312</v>
      </c>
      <c r="Z101" s="69" t="n">
        <f aca="false">Y102</f>
        <v>-670990.279123061</v>
      </c>
      <c r="AA101" s="69" t="n">
        <f aca="false">Z102</f>
        <v>-731025.649005202</v>
      </c>
      <c r="AB101" s="69" t="n">
        <f aca="false">AA102</f>
        <v>-829035.711147041</v>
      </c>
      <c r="AC101" s="69" t="n">
        <f aca="false">AB102</f>
        <v>-886613.366708686</v>
      </c>
      <c r="AD101" s="69" t="n">
        <f aca="false">AC102</f>
        <v>-927337.875622841</v>
      </c>
      <c r="AE101" s="69" t="n">
        <f aca="false">AD102</f>
        <v>-968415.968925001</v>
      </c>
      <c r="AF101" s="69" t="n">
        <f aca="false">AE102</f>
        <v>-1008753.80939966</v>
      </c>
      <c r="AG101" s="69" t="n">
        <f aca="false">AF102</f>
        <v>-1048379.55552152</v>
      </c>
      <c r="AH101" s="69" t="n">
        <f aca="false">AG102</f>
        <v>-1087319.95784156</v>
      </c>
      <c r="AI101" s="69" t="n">
        <f aca="false">AH102</f>
        <v>-1125600.42938321</v>
      </c>
      <c r="AJ101" s="69" t="n">
        <f aca="false">AI102</f>
        <v>-1163245.11251871</v>
      </c>
      <c r="AK101" s="69" t="n">
        <f aca="false">AJ102</f>
        <v>-1200276.94250171</v>
      </c>
      <c r="AL101" s="69" t="n">
        <f aca="false">AK102</f>
        <v>-1236717.70782316</v>
      </c>
      <c r="AM101" s="69" t="n">
        <f aca="false">AL102</f>
        <v>-1288612.08680362</v>
      </c>
      <c r="AN101" s="69" t="n">
        <f aca="false">AM102</f>
        <v>-1379302.02178056</v>
      </c>
      <c r="AO101" s="69" t="n">
        <f aca="false">AN102</f>
        <v>-1429882.33471793</v>
      </c>
      <c r="AP101" s="69" t="n">
        <f aca="false">AO102</f>
        <v>-1464060.64710831</v>
      </c>
      <c r="AQ101" s="69" t="n">
        <f aca="false">AP102</f>
        <v>-1499111.97826169</v>
      </c>
      <c r="AR101" s="69" t="n">
        <f aca="false">AQ102</f>
        <v>-1533653.44469102</v>
      </c>
      <c r="AS101" s="69" t="n">
        <f aca="false">AR102</f>
        <v>-1567701.68546586</v>
      </c>
      <c r="AT101" s="69" t="n">
        <f aca="false">AS102</f>
        <v>-1601272.50770225</v>
      </c>
      <c r="AU101" s="69" t="n">
        <f aca="false">AT102</f>
        <v>-1634380.92816044</v>
      </c>
      <c r="AV101" s="69" t="n">
        <f aca="false">AU102</f>
        <v>-1667041.21276269</v>
      </c>
      <c r="AW101" s="69" t="n">
        <f aca="false">AV102</f>
        <v>-1699266.91413512</v>
      </c>
      <c r="AX101" s="69" t="n">
        <f aca="false">AW102</f>
        <v>-1731070.90727256</v>
      </c>
      <c r="AY101" s="69" t="n">
        <f aca="false">AX102</f>
        <v>-1778398.3930023</v>
      </c>
      <c r="AZ101" s="69" t="n">
        <f aca="false">AY102</f>
        <v>-1865082.36076229</v>
      </c>
      <c r="BA101" s="69" t="n">
        <f aca="false">AZ102</f>
        <v>-1911838.11233145</v>
      </c>
      <c r="BB101" s="69" t="n">
        <f aca="false">BA102</f>
        <v>-1942420.48820273</v>
      </c>
      <c r="BC101" s="69" t="n">
        <f aca="false">BB102</f>
        <v>-1974208.00852409</v>
      </c>
      <c r="BD101" s="69" t="n">
        <f aca="false">BC102</f>
        <v>-2005610.18569265</v>
      </c>
      <c r="BE101" s="69" t="n">
        <f aca="false">BD102</f>
        <v>-2036637.43269938</v>
      </c>
      <c r="BF101" s="69" t="n">
        <f aca="false">BE102</f>
        <v>-2067299.64188572</v>
      </c>
      <c r="BG101" s="69" t="n">
        <f aca="false">BF102</f>
        <v>-2097606.21097601</v>
      </c>
      <c r="BH101" s="69" t="n">
        <f aca="false">BG102</f>
        <v>-2127566.06780839</v>
      </c>
      <c r="BI101" s="69" t="n">
        <f aca="false">BH102</f>
        <v>-2157187.69382908</v>
      </c>
      <c r="BJ101" s="69" t="n">
        <f aca="false">BI102</f>
        <v>-2186479.14641202</v>
      </c>
    </row>
    <row r="102" customFormat="false" ht="15" hidden="false" customHeight="false" outlineLevel="0" collapsed="false">
      <c r="A102" s="113" t="s">
        <v>87</v>
      </c>
      <c r="C102" s="70" t="n">
        <f aca="false">C101+C100</f>
        <v>907206.699228267</v>
      </c>
      <c r="D102" s="70" t="n">
        <f aca="false">D101+D100</f>
        <v>792447.806144365</v>
      </c>
      <c r="E102" s="70" t="n">
        <f aca="false">E101+E100</f>
        <v>688798.84271315</v>
      </c>
      <c r="F102" s="70" t="n">
        <f aca="false">F101+F100</f>
        <v>589434.337025275</v>
      </c>
      <c r="G102" s="70" t="n">
        <f aca="false">G101+G100</f>
        <v>494625.015831527</v>
      </c>
      <c r="H102" s="70" t="n">
        <f aca="false">H101+H100</f>
        <v>404433.144729866</v>
      </c>
      <c r="I102" s="70" t="n">
        <f aca="false">I101+I100</f>
        <v>318917.876038355</v>
      </c>
      <c r="J102" s="70" t="n">
        <f aca="false">J101+J100</f>
        <v>238135.404459153</v>
      </c>
      <c r="K102" s="70" t="n">
        <f aca="false">K101+K100</f>
        <v>162139.114959311</v>
      </c>
      <c r="L102" s="70" t="n">
        <f aca="false">L101+L100</f>
        <v>90979.7232575273</v>
      </c>
      <c r="M102" s="70" t="n">
        <f aca="false">M101+M100</f>
        <v>24705.4092865664</v>
      </c>
      <c r="N102" s="70" t="n">
        <f aca="false">N101+N100</f>
        <v>-52322.2790208757</v>
      </c>
      <c r="O102" s="70" t="n">
        <f aca="false">O101+O100</f>
        <v>-163423.923911316</v>
      </c>
      <c r="P102" s="70" t="n">
        <f aca="false">P101+P100</f>
        <v>-233534.784605344</v>
      </c>
      <c r="Q102" s="70" t="n">
        <f aca="false">Q101+Q100</f>
        <v>-285934.194118095</v>
      </c>
      <c r="R102" s="70" t="n">
        <f aca="false">R101+R100</f>
        <v>-337823.280891722</v>
      </c>
      <c r="S102" s="70" t="n">
        <f aca="false">S101+S100</f>
        <v>-388545.9235164</v>
      </c>
      <c r="T102" s="70" t="n">
        <f aca="false">T101+T100</f>
        <v>-438151.590032911</v>
      </c>
      <c r="U102" s="70" t="n">
        <f aca="false">U101+U100</f>
        <v>-486687.275079997</v>
      </c>
      <c r="V102" s="70" t="n">
        <f aca="false">V101+V100</f>
        <v>-534197.623564462</v>
      </c>
      <c r="W102" s="70" t="n">
        <f aca="false">W101+W100</f>
        <v>-580725.04814777</v>
      </c>
      <c r="X102" s="70" t="n">
        <f aca="false">X101+X100</f>
        <v>-626309.840858312</v>
      </c>
      <c r="Y102" s="70" t="n">
        <f aca="false">Y101+Y100</f>
        <v>-670990.279123061</v>
      </c>
      <c r="Z102" s="70" t="n">
        <f aca="false">Z101+Z100</f>
        <v>-731025.649005202</v>
      </c>
      <c r="AA102" s="70" t="n">
        <f aca="false">AA101+AA100</f>
        <v>-829035.711147041</v>
      </c>
      <c r="AB102" s="70" t="n">
        <f aca="false">AB101+AB100</f>
        <v>-886613.366708686</v>
      </c>
      <c r="AC102" s="70" t="n">
        <f aca="false">AC101+AC100</f>
        <v>-927337.875622841</v>
      </c>
      <c r="AD102" s="70" t="n">
        <f aca="false">AD101+AD100</f>
        <v>-968415.968925001</v>
      </c>
      <c r="AE102" s="70" t="n">
        <f aca="false">AE101+AE100</f>
        <v>-1008753.80939966</v>
      </c>
      <c r="AF102" s="70" t="n">
        <f aca="false">AF101+AF100</f>
        <v>-1048379.55552152</v>
      </c>
      <c r="AG102" s="70" t="n">
        <f aca="false">AG101+AG100</f>
        <v>-1087319.95784156</v>
      </c>
      <c r="AH102" s="70" t="n">
        <f aca="false">AH101+AH100</f>
        <v>-1125600.42938321</v>
      </c>
      <c r="AI102" s="70" t="n">
        <f aca="false">AI101+AI100</f>
        <v>-1163245.11251871</v>
      </c>
      <c r="AJ102" s="70" t="n">
        <f aca="false">AJ101+AJ100</f>
        <v>-1200276.94250171</v>
      </c>
      <c r="AK102" s="70" t="n">
        <f aca="false">AK101+AK100</f>
        <v>-1236717.70782316</v>
      </c>
      <c r="AL102" s="70" t="n">
        <f aca="false">AL101+AL100</f>
        <v>-1288612.08680362</v>
      </c>
      <c r="AM102" s="70" t="n">
        <f aca="false">AM101+AM100</f>
        <v>-1379302.02178056</v>
      </c>
      <c r="AN102" s="70" t="n">
        <f aca="false">AN101+AN100</f>
        <v>-1429882.33471793</v>
      </c>
      <c r="AO102" s="70" t="n">
        <f aca="false">AO101+AO100</f>
        <v>-1464060.64710831</v>
      </c>
      <c r="AP102" s="70" t="n">
        <f aca="false">AP101+AP100</f>
        <v>-1499111.97826169</v>
      </c>
      <c r="AQ102" s="70" t="n">
        <f aca="false">AQ101+AQ100</f>
        <v>-1533653.44469102</v>
      </c>
      <c r="AR102" s="70" t="n">
        <f aca="false">AR101+AR100</f>
        <v>-1567701.68546586</v>
      </c>
      <c r="AS102" s="70" t="n">
        <f aca="false">AS101+AS100</f>
        <v>-1601272.50770225</v>
      </c>
      <c r="AT102" s="70" t="n">
        <f aca="false">AT101+AT100</f>
        <v>-1634380.92816044</v>
      </c>
      <c r="AU102" s="70" t="n">
        <f aca="false">AU101+AU100</f>
        <v>-1667041.21276269</v>
      </c>
      <c r="AV102" s="70" t="n">
        <f aca="false">AV101+AV100</f>
        <v>-1699266.91413512</v>
      </c>
      <c r="AW102" s="70" t="n">
        <f aca="false">AW101+AW100</f>
        <v>-1731070.90727256</v>
      </c>
      <c r="AX102" s="70" t="n">
        <f aca="false">AX101+AX100</f>
        <v>-1778398.3930023</v>
      </c>
      <c r="AY102" s="70" t="n">
        <f aca="false">AY101+AY100</f>
        <v>-1865082.36076229</v>
      </c>
      <c r="AZ102" s="70" t="n">
        <f aca="false">AZ101+AZ100</f>
        <v>-1911838.11233145</v>
      </c>
      <c r="BA102" s="70" t="n">
        <f aca="false">BA101+BA100</f>
        <v>-1942420.48820273</v>
      </c>
      <c r="BB102" s="70" t="n">
        <f aca="false">BB101+BB100</f>
        <v>-1974208.00852409</v>
      </c>
      <c r="BC102" s="70" t="n">
        <f aca="false">BC101+BC100</f>
        <v>-2005610.18569265</v>
      </c>
      <c r="BD102" s="70" t="n">
        <f aca="false">BD101+BD100</f>
        <v>-2036637.43269938</v>
      </c>
      <c r="BE102" s="70" t="n">
        <f aca="false">BE101+BE100</f>
        <v>-2067299.64188572</v>
      </c>
      <c r="BF102" s="70" t="n">
        <f aca="false">BF101+BF100</f>
        <v>-2097606.21097601</v>
      </c>
      <c r="BG102" s="70" t="n">
        <f aca="false">BG101+BG100</f>
        <v>-2127566.06780839</v>
      </c>
      <c r="BH102" s="70" t="n">
        <f aca="false">BH101+BH100</f>
        <v>-2157187.69382908</v>
      </c>
      <c r="BI102" s="70" t="n">
        <f aca="false">BI101+BI100</f>
        <v>-2186479.14641202</v>
      </c>
      <c r="BJ102" s="70" t="n">
        <f aca="false">BJ101+BJ100</f>
        <v>-2231348.97261607</v>
      </c>
    </row>
    <row r="103" customFormat="false" ht="15" hidden="false" customHeight="false" outlineLevel="0" collapsed="false">
      <c r="A103" s="116" t="s">
        <v>462</v>
      </c>
      <c r="C103" s="118" t="n">
        <f aca="false">IF(C57&gt;0,1,0)</f>
        <v>0</v>
      </c>
      <c r="D103" s="118" t="n">
        <f aca="false">IF(D57&gt;0,1,0)</f>
        <v>0</v>
      </c>
      <c r="E103" s="118" t="n">
        <f aca="false">IF(E57&gt;0,1,0)</f>
        <v>0</v>
      </c>
      <c r="F103" s="118" t="n">
        <f aca="false">IF(F57&gt;0,1,0)</f>
        <v>0</v>
      </c>
      <c r="G103" s="118" t="n">
        <f aca="false">IF(G57&gt;0,1,0)</f>
        <v>0</v>
      </c>
      <c r="H103" s="118" t="n">
        <f aca="false">IF(H57&gt;0,1,0)</f>
        <v>0</v>
      </c>
      <c r="I103" s="118" t="n">
        <f aca="false">IF(I57&gt;0,1,0)</f>
        <v>0</v>
      </c>
      <c r="J103" s="118" t="n">
        <f aca="false">IF(J57&gt;0,1,0)</f>
        <v>0</v>
      </c>
      <c r="K103" s="118" t="n">
        <f aca="false">IF(K57&gt;0,1,0)</f>
        <v>0</v>
      </c>
      <c r="L103" s="118" t="n">
        <f aca="false">IF(L57&gt;0,1,0)</f>
        <v>0</v>
      </c>
      <c r="M103" s="118" t="n">
        <f aca="false">IF(M57&gt;0,1,0)</f>
        <v>0</v>
      </c>
      <c r="N103" s="118" t="n">
        <f aca="false">IF(N57&gt;0,1,0)</f>
        <v>0</v>
      </c>
      <c r="O103" s="118" t="n">
        <f aca="false">IF(O57&gt;0,1,0)</f>
        <v>0</v>
      </c>
      <c r="P103" s="118" t="n">
        <f aca="false">IF(P57&gt;0,1,0)</f>
        <v>0</v>
      </c>
      <c r="Q103" s="118" t="n">
        <f aca="false">IF(Q57&gt;0,1,0)</f>
        <v>0</v>
      </c>
      <c r="R103" s="118" t="n">
        <f aca="false">IF(R57&gt;0,1,0)</f>
        <v>0</v>
      </c>
      <c r="S103" s="118" t="n">
        <f aca="false">IF(S57&gt;0,1,0)</f>
        <v>0</v>
      </c>
      <c r="T103" s="118" t="n">
        <f aca="false">IF(T57&gt;0,1,0)</f>
        <v>0</v>
      </c>
      <c r="U103" s="118" t="n">
        <f aca="false">IF(U57&gt;0,1,0)</f>
        <v>0</v>
      </c>
      <c r="V103" s="118" t="n">
        <f aca="false">IF(V57&gt;0,1,0)</f>
        <v>0</v>
      </c>
      <c r="W103" s="118" t="n">
        <f aca="false">IF(W57&gt;0,1,0)</f>
        <v>0</v>
      </c>
      <c r="X103" s="118" t="n">
        <f aca="false">IF(X57&gt;0,1,0)</f>
        <v>0</v>
      </c>
      <c r="Y103" s="118" t="n">
        <f aca="false">IF(Y57&gt;0,1,0)</f>
        <v>0</v>
      </c>
      <c r="Z103" s="118" t="n">
        <f aca="false">IF(Z57&gt;0,1,0)</f>
        <v>0</v>
      </c>
      <c r="AA103" s="118" t="n">
        <f aca="false">IF(AA57&gt;0,1,0)</f>
        <v>0</v>
      </c>
      <c r="AB103" s="118" t="n">
        <f aca="false">IF(AB57&gt;0,1,0)</f>
        <v>0</v>
      </c>
      <c r="AC103" s="118" t="n">
        <f aca="false">IF(AC57&gt;0,1,0)</f>
        <v>0</v>
      </c>
      <c r="AD103" s="118" t="n">
        <f aca="false">IF(AD57&gt;0,1,0)</f>
        <v>1</v>
      </c>
      <c r="AE103" s="118" t="n">
        <f aca="false">IF(AE57&gt;0,1,0)</f>
        <v>1</v>
      </c>
      <c r="AF103" s="118" t="n">
        <f aca="false">IF(AF57&gt;0,1,0)</f>
        <v>1</v>
      </c>
      <c r="AG103" s="118" t="n">
        <f aca="false">IF(AG57&gt;0,1,0)</f>
        <v>1</v>
      </c>
      <c r="AH103" s="118" t="n">
        <f aca="false">IF(AH57&gt;0,1,0)</f>
        <v>1</v>
      </c>
      <c r="AI103" s="118" t="n">
        <f aca="false">IF(AI57&gt;0,1,0)</f>
        <v>1</v>
      </c>
      <c r="AJ103" s="118" t="n">
        <f aca="false">IF(AJ57&gt;0,1,0)</f>
        <v>1</v>
      </c>
      <c r="AK103" s="118" t="n">
        <f aca="false">IF(AK57&gt;0,1,0)</f>
        <v>1</v>
      </c>
      <c r="AL103" s="118" t="n">
        <f aca="false">IF(AL57&gt;0,1,0)</f>
        <v>0</v>
      </c>
      <c r="AM103" s="118" t="n">
        <f aca="false">IF(AM57&gt;0,1,0)</f>
        <v>0</v>
      </c>
      <c r="AN103" s="118" t="n">
        <f aca="false">IF(AN57&gt;0,1,0)</f>
        <v>0</v>
      </c>
      <c r="AO103" s="118" t="n">
        <f aca="false">IF(AO57&gt;0,1,0)</f>
        <v>1</v>
      </c>
      <c r="AP103" s="118" t="n">
        <f aca="false">IF(AP57&gt;0,1,0)</f>
        <v>1</v>
      </c>
      <c r="AQ103" s="118" t="n">
        <f aca="false">IF(AQ57&gt;0,1,0)</f>
        <v>1</v>
      </c>
      <c r="AR103" s="118" t="n">
        <f aca="false">IF(AR57&gt;0,1,0)</f>
        <v>1</v>
      </c>
      <c r="AS103" s="118" t="n">
        <f aca="false">IF(AS57&gt;0,1,0)</f>
        <v>1</v>
      </c>
      <c r="AT103" s="118" t="n">
        <f aca="false">IF(AT57&gt;0,1,0)</f>
        <v>1</v>
      </c>
      <c r="AU103" s="118" t="n">
        <f aca="false">IF(AU57&gt;0,1,0)</f>
        <v>1</v>
      </c>
      <c r="AV103" s="118" t="n">
        <f aca="false">IF(AV57&gt;0,1,0)</f>
        <v>1</v>
      </c>
      <c r="AW103" s="118" t="n">
        <f aca="false">IF(AW57&gt;0,1,0)</f>
        <v>1</v>
      </c>
      <c r="AX103" s="118" t="n">
        <f aca="false">IF(AX57&gt;0,1,0)</f>
        <v>0</v>
      </c>
      <c r="AY103" s="118" t="n">
        <f aca="false">IF(AY57&gt;0,1,0)</f>
        <v>0</v>
      </c>
      <c r="AZ103" s="118" t="n">
        <f aca="false">IF(AZ57&gt;0,1,0)</f>
        <v>0</v>
      </c>
      <c r="BA103" s="118" t="n">
        <f aca="false">IF(BA57&gt;0,1,0)</f>
        <v>1</v>
      </c>
      <c r="BB103" s="118" t="n">
        <f aca="false">IF(BB57&gt;0,1,0)</f>
        <v>1</v>
      </c>
      <c r="BC103" s="118" t="n">
        <f aca="false">IF(BC57&gt;0,1,0)</f>
        <v>1</v>
      </c>
      <c r="BD103" s="118" t="n">
        <f aca="false">IF(BD57&gt;0,1,0)</f>
        <v>1</v>
      </c>
      <c r="BE103" s="118" t="n">
        <f aca="false">IF(BE57&gt;0,1,0)</f>
        <v>1</v>
      </c>
      <c r="BF103" s="118" t="n">
        <f aca="false">IF(BF57&gt;0,1,0)</f>
        <v>1</v>
      </c>
      <c r="BG103" s="118" t="n">
        <f aca="false">IF(BG57&gt;0,1,0)</f>
        <v>1</v>
      </c>
      <c r="BH103" s="118" t="n">
        <f aca="false">IF(BH57&gt;0,1,0)</f>
        <v>1</v>
      </c>
      <c r="BI103" s="118" t="n">
        <f aca="false">IF(BI57&gt;0,1,0)</f>
        <v>1</v>
      </c>
      <c r="BJ103" s="118" t="n">
        <f aca="false">IF(BJ57&gt;0,1,0)</f>
        <v>0</v>
      </c>
    </row>
    <row r="105" customFormat="false" ht="15.75" hidden="false" customHeight="true" outlineLevel="0" collapsed="false">
      <c r="A105" s="7" t="s">
        <v>463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</row>
    <row r="106" customFormat="false" ht="15" hidden="false" customHeight="false" outlineLevel="0" collapsed="false">
      <c r="A106" s="116" t="s">
        <v>464</v>
      </c>
      <c r="C106" s="118" t="n">
        <f aca="false">IF(C66&gt;0,1,0)</f>
        <v>0</v>
      </c>
      <c r="D106" s="118" t="n">
        <f aca="false">IF(D66&gt;0,1,0)</f>
        <v>0</v>
      </c>
      <c r="E106" s="118" t="n">
        <f aca="false">IF(E66&gt;0,1,0)</f>
        <v>0</v>
      </c>
      <c r="F106" s="118" t="n">
        <f aca="false">IF(F66&gt;0,1,0)</f>
        <v>0</v>
      </c>
      <c r="G106" s="118" t="n">
        <f aca="false">IF(G66&gt;0,1,0)</f>
        <v>0</v>
      </c>
      <c r="H106" s="118" t="n">
        <f aca="false">IF(H66&gt;0,1,0)</f>
        <v>0</v>
      </c>
      <c r="I106" s="118" t="n">
        <f aca="false">IF(I66&gt;0,1,0)</f>
        <v>0</v>
      </c>
      <c r="J106" s="118" t="n">
        <f aca="false">IF(J66&gt;0,1,0)</f>
        <v>0</v>
      </c>
      <c r="K106" s="118" t="n">
        <f aca="false">IF(K66&gt;0,1,0)</f>
        <v>0</v>
      </c>
      <c r="L106" s="118" t="n">
        <f aca="false">IF(L66&gt;0,1,0)</f>
        <v>0</v>
      </c>
      <c r="M106" s="118" t="n">
        <f aca="false">IF(M66&gt;0,1,0)</f>
        <v>0</v>
      </c>
      <c r="N106" s="118" t="n">
        <f aca="false">IF(N66&gt;0,1,0)</f>
        <v>0</v>
      </c>
      <c r="O106" s="118" t="n">
        <f aca="false">IF(O66&gt;0,1,0)</f>
        <v>0</v>
      </c>
      <c r="P106" s="118" t="n">
        <f aca="false">IF(P66&gt;0,1,0)</f>
        <v>0</v>
      </c>
      <c r="Q106" s="118" t="n">
        <f aca="false">IF(Q66&gt;0,1,0)</f>
        <v>0</v>
      </c>
      <c r="R106" s="118" t="n">
        <f aca="false">IF(R66&gt;0,1,0)</f>
        <v>0</v>
      </c>
      <c r="S106" s="118" t="n">
        <f aca="false">IF(S66&gt;0,1,0)</f>
        <v>0</v>
      </c>
      <c r="T106" s="118" t="n">
        <f aca="false">IF(T66&gt;0,1,0)</f>
        <v>0</v>
      </c>
      <c r="U106" s="118" t="n">
        <f aca="false">IF(U66&gt;0,1,0)</f>
        <v>0</v>
      </c>
      <c r="V106" s="118" t="n">
        <f aca="false">IF(V66&gt;0,1,0)</f>
        <v>0</v>
      </c>
      <c r="W106" s="118" t="n">
        <f aca="false">IF(W66&gt;0,1,0)</f>
        <v>0</v>
      </c>
      <c r="X106" s="118" t="n">
        <f aca="false">IF(X66&gt;0,1,0)</f>
        <v>0</v>
      </c>
      <c r="Y106" s="118" t="n">
        <f aca="false">IF(Y66&gt;0,1,0)</f>
        <v>0</v>
      </c>
      <c r="Z106" s="118" t="n">
        <f aca="false">IF(Z66&gt;0,1,0)</f>
        <v>0</v>
      </c>
      <c r="AA106" s="118" t="n">
        <f aca="false">IF(AA66&gt;0,1,0)</f>
        <v>0</v>
      </c>
      <c r="AB106" s="118" t="n">
        <f aca="false">IF(AB66&gt;0,1,0)</f>
        <v>0</v>
      </c>
      <c r="AC106" s="118" t="n">
        <f aca="false">IF(AC66&gt;0,1,0)</f>
        <v>0</v>
      </c>
      <c r="AD106" s="118" t="n">
        <f aca="false">IF(AD66&gt;0,1,0)</f>
        <v>0</v>
      </c>
      <c r="AE106" s="118" t="n">
        <f aca="false">IF(AE66&gt;0,1,0)</f>
        <v>0</v>
      </c>
      <c r="AF106" s="118" t="n">
        <f aca="false">IF(AF66&gt;0,1,0)</f>
        <v>0</v>
      </c>
      <c r="AG106" s="118" t="n">
        <f aca="false">IF(AG66&gt;0,1,0)</f>
        <v>0</v>
      </c>
      <c r="AH106" s="118" t="n">
        <f aca="false">IF(AH66&gt;0,1,0)</f>
        <v>0</v>
      </c>
      <c r="AI106" s="118" t="n">
        <f aca="false">IF(AI66&gt;0,1,0)</f>
        <v>0</v>
      </c>
      <c r="AJ106" s="118" t="n">
        <f aca="false">IF(AJ66&gt;0,1,0)</f>
        <v>0</v>
      </c>
      <c r="AK106" s="118" t="n">
        <f aca="false">IF(AK66&gt;0,1,0)</f>
        <v>0</v>
      </c>
      <c r="AL106" s="118" t="n">
        <f aca="false">IF(AL66&gt;0,1,0)</f>
        <v>0</v>
      </c>
      <c r="AM106" s="118" t="n">
        <f aca="false">IF(AM66&gt;0,1,0)</f>
        <v>0</v>
      </c>
      <c r="AN106" s="118" t="n">
        <f aca="false">IF(AN66&gt;0,1,0)</f>
        <v>0</v>
      </c>
      <c r="AO106" s="118" t="n">
        <f aca="false">IF(AO66&gt;0,1,0)</f>
        <v>0</v>
      </c>
      <c r="AP106" s="118" t="n">
        <f aca="false">IF(AP66&gt;0,1,0)</f>
        <v>0</v>
      </c>
      <c r="AQ106" s="118" t="n">
        <f aca="false">IF(AQ66&gt;0,1,0)</f>
        <v>0</v>
      </c>
      <c r="AR106" s="118" t="n">
        <f aca="false">IF(AR66&gt;0,1,0)</f>
        <v>0</v>
      </c>
      <c r="AS106" s="118" t="n">
        <f aca="false">IF(AS66&gt;0,1,0)</f>
        <v>0</v>
      </c>
      <c r="AT106" s="118" t="n">
        <f aca="false">IF(AT66&gt;0,1,0)</f>
        <v>0</v>
      </c>
      <c r="AU106" s="118" t="n">
        <f aca="false">IF(AU66&gt;0,1,0)</f>
        <v>0</v>
      </c>
      <c r="AV106" s="118" t="n">
        <f aca="false">IF(AV66&gt;0,1,0)</f>
        <v>0</v>
      </c>
      <c r="AW106" s="118" t="n">
        <f aca="false">IF(AW66&gt;0,1,0)</f>
        <v>0</v>
      </c>
      <c r="AX106" s="118" t="n">
        <f aca="false">IF(AX66&gt;0,1,0)</f>
        <v>0</v>
      </c>
      <c r="AY106" s="118" t="n">
        <f aca="false">IF(AY66&gt;0,1,0)</f>
        <v>0</v>
      </c>
      <c r="AZ106" s="118" t="n">
        <f aca="false">IF(AZ66&gt;0,1,0)</f>
        <v>0</v>
      </c>
      <c r="BA106" s="118" t="n">
        <f aca="false">IF(BA66&gt;0,1,0)</f>
        <v>0</v>
      </c>
      <c r="BB106" s="118" t="n">
        <f aca="false">IF(BB66&gt;0,1,0)</f>
        <v>0</v>
      </c>
      <c r="BC106" s="118" t="n">
        <f aca="false">IF(BC66&gt;0,1,0)</f>
        <v>0</v>
      </c>
      <c r="BD106" s="118" t="n">
        <f aca="false">IF(BD66&gt;0,1,0)</f>
        <v>0</v>
      </c>
      <c r="BE106" s="118" t="n">
        <f aca="false">IF(BE66&gt;0,1,0)</f>
        <v>0</v>
      </c>
      <c r="BF106" s="118" t="n">
        <f aca="false">IF(BF66&gt;0,1,0)</f>
        <v>0</v>
      </c>
      <c r="BG106" s="118" t="n">
        <f aca="false">IF(BG66&gt;0,1,0)</f>
        <v>0</v>
      </c>
      <c r="BH106" s="118" t="n">
        <f aca="false">IF(BH66&gt;0,1,0)</f>
        <v>0</v>
      </c>
      <c r="BI106" s="118" t="n">
        <f aca="false">IF(BI66&gt;0,1,0)</f>
        <v>0</v>
      </c>
      <c r="BJ106" s="118" t="n">
        <f aca="false">IF(BJ66&gt;0,1,0)</f>
        <v>0</v>
      </c>
    </row>
    <row r="107" customFormat="false" ht="15" hidden="false" customHeight="false" outlineLevel="0" collapsed="false">
      <c r="A107" s="6" t="s">
        <v>465</v>
      </c>
      <c r="C107" s="69" t="n">
        <f aca="false">C96+C97</f>
        <v>-4192793.30077173</v>
      </c>
      <c r="D107" s="69" t="n">
        <f aca="false">D96+D97</f>
        <v>-89758.8930839022</v>
      </c>
      <c r="E107" s="69" t="n">
        <f aca="false">E96+E97</f>
        <v>-78648.9634312142</v>
      </c>
      <c r="F107" s="69" t="n">
        <f aca="false">F96+F97</f>
        <v>-74364.5056878753</v>
      </c>
      <c r="G107" s="69" t="n">
        <f aca="false">G96+G97</f>
        <v>-69809.3211937482</v>
      </c>
      <c r="H107" s="69" t="n">
        <f aca="false">H96+H97</f>
        <v>-65191.8711016608</v>
      </c>
      <c r="I107" s="69" t="n">
        <f aca="false">I96+I97</f>
        <v>-60515.2686915111</v>
      </c>
      <c r="J107" s="69" t="n">
        <f aca="false">J96+J97</f>
        <v>-55782.4715792022</v>
      </c>
      <c r="K107" s="69" t="n">
        <f aca="false">K96+K97</f>
        <v>-50996.2894998421</v>
      </c>
      <c r="L107" s="69" t="n">
        <f aca="false">L96+L97</f>
        <v>-46159.3917017833</v>
      </c>
      <c r="M107" s="69" t="n">
        <f aca="false">M96+M97</f>
        <v>-41274.3139709608</v>
      </c>
      <c r="N107" s="69" t="n">
        <f aca="false">N96+N97</f>
        <v>-52027.6883074422</v>
      </c>
      <c r="O107" s="69" t="n">
        <f aca="false">O96+O97</f>
        <v>-86101.6448904401</v>
      </c>
      <c r="P107" s="69" t="n">
        <f aca="false">P96+P97</f>
        <v>-45110.8606940279</v>
      </c>
      <c r="Q107" s="69" t="n">
        <f aca="false">Q96+Q97</f>
        <v>-27399.4095127515</v>
      </c>
      <c r="R107" s="69" t="n">
        <f aca="false">R96+R97</f>
        <v>-26889.0867736264</v>
      </c>
      <c r="S107" s="69" t="n">
        <f aca="false">S96+S97</f>
        <v>-25722.6426246784</v>
      </c>
      <c r="T107" s="69" t="n">
        <f aca="false">T96+T97</f>
        <v>-24605.6665165112</v>
      </c>
      <c r="U107" s="69" t="n">
        <f aca="false">U96+U97</f>
        <v>-23535.6850470856</v>
      </c>
      <c r="V107" s="69" t="n">
        <f aca="false">V96+V97</f>
        <v>-22510.3484844647</v>
      </c>
      <c r="W107" s="69" t="n">
        <f aca="false">W96+W97</f>
        <v>-21527.4245833081</v>
      </c>
      <c r="X107" s="69" t="n">
        <f aca="false">X96+X97</f>
        <v>-20584.7927105427</v>
      </c>
      <c r="Y107" s="69" t="n">
        <f aca="false">Y96+Y97</f>
        <v>-19680.4382647489</v>
      </c>
      <c r="Z107" s="69" t="n">
        <f aca="false">Z96+Z97</f>
        <v>-35035.3698821405</v>
      </c>
      <c r="AA107" s="69" t="n">
        <f aca="false">AA96+AA97</f>
        <v>-73010.0621418393</v>
      </c>
      <c r="AB107" s="69" t="n">
        <f aca="false">AB96+AB97</f>
        <v>-32577.6555616453</v>
      </c>
      <c r="AC107" s="69" t="n">
        <f aca="false">AC96+AC97</f>
        <v>-15724.5089141548</v>
      </c>
      <c r="AD107" s="69" t="n">
        <f aca="false">AD96+AD97</f>
        <v>-16078.0933021599</v>
      </c>
      <c r="AE107" s="69" t="n">
        <f aca="false">AE96+AE97</f>
        <v>-15337.8404746572</v>
      </c>
      <c r="AF107" s="69" t="n">
        <f aca="false">AF96+AF97</f>
        <v>-14625.746121863</v>
      </c>
      <c r="AG107" s="69" t="n">
        <f aca="false">AG96+AG97</f>
        <v>-13940.4023200419</v>
      </c>
      <c r="AH107" s="69" t="n">
        <f aca="false">AH96+AH97</f>
        <v>-13280.4715416451</v>
      </c>
      <c r="AI107" s="69" t="n">
        <f aca="false">AI96+AI97</f>
        <v>-12644.6831355015</v>
      </c>
      <c r="AJ107" s="69" t="n">
        <f aca="false">AJ96+AJ97</f>
        <v>-12031.8299829984</v>
      </c>
      <c r="AK107" s="69" t="n">
        <f aca="false">AK96+AK97</f>
        <v>-11440.7653214538</v>
      </c>
      <c r="AL107" s="69" t="n">
        <f aca="false">AL96+AL97</f>
        <v>-26894.3789804608</v>
      </c>
      <c r="AM107" s="69" t="n">
        <f aca="false">AM96+AM97</f>
        <v>-65689.9349769408</v>
      </c>
      <c r="AN107" s="69" t="n">
        <f aca="false">AN96+AN97</f>
        <v>-25580.3129373666</v>
      </c>
      <c r="AO107" s="69" t="n">
        <f aca="false">AO96+AO97</f>
        <v>-9178.3123903755</v>
      </c>
      <c r="AP107" s="69" t="n">
        <f aca="false">AP96+AP97</f>
        <v>-10051.3311533797</v>
      </c>
      <c r="AQ107" s="69" t="n">
        <f aca="false">AQ96+AQ97</f>
        <v>-9541.46642933909</v>
      </c>
      <c r="AR107" s="69" t="n">
        <f aca="false">AR96+AR97</f>
        <v>-9048.24077483383</v>
      </c>
      <c r="AS107" s="69" t="n">
        <f aca="false">AS96+AS97</f>
        <v>-8570.82223638718</v>
      </c>
      <c r="AT107" s="69" t="n">
        <f aca="false">AT96+AT97</f>
        <v>-8108.4204581962</v>
      </c>
      <c r="AU107" s="69" t="n">
        <f aca="false">AU96+AU97</f>
        <v>-7660.28460224808</v>
      </c>
      <c r="AV107" s="69" t="n">
        <f aca="false">AV96+AV97</f>
        <v>-7225.70137243074</v>
      </c>
      <c r="AW107" s="69" t="n">
        <f aca="false">AW96+AW97</f>
        <v>-6803.99313743757</v>
      </c>
      <c r="AX107" s="69" t="n">
        <f aca="false">AX96+AX97</f>
        <v>-22327.4857297446</v>
      </c>
      <c r="AY107" s="69" t="n">
        <f aca="false">AY96+AY97</f>
        <v>-61683.9677599914</v>
      </c>
      <c r="AZ107" s="69" t="n">
        <f aca="false">AZ96+AZ97</f>
        <v>-21755.7515691574</v>
      </c>
      <c r="BA107" s="69" t="n">
        <f aca="false">BA96+BA97</f>
        <v>-5582.37587128315</v>
      </c>
      <c r="BB107" s="69" t="n">
        <f aca="false">BB96+BB97</f>
        <v>-6787.52032135496</v>
      </c>
      <c r="BC107" s="69" t="n">
        <f aca="false">BC96+BC97</f>
        <v>-6402.17716855808</v>
      </c>
      <c r="BD107" s="69" t="n">
        <f aca="false">BD96+BD97</f>
        <v>-6027.24700673436</v>
      </c>
      <c r="BE107" s="69" t="n">
        <f aca="false">BE96+BE97</f>
        <v>-5662.20918633516</v>
      </c>
      <c r="BF107" s="69" t="n">
        <f aca="false">BF96+BF97</f>
        <v>-5306.56909028928</v>
      </c>
      <c r="BG107" s="69" t="n">
        <f aca="false">BG96+BG97</f>
        <v>-4959.856832379</v>
      </c>
      <c r="BH107" s="69" t="n">
        <f aca="false">BH96+BH97</f>
        <v>-4621.62602069758</v>
      </c>
      <c r="BI107" s="69" t="n">
        <f aca="false">BI96+BI97</f>
        <v>-4291.45258293355</v>
      </c>
      <c r="BJ107" s="69" t="n">
        <f aca="false">BJ96+BJ97</f>
        <v>-19869.8262040581</v>
      </c>
    </row>
    <row r="108" customFormat="false" ht="15" hidden="false" customHeight="false" outlineLevel="0" collapsed="false">
      <c r="A108" s="6" t="s">
        <v>466</v>
      </c>
      <c r="C108" s="69" t="n">
        <f aca="false">C107</f>
        <v>-4192793.30077173</v>
      </c>
      <c r="D108" s="69" t="n">
        <f aca="false">C108+D107</f>
        <v>-4282552.19385564</v>
      </c>
      <c r="E108" s="69" t="n">
        <f aca="false">D108+E107</f>
        <v>-4361201.15728685</v>
      </c>
      <c r="F108" s="69" t="n">
        <f aca="false">E108+F107</f>
        <v>-4435565.66297473</v>
      </c>
      <c r="G108" s="69" t="n">
        <f aca="false">F108+G107</f>
        <v>-4505374.98416847</v>
      </c>
      <c r="H108" s="69" t="n">
        <f aca="false">G108+H107</f>
        <v>-4570566.85527013</v>
      </c>
      <c r="I108" s="69" t="n">
        <f aca="false">H108+I107</f>
        <v>-4631082.12396165</v>
      </c>
      <c r="J108" s="69" t="n">
        <f aca="false">I108+J107</f>
        <v>-4686864.59554085</v>
      </c>
      <c r="K108" s="69" t="n">
        <f aca="false">J108+K107</f>
        <v>-4737860.88504069</v>
      </c>
      <c r="L108" s="69" t="n">
        <f aca="false">K108+L107</f>
        <v>-4784020.27674247</v>
      </c>
      <c r="M108" s="69" t="n">
        <f aca="false">L108+M107</f>
        <v>-4825294.59071343</v>
      </c>
      <c r="N108" s="69" t="n">
        <f aca="false">M108+N107</f>
        <v>-4877322.27902088</v>
      </c>
      <c r="O108" s="69" t="n">
        <f aca="false">N108+O107</f>
        <v>-4963423.92391131</v>
      </c>
      <c r="P108" s="69" t="n">
        <f aca="false">O108+P107</f>
        <v>-5008534.78460534</v>
      </c>
      <c r="Q108" s="69" t="n">
        <f aca="false">P108+Q107</f>
        <v>-5035934.19411809</v>
      </c>
      <c r="R108" s="69" t="n">
        <f aca="false">Q108+R107</f>
        <v>-5062823.28089172</v>
      </c>
      <c r="S108" s="69" t="n">
        <f aca="false">R108+S107</f>
        <v>-5088545.9235164</v>
      </c>
      <c r="T108" s="69" t="n">
        <f aca="false">S108+T107</f>
        <v>-5113151.59003291</v>
      </c>
      <c r="U108" s="69" t="n">
        <f aca="false">T108+U107</f>
        <v>-5136687.27507999</v>
      </c>
      <c r="V108" s="69" t="n">
        <f aca="false">U108+V107</f>
        <v>-5159197.62356446</v>
      </c>
      <c r="W108" s="69" t="n">
        <f aca="false">V108+W107</f>
        <v>-5180725.04814777</v>
      </c>
      <c r="X108" s="69" t="n">
        <f aca="false">W108+X107</f>
        <v>-5201309.84085831</v>
      </c>
      <c r="Y108" s="69" t="n">
        <f aca="false">X108+Y107</f>
        <v>-5220990.27912306</v>
      </c>
      <c r="Z108" s="69" t="n">
        <f aca="false">Y108+Z107</f>
        <v>-5256025.6490052</v>
      </c>
      <c r="AA108" s="69" t="n">
        <f aca="false">Z108+AA107</f>
        <v>-5329035.71114704</v>
      </c>
      <c r="AB108" s="69" t="n">
        <f aca="false">AA108+AB107</f>
        <v>-5361613.36670869</v>
      </c>
      <c r="AC108" s="69" t="n">
        <f aca="false">AB108+AC107</f>
        <v>-5377337.87562284</v>
      </c>
      <c r="AD108" s="69" t="n">
        <f aca="false">AC108+AD107</f>
        <v>-5393415.968925</v>
      </c>
      <c r="AE108" s="69" t="n">
        <f aca="false">AD108+AE107</f>
        <v>-5408753.80939966</v>
      </c>
      <c r="AF108" s="69" t="n">
        <f aca="false">AE108+AF107</f>
        <v>-5423379.55552152</v>
      </c>
      <c r="AG108" s="69" t="n">
        <f aca="false">AF108+AG107</f>
        <v>-5437319.95784156</v>
      </c>
      <c r="AH108" s="69" t="n">
        <f aca="false">AG108+AH107</f>
        <v>-5450600.42938321</v>
      </c>
      <c r="AI108" s="69" t="n">
        <f aca="false">AH108+AI107</f>
        <v>-5463245.11251871</v>
      </c>
      <c r="AJ108" s="69" t="n">
        <f aca="false">AI108+AJ107</f>
        <v>-5475276.94250171</v>
      </c>
      <c r="AK108" s="69" t="n">
        <f aca="false">AJ108+AK107</f>
        <v>-5486717.70782316</v>
      </c>
      <c r="AL108" s="69" t="n">
        <f aca="false">AK108+AL107</f>
        <v>-5513612.08680362</v>
      </c>
      <c r="AM108" s="69" t="n">
        <f aca="false">AL108+AM107</f>
        <v>-5579302.02178056</v>
      </c>
      <c r="AN108" s="69" t="n">
        <f aca="false">AM108+AN107</f>
        <v>-5604882.33471793</v>
      </c>
      <c r="AO108" s="69" t="n">
        <f aca="false">AN108+AO107</f>
        <v>-5614060.6471083</v>
      </c>
      <c r="AP108" s="69" t="n">
        <f aca="false">AO108+AP107</f>
        <v>-5624111.97826168</v>
      </c>
      <c r="AQ108" s="69" t="n">
        <f aca="false">AP108+AQ107</f>
        <v>-5633653.44469102</v>
      </c>
      <c r="AR108" s="69" t="n">
        <f aca="false">AQ108+AR107</f>
        <v>-5642701.68546586</v>
      </c>
      <c r="AS108" s="69" t="n">
        <f aca="false">AR108+AS107</f>
        <v>-5651272.50770224</v>
      </c>
      <c r="AT108" s="69" t="n">
        <f aca="false">AS108+AT107</f>
        <v>-5659380.92816044</v>
      </c>
      <c r="AU108" s="69" t="n">
        <f aca="false">AT108+AU107</f>
        <v>-5667041.21276269</v>
      </c>
      <c r="AV108" s="69" t="n">
        <f aca="false">AU108+AV107</f>
        <v>-5674266.91413512</v>
      </c>
      <c r="AW108" s="69" t="n">
        <f aca="false">AV108+AW107</f>
        <v>-5681070.90727256</v>
      </c>
      <c r="AX108" s="69" t="n">
        <f aca="false">AW108+AX107</f>
        <v>-5703398.3930023</v>
      </c>
      <c r="AY108" s="69" t="n">
        <f aca="false">AX108+AY107</f>
        <v>-5765082.36076229</v>
      </c>
      <c r="AZ108" s="69" t="n">
        <f aca="false">AY108+AZ107</f>
        <v>-5786838.11233145</v>
      </c>
      <c r="BA108" s="69" t="n">
        <f aca="false">AZ108+BA107</f>
        <v>-5792420.48820273</v>
      </c>
      <c r="BB108" s="69" t="n">
        <f aca="false">BA108+BB107</f>
        <v>-5799208.00852409</v>
      </c>
      <c r="BC108" s="69" t="n">
        <f aca="false">BB108+BC107</f>
        <v>-5805610.18569265</v>
      </c>
      <c r="BD108" s="69" t="n">
        <f aca="false">BC108+BD107</f>
        <v>-5811637.43269938</v>
      </c>
      <c r="BE108" s="69" t="n">
        <f aca="false">BD108+BE107</f>
        <v>-5817299.64188572</v>
      </c>
      <c r="BF108" s="69" t="n">
        <f aca="false">BE108+BF107</f>
        <v>-5822606.21097601</v>
      </c>
      <c r="BG108" s="69" t="n">
        <f aca="false">BF108+BG107</f>
        <v>-5827566.06780838</v>
      </c>
      <c r="BH108" s="69" t="n">
        <f aca="false">BG108+BH107</f>
        <v>-5832187.69382908</v>
      </c>
      <c r="BI108" s="69" t="n">
        <f aca="false">BH108+BI107</f>
        <v>-5836479.14641202</v>
      </c>
      <c r="BJ108" s="69" t="n">
        <f aca="false">BI108+BJ107</f>
        <v>-5856348.97261607</v>
      </c>
    </row>
    <row r="109" customFormat="false" ht="15" hidden="false" customHeight="false" outlineLevel="0" collapsed="false">
      <c r="A109" s="116" t="s">
        <v>467</v>
      </c>
      <c r="C109" s="69" t="n">
        <f aca="false">C108</f>
        <v>-4192793.30077173</v>
      </c>
      <c r="D109" s="69" t="n">
        <f aca="false">MIN(C109,D108)</f>
        <v>-4282552.19385564</v>
      </c>
      <c r="E109" s="69" t="n">
        <f aca="false">MIN(D109,E108)</f>
        <v>-4361201.15728685</v>
      </c>
      <c r="F109" s="69" t="n">
        <f aca="false">MIN(E109,F108)</f>
        <v>-4435565.66297473</v>
      </c>
      <c r="G109" s="69" t="n">
        <f aca="false">MIN(F109,G108)</f>
        <v>-4505374.98416847</v>
      </c>
      <c r="H109" s="69" t="n">
        <f aca="false">MIN(G109,H108)</f>
        <v>-4570566.85527013</v>
      </c>
      <c r="I109" s="69" t="n">
        <f aca="false">MIN(H109,I108)</f>
        <v>-4631082.12396165</v>
      </c>
      <c r="J109" s="69" t="n">
        <f aca="false">MIN(I109,J108)</f>
        <v>-4686864.59554085</v>
      </c>
      <c r="K109" s="69" t="n">
        <f aca="false">MIN(J109,K108)</f>
        <v>-4737860.88504069</v>
      </c>
      <c r="L109" s="69" t="n">
        <f aca="false">MIN(K109,L108)</f>
        <v>-4784020.27674247</v>
      </c>
      <c r="M109" s="69" t="n">
        <f aca="false">MIN(L109,M108)</f>
        <v>-4825294.59071343</v>
      </c>
      <c r="N109" s="69" t="n">
        <f aca="false">MIN(M109,N108)</f>
        <v>-4877322.27902088</v>
      </c>
      <c r="O109" s="69" t="n">
        <f aca="false">MIN(N109,O108)</f>
        <v>-4963423.92391131</v>
      </c>
      <c r="P109" s="69" t="n">
        <f aca="false">MIN(O109,P108)</f>
        <v>-5008534.78460534</v>
      </c>
      <c r="Q109" s="69" t="n">
        <f aca="false">MIN(P109,Q108)</f>
        <v>-5035934.19411809</v>
      </c>
      <c r="R109" s="69" t="n">
        <f aca="false">MIN(Q109,R108)</f>
        <v>-5062823.28089172</v>
      </c>
      <c r="S109" s="69" t="n">
        <f aca="false">MIN(R109,S108)</f>
        <v>-5088545.9235164</v>
      </c>
      <c r="T109" s="69" t="n">
        <f aca="false">MIN(S109,T108)</f>
        <v>-5113151.59003291</v>
      </c>
      <c r="U109" s="69" t="n">
        <f aca="false">MIN(T109,U108)</f>
        <v>-5136687.27507999</v>
      </c>
      <c r="V109" s="69" t="n">
        <f aca="false">MIN(U109,V108)</f>
        <v>-5159197.62356446</v>
      </c>
      <c r="W109" s="69" t="n">
        <f aca="false">MIN(V109,W108)</f>
        <v>-5180725.04814777</v>
      </c>
      <c r="X109" s="69" t="n">
        <f aca="false">MIN(W109,X108)</f>
        <v>-5201309.84085831</v>
      </c>
      <c r="Y109" s="69" t="n">
        <f aca="false">MIN(X109,Y108)</f>
        <v>-5220990.27912306</v>
      </c>
      <c r="Z109" s="69" t="n">
        <f aca="false">MIN(Y109,Z108)</f>
        <v>-5256025.6490052</v>
      </c>
      <c r="AA109" s="69" t="n">
        <f aca="false">MIN(Z109,AA108)</f>
        <v>-5329035.71114704</v>
      </c>
      <c r="AB109" s="69" t="n">
        <f aca="false">MIN(AA109,AB108)</f>
        <v>-5361613.36670869</v>
      </c>
      <c r="AC109" s="69" t="n">
        <f aca="false">MIN(AB109,AC108)</f>
        <v>-5377337.87562284</v>
      </c>
      <c r="AD109" s="69" t="n">
        <f aca="false">MIN(AC109,AD108)</f>
        <v>-5393415.968925</v>
      </c>
      <c r="AE109" s="69" t="n">
        <f aca="false">MIN(AD109,AE108)</f>
        <v>-5408753.80939966</v>
      </c>
      <c r="AF109" s="69" t="n">
        <f aca="false">MIN(AE109,AF108)</f>
        <v>-5423379.55552152</v>
      </c>
      <c r="AG109" s="69" t="n">
        <f aca="false">MIN(AF109,AG108)</f>
        <v>-5437319.95784156</v>
      </c>
      <c r="AH109" s="69" t="n">
        <f aca="false">MIN(AG109,AH108)</f>
        <v>-5450600.42938321</v>
      </c>
      <c r="AI109" s="69" t="n">
        <f aca="false">MIN(AH109,AI108)</f>
        <v>-5463245.11251871</v>
      </c>
      <c r="AJ109" s="69" t="n">
        <f aca="false">MIN(AI109,AJ108)</f>
        <v>-5475276.94250171</v>
      </c>
      <c r="AK109" s="69" t="n">
        <f aca="false">MIN(AJ109,AK108)</f>
        <v>-5486717.70782316</v>
      </c>
      <c r="AL109" s="69" t="n">
        <f aca="false">MIN(AK109,AL108)</f>
        <v>-5513612.08680362</v>
      </c>
      <c r="AM109" s="69" t="n">
        <f aca="false">MIN(AL109,AM108)</f>
        <v>-5579302.02178056</v>
      </c>
      <c r="AN109" s="69" t="n">
        <f aca="false">MIN(AM109,AN108)</f>
        <v>-5604882.33471793</v>
      </c>
      <c r="AO109" s="69" t="n">
        <f aca="false">MIN(AN109,AO108)</f>
        <v>-5614060.6471083</v>
      </c>
      <c r="AP109" s="69" t="n">
        <f aca="false">MIN(AO109,AP108)</f>
        <v>-5624111.97826168</v>
      </c>
      <c r="AQ109" s="69" t="n">
        <f aca="false">MIN(AP109,AQ108)</f>
        <v>-5633653.44469102</v>
      </c>
      <c r="AR109" s="69" t="n">
        <f aca="false">MIN(AQ109,AR108)</f>
        <v>-5642701.68546586</v>
      </c>
      <c r="AS109" s="69" t="n">
        <f aca="false">MIN(AR109,AS108)</f>
        <v>-5651272.50770224</v>
      </c>
      <c r="AT109" s="69" t="n">
        <f aca="false">MIN(AS109,AT108)</f>
        <v>-5659380.92816044</v>
      </c>
      <c r="AU109" s="69" t="n">
        <f aca="false">MIN(AT109,AU108)</f>
        <v>-5667041.21276269</v>
      </c>
      <c r="AV109" s="69" t="n">
        <f aca="false">MIN(AU109,AV108)</f>
        <v>-5674266.91413512</v>
      </c>
      <c r="AW109" s="69" t="n">
        <f aca="false">MIN(AV109,AW108)</f>
        <v>-5681070.90727256</v>
      </c>
      <c r="AX109" s="69" t="n">
        <f aca="false">MIN(AW109,AX108)</f>
        <v>-5703398.3930023</v>
      </c>
      <c r="AY109" s="69" t="n">
        <f aca="false">MIN(AX109,AY108)</f>
        <v>-5765082.36076229</v>
      </c>
      <c r="AZ109" s="69" t="n">
        <f aca="false">MIN(AY109,AZ108)</f>
        <v>-5786838.11233145</v>
      </c>
      <c r="BA109" s="69" t="n">
        <f aca="false">MIN(AZ109,BA108)</f>
        <v>-5792420.48820273</v>
      </c>
      <c r="BB109" s="69" t="n">
        <f aca="false">MIN(BA109,BB108)</f>
        <v>-5799208.00852409</v>
      </c>
      <c r="BC109" s="69" t="n">
        <f aca="false">MIN(BB109,BC108)</f>
        <v>-5805610.18569265</v>
      </c>
      <c r="BD109" s="69" t="n">
        <f aca="false">MIN(BC109,BD108)</f>
        <v>-5811637.43269938</v>
      </c>
      <c r="BE109" s="69" t="n">
        <f aca="false">MIN(BD109,BE108)</f>
        <v>-5817299.64188572</v>
      </c>
      <c r="BF109" s="69" t="n">
        <f aca="false">MIN(BE109,BF108)</f>
        <v>-5822606.21097601</v>
      </c>
      <c r="BG109" s="69" t="n">
        <f aca="false">MIN(BF109,BG108)</f>
        <v>-5827566.06780838</v>
      </c>
      <c r="BH109" s="69" t="n">
        <f aca="false">MIN(BG109,BH108)</f>
        <v>-5832187.69382908</v>
      </c>
      <c r="BI109" s="69" t="n">
        <f aca="false">MIN(BH109,BI108)</f>
        <v>-5836479.14641202</v>
      </c>
      <c r="BJ109" s="69" t="n">
        <f aca="false">MIN(BI109,BJ108)</f>
        <v>-5856348.97261607</v>
      </c>
    </row>
    <row r="110" customFormat="false" ht="15" hidden="false" customHeight="false" outlineLevel="0" collapsed="false">
      <c r="A110" s="116" t="s">
        <v>468</v>
      </c>
      <c r="C110" s="118" t="n">
        <f aca="false">IF(AND(C108&gt;=0,C109&lt;0),1,0)</f>
        <v>0</v>
      </c>
      <c r="D110" s="118" t="n">
        <f aca="false">IF(AND(D108&gt;=0,D109&lt;0),1,0)</f>
        <v>0</v>
      </c>
      <c r="E110" s="118" t="n">
        <f aca="false">IF(AND(E108&gt;=0,E109&lt;0),1,0)</f>
        <v>0</v>
      </c>
      <c r="F110" s="118" t="n">
        <f aca="false">IF(AND(F108&gt;=0,F109&lt;0),1,0)</f>
        <v>0</v>
      </c>
      <c r="G110" s="118" t="n">
        <f aca="false">IF(AND(G108&gt;=0,G109&lt;0),1,0)</f>
        <v>0</v>
      </c>
      <c r="H110" s="118" t="n">
        <f aca="false">IF(AND(H108&gt;=0,H109&lt;0),1,0)</f>
        <v>0</v>
      </c>
      <c r="I110" s="118" t="n">
        <f aca="false">IF(AND(I108&gt;=0,I109&lt;0),1,0)</f>
        <v>0</v>
      </c>
      <c r="J110" s="118" t="n">
        <f aca="false">IF(AND(J108&gt;=0,J109&lt;0),1,0)</f>
        <v>0</v>
      </c>
      <c r="K110" s="118" t="n">
        <f aca="false">IF(AND(K108&gt;=0,K109&lt;0),1,0)</f>
        <v>0</v>
      </c>
      <c r="L110" s="118" t="n">
        <f aca="false">IF(AND(L108&gt;=0,L109&lt;0),1,0)</f>
        <v>0</v>
      </c>
      <c r="M110" s="118" t="n">
        <f aca="false">IF(AND(M108&gt;=0,M109&lt;0),1,0)</f>
        <v>0</v>
      </c>
      <c r="N110" s="118" t="n">
        <f aca="false">IF(AND(N108&gt;=0,N109&lt;0),1,0)</f>
        <v>0</v>
      </c>
      <c r="O110" s="118" t="n">
        <f aca="false">IF(AND(O108&gt;=0,O109&lt;0),1,0)</f>
        <v>0</v>
      </c>
      <c r="P110" s="118" t="n">
        <f aca="false">IF(AND(P108&gt;=0,P109&lt;0),1,0)</f>
        <v>0</v>
      </c>
      <c r="Q110" s="118" t="n">
        <f aca="false">IF(AND(Q108&gt;=0,Q109&lt;0),1,0)</f>
        <v>0</v>
      </c>
      <c r="R110" s="118" t="n">
        <f aca="false">IF(AND(R108&gt;=0,R109&lt;0),1,0)</f>
        <v>0</v>
      </c>
      <c r="S110" s="118" t="n">
        <f aca="false">IF(AND(S108&gt;=0,S109&lt;0),1,0)</f>
        <v>0</v>
      </c>
      <c r="T110" s="118" t="n">
        <f aca="false">IF(AND(T108&gt;=0,T109&lt;0),1,0)</f>
        <v>0</v>
      </c>
      <c r="U110" s="118" t="n">
        <f aca="false">IF(AND(U108&gt;=0,U109&lt;0),1,0)</f>
        <v>0</v>
      </c>
      <c r="V110" s="118" t="n">
        <f aca="false">IF(AND(V108&gt;=0,V109&lt;0),1,0)</f>
        <v>0</v>
      </c>
      <c r="W110" s="118" t="n">
        <f aca="false">IF(AND(W108&gt;=0,W109&lt;0),1,0)</f>
        <v>0</v>
      </c>
      <c r="X110" s="118" t="n">
        <f aca="false">IF(AND(X108&gt;=0,X109&lt;0),1,0)</f>
        <v>0</v>
      </c>
      <c r="Y110" s="118" t="n">
        <f aca="false">IF(AND(Y108&gt;=0,Y109&lt;0),1,0)</f>
        <v>0</v>
      </c>
      <c r="Z110" s="118" t="n">
        <f aca="false">IF(AND(Z108&gt;=0,Z109&lt;0),1,0)</f>
        <v>0</v>
      </c>
      <c r="AA110" s="118" t="n">
        <f aca="false">IF(AND(AA108&gt;=0,AA109&lt;0),1,0)</f>
        <v>0</v>
      </c>
      <c r="AB110" s="118" t="n">
        <f aca="false">IF(AND(AB108&gt;=0,AB109&lt;0),1,0)</f>
        <v>0</v>
      </c>
      <c r="AC110" s="118" t="n">
        <f aca="false">IF(AND(AC108&gt;=0,AC109&lt;0),1,0)</f>
        <v>0</v>
      </c>
      <c r="AD110" s="118" t="n">
        <f aca="false">IF(AND(AD108&gt;=0,AD109&lt;0),1,0)</f>
        <v>0</v>
      </c>
      <c r="AE110" s="118" t="n">
        <f aca="false">IF(AND(AE108&gt;=0,AE109&lt;0),1,0)</f>
        <v>0</v>
      </c>
      <c r="AF110" s="118" t="n">
        <f aca="false">IF(AND(AF108&gt;=0,AF109&lt;0),1,0)</f>
        <v>0</v>
      </c>
      <c r="AG110" s="118" t="n">
        <f aca="false">IF(AND(AG108&gt;=0,AG109&lt;0),1,0)</f>
        <v>0</v>
      </c>
      <c r="AH110" s="118" t="n">
        <f aca="false">IF(AND(AH108&gt;=0,AH109&lt;0),1,0)</f>
        <v>0</v>
      </c>
      <c r="AI110" s="118" t="n">
        <f aca="false">IF(AND(AI108&gt;=0,AI109&lt;0),1,0)</f>
        <v>0</v>
      </c>
      <c r="AJ110" s="118" t="n">
        <f aca="false">IF(AND(AJ108&gt;=0,AJ109&lt;0),1,0)</f>
        <v>0</v>
      </c>
      <c r="AK110" s="118" t="n">
        <f aca="false">IF(AND(AK108&gt;=0,AK109&lt;0),1,0)</f>
        <v>0</v>
      </c>
      <c r="AL110" s="118" t="n">
        <f aca="false">IF(AND(AL108&gt;=0,AL109&lt;0),1,0)</f>
        <v>0</v>
      </c>
      <c r="AM110" s="118" t="n">
        <f aca="false">IF(AND(AM108&gt;=0,AM109&lt;0),1,0)</f>
        <v>0</v>
      </c>
      <c r="AN110" s="118" t="n">
        <f aca="false">IF(AND(AN108&gt;=0,AN109&lt;0),1,0)</f>
        <v>0</v>
      </c>
      <c r="AO110" s="118" t="n">
        <f aca="false">IF(AND(AO108&gt;=0,AO109&lt;0),1,0)</f>
        <v>0</v>
      </c>
      <c r="AP110" s="118" t="n">
        <f aca="false">IF(AND(AP108&gt;=0,AP109&lt;0),1,0)</f>
        <v>0</v>
      </c>
      <c r="AQ110" s="118" t="n">
        <f aca="false">IF(AND(AQ108&gt;=0,AQ109&lt;0),1,0)</f>
        <v>0</v>
      </c>
      <c r="AR110" s="118" t="n">
        <f aca="false">IF(AND(AR108&gt;=0,AR109&lt;0),1,0)</f>
        <v>0</v>
      </c>
      <c r="AS110" s="118" t="n">
        <f aca="false">IF(AND(AS108&gt;=0,AS109&lt;0),1,0)</f>
        <v>0</v>
      </c>
      <c r="AT110" s="118" t="n">
        <f aca="false">IF(AND(AT108&gt;=0,AT109&lt;0),1,0)</f>
        <v>0</v>
      </c>
      <c r="AU110" s="118" t="n">
        <f aca="false">IF(AND(AU108&gt;=0,AU109&lt;0),1,0)</f>
        <v>0</v>
      </c>
      <c r="AV110" s="118" t="n">
        <f aca="false">IF(AND(AV108&gt;=0,AV109&lt;0),1,0)</f>
        <v>0</v>
      </c>
      <c r="AW110" s="118" t="n">
        <f aca="false">IF(AND(AW108&gt;=0,AW109&lt;0),1,0)</f>
        <v>0</v>
      </c>
      <c r="AX110" s="118" t="n">
        <f aca="false">IF(AND(AX108&gt;=0,AX109&lt;0),1,0)</f>
        <v>0</v>
      </c>
      <c r="AY110" s="118" t="n">
        <f aca="false">IF(AND(AY108&gt;=0,AY109&lt;0),1,0)</f>
        <v>0</v>
      </c>
      <c r="AZ110" s="118" t="n">
        <f aca="false">IF(AND(AZ108&gt;=0,AZ109&lt;0),1,0)</f>
        <v>0</v>
      </c>
      <c r="BA110" s="118" t="n">
        <f aca="false">IF(AND(BA108&gt;=0,BA109&lt;0),1,0)</f>
        <v>0</v>
      </c>
      <c r="BB110" s="118" t="n">
        <f aca="false">IF(AND(BB108&gt;=0,BB109&lt;0),1,0)</f>
        <v>0</v>
      </c>
      <c r="BC110" s="118" t="n">
        <f aca="false">IF(AND(BC108&gt;=0,BC109&lt;0),1,0)</f>
        <v>0</v>
      </c>
      <c r="BD110" s="118" t="n">
        <f aca="false">IF(AND(BD108&gt;=0,BD109&lt;0),1,0)</f>
        <v>0</v>
      </c>
      <c r="BE110" s="118" t="n">
        <f aca="false">IF(AND(BE108&gt;=0,BE109&lt;0),1,0)</f>
        <v>0</v>
      </c>
      <c r="BF110" s="118" t="n">
        <f aca="false">IF(AND(BF108&gt;=0,BF109&lt;0),1,0)</f>
        <v>0</v>
      </c>
      <c r="BG110" s="118" t="n">
        <f aca="false">IF(AND(BG108&gt;=0,BG109&lt;0),1,0)</f>
        <v>0</v>
      </c>
      <c r="BH110" s="118" t="n">
        <f aca="false">IF(AND(BH108&gt;=0,BH109&lt;0),1,0)</f>
        <v>0</v>
      </c>
      <c r="BI110" s="118" t="n">
        <f aca="false">IF(AND(BI108&gt;=0,BI109&lt;0),1,0)</f>
        <v>0</v>
      </c>
      <c r="BJ110" s="118" t="n">
        <f aca="false">IF(AND(BJ108&gt;=0,BJ109&lt;0),1,0)</f>
        <v>0</v>
      </c>
    </row>
    <row r="111" customFormat="false" ht="15" hidden="false" customHeight="false" outlineLevel="0" collapsed="false">
      <c r="A111" s="6" t="s">
        <v>469</v>
      </c>
      <c r="C111" s="69" t="n">
        <f aca="false">C96-C61*(1-Inputs!$B$81)+C97</f>
        <v>-4176005.80077173</v>
      </c>
      <c r="D111" s="69" t="n">
        <f aca="false">D96-D61*(1-Inputs!$B$81)+D97</f>
        <v>-73041.3410005689</v>
      </c>
      <c r="E111" s="69" t="n">
        <f aca="false">E96-E61*(1-Inputs!$B$81)+E97</f>
        <v>-62071.3071812142</v>
      </c>
      <c r="F111" s="69" t="n">
        <f aca="false">F96-F61*(1-Inputs!$B$81)+F97</f>
        <v>-57926.7452712087</v>
      </c>
      <c r="G111" s="69" t="n">
        <f aca="false">G96-G61*(1-Inputs!$B$81)+G97</f>
        <v>-53511.4566104149</v>
      </c>
      <c r="H111" s="69" t="n">
        <f aca="false">H96-H61*(1-Inputs!$B$81)+H97</f>
        <v>-49033.9023516608</v>
      </c>
      <c r="I111" s="69" t="n">
        <f aca="false">I96-I61*(1-Inputs!$B$81)+I97</f>
        <v>-44497.1957748444</v>
      </c>
      <c r="J111" s="69" t="n">
        <f aca="false">J96-J61*(1-Inputs!$B$81)+J97</f>
        <v>-39904.2944958689</v>
      </c>
      <c r="K111" s="69" t="n">
        <f aca="false">K96-K61*(1-Inputs!$B$81)+K97</f>
        <v>-35258.0082498421</v>
      </c>
      <c r="L111" s="69" t="n">
        <f aca="false">L96-L61*(1-Inputs!$B$81)+L97</f>
        <v>-30561.0062851167</v>
      </c>
      <c r="M111" s="69" t="n">
        <f aca="false">M96-M61*(1-Inputs!$B$81)+M97</f>
        <v>-25815.8243876275</v>
      </c>
      <c r="N111" s="69" t="n">
        <f aca="false">N96-N61*(1-Inputs!$B$81)+N97</f>
        <v>-36709.0945574422</v>
      </c>
      <c r="O111" s="69" t="n">
        <f aca="false">O96-O61*(1-Inputs!$B$81)+O97</f>
        <v>-70922.9469737734</v>
      </c>
      <c r="P111" s="69" t="n">
        <f aca="false">P96-P61*(1-Inputs!$B$81)+P97</f>
        <v>-30072.0586106946</v>
      </c>
      <c r="Q111" s="69" t="n">
        <f aca="false">Q96-Q61*(1-Inputs!$B$81)+Q97</f>
        <v>-12500.5032627515</v>
      </c>
      <c r="R111" s="69" t="n">
        <f aca="false">R96-R61*(1-Inputs!$B$81)+R97</f>
        <v>-12130.0763569597</v>
      </c>
      <c r="S111" s="69" t="n">
        <f aca="false">S96-S61*(1-Inputs!$B$81)+S97</f>
        <v>-11103.5280413451</v>
      </c>
      <c r="T111" s="69" t="n">
        <f aca="false">T96-T61*(1-Inputs!$B$81)+T97</f>
        <v>-10126.4477665112</v>
      </c>
      <c r="U111" s="69" t="n">
        <f aca="false">U96-U61*(1-Inputs!$B$81)+U97</f>
        <v>-9196.36213041895</v>
      </c>
      <c r="V111" s="69" t="n">
        <f aca="false">V96-V61*(1-Inputs!$B$81)+V97</f>
        <v>-8310.92140113133</v>
      </c>
      <c r="W111" s="69" t="n">
        <f aca="false">W96-W61*(1-Inputs!$B$81)+W97</f>
        <v>-7467.89333330808</v>
      </c>
      <c r="X111" s="69" t="n">
        <f aca="false">X96-X61*(1-Inputs!$B$81)+X97</f>
        <v>-6665.15729387603</v>
      </c>
      <c r="Y111" s="69" t="n">
        <f aca="false">Y96-Y61*(1-Inputs!$B$81)+Y97</f>
        <v>-5900.69868141555</v>
      </c>
      <c r="Z111" s="69" t="n">
        <f aca="false">Z96-Z61*(1-Inputs!$B$81)+Z97</f>
        <v>-21395.5261321405</v>
      </c>
      <c r="AA111" s="69" t="n">
        <f aca="false">AA96-AA61*(1-Inputs!$B$81)+AA97</f>
        <v>-59510.1142251726</v>
      </c>
      <c r="AB111" s="69" t="n">
        <f aca="false">AB96-AB61*(1-Inputs!$B$81)+AB97</f>
        <v>-19217.603478312</v>
      </c>
      <c r="AC111" s="69" t="n">
        <f aca="false">AC96-AC61*(1-Inputs!$B$81)+AC97</f>
        <v>-2504.35266415482</v>
      </c>
      <c r="AD111" s="69" t="n">
        <f aca="false">AD96-AD61*(1-Inputs!$B$81)+AD97</f>
        <v>-2997.83288549319</v>
      </c>
      <c r="AE111" s="69" t="n">
        <f aca="false">AE96-AE61*(1-Inputs!$B$81)+AE97</f>
        <v>-2397.47589132385</v>
      </c>
      <c r="AF111" s="69" t="n">
        <f aca="false">AF96-AF61*(1-Inputs!$B$81)+AF97</f>
        <v>-1825.27737186301</v>
      </c>
      <c r="AG111" s="69" t="n">
        <f aca="false">AG96-AG61*(1-Inputs!$B$81)+AG97</f>
        <v>-1279.82940337519</v>
      </c>
      <c r="AH111" s="69" t="n">
        <f aca="false">AH96-AH61*(1-Inputs!$B$81)+AH97</f>
        <v>-759.79445831177</v>
      </c>
      <c r="AI111" s="69" t="n">
        <f aca="false">AI96-AI61*(1-Inputs!$B$81)+AI97</f>
        <v>-263.90188550152</v>
      </c>
      <c r="AJ111" s="69" t="n">
        <f aca="false">AJ96-AJ61*(1-Inputs!$B$81)+AJ97</f>
        <v>209.05543366822</v>
      </c>
      <c r="AK111" s="69" t="n">
        <f aca="false">AK96-AK61*(1-Inputs!$B$81)+AK97</f>
        <v>660.224261879488</v>
      </c>
      <c r="AL111" s="69" t="n">
        <f aca="false">AL96-AL61*(1-Inputs!$B$81)+AL97</f>
        <v>-14933.2852304608</v>
      </c>
      <c r="AM111" s="69" t="n">
        <f aca="false">AM96-AM61*(1-Inputs!$B$81)+AM97</f>
        <v>-53868.7370602741</v>
      </c>
      <c r="AN111" s="69" t="n">
        <f aca="false">AN96-AN61*(1-Inputs!$B$81)+AN97</f>
        <v>-13899.0108540332</v>
      </c>
      <c r="AO111" s="69" t="n">
        <f aca="false">AO96-AO61*(1-Inputs!$B$81)+AO97</f>
        <v>2363.0938596245</v>
      </c>
      <c r="AP111" s="69" t="n">
        <f aca="false">AP96-AP61*(1-Inputs!$B$81)+AP97</f>
        <v>1350.17926328696</v>
      </c>
      <c r="AQ111" s="69" t="n">
        <f aca="false">AQ96-AQ61*(1-Inputs!$B$81)+AQ97</f>
        <v>1720.14815399424</v>
      </c>
      <c r="AR111" s="69" t="n">
        <f aca="false">AR96-AR61*(1-Inputs!$B$81)+AR97</f>
        <v>2073.47797516617</v>
      </c>
      <c r="AS111" s="69" t="n">
        <f aca="false">AS96-AS61*(1-Inputs!$B$81)+AS97</f>
        <v>2411.00068027949</v>
      </c>
      <c r="AT111" s="69" t="n">
        <f aca="false">AT96-AT61*(1-Inputs!$B$81)+AT97</f>
        <v>2733.50662513714</v>
      </c>
      <c r="AU111" s="69" t="n">
        <f aca="false">AU96-AU61*(1-Inputs!$B$81)+AU97</f>
        <v>3041.74664775192</v>
      </c>
      <c r="AV111" s="69" t="n">
        <f aca="false">AV96-AV61*(1-Inputs!$B$81)+AV97</f>
        <v>3336.43404423593</v>
      </c>
      <c r="AW111" s="69" t="n">
        <f aca="false">AW96-AW61*(1-Inputs!$B$81)+AW97</f>
        <v>3618.24644589576</v>
      </c>
      <c r="AX111" s="69" t="n">
        <f aca="false">AX96-AX61*(1-Inputs!$B$81)+AX97</f>
        <v>-12045.1419797446</v>
      </c>
      <c r="AY111" s="69" t="n">
        <f aca="false">AY96-AY61*(1-Inputs!$B$81)+AY97</f>
        <v>-51541.5198433248</v>
      </c>
      <c r="AZ111" s="69" t="n">
        <f aca="false">AZ96-AZ61*(1-Inputs!$B$81)+AZ97</f>
        <v>-11753.1994858241</v>
      </c>
      <c r="BA111" s="69" t="n">
        <f aca="false">BA96-BA61*(1-Inputs!$B$81)+BA97</f>
        <v>4280.28037871685</v>
      </c>
      <c r="BB111" s="69" t="n">
        <f aca="false">BB96-BB61*(1-Inputs!$B$81)+BB97</f>
        <v>2935.24009531171</v>
      </c>
      <c r="BC111" s="69" t="n">
        <f aca="false">BC96-BC61*(1-Inputs!$B$81)+BC97</f>
        <v>3180.68741477526</v>
      </c>
      <c r="BD111" s="69" t="n">
        <f aca="false">BD96-BD61*(1-Inputs!$B$81)+BD97</f>
        <v>3415.72174326564</v>
      </c>
      <c r="BE111" s="69" t="n">
        <f aca="false">BE96-BE61*(1-Inputs!$B$81)+BE97</f>
        <v>3640.86373033151</v>
      </c>
      <c r="BF111" s="69" t="n">
        <f aca="false">BF96-BF61*(1-Inputs!$B$81)+BF97</f>
        <v>3856.60799304405</v>
      </c>
      <c r="BG111" s="69" t="n">
        <f aca="false">BG96-BG61*(1-Inputs!$B$81)+BG97</f>
        <v>4063.424417621</v>
      </c>
      <c r="BH111" s="69" t="n">
        <f aca="false">BH96-BH61*(1-Inputs!$B$81)+BH97</f>
        <v>4261.75939596909</v>
      </c>
      <c r="BI111" s="69" t="n">
        <f aca="false">BI96-BI61*(1-Inputs!$B$81)+BI97</f>
        <v>4452.03700039978</v>
      </c>
      <c r="BJ111" s="69" t="n">
        <f aca="false">BJ96-BJ61*(1-Inputs!$B$81)+BJ97</f>
        <v>-11266.2324540581</v>
      </c>
    </row>
    <row r="113" customFormat="false" ht="15.75" hidden="false" customHeight="true" outlineLevel="0" collapsed="false">
      <c r="A113" s="7" t="s">
        <v>470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customFormat="false" ht="15" hidden="false" customHeight="false" outlineLevel="0" collapsed="false">
      <c r="A114" s="6" t="s">
        <v>97</v>
      </c>
      <c r="C114" s="69" t="n">
        <f aca="false">C98</f>
        <v>2100000</v>
      </c>
      <c r="D114" s="69" t="n">
        <f aca="false">C114+D98</f>
        <v>2100000</v>
      </c>
      <c r="E114" s="69" t="n">
        <f aca="false">D114+E98</f>
        <v>2100000</v>
      </c>
      <c r="F114" s="69" t="n">
        <f aca="false">E114+F98</f>
        <v>2100000</v>
      </c>
      <c r="G114" s="69" t="n">
        <f aca="false">F114+G98</f>
        <v>2100000</v>
      </c>
      <c r="H114" s="69" t="n">
        <f aca="false">G114+H98</f>
        <v>2100000</v>
      </c>
      <c r="I114" s="69" t="n">
        <f aca="false">H114+I98</f>
        <v>2100000</v>
      </c>
      <c r="J114" s="69" t="n">
        <f aca="false">I114+J98</f>
        <v>2100000</v>
      </c>
      <c r="K114" s="69" t="n">
        <f aca="false">J114+K98</f>
        <v>2100000</v>
      </c>
      <c r="L114" s="69" t="n">
        <f aca="false">K114+L98</f>
        <v>2100000</v>
      </c>
      <c r="M114" s="69" t="n">
        <f aca="false">L114+M98</f>
        <v>2100000</v>
      </c>
      <c r="N114" s="69" t="n">
        <f aca="false">M114+N98</f>
        <v>2100000</v>
      </c>
      <c r="O114" s="69" t="n">
        <f aca="false">N114+O98</f>
        <v>2100000</v>
      </c>
      <c r="P114" s="69" t="n">
        <f aca="false">O114+P98</f>
        <v>2100000</v>
      </c>
      <c r="Q114" s="69" t="n">
        <f aca="false">P114+Q98</f>
        <v>2100000</v>
      </c>
      <c r="R114" s="69" t="n">
        <f aca="false">Q114+R98</f>
        <v>2100000</v>
      </c>
      <c r="S114" s="69" t="n">
        <f aca="false">R114+S98</f>
        <v>2100000</v>
      </c>
      <c r="T114" s="69" t="n">
        <f aca="false">S114+T98</f>
        <v>2100000</v>
      </c>
      <c r="U114" s="69" t="n">
        <f aca="false">T114+U98</f>
        <v>2100000</v>
      </c>
      <c r="V114" s="69" t="n">
        <f aca="false">U114+V98</f>
        <v>2100000</v>
      </c>
      <c r="W114" s="69" t="n">
        <f aca="false">V114+W98</f>
        <v>2100000</v>
      </c>
      <c r="X114" s="69" t="n">
        <f aca="false">W114+X98</f>
        <v>2100000</v>
      </c>
      <c r="Y114" s="69" t="n">
        <f aca="false">X114+Y98</f>
        <v>2100000</v>
      </c>
      <c r="Z114" s="69" t="n">
        <f aca="false">Y114+Z98</f>
        <v>2100000</v>
      </c>
      <c r="AA114" s="69" t="n">
        <f aca="false">Z114+AA98</f>
        <v>2100000</v>
      </c>
      <c r="AB114" s="69" t="n">
        <f aca="false">AA114+AB98</f>
        <v>2100000</v>
      </c>
      <c r="AC114" s="69" t="n">
        <f aca="false">AB114+AC98</f>
        <v>2100000</v>
      </c>
      <c r="AD114" s="69" t="n">
        <f aca="false">AC114+AD98</f>
        <v>2100000</v>
      </c>
      <c r="AE114" s="69" t="n">
        <f aca="false">AD114+AE98</f>
        <v>2100000</v>
      </c>
      <c r="AF114" s="69" t="n">
        <f aca="false">AE114+AF98</f>
        <v>2100000</v>
      </c>
      <c r="AG114" s="69" t="n">
        <f aca="false">AF114+AG98</f>
        <v>2100000</v>
      </c>
      <c r="AH114" s="69" t="n">
        <f aca="false">AG114+AH98</f>
        <v>2100000</v>
      </c>
      <c r="AI114" s="69" t="n">
        <f aca="false">AH114+AI98</f>
        <v>2100000</v>
      </c>
      <c r="AJ114" s="69" t="n">
        <f aca="false">AI114+AJ98</f>
        <v>2100000</v>
      </c>
      <c r="AK114" s="69" t="n">
        <f aca="false">AJ114+AK98</f>
        <v>2100000</v>
      </c>
      <c r="AL114" s="69" t="n">
        <f aca="false">AK114+AL98</f>
        <v>2100000</v>
      </c>
      <c r="AM114" s="69" t="n">
        <f aca="false">AL114+AM98</f>
        <v>2100000</v>
      </c>
      <c r="AN114" s="69" t="n">
        <f aca="false">AM114+AN98</f>
        <v>2100000</v>
      </c>
      <c r="AO114" s="69" t="n">
        <f aca="false">AN114+AO98</f>
        <v>2100000</v>
      </c>
      <c r="AP114" s="69" t="n">
        <f aca="false">AO114+AP98</f>
        <v>2100000</v>
      </c>
      <c r="AQ114" s="69" t="n">
        <f aca="false">AP114+AQ98</f>
        <v>2100000</v>
      </c>
      <c r="AR114" s="69" t="n">
        <f aca="false">AQ114+AR98</f>
        <v>2100000</v>
      </c>
      <c r="AS114" s="69" t="n">
        <f aca="false">AR114+AS98</f>
        <v>2100000</v>
      </c>
      <c r="AT114" s="69" t="n">
        <f aca="false">AS114+AT98</f>
        <v>2100000</v>
      </c>
      <c r="AU114" s="69" t="n">
        <f aca="false">AT114+AU98</f>
        <v>2100000</v>
      </c>
      <c r="AV114" s="69" t="n">
        <f aca="false">AU114+AV98</f>
        <v>2100000</v>
      </c>
      <c r="AW114" s="69" t="n">
        <f aca="false">AV114+AW98</f>
        <v>2100000</v>
      </c>
      <c r="AX114" s="69" t="n">
        <f aca="false">AW114+AX98</f>
        <v>2100000</v>
      </c>
      <c r="AY114" s="69" t="n">
        <f aca="false">AX114+AY98</f>
        <v>2100000</v>
      </c>
      <c r="AZ114" s="69" t="n">
        <f aca="false">AY114+AZ98</f>
        <v>2100000</v>
      </c>
      <c r="BA114" s="69" t="n">
        <f aca="false">AZ114+BA98</f>
        <v>2100000</v>
      </c>
      <c r="BB114" s="69" t="n">
        <f aca="false">BA114+BB98</f>
        <v>2100000</v>
      </c>
      <c r="BC114" s="69" t="n">
        <f aca="false">BB114+BC98</f>
        <v>2100000</v>
      </c>
      <c r="BD114" s="69" t="n">
        <f aca="false">BC114+BD98</f>
        <v>2100000</v>
      </c>
      <c r="BE114" s="69" t="n">
        <f aca="false">BD114+BE98</f>
        <v>2100000</v>
      </c>
      <c r="BF114" s="69" t="n">
        <f aca="false">BE114+BF98</f>
        <v>2100000</v>
      </c>
      <c r="BG114" s="69" t="n">
        <f aca="false">BF114+BG98</f>
        <v>2100000</v>
      </c>
      <c r="BH114" s="69" t="n">
        <f aca="false">BG114+BH98</f>
        <v>2100000</v>
      </c>
      <c r="BI114" s="69" t="n">
        <f aca="false">BH114+BI98</f>
        <v>2100000</v>
      </c>
      <c r="BJ114" s="69" t="n">
        <f aca="false">BI114+BJ98</f>
        <v>2100000</v>
      </c>
    </row>
    <row r="115" customFormat="false" ht="15" hidden="false" customHeight="false" outlineLevel="0" collapsed="false">
      <c r="A115" s="6" t="s">
        <v>98</v>
      </c>
      <c r="C115" s="69" t="n">
        <f aca="false">C66</f>
        <v>-121553.757544889</v>
      </c>
      <c r="D115" s="69" t="n">
        <f aca="false">C115+D66</f>
        <v>-239824.400774311</v>
      </c>
      <c r="E115" s="69" t="n">
        <f aca="false">D115+E66</f>
        <v>-347224.178714347</v>
      </c>
      <c r="F115" s="69" t="n">
        <f aca="false">E115+F66</f>
        <v>-450138.914797158</v>
      </c>
      <c r="G115" s="69" t="n">
        <f aca="false">F115+G66</f>
        <v>-548502.83629294</v>
      </c>
      <c r="H115" s="69" t="n">
        <f aca="false">G115+H66</f>
        <v>-642253.459108378</v>
      </c>
      <c r="I115" s="69" t="n">
        <f aca="false">H115+I66</f>
        <v>-731331.423354821</v>
      </c>
      <c r="J115" s="69" t="n">
        <f aca="false">I115+J66</f>
        <v>-815680.337138053</v>
      </c>
      <c r="K115" s="69" t="n">
        <f aca="false">J115+K66</f>
        <v>-895246.628158569</v>
      </c>
      <c r="L115" s="69" t="n">
        <f aca="false">K115+L66</f>
        <v>-969979.402731836</v>
      </c>
      <c r="M115" s="69" t="n">
        <f aca="false">L115+M66</f>
        <v>-1039830.31185755</v>
      </c>
      <c r="N115" s="69" t="n">
        <f aca="false">M115+N66</f>
        <v>-1119845.80120716</v>
      </c>
      <c r="O115" s="69" t="n">
        <f aca="false">N115+O66</f>
        <v>-1194915.69563466</v>
      </c>
      <c r="P115" s="69" t="n">
        <f aca="false">O115+P66</f>
        <v>-1268809.09068013</v>
      </c>
      <c r="Q115" s="69" t="n">
        <f aca="false">P115+Q66</f>
        <v>-1325745.06851202</v>
      </c>
      <c r="R115" s="69" t="n">
        <f aca="false">Q115+R66</f>
        <v>-1381458.61180873</v>
      </c>
      <c r="S115" s="69" t="n">
        <f aca="false">R115+S66</f>
        <v>-1436001.98813033</v>
      </c>
      <c r="T115" s="69" t="n">
        <f aca="false">S115+T66</f>
        <v>-1489424.85165892</v>
      </c>
      <c r="U115" s="69" t="n">
        <f aca="false">T115+U66</f>
        <v>-1541774.37386748</v>
      </c>
      <c r="V115" s="69" t="n">
        <f aca="false">U115+V66</f>
        <v>-1593095.36765534</v>
      </c>
      <c r="W115" s="69" t="n">
        <f aca="false">V115+W66</f>
        <v>-1643430.40527688</v>
      </c>
      <c r="X115" s="69" t="n">
        <f aca="false">W115+X66</f>
        <v>-1692819.93037374</v>
      </c>
      <c r="Y115" s="69" t="n">
        <f aca="false">X115+Y66</f>
        <v>-1741302.36440549</v>
      </c>
      <c r="Z115" s="69" t="n">
        <f aca="false">Y115+Z66</f>
        <v>-1804103.40201912</v>
      </c>
      <c r="AA115" s="69" t="n">
        <f aca="false">Z115+AA66</f>
        <v>-1866363.0142821</v>
      </c>
      <c r="AB115" s="69" t="n">
        <f aca="false">AA115+AB66</f>
        <v>-1927984.91828611</v>
      </c>
      <c r="AC115" s="69" t="n">
        <f aca="false">AB115+AC66</f>
        <v>-1973908.45654137</v>
      </c>
      <c r="AD115" s="69" t="n">
        <f aca="false">AC115+AD66</f>
        <v>-2019059.71277703</v>
      </c>
      <c r="AE115" s="69" t="n">
        <f aca="false">AD115+AE66</f>
        <v>-2063468.44692741</v>
      </c>
      <c r="AF115" s="69" t="n">
        <f aca="false">AE115+AF66</f>
        <v>-2107162.93093009</v>
      </c>
      <c r="AG115" s="69" t="n">
        <f aca="false">AF115+AG66</f>
        <v>-2150170.0231258</v>
      </c>
      <c r="AH115" s="69" t="n">
        <f aca="false">AG115+AH66</f>
        <v>-2192515.23893822</v>
      </c>
      <c r="AI115" s="69" t="n">
        <f aca="false">AH115+AI66</f>
        <v>-2234222.81801984</v>
      </c>
      <c r="AJ115" s="69" t="n">
        <f aca="false">AI115+AJ66</f>
        <v>-2275315.78804055</v>
      </c>
      <c r="AK115" s="69" t="n">
        <f aca="false">AJ115+AK66</f>
        <v>-2315816.02528671</v>
      </c>
      <c r="AL115" s="69" t="n">
        <f aca="false">AK115+AL66</f>
        <v>-2370448.03523605</v>
      </c>
      <c r="AM115" s="69" t="n">
        <f aca="false">AL115+AM66</f>
        <v>-2425685.85403983</v>
      </c>
      <c r="AN115" s="69" t="n">
        <f aca="false">AM115+AN66</f>
        <v>-2480578.30297542</v>
      </c>
      <c r="AO115" s="69" t="n">
        <f aca="false">AN115+AO66</f>
        <v>-2520492.76263797</v>
      </c>
      <c r="AP115" s="69" t="n">
        <f aca="false">AO115+AP66</f>
        <v>-2559878.33309547</v>
      </c>
      <c r="AQ115" s="69" t="n">
        <f aca="false">AP115+AQ66</f>
        <v>-2598752.60464149</v>
      </c>
      <c r="AR115" s="69" t="n">
        <f aca="false">AQ115+AR66</f>
        <v>-2637132.28805496</v>
      </c>
      <c r="AS115" s="69" t="n">
        <f aca="false">AR115+AS66</f>
        <v>-2675033.25857582</v>
      </c>
      <c r="AT115" s="69" t="n">
        <f aca="false">AS115+AT66</f>
        <v>-2712470.59768205</v>
      </c>
      <c r="AU115" s="69" t="n">
        <f aca="false">AT115+AU66</f>
        <v>-2749458.6327777</v>
      </c>
      <c r="AV115" s="69" t="n">
        <f aca="false">AU115+AV66</f>
        <v>-2786010.97489665</v>
      </c>
      <c r="AW115" s="69" t="n">
        <f aca="false">AV115+AW66</f>
        <v>-2822140.55452105</v>
      </c>
      <c r="AX115" s="69" t="n">
        <f aca="false">AW115+AX66</f>
        <v>-2872267.03443681</v>
      </c>
      <c r="AY115" s="69" t="n">
        <f aca="false">AX115+AY66</f>
        <v>-2923793.24755322</v>
      </c>
      <c r="AZ115" s="69" t="n">
        <f aca="false">AY115+AZ66</f>
        <v>-2975132.74286126</v>
      </c>
      <c r="BA115" s="69" t="n">
        <f aca="false">AZ115+BA66</f>
        <v>-3011920.08913534</v>
      </c>
      <c r="BB115" s="69" t="n">
        <f aca="false">BA115+BB66</f>
        <v>-3048310.12179233</v>
      </c>
      <c r="BC115" s="69" t="n">
        <f aca="false">BB115+BC66</f>
        <v>-3084313.85234639</v>
      </c>
      <c r="BD115" s="69" t="n">
        <f aca="false">BC115+BD66</f>
        <v>-3119941.74173603</v>
      </c>
      <c r="BE115" s="69" t="n">
        <f aca="false">BD115+BE66</f>
        <v>-3155203.72785279</v>
      </c>
      <c r="BF115" s="69" t="n">
        <f aca="false">BE115+BF66</f>
        <v>-3190109.25169365</v>
      </c>
      <c r="BG115" s="69" t="n">
        <f aca="false">BF115+BG66</f>
        <v>-3224667.28220573</v>
      </c>
      <c r="BH115" s="69" t="n">
        <f aca="false">BG115+BH66</f>
        <v>-3258886.33988882</v>
      </c>
      <c r="BI115" s="69" t="n">
        <f aca="false">BH115+BI66</f>
        <v>-3292774.51921769</v>
      </c>
      <c r="BJ115" s="69" t="n">
        <f aca="false">BI115+BJ66</f>
        <v>-3340553.18598708</v>
      </c>
    </row>
    <row r="116" customFormat="false" ht="15" hidden="false" customHeight="false" outlineLevel="0" collapsed="false">
      <c r="A116" s="4" t="s">
        <v>93</v>
      </c>
      <c r="C116" s="75" t="n">
        <f aca="false">C102+C88+C89+C79</f>
        <v>4981607.29089245</v>
      </c>
      <c r="D116" s="75" t="n">
        <f aca="false">D102+D88+D89+D79</f>
        <v>4838795.7375416</v>
      </c>
      <c r="E116" s="75" t="n">
        <f aca="false">E102+E88+E89+E79</f>
        <v>4708198.70702642</v>
      </c>
      <c r="F116" s="75" t="n">
        <f aca="false">F102+F88+F89+F79</f>
        <v>4580947.98077568</v>
      </c>
      <c r="G116" s="75" t="n">
        <f aca="false">G102+G88+G89+G79</f>
        <v>4458263.9868497</v>
      </c>
      <c r="H116" s="75" t="n">
        <f aca="false">H102+H88+H89+H79</f>
        <v>4340208.41345491</v>
      </c>
      <c r="I116" s="75" t="n">
        <f aca="false">I102+I88+I89+I79</f>
        <v>4226839.86438741</v>
      </c>
      <c r="J116" s="75" t="n">
        <f aca="false">J102+J88+J89+J79</f>
        <v>4118214.01325351</v>
      </c>
      <c r="K116" s="75" t="n">
        <f aca="false">K102+K88+K89+K79</f>
        <v>4014383.7499792</v>
      </c>
      <c r="L116" s="75" t="n">
        <f aca="false">L102+L88+L89+L79</f>
        <v>3915399.31999415</v>
      </c>
      <c r="M116" s="75" t="n">
        <f aca="false">M102+M88+M89+M79</f>
        <v>3821308.45645658</v>
      </c>
      <c r="N116" s="75" t="n">
        <f aca="false">N102+N88+N89+N79</f>
        <v>3714158.66634842</v>
      </c>
      <c r="O116" s="75" t="n">
        <f aca="false">O102+O88+O89+O79</f>
        <v>3614975.7576691</v>
      </c>
      <c r="P116" s="75" t="n">
        <f aca="false">P102+P88+P89+P79</f>
        <v>3516262.65732912</v>
      </c>
      <c r="Q116" s="75" t="n">
        <f aca="false">Q102+Q88+Q89+Q79</f>
        <v>3437790.78357812</v>
      </c>
      <c r="R116" s="75" t="n">
        <f aca="false">R102+R88+R89+R79</f>
        <v>3357339.32501451</v>
      </c>
      <c r="S116" s="75" t="n">
        <f aca="false">S102+S88+S89+S79</f>
        <v>3278044.92918935</v>
      </c>
      <c r="T116" s="75" t="n">
        <f aca="false">T102+T88+T89+T79</f>
        <v>3199858.59713237</v>
      </c>
      <c r="U116" s="75" t="n">
        <f aca="false">U102+U88+U89+U79</f>
        <v>3122733.77982185</v>
      </c>
      <c r="V116" s="75" t="n">
        <f aca="false">V102+V88+V89+V79</f>
        <v>3046626.25568712</v>
      </c>
      <c r="W116" s="75" t="n">
        <f aca="false">W102+W88+W89+W79</f>
        <v>2971494.01423606</v>
      </c>
      <c r="X116" s="75" t="n">
        <f aca="false">X102+X88+X89+X79</f>
        <v>2897297.14550115</v>
      </c>
      <c r="Y116" s="75" t="n">
        <f aca="false">Y102+Y88+Y89+Y79</f>
        <v>2823997.73501326</v>
      </c>
      <c r="Z116" s="75" t="n">
        <f aca="false">Z102+Z88+Z89+Z79</f>
        <v>2732649.94940656</v>
      </c>
      <c r="AA116" s="75" t="n">
        <f aca="false">AA102+AA88+AA89+AA79</f>
        <v>2645890.97144001</v>
      </c>
      <c r="AB116" s="75" t="n">
        <f aca="false">AB102+AB88+AB89+AB79</f>
        <v>2559354.8474232</v>
      </c>
      <c r="AC116" s="75" t="n">
        <f aca="false">AC102+AC88+AC89+AC79</f>
        <v>2492442.2250304</v>
      </c>
      <c r="AD116" s="75" t="n">
        <f aca="false">AD102+AD88+AD89+AD79</f>
        <v>2422445.632555</v>
      </c>
      <c r="AE116" s="75" t="n">
        <f aca="false">AE102+AE88+AE89+AE79</f>
        <v>2353183.82897687</v>
      </c>
      <c r="AF116" s="75" t="n">
        <f aca="false">AF102+AF88+AF89+AF79</f>
        <v>2284628.92901782</v>
      </c>
      <c r="AG116" s="75" t="n">
        <f aca="false">AG102+AG88+AG89+AG79</f>
        <v>2216754.44166357</v>
      </c>
      <c r="AH116" s="75" t="n">
        <f aca="false">AH102+AH88+AH89+AH79</f>
        <v>2149535.20045053</v>
      </c>
      <c r="AI116" s="75" t="n">
        <f aca="false">AI102+AI88+AI89+AI79</f>
        <v>2082947.29723832</v>
      </c>
      <c r="AJ116" s="75" t="n">
        <f aca="false">AJ102+AJ88+AJ89+AJ79</f>
        <v>2016968.01929355</v>
      </c>
      <c r="AK116" s="75" t="n">
        <f aca="false">AK102+AK88+AK89+AK79</f>
        <v>1951575.78951953</v>
      </c>
      <c r="AL116" s="75" t="n">
        <f aca="false">AL102+AL88+AL89+AL79</f>
        <v>1867863.65130717</v>
      </c>
      <c r="AM116" s="75" t="n">
        <f aca="false">AM102+AM88+AM89+AM79</f>
        <v>1788126.92626087</v>
      </c>
      <c r="AN116" s="75" t="n">
        <f aca="false">AN102+AN88+AN89+AN79</f>
        <v>1708266.84013436</v>
      </c>
      <c r="AO116" s="75" t="n">
        <f aca="false">AO102+AO88+AO89+AO79</f>
        <v>1647747.50552502</v>
      </c>
      <c r="AP116" s="75" t="n">
        <f aca="false">AP102+AP88+AP89+AP79</f>
        <v>1583456.7304736</v>
      </c>
      <c r="AQ116" s="75" t="n">
        <f aca="false">AQ102+AQ88+AQ89+AQ79</f>
        <v>1519672.51456334</v>
      </c>
      <c r="AR116" s="75" t="n">
        <f aca="false">AR102+AR88+AR89+AR79</f>
        <v>1456378.38400386</v>
      </c>
      <c r="AS116" s="75" t="n">
        <f aca="false">AS102+AS88+AS89+AS79</f>
        <v>1393558.68869428</v>
      </c>
      <c r="AT116" s="75" t="n">
        <f aca="false">AT102+AT88+AT89+AT79</f>
        <v>1331198.56103877</v>
      </c>
      <c r="AU116" s="75" t="n">
        <f aca="false">AU102+AU88+AU89+AU79</f>
        <v>1269283.8768213</v>
      </c>
      <c r="AV116" s="75" t="n">
        <f aca="false">AV102+AV88+AV89+AV79</f>
        <v>1207801.21803663</v>
      </c>
      <c r="AW116" s="75" t="n">
        <f aca="false">AW102+AW88+AW89+AW79</f>
        <v>1146737.83757978</v>
      </c>
      <c r="AX116" s="75" t="n">
        <f aca="false">AX102+AX88+AX89+AX79</f>
        <v>1067154.09655278</v>
      </c>
      <c r="AY116" s="75" t="n">
        <f aca="false">AY102+AY88+AY89+AY79</f>
        <v>991137.894520639</v>
      </c>
      <c r="AZ116" s="75" t="n">
        <f aca="false">AZ102+AZ88+AZ89+AZ79</f>
        <v>914800.313219668</v>
      </c>
      <c r="BA116" s="75" t="n">
        <f aca="false">BA102+BA88+BA89+BA79</f>
        <v>857703.830187114</v>
      </c>
      <c r="BB116" s="75" t="n">
        <f aca="false">BB102+BB88+BB89+BB79</f>
        <v>796375.363023242</v>
      </c>
      <c r="BC116" s="75" t="n">
        <f aca="false">BC102+BC88+BC89+BC79</f>
        <v>735430.119687627</v>
      </c>
      <c r="BD116" s="75" t="n">
        <f aca="false">BD102+BD88+BD89+BD79</f>
        <v>674857.793155522</v>
      </c>
      <c r="BE116" s="75" t="n">
        <f aca="false">BE102+BE88+BE89+BE79</f>
        <v>614648.591753417</v>
      </c>
      <c r="BF116" s="75" t="n">
        <f aca="false">BF102+BF88+BF89+BF79</f>
        <v>554793.213391481</v>
      </c>
      <c r="BG116" s="75" t="n">
        <f aca="false">BG102+BG88+BG89+BG79</f>
        <v>495282.82108437</v>
      </c>
      <c r="BH116" s="75" t="n">
        <f aca="false">BH102+BH88+BH89+BH79</f>
        <v>436109.019696012</v>
      </c>
      <c r="BI116" s="75" t="n">
        <f aca="false">BI102+BI88+BI89+BI79</f>
        <v>377263.833847133</v>
      </c>
      <c r="BJ116" s="75" t="n">
        <f aca="false">BJ102+BJ88+BJ89+BJ79</f>
        <v>299735.474678485</v>
      </c>
    </row>
    <row r="117" customFormat="false" ht="15" hidden="false" customHeight="false" outlineLevel="0" collapsed="false">
      <c r="A117" s="6" t="s">
        <v>96</v>
      </c>
      <c r="C117" s="69" t="n">
        <f aca="false">C90+C85</f>
        <v>3003161.04843733</v>
      </c>
      <c r="D117" s="69" t="n">
        <f aca="false">D90+D85</f>
        <v>2978620.13831591</v>
      </c>
      <c r="E117" s="69" t="n">
        <f aca="false">E90+E85</f>
        <v>2955422.88574076</v>
      </c>
      <c r="F117" s="69" t="n">
        <f aca="false">F90+F85</f>
        <v>2931086.89557284</v>
      </c>
      <c r="G117" s="69" t="n">
        <f aca="false">G90+G85</f>
        <v>2906766.82314264</v>
      </c>
      <c r="H117" s="69" t="n">
        <f aca="false">H90+H85</f>
        <v>2882461.87256329</v>
      </c>
      <c r="I117" s="69" t="n">
        <f aca="false">I90+I85</f>
        <v>2858171.28774223</v>
      </c>
      <c r="J117" s="69" t="n">
        <f aca="false">J90+J85</f>
        <v>2833894.35039157</v>
      </c>
      <c r="K117" s="69" t="n">
        <f aca="false">K90+K85</f>
        <v>2809630.37813777</v>
      </c>
      <c r="L117" s="69" t="n">
        <f aca="false">L90+L85</f>
        <v>2785378.72272599</v>
      </c>
      <c r="M117" s="69" t="n">
        <f aca="false">M90+M85</f>
        <v>2761138.76831413</v>
      </c>
      <c r="N117" s="69" t="n">
        <f aca="false">N90+N85</f>
        <v>2734004.46755559</v>
      </c>
      <c r="O117" s="69" t="n">
        <f aca="false">O90+O85</f>
        <v>2709891.45330377</v>
      </c>
      <c r="P117" s="69" t="n">
        <f aca="false">P90+P85</f>
        <v>2685071.74800924</v>
      </c>
      <c r="Q117" s="69" t="n">
        <f aca="false">Q90+Q85</f>
        <v>2663535.85209014</v>
      </c>
      <c r="R117" s="69" t="n">
        <f aca="false">R90+R85</f>
        <v>2638797.93682324</v>
      </c>
      <c r="S117" s="69" t="n">
        <f aca="false">S90+S85</f>
        <v>2614046.91731968</v>
      </c>
      <c r="T117" s="69" t="n">
        <f aca="false">T90+T85</f>
        <v>2589283.44879129</v>
      </c>
      <c r="U117" s="69" t="n">
        <f aca="false">U90+U85</f>
        <v>2564508.15368933</v>
      </c>
      <c r="V117" s="69" t="n">
        <f aca="false">V90+V85</f>
        <v>2539721.62334246</v>
      </c>
      <c r="W117" s="69" t="n">
        <f aca="false">W90+W85</f>
        <v>2514924.41951294</v>
      </c>
      <c r="X117" s="69" t="n">
        <f aca="false">X90+X85</f>
        <v>2490117.07587489</v>
      </c>
      <c r="Y117" s="69" t="n">
        <f aca="false">Y90+Y85</f>
        <v>2465300.09941875</v>
      </c>
      <c r="Z117" s="69" t="n">
        <f aca="false">Z90+Z85</f>
        <v>2436753.35142568</v>
      </c>
      <c r="AA117" s="69" t="n">
        <f aca="false">AA90+AA85</f>
        <v>2412253.98572211</v>
      </c>
      <c r="AB117" s="69" t="n">
        <f aca="false">AB90+AB85</f>
        <v>2387339.7657093</v>
      </c>
      <c r="AC117" s="69" t="n">
        <f aca="false">AC90+AC85</f>
        <v>2366350.68157177</v>
      </c>
      <c r="AD117" s="69" t="n">
        <f aca="false">AD90+AD85</f>
        <v>2341505.34533203</v>
      </c>
      <c r="AE117" s="69" t="n">
        <f aca="false">AE90+AE85</f>
        <v>2316652.27590428</v>
      </c>
      <c r="AF117" s="69" t="n">
        <f aca="false">AF90+AF85</f>
        <v>2291791.85994791</v>
      </c>
      <c r="AG117" s="69" t="n">
        <f aca="false">AG90+AG85</f>
        <v>2266924.46478937</v>
      </c>
      <c r="AH117" s="69" t="n">
        <f aca="false">AH90+AH85</f>
        <v>2242050.43938875</v>
      </c>
      <c r="AI117" s="69" t="n">
        <f aca="false">AI90+AI85</f>
        <v>2217170.11525816</v>
      </c>
      <c r="AJ117" s="69" t="n">
        <f aca="false">AJ90+AJ85</f>
        <v>2192283.8073341</v>
      </c>
      <c r="AK117" s="69" t="n">
        <f aca="false">AK90+AK85</f>
        <v>2167391.81480624</v>
      </c>
      <c r="AL117" s="69" t="n">
        <f aca="false">AL90+AL85</f>
        <v>2138311.68654322</v>
      </c>
      <c r="AM117" s="69" t="n">
        <f aca="false">AM90+AM85</f>
        <v>2113812.78030069</v>
      </c>
      <c r="AN117" s="69" t="n">
        <f aca="false">AN90+AN85</f>
        <v>2088845.14310978</v>
      </c>
      <c r="AO117" s="69" t="n">
        <f aca="false">AO90+AO85</f>
        <v>2068240.26816299</v>
      </c>
      <c r="AP117" s="69" t="n">
        <f aca="false">AP90+AP85</f>
        <v>2043335.06356906</v>
      </c>
      <c r="AQ117" s="69" t="n">
        <f aca="false">AQ90+AQ85</f>
        <v>2018425.11920483</v>
      </c>
      <c r="AR117" s="69" t="n">
        <f aca="false">AR90+AR85</f>
        <v>1993510.67205881</v>
      </c>
      <c r="AS117" s="69" t="n">
        <f aca="false">AS90+AS85</f>
        <v>1968591.9472701</v>
      </c>
      <c r="AT117" s="69" t="n">
        <f aca="false">AT90+AT85</f>
        <v>1943669.15872081</v>
      </c>
      <c r="AU117" s="69" t="n">
        <f aca="false">AU90+AU85</f>
        <v>1918742.509599</v>
      </c>
      <c r="AV117" s="69" t="n">
        <f aca="false">AV90+AV85</f>
        <v>1893812.19293327</v>
      </c>
      <c r="AW117" s="69" t="n">
        <f aca="false">AW90+AW85</f>
        <v>1868878.39210083</v>
      </c>
      <c r="AX117" s="69" t="n">
        <f aca="false">AX90+AX85</f>
        <v>1839421.13098958</v>
      </c>
      <c r="AY117" s="69" t="n">
        <f aca="false">AY90+AY85</f>
        <v>1814931.14207385</v>
      </c>
      <c r="AZ117" s="69" t="n">
        <f aca="false">AZ90+AZ85</f>
        <v>1789933.05608093</v>
      </c>
      <c r="BA117" s="69" t="n">
        <f aca="false">BA90+BA85</f>
        <v>1769623.91932246</v>
      </c>
      <c r="BB117" s="69" t="n">
        <f aca="false">BB90+BB85</f>
        <v>1744685.48481557</v>
      </c>
      <c r="BC117" s="69" t="n">
        <f aca="false">BC90+BC85</f>
        <v>1719743.97203402</v>
      </c>
      <c r="BD117" s="69" t="n">
        <f aca="false">BD90+BD85</f>
        <v>1694799.53489155</v>
      </c>
      <c r="BE117" s="69" t="n">
        <f aca="false">BE90+BE85</f>
        <v>1669852.31960621</v>
      </c>
      <c r="BF117" s="69" t="n">
        <f aca="false">BF90+BF85</f>
        <v>1644902.46508513</v>
      </c>
      <c r="BG117" s="69" t="n">
        <f aca="false">BG90+BG85</f>
        <v>1619950.1032901</v>
      </c>
      <c r="BH117" s="69" t="n">
        <f aca="false">BH90+BH85</f>
        <v>1594995.35958483</v>
      </c>
      <c r="BI117" s="69" t="n">
        <f aca="false">BI90+BI85</f>
        <v>1570038.35306482</v>
      </c>
      <c r="BJ117" s="69" t="n">
        <f aca="false">BJ90+BJ85</f>
        <v>1540288.66066556</v>
      </c>
    </row>
    <row r="118" customFormat="false" ht="15" hidden="false" customHeight="false" outlineLevel="0" collapsed="false">
      <c r="A118" s="6" t="s">
        <v>99</v>
      </c>
      <c r="C118" s="69" t="n">
        <f aca="false">C114+C115</f>
        <v>1978446.24245511</v>
      </c>
      <c r="D118" s="69" t="n">
        <f aca="false">D114+D115</f>
        <v>1860175.59922569</v>
      </c>
      <c r="E118" s="69" t="n">
        <f aca="false">E114+E115</f>
        <v>1752775.82128565</v>
      </c>
      <c r="F118" s="69" t="n">
        <f aca="false">F114+F115</f>
        <v>1649861.08520284</v>
      </c>
      <c r="G118" s="69" t="n">
        <f aca="false">G114+G115</f>
        <v>1551497.16370706</v>
      </c>
      <c r="H118" s="69" t="n">
        <f aca="false">H114+H115</f>
        <v>1457746.54089162</v>
      </c>
      <c r="I118" s="69" t="n">
        <f aca="false">I114+I115</f>
        <v>1368668.57664518</v>
      </c>
      <c r="J118" s="69" t="n">
        <f aca="false">J114+J115</f>
        <v>1284319.66286195</v>
      </c>
      <c r="K118" s="69" t="n">
        <f aca="false">K114+K115</f>
        <v>1204753.37184143</v>
      </c>
      <c r="L118" s="69" t="n">
        <f aca="false">L114+L115</f>
        <v>1130020.59726816</v>
      </c>
      <c r="M118" s="69" t="n">
        <f aca="false">M114+M115</f>
        <v>1060169.68814245</v>
      </c>
      <c r="N118" s="69" t="n">
        <f aca="false">N114+N115</f>
        <v>980154.198792838</v>
      </c>
      <c r="O118" s="69" t="n">
        <f aca="false">O114+O115</f>
        <v>905084.304365335</v>
      </c>
      <c r="P118" s="69" t="n">
        <f aca="false">P114+P115</f>
        <v>831190.909319875</v>
      </c>
      <c r="Q118" s="69" t="n">
        <f aca="false">Q114+Q115</f>
        <v>774254.931487977</v>
      </c>
      <c r="R118" s="69" t="n">
        <f aca="false">R114+R115</f>
        <v>718541.388191273</v>
      </c>
      <c r="S118" s="69" t="n">
        <f aca="false">S114+S115</f>
        <v>663998.011869672</v>
      </c>
      <c r="T118" s="69" t="n">
        <f aca="false">T114+T115</f>
        <v>610575.148341084</v>
      </c>
      <c r="U118" s="69" t="n">
        <f aca="false">U114+U115</f>
        <v>558225.626132525</v>
      </c>
      <c r="V118" s="69" t="n">
        <f aca="false">V114+V115</f>
        <v>506904.632344661</v>
      </c>
      <c r="W118" s="69" t="n">
        <f aca="false">W114+W115</f>
        <v>456569.594723124</v>
      </c>
      <c r="X118" s="69" t="n">
        <f aca="false">X114+X115</f>
        <v>407180.069626263</v>
      </c>
      <c r="Y118" s="69" t="n">
        <f aca="false">Y114+Y115</f>
        <v>358697.635594512</v>
      </c>
      <c r="Z118" s="69" t="n">
        <f aca="false">Z114+Z115</f>
        <v>295896.597980878</v>
      </c>
      <c r="AA118" s="69" t="n">
        <f aca="false">AA114+AA115</f>
        <v>233636.985717898</v>
      </c>
      <c r="AB118" s="69" t="n">
        <f aca="false">AB114+AB115</f>
        <v>172015.081713893</v>
      </c>
      <c r="AC118" s="69" t="n">
        <f aca="false">AC114+AC115</f>
        <v>126091.543458628</v>
      </c>
      <c r="AD118" s="69" t="n">
        <f aca="false">AD114+AD115</f>
        <v>80940.2872229661</v>
      </c>
      <c r="AE118" s="69" t="n">
        <f aca="false">AE114+AE115</f>
        <v>36531.5530725927</v>
      </c>
      <c r="AF118" s="69" t="n">
        <f aca="false">AF114+AF115</f>
        <v>-7162.93093008967</v>
      </c>
      <c r="AG118" s="69" t="n">
        <f aca="false">AG114+AG115</f>
        <v>-50170.0231257989</v>
      </c>
      <c r="AH118" s="69" t="n">
        <f aca="false">AH114+AH115</f>
        <v>-92515.2389382166</v>
      </c>
      <c r="AI118" s="69" t="n">
        <f aca="false">AI114+AI115</f>
        <v>-134222.818019841</v>
      </c>
      <c r="AJ118" s="69" t="n">
        <f aca="false">AJ114+AJ115</f>
        <v>-175315.788040545</v>
      </c>
      <c r="AK118" s="69" t="n">
        <f aca="false">AK114+AK115</f>
        <v>-215816.025286709</v>
      </c>
      <c r="AL118" s="69" t="n">
        <f aca="false">AL114+AL115</f>
        <v>-270448.035236052</v>
      </c>
      <c r="AM118" s="69" t="n">
        <f aca="false">AM114+AM115</f>
        <v>-325685.854039826</v>
      </c>
      <c r="AN118" s="69" t="n">
        <f aca="false">AN114+AN115</f>
        <v>-380578.302975422</v>
      </c>
      <c r="AO118" s="69" t="n">
        <f aca="false">AO114+AO115</f>
        <v>-420492.762637971</v>
      </c>
      <c r="AP118" s="69" t="n">
        <f aca="false">AP114+AP115</f>
        <v>-459878.333095465</v>
      </c>
      <c r="AQ118" s="69" t="n">
        <f aca="false">AQ114+AQ115</f>
        <v>-498752.604641491</v>
      </c>
      <c r="AR118" s="69" t="n">
        <f aca="false">AR114+AR115</f>
        <v>-537132.288054955</v>
      </c>
      <c r="AS118" s="69" t="n">
        <f aca="false">AS114+AS115</f>
        <v>-575033.258575819</v>
      </c>
      <c r="AT118" s="69" t="n">
        <f aca="false">AT114+AT115</f>
        <v>-612470.597682046</v>
      </c>
      <c r="AU118" s="69" t="n">
        <f aca="false">AU114+AU115</f>
        <v>-649458.632777701</v>
      </c>
      <c r="AV118" s="69" t="n">
        <f aca="false">AV114+AV115</f>
        <v>-686010.974896646</v>
      </c>
      <c r="AW118" s="69" t="n">
        <f aca="false">AW114+AW115</f>
        <v>-722140.554521049</v>
      </c>
      <c r="AX118" s="69" t="n">
        <f aca="false">AX114+AX115</f>
        <v>-772267.03443681</v>
      </c>
      <c r="AY118" s="69" t="n">
        <f aca="false">AY114+AY115</f>
        <v>-823793.247553217</v>
      </c>
      <c r="AZ118" s="69" t="n">
        <f aca="false">AZ114+AZ115</f>
        <v>-875132.742861264</v>
      </c>
      <c r="BA118" s="69" t="n">
        <f aca="false">BA114+BA115</f>
        <v>-911920.089135345</v>
      </c>
      <c r="BB118" s="69" t="n">
        <f aca="false">BB114+BB115</f>
        <v>-948310.121792325</v>
      </c>
      <c r="BC118" s="69" t="n">
        <f aca="false">BC114+BC115</f>
        <v>-984313.852346394</v>
      </c>
      <c r="BD118" s="69" t="n">
        <f aca="false">BD114+BD115</f>
        <v>-1019941.74173603</v>
      </c>
      <c r="BE118" s="69" t="n">
        <f aca="false">BE114+BE115</f>
        <v>-1055203.72785279</v>
      </c>
      <c r="BF118" s="69" t="n">
        <f aca="false">BF114+BF115</f>
        <v>-1090109.25169365</v>
      </c>
      <c r="BG118" s="69" t="n">
        <f aca="false">BG114+BG115</f>
        <v>-1124667.28220573</v>
      </c>
      <c r="BH118" s="69" t="n">
        <f aca="false">BH114+BH115</f>
        <v>-1158886.33988882</v>
      </c>
      <c r="BI118" s="69" t="n">
        <f aca="false">BI114+BI115</f>
        <v>-1192774.51921769</v>
      </c>
      <c r="BJ118" s="69" t="n">
        <f aca="false">BJ114+BJ115</f>
        <v>-1240553.18598708</v>
      </c>
    </row>
    <row r="119" customFormat="false" ht="15" hidden="false" customHeight="false" outlineLevel="0" collapsed="false">
      <c r="A119" s="4" t="s">
        <v>100</v>
      </c>
      <c r="C119" s="75" t="n">
        <f aca="false">C117+C118</f>
        <v>4981607.29089245</v>
      </c>
      <c r="D119" s="75" t="n">
        <f aca="false">D117+D118</f>
        <v>4838795.7375416</v>
      </c>
      <c r="E119" s="75" t="n">
        <f aca="false">E117+E118</f>
        <v>4708198.70702642</v>
      </c>
      <c r="F119" s="75" t="n">
        <f aca="false">F117+F118</f>
        <v>4580947.98077568</v>
      </c>
      <c r="G119" s="75" t="n">
        <f aca="false">G117+G118</f>
        <v>4458263.9868497</v>
      </c>
      <c r="H119" s="75" t="n">
        <f aca="false">H117+H118</f>
        <v>4340208.41345491</v>
      </c>
      <c r="I119" s="75" t="n">
        <f aca="false">I117+I118</f>
        <v>4226839.86438741</v>
      </c>
      <c r="J119" s="75" t="n">
        <f aca="false">J117+J118</f>
        <v>4118214.01325351</v>
      </c>
      <c r="K119" s="75" t="n">
        <f aca="false">K117+K118</f>
        <v>4014383.7499792</v>
      </c>
      <c r="L119" s="75" t="n">
        <f aca="false">L117+L118</f>
        <v>3915399.31999415</v>
      </c>
      <c r="M119" s="75" t="n">
        <f aca="false">M117+M118</f>
        <v>3821308.45645658</v>
      </c>
      <c r="N119" s="75" t="n">
        <f aca="false">N117+N118</f>
        <v>3714158.66634842</v>
      </c>
      <c r="O119" s="75" t="n">
        <f aca="false">O117+O118</f>
        <v>3614975.7576691</v>
      </c>
      <c r="P119" s="75" t="n">
        <f aca="false">P117+P118</f>
        <v>3516262.65732912</v>
      </c>
      <c r="Q119" s="75" t="n">
        <f aca="false">Q117+Q118</f>
        <v>3437790.78357812</v>
      </c>
      <c r="R119" s="75" t="n">
        <f aca="false">R117+R118</f>
        <v>3357339.32501451</v>
      </c>
      <c r="S119" s="75" t="n">
        <f aca="false">S117+S118</f>
        <v>3278044.92918935</v>
      </c>
      <c r="T119" s="75" t="n">
        <f aca="false">T117+T118</f>
        <v>3199858.59713237</v>
      </c>
      <c r="U119" s="75" t="n">
        <f aca="false">U117+U118</f>
        <v>3122733.77982185</v>
      </c>
      <c r="V119" s="75" t="n">
        <f aca="false">V117+V118</f>
        <v>3046626.25568712</v>
      </c>
      <c r="W119" s="75" t="n">
        <f aca="false">W117+W118</f>
        <v>2971494.01423606</v>
      </c>
      <c r="X119" s="75" t="n">
        <f aca="false">X117+X118</f>
        <v>2897297.14550115</v>
      </c>
      <c r="Y119" s="75" t="n">
        <f aca="false">Y117+Y118</f>
        <v>2823997.73501326</v>
      </c>
      <c r="Z119" s="75" t="n">
        <f aca="false">Z117+Z118</f>
        <v>2732649.94940656</v>
      </c>
      <c r="AA119" s="75" t="n">
        <f aca="false">AA117+AA118</f>
        <v>2645890.97144001</v>
      </c>
      <c r="AB119" s="75" t="n">
        <f aca="false">AB117+AB118</f>
        <v>2559354.8474232</v>
      </c>
      <c r="AC119" s="75" t="n">
        <f aca="false">AC117+AC118</f>
        <v>2492442.2250304</v>
      </c>
      <c r="AD119" s="75" t="n">
        <f aca="false">AD117+AD118</f>
        <v>2422445.632555</v>
      </c>
      <c r="AE119" s="75" t="n">
        <f aca="false">AE117+AE118</f>
        <v>2353183.82897687</v>
      </c>
      <c r="AF119" s="75" t="n">
        <f aca="false">AF117+AF118</f>
        <v>2284628.92901782</v>
      </c>
      <c r="AG119" s="75" t="n">
        <f aca="false">AG117+AG118</f>
        <v>2216754.44166357</v>
      </c>
      <c r="AH119" s="75" t="n">
        <f aca="false">AH117+AH118</f>
        <v>2149535.20045053</v>
      </c>
      <c r="AI119" s="75" t="n">
        <f aca="false">AI117+AI118</f>
        <v>2082947.29723832</v>
      </c>
      <c r="AJ119" s="75" t="n">
        <f aca="false">AJ117+AJ118</f>
        <v>2016968.01929355</v>
      </c>
      <c r="AK119" s="75" t="n">
        <f aca="false">AK117+AK118</f>
        <v>1951575.78951953</v>
      </c>
      <c r="AL119" s="75" t="n">
        <f aca="false">AL117+AL118</f>
        <v>1867863.65130716</v>
      </c>
      <c r="AM119" s="75" t="n">
        <f aca="false">AM117+AM118</f>
        <v>1788126.92626087</v>
      </c>
      <c r="AN119" s="75" t="n">
        <f aca="false">AN117+AN118</f>
        <v>1708266.84013436</v>
      </c>
      <c r="AO119" s="75" t="n">
        <f aca="false">AO117+AO118</f>
        <v>1647747.50552502</v>
      </c>
      <c r="AP119" s="75" t="n">
        <f aca="false">AP117+AP118</f>
        <v>1583456.7304736</v>
      </c>
      <c r="AQ119" s="75" t="n">
        <f aca="false">AQ117+AQ118</f>
        <v>1519672.51456334</v>
      </c>
      <c r="AR119" s="75" t="n">
        <f aca="false">AR117+AR118</f>
        <v>1456378.38400386</v>
      </c>
      <c r="AS119" s="75" t="n">
        <f aca="false">AS117+AS118</f>
        <v>1393558.68869428</v>
      </c>
      <c r="AT119" s="75" t="n">
        <f aca="false">AT117+AT118</f>
        <v>1331198.56103877</v>
      </c>
      <c r="AU119" s="75" t="n">
        <f aca="false">AU117+AU118</f>
        <v>1269283.8768213</v>
      </c>
      <c r="AV119" s="75" t="n">
        <f aca="false">AV117+AV118</f>
        <v>1207801.21803663</v>
      </c>
      <c r="AW119" s="75" t="n">
        <f aca="false">AW117+AW118</f>
        <v>1146737.83757978</v>
      </c>
      <c r="AX119" s="75" t="n">
        <f aca="false">AX117+AX118</f>
        <v>1067154.09655277</v>
      </c>
      <c r="AY119" s="75" t="n">
        <f aca="false">AY117+AY118</f>
        <v>991137.894520638</v>
      </c>
      <c r="AZ119" s="75" t="n">
        <f aca="false">AZ117+AZ118</f>
        <v>914800.313219667</v>
      </c>
      <c r="BA119" s="75" t="n">
        <f aca="false">BA117+BA118</f>
        <v>857703.830187113</v>
      </c>
      <c r="BB119" s="75" t="n">
        <f aca="false">BB117+BB118</f>
        <v>796375.363023241</v>
      </c>
      <c r="BC119" s="75" t="n">
        <f aca="false">BC117+BC118</f>
        <v>735430.119687626</v>
      </c>
      <c r="BD119" s="75" t="n">
        <f aca="false">BD117+BD118</f>
        <v>674857.793155521</v>
      </c>
      <c r="BE119" s="75" t="n">
        <f aca="false">BE117+BE118</f>
        <v>614648.591753416</v>
      </c>
      <c r="BF119" s="75" t="n">
        <f aca="false">BF117+BF118</f>
        <v>554793.213391479</v>
      </c>
      <c r="BG119" s="75" t="n">
        <f aca="false">BG117+BG118</f>
        <v>495282.821084369</v>
      </c>
      <c r="BH119" s="75" t="n">
        <f aca="false">BH117+BH118</f>
        <v>436109.019696009</v>
      </c>
      <c r="BI119" s="75" t="n">
        <f aca="false">BI117+BI118</f>
        <v>377263.83384713</v>
      </c>
      <c r="BJ119" s="75" t="n">
        <f aca="false">BJ117+BJ118</f>
        <v>299735.474678483</v>
      </c>
    </row>
    <row r="120" customFormat="false" ht="15" hidden="false" customHeight="false" outlineLevel="0" collapsed="false">
      <c r="A120" s="6" t="s">
        <v>471</v>
      </c>
      <c r="C120" s="69" t="n">
        <f aca="false">C116-C119</f>
        <v>0</v>
      </c>
      <c r="D120" s="69" t="n">
        <f aca="false">D116-D119</f>
        <v>0</v>
      </c>
      <c r="E120" s="69" t="n">
        <f aca="false">E116-E119</f>
        <v>0</v>
      </c>
      <c r="F120" s="69" t="n">
        <f aca="false">F116-F119</f>
        <v>0</v>
      </c>
      <c r="G120" s="69" t="n">
        <f aca="false">G116-G119</f>
        <v>0</v>
      </c>
      <c r="H120" s="69" t="n">
        <f aca="false">H116-H119</f>
        <v>0</v>
      </c>
      <c r="I120" s="69" t="n">
        <f aca="false">I116-I119</f>
        <v>0</v>
      </c>
      <c r="J120" s="69" t="n">
        <f aca="false">J116-J119</f>
        <v>0</v>
      </c>
      <c r="K120" s="69" t="n">
        <f aca="false">K116-K119</f>
        <v>0</v>
      </c>
      <c r="L120" s="69" t="n">
        <f aca="false">L116-L119</f>
        <v>0</v>
      </c>
      <c r="M120" s="69" t="n">
        <f aca="false">M116-M119</f>
        <v>0</v>
      </c>
      <c r="N120" s="69" t="n">
        <f aca="false">N116-N119</f>
        <v>0</v>
      </c>
      <c r="O120" s="69" t="n">
        <f aca="false">O116-O119</f>
        <v>0</v>
      </c>
      <c r="P120" s="69" t="n">
        <f aca="false">P116-P119</f>
        <v>0</v>
      </c>
      <c r="Q120" s="69" t="n">
        <f aca="false">Q116-Q119</f>
        <v>0</v>
      </c>
      <c r="R120" s="69" t="n">
        <f aca="false">R116-R119</f>
        <v>0</v>
      </c>
      <c r="S120" s="69" t="n">
        <f aca="false">S116-S119</f>
        <v>0</v>
      </c>
      <c r="T120" s="69" t="n">
        <f aca="false">T116-T119</f>
        <v>0</v>
      </c>
      <c r="U120" s="69" t="n">
        <f aca="false">U116-U119</f>
        <v>0</v>
      </c>
      <c r="V120" s="69" t="n">
        <f aca="false">V116-V119</f>
        <v>0</v>
      </c>
      <c r="W120" s="69" t="n">
        <f aca="false">W116-W119</f>
        <v>0</v>
      </c>
      <c r="X120" s="69" t="n">
        <f aca="false">X116-X119</f>
        <v>0</v>
      </c>
      <c r="Y120" s="69" t="n">
        <f aca="false">Y116-Y119</f>
        <v>0</v>
      </c>
      <c r="Z120" s="69" t="n">
        <f aca="false">Z116-Z119</f>
        <v>0</v>
      </c>
      <c r="AA120" s="69" t="n">
        <f aca="false">AA116-AA119</f>
        <v>0</v>
      </c>
      <c r="AB120" s="69" t="n">
        <f aca="false">AB116-AB119</f>
        <v>0</v>
      </c>
      <c r="AC120" s="69" t="n">
        <f aca="false">AC116-AC119</f>
        <v>0</v>
      </c>
      <c r="AD120" s="69" t="n">
        <f aca="false">AD116-AD119</f>
        <v>0</v>
      </c>
      <c r="AE120" s="69" t="n">
        <f aca="false">AE116-AE119</f>
        <v>0</v>
      </c>
      <c r="AF120" s="69" t="n">
        <f aca="false">AF116-AF119</f>
        <v>0</v>
      </c>
      <c r="AG120" s="69" t="n">
        <f aca="false">AG116-AG119</f>
        <v>0</v>
      </c>
      <c r="AH120" s="69" t="n">
        <f aca="false">AH116-AH119</f>
        <v>0</v>
      </c>
      <c r="AI120" s="69" t="n">
        <f aca="false">AI116-AI119</f>
        <v>0</v>
      </c>
      <c r="AJ120" s="69" t="n">
        <f aca="false">AJ116-AJ119</f>
        <v>0</v>
      </c>
      <c r="AK120" s="69" t="n">
        <f aca="false">AK116-AK119</f>
        <v>0</v>
      </c>
      <c r="AL120" s="69" t="n">
        <f aca="false">AL116-AL119</f>
        <v>0</v>
      </c>
      <c r="AM120" s="69" t="n">
        <f aca="false">AM116-AM119</f>
        <v>0</v>
      </c>
      <c r="AN120" s="69" t="n">
        <f aca="false">AN116-AN119</f>
        <v>0</v>
      </c>
      <c r="AO120" s="69" t="n">
        <f aca="false">AO116-AO119</f>
        <v>0</v>
      </c>
      <c r="AP120" s="69" t="n">
        <f aca="false">AP116-AP119</f>
        <v>0</v>
      </c>
      <c r="AQ120" s="69" t="n">
        <f aca="false">AQ116-AQ119</f>
        <v>0</v>
      </c>
      <c r="AR120" s="69" t="n">
        <f aca="false">AR116-AR119</f>
        <v>0</v>
      </c>
      <c r="AS120" s="69" t="n">
        <f aca="false">AS116-AS119</f>
        <v>0</v>
      </c>
      <c r="AT120" s="69" t="n">
        <f aca="false">AT116-AT119</f>
        <v>0</v>
      </c>
      <c r="AU120" s="69" t="n">
        <f aca="false">AU116-AU119</f>
        <v>0</v>
      </c>
      <c r="AV120" s="69" t="n">
        <f aca="false">AV116-AV119</f>
        <v>0</v>
      </c>
      <c r="AW120" s="69" t="n">
        <f aca="false">AW116-AW119</f>
        <v>0</v>
      </c>
      <c r="AX120" s="69" t="n">
        <f aca="false">AX116-AX119</f>
        <v>0</v>
      </c>
      <c r="AY120" s="69" t="n">
        <f aca="false">AY116-AY119</f>
        <v>0</v>
      </c>
      <c r="AZ120" s="69" t="n">
        <f aca="false">AZ116-AZ119</f>
        <v>0</v>
      </c>
      <c r="BA120" s="69" t="n">
        <f aca="false">BA116-BA119</f>
        <v>0</v>
      </c>
      <c r="BB120" s="69" t="n">
        <f aca="false">BB116-BB119</f>
        <v>0</v>
      </c>
      <c r="BC120" s="69" t="n">
        <f aca="false">BC116-BC119</f>
        <v>0</v>
      </c>
      <c r="BD120" s="69" t="n">
        <f aca="false">BD116-BD119</f>
        <v>0</v>
      </c>
      <c r="BE120" s="69" t="n">
        <f aca="false">BE116-BE119</f>
        <v>0</v>
      </c>
      <c r="BF120" s="69" t="n">
        <f aca="false">BF116-BF119</f>
        <v>0</v>
      </c>
      <c r="BG120" s="69" t="n">
        <f aca="false">BG116-BG119</f>
        <v>1.86264514923096E-009</v>
      </c>
      <c r="BH120" s="69" t="n">
        <f aca="false">BH116-BH119</f>
        <v>2.3283064365387E-009</v>
      </c>
      <c r="BI120" s="69" t="n">
        <f aca="false">BI116-BI119</f>
        <v>2.3283064365387E-009</v>
      </c>
      <c r="BJ120" s="69" t="n">
        <f aca="false">BJ116-BJ119</f>
        <v>2.09547579288483E-009</v>
      </c>
    </row>
    <row r="122" customFormat="false" ht="15.75" hidden="false" customHeight="true" outlineLevel="0" collapsed="false">
      <c r="A122" s="7" t="s">
        <v>473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</row>
    <row r="123" customFormat="false" ht="15" hidden="false" customHeight="false" outlineLevel="0" collapsed="false">
      <c r="A123" s="6" t="s">
        <v>474</v>
      </c>
      <c r="C123" s="117" t="n">
        <f aca="false">Inputs!$B$57*(1+Inputs!$B$59)^(C$7-1)*MAX(0,MIN(1,C$6*1-Inputs!$B$60+1))/1</f>
        <v>1</v>
      </c>
      <c r="D123" s="117" t="n">
        <f aca="false">Inputs!$B$57*(1+Inputs!$B$59)^(D$7-1)*MAX(0,MIN(1,D$6*1-Inputs!$B$60+1))/1</f>
        <v>1</v>
      </c>
      <c r="E123" s="117" t="n">
        <f aca="false">Inputs!$B$57*(1+Inputs!$B$59)^(E$7-1)*MAX(0,MIN(1,E$6*1-Inputs!$B$60+1))/1</f>
        <v>1</v>
      </c>
      <c r="F123" s="117" t="n">
        <f aca="false">Inputs!$B$57*(1+Inputs!$B$59)^(F$7-1)*MAX(0,MIN(1,F$6*1-Inputs!$B$60+1))/1</f>
        <v>1</v>
      </c>
      <c r="G123" s="117" t="n">
        <f aca="false">Inputs!$B$57*(1+Inputs!$B$59)^(G$7-1)*MAX(0,MIN(1,G$6*1-Inputs!$B$60+1))/1</f>
        <v>1</v>
      </c>
      <c r="H123" s="117" t="n">
        <f aca="false">Inputs!$B$57*(1+Inputs!$B$59)^(H$7-1)*MAX(0,MIN(1,H$6*1-Inputs!$B$60+1))/1</f>
        <v>1</v>
      </c>
      <c r="I123" s="117" t="n">
        <f aca="false">Inputs!$B$57*(1+Inputs!$B$59)^(I$7-1)*MAX(0,MIN(1,I$6*1-Inputs!$B$60+1))/1</f>
        <v>1</v>
      </c>
      <c r="J123" s="117" t="n">
        <f aca="false">Inputs!$B$57*(1+Inputs!$B$59)^(J$7-1)*MAX(0,MIN(1,J$6*1-Inputs!$B$60+1))/1</f>
        <v>1</v>
      </c>
      <c r="K123" s="117" t="n">
        <f aca="false">Inputs!$B$57*(1+Inputs!$B$59)^(K$7-1)*MAX(0,MIN(1,K$6*1-Inputs!$B$60+1))/1</f>
        <v>1</v>
      </c>
      <c r="L123" s="117" t="n">
        <f aca="false">Inputs!$B$57*(1+Inputs!$B$59)^(L$7-1)*MAX(0,MIN(1,L$6*1-Inputs!$B$60+1))/1</f>
        <v>1</v>
      </c>
      <c r="M123" s="117" t="n">
        <f aca="false">Inputs!$B$57*(1+Inputs!$B$59)^(M$7-1)*MAX(0,MIN(1,M$6*1-Inputs!$B$60+1))/1</f>
        <v>1</v>
      </c>
      <c r="N123" s="117" t="n">
        <f aca="false">Inputs!$B$57*(1+Inputs!$B$59)^(N$7-1)*MAX(0,MIN(1,N$6*1-Inputs!$B$60+1))/1</f>
        <v>1</v>
      </c>
      <c r="O123" s="117" t="n">
        <f aca="false">Inputs!$B$57*(1+Inputs!$B$59)^(O$7-1)*MAX(0,MIN(1,O$6*1-Inputs!$B$60+1))/1</f>
        <v>1</v>
      </c>
      <c r="P123" s="117" t="n">
        <f aca="false">Inputs!$B$57*(1+Inputs!$B$59)^(P$7-1)*MAX(0,MIN(1,P$6*1-Inputs!$B$60+1))/1</f>
        <v>1</v>
      </c>
      <c r="Q123" s="117" t="n">
        <f aca="false">Inputs!$B$57*(1+Inputs!$B$59)^(Q$7-1)*MAX(0,MIN(1,Q$6*1-Inputs!$B$60+1))/1</f>
        <v>1</v>
      </c>
      <c r="R123" s="117" t="n">
        <f aca="false">Inputs!$B$57*(1+Inputs!$B$59)^(R$7-1)*MAX(0,MIN(1,R$6*1-Inputs!$B$60+1))/1</f>
        <v>1</v>
      </c>
      <c r="S123" s="117" t="n">
        <f aca="false">Inputs!$B$57*(1+Inputs!$B$59)^(S$7-1)*MAX(0,MIN(1,S$6*1-Inputs!$B$60+1))/1</f>
        <v>1</v>
      </c>
      <c r="T123" s="117" t="n">
        <f aca="false">Inputs!$B$57*(1+Inputs!$B$59)^(T$7-1)*MAX(0,MIN(1,T$6*1-Inputs!$B$60+1))/1</f>
        <v>1</v>
      </c>
      <c r="U123" s="117" t="n">
        <f aca="false">Inputs!$B$57*(1+Inputs!$B$59)^(U$7-1)*MAX(0,MIN(1,U$6*1-Inputs!$B$60+1))/1</f>
        <v>1</v>
      </c>
      <c r="V123" s="117" t="n">
        <f aca="false">Inputs!$B$57*(1+Inputs!$B$59)^(V$7-1)*MAX(0,MIN(1,V$6*1-Inputs!$B$60+1))/1</f>
        <v>1</v>
      </c>
      <c r="W123" s="117" t="n">
        <f aca="false">Inputs!$B$57*(1+Inputs!$B$59)^(W$7-1)*MAX(0,MIN(1,W$6*1-Inputs!$B$60+1))/1</f>
        <v>1</v>
      </c>
      <c r="X123" s="117" t="n">
        <f aca="false">Inputs!$B$57*(1+Inputs!$B$59)^(X$7-1)*MAX(0,MIN(1,X$6*1-Inputs!$B$60+1))/1</f>
        <v>1</v>
      </c>
      <c r="Y123" s="117" t="n">
        <f aca="false">Inputs!$B$57*(1+Inputs!$B$59)^(Y$7-1)*MAX(0,MIN(1,Y$6*1-Inputs!$B$60+1))/1</f>
        <v>1</v>
      </c>
      <c r="Z123" s="117" t="n">
        <f aca="false">Inputs!$B$57*(1+Inputs!$B$59)^(Z$7-1)*MAX(0,MIN(1,Z$6*1-Inputs!$B$60+1))/1</f>
        <v>1</v>
      </c>
      <c r="AA123" s="117" t="n">
        <f aca="false">Inputs!$B$57*(1+Inputs!$B$59)^(AA$7-1)*MAX(0,MIN(1,AA$6*1-Inputs!$B$60+1))/1</f>
        <v>1</v>
      </c>
      <c r="AB123" s="117" t="n">
        <f aca="false">Inputs!$B$57*(1+Inputs!$B$59)^(AB$7-1)*MAX(0,MIN(1,AB$6*1-Inputs!$B$60+1))/1</f>
        <v>1</v>
      </c>
      <c r="AC123" s="117" t="n">
        <f aca="false">Inputs!$B$57*(1+Inputs!$B$59)^(AC$7-1)*MAX(0,MIN(1,AC$6*1-Inputs!$B$60+1))/1</f>
        <v>1</v>
      </c>
      <c r="AD123" s="117" t="n">
        <f aca="false">Inputs!$B$57*(1+Inputs!$B$59)^(AD$7-1)*MAX(0,MIN(1,AD$6*1-Inputs!$B$60+1))/1</f>
        <v>1</v>
      </c>
      <c r="AE123" s="117" t="n">
        <f aca="false">Inputs!$B$57*(1+Inputs!$B$59)^(AE$7-1)*MAX(0,MIN(1,AE$6*1-Inputs!$B$60+1))/1</f>
        <v>1</v>
      </c>
      <c r="AF123" s="117" t="n">
        <f aca="false">Inputs!$B$57*(1+Inputs!$B$59)^(AF$7-1)*MAX(0,MIN(1,AF$6*1-Inputs!$B$60+1))/1</f>
        <v>1</v>
      </c>
      <c r="AG123" s="117" t="n">
        <f aca="false">Inputs!$B$57*(1+Inputs!$B$59)^(AG$7-1)*MAX(0,MIN(1,AG$6*1-Inputs!$B$60+1))/1</f>
        <v>1</v>
      </c>
      <c r="AH123" s="117" t="n">
        <f aca="false">Inputs!$B$57*(1+Inputs!$B$59)^(AH$7-1)*MAX(0,MIN(1,AH$6*1-Inputs!$B$60+1))/1</f>
        <v>1</v>
      </c>
      <c r="AI123" s="117" t="n">
        <f aca="false">Inputs!$B$57*(1+Inputs!$B$59)^(AI$7-1)*MAX(0,MIN(1,AI$6*1-Inputs!$B$60+1))/1</f>
        <v>1</v>
      </c>
      <c r="AJ123" s="117" t="n">
        <f aca="false">Inputs!$B$57*(1+Inputs!$B$59)^(AJ$7-1)*MAX(0,MIN(1,AJ$6*1-Inputs!$B$60+1))/1</f>
        <v>1</v>
      </c>
      <c r="AK123" s="117" t="n">
        <f aca="false">Inputs!$B$57*(1+Inputs!$B$59)^(AK$7-1)*MAX(0,MIN(1,AK$6*1-Inputs!$B$60+1))/1</f>
        <v>1</v>
      </c>
      <c r="AL123" s="117" t="n">
        <f aca="false">Inputs!$B$57*(1+Inputs!$B$59)^(AL$7-1)*MAX(0,MIN(1,AL$6*1-Inputs!$B$60+1))/1</f>
        <v>1</v>
      </c>
      <c r="AM123" s="117" t="n">
        <f aca="false">Inputs!$B$57*(1+Inputs!$B$59)^(AM$7-1)*MAX(0,MIN(1,AM$6*1-Inputs!$B$60+1))/1</f>
        <v>1</v>
      </c>
      <c r="AN123" s="117" t="n">
        <f aca="false">Inputs!$B$57*(1+Inputs!$B$59)^(AN$7-1)*MAX(0,MIN(1,AN$6*1-Inputs!$B$60+1))/1</f>
        <v>1</v>
      </c>
      <c r="AO123" s="117" t="n">
        <f aca="false">Inputs!$B$57*(1+Inputs!$B$59)^(AO$7-1)*MAX(0,MIN(1,AO$6*1-Inputs!$B$60+1))/1</f>
        <v>1</v>
      </c>
      <c r="AP123" s="117" t="n">
        <f aca="false">Inputs!$B$57*(1+Inputs!$B$59)^(AP$7-1)*MAX(0,MIN(1,AP$6*1-Inputs!$B$60+1))/1</f>
        <v>1</v>
      </c>
      <c r="AQ123" s="117" t="n">
        <f aca="false">Inputs!$B$57*(1+Inputs!$B$59)^(AQ$7-1)*MAX(0,MIN(1,AQ$6*1-Inputs!$B$60+1))/1</f>
        <v>1</v>
      </c>
      <c r="AR123" s="117" t="n">
        <f aca="false">Inputs!$B$57*(1+Inputs!$B$59)^(AR$7-1)*MAX(0,MIN(1,AR$6*1-Inputs!$B$60+1))/1</f>
        <v>1</v>
      </c>
      <c r="AS123" s="117" t="n">
        <f aca="false">Inputs!$B$57*(1+Inputs!$B$59)^(AS$7-1)*MAX(0,MIN(1,AS$6*1-Inputs!$B$60+1))/1</f>
        <v>1</v>
      </c>
      <c r="AT123" s="117" t="n">
        <f aca="false">Inputs!$B$57*(1+Inputs!$B$59)^(AT$7-1)*MAX(0,MIN(1,AT$6*1-Inputs!$B$60+1))/1</f>
        <v>1</v>
      </c>
      <c r="AU123" s="117" t="n">
        <f aca="false">Inputs!$B$57*(1+Inputs!$B$59)^(AU$7-1)*MAX(0,MIN(1,AU$6*1-Inputs!$B$60+1))/1</f>
        <v>1</v>
      </c>
      <c r="AV123" s="117" t="n">
        <f aca="false">Inputs!$B$57*(1+Inputs!$B$59)^(AV$7-1)*MAX(0,MIN(1,AV$6*1-Inputs!$B$60+1))/1</f>
        <v>1</v>
      </c>
      <c r="AW123" s="117" t="n">
        <f aca="false">Inputs!$B$57*(1+Inputs!$B$59)^(AW$7-1)*MAX(0,MIN(1,AW$6*1-Inputs!$B$60+1))/1</f>
        <v>1</v>
      </c>
      <c r="AX123" s="117" t="n">
        <f aca="false">Inputs!$B$57*(1+Inputs!$B$59)^(AX$7-1)*MAX(0,MIN(1,AX$6*1-Inputs!$B$60+1))/1</f>
        <v>1</v>
      </c>
      <c r="AY123" s="117" t="n">
        <f aca="false">Inputs!$B$57*(1+Inputs!$B$59)^(AY$7-1)*MAX(0,MIN(1,AY$6*1-Inputs!$B$60+1))/1</f>
        <v>1</v>
      </c>
      <c r="AZ123" s="117" t="n">
        <f aca="false">Inputs!$B$57*(1+Inputs!$B$59)^(AZ$7-1)*MAX(0,MIN(1,AZ$6*1-Inputs!$B$60+1))/1</f>
        <v>1</v>
      </c>
      <c r="BA123" s="117" t="n">
        <f aca="false">Inputs!$B$57*(1+Inputs!$B$59)^(BA$7-1)*MAX(0,MIN(1,BA$6*1-Inputs!$B$60+1))/1</f>
        <v>1</v>
      </c>
      <c r="BB123" s="117" t="n">
        <f aca="false">Inputs!$B$57*(1+Inputs!$B$59)^(BB$7-1)*MAX(0,MIN(1,BB$6*1-Inputs!$B$60+1))/1</f>
        <v>1</v>
      </c>
      <c r="BC123" s="117" t="n">
        <f aca="false">Inputs!$B$57*(1+Inputs!$B$59)^(BC$7-1)*MAX(0,MIN(1,BC$6*1-Inputs!$B$60+1))/1</f>
        <v>1</v>
      </c>
      <c r="BD123" s="117" t="n">
        <f aca="false">Inputs!$B$57*(1+Inputs!$B$59)^(BD$7-1)*MAX(0,MIN(1,BD$6*1-Inputs!$B$60+1))/1</f>
        <v>1</v>
      </c>
      <c r="BE123" s="117" t="n">
        <f aca="false">Inputs!$B$57*(1+Inputs!$B$59)^(BE$7-1)*MAX(0,MIN(1,BE$6*1-Inputs!$B$60+1))/1</f>
        <v>1</v>
      </c>
      <c r="BF123" s="117" t="n">
        <f aca="false">Inputs!$B$57*(1+Inputs!$B$59)^(BF$7-1)*MAX(0,MIN(1,BF$6*1-Inputs!$B$60+1))/1</f>
        <v>1</v>
      </c>
      <c r="BG123" s="117" t="n">
        <f aca="false">Inputs!$B$57*(1+Inputs!$B$59)^(BG$7-1)*MAX(0,MIN(1,BG$6*1-Inputs!$B$60+1))/1</f>
        <v>1</v>
      </c>
      <c r="BH123" s="117" t="n">
        <f aca="false">Inputs!$B$57*(1+Inputs!$B$59)^(BH$7-1)*MAX(0,MIN(1,BH$6*1-Inputs!$B$60+1))/1</f>
        <v>1</v>
      </c>
      <c r="BI123" s="117" t="n">
        <f aca="false">Inputs!$B$57*(1+Inputs!$B$59)^(BI$7-1)*MAX(0,MIN(1,BI$6*1-Inputs!$B$60+1))/1</f>
        <v>1</v>
      </c>
      <c r="BJ123" s="117" t="n">
        <f aca="false">Inputs!$B$57*(1+Inputs!$B$59)^(BJ$7-1)*MAX(0,MIN(1,BJ$6*1-Inputs!$B$60+1))/1</f>
        <v>1</v>
      </c>
    </row>
    <row r="124" customFormat="false" ht="15" hidden="false" customHeight="false" outlineLevel="0" collapsed="false">
      <c r="A124" s="6" t="s">
        <v>475</v>
      </c>
      <c r="C124" s="117" t="n">
        <f aca="false">Inputs!$B$61*(1+Inputs!$B$63)^(C$7-1)*MAX(0,MIN(1,C$6*1-Inputs!$B$64+1))/1</f>
        <v>10</v>
      </c>
      <c r="D124" s="117" t="n">
        <f aca="false">Inputs!$B$61*(1+Inputs!$B$63)^(D$7-1)*MAX(0,MIN(1,D$6*1-Inputs!$B$64+1))/1</f>
        <v>10</v>
      </c>
      <c r="E124" s="117" t="n">
        <f aca="false">Inputs!$B$61*(1+Inputs!$B$63)^(E$7-1)*MAX(0,MIN(1,E$6*1-Inputs!$B$64+1))/1</f>
        <v>10</v>
      </c>
      <c r="F124" s="117" t="n">
        <f aca="false">Inputs!$B$61*(1+Inputs!$B$63)^(F$7-1)*MAX(0,MIN(1,F$6*1-Inputs!$B$64+1))/1</f>
        <v>10</v>
      </c>
      <c r="G124" s="117" t="n">
        <f aca="false">Inputs!$B$61*(1+Inputs!$B$63)^(G$7-1)*MAX(0,MIN(1,G$6*1-Inputs!$B$64+1))/1</f>
        <v>10</v>
      </c>
      <c r="H124" s="117" t="n">
        <f aca="false">Inputs!$B$61*(1+Inputs!$B$63)^(H$7-1)*MAX(0,MIN(1,H$6*1-Inputs!$B$64+1))/1</f>
        <v>10</v>
      </c>
      <c r="I124" s="117" t="n">
        <f aca="false">Inputs!$B$61*(1+Inputs!$B$63)^(I$7-1)*MAX(0,MIN(1,I$6*1-Inputs!$B$64+1))/1</f>
        <v>10</v>
      </c>
      <c r="J124" s="117" t="n">
        <f aca="false">Inputs!$B$61*(1+Inputs!$B$63)^(J$7-1)*MAX(0,MIN(1,J$6*1-Inputs!$B$64+1))/1</f>
        <v>10</v>
      </c>
      <c r="K124" s="117" t="n">
        <f aca="false">Inputs!$B$61*(1+Inputs!$B$63)^(K$7-1)*MAX(0,MIN(1,K$6*1-Inputs!$B$64+1))/1</f>
        <v>10</v>
      </c>
      <c r="L124" s="117" t="n">
        <f aca="false">Inputs!$B$61*(1+Inputs!$B$63)^(L$7-1)*MAX(0,MIN(1,L$6*1-Inputs!$B$64+1))/1</f>
        <v>10</v>
      </c>
      <c r="M124" s="117" t="n">
        <f aca="false">Inputs!$B$61*(1+Inputs!$B$63)^(M$7-1)*MAX(0,MIN(1,M$6*1-Inputs!$B$64+1))/1</f>
        <v>10</v>
      </c>
      <c r="N124" s="117" t="n">
        <f aca="false">Inputs!$B$61*(1+Inputs!$B$63)^(N$7-1)*MAX(0,MIN(1,N$6*1-Inputs!$B$64+1))/1</f>
        <v>10</v>
      </c>
      <c r="O124" s="117" t="n">
        <f aca="false">Inputs!$B$61*(1+Inputs!$B$63)^(O$7-1)*MAX(0,MIN(1,O$6*1-Inputs!$B$64+1))/1</f>
        <v>10</v>
      </c>
      <c r="P124" s="117" t="n">
        <f aca="false">Inputs!$B$61*(1+Inputs!$B$63)^(P$7-1)*MAX(0,MIN(1,P$6*1-Inputs!$B$64+1))/1</f>
        <v>10</v>
      </c>
      <c r="Q124" s="117" t="n">
        <f aca="false">Inputs!$B$61*(1+Inputs!$B$63)^(Q$7-1)*MAX(0,MIN(1,Q$6*1-Inputs!$B$64+1))/1</f>
        <v>10</v>
      </c>
      <c r="R124" s="117" t="n">
        <f aca="false">Inputs!$B$61*(1+Inputs!$B$63)^(R$7-1)*MAX(0,MIN(1,R$6*1-Inputs!$B$64+1))/1</f>
        <v>10</v>
      </c>
      <c r="S124" s="117" t="n">
        <f aca="false">Inputs!$B$61*(1+Inputs!$B$63)^(S$7-1)*MAX(0,MIN(1,S$6*1-Inputs!$B$64+1))/1</f>
        <v>10</v>
      </c>
      <c r="T124" s="117" t="n">
        <f aca="false">Inputs!$B$61*(1+Inputs!$B$63)^(T$7-1)*MAX(0,MIN(1,T$6*1-Inputs!$B$64+1))/1</f>
        <v>10</v>
      </c>
      <c r="U124" s="117" t="n">
        <f aca="false">Inputs!$B$61*(1+Inputs!$B$63)^(U$7-1)*MAX(0,MIN(1,U$6*1-Inputs!$B$64+1))/1</f>
        <v>10</v>
      </c>
      <c r="V124" s="117" t="n">
        <f aca="false">Inputs!$B$61*(1+Inputs!$B$63)^(V$7-1)*MAX(0,MIN(1,V$6*1-Inputs!$B$64+1))/1</f>
        <v>10</v>
      </c>
      <c r="W124" s="117" t="n">
        <f aca="false">Inputs!$B$61*(1+Inputs!$B$63)^(W$7-1)*MAX(0,MIN(1,W$6*1-Inputs!$B$64+1))/1</f>
        <v>10</v>
      </c>
      <c r="X124" s="117" t="n">
        <f aca="false">Inputs!$B$61*(1+Inputs!$B$63)^(X$7-1)*MAX(0,MIN(1,X$6*1-Inputs!$B$64+1))/1</f>
        <v>10</v>
      </c>
      <c r="Y124" s="117" t="n">
        <f aca="false">Inputs!$B$61*(1+Inputs!$B$63)^(Y$7-1)*MAX(0,MIN(1,Y$6*1-Inputs!$B$64+1))/1</f>
        <v>10</v>
      </c>
      <c r="Z124" s="117" t="n">
        <f aca="false">Inputs!$B$61*(1+Inputs!$B$63)^(Z$7-1)*MAX(0,MIN(1,Z$6*1-Inputs!$B$64+1))/1</f>
        <v>10</v>
      </c>
      <c r="AA124" s="117" t="n">
        <f aca="false">Inputs!$B$61*(1+Inputs!$B$63)^(AA$7-1)*MAX(0,MIN(1,AA$6*1-Inputs!$B$64+1))/1</f>
        <v>10</v>
      </c>
      <c r="AB124" s="117" t="n">
        <f aca="false">Inputs!$B$61*(1+Inputs!$B$63)^(AB$7-1)*MAX(0,MIN(1,AB$6*1-Inputs!$B$64+1))/1</f>
        <v>10</v>
      </c>
      <c r="AC124" s="117" t="n">
        <f aca="false">Inputs!$B$61*(1+Inputs!$B$63)^(AC$7-1)*MAX(0,MIN(1,AC$6*1-Inputs!$B$64+1))/1</f>
        <v>10</v>
      </c>
      <c r="AD124" s="117" t="n">
        <f aca="false">Inputs!$B$61*(1+Inputs!$B$63)^(AD$7-1)*MAX(0,MIN(1,AD$6*1-Inputs!$B$64+1))/1</f>
        <v>10</v>
      </c>
      <c r="AE124" s="117" t="n">
        <f aca="false">Inputs!$B$61*(1+Inputs!$B$63)^(AE$7-1)*MAX(0,MIN(1,AE$6*1-Inputs!$B$64+1))/1</f>
        <v>10</v>
      </c>
      <c r="AF124" s="117" t="n">
        <f aca="false">Inputs!$B$61*(1+Inputs!$B$63)^(AF$7-1)*MAX(0,MIN(1,AF$6*1-Inputs!$B$64+1))/1</f>
        <v>10</v>
      </c>
      <c r="AG124" s="117" t="n">
        <f aca="false">Inputs!$B$61*(1+Inputs!$B$63)^(AG$7-1)*MAX(0,MIN(1,AG$6*1-Inputs!$B$64+1))/1</f>
        <v>10</v>
      </c>
      <c r="AH124" s="117" t="n">
        <f aca="false">Inputs!$B$61*(1+Inputs!$B$63)^(AH$7-1)*MAX(0,MIN(1,AH$6*1-Inputs!$B$64+1))/1</f>
        <v>10</v>
      </c>
      <c r="AI124" s="117" t="n">
        <f aca="false">Inputs!$B$61*(1+Inputs!$B$63)^(AI$7-1)*MAX(0,MIN(1,AI$6*1-Inputs!$B$64+1))/1</f>
        <v>10</v>
      </c>
      <c r="AJ124" s="117" t="n">
        <f aca="false">Inputs!$B$61*(1+Inputs!$B$63)^(AJ$7-1)*MAX(0,MIN(1,AJ$6*1-Inputs!$B$64+1))/1</f>
        <v>10</v>
      </c>
      <c r="AK124" s="117" t="n">
        <f aca="false">Inputs!$B$61*(1+Inputs!$B$63)^(AK$7-1)*MAX(0,MIN(1,AK$6*1-Inputs!$B$64+1))/1</f>
        <v>10</v>
      </c>
      <c r="AL124" s="117" t="n">
        <f aca="false">Inputs!$B$61*(1+Inputs!$B$63)^(AL$7-1)*MAX(0,MIN(1,AL$6*1-Inputs!$B$64+1))/1</f>
        <v>10</v>
      </c>
      <c r="AM124" s="117" t="n">
        <f aca="false">Inputs!$B$61*(1+Inputs!$B$63)^(AM$7-1)*MAX(0,MIN(1,AM$6*1-Inputs!$B$64+1))/1</f>
        <v>10</v>
      </c>
      <c r="AN124" s="117" t="n">
        <f aca="false">Inputs!$B$61*(1+Inputs!$B$63)^(AN$7-1)*MAX(0,MIN(1,AN$6*1-Inputs!$B$64+1))/1</f>
        <v>10</v>
      </c>
      <c r="AO124" s="117" t="n">
        <f aca="false">Inputs!$B$61*(1+Inputs!$B$63)^(AO$7-1)*MAX(0,MIN(1,AO$6*1-Inputs!$B$64+1))/1</f>
        <v>10</v>
      </c>
      <c r="AP124" s="117" t="n">
        <f aca="false">Inputs!$B$61*(1+Inputs!$B$63)^(AP$7-1)*MAX(0,MIN(1,AP$6*1-Inputs!$B$64+1))/1</f>
        <v>10</v>
      </c>
      <c r="AQ124" s="117" t="n">
        <f aca="false">Inputs!$B$61*(1+Inputs!$B$63)^(AQ$7-1)*MAX(0,MIN(1,AQ$6*1-Inputs!$B$64+1))/1</f>
        <v>10</v>
      </c>
      <c r="AR124" s="117" t="n">
        <f aca="false">Inputs!$B$61*(1+Inputs!$B$63)^(AR$7-1)*MAX(0,MIN(1,AR$6*1-Inputs!$B$64+1))/1</f>
        <v>10</v>
      </c>
      <c r="AS124" s="117" t="n">
        <f aca="false">Inputs!$B$61*(1+Inputs!$B$63)^(AS$7-1)*MAX(0,MIN(1,AS$6*1-Inputs!$B$64+1))/1</f>
        <v>10</v>
      </c>
      <c r="AT124" s="117" t="n">
        <f aca="false">Inputs!$B$61*(1+Inputs!$B$63)^(AT$7-1)*MAX(0,MIN(1,AT$6*1-Inputs!$B$64+1))/1</f>
        <v>10</v>
      </c>
      <c r="AU124" s="117" t="n">
        <f aca="false">Inputs!$B$61*(1+Inputs!$B$63)^(AU$7-1)*MAX(0,MIN(1,AU$6*1-Inputs!$B$64+1))/1</f>
        <v>10</v>
      </c>
      <c r="AV124" s="117" t="n">
        <f aca="false">Inputs!$B$61*(1+Inputs!$B$63)^(AV$7-1)*MAX(0,MIN(1,AV$6*1-Inputs!$B$64+1))/1</f>
        <v>10</v>
      </c>
      <c r="AW124" s="117" t="n">
        <f aca="false">Inputs!$B$61*(1+Inputs!$B$63)^(AW$7-1)*MAX(0,MIN(1,AW$6*1-Inputs!$B$64+1))/1</f>
        <v>10</v>
      </c>
      <c r="AX124" s="117" t="n">
        <f aca="false">Inputs!$B$61*(1+Inputs!$B$63)^(AX$7-1)*MAX(0,MIN(1,AX$6*1-Inputs!$B$64+1))/1</f>
        <v>10</v>
      </c>
      <c r="AY124" s="117" t="n">
        <f aca="false">Inputs!$B$61*(1+Inputs!$B$63)^(AY$7-1)*MAX(0,MIN(1,AY$6*1-Inputs!$B$64+1))/1</f>
        <v>10</v>
      </c>
      <c r="AZ124" s="117" t="n">
        <f aca="false">Inputs!$B$61*(1+Inputs!$B$63)^(AZ$7-1)*MAX(0,MIN(1,AZ$6*1-Inputs!$B$64+1))/1</f>
        <v>10</v>
      </c>
      <c r="BA124" s="117" t="n">
        <f aca="false">Inputs!$B$61*(1+Inputs!$B$63)^(BA$7-1)*MAX(0,MIN(1,BA$6*1-Inputs!$B$64+1))/1</f>
        <v>10</v>
      </c>
      <c r="BB124" s="117" t="n">
        <f aca="false">Inputs!$B$61*(1+Inputs!$B$63)^(BB$7-1)*MAX(0,MIN(1,BB$6*1-Inputs!$B$64+1))/1</f>
        <v>10</v>
      </c>
      <c r="BC124" s="117" t="n">
        <f aca="false">Inputs!$B$61*(1+Inputs!$B$63)^(BC$7-1)*MAX(0,MIN(1,BC$6*1-Inputs!$B$64+1))/1</f>
        <v>10</v>
      </c>
      <c r="BD124" s="117" t="n">
        <f aca="false">Inputs!$B$61*(1+Inputs!$B$63)^(BD$7-1)*MAX(0,MIN(1,BD$6*1-Inputs!$B$64+1))/1</f>
        <v>10</v>
      </c>
      <c r="BE124" s="117" t="n">
        <f aca="false">Inputs!$B$61*(1+Inputs!$B$63)^(BE$7-1)*MAX(0,MIN(1,BE$6*1-Inputs!$B$64+1))/1</f>
        <v>10</v>
      </c>
      <c r="BF124" s="117" t="n">
        <f aca="false">Inputs!$B$61*(1+Inputs!$B$63)^(BF$7-1)*MAX(0,MIN(1,BF$6*1-Inputs!$B$64+1))/1</f>
        <v>10</v>
      </c>
      <c r="BG124" s="117" t="n">
        <f aca="false">Inputs!$B$61*(1+Inputs!$B$63)^(BG$7-1)*MAX(0,MIN(1,BG$6*1-Inputs!$B$64+1))/1</f>
        <v>10</v>
      </c>
      <c r="BH124" s="117" t="n">
        <f aca="false">Inputs!$B$61*(1+Inputs!$B$63)^(BH$7-1)*MAX(0,MIN(1,BH$6*1-Inputs!$B$64+1))/1</f>
        <v>10</v>
      </c>
      <c r="BI124" s="117" t="n">
        <f aca="false">Inputs!$B$61*(1+Inputs!$B$63)^(BI$7-1)*MAX(0,MIN(1,BI$6*1-Inputs!$B$64+1))/1</f>
        <v>10</v>
      </c>
      <c r="BJ124" s="117" t="n">
        <f aca="false">Inputs!$B$61*(1+Inputs!$B$63)^(BJ$7-1)*MAX(0,MIN(1,BJ$6*1-Inputs!$B$64+1))/1</f>
        <v>10</v>
      </c>
    </row>
    <row r="125" customFormat="false" ht="15" hidden="false" customHeight="false" outlineLevel="0" collapsed="false">
      <c r="A125" s="113" t="s">
        <v>476</v>
      </c>
      <c r="C125" s="123" t="n">
        <f aca="false">C123+C124</f>
        <v>11</v>
      </c>
      <c r="D125" s="123" t="n">
        <f aca="false">D123+D124</f>
        <v>11</v>
      </c>
      <c r="E125" s="123" t="n">
        <f aca="false">E123+E124</f>
        <v>11</v>
      </c>
      <c r="F125" s="123" t="n">
        <f aca="false">F123+F124</f>
        <v>11</v>
      </c>
      <c r="G125" s="123" t="n">
        <f aca="false">G123+G124</f>
        <v>11</v>
      </c>
      <c r="H125" s="123" t="n">
        <f aca="false">H123+H124</f>
        <v>11</v>
      </c>
      <c r="I125" s="123" t="n">
        <f aca="false">I123+I124</f>
        <v>11</v>
      </c>
      <c r="J125" s="123" t="n">
        <f aca="false">J123+J124</f>
        <v>11</v>
      </c>
      <c r="K125" s="123" t="n">
        <f aca="false">K123+K124</f>
        <v>11</v>
      </c>
      <c r="L125" s="123" t="n">
        <f aca="false">L123+L124</f>
        <v>11</v>
      </c>
      <c r="M125" s="123" t="n">
        <f aca="false">M123+M124</f>
        <v>11</v>
      </c>
      <c r="N125" s="123" t="n">
        <f aca="false">N123+N124</f>
        <v>11</v>
      </c>
      <c r="O125" s="123" t="n">
        <f aca="false">O123+O124</f>
        <v>11</v>
      </c>
      <c r="P125" s="123" t="n">
        <f aca="false">P123+P124</f>
        <v>11</v>
      </c>
      <c r="Q125" s="123" t="n">
        <f aca="false">Q123+Q124</f>
        <v>11</v>
      </c>
      <c r="R125" s="123" t="n">
        <f aca="false">R123+R124</f>
        <v>11</v>
      </c>
      <c r="S125" s="123" t="n">
        <f aca="false">S123+S124</f>
        <v>11</v>
      </c>
      <c r="T125" s="123" t="n">
        <f aca="false">T123+T124</f>
        <v>11</v>
      </c>
      <c r="U125" s="123" t="n">
        <f aca="false">U123+U124</f>
        <v>11</v>
      </c>
      <c r="V125" s="123" t="n">
        <f aca="false">V123+V124</f>
        <v>11</v>
      </c>
      <c r="W125" s="123" t="n">
        <f aca="false">W123+W124</f>
        <v>11</v>
      </c>
      <c r="X125" s="123" t="n">
        <f aca="false">X123+X124</f>
        <v>11</v>
      </c>
      <c r="Y125" s="123" t="n">
        <f aca="false">Y123+Y124</f>
        <v>11</v>
      </c>
      <c r="Z125" s="123" t="n">
        <f aca="false">Z123+Z124</f>
        <v>11</v>
      </c>
      <c r="AA125" s="123" t="n">
        <f aca="false">AA123+AA124</f>
        <v>11</v>
      </c>
      <c r="AB125" s="123" t="n">
        <f aca="false">AB123+AB124</f>
        <v>11</v>
      </c>
      <c r="AC125" s="123" t="n">
        <f aca="false">AC123+AC124</f>
        <v>11</v>
      </c>
      <c r="AD125" s="123" t="n">
        <f aca="false">AD123+AD124</f>
        <v>11</v>
      </c>
      <c r="AE125" s="123" t="n">
        <f aca="false">AE123+AE124</f>
        <v>11</v>
      </c>
      <c r="AF125" s="123" t="n">
        <f aca="false">AF123+AF124</f>
        <v>11</v>
      </c>
      <c r="AG125" s="123" t="n">
        <f aca="false">AG123+AG124</f>
        <v>11</v>
      </c>
      <c r="AH125" s="123" t="n">
        <f aca="false">AH123+AH124</f>
        <v>11</v>
      </c>
      <c r="AI125" s="123" t="n">
        <f aca="false">AI123+AI124</f>
        <v>11</v>
      </c>
      <c r="AJ125" s="123" t="n">
        <f aca="false">AJ123+AJ124</f>
        <v>11</v>
      </c>
      <c r="AK125" s="123" t="n">
        <f aca="false">AK123+AK124</f>
        <v>11</v>
      </c>
      <c r="AL125" s="123" t="n">
        <f aca="false">AL123+AL124</f>
        <v>11</v>
      </c>
      <c r="AM125" s="123" t="n">
        <f aca="false">AM123+AM124</f>
        <v>11</v>
      </c>
      <c r="AN125" s="123" t="n">
        <f aca="false">AN123+AN124</f>
        <v>11</v>
      </c>
      <c r="AO125" s="123" t="n">
        <f aca="false">AO123+AO124</f>
        <v>11</v>
      </c>
      <c r="AP125" s="123" t="n">
        <f aca="false">AP123+AP124</f>
        <v>11</v>
      </c>
      <c r="AQ125" s="123" t="n">
        <f aca="false">AQ123+AQ124</f>
        <v>11</v>
      </c>
      <c r="AR125" s="123" t="n">
        <f aca="false">AR123+AR124</f>
        <v>11</v>
      </c>
      <c r="AS125" s="123" t="n">
        <f aca="false">AS123+AS124</f>
        <v>11</v>
      </c>
      <c r="AT125" s="123" t="n">
        <f aca="false">AT123+AT124</f>
        <v>11</v>
      </c>
      <c r="AU125" s="123" t="n">
        <f aca="false">AU123+AU124</f>
        <v>11</v>
      </c>
      <c r="AV125" s="123" t="n">
        <f aca="false">AV123+AV124</f>
        <v>11</v>
      </c>
      <c r="AW125" s="123" t="n">
        <f aca="false">AW123+AW124</f>
        <v>11</v>
      </c>
      <c r="AX125" s="123" t="n">
        <f aca="false">AX123+AX124</f>
        <v>11</v>
      </c>
      <c r="AY125" s="123" t="n">
        <f aca="false">AY123+AY124</f>
        <v>11</v>
      </c>
      <c r="AZ125" s="123" t="n">
        <f aca="false">AZ123+AZ124</f>
        <v>11</v>
      </c>
      <c r="BA125" s="123" t="n">
        <f aca="false">BA123+BA124</f>
        <v>11</v>
      </c>
      <c r="BB125" s="123" t="n">
        <f aca="false">BB123+BB124</f>
        <v>11</v>
      </c>
      <c r="BC125" s="123" t="n">
        <f aca="false">BC123+BC124</f>
        <v>11</v>
      </c>
      <c r="BD125" s="123" t="n">
        <f aca="false">BD123+BD124</f>
        <v>11</v>
      </c>
      <c r="BE125" s="123" t="n">
        <f aca="false">BE123+BE124</f>
        <v>11</v>
      </c>
      <c r="BF125" s="123" t="n">
        <f aca="false">BF123+BF124</f>
        <v>11</v>
      </c>
      <c r="BG125" s="123" t="n">
        <f aca="false">BG123+BG124</f>
        <v>11</v>
      </c>
      <c r="BH125" s="123" t="n">
        <f aca="false">BH123+BH124</f>
        <v>11</v>
      </c>
      <c r="BI125" s="123" t="n">
        <f aca="false">BI123+BI124</f>
        <v>11</v>
      </c>
      <c r="BJ125" s="123" t="n">
        <f aca="false">BJ123+BJ124</f>
        <v>11</v>
      </c>
    </row>
    <row r="127" customFormat="false" ht="15.75" hidden="false" customHeight="true" outlineLevel="0" collapsed="false">
      <c r="A127" s="7" t="s">
        <v>477</v>
      </c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</row>
    <row r="128" customFormat="false" ht="15" hidden="false" customHeight="false" outlineLevel="0" collapsed="false">
      <c r="A128" s="6" t="s">
        <v>478</v>
      </c>
      <c r="C128" s="69" t="n">
        <f aca="false">-C123*Inputs!$B$58/12*1*(1+Inputs!$B$65)*(1+Inputs!$B$66)^(C$7-1)</f>
        <v>-6720</v>
      </c>
      <c r="D128" s="69" t="n">
        <f aca="false">-D123*Inputs!$B$58/12*1*(1+Inputs!$B$65)*(1+Inputs!$B$66)^(D$7-1)</f>
        <v>-6720</v>
      </c>
      <c r="E128" s="69" t="n">
        <f aca="false">-E123*Inputs!$B$58/12*1*(1+Inputs!$B$65)*(1+Inputs!$B$66)^(E$7-1)</f>
        <v>-6720</v>
      </c>
      <c r="F128" s="69" t="n">
        <f aca="false">-F123*Inputs!$B$58/12*1*(1+Inputs!$B$65)*(1+Inputs!$B$66)^(F$7-1)</f>
        <v>-6720</v>
      </c>
      <c r="G128" s="69" t="n">
        <f aca="false">-G123*Inputs!$B$58/12*1*(1+Inputs!$B$65)*(1+Inputs!$B$66)^(G$7-1)</f>
        <v>-6720</v>
      </c>
      <c r="H128" s="69" t="n">
        <f aca="false">-H123*Inputs!$B$58/12*1*(1+Inputs!$B$65)*(1+Inputs!$B$66)^(H$7-1)</f>
        <v>-6720</v>
      </c>
      <c r="I128" s="69" t="n">
        <f aca="false">-I123*Inputs!$B$58/12*1*(1+Inputs!$B$65)*(1+Inputs!$B$66)^(I$7-1)</f>
        <v>-6720</v>
      </c>
      <c r="J128" s="69" t="n">
        <f aca="false">-J123*Inputs!$B$58/12*1*(1+Inputs!$B$65)*(1+Inputs!$B$66)^(J$7-1)</f>
        <v>-6720</v>
      </c>
      <c r="K128" s="69" t="n">
        <f aca="false">-K123*Inputs!$B$58/12*1*(1+Inputs!$B$65)*(1+Inputs!$B$66)^(K$7-1)</f>
        <v>-6720</v>
      </c>
      <c r="L128" s="69" t="n">
        <f aca="false">-L123*Inputs!$B$58/12*1*(1+Inputs!$B$65)*(1+Inputs!$B$66)^(L$7-1)</f>
        <v>-6720</v>
      </c>
      <c r="M128" s="69" t="n">
        <f aca="false">-M123*Inputs!$B$58/12*1*(1+Inputs!$B$65)*(1+Inputs!$B$66)^(M$7-1)</f>
        <v>-6720</v>
      </c>
      <c r="N128" s="69" t="n">
        <f aca="false">-N123*Inputs!$B$58/12*1*(1+Inputs!$B$65)*(1+Inputs!$B$66)^(N$7-1)</f>
        <v>-6720</v>
      </c>
      <c r="O128" s="69" t="n">
        <f aca="false">-O123*Inputs!$B$58/12*1*(1+Inputs!$B$65)*(1+Inputs!$B$66)^(O$7-1)</f>
        <v>-6921.6</v>
      </c>
      <c r="P128" s="69" t="n">
        <f aca="false">-P123*Inputs!$B$58/12*1*(1+Inputs!$B$65)*(1+Inputs!$B$66)^(P$7-1)</f>
        <v>-6921.6</v>
      </c>
      <c r="Q128" s="69" t="n">
        <f aca="false">-Q123*Inputs!$B$58/12*1*(1+Inputs!$B$65)*(1+Inputs!$B$66)^(Q$7-1)</f>
        <v>-6921.6</v>
      </c>
      <c r="R128" s="69" t="n">
        <f aca="false">-R123*Inputs!$B$58/12*1*(1+Inputs!$B$65)*(1+Inputs!$B$66)^(R$7-1)</f>
        <v>-6921.6</v>
      </c>
      <c r="S128" s="69" t="n">
        <f aca="false">-S123*Inputs!$B$58/12*1*(1+Inputs!$B$65)*(1+Inputs!$B$66)^(S$7-1)</f>
        <v>-6921.6</v>
      </c>
      <c r="T128" s="69" t="n">
        <f aca="false">-T123*Inputs!$B$58/12*1*(1+Inputs!$B$65)*(1+Inputs!$B$66)^(T$7-1)</f>
        <v>-6921.6</v>
      </c>
      <c r="U128" s="69" t="n">
        <f aca="false">-U123*Inputs!$B$58/12*1*(1+Inputs!$B$65)*(1+Inputs!$B$66)^(U$7-1)</f>
        <v>-6921.6</v>
      </c>
      <c r="V128" s="69" t="n">
        <f aca="false">-V123*Inputs!$B$58/12*1*(1+Inputs!$B$65)*(1+Inputs!$B$66)^(V$7-1)</f>
        <v>-6921.6</v>
      </c>
      <c r="W128" s="69" t="n">
        <f aca="false">-W123*Inputs!$B$58/12*1*(1+Inputs!$B$65)*(1+Inputs!$B$66)^(W$7-1)</f>
        <v>-6921.6</v>
      </c>
      <c r="X128" s="69" t="n">
        <f aca="false">-X123*Inputs!$B$58/12*1*(1+Inputs!$B$65)*(1+Inputs!$B$66)^(X$7-1)</f>
        <v>-6921.6</v>
      </c>
      <c r="Y128" s="69" t="n">
        <f aca="false">-Y123*Inputs!$B$58/12*1*(1+Inputs!$B$65)*(1+Inputs!$B$66)^(Y$7-1)</f>
        <v>-6921.6</v>
      </c>
      <c r="Z128" s="69" t="n">
        <f aca="false">-Z123*Inputs!$B$58/12*1*(1+Inputs!$B$65)*(1+Inputs!$B$66)^(Z$7-1)</f>
        <v>-6921.6</v>
      </c>
      <c r="AA128" s="69" t="n">
        <f aca="false">-AA123*Inputs!$B$58/12*1*(1+Inputs!$B$65)*(1+Inputs!$B$66)^(AA$7-1)</f>
        <v>-7129.248</v>
      </c>
      <c r="AB128" s="69" t="n">
        <f aca="false">-AB123*Inputs!$B$58/12*1*(1+Inputs!$B$65)*(1+Inputs!$B$66)^(AB$7-1)</f>
        <v>-7129.248</v>
      </c>
      <c r="AC128" s="69" t="n">
        <f aca="false">-AC123*Inputs!$B$58/12*1*(1+Inputs!$B$65)*(1+Inputs!$B$66)^(AC$7-1)</f>
        <v>-7129.248</v>
      </c>
      <c r="AD128" s="69" t="n">
        <f aca="false">-AD123*Inputs!$B$58/12*1*(1+Inputs!$B$65)*(1+Inputs!$B$66)^(AD$7-1)</f>
        <v>-7129.248</v>
      </c>
      <c r="AE128" s="69" t="n">
        <f aca="false">-AE123*Inputs!$B$58/12*1*(1+Inputs!$B$65)*(1+Inputs!$B$66)^(AE$7-1)</f>
        <v>-7129.248</v>
      </c>
      <c r="AF128" s="69" t="n">
        <f aca="false">-AF123*Inputs!$B$58/12*1*(1+Inputs!$B$65)*(1+Inputs!$B$66)^(AF$7-1)</f>
        <v>-7129.248</v>
      </c>
      <c r="AG128" s="69" t="n">
        <f aca="false">-AG123*Inputs!$B$58/12*1*(1+Inputs!$B$65)*(1+Inputs!$B$66)^(AG$7-1)</f>
        <v>-7129.248</v>
      </c>
      <c r="AH128" s="69" t="n">
        <f aca="false">-AH123*Inputs!$B$58/12*1*(1+Inputs!$B$65)*(1+Inputs!$B$66)^(AH$7-1)</f>
        <v>-7129.248</v>
      </c>
      <c r="AI128" s="69" t="n">
        <f aca="false">-AI123*Inputs!$B$58/12*1*(1+Inputs!$B$65)*(1+Inputs!$B$66)^(AI$7-1)</f>
        <v>-7129.248</v>
      </c>
      <c r="AJ128" s="69" t="n">
        <f aca="false">-AJ123*Inputs!$B$58/12*1*(1+Inputs!$B$65)*(1+Inputs!$B$66)^(AJ$7-1)</f>
        <v>-7129.248</v>
      </c>
      <c r="AK128" s="69" t="n">
        <f aca="false">-AK123*Inputs!$B$58/12*1*(1+Inputs!$B$65)*(1+Inputs!$B$66)^(AK$7-1)</f>
        <v>-7129.248</v>
      </c>
      <c r="AL128" s="69" t="n">
        <f aca="false">-AL123*Inputs!$B$58/12*1*(1+Inputs!$B$65)*(1+Inputs!$B$66)^(AL$7-1)</f>
        <v>-7129.248</v>
      </c>
      <c r="AM128" s="69" t="n">
        <f aca="false">-AM123*Inputs!$B$58/12*1*(1+Inputs!$B$65)*(1+Inputs!$B$66)^(AM$7-1)</f>
        <v>-7343.12544</v>
      </c>
      <c r="AN128" s="69" t="n">
        <f aca="false">-AN123*Inputs!$B$58/12*1*(1+Inputs!$B$65)*(1+Inputs!$B$66)^(AN$7-1)</f>
        <v>-7343.12544</v>
      </c>
      <c r="AO128" s="69" t="n">
        <f aca="false">-AO123*Inputs!$B$58/12*1*(1+Inputs!$B$65)*(1+Inputs!$B$66)^(AO$7-1)</f>
        <v>-7343.12544</v>
      </c>
      <c r="AP128" s="69" t="n">
        <f aca="false">-AP123*Inputs!$B$58/12*1*(1+Inputs!$B$65)*(1+Inputs!$B$66)^(AP$7-1)</f>
        <v>-7343.12544</v>
      </c>
      <c r="AQ128" s="69" t="n">
        <f aca="false">-AQ123*Inputs!$B$58/12*1*(1+Inputs!$B$65)*(1+Inputs!$B$66)^(AQ$7-1)</f>
        <v>-7343.12544</v>
      </c>
      <c r="AR128" s="69" t="n">
        <f aca="false">-AR123*Inputs!$B$58/12*1*(1+Inputs!$B$65)*(1+Inputs!$B$66)^(AR$7-1)</f>
        <v>-7343.12544</v>
      </c>
      <c r="AS128" s="69" t="n">
        <f aca="false">-AS123*Inputs!$B$58/12*1*(1+Inputs!$B$65)*(1+Inputs!$B$66)^(AS$7-1)</f>
        <v>-7343.12544</v>
      </c>
      <c r="AT128" s="69" t="n">
        <f aca="false">-AT123*Inputs!$B$58/12*1*(1+Inputs!$B$65)*(1+Inputs!$B$66)^(AT$7-1)</f>
        <v>-7343.12544</v>
      </c>
      <c r="AU128" s="69" t="n">
        <f aca="false">-AU123*Inputs!$B$58/12*1*(1+Inputs!$B$65)*(1+Inputs!$B$66)^(AU$7-1)</f>
        <v>-7343.12544</v>
      </c>
      <c r="AV128" s="69" t="n">
        <f aca="false">-AV123*Inputs!$B$58/12*1*(1+Inputs!$B$65)*(1+Inputs!$B$66)^(AV$7-1)</f>
        <v>-7343.12544</v>
      </c>
      <c r="AW128" s="69" t="n">
        <f aca="false">-AW123*Inputs!$B$58/12*1*(1+Inputs!$B$65)*(1+Inputs!$B$66)^(AW$7-1)</f>
        <v>-7343.12544</v>
      </c>
      <c r="AX128" s="69" t="n">
        <f aca="false">-AX123*Inputs!$B$58/12*1*(1+Inputs!$B$65)*(1+Inputs!$B$66)^(AX$7-1)</f>
        <v>-7343.12544</v>
      </c>
      <c r="AY128" s="69" t="n">
        <f aca="false">-AY123*Inputs!$B$58/12*1*(1+Inputs!$B$65)*(1+Inputs!$B$66)^(AY$7-1)</f>
        <v>-7563.4192032</v>
      </c>
      <c r="AZ128" s="69" t="n">
        <f aca="false">-AZ123*Inputs!$B$58/12*1*(1+Inputs!$B$65)*(1+Inputs!$B$66)^(AZ$7-1)</f>
        <v>-7563.4192032</v>
      </c>
      <c r="BA128" s="69" t="n">
        <f aca="false">-BA123*Inputs!$B$58/12*1*(1+Inputs!$B$65)*(1+Inputs!$B$66)^(BA$7-1)</f>
        <v>-7563.4192032</v>
      </c>
      <c r="BB128" s="69" t="n">
        <f aca="false">-BB123*Inputs!$B$58/12*1*(1+Inputs!$B$65)*(1+Inputs!$B$66)^(BB$7-1)</f>
        <v>-7563.4192032</v>
      </c>
      <c r="BC128" s="69" t="n">
        <f aca="false">-BC123*Inputs!$B$58/12*1*(1+Inputs!$B$65)*(1+Inputs!$B$66)^(BC$7-1)</f>
        <v>-7563.4192032</v>
      </c>
      <c r="BD128" s="69" t="n">
        <f aca="false">-BD123*Inputs!$B$58/12*1*(1+Inputs!$B$65)*(1+Inputs!$B$66)^(BD$7-1)</f>
        <v>-7563.4192032</v>
      </c>
      <c r="BE128" s="69" t="n">
        <f aca="false">-BE123*Inputs!$B$58/12*1*(1+Inputs!$B$65)*(1+Inputs!$B$66)^(BE$7-1)</f>
        <v>-7563.4192032</v>
      </c>
      <c r="BF128" s="69" t="n">
        <f aca="false">-BF123*Inputs!$B$58/12*1*(1+Inputs!$B$65)*(1+Inputs!$B$66)^(BF$7-1)</f>
        <v>-7563.4192032</v>
      </c>
      <c r="BG128" s="69" t="n">
        <f aca="false">-BG123*Inputs!$B$58/12*1*(1+Inputs!$B$65)*(1+Inputs!$B$66)^(BG$7-1)</f>
        <v>-7563.4192032</v>
      </c>
      <c r="BH128" s="69" t="n">
        <f aca="false">-BH123*Inputs!$B$58/12*1*(1+Inputs!$B$65)*(1+Inputs!$B$66)^(BH$7-1)</f>
        <v>-7563.4192032</v>
      </c>
      <c r="BI128" s="69" t="n">
        <f aca="false">-BI123*Inputs!$B$58/12*1*(1+Inputs!$B$65)*(1+Inputs!$B$66)^(BI$7-1)</f>
        <v>-7563.4192032</v>
      </c>
      <c r="BJ128" s="69" t="n">
        <f aca="false">-BJ123*Inputs!$B$58/12*1*(1+Inputs!$B$65)*(1+Inputs!$B$66)^(BJ$7-1)</f>
        <v>-7563.4192032</v>
      </c>
    </row>
    <row r="129" customFormat="false" ht="15" hidden="false" customHeight="false" outlineLevel="0" collapsed="false">
      <c r="A129" s="6" t="s">
        <v>479</v>
      </c>
      <c r="C129" s="69" t="n">
        <f aca="false">-C124*Inputs!$B$62/12*1*(1+Inputs!$B$65)*(1+Inputs!$B$66)^(C$7-1)</f>
        <v>-29866.6666666667</v>
      </c>
      <c r="D129" s="69" t="n">
        <f aca="false">-D124*Inputs!$B$62/12*1*(1+Inputs!$B$65)*(1+Inputs!$B$66)^(D$7-1)</f>
        <v>-29866.6666666667</v>
      </c>
      <c r="E129" s="69" t="n">
        <f aca="false">-E124*Inputs!$B$62/12*1*(1+Inputs!$B$65)*(1+Inputs!$B$66)^(E$7-1)</f>
        <v>-29866.6666666667</v>
      </c>
      <c r="F129" s="69" t="n">
        <f aca="false">-F124*Inputs!$B$62/12*1*(1+Inputs!$B$65)*(1+Inputs!$B$66)^(F$7-1)</f>
        <v>-29866.6666666667</v>
      </c>
      <c r="G129" s="69" t="n">
        <f aca="false">-G124*Inputs!$B$62/12*1*(1+Inputs!$B$65)*(1+Inputs!$B$66)^(G$7-1)</f>
        <v>-29866.6666666667</v>
      </c>
      <c r="H129" s="69" t="n">
        <f aca="false">-H124*Inputs!$B$62/12*1*(1+Inputs!$B$65)*(1+Inputs!$B$66)^(H$7-1)</f>
        <v>-29866.6666666667</v>
      </c>
      <c r="I129" s="69" t="n">
        <f aca="false">-I124*Inputs!$B$62/12*1*(1+Inputs!$B$65)*(1+Inputs!$B$66)^(I$7-1)</f>
        <v>-29866.6666666667</v>
      </c>
      <c r="J129" s="69" t="n">
        <f aca="false">-J124*Inputs!$B$62/12*1*(1+Inputs!$B$65)*(1+Inputs!$B$66)^(J$7-1)</f>
        <v>-29866.6666666667</v>
      </c>
      <c r="K129" s="69" t="n">
        <f aca="false">-K124*Inputs!$B$62/12*1*(1+Inputs!$B$65)*(1+Inputs!$B$66)^(K$7-1)</f>
        <v>-29866.6666666667</v>
      </c>
      <c r="L129" s="69" t="n">
        <f aca="false">-L124*Inputs!$B$62/12*1*(1+Inputs!$B$65)*(1+Inputs!$B$66)^(L$7-1)</f>
        <v>-29866.6666666667</v>
      </c>
      <c r="M129" s="69" t="n">
        <f aca="false">-M124*Inputs!$B$62/12*1*(1+Inputs!$B$65)*(1+Inputs!$B$66)^(M$7-1)</f>
        <v>-29866.6666666667</v>
      </c>
      <c r="N129" s="69" t="n">
        <f aca="false">-N124*Inputs!$B$62/12*1*(1+Inputs!$B$65)*(1+Inputs!$B$66)^(N$7-1)</f>
        <v>-29866.6666666667</v>
      </c>
      <c r="O129" s="69" t="n">
        <f aca="false">-O124*Inputs!$B$62/12*1*(1+Inputs!$B$65)*(1+Inputs!$B$66)^(O$7-1)</f>
        <v>-30762.6666666667</v>
      </c>
      <c r="P129" s="69" t="n">
        <f aca="false">-P124*Inputs!$B$62/12*1*(1+Inputs!$B$65)*(1+Inputs!$B$66)^(P$7-1)</f>
        <v>-30762.6666666667</v>
      </c>
      <c r="Q129" s="69" t="n">
        <f aca="false">-Q124*Inputs!$B$62/12*1*(1+Inputs!$B$65)*(1+Inputs!$B$66)^(Q$7-1)</f>
        <v>-30762.6666666667</v>
      </c>
      <c r="R129" s="69" t="n">
        <f aca="false">-R124*Inputs!$B$62/12*1*(1+Inputs!$B$65)*(1+Inputs!$B$66)^(R$7-1)</f>
        <v>-30762.6666666667</v>
      </c>
      <c r="S129" s="69" t="n">
        <f aca="false">-S124*Inputs!$B$62/12*1*(1+Inputs!$B$65)*(1+Inputs!$B$66)^(S$7-1)</f>
        <v>-30762.6666666667</v>
      </c>
      <c r="T129" s="69" t="n">
        <f aca="false">-T124*Inputs!$B$62/12*1*(1+Inputs!$B$65)*(1+Inputs!$B$66)^(T$7-1)</f>
        <v>-30762.6666666667</v>
      </c>
      <c r="U129" s="69" t="n">
        <f aca="false">-U124*Inputs!$B$62/12*1*(1+Inputs!$B$65)*(1+Inputs!$B$66)^(U$7-1)</f>
        <v>-30762.6666666667</v>
      </c>
      <c r="V129" s="69" t="n">
        <f aca="false">-V124*Inputs!$B$62/12*1*(1+Inputs!$B$65)*(1+Inputs!$B$66)^(V$7-1)</f>
        <v>-30762.6666666667</v>
      </c>
      <c r="W129" s="69" t="n">
        <f aca="false">-W124*Inputs!$B$62/12*1*(1+Inputs!$B$65)*(1+Inputs!$B$66)^(W$7-1)</f>
        <v>-30762.6666666667</v>
      </c>
      <c r="X129" s="69" t="n">
        <f aca="false">-X124*Inputs!$B$62/12*1*(1+Inputs!$B$65)*(1+Inputs!$B$66)^(X$7-1)</f>
        <v>-30762.6666666667</v>
      </c>
      <c r="Y129" s="69" t="n">
        <f aca="false">-Y124*Inputs!$B$62/12*1*(1+Inputs!$B$65)*(1+Inputs!$B$66)^(Y$7-1)</f>
        <v>-30762.6666666667</v>
      </c>
      <c r="Z129" s="69" t="n">
        <f aca="false">-Z124*Inputs!$B$62/12*1*(1+Inputs!$B$65)*(1+Inputs!$B$66)^(Z$7-1)</f>
        <v>-30762.6666666667</v>
      </c>
      <c r="AA129" s="69" t="n">
        <f aca="false">-AA124*Inputs!$B$62/12*1*(1+Inputs!$B$65)*(1+Inputs!$B$66)^(AA$7-1)</f>
        <v>-31685.5466666667</v>
      </c>
      <c r="AB129" s="69" t="n">
        <f aca="false">-AB124*Inputs!$B$62/12*1*(1+Inputs!$B$65)*(1+Inputs!$B$66)^(AB$7-1)</f>
        <v>-31685.5466666667</v>
      </c>
      <c r="AC129" s="69" t="n">
        <f aca="false">-AC124*Inputs!$B$62/12*1*(1+Inputs!$B$65)*(1+Inputs!$B$66)^(AC$7-1)</f>
        <v>-31685.5466666667</v>
      </c>
      <c r="AD129" s="69" t="n">
        <f aca="false">-AD124*Inputs!$B$62/12*1*(1+Inputs!$B$65)*(1+Inputs!$B$66)^(AD$7-1)</f>
        <v>-31685.5466666667</v>
      </c>
      <c r="AE129" s="69" t="n">
        <f aca="false">-AE124*Inputs!$B$62/12*1*(1+Inputs!$B$65)*(1+Inputs!$B$66)^(AE$7-1)</f>
        <v>-31685.5466666667</v>
      </c>
      <c r="AF129" s="69" t="n">
        <f aca="false">-AF124*Inputs!$B$62/12*1*(1+Inputs!$B$65)*(1+Inputs!$B$66)^(AF$7-1)</f>
        <v>-31685.5466666667</v>
      </c>
      <c r="AG129" s="69" t="n">
        <f aca="false">-AG124*Inputs!$B$62/12*1*(1+Inputs!$B$65)*(1+Inputs!$B$66)^(AG$7-1)</f>
        <v>-31685.5466666667</v>
      </c>
      <c r="AH129" s="69" t="n">
        <f aca="false">-AH124*Inputs!$B$62/12*1*(1+Inputs!$B$65)*(1+Inputs!$B$66)^(AH$7-1)</f>
        <v>-31685.5466666667</v>
      </c>
      <c r="AI129" s="69" t="n">
        <f aca="false">-AI124*Inputs!$B$62/12*1*(1+Inputs!$B$65)*(1+Inputs!$B$66)^(AI$7-1)</f>
        <v>-31685.5466666667</v>
      </c>
      <c r="AJ129" s="69" t="n">
        <f aca="false">-AJ124*Inputs!$B$62/12*1*(1+Inputs!$B$65)*(1+Inputs!$B$66)^(AJ$7-1)</f>
        <v>-31685.5466666667</v>
      </c>
      <c r="AK129" s="69" t="n">
        <f aca="false">-AK124*Inputs!$B$62/12*1*(1+Inputs!$B$65)*(1+Inputs!$B$66)^(AK$7-1)</f>
        <v>-31685.5466666667</v>
      </c>
      <c r="AL129" s="69" t="n">
        <f aca="false">-AL124*Inputs!$B$62/12*1*(1+Inputs!$B$65)*(1+Inputs!$B$66)^(AL$7-1)</f>
        <v>-31685.5466666667</v>
      </c>
      <c r="AM129" s="69" t="n">
        <f aca="false">-AM124*Inputs!$B$62/12*1*(1+Inputs!$B$65)*(1+Inputs!$B$66)^(AM$7-1)</f>
        <v>-32636.1130666667</v>
      </c>
      <c r="AN129" s="69" t="n">
        <f aca="false">-AN124*Inputs!$B$62/12*1*(1+Inputs!$B$65)*(1+Inputs!$B$66)^(AN$7-1)</f>
        <v>-32636.1130666667</v>
      </c>
      <c r="AO129" s="69" t="n">
        <f aca="false">-AO124*Inputs!$B$62/12*1*(1+Inputs!$B$65)*(1+Inputs!$B$66)^(AO$7-1)</f>
        <v>-32636.1130666667</v>
      </c>
      <c r="AP129" s="69" t="n">
        <f aca="false">-AP124*Inputs!$B$62/12*1*(1+Inputs!$B$65)*(1+Inputs!$B$66)^(AP$7-1)</f>
        <v>-32636.1130666667</v>
      </c>
      <c r="AQ129" s="69" t="n">
        <f aca="false">-AQ124*Inputs!$B$62/12*1*(1+Inputs!$B$65)*(1+Inputs!$B$66)^(AQ$7-1)</f>
        <v>-32636.1130666667</v>
      </c>
      <c r="AR129" s="69" t="n">
        <f aca="false">-AR124*Inputs!$B$62/12*1*(1+Inputs!$B$65)*(1+Inputs!$B$66)^(AR$7-1)</f>
        <v>-32636.1130666667</v>
      </c>
      <c r="AS129" s="69" t="n">
        <f aca="false">-AS124*Inputs!$B$62/12*1*(1+Inputs!$B$65)*(1+Inputs!$B$66)^(AS$7-1)</f>
        <v>-32636.1130666667</v>
      </c>
      <c r="AT129" s="69" t="n">
        <f aca="false">-AT124*Inputs!$B$62/12*1*(1+Inputs!$B$65)*(1+Inputs!$B$66)^(AT$7-1)</f>
        <v>-32636.1130666667</v>
      </c>
      <c r="AU129" s="69" t="n">
        <f aca="false">-AU124*Inputs!$B$62/12*1*(1+Inputs!$B$65)*(1+Inputs!$B$66)^(AU$7-1)</f>
        <v>-32636.1130666667</v>
      </c>
      <c r="AV129" s="69" t="n">
        <f aca="false">-AV124*Inputs!$B$62/12*1*(1+Inputs!$B$65)*(1+Inputs!$B$66)^(AV$7-1)</f>
        <v>-32636.1130666667</v>
      </c>
      <c r="AW129" s="69" t="n">
        <f aca="false">-AW124*Inputs!$B$62/12*1*(1+Inputs!$B$65)*(1+Inputs!$B$66)^(AW$7-1)</f>
        <v>-32636.1130666667</v>
      </c>
      <c r="AX129" s="69" t="n">
        <f aca="false">-AX124*Inputs!$B$62/12*1*(1+Inputs!$B$65)*(1+Inputs!$B$66)^(AX$7-1)</f>
        <v>-32636.1130666667</v>
      </c>
      <c r="AY129" s="69" t="n">
        <f aca="false">-AY124*Inputs!$B$62/12*1*(1+Inputs!$B$65)*(1+Inputs!$B$66)^(AY$7-1)</f>
        <v>-33615.1964586667</v>
      </c>
      <c r="AZ129" s="69" t="n">
        <f aca="false">-AZ124*Inputs!$B$62/12*1*(1+Inputs!$B$65)*(1+Inputs!$B$66)^(AZ$7-1)</f>
        <v>-33615.1964586667</v>
      </c>
      <c r="BA129" s="69" t="n">
        <f aca="false">-BA124*Inputs!$B$62/12*1*(1+Inputs!$B$65)*(1+Inputs!$B$66)^(BA$7-1)</f>
        <v>-33615.1964586667</v>
      </c>
      <c r="BB129" s="69" t="n">
        <f aca="false">-BB124*Inputs!$B$62/12*1*(1+Inputs!$B$65)*(1+Inputs!$B$66)^(BB$7-1)</f>
        <v>-33615.1964586667</v>
      </c>
      <c r="BC129" s="69" t="n">
        <f aca="false">-BC124*Inputs!$B$62/12*1*(1+Inputs!$B$65)*(1+Inputs!$B$66)^(BC$7-1)</f>
        <v>-33615.1964586667</v>
      </c>
      <c r="BD129" s="69" t="n">
        <f aca="false">-BD124*Inputs!$B$62/12*1*(1+Inputs!$B$65)*(1+Inputs!$B$66)^(BD$7-1)</f>
        <v>-33615.1964586667</v>
      </c>
      <c r="BE129" s="69" t="n">
        <f aca="false">-BE124*Inputs!$B$62/12*1*(1+Inputs!$B$65)*(1+Inputs!$B$66)^(BE$7-1)</f>
        <v>-33615.1964586667</v>
      </c>
      <c r="BF129" s="69" t="n">
        <f aca="false">-BF124*Inputs!$B$62/12*1*(1+Inputs!$B$65)*(1+Inputs!$B$66)^(BF$7-1)</f>
        <v>-33615.1964586667</v>
      </c>
      <c r="BG129" s="69" t="n">
        <f aca="false">-BG124*Inputs!$B$62/12*1*(1+Inputs!$B$65)*(1+Inputs!$B$66)^(BG$7-1)</f>
        <v>-33615.1964586667</v>
      </c>
      <c r="BH129" s="69" t="n">
        <f aca="false">-BH124*Inputs!$B$62/12*1*(1+Inputs!$B$65)*(1+Inputs!$B$66)^(BH$7-1)</f>
        <v>-33615.1964586667</v>
      </c>
      <c r="BI129" s="69" t="n">
        <f aca="false">-BI124*Inputs!$B$62/12*1*(1+Inputs!$B$65)*(1+Inputs!$B$66)^(BI$7-1)</f>
        <v>-33615.1964586667</v>
      </c>
      <c r="BJ129" s="69" t="n">
        <f aca="false">-BJ124*Inputs!$B$62/12*1*(1+Inputs!$B$65)*(1+Inputs!$B$66)^(BJ$7-1)</f>
        <v>-33615.1964586667</v>
      </c>
    </row>
    <row r="130" customFormat="false" ht="15" hidden="false" customHeight="false" outlineLevel="0" collapsed="false">
      <c r="A130" s="113" t="s">
        <v>480</v>
      </c>
      <c r="C130" s="70" t="n">
        <f aca="false">C128+C129</f>
        <v>-36586.6666666667</v>
      </c>
      <c r="D130" s="70" t="n">
        <f aca="false">D128+D129</f>
        <v>-36586.6666666667</v>
      </c>
      <c r="E130" s="70" t="n">
        <f aca="false">E128+E129</f>
        <v>-36586.6666666667</v>
      </c>
      <c r="F130" s="70" t="n">
        <f aca="false">F128+F129</f>
        <v>-36586.6666666667</v>
      </c>
      <c r="G130" s="70" t="n">
        <f aca="false">G128+G129</f>
        <v>-36586.6666666667</v>
      </c>
      <c r="H130" s="70" t="n">
        <f aca="false">H128+H129</f>
        <v>-36586.6666666667</v>
      </c>
      <c r="I130" s="70" t="n">
        <f aca="false">I128+I129</f>
        <v>-36586.6666666667</v>
      </c>
      <c r="J130" s="70" t="n">
        <f aca="false">J128+J129</f>
        <v>-36586.6666666667</v>
      </c>
      <c r="K130" s="70" t="n">
        <f aca="false">K128+K129</f>
        <v>-36586.6666666667</v>
      </c>
      <c r="L130" s="70" t="n">
        <f aca="false">L128+L129</f>
        <v>-36586.6666666667</v>
      </c>
      <c r="M130" s="70" t="n">
        <f aca="false">M128+M129</f>
        <v>-36586.6666666667</v>
      </c>
      <c r="N130" s="70" t="n">
        <f aca="false">N128+N129</f>
        <v>-36586.6666666667</v>
      </c>
      <c r="O130" s="70" t="n">
        <f aca="false">O128+O129</f>
        <v>-37684.2666666667</v>
      </c>
      <c r="P130" s="70" t="n">
        <f aca="false">P128+P129</f>
        <v>-37684.2666666667</v>
      </c>
      <c r="Q130" s="70" t="n">
        <f aca="false">Q128+Q129</f>
        <v>-37684.2666666667</v>
      </c>
      <c r="R130" s="70" t="n">
        <f aca="false">R128+R129</f>
        <v>-37684.2666666667</v>
      </c>
      <c r="S130" s="70" t="n">
        <f aca="false">S128+S129</f>
        <v>-37684.2666666667</v>
      </c>
      <c r="T130" s="70" t="n">
        <f aca="false">T128+T129</f>
        <v>-37684.2666666667</v>
      </c>
      <c r="U130" s="70" t="n">
        <f aca="false">U128+U129</f>
        <v>-37684.2666666667</v>
      </c>
      <c r="V130" s="70" t="n">
        <f aca="false">V128+V129</f>
        <v>-37684.2666666667</v>
      </c>
      <c r="W130" s="70" t="n">
        <f aca="false">W128+W129</f>
        <v>-37684.2666666667</v>
      </c>
      <c r="X130" s="70" t="n">
        <f aca="false">X128+X129</f>
        <v>-37684.2666666667</v>
      </c>
      <c r="Y130" s="70" t="n">
        <f aca="false">Y128+Y129</f>
        <v>-37684.2666666667</v>
      </c>
      <c r="Z130" s="70" t="n">
        <f aca="false">Z128+Z129</f>
        <v>-37684.2666666667</v>
      </c>
      <c r="AA130" s="70" t="n">
        <f aca="false">AA128+AA129</f>
        <v>-38814.7946666667</v>
      </c>
      <c r="AB130" s="70" t="n">
        <f aca="false">AB128+AB129</f>
        <v>-38814.7946666667</v>
      </c>
      <c r="AC130" s="70" t="n">
        <f aca="false">AC128+AC129</f>
        <v>-38814.7946666667</v>
      </c>
      <c r="AD130" s="70" t="n">
        <f aca="false">AD128+AD129</f>
        <v>-38814.7946666667</v>
      </c>
      <c r="AE130" s="70" t="n">
        <f aca="false">AE128+AE129</f>
        <v>-38814.7946666667</v>
      </c>
      <c r="AF130" s="70" t="n">
        <f aca="false">AF128+AF129</f>
        <v>-38814.7946666667</v>
      </c>
      <c r="AG130" s="70" t="n">
        <f aca="false">AG128+AG129</f>
        <v>-38814.7946666667</v>
      </c>
      <c r="AH130" s="70" t="n">
        <f aca="false">AH128+AH129</f>
        <v>-38814.7946666667</v>
      </c>
      <c r="AI130" s="70" t="n">
        <f aca="false">AI128+AI129</f>
        <v>-38814.7946666667</v>
      </c>
      <c r="AJ130" s="70" t="n">
        <f aca="false">AJ128+AJ129</f>
        <v>-38814.7946666667</v>
      </c>
      <c r="AK130" s="70" t="n">
        <f aca="false">AK128+AK129</f>
        <v>-38814.7946666667</v>
      </c>
      <c r="AL130" s="70" t="n">
        <f aca="false">AL128+AL129</f>
        <v>-38814.7946666667</v>
      </c>
      <c r="AM130" s="70" t="n">
        <f aca="false">AM128+AM129</f>
        <v>-39979.2385066667</v>
      </c>
      <c r="AN130" s="70" t="n">
        <f aca="false">AN128+AN129</f>
        <v>-39979.2385066667</v>
      </c>
      <c r="AO130" s="70" t="n">
        <f aca="false">AO128+AO129</f>
        <v>-39979.2385066667</v>
      </c>
      <c r="AP130" s="70" t="n">
        <f aca="false">AP128+AP129</f>
        <v>-39979.2385066667</v>
      </c>
      <c r="AQ130" s="70" t="n">
        <f aca="false">AQ128+AQ129</f>
        <v>-39979.2385066667</v>
      </c>
      <c r="AR130" s="70" t="n">
        <f aca="false">AR128+AR129</f>
        <v>-39979.2385066667</v>
      </c>
      <c r="AS130" s="70" t="n">
        <f aca="false">AS128+AS129</f>
        <v>-39979.2385066667</v>
      </c>
      <c r="AT130" s="70" t="n">
        <f aca="false">AT128+AT129</f>
        <v>-39979.2385066667</v>
      </c>
      <c r="AU130" s="70" t="n">
        <f aca="false">AU128+AU129</f>
        <v>-39979.2385066667</v>
      </c>
      <c r="AV130" s="70" t="n">
        <f aca="false">AV128+AV129</f>
        <v>-39979.2385066667</v>
      </c>
      <c r="AW130" s="70" t="n">
        <f aca="false">AW128+AW129</f>
        <v>-39979.2385066667</v>
      </c>
      <c r="AX130" s="70" t="n">
        <f aca="false">AX128+AX129</f>
        <v>-39979.2385066667</v>
      </c>
      <c r="AY130" s="70" t="n">
        <f aca="false">AY128+AY129</f>
        <v>-41178.6156618667</v>
      </c>
      <c r="AZ130" s="70" t="n">
        <f aca="false">AZ128+AZ129</f>
        <v>-41178.6156618667</v>
      </c>
      <c r="BA130" s="70" t="n">
        <f aca="false">BA128+BA129</f>
        <v>-41178.6156618667</v>
      </c>
      <c r="BB130" s="70" t="n">
        <f aca="false">BB128+BB129</f>
        <v>-41178.6156618667</v>
      </c>
      <c r="BC130" s="70" t="n">
        <f aca="false">BC128+BC129</f>
        <v>-41178.6156618667</v>
      </c>
      <c r="BD130" s="70" t="n">
        <f aca="false">BD128+BD129</f>
        <v>-41178.6156618667</v>
      </c>
      <c r="BE130" s="70" t="n">
        <f aca="false">BE128+BE129</f>
        <v>-41178.6156618667</v>
      </c>
      <c r="BF130" s="70" t="n">
        <f aca="false">BF128+BF129</f>
        <v>-41178.6156618667</v>
      </c>
      <c r="BG130" s="70" t="n">
        <f aca="false">BG128+BG129</f>
        <v>-41178.6156618667</v>
      </c>
      <c r="BH130" s="70" t="n">
        <f aca="false">BH128+BH129</f>
        <v>-41178.6156618667</v>
      </c>
      <c r="BI130" s="70" t="n">
        <f aca="false">BI128+BI129</f>
        <v>-41178.6156618667</v>
      </c>
      <c r="BJ130" s="70" t="n">
        <f aca="false">BJ128+BJ129</f>
        <v>-41178.6156618667</v>
      </c>
    </row>
    <row r="133" customFormat="false" ht="15.75" hidden="false" customHeight="true" outlineLevel="0" collapsed="false">
      <c r="A133" s="7" t="s">
        <v>484</v>
      </c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</row>
    <row r="134" customFormat="false" ht="15" hidden="false" customHeight="false" outlineLevel="0" collapsed="false">
      <c r="A134" s="33" t="s">
        <v>355</v>
      </c>
      <c r="C134" s="52" t="s">
        <v>356</v>
      </c>
      <c r="D134" s="52" t="s">
        <v>357</v>
      </c>
      <c r="E134" s="52" t="s">
        <v>358</v>
      </c>
      <c r="F134" s="52" t="s">
        <v>359</v>
      </c>
      <c r="G134" s="52" t="s">
        <v>360</v>
      </c>
      <c r="H134" s="52" t="s">
        <v>361</v>
      </c>
      <c r="I134" s="52" t="s">
        <v>362</v>
      </c>
      <c r="J134" s="52" t="s">
        <v>363</v>
      </c>
      <c r="K134" s="52" t="s">
        <v>364</v>
      </c>
      <c r="L134" s="52" t="s">
        <v>365</v>
      </c>
      <c r="M134" s="52" t="s">
        <v>366</v>
      </c>
      <c r="N134" s="52" t="s">
        <v>367</v>
      </c>
      <c r="O134" s="52" t="s">
        <v>368</v>
      </c>
      <c r="P134" s="52" t="s">
        <v>369</v>
      </c>
      <c r="Q134" s="52" t="s">
        <v>370</v>
      </c>
      <c r="R134" s="52" t="s">
        <v>371</v>
      </c>
      <c r="S134" s="52" t="s">
        <v>372</v>
      </c>
      <c r="T134" s="52" t="s">
        <v>373</v>
      </c>
      <c r="U134" s="52" t="s">
        <v>374</v>
      </c>
      <c r="V134" s="52" t="s">
        <v>375</v>
      </c>
      <c r="W134" s="52" t="s">
        <v>376</v>
      </c>
      <c r="X134" s="52" t="s">
        <v>377</v>
      </c>
      <c r="Y134" s="52" t="s">
        <v>378</v>
      </c>
      <c r="Z134" s="52" t="s">
        <v>379</v>
      </c>
      <c r="AA134" s="52" t="s">
        <v>380</v>
      </c>
      <c r="AB134" s="52" t="s">
        <v>381</v>
      </c>
      <c r="AC134" s="52" t="s">
        <v>382</v>
      </c>
      <c r="AD134" s="52" t="s">
        <v>383</v>
      </c>
      <c r="AE134" s="52" t="s">
        <v>384</v>
      </c>
      <c r="AF134" s="52" t="s">
        <v>385</v>
      </c>
      <c r="AG134" s="52" t="s">
        <v>386</v>
      </c>
      <c r="AH134" s="52" t="s">
        <v>387</v>
      </c>
      <c r="AI134" s="52" t="s">
        <v>388</v>
      </c>
      <c r="AJ134" s="52" t="s">
        <v>389</v>
      </c>
      <c r="AK134" s="52" t="s">
        <v>390</v>
      </c>
      <c r="AL134" s="52" t="s">
        <v>391</v>
      </c>
      <c r="AM134" s="52" t="s">
        <v>392</v>
      </c>
      <c r="AN134" s="52" t="s">
        <v>393</v>
      </c>
      <c r="AO134" s="52" t="s">
        <v>394</v>
      </c>
      <c r="AP134" s="52" t="s">
        <v>395</v>
      </c>
      <c r="AQ134" s="52" t="s">
        <v>396</v>
      </c>
      <c r="AR134" s="52" t="s">
        <v>397</v>
      </c>
      <c r="AS134" s="52" t="s">
        <v>398</v>
      </c>
      <c r="AT134" s="52" t="s">
        <v>399</v>
      </c>
      <c r="AU134" s="52" t="s">
        <v>400</v>
      </c>
      <c r="AV134" s="52" t="s">
        <v>401</v>
      </c>
      <c r="AW134" s="52" t="s">
        <v>402</v>
      </c>
      <c r="AX134" s="52" t="s">
        <v>403</v>
      </c>
      <c r="AY134" s="52" t="s">
        <v>404</v>
      </c>
      <c r="AZ134" s="52" t="s">
        <v>405</v>
      </c>
      <c r="BA134" s="52" t="s">
        <v>406</v>
      </c>
      <c r="BB134" s="52" t="s">
        <v>407</v>
      </c>
      <c r="BC134" s="52" t="s">
        <v>408</v>
      </c>
      <c r="BD134" s="52" t="s">
        <v>409</v>
      </c>
      <c r="BE134" s="52" t="s">
        <v>410</v>
      </c>
      <c r="BF134" s="52" t="s">
        <v>411</v>
      </c>
      <c r="BG134" s="52" t="s">
        <v>412</v>
      </c>
      <c r="BH134" s="52" t="s">
        <v>413</v>
      </c>
      <c r="BI134" s="52" t="s">
        <v>414</v>
      </c>
      <c r="BJ134" s="52" t="s">
        <v>415</v>
      </c>
    </row>
    <row r="135" customFormat="false" ht="15" hidden="false" customHeight="false" outlineLevel="0" collapsed="false">
      <c r="A135" s="74" t="s">
        <v>416</v>
      </c>
      <c r="C135" s="74" t="n">
        <v>1</v>
      </c>
      <c r="D135" s="74" t="n">
        <v>2</v>
      </c>
      <c r="E135" s="74" t="n">
        <v>3</v>
      </c>
      <c r="F135" s="74" t="n">
        <v>4</v>
      </c>
      <c r="G135" s="74" t="n">
        <v>5</v>
      </c>
      <c r="H135" s="74" t="n">
        <v>6</v>
      </c>
      <c r="I135" s="74" t="n">
        <v>7</v>
      </c>
      <c r="J135" s="74" t="n">
        <v>8</v>
      </c>
      <c r="K135" s="74" t="n">
        <v>9</v>
      </c>
      <c r="L135" s="74" t="n">
        <v>10</v>
      </c>
      <c r="M135" s="74" t="n">
        <v>11</v>
      </c>
      <c r="N135" s="74" t="n">
        <v>12</v>
      </c>
      <c r="O135" s="74" t="n">
        <v>13</v>
      </c>
      <c r="P135" s="74" t="n">
        <v>14</v>
      </c>
      <c r="Q135" s="74" t="n">
        <v>15</v>
      </c>
      <c r="R135" s="74" t="n">
        <v>16</v>
      </c>
      <c r="S135" s="74" t="n">
        <v>17</v>
      </c>
      <c r="T135" s="74" t="n">
        <v>18</v>
      </c>
      <c r="U135" s="74" t="n">
        <v>19</v>
      </c>
      <c r="V135" s="74" t="n">
        <v>20</v>
      </c>
      <c r="W135" s="74" t="n">
        <v>21</v>
      </c>
      <c r="X135" s="74" t="n">
        <v>22</v>
      </c>
      <c r="Y135" s="74" t="n">
        <v>23</v>
      </c>
      <c r="Z135" s="74" t="n">
        <v>24</v>
      </c>
      <c r="AA135" s="74" t="n">
        <v>25</v>
      </c>
      <c r="AB135" s="74" t="n">
        <v>26</v>
      </c>
      <c r="AC135" s="74" t="n">
        <v>27</v>
      </c>
      <c r="AD135" s="74" t="n">
        <v>28</v>
      </c>
      <c r="AE135" s="74" t="n">
        <v>29</v>
      </c>
      <c r="AF135" s="74" t="n">
        <v>30</v>
      </c>
      <c r="AG135" s="74" t="n">
        <v>31</v>
      </c>
      <c r="AH135" s="74" t="n">
        <v>32</v>
      </c>
      <c r="AI135" s="74" t="n">
        <v>33</v>
      </c>
      <c r="AJ135" s="74" t="n">
        <v>34</v>
      </c>
      <c r="AK135" s="74" t="n">
        <v>35</v>
      </c>
      <c r="AL135" s="74" t="n">
        <v>36</v>
      </c>
      <c r="AM135" s="74" t="n">
        <v>37</v>
      </c>
      <c r="AN135" s="74" t="n">
        <v>38</v>
      </c>
      <c r="AO135" s="74" t="n">
        <v>39</v>
      </c>
      <c r="AP135" s="74" t="n">
        <v>40</v>
      </c>
      <c r="AQ135" s="74" t="n">
        <v>41</v>
      </c>
      <c r="AR135" s="74" t="n">
        <v>42</v>
      </c>
      <c r="AS135" s="74" t="n">
        <v>43</v>
      </c>
      <c r="AT135" s="74" t="n">
        <v>44</v>
      </c>
      <c r="AU135" s="74" t="n">
        <v>45</v>
      </c>
      <c r="AV135" s="74" t="n">
        <v>46</v>
      </c>
      <c r="AW135" s="74" t="n">
        <v>47</v>
      </c>
      <c r="AX135" s="74" t="n">
        <v>48</v>
      </c>
      <c r="AY135" s="74" t="n">
        <v>49</v>
      </c>
      <c r="AZ135" s="74" t="n">
        <v>50</v>
      </c>
      <c r="BA135" s="74" t="n">
        <v>51</v>
      </c>
      <c r="BB135" s="74" t="n">
        <v>52</v>
      </c>
      <c r="BC135" s="74" t="n">
        <v>53</v>
      </c>
      <c r="BD135" s="74" t="n">
        <v>54</v>
      </c>
      <c r="BE135" s="74" t="n">
        <v>55</v>
      </c>
      <c r="BF135" s="74" t="n">
        <v>56</v>
      </c>
      <c r="BG135" s="74" t="n">
        <v>57</v>
      </c>
      <c r="BH135" s="74" t="n">
        <v>58</v>
      </c>
      <c r="BI135" s="74" t="n">
        <v>59</v>
      </c>
      <c r="BJ135" s="74" t="n">
        <v>60</v>
      </c>
    </row>
    <row r="136" customFormat="false" ht="15" hidden="false" customHeight="false" outlineLevel="0" collapsed="false">
      <c r="A136" s="74" t="s">
        <v>155</v>
      </c>
      <c r="C136" s="74" t="n">
        <f aca="false">ROUNDUP(C135*1/12,0)</f>
        <v>1</v>
      </c>
      <c r="D136" s="74" t="n">
        <f aca="false">ROUNDUP(D135*1/12,0)</f>
        <v>1</v>
      </c>
      <c r="E136" s="74" t="n">
        <f aca="false">ROUNDUP(E135*1/12,0)</f>
        <v>1</v>
      </c>
      <c r="F136" s="74" t="n">
        <f aca="false">ROUNDUP(F135*1/12,0)</f>
        <v>1</v>
      </c>
      <c r="G136" s="74" t="n">
        <f aca="false">ROUNDUP(G135*1/12,0)</f>
        <v>1</v>
      </c>
      <c r="H136" s="74" t="n">
        <f aca="false">ROUNDUP(H135*1/12,0)</f>
        <v>1</v>
      </c>
      <c r="I136" s="74" t="n">
        <f aca="false">ROUNDUP(I135*1/12,0)</f>
        <v>1</v>
      </c>
      <c r="J136" s="74" t="n">
        <f aca="false">ROUNDUP(J135*1/12,0)</f>
        <v>1</v>
      </c>
      <c r="K136" s="74" t="n">
        <f aca="false">ROUNDUP(K135*1/12,0)</f>
        <v>1</v>
      </c>
      <c r="L136" s="74" t="n">
        <f aca="false">ROUNDUP(L135*1/12,0)</f>
        <v>1</v>
      </c>
      <c r="M136" s="74" t="n">
        <f aca="false">ROUNDUP(M135*1/12,0)</f>
        <v>1</v>
      </c>
      <c r="N136" s="74" t="n">
        <f aca="false">ROUNDUP(N135*1/12,0)</f>
        <v>1</v>
      </c>
      <c r="O136" s="74" t="n">
        <f aca="false">ROUNDUP(O135*1/12,0)</f>
        <v>2</v>
      </c>
      <c r="P136" s="74" t="n">
        <f aca="false">ROUNDUP(P135*1/12,0)</f>
        <v>2</v>
      </c>
      <c r="Q136" s="74" t="n">
        <f aca="false">ROUNDUP(Q135*1/12,0)</f>
        <v>2</v>
      </c>
      <c r="R136" s="74" t="n">
        <f aca="false">ROUNDUP(R135*1/12,0)</f>
        <v>2</v>
      </c>
      <c r="S136" s="74" t="n">
        <f aca="false">ROUNDUP(S135*1/12,0)</f>
        <v>2</v>
      </c>
      <c r="T136" s="74" t="n">
        <f aca="false">ROUNDUP(T135*1/12,0)</f>
        <v>2</v>
      </c>
      <c r="U136" s="74" t="n">
        <f aca="false">ROUNDUP(U135*1/12,0)</f>
        <v>2</v>
      </c>
      <c r="V136" s="74" t="n">
        <f aca="false">ROUNDUP(V135*1/12,0)</f>
        <v>2</v>
      </c>
      <c r="W136" s="74" t="n">
        <f aca="false">ROUNDUP(W135*1/12,0)</f>
        <v>2</v>
      </c>
      <c r="X136" s="74" t="n">
        <f aca="false">ROUNDUP(X135*1/12,0)</f>
        <v>2</v>
      </c>
      <c r="Y136" s="74" t="n">
        <f aca="false">ROUNDUP(Y135*1/12,0)</f>
        <v>2</v>
      </c>
      <c r="Z136" s="74" t="n">
        <f aca="false">ROUNDUP(Z135*1/12,0)</f>
        <v>2</v>
      </c>
      <c r="AA136" s="74" t="n">
        <f aca="false">ROUNDUP(AA135*1/12,0)</f>
        <v>3</v>
      </c>
      <c r="AB136" s="74" t="n">
        <f aca="false">ROUNDUP(AB135*1/12,0)</f>
        <v>3</v>
      </c>
      <c r="AC136" s="74" t="n">
        <f aca="false">ROUNDUP(AC135*1/12,0)</f>
        <v>3</v>
      </c>
      <c r="AD136" s="74" t="n">
        <f aca="false">ROUNDUP(AD135*1/12,0)</f>
        <v>3</v>
      </c>
      <c r="AE136" s="74" t="n">
        <f aca="false">ROUNDUP(AE135*1/12,0)</f>
        <v>3</v>
      </c>
      <c r="AF136" s="74" t="n">
        <f aca="false">ROUNDUP(AF135*1/12,0)</f>
        <v>3</v>
      </c>
      <c r="AG136" s="74" t="n">
        <f aca="false">ROUNDUP(AG135*1/12,0)</f>
        <v>3</v>
      </c>
      <c r="AH136" s="74" t="n">
        <f aca="false">ROUNDUP(AH135*1/12,0)</f>
        <v>3</v>
      </c>
      <c r="AI136" s="74" t="n">
        <f aca="false">ROUNDUP(AI135*1/12,0)</f>
        <v>3</v>
      </c>
      <c r="AJ136" s="74" t="n">
        <f aca="false">ROUNDUP(AJ135*1/12,0)</f>
        <v>3</v>
      </c>
      <c r="AK136" s="74" t="n">
        <f aca="false">ROUNDUP(AK135*1/12,0)</f>
        <v>3</v>
      </c>
      <c r="AL136" s="74" t="n">
        <f aca="false">ROUNDUP(AL135*1/12,0)</f>
        <v>3</v>
      </c>
      <c r="AM136" s="74" t="n">
        <f aca="false">ROUNDUP(AM135*1/12,0)</f>
        <v>4</v>
      </c>
      <c r="AN136" s="74" t="n">
        <f aca="false">ROUNDUP(AN135*1/12,0)</f>
        <v>4</v>
      </c>
      <c r="AO136" s="74" t="n">
        <f aca="false">ROUNDUP(AO135*1/12,0)</f>
        <v>4</v>
      </c>
      <c r="AP136" s="74" t="n">
        <f aca="false">ROUNDUP(AP135*1/12,0)</f>
        <v>4</v>
      </c>
      <c r="AQ136" s="74" t="n">
        <f aca="false">ROUNDUP(AQ135*1/12,0)</f>
        <v>4</v>
      </c>
      <c r="AR136" s="74" t="n">
        <f aca="false">ROUNDUP(AR135*1/12,0)</f>
        <v>4</v>
      </c>
      <c r="AS136" s="74" t="n">
        <f aca="false">ROUNDUP(AS135*1/12,0)</f>
        <v>4</v>
      </c>
      <c r="AT136" s="74" t="n">
        <f aca="false">ROUNDUP(AT135*1/12,0)</f>
        <v>4</v>
      </c>
      <c r="AU136" s="74" t="n">
        <f aca="false">ROUNDUP(AU135*1/12,0)</f>
        <v>4</v>
      </c>
      <c r="AV136" s="74" t="n">
        <f aca="false">ROUNDUP(AV135*1/12,0)</f>
        <v>4</v>
      </c>
      <c r="AW136" s="74" t="n">
        <f aca="false">ROUNDUP(AW135*1/12,0)</f>
        <v>4</v>
      </c>
      <c r="AX136" s="74" t="n">
        <f aca="false">ROUNDUP(AX135*1/12,0)</f>
        <v>4</v>
      </c>
      <c r="AY136" s="74" t="n">
        <f aca="false">ROUNDUP(AY135*1/12,0)</f>
        <v>5</v>
      </c>
      <c r="AZ136" s="74" t="n">
        <f aca="false">ROUNDUP(AZ135*1/12,0)</f>
        <v>5</v>
      </c>
      <c r="BA136" s="74" t="n">
        <f aca="false">ROUNDUP(BA135*1/12,0)</f>
        <v>5</v>
      </c>
      <c r="BB136" s="74" t="n">
        <f aca="false">ROUNDUP(BB135*1/12,0)</f>
        <v>5</v>
      </c>
      <c r="BC136" s="74" t="n">
        <f aca="false">ROUNDUP(BC135*1/12,0)</f>
        <v>5</v>
      </c>
      <c r="BD136" s="74" t="n">
        <f aca="false">ROUNDUP(BD135*1/12,0)</f>
        <v>5</v>
      </c>
      <c r="BE136" s="74" t="n">
        <f aca="false">ROUNDUP(BE135*1/12,0)</f>
        <v>5</v>
      </c>
      <c r="BF136" s="74" t="n">
        <f aca="false">ROUNDUP(BF135*1/12,0)</f>
        <v>5</v>
      </c>
      <c r="BG136" s="74" t="n">
        <f aca="false">ROUNDUP(BG135*1/12,0)</f>
        <v>5</v>
      </c>
      <c r="BH136" s="74" t="n">
        <f aca="false">ROUNDUP(BH135*1/12,0)</f>
        <v>5</v>
      </c>
      <c r="BI136" s="74" t="n">
        <f aca="false">ROUNDUP(BI135*1/12,0)</f>
        <v>5</v>
      </c>
      <c r="BJ136" s="74" t="n">
        <f aca="false">ROUNDUP(BJ135*1/12,0)</f>
        <v>5</v>
      </c>
    </row>
    <row r="138" customFormat="false" ht="15.75" hidden="false" customHeight="true" outlineLevel="0" collapsed="false">
      <c r="A138" s="7" t="s">
        <v>417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</row>
    <row r="139" customFormat="false" ht="15" hidden="false" customHeight="false" outlineLevel="0" collapsed="false">
      <c r="A139" s="116" t="s">
        <v>418</v>
      </c>
      <c r="C139" s="117" t="n">
        <f aca="false">MAX(0,MIN(1,Inputs!$C$10-(C$135-1)*1))</f>
        <v>1</v>
      </c>
      <c r="D139" s="117" t="n">
        <f aca="false">MAX(0,MIN(1,Inputs!$C$10-(D$135-1)*1))</f>
        <v>1</v>
      </c>
      <c r="E139" s="117" t="n">
        <f aca="false">MAX(0,MIN(1,Inputs!$C$10-(E$135-1)*1))</f>
        <v>1</v>
      </c>
      <c r="F139" s="117" t="n">
        <f aca="false">MAX(0,MIN(1,Inputs!$C$10-(F$135-1)*1))</f>
        <v>1</v>
      </c>
      <c r="G139" s="117" t="n">
        <f aca="false">MAX(0,MIN(1,Inputs!$C$10-(G$135-1)*1))</f>
        <v>1</v>
      </c>
      <c r="H139" s="117" t="n">
        <f aca="false">MAX(0,MIN(1,Inputs!$C$10-(H$135-1)*1))</f>
        <v>1</v>
      </c>
      <c r="I139" s="117" t="n">
        <f aca="false">MAX(0,MIN(1,Inputs!$C$10-(I$135-1)*1))</f>
        <v>1</v>
      </c>
      <c r="J139" s="117" t="n">
        <f aca="false">MAX(0,MIN(1,Inputs!$C$10-(J$135-1)*1))</f>
        <v>1</v>
      </c>
      <c r="K139" s="117" t="n">
        <f aca="false">MAX(0,MIN(1,Inputs!$C$10-(K$135-1)*1))</f>
        <v>1</v>
      </c>
      <c r="L139" s="117" t="n">
        <f aca="false">MAX(0,MIN(1,Inputs!$C$10-(L$135-1)*1))</f>
        <v>0</v>
      </c>
      <c r="M139" s="117" t="n">
        <f aca="false">MAX(0,MIN(1,Inputs!$C$10-(M$135-1)*1))</f>
        <v>0</v>
      </c>
      <c r="N139" s="117" t="n">
        <f aca="false">MAX(0,MIN(1,Inputs!$C$10-(N$135-1)*1))</f>
        <v>0</v>
      </c>
      <c r="O139" s="117" t="n">
        <f aca="false">MAX(0,MIN(1,Inputs!$C$10-(O$135-1)*1))</f>
        <v>0</v>
      </c>
      <c r="P139" s="117" t="n">
        <f aca="false">MAX(0,MIN(1,Inputs!$C$10-(P$135-1)*1))</f>
        <v>0</v>
      </c>
      <c r="Q139" s="117" t="n">
        <f aca="false">MAX(0,MIN(1,Inputs!$C$10-(Q$135-1)*1))</f>
        <v>0</v>
      </c>
      <c r="R139" s="117" t="n">
        <f aca="false">MAX(0,MIN(1,Inputs!$C$10-(R$135-1)*1))</f>
        <v>0</v>
      </c>
      <c r="S139" s="117" t="n">
        <f aca="false">MAX(0,MIN(1,Inputs!$C$10-(S$135-1)*1))</f>
        <v>0</v>
      </c>
      <c r="T139" s="117" t="n">
        <f aca="false">MAX(0,MIN(1,Inputs!$C$10-(T$135-1)*1))</f>
        <v>0</v>
      </c>
      <c r="U139" s="117" t="n">
        <f aca="false">MAX(0,MIN(1,Inputs!$C$10-(U$135-1)*1))</f>
        <v>0</v>
      </c>
      <c r="V139" s="117" t="n">
        <f aca="false">MAX(0,MIN(1,Inputs!$C$10-(V$135-1)*1))</f>
        <v>0</v>
      </c>
      <c r="W139" s="117" t="n">
        <f aca="false">MAX(0,MIN(1,Inputs!$C$10-(W$135-1)*1))</f>
        <v>0</v>
      </c>
      <c r="X139" s="117" t="n">
        <f aca="false">MAX(0,MIN(1,Inputs!$C$10-(X$135-1)*1))</f>
        <v>0</v>
      </c>
      <c r="Y139" s="117" t="n">
        <f aca="false">MAX(0,MIN(1,Inputs!$C$10-(Y$135-1)*1))</f>
        <v>0</v>
      </c>
      <c r="Z139" s="117" t="n">
        <f aca="false">MAX(0,MIN(1,Inputs!$C$10-(Z$135-1)*1))</f>
        <v>0</v>
      </c>
      <c r="AA139" s="117" t="n">
        <f aca="false">MAX(0,MIN(1,Inputs!$C$10-(AA$135-1)*1))</f>
        <v>0</v>
      </c>
      <c r="AB139" s="117" t="n">
        <f aca="false">MAX(0,MIN(1,Inputs!$C$10-(AB$135-1)*1))</f>
        <v>0</v>
      </c>
      <c r="AC139" s="117" t="n">
        <f aca="false">MAX(0,MIN(1,Inputs!$C$10-(AC$135-1)*1))</f>
        <v>0</v>
      </c>
      <c r="AD139" s="117" t="n">
        <f aca="false">MAX(0,MIN(1,Inputs!$C$10-(AD$135-1)*1))</f>
        <v>0</v>
      </c>
      <c r="AE139" s="117" t="n">
        <f aca="false">MAX(0,MIN(1,Inputs!$C$10-(AE$135-1)*1))</f>
        <v>0</v>
      </c>
      <c r="AF139" s="117" t="n">
        <f aca="false">MAX(0,MIN(1,Inputs!$C$10-(AF$135-1)*1))</f>
        <v>0</v>
      </c>
      <c r="AG139" s="117" t="n">
        <f aca="false">MAX(0,MIN(1,Inputs!$C$10-(AG$135-1)*1))</f>
        <v>0</v>
      </c>
      <c r="AH139" s="117" t="n">
        <f aca="false">MAX(0,MIN(1,Inputs!$C$10-(AH$135-1)*1))</f>
        <v>0</v>
      </c>
      <c r="AI139" s="117" t="n">
        <f aca="false">MAX(0,MIN(1,Inputs!$C$10-(AI$135-1)*1))</f>
        <v>0</v>
      </c>
      <c r="AJ139" s="117" t="n">
        <f aca="false">MAX(0,MIN(1,Inputs!$C$10-(AJ$135-1)*1))</f>
        <v>0</v>
      </c>
      <c r="AK139" s="117" t="n">
        <f aca="false">MAX(0,MIN(1,Inputs!$C$10-(AK$135-1)*1))</f>
        <v>0</v>
      </c>
      <c r="AL139" s="117" t="n">
        <f aca="false">MAX(0,MIN(1,Inputs!$C$10-(AL$135-1)*1))</f>
        <v>0</v>
      </c>
      <c r="AM139" s="117" t="n">
        <f aca="false">MAX(0,MIN(1,Inputs!$C$10-(AM$135-1)*1))</f>
        <v>0</v>
      </c>
      <c r="AN139" s="117" t="n">
        <f aca="false">MAX(0,MIN(1,Inputs!$C$10-(AN$135-1)*1))</f>
        <v>0</v>
      </c>
      <c r="AO139" s="117" t="n">
        <f aca="false">MAX(0,MIN(1,Inputs!$C$10-(AO$135-1)*1))</f>
        <v>0</v>
      </c>
      <c r="AP139" s="117" t="n">
        <f aca="false">MAX(0,MIN(1,Inputs!$C$10-(AP$135-1)*1))</f>
        <v>0</v>
      </c>
      <c r="AQ139" s="117" t="n">
        <f aca="false">MAX(0,MIN(1,Inputs!$C$10-(AQ$135-1)*1))</f>
        <v>0</v>
      </c>
      <c r="AR139" s="117" t="n">
        <f aca="false">MAX(0,MIN(1,Inputs!$C$10-(AR$135-1)*1))</f>
        <v>0</v>
      </c>
      <c r="AS139" s="117" t="n">
        <f aca="false">MAX(0,MIN(1,Inputs!$C$10-(AS$135-1)*1))</f>
        <v>0</v>
      </c>
      <c r="AT139" s="117" t="n">
        <f aca="false">MAX(0,MIN(1,Inputs!$C$10-(AT$135-1)*1))</f>
        <v>0</v>
      </c>
      <c r="AU139" s="117" t="n">
        <f aca="false">MAX(0,MIN(1,Inputs!$C$10-(AU$135-1)*1))</f>
        <v>0</v>
      </c>
      <c r="AV139" s="117" t="n">
        <f aca="false">MAX(0,MIN(1,Inputs!$C$10-(AV$135-1)*1))</f>
        <v>0</v>
      </c>
      <c r="AW139" s="117" t="n">
        <f aca="false">MAX(0,MIN(1,Inputs!$C$10-(AW$135-1)*1))</f>
        <v>0</v>
      </c>
      <c r="AX139" s="117" t="n">
        <f aca="false">MAX(0,MIN(1,Inputs!$C$10-(AX$135-1)*1))</f>
        <v>0</v>
      </c>
      <c r="AY139" s="117" t="n">
        <f aca="false">MAX(0,MIN(1,Inputs!$C$10-(AY$135-1)*1))</f>
        <v>0</v>
      </c>
      <c r="AZ139" s="117" t="n">
        <f aca="false">MAX(0,MIN(1,Inputs!$C$10-(AZ$135-1)*1))</f>
        <v>0</v>
      </c>
      <c r="BA139" s="117" t="n">
        <f aca="false">MAX(0,MIN(1,Inputs!$C$10-(BA$135-1)*1))</f>
        <v>0</v>
      </c>
      <c r="BB139" s="117" t="n">
        <f aca="false">MAX(0,MIN(1,Inputs!$C$10-(BB$135-1)*1))</f>
        <v>0</v>
      </c>
      <c r="BC139" s="117" t="n">
        <f aca="false">MAX(0,MIN(1,Inputs!$C$10-(BC$135-1)*1))</f>
        <v>0</v>
      </c>
      <c r="BD139" s="117" t="n">
        <f aca="false">MAX(0,MIN(1,Inputs!$C$10-(BD$135-1)*1))</f>
        <v>0</v>
      </c>
      <c r="BE139" s="117" t="n">
        <f aca="false">MAX(0,MIN(1,Inputs!$C$10-(BE$135-1)*1))</f>
        <v>0</v>
      </c>
      <c r="BF139" s="117" t="n">
        <f aca="false">MAX(0,MIN(1,Inputs!$C$10-(BF$135-1)*1))</f>
        <v>0</v>
      </c>
      <c r="BG139" s="117" t="n">
        <f aca="false">MAX(0,MIN(1,Inputs!$C$10-(BG$135-1)*1))</f>
        <v>0</v>
      </c>
      <c r="BH139" s="117" t="n">
        <f aca="false">MAX(0,MIN(1,Inputs!$C$10-(BH$135-1)*1))</f>
        <v>0</v>
      </c>
      <c r="BI139" s="117" t="n">
        <f aca="false">MAX(0,MIN(1,Inputs!$C$10-(BI$135-1)*1))</f>
        <v>0</v>
      </c>
      <c r="BJ139" s="117" t="n">
        <f aca="false">MAX(0,MIN(1,Inputs!$C$10-(BJ$135-1)*1))</f>
        <v>0</v>
      </c>
    </row>
    <row r="140" customFormat="false" ht="15" hidden="false" customHeight="false" outlineLevel="0" collapsed="false">
      <c r="A140" s="38" t="s">
        <v>419</v>
      </c>
      <c r="C140" s="76" t="n">
        <f aca="false">IF(Inputs!$C$10&lt;=0,1,(C139*Inputs!$C$11+(1-Inputs!$C$11)/MAX(1,Inputs!$C$10)*(C139*(C$135-1)*1+C139*(C139-1)/2)+1-C139)/1)</f>
        <v>0.45</v>
      </c>
      <c r="D140" s="76" t="n">
        <f aca="false">IF(Inputs!$C$10&lt;=0,1,(D139*Inputs!$C$11+(1-Inputs!$C$11)/MAX(1,Inputs!$C$10)*(D139*(D$135-1)*1+D139*(D139-1)/2)+1-D139)/1)</f>
        <v>0.511111111111111</v>
      </c>
      <c r="E140" s="76" t="n">
        <f aca="false">IF(Inputs!$C$10&lt;=0,1,(E139*Inputs!$C$11+(1-Inputs!$C$11)/MAX(1,Inputs!$C$10)*(E139*(E$135-1)*1+E139*(E139-1)/2)+1-E139)/1)</f>
        <v>0.572222222222222</v>
      </c>
      <c r="F140" s="76" t="n">
        <f aca="false">IF(Inputs!$C$10&lt;=0,1,(F139*Inputs!$C$11+(1-Inputs!$C$11)/MAX(1,Inputs!$C$10)*(F139*(F$135-1)*1+F139*(F139-1)/2)+1-F139)/1)</f>
        <v>0.633333333333333</v>
      </c>
      <c r="G140" s="76" t="n">
        <f aca="false">IF(Inputs!$C$10&lt;=0,1,(G139*Inputs!$C$11+(1-Inputs!$C$11)/MAX(1,Inputs!$C$10)*(G139*(G$135-1)*1+G139*(G139-1)/2)+1-G139)/1)</f>
        <v>0.694444444444444</v>
      </c>
      <c r="H140" s="76" t="n">
        <f aca="false">IF(Inputs!$C$10&lt;=0,1,(H139*Inputs!$C$11+(1-Inputs!$C$11)/MAX(1,Inputs!$C$10)*(H139*(H$135-1)*1+H139*(H139-1)/2)+1-H139)/1)</f>
        <v>0.755555555555556</v>
      </c>
      <c r="I140" s="76" t="n">
        <f aca="false">IF(Inputs!$C$10&lt;=0,1,(I139*Inputs!$C$11+(1-Inputs!$C$11)/MAX(1,Inputs!$C$10)*(I139*(I$135-1)*1+I139*(I139-1)/2)+1-I139)/1)</f>
        <v>0.816666666666667</v>
      </c>
      <c r="J140" s="76" t="n">
        <f aca="false">IF(Inputs!$C$10&lt;=0,1,(J139*Inputs!$C$11+(1-Inputs!$C$11)/MAX(1,Inputs!$C$10)*(J139*(J$135-1)*1+J139*(J139-1)/2)+1-J139)/1)</f>
        <v>0.877777777777778</v>
      </c>
      <c r="K140" s="76" t="n">
        <f aca="false">IF(Inputs!$C$10&lt;=0,1,(K139*Inputs!$C$11+(1-Inputs!$C$11)/MAX(1,Inputs!$C$10)*(K139*(K$135-1)*1+K139*(K139-1)/2)+1-K139)/1)</f>
        <v>0.938888888888889</v>
      </c>
      <c r="L140" s="76" t="n">
        <f aca="false">IF(Inputs!$C$10&lt;=0,1,(L139*Inputs!$C$11+(1-Inputs!$C$11)/MAX(1,Inputs!$C$10)*(L139*(L$135-1)*1+L139*(L139-1)/2)+1-L139)/1)</f>
        <v>1</v>
      </c>
      <c r="M140" s="76" t="n">
        <f aca="false">IF(Inputs!$C$10&lt;=0,1,(M139*Inputs!$C$11+(1-Inputs!$C$11)/MAX(1,Inputs!$C$10)*(M139*(M$135-1)*1+M139*(M139-1)/2)+1-M139)/1)</f>
        <v>1</v>
      </c>
      <c r="N140" s="76" t="n">
        <f aca="false">IF(Inputs!$C$10&lt;=0,1,(N139*Inputs!$C$11+(1-Inputs!$C$11)/MAX(1,Inputs!$C$10)*(N139*(N$135-1)*1+N139*(N139-1)/2)+1-N139)/1)</f>
        <v>1</v>
      </c>
      <c r="O140" s="76" t="n">
        <f aca="false">IF(Inputs!$C$10&lt;=0,1,(O139*Inputs!$C$11+(1-Inputs!$C$11)/MAX(1,Inputs!$C$10)*(O139*(O$135-1)*1+O139*(O139-1)/2)+1-O139)/1)</f>
        <v>1</v>
      </c>
      <c r="P140" s="76" t="n">
        <f aca="false">IF(Inputs!$C$10&lt;=0,1,(P139*Inputs!$C$11+(1-Inputs!$C$11)/MAX(1,Inputs!$C$10)*(P139*(P$135-1)*1+P139*(P139-1)/2)+1-P139)/1)</f>
        <v>1</v>
      </c>
      <c r="Q140" s="76" t="n">
        <f aca="false">IF(Inputs!$C$10&lt;=0,1,(Q139*Inputs!$C$11+(1-Inputs!$C$11)/MAX(1,Inputs!$C$10)*(Q139*(Q$135-1)*1+Q139*(Q139-1)/2)+1-Q139)/1)</f>
        <v>1</v>
      </c>
      <c r="R140" s="76" t="n">
        <f aca="false">IF(Inputs!$C$10&lt;=0,1,(R139*Inputs!$C$11+(1-Inputs!$C$11)/MAX(1,Inputs!$C$10)*(R139*(R$135-1)*1+R139*(R139-1)/2)+1-R139)/1)</f>
        <v>1</v>
      </c>
      <c r="S140" s="76" t="n">
        <f aca="false">IF(Inputs!$C$10&lt;=0,1,(S139*Inputs!$C$11+(1-Inputs!$C$11)/MAX(1,Inputs!$C$10)*(S139*(S$135-1)*1+S139*(S139-1)/2)+1-S139)/1)</f>
        <v>1</v>
      </c>
      <c r="T140" s="76" t="n">
        <f aca="false">IF(Inputs!$C$10&lt;=0,1,(T139*Inputs!$C$11+(1-Inputs!$C$11)/MAX(1,Inputs!$C$10)*(T139*(T$135-1)*1+T139*(T139-1)/2)+1-T139)/1)</f>
        <v>1</v>
      </c>
      <c r="U140" s="76" t="n">
        <f aca="false">IF(Inputs!$C$10&lt;=0,1,(U139*Inputs!$C$11+(1-Inputs!$C$11)/MAX(1,Inputs!$C$10)*(U139*(U$135-1)*1+U139*(U139-1)/2)+1-U139)/1)</f>
        <v>1</v>
      </c>
      <c r="V140" s="76" t="n">
        <f aca="false">IF(Inputs!$C$10&lt;=0,1,(V139*Inputs!$C$11+(1-Inputs!$C$11)/MAX(1,Inputs!$C$10)*(V139*(V$135-1)*1+V139*(V139-1)/2)+1-V139)/1)</f>
        <v>1</v>
      </c>
      <c r="W140" s="76" t="n">
        <f aca="false">IF(Inputs!$C$10&lt;=0,1,(W139*Inputs!$C$11+(1-Inputs!$C$11)/MAX(1,Inputs!$C$10)*(W139*(W$135-1)*1+W139*(W139-1)/2)+1-W139)/1)</f>
        <v>1</v>
      </c>
      <c r="X140" s="76" t="n">
        <f aca="false">IF(Inputs!$C$10&lt;=0,1,(X139*Inputs!$C$11+(1-Inputs!$C$11)/MAX(1,Inputs!$C$10)*(X139*(X$135-1)*1+X139*(X139-1)/2)+1-X139)/1)</f>
        <v>1</v>
      </c>
      <c r="Y140" s="76" t="n">
        <f aca="false">IF(Inputs!$C$10&lt;=0,1,(Y139*Inputs!$C$11+(1-Inputs!$C$11)/MAX(1,Inputs!$C$10)*(Y139*(Y$135-1)*1+Y139*(Y139-1)/2)+1-Y139)/1)</f>
        <v>1</v>
      </c>
      <c r="Z140" s="76" t="n">
        <f aca="false">IF(Inputs!$C$10&lt;=0,1,(Z139*Inputs!$C$11+(1-Inputs!$C$11)/MAX(1,Inputs!$C$10)*(Z139*(Z$135-1)*1+Z139*(Z139-1)/2)+1-Z139)/1)</f>
        <v>1</v>
      </c>
      <c r="AA140" s="76" t="n">
        <f aca="false">IF(Inputs!$C$10&lt;=0,1,(AA139*Inputs!$C$11+(1-Inputs!$C$11)/MAX(1,Inputs!$C$10)*(AA139*(AA$135-1)*1+AA139*(AA139-1)/2)+1-AA139)/1)</f>
        <v>1</v>
      </c>
      <c r="AB140" s="76" t="n">
        <f aca="false">IF(Inputs!$C$10&lt;=0,1,(AB139*Inputs!$C$11+(1-Inputs!$C$11)/MAX(1,Inputs!$C$10)*(AB139*(AB$135-1)*1+AB139*(AB139-1)/2)+1-AB139)/1)</f>
        <v>1</v>
      </c>
      <c r="AC140" s="76" t="n">
        <f aca="false">IF(Inputs!$C$10&lt;=0,1,(AC139*Inputs!$C$11+(1-Inputs!$C$11)/MAX(1,Inputs!$C$10)*(AC139*(AC$135-1)*1+AC139*(AC139-1)/2)+1-AC139)/1)</f>
        <v>1</v>
      </c>
      <c r="AD140" s="76" t="n">
        <f aca="false">IF(Inputs!$C$10&lt;=0,1,(AD139*Inputs!$C$11+(1-Inputs!$C$11)/MAX(1,Inputs!$C$10)*(AD139*(AD$135-1)*1+AD139*(AD139-1)/2)+1-AD139)/1)</f>
        <v>1</v>
      </c>
      <c r="AE140" s="76" t="n">
        <f aca="false">IF(Inputs!$C$10&lt;=0,1,(AE139*Inputs!$C$11+(1-Inputs!$C$11)/MAX(1,Inputs!$C$10)*(AE139*(AE$135-1)*1+AE139*(AE139-1)/2)+1-AE139)/1)</f>
        <v>1</v>
      </c>
      <c r="AF140" s="76" t="n">
        <f aca="false">IF(Inputs!$C$10&lt;=0,1,(AF139*Inputs!$C$11+(1-Inputs!$C$11)/MAX(1,Inputs!$C$10)*(AF139*(AF$135-1)*1+AF139*(AF139-1)/2)+1-AF139)/1)</f>
        <v>1</v>
      </c>
      <c r="AG140" s="76" t="n">
        <f aca="false">IF(Inputs!$C$10&lt;=0,1,(AG139*Inputs!$C$11+(1-Inputs!$C$11)/MAX(1,Inputs!$C$10)*(AG139*(AG$135-1)*1+AG139*(AG139-1)/2)+1-AG139)/1)</f>
        <v>1</v>
      </c>
      <c r="AH140" s="76" t="n">
        <f aca="false">IF(Inputs!$C$10&lt;=0,1,(AH139*Inputs!$C$11+(1-Inputs!$C$11)/MAX(1,Inputs!$C$10)*(AH139*(AH$135-1)*1+AH139*(AH139-1)/2)+1-AH139)/1)</f>
        <v>1</v>
      </c>
      <c r="AI140" s="76" t="n">
        <f aca="false">IF(Inputs!$C$10&lt;=0,1,(AI139*Inputs!$C$11+(1-Inputs!$C$11)/MAX(1,Inputs!$C$10)*(AI139*(AI$135-1)*1+AI139*(AI139-1)/2)+1-AI139)/1)</f>
        <v>1</v>
      </c>
      <c r="AJ140" s="76" t="n">
        <f aca="false">IF(Inputs!$C$10&lt;=0,1,(AJ139*Inputs!$C$11+(1-Inputs!$C$11)/MAX(1,Inputs!$C$10)*(AJ139*(AJ$135-1)*1+AJ139*(AJ139-1)/2)+1-AJ139)/1)</f>
        <v>1</v>
      </c>
      <c r="AK140" s="76" t="n">
        <f aca="false">IF(Inputs!$C$10&lt;=0,1,(AK139*Inputs!$C$11+(1-Inputs!$C$11)/MAX(1,Inputs!$C$10)*(AK139*(AK$135-1)*1+AK139*(AK139-1)/2)+1-AK139)/1)</f>
        <v>1</v>
      </c>
      <c r="AL140" s="76" t="n">
        <f aca="false">IF(Inputs!$C$10&lt;=0,1,(AL139*Inputs!$C$11+(1-Inputs!$C$11)/MAX(1,Inputs!$C$10)*(AL139*(AL$135-1)*1+AL139*(AL139-1)/2)+1-AL139)/1)</f>
        <v>1</v>
      </c>
      <c r="AM140" s="76" t="n">
        <f aca="false">IF(Inputs!$C$10&lt;=0,1,(AM139*Inputs!$C$11+(1-Inputs!$C$11)/MAX(1,Inputs!$C$10)*(AM139*(AM$135-1)*1+AM139*(AM139-1)/2)+1-AM139)/1)</f>
        <v>1</v>
      </c>
      <c r="AN140" s="76" t="n">
        <f aca="false">IF(Inputs!$C$10&lt;=0,1,(AN139*Inputs!$C$11+(1-Inputs!$C$11)/MAX(1,Inputs!$C$10)*(AN139*(AN$135-1)*1+AN139*(AN139-1)/2)+1-AN139)/1)</f>
        <v>1</v>
      </c>
      <c r="AO140" s="76" t="n">
        <f aca="false">IF(Inputs!$C$10&lt;=0,1,(AO139*Inputs!$C$11+(1-Inputs!$C$11)/MAX(1,Inputs!$C$10)*(AO139*(AO$135-1)*1+AO139*(AO139-1)/2)+1-AO139)/1)</f>
        <v>1</v>
      </c>
      <c r="AP140" s="76" t="n">
        <f aca="false">IF(Inputs!$C$10&lt;=0,1,(AP139*Inputs!$C$11+(1-Inputs!$C$11)/MAX(1,Inputs!$C$10)*(AP139*(AP$135-1)*1+AP139*(AP139-1)/2)+1-AP139)/1)</f>
        <v>1</v>
      </c>
      <c r="AQ140" s="76" t="n">
        <f aca="false">IF(Inputs!$C$10&lt;=0,1,(AQ139*Inputs!$C$11+(1-Inputs!$C$11)/MAX(1,Inputs!$C$10)*(AQ139*(AQ$135-1)*1+AQ139*(AQ139-1)/2)+1-AQ139)/1)</f>
        <v>1</v>
      </c>
      <c r="AR140" s="76" t="n">
        <f aca="false">IF(Inputs!$C$10&lt;=0,1,(AR139*Inputs!$C$11+(1-Inputs!$C$11)/MAX(1,Inputs!$C$10)*(AR139*(AR$135-1)*1+AR139*(AR139-1)/2)+1-AR139)/1)</f>
        <v>1</v>
      </c>
      <c r="AS140" s="76" t="n">
        <f aca="false">IF(Inputs!$C$10&lt;=0,1,(AS139*Inputs!$C$11+(1-Inputs!$C$11)/MAX(1,Inputs!$C$10)*(AS139*(AS$135-1)*1+AS139*(AS139-1)/2)+1-AS139)/1)</f>
        <v>1</v>
      </c>
      <c r="AT140" s="76" t="n">
        <f aca="false">IF(Inputs!$C$10&lt;=0,1,(AT139*Inputs!$C$11+(1-Inputs!$C$11)/MAX(1,Inputs!$C$10)*(AT139*(AT$135-1)*1+AT139*(AT139-1)/2)+1-AT139)/1)</f>
        <v>1</v>
      </c>
      <c r="AU140" s="76" t="n">
        <f aca="false">IF(Inputs!$C$10&lt;=0,1,(AU139*Inputs!$C$11+(1-Inputs!$C$11)/MAX(1,Inputs!$C$10)*(AU139*(AU$135-1)*1+AU139*(AU139-1)/2)+1-AU139)/1)</f>
        <v>1</v>
      </c>
      <c r="AV140" s="76" t="n">
        <f aca="false">IF(Inputs!$C$10&lt;=0,1,(AV139*Inputs!$C$11+(1-Inputs!$C$11)/MAX(1,Inputs!$C$10)*(AV139*(AV$135-1)*1+AV139*(AV139-1)/2)+1-AV139)/1)</f>
        <v>1</v>
      </c>
      <c r="AW140" s="76" t="n">
        <f aca="false">IF(Inputs!$C$10&lt;=0,1,(AW139*Inputs!$C$11+(1-Inputs!$C$11)/MAX(1,Inputs!$C$10)*(AW139*(AW$135-1)*1+AW139*(AW139-1)/2)+1-AW139)/1)</f>
        <v>1</v>
      </c>
      <c r="AX140" s="76" t="n">
        <f aca="false">IF(Inputs!$C$10&lt;=0,1,(AX139*Inputs!$C$11+(1-Inputs!$C$11)/MAX(1,Inputs!$C$10)*(AX139*(AX$135-1)*1+AX139*(AX139-1)/2)+1-AX139)/1)</f>
        <v>1</v>
      </c>
      <c r="AY140" s="76" t="n">
        <f aca="false">IF(Inputs!$C$10&lt;=0,1,(AY139*Inputs!$C$11+(1-Inputs!$C$11)/MAX(1,Inputs!$C$10)*(AY139*(AY$135-1)*1+AY139*(AY139-1)/2)+1-AY139)/1)</f>
        <v>1</v>
      </c>
      <c r="AZ140" s="76" t="n">
        <f aca="false">IF(Inputs!$C$10&lt;=0,1,(AZ139*Inputs!$C$11+(1-Inputs!$C$11)/MAX(1,Inputs!$C$10)*(AZ139*(AZ$135-1)*1+AZ139*(AZ139-1)/2)+1-AZ139)/1)</f>
        <v>1</v>
      </c>
      <c r="BA140" s="76" t="n">
        <f aca="false">IF(Inputs!$C$10&lt;=0,1,(BA139*Inputs!$C$11+(1-Inputs!$C$11)/MAX(1,Inputs!$C$10)*(BA139*(BA$135-1)*1+BA139*(BA139-1)/2)+1-BA139)/1)</f>
        <v>1</v>
      </c>
      <c r="BB140" s="76" t="n">
        <f aca="false">IF(Inputs!$C$10&lt;=0,1,(BB139*Inputs!$C$11+(1-Inputs!$C$11)/MAX(1,Inputs!$C$10)*(BB139*(BB$135-1)*1+BB139*(BB139-1)/2)+1-BB139)/1)</f>
        <v>1</v>
      </c>
      <c r="BC140" s="76" t="n">
        <f aca="false">IF(Inputs!$C$10&lt;=0,1,(BC139*Inputs!$C$11+(1-Inputs!$C$11)/MAX(1,Inputs!$C$10)*(BC139*(BC$135-1)*1+BC139*(BC139-1)/2)+1-BC139)/1)</f>
        <v>1</v>
      </c>
      <c r="BD140" s="76" t="n">
        <f aca="false">IF(Inputs!$C$10&lt;=0,1,(BD139*Inputs!$C$11+(1-Inputs!$C$11)/MAX(1,Inputs!$C$10)*(BD139*(BD$135-1)*1+BD139*(BD139-1)/2)+1-BD139)/1)</f>
        <v>1</v>
      </c>
      <c r="BE140" s="76" t="n">
        <f aca="false">IF(Inputs!$C$10&lt;=0,1,(BE139*Inputs!$C$11+(1-Inputs!$C$11)/MAX(1,Inputs!$C$10)*(BE139*(BE$135-1)*1+BE139*(BE139-1)/2)+1-BE139)/1)</f>
        <v>1</v>
      </c>
      <c r="BF140" s="76" t="n">
        <f aca="false">IF(Inputs!$C$10&lt;=0,1,(BF139*Inputs!$C$11+(1-Inputs!$C$11)/MAX(1,Inputs!$C$10)*(BF139*(BF$135-1)*1+BF139*(BF139-1)/2)+1-BF139)/1)</f>
        <v>1</v>
      </c>
      <c r="BG140" s="76" t="n">
        <f aca="false">IF(Inputs!$C$10&lt;=0,1,(BG139*Inputs!$C$11+(1-Inputs!$C$11)/MAX(1,Inputs!$C$10)*(BG139*(BG$135-1)*1+BG139*(BG139-1)/2)+1-BG139)/1)</f>
        <v>1</v>
      </c>
      <c r="BH140" s="76" t="n">
        <f aca="false">IF(Inputs!$C$10&lt;=0,1,(BH139*Inputs!$C$11+(1-Inputs!$C$11)/MAX(1,Inputs!$C$10)*(BH139*(BH$135-1)*1+BH139*(BH139-1)/2)+1-BH139)/1)</f>
        <v>1</v>
      </c>
      <c r="BI140" s="76" t="n">
        <f aca="false">IF(Inputs!$C$10&lt;=0,1,(BI139*Inputs!$C$11+(1-Inputs!$C$11)/MAX(1,Inputs!$C$10)*(BI139*(BI$135-1)*1+BI139*(BI139-1)/2)+1-BI139)/1)</f>
        <v>1</v>
      </c>
      <c r="BJ140" s="76" t="n">
        <f aca="false">IF(Inputs!$C$10&lt;=0,1,(BJ139*Inputs!$C$11+(1-Inputs!$C$11)/MAX(1,Inputs!$C$10)*(BJ139*(BJ$135-1)*1+BJ139*(BJ139-1)/2)+1-BJ139)/1)</f>
        <v>1</v>
      </c>
    </row>
    <row r="141" customFormat="false" ht="15" hidden="false" customHeight="false" outlineLevel="0" collapsed="false">
      <c r="A141" s="6" t="s">
        <v>420</v>
      </c>
      <c r="C141" s="79" t="n">
        <f aca="false">IF(OR(MOD(C$135-1,12)&gt;=11,MOD(C$135-1,12)&lt;=1),1-Inputs!$C$12,1+Inputs!$C$12/3)</f>
        <v>0.85</v>
      </c>
      <c r="D141" s="79" t="n">
        <f aca="false">IF(OR(MOD(D$135-1,12)&gt;=11,MOD(D$135-1,12)&lt;=1),1-Inputs!$C$12,1+Inputs!$C$12/3)</f>
        <v>0.85</v>
      </c>
      <c r="E141" s="79" t="n">
        <f aca="false">IF(OR(MOD(E$135-1,12)&gt;=11,MOD(E$135-1,12)&lt;=1),1-Inputs!$C$12,1+Inputs!$C$12/3)</f>
        <v>1.05</v>
      </c>
      <c r="F141" s="79" t="n">
        <f aca="false">IF(OR(MOD(F$135-1,12)&gt;=11,MOD(F$135-1,12)&lt;=1),1-Inputs!$C$12,1+Inputs!$C$12/3)</f>
        <v>1.05</v>
      </c>
      <c r="G141" s="79" t="n">
        <f aca="false">IF(OR(MOD(G$135-1,12)&gt;=11,MOD(G$135-1,12)&lt;=1),1-Inputs!$C$12,1+Inputs!$C$12/3)</f>
        <v>1.05</v>
      </c>
      <c r="H141" s="79" t="n">
        <f aca="false">IF(OR(MOD(H$135-1,12)&gt;=11,MOD(H$135-1,12)&lt;=1),1-Inputs!$C$12,1+Inputs!$C$12/3)</f>
        <v>1.05</v>
      </c>
      <c r="I141" s="79" t="n">
        <f aca="false">IF(OR(MOD(I$135-1,12)&gt;=11,MOD(I$135-1,12)&lt;=1),1-Inputs!$C$12,1+Inputs!$C$12/3)</f>
        <v>1.05</v>
      </c>
      <c r="J141" s="79" t="n">
        <f aca="false">IF(OR(MOD(J$135-1,12)&gt;=11,MOD(J$135-1,12)&lt;=1),1-Inputs!$C$12,1+Inputs!$C$12/3)</f>
        <v>1.05</v>
      </c>
      <c r="K141" s="79" t="n">
        <f aca="false">IF(OR(MOD(K$135-1,12)&gt;=11,MOD(K$135-1,12)&lt;=1),1-Inputs!$C$12,1+Inputs!$C$12/3)</f>
        <v>1.05</v>
      </c>
      <c r="L141" s="79" t="n">
        <f aca="false">IF(OR(MOD(L$135-1,12)&gt;=11,MOD(L$135-1,12)&lt;=1),1-Inputs!$C$12,1+Inputs!$C$12/3)</f>
        <v>1.05</v>
      </c>
      <c r="M141" s="79" t="n">
        <f aca="false">IF(OR(MOD(M$135-1,12)&gt;=11,MOD(M$135-1,12)&lt;=1),1-Inputs!$C$12,1+Inputs!$C$12/3)</f>
        <v>1.05</v>
      </c>
      <c r="N141" s="79" t="n">
        <f aca="false">IF(OR(MOD(N$135-1,12)&gt;=11,MOD(N$135-1,12)&lt;=1),1-Inputs!$C$12,1+Inputs!$C$12/3)</f>
        <v>0.85</v>
      </c>
      <c r="O141" s="79" t="n">
        <f aca="false">IF(OR(MOD(O$135-1,12)&gt;=11,MOD(O$135-1,12)&lt;=1),1-Inputs!$C$12,1+Inputs!$C$12/3)</f>
        <v>0.85</v>
      </c>
      <c r="P141" s="79" t="n">
        <f aca="false">IF(OR(MOD(P$135-1,12)&gt;=11,MOD(P$135-1,12)&lt;=1),1-Inputs!$C$12,1+Inputs!$C$12/3)</f>
        <v>0.85</v>
      </c>
      <c r="Q141" s="79" t="n">
        <f aca="false">IF(OR(MOD(Q$135-1,12)&gt;=11,MOD(Q$135-1,12)&lt;=1),1-Inputs!$C$12,1+Inputs!$C$12/3)</f>
        <v>1.05</v>
      </c>
      <c r="R141" s="79" t="n">
        <f aca="false">IF(OR(MOD(R$135-1,12)&gt;=11,MOD(R$135-1,12)&lt;=1),1-Inputs!$C$12,1+Inputs!$C$12/3)</f>
        <v>1.05</v>
      </c>
      <c r="S141" s="79" t="n">
        <f aca="false">IF(OR(MOD(S$135-1,12)&gt;=11,MOD(S$135-1,12)&lt;=1),1-Inputs!$C$12,1+Inputs!$C$12/3)</f>
        <v>1.05</v>
      </c>
      <c r="T141" s="79" t="n">
        <f aca="false">IF(OR(MOD(T$135-1,12)&gt;=11,MOD(T$135-1,12)&lt;=1),1-Inputs!$C$12,1+Inputs!$C$12/3)</f>
        <v>1.05</v>
      </c>
      <c r="U141" s="79" t="n">
        <f aca="false">IF(OR(MOD(U$135-1,12)&gt;=11,MOD(U$135-1,12)&lt;=1),1-Inputs!$C$12,1+Inputs!$C$12/3)</f>
        <v>1.05</v>
      </c>
      <c r="V141" s="79" t="n">
        <f aca="false">IF(OR(MOD(V$135-1,12)&gt;=11,MOD(V$135-1,12)&lt;=1),1-Inputs!$C$12,1+Inputs!$C$12/3)</f>
        <v>1.05</v>
      </c>
      <c r="W141" s="79" t="n">
        <f aca="false">IF(OR(MOD(W$135-1,12)&gt;=11,MOD(W$135-1,12)&lt;=1),1-Inputs!$C$12,1+Inputs!$C$12/3)</f>
        <v>1.05</v>
      </c>
      <c r="X141" s="79" t="n">
        <f aca="false">IF(OR(MOD(X$135-1,12)&gt;=11,MOD(X$135-1,12)&lt;=1),1-Inputs!$C$12,1+Inputs!$C$12/3)</f>
        <v>1.05</v>
      </c>
      <c r="Y141" s="79" t="n">
        <f aca="false">IF(OR(MOD(Y$135-1,12)&gt;=11,MOD(Y$135-1,12)&lt;=1),1-Inputs!$C$12,1+Inputs!$C$12/3)</f>
        <v>1.05</v>
      </c>
      <c r="Z141" s="79" t="n">
        <f aca="false">IF(OR(MOD(Z$135-1,12)&gt;=11,MOD(Z$135-1,12)&lt;=1),1-Inputs!$C$12,1+Inputs!$C$12/3)</f>
        <v>0.85</v>
      </c>
      <c r="AA141" s="79" t="n">
        <f aca="false">IF(OR(MOD(AA$135-1,12)&gt;=11,MOD(AA$135-1,12)&lt;=1),1-Inputs!$C$12,1+Inputs!$C$12/3)</f>
        <v>0.85</v>
      </c>
      <c r="AB141" s="79" t="n">
        <f aca="false">IF(OR(MOD(AB$135-1,12)&gt;=11,MOD(AB$135-1,12)&lt;=1),1-Inputs!$C$12,1+Inputs!$C$12/3)</f>
        <v>0.85</v>
      </c>
      <c r="AC141" s="79" t="n">
        <f aca="false">IF(OR(MOD(AC$135-1,12)&gt;=11,MOD(AC$135-1,12)&lt;=1),1-Inputs!$C$12,1+Inputs!$C$12/3)</f>
        <v>1.05</v>
      </c>
      <c r="AD141" s="79" t="n">
        <f aca="false">IF(OR(MOD(AD$135-1,12)&gt;=11,MOD(AD$135-1,12)&lt;=1),1-Inputs!$C$12,1+Inputs!$C$12/3)</f>
        <v>1.05</v>
      </c>
      <c r="AE141" s="79" t="n">
        <f aca="false">IF(OR(MOD(AE$135-1,12)&gt;=11,MOD(AE$135-1,12)&lt;=1),1-Inputs!$C$12,1+Inputs!$C$12/3)</f>
        <v>1.05</v>
      </c>
      <c r="AF141" s="79" t="n">
        <f aca="false">IF(OR(MOD(AF$135-1,12)&gt;=11,MOD(AF$135-1,12)&lt;=1),1-Inputs!$C$12,1+Inputs!$C$12/3)</f>
        <v>1.05</v>
      </c>
      <c r="AG141" s="79" t="n">
        <f aca="false">IF(OR(MOD(AG$135-1,12)&gt;=11,MOD(AG$135-1,12)&lt;=1),1-Inputs!$C$12,1+Inputs!$C$12/3)</f>
        <v>1.05</v>
      </c>
      <c r="AH141" s="79" t="n">
        <f aca="false">IF(OR(MOD(AH$135-1,12)&gt;=11,MOD(AH$135-1,12)&lt;=1),1-Inputs!$C$12,1+Inputs!$C$12/3)</f>
        <v>1.05</v>
      </c>
      <c r="AI141" s="79" t="n">
        <f aca="false">IF(OR(MOD(AI$135-1,12)&gt;=11,MOD(AI$135-1,12)&lt;=1),1-Inputs!$C$12,1+Inputs!$C$12/3)</f>
        <v>1.05</v>
      </c>
      <c r="AJ141" s="79" t="n">
        <f aca="false">IF(OR(MOD(AJ$135-1,12)&gt;=11,MOD(AJ$135-1,12)&lt;=1),1-Inputs!$C$12,1+Inputs!$C$12/3)</f>
        <v>1.05</v>
      </c>
      <c r="AK141" s="79" t="n">
        <f aca="false">IF(OR(MOD(AK$135-1,12)&gt;=11,MOD(AK$135-1,12)&lt;=1),1-Inputs!$C$12,1+Inputs!$C$12/3)</f>
        <v>1.05</v>
      </c>
      <c r="AL141" s="79" t="n">
        <f aca="false">IF(OR(MOD(AL$135-1,12)&gt;=11,MOD(AL$135-1,12)&lt;=1),1-Inputs!$C$12,1+Inputs!$C$12/3)</f>
        <v>0.85</v>
      </c>
      <c r="AM141" s="79" t="n">
        <f aca="false">IF(OR(MOD(AM$135-1,12)&gt;=11,MOD(AM$135-1,12)&lt;=1),1-Inputs!$C$12,1+Inputs!$C$12/3)</f>
        <v>0.85</v>
      </c>
      <c r="AN141" s="79" t="n">
        <f aca="false">IF(OR(MOD(AN$135-1,12)&gt;=11,MOD(AN$135-1,12)&lt;=1),1-Inputs!$C$12,1+Inputs!$C$12/3)</f>
        <v>0.85</v>
      </c>
      <c r="AO141" s="79" t="n">
        <f aca="false">IF(OR(MOD(AO$135-1,12)&gt;=11,MOD(AO$135-1,12)&lt;=1),1-Inputs!$C$12,1+Inputs!$C$12/3)</f>
        <v>1.05</v>
      </c>
      <c r="AP141" s="79" t="n">
        <f aca="false">IF(OR(MOD(AP$135-1,12)&gt;=11,MOD(AP$135-1,12)&lt;=1),1-Inputs!$C$12,1+Inputs!$C$12/3)</f>
        <v>1.05</v>
      </c>
      <c r="AQ141" s="79" t="n">
        <f aca="false">IF(OR(MOD(AQ$135-1,12)&gt;=11,MOD(AQ$135-1,12)&lt;=1),1-Inputs!$C$12,1+Inputs!$C$12/3)</f>
        <v>1.05</v>
      </c>
      <c r="AR141" s="79" t="n">
        <f aca="false">IF(OR(MOD(AR$135-1,12)&gt;=11,MOD(AR$135-1,12)&lt;=1),1-Inputs!$C$12,1+Inputs!$C$12/3)</f>
        <v>1.05</v>
      </c>
      <c r="AS141" s="79" t="n">
        <f aca="false">IF(OR(MOD(AS$135-1,12)&gt;=11,MOD(AS$135-1,12)&lt;=1),1-Inputs!$C$12,1+Inputs!$C$12/3)</f>
        <v>1.05</v>
      </c>
      <c r="AT141" s="79" t="n">
        <f aca="false">IF(OR(MOD(AT$135-1,12)&gt;=11,MOD(AT$135-1,12)&lt;=1),1-Inputs!$C$12,1+Inputs!$C$12/3)</f>
        <v>1.05</v>
      </c>
      <c r="AU141" s="79" t="n">
        <f aca="false">IF(OR(MOD(AU$135-1,12)&gt;=11,MOD(AU$135-1,12)&lt;=1),1-Inputs!$C$12,1+Inputs!$C$12/3)</f>
        <v>1.05</v>
      </c>
      <c r="AV141" s="79" t="n">
        <f aca="false">IF(OR(MOD(AV$135-1,12)&gt;=11,MOD(AV$135-1,12)&lt;=1),1-Inputs!$C$12,1+Inputs!$C$12/3)</f>
        <v>1.05</v>
      </c>
      <c r="AW141" s="79" t="n">
        <f aca="false">IF(OR(MOD(AW$135-1,12)&gt;=11,MOD(AW$135-1,12)&lt;=1),1-Inputs!$C$12,1+Inputs!$C$12/3)</f>
        <v>1.05</v>
      </c>
      <c r="AX141" s="79" t="n">
        <f aca="false">IF(OR(MOD(AX$135-1,12)&gt;=11,MOD(AX$135-1,12)&lt;=1),1-Inputs!$C$12,1+Inputs!$C$12/3)</f>
        <v>0.85</v>
      </c>
      <c r="AY141" s="79" t="n">
        <f aca="false">IF(OR(MOD(AY$135-1,12)&gt;=11,MOD(AY$135-1,12)&lt;=1),1-Inputs!$C$12,1+Inputs!$C$12/3)</f>
        <v>0.85</v>
      </c>
      <c r="AZ141" s="79" t="n">
        <f aca="false">IF(OR(MOD(AZ$135-1,12)&gt;=11,MOD(AZ$135-1,12)&lt;=1),1-Inputs!$C$12,1+Inputs!$C$12/3)</f>
        <v>0.85</v>
      </c>
      <c r="BA141" s="79" t="n">
        <f aca="false">IF(OR(MOD(BA$135-1,12)&gt;=11,MOD(BA$135-1,12)&lt;=1),1-Inputs!$C$12,1+Inputs!$C$12/3)</f>
        <v>1.05</v>
      </c>
      <c r="BB141" s="79" t="n">
        <f aca="false">IF(OR(MOD(BB$135-1,12)&gt;=11,MOD(BB$135-1,12)&lt;=1),1-Inputs!$C$12,1+Inputs!$C$12/3)</f>
        <v>1.05</v>
      </c>
      <c r="BC141" s="79" t="n">
        <f aca="false">IF(OR(MOD(BC$135-1,12)&gt;=11,MOD(BC$135-1,12)&lt;=1),1-Inputs!$C$12,1+Inputs!$C$12/3)</f>
        <v>1.05</v>
      </c>
      <c r="BD141" s="79" t="n">
        <f aca="false">IF(OR(MOD(BD$135-1,12)&gt;=11,MOD(BD$135-1,12)&lt;=1),1-Inputs!$C$12,1+Inputs!$C$12/3)</f>
        <v>1.05</v>
      </c>
      <c r="BE141" s="79" t="n">
        <f aca="false">IF(OR(MOD(BE$135-1,12)&gt;=11,MOD(BE$135-1,12)&lt;=1),1-Inputs!$C$12,1+Inputs!$C$12/3)</f>
        <v>1.05</v>
      </c>
      <c r="BF141" s="79" t="n">
        <f aca="false">IF(OR(MOD(BF$135-1,12)&gt;=11,MOD(BF$135-1,12)&lt;=1),1-Inputs!$C$12,1+Inputs!$C$12/3)</f>
        <v>1.05</v>
      </c>
      <c r="BG141" s="79" t="n">
        <f aca="false">IF(OR(MOD(BG$135-1,12)&gt;=11,MOD(BG$135-1,12)&lt;=1),1-Inputs!$C$12,1+Inputs!$C$12/3)</f>
        <v>1.05</v>
      </c>
      <c r="BH141" s="79" t="n">
        <f aca="false">IF(OR(MOD(BH$135-1,12)&gt;=11,MOD(BH$135-1,12)&lt;=1),1-Inputs!$C$12,1+Inputs!$C$12/3)</f>
        <v>1.05</v>
      </c>
      <c r="BI141" s="79" t="n">
        <f aca="false">IF(OR(MOD(BI$135-1,12)&gt;=11,MOD(BI$135-1,12)&lt;=1),1-Inputs!$C$12,1+Inputs!$C$12/3)</f>
        <v>1.05</v>
      </c>
      <c r="BJ141" s="79" t="n">
        <f aca="false">IF(OR(MOD(BJ$135-1,12)&gt;=11,MOD(BJ$135-1,12)&lt;=1),1-Inputs!$C$12,1+Inputs!$C$12/3)</f>
        <v>0.85</v>
      </c>
    </row>
    <row r="142" customFormat="false" ht="15" hidden="false" customHeight="false" outlineLevel="0" collapsed="false">
      <c r="A142" s="6" t="s">
        <v>421</v>
      </c>
      <c r="C142" s="118" t="n">
        <f aca="false">Inputs!$C$7*(1+Inputs!$C$8)^(C$136-1)*Inputs!$C$9*1*C140*C141</f>
        <v>2662.2</v>
      </c>
      <c r="D142" s="118" t="n">
        <f aca="false">Inputs!$C$7*(1+Inputs!$C$8)^(D$136-1)*Inputs!$C$9*1*D140*D141</f>
        <v>3023.73333333333</v>
      </c>
      <c r="E142" s="118" t="n">
        <f aca="false">Inputs!$C$7*(1+Inputs!$C$8)^(E$136-1)*Inputs!$C$9*1*E140*E141</f>
        <v>4181.8</v>
      </c>
      <c r="F142" s="118" t="n">
        <f aca="false">Inputs!$C$7*(1+Inputs!$C$8)^(F$136-1)*Inputs!$C$9*1*F140*F141</f>
        <v>4628.4</v>
      </c>
      <c r="G142" s="118" t="n">
        <f aca="false">Inputs!$C$7*(1+Inputs!$C$8)^(G$136-1)*Inputs!$C$9*1*G140*G141</f>
        <v>5075</v>
      </c>
      <c r="H142" s="118" t="n">
        <f aca="false">Inputs!$C$7*(1+Inputs!$C$8)^(H$136-1)*Inputs!$C$9*1*H140*H141</f>
        <v>5521.6</v>
      </c>
      <c r="I142" s="118" t="n">
        <f aca="false">Inputs!$C$7*(1+Inputs!$C$8)^(I$136-1)*Inputs!$C$9*1*I140*I141</f>
        <v>5968.2</v>
      </c>
      <c r="J142" s="118" t="n">
        <f aca="false">Inputs!$C$7*(1+Inputs!$C$8)^(J$136-1)*Inputs!$C$9*1*J140*J141</f>
        <v>6414.8</v>
      </c>
      <c r="K142" s="118" t="n">
        <f aca="false">Inputs!$C$7*(1+Inputs!$C$8)^(K$136-1)*Inputs!$C$9*1*K140*K141</f>
        <v>6861.4</v>
      </c>
      <c r="L142" s="118" t="n">
        <f aca="false">Inputs!$C$7*(1+Inputs!$C$8)^(L$136-1)*Inputs!$C$9*1*L140*L141</f>
        <v>7308</v>
      </c>
      <c r="M142" s="118" t="n">
        <f aca="false">Inputs!$C$7*(1+Inputs!$C$8)^(M$136-1)*Inputs!$C$9*1*M140*M141</f>
        <v>7308</v>
      </c>
      <c r="N142" s="118" t="n">
        <f aca="false">Inputs!$C$7*(1+Inputs!$C$8)^(N$136-1)*Inputs!$C$9*1*N140*N141</f>
        <v>5916</v>
      </c>
      <c r="O142" s="118" t="n">
        <f aca="false">Inputs!$C$7*(1+Inputs!$C$8)^(O$136-1)*Inputs!$C$9*1*O140*O141</f>
        <v>6093.48</v>
      </c>
      <c r="P142" s="118" t="n">
        <f aca="false">Inputs!$C$7*(1+Inputs!$C$8)^(P$136-1)*Inputs!$C$9*1*P140*P141</f>
        <v>6093.48</v>
      </c>
      <c r="Q142" s="118" t="n">
        <f aca="false">Inputs!$C$7*(1+Inputs!$C$8)^(Q$136-1)*Inputs!$C$9*1*Q140*Q141</f>
        <v>7527.24</v>
      </c>
      <c r="R142" s="118" t="n">
        <f aca="false">Inputs!$C$7*(1+Inputs!$C$8)^(R$136-1)*Inputs!$C$9*1*R140*R141</f>
        <v>7527.24</v>
      </c>
      <c r="S142" s="118" t="n">
        <f aca="false">Inputs!$C$7*(1+Inputs!$C$8)^(S$136-1)*Inputs!$C$9*1*S140*S141</f>
        <v>7527.24</v>
      </c>
      <c r="T142" s="118" t="n">
        <f aca="false">Inputs!$C$7*(1+Inputs!$C$8)^(T$136-1)*Inputs!$C$9*1*T140*T141</f>
        <v>7527.24</v>
      </c>
      <c r="U142" s="118" t="n">
        <f aca="false">Inputs!$C$7*(1+Inputs!$C$8)^(U$136-1)*Inputs!$C$9*1*U140*U141</f>
        <v>7527.24</v>
      </c>
      <c r="V142" s="118" t="n">
        <f aca="false">Inputs!$C$7*(1+Inputs!$C$8)^(V$136-1)*Inputs!$C$9*1*V140*V141</f>
        <v>7527.24</v>
      </c>
      <c r="W142" s="118" t="n">
        <f aca="false">Inputs!$C$7*(1+Inputs!$C$8)^(W$136-1)*Inputs!$C$9*1*W140*W141</f>
        <v>7527.24</v>
      </c>
      <c r="X142" s="118" t="n">
        <f aca="false">Inputs!$C$7*(1+Inputs!$C$8)^(X$136-1)*Inputs!$C$9*1*X140*X141</f>
        <v>7527.24</v>
      </c>
      <c r="Y142" s="118" t="n">
        <f aca="false">Inputs!$C$7*(1+Inputs!$C$8)^(Y$136-1)*Inputs!$C$9*1*Y140*Y141</f>
        <v>7527.24</v>
      </c>
      <c r="Z142" s="118" t="n">
        <f aca="false">Inputs!$C$7*(1+Inputs!$C$8)^(Z$136-1)*Inputs!$C$9*1*Z140*Z141</f>
        <v>6093.48</v>
      </c>
      <c r="AA142" s="118" t="n">
        <f aca="false">Inputs!$C$7*(1+Inputs!$C$8)^(AA$136-1)*Inputs!$C$9*1*AA140*AA141</f>
        <v>6276.2844</v>
      </c>
      <c r="AB142" s="118" t="n">
        <f aca="false">Inputs!$C$7*(1+Inputs!$C$8)^(AB$136-1)*Inputs!$C$9*1*AB140*AB141</f>
        <v>6276.2844</v>
      </c>
      <c r="AC142" s="118" t="n">
        <f aca="false">Inputs!$C$7*(1+Inputs!$C$8)^(AC$136-1)*Inputs!$C$9*1*AC140*AC141</f>
        <v>7753.0572</v>
      </c>
      <c r="AD142" s="118" t="n">
        <f aca="false">Inputs!$C$7*(1+Inputs!$C$8)^(AD$136-1)*Inputs!$C$9*1*AD140*AD141</f>
        <v>7753.0572</v>
      </c>
      <c r="AE142" s="118" t="n">
        <f aca="false">Inputs!$C$7*(1+Inputs!$C$8)^(AE$136-1)*Inputs!$C$9*1*AE140*AE141</f>
        <v>7753.0572</v>
      </c>
      <c r="AF142" s="118" t="n">
        <f aca="false">Inputs!$C$7*(1+Inputs!$C$8)^(AF$136-1)*Inputs!$C$9*1*AF140*AF141</f>
        <v>7753.0572</v>
      </c>
      <c r="AG142" s="118" t="n">
        <f aca="false">Inputs!$C$7*(1+Inputs!$C$8)^(AG$136-1)*Inputs!$C$9*1*AG140*AG141</f>
        <v>7753.0572</v>
      </c>
      <c r="AH142" s="118" t="n">
        <f aca="false">Inputs!$C$7*(1+Inputs!$C$8)^(AH$136-1)*Inputs!$C$9*1*AH140*AH141</f>
        <v>7753.0572</v>
      </c>
      <c r="AI142" s="118" t="n">
        <f aca="false">Inputs!$C$7*(1+Inputs!$C$8)^(AI$136-1)*Inputs!$C$9*1*AI140*AI141</f>
        <v>7753.0572</v>
      </c>
      <c r="AJ142" s="118" t="n">
        <f aca="false">Inputs!$C$7*(1+Inputs!$C$8)^(AJ$136-1)*Inputs!$C$9*1*AJ140*AJ141</f>
        <v>7753.0572</v>
      </c>
      <c r="AK142" s="118" t="n">
        <f aca="false">Inputs!$C$7*(1+Inputs!$C$8)^(AK$136-1)*Inputs!$C$9*1*AK140*AK141</f>
        <v>7753.0572</v>
      </c>
      <c r="AL142" s="118" t="n">
        <f aca="false">Inputs!$C$7*(1+Inputs!$C$8)^(AL$136-1)*Inputs!$C$9*1*AL140*AL141</f>
        <v>6276.2844</v>
      </c>
      <c r="AM142" s="118" t="n">
        <f aca="false">Inputs!$C$7*(1+Inputs!$C$8)^(AM$136-1)*Inputs!$C$9*1*AM140*AM141</f>
        <v>6464.572932</v>
      </c>
      <c r="AN142" s="118" t="n">
        <f aca="false">Inputs!$C$7*(1+Inputs!$C$8)^(AN$136-1)*Inputs!$C$9*1*AN140*AN141</f>
        <v>6464.572932</v>
      </c>
      <c r="AO142" s="118" t="n">
        <f aca="false">Inputs!$C$7*(1+Inputs!$C$8)^(AO$136-1)*Inputs!$C$9*1*AO140*AO141</f>
        <v>7985.648916</v>
      </c>
      <c r="AP142" s="118" t="n">
        <f aca="false">Inputs!$C$7*(1+Inputs!$C$8)^(AP$136-1)*Inputs!$C$9*1*AP140*AP141</f>
        <v>7985.648916</v>
      </c>
      <c r="AQ142" s="118" t="n">
        <f aca="false">Inputs!$C$7*(1+Inputs!$C$8)^(AQ$136-1)*Inputs!$C$9*1*AQ140*AQ141</f>
        <v>7985.648916</v>
      </c>
      <c r="AR142" s="118" t="n">
        <f aca="false">Inputs!$C$7*(1+Inputs!$C$8)^(AR$136-1)*Inputs!$C$9*1*AR140*AR141</f>
        <v>7985.648916</v>
      </c>
      <c r="AS142" s="118" t="n">
        <f aca="false">Inputs!$C$7*(1+Inputs!$C$8)^(AS$136-1)*Inputs!$C$9*1*AS140*AS141</f>
        <v>7985.648916</v>
      </c>
      <c r="AT142" s="118" t="n">
        <f aca="false">Inputs!$C$7*(1+Inputs!$C$8)^(AT$136-1)*Inputs!$C$9*1*AT140*AT141</f>
        <v>7985.648916</v>
      </c>
      <c r="AU142" s="118" t="n">
        <f aca="false">Inputs!$C$7*(1+Inputs!$C$8)^(AU$136-1)*Inputs!$C$9*1*AU140*AU141</f>
        <v>7985.648916</v>
      </c>
      <c r="AV142" s="118" t="n">
        <f aca="false">Inputs!$C$7*(1+Inputs!$C$8)^(AV$136-1)*Inputs!$C$9*1*AV140*AV141</f>
        <v>7985.648916</v>
      </c>
      <c r="AW142" s="118" t="n">
        <f aca="false">Inputs!$C$7*(1+Inputs!$C$8)^(AW$136-1)*Inputs!$C$9*1*AW140*AW141</f>
        <v>7985.648916</v>
      </c>
      <c r="AX142" s="118" t="n">
        <f aca="false">Inputs!$C$7*(1+Inputs!$C$8)^(AX$136-1)*Inputs!$C$9*1*AX140*AX141</f>
        <v>6464.572932</v>
      </c>
      <c r="AY142" s="118" t="n">
        <f aca="false">Inputs!$C$7*(1+Inputs!$C$8)^(AY$136-1)*Inputs!$C$9*1*AY140*AY141</f>
        <v>6658.51011996</v>
      </c>
      <c r="AZ142" s="118" t="n">
        <f aca="false">Inputs!$C$7*(1+Inputs!$C$8)^(AZ$136-1)*Inputs!$C$9*1*AZ140*AZ141</f>
        <v>6658.51011996</v>
      </c>
      <c r="BA142" s="118" t="n">
        <f aca="false">Inputs!$C$7*(1+Inputs!$C$8)^(BA$136-1)*Inputs!$C$9*1*BA140*BA141</f>
        <v>8225.21838348</v>
      </c>
      <c r="BB142" s="118" t="n">
        <f aca="false">Inputs!$C$7*(1+Inputs!$C$8)^(BB$136-1)*Inputs!$C$9*1*BB140*BB141</f>
        <v>8225.21838348</v>
      </c>
      <c r="BC142" s="118" t="n">
        <f aca="false">Inputs!$C$7*(1+Inputs!$C$8)^(BC$136-1)*Inputs!$C$9*1*BC140*BC141</f>
        <v>8225.21838348</v>
      </c>
      <c r="BD142" s="118" t="n">
        <f aca="false">Inputs!$C$7*(1+Inputs!$C$8)^(BD$136-1)*Inputs!$C$9*1*BD140*BD141</f>
        <v>8225.21838348</v>
      </c>
      <c r="BE142" s="118" t="n">
        <f aca="false">Inputs!$C$7*(1+Inputs!$C$8)^(BE$136-1)*Inputs!$C$9*1*BE140*BE141</f>
        <v>8225.21838348</v>
      </c>
      <c r="BF142" s="118" t="n">
        <f aca="false">Inputs!$C$7*(1+Inputs!$C$8)^(BF$136-1)*Inputs!$C$9*1*BF140*BF141</f>
        <v>8225.21838348</v>
      </c>
      <c r="BG142" s="118" t="n">
        <f aca="false">Inputs!$C$7*(1+Inputs!$C$8)^(BG$136-1)*Inputs!$C$9*1*BG140*BG141</f>
        <v>8225.21838348</v>
      </c>
      <c r="BH142" s="118" t="n">
        <f aca="false">Inputs!$C$7*(1+Inputs!$C$8)^(BH$136-1)*Inputs!$C$9*1*BH140*BH141</f>
        <v>8225.21838348</v>
      </c>
      <c r="BI142" s="118" t="n">
        <f aca="false">Inputs!$C$7*(1+Inputs!$C$8)^(BI$136-1)*Inputs!$C$9*1*BI140*BI141</f>
        <v>8225.21838348</v>
      </c>
      <c r="BJ142" s="118" t="n">
        <f aca="false">Inputs!$C$7*(1+Inputs!$C$8)^(BJ$136-1)*Inputs!$C$9*1*BJ140*BJ141</f>
        <v>6658.51011996</v>
      </c>
    </row>
    <row r="144" customFormat="false" ht="15.75" hidden="false" customHeight="true" outlineLevel="0" collapsed="false">
      <c r="A144" s="7" t="s">
        <v>422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423</v>
      </c>
      <c r="C145" s="117" t="n">
        <f aca="false">C142*Inputs!$C$23</f>
        <v>21.2976</v>
      </c>
      <c r="D145" s="117" t="n">
        <f aca="false">D142*Inputs!$C$23</f>
        <v>24.1898666666667</v>
      </c>
      <c r="E145" s="117" t="n">
        <f aca="false">E142*Inputs!$C$23</f>
        <v>33.4544</v>
      </c>
      <c r="F145" s="117" t="n">
        <f aca="false">F142*Inputs!$C$23</f>
        <v>37.0272</v>
      </c>
      <c r="G145" s="117" t="n">
        <f aca="false">G142*Inputs!$C$23</f>
        <v>40.6</v>
      </c>
      <c r="H145" s="117" t="n">
        <f aca="false">H142*Inputs!$C$23</f>
        <v>44.1728</v>
      </c>
      <c r="I145" s="117" t="n">
        <f aca="false">I142*Inputs!$C$23</f>
        <v>47.7456</v>
      </c>
      <c r="J145" s="117" t="n">
        <f aca="false">J142*Inputs!$C$23</f>
        <v>51.3184</v>
      </c>
      <c r="K145" s="117" t="n">
        <f aca="false">K142*Inputs!$C$23</f>
        <v>54.8912</v>
      </c>
      <c r="L145" s="117" t="n">
        <f aca="false">L142*Inputs!$C$23</f>
        <v>58.464</v>
      </c>
      <c r="M145" s="117" t="n">
        <f aca="false">M142*Inputs!$C$23</f>
        <v>58.464</v>
      </c>
      <c r="N145" s="117" t="n">
        <f aca="false">N142*Inputs!$C$23</f>
        <v>47.328</v>
      </c>
      <c r="O145" s="117" t="n">
        <f aca="false">O142*Inputs!$C$23</f>
        <v>48.74784</v>
      </c>
      <c r="P145" s="117" t="n">
        <f aca="false">P142*Inputs!$C$23</f>
        <v>48.74784</v>
      </c>
      <c r="Q145" s="117" t="n">
        <f aca="false">Q142*Inputs!$C$23</f>
        <v>60.21792</v>
      </c>
      <c r="R145" s="117" t="n">
        <f aca="false">R142*Inputs!$C$23</f>
        <v>60.21792</v>
      </c>
      <c r="S145" s="117" t="n">
        <f aca="false">S142*Inputs!$C$23</f>
        <v>60.21792</v>
      </c>
      <c r="T145" s="117" t="n">
        <f aca="false">T142*Inputs!$C$23</f>
        <v>60.21792</v>
      </c>
      <c r="U145" s="117" t="n">
        <f aca="false">U142*Inputs!$C$23</f>
        <v>60.21792</v>
      </c>
      <c r="V145" s="117" t="n">
        <f aca="false">V142*Inputs!$C$23</f>
        <v>60.21792</v>
      </c>
      <c r="W145" s="117" t="n">
        <f aca="false">W142*Inputs!$C$23</f>
        <v>60.21792</v>
      </c>
      <c r="X145" s="117" t="n">
        <f aca="false">X142*Inputs!$C$23</f>
        <v>60.21792</v>
      </c>
      <c r="Y145" s="117" t="n">
        <f aca="false">Y142*Inputs!$C$23</f>
        <v>60.21792</v>
      </c>
      <c r="Z145" s="117" t="n">
        <f aca="false">Z142*Inputs!$C$23</f>
        <v>48.74784</v>
      </c>
      <c r="AA145" s="117" t="n">
        <f aca="false">AA142*Inputs!$C$23</f>
        <v>50.2102752</v>
      </c>
      <c r="AB145" s="117" t="n">
        <f aca="false">AB142*Inputs!$C$23</f>
        <v>50.2102752</v>
      </c>
      <c r="AC145" s="117" t="n">
        <f aca="false">AC142*Inputs!$C$23</f>
        <v>62.0244576</v>
      </c>
      <c r="AD145" s="117" t="n">
        <f aca="false">AD142*Inputs!$C$23</f>
        <v>62.0244576</v>
      </c>
      <c r="AE145" s="117" t="n">
        <f aca="false">AE142*Inputs!$C$23</f>
        <v>62.0244576</v>
      </c>
      <c r="AF145" s="117" t="n">
        <f aca="false">AF142*Inputs!$C$23</f>
        <v>62.0244576</v>
      </c>
      <c r="AG145" s="117" t="n">
        <f aca="false">AG142*Inputs!$C$23</f>
        <v>62.0244576</v>
      </c>
      <c r="AH145" s="117" t="n">
        <f aca="false">AH142*Inputs!$C$23</f>
        <v>62.0244576</v>
      </c>
      <c r="AI145" s="117" t="n">
        <f aca="false">AI142*Inputs!$C$23</f>
        <v>62.0244576</v>
      </c>
      <c r="AJ145" s="117" t="n">
        <f aca="false">AJ142*Inputs!$C$23</f>
        <v>62.0244576</v>
      </c>
      <c r="AK145" s="117" t="n">
        <f aca="false">AK142*Inputs!$C$23</f>
        <v>62.0244576</v>
      </c>
      <c r="AL145" s="117" t="n">
        <f aca="false">AL142*Inputs!$C$23</f>
        <v>50.2102752</v>
      </c>
      <c r="AM145" s="117" t="n">
        <f aca="false">AM142*Inputs!$C$23</f>
        <v>51.716583456</v>
      </c>
      <c r="AN145" s="117" t="n">
        <f aca="false">AN142*Inputs!$C$23</f>
        <v>51.716583456</v>
      </c>
      <c r="AO145" s="117" t="n">
        <f aca="false">AO142*Inputs!$C$23</f>
        <v>63.885191328</v>
      </c>
      <c r="AP145" s="117" t="n">
        <f aca="false">AP142*Inputs!$C$23</f>
        <v>63.885191328</v>
      </c>
      <c r="AQ145" s="117" t="n">
        <f aca="false">AQ142*Inputs!$C$23</f>
        <v>63.885191328</v>
      </c>
      <c r="AR145" s="117" t="n">
        <f aca="false">AR142*Inputs!$C$23</f>
        <v>63.885191328</v>
      </c>
      <c r="AS145" s="117" t="n">
        <f aca="false">AS142*Inputs!$C$23</f>
        <v>63.885191328</v>
      </c>
      <c r="AT145" s="117" t="n">
        <f aca="false">AT142*Inputs!$C$23</f>
        <v>63.885191328</v>
      </c>
      <c r="AU145" s="117" t="n">
        <f aca="false">AU142*Inputs!$C$23</f>
        <v>63.885191328</v>
      </c>
      <c r="AV145" s="117" t="n">
        <f aca="false">AV142*Inputs!$C$23</f>
        <v>63.885191328</v>
      </c>
      <c r="AW145" s="117" t="n">
        <f aca="false">AW142*Inputs!$C$23</f>
        <v>63.885191328</v>
      </c>
      <c r="AX145" s="117" t="n">
        <f aca="false">AX142*Inputs!$C$23</f>
        <v>51.716583456</v>
      </c>
      <c r="AY145" s="117" t="n">
        <f aca="false">AY142*Inputs!$C$23</f>
        <v>53.26808095968</v>
      </c>
      <c r="AZ145" s="117" t="n">
        <f aca="false">AZ142*Inputs!$C$23</f>
        <v>53.26808095968</v>
      </c>
      <c r="BA145" s="117" t="n">
        <f aca="false">BA142*Inputs!$C$23</f>
        <v>65.80174706784</v>
      </c>
      <c r="BB145" s="117" t="n">
        <f aca="false">BB142*Inputs!$C$23</f>
        <v>65.80174706784</v>
      </c>
      <c r="BC145" s="117" t="n">
        <f aca="false">BC142*Inputs!$C$23</f>
        <v>65.80174706784</v>
      </c>
      <c r="BD145" s="117" t="n">
        <f aca="false">BD142*Inputs!$C$23</f>
        <v>65.80174706784</v>
      </c>
      <c r="BE145" s="117" t="n">
        <f aca="false">BE142*Inputs!$C$23</f>
        <v>65.80174706784</v>
      </c>
      <c r="BF145" s="117" t="n">
        <f aca="false">BF142*Inputs!$C$23</f>
        <v>65.80174706784</v>
      </c>
      <c r="BG145" s="117" t="n">
        <f aca="false">BG142*Inputs!$C$23</f>
        <v>65.80174706784</v>
      </c>
      <c r="BH145" s="117" t="n">
        <f aca="false">BH142*Inputs!$C$23</f>
        <v>65.80174706784</v>
      </c>
      <c r="BI145" s="117" t="n">
        <f aca="false">BI142*Inputs!$C$23</f>
        <v>65.80174706784</v>
      </c>
      <c r="BJ145" s="117" t="n">
        <f aca="false">BJ142*Inputs!$C$23</f>
        <v>53.26808095968</v>
      </c>
    </row>
    <row r="146" customFormat="false" ht="15" hidden="false" customHeight="false" outlineLevel="0" collapsed="false">
      <c r="A146" s="6" t="s">
        <v>424</v>
      </c>
      <c r="C146" s="117" t="n">
        <f aca="false">Inputs!$C$21*(1+Inputs!$C$22)^(C$136-1)*1*C140</f>
        <v>22.5</v>
      </c>
      <c r="D146" s="117" t="n">
        <f aca="false">Inputs!$C$21*(1+Inputs!$C$22)^(D$136-1)*1*D140</f>
        <v>25.5555555555556</v>
      </c>
      <c r="E146" s="117" t="n">
        <f aca="false">Inputs!$C$21*(1+Inputs!$C$22)^(E$136-1)*1*E140</f>
        <v>28.6111111111111</v>
      </c>
      <c r="F146" s="117" t="n">
        <f aca="false">Inputs!$C$21*(1+Inputs!$C$22)^(F$136-1)*1*F140</f>
        <v>31.6666666666667</v>
      </c>
      <c r="G146" s="117" t="n">
        <f aca="false">Inputs!$C$21*(1+Inputs!$C$22)^(G$136-1)*1*G140</f>
        <v>34.7222222222222</v>
      </c>
      <c r="H146" s="117" t="n">
        <f aca="false">Inputs!$C$21*(1+Inputs!$C$22)^(H$136-1)*1*H140</f>
        <v>37.7777777777778</v>
      </c>
      <c r="I146" s="117" t="n">
        <f aca="false">Inputs!$C$21*(1+Inputs!$C$22)^(I$136-1)*1*I140</f>
        <v>40.8333333333333</v>
      </c>
      <c r="J146" s="117" t="n">
        <f aca="false">Inputs!$C$21*(1+Inputs!$C$22)^(J$136-1)*1*J140</f>
        <v>43.8888888888889</v>
      </c>
      <c r="K146" s="117" t="n">
        <f aca="false">Inputs!$C$21*(1+Inputs!$C$22)^(K$136-1)*1*K140</f>
        <v>46.9444444444444</v>
      </c>
      <c r="L146" s="117" t="n">
        <f aca="false">Inputs!$C$21*(1+Inputs!$C$22)^(L$136-1)*1*L140</f>
        <v>50</v>
      </c>
      <c r="M146" s="117" t="n">
        <f aca="false">Inputs!$C$21*(1+Inputs!$C$22)^(M$136-1)*1*M140</f>
        <v>50</v>
      </c>
      <c r="N146" s="117" t="n">
        <f aca="false">Inputs!$C$21*(1+Inputs!$C$22)^(N$136-1)*1*N140</f>
        <v>50</v>
      </c>
      <c r="O146" s="117" t="n">
        <f aca="false">Inputs!$C$21*(1+Inputs!$C$22)^(O$136-1)*1*O140</f>
        <v>52.5</v>
      </c>
      <c r="P146" s="117" t="n">
        <f aca="false">Inputs!$C$21*(1+Inputs!$C$22)^(P$136-1)*1*P140</f>
        <v>52.5</v>
      </c>
      <c r="Q146" s="117" t="n">
        <f aca="false">Inputs!$C$21*(1+Inputs!$C$22)^(Q$136-1)*1*Q140</f>
        <v>52.5</v>
      </c>
      <c r="R146" s="117" t="n">
        <f aca="false">Inputs!$C$21*(1+Inputs!$C$22)^(R$136-1)*1*R140</f>
        <v>52.5</v>
      </c>
      <c r="S146" s="117" t="n">
        <f aca="false">Inputs!$C$21*(1+Inputs!$C$22)^(S$136-1)*1*S140</f>
        <v>52.5</v>
      </c>
      <c r="T146" s="117" t="n">
        <f aca="false">Inputs!$C$21*(1+Inputs!$C$22)^(T$136-1)*1*T140</f>
        <v>52.5</v>
      </c>
      <c r="U146" s="117" t="n">
        <f aca="false">Inputs!$C$21*(1+Inputs!$C$22)^(U$136-1)*1*U140</f>
        <v>52.5</v>
      </c>
      <c r="V146" s="117" t="n">
        <f aca="false">Inputs!$C$21*(1+Inputs!$C$22)^(V$136-1)*1*V140</f>
        <v>52.5</v>
      </c>
      <c r="W146" s="117" t="n">
        <f aca="false">Inputs!$C$21*(1+Inputs!$C$22)^(W$136-1)*1*W140</f>
        <v>52.5</v>
      </c>
      <c r="X146" s="117" t="n">
        <f aca="false">Inputs!$C$21*(1+Inputs!$C$22)^(X$136-1)*1*X140</f>
        <v>52.5</v>
      </c>
      <c r="Y146" s="117" t="n">
        <f aca="false">Inputs!$C$21*(1+Inputs!$C$22)^(Y$136-1)*1*Y140</f>
        <v>52.5</v>
      </c>
      <c r="Z146" s="117" t="n">
        <f aca="false">Inputs!$C$21*(1+Inputs!$C$22)^(Z$136-1)*1*Z140</f>
        <v>52.5</v>
      </c>
      <c r="AA146" s="117" t="n">
        <f aca="false">Inputs!$C$21*(1+Inputs!$C$22)^(AA$136-1)*1*AA140</f>
        <v>55.125</v>
      </c>
      <c r="AB146" s="117" t="n">
        <f aca="false">Inputs!$C$21*(1+Inputs!$C$22)^(AB$136-1)*1*AB140</f>
        <v>55.125</v>
      </c>
      <c r="AC146" s="117" t="n">
        <f aca="false">Inputs!$C$21*(1+Inputs!$C$22)^(AC$136-1)*1*AC140</f>
        <v>55.125</v>
      </c>
      <c r="AD146" s="117" t="n">
        <f aca="false">Inputs!$C$21*(1+Inputs!$C$22)^(AD$136-1)*1*AD140</f>
        <v>55.125</v>
      </c>
      <c r="AE146" s="117" t="n">
        <f aca="false">Inputs!$C$21*(1+Inputs!$C$22)^(AE$136-1)*1*AE140</f>
        <v>55.125</v>
      </c>
      <c r="AF146" s="117" t="n">
        <f aca="false">Inputs!$C$21*(1+Inputs!$C$22)^(AF$136-1)*1*AF140</f>
        <v>55.125</v>
      </c>
      <c r="AG146" s="117" t="n">
        <f aca="false">Inputs!$C$21*(1+Inputs!$C$22)^(AG$136-1)*1*AG140</f>
        <v>55.125</v>
      </c>
      <c r="AH146" s="117" t="n">
        <f aca="false">Inputs!$C$21*(1+Inputs!$C$22)^(AH$136-1)*1*AH140</f>
        <v>55.125</v>
      </c>
      <c r="AI146" s="117" t="n">
        <f aca="false">Inputs!$C$21*(1+Inputs!$C$22)^(AI$136-1)*1*AI140</f>
        <v>55.125</v>
      </c>
      <c r="AJ146" s="117" t="n">
        <f aca="false">Inputs!$C$21*(1+Inputs!$C$22)^(AJ$136-1)*1*AJ140</f>
        <v>55.125</v>
      </c>
      <c r="AK146" s="117" t="n">
        <f aca="false">Inputs!$C$21*(1+Inputs!$C$22)^(AK$136-1)*1*AK140</f>
        <v>55.125</v>
      </c>
      <c r="AL146" s="117" t="n">
        <f aca="false">Inputs!$C$21*(1+Inputs!$C$22)^(AL$136-1)*1*AL140</f>
        <v>55.125</v>
      </c>
      <c r="AM146" s="117" t="n">
        <f aca="false">Inputs!$C$21*(1+Inputs!$C$22)^(AM$136-1)*1*AM140</f>
        <v>57.88125</v>
      </c>
      <c r="AN146" s="117" t="n">
        <f aca="false">Inputs!$C$21*(1+Inputs!$C$22)^(AN$136-1)*1*AN140</f>
        <v>57.88125</v>
      </c>
      <c r="AO146" s="117" t="n">
        <f aca="false">Inputs!$C$21*(1+Inputs!$C$22)^(AO$136-1)*1*AO140</f>
        <v>57.88125</v>
      </c>
      <c r="AP146" s="117" t="n">
        <f aca="false">Inputs!$C$21*(1+Inputs!$C$22)^(AP$136-1)*1*AP140</f>
        <v>57.88125</v>
      </c>
      <c r="AQ146" s="117" t="n">
        <f aca="false">Inputs!$C$21*(1+Inputs!$C$22)^(AQ$136-1)*1*AQ140</f>
        <v>57.88125</v>
      </c>
      <c r="AR146" s="117" t="n">
        <f aca="false">Inputs!$C$21*(1+Inputs!$C$22)^(AR$136-1)*1*AR140</f>
        <v>57.88125</v>
      </c>
      <c r="AS146" s="117" t="n">
        <f aca="false">Inputs!$C$21*(1+Inputs!$C$22)^(AS$136-1)*1*AS140</f>
        <v>57.88125</v>
      </c>
      <c r="AT146" s="117" t="n">
        <f aca="false">Inputs!$C$21*(1+Inputs!$C$22)^(AT$136-1)*1*AT140</f>
        <v>57.88125</v>
      </c>
      <c r="AU146" s="117" t="n">
        <f aca="false">Inputs!$C$21*(1+Inputs!$C$22)^(AU$136-1)*1*AU140</f>
        <v>57.88125</v>
      </c>
      <c r="AV146" s="117" t="n">
        <f aca="false">Inputs!$C$21*(1+Inputs!$C$22)^(AV$136-1)*1*AV140</f>
        <v>57.88125</v>
      </c>
      <c r="AW146" s="117" t="n">
        <f aca="false">Inputs!$C$21*(1+Inputs!$C$22)^(AW$136-1)*1*AW140</f>
        <v>57.88125</v>
      </c>
      <c r="AX146" s="117" t="n">
        <f aca="false">Inputs!$C$21*(1+Inputs!$C$22)^(AX$136-1)*1*AX140</f>
        <v>57.88125</v>
      </c>
      <c r="AY146" s="117" t="n">
        <f aca="false">Inputs!$C$21*(1+Inputs!$C$22)^(AY$136-1)*1*AY140</f>
        <v>60.7753125</v>
      </c>
      <c r="AZ146" s="117" t="n">
        <f aca="false">Inputs!$C$21*(1+Inputs!$C$22)^(AZ$136-1)*1*AZ140</f>
        <v>60.7753125</v>
      </c>
      <c r="BA146" s="117" t="n">
        <f aca="false">Inputs!$C$21*(1+Inputs!$C$22)^(BA$136-1)*1*BA140</f>
        <v>60.7753125</v>
      </c>
      <c r="BB146" s="117" t="n">
        <f aca="false">Inputs!$C$21*(1+Inputs!$C$22)^(BB$136-1)*1*BB140</f>
        <v>60.7753125</v>
      </c>
      <c r="BC146" s="117" t="n">
        <f aca="false">Inputs!$C$21*(1+Inputs!$C$22)^(BC$136-1)*1*BC140</f>
        <v>60.7753125</v>
      </c>
      <c r="BD146" s="117" t="n">
        <f aca="false">Inputs!$C$21*(1+Inputs!$C$22)^(BD$136-1)*1*BD140</f>
        <v>60.7753125</v>
      </c>
      <c r="BE146" s="117" t="n">
        <f aca="false">Inputs!$C$21*(1+Inputs!$C$22)^(BE$136-1)*1*BE140</f>
        <v>60.7753125</v>
      </c>
      <c r="BF146" s="117" t="n">
        <f aca="false">Inputs!$C$21*(1+Inputs!$C$22)^(BF$136-1)*1*BF140</f>
        <v>60.7753125</v>
      </c>
      <c r="BG146" s="117" t="n">
        <f aca="false">Inputs!$C$21*(1+Inputs!$C$22)^(BG$136-1)*1*BG140</f>
        <v>60.7753125</v>
      </c>
      <c r="BH146" s="117" t="n">
        <f aca="false">Inputs!$C$21*(1+Inputs!$C$22)^(BH$136-1)*1*BH140</f>
        <v>60.7753125</v>
      </c>
      <c r="BI146" s="117" t="n">
        <f aca="false">Inputs!$C$21*(1+Inputs!$C$22)^(BI$136-1)*1*BI140</f>
        <v>60.7753125</v>
      </c>
      <c r="BJ146" s="117" t="n">
        <f aca="false">Inputs!$C$21*(1+Inputs!$C$22)^(BJ$136-1)*1*BJ140</f>
        <v>60.7753125</v>
      </c>
    </row>
    <row r="147" customFormat="false" ht="15" hidden="false" customHeight="false" outlineLevel="0" collapsed="false">
      <c r="A147" s="4" t="s">
        <v>425</v>
      </c>
      <c r="C147" s="119" t="n">
        <f aca="false">C145+C146</f>
        <v>43.7976</v>
      </c>
      <c r="D147" s="119" t="n">
        <f aca="false">D145+D146</f>
        <v>49.7454222222222</v>
      </c>
      <c r="E147" s="119" t="n">
        <f aca="false">E145+E146</f>
        <v>62.0655111111111</v>
      </c>
      <c r="F147" s="119" t="n">
        <f aca="false">F145+F146</f>
        <v>68.6938666666667</v>
      </c>
      <c r="G147" s="119" t="n">
        <f aca="false">G145+G146</f>
        <v>75.3222222222222</v>
      </c>
      <c r="H147" s="119" t="n">
        <f aca="false">H145+H146</f>
        <v>81.9505777777778</v>
      </c>
      <c r="I147" s="119" t="n">
        <f aca="false">I145+I146</f>
        <v>88.5789333333333</v>
      </c>
      <c r="J147" s="119" t="n">
        <f aca="false">J145+J146</f>
        <v>95.2072888888889</v>
      </c>
      <c r="K147" s="119" t="n">
        <f aca="false">K145+K146</f>
        <v>101.835644444444</v>
      </c>
      <c r="L147" s="119" t="n">
        <f aca="false">L145+L146</f>
        <v>108.464</v>
      </c>
      <c r="M147" s="119" t="n">
        <f aca="false">M145+M146</f>
        <v>108.464</v>
      </c>
      <c r="N147" s="119" t="n">
        <f aca="false">N145+N146</f>
        <v>97.328</v>
      </c>
      <c r="O147" s="119" t="n">
        <f aca="false">O145+O146</f>
        <v>101.24784</v>
      </c>
      <c r="P147" s="119" t="n">
        <f aca="false">P145+P146</f>
        <v>101.24784</v>
      </c>
      <c r="Q147" s="119" t="n">
        <f aca="false">Q145+Q146</f>
        <v>112.71792</v>
      </c>
      <c r="R147" s="119" t="n">
        <f aca="false">R145+R146</f>
        <v>112.71792</v>
      </c>
      <c r="S147" s="119" t="n">
        <f aca="false">S145+S146</f>
        <v>112.71792</v>
      </c>
      <c r="T147" s="119" t="n">
        <f aca="false">T145+T146</f>
        <v>112.71792</v>
      </c>
      <c r="U147" s="119" t="n">
        <f aca="false">U145+U146</f>
        <v>112.71792</v>
      </c>
      <c r="V147" s="119" t="n">
        <f aca="false">V145+V146</f>
        <v>112.71792</v>
      </c>
      <c r="W147" s="119" t="n">
        <f aca="false">W145+W146</f>
        <v>112.71792</v>
      </c>
      <c r="X147" s="119" t="n">
        <f aca="false">X145+X146</f>
        <v>112.71792</v>
      </c>
      <c r="Y147" s="119" t="n">
        <f aca="false">Y145+Y146</f>
        <v>112.71792</v>
      </c>
      <c r="Z147" s="119" t="n">
        <f aca="false">Z145+Z146</f>
        <v>101.24784</v>
      </c>
      <c r="AA147" s="119" t="n">
        <f aca="false">AA145+AA146</f>
        <v>105.3352752</v>
      </c>
      <c r="AB147" s="119" t="n">
        <f aca="false">AB145+AB146</f>
        <v>105.3352752</v>
      </c>
      <c r="AC147" s="119" t="n">
        <f aca="false">AC145+AC146</f>
        <v>117.1494576</v>
      </c>
      <c r="AD147" s="119" t="n">
        <f aca="false">AD145+AD146</f>
        <v>117.1494576</v>
      </c>
      <c r="AE147" s="119" t="n">
        <f aca="false">AE145+AE146</f>
        <v>117.1494576</v>
      </c>
      <c r="AF147" s="119" t="n">
        <f aca="false">AF145+AF146</f>
        <v>117.1494576</v>
      </c>
      <c r="AG147" s="119" t="n">
        <f aca="false">AG145+AG146</f>
        <v>117.1494576</v>
      </c>
      <c r="AH147" s="119" t="n">
        <f aca="false">AH145+AH146</f>
        <v>117.1494576</v>
      </c>
      <c r="AI147" s="119" t="n">
        <f aca="false">AI145+AI146</f>
        <v>117.1494576</v>
      </c>
      <c r="AJ147" s="119" t="n">
        <f aca="false">AJ145+AJ146</f>
        <v>117.1494576</v>
      </c>
      <c r="AK147" s="119" t="n">
        <f aca="false">AK145+AK146</f>
        <v>117.1494576</v>
      </c>
      <c r="AL147" s="119" t="n">
        <f aca="false">AL145+AL146</f>
        <v>105.3352752</v>
      </c>
      <c r="AM147" s="119" t="n">
        <f aca="false">AM145+AM146</f>
        <v>109.597833456</v>
      </c>
      <c r="AN147" s="119" t="n">
        <f aca="false">AN145+AN146</f>
        <v>109.597833456</v>
      </c>
      <c r="AO147" s="119" t="n">
        <f aca="false">AO145+AO146</f>
        <v>121.766441328</v>
      </c>
      <c r="AP147" s="119" t="n">
        <f aca="false">AP145+AP146</f>
        <v>121.766441328</v>
      </c>
      <c r="AQ147" s="119" t="n">
        <f aca="false">AQ145+AQ146</f>
        <v>121.766441328</v>
      </c>
      <c r="AR147" s="119" t="n">
        <f aca="false">AR145+AR146</f>
        <v>121.766441328</v>
      </c>
      <c r="AS147" s="119" t="n">
        <f aca="false">AS145+AS146</f>
        <v>121.766441328</v>
      </c>
      <c r="AT147" s="119" t="n">
        <f aca="false">AT145+AT146</f>
        <v>121.766441328</v>
      </c>
      <c r="AU147" s="119" t="n">
        <f aca="false">AU145+AU146</f>
        <v>121.766441328</v>
      </c>
      <c r="AV147" s="119" t="n">
        <f aca="false">AV145+AV146</f>
        <v>121.766441328</v>
      </c>
      <c r="AW147" s="119" t="n">
        <f aca="false">AW145+AW146</f>
        <v>121.766441328</v>
      </c>
      <c r="AX147" s="119" t="n">
        <f aca="false">AX145+AX146</f>
        <v>109.597833456</v>
      </c>
      <c r="AY147" s="119" t="n">
        <f aca="false">AY145+AY146</f>
        <v>114.04339345968</v>
      </c>
      <c r="AZ147" s="119" t="n">
        <f aca="false">AZ145+AZ146</f>
        <v>114.04339345968</v>
      </c>
      <c r="BA147" s="119" t="n">
        <f aca="false">BA145+BA146</f>
        <v>126.57705956784</v>
      </c>
      <c r="BB147" s="119" t="n">
        <f aca="false">BB145+BB146</f>
        <v>126.57705956784</v>
      </c>
      <c r="BC147" s="119" t="n">
        <f aca="false">BC145+BC146</f>
        <v>126.57705956784</v>
      </c>
      <c r="BD147" s="119" t="n">
        <f aca="false">BD145+BD146</f>
        <v>126.57705956784</v>
      </c>
      <c r="BE147" s="119" t="n">
        <f aca="false">BE145+BE146</f>
        <v>126.57705956784</v>
      </c>
      <c r="BF147" s="119" t="n">
        <f aca="false">BF145+BF146</f>
        <v>126.57705956784</v>
      </c>
      <c r="BG147" s="119" t="n">
        <f aca="false">BG145+BG146</f>
        <v>126.57705956784</v>
      </c>
      <c r="BH147" s="119" t="n">
        <f aca="false">BH145+BH146</f>
        <v>126.57705956784</v>
      </c>
      <c r="BI147" s="119" t="n">
        <f aca="false">BI145+BI146</f>
        <v>126.57705956784</v>
      </c>
      <c r="BJ147" s="119" t="n">
        <f aca="false">BJ145+BJ146</f>
        <v>114.04339345968</v>
      </c>
    </row>
    <row r="148" customFormat="false" ht="15" hidden="false" customHeight="false" outlineLevel="0" collapsed="false">
      <c r="A148" s="6" t="s">
        <v>426</v>
      </c>
      <c r="C148" s="120" t="n">
        <f aca="false">Inputs!$C$20</f>
        <v>250</v>
      </c>
      <c r="D148" s="117" t="n">
        <f aca="false">C150</f>
        <v>283.7976</v>
      </c>
      <c r="E148" s="117" t="n">
        <f aca="false">D150</f>
        <v>322.191118222222</v>
      </c>
      <c r="F148" s="117" t="n">
        <f aca="false">E150</f>
        <v>371.368984604444</v>
      </c>
      <c r="G148" s="117" t="n">
        <f aca="false">F150</f>
        <v>425.208091886933</v>
      </c>
      <c r="H148" s="117" t="n">
        <f aca="false">G150</f>
        <v>483.521990433678</v>
      </c>
      <c r="I148" s="117" t="n">
        <f aca="false">H150</f>
        <v>546.131688594109</v>
      </c>
      <c r="J148" s="117" t="n">
        <f aca="false">I150</f>
        <v>612.865354383678</v>
      </c>
      <c r="K148" s="117" t="n">
        <f aca="false">J150</f>
        <v>683.55802909722</v>
      </c>
      <c r="L148" s="117" t="n">
        <f aca="false">K150</f>
        <v>758.051352377775</v>
      </c>
      <c r="M148" s="117" t="n">
        <f aca="false">L150</f>
        <v>836.193298282664</v>
      </c>
      <c r="N148" s="117" t="n">
        <f aca="false">M150</f>
        <v>911.209566351358</v>
      </c>
      <c r="O148" s="117" t="n">
        <f aca="false">N150</f>
        <v>972.089183697303</v>
      </c>
      <c r="P148" s="117" t="n">
        <f aca="false">O150</f>
        <v>1034.45345634941</v>
      </c>
      <c r="Q148" s="117" t="n">
        <f aca="false">P150</f>
        <v>1094.32315809543</v>
      </c>
      <c r="R148" s="117" t="n">
        <f aca="false">Q150</f>
        <v>1163.26815177162</v>
      </c>
      <c r="S148" s="117" t="n">
        <f aca="false">R150</f>
        <v>1229.45534570075</v>
      </c>
      <c r="T148" s="117" t="n">
        <f aca="false">S150</f>
        <v>1292.99505187272</v>
      </c>
      <c r="U148" s="117" t="n">
        <f aca="false">T150</f>
        <v>1353.99316979781</v>
      </c>
      <c r="V148" s="117" t="n">
        <f aca="false">U150</f>
        <v>1412.5513630059</v>
      </c>
      <c r="W148" s="117" t="n">
        <f aca="false">V150</f>
        <v>1468.76722848567</v>
      </c>
      <c r="X148" s="117" t="n">
        <f aca="false">W150</f>
        <v>1522.73445934624</v>
      </c>
      <c r="Y148" s="117" t="n">
        <f aca="false">X150</f>
        <v>1574.54300097239</v>
      </c>
      <c r="Z148" s="117" t="n">
        <f aca="false">Y150</f>
        <v>1624.27920093349</v>
      </c>
      <c r="AA148" s="117" t="n">
        <f aca="false">Z150</f>
        <v>1660.55587289615</v>
      </c>
      <c r="AB148" s="117" t="n">
        <f aca="false">AA150</f>
        <v>1699.46891318031</v>
      </c>
      <c r="AC148" s="117" t="n">
        <f aca="false">AB150</f>
        <v>1736.82543185309</v>
      </c>
      <c r="AD148" s="117" t="n">
        <f aca="false">AC150</f>
        <v>1784.50187217897</v>
      </c>
      <c r="AE148" s="117" t="n">
        <f aca="false">AD150</f>
        <v>1830.27125489181</v>
      </c>
      <c r="AF148" s="117" t="n">
        <f aca="false">AE150</f>
        <v>1874.20986229614</v>
      </c>
      <c r="AG148" s="117" t="n">
        <f aca="false">AF150</f>
        <v>1916.39092540429</v>
      </c>
      <c r="AH148" s="117" t="n">
        <f aca="false">AG150</f>
        <v>1956.88474598812</v>
      </c>
      <c r="AI148" s="117" t="n">
        <f aca="false">AH150</f>
        <v>1995.7588137486</v>
      </c>
      <c r="AJ148" s="117" t="n">
        <f aca="false">AI150</f>
        <v>2033.07791879865</v>
      </c>
      <c r="AK148" s="117" t="n">
        <f aca="false">AJ150</f>
        <v>2068.90425964671</v>
      </c>
      <c r="AL148" s="117" t="n">
        <f aca="false">AK150</f>
        <v>2103.29754686084</v>
      </c>
      <c r="AM148" s="117" t="n">
        <f aca="false">AL150</f>
        <v>2124.50092018641</v>
      </c>
      <c r="AN148" s="117" t="n">
        <f aca="false">AM150</f>
        <v>2149.11871683495</v>
      </c>
      <c r="AO148" s="117" t="n">
        <f aca="false">AN150</f>
        <v>2172.75180161755</v>
      </c>
      <c r="AP148" s="117" t="n">
        <f aca="false">AO150</f>
        <v>2207.60817088085</v>
      </c>
      <c r="AQ148" s="117" t="n">
        <f aca="false">AP150</f>
        <v>2241.07028537362</v>
      </c>
      <c r="AR148" s="117" t="n">
        <f aca="false">AQ150</f>
        <v>2273.19391528667</v>
      </c>
      <c r="AS148" s="117" t="n">
        <f aca="false">AR150</f>
        <v>2304.0326000032</v>
      </c>
      <c r="AT148" s="117" t="n">
        <f aca="false">AS150</f>
        <v>2333.63773733107</v>
      </c>
      <c r="AU148" s="117" t="n">
        <f aca="false">AT150</f>
        <v>2362.05866916583</v>
      </c>
      <c r="AV148" s="117" t="n">
        <f aca="false">AU150</f>
        <v>2389.3427637272</v>
      </c>
      <c r="AW148" s="117" t="n">
        <f aca="false">AV150</f>
        <v>2415.53549450611</v>
      </c>
      <c r="AX148" s="117" t="n">
        <f aca="false">AW150</f>
        <v>2440.68051605387</v>
      </c>
      <c r="AY148" s="117" t="n">
        <f aca="false">AX150</f>
        <v>2452.65112886771</v>
      </c>
      <c r="AZ148" s="117" t="n">
        <f aca="false">AY150</f>
        <v>2468.58847717268</v>
      </c>
      <c r="BA148" s="117" t="n">
        <f aca="false">AZ150</f>
        <v>2483.88833154545</v>
      </c>
      <c r="BB148" s="117" t="n">
        <f aca="false">BA150</f>
        <v>2511.10985785148</v>
      </c>
      <c r="BC148" s="117" t="n">
        <f aca="false">BB150</f>
        <v>2537.24252310526</v>
      </c>
      <c r="BD148" s="117" t="n">
        <f aca="false">BC150</f>
        <v>2562.32988174889</v>
      </c>
      <c r="BE148" s="117" t="n">
        <f aca="false">BD150</f>
        <v>2586.41374604677</v>
      </c>
      <c r="BF148" s="117" t="n">
        <f aca="false">BE150</f>
        <v>2609.53425577274</v>
      </c>
      <c r="BG148" s="117" t="n">
        <f aca="false">BF150</f>
        <v>2631.72994510967</v>
      </c>
      <c r="BH148" s="117" t="n">
        <f aca="false">BG150</f>
        <v>2653.03780687312</v>
      </c>
      <c r="BI148" s="117" t="n">
        <f aca="false">BH150</f>
        <v>2673.49335416604</v>
      </c>
      <c r="BJ148" s="117" t="n">
        <f aca="false">BI150</f>
        <v>2693.13067956724</v>
      </c>
    </row>
    <row r="149" customFormat="false" ht="15" hidden="false" customHeight="false" outlineLevel="0" collapsed="false">
      <c r="A149" s="6" t="s">
        <v>427</v>
      </c>
      <c r="C149" s="117" t="n">
        <f aca="false">C150-C148-C147</f>
        <v>-10</v>
      </c>
      <c r="D149" s="117" t="n">
        <f aca="false">D150-D148-D147</f>
        <v>-11.351904</v>
      </c>
      <c r="E149" s="117" t="n">
        <f aca="false">E150-E148-E147</f>
        <v>-12.8876447288889</v>
      </c>
      <c r="F149" s="117" t="n">
        <f aca="false">F150-F148-F147</f>
        <v>-14.8547593841778</v>
      </c>
      <c r="G149" s="117" t="n">
        <f aca="false">G150-G148-G147</f>
        <v>-17.0083236754773</v>
      </c>
      <c r="H149" s="117" t="n">
        <f aca="false">H150-H148-H147</f>
        <v>-19.3408796173471</v>
      </c>
      <c r="I149" s="117" t="n">
        <f aca="false">I150-I148-I147</f>
        <v>-21.8452675437644</v>
      </c>
      <c r="J149" s="117" t="n">
        <f aca="false">J150-J148-J147</f>
        <v>-24.5146141753471</v>
      </c>
      <c r="K149" s="117" t="n">
        <f aca="false">K150-K148-K147</f>
        <v>-27.3423211638887</v>
      </c>
      <c r="L149" s="117" t="n">
        <f aca="false">L150-L148-L147</f>
        <v>-30.322054095111</v>
      </c>
      <c r="M149" s="117" t="n">
        <f aca="false">M150-M148-M147</f>
        <v>-33.4477319313067</v>
      </c>
      <c r="N149" s="117" t="n">
        <f aca="false">N150-N148-N147</f>
        <v>-36.4483826540543</v>
      </c>
      <c r="O149" s="117" t="n">
        <f aca="false">O150-O148-O147</f>
        <v>-38.883567347892</v>
      </c>
      <c r="P149" s="117" t="n">
        <f aca="false">P150-P148-P147</f>
        <v>-41.3781382539764</v>
      </c>
      <c r="Q149" s="117" t="n">
        <f aca="false">Q150-Q148-Q147</f>
        <v>-43.7729263238175</v>
      </c>
      <c r="R149" s="117" t="n">
        <f aca="false">R150-R148-R147</f>
        <v>-46.5307260708648</v>
      </c>
      <c r="S149" s="117" t="n">
        <f aca="false">S150-S148-S147</f>
        <v>-49.17821382803</v>
      </c>
      <c r="T149" s="117" t="n">
        <f aca="false">T150-T148-T147</f>
        <v>-51.719802074909</v>
      </c>
      <c r="U149" s="117" t="n">
        <f aca="false">U150-U148-U147</f>
        <v>-54.1597267919126</v>
      </c>
      <c r="V149" s="117" t="n">
        <f aca="false">V150-V148-V147</f>
        <v>-56.502054520236</v>
      </c>
      <c r="W149" s="117" t="n">
        <f aca="false">W150-W148-W147</f>
        <v>-58.7506891394266</v>
      </c>
      <c r="X149" s="117" t="n">
        <f aca="false">X150-X148-X147</f>
        <v>-60.9093783738496</v>
      </c>
      <c r="Y149" s="117" t="n">
        <f aca="false">Y150-Y148-Y147</f>
        <v>-62.9817200388956</v>
      </c>
      <c r="Z149" s="117" t="n">
        <f aca="false">Z150-Z148-Z147</f>
        <v>-64.9711680373398</v>
      </c>
      <c r="AA149" s="117" t="n">
        <f aca="false">AA150-AA148-AA147</f>
        <v>-66.4222349158462</v>
      </c>
      <c r="AB149" s="117" t="n">
        <f aca="false">AB150-AB148-AB147</f>
        <v>-67.9787565272124</v>
      </c>
      <c r="AC149" s="117" t="n">
        <f aca="false">AC150-AC148-AC147</f>
        <v>-69.4730172741238</v>
      </c>
      <c r="AD149" s="117" t="n">
        <f aca="false">AD150-AD148-AD147</f>
        <v>-71.3800748871588</v>
      </c>
      <c r="AE149" s="117" t="n">
        <f aca="false">AE150-AE148-AE147</f>
        <v>-73.2108501956725</v>
      </c>
      <c r="AF149" s="117" t="n">
        <f aca="false">AF150-AF148-AF147</f>
        <v>-74.9683944918456</v>
      </c>
      <c r="AG149" s="117" t="n">
        <f aca="false">AG150-AG148-AG147</f>
        <v>-76.6556370161718</v>
      </c>
      <c r="AH149" s="117" t="n">
        <f aca="false">AH150-AH148-AH147</f>
        <v>-78.2753898395249</v>
      </c>
      <c r="AI149" s="117" t="n">
        <f aca="false">AI150-AI148-AI147</f>
        <v>-79.8303525499439</v>
      </c>
      <c r="AJ149" s="117" t="n">
        <f aca="false">AJ150-AJ148-AJ147</f>
        <v>-81.3231167519462</v>
      </c>
      <c r="AK149" s="117" t="n">
        <f aca="false">AK150-AK148-AK147</f>
        <v>-82.7561703858682</v>
      </c>
      <c r="AL149" s="117" t="n">
        <f aca="false">AL150-AL148-AL147</f>
        <v>-84.1319018744338</v>
      </c>
      <c r="AM149" s="117" t="n">
        <f aca="false">AM150-AM148-AM147</f>
        <v>-84.9800368074562</v>
      </c>
      <c r="AN149" s="117" t="n">
        <f aca="false">AN150-AN148-AN147</f>
        <v>-85.964748673398</v>
      </c>
      <c r="AO149" s="117" t="n">
        <f aca="false">AO150-AO148-AO147</f>
        <v>-86.9100720647021</v>
      </c>
      <c r="AP149" s="117" t="n">
        <f aca="false">AP150-AP148-AP147</f>
        <v>-88.304326835234</v>
      </c>
      <c r="AQ149" s="117" t="n">
        <f aca="false">AQ150-AQ148-AQ147</f>
        <v>-89.6428114149449</v>
      </c>
      <c r="AR149" s="117" t="n">
        <f aca="false">AR150-AR148-AR147</f>
        <v>-90.9277566114671</v>
      </c>
      <c r="AS149" s="117" t="n">
        <f aca="false">AS150-AS148-AS147</f>
        <v>-92.1613040001285</v>
      </c>
      <c r="AT149" s="117" t="n">
        <f aca="false">AT150-AT148-AT147</f>
        <v>-93.3455094932434</v>
      </c>
      <c r="AU149" s="117" t="n">
        <f aca="false">AU150-AU148-AU147</f>
        <v>-94.4823467666334</v>
      </c>
      <c r="AV149" s="117" t="n">
        <f aca="false">AV150-AV148-AV147</f>
        <v>-95.5737105490881</v>
      </c>
      <c r="AW149" s="117" t="n">
        <f aca="false">AW150-AW148-AW147</f>
        <v>-96.6214197802447</v>
      </c>
      <c r="AX149" s="117" t="n">
        <f aca="false">AX150-AX148-AX147</f>
        <v>-97.6272206421545</v>
      </c>
      <c r="AY149" s="117" t="n">
        <f aca="false">AY150-AY148-AY147</f>
        <v>-98.1060451547088</v>
      </c>
      <c r="AZ149" s="117" t="n">
        <f aca="false">AZ150-AZ148-AZ147</f>
        <v>-98.7435390869074</v>
      </c>
      <c r="BA149" s="117" t="n">
        <f aca="false">BA150-BA148-BA147</f>
        <v>-99.3555332618184</v>
      </c>
      <c r="BB149" s="117" t="n">
        <f aca="false">BB150-BB148-BB147</f>
        <v>-100.444394314059</v>
      </c>
      <c r="BC149" s="117" t="n">
        <f aca="false">BC150-BC148-BC147</f>
        <v>-101.48970092421</v>
      </c>
      <c r="BD149" s="117" t="n">
        <f aca="false">BD150-BD148-BD147</f>
        <v>-102.493195269956</v>
      </c>
      <c r="BE149" s="117" t="n">
        <f aca="false">BE150-BE148-BE147</f>
        <v>-103.456549841871</v>
      </c>
      <c r="BF149" s="117" t="n">
        <f aca="false">BF150-BF148-BF147</f>
        <v>-104.38137023091</v>
      </c>
      <c r="BG149" s="117" t="n">
        <f aca="false">BG150-BG148-BG147</f>
        <v>-105.269197804387</v>
      </c>
      <c r="BH149" s="117" t="n">
        <f aca="false">BH150-BH148-BH147</f>
        <v>-106.121512274925</v>
      </c>
      <c r="BI149" s="117" t="n">
        <f aca="false">BI150-BI148-BI147</f>
        <v>-106.939734166642</v>
      </c>
      <c r="BJ149" s="117" t="n">
        <f aca="false">BJ150-BJ148-BJ147</f>
        <v>-107.72522718269</v>
      </c>
    </row>
    <row r="150" customFormat="false" ht="15" hidden="false" customHeight="false" outlineLevel="0" collapsed="false">
      <c r="A150" s="4" t="s">
        <v>428</v>
      </c>
      <c r="C150" s="119" t="n">
        <f aca="false">C148*(1-Inputs!$C$24)+C147</f>
        <v>283.7976</v>
      </c>
      <c r="D150" s="119" t="n">
        <f aca="false">D148*(1-Inputs!$C$24)+D147</f>
        <v>322.191118222222</v>
      </c>
      <c r="E150" s="119" t="n">
        <f aca="false">E148*(1-Inputs!$C$24)+E147</f>
        <v>371.368984604444</v>
      </c>
      <c r="F150" s="119" t="n">
        <f aca="false">F148*(1-Inputs!$C$24)+F147</f>
        <v>425.208091886933</v>
      </c>
      <c r="G150" s="119" t="n">
        <f aca="false">G148*(1-Inputs!$C$24)+G147</f>
        <v>483.521990433678</v>
      </c>
      <c r="H150" s="119" t="n">
        <f aca="false">H148*(1-Inputs!$C$24)+H147</f>
        <v>546.131688594109</v>
      </c>
      <c r="I150" s="119" t="n">
        <f aca="false">I148*(1-Inputs!$C$24)+I147</f>
        <v>612.865354383678</v>
      </c>
      <c r="J150" s="119" t="n">
        <f aca="false">J148*(1-Inputs!$C$24)+J147</f>
        <v>683.55802909722</v>
      </c>
      <c r="K150" s="119" t="n">
        <f aca="false">K148*(1-Inputs!$C$24)+K147</f>
        <v>758.051352377775</v>
      </c>
      <c r="L150" s="119" t="n">
        <f aca="false">L148*(1-Inputs!$C$24)+L147</f>
        <v>836.193298282664</v>
      </c>
      <c r="M150" s="119" t="n">
        <f aca="false">M148*(1-Inputs!$C$24)+M147</f>
        <v>911.209566351358</v>
      </c>
      <c r="N150" s="119" t="n">
        <f aca="false">N148*(1-Inputs!$C$24)+N147</f>
        <v>972.089183697303</v>
      </c>
      <c r="O150" s="119" t="n">
        <f aca="false">O148*(1-Inputs!$C$24)+O147</f>
        <v>1034.45345634941</v>
      </c>
      <c r="P150" s="119" t="n">
        <f aca="false">P148*(1-Inputs!$C$24)+P147</f>
        <v>1094.32315809543</v>
      </c>
      <c r="Q150" s="119" t="n">
        <f aca="false">Q148*(1-Inputs!$C$24)+Q147</f>
        <v>1163.26815177162</v>
      </c>
      <c r="R150" s="119" t="n">
        <f aca="false">R148*(1-Inputs!$C$24)+R147</f>
        <v>1229.45534570075</v>
      </c>
      <c r="S150" s="119" t="n">
        <f aca="false">S148*(1-Inputs!$C$24)+S147</f>
        <v>1292.99505187272</v>
      </c>
      <c r="T150" s="119" t="n">
        <f aca="false">T148*(1-Inputs!$C$24)+T147</f>
        <v>1353.99316979781</v>
      </c>
      <c r="U150" s="119" t="n">
        <f aca="false">U148*(1-Inputs!$C$24)+U147</f>
        <v>1412.5513630059</v>
      </c>
      <c r="V150" s="119" t="n">
        <f aca="false">V148*(1-Inputs!$C$24)+V147</f>
        <v>1468.76722848567</v>
      </c>
      <c r="W150" s="119" t="n">
        <f aca="false">W148*(1-Inputs!$C$24)+W147</f>
        <v>1522.73445934624</v>
      </c>
      <c r="X150" s="119" t="n">
        <f aca="false">X148*(1-Inputs!$C$24)+X147</f>
        <v>1574.54300097239</v>
      </c>
      <c r="Y150" s="119" t="n">
        <f aca="false">Y148*(1-Inputs!$C$24)+Y147</f>
        <v>1624.27920093349</v>
      </c>
      <c r="Z150" s="119" t="n">
        <f aca="false">Z148*(1-Inputs!$C$24)+Z147</f>
        <v>1660.55587289615</v>
      </c>
      <c r="AA150" s="119" t="n">
        <f aca="false">AA148*(1-Inputs!$C$24)+AA147</f>
        <v>1699.46891318031</v>
      </c>
      <c r="AB150" s="119" t="n">
        <f aca="false">AB148*(1-Inputs!$C$24)+AB147</f>
        <v>1736.82543185309</v>
      </c>
      <c r="AC150" s="119" t="n">
        <f aca="false">AC148*(1-Inputs!$C$24)+AC147</f>
        <v>1784.50187217897</v>
      </c>
      <c r="AD150" s="119" t="n">
        <f aca="false">AD148*(1-Inputs!$C$24)+AD147</f>
        <v>1830.27125489181</v>
      </c>
      <c r="AE150" s="119" t="n">
        <f aca="false">AE148*(1-Inputs!$C$24)+AE147</f>
        <v>1874.20986229614</v>
      </c>
      <c r="AF150" s="119" t="n">
        <f aca="false">AF148*(1-Inputs!$C$24)+AF147</f>
        <v>1916.39092540429</v>
      </c>
      <c r="AG150" s="119" t="n">
        <f aca="false">AG148*(1-Inputs!$C$24)+AG147</f>
        <v>1956.88474598812</v>
      </c>
      <c r="AH150" s="119" t="n">
        <f aca="false">AH148*(1-Inputs!$C$24)+AH147</f>
        <v>1995.7588137486</v>
      </c>
      <c r="AI150" s="119" t="n">
        <f aca="false">AI148*(1-Inputs!$C$24)+AI147</f>
        <v>2033.07791879865</v>
      </c>
      <c r="AJ150" s="119" t="n">
        <f aca="false">AJ148*(1-Inputs!$C$24)+AJ147</f>
        <v>2068.90425964671</v>
      </c>
      <c r="AK150" s="119" t="n">
        <f aca="false">AK148*(1-Inputs!$C$24)+AK147</f>
        <v>2103.29754686084</v>
      </c>
      <c r="AL150" s="119" t="n">
        <f aca="false">AL148*(1-Inputs!$C$24)+AL147</f>
        <v>2124.50092018641</v>
      </c>
      <c r="AM150" s="119" t="n">
        <f aca="false">AM148*(1-Inputs!$C$24)+AM147</f>
        <v>2149.11871683495</v>
      </c>
      <c r="AN150" s="119" t="n">
        <f aca="false">AN148*(1-Inputs!$C$24)+AN147</f>
        <v>2172.75180161755</v>
      </c>
      <c r="AO150" s="119" t="n">
        <f aca="false">AO148*(1-Inputs!$C$24)+AO147</f>
        <v>2207.60817088085</v>
      </c>
      <c r="AP150" s="119" t="n">
        <f aca="false">AP148*(1-Inputs!$C$24)+AP147</f>
        <v>2241.07028537362</v>
      </c>
      <c r="AQ150" s="119" t="n">
        <f aca="false">AQ148*(1-Inputs!$C$24)+AQ147</f>
        <v>2273.19391528667</v>
      </c>
      <c r="AR150" s="119" t="n">
        <f aca="false">AR148*(1-Inputs!$C$24)+AR147</f>
        <v>2304.0326000032</v>
      </c>
      <c r="AS150" s="119" t="n">
        <f aca="false">AS148*(1-Inputs!$C$24)+AS147</f>
        <v>2333.63773733107</v>
      </c>
      <c r="AT150" s="119" t="n">
        <f aca="false">AT148*(1-Inputs!$C$24)+AT147</f>
        <v>2362.05866916583</v>
      </c>
      <c r="AU150" s="119" t="n">
        <f aca="false">AU148*(1-Inputs!$C$24)+AU147</f>
        <v>2389.3427637272</v>
      </c>
      <c r="AV150" s="119" t="n">
        <f aca="false">AV148*(1-Inputs!$C$24)+AV147</f>
        <v>2415.53549450611</v>
      </c>
      <c r="AW150" s="119" t="n">
        <f aca="false">AW148*(1-Inputs!$C$24)+AW147</f>
        <v>2440.68051605387</v>
      </c>
      <c r="AX150" s="119" t="n">
        <f aca="false">AX148*(1-Inputs!$C$24)+AX147</f>
        <v>2452.65112886771</v>
      </c>
      <c r="AY150" s="119" t="n">
        <f aca="false">AY148*(1-Inputs!$C$24)+AY147</f>
        <v>2468.58847717268</v>
      </c>
      <c r="AZ150" s="119" t="n">
        <f aca="false">AZ148*(1-Inputs!$C$24)+AZ147</f>
        <v>2483.88833154545</v>
      </c>
      <c r="BA150" s="119" t="n">
        <f aca="false">BA148*(1-Inputs!$C$24)+BA147</f>
        <v>2511.10985785148</v>
      </c>
      <c r="BB150" s="119" t="n">
        <f aca="false">BB148*(1-Inputs!$C$24)+BB147</f>
        <v>2537.24252310526</v>
      </c>
      <c r="BC150" s="119" t="n">
        <f aca="false">BC148*(1-Inputs!$C$24)+BC147</f>
        <v>2562.32988174889</v>
      </c>
      <c r="BD150" s="119" t="n">
        <f aca="false">BD148*(1-Inputs!$C$24)+BD147</f>
        <v>2586.41374604677</v>
      </c>
      <c r="BE150" s="119" t="n">
        <f aca="false">BE148*(1-Inputs!$C$24)+BE147</f>
        <v>2609.53425577274</v>
      </c>
      <c r="BF150" s="119" t="n">
        <f aca="false">BF148*(1-Inputs!$C$24)+BF147</f>
        <v>2631.72994510967</v>
      </c>
      <c r="BG150" s="119" t="n">
        <f aca="false">BG148*(1-Inputs!$C$24)+BG147</f>
        <v>2653.03780687312</v>
      </c>
      <c r="BH150" s="119" t="n">
        <f aca="false">BH148*(1-Inputs!$C$24)+BH147</f>
        <v>2673.49335416604</v>
      </c>
      <c r="BI150" s="119" t="n">
        <f aca="false">BI148*(1-Inputs!$C$24)+BI147</f>
        <v>2693.13067956724</v>
      </c>
      <c r="BJ150" s="119" t="n">
        <f aca="false">BJ148*(1-Inputs!$C$24)+BJ147</f>
        <v>2699.44884584423</v>
      </c>
    </row>
    <row r="151" customFormat="false" ht="15" hidden="false" customHeight="false" outlineLevel="0" collapsed="false">
      <c r="A151" s="6" t="s">
        <v>429</v>
      </c>
      <c r="C151" s="117" t="n">
        <f aca="false">(C148+C150)/2</f>
        <v>266.8988</v>
      </c>
      <c r="D151" s="117" t="n">
        <f aca="false">(D148+D150)/2</f>
        <v>302.994359111111</v>
      </c>
      <c r="E151" s="117" t="n">
        <f aca="false">(E148+E150)/2</f>
        <v>346.780051413333</v>
      </c>
      <c r="F151" s="117" t="n">
        <f aca="false">(F148+F150)/2</f>
        <v>398.288538245689</v>
      </c>
      <c r="G151" s="117" t="n">
        <f aca="false">(G148+G150)/2</f>
        <v>454.365041160306</v>
      </c>
      <c r="H151" s="117" t="n">
        <f aca="false">(H148+H150)/2</f>
        <v>514.826839513893</v>
      </c>
      <c r="I151" s="117" t="n">
        <f aca="false">(I148+I150)/2</f>
        <v>579.498521488893</v>
      </c>
      <c r="J151" s="117" t="n">
        <f aca="false">(J148+J150)/2</f>
        <v>648.211691740449</v>
      </c>
      <c r="K151" s="117" t="n">
        <f aca="false">(K148+K150)/2</f>
        <v>720.804690737497</v>
      </c>
      <c r="L151" s="117" t="n">
        <f aca="false">(L148+L150)/2</f>
        <v>797.12232533022</v>
      </c>
      <c r="M151" s="117" t="n">
        <f aca="false">(M148+M150)/2</f>
        <v>873.701432317011</v>
      </c>
      <c r="N151" s="117" t="n">
        <f aca="false">(N148+N150)/2</f>
        <v>941.64937502433</v>
      </c>
      <c r="O151" s="117" t="n">
        <f aca="false">(O148+O150)/2</f>
        <v>1003.27132002336</v>
      </c>
      <c r="P151" s="117" t="n">
        <f aca="false">(P148+P150)/2</f>
        <v>1064.38830722242</v>
      </c>
      <c r="Q151" s="117" t="n">
        <f aca="false">(Q148+Q150)/2</f>
        <v>1128.79565493353</v>
      </c>
      <c r="R151" s="117" t="n">
        <f aca="false">(R148+R150)/2</f>
        <v>1196.36174873618</v>
      </c>
      <c r="S151" s="117" t="n">
        <f aca="false">(S148+S150)/2</f>
        <v>1261.22519878674</v>
      </c>
      <c r="T151" s="117" t="n">
        <f aca="false">(T148+T150)/2</f>
        <v>1323.49411083527</v>
      </c>
      <c r="U151" s="117" t="n">
        <f aca="false">(U148+U150)/2</f>
        <v>1383.27226640186</v>
      </c>
      <c r="V151" s="117" t="n">
        <f aca="false">(V148+V150)/2</f>
        <v>1440.65929574578</v>
      </c>
      <c r="W151" s="117" t="n">
        <f aca="false">(W148+W150)/2</f>
        <v>1495.75084391595</v>
      </c>
      <c r="X151" s="117" t="n">
        <f aca="false">(X148+X150)/2</f>
        <v>1548.63873015931</v>
      </c>
      <c r="Y151" s="117" t="n">
        <f aca="false">(Y148+Y150)/2</f>
        <v>1599.41110095294</v>
      </c>
      <c r="Z151" s="117" t="n">
        <f aca="false">(Z148+Z150)/2</f>
        <v>1642.41753691482</v>
      </c>
      <c r="AA151" s="117" t="n">
        <f aca="false">(AA148+AA150)/2</f>
        <v>1680.01239303823</v>
      </c>
      <c r="AB151" s="117" t="n">
        <f aca="false">(AB148+AB150)/2</f>
        <v>1718.1471725167</v>
      </c>
      <c r="AC151" s="117" t="n">
        <f aca="false">(AC148+AC150)/2</f>
        <v>1760.66365201603</v>
      </c>
      <c r="AD151" s="117" t="n">
        <f aca="false">(AD148+AD150)/2</f>
        <v>1807.38656353539</v>
      </c>
      <c r="AE151" s="117" t="n">
        <f aca="false">(AE148+AE150)/2</f>
        <v>1852.24055859398</v>
      </c>
      <c r="AF151" s="117" t="n">
        <f aca="false">(AF148+AF150)/2</f>
        <v>1895.30039385022</v>
      </c>
      <c r="AG151" s="117" t="n">
        <f aca="false">(AG148+AG150)/2</f>
        <v>1936.63783569621</v>
      </c>
      <c r="AH151" s="117" t="n">
        <f aca="false">(AH148+AH150)/2</f>
        <v>1976.32177986836</v>
      </c>
      <c r="AI151" s="117" t="n">
        <f aca="false">(AI148+AI150)/2</f>
        <v>2014.41836627363</v>
      </c>
      <c r="AJ151" s="117" t="n">
        <f aca="false">(AJ148+AJ150)/2</f>
        <v>2050.99108922268</v>
      </c>
      <c r="AK151" s="117" t="n">
        <f aca="false">(AK148+AK150)/2</f>
        <v>2086.10090325377</v>
      </c>
      <c r="AL151" s="117" t="n">
        <f aca="false">(AL148+AL150)/2</f>
        <v>2113.89923352362</v>
      </c>
      <c r="AM151" s="117" t="n">
        <f aca="false">(AM148+AM150)/2</f>
        <v>2136.80981851068</v>
      </c>
      <c r="AN151" s="117" t="n">
        <f aca="false">(AN148+AN150)/2</f>
        <v>2160.93525922625</v>
      </c>
      <c r="AO151" s="117" t="n">
        <f aca="false">(AO148+AO150)/2</f>
        <v>2190.1799862492</v>
      </c>
      <c r="AP151" s="117" t="n">
        <f aca="false">(AP148+AP150)/2</f>
        <v>2224.33922812723</v>
      </c>
      <c r="AQ151" s="117" t="n">
        <f aca="false">(AQ148+AQ150)/2</f>
        <v>2257.13210033014</v>
      </c>
      <c r="AR151" s="117" t="n">
        <f aca="false">(AR148+AR150)/2</f>
        <v>2288.61325764494</v>
      </c>
      <c r="AS151" s="117" t="n">
        <f aca="false">(AS148+AS150)/2</f>
        <v>2318.83516866714</v>
      </c>
      <c r="AT151" s="117" t="n">
        <f aca="false">(AT148+AT150)/2</f>
        <v>2347.84820324845</v>
      </c>
      <c r="AU151" s="117" t="n">
        <f aca="false">(AU148+AU150)/2</f>
        <v>2375.70071644652</v>
      </c>
      <c r="AV151" s="117" t="n">
        <f aca="false">(AV148+AV150)/2</f>
        <v>2402.43912911665</v>
      </c>
      <c r="AW151" s="117" t="n">
        <f aca="false">(AW148+AW150)/2</f>
        <v>2428.10800527999</v>
      </c>
      <c r="AX151" s="117" t="n">
        <f aca="false">(AX148+AX150)/2</f>
        <v>2446.66582246079</v>
      </c>
      <c r="AY151" s="117" t="n">
        <f aca="false">(AY148+AY150)/2</f>
        <v>2460.6198030202</v>
      </c>
      <c r="AZ151" s="117" t="n">
        <f aca="false">(AZ148+AZ150)/2</f>
        <v>2476.23840435907</v>
      </c>
      <c r="BA151" s="117" t="n">
        <f aca="false">(BA148+BA150)/2</f>
        <v>2497.49909469847</v>
      </c>
      <c r="BB151" s="117" t="n">
        <f aca="false">(BB148+BB150)/2</f>
        <v>2524.17619047837</v>
      </c>
      <c r="BC151" s="117" t="n">
        <f aca="false">(BC148+BC150)/2</f>
        <v>2549.78620242707</v>
      </c>
      <c r="BD151" s="117" t="n">
        <f aca="false">(BD148+BD150)/2</f>
        <v>2574.37181389783</v>
      </c>
      <c r="BE151" s="117" t="n">
        <f aca="false">(BE148+BE150)/2</f>
        <v>2597.97400090976</v>
      </c>
      <c r="BF151" s="117" t="n">
        <f aca="false">(BF148+BF150)/2</f>
        <v>2620.63210044121</v>
      </c>
      <c r="BG151" s="117" t="n">
        <f aca="false">(BG148+BG150)/2</f>
        <v>2642.3838759914</v>
      </c>
      <c r="BH151" s="117" t="n">
        <f aca="false">(BH148+BH150)/2</f>
        <v>2663.26558051958</v>
      </c>
      <c r="BI151" s="117" t="n">
        <f aca="false">(BI148+BI150)/2</f>
        <v>2683.31201686664</v>
      </c>
      <c r="BJ151" s="117" t="n">
        <f aca="false">(BJ148+BJ150)/2</f>
        <v>2696.28976270573</v>
      </c>
    </row>
    <row r="153" customFormat="false" ht="15.75" hidden="false" customHeight="true" outlineLevel="0" collapsed="false">
      <c r="A153" s="7" t="s">
        <v>430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</row>
    <row r="154" customFormat="false" ht="15" hidden="false" customHeight="false" outlineLevel="0" collapsed="false">
      <c r="A154" s="6" t="s">
        <v>431</v>
      </c>
      <c r="C154" s="118" t="n">
        <f aca="false">C151*Inputs!$C$25*C141*1</f>
        <v>794.02393</v>
      </c>
      <c r="D154" s="118" t="n">
        <f aca="false">D151*Inputs!$C$25*D141*1</f>
        <v>901.408218355555</v>
      </c>
      <c r="E154" s="118" t="n">
        <f aca="false">E151*Inputs!$C$25*E141*1</f>
        <v>1274.416688944</v>
      </c>
      <c r="F154" s="118" t="n">
        <f aca="false">F151*Inputs!$C$25*F141*1</f>
        <v>1463.71037805291</v>
      </c>
      <c r="G154" s="118" t="n">
        <f aca="false">G151*Inputs!$C$25*G141*1</f>
        <v>1669.79152626412</v>
      </c>
      <c r="H154" s="118" t="n">
        <f aca="false">H151*Inputs!$C$25*H141*1</f>
        <v>1891.98863521356</v>
      </c>
      <c r="I154" s="118" t="n">
        <f aca="false">I151*Inputs!$C$25*I141*1</f>
        <v>2129.65706647168</v>
      </c>
      <c r="J154" s="118" t="n">
        <f aca="false">J151*Inputs!$C$25*J141*1</f>
        <v>2382.17796714615</v>
      </c>
      <c r="K154" s="118" t="n">
        <f aca="false">K151*Inputs!$C$25*K141*1</f>
        <v>2648.9572384603</v>
      </c>
      <c r="L154" s="118" t="n">
        <f aca="false">L151*Inputs!$C$25*L141*1</f>
        <v>2929.42454558856</v>
      </c>
      <c r="M154" s="118" t="n">
        <f aca="false">M151*Inputs!$C$25*M141*1</f>
        <v>3210.85276376502</v>
      </c>
      <c r="N154" s="118" t="n">
        <f aca="false">N151*Inputs!$C$25*N141*1</f>
        <v>2801.40689069738</v>
      </c>
      <c r="O154" s="118" t="n">
        <f aca="false">O151*Inputs!$C$25*O141*1</f>
        <v>2984.73217706949</v>
      </c>
      <c r="P154" s="118" t="n">
        <f aca="false">P151*Inputs!$C$25*P141*1</f>
        <v>3166.55521398671</v>
      </c>
      <c r="Q154" s="118" t="n">
        <f aca="false">Q151*Inputs!$C$25*Q141*1</f>
        <v>4148.32403188071</v>
      </c>
      <c r="R154" s="118" t="n">
        <f aca="false">R151*Inputs!$C$25*R141*1</f>
        <v>4396.62942660548</v>
      </c>
      <c r="S154" s="118" t="n">
        <f aca="false">S151*Inputs!$C$25*S141*1</f>
        <v>4635.00260554126</v>
      </c>
      <c r="T154" s="118" t="n">
        <f aca="false">T151*Inputs!$C$25*T141*1</f>
        <v>4863.84085731961</v>
      </c>
      <c r="U154" s="118" t="n">
        <f aca="false">U151*Inputs!$C$25*U141*1</f>
        <v>5083.52557902683</v>
      </c>
      <c r="V154" s="118" t="n">
        <f aca="false">V151*Inputs!$C$25*V141*1</f>
        <v>5294.42291186575</v>
      </c>
      <c r="W154" s="118" t="n">
        <f aca="false">W151*Inputs!$C$25*W141*1</f>
        <v>5496.88435139112</v>
      </c>
      <c r="X154" s="118" t="n">
        <f aca="false">X151*Inputs!$C$25*X141*1</f>
        <v>5691.24733333548</v>
      </c>
      <c r="Y154" s="118" t="n">
        <f aca="false">Y151*Inputs!$C$25*Y141*1</f>
        <v>5877.83579600206</v>
      </c>
      <c r="Z154" s="118" t="n">
        <f aca="false">Z151*Inputs!$C$25*Z141*1</f>
        <v>4886.1921723216</v>
      </c>
      <c r="AA154" s="118" t="n">
        <f aca="false">AA151*Inputs!$C$25*AA141*1</f>
        <v>4998.03686928874</v>
      </c>
      <c r="AB154" s="118" t="n">
        <f aca="false">AB151*Inputs!$C$25*AB141*1</f>
        <v>5111.48783823719</v>
      </c>
      <c r="AC154" s="118" t="n">
        <f aca="false">AC151*Inputs!$C$25*AC141*1</f>
        <v>6470.43892115892</v>
      </c>
      <c r="AD154" s="118" t="n">
        <f aca="false">AD151*Inputs!$C$25*AD141*1</f>
        <v>6642.14562099257</v>
      </c>
      <c r="AE154" s="118" t="n">
        <f aca="false">AE151*Inputs!$C$25*AE141*1</f>
        <v>6806.98405283286</v>
      </c>
      <c r="AF154" s="118" t="n">
        <f aca="false">AF151*Inputs!$C$25*AF141*1</f>
        <v>6965.22894739955</v>
      </c>
      <c r="AG154" s="118" t="n">
        <f aca="false">AG151*Inputs!$C$25*AG141*1</f>
        <v>7117.14404618357</v>
      </c>
      <c r="AH154" s="118" t="n">
        <f aca="false">AH151*Inputs!$C$25*AH141*1</f>
        <v>7262.98254101622</v>
      </c>
      <c r="AI154" s="118" t="n">
        <f aca="false">AI151*Inputs!$C$25*AI141*1</f>
        <v>7402.98749605557</v>
      </c>
      <c r="AJ154" s="118" t="n">
        <f aca="false">AJ151*Inputs!$C$25*AJ141*1</f>
        <v>7537.39225289335</v>
      </c>
      <c r="AK154" s="118" t="n">
        <f aca="false">AK151*Inputs!$C$25*AK141*1</f>
        <v>7666.42081945762</v>
      </c>
      <c r="AL154" s="118" t="n">
        <f aca="false">AL151*Inputs!$C$25*AL141*1</f>
        <v>6288.85021973278</v>
      </c>
      <c r="AM154" s="118" t="n">
        <f aca="false">AM151*Inputs!$C$25*AM141*1</f>
        <v>6357.00921006927</v>
      </c>
      <c r="AN154" s="118" t="n">
        <f aca="false">AN151*Inputs!$C$25*AN141*1</f>
        <v>6428.78239619809</v>
      </c>
      <c r="AO154" s="118" t="n">
        <f aca="false">AO151*Inputs!$C$25*AO141*1</f>
        <v>8048.91144946581</v>
      </c>
      <c r="AP154" s="118" t="n">
        <f aca="false">AP151*Inputs!$C$25*AP141*1</f>
        <v>8174.44666336758</v>
      </c>
      <c r="AQ154" s="118" t="n">
        <f aca="false">AQ151*Inputs!$C$25*AQ141*1</f>
        <v>8294.96046871328</v>
      </c>
      <c r="AR154" s="118" t="n">
        <f aca="false">AR151*Inputs!$C$25*AR141*1</f>
        <v>8410.65372184514</v>
      </c>
      <c r="AS154" s="118" t="n">
        <f aca="false">AS151*Inputs!$C$25*AS141*1</f>
        <v>8521.71924485174</v>
      </c>
      <c r="AT154" s="118" t="n">
        <f aca="false">AT151*Inputs!$C$25*AT141*1</f>
        <v>8628.34214693807</v>
      </c>
      <c r="AU154" s="118" t="n">
        <f aca="false">AU151*Inputs!$C$25*AU141*1</f>
        <v>8730.70013294094</v>
      </c>
      <c r="AV154" s="118" t="n">
        <f aca="false">AV151*Inputs!$C$25*AV141*1</f>
        <v>8828.9637995037</v>
      </c>
      <c r="AW154" s="118" t="n">
        <f aca="false">AW151*Inputs!$C$25*AW141*1</f>
        <v>8923.29691940395</v>
      </c>
      <c r="AX154" s="118" t="n">
        <f aca="false">AX151*Inputs!$C$25*AX141*1</f>
        <v>7278.83082182084</v>
      </c>
      <c r="AY154" s="118" t="n">
        <f aca="false">AY151*Inputs!$C$25*AY141*1</f>
        <v>7320.34391398508</v>
      </c>
      <c r="AZ154" s="118" t="n">
        <f aca="false">AZ151*Inputs!$C$25*AZ141*1</f>
        <v>7366.80925296823</v>
      </c>
      <c r="BA154" s="118" t="n">
        <f aca="false">BA151*Inputs!$C$25*BA141*1</f>
        <v>9178.30917301686</v>
      </c>
      <c r="BB154" s="118" t="n">
        <f aca="false">BB151*Inputs!$C$25*BB141*1</f>
        <v>9276.347500008</v>
      </c>
      <c r="BC154" s="118" t="n">
        <f aca="false">BC151*Inputs!$C$25*BC141*1</f>
        <v>9370.46429391949</v>
      </c>
      <c r="BD154" s="118" t="n">
        <f aca="false">BD151*Inputs!$C$25*BD141*1</f>
        <v>9460.81641607452</v>
      </c>
      <c r="BE154" s="118" t="n">
        <f aca="false">BE151*Inputs!$C$25*BE141*1</f>
        <v>9547.55445334335</v>
      </c>
      <c r="BF154" s="118" t="n">
        <f aca="false">BF151*Inputs!$C$25*BF141*1</f>
        <v>9630.82296912143</v>
      </c>
      <c r="BG154" s="118" t="n">
        <f aca="false">BG151*Inputs!$C$25*BG141*1</f>
        <v>9710.76074426838</v>
      </c>
      <c r="BH154" s="118" t="n">
        <f aca="false">BH151*Inputs!$C$25*BH141*1</f>
        <v>9787.50100840946</v>
      </c>
      <c r="BI154" s="118" t="n">
        <f aca="false">BI151*Inputs!$C$25*BI141*1</f>
        <v>9861.17166198489</v>
      </c>
      <c r="BJ154" s="118" t="n">
        <f aca="false">BJ151*Inputs!$C$25*BJ141*1</f>
        <v>8021.46204404955</v>
      </c>
    </row>
    <row r="155" customFormat="false" ht="15" hidden="false" customHeight="false" outlineLevel="0" collapsed="false">
      <c r="A155" s="6" t="s">
        <v>432</v>
      </c>
      <c r="C155" s="118" t="n">
        <f aca="false">Inputs!$C$15*Inputs!$C$16*Inputs!$C$17*Inputs!$C$9*1</f>
        <v>24563</v>
      </c>
      <c r="D155" s="118" t="n">
        <f aca="false">Inputs!$C$15*Inputs!$C$16*Inputs!$C$17*Inputs!$C$9*1</f>
        <v>24563</v>
      </c>
      <c r="E155" s="118" t="n">
        <f aca="false">Inputs!$C$15*Inputs!$C$16*Inputs!$C$17*Inputs!$C$9*1</f>
        <v>24563</v>
      </c>
      <c r="F155" s="118" t="n">
        <f aca="false">Inputs!$C$15*Inputs!$C$16*Inputs!$C$17*Inputs!$C$9*1</f>
        <v>24563</v>
      </c>
      <c r="G155" s="118" t="n">
        <f aca="false">Inputs!$C$15*Inputs!$C$16*Inputs!$C$17*Inputs!$C$9*1</f>
        <v>24563</v>
      </c>
      <c r="H155" s="118" t="n">
        <f aca="false">Inputs!$C$15*Inputs!$C$16*Inputs!$C$17*Inputs!$C$9*1</f>
        <v>24563</v>
      </c>
      <c r="I155" s="118" t="n">
        <f aca="false">Inputs!$C$15*Inputs!$C$16*Inputs!$C$17*Inputs!$C$9*1</f>
        <v>24563</v>
      </c>
      <c r="J155" s="118" t="n">
        <f aca="false">Inputs!$C$15*Inputs!$C$16*Inputs!$C$17*Inputs!$C$9*1</f>
        <v>24563</v>
      </c>
      <c r="K155" s="118" t="n">
        <f aca="false">Inputs!$C$15*Inputs!$C$16*Inputs!$C$17*Inputs!$C$9*1</f>
        <v>24563</v>
      </c>
      <c r="L155" s="118" t="n">
        <f aca="false">Inputs!$C$15*Inputs!$C$16*Inputs!$C$17*Inputs!$C$9*1</f>
        <v>24563</v>
      </c>
      <c r="M155" s="118" t="n">
        <f aca="false">Inputs!$C$15*Inputs!$C$16*Inputs!$C$17*Inputs!$C$9*1</f>
        <v>24563</v>
      </c>
      <c r="N155" s="118" t="n">
        <f aca="false">Inputs!$C$15*Inputs!$C$16*Inputs!$C$17*Inputs!$C$9*1</f>
        <v>24563</v>
      </c>
      <c r="O155" s="118" t="n">
        <f aca="false">Inputs!$C$15*Inputs!$C$16*Inputs!$C$17*Inputs!$C$9*1</f>
        <v>24563</v>
      </c>
      <c r="P155" s="118" t="n">
        <f aca="false">Inputs!$C$15*Inputs!$C$16*Inputs!$C$17*Inputs!$C$9*1</f>
        <v>24563</v>
      </c>
      <c r="Q155" s="118" t="n">
        <f aca="false">Inputs!$C$15*Inputs!$C$16*Inputs!$C$17*Inputs!$C$9*1</f>
        <v>24563</v>
      </c>
      <c r="R155" s="118" t="n">
        <f aca="false">Inputs!$C$15*Inputs!$C$16*Inputs!$C$17*Inputs!$C$9*1</f>
        <v>24563</v>
      </c>
      <c r="S155" s="118" t="n">
        <f aca="false">Inputs!$C$15*Inputs!$C$16*Inputs!$C$17*Inputs!$C$9*1</f>
        <v>24563</v>
      </c>
      <c r="T155" s="118" t="n">
        <f aca="false">Inputs!$C$15*Inputs!$C$16*Inputs!$C$17*Inputs!$C$9*1</f>
        <v>24563</v>
      </c>
      <c r="U155" s="118" t="n">
        <f aca="false">Inputs!$C$15*Inputs!$C$16*Inputs!$C$17*Inputs!$C$9*1</f>
        <v>24563</v>
      </c>
      <c r="V155" s="118" t="n">
        <f aca="false">Inputs!$C$15*Inputs!$C$16*Inputs!$C$17*Inputs!$C$9*1</f>
        <v>24563</v>
      </c>
      <c r="W155" s="118" t="n">
        <f aca="false">Inputs!$C$15*Inputs!$C$16*Inputs!$C$17*Inputs!$C$9*1</f>
        <v>24563</v>
      </c>
      <c r="X155" s="118" t="n">
        <f aca="false">Inputs!$C$15*Inputs!$C$16*Inputs!$C$17*Inputs!$C$9*1</f>
        <v>24563</v>
      </c>
      <c r="Y155" s="118" t="n">
        <f aca="false">Inputs!$C$15*Inputs!$C$16*Inputs!$C$17*Inputs!$C$9*1</f>
        <v>24563</v>
      </c>
      <c r="Z155" s="118" t="n">
        <f aca="false">Inputs!$C$15*Inputs!$C$16*Inputs!$C$17*Inputs!$C$9*1</f>
        <v>24563</v>
      </c>
      <c r="AA155" s="118" t="n">
        <f aca="false">Inputs!$C$15*Inputs!$C$16*Inputs!$C$17*Inputs!$C$9*1</f>
        <v>24563</v>
      </c>
      <c r="AB155" s="118" t="n">
        <f aca="false">Inputs!$C$15*Inputs!$C$16*Inputs!$C$17*Inputs!$C$9*1</f>
        <v>24563</v>
      </c>
      <c r="AC155" s="118" t="n">
        <f aca="false">Inputs!$C$15*Inputs!$C$16*Inputs!$C$17*Inputs!$C$9*1</f>
        <v>24563</v>
      </c>
      <c r="AD155" s="118" t="n">
        <f aca="false">Inputs!$C$15*Inputs!$C$16*Inputs!$C$17*Inputs!$C$9*1</f>
        <v>24563</v>
      </c>
      <c r="AE155" s="118" t="n">
        <f aca="false">Inputs!$C$15*Inputs!$C$16*Inputs!$C$17*Inputs!$C$9*1</f>
        <v>24563</v>
      </c>
      <c r="AF155" s="118" t="n">
        <f aca="false">Inputs!$C$15*Inputs!$C$16*Inputs!$C$17*Inputs!$C$9*1</f>
        <v>24563</v>
      </c>
      <c r="AG155" s="118" t="n">
        <f aca="false">Inputs!$C$15*Inputs!$C$16*Inputs!$C$17*Inputs!$C$9*1</f>
        <v>24563</v>
      </c>
      <c r="AH155" s="118" t="n">
        <f aca="false">Inputs!$C$15*Inputs!$C$16*Inputs!$C$17*Inputs!$C$9*1</f>
        <v>24563</v>
      </c>
      <c r="AI155" s="118" t="n">
        <f aca="false">Inputs!$C$15*Inputs!$C$16*Inputs!$C$17*Inputs!$C$9*1</f>
        <v>24563</v>
      </c>
      <c r="AJ155" s="118" t="n">
        <f aca="false">Inputs!$C$15*Inputs!$C$16*Inputs!$C$17*Inputs!$C$9*1</f>
        <v>24563</v>
      </c>
      <c r="AK155" s="118" t="n">
        <f aca="false">Inputs!$C$15*Inputs!$C$16*Inputs!$C$17*Inputs!$C$9*1</f>
        <v>24563</v>
      </c>
      <c r="AL155" s="118" t="n">
        <f aca="false">Inputs!$C$15*Inputs!$C$16*Inputs!$C$17*Inputs!$C$9*1</f>
        <v>24563</v>
      </c>
      <c r="AM155" s="118" t="n">
        <f aca="false">Inputs!$C$15*Inputs!$C$16*Inputs!$C$17*Inputs!$C$9*1</f>
        <v>24563</v>
      </c>
      <c r="AN155" s="118" t="n">
        <f aca="false">Inputs!$C$15*Inputs!$C$16*Inputs!$C$17*Inputs!$C$9*1</f>
        <v>24563</v>
      </c>
      <c r="AO155" s="118" t="n">
        <f aca="false">Inputs!$C$15*Inputs!$C$16*Inputs!$C$17*Inputs!$C$9*1</f>
        <v>24563</v>
      </c>
      <c r="AP155" s="118" t="n">
        <f aca="false">Inputs!$C$15*Inputs!$C$16*Inputs!$C$17*Inputs!$C$9*1</f>
        <v>24563</v>
      </c>
      <c r="AQ155" s="118" t="n">
        <f aca="false">Inputs!$C$15*Inputs!$C$16*Inputs!$C$17*Inputs!$C$9*1</f>
        <v>24563</v>
      </c>
      <c r="AR155" s="118" t="n">
        <f aca="false">Inputs!$C$15*Inputs!$C$16*Inputs!$C$17*Inputs!$C$9*1</f>
        <v>24563</v>
      </c>
      <c r="AS155" s="118" t="n">
        <f aca="false">Inputs!$C$15*Inputs!$C$16*Inputs!$C$17*Inputs!$C$9*1</f>
        <v>24563</v>
      </c>
      <c r="AT155" s="118" t="n">
        <f aca="false">Inputs!$C$15*Inputs!$C$16*Inputs!$C$17*Inputs!$C$9*1</f>
        <v>24563</v>
      </c>
      <c r="AU155" s="118" t="n">
        <f aca="false">Inputs!$C$15*Inputs!$C$16*Inputs!$C$17*Inputs!$C$9*1</f>
        <v>24563</v>
      </c>
      <c r="AV155" s="118" t="n">
        <f aca="false">Inputs!$C$15*Inputs!$C$16*Inputs!$C$17*Inputs!$C$9*1</f>
        <v>24563</v>
      </c>
      <c r="AW155" s="118" t="n">
        <f aca="false">Inputs!$C$15*Inputs!$C$16*Inputs!$C$17*Inputs!$C$9*1</f>
        <v>24563</v>
      </c>
      <c r="AX155" s="118" t="n">
        <f aca="false">Inputs!$C$15*Inputs!$C$16*Inputs!$C$17*Inputs!$C$9*1</f>
        <v>24563</v>
      </c>
      <c r="AY155" s="118" t="n">
        <f aca="false">Inputs!$C$15*Inputs!$C$16*Inputs!$C$17*Inputs!$C$9*1</f>
        <v>24563</v>
      </c>
      <c r="AZ155" s="118" t="n">
        <f aca="false">Inputs!$C$15*Inputs!$C$16*Inputs!$C$17*Inputs!$C$9*1</f>
        <v>24563</v>
      </c>
      <c r="BA155" s="118" t="n">
        <f aca="false">Inputs!$C$15*Inputs!$C$16*Inputs!$C$17*Inputs!$C$9*1</f>
        <v>24563</v>
      </c>
      <c r="BB155" s="118" t="n">
        <f aca="false">Inputs!$C$15*Inputs!$C$16*Inputs!$C$17*Inputs!$C$9*1</f>
        <v>24563</v>
      </c>
      <c r="BC155" s="118" t="n">
        <f aca="false">Inputs!$C$15*Inputs!$C$16*Inputs!$C$17*Inputs!$C$9*1</f>
        <v>24563</v>
      </c>
      <c r="BD155" s="118" t="n">
        <f aca="false">Inputs!$C$15*Inputs!$C$16*Inputs!$C$17*Inputs!$C$9*1</f>
        <v>24563</v>
      </c>
      <c r="BE155" s="118" t="n">
        <f aca="false">Inputs!$C$15*Inputs!$C$16*Inputs!$C$17*Inputs!$C$9*1</f>
        <v>24563</v>
      </c>
      <c r="BF155" s="118" t="n">
        <f aca="false">Inputs!$C$15*Inputs!$C$16*Inputs!$C$17*Inputs!$C$9*1</f>
        <v>24563</v>
      </c>
      <c r="BG155" s="118" t="n">
        <f aca="false">Inputs!$C$15*Inputs!$C$16*Inputs!$C$17*Inputs!$C$9*1</f>
        <v>24563</v>
      </c>
      <c r="BH155" s="118" t="n">
        <f aca="false">Inputs!$C$15*Inputs!$C$16*Inputs!$C$17*Inputs!$C$9*1</f>
        <v>24563</v>
      </c>
      <c r="BI155" s="118" t="n">
        <f aca="false">Inputs!$C$15*Inputs!$C$16*Inputs!$C$17*Inputs!$C$9*1</f>
        <v>24563</v>
      </c>
      <c r="BJ155" s="118" t="n">
        <f aca="false">Inputs!$C$15*Inputs!$C$16*Inputs!$C$17*Inputs!$C$9*1</f>
        <v>24563</v>
      </c>
    </row>
    <row r="156" customFormat="false" ht="15" hidden="false" customHeight="false" outlineLevel="0" collapsed="false">
      <c r="A156" s="38" t="s">
        <v>433</v>
      </c>
      <c r="C156" s="76" t="n">
        <f aca="false">MIN(1,C155/MAX(1,C142+C154))</f>
        <v>1</v>
      </c>
      <c r="D156" s="76" t="n">
        <f aca="false">MIN(1,D155/MAX(1,D142+D154))</f>
        <v>1</v>
      </c>
      <c r="E156" s="76" t="n">
        <f aca="false">MIN(1,E155/MAX(1,E142+E154))</f>
        <v>1</v>
      </c>
      <c r="F156" s="76" t="n">
        <f aca="false">MIN(1,F155/MAX(1,F142+F154))</f>
        <v>1</v>
      </c>
      <c r="G156" s="76" t="n">
        <f aca="false">MIN(1,G155/MAX(1,G142+G154))</f>
        <v>1</v>
      </c>
      <c r="H156" s="76" t="n">
        <f aca="false">MIN(1,H155/MAX(1,H142+H154))</f>
        <v>1</v>
      </c>
      <c r="I156" s="76" t="n">
        <f aca="false">MIN(1,I155/MAX(1,I142+I154))</f>
        <v>1</v>
      </c>
      <c r="J156" s="76" t="n">
        <f aca="false">MIN(1,J155/MAX(1,J142+J154))</f>
        <v>1</v>
      </c>
      <c r="K156" s="76" t="n">
        <f aca="false">MIN(1,K155/MAX(1,K142+K154))</f>
        <v>1</v>
      </c>
      <c r="L156" s="76" t="n">
        <f aca="false">MIN(1,L155/MAX(1,L142+L154))</f>
        <v>1</v>
      </c>
      <c r="M156" s="76" t="n">
        <f aca="false">MIN(1,M155/MAX(1,M142+M154))</f>
        <v>1</v>
      </c>
      <c r="N156" s="76" t="n">
        <f aca="false">MIN(1,N155/MAX(1,N142+N154))</f>
        <v>1</v>
      </c>
      <c r="O156" s="76" t="n">
        <f aca="false">MIN(1,O155/MAX(1,O142+O154))</f>
        <v>1</v>
      </c>
      <c r="P156" s="76" t="n">
        <f aca="false">MIN(1,P155/MAX(1,P142+P154))</f>
        <v>1</v>
      </c>
      <c r="Q156" s="76" t="n">
        <f aca="false">MIN(1,Q155/MAX(1,Q142+Q154))</f>
        <v>1</v>
      </c>
      <c r="R156" s="76" t="n">
        <f aca="false">MIN(1,R155/MAX(1,R142+R154))</f>
        <v>1</v>
      </c>
      <c r="S156" s="76" t="n">
        <f aca="false">MIN(1,S155/MAX(1,S142+S154))</f>
        <v>1</v>
      </c>
      <c r="T156" s="76" t="n">
        <f aca="false">MIN(1,T155/MAX(1,T142+T154))</f>
        <v>1</v>
      </c>
      <c r="U156" s="76" t="n">
        <f aca="false">MIN(1,U155/MAX(1,U142+U154))</f>
        <v>1</v>
      </c>
      <c r="V156" s="76" t="n">
        <f aca="false">MIN(1,V155/MAX(1,V142+V154))</f>
        <v>1</v>
      </c>
      <c r="W156" s="76" t="n">
        <f aca="false">MIN(1,W155/MAX(1,W142+W154))</f>
        <v>1</v>
      </c>
      <c r="X156" s="76" t="n">
        <f aca="false">MIN(1,X155/MAX(1,X142+X154))</f>
        <v>1</v>
      </c>
      <c r="Y156" s="76" t="n">
        <f aca="false">MIN(1,Y155/MAX(1,Y142+Y154))</f>
        <v>1</v>
      </c>
      <c r="Z156" s="76" t="n">
        <f aca="false">MIN(1,Z155/MAX(1,Z142+Z154))</f>
        <v>1</v>
      </c>
      <c r="AA156" s="76" t="n">
        <f aca="false">MIN(1,AA155/MAX(1,AA142+AA154))</f>
        <v>1</v>
      </c>
      <c r="AB156" s="76" t="n">
        <f aca="false">MIN(1,AB155/MAX(1,AB142+AB154))</f>
        <v>1</v>
      </c>
      <c r="AC156" s="76" t="n">
        <f aca="false">MIN(1,AC155/MAX(1,AC142+AC154))</f>
        <v>1</v>
      </c>
      <c r="AD156" s="76" t="n">
        <f aca="false">MIN(1,AD155/MAX(1,AD142+AD154))</f>
        <v>1</v>
      </c>
      <c r="AE156" s="76" t="n">
        <f aca="false">MIN(1,AE155/MAX(1,AE142+AE154))</f>
        <v>1</v>
      </c>
      <c r="AF156" s="76" t="n">
        <f aca="false">MIN(1,AF155/MAX(1,AF142+AF154))</f>
        <v>1</v>
      </c>
      <c r="AG156" s="76" t="n">
        <f aca="false">MIN(1,AG155/MAX(1,AG142+AG154))</f>
        <v>1</v>
      </c>
      <c r="AH156" s="76" t="n">
        <f aca="false">MIN(1,AH155/MAX(1,AH142+AH154))</f>
        <v>1</v>
      </c>
      <c r="AI156" s="76" t="n">
        <f aca="false">MIN(1,AI155/MAX(1,AI142+AI154))</f>
        <v>1</v>
      </c>
      <c r="AJ156" s="76" t="n">
        <f aca="false">MIN(1,AJ155/MAX(1,AJ142+AJ154))</f>
        <v>1</v>
      </c>
      <c r="AK156" s="76" t="n">
        <f aca="false">MIN(1,AK155/MAX(1,AK142+AK154))</f>
        <v>1</v>
      </c>
      <c r="AL156" s="76" t="n">
        <f aca="false">MIN(1,AL155/MAX(1,AL142+AL154))</f>
        <v>1</v>
      </c>
      <c r="AM156" s="76" t="n">
        <f aca="false">MIN(1,AM155/MAX(1,AM142+AM154))</f>
        <v>1</v>
      </c>
      <c r="AN156" s="76" t="n">
        <f aca="false">MIN(1,AN155/MAX(1,AN142+AN154))</f>
        <v>1</v>
      </c>
      <c r="AO156" s="76" t="n">
        <f aca="false">MIN(1,AO155/MAX(1,AO142+AO154))</f>
        <v>1</v>
      </c>
      <c r="AP156" s="76" t="n">
        <f aca="false">MIN(1,AP155/MAX(1,AP142+AP154))</f>
        <v>1</v>
      </c>
      <c r="AQ156" s="76" t="n">
        <f aca="false">MIN(1,AQ155/MAX(1,AQ142+AQ154))</f>
        <v>1</v>
      </c>
      <c r="AR156" s="76" t="n">
        <f aca="false">MIN(1,AR155/MAX(1,AR142+AR154))</f>
        <v>1</v>
      </c>
      <c r="AS156" s="76" t="n">
        <f aca="false">MIN(1,AS155/MAX(1,AS142+AS154))</f>
        <v>1</v>
      </c>
      <c r="AT156" s="76" t="n">
        <f aca="false">MIN(1,AT155/MAX(1,AT142+AT154))</f>
        <v>1</v>
      </c>
      <c r="AU156" s="76" t="n">
        <f aca="false">MIN(1,AU155/MAX(1,AU142+AU154))</f>
        <v>1</v>
      </c>
      <c r="AV156" s="76" t="n">
        <f aca="false">MIN(1,AV155/MAX(1,AV142+AV154))</f>
        <v>1</v>
      </c>
      <c r="AW156" s="76" t="n">
        <f aca="false">MIN(1,AW155/MAX(1,AW142+AW154))</f>
        <v>1</v>
      </c>
      <c r="AX156" s="76" t="n">
        <f aca="false">MIN(1,AX155/MAX(1,AX142+AX154))</f>
        <v>1</v>
      </c>
      <c r="AY156" s="76" t="n">
        <f aca="false">MIN(1,AY155/MAX(1,AY142+AY154))</f>
        <v>1</v>
      </c>
      <c r="AZ156" s="76" t="n">
        <f aca="false">MIN(1,AZ155/MAX(1,AZ142+AZ154))</f>
        <v>1</v>
      </c>
      <c r="BA156" s="76" t="n">
        <f aca="false">MIN(1,BA155/MAX(1,BA142+BA154))</f>
        <v>1</v>
      </c>
      <c r="BB156" s="76" t="n">
        <f aca="false">MIN(1,BB155/MAX(1,BB142+BB154))</f>
        <v>1</v>
      </c>
      <c r="BC156" s="76" t="n">
        <f aca="false">MIN(1,BC155/MAX(1,BC142+BC154))</f>
        <v>1</v>
      </c>
      <c r="BD156" s="76" t="n">
        <f aca="false">MIN(1,BD155/MAX(1,BD142+BD154))</f>
        <v>1</v>
      </c>
      <c r="BE156" s="76" t="n">
        <f aca="false">MIN(1,BE155/MAX(1,BE142+BE154))</f>
        <v>1</v>
      </c>
      <c r="BF156" s="76" t="n">
        <f aca="false">MIN(1,BF155/MAX(1,BF142+BF154))</f>
        <v>1</v>
      </c>
      <c r="BG156" s="76" t="n">
        <f aca="false">MIN(1,BG155/MAX(1,BG142+BG154))</f>
        <v>1</v>
      </c>
      <c r="BH156" s="76" t="n">
        <f aca="false">MIN(1,BH155/MAX(1,BH142+BH154))</f>
        <v>1</v>
      </c>
      <c r="BI156" s="76" t="n">
        <f aca="false">MIN(1,BI155/MAX(1,BI142+BI154))</f>
        <v>1</v>
      </c>
      <c r="BJ156" s="76" t="n">
        <f aca="false">MIN(1,BJ155/MAX(1,BJ142+BJ154))</f>
        <v>1</v>
      </c>
    </row>
    <row r="157" customFormat="false" ht="15" hidden="false" customHeight="false" outlineLevel="0" collapsed="false">
      <c r="A157" s="6" t="s">
        <v>238</v>
      </c>
      <c r="C157" s="118" t="n">
        <f aca="false">C142*C156</f>
        <v>2662.2</v>
      </c>
      <c r="D157" s="118" t="n">
        <f aca="false">D142*D156</f>
        <v>3023.73333333333</v>
      </c>
      <c r="E157" s="118" t="n">
        <f aca="false">E142*E156</f>
        <v>4181.8</v>
      </c>
      <c r="F157" s="118" t="n">
        <f aca="false">F142*F156</f>
        <v>4628.4</v>
      </c>
      <c r="G157" s="118" t="n">
        <f aca="false">G142*G156</f>
        <v>5075</v>
      </c>
      <c r="H157" s="118" t="n">
        <f aca="false">H142*H156</f>
        <v>5521.6</v>
      </c>
      <c r="I157" s="118" t="n">
        <f aca="false">I142*I156</f>
        <v>5968.2</v>
      </c>
      <c r="J157" s="118" t="n">
        <f aca="false">J142*J156</f>
        <v>6414.8</v>
      </c>
      <c r="K157" s="118" t="n">
        <f aca="false">K142*K156</f>
        <v>6861.4</v>
      </c>
      <c r="L157" s="118" t="n">
        <f aca="false">L142*L156</f>
        <v>7308</v>
      </c>
      <c r="M157" s="118" t="n">
        <f aca="false">M142*M156</f>
        <v>7308</v>
      </c>
      <c r="N157" s="118" t="n">
        <f aca="false">N142*N156</f>
        <v>5916</v>
      </c>
      <c r="O157" s="118" t="n">
        <f aca="false">O142*O156</f>
        <v>6093.48</v>
      </c>
      <c r="P157" s="118" t="n">
        <f aca="false">P142*P156</f>
        <v>6093.48</v>
      </c>
      <c r="Q157" s="118" t="n">
        <f aca="false">Q142*Q156</f>
        <v>7527.24</v>
      </c>
      <c r="R157" s="118" t="n">
        <f aca="false">R142*R156</f>
        <v>7527.24</v>
      </c>
      <c r="S157" s="118" t="n">
        <f aca="false">S142*S156</f>
        <v>7527.24</v>
      </c>
      <c r="T157" s="118" t="n">
        <f aca="false">T142*T156</f>
        <v>7527.24</v>
      </c>
      <c r="U157" s="118" t="n">
        <f aca="false">U142*U156</f>
        <v>7527.24</v>
      </c>
      <c r="V157" s="118" t="n">
        <f aca="false">V142*V156</f>
        <v>7527.24</v>
      </c>
      <c r="W157" s="118" t="n">
        <f aca="false">W142*W156</f>
        <v>7527.24</v>
      </c>
      <c r="X157" s="118" t="n">
        <f aca="false">X142*X156</f>
        <v>7527.24</v>
      </c>
      <c r="Y157" s="118" t="n">
        <f aca="false">Y142*Y156</f>
        <v>7527.24</v>
      </c>
      <c r="Z157" s="118" t="n">
        <f aca="false">Z142*Z156</f>
        <v>6093.48</v>
      </c>
      <c r="AA157" s="118" t="n">
        <f aca="false">AA142*AA156</f>
        <v>6276.2844</v>
      </c>
      <c r="AB157" s="118" t="n">
        <f aca="false">AB142*AB156</f>
        <v>6276.2844</v>
      </c>
      <c r="AC157" s="118" t="n">
        <f aca="false">AC142*AC156</f>
        <v>7753.0572</v>
      </c>
      <c r="AD157" s="118" t="n">
        <f aca="false">AD142*AD156</f>
        <v>7753.0572</v>
      </c>
      <c r="AE157" s="118" t="n">
        <f aca="false">AE142*AE156</f>
        <v>7753.0572</v>
      </c>
      <c r="AF157" s="118" t="n">
        <f aca="false">AF142*AF156</f>
        <v>7753.0572</v>
      </c>
      <c r="AG157" s="118" t="n">
        <f aca="false">AG142*AG156</f>
        <v>7753.0572</v>
      </c>
      <c r="AH157" s="118" t="n">
        <f aca="false">AH142*AH156</f>
        <v>7753.0572</v>
      </c>
      <c r="AI157" s="118" t="n">
        <f aca="false">AI142*AI156</f>
        <v>7753.0572</v>
      </c>
      <c r="AJ157" s="118" t="n">
        <f aca="false">AJ142*AJ156</f>
        <v>7753.0572</v>
      </c>
      <c r="AK157" s="118" t="n">
        <f aca="false">AK142*AK156</f>
        <v>7753.0572</v>
      </c>
      <c r="AL157" s="118" t="n">
        <f aca="false">AL142*AL156</f>
        <v>6276.2844</v>
      </c>
      <c r="AM157" s="118" t="n">
        <f aca="false">AM142*AM156</f>
        <v>6464.572932</v>
      </c>
      <c r="AN157" s="118" t="n">
        <f aca="false">AN142*AN156</f>
        <v>6464.572932</v>
      </c>
      <c r="AO157" s="118" t="n">
        <f aca="false">AO142*AO156</f>
        <v>7985.648916</v>
      </c>
      <c r="AP157" s="118" t="n">
        <f aca="false">AP142*AP156</f>
        <v>7985.648916</v>
      </c>
      <c r="AQ157" s="118" t="n">
        <f aca="false">AQ142*AQ156</f>
        <v>7985.648916</v>
      </c>
      <c r="AR157" s="118" t="n">
        <f aca="false">AR142*AR156</f>
        <v>7985.648916</v>
      </c>
      <c r="AS157" s="118" t="n">
        <f aca="false">AS142*AS156</f>
        <v>7985.648916</v>
      </c>
      <c r="AT157" s="118" t="n">
        <f aca="false">AT142*AT156</f>
        <v>7985.648916</v>
      </c>
      <c r="AU157" s="118" t="n">
        <f aca="false">AU142*AU156</f>
        <v>7985.648916</v>
      </c>
      <c r="AV157" s="118" t="n">
        <f aca="false">AV142*AV156</f>
        <v>7985.648916</v>
      </c>
      <c r="AW157" s="118" t="n">
        <f aca="false">AW142*AW156</f>
        <v>7985.648916</v>
      </c>
      <c r="AX157" s="118" t="n">
        <f aca="false">AX142*AX156</f>
        <v>6464.572932</v>
      </c>
      <c r="AY157" s="118" t="n">
        <f aca="false">AY142*AY156</f>
        <v>6658.51011996</v>
      </c>
      <c r="AZ157" s="118" t="n">
        <f aca="false">AZ142*AZ156</f>
        <v>6658.51011996</v>
      </c>
      <c r="BA157" s="118" t="n">
        <f aca="false">BA142*BA156</f>
        <v>8225.21838348</v>
      </c>
      <c r="BB157" s="118" t="n">
        <f aca="false">BB142*BB156</f>
        <v>8225.21838348</v>
      </c>
      <c r="BC157" s="118" t="n">
        <f aca="false">BC142*BC156</f>
        <v>8225.21838348</v>
      </c>
      <c r="BD157" s="118" t="n">
        <f aca="false">BD142*BD156</f>
        <v>8225.21838348</v>
      </c>
      <c r="BE157" s="118" t="n">
        <f aca="false">BE142*BE156</f>
        <v>8225.21838348</v>
      </c>
      <c r="BF157" s="118" t="n">
        <f aca="false">BF142*BF156</f>
        <v>8225.21838348</v>
      </c>
      <c r="BG157" s="118" t="n">
        <f aca="false">BG142*BG156</f>
        <v>8225.21838348</v>
      </c>
      <c r="BH157" s="118" t="n">
        <f aca="false">BH142*BH156</f>
        <v>8225.21838348</v>
      </c>
      <c r="BI157" s="118" t="n">
        <f aca="false">BI142*BI156</f>
        <v>8225.21838348</v>
      </c>
      <c r="BJ157" s="118" t="n">
        <f aca="false">BJ142*BJ156</f>
        <v>6658.51011996</v>
      </c>
    </row>
    <row r="158" customFormat="false" ht="15" hidden="false" customHeight="false" outlineLevel="0" collapsed="false">
      <c r="A158" s="6" t="s">
        <v>239</v>
      </c>
      <c r="C158" s="118" t="n">
        <f aca="false">C154*C156</f>
        <v>794.02393</v>
      </c>
      <c r="D158" s="118" t="n">
        <f aca="false">D154*D156</f>
        <v>901.408218355555</v>
      </c>
      <c r="E158" s="118" t="n">
        <f aca="false">E154*E156</f>
        <v>1274.416688944</v>
      </c>
      <c r="F158" s="118" t="n">
        <f aca="false">F154*F156</f>
        <v>1463.71037805291</v>
      </c>
      <c r="G158" s="118" t="n">
        <f aca="false">G154*G156</f>
        <v>1669.79152626412</v>
      </c>
      <c r="H158" s="118" t="n">
        <f aca="false">H154*H156</f>
        <v>1891.98863521356</v>
      </c>
      <c r="I158" s="118" t="n">
        <f aca="false">I154*I156</f>
        <v>2129.65706647168</v>
      </c>
      <c r="J158" s="118" t="n">
        <f aca="false">J154*J156</f>
        <v>2382.17796714615</v>
      </c>
      <c r="K158" s="118" t="n">
        <f aca="false">K154*K156</f>
        <v>2648.9572384603</v>
      </c>
      <c r="L158" s="118" t="n">
        <f aca="false">L154*L156</f>
        <v>2929.42454558856</v>
      </c>
      <c r="M158" s="118" t="n">
        <f aca="false">M154*M156</f>
        <v>3210.85276376502</v>
      </c>
      <c r="N158" s="118" t="n">
        <f aca="false">N154*N156</f>
        <v>2801.40689069738</v>
      </c>
      <c r="O158" s="118" t="n">
        <f aca="false">O154*O156</f>
        <v>2984.73217706949</v>
      </c>
      <c r="P158" s="118" t="n">
        <f aca="false">P154*P156</f>
        <v>3166.55521398671</v>
      </c>
      <c r="Q158" s="118" t="n">
        <f aca="false">Q154*Q156</f>
        <v>4148.32403188071</v>
      </c>
      <c r="R158" s="118" t="n">
        <f aca="false">R154*R156</f>
        <v>4396.62942660548</v>
      </c>
      <c r="S158" s="118" t="n">
        <f aca="false">S154*S156</f>
        <v>4635.00260554126</v>
      </c>
      <c r="T158" s="118" t="n">
        <f aca="false">T154*T156</f>
        <v>4863.84085731961</v>
      </c>
      <c r="U158" s="118" t="n">
        <f aca="false">U154*U156</f>
        <v>5083.52557902683</v>
      </c>
      <c r="V158" s="118" t="n">
        <f aca="false">V154*V156</f>
        <v>5294.42291186575</v>
      </c>
      <c r="W158" s="118" t="n">
        <f aca="false">W154*W156</f>
        <v>5496.88435139112</v>
      </c>
      <c r="X158" s="118" t="n">
        <f aca="false">X154*X156</f>
        <v>5691.24733333548</v>
      </c>
      <c r="Y158" s="118" t="n">
        <f aca="false">Y154*Y156</f>
        <v>5877.83579600206</v>
      </c>
      <c r="Z158" s="118" t="n">
        <f aca="false">Z154*Z156</f>
        <v>4886.1921723216</v>
      </c>
      <c r="AA158" s="118" t="n">
        <f aca="false">AA154*AA156</f>
        <v>4998.03686928874</v>
      </c>
      <c r="AB158" s="118" t="n">
        <f aca="false">AB154*AB156</f>
        <v>5111.48783823719</v>
      </c>
      <c r="AC158" s="118" t="n">
        <f aca="false">AC154*AC156</f>
        <v>6470.43892115892</v>
      </c>
      <c r="AD158" s="118" t="n">
        <f aca="false">AD154*AD156</f>
        <v>6642.14562099257</v>
      </c>
      <c r="AE158" s="118" t="n">
        <f aca="false">AE154*AE156</f>
        <v>6806.98405283286</v>
      </c>
      <c r="AF158" s="118" t="n">
        <f aca="false">AF154*AF156</f>
        <v>6965.22894739955</v>
      </c>
      <c r="AG158" s="118" t="n">
        <f aca="false">AG154*AG156</f>
        <v>7117.14404618357</v>
      </c>
      <c r="AH158" s="118" t="n">
        <f aca="false">AH154*AH156</f>
        <v>7262.98254101622</v>
      </c>
      <c r="AI158" s="118" t="n">
        <f aca="false">AI154*AI156</f>
        <v>7402.98749605557</v>
      </c>
      <c r="AJ158" s="118" t="n">
        <f aca="false">AJ154*AJ156</f>
        <v>7537.39225289335</v>
      </c>
      <c r="AK158" s="118" t="n">
        <f aca="false">AK154*AK156</f>
        <v>7666.42081945762</v>
      </c>
      <c r="AL158" s="118" t="n">
        <f aca="false">AL154*AL156</f>
        <v>6288.85021973278</v>
      </c>
      <c r="AM158" s="118" t="n">
        <f aca="false">AM154*AM156</f>
        <v>6357.00921006927</v>
      </c>
      <c r="AN158" s="118" t="n">
        <f aca="false">AN154*AN156</f>
        <v>6428.78239619809</v>
      </c>
      <c r="AO158" s="118" t="n">
        <f aca="false">AO154*AO156</f>
        <v>8048.91144946581</v>
      </c>
      <c r="AP158" s="118" t="n">
        <f aca="false">AP154*AP156</f>
        <v>8174.44666336758</v>
      </c>
      <c r="AQ158" s="118" t="n">
        <f aca="false">AQ154*AQ156</f>
        <v>8294.96046871328</v>
      </c>
      <c r="AR158" s="118" t="n">
        <f aca="false">AR154*AR156</f>
        <v>8410.65372184514</v>
      </c>
      <c r="AS158" s="118" t="n">
        <f aca="false">AS154*AS156</f>
        <v>8521.71924485174</v>
      </c>
      <c r="AT158" s="118" t="n">
        <f aca="false">AT154*AT156</f>
        <v>8628.34214693807</v>
      </c>
      <c r="AU158" s="118" t="n">
        <f aca="false">AU154*AU156</f>
        <v>8730.70013294094</v>
      </c>
      <c r="AV158" s="118" t="n">
        <f aca="false">AV154*AV156</f>
        <v>8828.9637995037</v>
      </c>
      <c r="AW158" s="118" t="n">
        <f aca="false">AW154*AW156</f>
        <v>8923.29691940395</v>
      </c>
      <c r="AX158" s="118" t="n">
        <f aca="false">AX154*AX156</f>
        <v>7278.83082182084</v>
      </c>
      <c r="AY158" s="118" t="n">
        <f aca="false">AY154*AY156</f>
        <v>7320.34391398508</v>
      </c>
      <c r="AZ158" s="118" t="n">
        <f aca="false">AZ154*AZ156</f>
        <v>7366.80925296823</v>
      </c>
      <c r="BA158" s="118" t="n">
        <f aca="false">BA154*BA156</f>
        <v>9178.30917301686</v>
      </c>
      <c r="BB158" s="118" t="n">
        <f aca="false">BB154*BB156</f>
        <v>9276.347500008</v>
      </c>
      <c r="BC158" s="118" t="n">
        <f aca="false">BC154*BC156</f>
        <v>9370.46429391949</v>
      </c>
      <c r="BD158" s="118" t="n">
        <f aca="false">BD154*BD156</f>
        <v>9460.81641607452</v>
      </c>
      <c r="BE158" s="118" t="n">
        <f aca="false">BE154*BE156</f>
        <v>9547.55445334335</v>
      </c>
      <c r="BF158" s="118" t="n">
        <f aca="false">BF154*BF156</f>
        <v>9630.82296912143</v>
      </c>
      <c r="BG158" s="118" t="n">
        <f aca="false">BG154*BG156</f>
        <v>9710.76074426838</v>
      </c>
      <c r="BH158" s="118" t="n">
        <f aca="false">BH154*BH156</f>
        <v>9787.50100840946</v>
      </c>
      <c r="BI158" s="118" t="n">
        <f aca="false">BI154*BI156</f>
        <v>9861.17166198489</v>
      </c>
      <c r="BJ158" s="118" t="n">
        <f aca="false">BJ154*BJ156</f>
        <v>8021.46204404955</v>
      </c>
    </row>
    <row r="159" customFormat="false" ht="15" hidden="false" customHeight="false" outlineLevel="0" collapsed="false">
      <c r="A159" s="4" t="s">
        <v>434</v>
      </c>
      <c r="C159" s="121" t="n">
        <f aca="false">C157+C158</f>
        <v>3456.22393</v>
      </c>
      <c r="D159" s="121" t="n">
        <f aca="false">D157+D158</f>
        <v>3925.14155168889</v>
      </c>
      <c r="E159" s="121" t="n">
        <f aca="false">E157+E158</f>
        <v>5456.216688944</v>
      </c>
      <c r="F159" s="121" t="n">
        <f aca="false">F157+F158</f>
        <v>6092.11037805291</v>
      </c>
      <c r="G159" s="121" t="n">
        <f aca="false">G157+G158</f>
        <v>6744.79152626412</v>
      </c>
      <c r="H159" s="121" t="n">
        <f aca="false">H157+H158</f>
        <v>7413.58863521356</v>
      </c>
      <c r="I159" s="121" t="n">
        <f aca="false">I157+I158</f>
        <v>8097.85706647168</v>
      </c>
      <c r="J159" s="121" t="n">
        <f aca="false">J157+J158</f>
        <v>8796.97796714615</v>
      </c>
      <c r="K159" s="121" t="n">
        <f aca="false">K157+K158</f>
        <v>9510.3572384603</v>
      </c>
      <c r="L159" s="121" t="n">
        <f aca="false">L157+L158</f>
        <v>10237.4245455886</v>
      </c>
      <c r="M159" s="121" t="n">
        <f aca="false">M157+M158</f>
        <v>10518.852763765</v>
      </c>
      <c r="N159" s="121" t="n">
        <f aca="false">N157+N158</f>
        <v>8717.40689069738</v>
      </c>
      <c r="O159" s="121" t="n">
        <f aca="false">O157+O158</f>
        <v>9078.21217706949</v>
      </c>
      <c r="P159" s="121" t="n">
        <f aca="false">P157+P158</f>
        <v>9260.03521398671</v>
      </c>
      <c r="Q159" s="121" t="n">
        <f aca="false">Q157+Q158</f>
        <v>11675.5640318807</v>
      </c>
      <c r="R159" s="121" t="n">
        <f aca="false">R157+R158</f>
        <v>11923.8694266055</v>
      </c>
      <c r="S159" s="121" t="n">
        <f aca="false">S157+S158</f>
        <v>12162.2426055413</v>
      </c>
      <c r="T159" s="121" t="n">
        <f aca="false">T157+T158</f>
        <v>12391.0808573196</v>
      </c>
      <c r="U159" s="121" t="n">
        <f aca="false">U157+U158</f>
        <v>12610.7655790268</v>
      </c>
      <c r="V159" s="121" t="n">
        <f aca="false">V157+V158</f>
        <v>12821.6629118658</v>
      </c>
      <c r="W159" s="121" t="n">
        <f aca="false">W157+W158</f>
        <v>13024.1243513911</v>
      </c>
      <c r="X159" s="121" t="n">
        <f aca="false">X157+X158</f>
        <v>13218.4873333355</v>
      </c>
      <c r="Y159" s="121" t="n">
        <f aca="false">Y157+Y158</f>
        <v>13405.0757960021</v>
      </c>
      <c r="Z159" s="121" t="n">
        <f aca="false">Z157+Z158</f>
        <v>10979.6721723216</v>
      </c>
      <c r="AA159" s="121" t="n">
        <f aca="false">AA157+AA158</f>
        <v>11274.3212692887</v>
      </c>
      <c r="AB159" s="121" t="n">
        <f aca="false">AB157+AB158</f>
        <v>11387.7722382372</v>
      </c>
      <c r="AC159" s="121" t="n">
        <f aca="false">AC157+AC158</f>
        <v>14223.4961211589</v>
      </c>
      <c r="AD159" s="121" t="n">
        <f aca="false">AD157+AD158</f>
        <v>14395.2028209926</v>
      </c>
      <c r="AE159" s="121" t="n">
        <f aca="false">AE157+AE158</f>
        <v>14560.0412528329</v>
      </c>
      <c r="AF159" s="121" t="n">
        <f aca="false">AF157+AF158</f>
        <v>14718.2861473995</v>
      </c>
      <c r="AG159" s="121" t="n">
        <f aca="false">AG157+AG158</f>
        <v>14870.2012461836</v>
      </c>
      <c r="AH159" s="121" t="n">
        <f aca="false">AH157+AH158</f>
        <v>15016.0397410162</v>
      </c>
      <c r="AI159" s="121" t="n">
        <f aca="false">AI157+AI158</f>
        <v>15156.0446960556</v>
      </c>
      <c r="AJ159" s="121" t="n">
        <f aca="false">AJ157+AJ158</f>
        <v>15290.4494528934</v>
      </c>
      <c r="AK159" s="121" t="n">
        <f aca="false">AK157+AK158</f>
        <v>15419.4780194576</v>
      </c>
      <c r="AL159" s="121" t="n">
        <f aca="false">AL157+AL158</f>
        <v>12565.1346197328</v>
      </c>
      <c r="AM159" s="121" t="n">
        <f aca="false">AM157+AM158</f>
        <v>12821.5821420693</v>
      </c>
      <c r="AN159" s="121" t="n">
        <f aca="false">AN157+AN158</f>
        <v>12893.3553281981</v>
      </c>
      <c r="AO159" s="121" t="n">
        <f aca="false">AO157+AO158</f>
        <v>16034.5603654658</v>
      </c>
      <c r="AP159" s="121" t="n">
        <f aca="false">AP157+AP158</f>
        <v>16160.0955793676</v>
      </c>
      <c r="AQ159" s="121" t="n">
        <f aca="false">AQ157+AQ158</f>
        <v>16280.6093847133</v>
      </c>
      <c r="AR159" s="121" t="n">
        <f aca="false">AR157+AR158</f>
        <v>16396.3026378451</v>
      </c>
      <c r="AS159" s="121" t="n">
        <f aca="false">AS157+AS158</f>
        <v>16507.3681608517</v>
      </c>
      <c r="AT159" s="121" t="n">
        <f aca="false">AT157+AT158</f>
        <v>16613.9910629381</v>
      </c>
      <c r="AU159" s="121" t="n">
        <f aca="false">AU157+AU158</f>
        <v>16716.3490489409</v>
      </c>
      <c r="AV159" s="121" t="n">
        <f aca="false">AV157+AV158</f>
        <v>16814.6127155037</v>
      </c>
      <c r="AW159" s="121" t="n">
        <f aca="false">AW157+AW158</f>
        <v>16908.945835404</v>
      </c>
      <c r="AX159" s="121" t="n">
        <f aca="false">AX157+AX158</f>
        <v>13743.4037538208</v>
      </c>
      <c r="AY159" s="121" t="n">
        <f aca="false">AY157+AY158</f>
        <v>13978.8540339451</v>
      </c>
      <c r="AZ159" s="121" t="n">
        <f aca="false">AZ157+AZ158</f>
        <v>14025.3193729282</v>
      </c>
      <c r="BA159" s="121" t="n">
        <f aca="false">BA157+BA158</f>
        <v>17403.5275564969</v>
      </c>
      <c r="BB159" s="121" t="n">
        <f aca="false">BB157+BB158</f>
        <v>17501.565883488</v>
      </c>
      <c r="BC159" s="121" t="n">
        <f aca="false">BC157+BC158</f>
        <v>17595.6826773995</v>
      </c>
      <c r="BD159" s="121" t="n">
        <f aca="false">BD157+BD158</f>
        <v>17686.0347995545</v>
      </c>
      <c r="BE159" s="121" t="n">
        <f aca="false">BE157+BE158</f>
        <v>17772.7728368234</v>
      </c>
      <c r="BF159" s="121" t="n">
        <f aca="false">BF157+BF158</f>
        <v>17856.0413526014</v>
      </c>
      <c r="BG159" s="121" t="n">
        <f aca="false">BG157+BG158</f>
        <v>17935.9791277484</v>
      </c>
      <c r="BH159" s="121" t="n">
        <f aca="false">BH157+BH158</f>
        <v>18012.7193918895</v>
      </c>
      <c r="BI159" s="121" t="n">
        <f aca="false">BI157+BI158</f>
        <v>18086.3900454649</v>
      </c>
      <c r="BJ159" s="121" t="n">
        <f aca="false">BJ157+BJ158</f>
        <v>14679.9721640096</v>
      </c>
    </row>
    <row r="160" customFormat="false" ht="15" hidden="false" customHeight="false" outlineLevel="0" collapsed="false">
      <c r="A160" s="6" t="s">
        <v>242</v>
      </c>
      <c r="C160" s="118" t="n">
        <f aca="false">C142+C154-C159</f>
        <v>0</v>
      </c>
      <c r="D160" s="118" t="n">
        <f aca="false">D142+D154-D159</f>
        <v>0</v>
      </c>
      <c r="E160" s="118" t="n">
        <f aca="false">E142+E154-E159</f>
        <v>0</v>
      </c>
      <c r="F160" s="118" t="n">
        <f aca="false">F142+F154-F159</f>
        <v>0</v>
      </c>
      <c r="G160" s="118" t="n">
        <f aca="false">G142+G154-G159</f>
        <v>0</v>
      </c>
      <c r="H160" s="118" t="n">
        <f aca="false">H142+H154-H159</f>
        <v>0</v>
      </c>
      <c r="I160" s="118" t="n">
        <f aca="false">I142+I154-I159</f>
        <v>0</v>
      </c>
      <c r="J160" s="118" t="n">
        <f aca="false">J142+J154-J159</f>
        <v>0</v>
      </c>
      <c r="K160" s="118" t="n">
        <f aca="false">K142+K154-K159</f>
        <v>0</v>
      </c>
      <c r="L160" s="118" t="n">
        <f aca="false">L142+L154-L159</f>
        <v>0</v>
      </c>
      <c r="M160" s="118" t="n">
        <f aca="false">M142+M154-M159</f>
        <v>0</v>
      </c>
      <c r="N160" s="118" t="n">
        <f aca="false">N142+N154-N159</f>
        <v>0</v>
      </c>
      <c r="O160" s="118" t="n">
        <f aca="false">O142+O154-O159</f>
        <v>0</v>
      </c>
      <c r="P160" s="118" t="n">
        <f aca="false">P142+P154-P159</f>
        <v>0</v>
      </c>
      <c r="Q160" s="118" t="n">
        <f aca="false">Q142+Q154-Q159</f>
        <v>0</v>
      </c>
      <c r="R160" s="118" t="n">
        <f aca="false">R142+R154-R159</f>
        <v>0</v>
      </c>
      <c r="S160" s="118" t="n">
        <f aca="false">S142+S154-S159</f>
        <v>0</v>
      </c>
      <c r="T160" s="118" t="n">
        <f aca="false">T142+T154-T159</f>
        <v>0</v>
      </c>
      <c r="U160" s="118" t="n">
        <f aca="false">U142+U154-U159</f>
        <v>0</v>
      </c>
      <c r="V160" s="118" t="n">
        <f aca="false">V142+V154-V159</f>
        <v>0</v>
      </c>
      <c r="W160" s="118" t="n">
        <f aca="false">W142+W154-W159</f>
        <v>0</v>
      </c>
      <c r="X160" s="118" t="n">
        <f aca="false">X142+X154-X159</f>
        <v>0</v>
      </c>
      <c r="Y160" s="118" t="n">
        <f aca="false">Y142+Y154-Y159</f>
        <v>0</v>
      </c>
      <c r="Z160" s="118" t="n">
        <f aca="false">Z142+Z154-Z159</f>
        <v>0</v>
      </c>
      <c r="AA160" s="118" t="n">
        <f aca="false">AA142+AA154-AA159</f>
        <v>0</v>
      </c>
      <c r="AB160" s="118" t="n">
        <f aca="false">AB142+AB154-AB159</f>
        <v>0</v>
      </c>
      <c r="AC160" s="118" t="n">
        <f aca="false">AC142+AC154-AC159</f>
        <v>0</v>
      </c>
      <c r="AD160" s="118" t="n">
        <f aca="false">AD142+AD154-AD159</f>
        <v>0</v>
      </c>
      <c r="AE160" s="118" t="n">
        <f aca="false">AE142+AE154-AE159</f>
        <v>0</v>
      </c>
      <c r="AF160" s="118" t="n">
        <f aca="false">AF142+AF154-AF159</f>
        <v>0</v>
      </c>
      <c r="AG160" s="118" t="n">
        <f aca="false">AG142+AG154-AG159</f>
        <v>0</v>
      </c>
      <c r="AH160" s="118" t="n">
        <f aca="false">AH142+AH154-AH159</f>
        <v>0</v>
      </c>
      <c r="AI160" s="118" t="n">
        <f aca="false">AI142+AI154-AI159</f>
        <v>0</v>
      </c>
      <c r="AJ160" s="118" t="n">
        <f aca="false">AJ142+AJ154-AJ159</f>
        <v>0</v>
      </c>
      <c r="AK160" s="118" t="n">
        <f aca="false">AK142+AK154-AK159</f>
        <v>0</v>
      </c>
      <c r="AL160" s="118" t="n">
        <f aca="false">AL142+AL154-AL159</f>
        <v>0</v>
      </c>
      <c r="AM160" s="118" t="n">
        <f aca="false">AM142+AM154-AM159</f>
        <v>0</v>
      </c>
      <c r="AN160" s="118" t="n">
        <f aca="false">AN142+AN154-AN159</f>
        <v>0</v>
      </c>
      <c r="AO160" s="118" t="n">
        <f aca="false">AO142+AO154-AO159</f>
        <v>0</v>
      </c>
      <c r="AP160" s="118" t="n">
        <f aca="false">AP142+AP154-AP159</f>
        <v>0</v>
      </c>
      <c r="AQ160" s="118" t="n">
        <f aca="false">AQ142+AQ154-AQ159</f>
        <v>0</v>
      </c>
      <c r="AR160" s="118" t="n">
        <f aca="false">AR142+AR154-AR159</f>
        <v>0</v>
      </c>
      <c r="AS160" s="118" t="n">
        <f aca="false">AS142+AS154-AS159</f>
        <v>0</v>
      </c>
      <c r="AT160" s="118" t="n">
        <f aca="false">AT142+AT154-AT159</f>
        <v>0</v>
      </c>
      <c r="AU160" s="118" t="n">
        <f aca="false">AU142+AU154-AU159</f>
        <v>0</v>
      </c>
      <c r="AV160" s="118" t="n">
        <f aca="false">AV142+AV154-AV159</f>
        <v>0</v>
      </c>
      <c r="AW160" s="118" t="n">
        <f aca="false">AW142+AW154-AW159</f>
        <v>0</v>
      </c>
      <c r="AX160" s="118" t="n">
        <f aca="false">AX142+AX154-AX159</f>
        <v>0</v>
      </c>
      <c r="AY160" s="118" t="n">
        <f aca="false">AY142+AY154-AY159</f>
        <v>0</v>
      </c>
      <c r="AZ160" s="118" t="n">
        <f aca="false">AZ142+AZ154-AZ159</f>
        <v>0</v>
      </c>
      <c r="BA160" s="118" t="n">
        <f aca="false">BA142+BA154-BA159</f>
        <v>0</v>
      </c>
      <c r="BB160" s="118" t="n">
        <f aca="false">BB142+BB154-BB159</f>
        <v>0</v>
      </c>
      <c r="BC160" s="118" t="n">
        <f aca="false">BC142+BC154-BC159</f>
        <v>0</v>
      </c>
      <c r="BD160" s="118" t="n">
        <f aca="false">BD142+BD154-BD159</f>
        <v>0</v>
      </c>
      <c r="BE160" s="118" t="n">
        <f aca="false">BE142+BE154-BE159</f>
        <v>0</v>
      </c>
      <c r="BF160" s="118" t="n">
        <f aca="false">BF142+BF154-BF159</f>
        <v>0</v>
      </c>
      <c r="BG160" s="118" t="n">
        <f aca="false">BG142+BG154-BG159</f>
        <v>0</v>
      </c>
      <c r="BH160" s="118" t="n">
        <f aca="false">BH142+BH154-BH159</f>
        <v>0</v>
      </c>
      <c r="BI160" s="118" t="n">
        <f aca="false">BI142+BI154-BI159</f>
        <v>0</v>
      </c>
      <c r="BJ160" s="118" t="n">
        <f aca="false">BJ142+BJ154-BJ159</f>
        <v>0</v>
      </c>
    </row>
    <row r="162" customFormat="false" ht="15.75" hidden="false" customHeight="true" outlineLevel="0" collapsed="false">
      <c r="A162" s="7" t="s">
        <v>44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</row>
    <row r="163" customFormat="false" ht="15" hidden="false" customHeight="false" outlineLevel="0" collapsed="false">
      <c r="A163" s="6" t="s">
        <v>435</v>
      </c>
      <c r="C163" s="122" t="n">
        <f aca="false">Inputs!$C$28*(1+Inputs!$C$31)^(C$136-1)</f>
        <v>13</v>
      </c>
      <c r="D163" s="122" t="n">
        <f aca="false">Inputs!$C$28*(1+Inputs!$C$31)^(D$136-1)</f>
        <v>13</v>
      </c>
      <c r="E163" s="122" t="n">
        <f aca="false">Inputs!$C$28*(1+Inputs!$C$31)^(E$136-1)</f>
        <v>13</v>
      </c>
      <c r="F163" s="122" t="n">
        <f aca="false">Inputs!$C$28*(1+Inputs!$C$31)^(F$136-1)</f>
        <v>13</v>
      </c>
      <c r="G163" s="122" t="n">
        <f aca="false">Inputs!$C$28*(1+Inputs!$C$31)^(G$136-1)</f>
        <v>13</v>
      </c>
      <c r="H163" s="122" t="n">
        <f aca="false">Inputs!$C$28*(1+Inputs!$C$31)^(H$136-1)</f>
        <v>13</v>
      </c>
      <c r="I163" s="122" t="n">
        <f aca="false">Inputs!$C$28*(1+Inputs!$C$31)^(I$136-1)</f>
        <v>13</v>
      </c>
      <c r="J163" s="122" t="n">
        <f aca="false">Inputs!$C$28*(1+Inputs!$C$31)^(J$136-1)</f>
        <v>13</v>
      </c>
      <c r="K163" s="122" t="n">
        <f aca="false">Inputs!$C$28*(1+Inputs!$C$31)^(K$136-1)</f>
        <v>13</v>
      </c>
      <c r="L163" s="122" t="n">
        <f aca="false">Inputs!$C$28*(1+Inputs!$C$31)^(L$136-1)</f>
        <v>13</v>
      </c>
      <c r="M163" s="122" t="n">
        <f aca="false">Inputs!$C$28*(1+Inputs!$C$31)^(M$136-1)</f>
        <v>13</v>
      </c>
      <c r="N163" s="122" t="n">
        <f aca="false">Inputs!$C$28*(1+Inputs!$C$31)^(N$136-1)</f>
        <v>13</v>
      </c>
      <c r="O163" s="122" t="n">
        <f aca="false">Inputs!$C$28*(1+Inputs!$C$31)^(O$136-1)</f>
        <v>13.26</v>
      </c>
      <c r="P163" s="122" t="n">
        <f aca="false">Inputs!$C$28*(1+Inputs!$C$31)^(P$136-1)</f>
        <v>13.26</v>
      </c>
      <c r="Q163" s="122" t="n">
        <f aca="false">Inputs!$C$28*(1+Inputs!$C$31)^(Q$136-1)</f>
        <v>13.26</v>
      </c>
      <c r="R163" s="122" t="n">
        <f aca="false">Inputs!$C$28*(1+Inputs!$C$31)^(R$136-1)</f>
        <v>13.26</v>
      </c>
      <c r="S163" s="122" t="n">
        <f aca="false">Inputs!$C$28*(1+Inputs!$C$31)^(S$136-1)</f>
        <v>13.26</v>
      </c>
      <c r="T163" s="122" t="n">
        <f aca="false">Inputs!$C$28*(1+Inputs!$C$31)^(T$136-1)</f>
        <v>13.26</v>
      </c>
      <c r="U163" s="122" t="n">
        <f aca="false">Inputs!$C$28*(1+Inputs!$C$31)^(U$136-1)</f>
        <v>13.26</v>
      </c>
      <c r="V163" s="122" t="n">
        <f aca="false">Inputs!$C$28*(1+Inputs!$C$31)^(V$136-1)</f>
        <v>13.26</v>
      </c>
      <c r="W163" s="122" t="n">
        <f aca="false">Inputs!$C$28*(1+Inputs!$C$31)^(W$136-1)</f>
        <v>13.26</v>
      </c>
      <c r="X163" s="122" t="n">
        <f aca="false">Inputs!$C$28*(1+Inputs!$C$31)^(X$136-1)</f>
        <v>13.26</v>
      </c>
      <c r="Y163" s="122" t="n">
        <f aca="false">Inputs!$C$28*(1+Inputs!$C$31)^(Y$136-1)</f>
        <v>13.26</v>
      </c>
      <c r="Z163" s="122" t="n">
        <f aca="false">Inputs!$C$28*(1+Inputs!$C$31)^(Z$136-1)</f>
        <v>13.26</v>
      </c>
      <c r="AA163" s="122" t="n">
        <f aca="false">Inputs!$C$28*(1+Inputs!$C$31)^(AA$136-1)</f>
        <v>13.5252</v>
      </c>
      <c r="AB163" s="122" t="n">
        <f aca="false">Inputs!$C$28*(1+Inputs!$C$31)^(AB$136-1)</f>
        <v>13.5252</v>
      </c>
      <c r="AC163" s="122" t="n">
        <f aca="false">Inputs!$C$28*(1+Inputs!$C$31)^(AC$136-1)</f>
        <v>13.5252</v>
      </c>
      <c r="AD163" s="122" t="n">
        <f aca="false">Inputs!$C$28*(1+Inputs!$C$31)^(AD$136-1)</f>
        <v>13.5252</v>
      </c>
      <c r="AE163" s="122" t="n">
        <f aca="false">Inputs!$C$28*(1+Inputs!$C$31)^(AE$136-1)</f>
        <v>13.5252</v>
      </c>
      <c r="AF163" s="122" t="n">
        <f aca="false">Inputs!$C$28*(1+Inputs!$C$31)^(AF$136-1)</f>
        <v>13.5252</v>
      </c>
      <c r="AG163" s="122" t="n">
        <f aca="false">Inputs!$C$28*(1+Inputs!$C$31)^(AG$136-1)</f>
        <v>13.5252</v>
      </c>
      <c r="AH163" s="122" t="n">
        <f aca="false">Inputs!$C$28*(1+Inputs!$C$31)^(AH$136-1)</f>
        <v>13.5252</v>
      </c>
      <c r="AI163" s="122" t="n">
        <f aca="false">Inputs!$C$28*(1+Inputs!$C$31)^(AI$136-1)</f>
        <v>13.5252</v>
      </c>
      <c r="AJ163" s="122" t="n">
        <f aca="false">Inputs!$C$28*(1+Inputs!$C$31)^(AJ$136-1)</f>
        <v>13.5252</v>
      </c>
      <c r="AK163" s="122" t="n">
        <f aca="false">Inputs!$C$28*(1+Inputs!$C$31)^(AK$136-1)</f>
        <v>13.5252</v>
      </c>
      <c r="AL163" s="122" t="n">
        <f aca="false">Inputs!$C$28*(1+Inputs!$C$31)^(AL$136-1)</f>
        <v>13.5252</v>
      </c>
      <c r="AM163" s="122" t="n">
        <f aca="false">Inputs!$C$28*(1+Inputs!$C$31)^(AM$136-1)</f>
        <v>13.795704</v>
      </c>
      <c r="AN163" s="122" t="n">
        <f aca="false">Inputs!$C$28*(1+Inputs!$C$31)^(AN$136-1)</f>
        <v>13.795704</v>
      </c>
      <c r="AO163" s="122" t="n">
        <f aca="false">Inputs!$C$28*(1+Inputs!$C$31)^(AO$136-1)</f>
        <v>13.795704</v>
      </c>
      <c r="AP163" s="122" t="n">
        <f aca="false">Inputs!$C$28*(1+Inputs!$C$31)^(AP$136-1)</f>
        <v>13.795704</v>
      </c>
      <c r="AQ163" s="122" t="n">
        <f aca="false">Inputs!$C$28*(1+Inputs!$C$31)^(AQ$136-1)</f>
        <v>13.795704</v>
      </c>
      <c r="AR163" s="122" t="n">
        <f aca="false">Inputs!$C$28*(1+Inputs!$C$31)^(AR$136-1)</f>
        <v>13.795704</v>
      </c>
      <c r="AS163" s="122" t="n">
        <f aca="false">Inputs!$C$28*(1+Inputs!$C$31)^(AS$136-1)</f>
        <v>13.795704</v>
      </c>
      <c r="AT163" s="122" t="n">
        <f aca="false">Inputs!$C$28*(1+Inputs!$C$31)^(AT$136-1)</f>
        <v>13.795704</v>
      </c>
      <c r="AU163" s="122" t="n">
        <f aca="false">Inputs!$C$28*(1+Inputs!$C$31)^(AU$136-1)</f>
        <v>13.795704</v>
      </c>
      <c r="AV163" s="122" t="n">
        <f aca="false">Inputs!$C$28*(1+Inputs!$C$31)^(AV$136-1)</f>
        <v>13.795704</v>
      </c>
      <c r="AW163" s="122" t="n">
        <f aca="false">Inputs!$C$28*(1+Inputs!$C$31)^(AW$136-1)</f>
        <v>13.795704</v>
      </c>
      <c r="AX163" s="122" t="n">
        <f aca="false">Inputs!$C$28*(1+Inputs!$C$31)^(AX$136-1)</f>
        <v>13.795704</v>
      </c>
      <c r="AY163" s="122" t="n">
        <f aca="false">Inputs!$C$28*(1+Inputs!$C$31)^(AY$136-1)</f>
        <v>14.07161808</v>
      </c>
      <c r="AZ163" s="122" t="n">
        <f aca="false">Inputs!$C$28*(1+Inputs!$C$31)^(AZ$136-1)</f>
        <v>14.07161808</v>
      </c>
      <c r="BA163" s="122" t="n">
        <f aca="false">Inputs!$C$28*(1+Inputs!$C$31)^(BA$136-1)</f>
        <v>14.07161808</v>
      </c>
      <c r="BB163" s="122" t="n">
        <f aca="false">Inputs!$C$28*(1+Inputs!$C$31)^(BB$136-1)</f>
        <v>14.07161808</v>
      </c>
      <c r="BC163" s="122" t="n">
        <f aca="false">Inputs!$C$28*(1+Inputs!$C$31)^(BC$136-1)</f>
        <v>14.07161808</v>
      </c>
      <c r="BD163" s="122" t="n">
        <f aca="false">Inputs!$C$28*(1+Inputs!$C$31)^(BD$136-1)</f>
        <v>14.07161808</v>
      </c>
      <c r="BE163" s="122" t="n">
        <f aca="false">Inputs!$C$28*(1+Inputs!$C$31)^(BE$136-1)</f>
        <v>14.07161808</v>
      </c>
      <c r="BF163" s="122" t="n">
        <f aca="false">Inputs!$C$28*(1+Inputs!$C$31)^(BF$136-1)</f>
        <v>14.07161808</v>
      </c>
      <c r="BG163" s="122" t="n">
        <f aca="false">Inputs!$C$28*(1+Inputs!$C$31)^(BG$136-1)</f>
        <v>14.07161808</v>
      </c>
      <c r="BH163" s="122" t="n">
        <f aca="false">Inputs!$C$28*(1+Inputs!$C$31)^(BH$136-1)</f>
        <v>14.07161808</v>
      </c>
      <c r="BI163" s="122" t="n">
        <f aca="false">Inputs!$C$28*(1+Inputs!$C$31)^(BI$136-1)</f>
        <v>14.07161808</v>
      </c>
      <c r="BJ163" s="122" t="n">
        <f aca="false">Inputs!$C$28*(1+Inputs!$C$31)^(BJ$136-1)</f>
        <v>14.07161808</v>
      </c>
    </row>
    <row r="164" customFormat="false" ht="15" hidden="false" customHeight="false" outlineLevel="0" collapsed="false">
      <c r="A164" s="6" t="s">
        <v>436</v>
      </c>
      <c r="C164" s="122" t="n">
        <f aca="false">Inputs!$C$30*(1+Inputs!$C$31)^(C$136-1)</f>
        <v>35</v>
      </c>
      <c r="D164" s="122" t="n">
        <f aca="false">Inputs!$C$30*(1+Inputs!$C$31)^(D$136-1)</f>
        <v>35</v>
      </c>
      <c r="E164" s="122" t="n">
        <f aca="false">Inputs!$C$30*(1+Inputs!$C$31)^(E$136-1)</f>
        <v>35</v>
      </c>
      <c r="F164" s="122" t="n">
        <f aca="false">Inputs!$C$30*(1+Inputs!$C$31)^(F$136-1)</f>
        <v>35</v>
      </c>
      <c r="G164" s="122" t="n">
        <f aca="false">Inputs!$C$30*(1+Inputs!$C$31)^(G$136-1)</f>
        <v>35</v>
      </c>
      <c r="H164" s="122" t="n">
        <f aca="false">Inputs!$C$30*(1+Inputs!$C$31)^(H$136-1)</f>
        <v>35</v>
      </c>
      <c r="I164" s="122" t="n">
        <f aca="false">Inputs!$C$30*(1+Inputs!$C$31)^(I$136-1)</f>
        <v>35</v>
      </c>
      <c r="J164" s="122" t="n">
        <f aca="false">Inputs!$C$30*(1+Inputs!$C$31)^(J$136-1)</f>
        <v>35</v>
      </c>
      <c r="K164" s="122" t="n">
        <f aca="false">Inputs!$C$30*(1+Inputs!$C$31)^(K$136-1)</f>
        <v>35</v>
      </c>
      <c r="L164" s="122" t="n">
        <f aca="false">Inputs!$C$30*(1+Inputs!$C$31)^(L$136-1)</f>
        <v>35</v>
      </c>
      <c r="M164" s="122" t="n">
        <f aca="false">Inputs!$C$30*(1+Inputs!$C$31)^(M$136-1)</f>
        <v>35</v>
      </c>
      <c r="N164" s="122" t="n">
        <f aca="false">Inputs!$C$30*(1+Inputs!$C$31)^(N$136-1)</f>
        <v>35</v>
      </c>
      <c r="O164" s="122" t="n">
        <f aca="false">Inputs!$C$30*(1+Inputs!$C$31)^(O$136-1)</f>
        <v>35.7</v>
      </c>
      <c r="P164" s="122" t="n">
        <f aca="false">Inputs!$C$30*(1+Inputs!$C$31)^(P$136-1)</f>
        <v>35.7</v>
      </c>
      <c r="Q164" s="122" t="n">
        <f aca="false">Inputs!$C$30*(1+Inputs!$C$31)^(Q$136-1)</f>
        <v>35.7</v>
      </c>
      <c r="R164" s="122" t="n">
        <f aca="false">Inputs!$C$30*(1+Inputs!$C$31)^(R$136-1)</f>
        <v>35.7</v>
      </c>
      <c r="S164" s="122" t="n">
        <f aca="false">Inputs!$C$30*(1+Inputs!$C$31)^(S$136-1)</f>
        <v>35.7</v>
      </c>
      <c r="T164" s="122" t="n">
        <f aca="false">Inputs!$C$30*(1+Inputs!$C$31)^(T$136-1)</f>
        <v>35.7</v>
      </c>
      <c r="U164" s="122" t="n">
        <f aca="false">Inputs!$C$30*(1+Inputs!$C$31)^(U$136-1)</f>
        <v>35.7</v>
      </c>
      <c r="V164" s="122" t="n">
        <f aca="false">Inputs!$C$30*(1+Inputs!$C$31)^(V$136-1)</f>
        <v>35.7</v>
      </c>
      <c r="W164" s="122" t="n">
        <f aca="false">Inputs!$C$30*(1+Inputs!$C$31)^(W$136-1)</f>
        <v>35.7</v>
      </c>
      <c r="X164" s="122" t="n">
        <f aca="false">Inputs!$C$30*(1+Inputs!$C$31)^(X$136-1)</f>
        <v>35.7</v>
      </c>
      <c r="Y164" s="122" t="n">
        <f aca="false">Inputs!$C$30*(1+Inputs!$C$31)^(Y$136-1)</f>
        <v>35.7</v>
      </c>
      <c r="Z164" s="122" t="n">
        <f aca="false">Inputs!$C$30*(1+Inputs!$C$31)^(Z$136-1)</f>
        <v>35.7</v>
      </c>
      <c r="AA164" s="122" t="n">
        <f aca="false">Inputs!$C$30*(1+Inputs!$C$31)^(AA$136-1)</f>
        <v>36.414</v>
      </c>
      <c r="AB164" s="122" t="n">
        <f aca="false">Inputs!$C$30*(1+Inputs!$C$31)^(AB$136-1)</f>
        <v>36.414</v>
      </c>
      <c r="AC164" s="122" t="n">
        <f aca="false">Inputs!$C$30*(1+Inputs!$C$31)^(AC$136-1)</f>
        <v>36.414</v>
      </c>
      <c r="AD164" s="122" t="n">
        <f aca="false">Inputs!$C$30*(1+Inputs!$C$31)^(AD$136-1)</f>
        <v>36.414</v>
      </c>
      <c r="AE164" s="122" t="n">
        <f aca="false">Inputs!$C$30*(1+Inputs!$C$31)^(AE$136-1)</f>
        <v>36.414</v>
      </c>
      <c r="AF164" s="122" t="n">
        <f aca="false">Inputs!$C$30*(1+Inputs!$C$31)^(AF$136-1)</f>
        <v>36.414</v>
      </c>
      <c r="AG164" s="122" t="n">
        <f aca="false">Inputs!$C$30*(1+Inputs!$C$31)^(AG$136-1)</f>
        <v>36.414</v>
      </c>
      <c r="AH164" s="122" t="n">
        <f aca="false">Inputs!$C$30*(1+Inputs!$C$31)^(AH$136-1)</f>
        <v>36.414</v>
      </c>
      <c r="AI164" s="122" t="n">
        <f aca="false">Inputs!$C$30*(1+Inputs!$C$31)^(AI$136-1)</f>
        <v>36.414</v>
      </c>
      <c r="AJ164" s="122" t="n">
        <f aca="false">Inputs!$C$30*(1+Inputs!$C$31)^(AJ$136-1)</f>
        <v>36.414</v>
      </c>
      <c r="AK164" s="122" t="n">
        <f aca="false">Inputs!$C$30*(1+Inputs!$C$31)^(AK$136-1)</f>
        <v>36.414</v>
      </c>
      <c r="AL164" s="122" t="n">
        <f aca="false">Inputs!$C$30*(1+Inputs!$C$31)^(AL$136-1)</f>
        <v>36.414</v>
      </c>
      <c r="AM164" s="122" t="n">
        <f aca="false">Inputs!$C$30*(1+Inputs!$C$31)^(AM$136-1)</f>
        <v>37.14228</v>
      </c>
      <c r="AN164" s="122" t="n">
        <f aca="false">Inputs!$C$30*(1+Inputs!$C$31)^(AN$136-1)</f>
        <v>37.14228</v>
      </c>
      <c r="AO164" s="122" t="n">
        <f aca="false">Inputs!$C$30*(1+Inputs!$C$31)^(AO$136-1)</f>
        <v>37.14228</v>
      </c>
      <c r="AP164" s="122" t="n">
        <f aca="false">Inputs!$C$30*(1+Inputs!$C$31)^(AP$136-1)</f>
        <v>37.14228</v>
      </c>
      <c r="AQ164" s="122" t="n">
        <f aca="false">Inputs!$C$30*(1+Inputs!$C$31)^(AQ$136-1)</f>
        <v>37.14228</v>
      </c>
      <c r="AR164" s="122" t="n">
        <f aca="false">Inputs!$C$30*(1+Inputs!$C$31)^(AR$136-1)</f>
        <v>37.14228</v>
      </c>
      <c r="AS164" s="122" t="n">
        <f aca="false">Inputs!$C$30*(1+Inputs!$C$31)^(AS$136-1)</f>
        <v>37.14228</v>
      </c>
      <c r="AT164" s="122" t="n">
        <f aca="false">Inputs!$C$30*(1+Inputs!$C$31)^(AT$136-1)</f>
        <v>37.14228</v>
      </c>
      <c r="AU164" s="122" t="n">
        <f aca="false">Inputs!$C$30*(1+Inputs!$C$31)^(AU$136-1)</f>
        <v>37.14228</v>
      </c>
      <c r="AV164" s="122" t="n">
        <f aca="false">Inputs!$C$30*(1+Inputs!$C$31)^(AV$136-1)</f>
        <v>37.14228</v>
      </c>
      <c r="AW164" s="122" t="n">
        <f aca="false">Inputs!$C$30*(1+Inputs!$C$31)^(AW$136-1)</f>
        <v>37.14228</v>
      </c>
      <c r="AX164" s="122" t="n">
        <f aca="false">Inputs!$C$30*(1+Inputs!$C$31)^(AX$136-1)</f>
        <v>37.14228</v>
      </c>
      <c r="AY164" s="122" t="n">
        <f aca="false">Inputs!$C$30*(1+Inputs!$C$31)^(AY$136-1)</f>
        <v>37.8851256</v>
      </c>
      <c r="AZ164" s="122" t="n">
        <f aca="false">Inputs!$C$30*(1+Inputs!$C$31)^(AZ$136-1)</f>
        <v>37.8851256</v>
      </c>
      <c r="BA164" s="122" t="n">
        <f aca="false">Inputs!$C$30*(1+Inputs!$C$31)^(BA$136-1)</f>
        <v>37.8851256</v>
      </c>
      <c r="BB164" s="122" t="n">
        <f aca="false">Inputs!$C$30*(1+Inputs!$C$31)^(BB$136-1)</f>
        <v>37.8851256</v>
      </c>
      <c r="BC164" s="122" t="n">
        <f aca="false">Inputs!$C$30*(1+Inputs!$C$31)^(BC$136-1)</f>
        <v>37.8851256</v>
      </c>
      <c r="BD164" s="122" t="n">
        <f aca="false">Inputs!$C$30*(1+Inputs!$C$31)^(BD$136-1)</f>
        <v>37.8851256</v>
      </c>
      <c r="BE164" s="122" t="n">
        <f aca="false">Inputs!$C$30*(1+Inputs!$C$31)^(BE$136-1)</f>
        <v>37.8851256</v>
      </c>
      <c r="BF164" s="122" t="n">
        <f aca="false">Inputs!$C$30*(1+Inputs!$C$31)^(BF$136-1)</f>
        <v>37.8851256</v>
      </c>
      <c r="BG164" s="122" t="n">
        <f aca="false">Inputs!$C$30*(1+Inputs!$C$31)^(BG$136-1)</f>
        <v>37.8851256</v>
      </c>
      <c r="BH164" s="122" t="n">
        <f aca="false">Inputs!$C$30*(1+Inputs!$C$31)^(BH$136-1)</f>
        <v>37.8851256</v>
      </c>
      <c r="BI164" s="122" t="n">
        <f aca="false">Inputs!$C$30*(1+Inputs!$C$31)^(BI$136-1)</f>
        <v>37.8851256</v>
      </c>
      <c r="BJ164" s="122" t="n">
        <f aca="false">Inputs!$C$30*(1+Inputs!$C$31)^(BJ$136-1)</f>
        <v>37.8851256</v>
      </c>
    </row>
    <row r="165" customFormat="false" ht="15" hidden="false" customHeight="false" outlineLevel="0" collapsed="false">
      <c r="A165" s="6" t="s">
        <v>437</v>
      </c>
      <c r="C165" s="69" t="n">
        <f aca="false">C157*C163</f>
        <v>34608.6</v>
      </c>
      <c r="D165" s="69" t="n">
        <f aca="false">D157*D163</f>
        <v>39308.5333333333</v>
      </c>
      <c r="E165" s="69" t="n">
        <f aca="false">E157*E163</f>
        <v>54363.4</v>
      </c>
      <c r="F165" s="69" t="n">
        <f aca="false">F157*F163</f>
        <v>60169.2</v>
      </c>
      <c r="G165" s="69" t="n">
        <f aca="false">G157*G163</f>
        <v>65975</v>
      </c>
      <c r="H165" s="69" t="n">
        <f aca="false">H157*H163</f>
        <v>71780.8</v>
      </c>
      <c r="I165" s="69" t="n">
        <f aca="false">I157*I163</f>
        <v>77586.6</v>
      </c>
      <c r="J165" s="69" t="n">
        <f aca="false">J157*J163</f>
        <v>83392.4</v>
      </c>
      <c r="K165" s="69" t="n">
        <f aca="false">K157*K163</f>
        <v>89198.2</v>
      </c>
      <c r="L165" s="69" t="n">
        <f aca="false">L157*L163</f>
        <v>95004</v>
      </c>
      <c r="M165" s="69" t="n">
        <f aca="false">M157*M163</f>
        <v>95004</v>
      </c>
      <c r="N165" s="69" t="n">
        <f aca="false">N157*N163</f>
        <v>76908</v>
      </c>
      <c r="O165" s="69" t="n">
        <f aca="false">O157*O163</f>
        <v>80799.5448</v>
      </c>
      <c r="P165" s="69" t="n">
        <f aca="false">P157*P163</f>
        <v>80799.5448</v>
      </c>
      <c r="Q165" s="69" t="n">
        <f aca="false">Q157*Q163</f>
        <v>99811.2024</v>
      </c>
      <c r="R165" s="69" t="n">
        <f aca="false">R157*R163</f>
        <v>99811.2024</v>
      </c>
      <c r="S165" s="69" t="n">
        <f aca="false">S157*S163</f>
        <v>99811.2024</v>
      </c>
      <c r="T165" s="69" t="n">
        <f aca="false">T157*T163</f>
        <v>99811.2024</v>
      </c>
      <c r="U165" s="69" t="n">
        <f aca="false">U157*U163</f>
        <v>99811.2024</v>
      </c>
      <c r="V165" s="69" t="n">
        <f aca="false">V157*V163</f>
        <v>99811.2024</v>
      </c>
      <c r="W165" s="69" t="n">
        <f aca="false">W157*W163</f>
        <v>99811.2024</v>
      </c>
      <c r="X165" s="69" t="n">
        <f aca="false">X157*X163</f>
        <v>99811.2024</v>
      </c>
      <c r="Y165" s="69" t="n">
        <f aca="false">Y157*Y163</f>
        <v>99811.2024</v>
      </c>
      <c r="Z165" s="69" t="n">
        <f aca="false">Z157*Z163</f>
        <v>80799.5448</v>
      </c>
      <c r="AA165" s="69" t="n">
        <f aca="false">AA157*AA163</f>
        <v>84888.00176688</v>
      </c>
      <c r="AB165" s="69" t="n">
        <f aca="false">AB157*AB163</f>
        <v>84888.00176688</v>
      </c>
      <c r="AC165" s="69" t="n">
        <f aca="false">AC157*AC163</f>
        <v>104861.64924144</v>
      </c>
      <c r="AD165" s="69" t="n">
        <f aca="false">AD157*AD163</f>
        <v>104861.64924144</v>
      </c>
      <c r="AE165" s="69" t="n">
        <f aca="false">AE157*AE163</f>
        <v>104861.64924144</v>
      </c>
      <c r="AF165" s="69" t="n">
        <f aca="false">AF157*AF163</f>
        <v>104861.64924144</v>
      </c>
      <c r="AG165" s="69" t="n">
        <f aca="false">AG157*AG163</f>
        <v>104861.64924144</v>
      </c>
      <c r="AH165" s="69" t="n">
        <f aca="false">AH157*AH163</f>
        <v>104861.64924144</v>
      </c>
      <c r="AI165" s="69" t="n">
        <f aca="false">AI157*AI163</f>
        <v>104861.64924144</v>
      </c>
      <c r="AJ165" s="69" t="n">
        <f aca="false">AJ157*AJ163</f>
        <v>104861.64924144</v>
      </c>
      <c r="AK165" s="69" t="n">
        <f aca="false">AK157*AK163</f>
        <v>104861.64924144</v>
      </c>
      <c r="AL165" s="69" t="n">
        <f aca="false">AL157*AL163</f>
        <v>84888.00176688</v>
      </c>
      <c r="AM165" s="69" t="n">
        <f aca="false">AM157*AM163</f>
        <v>89183.3346562842</v>
      </c>
      <c r="AN165" s="69" t="n">
        <f aca="false">AN157*AN163</f>
        <v>89183.3346562842</v>
      </c>
      <c r="AO165" s="69" t="n">
        <f aca="false">AO157*AO163</f>
        <v>110167.648693057</v>
      </c>
      <c r="AP165" s="69" t="n">
        <f aca="false">AP157*AP163</f>
        <v>110167.648693057</v>
      </c>
      <c r="AQ165" s="69" t="n">
        <f aca="false">AQ157*AQ163</f>
        <v>110167.648693057</v>
      </c>
      <c r="AR165" s="69" t="n">
        <f aca="false">AR157*AR163</f>
        <v>110167.648693057</v>
      </c>
      <c r="AS165" s="69" t="n">
        <f aca="false">AS157*AS163</f>
        <v>110167.648693057</v>
      </c>
      <c r="AT165" s="69" t="n">
        <f aca="false">AT157*AT163</f>
        <v>110167.648693057</v>
      </c>
      <c r="AU165" s="69" t="n">
        <f aca="false">AU157*AU163</f>
        <v>110167.648693057</v>
      </c>
      <c r="AV165" s="69" t="n">
        <f aca="false">AV157*AV163</f>
        <v>110167.648693057</v>
      </c>
      <c r="AW165" s="69" t="n">
        <f aca="false">AW157*AW163</f>
        <v>110167.648693057</v>
      </c>
      <c r="AX165" s="69" t="n">
        <f aca="false">AX157*AX163</f>
        <v>89183.3346562842</v>
      </c>
      <c r="AY165" s="69" t="n">
        <f aca="false">AY157*AY163</f>
        <v>93696.0113898921</v>
      </c>
      <c r="AZ165" s="69" t="n">
        <f aca="false">AZ157*AZ163</f>
        <v>93696.0113898921</v>
      </c>
      <c r="BA165" s="69" t="n">
        <f aca="false">BA157*BA163</f>
        <v>115742.131716926</v>
      </c>
      <c r="BB165" s="69" t="n">
        <f aca="false">BB157*BB163</f>
        <v>115742.131716926</v>
      </c>
      <c r="BC165" s="69" t="n">
        <f aca="false">BC157*BC163</f>
        <v>115742.131716926</v>
      </c>
      <c r="BD165" s="69" t="n">
        <f aca="false">BD157*BD163</f>
        <v>115742.131716926</v>
      </c>
      <c r="BE165" s="69" t="n">
        <f aca="false">BE157*BE163</f>
        <v>115742.131716926</v>
      </c>
      <c r="BF165" s="69" t="n">
        <f aca="false">BF157*BF163</f>
        <v>115742.131716926</v>
      </c>
      <c r="BG165" s="69" t="n">
        <f aca="false">BG157*BG163</f>
        <v>115742.131716926</v>
      </c>
      <c r="BH165" s="69" t="n">
        <f aca="false">BH157*BH163</f>
        <v>115742.131716926</v>
      </c>
      <c r="BI165" s="69" t="n">
        <f aca="false">BI157*BI163</f>
        <v>115742.131716926</v>
      </c>
      <c r="BJ165" s="69" t="n">
        <f aca="false">BJ157*BJ163</f>
        <v>93696.0113898921</v>
      </c>
    </row>
    <row r="166" customFormat="false" ht="15" hidden="false" customHeight="false" outlineLevel="0" collapsed="false">
      <c r="A166" s="6" t="s">
        <v>438</v>
      </c>
      <c r="C166" s="69" t="n">
        <f aca="false">C157*Inputs!$C$29*(1+Inputs!$C$31)^(C$136-1)</f>
        <v>3993.3</v>
      </c>
      <c r="D166" s="69" t="n">
        <f aca="false">D157*Inputs!$C$29*(1+Inputs!$C$31)^(D$136-1)</f>
        <v>4535.6</v>
      </c>
      <c r="E166" s="69" t="n">
        <f aca="false">E157*Inputs!$C$29*(1+Inputs!$C$31)^(E$136-1)</f>
        <v>6272.7</v>
      </c>
      <c r="F166" s="69" t="n">
        <f aca="false">F157*Inputs!$C$29*(1+Inputs!$C$31)^(F$136-1)</f>
        <v>6942.6</v>
      </c>
      <c r="G166" s="69" t="n">
        <f aca="false">G157*Inputs!$C$29*(1+Inputs!$C$31)^(G$136-1)</f>
        <v>7612.5</v>
      </c>
      <c r="H166" s="69" t="n">
        <f aca="false">H157*Inputs!$C$29*(1+Inputs!$C$31)^(H$136-1)</f>
        <v>8282.4</v>
      </c>
      <c r="I166" s="69" t="n">
        <f aca="false">I157*Inputs!$C$29*(1+Inputs!$C$31)^(I$136-1)</f>
        <v>8952.3</v>
      </c>
      <c r="J166" s="69" t="n">
        <f aca="false">J157*Inputs!$C$29*(1+Inputs!$C$31)^(J$136-1)</f>
        <v>9622.2</v>
      </c>
      <c r="K166" s="69" t="n">
        <f aca="false">K157*Inputs!$C$29*(1+Inputs!$C$31)^(K$136-1)</f>
        <v>10292.1</v>
      </c>
      <c r="L166" s="69" t="n">
        <f aca="false">L157*Inputs!$C$29*(1+Inputs!$C$31)^(L$136-1)</f>
        <v>10962</v>
      </c>
      <c r="M166" s="69" t="n">
        <f aca="false">M157*Inputs!$C$29*(1+Inputs!$C$31)^(M$136-1)</f>
        <v>10962</v>
      </c>
      <c r="N166" s="69" t="n">
        <f aca="false">N157*Inputs!$C$29*(1+Inputs!$C$31)^(N$136-1)</f>
        <v>8874</v>
      </c>
      <c r="O166" s="69" t="n">
        <f aca="false">O157*Inputs!$C$29*(1+Inputs!$C$31)^(O$136-1)</f>
        <v>9323.0244</v>
      </c>
      <c r="P166" s="69" t="n">
        <f aca="false">P157*Inputs!$C$29*(1+Inputs!$C$31)^(P$136-1)</f>
        <v>9323.0244</v>
      </c>
      <c r="Q166" s="69" t="n">
        <f aca="false">Q157*Inputs!$C$29*(1+Inputs!$C$31)^(Q$136-1)</f>
        <v>11516.6772</v>
      </c>
      <c r="R166" s="69" t="n">
        <f aca="false">R157*Inputs!$C$29*(1+Inputs!$C$31)^(R$136-1)</f>
        <v>11516.6772</v>
      </c>
      <c r="S166" s="69" t="n">
        <f aca="false">S157*Inputs!$C$29*(1+Inputs!$C$31)^(S$136-1)</f>
        <v>11516.6772</v>
      </c>
      <c r="T166" s="69" t="n">
        <f aca="false">T157*Inputs!$C$29*(1+Inputs!$C$31)^(T$136-1)</f>
        <v>11516.6772</v>
      </c>
      <c r="U166" s="69" t="n">
        <f aca="false">U157*Inputs!$C$29*(1+Inputs!$C$31)^(U$136-1)</f>
        <v>11516.6772</v>
      </c>
      <c r="V166" s="69" t="n">
        <f aca="false">V157*Inputs!$C$29*(1+Inputs!$C$31)^(V$136-1)</f>
        <v>11516.6772</v>
      </c>
      <c r="W166" s="69" t="n">
        <f aca="false">W157*Inputs!$C$29*(1+Inputs!$C$31)^(W$136-1)</f>
        <v>11516.6772</v>
      </c>
      <c r="X166" s="69" t="n">
        <f aca="false">X157*Inputs!$C$29*(1+Inputs!$C$31)^(X$136-1)</f>
        <v>11516.6772</v>
      </c>
      <c r="Y166" s="69" t="n">
        <f aca="false">Y157*Inputs!$C$29*(1+Inputs!$C$31)^(Y$136-1)</f>
        <v>11516.6772</v>
      </c>
      <c r="Z166" s="69" t="n">
        <f aca="false">Z157*Inputs!$C$29*(1+Inputs!$C$31)^(Z$136-1)</f>
        <v>9323.0244</v>
      </c>
      <c r="AA166" s="69" t="n">
        <f aca="false">AA157*Inputs!$C$29*(1+Inputs!$C$31)^(AA$136-1)</f>
        <v>9794.76943464</v>
      </c>
      <c r="AB166" s="69" t="n">
        <f aca="false">AB157*Inputs!$C$29*(1+Inputs!$C$31)^(AB$136-1)</f>
        <v>9794.76943464</v>
      </c>
      <c r="AC166" s="69" t="n">
        <f aca="false">AC157*Inputs!$C$29*(1+Inputs!$C$31)^(AC$136-1)</f>
        <v>12099.42106632</v>
      </c>
      <c r="AD166" s="69" t="n">
        <f aca="false">AD157*Inputs!$C$29*(1+Inputs!$C$31)^(AD$136-1)</f>
        <v>12099.42106632</v>
      </c>
      <c r="AE166" s="69" t="n">
        <f aca="false">AE157*Inputs!$C$29*(1+Inputs!$C$31)^(AE$136-1)</f>
        <v>12099.42106632</v>
      </c>
      <c r="AF166" s="69" t="n">
        <f aca="false">AF157*Inputs!$C$29*(1+Inputs!$C$31)^(AF$136-1)</f>
        <v>12099.42106632</v>
      </c>
      <c r="AG166" s="69" t="n">
        <f aca="false">AG157*Inputs!$C$29*(1+Inputs!$C$31)^(AG$136-1)</f>
        <v>12099.42106632</v>
      </c>
      <c r="AH166" s="69" t="n">
        <f aca="false">AH157*Inputs!$C$29*(1+Inputs!$C$31)^(AH$136-1)</f>
        <v>12099.42106632</v>
      </c>
      <c r="AI166" s="69" t="n">
        <f aca="false">AI157*Inputs!$C$29*(1+Inputs!$C$31)^(AI$136-1)</f>
        <v>12099.42106632</v>
      </c>
      <c r="AJ166" s="69" t="n">
        <f aca="false">AJ157*Inputs!$C$29*(1+Inputs!$C$31)^(AJ$136-1)</f>
        <v>12099.42106632</v>
      </c>
      <c r="AK166" s="69" t="n">
        <f aca="false">AK157*Inputs!$C$29*(1+Inputs!$C$31)^(AK$136-1)</f>
        <v>12099.42106632</v>
      </c>
      <c r="AL166" s="69" t="n">
        <f aca="false">AL157*Inputs!$C$29*(1+Inputs!$C$31)^(AL$136-1)</f>
        <v>9794.76943464</v>
      </c>
      <c r="AM166" s="69" t="n">
        <f aca="false">AM157*Inputs!$C$29*(1+Inputs!$C$31)^(AM$136-1)</f>
        <v>10290.3847680328</v>
      </c>
      <c r="AN166" s="69" t="n">
        <f aca="false">AN157*Inputs!$C$29*(1+Inputs!$C$31)^(AN$136-1)</f>
        <v>10290.3847680328</v>
      </c>
      <c r="AO166" s="69" t="n">
        <f aca="false">AO157*Inputs!$C$29*(1+Inputs!$C$31)^(AO$136-1)</f>
        <v>12711.6517722758</v>
      </c>
      <c r="AP166" s="69" t="n">
        <f aca="false">AP157*Inputs!$C$29*(1+Inputs!$C$31)^(AP$136-1)</f>
        <v>12711.6517722758</v>
      </c>
      <c r="AQ166" s="69" t="n">
        <f aca="false">AQ157*Inputs!$C$29*(1+Inputs!$C$31)^(AQ$136-1)</f>
        <v>12711.6517722758</v>
      </c>
      <c r="AR166" s="69" t="n">
        <f aca="false">AR157*Inputs!$C$29*(1+Inputs!$C$31)^(AR$136-1)</f>
        <v>12711.6517722758</v>
      </c>
      <c r="AS166" s="69" t="n">
        <f aca="false">AS157*Inputs!$C$29*(1+Inputs!$C$31)^(AS$136-1)</f>
        <v>12711.6517722758</v>
      </c>
      <c r="AT166" s="69" t="n">
        <f aca="false">AT157*Inputs!$C$29*(1+Inputs!$C$31)^(AT$136-1)</f>
        <v>12711.6517722758</v>
      </c>
      <c r="AU166" s="69" t="n">
        <f aca="false">AU157*Inputs!$C$29*(1+Inputs!$C$31)^(AU$136-1)</f>
        <v>12711.6517722758</v>
      </c>
      <c r="AV166" s="69" t="n">
        <f aca="false">AV157*Inputs!$C$29*(1+Inputs!$C$31)^(AV$136-1)</f>
        <v>12711.6517722758</v>
      </c>
      <c r="AW166" s="69" t="n">
        <f aca="false">AW157*Inputs!$C$29*(1+Inputs!$C$31)^(AW$136-1)</f>
        <v>12711.6517722758</v>
      </c>
      <c r="AX166" s="69" t="n">
        <f aca="false">AX157*Inputs!$C$29*(1+Inputs!$C$31)^(AX$136-1)</f>
        <v>10290.3847680328</v>
      </c>
      <c r="AY166" s="69" t="n">
        <f aca="false">AY157*Inputs!$C$29*(1+Inputs!$C$31)^(AY$136-1)</f>
        <v>10811.0782372952</v>
      </c>
      <c r="AZ166" s="69" t="n">
        <f aca="false">AZ157*Inputs!$C$29*(1+Inputs!$C$31)^(AZ$136-1)</f>
        <v>10811.0782372952</v>
      </c>
      <c r="BA166" s="69" t="n">
        <f aca="false">BA157*Inputs!$C$29*(1+Inputs!$C$31)^(BA$136-1)</f>
        <v>13354.861351953</v>
      </c>
      <c r="BB166" s="69" t="n">
        <f aca="false">BB157*Inputs!$C$29*(1+Inputs!$C$31)^(BB$136-1)</f>
        <v>13354.861351953</v>
      </c>
      <c r="BC166" s="69" t="n">
        <f aca="false">BC157*Inputs!$C$29*(1+Inputs!$C$31)^(BC$136-1)</f>
        <v>13354.861351953</v>
      </c>
      <c r="BD166" s="69" t="n">
        <f aca="false">BD157*Inputs!$C$29*(1+Inputs!$C$31)^(BD$136-1)</f>
        <v>13354.861351953</v>
      </c>
      <c r="BE166" s="69" t="n">
        <f aca="false">BE157*Inputs!$C$29*(1+Inputs!$C$31)^(BE$136-1)</f>
        <v>13354.861351953</v>
      </c>
      <c r="BF166" s="69" t="n">
        <f aca="false">BF157*Inputs!$C$29*(1+Inputs!$C$31)^(BF$136-1)</f>
        <v>13354.861351953</v>
      </c>
      <c r="BG166" s="69" t="n">
        <f aca="false">BG157*Inputs!$C$29*(1+Inputs!$C$31)^(BG$136-1)</f>
        <v>13354.861351953</v>
      </c>
      <c r="BH166" s="69" t="n">
        <f aca="false">BH157*Inputs!$C$29*(1+Inputs!$C$31)^(BH$136-1)</f>
        <v>13354.861351953</v>
      </c>
      <c r="BI166" s="69" t="n">
        <f aca="false">BI157*Inputs!$C$29*(1+Inputs!$C$31)^(BI$136-1)</f>
        <v>13354.861351953</v>
      </c>
      <c r="BJ166" s="69" t="n">
        <f aca="false">BJ157*Inputs!$C$29*(1+Inputs!$C$31)^(BJ$136-1)</f>
        <v>10811.0782372952</v>
      </c>
    </row>
    <row r="167" customFormat="false" ht="15" hidden="false" customHeight="false" outlineLevel="0" collapsed="false">
      <c r="A167" s="6" t="s">
        <v>243</v>
      </c>
      <c r="C167" s="69" t="n">
        <f aca="false">C151*C164*1</f>
        <v>9341.458</v>
      </c>
      <c r="D167" s="69" t="n">
        <f aca="false">D151*D164*1</f>
        <v>10604.8025688889</v>
      </c>
      <c r="E167" s="69" t="n">
        <f aca="false">E151*E164*1</f>
        <v>12137.3017994667</v>
      </c>
      <c r="F167" s="69" t="n">
        <f aca="false">F151*F164*1</f>
        <v>13940.0988385991</v>
      </c>
      <c r="G167" s="69" t="n">
        <f aca="false">G151*G164*1</f>
        <v>15902.7764406107</v>
      </c>
      <c r="H167" s="69" t="n">
        <f aca="false">H151*H164*1</f>
        <v>18018.9393829863</v>
      </c>
      <c r="I167" s="69" t="n">
        <f aca="false">I151*I164*1</f>
        <v>20282.4482521113</v>
      </c>
      <c r="J167" s="69" t="n">
        <f aca="false">J151*J164*1</f>
        <v>22687.4092109157</v>
      </c>
      <c r="K167" s="69" t="n">
        <f aca="false">K151*K164*1</f>
        <v>25228.1641758124</v>
      </c>
      <c r="L167" s="69" t="n">
        <f aca="false">L151*L164*1</f>
        <v>27899.2813865577</v>
      </c>
      <c r="M167" s="69" t="n">
        <f aca="false">M151*M164*1</f>
        <v>30579.5501310954</v>
      </c>
      <c r="N167" s="69" t="n">
        <f aca="false">N151*N164*1</f>
        <v>32957.7281258516</v>
      </c>
      <c r="O167" s="69" t="n">
        <f aca="false">O151*O164*1</f>
        <v>35816.7861248339</v>
      </c>
      <c r="P167" s="69" t="n">
        <f aca="false">P151*P164*1</f>
        <v>37998.6625678405</v>
      </c>
      <c r="Q167" s="69" t="n">
        <f aca="false">Q151*Q164*1</f>
        <v>40298.0048811269</v>
      </c>
      <c r="R167" s="69" t="n">
        <f aca="false">R151*R164*1</f>
        <v>42710.1144298818</v>
      </c>
      <c r="S167" s="69" t="n">
        <f aca="false">S151*S164*1</f>
        <v>45025.7395966865</v>
      </c>
      <c r="T167" s="69" t="n">
        <f aca="false">T151*T164*1</f>
        <v>47248.7397568191</v>
      </c>
      <c r="U167" s="69" t="n">
        <f aca="false">U151*U164*1</f>
        <v>49382.8199105463</v>
      </c>
      <c r="V167" s="69" t="n">
        <f aca="false">V151*V164*1</f>
        <v>51431.5368581245</v>
      </c>
      <c r="W167" s="69" t="n">
        <f aca="false">W151*W164*1</f>
        <v>53398.3051277995</v>
      </c>
      <c r="X167" s="69" t="n">
        <f aca="false">X151*X164*1</f>
        <v>55286.4026666875</v>
      </c>
      <c r="Y167" s="69" t="n">
        <f aca="false">Y151*Y164*1</f>
        <v>57098.97630402</v>
      </c>
      <c r="Z167" s="69" t="n">
        <f aca="false">Z151*Z164*1</f>
        <v>58634.3060678592</v>
      </c>
      <c r="AA167" s="69" t="n">
        <f aca="false">AA151*AA164*1</f>
        <v>61175.9712800941</v>
      </c>
      <c r="AB167" s="69" t="n">
        <f aca="false">AB151*AB164*1</f>
        <v>62564.6111400232</v>
      </c>
      <c r="AC167" s="69" t="n">
        <f aca="false">AC151*AC164*1</f>
        <v>64112.8062245118</v>
      </c>
      <c r="AD167" s="69" t="n">
        <f aca="false">AD151*AD164*1</f>
        <v>65814.1743245778</v>
      </c>
      <c r="AE167" s="69" t="n">
        <f aca="false">AE151*AE164*1</f>
        <v>67447.487700641</v>
      </c>
      <c r="AF167" s="69" t="n">
        <f aca="false">AF151*AF164*1</f>
        <v>69015.4685416618</v>
      </c>
      <c r="AG167" s="69" t="n">
        <f aca="false">AG151*AG164*1</f>
        <v>70520.7301490417</v>
      </c>
      <c r="AH167" s="69" t="n">
        <f aca="false">AH151*AH164*1</f>
        <v>71965.7812921265</v>
      </c>
      <c r="AI167" s="69" t="n">
        <f aca="false">AI151*AI164*1</f>
        <v>73353.0303894878</v>
      </c>
      <c r="AJ167" s="69" t="n">
        <f aca="false">AJ151*AJ164*1</f>
        <v>74684.7895229547</v>
      </c>
      <c r="AK167" s="69" t="n">
        <f aca="false">AK151*AK164*1</f>
        <v>75963.2782910829</v>
      </c>
      <c r="AL167" s="69" t="n">
        <f aca="false">AL151*AL164*1</f>
        <v>76975.5266895292</v>
      </c>
      <c r="AM167" s="69" t="n">
        <f aca="false">AM151*AM164*1</f>
        <v>79365.9885858728</v>
      </c>
      <c r="AN167" s="69" t="n">
        <f aca="false">AN151*AN164*1</f>
        <v>80262.062460054</v>
      </c>
      <c r="AO167" s="69" t="n">
        <f aca="false">AO151*AO164*1</f>
        <v>81348.278299664</v>
      </c>
      <c r="AP167" s="69" t="n">
        <f aca="false">AP151*AP164*1</f>
        <v>82617.0304260856</v>
      </c>
      <c r="AQ167" s="69" t="n">
        <f aca="false">AQ151*AQ164*1</f>
        <v>83835.0324674503</v>
      </c>
      <c r="AR167" s="69" t="n">
        <f aca="false">AR151*AR164*1</f>
        <v>85004.3144271604</v>
      </c>
      <c r="AS167" s="69" t="n">
        <f aca="false">AS151*AS164*1</f>
        <v>86126.8251084821</v>
      </c>
      <c r="AT167" s="69" t="n">
        <f aca="false">AT151*AT164*1</f>
        <v>87204.435362551</v>
      </c>
      <c r="AU167" s="69" t="n">
        <f aca="false">AU151*AU164*1</f>
        <v>88238.9412064571</v>
      </c>
      <c r="AV167" s="69" t="n">
        <f aca="false">AV151*AV164*1</f>
        <v>89232.0668166069</v>
      </c>
      <c r="AW167" s="69" t="n">
        <f aca="false">AW151*AW164*1</f>
        <v>90185.4674023508</v>
      </c>
      <c r="AX167" s="69" t="n">
        <f aca="false">AX151*AX164*1</f>
        <v>90874.7470442689</v>
      </c>
      <c r="AY167" s="69" t="n">
        <f aca="false">AY151*AY164*1</f>
        <v>93220.8902912674</v>
      </c>
      <c r="AZ167" s="69" t="n">
        <f aca="false">AZ151*AZ164*1</f>
        <v>93812.6029646869</v>
      </c>
      <c r="BA167" s="69" t="n">
        <f aca="false">BA151*BA164*1</f>
        <v>94618.0668885377</v>
      </c>
      <c r="BB167" s="69" t="n">
        <f aca="false">BB151*BB164*1</f>
        <v>95628.7320128024</v>
      </c>
      <c r="BC167" s="69" t="n">
        <f aca="false">BC151*BC164*1</f>
        <v>96598.9705320967</v>
      </c>
      <c r="BD167" s="69" t="n">
        <f aca="false">BD151*BD164*1</f>
        <v>97530.3995106191</v>
      </c>
      <c r="BE167" s="69" t="n">
        <f aca="false">BE151*BE164*1</f>
        <v>98424.5713300006</v>
      </c>
      <c r="BF167" s="69" t="n">
        <f aca="false">BF151*BF164*1</f>
        <v>99282.9762766069</v>
      </c>
      <c r="BG167" s="69" t="n">
        <f aca="false">BG151*BG164*1</f>
        <v>100107.045025349</v>
      </c>
      <c r="BH167" s="69" t="n">
        <f aca="false">BH151*BH164*1</f>
        <v>100898.151024141</v>
      </c>
      <c r="BI167" s="69" t="n">
        <f aca="false">BI151*BI164*1</f>
        <v>101657.612782982</v>
      </c>
      <c r="BJ167" s="69" t="n">
        <f aca="false">BJ151*BJ164*1</f>
        <v>102149.276314101</v>
      </c>
    </row>
    <row r="168" customFormat="false" ht="15" hidden="false" customHeight="false" outlineLevel="0" collapsed="false">
      <c r="A168" s="113" t="s">
        <v>44</v>
      </c>
      <c r="C168" s="70" t="n">
        <f aca="false">C165+C166+C167</f>
        <v>47943.358</v>
      </c>
      <c r="D168" s="70" t="n">
        <f aca="false">D165+D166+D167</f>
        <v>54448.9359022222</v>
      </c>
      <c r="E168" s="70" t="n">
        <f aca="false">E165+E166+E167</f>
        <v>72773.4017994667</v>
      </c>
      <c r="F168" s="70" t="n">
        <f aca="false">F165+F166+F167</f>
        <v>81051.8988385991</v>
      </c>
      <c r="G168" s="70" t="n">
        <f aca="false">G165+G166+G167</f>
        <v>89490.2764406107</v>
      </c>
      <c r="H168" s="70" t="n">
        <f aca="false">H165+H166+H167</f>
        <v>98082.1393829863</v>
      </c>
      <c r="I168" s="70" t="n">
        <f aca="false">I165+I166+I167</f>
        <v>106821.348252111</v>
      </c>
      <c r="J168" s="70" t="n">
        <f aca="false">J165+J166+J167</f>
        <v>115702.009210916</v>
      </c>
      <c r="K168" s="70" t="n">
        <f aca="false">K165+K166+K167</f>
        <v>124718.464175812</v>
      </c>
      <c r="L168" s="70" t="n">
        <f aca="false">L165+L166+L167</f>
        <v>133865.281386558</v>
      </c>
      <c r="M168" s="70" t="n">
        <f aca="false">M165+M166+M167</f>
        <v>136545.550131095</v>
      </c>
      <c r="N168" s="70" t="n">
        <f aca="false">N165+N166+N167</f>
        <v>118739.728125852</v>
      </c>
      <c r="O168" s="70" t="n">
        <f aca="false">O165+O166+O167</f>
        <v>125939.355324834</v>
      </c>
      <c r="P168" s="70" t="n">
        <f aca="false">P165+P166+P167</f>
        <v>128121.23176784</v>
      </c>
      <c r="Q168" s="70" t="n">
        <f aca="false">Q165+Q166+Q167</f>
        <v>151625.884481127</v>
      </c>
      <c r="R168" s="70" t="n">
        <f aca="false">R165+R166+R167</f>
        <v>154037.994029882</v>
      </c>
      <c r="S168" s="70" t="n">
        <f aca="false">S165+S166+S167</f>
        <v>156353.619196687</v>
      </c>
      <c r="T168" s="70" t="n">
        <f aca="false">T165+T166+T167</f>
        <v>158576.619356819</v>
      </c>
      <c r="U168" s="70" t="n">
        <f aca="false">U165+U166+U167</f>
        <v>160710.699510546</v>
      </c>
      <c r="V168" s="70" t="n">
        <f aca="false">V165+V166+V167</f>
        <v>162759.416458124</v>
      </c>
      <c r="W168" s="70" t="n">
        <f aca="false">W165+W166+W167</f>
        <v>164726.1847278</v>
      </c>
      <c r="X168" s="70" t="n">
        <f aca="false">X165+X166+X167</f>
        <v>166614.282266688</v>
      </c>
      <c r="Y168" s="70" t="n">
        <f aca="false">Y165+Y166+Y167</f>
        <v>168426.85590402</v>
      </c>
      <c r="Z168" s="70" t="n">
        <f aca="false">Z165+Z166+Z167</f>
        <v>148756.875267859</v>
      </c>
      <c r="AA168" s="70" t="n">
        <f aca="false">AA165+AA166+AA167</f>
        <v>155858.742481614</v>
      </c>
      <c r="AB168" s="70" t="n">
        <f aca="false">AB165+AB166+AB167</f>
        <v>157247.382341543</v>
      </c>
      <c r="AC168" s="70" t="n">
        <f aca="false">AC165+AC166+AC167</f>
        <v>181073.876532272</v>
      </c>
      <c r="AD168" s="70" t="n">
        <f aca="false">AD165+AD166+AD167</f>
        <v>182775.244632338</v>
      </c>
      <c r="AE168" s="70" t="n">
        <f aca="false">AE165+AE166+AE167</f>
        <v>184408.558008401</v>
      </c>
      <c r="AF168" s="70" t="n">
        <f aca="false">AF165+AF166+AF167</f>
        <v>185976.538849422</v>
      </c>
      <c r="AG168" s="70" t="n">
        <f aca="false">AG165+AG166+AG167</f>
        <v>187481.800456802</v>
      </c>
      <c r="AH168" s="70" t="n">
        <f aca="false">AH165+AH166+AH167</f>
        <v>188926.851599886</v>
      </c>
      <c r="AI168" s="70" t="n">
        <f aca="false">AI165+AI166+AI167</f>
        <v>190314.100697248</v>
      </c>
      <c r="AJ168" s="70" t="n">
        <f aca="false">AJ165+AJ166+AJ167</f>
        <v>191645.859830715</v>
      </c>
      <c r="AK168" s="70" t="n">
        <f aca="false">AK165+AK166+AK167</f>
        <v>192924.348598843</v>
      </c>
      <c r="AL168" s="70" t="n">
        <f aca="false">AL165+AL166+AL167</f>
        <v>171658.297891049</v>
      </c>
      <c r="AM168" s="70" t="n">
        <f aca="false">AM165+AM166+AM167</f>
        <v>178839.70801019</v>
      </c>
      <c r="AN168" s="70" t="n">
        <f aca="false">AN165+AN166+AN167</f>
        <v>179735.781884371</v>
      </c>
      <c r="AO168" s="70" t="n">
        <f aca="false">AO165+AO166+AO167</f>
        <v>204227.578764997</v>
      </c>
      <c r="AP168" s="70" t="n">
        <f aca="false">AP165+AP166+AP167</f>
        <v>205496.330891418</v>
      </c>
      <c r="AQ168" s="70" t="n">
        <f aca="false">AQ165+AQ166+AQ167</f>
        <v>206714.332932783</v>
      </c>
      <c r="AR168" s="70" t="n">
        <f aca="false">AR165+AR166+AR167</f>
        <v>207883.614892493</v>
      </c>
      <c r="AS168" s="70" t="n">
        <f aca="false">AS165+AS166+AS167</f>
        <v>209006.125573815</v>
      </c>
      <c r="AT168" s="70" t="n">
        <f aca="false">AT165+AT166+AT167</f>
        <v>210083.735827884</v>
      </c>
      <c r="AU168" s="70" t="n">
        <f aca="false">AU165+AU166+AU167</f>
        <v>211118.24167179</v>
      </c>
      <c r="AV168" s="70" t="n">
        <f aca="false">AV165+AV166+AV167</f>
        <v>212111.36728194</v>
      </c>
      <c r="AW168" s="70" t="n">
        <f aca="false">AW165+AW166+AW167</f>
        <v>213064.767867684</v>
      </c>
      <c r="AX168" s="70" t="n">
        <f aca="false">AX165+AX166+AX167</f>
        <v>190348.466468586</v>
      </c>
      <c r="AY168" s="70" t="n">
        <f aca="false">AY165+AY166+AY167</f>
        <v>197727.979918455</v>
      </c>
      <c r="AZ168" s="70" t="n">
        <f aca="false">AZ165+AZ166+AZ167</f>
        <v>198319.692591874</v>
      </c>
      <c r="BA168" s="70" t="n">
        <f aca="false">BA165+BA166+BA167</f>
        <v>223715.059957416</v>
      </c>
      <c r="BB168" s="70" t="n">
        <f aca="false">BB165+BB166+BB167</f>
        <v>224725.725081681</v>
      </c>
      <c r="BC168" s="70" t="n">
        <f aca="false">BC165+BC166+BC167</f>
        <v>225695.963600975</v>
      </c>
      <c r="BD168" s="70" t="n">
        <f aca="false">BD165+BD166+BD167</f>
        <v>226627.392579498</v>
      </c>
      <c r="BE168" s="70" t="n">
        <f aca="false">BE165+BE166+BE167</f>
        <v>227521.564398879</v>
      </c>
      <c r="BF168" s="70" t="n">
        <f aca="false">BF165+BF166+BF167</f>
        <v>228379.969345485</v>
      </c>
      <c r="BG168" s="70" t="n">
        <f aca="false">BG165+BG166+BG167</f>
        <v>229204.038094227</v>
      </c>
      <c r="BH168" s="70" t="n">
        <f aca="false">BH165+BH166+BH167</f>
        <v>229995.14409302</v>
      </c>
      <c r="BI168" s="70" t="n">
        <f aca="false">BI165+BI166+BI167</f>
        <v>230754.60585186</v>
      </c>
      <c r="BJ168" s="70" t="n">
        <f aca="false">BJ165+BJ166+BJ167</f>
        <v>206656.365941288</v>
      </c>
    </row>
    <row r="170" customFormat="false" ht="15.75" hidden="false" customHeight="true" outlineLevel="0" collapsed="false">
      <c r="A170" s="7" t="s">
        <v>76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customFormat="false" ht="15" hidden="false" customHeight="false" outlineLevel="0" collapsed="false">
      <c r="A171" s="6" t="s">
        <v>439</v>
      </c>
      <c r="C171" s="69" t="n">
        <f aca="false">-C159*Inputs!$C$34*(1+Inputs!$C$39)^(C$136-1)</f>
        <v>-2937.7903405</v>
      </c>
      <c r="D171" s="69" t="n">
        <f aca="false">-D159*Inputs!$C$34*(1+Inputs!$C$39)^(D$136-1)</f>
        <v>-3336.37031893556</v>
      </c>
      <c r="E171" s="69" t="n">
        <f aca="false">-E159*Inputs!$C$34*(1+Inputs!$C$39)^(E$136-1)</f>
        <v>-4637.7841856024</v>
      </c>
      <c r="F171" s="69" t="n">
        <f aca="false">-F159*Inputs!$C$34*(1+Inputs!$C$39)^(F$136-1)</f>
        <v>-5178.29382134497</v>
      </c>
      <c r="G171" s="69" t="n">
        <f aca="false">-G159*Inputs!$C$34*(1+Inputs!$C$39)^(G$136-1)</f>
        <v>-5733.07279732451</v>
      </c>
      <c r="H171" s="69" t="n">
        <f aca="false">-H159*Inputs!$C$34*(1+Inputs!$C$39)^(H$136-1)</f>
        <v>-6301.55033993153</v>
      </c>
      <c r="I171" s="69" t="n">
        <f aca="false">-I159*Inputs!$C$34*(1+Inputs!$C$39)^(I$136-1)</f>
        <v>-6883.17850650093</v>
      </c>
      <c r="J171" s="69" t="n">
        <f aca="false">-J159*Inputs!$C$34*(1+Inputs!$C$39)^(J$136-1)</f>
        <v>-7477.43127207423</v>
      </c>
      <c r="K171" s="69" t="n">
        <f aca="false">-K159*Inputs!$C$34*(1+Inputs!$C$39)^(K$136-1)</f>
        <v>-8083.80365269126</v>
      </c>
      <c r="L171" s="69" t="n">
        <f aca="false">-L159*Inputs!$C$34*(1+Inputs!$C$39)^(L$136-1)</f>
        <v>-8701.81086375027</v>
      </c>
      <c r="M171" s="69" t="n">
        <f aca="false">-M159*Inputs!$C$34*(1+Inputs!$C$39)^(M$136-1)</f>
        <v>-8941.02484920026</v>
      </c>
      <c r="N171" s="69" t="n">
        <f aca="false">-N159*Inputs!$C$34*(1+Inputs!$C$39)^(N$136-1)</f>
        <v>-7409.79585709278</v>
      </c>
      <c r="O171" s="69" t="n">
        <f aca="false">-O159*Inputs!$C$34*(1+Inputs!$C$39)^(O$136-1)</f>
        <v>-7947.97476102434</v>
      </c>
      <c r="P171" s="69" t="n">
        <f aca="false">-P159*Inputs!$C$34*(1+Inputs!$C$39)^(P$136-1)</f>
        <v>-8107.16082984536</v>
      </c>
      <c r="Q171" s="69" t="n">
        <f aca="false">-Q159*Inputs!$C$34*(1+Inputs!$C$39)^(Q$136-1)</f>
        <v>-10221.9563099116</v>
      </c>
      <c r="R171" s="69" t="n">
        <f aca="false">-R159*Inputs!$C$34*(1+Inputs!$C$39)^(R$136-1)</f>
        <v>-10439.3476829931</v>
      </c>
      <c r="S171" s="69" t="n">
        <f aca="false">-S159*Inputs!$C$34*(1+Inputs!$C$39)^(S$136-1)</f>
        <v>-10648.0434011514</v>
      </c>
      <c r="T171" s="69" t="n">
        <f aca="false">-T159*Inputs!$C$34*(1+Inputs!$C$39)^(T$136-1)</f>
        <v>-10848.3912905833</v>
      </c>
      <c r="U171" s="69" t="n">
        <f aca="false">-U159*Inputs!$C$34*(1+Inputs!$C$39)^(U$136-1)</f>
        <v>-11040.725264438</v>
      </c>
      <c r="V171" s="69" t="n">
        <f aca="false">-V159*Inputs!$C$34*(1+Inputs!$C$39)^(V$136-1)</f>
        <v>-11225.3658793385</v>
      </c>
      <c r="W171" s="69" t="n">
        <f aca="false">-W159*Inputs!$C$34*(1+Inputs!$C$39)^(W$136-1)</f>
        <v>-11402.6208696429</v>
      </c>
      <c r="X171" s="69" t="n">
        <f aca="false">-X159*Inputs!$C$34*(1+Inputs!$C$39)^(X$136-1)</f>
        <v>-11572.7856603352</v>
      </c>
      <c r="Y171" s="69" t="n">
        <f aca="false">-Y159*Inputs!$C$34*(1+Inputs!$C$39)^(Y$136-1)</f>
        <v>-11736.1438593998</v>
      </c>
      <c r="Z171" s="69" t="n">
        <f aca="false">-Z159*Inputs!$C$34*(1+Inputs!$C$39)^(Z$136-1)</f>
        <v>-9612.70298686756</v>
      </c>
      <c r="AA171" s="69" t="n">
        <f aca="false">-AA159*Inputs!$C$34*(1+Inputs!$C$39)^(AA$136-1)</f>
        <v>-10166.7883194002</v>
      </c>
      <c r="AB171" s="69" t="n">
        <f aca="false">-AB159*Inputs!$C$34*(1+Inputs!$C$39)^(AB$136-1)</f>
        <v>-10269.094432414</v>
      </c>
      <c r="AC171" s="69" t="n">
        <f aca="false">-AC159*Inputs!$C$34*(1+Inputs!$C$39)^(AC$136-1)</f>
        <v>-12826.2509796969</v>
      </c>
      <c r="AD171" s="69" t="n">
        <f aca="false">-AD159*Inputs!$C$34*(1+Inputs!$C$39)^(AD$136-1)</f>
        <v>-12981.0900718724</v>
      </c>
      <c r="AE171" s="69" t="n">
        <f aca="false">-AE159*Inputs!$C$34*(1+Inputs!$C$39)^(AE$136-1)</f>
        <v>-13129.7356003608</v>
      </c>
      <c r="AF171" s="69" t="n">
        <f aca="false">-AF159*Inputs!$C$34*(1+Inputs!$C$39)^(AF$136-1)</f>
        <v>-13272.4353077098</v>
      </c>
      <c r="AG171" s="69" t="n">
        <f aca="false">-AG159*Inputs!$C$34*(1+Inputs!$C$39)^(AG$136-1)</f>
        <v>-13409.4270267647</v>
      </c>
      <c r="AH171" s="69" t="n">
        <f aca="false">-AH159*Inputs!$C$34*(1+Inputs!$C$39)^(AH$136-1)</f>
        <v>-13540.9390770575</v>
      </c>
      <c r="AI171" s="69" t="n">
        <f aca="false">-AI159*Inputs!$C$34*(1+Inputs!$C$39)^(AI$136-1)</f>
        <v>-13667.1906453386</v>
      </c>
      <c r="AJ171" s="69" t="n">
        <f aca="false">-AJ159*Inputs!$C$34*(1+Inputs!$C$39)^(AJ$136-1)</f>
        <v>-13788.3921508884</v>
      </c>
      <c r="AK171" s="69" t="n">
        <f aca="false">-AK159*Inputs!$C$34*(1+Inputs!$C$39)^(AK$136-1)</f>
        <v>-13904.7455962162</v>
      </c>
      <c r="AL171" s="69" t="n">
        <f aca="false">-AL159*Inputs!$C$34*(1+Inputs!$C$39)^(AL$136-1)</f>
        <v>-11330.7986203633</v>
      </c>
      <c r="AM171" s="69" t="n">
        <f aca="false">-AM159*Inputs!$C$34*(1+Inputs!$C$39)^(AM$136-1)</f>
        <v>-11908.9156409534</v>
      </c>
      <c r="AN171" s="69" t="n">
        <f aca="false">-AN159*Inputs!$C$34*(1+Inputs!$C$39)^(AN$136-1)</f>
        <v>-11975.5798645585</v>
      </c>
      <c r="AO171" s="69" t="n">
        <f aca="false">-AO159*Inputs!$C$34*(1+Inputs!$C$39)^(AO$136-1)</f>
        <v>-14893.1874878032</v>
      </c>
      <c r="AP171" s="69" t="n">
        <f aca="false">-AP159*Inputs!$C$34*(1+Inputs!$C$39)^(AP$136-1)</f>
        <v>-15009.7868478323</v>
      </c>
      <c r="AQ171" s="69" t="n">
        <f aca="false">-AQ159*Inputs!$C$34*(1+Inputs!$C$39)^(AQ$136-1)</f>
        <v>-15121.7222334601</v>
      </c>
      <c r="AR171" s="69" t="n">
        <f aca="false">-AR159*Inputs!$C$34*(1+Inputs!$C$39)^(AR$136-1)</f>
        <v>-15229.1802036629</v>
      </c>
      <c r="AS171" s="69" t="n">
        <f aca="false">-AS159*Inputs!$C$34*(1+Inputs!$C$39)^(AS$136-1)</f>
        <v>-15332.3398550576</v>
      </c>
      <c r="AT171" s="69" t="n">
        <f aca="false">-AT159*Inputs!$C$34*(1+Inputs!$C$39)^(AT$136-1)</f>
        <v>-15431.3731203965</v>
      </c>
      <c r="AU171" s="69" t="n">
        <f aca="false">-AU159*Inputs!$C$34*(1+Inputs!$C$39)^(AU$136-1)</f>
        <v>-15526.4450551218</v>
      </c>
      <c r="AV171" s="69" t="n">
        <f aca="false">-AV159*Inputs!$C$34*(1+Inputs!$C$39)^(AV$136-1)</f>
        <v>-15617.7141124581</v>
      </c>
      <c r="AW171" s="69" t="n">
        <f aca="false">-AW159*Inputs!$C$34*(1+Inputs!$C$39)^(AW$136-1)</f>
        <v>-15705.3324075009</v>
      </c>
      <c r="AX171" s="69" t="n">
        <f aca="false">-AX159*Inputs!$C$34*(1+Inputs!$C$39)^(AX$136-1)</f>
        <v>-12765.1201006462</v>
      </c>
      <c r="AY171" s="69" t="n">
        <f aca="false">-AY159*Inputs!$C$34*(1+Inputs!$C$39)^(AY$136-1)</f>
        <v>-13373.3248635728</v>
      </c>
      <c r="AZ171" s="69" t="n">
        <f aca="false">-AZ159*Inputs!$C$34*(1+Inputs!$C$39)^(AZ$136-1)</f>
        <v>-13417.7774397002</v>
      </c>
      <c r="BA171" s="69" t="n">
        <f aca="false">-BA159*Inputs!$C$34*(1+Inputs!$C$39)^(BA$136-1)</f>
        <v>-16649.6500514277</v>
      </c>
      <c r="BB171" s="69" t="n">
        <f aca="false">-BB159*Inputs!$C$34*(1+Inputs!$C$39)^(BB$136-1)</f>
        <v>-16743.441602062</v>
      </c>
      <c r="BC171" s="69" t="n">
        <f aca="false">-BC159*Inputs!$C$34*(1+Inputs!$C$39)^(BC$136-1)</f>
        <v>-16833.4814906709</v>
      </c>
      <c r="BD171" s="69" t="n">
        <f aca="false">-BD159*Inputs!$C$34*(1+Inputs!$C$39)^(BD$136-1)</f>
        <v>-16919.9197837354</v>
      </c>
      <c r="BE171" s="69" t="n">
        <f aca="false">-BE159*Inputs!$C$34*(1+Inputs!$C$39)^(BE$136-1)</f>
        <v>-17002.9005450774</v>
      </c>
      <c r="BF171" s="69" t="n">
        <f aca="false">-BF159*Inputs!$C$34*(1+Inputs!$C$39)^(BF$136-1)</f>
        <v>-17082.5620759656</v>
      </c>
      <c r="BG171" s="69" t="n">
        <f aca="false">-BG159*Inputs!$C$34*(1+Inputs!$C$39)^(BG$136-1)</f>
        <v>-17159.0371456184</v>
      </c>
      <c r="BH171" s="69" t="n">
        <f aca="false">-BH159*Inputs!$C$34*(1+Inputs!$C$39)^(BH$136-1)</f>
        <v>-17232.453212485</v>
      </c>
      <c r="BI171" s="69" t="n">
        <f aca="false">-BI159*Inputs!$C$34*(1+Inputs!$C$39)^(BI$136-1)</f>
        <v>-17302.932636677</v>
      </c>
      <c r="BJ171" s="69" t="n">
        <f aca="false">-BJ159*Inputs!$C$34*(1+Inputs!$C$39)^(BJ$136-1)</f>
        <v>-14044.0723009754</v>
      </c>
    </row>
    <row r="172" customFormat="false" ht="15" hidden="false" customHeight="false" outlineLevel="0" collapsed="false">
      <c r="A172" s="6" t="s">
        <v>440</v>
      </c>
      <c r="C172" s="69" t="n">
        <f aca="false">-C159*Inputs!$C$35/1000*Inputs!$C$36*(1+Inputs!$C$39)^(C$136-1)</f>
        <v>-1244.2406148</v>
      </c>
      <c r="D172" s="69" t="n">
        <f aca="false">-D159*Inputs!$C$35/1000*Inputs!$C$36*(1+Inputs!$C$39)^(D$136-1)</f>
        <v>-1413.050958608</v>
      </c>
      <c r="E172" s="69" t="n">
        <f aca="false">-E159*Inputs!$C$35/1000*Inputs!$C$36*(1+Inputs!$C$39)^(E$136-1)</f>
        <v>-1964.23800801984</v>
      </c>
      <c r="F172" s="69" t="n">
        <f aca="false">-F159*Inputs!$C$35/1000*Inputs!$C$36*(1+Inputs!$C$39)^(F$136-1)</f>
        <v>-2193.15973609905</v>
      </c>
      <c r="G172" s="69" t="n">
        <f aca="false">-G159*Inputs!$C$35/1000*Inputs!$C$36*(1+Inputs!$C$39)^(G$136-1)</f>
        <v>-2428.12494945509</v>
      </c>
      <c r="H172" s="69" t="n">
        <f aca="false">-H159*Inputs!$C$35/1000*Inputs!$C$36*(1+Inputs!$C$39)^(H$136-1)</f>
        <v>-2668.89190867688</v>
      </c>
      <c r="I172" s="69" t="n">
        <f aca="false">-I159*Inputs!$C$35/1000*Inputs!$C$36*(1+Inputs!$C$39)^(I$136-1)</f>
        <v>-2915.22854392981</v>
      </c>
      <c r="J172" s="69" t="n">
        <f aca="false">-J159*Inputs!$C$35/1000*Inputs!$C$36*(1+Inputs!$C$39)^(J$136-1)</f>
        <v>-3166.91206817261</v>
      </c>
      <c r="K172" s="69" t="n">
        <f aca="false">-K159*Inputs!$C$35/1000*Inputs!$C$36*(1+Inputs!$C$39)^(K$136-1)</f>
        <v>-3423.72860584571</v>
      </c>
      <c r="L172" s="69" t="n">
        <f aca="false">-L159*Inputs!$C$35/1000*Inputs!$C$36*(1+Inputs!$C$39)^(L$136-1)</f>
        <v>-3685.47283641188</v>
      </c>
      <c r="M172" s="69" t="n">
        <f aca="false">-M159*Inputs!$C$35/1000*Inputs!$C$36*(1+Inputs!$C$39)^(M$136-1)</f>
        <v>-3786.78699495541</v>
      </c>
      <c r="N172" s="69" t="n">
        <f aca="false">-N159*Inputs!$C$35/1000*Inputs!$C$36*(1+Inputs!$C$39)^(N$136-1)</f>
        <v>-3138.26648065106</v>
      </c>
      <c r="O172" s="69" t="n">
        <f aca="false">-O159*Inputs!$C$35/1000*Inputs!$C$36*(1+Inputs!$C$39)^(O$136-1)</f>
        <v>-3366.20107525737</v>
      </c>
      <c r="P172" s="69" t="n">
        <f aca="false">-P159*Inputs!$C$35/1000*Inputs!$C$36*(1+Inputs!$C$39)^(P$136-1)</f>
        <v>-3433.62105734627</v>
      </c>
      <c r="Q172" s="69" t="n">
        <f aca="false">-Q159*Inputs!$C$35/1000*Inputs!$C$36*(1+Inputs!$C$39)^(Q$136-1)</f>
        <v>-4329.29914302137</v>
      </c>
      <c r="R172" s="69" t="n">
        <f aca="false">-R159*Inputs!$C$35/1000*Inputs!$C$36*(1+Inputs!$C$39)^(R$136-1)</f>
        <v>-4421.37078338531</v>
      </c>
      <c r="S172" s="69" t="n">
        <f aca="false">-S159*Inputs!$C$35/1000*Inputs!$C$36*(1+Inputs!$C$39)^(S$136-1)</f>
        <v>-4509.7595581347</v>
      </c>
      <c r="T172" s="69" t="n">
        <f aca="false">-T159*Inputs!$C$35/1000*Inputs!$C$36*(1+Inputs!$C$39)^(T$136-1)</f>
        <v>-4594.61278189411</v>
      </c>
      <c r="U172" s="69" t="n">
        <f aca="false">-U159*Inputs!$C$35/1000*Inputs!$C$36*(1+Inputs!$C$39)^(U$136-1)</f>
        <v>-4676.07187670315</v>
      </c>
      <c r="V172" s="69" t="n">
        <f aca="false">-V159*Inputs!$C$35/1000*Inputs!$C$36*(1+Inputs!$C$39)^(V$136-1)</f>
        <v>-4754.27260771982</v>
      </c>
      <c r="W172" s="69" t="n">
        <f aca="false">-W159*Inputs!$C$35/1000*Inputs!$C$36*(1+Inputs!$C$39)^(W$136-1)</f>
        <v>-4829.34530949583</v>
      </c>
      <c r="X172" s="69" t="n">
        <f aca="false">-X159*Inputs!$C$35/1000*Inputs!$C$36*(1+Inputs!$C$39)^(X$136-1)</f>
        <v>-4901.4151032008</v>
      </c>
      <c r="Y172" s="69" t="n">
        <f aca="false">-Y159*Inputs!$C$35/1000*Inputs!$C$36*(1+Inputs!$C$39)^(Y$136-1)</f>
        <v>-4970.60210515756</v>
      </c>
      <c r="Z172" s="69" t="n">
        <f aca="false">-Z159*Inputs!$C$35/1000*Inputs!$C$36*(1+Inputs!$C$39)^(Z$136-1)</f>
        <v>-4071.26244149685</v>
      </c>
      <c r="AA172" s="69" t="n">
        <f aca="false">-AA159*Inputs!$C$35/1000*Inputs!$C$36*(1+Inputs!$C$39)^(AA$136-1)</f>
        <v>-4305.93387645183</v>
      </c>
      <c r="AB172" s="69" t="n">
        <f aca="false">-AB159*Inputs!$C$35/1000*Inputs!$C$36*(1+Inputs!$C$39)^(AB$136-1)</f>
        <v>-4349.2635243165</v>
      </c>
      <c r="AC172" s="69" t="n">
        <f aca="false">-AC159*Inputs!$C$35/1000*Inputs!$C$36*(1+Inputs!$C$39)^(AC$136-1)</f>
        <v>-5432.2945325775</v>
      </c>
      <c r="AD172" s="69" t="n">
        <f aca="false">-AD159*Inputs!$C$35/1000*Inputs!$C$36*(1+Inputs!$C$39)^(AD$136-1)</f>
        <v>-5497.87344220477</v>
      </c>
      <c r="AE172" s="69" t="n">
        <f aca="false">-AE159*Inputs!$C$35/1000*Inputs!$C$36*(1+Inputs!$C$39)^(AE$136-1)</f>
        <v>-5560.82919544694</v>
      </c>
      <c r="AF172" s="69" t="n">
        <f aca="false">-AF159*Inputs!$C$35/1000*Inputs!$C$36*(1+Inputs!$C$39)^(AF$136-1)</f>
        <v>-5621.26671855943</v>
      </c>
      <c r="AG172" s="69" t="n">
        <f aca="false">-AG159*Inputs!$C$35/1000*Inputs!$C$36*(1+Inputs!$C$39)^(AG$136-1)</f>
        <v>-5679.28674074741</v>
      </c>
      <c r="AH172" s="69" t="n">
        <f aca="false">-AH159*Inputs!$C$35/1000*Inputs!$C$36*(1+Inputs!$C$39)^(AH$136-1)</f>
        <v>-5734.98596204788</v>
      </c>
      <c r="AI172" s="69" t="n">
        <f aca="false">-AI159*Inputs!$C$35/1000*Inputs!$C$36*(1+Inputs!$C$39)^(AI$136-1)</f>
        <v>-5788.45721449633</v>
      </c>
      <c r="AJ172" s="69" t="n">
        <f aca="false">-AJ159*Inputs!$C$35/1000*Inputs!$C$36*(1+Inputs!$C$39)^(AJ$136-1)</f>
        <v>-5839.78961684684</v>
      </c>
      <c r="AK172" s="69" t="n">
        <f aca="false">-AK159*Inputs!$C$35/1000*Inputs!$C$36*(1+Inputs!$C$39)^(AK$136-1)</f>
        <v>-5889.06872310333</v>
      </c>
      <c r="AL172" s="69" t="n">
        <f aca="false">-AL159*Inputs!$C$35/1000*Inputs!$C$36*(1+Inputs!$C$39)^(AL$136-1)</f>
        <v>-4798.92647450682</v>
      </c>
      <c r="AM172" s="69" t="n">
        <f aca="false">-AM159*Inputs!$C$35/1000*Inputs!$C$36*(1+Inputs!$C$39)^(AM$136-1)</f>
        <v>-5043.77603616849</v>
      </c>
      <c r="AN172" s="69" t="n">
        <f aca="false">-AN159*Inputs!$C$35/1000*Inputs!$C$36*(1+Inputs!$C$39)^(AN$136-1)</f>
        <v>-5072.01029557773</v>
      </c>
      <c r="AO172" s="69" t="n">
        <f aca="false">-AO159*Inputs!$C$35/1000*Inputs!$C$36*(1+Inputs!$C$39)^(AO$136-1)</f>
        <v>-6307.70293601077</v>
      </c>
      <c r="AP172" s="69" t="n">
        <f aca="false">-AP159*Inputs!$C$35/1000*Inputs!$C$36*(1+Inputs!$C$39)^(AP$136-1)</f>
        <v>-6357.08619437602</v>
      </c>
      <c r="AQ172" s="69" t="n">
        <f aca="false">-AQ159*Inputs!$C$35/1000*Inputs!$C$36*(1+Inputs!$C$39)^(AQ$136-1)</f>
        <v>-6404.49412240665</v>
      </c>
      <c r="AR172" s="69" t="n">
        <f aca="false">-AR159*Inputs!$C$35/1000*Inputs!$C$36*(1+Inputs!$C$39)^(AR$136-1)</f>
        <v>-6450.00573331606</v>
      </c>
      <c r="AS172" s="69" t="n">
        <f aca="false">-AS159*Inputs!$C$35/1000*Inputs!$C$36*(1+Inputs!$C$39)^(AS$136-1)</f>
        <v>-6493.69687978909</v>
      </c>
      <c r="AT172" s="69" t="n">
        <f aca="false">-AT159*Inputs!$C$35/1000*Inputs!$C$36*(1+Inputs!$C$39)^(AT$136-1)</f>
        <v>-6535.6403804032</v>
      </c>
      <c r="AU172" s="69" t="n">
        <f aca="false">-AU159*Inputs!$C$35/1000*Inputs!$C$36*(1+Inputs!$C$39)^(AU$136-1)</f>
        <v>-6575.90614099275</v>
      </c>
      <c r="AV172" s="69" t="n">
        <f aca="false">-AV159*Inputs!$C$35/1000*Inputs!$C$36*(1+Inputs!$C$39)^(AV$136-1)</f>
        <v>-6614.56127115872</v>
      </c>
      <c r="AW172" s="69" t="n">
        <f aca="false">-AW159*Inputs!$C$35/1000*Inputs!$C$36*(1+Inputs!$C$39)^(AW$136-1)</f>
        <v>-6651.67019611805</v>
      </c>
      <c r="AX172" s="69" t="n">
        <f aca="false">-AX159*Inputs!$C$35/1000*Inputs!$C$36*(1+Inputs!$C$39)^(AX$136-1)</f>
        <v>-5406.4038073325</v>
      </c>
      <c r="AY172" s="69" t="n">
        <f aca="false">-AY159*Inputs!$C$35/1000*Inputs!$C$36*(1+Inputs!$C$39)^(AY$136-1)</f>
        <v>-5663.99641280732</v>
      </c>
      <c r="AZ172" s="69" t="n">
        <f aca="false">-AZ159*Inputs!$C$35/1000*Inputs!$C$36*(1+Inputs!$C$39)^(AZ$136-1)</f>
        <v>-5682.82338622598</v>
      </c>
      <c r="BA172" s="69" t="n">
        <f aca="false">-BA159*Inputs!$C$35/1000*Inputs!$C$36*(1+Inputs!$C$39)^(BA$136-1)</f>
        <v>-7051.6164923694</v>
      </c>
      <c r="BB172" s="69" t="n">
        <f aca="false">-BB159*Inputs!$C$35/1000*Inputs!$C$36*(1+Inputs!$C$39)^(BB$136-1)</f>
        <v>-7091.33997263803</v>
      </c>
      <c r="BC172" s="69" t="n">
        <f aca="false">-BC159*Inputs!$C$35/1000*Inputs!$C$36*(1+Inputs!$C$39)^(BC$136-1)</f>
        <v>-7129.47451369591</v>
      </c>
      <c r="BD172" s="69" t="n">
        <f aca="false">-BD159*Inputs!$C$35/1000*Inputs!$C$36*(1+Inputs!$C$39)^(BD$136-1)</f>
        <v>-7166.08367311147</v>
      </c>
      <c r="BE172" s="69" t="n">
        <f aca="false">-BE159*Inputs!$C$35/1000*Inputs!$C$36*(1+Inputs!$C$39)^(BE$136-1)</f>
        <v>-7201.22846615042</v>
      </c>
      <c r="BF172" s="69" t="n">
        <f aca="false">-BF159*Inputs!$C$35/1000*Inputs!$C$36*(1+Inputs!$C$39)^(BF$136-1)</f>
        <v>-7234.9674674678</v>
      </c>
      <c r="BG172" s="69" t="n">
        <f aca="false">-BG159*Inputs!$C$35/1000*Inputs!$C$36*(1+Inputs!$C$39)^(BG$136-1)</f>
        <v>-7267.35690873249</v>
      </c>
      <c r="BH172" s="69" t="n">
        <f aca="false">-BH159*Inputs!$C$35/1000*Inputs!$C$36*(1+Inputs!$C$39)^(BH$136-1)</f>
        <v>-7298.4507723466</v>
      </c>
      <c r="BI172" s="69" t="n">
        <f aca="false">-BI159*Inputs!$C$35/1000*Inputs!$C$36*(1+Inputs!$C$39)^(BI$136-1)</f>
        <v>-7328.30088141614</v>
      </c>
      <c r="BJ172" s="69" t="n">
        <f aca="false">-BJ159*Inputs!$C$35/1000*Inputs!$C$36*(1+Inputs!$C$39)^(BJ$136-1)</f>
        <v>-5948.07768041311</v>
      </c>
    </row>
    <row r="173" customFormat="false" ht="15" hidden="false" customHeight="false" outlineLevel="0" collapsed="false">
      <c r="A173" s="6" t="s">
        <v>441</v>
      </c>
      <c r="C173" s="69" t="n">
        <f aca="false">-C159*Inputs!$C$37*(1+Inputs!$C$39)^(C$136-1)</f>
        <v>-1451.6140506</v>
      </c>
      <c r="D173" s="69" t="n">
        <f aca="false">-D159*Inputs!$C$37*(1+Inputs!$C$39)^(D$136-1)</f>
        <v>-1648.55945170933</v>
      </c>
      <c r="E173" s="69" t="n">
        <f aca="false">-E159*Inputs!$C$37*(1+Inputs!$C$39)^(E$136-1)</f>
        <v>-2291.61100935648</v>
      </c>
      <c r="F173" s="69" t="n">
        <f aca="false">-F159*Inputs!$C$37*(1+Inputs!$C$39)^(F$136-1)</f>
        <v>-2558.68635878222</v>
      </c>
      <c r="G173" s="69" t="n">
        <f aca="false">-G159*Inputs!$C$37*(1+Inputs!$C$39)^(G$136-1)</f>
        <v>-2832.81244103093</v>
      </c>
      <c r="H173" s="69" t="n">
        <f aca="false">-H159*Inputs!$C$37*(1+Inputs!$C$39)^(H$136-1)</f>
        <v>-3113.70722678969</v>
      </c>
      <c r="I173" s="69" t="n">
        <f aca="false">-I159*Inputs!$C$37*(1+Inputs!$C$39)^(I$136-1)</f>
        <v>-3401.09996791811</v>
      </c>
      <c r="J173" s="69" t="n">
        <f aca="false">-J159*Inputs!$C$37*(1+Inputs!$C$39)^(J$136-1)</f>
        <v>-3694.73074620138</v>
      </c>
      <c r="K173" s="69" t="n">
        <f aca="false">-K159*Inputs!$C$37*(1+Inputs!$C$39)^(K$136-1)</f>
        <v>-3994.35004015333</v>
      </c>
      <c r="L173" s="69" t="n">
        <f aca="false">-L159*Inputs!$C$37*(1+Inputs!$C$39)^(L$136-1)</f>
        <v>-4299.71830914719</v>
      </c>
      <c r="M173" s="69" t="n">
        <f aca="false">-M159*Inputs!$C$37*(1+Inputs!$C$39)^(M$136-1)</f>
        <v>-4417.91816078131</v>
      </c>
      <c r="N173" s="69" t="n">
        <f aca="false">-N159*Inputs!$C$37*(1+Inputs!$C$39)^(N$136-1)</f>
        <v>-3661.3108940929</v>
      </c>
      <c r="O173" s="69" t="n">
        <f aca="false">-O159*Inputs!$C$37*(1+Inputs!$C$39)^(O$136-1)</f>
        <v>-3927.23458780026</v>
      </c>
      <c r="P173" s="69" t="n">
        <f aca="false">-P159*Inputs!$C$37*(1+Inputs!$C$39)^(P$136-1)</f>
        <v>-4005.89123357065</v>
      </c>
      <c r="Q173" s="69" t="n">
        <f aca="false">-Q159*Inputs!$C$37*(1+Inputs!$C$39)^(Q$136-1)</f>
        <v>-5050.8490001916</v>
      </c>
      <c r="R173" s="69" t="n">
        <f aca="false">-R159*Inputs!$C$37*(1+Inputs!$C$39)^(R$136-1)</f>
        <v>-5158.26591394953</v>
      </c>
      <c r="S173" s="69" t="n">
        <f aca="false">-S159*Inputs!$C$37*(1+Inputs!$C$39)^(S$136-1)</f>
        <v>-5261.38615115715</v>
      </c>
      <c r="T173" s="69" t="n">
        <f aca="false">-T159*Inputs!$C$37*(1+Inputs!$C$39)^(T$136-1)</f>
        <v>-5360.38157887646</v>
      </c>
      <c r="U173" s="69" t="n">
        <f aca="false">-U159*Inputs!$C$37*(1+Inputs!$C$39)^(U$136-1)</f>
        <v>-5455.41718948701</v>
      </c>
      <c r="V173" s="69" t="n">
        <f aca="false">-V159*Inputs!$C$37*(1+Inputs!$C$39)^(V$136-1)</f>
        <v>-5546.65137567313</v>
      </c>
      <c r="W173" s="69" t="n">
        <f aca="false">-W159*Inputs!$C$37*(1+Inputs!$C$39)^(W$136-1)</f>
        <v>-5634.2361944118</v>
      </c>
      <c r="X173" s="69" t="n">
        <f aca="false">-X159*Inputs!$C$37*(1+Inputs!$C$39)^(X$136-1)</f>
        <v>-5718.31762040093</v>
      </c>
      <c r="Y173" s="69" t="n">
        <f aca="false">-Y159*Inputs!$C$37*(1+Inputs!$C$39)^(Y$136-1)</f>
        <v>-5799.03578935049</v>
      </c>
      <c r="Z173" s="69" t="n">
        <f aca="false">-Z159*Inputs!$C$37*(1+Inputs!$C$39)^(Z$136-1)</f>
        <v>-4749.80618174632</v>
      </c>
      <c r="AA173" s="69" t="n">
        <f aca="false">-AA159*Inputs!$C$37*(1+Inputs!$C$39)^(AA$136-1)</f>
        <v>-5023.58952252714</v>
      </c>
      <c r="AB173" s="69" t="n">
        <f aca="false">-AB159*Inputs!$C$37*(1+Inputs!$C$39)^(AB$136-1)</f>
        <v>-5074.14077836925</v>
      </c>
      <c r="AC173" s="69" t="n">
        <f aca="false">-AC159*Inputs!$C$37*(1+Inputs!$C$39)^(AC$136-1)</f>
        <v>-6337.67695467375</v>
      </c>
      <c r="AD173" s="69" t="n">
        <f aca="false">-AD159*Inputs!$C$37*(1+Inputs!$C$39)^(AD$136-1)</f>
        <v>-6414.18568257223</v>
      </c>
      <c r="AE173" s="69" t="n">
        <f aca="false">-AE159*Inputs!$C$37*(1+Inputs!$C$39)^(AE$136-1)</f>
        <v>-6487.63406135476</v>
      </c>
      <c r="AF173" s="69" t="n">
        <f aca="false">-AF159*Inputs!$C$37*(1+Inputs!$C$39)^(AF$136-1)</f>
        <v>-6558.144504986</v>
      </c>
      <c r="AG173" s="69" t="n">
        <f aca="false">-AG159*Inputs!$C$37*(1+Inputs!$C$39)^(AG$136-1)</f>
        <v>-6625.83453087198</v>
      </c>
      <c r="AH173" s="69" t="n">
        <f aca="false">-AH159*Inputs!$C$37*(1+Inputs!$C$39)^(AH$136-1)</f>
        <v>-6690.81695572253</v>
      </c>
      <c r="AI173" s="69" t="n">
        <f aca="false">-AI159*Inputs!$C$37*(1+Inputs!$C$39)^(AI$136-1)</f>
        <v>-6753.20008357905</v>
      </c>
      <c r="AJ173" s="69" t="n">
        <f aca="false">-AJ159*Inputs!$C$37*(1+Inputs!$C$39)^(AJ$136-1)</f>
        <v>-6813.08788632131</v>
      </c>
      <c r="AK173" s="69" t="n">
        <f aca="false">-AK159*Inputs!$C$37*(1+Inputs!$C$39)^(AK$136-1)</f>
        <v>-6870.58017695389</v>
      </c>
      <c r="AL173" s="69" t="n">
        <f aca="false">-AL159*Inputs!$C$37*(1+Inputs!$C$39)^(AL$136-1)</f>
        <v>-5598.74755359129</v>
      </c>
      <c r="AM173" s="69" t="n">
        <f aca="false">-AM159*Inputs!$C$37*(1+Inputs!$C$39)^(AM$136-1)</f>
        <v>-5884.40537552991</v>
      </c>
      <c r="AN173" s="69" t="n">
        <f aca="false">-AN159*Inputs!$C$37*(1+Inputs!$C$39)^(AN$136-1)</f>
        <v>-5917.34534484069</v>
      </c>
      <c r="AO173" s="69" t="n">
        <f aca="false">-AO159*Inputs!$C$37*(1+Inputs!$C$39)^(AO$136-1)</f>
        <v>-7358.98675867923</v>
      </c>
      <c r="AP173" s="69" t="n">
        <f aca="false">-AP159*Inputs!$C$37*(1+Inputs!$C$39)^(AP$136-1)</f>
        <v>-7416.60056010535</v>
      </c>
      <c r="AQ173" s="69" t="n">
        <f aca="false">-AQ159*Inputs!$C$37*(1+Inputs!$C$39)^(AQ$136-1)</f>
        <v>-7471.90980947443</v>
      </c>
      <c r="AR173" s="69" t="n">
        <f aca="false">-AR159*Inputs!$C$37*(1+Inputs!$C$39)^(AR$136-1)</f>
        <v>-7525.00668886874</v>
      </c>
      <c r="AS173" s="69" t="n">
        <f aca="false">-AS159*Inputs!$C$37*(1+Inputs!$C$39)^(AS$136-1)</f>
        <v>-7575.97969308727</v>
      </c>
      <c r="AT173" s="69" t="n">
        <f aca="false">-AT159*Inputs!$C$37*(1+Inputs!$C$39)^(AT$136-1)</f>
        <v>-7624.91377713707</v>
      </c>
      <c r="AU173" s="69" t="n">
        <f aca="false">-AU159*Inputs!$C$37*(1+Inputs!$C$39)^(AU$136-1)</f>
        <v>-7671.89049782488</v>
      </c>
      <c r="AV173" s="69" t="n">
        <f aca="false">-AV159*Inputs!$C$37*(1+Inputs!$C$39)^(AV$136-1)</f>
        <v>-7716.98814968517</v>
      </c>
      <c r="AW173" s="69" t="n">
        <f aca="false">-AW159*Inputs!$C$37*(1+Inputs!$C$39)^(AW$136-1)</f>
        <v>-7760.28189547105</v>
      </c>
      <c r="AX173" s="69" t="n">
        <f aca="false">-AX159*Inputs!$C$37*(1+Inputs!$C$39)^(AX$136-1)</f>
        <v>-6307.47110855458</v>
      </c>
      <c r="AY173" s="69" t="n">
        <f aca="false">-AY159*Inputs!$C$37*(1+Inputs!$C$39)^(AY$136-1)</f>
        <v>-6607.99581494188</v>
      </c>
      <c r="AZ173" s="69" t="n">
        <f aca="false">-AZ159*Inputs!$C$37*(1+Inputs!$C$39)^(AZ$136-1)</f>
        <v>-6629.96061726365</v>
      </c>
      <c r="BA173" s="69" t="n">
        <f aca="false">-BA159*Inputs!$C$37*(1+Inputs!$C$39)^(BA$136-1)</f>
        <v>-8226.8859077643</v>
      </c>
      <c r="BB173" s="69" t="n">
        <f aca="false">-BB159*Inputs!$C$37*(1+Inputs!$C$39)^(BB$136-1)</f>
        <v>-8273.2299680777</v>
      </c>
      <c r="BC173" s="69" t="n">
        <f aca="false">-BC159*Inputs!$C$37*(1+Inputs!$C$39)^(BC$136-1)</f>
        <v>-8317.72026597856</v>
      </c>
      <c r="BD173" s="69" t="n">
        <f aca="false">-BD159*Inputs!$C$37*(1+Inputs!$C$39)^(BD$136-1)</f>
        <v>-8360.43095196338</v>
      </c>
      <c r="BE173" s="69" t="n">
        <f aca="false">-BE159*Inputs!$C$37*(1+Inputs!$C$39)^(BE$136-1)</f>
        <v>-8401.43321050882</v>
      </c>
      <c r="BF173" s="69" t="n">
        <f aca="false">-BF159*Inputs!$C$37*(1+Inputs!$C$39)^(BF$136-1)</f>
        <v>-8440.79537871244</v>
      </c>
      <c r="BG173" s="69" t="n">
        <f aca="false">-BG159*Inputs!$C$37*(1+Inputs!$C$39)^(BG$136-1)</f>
        <v>-8478.58306018791</v>
      </c>
      <c r="BH173" s="69" t="n">
        <f aca="false">-BH159*Inputs!$C$37*(1+Inputs!$C$39)^(BH$136-1)</f>
        <v>-8514.85923440436</v>
      </c>
      <c r="BI173" s="69" t="n">
        <f aca="false">-BI159*Inputs!$C$37*(1+Inputs!$C$39)^(BI$136-1)</f>
        <v>-8549.68436165216</v>
      </c>
      <c r="BJ173" s="69" t="n">
        <f aca="false">-BJ159*Inputs!$C$37*(1+Inputs!$C$39)^(BJ$136-1)</f>
        <v>-6939.42396048196</v>
      </c>
    </row>
    <row r="174" customFormat="false" ht="15" hidden="false" customHeight="false" outlineLevel="0" collapsed="false">
      <c r="A174" s="6" t="s">
        <v>248</v>
      </c>
      <c r="C174" s="69" t="n">
        <f aca="false">C171+C172+C173</f>
        <v>-5633.6450059</v>
      </c>
      <c r="D174" s="69" t="n">
        <f aca="false">D171+D172+D173</f>
        <v>-6397.98072925289</v>
      </c>
      <c r="E174" s="69" t="n">
        <f aca="false">E171+E172+E173</f>
        <v>-8893.63320297872</v>
      </c>
      <c r="F174" s="69" t="n">
        <f aca="false">F171+F172+F173</f>
        <v>-9930.13991622624</v>
      </c>
      <c r="G174" s="69" t="n">
        <f aca="false">G171+G172+G173</f>
        <v>-10994.0101878105</v>
      </c>
      <c r="H174" s="69" t="n">
        <f aca="false">H171+H172+H173</f>
        <v>-12084.1494753981</v>
      </c>
      <c r="I174" s="69" t="n">
        <f aca="false">I171+I172+I173</f>
        <v>-13199.5070183488</v>
      </c>
      <c r="J174" s="69" t="n">
        <f aca="false">J171+J172+J173</f>
        <v>-14339.0740864482</v>
      </c>
      <c r="K174" s="69" t="n">
        <f aca="false">K171+K172+K173</f>
        <v>-15501.8822986903</v>
      </c>
      <c r="L174" s="69" t="n">
        <f aca="false">L171+L172+L173</f>
        <v>-16687.0020093093</v>
      </c>
      <c r="M174" s="69" t="n">
        <f aca="false">M171+M172+M173</f>
        <v>-17145.730004937</v>
      </c>
      <c r="N174" s="69" t="n">
        <f aca="false">N171+N172+N173</f>
        <v>-14209.3732318367</v>
      </c>
      <c r="O174" s="69" t="n">
        <f aca="false">O171+O172+O173</f>
        <v>-15241.410424082</v>
      </c>
      <c r="P174" s="69" t="n">
        <f aca="false">P171+P172+P173</f>
        <v>-15546.6731207623</v>
      </c>
      <c r="Q174" s="69" t="n">
        <f aca="false">Q171+Q172+Q173</f>
        <v>-19602.1044531245</v>
      </c>
      <c r="R174" s="69" t="n">
        <f aca="false">R171+R172+R173</f>
        <v>-20018.9843803279</v>
      </c>
      <c r="S174" s="69" t="n">
        <f aca="false">S171+S172+S173</f>
        <v>-20419.1891104432</v>
      </c>
      <c r="T174" s="69" t="n">
        <f aca="false">T171+T172+T173</f>
        <v>-20803.3856513539</v>
      </c>
      <c r="U174" s="69" t="n">
        <f aca="false">U171+U172+U173</f>
        <v>-21172.2143306281</v>
      </c>
      <c r="V174" s="69" t="n">
        <f aca="false">V171+V172+V173</f>
        <v>-21526.2898627314</v>
      </c>
      <c r="W174" s="69" t="n">
        <f aca="false">W171+W172+W173</f>
        <v>-21866.2023735506</v>
      </c>
      <c r="X174" s="69" t="n">
        <f aca="false">X171+X172+X173</f>
        <v>-22192.5183839369</v>
      </c>
      <c r="Y174" s="69" t="n">
        <f aca="false">Y171+Y172+Y173</f>
        <v>-22505.7817539079</v>
      </c>
      <c r="Z174" s="69" t="n">
        <f aca="false">Z171+Z172+Z173</f>
        <v>-18433.7716101107</v>
      </c>
      <c r="AA174" s="69" t="n">
        <f aca="false">AA171+AA172+AA173</f>
        <v>-19496.3117183791</v>
      </c>
      <c r="AB174" s="69" t="n">
        <f aca="false">AB171+AB172+AB173</f>
        <v>-19692.4987350997</v>
      </c>
      <c r="AC174" s="69" t="n">
        <f aca="false">AC171+AC172+AC173</f>
        <v>-24596.2224669481</v>
      </c>
      <c r="AD174" s="69" t="n">
        <f aca="false">AD171+AD172+AD173</f>
        <v>-24893.1491966494</v>
      </c>
      <c r="AE174" s="69" t="n">
        <f aca="false">AE171+AE172+AE173</f>
        <v>-25178.1988571625</v>
      </c>
      <c r="AF174" s="69" t="n">
        <f aca="false">AF171+AF172+AF173</f>
        <v>-25451.8465312552</v>
      </c>
      <c r="AG174" s="69" t="n">
        <f aca="false">AG171+AG172+AG173</f>
        <v>-25714.5482983841</v>
      </c>
      <c r="AH174" s="69" t="n">
        <f aca="false">AH171+AH172+AH173</f>
        <v>-25966.7419948279</v>
      </c>
      <c r="AI174" s="69" t="n">
        <f aca="false">AI171+AI172+AI173</f>
        <v>-26208.8479434139</v>
      </c>
      <c r="AJ174" s="69" t="n">
        <f aca="false">AJ171+AJ172+AJ173</f>
        <v>-26441.2696540565</v>
      </c>
      <c r="AK174" s="69" t="n">
        <f aca="false">AK171+AK172+AK173</f>
        <v>-26664.3944962734</v>
      </c>
      <c r="AL174" s="69" t="n">
        <f aca="false">AL171+AL172+AL173</f>
        <v>-21728.4726484614</v>
      </c>
      <c r="AM174" s="69" t="n">
        <f aca="false">AM171+AM172+AM173</f>
        <v>-22837.0970526518</v>
      </c>
      <c r="AN174" s="69" t="n">
        <f aca="false">AN171+AN172+AN173</f>
        <v>-22964.9355049769</v>
      </c>
      <c r="AO174" s="69" t="n">
        <f aca="false">AO171+AO172+AO173</f>
        <v>-28559.8771824932</v>
      </c>
      <c r="AP174" s="69" t="n">
        <f aca="false">AP171+AP172+AP173</f>
        <v>-28783.4736023136</v>
      </c>
      <c r="AQ174" s="69" t="n">
        <f aca="false">AQ171+AQ172+AQ173</f>
        <v>-28998.1261653412</v>
      </c>
      <c r="AR174" s="69" t="n">
        <f aca="false">AR171+AR172+AR173</f>
        <v>-29204.1926258477</v>
      </c>
      <c r="AS174" s="69" t="n">
        <f aca="false">AS171+AS172+AS173</f>
        <v>-29402.0164279339</v>
      </c>
      <c r="AT174" s="69" t="n">
        <f aca="false">AT171+AT172+AT173</f>
        <v>-29591.9272779367</v>
      </c>
      <c r="AU174" s="69" t="n">
        <f aca="false">AU171+AU172+AU173</f>
        <v>-29774.2416939394</v>
      </c>
      <c r="AV174" s="69" t="n">
        <f aca="false">AV171+AV172+AV173</f>
        <v>-29949.263533302</v>
      </c>
      <c r="AW174" s="69" t="n">
        <f aca="false">AW171+AW172+AW173</f>
        <v>-30117.28449909</v>
      </c>
      <c r="AX174" s="69" t="n">
        <f aca="false">AX171+AX172+AX173</f>
        <v>-24478.9950165333</v>
      </c>
      <c r="AY174" s="69" t="n">
        <f aca="false">AY171+AY172+AY173</f>
        <v>-25645.3170913221</v>
      </c>
      <c r="AZ174" s="69" t="n">
        <f aca="false">AZ171+AZ172+AZ173</f>
        <v>-25730.5614431899</v>
      </c>
      <c r="BA174" s="69" t="n">
        <f aca="false">BA171+BA172+BA173</f>
        <v>-31928.1524515614</v>
      </c>
      <c r="BB174" s="69" t="n">
        <f aca="false">BB171+BB172+BB173</f>
        <v>-32108.0115427777</v>
      </c>
      <c r="BC174" s="69" t="n">
        <f aca="false">BC171+BC172+BC173</f>
        <v>-32280.6762703454</v>
      </c>
      <c r="BD174" s="69" t="n">
        <f aca="false">BD171+BD172+BD173</f>
        <v>-32446.4344088103</v>
      </c>
      <c r="BE174" s="69" t="n">
        <f aca="false">BE171+BE172+BE173</f>
        <v>-32605.5622217366</v>
      </c>
      <c r="BF174" s="69" t="n">
        <f aca="false">BF171+BF172+BF173</f>
        <v>-32758.3249221459</v>
      </c>
      <c r="BG174" s="69" t="n">
        <f aca="false">BG171+BG172+BG173</f>
        <v>-32904.9771145388</v>
      </c>
      <c r="BH174" s="69" t="n">
        <f aca="false">BH171+BH172+BH173</f>
        <v>-33045.763219236</v>
      </c>
      <c r="BI174" s="69" t="n">
        <f aca="false">BI171+BI172+BI173</f>
        <v>-33180.9178797453</v>
      </c>
      <c r="BJ174" s="69" t="n">
        <f aca="false">BJ171+BJ172+BJ173</f>
        <v>-26931.5739418705</v>
      </c>
    </row>
    <row r="175" customFormat="false" ht="15" hidden="false" customHeight="false" outlineLevel="0" collapsed="false">
      <c r="A175" s="6" t="s">
        <v>442</v>
      </c>
      <c r="C175" s="69" t="n">
        <f aca="false">-C168*Inputs!$C$38</f>
        <v>-1438.30074</v>
      </c>
      <c r="D175" s="69" t="n">
        <f aca="false">-D168*Inputs!$C$38</f>
        <v>-1633.46807706667</v>
      </c>
      <c r="E175" s="69" t="n">
        <f aca="false">-E168*Inputs!$C$38</f>
        <v>-2183.202053984</v>
      </c>
      <c r="F175" s="69" t="n">
        <f aca="false">-F168*Inputs!$C$38</f>
        <v>-2431.55696515797</v>
      </c>
      <c r="G175" s="69" t="n">
        <f aca="false">-G168*Inputs!$C$38</f>
        <v>-2684.70829321832</v>
      </c>
      <c r="H175" s="69" t="n">
        <f aca="false">-H168*Inputs!$C$38</f>
        <v>-2942.46418148959</v>
      </c>
      <c r="I175" s="69" t="n">
        <f aca="false">-I168*Inputs!$C$38</f>
        <v>-3204.64044756334</v>
      </c>
      <c r="J175" s="69" t="n">
        <f aca="false">-J168*Inputs!$C$38</f>
        <v>-3471.06027632747</v>
      </c>
      <c r="K175" s="69" t="n">
        <f aca="false">-K168*Inputs!$C$38</f>
        <v>-3741.55392527437</v>
      </c>
      <c r="L175" s="69" t="n">
        <f aca="false">-L168*Inputs!$C$38</f>
        <v>-4015.95844159673</v>
      </c>
      <c r="M175" s="69" t="n">
        <f aca="false">-M168*Inputs!$C$38</f>
        <v>-4096.36650393286</v>
      </c>
      <c r="N175" s="69" t="n">
        <f aca="false">-N168*Inputs!$C$38</f>
        <v>-3562.19184377555</v>
      </c>
      <c r="O175" s="69" t="n">
        <f aca="false">-O168*Inputs!$C$38</f>
        <v>-3778.18065974502</v>
      </c>
      <c r="P175" s="69" t="n">
        <f aca="false">-P168*Inputs!$C$38</f>
        <v>-3843.63695303521</v>
      </c>
      <c r="Q175" s="69" t="n">
        <f aca="false">-Q168*Inputs!$C$38</f>
        <v>-4548.77653443381</v>
      </c>
      <c r="R175" s="69" t="n">
        <f aca="false">-R168*Inputs!$C$38</f>
        <v>-4621.13982089645</v>
      </c>
      <c r="S175" s="69" t="n">
        <f aca="false">-S168*Inputs!$C$38</f>
        <v>-4690.6085759006</v>
      </c>
      <c r="T175" s="69" t="n">
        <f aca="false">-T168*Inputs!$C$38</f>
        <v>-4757.29858070457</v>
      </c>
      <c r="U175" s="69" t="n">
        <f aca="false">-U168*Inputs!$C$38</f>
        <v>-4821.32098531639</v>
      </c>
      <c r="V175" s="69" t="n">
        <f aca="false">-V168*Inputs!$C$38</f>
        <v>-4882.78249374373</v>
      </c>
      <c r="W175" s="69" t="n">
        <f aca="false">-W168*Inputs!$C$38</f>
        <v>-4941.78554183399</v>
      </c>
      <c r="X175" s="69" t="n">
        <f aca="false">-X168*Inputs!$C$38</f>
        <v>-4998.42846800063</v>
      </c>
      <c r="Y175" s="69" t="n">
        <f aca="false">-Y168*Inputs!$C$38</f>
        <v>-5052.8056771206</v>
      </c>
      <c r="Z175" s="69" t="n">
        <f aca="false">-Z168*Inputs!$C$38</f>
        <v>-4462.70625803578</v>
      </c>
      <c r="AA175" s="69" t="n">
        <f aca="false">-AA168*Inputs!$C$38</f>
        <v>-4675.76227444842</v>
      </c>
      <c r="AB175" s="69" t="n">
        <f aca="false">-AB168*Inputs!$C$38</f>
        <v>-4717.42147024629</v>
      </c>
      <c r="AC175" s="69" t="n">
        <f aca="false">-AC168*Inputs!$C$38</f>
        <v>-5432.21629596816</v>
      </c>
      <c r="AD175" s="69" t="n">
        <f aca="false">-AD168*Inputs!$C$38</f>
        <v>-5483.25733897013</v>
      </c>
      <c r="AE175" s="69" t="n">
        <f aca="false">-AE168*Inputs!$C$38</f>
        <v>-5532.25674025203</v>
      </c>
      <c r="AF175" s="69" t="n">
        <f aca="false">-AF168*Inputs!$C$38</f>
        <v>-5579.29616548265</v>
      </c>
      <c r="AG175" s="69" t="n">
        <f aca="false">-AG168*Inputs!$C$38</f>
        <v>-5624.45401370405</v>
      </c>
      <c r="AH175" s="69" t="n">
        <f aca="false">-AH168*Inputs!$C$38</f>
        <v>-5667.80554799659</v>
      </c>
      <c r="AI175" s="69" t="n">
        <f aca="false">-AI168*Inputs!$C$38</f>
        <v>-5709.42302091743</v>
      </c>
      <c r="AJ175" s="69" t="n">
        <f aca="false">-AJ168*Inputs!$C$38</f>
        <v>-5749.37579492144</v>
      </c>
      <c r="AK175" s="69" t="n">
        <f aca="false">-AK168*Inputs!$C$38</f>
        <v>-5787.73045796529</v>
      </c>
      <c r="AL175" s="69" t="n">
        <f aca="false">-AL168*Inputs!$C$38</f>
        <v>-5149.74893673148</v>
      </c>
      <c r="AM175" s="69" t="n">
        <f aca="false">-AM168*Inputs!$C$38</f>
        <v>-5365.19124030569</v>
      </c>
      <c r="AN175" s="69" t="n">
        <f aca="false">-AN168*Inputs!$C$38</f>
        <v>-5392.07345653113</v>
      </c>
      <c r="AO175" s="69" t="n">
        <f aca="false">-AO168*Inputs!$C$38</f>
        <v>-6126.8273629499</v>
      </c>
      <c r="AP175" s="69" t="n">
        <f aca="false">-AP168*Inputs!$C$38</f>
        <v>-6164.88992674255</v>
      </c>
      <c r="AQ175" s="69" t="n">
        <f aca="false">-AQ168*Inputs!$C$38</f>
        <v>-6201.42998798349</v>
      </c>
      <c r="AR175" s="69" t="n">
        <f aca="false">-AR168*Inputs!$C$38</f>
        <v>-6236.50844677479</v>
      </c>
      <c r="AS175" s="69" t="n">
        <f aca="false">-AS168*Inputs!$C$38</f>
        <v>-6270.18376721445</v>
      </c>
      <c r="AT175" s="69" t="n">
        <f aca="false">-AT168*Inputs!$C$38</f>
        <v>-6302.51207483651</v>
      </c>
      <c r="AU175" s="69" t="n">
        <f aca="false">-AU168*Inputs!$C$38</f>
        <v>-6333.54725015369</v>
      </c>
      <c r="AV175" s="69" t="n">
        <f aca="false">-AV168*Inputs!$C$38</f>
        <v>-6363.34101845819</v>
      </c>
      <c r="AW175" s="69" t="n">
        <f aca="false">-AW168*Inputs!$C$38</f>
        <v>-6391.9430360305</v>
      </c>
      <c r="AX175" s="69" t="n">
        <f aca="false">-AX168*Inputs!$C$38</f>
        <v>-5710.45399405758</v>
      </c>
      <c r="AY175" s="69" t="n">
        <f aca="false">-AY168*Inputs!$C$38</f>
        <v>-5931.83939755364</v>
      </c>
      <c r="AZ175" s="69" t="n">
        <f aca="false">-AZ168*Inputs!$C$38</f>
        <v>-5949.59077775623</v>
      </c>
      <c r="BA175" s="69" t="n">
        <f aca="false">-BA168*Inputs!$C$38</f>
        <v>-6711.45179872249</v>
      </c>
      <c r="BB175" s="69" t="n">
        <f aca="false">-BB168*Inputs!$C$38</f>
        <v>-6741.77175245043</v>
      </c>
      <c r="BC175" s="69" t="n">
        <f aca="false">-BC168*Inputs!$C$38</f>
        <v>-6770.87890802925</v>
      </c>
      <c r="BD175" s="69" t="n">
        <f aca="false">-BD168*Inputs!$C$38</f>
        <v>-6798.82177738493</v>
      </c>
      <c r="BE175" s="69" t="n">
        <f aca="false">-BE168*Inputs!$C$38</f>
        <v>-6825.64693196637</v>
      </c>
      <c r="BF175" s="69" t="n">
        <f aca="false">-BF168*Inputs!$C$38</f>
        <v>-6851.39908036456</v>
      </c>
      <c r="BG175" s="69" t="n">
        <f aca="false">-BG168*Inputs!$C$38</f>
        <v>-6876.12114282682</v>
      </c>
      <c r="BH175" s="69" t="n">
        <f aca="false">-BH168*Inputs!$C$38</f>
        <v>-6899.85432279059</v>
      </c>
      <c r="BI175" s="69" t="n">
        <f aca="false">-BI168*Inputs!$C$38</f>
        <v>-6922.63817555581</v>
      </c>
      <c r="BJ175" s="69" t="n">
        <f aca="false">-BJ168*Inputs!$C$38</f>
        <v>-6199.69097823865</v>
      </c>
    </row>
    <row r="176" customFormat="false" ht="15" hidden="false" customHeight="false" outlineLevel="0" collapsed="false">
      <c r="A176" s="4" t="s">
        <v>76</v>
      </c>
      <c r="C176" s="75" t="n">
        <f aca="false">C174+C175</f>
        <v>-7071.9457459</v>
      </c>
      <c r="D176" s="75" t="n">
        <f aca="false">D174+D175</f>
        <v>-8031.44880631956</v>
      </c>
      <c r="E176" s="75" t="n">
        <f aca="false">E174+E175</f>
        <v>-11076.8352569627</v>
      </c>
      <c r="F176" s="75" t="n">
        <f aca="false">F174+F175</f>
        <v>-12361.6968813842</v>
      </c>
      <c r="G176" s="75" t="n">
        <f aca="false">G174+G175</f>
        <v>-13678.7184810288</v>
      </c>
      <c r="H176" s="75" t="n">
        <f aca="false">H174+H175</f>
        <v>-15026.6136568877</v>
      </c>
      <c r="I176" s="75" t="n">
        <f aca="false">I174+I175</f>
        <v>-16404.1474659122</v>
      </c>
      <c r="J176" s="75" t="n">
        <f aca="false">J174+J175</f>
        <v>-17810.1343627757</v>
      </c>
      <c r="K176" s="75" t="n">
        <f aca="false">K174+K175</f>
        <v>-19243.4362239647</v>
      </c>
      <c r="L176" s="75" t="n">
        <f aca="false">L174+L175</f>
        <v>-20702.9604509061</v>
      </c>
      <c r="M176" s="75" t="n">
        <f aca="false">M174+M175</f>
        <v>-21242.0965088698</v>
      </c>
      <c r="N176" s="75" t="n">
        <f aca="false">N174+N175</f>
        <v>-17771.5650756123</v>
      </c>
      <c r="O176" s="75" t="n">
        <f aca="false">O174+O175</f>
        <v>-19019.591083827</v>
      </c>
      <c r="P176" s="75" t="n">
        <f aca="false">P174+P175</f>
        <v>-19390.3100737975</v>
      </c>
      <c r="Q176" s="75" t="n">
        <f aca="false">Q174+Q175</f>
        <v>-24150.8809875583</v>
      </c>
      <c r="R176" s="75" t="n">
        <f aca="false">R174+R175</f>
        <v>-24640.1242012244</v>
      </c>
      <c r="S176" s="75" t="n">
        <f aca="false">S174+S175</f>
        <v>-25109.7976863438</v>
      </c>
      <c r="T176" s="75" t="n">
        <f aca="false">T174+T175</f>
        <v>-25560.6842320585</v>
      </c>
      <c r="U176" s="75" t="n">
        <f aca="false">U174+U175</f>
        <v>-25993.5353159445</v>
      </c>
      <c r="V176" s="75" t="n">
        <f aca="false">V174+V175</f>
        <v>-26409.0723564752</v>
      </c>
      <c r="W176" s="75" t="n">
        <f aca="false">W174+W175</f>
        <v>-26807.9879153845</v>
      </c>
      <c r="X176" s="75" t="n">
        <f aca="false">X174+X175</f>
        <v>-27190.9468519376</v>
      </c>
      <c r="Y176" s="75" t="n">
        <f aca="false">Y174+Y175</f>
        <v>-27558.5874310285</v>
      </c>
      <c r="Z176" s="75" t="n">
        <f aca="false">Z174+Z175</f>
        <v>-22896.4778681465</v>
      </c>
      <c r="AA176" s="75" t="n">
        <f aca="false">AA174+AA175</f>
        <v>-24172.0739928275</v>
      </c>
      <c r="AB176" s="75" t="n">
        <f aca="false">AB174+AB175</f>
        <v>-24409.920205346</v>
      </c>
      <c r="AC176" s="75" t="n">
        <f aca="false">AC174+AC175</f>
        <v>-30028.4387629163</v>
      </c>
      <c r="AD176" s="75" t="n">
        <f aca="false">AD174+AD175</f>
        <v>-30376.4065356195</v>
      </c>
      <c r="AE176" s="75" t="n">
        <f aca="false">AE174+AE175</f>
        <v>-30710.4555974146</v>
      </c>
      <c r="AF176" s="75" t="n">
        <f aca="false">AF174+AF175</f>
        <v>-31031.1426967378</v>
      </c>
      <c r="AG176" s="75" t="n">
        <f aca="false">AG174+AG175</f>
        <v>-31339.0023120882</v>
      </c>
      <c r="AH176" s="75" t="n">
        <f aca="false">AH174+AH175</f>
        <v>-31634.5475428245</v>
      </c>
      <c r="AI176" s="75" t="n">
        <f aca="false">AI174+AI175</f>
        <v>-31918.2709643314</v>
      </c>
      <c r="AJ176" s="75" t="n">
        <f aca="false">AJ174+AJ175</f>
        <v>-32190.645448978</v>
      </c>
      <c r="AK176" s="75" t="n">
        <f aca="false">AK174+AK175</f>
        <v>-32452.1249542387</v>
      </c>
      <c r="AL176" s="75" t="n">
        <f aca="false">AL174+AL175</f>
        <v>-26878.2215851929</v>
      </c>
      <c r="AM176" s="75" t="n">
        <f aca="false">AM174+AM175</f>
        <v>-28202.2882929575</v>
      </c>
      <c r="AN176" s="75" t="n">
        <f aca="false">AN174+AN175</f>
        <v>-28357.0089615081</v>
      </c>
      <c r="AO176" s="75" t="n">
        <f aca="false">AO174+AO175</f>
        <v>-34686.7045454431</v>
      </c>
      <c r="AP176" s="75" t="n">
        <f aca="false">AP174+AP175</f>
        <v>-34948.3635290562</v>
      </c>
      <c r="AQ176" s="75" t="n">
        <f aca="false">AQ174+AQ175</f>
        <v>-35199.5561533247</v>
      </c>
      <c r="AR176" s="75" t="n">
        <f aca="false">AR174+AR175</f>
        <v>-35440.7010726225</v>
      </c>
      <c r="AS176" s="75" t="n">
        <f aca="false">AS174+AS175</f>
        <v>-35672.2001951484</v>
      </c>
      <c r="AT176" s="75" t="n">
        <f aca="false">AT174+AT175</f>
        <v>-35894.4393527732</v>
      </c>
      <c r="AU176" s="75" t="n">
        <f aca="false">AU174+AU175</f>
        <v>-36107.7889440931</v>
      </c>
      <c r="AV176" s="75" t="n">
        <f aca="false">AV174+AV175</f>
        <v>-36312.6045517602</v>
      </c>
      <c r="AW176" s="75" t="n">
        <f aca="false">AW174+AW175</f>
        <v>-36509.2275351205</v>
      </c>
      <c r="AX176" s="75" t="n">
        <f aca="false">AX174+AX175</f>
        <v>-30189.4490105908</v>
      </c>
      <c r="AY176" s="75" t="n">
        <f aca="false">AY174+AY175</f>
        <v>-31577.1564888757</v>
      </c>
      <c r="AZ176" s="75" t="n">
        <f aca="false">AZ174+AZ175</f>
        <v>-31680.1522209461</v>
      </c>
      <c r="BA176" s="75" t="n">
        <f aca="false">BA174+BA175</f>
        <v>-38639.6042502839</v>
      </c>
      <c r="BB176" s="75" t="n">
        <f aca="false">BB174+BB175</f>
        <v>-38849.7832952282</v>
      </c>
      <c r="BC176" s="75" t="n">
        <f aca="false">BC174+BC175</f>
        <v>-39051.5551783746</v>
      </c>
      <c r="BD176" s="75" t="n">
        <f aca="false">BD174+BD175</f>
        <v>-39245.2561861952</v>
      </c>
      <c r="BE176" s="75" t="n">
        <f aca="false">BE174+BE175</f>
        <v>-39431.209153703</v>
      </c>
      <c r="BF176" s="75" t="n">
        <f aca="false">BF174+BF175</f>
        <v>-39609.7240025104</v>
      </c>
      <c r="BG176" s="75" t="n">
        <f aca="false">BG174+BG175</f>
        <v>-39781.0982573656</v>
      </c>
      <c r="BH176" s="75" t="n">
        <f aca="false">BH174+BH175</f>
        <v>-39945.6175420266</v>
      </c>
      <c r="BI176" s="75" t="n">
        <f aca="false">BI174+BI175</f>
        <v>-40103.5560553011</v>
      </c>
      <c r="BJ176" s="75" t="n">
        <f aca="false">BJ174+BJ175</f>
        <v>-33131.2649201091</v>
      </c>
    </row>
    <row r="177" customFormat="false" ht="15" hidden="false" customHeight="false" outlineLevel="0" collapsed="false">
      <c r="A177" s="113" t="s">
        <v>45</v>
      </c>
      <c r="C177" s="70" t="n">
        <f aca="false">C168+C176</f>
        <v>40871.4122541</v>
      </c>
      <c r="D177" s="70" t="n">
        <f aca="false">D168+D176</f>
        <v>46417.4870959027</v>
      </c>
      <c r="E177" s="70" t="n">
        <f aca="false">E168+E176</f>
        <v>61696.566542504</v>
      </c>
      <c r="F177" s="70" t="n">
        <f aca="false">F168+F176</f>
        <v>68690.2019572149</v>
      </c>
      <c r="G177" s="70" t="n">
        <f aca="false">G168+G176</f>
        <v>75811.5579595819</v>
      </c>
      <c r="H177" s="70" t="n">
        <f aca="false">H168+H176</f>
        <v>83055.5257260986</v>
      </c>
      <c r="I177" s="70" t="n">
        <f aca="false">I168+I176</f>
        <v>90417.2007861991</v>
      </c>
      <c r="J177" s="70" t="n">
        <f aca="false">J168+J176</f>
        <v>97891.87484814</v>
      </c>
      <c r="K177" s="70" t="n">
        <f aca="false">K168+K176</f>
        <v>105475.027951848</v>
      </c>
      <c r="L177" s="70" t="n">
        <f aca="false">L168+L176</f>
        <v>113162.320935652</v>
      </c>
      <c r="M177" s="70" t="n">
        <f aca="false">M168+M176</f>
        <v>115303.453622226</v>
      </c>
      <c r="N177" s="70" t="n">
        <f aca="false">N168+N176</f>
        <v>100968.163050239</v>
      </c>
      <c r="O177" s="70" t="n">
        <f aca="false">O168+O176</f>
        <v>106919.764241007</v>
      </c>
      <c r="P177" s="70" t="n">
        <f aca="false">P168+P176</f>
        <v>108730.921694043</v>
      </c>
      <c r="Q177" s="70" t="n">
        <f aca="false">Q168+Q176</f>
        <v>127475.003493569</v>
      </c>
      <c r="R177" s="70" t="n">
        <f aca="false">R168+R176</f>
        <v>129397.869828657</v>
      </c>
      <c r="S177" s="70" t="n">
        <f aca="false">S168+S176</f>
        <v>131243.821510343</v>
      </c>
      <c r="T177" s="70" t="n">
        <f aca="false">T168+T176</f>
        <v>133015.935124761</v>
      </c>
      <c r="U177" s="70" t="n">
        <f aca="false">U168+U176</f>
        <v>134717.164194602</v>
      </c>
      <c r="V177" s="70" t="n">
        <f aca="false">V168+V176</f>
        <v>136350.344101649</v>
      </c>
      <c r="W177" s="70" t="n">
        <f aca="false">W168+W176</f>
        <v>137918.196812415</v>
      </c>
      <c r="X177" s="70" t="n">
        <f aca="false">X168+X176</f>
        <v>139423.33541475</v>
      </c>
      <c r="Y177" s="70" t="n">
        <f aca="false">Y168+Y176</f>
        <v>140868.268472992</v>
      </c>
      <c r="Z177" s="70" t="n">
        <f aca="false">Z168+Z176</f>
        <v>125860.397399713</v>
      </c>
      <c r="AA177" s="70" t="n">
        <f aca="false">AA168+AA176</f>
        <v>131686.668488787</v>
      </c>
      <c r="AB177" s="70" t="n">
        <f aca="false">AB168+AB176</f>
        <v>132837.462136197</v>
      </c>
      <c r="AC177" s="70" t="n">
        <f aca="false">AC168+AC176</f>
        <v>151045.437769356</v>
      </c>
      <c r="AD177" s="70" t="n">
        <f aca="false">AD168+AD176</f>
        <v>152398.838096718</v>
      </c>
      <c r="AE177" s="70" t="n">
        <f aca="false">AE168+AE176</f>
        <v>153698.102410987</v>
      </c>
      <c r="AF177" s="70" t="n">
        <f aca="false">AF168+AF176</f>
        <v>154945.396152684</v>
      </c>
      <c r="AG177" s="70" t="n">
        <f aca="false">AG168+AG176</f>
        <v>156142.798144714</v>
      </c>
      <c r="AH177" s="70" t="n">
        <f aca="false">AH168+AH176</f>
        <v>157292.304057062</v>
      </c>
      <c r="AI177" s="70" t="n">
        <f aca="false">AI168+AI176</f>
        <v>158395.829732916</v>
      </c>
      <c r="AJ177" s="70" t="n">
        <f aca="false">AJ168+AJ176</f>
        <v>159455.214381737</v>
      </c>
      <c r="AK177" s="70" t="n">
        <f aca="false">AK168+AK176</f>
        <v>160472.223644604</v>
      </c>
      <c r="AL177" s="70" t="n">
        <f aca="false">AL168+AL176</f>
        <v>144780.076305856</v>
      </c>
      <c r="AM177" s="70" t="n">
        <f aca="false">AM168+AM176</f>
        <v>150637.419717232</v>
      </c>
      <c r="AN177" s="70" t="n">
        <f aca="false">AN168+AN176</f>
        <v>151378.772922863</v>
      </c>
      <c r="AO177" s="70" t="n">
        <f aca="false">AO168+AO176</f>
        <v>169540.874219554</v>
      </c>
      <c r="AP177" s="70" t="n">
        <f aca="false">AP168+AP176</f>
        <v>170547.967362362</v>
      </c>
      <c r="AQ177" s="70" t="n">
        <f aca="false">AQ168+AQ176</f>
        <v>171514.776779458</v>
      </c>
      <c r="AR177" s="70" t="n">
        <f aca="false">AR168+AR176</f>
        <v>172442.913819871</v>
      </c>
      <c r="AS177" s="70" t="n">
        <f aca="false">AS168+AS176</f>
        <v>173333.925378666</v>
      </c>
      <c r="AT177" s="70" t="n">
        <f aca="false">AT168+AT176</f>
        <v>174189.29647511</v>
      </c>
      <c r="AU177" s="70" t="n">
        <f aca="false">AU168+AU176</f>
        <v>175010.452727697</v>
      </c>
      <c r="AV177" s="70" t="n">
        <f aca="false">AV168+AV176</f>
        <v>175798.762730179</v>
      </c>
      <c r="AW177" s="70" t="n">
        <f aca="false">AW168+AW176</f>
        <v>176555.540332563</v>
      </c>
      <c r="AX177" s="70" t="n">
        <f aca="false">AX168+AX176</f>
        <v>160159.017457995</v>
      </c>
      <c r="AY177" s="70" t="n">
        <f aca="false">AY168+AY176</f>
        <v>166150.823429579</v>
      </c>
      <c r="AZ177" s="70" t="n">
        <f aca="false">AZ168+AZ176</f>
        <v>166639.540370928</v>
      </c>
      <c r="BA177" s="70" t="n">
        <f aca="false">BA168+BA176</f>
        <v>185075.455707132</v>
      </c>
      <c r="BB177" s="70" t="n">
        <f aca="false">BB168+BB176</f>
        <v>185875.941786453</v>
      </c>
      <c r="BC177" s="70" t="n">
        <f aca="false">BC168+BC176</f>
        <v>186644.408422601</v>
      </c>
      <c r="BD177" s="70" t="n">
        <f aca="false">BD168+BD176</f>
        <v>187382.136393302</v>
      </c>
      <c r="BE177" s="70" t="n">
        <f aca="false">BE168+BE176</f>
        <v>188090.355245176</v>
      </c>
      <c r="BF177" s="70" t="n">
        <f aca="false">BF168+BF176</f>
        <v>188770.245342975</v>
      </c>
      <c r="BG177" s="70" t="n">
        <f aca="false">BG168+BG176</f>
        <v>189422.939836862</v>
      </c>
      <c r="BH177" s="70" t="n">
        <f aca="false">BH168+BH176</f>
        <v>190049.526550993</v>
      </c>
      <c r="BI177" s="70" t="n">
        <f aca="false">BI168+BI176</f>
        <v>190651.049796559</v>
      </c>
      <c r="BJ177" s="70" t="n">
        <f aca="false">BJ168+BJ176</f>
        <v>173525.101021179</v>
      </c>
    </row>
    <row r="179" customFormat="false" ht="15.75" hidden="false" customHeight="true" outlineLevel="0" collapsed="false">
      <c r="A179" s="7" t="s">
        <v>47</v>
      </c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</row>
    <row r="180" customFormat="false" ht="15" hidden="false" customHeight="false" outlineLevel="0" collapsed="false">
      <c r="A180" s="6" t="s">
        <v>342</v>
      </c>
      <c r="C180" s="69" t="n">
        <f aca="false">C259</f>
        <v>-36586.6666666667</v>
      </c>
      <c r="D180" s="69" t="n">
        <f aca="false">D259</f>
        <v>-36586.6666666667</v>
      </c>
      <c r="E180" s="69" t="n">
        <f aca="false">E259</f>
        <v>-36586.6666666667</v>
      </c>
      <c r="F180" s="69" t="n">
        <f aca="false">F259</f>
        <v>-36586.6666666667</v>
      </c>
      <c r="G180" s="69" t="n">
        <f aca="false">G259</f>
        <v>-36586.6666666667</v>
      </c>
      <c r="H180" s="69" t="n">
        <f aca="false">H259</f>
        <v>-36586.6666666667</v>
      </c>
      <c r="I180" s="69" t="n">
        <f aca="false">I259</f>
        <v>-36586.6666666667</v>
      </c>
      <c r="J180" s="69" t="n">
        <f aca="false">J259</f>
        <v>-36586.6666666667</v>
      </c>
      <c r="K180" s="69" t="n">
        <f aca="false">K259</f>
        <v>-36586.6666666667</v>
      </c>
      <c r="L180" s="69" t="n">
        <f aca="false">L259</f>
        <v>-36586.6666666667</v>
      </c>
      <c r="M180" s="69" t="n">
        <f aca="false">M259</f>
        <v>-36586.6666666667</v>
      </c>
      <c r="N180" s="69" t="n">
        <f aca="false">N259</f>
        <v>-36586.6666666667</v>
      </c>
      <c r="O180" s="69" t="n">
        <f aca="false">O259</f>
        <v>-37684.2666666667</v>
      </c>
      <c r="P180" s="69" t="n">
        <f aca="false">P259</f>
        <v>-37684.2666666667</v>
      </c>
      <c r="Q180" s="69" t="n">
        <f aca="false">Q259</f>
        <v>-37684.2666666667</v>
      </c>
      <c r="R180" s="69" t="n">
        <f aca="false">R259</f>
        <v>-37684.2666666667</v>
      </c>
      <c r="S180" s="69" t="n">
        <f aca="false">S259</f>
        <v>-37684.2666666667</v>
      </c>
      <c r="T180" s="69" t="n">
        <f aca="false">T259</f>
        <v>-37684.2666666667</v>
      </c>
      <c r="U180" s="69" t="n">
        <f aca="false">U259</f>
        <v>-37684.2666666667</v>
      </c>
      <c r="V180" s="69" t="n">
        <f aca="false">V259</f>
        <v>-37684.2666666667</v>
      </c>
      <c r="W180" s="69" t="n">
        <f aca="false">W259</f>
        <v>-37684.2666666667</v>
      </c>
      <c r="X180" s="69" t="n">
        <f aca="false">X259</f>
        <v>-37684.2666666667</v>
      </c>
      <c r="Y180" s="69" t="n">
        <f aca="false">Y259</f>
        <v>-37684.2666666667</v>
      </c>
      <c r="Z180" s="69" t="n">
        <f aca="false">Z259</f>
        <v>-37684.2666666667</v>
      </c>
      <c r="AA180" s="69" t="n">
        <f aca="false">AA259</f>
        <v>-38814.7946666667</v>
      </c>
      <c r="AB180" s="69" t="n">
        <f aca="false">AB259</f>
        <v>-38814.7946666667</v>
      </c>
      <c r="AC180" s="69" t="n">
        <f aca="false">AC259</f>
        <v>-38814.7946666667</v>
      </c>
      <c r="AD180" s="69" t="n">
        <f aca="false">AD259</f>
        <v>-38814.7946666667</v>
      </c>
      <c r="AE180" s="69" t="n">
        <f aca="false">AE259</f>
        <v>-38814.7946666667</v>
      </c>
      <c r="AF180" s="69" t="n">
        <f aca="false">AF259</f>
        <v>-38814.7946666667</v>
      </c>
      <c r="AG180" s="69" t="n">
        <f aca="false">AG259</f>
        <v>-38814.7946666667</v>
      </c>
      <c r="AH180" s="69" t="n">
        <f aca="false">AH259</f>
        <v>-38814.7946666667</v>
      </c>
      <c r="AI180" s="69" t="n">
        <f aca="false">AI259</f>
        <v>-38814.7946666667</v>
      </c>
      <c r="AJ180" s="69" t="n">
        <f aca="false">AJ259</f>
        <v>-38814.7946666667</v>
      </c>
      <c r="AK180" s="69" t="n">
        <f aca="false">AK259</f>
        <v>-38814.7946666667</v>
      </c>
      <c r="AL180" s="69" t="n">
        <f aca="false">AL259</f>
        <v>-38814.7946666667</v>
      </c>
      <c r="AM180" s="69" t="n">
        <f aca="false">AM259</f>
        <v>-39979.2385066667</v>
      </c>
      <c r="AN180" s="69" t="n">
        <f aca="false">AN259</f>
        <v>-39979.2385066667</v>
      </c>
      <c r="AO180" s="69" t="n">
        <f aca="false">AO259</f>
        <v>-39979.2385066667</v>
      </c>
      <c r="AP180" s="69" t="n">
        <f aca="false">AP259</f>
        <v>-39979.2385066667</v>
      </c>
      <c r="AQ180" s="69" t="n">
        <f aca="false">AQ259</f>
        <v>-39979.2385066667</v>
      </c>
      <c r="AR180" s="69" t="n">
        <f aca="false">AR259</f>
        <v>-39979.2385066667</v>
      </c>
      <c r="AS180" s="69" t="n">
        <f aca="false">AS259</f>
        <v>-39979.2385066667</v>
      </c>
      <c r="AT180" s="69" t="n">
        <f aca="false">AT259</f>
        <v>-39979.2385066667</v>
      </c>
      <c r="AU180" s="69" t="n">
        <f aca="false">AU259</f>
        <v>-39979.2385066667</v>
      </c>
      <c r="AV180" s="69" t="n">
        <f aca="false">AV259</f>
        <v>-39979.2385066667</v>
      </c>
      <c r="AW180" s="69" t="n">
        <f aca="false">AW259</f>
        <v>-39979.2385066667</v>
      </c>
      <c r="AX180" s="69" t="n">
        <f aca="false">AX259</f>
        <v>-39979.2385066667</v>
      </c>
      <c r="AY180" s="69" t="n">
        <f aca="false">AY259</f>
        <v>-41178.6156618667</v>
      </c>
      <c r="AZ180" s="69" t="n">
        <f aca="false">AZ259</f>
        <v>-41178.6156618667</v>
      </c>
      <c r="BA180" s="69" t="n">
        <f aca="false">BA259</f>
        <v>-41178.6156618667</v>
      </c>
      <c r="BB180" s="69" t="n">
        <f aca="false">BB259</f>
        <v>-41178.6156618667</v>
      </c>
      <c r="BC180" s="69" t="n">
        <f aca="false">BC259</f>
        <v>-41178.6156618667</v>
      </c>
      <c r="BD180" s="69" t="n">
        <f aca="false">BD259</f>
        <v>-41178.6156618667</v>
      </c>
      <c r="BE180" s="69" t="n">
        <f aca="false">BE259</f>
        <v>-41178.6156618667</v>
      </c>
      <c r="BF180" s="69" t="n">
        <f aca="false">BF259</f>
        <v>-41178.6156618667</v>
      </c>
      <c r="BG180" s="69" t="n">
        <f aca="false">BG259</f>
        <v>-41178.6156618667</v>
      </c>
      <c r="BH180" s="69" t="n">
        <f aca="false">BH259</f>
        <v>-41178.6156618667</v>
      </c>
      <c r="BI180" s="69" t="n">
        <f aca="false">BI259</f>
        <v>-41178.6156618667</v>
      </c>
      <c r="BJ180" s="69" t="n">
        <f aca="false">BJ259</f>
        <v>-41178.6156618667</v>
      </c>
    </row>
    <row r="181" customFormat="false" ht="15" hidden="false" customHeight="false" outlineLevel="0" collapsed="false">
      <c r="A181" s="6" t="s">
        <v>343</v>
      </c>
      <c r="C181" s="69" t="n">
        <f aca="false">-Inputs!$C$42*(1+Inputs!$C$43)^(C$136-1)*1</f>
        <v>-30000</v>
      </c>
      <c r="D181" s="69" t="n">
        <f aca="false">-Inputs!$C$42*(1+Inputs!$C$43)^(D$136-1)*1</f>
        <v>-30000</v>
      </c>
      <c r="E181" s="69" t="n">
        <f aca="false">-Inputs!$C$42*(1+Inputs!$C$43)^(E$136-1)*1</f>
        <v>-30000</v>
      </c>
      <c r="F181" s="69" t="n">
        <f aca="false">-Inputs!$C$42*(1+Inputs!$C$43)^(F$136-1)*1</f>
        <v>-30000</v>
      </c>
      <c r="G181" s="69" t="n">
        <f aca="false">-Inputs!$C$42*(1+Inputs!$C$43)^(G$136-1)*1</f>
        <v>-30000</v>
      </c>
      <c r="H181" s="69" t="n">
        <f aca="false">-Inputs!$C$42*(1+Inputs!$C$43)^(H$136-1)*1</f>
        <v>-30000</v>
      </c>
      <c r="I181" s="69" t="n">
        <f aca="false">-Inputs!$C$42*(1+Inputs!$C$43)^(I$136-1)*1</f>
        <v>-30000</v>
      </c>
      <c r="J181" s="69" t="n">
        <f aca="false">-Inputs!$C$42*(1+Inputs!$C$43)^(J$136-1)*1</f>
        <v>-30000</v>
      </c>
      <c r="K181" s="69" t="n">
        <f aca="false">-Inputs!$C$42*(1+Inputs!$C$43)^(K$136-1)*1</f>
        <v>-30000</v>
      </c>
      <c r="L181" s="69" t="n">
        <f aca="false">-Inputs!$C$42*(1+Inputs!$C$43)^(L$136-1)*1</f>
        <v>-30000</v>
      </c>
      <c r="M181" s="69" t="n">
        <f aca="false">-Inputs!$C$42*(1+Inputs!$C$43)^(M$136-1)*1</f>
        <v>-30000</v>
      </c>
      <c r="N181" s="69" t="n">
        <f aca="false">-Inputs!$C$42*(1+Inputs!$C$43)^(N$136-1)*1</f>
        <v>-30000</v>
      </c>
      <c r="O181" s="69" t="n">
        <f aca="false">-Inputs!$C$42*(1+Inputs!$C$43)^(O$136-1)*1</f>
        <v>-30900</v>
      </c>
      <c r="P181" s="69" t="n">
        <f aca="false">-Inputs!$C$42*(1+Inputs!$C$43)^(P$136-1)*1</f>
        <v>-30900</v>
      </c>
      <c r="Q181" s="69" t="n">
        <f aca="false">-Inputs!$C$42*(1+Inputs!$C$43)^(Q$136-1)*1</f>
        <v>-30900</v>
      </c>
      <c r="R181" s="69" t="n">
        <f aca="false">-Inputs!$C$42*(1+Inputs!$C$43)^(R$136-1)*1</f>
        <v>-30900</v>
      </c>
      <c r="S181" s="69" t="n">
        <f aca="false">-Inputs!$C$42*(1+Inputs!$C$43)^(S$136-1)*1</f>
        <v>-30900</v>
      </c>
      <c r="T181" s="69" t="n">
        <f aca="false">-Inputs!$C$42*(1+Inputs!$C$43)^(T$136-1)*1</f>
        <v>-30900</v>
      </c>
      <c r="U181" s="69" t="n">
        <f aca="false">-Inputs!$C$42*(1+Inputs!$C$43)^(U$136-1)*1</f>
        <v>-30900</v>
      </c>
      <c r="V181" s="69" t="n">
        <f aca="false">-Inputs!$C$42*(1+Inputs!$C$43)^(V$136-1)*1</f>
        <v>-30900</v>
      </c>
      <c r="W181" s="69" t="n">
        <f aca="false">-Inputs!$C$42*(1+Inputs!$C$43)^(W$136-1)*1</f>
        <v>-30900</v>
      </c>
      <c r="X181" s="69" t="n">
        <f aca="false">-Inputs!$C$42*(1+Inputs!$C$43)^(X$136-1)*1</f>
        <v>-30900</v>
      </c>
      <c r="Y181" s="69" t="n">
        <f aca="false">-Inputs!$C$42*(1+Inputs!$C$43)^(Y$136-1)*1</f>
        <v>-30900</v>
      </c>
      <c r="Z181" s="69" t="n">
        <f aca="false">-Inputs!$C$42*(1+Inputs!$C$43)^(Z$136-1)*1</f>
        <v>-30900</v>
      </c>
      <c r="AA181" s="69" t="n">
        <f aca="false">-Inputs!$C$42*(1+Inputs!$C$43)^(AA$136-1)*1</f>
        <v>-31827</v>
      </c>
      <c r="AB181" s="69" t="n">
        <f aca="false">-Inputs!$C$42*(1+Inputs!$C$43)^(AB$136-1)*1</f>
        <v>-31827</v>
      </c>
      <c r="AC181" s="69" t="n">
        <f aca="false">-Inputs!$C$42*(1+Inputs!$C$43)^(AC$136-1)*1</f>
        <v>-31827</v>
      </c>
      <c r="AD181" s="69" t="n">
        <f aca="false">-Inputs!$C$42*(1+Inputs!$C$43)^(AD$136-1)*1</f>
        <v>-31827</v>
      </c>
      <c r="AE181" s="69" t="n">
        <f aca="false">-Inputs!$C$42*(1+Inputs!$C$43)^(AE$136-1)*1</f>
        <v>-31827</v>
      </c>
      <c r="AF181" s="69" t="n">
        <f aca="false">-Inputs!$C$42*(1+Inputs!$C$43)^(AF$136-1)*1</f>
        <v>-31827</v>
      </c>
      <c r="AG181" s="69" t="n">
        <f aca="false">-Inputs!$C$42*(1+Inputs!$C$43)^(AG$136-1)*1</f>
        <v>-31827</v>
      </c>
      <c r="AH181" s="69" t="n">
        <f aca="false">-Inputs!$C$42*(1+Inputs!$C$43)^(AH$136-1)*1</f>
        <v>-31827</v>
      </c>
      <c r="AI181" s="69" t="n">
        <f aca="false">-Inputs!$C$42*(1+Inputs!$C$43)^(AI$136-1)*1</f>
        <v>-31827</v>
      </c>
      <c r="AJ181" s="69" t="n">
        <f aca="false">-Inputs!$C$42*(1+Inputs!$C$43)^(AJ$136-1)*1</f>
        <v>-31827</v>
      </c>
      <c r="AK181" s="69" t="n">
        <f aca="false">-Inputs!$C$42*(1+Inputs!$C$43)^(AK$136-1)*1</f>
        <v>-31827</v>
      </c>
      <c r="AL181" s="69" t="n">
        <f aca="false">-Inputs!$C$42*(1+Inputs!$C$43)^(AL$136-1)*1</f>
        <v>-31827</v>
      </c>
      <c r="AM181" s="69" t="n">
        <f aca="false">-Inputs!$C$42*(1+Inputs!$C$43)^(AM$136-1)*1</f>
        <v>-32781.81</v>
      </c>
      <c r="AN181" s="69" t="n">
        <f aca="false">-Inputs!$C$42*(1+Inputs!$C$43)^(AN$136-1)*1</f>
        <v>-32781.81</v>
      </c>
      <c r="AO181" s="69" t="n">
        <f aca="false">-Inputs!$C$42*(1+Inputs!$C$43)^(AO$136-1)*1</f>
        <v>-32781.81</v>
      </c>
      <c r="AP181" s="69" t="n">
        <f aca="false">-Inputs!$C$42*(1+Inputs!$C$43)^(AP$136-1)*1</f>
        <v>-32781.81</v>
      </c>
      <c r="AQ181" s="69" t="n">
        <f aca="false">-Inputs!$C$42*(1+Inputs!$C$43)^(AQ$136-1)*1</f>
        <v>-32781.81</v>
      </c>
      <c r="AR181" s="69" t="n">
        <f aca="false">-Inputs!$C$42*(1+Inputs!$C$43)^(AR$136-1)*1</f>
        <v>-32781.81</v>
      </c>
      <c r="AS181" s="69" t="n">
        <f aca="false">-Inputs!$C$42*(1+Inputs!$C$43)^(AS$136-1)*1</f>
        <v>-32781.81</v>
      </c>
      <c r="AT181" s="69" t="n">
        <f aca="false">-Inputs!$C$42*(1+Inputs!$C$43)^(AT$136-1)*1</f>
        <v>-32781.81</v>
      </c>
      <c r="AU181" s="69" t="n">
        <f aca="false">-Inputs!$C$42*(1+Inputs!$C$43)^(AU$136-1)*1</f>
        <v>-32781.81</v>
      </c>
      <c r="AV181" s="69" t="n">
        <f aca="false">-Inputs!$C$42*(1+Inputs!$C$43)^(AV$136-1)*1</f>
        <v>-32781.81</v>
      </c>
      <c r="AW181" s="69" t="n">
        <f aca="false">-Inputs!$C$42*(1+Inputs!$C$43)^(AW$136-1)*1</f>
        <v>-32781.81</v>
      </c>
      <c r="AX181" s="69" t="n">
        <f aca="false">-Inputs!$C$42*(1+Inputs!$C$43)^(AX$136-1)*1</f>
        <v>-32781.81</v>
      </c>
      <c r="AY181" s="69" t="n">
        <f aca="false">-Inputs!$C$42*(1+Inputs!$C$43)^(AY$136-1)*1</f>
        <v>-33765.2643</v>
      </c>
      <c r="AZ181" s="69" t="n">
        <f aca="false">-Inputs!$C$42*(1+Inputs!$C$43)^(AZ$136-1)*1</f>
        <v>-33765.2643</v>
      </c>
      <c r="BA181" s="69" t="n">
        <f aca="false">-Inputs!$C$42*(1+Inputs!$C$43)^(BA$136-1)*1</f>
        <v>-33765.2643</v>
      </c>
      <c r="BB181" s="69" t="n">
        <f aca="false">-Inputs!$C$42*(1+Inputs!$C$43)^(BB$136-1)*1</f>
        <v>-33765.2643</v>
      </c>
      <c r="BC181" s="69" t="n">
        <f aca="false">-Inputs!$C$42*(1+Inputs!$C$43)^(BC$136-1)*1</f>
        <v>-33765.2643</v>
      </c>
      <c r="BD181" s="69" t="n">
        <f aca="false">-Inputs!$C$42*(1+Inputs!$C$43)^(BD$136-1)*1</f>
        <v>-33765.2643</v>
      </c>
      <c r="BE181" s="69" t="n">
        <f aca="false">-Inputs!$C$42*(1+Inputs!$C$43)^(BE$136-1)*1</f>
        <v>-33765.2643</v>
      </c>
      <c r="BF181" s="69" t="n">
        <f aca="false">-Inputs!$C$42*(1+Inputs!$C$43)^(BF$136-1)*1</f>
        <v>-33765.2643</v>
      </c>
      <c r="BG181" s="69" t="n">
        <f aca="false">-Inputs!$C$42*(1+Inputs!$C$43)^(BG$136-1)*1</f>
        <v>-33765.2643</v>
      </c>
      <c r="BH181" s="69" t="n">
        <f aca="false">-Inputs!$C$42*(1+Inputs!$C$43)^(BH$136-1)*1</f>
        <v>-33765.2643</v>
      </c>
      <c r="BI181" s="69" t="n">
        <f aca="false">-Inputs!$C$42*(1+Inputs!$C$43)^(BI$136-1)*1</f>
        <v>-33765.2643</v>
      </c>
      <c r="BJ181" s="69" t="n">
        <f aca="false">-Inputs!$C$42*(1+Inputs!$C$43)^(BJ$136-1)*1</f>
        <v>-33765.2643</v>
      </c>
    </row>
    <row r="182" customFormat="false" ht="15" hidden="false" customHeight="false" outlineLevel="0" collapsed="false">
      <c r="A182" s="6" t="s">
        <v>344</v>
      </c>
      <c r="C182" s="69" t="n">
        <f aca="false">-Inputs!$C$44*(1+Inputs!$C$39)^(C$136-1)*1</f>
        <v>-5500</v>
      </c>
      <c r="D182" s="69" t="n">
        <f aca="false">-Inputs!$C$44*(1+Inputs!$C$39)^(D$136-1)*1</f>
        <v>-5500</v>
      </c>
      <c r="E182" s="69" t="n">
        <f aca="false">-Inputs!$C$44*(1+Inputs!$C$39)^(E$136-1)*1</f>
        <v>-5500</v>
      </c>
      <c r="F182" s="69" t="n">
        <f aca="false">-Inputs!$C$44*(1+Inputs!$C$39)^(F$136-1)*1</f>
        <v>-5500</v>
      </c>
      <c r="G182" s="69" t="n">
        <f aca="false">-Inputs!$C$44*(1+Inputs!$C$39)^(G$136-1)*1</f>
        <v>-5500</v>
      </c>
      <c r="H182" s="69" t="n">
        <f aca="false">-Inputs!$C$44*(1+Inputs!$C$39)^(H$136-1)*1</f>
        <v>-5500</v>
      </c>
      <c r="I182" s="69" t="n">
        <f aca="false">-Inputs!$C$44*(1+Inputs!$C$39)^(I$136-1)*1</f>
        <v>-5500</v>
      </c>
      <c r="J182" s="69" t="n">
        <f aca="false">-Inputs!$C$44*(1+Inputs!$C$39)^(J$136-1)*1</f>
        <v>-5500</v>
      </c>
      <c r="K182" s="69" t="n">
        <f aca="false">-Inputs!$C$44*(1+Inputs!$C$39)^(K$136-1)*1</f>
        <v>-5500</v>
      </c>
      <c r="L182" s="69" t="n">
        <f aca="false">-Inputs!$C$44*(1+Inputs!$C$39)^(L$136-1)*1</f>
        <v>-5500</v>
      </c>
      <c r="M182" s="69" t="n">
        <f aca="false">-Inputs!$C$44*(1+Inputs!$C$39)^(M$136-1)*1</f>
        <v>-5500</v>
      </c>
      <c r="N182" s="69" t="n">
        <f aca="false">-Inputs!$C$44*(1+Inputs!$C$39)^(N$136-1)*1</f>
        <v>-5500</v>
      </c>
      <c r="O182" s="69" t="n">
        <f aca="false">-Inputs!$C$44*(1+Inputs!$C$39)^(O$136-1)*1</f>
        <v>-5665</v>
      </c>
      <c r="P182" s="69" t="n">
        <f aca="false">-Inputs!$C$44*(1+Inputs!$C$39)^(P$136-1)*1</f>
        <v>-5665</v>
      </c>
      <c r="Q182" s="69" t="n">
        <f aca="false">-Inputs!$C$44*(1+Inputs!$C$39)^(Q$136-1)*1</f>
        <v>-5665</v>
      </c>
      <c r="R182" s="69" t="n">
        <f aca="false">-Inputs!$C$44*(1+Inputs!$C$39)^(R$136-1)*1</f>
        <v>-5665</v>
      </c>
      <c r="S182" s="69" t="n">
        <f aca="false">-Inputs!$C$44*(1+Inputs!$C$39)^(S$136-1)*1</f>
        <v>-5665</v>
      </c>
      <c r="T182" s="69" t="n">
        <f aca="false">-Inputs!$C$44*(1+Inputs!$C$39)^(T$136-1)*1</f>
        <v>-5665</v>
      </c>
      <c r="U182" s="69" t="n">
        <f aca="false">-Inputs!$C$44*(1+Inputs!$C$39)^(U$136-1)*1</f>
        <v>-5665</v>
      </c>
      <c r="V182" s="69" t="n">
        <f aca="false">-Inputs!$C$44*(1+Inputs!$C$39)^(V$136-1)*1</f>
        <v>-5665</v>
      </c>
      <c r="W182" s="69" t="n">
        <f aca="false">-Inputs!$C$44*(1+Inputs!$C$39)^(W$136-1)*1</f>
        <v>-5665</v>
      </c>
      <c r="X182" s="69" t="n">
        <f aca="false">-Inputs!$C$44*(1+Inputs!$C$39)^(X$136-1)*1</f>
        <v>-5665</v>
      </c>
      <c r="Y182" s="69" t="n">
        <f aca="false">-Inputs!$C$44*(1+Inputs!$C$39)^(Y$136-1)*1</f>
        <v>-5665</v>
      </c>
      <c r="Z182" s="69" t="n">
        <f aca="false">-Inputs!$C$44*(1+Inputs!$C$39)^(Z$136-1)*1</f>
        <v>-5665</v>
      </c>
      <c r="AA182" s="69" t="n">
        <f aca="false">-Inputs!$C$44*(1+Inputs!$C$39)^(AA$136-1)*1</f>
        <v>-5834.95</v>
      </c>
      <c r="AB182" s="69" t="n">
        <f aca="false">-Inputs!$C$44*(1+Inputs!$C$39)^(AB$136-1)*1</f>
        <v>-5834.95</v>
      </c>
      <c r="AC182" s="69" t="n">
        <f aca="false">-Inputs!$C$44*(1+Inputs!$C$39)^(AC$136-1)*1</f>
        <v>-5834.95</v>
      </c>
      <c r="AD182" s="69" t="n">
        <f aca="false">-Inputs!$C$44*(1+Inputs!$C$39)^(AD$136-1)*1</f>
        <v>-5834.95</v>
      </c>
      <c r="AE182" s="69" t="n">
        <f aca="false">-Inputs!$C$44*(1+Inputs!$C$39)^(AE$136-1)*1</f>
        <v>-5834.95</v>
      </c>
      <c r="AF182" s="69" t="n">
        <f aca="false">-Inputs!$C$44*(1+Inputs!$C$39)^(AF$136-1)*1</f>
        <v>-5834.95</v>
      </c>
      <c r="AG182" s="69" t="n">
        <f aca="false">-Inputs!$C$44*(1+Inputs!$C$39)^(AG$136-1)*1</f>
        <v>-5834.95</v>
      </c>
      <c r="AH182" s="69" t="n">
        <f aca="false">-Inputs!$C$44*(1+Inputs!$C$39)^(AH$136-1)*1</f>
        <v>-5834.95</v>
      </c>
      <c r="AI182" s="69" t="n">
        <f aca="false">-Inputs!$C$44*(1+Inputs!$C$39)^(AI$136-1)*1</f>
        <v>-5834.95</v>
      </c>
      <c r="AJ182" s="69" t="n">
        <f aca="false">-Inputs!$C$44*(1+Inputs!$C$39)^(AJ$136-1)*1</f>
        <v>-5834.95</v>
      </c>
      <c r="AK182" s="69" t="n">
        <f aca="false">-Inputs!$C$44*(1+Inputs!$C$39)^(AK$136-1)*1</f>
        <v>-5834.95</v>
      </c>
      <c r="AL182" s="69" t="n">
        <f aca="false">-Inputs!$C$44*(1+Inputs!$C$39)^(AL$136-1)*1</f>
        <v>-5834.95</v>
      </c>
      <c r="AM182" s="69" t="n">
        <f aca="false">-Inputs!$C$44*(1+Inputs!$C$39)^(AM$136-1)*1</f>
        <v>-6009.9985</v>
      </c>
      <c r="AN182" s="69" t="n">
        <f aca="false">-Inputs!$C$44*(1+Inputs!$C$39)^(AN$136-1)*1</f>
        <v>-6009.9985</v>
      </c>
      <c r="AO182" s="69" t="n">
        <f aca="false">-Inputs!$C$44*(1+Inputs!$C$39)^(AO$136-1)*1</f>
        <v>-6009.9985</v>
      </c>
      <c r="AP182" s="69" t="n">
        <f aca="false">-Inputs!$C$44*(1+Inputs!$C$39)^(AP$136-1)*1</f>
        <v>-6009.9985</v>
      </c>
      <c r="AQ182" s="69" t="n">
        <f aca="false">-Inputs!$C$44*(1+Inputs!$C$39)^(AQ$136-1)*1</f>
        <v>-6009.9985</v>
      </c>
      <c r="AR182" s="69" t="n">
        <f aca="false">-Inputs!$C$44*(1+Inputs!$C$39)^(AR$136-1)*1</f>
        <v>-6009.9985</v>
      </c>
      <c r="AS182" s="69" t="n">
        <f aca="false">-Inputs!$C$44*(1+Inputs!$C$39)^(AS$136-1)*1</f>
        <v>-6009.9985</v>
      </c>
      <c r="AT182" s="69" t="n">
        <f aca="false">-Inputs!$C$44*(1+Inputs!$C$39)^(AT$136-1)*1</f>
        <v>-6009.9985</v>
      </c>
      <c r="AU182" s="69" t="n">
        <f aca="false">-Inputs!$C$44*(1+Inputs!$C$39)^(AU$136-1)*1</f>
        <v>-6009.9985</v>
      </c>
      <c r="AV182" s="69" t="n">
        <f aca="false">-Inputs!$C$44*(1+Inputs!$C$39)^(AV$136-1)*1</f>
        <v>-6009.9985</v>
      </c>
      <c r="AW182" s="69" t="n">
        <f aca="false">-Inputs!$C$44*(1+Inputs!$C$39)^(AW$136-1)*1</f>
        <v>-6009.9985</v>
      </c>
      <c r="AX182" s="69" t="n">
        <f aca="false">-Inputs!$C$44*(1+Inputs!$C$39)^(AX$136-1)*1</f>
        <v>-6009.9985</v>
      </c>
      <c r="AY182" s="69" t="n">
        <f aca="false">-Inputs!$C$44*(1+Inputs!$C$39)^(AY$136-1)*1</f>
        <v>-6190.298455</v>
      </c>
      <c r="AZ182" s="69" t="n">
        <f aca="false">-Inputs!$C$44*(1+Inputs!$C$39)^(AZ$136-1)*1</f>
        <v>-6190.298455</v>
      </c>
      <c r="BA182" s="69" t="n">
        <f aca="false">-Inputs!$C$44*(1+Inputs!$C$39)^(BA$136-1)*1</f>
        <v>-6190.298455</v>
      </c>
      <c r="BB182" s="69" t="n">
        <f aca="false">-Inputs!$C$44*(1+Inputs!$C$39)^(BB$136-1)*1</f>
        <v>-6190.298455</v>
      </c>
      <c r="BC182" s="69" t="n">
        <f aca="false">-Inputs!$C$44*(1+Inputs!$C$39)^(BC$136-1)*1</f>
        <v>-6190.298455</v>
      </c>
      <c r="BD182" s="69" t="n">
        <f aca="false">-Inputs!$C$44*(1+Inputs!$C$39)^(BD$136-1)*1</f>
        <v>-6190.298455</v>
      </c>
      <c r="BE182" s="69" t="n">
        <f aca="false">-Inputs!$C$44*(1+Inputs!$C$39)^(BE$136-1)*1</f>
        <v>-6190.298455</v>
      </c>
      <c r="BF182" s="69" t="n">
        <f aca="false">-Inputs!$C$44*(1+Inputs!$C$39)^(BF$136-1)*1</f>
        <v>-6190.298455</v>
      </c>
      <c r="BG182" s="69" t="n">
        <f aca="false">-Inputs!$C$44*(1+Inputs!$C$39)^(BG$136-1)*1</f>
        <v>-6190.298455</v>
      </c>
      <c r="BH182" s="69" t="n">
        <f aca="false">-Inputs!$C$44*(1+Inputs!$C$39)^(BH$136-1)*1</f>
        <v>-6190.298455</v>
      </c>
      <c r="BI182" s="69" t="n">
        <f aca="false">-Inputs!$C$44*(1+Inputs!$C$39)^(BI$136-1)*1</f>
        <v>-6190.298455</v>
      </c>
      <c r="BJ182" s="69" t="n">
        <f aca="false">-Inputs!$C$44*(1+Inputs!$C$39)^(BJ$136-1)*1</f>
        <v>-6190.298455</v>
      </c>
    </row>
    <row r="183" customFormat="false" ht="15" hidden="false" customHeight="false" outlineLevel="0" collapsed="false">
      <c r="A183" s="6" t="s">
        <v>345</v>
      </c>
      <c r="C183" s="69" t="n">
        <f aca="false">-Inputs!$C$45*(1+Inputs!$C$39)^(C$136-1)*1</f>
        <v>-9500</v>
      </c>
      <c r="D183" s="69" t="n">
        <f aca="false">-Inputs!$C$45*(1+Inputs!$C$39)^(D$136-1)*1</f>
        <v>-9500</v>
      </c>
      <c r="E183" s="69" t="n">
        <f aca="false">-Inputs!$C$45*(1+Inputs!$C$39)^(E$136-1)*1</f>
        <v>-9500</v>
      </c>
      <c r="F183" s="69" t="n">
        <f aca="false">-Inputs!$C$45*(1+Inputs!$C$39)^(F$136-1)*1</f>
        <v>-9500</v>
      </c>
      <c r="G183" s="69" t="n">
        <f aca="false">-Inputs!$C$45*(1+Inputs!$C$39)^(G$136-1)*1</f>
        <v>-9500</v>
      </c>
      <c r="H183" s="69" t="n">
        <f aca="false">-Inputs!$C$45*(1+Inputs!$C$39)^(H$136-1)*1</f>
        <v>-9500</v>
      </c>
      <c r="I183" s="69" t="n">
        <f aca="false">-Inputs!$C$45*(1+Inputs!$C$39)^(I$136-1)*1</f>
        <v>-9500</v>
      </c>
      <c r="J183" s="69" t="n">
        <f aca="false">-Inputs!$C$45*(1+Inputs!$C$39)^(J$136-1)*1</f>
        <v>-9500</v>
      </c>
      <c r="K183" s="69" t="n">
        <f aca="false">-Inputs!$C$45*(1+Inputs!$C$39)^(K$136-1)*1</f>
        <v>-9500</v>
      </c>
      <c r="L183" s="69" t="n">
        <f aca="false">-Inputs!$C$45*(1+Inputs!$C$39)^(L$136-1)*1</f>
        <v>-9500</v>
      </c>
      <c r="M183" s="69" t="n">
        <f aca="false">-Inputs!$C$45*(1+Inputs!$C$39)^(M$136-1)*1</f>
        <v>-9500</v>
      </c>
      <c r="N183" s="69" t="n">
        <f aca="false">-Inputs!$C$45*(1+Inputs!$C$39)^(N$136-1)*1</f>
        <v>-9500</v>
      </c>
      <c r="O183" s="69" t="n">
        <f aca="false">-Inputs!$C$45*(1+Inputs!$C$39)^(O$136-1)*1</f>
        <v>-9785</v>
      </c>
      <c r="P183" s="69" t="n">
        <f aca="false">-Inputs!$C$45*(1+Inputs!$C$39)^(P$136-1)*1</f>
        <v>-9785</v>
      </c>
      <c r="Q183" s="69" t="n">
        <f aca="false">-Inputs!$C$45*(1+Inputs!$C$39)^(Q$136-1)*1</f>
        <v>-9785</v>
      </c>
      <c r="R183" s="69" t="n">
        <f aca="false">-Inputs!$C$45*(1+Inputs!$C$39)^(R$136-1)*1</f>
        <v>-9785</v>
      </c>
      <c r="S183" s="69" t="n">
        <f aca="false">-Inputs!$C$45*(1+Inputs!$C$39)^(S$136-1)*1</f>
        <v>-9785</v>
      </c>
      <c r="T183" s="69" t="n">
        <f aca="false">-Inputs!$C$45*(1+Inputs!$C$39)^(T$136-1)*1</f>
        <v>-9785</v>
      </c>
      <c r="U183" s="69" t="n">
        <f aca="false">-Inputs!$C$45*(1+Inputs!$C$39)^(U$136-1)*1</f>
        <v>-9785</v>
      </c>
      <c r="V183" s="69" t="n">
        <f aca="false">-Inputs!$C$45*(1+Inputs!$C$39)^(V$136-1)*1</f>
        <v>-9785</v>
      </c>
      <c r="W183" s="69" t="n">
        <f aca="false">-Inputs!$C$45*(1+Inputs!$C$39)^(W$136-1)*1</f>
        <v>-9785</v>
      </c>
      <c r="X183" s="69" t="n">
        <f aca="false">-Inputs!$C$45*(1+Inputs!$C$39)^(X$136-1)*1</f>
        <v>-9785</v>
      </c>
      <c r="Y183" s="69" t="n">
        <f aca="false">-Inputs!$C$45*(1+Inputs!$C$39)^(Y$136-1)*1</f>
        <v>-9785</v>
      </c>
      <c r="Z183" s="69" t="n">
        <f aca="false">-Inputs!$C$45*(1+Inputs!$C$39)^(Z$136-1)*1</f>
        <v>-9785</v>
      </c>
      <c r="AA183" s="69" t="n">
        <f aca="false">-Inputs!$C$45*(1+Inputs!$C$39)^(AA$136-1)*1</f>
        <v>-10078.55</v>
      </c>
      <c r="AB183" s="69" t="n">
        <f aca="false">-Inputs!$C$45*(1+Inputs!$C$39)^(AB$136-1)*1</f>
        <v>-10078.55</v>
      </c>
      <c r="AC183" s="69" t="n">
        <f aca="false">-Inputs!$C$45*(1+Inputs!$C$39)^(AC$136-1)*1</f>
        <v>-10078.55</v>
      </c>
      <c r="AD183" s="69" t="n">
        <f aca="false">-Inputs!$C$45*(1+Inputs!$C$39)^(AD$136-1)*1</f>
        <v>-10078.55</v>
      </c>
      <c r="AE183" s="69" t="n">
        <f aca="false">-Inputs!$C$45*(1+Inputs!$C$39)^(AE$136-1)*1</f>
        <v>-10078.55</v>
      </c>
      <c r="AF183" s="69" t="n">
        <f aca="false">-Inputs!$C$45*(1+Inputs!$C$39)^(AF$136-1)*1</f>
        <v>-10078.55</v>
      </c>
      <c r="AG183" s="69" t="n">
        <f aca="false">-Inputs!$C$45*(1+Inputs!$C$39)^(AG$136-1)*1</f>
        <v>-10078.55</v>
      </c>
      <c r="AH183" s="69" t="n">
        <f aca="false">-Inputs!$C$45*(1+Inputs!$C$39)^(AH$136-1)*1</f>
        <v>-10078.55</v>
      </c>
      <c r="AI183" s="69" t="n">
        <f aca="false">-Inputs!$C$45*(1+Inputs!$C$39)^(AI$136-1)*1</f>
        <v>-10078.55</v>
      </c>
      <c r="AJ183" s="69" t="n">
        <f aca="false">-Inputs!$C$45*(1+Inputs!$C$39)^(AJ$136-1)*1</f>
        <v>-10078.55</v>
      </c>
      <c r="AK183" s="69" t="n">
        <f aca="false">-Inputs!$C$45*(1+Inputs!$C$39)^(AK$136-1)*1</f>
        <v>-10078.55</v>
      </c>
      <c r="AL183" s="69" t="n">
        <f aca="false">-Inputs!$C$45*(1+Inputs!$C$39)^(AL$136-1)*1</f>
        <v>-10078.55</v>
      </c>
      <c r="AM183" s="69" t="n">
        <f aca="false">-Inputs!$C$45*(1+Inputs!$C$39)^(AM$136-1)*1</f>
        <v>-10380.9065</v>
      </c>
      <c r="AN183" s="69" t="n">
        <f aca="false">-Inputs!$C$45*(1+Inputs!$C$39)^(AN$136-1)*1</f>
        <v>-10380.9065</v>
      </c>
      <c r="AO183" s="69" t="n">
        <f aca="false">-Inputs!$C$45*(1+Inputs!$C$39)^(AO$136-1)*1</f>
        <v>-10380.9065</v>
      </c>
      <c r="AP183" s="69" t="n">
        <f aca="false">-Inputs!$C$45*(1+Inputs!$C$39)^(AP$136-1)*1</f>
        <v>-10380.9065</v>
      </c>
      <c r="AQ183" s="69" t="n">
        <f aca="false">-Inputs!$C$45*(1+Inputs!$C$39)^(AQ$136-1)*1</f>
        <v>-10380.9065</v>
      </c>
      <c r="AR183" s="69" t="n">
        <f aca="false">-Inputs!$C$45*(1+Inputs!$C$39)^(AR$136-1)*1</f>
        <v>-10380.9065</v>
      </c>
      <c r="AS183" s="69" t="n">
        <f aca="false">-Inputs!$C$45*(1+Inputs!$C$39)^(AS$136-1)*1</f>
        <v>-10380.9065</v>
      </c>
      <c r="AT183" s="69" t="n">
        <f aca="false">-Inputs!$C$45*(1+Inputs!$C$39)^(AT$136-1)*1</f>
        <v>-10380.9065</v>
      </c>
      <c r="AU183" s="69" t="n">
        <f aca="false">-Inputs!$C$45*(1+Inputs!$C$39)^(AU$136-1)*1</f>
        <v>-10380.9065</v>
      </c>
      <c r="AV183" s="69" t="n">
        <f aca="false">-Inputs!$C$45*(1+Inputs!$C$39)^(AV$136-1)*1</f>
        <v>-10380.9065</v>
      </c>
      <c r="AW183" s="69" t="n">
        <f aca="false">-Inputs!$C$45*(1+Inputs!$C$39)^(AW$136-1)*1</f>
        <v>-10380.9065</v>
      </c>
      <c r="AX183" s="69" t="n">
        <f aca="false">-Inputs!$C$45*(1+Inputs!$C$39)^(AX$136-1)*1</f>
        <v>-10380.9065</v>
      </c>
      <c r="AY183" s="69" t="n">
        <f aca="false">-Inputs!$C$45*(1+Inputs!$C$39)^(AY$136-1)*1</f>
        <v>-10692.333695</v>
      </c>
      <c r="AZ183" s="69" t="n">
        <f aca="false">-Inputs!$C$45*(1+Inputs!$C$39)^(AZ$136-1)*1</f>
        <v>-10692.333695</v>
      </c>
      <c r="BA183" s="69" t="n">
        <f aca="false">-Inputs!$C$45*(1+Inputs!$C$39)^(BA$136-1)*1</f>
        <v>-10692.333695</v>
      </c>
      <c r="BB183" s="69" t="n">
        <f aca="false">-Inputs!$C$45*(1+Inputs!$C$39)^(BB$136-1)*1</f>
        <v>-10692.333695</v>
      </c>
      <c r="BC183" s="69" t="n">
        <f aca="false">-Inputs!$C$45*(1+Inputs!$C$39)^(BC$136-1)*1</f>
        <v>-10692.333695</v>
      </c>
      <c r="BD183" s="69" t="n">
        <f aca="false">-Inputs!$C$45*(1+Inputs!$C$39)^(BD$136-1)*1</f>
        <v>-10692.333695</v>
      </c>
      <c r="BE183" s="69" t="n">
        <f aca="false">-Inputs!$C$45*(1+Inputs!$C$39)^(BE$136-1)*1</f>
        <v>-10692.333695</v>
      </c>
      <c r="BF183" s="69" t="n">
        <f aca="false">-Inputs!$C$45*(1+Inputs!$C$39)^(BF$136-1)*1</f>
        <v>-10692.333695</v>
      </c>
      <c r="BG183" s="69" t="n">
        <f aca="false">-Inputs!$C$45*(1+Inputs!$C$39)^(BG$136-1)*1</f>
        <v>-10692.333695</v>
      </c>
      <c r="BH183" s="69" t="n">
        <f aca="false">-Inputs!$C$45*(1+Inputs!$C$39)^(BH$136-1)*1</f>
        <v>-10692.333695</v>
      </c>
      <c r="BI183" s="69" t="n">
        <f aca="false">-Inputs!$C$45*(1+Inputs!$C$39)^(BI$136-1)*1</f>
        <v>-10692.333695</v>
      </c>
      <c r="BJ183" s="69" t="n">
        <f aca="false">-Inputs!$C$45*(1+Inputs!$C$39)^(BJ$136-1)*1</f>
        <v>-10692.333695</v>
      </c>
    </row>
    <row r="184" customFormat="false" ht="15" hidden="false" customHeight="false" outlineLevel="0" collapsed="false">
      <c r="A184" s="6" t="s">
        <v>346</v>
      </c>
      <c r="C184" s="69" t="n">
        <f aca="false">-Inputs!$C$46*(1+Inputs!$C$47)^(C$136-1)*1</f>
        <v>-12000</v>
      </c>
      <c r="D184" s="69" t="n">
        <f aca="false">-Inputs!$C$46*(1+Inputs!$C$47)^(D$136-1)*1</f>
        <v>-12000</v>
      </c>
      <c r="E184" s="69" t="n">
        <f aca="false">-Inputs!$C$46*(1+Inputs!$C$47)^(E$136-1)*1</f>
        <v>-12000</v>
      </c>
      <c r="F184" s="69" t="n">
        <f aca="false">-Inputs!$C$46*(1+Inputs!$C$47)^(F$136-1)*1</f>
        <v>-12000</v>
      </c>
      <c r="G184" s="69" t="n">
        <f aca="false">-Inputs!$C$46*(1+Inputs!$C$47)^(G$136-1)*1</f>
        <v>-12000</v>
      </c>
      <c r="H184" s="69" t="n">
        <f aca="false">-Inputs!$C$46*(1+Inputs!$C$47)^(H$136-1)*1</f>
        <v>-12000</v>
      </c>
      <c r="I184" s="69" t="n">
        <f aca="false">-Inputs!$C$46*(1+Inputs!$C$47)^(I$136-1)*1</f>
        <v>-12000</v>
      </c>
      <c r="J184" s="69" t="n">
        <f aca="false">-Inputs!$C$46*(1+Inputs!$C$47)^(J$136-1)*1</f>
        <v>-12000</v>
      </c>
      <c r="K184" s="69" t="n">
        <f aca="false">-Inputs!$C$46*(1+Inputs!$C$47)^(K$136-1)*1</f>
        <v>-12000</v>
      </c>
      <c r="L184" s="69" t="n">
        <f aca="false">-Inputs!$C$46*(1+Inputs!$C$47)^(L$136-1)*1</f>
        <v>-12000</v>
      </c>
      <c r="M184" s="69" t="n">
        <f aca="false">-Inputs!$C$46*(1+Inputs!$C$47)^(M$136-1)*1</f>
        <v>-12000</v>
      </c>
      <c r="N184" s="69" t="n">
        <f aca="false">-Inputs!$C$46*(1+Inputs!$C$47)^(N$136-1)*1</f>
        <v>-12000</v>
      </c>
      <c r="O184" s="69" t="n">
        <f aca="false">-Inputs!$C$46*(1+Inputs!$C$47)^(O$136-1)*1</f>
        <v>-9600</v>
      </c>
      <c r="P184" s="69" t="n">
        <f aca="false">-Inputs!$C$46*(1+Inputs!$C$47)^(P$136-1)*1</f>
        <v>-9600</v>
      </c>
      <c r="Q184" s="69" t="n">
        <f aca="false">-Inputs!$C$46*(1+Inputs!$C$47)^(Q$136-1)*1</f>
        <v>-9600</v>
      </c>
      <c r="R184" s="69" t="n">
        <f aca="false">-Inputs!$C$46*(1+Inputs!$C$47)^(R$136-1)*1</f>
        <v>-9600</v>
      </c>
      <c r="S184" s="69" t="n">
        <f aca="false">-Inputs!$C$46*(1+Inputs!$C$47)^(S$136-1)*1</f>
        <v>-9600</v>
      </c>
      <c r="T184" s="69" t="n">
        <f aca="false">-Inputs!$C$46*(1+Inputs!$C$47)^(T$136-1)*1</f>
        <v>-9600</v>
      </c>
      <c r="U184" s="69" t="n">
        <f aca="false">-Inputs!$C$46*(1+Inputs!$C$47)^(U$136-1)*1</f>
        <v>-9600</v>
      </c>
      <c r="V184" s="69" t="n">
        <f aca="false">-Inputs!$C$46*(1+Inputs!$C$47)^(V$136-1)*1</f>
        <v>-9600</v>
      </c>
      <c r="W184" s="69" t="n">
        <f aca="false">-Inputs!$C$46*(1+Inputs!$C$47)^(W$136-1)*1</f>
        <v>-9600</v>
      </c>
      <c r="X184" s="69" t="n">
        <f aca="false">-Inputs!$C$46*(1+Inputs!$C$47)^(X$136-1)*1</f>
        <v>-9600</v>
      </c>
      <c r="Y184" s="69" t="n">
        <f aca="false">-Inputs!$C$46*(1+Inputs!$C$47)^(Y$136-1)*1</f>
        <v>-9600</v>
      </c>
      <c r="Z184" s="69" t="n">
        <f aca="false">-Inputs!$C$46*(1+Inputs!$C$47)^(Z$136-1)*1</f>
        <v>-9600</v>
      </c>
      <c r="AA184" s="69" t="n">
        <f aca="false">-Inputs!$C$46*(1+Inputs!$C$47)^(AA$136-1)*1</f>
        <v>-7680</v>
      </c>
      <c r="AB184" s="69" t="n">
        <f aca="false">-Inputs!$C$46*(1+Inputs!$C$47)^(AB$136-1)*1</f>
        <v>-7680</v>
      </c>
      <c r="AC184" s="69" t="n">
        <f aca="false">-Inputs!$C$46*(1+Inputs!$C$47)^(AC$136-1)*1</f>
        <v>-7680</v>
      </c>
      <c r="AD184" s="69" t="n">
        <f aca="false">-Inputs!$C$46*(1+Inputs!$C$47)^(AD$136-1)*1</f>
        <v>-7680</v>
      </c>
      <c r="AE184" s="69" t="n">
        <f aca="false">-Inputs!$C$46*(1+Inputs!$C$47)^(AE$136-1)*1</f>
        <v>-7680</v>
      </c>
      <c r="AF184" s="69" t="n">
        <f aca="false">-Inputs!$C$46*(1+Inputs!$C$47)^(AF$136-1)*1</f>
        <v>-7680</v>
      </c>
      <c r="AG184" s="69" t="n">
        <f aca="false">-Inputs!$C$46*(1+Inputs!$C$47)^(AG$136-1)*1</f>
        <v>-7680</v>
      </c>
      <c r="AH184" s="69" t="n">
        <f aca="false">-Inputs!$C$46*(1+Inputs!$C$47)^(AH$136-1)*1</f>
        <v>-7680</v>
      </c>
      <c r="AI184" s="69" t="n">
        <f aca="false">-Inputs!$C$46*(1+Inputs!$C$47)^(AI$136-1)*1</f>
        <v>-7680</v>
      </c>
      <c r="AJ184" s="69" t="n">
        <f aca="false">-Inputs!$C$46*(1+Inputs!$C$47)^(AJ$136-1)*1</f>
        <v>-7680</v>
      </c>
      <c r="AK184" s="69" t="n">
        <f aca="false">-Inputs!$C$46*(1+Inputs!$C$47)^(AK$136-1)*1</f>
        <v>-7680</v>
      </c>
      <c r="AL184" s="69" t="n">
        <f aca="false">-Inputs!$C$46*(1+Inputs!$C$47)^(AL$136-1)*1</f>
        <v>-7680</v>
      </c>
      <c r="AM184" s="69" t="n">
        <f aca="false">-Inputs!$C$46*(1+Inputs!$C$47)^(AM$136-1)*1</f>
        <v>-6144</v>
      </c>
      <c r="AN184" s="69" t="n">
        <f aca="false">-Inputs!$C$46*(1+Inputs!$C$47)^(AN$136-1)*1</f>
        <v>-6144</v>
      </c>
      <c r="AO184" s="69" t="n">
        <f aca="false">-Inputs!$C$46*(1+Inputs!$C$47)^(AO$136-1)*1</f>
        <v>-6144</v>
      </c>
      <c r="AP184" s="69" t="n">
        <f aca="false">-Inputs!$C$46*(1+Inputs!$C$47)^(AP$136-1)*1</f>
        <v>-6144</v>
      </c>
      <c r="AQ184" s="69" t="n">
        <f aca="false">-Inputs!$C$46*(1+Inputs!$C$47)^(AQ$136-1)*1</f>
        <v>-6144</v>
      </c>
      <c r="AR184" s="69" t="n">
        <f aca="false">-Inputs!$C$46*(1+Inputs!$C$47)^(AR$136-1)*1</f>
        <v>-6144</v>
      </c>
      <c r="AS184" s="69" t="n">
        <f aca="false">-Inputs!$C$46*(1+Inputs!$C$47)^(AS$136-1)*1</f>
        <v>-6144</v>
      </c>
      <c r="AT184" s="69" t="n">
        <f aca="false">-Inputs!$C$46*(1+Inputs!$C$47)^(AT$136-1)*1</f>
        <v>-6144</v>
      </c>
      <c r="AU184" s="69" t="n">
        <f aca="false">-Inputs!$C$46*(1+Inputs!$C$47)^(AU$136-1)*1</f>
        <v>-6144</v>
      </c>
      <c r="AV184" s="69" t="n">
        <f aca="false">-Inputs!$C$46*(1+Inputs!$C$47)^(AV$136-1)*1</f>
        <v>-6144</v>
      </c>
      <c r="AW184" s="69" t="n">
        <f aca="false">-Inputs!$C$46*(1+Inputs!$C$47)^(AW$136-1)*1</f>
        <v>-6144</v>
      </c>
      <c r="AX184" s="69" t="n">
        <f aca="false">-Inputs!$C$46*(1+Inputs!$C$47)^(AX$136-1)*1</f>
        <v>-6144</v>
      </c>
      <c r="AY184" s="69" t="n">
        <f aca="false">-Inputs!$C$46*(1+Inputs!$C$47)^(AY$136-1)*1</f>
        <v>-4915.2</v>
      </c>
      <c r="AZ184" s="69" t="n">
        <f aca="false">-Inputs!$C$46*(1+Inputs!$C$47)^(AZ$136-1)*1</f>
        <v>-4915.2</v>
      </c>
      <c r="BA184" s="69" t="n">
        <f aca="false">-Inputs!$C$46*(1+Inputs!$C$47)^(BA$136-1)*1</f>
        <v>-4915.2</v>
      </c>
      <c r="BB184" s="69" t="n">
        <f aca="false">-Inputs!$C$46*(1+Inputs!$C$47)^(BB$136-1)*1</f>
        <v>-4915.2</v>
      </c>
      <c r="BC184" s="69" t="n">
        <f aca="false">-Inputs!$C$46*(1+Inputs!$C$47)^(BC$136-1)*1</f>
        <v>-4915.2</v>
      </c>
      <c r="BD184" s="69" t="n">
        <f aca="false">-Inputs!$C$46*(1+Inputs!$C$47)^(BD$136-1)*1</f>
        <v>-4915.2</v>
      </c>
      <c r="BE184" s="69" t="n">
        <f aca="false">-Inputs!$C$46*(1+Inputs!$C$47)^(BE$136-1)*1</f>
        <v>-4915.2</v>
      </c>
      <c r="BF184" s="69" t="n">
        <f aca="false">-Inputs!$C$46*(1+Inputs!$C$47)^(BF$136-1)*1</f>
        <v>-4915.2</v>
      </c>
      <c r="BG184" s="69" t="n">
        <f aca="false">-Inputs!$C$46*(1+Inputs!$C$47)^(BG$136-1)*1</f>
        <v>-4915.2</v>
      </c>
      <c r="BH184" s="69" t="n">
        <f aca="false">-Inputs!$C$46*(1+Inputs!$C$47)^(BH$136-1)*1</f>
        <v>-4915.2</v>
      </c>
      <c r="BI184" s="69" t="n">
        <f aca="false">-Inputs!$C$46*(1+Inputs!$C$47)^(BI$136-1)*1</f>
        <v>-4915.2</v>
      </c>
      <c r="BJ184" s="69" t="n">
        <f aca="false">-Inputs!$C$46*(1+Inputs!$C$47)^(BJ$136-1)*1</f>
        <v>-4915.2</v>
      </c>
    </row>
    <row r="185" customFormat="false" ht="15" hidden="false" customHeight="false" outlineLevel="0" collapsed="false">
      <c r="A185" s="113" t="s">
        <v>77</v>
      </c>
      <c r="C185" s="70" t="n">
        <f aca="false">C180+C181+C182+C183+C184</f>
        <v>-93586.6666666667</v>
      </c>
      <c r="D185" s="70" t="n">
        <f aca="false">D180+D181+D182+D183+D184</f>
        <v>-93586.6666666667</v>
      </c>
      <c r="E185" s="70" t="n">
        <f aca="false">E180+E181+E182+E183+E184</f>
        <v>-93586.6666666667</v>
      </c>
      <c r="F185" s="70" t="n">
        <f aca="false">F180+F181+F182+F183+F184</f>
        <v>-93586.6666666667</v>
      </c>
      <c r="G185" s="70" t="n">
        <f aca="false">G180+G181+G182+G183+G184</f>
        <v>-93586.6666666667</v>
      </c>
      <c r="H185" s="70" t="n">
        <f aca="false">H180+H181+H182+H183+H184</f>
        <v>-93586.6666666667</v>
      </c>
      <c r="I185" s="70" t="n">
        <f aca="false">I180+I181+I182+I183+I184</f>
        <v>-93586.6666666667</v>
      </c>
      <c r="J185" s="70" t="n">
        <f aca="false">J180+J181+J182+J183+J184</f>
        <v>-93586.6666666667</v>
      </c>
      <c r="K185" s="70" t="n">
        <f aca="false">K180+K181+K182+K183+K184</f>
        <v>-93586.6666666667</v>
      </c>
      <c r="L185" s="70" t="n">
        <f aca="false">L180+L181+L182+L183+L184</f>
        <v>-93586.6666666667</v>
      </c>
      <c r="M185" s="70" t="n">
        <f aca="false">M180+M181+M182+M183+M184</f>
        <v>-93586.6666666667</v>
      </c>
      <c r="N185" s="70" t="n">
        <f aca="false">N180+N181+N182+N183+N184</f>
        <v>-93586.6666666667</v>
      </c>
      <c r="O185" s="70" t="n">
        <f aca="false">O180+O181+O182+O183+O184</f>
        <v>-93634.2666666667</v>
      </c>
      <c r="P185" s="70" t="n">
        <f aca="false">P180+P181+P182+P183+P184</f>
        <v>-93634.2666666667</v>
      </c>
      <c r="Q185" s="70" t="n">
        <f aca="false">Q180+Q181+Q182+Q183+Q184</f>
        <v>-93634.2666666667</v>
      </c>
      <c r="R185" s="70" t="n">
        <f aca="false">R180+R181+R182+R183+R184</f>
        <v>-93634.2666666667</v>
      </c>
      <c r="S185" s="70" t="n">
        <f aca="false">S180+S181+S182+S183+S184</f>
        <v>-93634.2666666667</v>
      </c>
      <c r="T185" s="70" t="n">
        <f aca="false">T180+T181+T182+T183+T184</f>
        <v>-93634.2666666667</v>
      </c>
      <c r="U185" s="70" t="n">
        <f aca="false">U180+U181+U182+U183+U184</f>
        <v>-93634.2666666667</v>
      </c>
      <c r="V185" s="70" t="n">
        <f aca="false">V180+V181+V182+V183+V184</f>
        <v>-93634.2666666667</v>
      </c>
      <c r="W185" s="70" t="n">
        <f aca="false">W180+W181+W182+W183+W184</f>
        <v>-93634.2666666667</v>
      </c>
      <c r="X185" s="70" t="n">
        <f aca="false">X180+X181+X182+X183+X184</f>
        <v>-93634.2666666667</v>
      </c>
      <c r="Y185" s="70" t="n">
        <f aca="false">Y180+Y181+Y182+Y183+Y184</f>
        <v>-93634.2666666667</v>
      </c>
      <c r="Z185" s="70" t="n">
        <f aca="false">Z180+Z181+Z182+Z183+Z184</f>
        <v>-93634.2666666667</v>
      </c>
      <c r="AA185" s="70" t="n">
        <f aca="false">AA180+AA181+AA182+AA183+AA184</f>
        <v>-94235.2946666667</v>
      </c>
      <c r="AB185" s="70" t="n">
        <f aca="false">AB180+AB181+AB182+AB183+AB184</f>
        <v>-94235.2946666667</v>
      </c>
      <c r="AC185" s="70" t="n">
        <f aca="false">AC180+AC181+AC182+AC183+AC184</f>
        <v>-94235.2946666667</v>
      </c>
      <c r="AD185" s="70" t="n">
        <f aca="false">AD180+AD181+AD182+AD183+AD184</f>
        <v>-94235.2946666667</v>
      </c>
      <c r="AE185" s="70" t="n">
        <f aca="false">AE180+AE181+AE182+AE183+AE184</f>
        <v>-94235.2946666667</v>
      </c>
      <c r="AF185" s="70" t="n">
        <f aca="false">AF180+AF181+AF182+AF183+AF184</f>
        <v>-94235.2946666667</v>
      </c>
      <c r="AG185" s="70" t="n">
        <f aca="false">AG180+AG181+AG182+AG183+AG184</f>
        <v>-94235.2946666667</v>
      </c>
      <c r="AH185" s="70" t="n">
        <f aca="false">AH180+AH181+AH182+AH183+AH184</f>
        <v>-94235.2946666667</v>
      </c>
      <c r="AI185" s="70" t="n">
        <f aca="false">AI180+AI181+AI182+AI183+AI184</f>
        <v>-94235.2946666667</v>
      </c>
      <c r="AJ185" s="70" t="n">
        <f aca="false">AJ180+AJ181+AJ182+AJ183+AJ184</f>
        <v>-94235.2946666667</v>
      </c>
      <c r="AK185" s="70" t="n">
        <f aca="false">AK180+AK181+AK182+AK183+AK184</f>
        <v>-94235.2946666667</v>
      </c>
      <c r="AL185" s="70" t="n">
        <f aca="false">AL180+AL181+AL182+AL183+AL184</f>
        <v>-94235.2946666667</v>
      </c>
      <c r="AM185" s="70" t="n">
        <f aca="false">AM180+AM181+AM182+AM183+AM184</f>
        <v>-95295.9535066667</v>
      </c>
      <c r="AN185" s="70" t="n">
        <f aca="false">AN180+AN181+AN182+AN183+AN184</f>
        <v>-95295.9535066667</v>
      </c>
      <c r="AO185" s="70" t="n">
        <f aca="false">AO180+AO181+AO182+AO183+AO184</f>
        <v>-95295.9535066667</v>
      </c>
      <c r="AP185" s="70" t="n">
        <f aca="false">AP180+AP181+AP182+AP183+AP184</f>
        <v>-95295.9535066667</v>
      </c>
      <c r="AQ185" s="70" t="n">
        <f aca="false">AQ180+AQ181+AQ182+AQ183+AQ184</f>
        <v>-95295.9535066667</v>
      </c>
      <c r="AR185" s="70" t="n">
        <f aca="false">AR180+AR181+AR182+AR183+AR184</f>
        <v>-95295.9535066667</v>
      </c>
      <c r="AS185" s="70" t="n">
        <f aca="false">AS180+AS181+AS182+AS183+AS184</f>
        <v>-95295.9535066667</v>
      </c>
      <c r="AT185" s="70" t="n">
        <f aca="false">AT180+AT181+AT182+AT183+AT184</f>
        <v>-95295.9535066667</v>
      </c>
      <c r="AU185" s="70" t="n">
        <f aca="false">AU180+AU181+AU182+AU183+AU184</f>
        <v>-95295.9535066667</v>
      </c>
      <c r="AV185" s="70" t="n">
        <f aca="false">AV180+AV181+AV182+AV183+AV184</f>
        <v>-95295.9535066667</v>
      </c>
      <c r="AW185" s="70" t="n">
        <f aca="false">AW180+AW181+AW182+AW183+AW184</f>
        <v>-95295.9535066667</v>
      </c>
      <c r="AX185" s="70" t="n">
        <f aca="false">AX180+AX181+AX182+AX183+AX184</f>
        <v>-95295.9535066667</v>
      </c>
      <c r="AY185" s="70" t="n">
        <f aca="false">AY180+AY181+AY182+AY183+AY184</f>
        <v>-96741.7121118667</v>
      </c>
      <c r="AZ185" s="70" t="n">
        <f aca="false">AZ180+AZ181+AZ182+AZ183+AZ184</f>
        <v>-96741.7121118667</v>
      </c>
      <c r="BA185" s="70" t="n">
        <f aca="false">BA180+BA181+BA182+BA183+BA184</f>
        <v>-96741.7121118667</v>
      </c>
      <c r="BB185" s="70" t="n">
        <f aca="false">BB180+BB181+BB182+BB183+BB184</f>
        <v>-96741.7121118667</v>
      </c>
      <c r="BC185" s="70" t="n">
        <f aca="false">BC180+BC181+BC182+BC183+BC184</f>
        <v>-96741.7121118667</v>
      </c>
      <c r="BD185" s="70" t="n">
        <f aca="false">BD180+BD181+BD182+BD183+BD184</f>
        <v>-96741.7121118667</v>
      </c>
      <c r="BE185" s="70" t="n">
        <f aca="false">BE180+BE181+BE182+BE183+BE184</f>
        <v>-96741.7121118667</v>
      </c>
      <c r="BF185" s="70" t="n">
        <f aca="false">BF180+BF181+BF182+BF183+BF184</f>
        <v>-96741.7121118667</v>
      </c>
      <c r="BG185" s="70" t="n">
        <f aca="false">BG180+BG181+BG182+BG183+BG184</f>
        <v>-96741.7121118667</v>
      </c>
      <c r="BH185" s="70" t="n">
        <f aca="false">BH180+BH181+BH182+BH183+BH184</f>
        <v>-96741.7121118667</v>
      </c>
      <c r="BI185" s="70" t="n">
        <f aca="false">BI180+BI181+BI182+BI183+BI184</f>
        <v>-96741.7121118667</v>
      </c>
      <c r="BJ185" s="70" t="n">
        <f aca="false">BJ180+BJ181+BJ182+BJ183+BJ184</f>
        <v>-96741.7121118667</v>
      </c>
    </row>
    <row r="186" customFormat="false" ht="15" hidden="false" customHeight="false" outlineLevel="0" collapsed="false">
      <c r="A186" s="113" t="s">
        <v>48</v>
      </c>
      <c r="C186" s="70" t="n">
        <f aca="false">C177+C185</f>
        <v>-52715.2544125667</v>
      </c>
      <c r="D186" s="70" t="n">
        <f aca="false">D177+D185</f>
        <v>-47169.179570764</v>
      </c>
      <c r="E186" s="70" t="n">
        <f aca="false">E177+E185</f>
        <v>-31890.1001241627</v>
      </c>
      <c r="F186" s="70" t="n">
        <f aca="false">F177+F185</f>
        <v>-24896.4647094518</v>
      </c>
      <c r="G186" s="70" t="n">
        <f aca="false">G177+G185</f>
        <v>-17775.1087070848</v>
      </c>
      <c r="H186" s="70" t="n">
        <f aca="false">H177+H185</f>
        <v>-10531.1409405681</v>
      </c>
      <c r="I186" s="70" t="n">
        <f aca="false">I177+I185</f>
        <v>-3169.46588046759</v>
      </c>
      <c r="J186" s="70" t="n">
        <f aca="false">J177+J185</f>
        <v>4305.20818147335</v>
      </c>
      <c r="K186" s="70" t="n">
        <f aca="false">K177+K185</f>
        <v>11888.3612851811</v>
      </c>
      <c r="L186" s="70" t="n">
        <f aca="false">L177+L185</f>
        <v>19575.654268985</v>
      </c>
      <c r="M186" s="70" t="n">
        <f aca="false">M177+M185</f>
        <v>21716.7869555589</v>
      </c>
      <c r="N186" s="70" t="n">
        <f aca="false">N177+N185</f>
        <v>7381.49638357262</v>
      </c>
      <c r="O186" s="70" t="n">
        <f aca="false">O177+O185</f>
        <v>13285.4975743402</v>
      </c>
      <c r="P186" s="70" t="n">
        <f aca="false">P177+P185</f>
        <v>15096.6550273763</v>
      </c>
      <c r="Q186" s="70" t="n">
        <f aca="false">Q177+Q185</f>
        <v>33840.7368269019</v>
      </c>
      <c r="R186" s="70" t="n">
        <f aca="false">R177+R185</f>
        <v>35763.6031619908</v>
      </c>
      <c r="S186" s="70" t="n">
        <f aca="false">S177+S185</f>
        <v>37609.554843676</v>
      </c>
      <c r="T186" s="70" t="n">
        <f aca="false">T177+T185</f>
        <v>39381.668458094</v>
      </c>
      <c r="U186" s="70" t="n">
        <f aca="false">U177+U185</f>
        <v>41082.8975279352</v>
      </c>
      <c r="V186" s="70" t="n">
        <f aca="false">V177+V185</f>
        <v>42716.0774349827</v>
      </c>
      <c r="W186" s="70" t="n">
        <f aca="false">W177+W185</f>
        <v>44283.9301457483</v>
      </c>
      <c r="X186" s="70" t="n">
        <f aca="false">X177+X185</f>
        <v>45789.0687480833</v>
      </c>
      <c r="Y186" s="70" t="n">
        <f aca="false">Y177+Y185</f>
        <v>47234.0018063249</v>
      </c>
      <c r="Z186" s="70" t="n">
        <f aca="false">Z177+Z185</f>
        <v>32226.130733046</v>
      </c>
      <c r="AA186" s="70" t="n">
        <f aca="false">AA177+AA185</f>
        <v>37451.3738221199</v>
      </c>
      <c r="AB186" s="70" t="n">
        <f aca="false">AB177+AB185</f>
        <v>38602.1674695305</v>
      </c>
      <c r="AC186" s="70" t="n">
        <f aca="false">AC177+AC185</f>
        <v>56810.1431026889</v>
      </c>
      <c r="AD186" s="70" t="n">
        <f aca="false">AD177+AD185</f>
        <v>58163.5434300516</v>
      </c>
      <c r="AE186" s="70" t="n">
        <f aca="false">AE177+AE185</f>
        <v>59462.8077443198</v>
      </c>
      <c r="AF186" s="70" t="n">
        <f aca="false">AF177+AF185</f>
        <v>60710.1014860173</v>
      </c>
      <c r="AG186" s="70" t="n">
        <f aca="false">AG177+AG185</f>
        <v>61907.5034780469</v>
      </c>
      <c r="AH186" s="70" t="n">
        <f aca="false">AH177+AH185</f>
        <v>63057.0093903953</v>
      </c>
      <c r="AI186" s="70" t="n">
        <f aca="false">AI177+AI185</f>
        <v>64160.5350662498</v>
      </c>
      <c r="AJ186" s="70" t="n">
        <f aca="false">AJ177+AJ185</f>
        <v>65219.9197150701</v>
      </c>
      <c r="AK186" s="70" t="n">
        <f aca="false">AK177+AK185</f>
        <v>66236.9289779375</v>
      </c>
      <c r="AL186" s="70" t="n">
        <f aca="false">AL177+AL185</f>
        <v>50544.7816391896</v>
      </c>
      <c r="AM186" s="70" t="n">
        <f aca="false">AM177+AM185</f>
        <v>55341.4662105656</v>
      </c>
      <c r="AN186" s="70" t="n">
        <f aca="false">AN177+AN185</f>
        <v>56082.8194161962</v>
      </c>
      <c r="AO186" s="70" t="n">
        <f aca="false">AO177+AO185</f>
        <v>74244.9207128869</v>
      </c>
      <c r="AP186" s="70" t="n">
        <f aca="false">AP177+AP185</f>
        <v>75252.0138556954</v>
      </c>
      <c r="AQ186" s="70" t="n">
        <f aca="false">AQ177+AQ185</f>
        <v>76218.8232727916</v>
      </c>
      <c r="AR186" s="70" t="n">
        <f aca="false">AR177+AR185</f>
        <v>77146.9603132039</v>
      </c>
      <c r="AS186" s="70" t="n">
        <f aca="false">AS177+AS185</f>
        <v>78037.9718719998</v>
      </c>
      <c r="AT186" s="70" t="n">
        <f aca="false">AT177+AT185</f>
        <v>78893.3429684437</v>
      </c>
      <c r="AU186" s="70" t="n">
        <f aca="false">AU177+AU185</f>
        <v>79714.49922103</v>
      </c>
      <c r="AV186" s="70" t="n">
        <f aca="false">AV177+AV185</f>
        <v>80502.8092235128</v>
      </c>
      <c r="AW186" s="70" t="n">
        <f aca="false">AW177+AW185</f>
        <v>81259.5868258963</v>
      </c>
      <c r="AX186" s="70" t="n">
        <f aca="false">AX177+AX185</f>
        <v>64863.0639513283</v>
      </c>
      <c r="AY186" s="70" t="n">
        <f aca="false">AY177+AY185</f>
        <v>69409.1113177124</v>
      </c>
      <c r="AZ186" s="70" t="n">
        <f aca="false">AZ177+AZ185</f>
        <v>69897.8282590615</v>
      </c>
      <c r="BA186" s="70" t="n">
        <f aca="false">BA177+BA185</f>
        <v>88333.7435952656</v>
      </c>
      <c r="BB186" s="70" t="n">
        <f aca="false">BB177+BB185</f>
        <v>89134.2296745861</v>
      </c>
      <c r="BC186" s="70" t="n">
        <f aca="false">BC177+BC185</f>
        <v>89902.6963107339</v>
      </c>
      <c r="BD186" s="70" t="n">
        <f aca="false">BD177+BD185</f>
        <v>90640.4242814357</v>
      </c>
      <c r="BE186" s="70" t="n">
        <f aca="false">BE177+BE185</f>
        <v>91348.6431333095</v>
      </c>
      <c r="BF186" s="70" t="n">
        <f aca="false">BF177+BF185</f>
        <v>92028.5332311083</v>
      </c>
      <c r="BG186" s="70" t="n">
        <f aca="false">BG177+BG185</f>
        <v>92681.2277249952</v>
      </c>
      <c r="BH186" s="70" t="n">
        <f aca="false">BH177+BH185</f>
        <v>93307.8144391265</v>
      </c>
      <c r="BI186" s="70" t="n">
        <f aca="false">BI177+BI185</f>
        <v>93909.3376846927</v>
      </c>
      <c r="BJ186" s="70" t="n">
        <f aca="false">BJ177+BJ185</f>
        <v>76783.3889093124</v>
      </c>
    </row>
    <row r="188" customFormat="false" ht="15.75" hidden="false" customHeight="true" outlineLevel="0" collapsed="false">
      <c r="A188" s="7" t="s">
        <v>443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</row>
    <row r="189" customFormat="false" ht="15" hidden="false" customHeight="false" outlineLevel="0" collapsed="false">
      <c r="A189" s="4" t="s">
        <v>79</v>
      </c>
      <c r="C189" s="75" t="n">
        <f aca="false">C186+C206</f>
        <v>-81187.4766347889</v>
      </c>
      <c r="D189" s="75" t="n">
        <f aca="false">D186+D206</f>
        <v>-75641.4017929862</v>
      </c>
      <c r="E189" s="75" t="n">
        <f aca="false">E186+E206</f>
        <v>-60362.3223463849</v>
      </c>
      <c r="F189" s="75" t="n">
        <f aca="false">F186+F206</f>
        <v>-53368.686931674</v>
      </c>
      <c r="G189" s="75" t="n">
        <f aca="false">G186+G206</f>
        <v>-46247.330929307</v>
      </c>
      <c r="H189" s="75" t="n">
        <f aca="false">H186+H206</f>
        <v>-39003.3631627903</v>
      </c>
      <c r="I189" s="75" t="n">
        <f aca="false">I186+I206</f>
        <v>-31641.6881026898</v>
      </c>
      <c r="J189" s="75" t="n">
        <f aca="false">J186+J206</f>
        <v>-24167.0140407489</v>
      </c>
      <c r="K189" s="75" t="n">
        <f aca="false">K186+K206</f>
        <v>-16583.8609370411</v>
      </c>
      <c r="L189" s="75" t="n">
        <f aca="false">L186+L206</f>
        <v>-8896.56795323726</v>
      </c>
      <c r="M189" s="75" t="n">
        <f aca="false">M186+M206</f>
        <v>-6755.43526666334</v>
      </c>
      <c r="N189" s="75" t="n">
        <f aca="false">N186+N206</f>
        <v>-21090.7258386496</v>
      </c>
      <c r="O189" s="75" t="n">
        <f aca="false">O186+O206</f>
        <v>-15464.5024256598</v>
      </c>
      <c r="P189" s="75" t="n">
        <f aca="false">P186+P206</f>
        <v>-13653.3449726237</v>
      </c>
      <c r="Q189" s="75" t="n">
        <f aca="false">Q186+Q206</f>
        <v>5090.73682690191</v>
      </c>
      <c r="R189" s="75" t="n">
        <f aca="false">R186+R206</f>
        <v>7013.60316199076</v>
      </c>
      <c r="S189" s="75" t="n">
        <f aca="false">S186+S206</f>
        <v>8859.55484367604</v>
      </c>
      <c r="T189" s="75" t="n">
        <f aca="false">T186+T206</f>
        <v>10631.6684580939</v>
      </c>
      <c r="U189" s="75" t="n">
        <f aca="false">U186+U206</f>
        <v>12332.8975279352</v>
      </c>
      <c r="V189" s="75" t="n">
        <f aca="false">V186+V206</f>
        <v>13966.0774349827</v>
      </c>
      <c r="W189" s="75" t="n">
        <f aca="false">W186+W206</f>
        <v>15533.9301457483</v>
      </c>
      <c r="X189" s="75" t="n">
        <f aca="false">X186+X206</f>
        <v>17039.0687480833</v>
      </c>
      <c r="Y189" s="75" t="n">
        <f aca="false">Y186+Y206</f>
        <v>18484.0018063249</v>
      </c>
      <c r="Z189" s="75" t="n">
        <f aca="false">Z186+Z206</f>
        <v>3476.13073304603</v>
      </c>
      <c r="AA189" s="75" t="n">
        <f aca="false">AA186+AA206</f>
        <v>8423.59604434211</v>
      </c>
      <c r="AB189" s="75" t="n">
        <f aca="false">AB186+AB206</f>
        <v>9574.38969175272</v>
      </c>
      <c r="AC189" s="75" t="n">
        <f aca="false">AC186+AC206</f>
        <v>27782.3653249111</v>
      </c>
      <c r="AD189" s="75" t="n">
        <f aca="false">AD186+AD206</f>
        <v>29135.7656522738</v>
      </c>
      <c r="AE189" s="75" t="n">
        <f aca="false">AE186+AE206</f>
        <v>30435.0299665421</v>
      </c>
      <c r="AF189" s="75" t="n">
        <f aca="false">AF186+AF206</f>
        <v>31682.3237082395</v>
      </c>
      <c r="AG189" s="75" t="n">
        <f aca="false">AG186+AG206</f>
        <v>32879.7257002691</v>
      </c>
      <c r="AH189" s="75" t="n">
        <f aca="false">AH186+AH206</f>
        <v>34029.2316126175</v>
      </c>
      <c r="AI189" s="75" t="n">
        <f aca="false">AI186+AI206</f>
        <v>35132.757288472</v>
      </c>
      <c r="AJ189" s="75" t="n">
        <f aca="false">AJ186+AJ206</f>
        <v>36192.1419372923</v>
      </c>
      <c r="AK189" s="75" t="n">
        <f aca="false">AK186+AK206</f>
        <v>37209.1512001598</v>
      </c>
      <c r="AL189" s="75" t="n">
        <f aca="false">AL186+AL206</f>
        <v>21517.0038614118</v>
      </c>
      <c r="AM189" s="75" t="n">
        <f aca="false">AM186+AM206</f>
        <v>26035.91065501</v>
      </c>
      <c r="AN189" s="75" t="n">
        <f aca="false">AN186+AN206</f>
        <v>26777.2638606406</v>
      </c>
      <c r="AO189" s="75" t="n">
        <f aca="false">AO186+AO206</f>
        <v>44939.3651573313</v>
      </c>
      <c r="AP189" s="75" t="n">
        <f aca="false">AP186+AP206</f>
        <v>45946.4583001399</v>
      </c>
      <c r="AQ189" s="75" t="n">
        <f aca="false">AQ186+AQ206</f>
        <v>46913.267717236</v>
      </c>
      <c r="AR189" s="75" t="n">
        <f aca="false">AR186+AR206</f>
        <v>47841.4047576484</v>
      </c>
      <c r="AS189" s="75" t="n">
        <f aca="false">AS186+AS206</f>
        <v>48732.4163164442</v>
      </c>
      <c r="AT189" s="75" t="n">
        <f aca="false">AT186+AT206</f>
        <v>49587.7874128882</v>
      </c>
      <c r="AU189" s="75" t="n">
        <f aca="false">AU186+AU206</f>
        <v>50408.9436654745</v>
      </c>
      <c r="AV189" s="75" t="n">
        <f aca="false">AV186+AV206</f>
        <v>51197.2536679572</v>
      </c>
      <c r="AW189" s="75" t="n">
        <f aca="false">AW186+AW206</f>
        <v>51954.0312703407</v>
      </c>
      <c r="AX189" s="75" t="n">
        <f aca="false">AX186+AX206</f>
        <v>35557.5083957728</v>
      </c>
      <c r="AY189" s="75" t="n">
        <f aca="false">AY186+AY206</f>
        <v>39825.7779843791</v>
      </c>
      <c r="AZ189" s="75" t="n">
        <f aca="false">AZ186+AZ206</f>
        <v>40314.4949257282</v>
      </c>
      <c r="BA189" s="75" t="n">
        <f aca="false">BA186+BA206</f>
        <v>58750.4102619323</v>
      </c>
      <c r="BB189" s="75" t="n">
        <f aca="false">BB186+BB206</f>
        <v>59550.8963412528</v>
      </c>
      <c r="BC189" s="75" t="n">
        <f aca="false">BC186+BC206</f>
        <v>60319.3629774006</v>
      </c>
      <c r="BD189" s="75" t="n">
        <f aca="false">BD186+BD206</f>
        <v>61057.0909481024</v>
      </c>
      <c r="BE189" s="75" t="n">
        <f aca="false">BE186+BE206</f>
        <v>61765.3097999762</v>
      </c>
      <c r="BF189" s="75" t="n">
        <f aca="false">BF186+BF206</f>
        <v>62445.199897775</v>
      </c>
      <c r="BG189" s="75" t="n">
        <f aca="false">BG186+BG206</f>
        <v>63097.8943916618</v>
      </c>
      <c r="BH189" s="75" t="n">
        <f aca="false">BH186+BH206</f>
        <v>63724.4811057932</v>
      </c>
      <c r="BI189" s="75" t="n">
        <f aca="false">BI186+BI206</f>
        <v>64326.0043513593</v>
      </c>
      <c r="BJ189" s="75" t="n">
        <f aca="false">BJ186+BJ206</f>
        <v>47200.0555759791</v>
      </c>
    </row>
    <row r="190" customFormat="false" ht="15" hidden="false" customHeight="false" outlineLevel="0" collapsed="false">
      <c r="A190" s="6" t="s">
        <v>444</v>
      </c>
      <c r="C190" s="69" t="n">
        <f aca="false">-(C211+C212+C214)/2*Inputs!$C$71/12</f>
        <v>-21250</v>
      </c>
      <c r="D190" s="69" t="n">
        <f aca="false">-(D211+D212+D214)/2*Inputs!$C$71/12</f>
        <v>-21161.4583333333</v>
      </c>
      <c r="E190" s="69" t="n">
        <f aca="false">-(E211+E212+E214)/2*Inputs!$C$71/12</f>
        <v>-20984.375</v>
      </c>
      <c r="F190" s="69" t="n">
        <f aca="false">-(F211+F212+F214)/2*Inputs!$C$71/12</f>
        <v>-20807.2916666667</v>
      </c>
      <c r="G190" s="69" t="n">
        <f aca="false">-(G211+G212+G214)/2*Inputs!$C$71/12</f>
        <v>-20630.2083333333</v>
      </c>
      <c r="H190" s="69" t="n">
        <f aca="false">-(H211+H212+H214)/2*Inputs!$C$71/12</f>
        <v>-20453.125</v>
      </c>
      <c r="I190" s="69" t="n">
        <f aca="false">-(I211+I212+I214)/2*Inputs!$C$71/12</f>
        <v>-20276.0416666667</v>
      </c>
      <c r="J190" s="69" t="n">
        <f aca="false">-(J211+J212+J214)/2*Inputs!$C$71/12</f>
        <v>-20098.9583333333</v>
      </c>
      <c r="K190" s="69" t="n">
        <f aca="false">-(K211+K212+K214)/2*Inputs!$C$71/12</f>
        <v>-19921.875</v>
      </c>
      <c r="L190" s="69" t="n">
        <f aca="false">-(L211+L212+L214)/2*Inputs!$C$71/12</f>
        <v>-19744.7916666667</v>
      </c>
      <c r="M190" s="69" t="n">
        <f aca="false">-(M211+M212+M214)/2*Inputs!$C$71/12</f>
        <v>-19567.7083333333</v>
      </c>
      <c r="N190" s="69" t="n">
        <f aca="false">-(N211+N212+N214)/2*Inputs!$C$71/12</f>
        <v>-19390.625</v>
      </c>
      <c r="O190" s="69" t="n">
        <f aca="false">-(O211+O212+O214)/2*Inputs!$C$71/12</f>
        <v>-19213.5416666667</v>
      </c>
      <c r="P190" s="69" t="n">
        <f aca="false">-(P211+P212+P214)/2*Inputs!$C$71/12</f>
        <v>-19036.4583333333</v>
      </c>
      <c r="Q190" s="69" t="n">
        <f aca="false">-(Q211+Q212+Q214)/2*Inputs!$C$71/12</f>
        <v>-18859.375</v>
      </c>
      <c r="R190" s="69" t="n">
        <f aca="false">-(R211+R212+R214)/2*Inputs!$C$71/12</f>
        <v>-18682.2916666667</v>
      </c>
      <c r="S190" s="69" t="n">
        <f aca="false">-(S211+S212+S214)/2*Inputs!$C$71/12</f>
        <v>-18505.2083333333</v>
      </c>
      <c r="T190" s="69" t="n">
        <f aca="false">-(T211+T212+T214)/2*Inputs!$C$71/12</f>
        <v>-18328.125</v>
      </c>
      <c r="U190" s="69" t="n">
        <f aca="false">-(U211+U212+U214)/2*Inputs!$C$71/12</f>
        <v>-18151.0416666667</v>
      </c>
      <c r="V190" s="69" t="n">
        <f aca="false">-(V211+V212+V214)/2*Inputs!$C$71/12</f>
        <v>-17973.9583333333</v>
      </c>
      <c r="W190" s="69" t="n">
        <f aca="false">-(W211+W212+W214)/2*Inputs!$C$71/12</f>
        <v>-17796.875</v>
      </c>
      <c r="X190" s="69" t="n">
        <f aca="false">-(X211+X212+X214)/2*Inputs!$C$71/12</f>
        <v>-17619.7916666667</v>
      </c>
      <c r="Y190" s="69" t="n">
        <f aca="false">-(Y211+Y212+Y214)/2*Inputs!$C$71/12</f>
        <v>-17442.7083333333</v>
      </c>
      <c r="Z190" s="69" t="n">
        <f aca="false">-(Z211+Z212+Z214)/2*Inputs!$C$71/12</f>
        <v>-17265.625</v>
      </c>
      <c r="AA190" s="69" t="n">
        <f aca="false">-(AA211+AA212+AA214)/2*Inputs!$C$71/12</f>
        <v>-17088.5416666667</v>
      </c>
      <c r="AB190" s="69" t="n">
        <f aca="false">-(AB211+AB212+AB214)/2*Inputs!$C$71/12</f>
        <v>-16911.4583333333</v>
      </c>
      <c r="AC190" s="69" t="n">
        <f aca="false">-(AC211+AC212+AC214)/2*Inputs!$C$71/12</f>
        <v>-16734.375</v>
      </c>
      <c r="AD190" s="69" t="n">
        <f aca="false">-(AD211+AD212+AD214)/2*Inputs!$C$71/12</f>
        <v>-16557.2916666667</v>
      </c>
      <c r="AE190" s="69" t="n">
        <f aca="false">-(AE211+AE212+AE214)/2*Inputs!$C$71/12</f>
        <v>-16380.2083333333</v>
      </c>
      <c r="AF190" s="69" t="n">
        <f aca="false">-(AF211+AF212+AF214)/2*Inputs!$C$71/12</f>
        <v>-16203.125</v>
      </c>
      <c r="AG190" s="69" t="n">
        <f aca="false">-(AG211+AG212+AG214)/2*Inputs!$C$71/12</f>
        <v>-16026.0416666667</v>
      </c>
      <c r="AH190" s="69" t="n">
        <f aca="false">-(AH211+AH212+AH214)/2*Inputs!$C$71/12</f>
        <v>-15848.9583333333</v>
      </c>
      <c r="AI190" s="69" t="n">
        <f aca="false">-(AI211+AI212+AI214)/2*Inputs!$C$71/12</f>
        <v>-15671.875</v>
      </c>
      <c r="AJ190" s="69" t="n">
        <f aca="false">-(AJ211+AJ212+AJ214)/2*Inputs!$C$71/12</f>
        <v>-15494.7916666667</v>
      </c>
      <c r="AK190" s="69" t="n">
        <f aca="false">-(AK211+AK212+AK214)/2*Inputs!$C$71/12</f>
        <v>-15317.7083333333</v>
      </c>
      <c r="AL190" s="69" t="n">
        <f aca="false">-(AL211+AL212+AL214)/2*Inputs!$C$71/12</f>
        <v>-15140.625</v>
      </c>
      <c r="AM190" s="69" t="n">
        <f aca="false">-(AM211+AM212+AM214)/2*Inputs!$C$71/12</f>
        <v>-14963.5416666667</v>
      </c>
      <c r="AN190" s="69" t="n">
        <f aca="false">-(AN211+AN212+AN214)/2*Inputs!$C$71/12</f>
        <v>-14786.4583333333</v>
      </c>
      <c r="AO190" s="69" t="n">
        <f aca="false">-(AO211+AO212+AO214)/2*Inputs!$C$71/12</f>
        <v>-14609.375</v>
      </c>
      <c r="AP190" s="69" t="n">
        <f aca="false">-(AP211+AP212+AP214)/2*Inputs!$C$71/12</f>
        <v>-14432.2916666667</v>
      </c>
      <c r="AQ190" s="69" t="n">
        <f aca="false">-(AQ211+AQ212+AQ214)/2*Inputs!$C$71/12</f>
        <v>-14255.2083333333</v>
      </c>
      <c r="AR190" s="69" t="n">
        <f aca="false">-(AR211+AR212+AR214)/2*Inputs!$C$71/12</f>
        <v>-14078.125</v>
      </c>
      <c r="AS190" s="69" t="n">
        <f aca="false">-(AS211+AS212+AS214)/2*Inputs!$C$71/12</f>
        <v>-13901.0416666667</v>
      </c>
      <c r="AT190" s="69" t="n">
        <f aca="false">-(AT211+AT212+AT214)/2*Inputs!$C$71/12</f>
        <v>-13723.9583333333</v>
      </c>
      <c r="AU190" s="69" t="n">
        <f aca="false">-(AU211+AU212+AU214)/2*Inputs!$C$71/12</f>
        <v>-13546.875</v>
      </c>
      <c r="AV190" s="69" t="n">
        <f aca="false">-(AV211+AV212+AV214)/2*Inputs!$C$71/12</f>
        <v>-13369.7916666667</v>
      </c>
      <c r="AW190" s="69" t="n">
        <f aca="false">-(AW211+AW212+AW214)/2*Inputs!$C$71/12</f>
        <v>-13192.7083333333</v>
      </c>
      <c r="AX190" s="69" t="n">
        <f aca="false">-(AX211+AX212+AX214)/2*Inputs!$C$71/12</f>
        <v>-13015.625</v>
      </c>
      <c r="AY190" s="69" t="n">
        <f aca="false">-(AY211+AY212+AY214)/2*Inputs!$C$71/12</f>
        <v>-12838.5416666667</v>
      </c>
      <c r="AZ190" s="69" t="n">
        <f aca="false">-(AZ211+AZ212+AZ214)/2*Inputs!$C$71/12</f>
        <v>-12661.4583333333</v>
      </c>
      <c r="BA190" s="69" t="n">
        <f aca="false">-(BA211+BA212+BA214)/2*Inputs!$C$71/12</f>
        <v>-12484.375</v>
      </c>
      <c r="BB190" s="69" t="n">
        <f aca="false">-(BB211+BB212+BB214)/2*Inputs!$C$71/12</f>
        <v>-12307.2916666667</v>
      </c>
      <c r="BC190" s="69" t="n">
        <f aca="false">-(BC211+BC212+BC214)/2*Inputs!$C$71/12</f>
        <v>-12130.2083333333</v>
      </c>
      <c r="BD190" s="69" t="n">
        <f aca="false">-(BD211+BD212+BD214)/2*Inputs!$C$71/12</f>
        <v>-11953.125</v>
      </c>
      <c r="BE190" s="69" t="n">
        <f aca="false">-(BE211+BE212+BE214)/2*Inputs!$C$71/12</f>
        <v>-11776.0416666667</v>
      </c>
      <c r="BF190" s="69" t="n">
        <f aca="false">-(BF211+BF212+BF214)/2*Inputs!$C$71/12</f>
        <v>-11598.9583333333</v>
      </c>
      <c r="BG190" s="69" t="n">
        <f aca="false">-(BG211+BG212+BG214)/2*Inputs!$C$71/12</f>
        <v>-11421.875</v>
      </c>
      <c r="BH190" s="69" t="n">
        <f aca="false">-(BH211+BH212+BH214)/2*Inputs!$C$71/12</f>
        <v>-11244.7916666667</v>
      </c>
      <c r="BI190" s="69" t="n">
        <f aca="false">-(BI211+BI212+BI214)/2*Inputs!$C$71/12</f>
        <v>-11067.7083333333</v>
      </c>
      <c r="BJ190" s="69" t="n">
        <f aca="false">-(BJ211+BJ212+BJ214)/2*Inputs!$C$71/12</f>
        <v>-10890.625</v>
      </c>
    </row>
    <row r="191" customFormat="false" ht="15" hidden="false" customHeight="false" outlineLevel="0" collapsed="false">
      <c r="A191" s="113" t="s">
        <v>81</v>
      </c>
      <c r="C191" s="70" t="n">
        <f aca="false">C189+C190</f>
        <v>-102437.476634789</v>
      </c>
      <c r="D191" s="70" t="n">
        <f aca="false">D189+D190</f>
        <v>-96802.8601263196</v>
      </c>
      <c r="E191" s="70" t="n">
        <f aca="false">E189+E190</f>
        <v>-81346.6973463849</v>
      </c>
      <c r="F191" s="70" t="n">
        <f aca="false">F189+F190</f>
        <v>-74175.9785983407</v>
      </c>
      <c r="G191" s="70" t="n">
        <f aca="false">G189+G190</f>
        <v>-66877.5392626404</v>
      </c>
      <c r="H191" s="70" t="n">
        <f aca="false">H189+H190</f>
        <v>-59456.4881627903</v>
      </c>
      <c r="I191" s="70" t="n">
        <f aca="false">I189+I190</f>
        <v>-51917.7297693565</v>
      </c>
      <c r="J191" s="70" t="n">
        <f aca="false">J189+J190</f>
        <v>-44265.9723740822</v>
      </c>
      <c r="K191" s="70" t="n">
        <f aca="false">K189+K190</f>
        <v>-36505.7359370411</v>
      </c>
      <c r="L191" s="70" t="n">
        <f aca="false">L189+L190</f>
        <v>-28641.3596199039</v>
      </c>
      <c r="M191" s="70" t="n">
        <f aca="false">M189+M190</f>
        <v>-26323.1435999967</v>
      </c>
      <c r="N191" s="70" t="n">
        <f aca="false">N189+N190</f>
        <v>-40481.3508386496</v>
      </c>
      <c r="O191" s="70" t="n">
        <f aca="false">O189+O190</f>
        <v>-34678.0440923265</v>
      </c>
      <c r="P191" s="70" t="n">
        <f aca="false">P189+P190</f>
        <v>-32689.803305957</v>
      </c>
      <c r="Q191" s="70" t="n">
        <f aca="false">Q189+Q190</f>
        <v>-13768.6381730981</v>
      </c>
      <c r="R191" s="70" t="n">
        <f aca="false">R189+R190</f>
        <v>-11668.6885046759</v>
      </c>
      <c r="S191" s="70" t="n">
        <f aca="false">S189+S190</f>
        <v>-9645.65348965729</v>
      </c>
      <c r="T191" s="70" t="n">
        <f aca="false">T189+T190</f>
        <v>-7696.45654190606</v>
      </c>
      <c r="U191" s="70" t="n">
        <f aca="false">U189+U190</f>
        <v>-5818.14413873151</v>
      </c>
      <c r="V191" s="70" t="n">
        <f aca="false">V189+V190</f>
        <v>-4007.88089835067</v>
      </c>
      <c r="W191" s="70" t="n">
        <f aca="false">W189+W190</f>
        <v>-2262.94485425172</v>
      </c>
      <c r="X191" s="70" t="n">
        <f aca="false">X189+X190</f>
        <v>-580.722918583382</v>
      </c>
      <c r="Y191" s="70" t="n">
        <f aca="false">Y189+Y190</f>
        <v>1041.29347299157</v>
      </c>
      <c r="Z191" s="70" t="n">
        <f aca="false">Z189+Z190</f>
        <v>-13789.494266954</v>
      </c>
      <c r="AA191" s="70" t="n">
        <f aca="false">AA189+AA190</f>
        <v>-8664.94562232456</v>
      </c>
      <c r="AB191" s="70" t="n">
        <f aca="false">AB189+AB190</f>
        <v>-7337.06864158062</v>
      </c>
      <c r="AC191" s="70" t="n">
        <f aca="false">AC189+AC190</f>
        <v>11047.9903249111</v>
      </c>
      <c r="AD191" s="70" t="n">
        <f aca="false">AD189+AD190</f>
        <v>12578.4739856072</v>
      </c>
      <c r="AE191" s="70" t="n">
        <f aca="false">AE189+AE190</f>
        <v>14054.8216332087</v>
      </c>
      <c r="AF191" s="70" t="n">
        <f aca="false">AF189+AF190</f>
        <v>15479.1987082395</v>
      </c>
      <c r="AG191" s="70" t="n">
        <f aca="false">AG189+AG190</f>
        <v>16853.6840336025</v>
      </c>
      <c r="AH191" s="70" t="n">
        <f aca="false">AH189+AH190</f>
        <v>18180.2732792842</v>
      </c>
      <c r="AI191" s="70" t="n">
        <f aca="false">AI189+AI190</f>
        <v>19460.882288472</v>
      </c>
      <c r="AJ191" s="70" t="n">
        <f aca="false">AJ189+AJ190</f>
        <v>20697.3502706256</v>
      </c>
      <c r="AK191" s="70" t="n">
        <f aca="false">AK189+AK190</f>
        <v>21891.4428668264</v>
      </c>
      <c r="AL191" s="70" t="n">
        <f aca="false">AL189+AL190</f>
        <v>6376.37886141181</v>
      </c>
      <c r="AM191" s="70" t="n">
        <f aca="false">AM189+AM190</f>
        <v>11072.3689883433</v>
      </c>
      <c r="AN191" s="70" t="n">
        <f aca="false">AN189+AN190</f>
        <v>11990.8055273073</v>
      </c>
      <c r="AO191" s="70" t="n">
        <f aca="false">AO189+AO190</f>
        <v>30329.9901573313</v>
      </c>
      <c r="AP191" s="70" t="n">
        <f aca="false">AP189+AP190</f>
        <v>31514.1666334732</v>
      </c>
      <c r="AQ191" s="70" t="n">
        <f aca="false">AQ189+AQ190</f>
        <v>32658.0593839027</v>
      </c>
      <c r="AR191" s="70" t="n">
        <f aca="false">AR189+AR190</f>
        <v>33763.2797576484</v>
      </c>
      <c r="AS191" s="70" t="n">
        <f aca="false">AS189+AS190</f>
        <v>34831.3746497775</v>
      </c>
      <c r="AT191" s="70" t="n">
        <f aca="false">AT189+AT190</f>
        <v>35863.8290795548</v>
      </c>
      <c r="AU191" s="70" t="n">
        <f aca="false">AU189+AU190</f>
        <v>36862.0686654745</v>
      </c>
      <c r="AV191" s="70" t="n">
        <f aca="false">AV189+AV190</f>
        <v>37827.4620012906</v>
      </c>
      <c r="AW191" s="70" t="n">
        <f aca="false">AW189+AW190</f>
        <v>38761.3229370074</v>
      </c>
      <c r="AX191" s="70" t="n">
        <f aca="false">AX189+AX190</f>
        <v>22541.8833957728</v>
      </c>
      <c r="AY191" s="70" t="n">
        <f aca="false">AY189+AY190</f>
        <v>26987.2363177124</v>
      </c>
      <c r="AZ191" s="70" t="n">
        <f aca="false">AZ189+AZ190</f>
        <v>27653.0365923948</v>
      </c>
      <c r="BA191" s="70" t="n">
        <f aca="false">BA189+BA190</f>
        <v>46266.0352619323</v>
      </c>
      <c r="BB191" s="70" t="n">
        <f aca="false">BB189+BB190</f>
        <v>47243.6046745861</v>
      </c>
      <c r="BC191" s="70" t="n">
        <f aca="false">BC189+BC190</f>
        <v>48189.1546440672</v>
      </c>
      <c r="BD191" s="70" t="n">
        <f aca="false">BD189+BD190</f>
        <v>49103.9659481024</v>
      </c>
      <c r="BE191" s="70" t="n">
        <f aca="false">BE189+BE190</f>
        <v>49989.2681333095</v>
      </c>
      <c r="BF191" s="70" t="n">
        <f aca="false">BF189+BF190</f>
        <v>50846.2415644416</v>
      </c>
      <c r="BG191" s="70" t="n">
        <f aca="false">BG189+BG190</f>
        <v>51676.0193916618</v>
      </c>
      <c r="BH191" s="70" t="n">
        <f aca="false">BH189+BH190</f>
        <v>52479.6894391265</v>
      </c>
      <c r="BI191" s="70" t="n">
        <f aca="false">BI189+BI190</f>
        <v>53258.296018026</v>
      </c>
      <c r="BJ191" s="70" t="n">
        <f aca="false">BJ189+BJ190</f>
        <v>36309.4305759791</v>
      </c>
    </row>
    <row r="192" customFormat="false" ht="15" hidden="false" customHeight="false" outlineLevel="0" collapsed="false">
      <c r="A192" s="116" t="s">
        <v>445</v>
      </c>
      <c r="C192" s="69" t="n">
        <f aca="false">C191</f>
        <v>-102437.476634789</v>
      </c>
      <c r="D192" s="69" t="n">
        <f aca="false">C192+D191</f>
        <v>-199240.336761108</v>
      </c>
      <c r="E192" s="69" t="n">
        <f aca="false">D192+E191</f>
        <v>-280587.034107493</v>
      </c>
      <c r="F192" s="69" t="n">
        <f aca="false">E192+F191</f>
        <v>-354763.012705834</v>
      </c>
      <c r="G192" s="69" t="n">
        <f aca="false">F192+G191</f>
        <v>-421640.551968474</v>
      </c>
      <c r="H192" s="69" t="n">
        <f aca="false">G192+H191</f>
        <v>-481097.040131265</v>
      </c>
      <c r="I192" s="69" t="n">
        <f aca="false">H192+I191</f>
        <v>-533014.769900621</v>
      </c>
      <c r="J192" s="69" t="n">
        <f aca="false">I192+J191</f>
        <v>-577280.742274703</v>
      </c>
      <c r="K192" s="69" t="n">
        <f aca="false">J192+K191</f>
        <v>-613786.478211745</v>
      </c>
      <c r="L192" s="69" t="n">
        <f aca="false">K192+L191</f>
        <v>-642427.837831648</v>
      </c>
      <c r="M192" s="69" t="n">
        <f aca="false">L192+M191</f>
        <v>-668750.981431645</v>
      </c>
      <c r="N192" s="69" t="n">
        <f aca="false">M192+N191</f>
        <v>-709232.332270295</v>
      </c>
      <c r="O192" s="69" t="n">
        <f aca="false">N192+O191</f>
        <v>-743910.376362621</v>
      </c>
      <c r="P192" s="69" t="n">
        <f aca="false">O192+P191</f>
        <v>-776600.179668578</v>
      </c>
      <c r="Q192" s="69" t="n">
        <f aca="false">P192+Q191</f>
        <v>-790368.817841676</v>
      </c>
      <c r="R192" s="69" t="n">
        <f aca="false">Q192+R191</f>
        <v>-802037.506346352</v>
      </c>
      <c r="S192" s="69" t="n">
        <f aca="false">R192+S191</f>
        <v>-811683.159836009</v>
      </c>
      <c r="T192" s="69" t="n">
        <f aca="false">S192+T191</f>
        <v>-819379.616377916</v>
      </c>
      <c r="U192" s="69" t="n">
        <f aca="false">T192+U191</f>
        <v>-825197.760516647</v>
      </c>
      <c r="V192" s="69" t="n">
        <f aca="false">U192+V191</f>
        <v>-829205.641414998</v>
      </c>
      <c r="W192" s="69" t="n">
        <f aca="false">V192+W191</f>
        <v>-831468.586269249</v>
      </c>
      <c r="X192" s="69" t="n">
        <f aca="false">W192+X191</f>
        <v>-832049.309187833</v>
      </c>
      <c r="Y192" s="69" t="n">
        <f aca="false">X192+Y191</f>
        <v>-831008.015714841</v>
      </c>
      <c r="Z192" s="69" t="n">
        <f aca="false">Y192+Z191</f>
        <v>-844797.509981795</v>
      </c>
      <c r="AA192" s="69" t="n">
        <f aca="false">Z192+AA191</f>
        <v>-853462.45560412</v>
      </c>
      <c r="AB192" s="69" t="n">
        <f aca="false">AA192+AB191</f>
        <v>-860799.5242457</v>
      </c>
      <c r="AC192" s="69" t="n">
        <f aca="false">AB192+AC191</f>
        <v>-849751.533920789</v>
      </c>
      <c r="AD192" s="69" t="n">
        <f aca="false">AC192+AD191</f>
        <v>-837173.059935182</v>
      </c>
      <c r="AE192" s="69" t="n">
        <f aca="false">AD192+AE191</f>
        <v>-823118.238301974</v>
      </c>
      <c r="AF192" s="69" t="n">
        <f aca="false">AE192+AF191</f>
        <v>-807639.039593734</v>
      </c>
      <c r="AG192" s="69" t="n">
        <f aca="false">AF192+AG191</f>
        <v>-790785.355560132</v>
      </c>
      <c r="AH192" s="69" t="n">
        <f aca="false">AG192+AH191</f>
        <v>-772605.082280848</v>
      </c>
      <c r="AI192" s="69" t="n">
        <f aca="false">AH192+AI191</f>
        <v>-753144.199992375</v>
      </c>
      <c r="AJ192" s="69" t="n">
        <f aca="false">AI192+AJ191</f>
        <v>-732446.84972175</v>
      </c>
      <c r="AK192" s="69" t="n">
        <f aca="false">AJ192+AK191</f>
        <v>-710555.406854923</v>
      </c>
      <c r="AL192" s="69" t="n">
        <f aca="false">AK192+AL191</f>
        <v>-704179.027993512</v>
      </c>
      <c r="AM192" s="69" t="n">
        <f aca="false">AL192+AM191</f>
        <v>-693106.659005168</v>
      </c>
      <c r="AN192" s="69" t="n">
        <f aca="false">AM192+AN191</f>
        <v>-681115.853477861</v>
      </c>
      <c r="AO192" s="69" t="n">
        <f aca="false">AN192+AO191</f>
        <v>-650785.86332053</v>
      </c>
      <c r="AP192" s="69" t="n">
        <f aca="false">AO192+AP191</f>
        <v>-619271.696687057</v>
      </c>
      <c r="AQ192" s="69" t="n">
        <f aca="false">AP192+AQ191</f>
        <v>-586613.637303154</v>
      </c>
      <c r="AR192" s="69" t="n">
        <f aca="false">AQ192+AR191</f>
        <v>-552850.357545505</v>
      </c>
      <c r="AS192" s="69" t="n">
        <f aca="false">AR192+AS191</f>
        <v>-518018.982895728</v>
      </c>
      <c r="AT192" s="69" t="n">
        <f aca="false">AS192+AT191</f>
        <v>-482155.153816173</v>
      </c>
      <c r="AU192" s="69" t="n">
        <f aca="false">AT192+AU191</f>
        <v>-445293.085150699</v>
      </c>
      <c r="AV192" s="69" t="n">
        <f aca="false">AU192+AV191</f>
        <v>-407465.623149408</v>
      </c>
      <c r="AW192" s="69" t="n">
        <f aca="false">AV192+AW191</f>
        <v>-368704.300212401</v>
      </c>
      <c r="AX192" s="69" t="n">
        <f aca="false">AW192+AX191</f>
        <v>-346162.416816628</v>
      </c>
      <c r="AY192" s="69" t="n">
        <f aca="false">AX192+AY191</f>
        <v>-319175.180498915</v>
      </c>
      <c r="AZ192" s="69" t="n">
        <f aca="false">AY192+AZ191</f>
        <v>-291522.143906521</v>
      </c>
      <c r="BA192" s="69" t="n">
        <f aca="false">AZ192+BA191</f>
        <v>-245256.108644588</v>
      </c>
      <c r="BB192" s="69" t="n">
        <f aca="false">BA192+BB191</f>
        <v>-198012.503970002</v>
      </c>
      <c r="BC192" s="69" t="n">
        <f aca="false">BB192+BC191</f>
        <v>-149823.349325935</v>
      </c>
      <c r="BD192" s="69" t="n">
        <f aca="false">BC192+BD191</f>
        <v>-100719.383377833</v>
      </c>
      <c r="BE192" s="69" t="n">
        <f aca="false">BD192+BE191</f>
        <v>-50730.1152445231</v>
      </c>
      <c r="BF192" s="69" t="n">
        <f aca="false">BE192+BF191</f>
        <v>116.12631991852</v>
      </c>
      <c r="BG192" s="69" t="n">
        <f aca="false">BF192+BG191</f>
        <v>51792.1457115804</v>
      </c>
      <c r="BH192" s="69" t="n">
        <f aca="false">BG192+BH191</f>
        <v>104271.835150707</v>
      </c>
      <c r="BI192" s="69" t="n">
        <f aca="false">BH192+BI191</f>
        <v>157530.131168733</v>
      </c>
      <c r="BJ192" s="69" t="n">
        <f aca="false">BI192+BJ191</f>
        <v>193839.561744712</v>
      </c>
    </row>
    <row r="193" customFormat="false" ht="15" hidden="false" customHeight="false" outlineLevel="0" collapsed="false">
      <c r="A193" s="116" t="s">
        <v>446</v>
      </c>
      <c r="C193" s="69" t="n">
        <f aca="false">MAX(0,C192)</f>
        <v>0</v>
      </c>
      <c r="D193" s="69" t="n">
        <f aca="false">MAX(C193,D192)</f>
        <v>0</v>
      </c>
      <c r="E193" s="69" t="n">
        <f aca="false">MAX(D193,E192)</f>
        <v>0</v>
      </c>
      <c r="F193" s="69" t="n">
        <f aca="false">MAX(E193,F192)</f>
        <v>0</v>
      </c>
      <c r="G193" s="69" t="n">
        <f aca="false">MAX(F193,G192)</f>
        <v>0</v>
      </c>
      <c r="H193" s="69" t="n">
        <f aca="false">MAX(G193,H192)</f>
        <v>0</v>
      </c>
      <c r="I193" s="69" t="n">
        <f aca="false">MAX(H193,I192)</f>
        <v>0</v>
      </c>
      <c r="J193" s="69" t="n">
        <f aca="false">MAX(I193,J192)</f>
        <v>0</v>
      </c>
      <c r="K193" s="69" t="n">
        <f aca="false">MAX(J193,K192)</f>
        <v>0</v>
      </c>
      <c r="L193" s="69" t="n">
        <f aca="false">MAX(K193,L192)</f>
        <v>0</v>
      </c>
      <c r="M193" s="69" t="n">
        <f aca="false">MAX(L193,M192)</f>
        <v>0</v>
      </c>
      <c r="N193" s="69" t="n">
        <f aca="false">MAX(M193,N192)</f>
        <v>0</v>
      </c>
      <c r="O193" s="69" t="n">
        <f aca="false">MAX(N193,O192)</f>
        <v>0</v>
      </c>
      <c r="P193" s="69" t="n">
        <f aca="false">MAX(O193,P192)</f>
        <v>0</v>
      </c>
      <c r="Q193" s="69" t="n">
        <f aca="false">MAX(P193,Q192)</f>
        <v>0</v>
      </c>
      <c r="R193" s="69" t="n">
        <f aca="false">MAX(Q193,R192)</f>
        <v>0</v>
      </c>
      <c r="S193" s="69" t="n">
        <f aca="false">MAX(R193,S192)</f>
        <v>0</v>
      </c>
      <c r="T193" s="69" t="n">
        <f aca="false">MAX(S193,T192)</f>
        <v>0</v>
      </c>
      <c r="U193" s="69" t="n">
        <f aca="false">MAX(T193,U192)</f>
        <v>0</v>
      </c>
      <c r="V193" s="69" t="n">
        <f aca="false">MAX(U193,V192)</f>
        <v>0</v>
      </c>
      <c r="W193" s="69" t="n">
        <f aca="false">MAX(V193,W192)</f>
        <v>0</v>
      </c>
      <c r="X193" s="69" t="n">
        <f aca="false">MAX(W193,X192)</f>
        <v>0</v>
      </c>
      <c r="Y193" s="69" t="n">
        <f aca="false">MAX(X193,Y192)</f>
        <v>0</v>
      </c>
      <c r="Z193" s="69" t="n">
        <f aca="false">MAX(Y193,Z192)</f>
        <v>0</v>
      </c>
      <c r="AA193" s="69" t="n">
        <f aca="false">MAX(Z193,AA192)</f>
        <v>0</v>
      </c>
      <c r="AB193" s="69" t="n">
        <f aca="false">MAX(AA193,AB192)</f>
        <v>0</v>
      </c>
      <c r="AC193" s="69" t="n">
        <f aca="false">MAX(AB193,AC192)</f>
        <v>0</v>
      </c>
      <c r="AD193" s="69" t="n">
        <f aca="false">MAX(AC193,AD192)</f>
        <v>0</v>
      </c>
      <c r="AE193" s="69" t="n">
        <f aca="false">MAX(AD193,AE192)</f>
        <v>0</v>
      </c>
      <c r="AF193" s="69" t="n">
        <f aca="false">MAX(AE193,AF192)</f>
        <v>0</v>
      </c>
      <c r="AG193" s="69" t="n">
        <f aca="false">MAX(AF193,AG192)</f>
        <v>0</v>
      </c>
      <c r="AH193" s="69" t="n">
        <f aca="false">MAX(AG193,AH192)</f>
        <v>0</v>
      </c>
      <c r="AI193" s="69" t="n">
        <f aca="false">MAX(AH193,AI192)</f>
        <v>0</v>
      </c>
      <c r="AJ193" s="69" t="n">
        <f aca="false">MAX(AI193,AJ192)</f>
        <v>0</v>
      </c>
      <c r="AK193" s="69" t="n">
        <f aca="false">MAX(AJ193,AK192)</f>
        <v>0</v>
      </c>
      <c r="AL193" s="69" t="n">
        <f aca="false">MAX(AK193,AL192)</f>
        <v>0</v>
      </c>
      <c r="AM193" s="69" t="n">
        <f aca="false">MAX(AL193,AM192)</f>
        <v>0</v>
      </c>
      <c r="AN193" s="69" t="n">
        <f aca="false">MAX(AM193,AN192)</f>
        <v>0</v>
      </c>
      <c r="AO193" s="69" t="n">
        <f aca="false">MAX(AN193,AO192)</f>
        <v>0</v>
      </c>
      <c r="AP193" s="69" t="n">
        <f aca="false">MAX(AO193,AP192)</f>
        <v>0</v>
      </c>
      <c r="AQ193" s="69" t="n">
        <f aca="false">MAX(AP193,AQ192)</f>
        <v>0</v>
      </c>
      <c r="AR193" s="69" t="n">
        <f aca="false">MAX(AQ193,AR192)</f>
        <v>0</v>
      </c>
      <c r="AS193" s="69" t="n">
        <f aca="false">MAX(AR193,AS192)</f>
        <v>0</v>
      </c>
      <c r="AT193" s="69" t="n">
        <f aca="false">MAX(AS193,AT192)</f>
        <v>0</v>
      </c>
      <c r="AU193" s="69" t="n">
        <f aca="false">MAX(AT193,AU192)</f>
        <v>0</v>
      </c>
      <c r="AV193" s="69" t="n">
        <f aca="false">MAX(AU193,AV192)</f>
        <v>0</v>
      </c>
      <c r="AW193" s="69" t="n">
        <f aca="false">MAX(AV193,AW192)</f>
        <v>0</v>
      </c>
      <c r="AX193" s="69" t="n">
        <f aca="false">MAX(AW193,AX192)</f>
        <v>0</v>
      </c>
      <c r="AY193" s="69" t="n">
        <f aca="false">MAX(AX193,AY192)</f>
        <v>0</v>
      </c>
      <c r="AZ193" s="69" t="n">
        <f aca="false">MAX(AY193,AZ192)</f>
        <v>0</v>
      </c>
      <c r="BA193" s="69" t="n">
        <f aca="false">MAX(AZ193,BA192)</f>
        <v>0</v>
      </c>
      <c r="BB193" s="69" t="n">
        <f aca="false">MAX(BA193,BB192)</f>
        <v>0</v>
      </c>
      <c r="BC193" s="69" t="n">
        <f aca="false">MAX(BB193,BC192)</f>
        <v>0</v>
      </c>
      <c r="BD193" s="69" t="n">
        <f aca="false">MAX(BC193,BD192)</f>
        <v>0</v>
      </c>
      <c r="BE193" s="69" t="n">
        <f aca="false">MAX(BD193,BE192)</f>
        <v>0</v>
      </c>
      <c r="BF193" s="69" t="n">
        <f aca="false">MAX(BE193,BF192)</f>
        <v>116.12631991852</v>
      </c>
      <c r="BG193" s="69" t="n">
        <f aca="false">MAX(BF193,BG192)</f>
        <v>51792.1457115804</v>
      </c>
      <c r="BH193" s="69" t="n">
        <f aca="false">MAX(BG193,BH192)</f>
        <v>104271.835150707</v>
      </c>
      <c r="BI193" s="69" t="n">
        <f aca="false">MAX(BH193,BI192)</f>
        <v>157530.131168733</v>
      </c>
      <c r="BJ193" s="69" t="n">
        <f aca="false">MAX(BI193,BJ192)</f>
        <v>193839.561744712</v>
      </c>
    </row>
    <row r="194" customFormat="false" ht="15" hidden="false" customHeight="false" outlineLevel="0" collapsed="false">
      <c r="A194" s="6" t="s">
        <v>82</v>
      </c>
      <c r="C194" s="69" t="n">
        <f aca="false">-C193*Inputs!$C$81</f>
        <v>-0</v>
      </c>
      <c r="D194" s="69" t="n">
        <f aca="false">-(D193-C193)*Inputs!$C$81</f>
        <v>-0</v>
      </c>
      <c r="E194" s="69" t="n">
        <f aca="false">-(E193-D193)*Inputs!$C$81</f>
        <v>-0</v>
      </c>
      <c r="F194" s="69" t="n">
        <f aca="false">-(F193-E193)*Inputs!$C$81</f>
        <v>-0</v>
      </c>
      <c r="G194" s="69" t="n">
        <f aca="false">-(G193-F193)*Inputs!$C$81</f>
        <v>-0</v>
      </c>
      <c r="H194" s="69" t="n">
        <f aca="false">-(H193-G193)*Inputs!$C$81</f>
        <v>-0</v>
      </c>
      <c r="I194" s="69" t="n">
        <f aca="false">-(I193-H193)*Inputs!$C$81</f>
        <v>-0</v>
      </c>
      <c r="J194" s="69" t="n">
        <f aca="false">-(J193-I193)*Inputs!$C$81</f>
        <v>-0</v>
      </c>
      <c r="K194" s="69" t="n">
        <f aca="false">-(K193-J193)*Inputs!$C$81</f>
        <v>-0</v>
      </c>
      <c r="L194" s="69" t="n">
        <f aca="false">-(L193-K193)*Inputs!$C$81</f>
        <v>-0</v>
      </c>
      <c r="M194" s="69" t="n">
        <f aca="false">-(M193-L193)*Inputs!$C$81</f>
        <v>-0</v>
      </c>
      <c r="N194" s="69" t="n">
        <f aca="false">-(N193-M193)*Inputs!$C$81</f>
        <v>-0</v>
      </c>
      <c r="O194" s="69" t="n">
        <f aca="false">-(O193-N193)*Inputs!$C$81</f>
        <v>-0</v>
      </c>
      <c r="P194" s="69" t="n">
        <f aca="false">-(P193-O193)*Inputs!$C$81</f>
        <v>-0</v>
      </c>
      <c r="Q194" s="69" t="n">
        <f aca="false">-(Q193-P193)*Inputs!$C$81</f>
        <v>-0</v>
      </c>
      <c r="R194" s="69" t="n">
        <f aca="false">-(R193-Q193)*Inputs!$C$81</f>
        <v>-0</v>
      </c>
      <c r="S194" s="69" t="n">
        <f aca="false">-(S193-R193)*Inputs!$C$81</f>
        <v>-0</v>
      </c>
      <c r="T194" s="69" t="n">
        <f aca="false">-(T193-S193)*Inputs!$C$81</f>
        <v>-0</v>
      </c>
      <c r="U194" s="69" t="n">
        <f aca="false">-(U193-T193)*Inputs!$C$81</f>
        <v>-0</v>
      </c>
      <c r="V194" s="69" t="n">
        <f aca="false">-(V193-U193)*Inputs!$C$81</f>
        <v>-0</v>
      </c>
      <c r="W194" s="69" t="n">
        <f aca="false">-(W193-V193)*Inputs!$C$81</f>
        <v>-0</v>
      </c>
      <c r="X194" s="69" t="n">
        <f aca="false">-(X193-W193)*Inputs!$C$81</f>
        <v>-0</v>
      </c>
      <c r="Y194" s="69" t="n">
        <f aca="false">-(Y193-X193)*Inputs!$C$81</f>
        <v>-0</v>
      </c>
      <c r="Z194" s="69" t="n">
        <f aca="false">-(Z193-Y193)*Inputs!$C$81</f>
        <v>-0</v>
      </c>
      <c r="AA194" s="69" t="n">
        <f aca="false">-(AA193-Z193)*Inputs!$C$81</f>
        <v>-0</v>
      </c>
      <c r="AB194" s="69" t="n">
        <f aca="false">-(AB193-AA193)*Inputs!$C$81</f>
        <v>-0</v>
      </c>
      <c r="AC194" s="69" t="n">
        <f aca="false">-(AC193-AB193)*Inputs!$C$81</f>
        <v>-0</v>
      </c>
      <c r="AD194" s="69" t="n">
        <f aca="false">-(AD193-AC193)*Inputs!$C$81</f>
        <v>-0</v>
      </c>
      <c r="AE194" s="69" t="n">
        <f aca="false">-(AE193-AD193)*Inputs!$C$81</f>
        <v>-0</v>
      </c>
      <c r="AF194" s="69" t="n">
        <f aca="false">-(AF193-AE193)*Inputs!$C$81</f>
        <v>-0</v>
      </c>
      <c r="AG194" s="69" t="n">
        <f aca="false">-(AG193-AF193)*Inputs!$C$81</f>
        <v>-0</v>
      </c>
      <c r="AH194" s="69" t="n">
        <f aca="false">-(AH193-AG193)*Inputs!$C$81</f>
        <v>-0</v>
      </c>
      <c r="AI194" s="69" t="n">
        <f aca="false">-(AI193-AH193)*Inputs!$C$81</f>
        <v>-0</v>
      </c>
      <c r="AJ194" s="69" t="n">
        <f aca="false">-(AJ193-AI193)*Inputs!$C$81</f>
        <v>-0</v>
      </c>
      <c r="AK194" s="69" t="n">
        <f aca="false">-(AK193-AJ193)*Inputs!$C$81</f>
        <v>-0</v>
      </c>
      <c r="AL194" s="69" t="n">
        <f aca="false">-(AL193-AK193)*Inputs!$C$81</f>
        <v>-0</v>
      </c>
      <c r="AM194" s="69" t="n">
        <f aca="false">-(AM193-AL193)*Inputs!$C$81</f>
        <v>-0</v>
      </c>
      <c r="AN194" s="69" t="n">
        <f aca="false">-(AN193-AM193)*Inputs!$C$81</f>
        <v>-0</v>
      </c>
      <c r="AO194" s="69" t="n">
        <f aca="false">-(AO193-AN193)*Inputs!$C$81</f>
        <v>-0</v>
      </c>
      <c r="AP194" s="69" t="n">
        <f aca="false">-(AP193-AO193)*Inputs!$C$81</f>
        <v>-0</v>
      </c>
      <c r="AQ194" s="69" t="n">
        <f aca="false">-(AQ193-AP193)*Inputs!$C$81</f>
        <v>-0</v>
      </c>
      <c r="AR194" s="69" t="n">
        <f aca="false">-(AR193-AQ193)*Inputs!$C$81</f>
        <v>-0</v>
      </c>
      <c r="AS194" s="69" t="n">
        <f aca="false">-(AS193-AR193)*Inputs!$C$81</f>
        <v>-0</v>
      </c>
      <c r="AT194" s="69" t="n">
        <f aca="false">-(AT193-AS193)*Inputs!$C$81</f>
        <v>-0</v>
      </c>
      <c r="AU194" s="69" t="n">
        <f aca="false">-(AU193-AT193)*Inputs!$C$81</f>
        <v>-0</v>
      </c>
      <c r="AV194" s="69" t="n">
        <f aca="false">-(AV193-AU193)*Inputs!$C$81</f>
        <v>-0</v>
      </c>
      <c r="AW194" s="69" t="n">
        <f aca="false">-(AW193-AV193)*Inputs!$C$81</f>
        <v>-0</v>
      </c>
      <c r="AX194" s="69" t="n">
        <f aca="false">-(AX193-AW193)*Inputs!$C$81</f>
        <v>-0</v>
      </c>
      <c r="AY194" s="69" t="n">
        <f aca="false">-(AY193-AX193)*Inputs!$C$81</f>
        <v>-0</v>
      </c>
      <c r="AZ194" s="69" t="n">
        <f aca="false">-(AZ193-AY193)*Inputs!$C$81</f>
        <v>-0</v>
      </c>
      <c r="BA194" s="69" t="n">
        <f aca="false">-(BA193-AZ193)*Inputs!$C$81</f>
        <v>-0</v>
      </c>
      <c r="BB194" s="69" t="n">
        <f aca="false">-(BB193-BA193)*Inputs!$C$81</f>
        <v>-0</v>
      </c>
      <c r="BC194" s="69" t="n">
        <f aca="false">-(BC193-BB193)*Inputs!$C$81</f>
        <v>-0</v>
      </c>
      <c r="BD194" s="69" t="n">
        <f aca="false">-(BD193-BC193)*Inputs!$C$81</f>
        <v>-0</v>
      </c>
      <c r="BE194" s="69" t="n">
        <f aca="false">-(BE193-BD193)*Inputs!$C$81</f>
        <v>-0</v>
      </c>
      <c r="BF194" s="69" t="n">
        <f aca="false">-(BF193-BE193)*Inputs!$C$81</f>
        <v>-24.3865271828891</v>
      </c>
      <c r="BG194" s="69" t="n">
        <f aca="false">-(BG193-BF193)*Inputs!$C$81</f>
        <v>-10851.964072249</v>
      </c>
      <c r="BH194" s="69" t="n">
        <f aca="false">-(BH193-BG193)*Inputs!$C$81</f>
        <v>-11020.7347822166</v>
      </c>
      <c r="BI194" s="69" t="n">
        <f aca="false">-(BI193-BH193)*Inputs!$C$81</f>
        <v>-11184.2421637855</v>
      </c>
      <c r="BJ194" s="69" t="n">
        <f aca="false">-(BJ193-BI193)*Inputs!$C$81</f>
        <v>-7624.98042095561</v>
      </c>
    </row>
    <row r="195" customFormat="false" ht="15" hidden="false" customHeight="false" outlineLevel="0" collapsed="false">
      <c r="A195" s="113" t="s">
        <v>50</v>
      </c>
      <c r="C195" s="70" t="n">
        <f aca="false">C191+C194</f>
        <v>-102437.476634789</v>
      </c>
      <c r="D195" s="70" t="n">
        <f aca="false">D191+D194</f>
        <v>-96802.8601263196</v>
      </c>
      <c r="E195" s="70" t="n">
        <f aca="false">E191+E194</f>
        <v>-81346.6973463849</v>
      </c>
      <c r="F195" s="70" t="n">
        <f aca="false">F191+F194</f>
        <v>-74175.9785983407</v>
      </c>
      <c r="G195" s="70" t="n">
        <f aca="false">G191+G194</f>
        <v>-66877.5392626404</v>
      </c>
      <c r="H195" s="70" t="n">
        <f aca="false">H191+H194</f>
        <v>-59456.4881627903</v>
      </c>
      <c r="I195" s="70" t="n">
        <f aca="false">I191+I194</f>
        <v>-51917.7297693565</v>
      </c>
      <c r="J195" s="70" t="n">
        <f aca="false">J191+J194</f>
        <v>-44265.9723740822</v>
      </c>
      <c r="K195" s="70" t="n">
        <f aca="false">K191+K194</f>
        <v>-36505.7359370411</v>
      </c>
      <c r="L195" s="70" t="n">
        <f aca="false">L191+L194</f>
        <v>-28641.3596199039</v>
      </c>
      <c r="M195" s="70" t="n">
        <f aca="false">M191+M194</f>
        <v>-26323.1435999967</v>
      </c>
      <c r="N195" s="70" t="n">
        <f aca="false">N191+N194</f>
        <v>-40481.3508386496</v>
      </c>
      <c r="O195" s="70" t="n">
        <f aca="false">O191+O194</f>
        <v>-34678.0440923265</v>
      </c>
      <c r="P195" s="70" t="n">
        <f aca="false">P191+P194</f>
        <v>-32689.803305957</v>
      </c>
      <c r="Q195" s="70" t="n">
        <f aca="false">Q191+Q194</f>
        <v>-13768.6381730981</v>
      </c>
      <c r="R195" s="70" t="n">
        <f aca="false">R191+R194</f>
        <v>-11668.6885046759</v>
      </c>
      <c r="S195" s="70" t="n">
        <f aca="false">S191+S194</f>
        <v>-9645.65348965729</v>
      </c>
      <c r="T195" s="70" t="n">
        <f aca="false">T191+T194</f>
        <v>-7696.45654190606</v>
      </c>
      <c r="U195" s="70" t="n">
        <f aca="false">U191+U194</f>
        <v>-5818.14413873151</v>
      </c>
      <c r="V195" s="70" t="n">
        <f aca="false">V191+V194</f>
        <v>-4007.88089835067</v>
      </c>
      <c r="W195" s="70" t="n">
        <f aca="false">W191+W194</f>
        <v>-2262.94485425172</v>
      </c>
      <c r="X195" s="70" t="n">
        <f aca="false">X191+X194</f>
        <v>-580.722918583382</v>
      </c>
      <c r="Y195" s="70" t="n">
        <f aca="false">Y191+Y194</f>
        <v>1041.29347299157</v>
      </c>
      <c r="Z195" s="70" t="n">
        <f aca="false">Z191+Z194</f>
        <v>-13789.494266954</v>
      </c>
      <c r="AA195" s="70" t="n">
        <f aca="false">AA191+AA194</f>
        <v>-8664.94562232456</v>
      </c>
      <c r="AB195" s="70" t="n">
        <f aca="false">AB191+AB194</f>
        <v>-7337.06864158062</v>
      </c>
      <c r="AC195" s="70" t="n">
        <f aca="false">AC191+AC194</f>
        <v>11047.9903249111</v>
      </c>
      <c r="AD195" s="70" t="n">
        <f aca="false">AD191+AD194</f>
        <v>12578.4739856072</v>
      </c>
      <c r="AE195" s="70" t="n">
        <f aca="false">AE191+AE194</f>
        <v>14054.8216332087</v>
      </c>
      <c r="AF195" s="70" t="n">
        <f aca="false">AF191+AF194</f>
        <v>15479.1987082395</v>
      </c>
      <c r="AG195" s="70" t="n">
        <f aca="false">AG191+AG194</f>
        <v>16853.6840336025</v>
      </c>
      <c r="AH195" s="70" t="n">
        <f aca="false">AH191+AH194</f>
        <v>18180.2732792842</v>
      </c>
      <c r="AI195" s="70" t="n">
        <f aca="false">AI191+AI194</f>
        <v>19460.882288472</v>
      </c>
      <c r="AJ195" s="70" t="n">
        <f aca="false">AJ191+AJ194</f>
        <v>20697.3502706256</v>
      </c>
      <c r="AK195" s="70" t="n">
        <f aca="false">AK191+AK194</f>
        <v>21891.4428668264</v>
      </c>
      <c r="AL195" s="70" t="n">
        <f aca="false">AL191+AL194</f>
        <v>6376.37886141181</v>
      </c>
      <c r="AM195" s="70" t="n">
        <f aca="false">AM191+AM194</f>
        <v>11072.3689883433</v>
      </c>
      <c r="AN195" s="70" t="n">
        <f aca="false">AN191+AN194</f>
        <v>11990.8055273073</v>
      </c>
      <c r="AO195" s="70" t="n">
        <f aca="false">AO191+AO194</f>
        <v>30329.9901573313</v>
      </c>
      <c r="AP195" s="70" t="n">
        <f aca="false">AP191+AP194</f>
        <v>31514.1666334732</v>
      </c>
      <c r="AQ195" s="70" t="n">
        <f aca="false">AQ191+AQ194</f>
        <v>32658.0593839027</v>
      </c>
      <c r="AR195" s="70" t="n">
        <f aca="false">AR191+AR194</f>
        <v>33763.2797576484</v>
      </c>
      <c r="AS195" s="70" t="n">
        <f aca="false">AS191+AS194</f>
        <v>34831.3746497775</v>
      </c>
      <c r="AT195" s="70" t="n">
        <f aca="false">AT191+AT194</f>
        <v>35863.8290795548</v>
      </c>
      <c r="AU195" s="70" t="n">
        <f aca="false">AU191+AU194</f>
        <v>36862.0686654745</v>
      </c>
      <c r="AV195" s="70" t="n">
        <f aca="false">AV191+AV194</f>
        <v>37827.4620012906</v>
      </c>
      <c r="AW195" s="70" t="n">
        <f aca="false">AW191+AW194</f>
        <v>38761.3229370074</v>
      </c>
      <c r="AX195" s="70" t="n">
        <f aca="false">AX191+AX194</f>
        <v>22541.8833957728</v>
      </c>
      <c r="AY195" s="70" t="n">
        <f aca="false">AY191+AY194</f>
        <v>26987.2363177124</v>
      </c>
      <c r="AZ195" s="70" t="n">
        <f aca="false">AZ191+AZ194</f>
        <v>27653.0365923948</v>
      </c>
      <c r="BA195" s="70" t="n">
        <f aca="false">BA191+BA194</f>
        <v>46266.0352619323</v>
      </c>
      <c r="BB195" s="70" t="n">
        <f aca="false">BB191+BB194</f>
        <v>47243.6046745861</v>
      </c>
      <c r="BC195" s="70" t="n">
        <f aca="false">BC191+BC194</f>
        <v>48189.1546440672</v>
      </c>
      <c r="BD195" s="70" t="n">
        <f aca="false">BD191+BD194</f>
        <v>49103.9659481024</v>
      </c>
      <c r="BE195" s="70" t="n">
        <f aca="false">BE191+BE194</f>
        <v>49989.2681333095</v>
      </c>
      <c r="BF195" s="70" t="n">
        <f aca="false">BF191+BF194</f>
        <v>50821.8550372587</v>
      </c>
      <c r="BG195" s="70" t="n">
        <f aca="false">BG191+BG194</f>
        <v>40824.0553194128</v>
      </c>
      <c r="BH195" s="70" t="n">
        <f aca="false">BH191+BH194</f>
        <v>41458.95465691</v>
      </c>
      <c r="BI195" s="70" t="n">
        <f aca="false">BI191+BI194</f>
        <v>42074.0538542405</v>
      </c>
      <c r="BJ195" s="70" t="n">
        <f aca="false">BJ191+BJ194</f>
        <v>28684.4501550235</v>
      </c>
    </row>
    <row r="197" customFormat="false" ht="15.75" hidden="false" customHeight="true" outlineLevel="0" collapsed="false">
      <c r="A197" s="7" t="s">
        <v>447</v>
      </c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</row>
    <row r="198" customFormat="false" ht="15" hidden="false" customHeight="false" outlineLevel="0" collapsed="false">
      <c r="A198" s="6" t="s">
        <v>448</v>
      </c>
      <c r="C198" s="69" t="n">
        <f aca="false">IF(C$135=1,Inputs!$C$50,0)</f>
        <v>1650000</v>
      </c>
      <c r="D198" s="69" t="n">
        <f aca="false">IF(D$135=1,Inputs!$C$50,0)</f>
        <v>0</v>
      </c>
      <c r="E198" s="69" t="n">
        <f aca="false">IF(E$135=1,Inputs!$C$50,0)</f>
        <v>0</v>
      </c>
      <c r="F198" s="69" t="n">
        <f aca="false">IF(F$135=1,Inputs!$C$50,0)</f>
        <v>0</v>
      </c>
      <c r="G198" s="69" t="n">
        <f aca="false">IF(G$135=1,Inputs!$C$50,0)</f>
        <v>0</v>
      </c>
      <c r="H198" s="69" t="n">
        <f aca="false">IF(H$135=1,Inputs!$C$50,0)</f>
        <v>0</v>
      </c>
      <c r="I198" s="69" t="n">
        <f aca="false">IF(I$135=1,Inputs!$C$50,0)</f>
        <v>0</v>
      </c>
      <c r="J198" s="69" t="n">
        <f aca="false">IF(J$135=1,Inputs!$C$50,0)</f>
        <v>0</v>
      </c>
      <c r="K198" s="69" t="n">
        <f aca="false">IF(K$135=1,Inputs!$C$50,0)</f>
        <v>0</v>
      </c>
      <c r="L198" s="69" t="n">
        <f aca="false">IF(L$135=1,Inputs!$C$50,0)</f>
        <v>0</v>
      </c>
      <c r="M198" s="69" t="n">
        <f aca="false">IF(M$135=1,Inputs!$C$50,0)</f>
        <v>0</v>
      </c>
      <c r="N198" s="69" t="n">
        <f aca="false">IF(N$135=1,Inputs!$C$50,0)</f>
        <v>0</v>
      </c>
      <c r="O198" s="69" t="n">
        <f aca="false">IF(O$135=1,Inputs!$C$50,0)</f>
        <v>0</v>
      </c>
      <c r="P198" s="69" t="n">
        <f aca="false">IF(P$135=1,Inputs!$C$50,0)</f>
        <v>0</v>
      </c>
      <c r="Q198" s="69" t="n">
        <f aca="false">IF(Q$135=1,Inputs!$C$50,0)</f>
        <v>0</v>
      </c>
      <c r="R198" s="69" t="n">
        <f aca="false">IF(R$135=1,Inputs!$C$50,0)</f>
        <v>0</v>
      </c>
      <c r="S198" s="69" t="n">
        <f aca="false">IF(S$135=1,Inputs!$C$50,0)</f>
        <v>0</v>
      </c>
      <c r="T198" s="69" t="n">
        <f aca="false">IF(T$135=1,Inputs!$C$50,0)</f>
        <v>0</v>
      </c>
      <c r="U198" s="69" t="n">
        <f aca="false">IF(U$135=1,Inputs!$C$50,0)</f>
        <v>0</v>
      </c>
      <c r="V198" s="69" t="n">
        <f aca="false">IF(V$135=1,Inputs!$C$50,0)</f>
        <v>0</v>
      </c>
      <c r="W198" s="69" t="n">
        <f aca="false">IF(W$135=1,Inputs!$C$50,0)</f>
        <v>0</v>
      </c>
      <c r="X198" s="69" t="n">
        <f aca="false">IF(X$135=1,Inputs!$C$50,0)</f>
        <v>0</v>
      </c>
      <c r="Y198" s="69" t="n">
        <f aca="false">IF(Y$135=1,Inputs!$C$50,0)</f>
        <v>0</v>
      </c>
      <c r="Z198" s="69" t="n">
        <f aca="false">IF(Z$135=1,Inputs!$C$50,0)</f>
        <v>0</v>
      </c>
      <c r="AA198" s="69" t="n">
        <f aca="false">IF(AA$135=1,Inputs!$C$50,0)</f>
        <v>0</v>
      </c>
      <c r="AB198" s="69" t="n">
        <f aca="false">IF(AB$135=1,Inputs!$C$50,0)</f>
        <v>0</v>
      </c>
      <c r="AC198" s="69" t="n">
        <f aca="false">IF(AC$135=1,Inputs!$C$50,0)</f>
        <v>0</v>
      </c>
      <c r="AD198" s="69" t="n">
        <f aca="false">IF(AD$135=1,Inputs!$C$50,0)</f>
        <v>0</v>
      </c>
      <c r="AE198" s="69" t="n">
        <f aca="false">IF(AE$135=1,Inputs!$C$50,0)</f>
        <v>0</v>
      </c>
      <c r="AF198" s="69" t="n">
        <f aca="false">IF(AF$135=1,Inputs!$C$50,0)</f>
        <v>0</v>
      </c>
      <c r="AG198" s="69" t="n">
        <f aca="false">IF(AG$135=1,Inputs!$C$50,0)</f>
        <v>0</v>
      </c>
      <c r="AH198" s="69" t="n">
        <f aca="false">IF(AH$135=1,Inputs!$C$50,0)</f>
        <v>0</v>
      </c>
      <c r="AI198" s="69" t="n">
        <f aca="false">IF(AI$135=1,Inputs!$C$50,0)</f>
        <v>0</v>
      </c>
      <c r="AJ198" s="69" t="n">
        <f aca="false">IF(AJ$135=1,Inputs!$C$50,0)</f>
        <v>0</v>
      </c>
      <c r="AK198" s="69" t="n">
        <f aca="false">IF(AK$135=1,Inputs!$C$50,0)</f>
        <v>0</v>
      </c>
      <c r="AL198" s="69" t="n">
        <f aca="false">IF(AL$135=1,Inputs!$C$50,0)</f>
        <v>0</v>
      </c>
      <c r="AM198" s="69" t="n">
        <f aca="false">IF(AM$135=1,Inputs!$C$50,0)</f>
        <v>0</v>
      </c>
      <c r="AN198" s="69" t="n">
        <f aca="false">IF(AN$135=1,Inputs!$C$50,0)</f>
        <v>0</v>
      </c>
      <c r="AO198" s="69" t="n">
        <f aca="false">IF(AO$135=1,Inputs!$C$50,0)</f>
        <v>0</v>
      </c>
      <c r="AP198" s="69" t="n">
        <f aca="false">IF(AP$135=1,Inputs!$C$50,0)</f>
        <v>0</v>
      </c>
      <c r="AQ198" s="69" t="n">
        <f aca="false">IF(AQ$135=1,Inputs!$C$50,0)</f>
        <v>0</v>
      </c>
      <c r="AR198" s="69" t="n">
        <f aca="false">IF(AR$135=1,Inputs!$C$50,0)</f>
        <v>0</v>
      </c>
      <c r="AS198" s="69" t="n">
        <f aca="false">IF(AS$135=1,Inputs!$C$50,0)</f>
        <v>0</v>
      </c>
      <c r="AT198" s="69" t="n">
        <f aca="false">IF(AT$135=1,Inputs!$C$50,0)</f>
        <v>0</v>
      </c>
      <c r="AU198" s="69" t="n">
        <f aca="false">IF(AU$135=1,Inputs!$C$50,0)</f>
        <v>0</v>
      </c>
      <c r="AV198" s="69" t="n">
        <f aca="false">IF(AV$135=1,Inputs!$C$50,0)</f>
        <v>0</v>
      </c>
      <c r="AW198" s="69" t="n">
        <f aca="false">IF(AW$135=1,Inputs!$C$50,0)</f>
        <v>0</v>
      </c>
      <c r="AX198" s="69" t="n">
        <f aca="false">IF(AX$135=1,Inputs!$C$50,0)</f>
        <v>0</v>
      </c>
      <c r="AY198" s="69" t="n">
        <f aca="false">IF(AY$135=1,Inputs!$C$50,0)</f>
        <v>0</v>
      </c>
      <c r="AZ198" s="69" t="n">
        <f aca="false">IF(AZ$135=1,Inputs!$C$50,0)</f>
        <v>0</v>
      </c>
      <c r="BA198" s="69" t="n">
        <f aca="false">IF(BA$135=1,Inputs!$C$50,0)</f>
        <v>0</v>
      </c>
      <c r="BB198" s="69" t="n">
        <f aca="false">IF(BB$135=1,Inputs!$C$50,0)</f>
        <v>0</v>
      </c>
      <c r="BC198" s="69" t="n">
        <f aca="false">IF(BC$135=1,Inputs!$C$50,0)</f>
        <v>0</v>
      </c>
      <c r="BD198" s="69" t="n">
        <f aca="false">IF(BD$135=1,Inputs!$C$50,0)</f>
        <v>0</v>
      </c>
      <c r="BE198" s="69" t="n">
        <f aca="false">IF(BE$135=1,Inputs!$C$50,0)</f>
        <v>0</v>
      </c>
      <c r="BF198" s="69" t="n">
        <f aca="false">IF(BF$135=1,Inputs!$C$50,0)</f>
        <v>0</v>
      </c>
      <c r="BG198" s="69" t="n">
        <f aca="false">IF(BG$135=1,Inputs!$C$50,0)</f>
        <v>0</v>
      </c>
      <c r="BH198" s="69" t="n">
        <f aca="false">IF(BH$135=1,Inputs!$C$50,0)</f>
        <v>0</v>
      </c>
      <c r="BI198" s="69" t="n">
        <f aca="false">IF(BI$135=1,Inputs!$C$50,0)</f>
        <v>0</v>
      </c>
      <c r="BJ198" s="69" t="n">
        <f aca="false">IF(BJ$135=1,Inputs!$C$50,0)</f>
        <v>0</v>
      </c>
    </row>
    <row r="199" customFormat="false" ht="15" hidden="false" customHeight="false" outlineLevel="0" collapsed="false">
      <c r="A199" s="6" t="s">
        <v>449</v>
      </c>
      <c r="C199" s="69" t="n">
        <f aca="false">IF(C$135=1,Inputs!$C$51,0)</f>
        <v>2300000</v>
      </c>
      <c r="D199" s="69" t="n">
        <f aca="false">IF(D$135=1,Inputs!$C$51,0)</f>
        <v>0</v>
      </c>
      <c r="E199" s="69" t="n">
        <f aca="false">IF(E$135=1,Inputs!$C$51,0)</f>
        <v>0</v>
      </c>
      <c r="F199" s="69" t="n">
        <f aca="false">IF(F$135=1,Inputs!$C$51,0)</f>
        <v>0</v>
      </c>
      <c r="G199" s="69" t="n">
        <f aca="false">IF(G$135=1,Inputs!$C$51,0)</f>
        <v>0</v>
      </c>
      <c r="H199" s="69" t="n">
        <f aca="false">IF(H$135=1,Inputs!$C$51,0)</f>
        <v>0</v>
      </c>
      <c r="I199" s="69" t="n">
        <f aca="false">IF(I$135=1,Inputs!$C$51,0)</f>
        <v>0</v>
      </c>
      <c r="J199" s="69" t="n">
        <f aca="false">IF(J$135=1,Inputs!$C$51,0)</f>
        <v>0</v>
      </c>
      <c r="K199" s="69" t="n">
        <f aca="false">IF(K$135=1,Inputs!$C$51,0)</f>
        <v>0</v>
      </c>
      <c r="L199" s="69" t="n">
        <f aca="false">IF(L$135=1,Inputs!$C$51,0)</f>
        <v>0</v>
      </c>
      <c r="M199" s="69" t="n">
        <f aca="false">IF(M$135=1,Inputs!$C$51,0)</f>
        <v>0</v>
      </c>
      <c r="N199" s="69" t="n">
        <f aca="false">IF(N$135=1,Inputs!$C$51,0)</f>
        <v>0</v>
      </c>
      <c r="O199" s="69" t="n">
        <f aca="false">IF(O$135=1,Inputs!$C$51,0)</f>
        <v>0</v>
      </c>
      <c r="P199" s="69" t="n">
        <f aca="false">IF(P$135=1,Inputs!$C$51,0)</f>
        <v>0</v>
      </c>
      <c r="Q199" s="69" t="n">
        <f aca="false">IF(Q$135=1,Inputs!$C$51,0)</f>
        <v>0</v>
      </c>
      <c r="R199" s="69" t="n">
        <f aca="false">IF(R$135=1,Inputs!$C$51,0)</f>
        <v>0</v>
      </c>
      <c r="S199" s="69" t="n">
        <f aca="false">IF(S$135=1,Inputs!$C$51,0)</f>
        <v>0</v>
      </c>
      <c r="T199" s="69" t="n">
        <f aca="false">IF(T$135=1,Inputs!$C$51,0)</f>
        <v>0</v>
      </c>
      <c r="U199" s="69" t="n">
        <f aca="false">IF(U$135=1,Inputs!$C$51,0)</f>
        <v>0</v>
      </c>
      <c r="V199" s="69" t="n">
        <f aca="false">IF(V$135=1,Inputs!$C$51,0)</f>
        <v>0</v>
      </c>
      <c r="W199" s="69" t="n">
        <f aca="false">IF(W$135=1,Inputs!$C$51,0)</f>
        <v>0</v>
      </c>
      <c r="X199" s="69" t="n">
        <f aca="false">IF(X$135=1,Inputs!$C$51,0)</f>
        <v>0</v>
      </c>
      <c r="Y199" s="69" t="n">
        <f aca="false">IF(Y$135=1,Inputs!$C$51,0)</f>
        <v>0</v>
      </c>
      <c r="Z199" s="69" t="n">
        <f aca="false">IF(Z$135=1,Inputs!$C$51,0)</f>
        <v>0</v>
      </c>
      <c r="AA199" s="69" t="n">
        <f aca="false">IF(AA$135=1,Inputs!$C$51,0)</f>
        <v>0</v>
      </c>
      <c r="AB199" s="69" t="n">
        <f aca="false">IF(AB$135=1,Inputs!$C$51,0)</f>
        <v>0</v>
      </c>
      <c r="AC199" s="69" t="n">
        <f aca="false">IF(AC$135=1,Inputs!$C$51,0)</f>
        <v>0</v>
      </c>
      <c r="AD199" s="69" t="n">
        <f aca="false">IF(AD$135=1,Inputs!$C$51,0)</f>
        <v>0</v>
      </c>
      <c r="AE199" s="69" t="n">
        <f aca="false">IF(AE$135=1,Inputs!$C$51,0)</f>
        <v>0</v>
      </c>
      <c r="AF199" s="69" t="n">
        <f aca="false">IF(AF$135=1,Inputs!$C$51,0)</f>
        <v>0</v>
      </c>
      <c r="AG199" s="69" t="n">
        <f aca="false">IF(AG$135=1,Inputs!$C$51,0)</f>
        <v>0</v>
      </c>
      <c r="AH199" s="69" t="n">
        <f aca="false">IF(AH$135=1,Inputs!$C$51,0)</f>
        <v>0</v>
      </c>
      <c r="AI199" s="69" t="n">
        <f aca="false">IF(AI$135=1,Inputs!$C$51,0)</f>
        <v>0</v>
      </c>
      <c r="AJ199" s="69" t="n">
        <f aca="false">IF(AJ$135=1,Inputs!$C$51,0)</f>
        <v>0</v>
      </c>
      <c r="AK199" s="69" t="n">
        <f aca="false">IF(AK$135=1,Inputs!$C$51,0)</f>
        <v>0</v>
      </c>
      <c r="AL199" s="69" t="n">
        <f aca="false">IF(AL$135=1,Inputs!$C$51,0)</f>
        <v>0</v>
      </c>
      <c r="AM199" s="69" t="n">
        <f aca="false">IF(AM$135=1,Inputs!$C$51,0)</f>
        <v>0</v>
      </c>
      <c r="AN199" s="69" t="n">
        <f aca="false">IF(AN$135=1,Inputs!$C$51,0)</f>
        <v>0</v>
      </c>
      <c r="AO199" s="69" t="n">
        <f aca="false">IF(AO$135=1,Inputs!$C$51,0)</f>
        <v>0</v>
      </c>
      <c r="AP199" s="69" t="n">
        <f aca="false">IF(AP$135=1,Inputs!$C$51,0)</f>
        <v>0</v>
      </c>
      <c r="AQ199" s="69" t="n">
        <f aca="false">IF(AQ$135=1,Inputs!$C$51,0)</f>
        <v>0</v>
      </c>
      <c r="AR199" s="69" t="n">
        <f aca="false">IF(AR$135=1,Inputs!$C$51,0)</f>
        <v>0</v>
      </c>
      <c r="AS199" s="69" t="n">
        <f aca="false">IF(AS$135=1,Inputs!$C$51,0)</f>
        <v>0</v>
      </c>
      <c r="AT199" s="69" t="n">
        <f aca="false">IF(AT$135=1,Inputs!$C$51,0)</f>
        <v>0</v>
      </c>
      <c r="AU199" s="69" t="n">
        <f aca="false">IF(AU$135=1,Inputs!$C$51,0)</f>
        <v>0</v>
      </c>
      <c r="AV199" s="69" t="n">
        <f aca="false">IF(AV$135=1,Inputs!$C$51,0)</f>
        <v>0</v>
      </c>
      <c r="AW199" s="69" t="n">
        <f aca="false">IF(AW$135=1,Inputs!$C$51,0)</f>
        <v>0</v>
      </c>
      <c r="AX199" s="69" t="n">
        <f aca="false">IF(AX$135=1,Inputs!$C$51,0)</f>
        <v>0</v>
      </c>
      <c r="AY199" s="69" t="n">
        <f aca="false">IF(AY$135=1,Inputs!$C$51,0)</f>
        <v>0</v>
      </c>
      <c r="AZ199" s="69" t="n">
        <f aca="false">IF(AZ$135=1,Inputs!$C$51,0)</f>
        <v>0</v>
      </c>
      <c r="BA199" s="69" t="n">
        <f aca="false">IF(BA$135=1,Inputs!$C$51,0)</f>
        <v>0</v>
      </c>
      <c r="BB199" s="69" t="n">
        <f aca="false">IF(BB$135=1,Inputs!$C$51,0)</f>
        <v>0</v>
      </c>
      <c r="BC199" s="69" t="n">
        <f aca="false">IF(BC$135=1,Inputs!$C$51,0)</f>
        <v>0</v>
      </c>
      <c r="BD199" s="69" t="n">
        <f aca="false">IF(BD$135=1,Inputs!$C$51,0)</f>
        <v>0</v>
      </c>
      <c r="BE199" s="69" t="n">
        <f aca="false">IF(BE$135=1,Inputs!$C$51,0)</f>
        <v>0</v>
      </c>
      <c r="BF199" s="69" t="n">
        <f aca="false">IF(BF$135=1,Inputs!$C$51,0)</f>
        <v>0</v>
      </c>
      <c r="BG199" s="69" t="n">
        <f aca="false">IF(BG$135=1,Inputs!$C$51,0)</f>
        <v>0</v>
      </c>
      <c r="BH199" s="69" t="n">
        <f aca="false">IF(BH$135=1,Inputs!$C$51,0)</f>
        <v>0</v>
      </c>
      <c r="BI199" s="69" t="n">
        <f aca="false">IF(BI$135=1,Inputs!$C$51,0)</f>
        <v>0</v>
      </c>
      <c r="BJ199" s="69" t="n">
        <f aca="false">IF(BJ$135=1,Inputs!$C$51,0)</f>
        <v>0</v>
      </c>
    </row>
    <row r="200" customFormat="false" ht="15" hidden="false" customHeight="false" outlineLevel="0" collapsed="false">
      <c r="A200" s="6" t="s">
        <v>450</v>
      </c>
      <c r="C200" s="69" t="n">
        <f aca="false">IF(C$135=1,Inputs!$C$52,0)</f>
        <v>150000</v>
      </c>
      <c r="D200" s="69" t="n">
        <f aca="false">IF(D$135=1,Inputs!$C$52,0)</f>
        <v>0</v>
      </c>
      <c r="E200" s="69" t="n">
        <f aca="false">IF(E$135=1,Inputs!$C$52,0)</f>
        <v>0</v>
      </c>
      <c r="F200" s="69" t="n">
        <f aca="false">IF(F$135=1,Inputs!$C$52,0)</f>
        <v>0</v>
      </c>
      <c r="G200" s="69" t="n">
        <f aca="false">IF(G$135=1,Inputs!$C$52,0)</f>
        <v>0</v>
      </c>
      <c r="H200" s="69" t="n">
        <f aca="false">IF(H$135=1,Inputs!$C$52,0)</f>
        <v>0</v>
      </c>
      <c r="I200" s="69" t="n">
        <f aca="false">IF(I$135=1,Inputs!$C$52,0)</f>
        <v>0</v>
      </c>
      <c r="J200" s="69" t="n">
        <f aca="false">IF(J$135=1,Inputs!$C$52,0)</f>
        <v>0</v>
      </c>
      <c r="K200" s="69" t="n">
        <f aca="false">IF(K$135=1,Inputs!$C$52,0)</f>
        <v>0</v>
      </c>
      <c r="L200" s="69" t="n">
        <f aca="false">IF(L$135=1,Inputs!$C$52,0)</f>
        <v>0</v>
      </c>
      <c r="M200" s="69" t="n">
        <f aca="false">IF(M$135=1,Inputs!$C$52,0)</f>
        <v>0</v>
      </c>
      <c r="N200" s="69" t="n">
        <f aca="false">IF(N$135=1,Inputs!$C$52,0)</f>
        <v>0</v>
      </c>
      <c r="O200" s="69" t="n">
        <f aca="false">IF(O$135=1,Inputs!$C$52,0)</f>
        <v>0</v>
      </c>
      <c r="P200" s="69" t="n">
        <f aca="false">IF(P$135=1,Inputs!$C$52,0)</f>
        <v>0</v>
      </c>
      <c r="Q200" s="69" t="n">
        <f aca="false">IF(Q$135=1,Inputs!$C$52,0)</f>
        <v>0</v>
      </c>
      <c r="R200" s="69" t="n">
        <f aca="false">IF(R$135=1,Inputs!$C$52,0)</f>
        <v>0</v>
      </c>
      <c r="S200" s="69" t="n">
        <f aca="false">IF(S$135=1,Inputs!$C$52,0)</f>
        <v>0</v>
      </c>
      <c r="T200" s="69" t="n">
        <f aca="false">IF(T$135=1,Inputs!$C$52,0)</f>
        <v>0</v>
      </c>
      <c r="U200" s="69" t="n">
        <f aca="false">IF(U$135=1,Inputs!$C$52,0)</f>
        <v>0</v>
      </c>
      <c r="V200" s="69" t="n">
        <f aca="false">IF(V$135=1,Inputs!$C$52,0)</f>
        <v>0</v>
      </c>
      <c r="W200" s="69" t="n">
        <f aca="false">IF(W$135=1,Inputs!$C$52,0)</f>
        <v>0</v>
      </c>
      <c r="X200" s="69" t="n">
        <f aca="false">IF(X$135=1,Inputs!$C$52,0)</f>
        <v>0</v>
      </c>
      <c r="Y200" s="69" t="n">
        <f aca="false">IF(Y$135=1,Inputs!$C$52,0)</f>
        <v>0</v>
      </c>
      <c r="Z200" s="69" t="n">
        <f aca="false">IF(Z$135=1,Inputs!$C$52,0)</f>
        <v>0</v>
      </c>
      <c r="AA200" s="69" t="n">
        <f aca="false">IF(AA$135=1,Inputs!$C$52,0)</f>
        <v>0</v>
      </c>
      <c r="AB200" s="69" t="n">
        <f aca="false">IF(AB$135=1,Inputs!$C$52,0)</f>
        <v>0</v>
      </c>
      <c r="AC200" s="69" t="n">
        <f aca="false">IF(AC$135=1,Inputs!$C$52,0)</f>
        <v>0</v>
      </c>
      <c r="AD200" s="69" t="n">
        <f aca="false">IF(AD$135=1,Inputs!$C$52,0)</f>
        <v>0</v>
      </c>
      <c r="AE200" s="69" t="n">
        <f aca="false">IF(AE$135=1,Inputs!$C$52,0)</f>
        <v>0</v>
      </c>
      <c r="AF200" s="69" t="n">
        <f aca="false">IF(AF$135=1,Inputs!$C$52,0)</f>
        <v>0</v>
      </c>
      <c r="AG200" s="69" t="n">
        <f aca="false">IF(AG$135=1,Inputs!$C$52,0)</f>
        <v>0</v>
      </c>
      <c r="AH200" s="69" t="n">
        <f aca="false">IF(AH$135=1,Inputs!$C$52,0)</f>
        <v>0</v>
      </c>
      <c r="AI200" s="69" t="n">
        <f aca="false">IF(AI$135=1,Inputs!$C$52,0)</f>
        <v>0</v>
      </c>
      <c r="AJ200" s="69" t="n">
        <f aca="false">IF(AJ$135=1,Inputs!$C$52,0)</f>
        <v>0</v>
      </c>
      <c r="AK200" s="69" t="n">
        <f aca="false">IF(AK$135=1,Inputs!$C$52,0)</f>
        <v>0</v>
      </c>
      <c r="AL200" s="69" t="n">
        <f aca="false">IF(AL$135=1,Inputs!$C$52,0)</f>
        <v>0</v>
      </c>
      <c r="AM200" s="69" t="n">
        <f aca="false">IF(AM$135=1,Inputs!$C$52,0)</f>
        <v>0</v>
      </c>
      <c r="AN200" s="69" t="n">
        <f aca="false">IF(AN$135=1,Inputs!$C$52,0)</f>
        <v>0</v>
      </c>
      <c r="AO200" s="69" t="n">
        <f aca="false">IF(AO$135=1,Inputs!$C$52,0)</f>
        <v>0</v>
      </c>
      <c r="AP200" s="69" t="n">
        <f aca="false">IF(AP$135=1,Inputs!$C$52,0)</f>
        <v>0</v>
      </c>
      <c r="AQ200" s="69" t="n">
        <f aca="false">IF(AQ$135=1,Inputs!$C$52,0)</f>
        <v>0</v>
      </c>
      <c r="AR200" s="69" t="n">
        <f aca="false">IF(AR$135=1,Inputs!$C$52,0)</f>
        <v>0</v>
      </c>
      <c r="AS200" s="69" t="n">
        <f aca="false">IF(AS$135=1,Inputs!$C$52,0)</f>
        <v>0</v>
      </c>
      <c r="AT200" s="69" t="n">
        <f aca="false">IF(AT$135=1,Inputs!$C$52,0)</f>
        <v>0</v>
      </c>
      <c r="AU200" s="69" t="n">
        <f aca="false">IF(AU$135=1,Inputs!$C$52,0)</f>
        <v>0</v>
      </c>
      <c r="AV200" s="69" t="n">
        <f aca="false">IF(AV$135=1,Inputs!$C$52,0)</f>
        <v>0</v>
      </c>
      <c r="AW200" s="69" t="n">
        <f aca="false">IF(AW$135=1,Inputs!$C$52,0)</f>
        <v>0</v>
      </c>
      <c r="AX200" s="69" t="n">
        <f aca="false">IF(AX$135=1,Inputs!$C$52,0)</f>
        <v>0</v>
      </c>
      <c r="AY200" s="69" t="n">
        <f aca="false">IF(AY$135=1,Inputs!$C$52,0)</f>
        <v>0</v>
      </c>
      <c r="AZ200" s="69" t="n">
        <f aca="false">IF(AZ$135=1,Inputs!$C$52,0)</f>
        <v>0</v>
      </c>
      <c r="BA200" s="69" t="n">
        <f aca="false">IF(BA$135=1,Inputs!$C$52,0)</f>
        <v>0</v>
      </c>
      <c r="BB200" s="69" t="n">
        <f aca="false">IF(BB$135=1,Inputs!$C$52,0)</f>
        <v>0</v>
      </c>
      <c r="BC200" s="69" t="n">
        <f aca="false">IF(BC$135=1,Inputs!$C$52,0)</f>
        <v>0</v>
      </c>
      <c r="BD200" s="69" t="n">
        <f aca="false">IF(BD$135=1,Inputs!$C$52,0)</f>
        <v>0</v>
      </c>
      <c r="BE200" s="69" t="n">
        <f aca="false">IF(BE$135=1,Inputs!$C$52,0)</f>
        <v>0</v>
      </c>
      <c r="BF200" s="69" t="n">
        <f aca="false">IF(BF$135=1,Inputs!$C$52,0)</f>
        <v>0</v>
      </c>
      <c r="BG200" s="69" t="n">
        <f aca="false">IF(BG$135=1,Inputs!$C$52,0)</f>
        <v>0</v>
      </c>
      <c r="BH200" s="69" t="n">
        <f aca="false">IF(BH$135=1,Inputs!$C$52,0)</f>
        <v>0</v>
      </c>
      <c r="BI200" s="69" t="n">
        <f aca="false">IF(BI$135=1,Inputs!$C$52,0)</f>
        <v>0</v>
      </c>
      <c r="BJ200" s="69" t="n">
        <f aca="false">IF(BJ$135=1,Inputs!$C$52,0)</f>
        <v>0</v>
      </c>
    </row>
    <row r="201" customFormat="false" ht="15" hidden="false" customHeight="false" outlineLevel="0" collapsed="false">
      <c r="A201" s="6" t="s">
        <v>451</v>
      </c>
      <c r="C201" s="69" t="n">
        <f aca="false">IF(C$135=1,Inputs!$C$53,0)</f>
        <v>0</v>
      </c>
      <c r="D201" s="69" t="n">
        <f aca="false">IF(D$135=1,Inputs!$C$53,0)</f>
        <v>0</v>
      </c>
      <c r="E201" s="69" t="n">
        <f aca="false">IF(E$135=1,Inputs!$C$53,0)</f>
        <v>0</v>
      </c>
      <c r="F201" s="69" t="n">
        <f aca="false">IF(F$135=1,Inputs!$C$53,0)</f>
        <v>0</v>
      </c>
      <c r="G201" s="69" t="n">
        <f aca="false">IF(G$135=1,Inputs!$C$53,0)</f>
        <v>0</v>
      </c>
      <c r="H201" s="69" t="n">
        <f aca="false">IF(H$135=1,Inputs!$C$53,0)</f>
        <v>0</v>
      </c>
      <c r="I201" s="69" t="n">
        <f aca="false">IF(I$135=1,Inputs!$C$53,0)</f>
        <v>0</v>
      </c>
      <c r="J201" s="69" t="n">
        <f aca="false">IF(J$135=1,Inputs!$C$53,0)</f>
        <v>0</v>
      </c>
      <c r="K201" s="69" t="n">
        <f aca="false">IF(K$135=1,Inputs!$C$53,0)</f>
        <v>0</v>
      </c>
      <c r="L201" s="69" t="n">
        <f aca="false">IF(L$135=1,Inputs!$C$53,0)</f>
        <v>0</v>
      </c>
      <c r="M201" s="69" t="n">
        <f aca="false">IF(M$135=1,Inputs!$C$53,0)</f>
        <v>0</v>
      </c>
      <c r="N201" s="69" t="n">
        <f aca="false">IF(N$135=1,Inputs!$C$53,0)</f>
        <v>0</v>
      </c>
      <c r="O201" s="69" t="n">
        <f aca="false">IF(O$135=1,Inputs!$C$53,0)</f>
        <v>0</v>
      </c>
      <c r="P201" s="69" t="n">
        <f aca="false">IF(P$135=1,Inputs!$C$53,0)</f>
        <v>0</v>
      </c>
      <c r="Q201" s="69" t="n">
        <f aca="false">IF(Q$135=1,Inputs!$C$53,0)</f>
        <v>0</v>
      </c>
      <c r="R201" s="69" t="n">
        <f aca="false">IF(R$135=1,Inputs!$C$53,0)</f>
        <v>0</v>
      </c>
      <c r="S201" s="69" t="n">
        <f aca="false">IF(S$135=1,Inputs!$C$53,0)</f>
        <v>0</v>
      </c>
      <c r="T201" s="69" t="n">
        <f aca="false">IF(T$135=1,Inputs!$C$53,0)</f>
        <v>0</v>
      </c>
      <c r="U201" s="69" t="n">
        <f aca="false">IF(U$135=1,Inputs!$C$53,0)</f>
        <v>0</v>
      </c>
      <c r="V201" s="69" t="n">
        <f aca="false">IF(V$135=1,Inputs!$C$53,0)</f>
        <v>0</v>
      </c>
      <c r="W201" s="69" t="n">
        <f aca="false">IF(W$135=1,Inputs!$C$53,0)</f>
        <v>0</v>
      </c>
      <c r="X201" s="69" t="n">
        <f aca="false">IF(X$135=1,Inputs!$C$53,0)</f>
        <v>0</v>
      </c>
      <c r="Y201" s="69" t="n">
        <f aca="false">IF(Y$135=1,Inputs!$C$53,0)</f>
        <v>0</v>
      </c>
      <c r="Z201" s="69" t="n">
        <f aca="false">IF(Z$135=1,Inputs!$C$53,0)</f>
        <v>0</v>
      </c>
      <c r="AA201" s="69" t="n">
        <f aca="false">IF(AA$135=1,Inputs!$C$53,0)</f>
        <v>0</v>
      </c>
      <c r="AB201" s="69" t="n">
        <f aca="false">IF(AB$135=1,Inputs!$C$53,0)</f>
        <v>0</v>
      </c>
      <c r="AC201" s="69" t="n">
        <f aca="false">IF(AC$135=1,Inputs!$C$53,0)</f>
        <v>0</v>
      </c>
      <c r="AD201" s="69" t="n">
        <f aca="false">IF(AD$135=1,Inputs!$C$53,0)</f>
        <v>0</v>
      </c>
      <c r="AE201" s="69" t="n">
        <f aca="false">IF(AE$135=1,Inputs!$C$53,0)</f>
        <v>0</v>
      </c>
      <c r="AF201" s="69" t="n">
        <f aca="false">IF(AF$135=1,Inputs!$C$53,0)</f>
        <v>0</v>
      </c>
      <c r="AG201" s="69" t="n">
        <f aca="false">IF(AG$135=1,Inputs!$C$53,0)</f>
        <v>0</v>
      </c>
      <c r="AH201" s="69" t="n">
        <f aca="false">IF(AH$135=1,Inputs!$C$53,0)</f>
        <v>0</v>
      </c>
      <c r="AI201" s="69" t="n">
        <f aca="false">IF(AI$135=1,Inputs!$C$53,0)</f>
        <v>0</v>
      </c>
      <c r="AJ201" s="69" t="n">
        <f aca="false">IF(AJ$135=1,Inputs!$C$53,0)</f>
        <v>0</v>
      </c>
      <c r="AK201" s="69" t="n">
        <f aca="false">IF(AK$135=1,Inputs!$C$53,0)</f>
        <v>0</v>
      </c>
      <c r="AL201" s="69" t="n">
        <f aca="false">IF(AL$135=1,Inputs!$C$53,0)</f>
        <v>0</v>
      </c>
      <c r="AM201" s="69" t="n">
        <f aca="false">IF(AM$135=1,Inputs!$C$53,0)</f>
        <v>0</v>
      </c>
      <c r="AN201" s="69" t="n">
        <f aca="false">IF(AN$135=1,Inputs!$C$53,0)</f>
        <v>0</v>
      </c>
      <c r="AO201" s="69" t="n">
        <f aca="false">IF(AO$135=1,Inputs!$C$53,0)</f>
        <v>0</v>
      </c>
      <c r="AP201" s="69" t="n">
        <f aca="false">IF(AP$135=1,Inputs!$C$53,0)</f>
        <v>0</v>
      </c>
      <c r="AQ201" s="69" t="n">
        <f aca="false">IF(AQ$135=1,Inputs!$C$53,0)</f>
        <v>0</v>
      </c>
      <c r="AR201" s="69" t="n">
        <f aca="false">IF(AR$135=1,Inputs!$C$53,0)</f>
        <v>0</v>
      </c>
      <c r="AS201" s="69" t="n">
        <f aca="false">IF(AS$135=1,Inputs!$C$53,0)</f>
        <v>0</v>
      </c>
      <c r="AT201" s="69" t="n">
        <f aca="false">IF(AT$135=1,Inputs!$C$53,0)</f>
        <v>0</v>
      </c>
      <c r="AU201" s="69" t="n">
        <f aca="false">IF(AU$135=1,Inputs!$C$53,0)</f>
        <v>0</v>
      </c>
      <c r="AV201" s="69" t="n">
        <f aca="false">IF(AV$135=1,Inputs!$C$53,0)</f>
        <v>0</v>
      </c>
      <c r="AW201" s="69" t="n">
        <f aca="false">IF(AW$135=1,Inputs!$C$53,0)</f>
        <v>0</v>
      </c>
      <c r="AX201" s="69" t="n">
        <f aca="false">IF(AX$135=1,Inputs!$C$53,0)</f>
        <v>0</v>
      </c>
      <c r="AY201" s="69" t="n">
        <f aca="false">IF(AY$135=1,Inputs!$C$53,0)</f>
        <v>0</v>
      </c>
      <c r="AZ201" s="69" t="n">
        <f aca="false">IF(AZ$135=1,Inputs!$C$53,0)</f>
        <v>0</v>
      </c>
      <c r="BA201" s="69" t="n">
        <f aca="false">IF(BA$135=1,Inputs!$C$53,0)</f>
        <v>0</v>
      </c>
      <c r="BB201" s="69" t="n">
        <f aca="false">IF(BB$135=1,Inputs!$C$53,0)</f>
        <v>0</v>
      </c>
      <c r="BC201" s="69" t="n">
        <f aca="false">IF(BC$135=1,Inputs!$C$53,0)</f>
        <v>0</v>
      </c>
      <c r="BD201" s="69" t="n">
        <f aca="false">IF(BD$135=1,Inputs!$C$53,0)</f>
        <v>0</v>
      </c>
      <c r="BE201" s="69" t="n">
        <f aca="false">IF(BE$135=1,Inputs!$C$53,0)</f>
        <v>0</v>
      </c>
      <c r="BF201" s="69" t="n">
        <f aca="false">IF(BF$135=1,Inputs!$C$53,0)</f>
        <v>0</v>
      </c>
      <c r="BG201" s="69" t="n">
        <f aca="false">IF(BG$135=1,Inputs!$C$53,0)</f>
        <v>0</v>
      </c>
      <c r="BH201" s="69" t="n">
        <f aca="false">IF(BH$135=1,Inputs!$C$53,0)</f>
        <v>0</v>
      </c>
      <c r="BI201" s="69" t="n">
        <f aca="false">IF(BI$135=1,Inputs!$C$53,0)</f>
        <v>0</v>
      </c>
      <c r="BJ201" s="69" t="n">
        <f aca="false">IF(BJ$135=1,Inputs!$C$53,0)</f>
        <v>0</v>
      </c>
    </row>
    <row r="202" customFormat="false" ht="15" hidden="false" customHeight="false" outlineLevel="0" collapsed="false">
      <c r="A202" s="6" t="s">
        <v>452</v>
      </c>
      <c r="C202" s="69" t="n">
        <f aca="false">IF(AND(C$136&gt;1,MOD(C$135-1,12)=0),Inputs!$C$54,0)</f>
        <v>0</v>
      </c>
      <c r="D202" s="69" t="n">
        <f aca="false">IF(AND(D$136&gt;1,MOD(D$135-1,12)=0),Inputs!$C$54,0)</f>
        <v>0</v>
      </c>
      <c r="E202" s="69" t="n">
        <f aca="false">IF(AND(E$136&gt;1,MOD(E$135-1,12)=0),Inputs!$C$54,0)</f>
        <v>0</v>
      </c>
      <c r="F202" s="69" t="n">
        <f aca="false">IF(AND(F$136&gt;1,MOD(F$135-1,12)=0),Inputs!$C$54,0)</f>
        <v>0</v>
      </c>
      <c r="G202" s="69" t="n">
        <f aca="false">IF(AND(G$136&gt;1,MOD(G$135-1,12)=0),Inputs!$C$54,0)</f>
        <v>0</v>
      </c>
      <c r="H202" s="69" t="n">
        <f aca="false">IF(AND(H$136&gt;1,MOD(H$135-1,12)=0),Inputs!$C$54,0)</f>
        <v>0</v>
      </c>
      <c r="I202" s="69" t="n">
        <f aca="false">IF(AND(I$136&gt;1,MOD(I$135-1,12)=0),Inputs!$C$54,0)</f>
        <v>0</v>
      </c>
      <c r="J202" s="69" t="n">
        <f aca="false">IF(AND(J$136&gt;1,MOD(J$135-1,12)=0),Inputs!$C$54,0)</f>
        <v>0</v>
      </c>
      <c r="K202" s="69" t="n">
        <f aca="false">IF(AND(K$136&gt;1,MOD(K$135-1,12)=0),Inputs!$C$54,0)</f>
        <v>0</v>
      </c>
      <c r="L202" s="69" t="n">
        <f aca="false">IF(AND(L$136&gt;1,MOD(L$135-1,12)=0),Inputs!$C$54,0)</f>
        <v>0</v>
      </c>
      <c r="M202" s="69" t="n">
        <f aca="false">IF(AND(M$136&gt;1,MOD(M$135-1,12)=0),Inputs!$C$54,0)</f>
        <v>0</v>
      </c>
      <c r="N202" s="69" t="n">
        <f aca="false">IF(AND(N$136&gt;1,MOD(N$135-1,12)=0),Inputs!$C$54,0)</f>
        <v>0</v>
      </c>
      <c r="O202" s="69" t="n">
        <f aca="false">IF(AND(O$136&gt;1,MOD(O$135-1,12)=0),Inputs!$C$54,0)</f>
        <v>40000</v>
      </c>
      <c r="P202" s="69" t="n">
        <f aca="false">IF(AND(P$136&gt;1,MOD(P$135-1,12)=0),Inputs!$C$54,0)</f>
        <v>0</v>
      </c>
      <c r="Q202" s="69" t="n">
        <f aca="false">IF(AND(Q$136&gt;1,MOD(Q$135-1,12)=0),Inputs!$C$54,0)</f>
        <v>0</v>
      </c>
      <c r="R202" s="69" t="n">
        <f aca="false">IF(AND(R$136&gt;1,MOD(R$135-1,12)=0),Inputs!$C$54,0)</f>
        <v>0</v>
      </c>
      <c r="S202" s="69" t="n">
        <f aca="false">IF(AND(S$136&gt;1,MOD(S$135-1,12)=0),Inputs!$C$54,0)</f>
        <v>0</v>
      </c>
      <c r="T202" s="69" t="n">
        <f aca="false">IF(AND(T$136&gt;1,MOD(T$135-1,12)=0),Inputs!$C$54,0)</f>
        <v>0</v>
      </c>
      <c r="U202" s="69" t="n">
        <f aca="false">IF(AND(U$136&gt;1,MOD(U$135-1,12)=0),Inputs!$C$54,0)</f>
        <v>0</v>
      </c>
      <c r="V202" s="69" t="n">
        <f aca="false">IF(AND(V$136&gt;1,MOD(V$135-1,12)=0),Inputs!$C$54,0)</f>
        <v>0</v>
      </c>
      <c r="W202" s="69" t="n">
        <f aca="false">IF(AND(W$136&gt;1,MOD(W$135-1,12)=0),Inputs!$C$54,0)</f>
        <v>0</v>
      </c>
      <c r="X202" s="69" t="n">
        <f aca="false">IF(AND(X$136&gt;1,MOD(X$135-1,12)=0),Inputs!$C$54,0)</f>
        <v>0</v>
      </c>
      <c r="Y202" s="69" t="n">
        <f aca="false">IF(AND(Y$136&gt;1,MOD(Y$135-1,12)=0),Inputs!$C$54,0)</f>
        <v>0</v>
      </c>
      <c r="Z202" s="69" t="n">
        <f aca="false">IF(AND(Z$136&gt;1,MOD(Z$135-1,12)=0),Inputs!$C$54,0)</f>
        <v>0</v>
      </c>
      <c r="AA202" s="69" t="n">
        <f aca="false">IF(AND(AA$136&gt;1,MOD(AA$135-1,12)=0),Inputs!$C$54,0)</f>
        <v>40000</v>
      </c>
      <c r="AB202" s="69" t="n">
        <f aca="false">IF(AND(AB$136&gt;1,MOD(AB$135-1,12)=0),Inputs!$C$54,0)</f>
        <v>0</v>
      </c>
      <c r="AC202" s="69" t="n">
        <f aca="false">IF(AND(AC$136&gt;1,MOD(AC$135-1,12)=0),Inputs!$C$54,0)</f>
        <v>0</v>
      </c>
      <c r="AD202" s="69" t="n">
        <f aca="false">IF(AND(AD$136&gt;1,MOD(AD$135-1,12)=0),Inputs!$C$54,0)</f>
        <v>0</v>
      </c>
      <c r="AE202" s="69" t="n">
        <f aca="false">IF(AND(AE$136&gt;1,MOD(AE$135-1,12)=0),Inputs!$C$54,0)</f>
        <v>0</v>
      </c>
      <c r="AF202" s="69" t="n">
        <f aca="false">IF(AND(AF$136&gt;1,MOD(AF$135-1,12)=0),Inputs!$C$54,0)</f>
        <v>0</v>
      </c>
      <c r="AG202" s="69" t="n">
        <f aca="false">IF(AND(AG$136&gt;1,MOD(AG$135-1,12)=0),Inputs!$C$54,0)</f>
        <v>0</v>
      </c>
      <c r="AH202" s="69" t="n">
        <f aca="false">IF(AND(AH$136&gt;1,MOD(AH$135-1,12)=0),Inputs!$C$54,0)</f>
        <v>0</v>
      </c>
      <c r="AI202" s="69" t="n">
        <f aca="false">IF(AND(AI$136&gt;1,MOD(AI$135-1,12)=0),Inputs!$C$54,0)</f>
        <v>0</v>
      </c>
      <c r="AJ202" s="69" t="n">
        <f aca="false">IF(AND(AJ$136&gt;1,MOD(AJ$135-1,12)=0),Inputs!$C$54,0)</f>
        <v>0</v>
      </c>
      <c r="AK202" s="69" t="n">
        <f aca="false">IF(AND(AK$136&gt;1,MOD(AK$135-1,12)=0),Inputs!$C$54,0)</f>
        <v>0</v>
      </c>
      <c r="AL202" s="69" t="n">
        <f aca="false">IF(AND(AL$136&gt;1,MOD(AL$135-1,12)=0),Inputs!$C$54,0)</f>
        <v>0</v>
      </c>
      <c r="AM202" s="69" t="n">
        <f aca="false">IF(AND(AM$136&gt;1,MOD(AM$135-1,12)=0),Inputs!$C$54,0)</f>
        <v>40000</v>
      </c>
      <c r="AN202" s="69" t="n">
        <f aca="false">IF(AND(AN$136&gt;1,MOD(AN$135-1,12)=0),Inputs!$C$54,0)</f>
        <v>0</v>
      </c>
      <c r="AO202" s="69" t="n">
        <f aca="false">IF(AND(AO$136&gt;1,MOD(AO$135-1,12)=0),Inputs!$C$54,0)</f>
        <v>0</v>
      </c>
      <c r="AP202" s="69" t="n">
        <f aca="false">IF(AND(AP$136&gt;1,MOD(AP$135-1,12)=0),Inputs!$C$54,0)</f>
        <v>0</v>
      </c>
      <c r="AQ202" s="69" t="n">
        <f aca="false">IF(AND(AQ$136&gt;1,MOD(AQ$135-1,12)=0),Inputs!$C$54,0)</f>
        <v>0</v>
      </c>
      <c r="AR202" s="69" t="n">
        <f aca="false">IF(AND(AR$136&gt;1,MOD(AR$135-1,12)=0),Inputs!$C$54,0)</f>
        <v>0</v>
      </c>
      <c r="AS202" s="69" t="n">
        <f aca="false">IF(AND(AS$136&gt;1,MOD(AS$135-1,12)=0),Inputs!$C$54,0)</f>
        <v>0</v>
      </c>
      <c r="AT202" s="69" t="n">
        <f aca="false">IF(AND(AT$136&gt;1,MOD(AT$135-1,12)=0),Inputs!$C$54,0)</f>
        <v>0</v>
      </c>
      <c r="AU202" s="69" t="n">
        <f aca="false">IF(AND(AU$136&gt;1,MOD(AU$135-1,12)=0),Inputs!$C$54,0)</f>
        <v>0</v>
      </c>
      <c r="AV202" s="69" t="n">
        <f aca="false">IF(AND(AV$136&gt;1,MOD(AV$135-1,12)=0),Inputs!$C$54,0)</f>
        <v>0</v>
      </c>
      <c r="AW202" s="69" t="n">
        <f aca="false">IF(AND(AW$136&gt;1,MOD(AW$135-1,12)=0),Inputs!$C$54,0)</f>
        <v>0</v>
      </c>
      <c r="AX202" s="69" t="n">
        <f aca="false">IF(AND(AX$136&gt;1,MOD(AX$135-1,12)=0),Inputs!$C$54,0)</f>
        <v>0</v>
      </c>
      <c r="AY202" s="69" t="n">
        <f aca="false">IF(AND(AY$136&gt;1,MOD(AY$135-1,12)=0),Inputs!$C$54,0)</f>
        <v>40000</v>
      </c>
      <c r="AZ202" s="69" t="n">
        <f aca="false">IF(AND(AZ$136&gt;1,MOD(AZ$135-1,12)=0),Inputs!$C$54,0)</f>
        <v>0</v>
      </c>
      <c r="BA202" s="69" t="n">
        <f aca="false">IF(AND(BA$136&gt;1,MOD(BA$135-1,12)=0),Inputs!$C$54,0)</f>
        <v>0</v>
      </c>
      <c r="BB202" s="69" t="n">
        <f aca="false">IF(AND(BB$136&gt;1,MOD(BB$135-1,12)=0),Inputs!$C$54,0)</f>
        <v>0</v>
      </c>
      <c r="BC202" s="69" t="n">
        <f aca="false">IF(AND(BC$136&gt;1,MOD(BC$135-1,12)=0),Inputs!$C$54,0)</f>
        <v>0</v>
      </c>
      <c r="BD202" s="69" t="n">
        <f aca="false">IF(AND(BD$136&gt;1,MOD(BD$135-1,12)=0),Inputs!$C$54,0)</f>
        <v>0</v>
      </c>
      <c r="BE202" s="69" t="n">
        <f aca="false">IF(AND(BE$136&gt;1,MOD(BE$135-1,12)=0),Inputs!$C$54,0)</f>
        <v>0</v>
      </c>
      <c r="BF202" s="69" t="n">
        <f aca="false">IF(AND(BF$136&gt;1,MOD(BF$135-1,12)=0),Inputs!$C$54,0)</f>
        <v>0</v>
      </c>
      <c r="BG202" s="69" t="n">
        <f aca="false">IF(AND(BG$136&gt;1,MOD(BG$135-1,12)=0),Inputs!$C$54,0)</f>
        <v>0</v>
      </c>
      <c r="BH202" s="69" t="n">
        <f aca="false">IF(AND(BH$136&gt;1,MOD(BH$135-1,12)=0),Inputs!$C$54,0)</f>
        <v>0</v>
      </c>
      <c r="BI202" s="69" t="n">
        <f aca="false">IF(AND(BI$136&gt;1,MOD(BI$135-1,12)=0),Inputs!$C$54,0)</f>
        <v>0</v>
      </c>
      <c r="BJ202" s="69" t="n">
        <f aca="false">IF(AND(BJ$136&gt;1,MOD(BJ$135-1,12)=0),Inputs!$C$54,0)</f>
        <v>0</v>
      </c>
    </row>
    <row r="203" customFormat="false" ht="15" hidden="false" customHeight="false" outlineLevel="0" collapsed="false">
      <c r="A203" s="4" t="s">
        <v>84</v>
      </c>
      <c r="C203" s="75" t="n">
        <f aca="false">C198+C199+C200+C201+C202</f>
        <v>4100000</v>
      </c>
      <c r="D203" s="75" t="n">
        <f aca="false">D198+D199+D200+D201+D202</f>
        <v>0</v>
      </c>
      <c r="E203" s="75" t="n">
        <f aca="false">E198+E199+E200+E201+E202</f>
        <v>0</v>
      </c>
      <c r="F203" s="75" t="n">
        <f aca="false">F198+F199+F200+F201+F202</f>
        <v>0</v>
      </c>
      <c r="G203" s="75" t="n">
        <f aca="false">G198+G199+G200+G201+G202</f>
        <v>0</v>
      </c>
      <c r="H203" s="75" t="n">
        <f aca="false">H198+H199+H200+H201+H202</f>
        <v>0</v>
      </c>
      <c r="I203" s="75" t="n">
        <f aca="false">I198+I199+I200+I201+I202</f>
        <v>0</v>
      </c>
      <c r="J203" s="75" t="n">
        <f aca="false">J198+J199+J200+J201+J202</f>
        <v>0</v>
      </c>
      <c r="K203" s="75" t="n">
        <f aca="false">K198+K199+K200+K201+K202</f>
        <v>0</v>
      </c>
      <c r="L203" s="75" t="n">
        <f aca="false">L198+L199+L200+L201+L202</f>
        <v>0</v>
      </c>
      <c r="M203" s="75" t="n">
        <f aca="false">M198+M199+M200+M201+M202</f>
        <v>0</v>
      </c>
      <c r="N203" s="75" t="n">
        <f aca="false">N198+N199+N200+N201+N202</f>
        <v>0</v>
      </c>
      <c r="O203" s="75" t="n">
        <f aca="false">O198+O199+O200+O201+O202</f>
        <v>40000</v>
      </c>
      <c r="P203" s="75" t="n">
        <f aca="false">P198+P199+P200+P201+P202</f>
        <v>0</v>
      </c>
      <c r="Q203" s="75" t="n">
        <f aca="false">Q198+Q199+Q200+Q201+Q202</f>
        <v>0</v>
      </c>
      <c r="R203" s="75" t="n">
        <f aca="false">R198+R199+R200+R201+R202</f>
        <v>0</v>
      </c>
      <c r="S203" s="75" t="n">
        <f aca="false">S198+S199+S200+S201+S202</f>
        <v>0</v>
      </c>
      <c r="T203" s="75" t="n">
        <f aca="false">T198+T199+T200+T201+T202</f>
        <v>0</v>
      </c>
      <c r="U203" s="75" t="n">
        <f aca="false">U198+U199+U200+U201+U202</f>
        <v>0</v>
      </c>
      <c r="V203" s="75" t="n">
        <f aca="false">V198+V199+V200+V201+V202</f>
        <v>0</v>
      </c>
      <c r="W203" s="75" t="n">
        <f aca="false">W198+W199+W200+W201+W202</f>
        <v>0</v>
      </c>
      <c r="X203" s="75" t="n">
        <f aca="false">X198+X199+X200+X201+X202</f>
        <v>0</v>
      </c>
      <c r="Y203" s="75" t="n">
        <f aca="false">Y198+Y199+Y200+Y201+Y202</f>
        <v>0</v>
      </c>
      <c r="Z203" s="75" t="n">
        <f aca="false">Z198+Z199+Z200+Z201+Z202</f>
        <v>0</v>
      </c>
      <c r="AA203" s="75" t="n">
        <f aca="false">AA198+AA199+AA200+AA201+AA202</f>
        <v>40000</v>
      </c>
      <c r="AB203" s="75" t="n">
        <f aca="false">AB198+AB199+AB200+AB201+AB202</f>
        <v>0</v>
      </c>
      <c r="AC203" s="75" t="n">
        <f aca="false">AC198+AC199+AC200+AC201+AC202</f>
        <v>0</v>
      </c>
      <c r="AD203" s="75" t="n">
        <f aca="false">AD198+AD199+AD200+AD201+AD202</f>
        <v>0</v>
      </c>
      <c r="AE203" s="75" t="n">
        <f aca="false">AE198+AE199+AE200+AE201+AE202</f>
        <v>0</v>
      </c>
      <c r="AF203" s="75" t="n">
        <f aca="false">AF198+AF199+AF200+AF201+AF202</f>
        <v>0</v>
      </c>
      <c r="AG203" s="75" t="n">
        <f aca="false">AG198+AG199+AG200+AG201+AG202</f>
        <v>0</v>
      </c>
      <c r="AH203" s="75" t="n">
        <f aca="false">AH198+AH199+AH200+AH201+AH202</f>
        <v>0</v>
      </c>
      <c r="AI203" s="75" t="n">
        <f aca="false">AI198+AI199+AI200+AI201+AI202</f>
        <v>0</v>
      </c>
      <c r="AJ203" s="75" t="n">
        <f aca="false">AJ198+AJ199+AJ200+AJ201+AJ202</f>
        <v>0</v>
      </c>
      <c r="AK203" s="75" t="n">
        <f aca="false">AK198+AK199+AK200+AK201+AK202</f>
        <v>0</v>
      </c>
      <c r="AL203" s="75" t="n">
        <f aca="false">AL198+AL199+AL200+AL201+AL202</f>
        <v>0</v>
      </c>
      <c r="AM203" s="75" t="n">
        <f aca="false">AM198+AM199+AM200+AM201+AM202</f>
        <v>40000</v>
      </c>
      <c r="AN203" s="75" t="n">
        <f aca="false">AN198+AN199+AN200+AN201+AN202</f>
        <v>0</v>
      </c>
      <c r="AO203" s="75" t="n">
        <f aca="false">AO198+AO199+AO200+AO201+AO202</f>
        <v>0</v>
      </c>
      <c r="AP203" s="75" t="n">
        <f aca="false">AP198+AP199+AP200+AP201+AP202</f>
        <v>0</v>
      </c>
      <c r="AQ203" s="75" t="n">
        <f aca="false">AQ198+AQ199+AQ200+AQ201+AQ202</f>
        <v>0</v>
      </c>
      <c r="AR203" s="75" t="n">
        <f aca="false">AR198+AR199+AR200+AR201+AR202</f>
        <v>0</v>
      </c>
      <c r="AS203" s="75" t="n">
        <f aca="false">AS198+AS199+AS200+AS201+AS202</f>
        <v>0</v>
      </c>
      <c r="AT203" s="75" t="n">
        <f aca="false">AT198+AT199+AT200+AT201+AT202</f>
        <v>0</v>
      </c>
      <c r="AU203" s="75" t="n">
        <f aca="false">AU198+AU199+AU200+AU201+AU202</f>
        <v>0</v>
      </c>
      <c r="AV203" s="75" t="n">
        <f aca="false">AV198+AV199+AV200+AV201+AV202</f>
        <v>0</v>
      </c>
      <c r="AW203" s="75" t="n">
        <f aca="false">AW198+AW199+AW200+AW201+AW202</f>
        <v>0</v>
      </c>
      <c r="AX203" s="75" t="n">
        <f aca="false">AX198+AX199+AX200+AX201+AX202</f>
        <v>0</v>
      </c>
      <c r="AY203" s="75" t="n">
        <f aca="false">AY198+AY199+AY200+AY201+AY202</f>
        <v>40000</v>
      </c>
      <c r="AZ203" s="75" t="n">
        <f aca="false">AZ198+AZ199+AZ200+AZ201+AZ202</f>
        <v>0</v>
      </c>
      <c r="BA203" s="75" t="n">
        <f aca="false">BA198+BA199+BA200+BA201+BA202</f>
        <v>0</v>
      </c>
      <c r="BB203" s="75" t="n">
        <f aca="false">BB198+BB199+BB200+BB201+BB202</f>
        <v>0</v>
      </c>
      <c r="BC203" s="75" t="n">
        <f aca="false">BC198+BC199+BC200+BC201+BC202</f>
        <v>0</v>
      </c>
      <c r="BD203" s="75" t="n">
        <f aca="false">BD198+BD199+BD200+BD201+BD202</f>
        <v>0</v>
      </c>
      <c r="BE203" s="75" t="n">
        <f aca="false">BE198+BE199+BE200+BE201+BE202</f>
        <v>0</v>
      </c>
      <c r="BF203" s="75" t="n">
        <f aca="false">BF198+BF199+BF200+BF201+BF202</f>
        <v>0</v>
      </c>
      <c r="BG203" s="75" t="n">
        <f aca="false">BG198+BG199+BG200+BG201+BG202</f>
        <v>0</v>
      </c>
      <c r="BH203" s="75" t="n">
        <f aca="false">BH198+BH199+BH200+BH201+BH202</f>
        <v>0</v>
      </c>
      <c r="BI203" s="75" t="n">
        <f aca="false">BI198+BI199+BI200+BI201+BI202</f>
        <v>0</v>
      </c>
      <c r="BJ203" s="75" t="n">
        <f aca="false">BJ198+BJ199+BJ200+BJ201+BJ202</f>
        <v>0</v>
      </c>
    </row>
    <row r="204" customFormat="false" ht="15" hidden="false" customHeight="false" outlineLevel="0" collapsed="false">
      <c r="A204" s="6" t="s">
        <v>453</v>
      </c>
      <c r="C204" s="69" t="n">
        <f aca="false">C203</f>
        <v>4100000</v>
      </c>
      <c r="D204" s="69" t="n">
        <f aca="false">C204+D203</f>
        <v>4100000</v>
      </c>
      <c r="E204" s="69" t="n">
        <f aca="false">D204+E203</f>
        <v>4100000</v>
      </c>
      <c r="F204" s="69" t="n">
        <f aca="false">E204+F203</f>
        <v>4100000</v>
      </c>
      <c r="G204" s="69" t="n">
        <f aca="false">F204+G203</f>
        <v>4100000</v>
      </c>
      <c r="H204" s="69" t="n">
        <f aca="false">G204+H203</f>
        <v>4100000</v>
      </c>
      <c r="I204" s="69" t="n">
        <f aca="false">H204+I203</f>
        <v>4100000</v>
      </c>
      <c r="J204" s="69" t="n">
        <f aca="false">I204+J203</f>
        <v>4100000</v>
      </c>
      <c r="K204" s="69" t="n">
        <f aca="false">J204+K203</f>
        <v>4100000</v>
      </c>
      <c r="L204" s="69" t="n">
        <f aca="false">K204+L203</f>
        <v>4100000</v>
      </c>
      <c r="M204" s="69" t="n">
        <f aca="false">L204+M203</f>
        <v>4100000</v>
      </c>
      <c r="N204" s="69" t="n">
        <f aca="false">M204+N203</f>
        <v>4100000</v>
      </c>
      <c r="O204" s="69" t="n">
        <f aca="false">N204+O203</f>
        <v>4140000</v>
      </c>
      <c r="P204" s="69" t="n">
        <f aca="false">O204+P203</f>
        <v>4140000</v>
      </c>
      <c r="Q204" s="69" t="n">
        <f aca="false">P204+Q203</f>
        <v>4140000</v>
      </c>
      <c r="R204" s="69" t="n">
        <f aca="false">Q204+R203</f>
        <v>4140000</v>
      </c>
      <c r="S204" s="69" t="n">
        <f aca="false">R204+S203</f>
        <v>4140000</v>
      </c>
      <c r="T204" s="69" t="n">
        <f aca="false">S204+T203</f>
        <v>4140000</v>
      </c>
      <c r="U204" s="69" t="n">
        <f aca="false">T204+U203</f>
        <v>4140000</v>
      </c>
      <c r="V204" s="69" t="n">
        <f aca="false">U204+V203</f>
        <v>4140000</v>
      </c>
      <c r="W204" s="69" t="n">
        <f aca="false">V204+W203</f>
        <v>4140000</v>
      </c>
      <c r="X204" s="69" t="n">
        <f aca="false">W204+X203</f>
        <v>4140000</v>
      </c>
      <c r="Y204" s="69" t="n">
        <f aca="false">X204+Y203</f>
        <v>4140000</v>
      </c>
      <c r="Z204" s="69" t="n">
        <f aca="false">Y204+Z203</f>
        <v>4140000</v>
      </c>
      <c r="AA204" s="69" t="n">
        <f aca="false">Z204+AA203</f>
        <v>4180000</v>
      </c>
      <c r="AB204" s="69" t="n">
        <f aca="false">AA204+AB203</f>
        <v>4180000</v>
      </c>
      <c r="AC204" s="69" t="n">
        <f aca="false">AB204+AC203</f>
        <v>4180000</v>
      </c>
      <c r="AD204" s="69" t="n">
        <f aca="false">AC204+AD203</f>
        <v>4180000</v>
      </c>
      <c r="AE204" s="69" t="n">
        <f aca="false">AD204+AE203</f>
        <v>4180000</v>
      </c>
      <c r="AF204" s="69" t="n">
        <f aca="false">AE204+AF203</f>
        <v>4180000</v>
      </c>
      <c r="AG204" s="69" t="n">
        <f aca="false">AF204+AG203</f>
        <v>4180000</v>
      </c>
      <c r="AH204" s="69" t="n">
        <f aca="false">AG204+AH203</f>
        <v>4180000</v>
      </c>
      <c r="AI204" s="69" t="n">
        <f aca="false">AH204+AI203</f>
        <v>4180000</v>
      </c>
      <c r="AJ204" s="69" t="n">
        <f aca="false">AI204+AJ203</f>
        <v>4180000</v>
      </c>
      <c r="AK204" s="69" t="n">
        <f aca="false">AJ204+AK203</f>
        <v>4180000</v>
      </c>
      <c r="AL204" s="69" t="n">
        <f aca="false">AK204+AL203</f>
        <v>4180000</v>
      </c>
      <c r="AM204" s="69" t="n">
        <f aca="false">AL204+AM203</f>
        <v>4220000</v>
      </c>
      <c r="AN204" s="69" t="n">
        <f aca="false">AM204+AN203</f>
        <v>4220000</v>
      </c>
      <c r="AO204" s="69" t="n">
        <f aca="false">AN204+AO203</f>
        <v>4220000</v>
      </c>
      <c r="AP204" s="69" t="n">
        <f aca="false">AO204+AP203</f>
        <v>4220000</v>
      </c>
      <c r="AQ204" s="69" t="n">
        <f aca="false">AP204+AQ203</f>
        <v>4220000</v>
      </c>
      <c r="AR204" s="69" t="n">
        <f aca="false">AQ204+AR203</f>
        <v>4220000</v>
      </c>
      <c r="AS204" s="69" t="n">
        <f aca="false">AR204+AS203</f>
        <v>4220000</v>
      </c>
      <c r="AT204" s="69" t="n">
        <f aca="false">AS204+AT203</f>
        <v>4220000</v>
      </c>
      <c r="AU204" s="69" t="n">
        <f aca="false">AT204+AU203</f>
        <v>4220000</v>
      </c>
      <c r="AV204" s="69" t="n">
        <f aca="false">AU204+AV203</f>
        <v>4220000</v>
      </c>
      <c r="AW204" s="69" t="n">
        <f aca="false">AV204+AW203</f>
        <v>4220000</v>
      </c>
      <c r="AX204" s="69" t="n">
        <f aca="false">AW204+AX203</f>
        <v>4220000</v>
      </c>
      <c r="AY204" s="69" t="n">
        <f aca="false">AX204+AY203</f>
        <v>4260000</v>
      </c>
      <c r="AZ204" s="69" t="n">
        <f aca="false">AY204+AZ203</f>
        <v>4260000</v>
      </c>
      <c r="BA204" s="69" t="n">
        <f aca="false">AZ204+BA203</f>
        <v>4260000</v>
      </c>
      <c r="BB204" s="69" t="n">
        <f aca="false">BA204+BB203</f>
        <v>4260000</v>
      </c>
      <c r="BC204" s="69" t="n">
        <f aca="false">BB204+BC203</f>
        <v>4260000</v>
      </c>
      <c r="BD204" s="69" t="n">
        <f aca="false">BC204+BD203</f>
        <v>4260000</v>
      </c>
      <c r="BE204" s="69" t="n">
        <f aca="false">BD204+BE203</f>
        <v>4260000</v>
      </c>
      <c r="BF204" s="69" t="n">
        <f aca="false">BE204+BF203</f>
        <v>4260000</v>
      </c>
      <c r="BG204" s="69" t="n">
        <f aca="false">BF204+BG203</f>
        <v>4260000</v>
      </c>
      <c r="BH204" s="69" t="n">
        <f aca="false">BG204+BH203</f>
        <v>4260000</v>
      </c>
      <c r="BI204" s="69" t="n">
        <f aca="false">BH204+BI203</f>
        <v>4260000</v>
      </c>
      <c r="BJ204" s="69" t="n">
        <f aca="false">BI204+BJ203</f>
        <v>4260000</v>
      </c>
    </row>
    <row r="205" customFormat="false" ht="15" hidden="false" customHeight="false" outlineLevel="0" collapsed="false">
      <c r="A205" s="6" t="s">
        <v>454</v>
      </c>
      <c r="C205" s="69" t="n">
        <f aca="false">C201</f>
        <v>0</v>
      </c>
      <c r="D205" s="69" t="n">
        <f aca="false">C205+D201</f>
        <v>0</v>
      </c>
      <c r="E205" s="69" t="n">
        <f aca="false">D205+E201</f>
        <v>0</v>
      </c>
      <c r="F205" s="69" t="n">
        <f aca="false">E205+F201</f>
        <v>0</v>
      </c>
      <c r="G205" s="69" t="n">
        <f aca="false">F205+G201</f>
        <v>0</v>
      </c>
      <c r="H205" s="69" t="n">
        <f aca="false">G205+H201</f>
        <v>0</v>
      </c>
      <c r="I205" s="69" t="n">
        <f aca="false">H205+I201</f>
        <v>0</v>
      </c>
      <c r="J205" s="69" t="n">
        <f aca="false">I205+J201</f>
        <v>0</v>
      </c>
      <c r="K205" s="69" t="n">
        <f aca="false">J205+K201</f>
        <v>0</v>
      </c>
      <c r="L205" s="69" t="n">
        <f aca="false">K205+L201</f>
        <v>0</v>
      </c>
      <c r="M205" s="69" t="n">
        <f aca="false">L205+M201</f>
        <v>0</v>
      </c>
      <c r="N205" s="69" t="n">
        <f aca="false">M205+N201</f>
        <v>0</v>
      </c>
      <c r="O205" s="69" t="n">
        <f aca="false">N205+O201</f>
        <v>0</v>
      </c>
      <c r="P205" s="69" t="n">
        <f aca="false">O205+P201</f>
        <v>0</v>
      </c>
      <c r="Q205" s="69" t="n">
        <f aca="false">P205+Q201</f>
        <v>0</v>
      </c>
      <c r="R205" s="69" t="n">
        <f aca="false">Q205+R201</f>
        <v>0</v>
      </c>
      <c r="S205" s="69" t="n">
        <f aca="false">R205+S201</f>
        <v>0</v>
      </c>
      <c r="T205" s="69" t="n">
        <f aca="false">S205+T201</f>
        <v>0</v>
      </c>
      <c r="U205" s="69" t="n">
        <f aca="false">T205+U201</f>
        <v>0</v>
      </c>
      <c r="V205" s="69" t="n">
        <f aca="false">U205+V201</f>
        <v>0</v>
      </c>
      <c r="W205" s="69" t="n">
        <f aca="false">V205+W201</f>
        <v>0</v>
      </c>
      <c r="X205" s="69" t="n">
        <f aca="false">W205+X201</f>
        <v>0</v>
      </c>
      <c r="Y205" s="69" t="n">
        <f aca="false">X205+Y201</f>
        <v>0</v>
      </c>
      <c r="Z205" s="69" t="n">
        <f aca="false">Y205+Z201</f>
        <v>0</v>
      </c>
      <c r="AA205" s="69" t="n">
        <f aca="false">Z205+AA201</f>
        <v>0</v>
      </c>
      <c r="AB205" s="69" t="n">
        <f aca="false">AA205+AB201</f>
        <v>0</v>
      </c>
      <c r="AC205" s="69" t="n">
        <f aca="false">AB205+AC201</f>
        <v>0</v>
      </c>
      <c r="AD205" s="69" t="n">
        <f aca="false">AC205+AD201</f>
        <v>0</v>
      </c>
      <c r="AE205" s="69" t="n">
        <f aca="false">AD205+AE201</f>
        <v>0</v>
      </c>
      <c r="AF205" s="69" t="n">
        <f aca="false">AE205+AF201</f>
        <v>0</v>
      </c>
      <c r="AG205" s="69" t="n">
        <f aca="false">AF205+AG201</f>
        <v>0</v>
      </c>
      <c r="AH205" s="69" t="n">
        <f aca="false">AG205+AH201</f>
        <v>0</v>
      </c>
      <c r="AI205" s="69" t="n">
        <f aca="false">AH205+AI201</f>
        <v>0</v>
      </c>
      <c r="AJ205" s="69" t="n">
        <f aca="false">AI205+AJ201</f>
        <v>0</v>
      </c>
      <c r="AK205" s="69" t="n">
        <f aca="false">AJ205+AK201</f>
        <v>0</v>
      </c>
      <c r="AL205" s="69" t="n">
        <f aca="false">AK205+AL201</f>
        <v>0</v>
      </c>
      <c r="AM205" s="69" t="n">
        <f aca="false">AL205+AM201</f>
        <v>0</v>
      </c>
      <c r="AN205" s="69" t="n">
        <f aca="false">AM205+AN201</f>
        <v>0</v>
      </c>
      <c r="AO205" s="69" t="n">
        <f aca="false">AN205+AO201</f>
        <v>0</v>
      </c>
      <c r="AP205" s="69" t="n">
        <f aca="false">AO205+AP201</f>
        <v>0</v>
      </c>
      <c r="AQ205" s="69" t="n">
        <f aca="false">AP205+AQ201</f>
        <v>0</v>
      </c>
      <c r="AR205" s="69" t="n">
        <f aca="false">AQ205+AR201</f>
        <v>0</v>
      </c>
      <c r="AS205" s="69" t="n">
        <f aca="false">AR205+AS201</f>
        <v>0</v>
      </c>
      <c r="AT205" s="69" t="n">
        <f aca="false">AS205+AT201</f>
        <v>0</v>
      </c>
      <c r="AU205" s="69" t="n">
        <f aca="false">AT205+AU201</f>
        <v>0</v>
      </c>
      <c r="AV205" s="69" t="n">
        <f aca="false">AU205+AV201</f>
        <v>0</v>
      </c>
      <c r="AW205" s="69" t="n">
        <f aca="false">AV205+AW201</f>
        <v>0</v>
      </c>
      <c r="AX205" s="69" t="n">
        <f aca="false">AW205+AX201</f>
        <v>0</v>
      </c>
      <c r="AY205" s="69" t="n">
        <f aca="false">AX205+AY201</f>
        <v>0</v>
      </c>
      <c r="AZ205" s="69" t="n">
        <f aca="false">AY205+AZ201</f>
        <v>0</v>
      </c>
      <c r="BA205" s="69" t="n">
        <f aca="false">AZ205+BA201</f>
        <v>0</v>
      </c>
      <c r="BB205" s="69" t="n">
        <f aca="false">BA205+BB201</f>
        <v>0</v>
      </c>
      <c r="BC205" s="69" t="n">
        <f aca="false">BB205+BC201</f>
        <v>0</v>
      </c>
      <c r="BD205" s="69" t="n">
        <f aca="false">BC205+BD201</f>
        <v>0</v>
      </c>
      <c r="BE205" s="69" t="n">
        <f aca="false">BD205+BE201</f>
        <v>0</v>
      </c>
      <c r="BF205" s="69" t="n">
        <f aca="false">BE205+BF201</f>
        <v>0</v>
      </c>
      <c r="BG205" s="69" t="n">
        <f aca="false">BF205+BG201</f>
        <v>0</v>
      </c>
      <c r="BH205" s="69" t="n">
        <f aca="false">BG205+BH201</f>
        <v>0</v>
      </c>
      <c r="BI205" s="69" t="n">
        <f aca="false">BH205+BI201</f>
        <v>0</v>
      </c>
      <c r="BJ205" s="69" t="n">
        <f aca="false">BI205+BJ201</f>
        <v>0</v>
      </c>
    </row>
    <row r="206" customFormat="false" ht="15" hidden="false" customHeight="false" outlineLevel="0" collapsed="false">
      <c r="A206" s="6" t="s">
        <v>78</v>
      </c>
      <c r="C206" s="69" t="n">
        <f aca="false">-MIN((C204-C205)/MAX(1,Inputs!$C$80*12),C203-C205)</f>
        <v>-28472.2222222222</v>
      </c>
      <c r="D206" s="69" t="n">
        <f aca="false">-MIN((D204-D205)/MAX(1,Inputs!$C$80*12),C208+D203-D205)</f>
        <v>-28472.2222222222</v>
      </c>
      <c r="E206" s="69" t="n">
        <f aca="false">-MIN((E204-E205)/MAX(1,Inputs!$C$80*12),D208+E203-E205)</f>
        <v>-28472.2222222222</v>
      </c>
      <c r="F206" s="69" t="n">
        <f aca="false">-MIN((F204-F205)/MAX(1,Inputs!$C$80*12),E208+F203-F205)</f>
        <v>-28472.2222222222</v>
      </c>
      <c r="G206" s="69" t="n">
        <f aca="false">-MIN((G204-G205)/MAX(1,Inputs!$C$80*12),F208+G203-G205)</f>
        <v>-28472.2222222222</v>
      </c>
      <c r="H206" s="69" t="n">
        <f aca="false">-MIN((H204-H205)/MAX(1,Inputs!$C$80*12),G208+H203-H205)</f>
        <v>-28472.2222222222</v>
      </c>
      <c r="I206" s="69" t="n">
        <f aca="false">-MIN((I204-I205)/MAX(1,Inputs!$C$80*12),H208+I203-I205)</f>
        <v>-28472.2222222222</v>
      </c>
      <c r="J206" s="69" t="n">
        <f aca="false">-MIN((J204-J205)/MAX(1,Inputs!$C$80*12),I208+J203-J205)</f>
        <v>-28472.2222222222</v>
      </c>
      <c r="K206" s="69" t="n">
        <f aca="false">-MIN((K204-K205)/MAX(1,Inputs!$C$80*12),J208+K203-K205)</f>
        <v>-28472.2222222222</v>
      </c>
      <c r="L206" s="69" t="n">
        <f aca="false">-MIN((L204-L205)/MAX(1,Inputs!$C$80*12),K208+L203-L205)</f>
        <v>-28472.2222222222</v>
      </c>
      <c r="M206" s="69" t="n">
        <f aca="false">-MIN((M204-M205)/MAX(1,Inputs!$C$80*12),L208+M203-M205)</f>
        <v>-28472.2222222222</v>
      </c>
      <c r="N206" s="69" t="n">
        <f aca="false">-MIN((N204-N205)/MAX(1,Inputs!$C$80*12),M208+N203-N205)</f>
        <v>-28472.2222222222</v>
      </c>
      <c r="O206" s="69" t="n">
        <f aca="false">-MIN((O204-O205)/MAX(1,Inputs!$C$80*12),N208+O203-O205)</f>
        <v>-28750</v>
      </c>
      <c r="P206" s="69" t="n">
        <f aca="false">-MIN((P204-P205)/MAX(1,Inputs!$C$80*12),O208+P203-P205)</f>
        <v>-28750</v>
      </c>
      <c r="Q206" s="69" t="n">
        <f aca="false">-MIN((Q204-Q205)/MAX(1,Inputs!$C$80*12),P208+Q203-Q205)</f>
        <v>-28750</v>
      </c>
      <c r="R206" s="69" t="n">
        <f aca="false">-MIN((R204-R205)/MAX(1,Inputs!$C$80*12),Q208+R203-R205)</f>
        <v>-28750</v>
      </c>
      <c r="S206" s="69" t="n">
        <f aca="false">-MIN((S204-S205)/MAX(1,Inputs!$C$80*12),R208+S203-S205)</f>
        <v>-28750</v>
      </c>
      <c r="T206" s="69" t="n">
        <f aca="false">-MIN((T204-T205)/MAX(1,Inputs!$C$80*12),S208+T203-T205)</f>
        <v>-28750</v>
      </c>
      <c r="U206" s="69" t="n">
        <f aca="false">-MIN((U204-U205)/MAX(1,Inputs!$C$80*12),T208+U203-U205)</f>
        <v>-28750</v>
      </c>
      <c r="V206" s="69" t="n">
        <f aca="false">-MIN((V204-V205)/MAX(1,Inputs!$C$80*12),U208+V203-V205)</f>
        <v>-28750</v>
      </c>
      <c r="W206" s="69" t="n">
        <f aca="false">-MIN((W204-W205)/MAX(1,Inputs!$C$80*12),V208+W203-W205)</f>
        <v>-28750</v>
      </c>
      <c r="X206" s="69" t="n">
        <f aca="false">-MIN((X204-X205)/MAX(1,Inputs!$C$80*12),W208+X203-X205)</f>
        <v>-28750</v>
      </c>
      <c r="Y206" s="69" t="n">
        <f aca="false">-MIN((Y204-Y205)/MAX(1,Inputs!$C$80*12),X208+Y203-Y205)</f>
        <v>-28750</v>
      </c>
      <c r="Z206" s="69" t="n">
        <f aca="false">-MIN((Z204-Z205)/MAX(1,Inputs!$C$80*12),Y208+Z203-Z205)</f>
        <v>-28750</v>
      </c>
      <c r="AA206" s="69" t="n">
        <f aca="false">-MIN((AA204-AA205)/MAX(1,Inputs!$C$80*12),Z208+AA203-AA205)</f>
        <v>-29027.7777777778</v>
      </c>
      <c r="AB206" s="69" t="n">
        <f aca="false">-MIN((AB204-AB205)/MAX(1,Inputs!$C$80*12),AA208+AB203-AB205)</f>
        <v>-29027.7777777778</v>
      </c>
      <c r="AC206" s="69" t="n">
        <f aca="false">-MIN((AC204-AC205)/MAX(1,Inputs!$C$80*12),AB208+AC203-AC205)</f>
        <v>-29027.7777777778</v>
      </c>
      <c r="AD206" s="69" t="n">
        <f aca="false">-MIN((AD204-AD205)/MAX(1,Inputs!$C$80*12),AC208+AD203-AD205)</f>
        <v>-29027.7777777778</v>
      </c>
      <c r="AE206" s="69" t="n">
        <f aca="false">-MIN((AE204-AE205)/MAX(1,Inputs!$C$80*12),AD208+AE203-AE205)</f>
        <v>-29027.7777777778</v>
      </c>
      <c r="AF206" s="69" t="n">
        <f aca="false">-MIN((AF204-AF205)/MAX(1,Inputs!$C$80*12),AE208+AF203-AF205)</f>
        <v>-29027.7777777778</v>
      </c>
      <c r="AG206" s="69" t="n">
        <f aca="false">-MIN((AG204-AG205)/MAX(1,Inputs!$C$80*12),AF208+AG203-AG205)</f>
        <v>-29027.7777777778</v>
      </c>
      <c r="AH206" s="69" t="n">
        <f aca="false">-MIN((AH204-AH205)/MAX(1,Inputs!$C$80*12),AG208+AH203-AH205)</f>
        <v>-29027.7777777778</v>
      </c>
      <c r="AI206" s="69" t="n">
        <f aca="false">-MIN((AI204-AI205)/MAX(1,Inputs!$C$80*12),AH208+AI203-AI205)</f>
        <v>-29027.7777777778</v>
      </c>
      <c r="AJ206" s="69" t="n">
        <f aca="false">-MIN((AJ204-AJ205)/MAX(1,Inputs!$C$80*12),AI208+AJ203-AJ205)</f>
        <v>-29027.7777777778</v>
      </c>
      <c r="AK206" s="69" t="n">
        <f aca="false">-MIN((AK204-AK205)/MAX(1,Inputs!$C$80*12),AJ208+AK203-AK205)</f>
        <v>-29027.7777777778</v>
      </c>
      <c r="AL206" s="69" t="n">
        <f aca="false">-MIN((AL204-AL205)/MAX(1,Inputs!$C$80*12),AK208+AL203-AL205)</f>
        <v>-29027.7777777778</v>
      </c>
      <c r="AM206" s="69" t="n">
        <f aca="false">-MIN((AM204-AM205)/MAX(1,Inputs!$C$80*12),AL208+AM203-AM205)</f>
        <v>-29305.5555555556</v>
      </c>
      <c r="AN206" s="69" t="n">
        <f aca="false">-MIN((AN204-AN205)/MAX(1,Inputs!$C$80*12),AM208+AN203-AN205)</f>
        <v>-29305.5555555556</v>
      </c>
      <c r="AO206" s="69" t="n">
        <f aca="false">-MIN((AO204-AO205)/MAX(1,Inputs!$C$80*12),AN208+AO203-AO205)</f>
        <v>-29305.5555555556</v>
      </c>
      <c r="AP206" s="69" t="n">
        <f aca="false">-MIN((AP204-AP205)/MAX(1,Inputs!$C$80*12),AO208+AP203-AP205)</f>
        <v>-29305.5555555556</v>
      </c>
      <c r="AQ206" s="69" t="n">
        <f aca="false">-MIN((AQ204-AQ205)/MAX(1,Inputs!$C$80*12),AP208+AQ203-AQ205)</f>
        <v>-29305.5555555556</v>
      </c>
      <c r="AR206" s="69" t="n">
        <f aca="false">-MIN((AR204-AR205)/MAX(1,Inputs!$C$80*12),AQ208+AR203-AR205)</f>
        <v>-29305.5555555556</v>
      </c>
      <c r="AS206" s="69" t="n">
        <f aca="false">-MIN((AS204-AS205)/MAX(1,Inputs!$C$80*12),AR208+AS203-AS205)</f>
        <v>-29305.5555555556</v>
      </c>
      <c r="AT206" s="69" t="n">
        <f aca="false">-MIN((AT204-AT205)/MAX(1,Inputs!$C$80*12),AS208+AT203-AT205)</f>
        <v>-29305.5555555556</v>
      </c>
      <c r="AU206" s="69" t="n">
        <f aca="false">-MIN((AU204-AU205)/MAX(1,Inputs!$C$80*12),AT208+AU203-AU205)</f>
        <v>-29305.5555555556</v>
      </c>
      <c r="AV206" s="69" t="n">
        <f aca="false">-MIN((AV204-AV205)/MAX(1,Inputs!$C$80*12),AU208+AV203-AV205)</f>
        <v>-29305.5555555556</v>
      </c>
      <c r="AW206" s="69" t="n">
        <f aca="false">-MIN((AW204-AW205)/MAX(1,Inputs!$C$80*12),AV208+AW203-AW205)</f>
        <v>-29305.5555555556</v>
      </c>
      <c r="AX206" s="69" t="n">
        <f aca="false">-MIN((AX204-AX205)/MAX(1,Inputs!$C$80*12),AW208+AX203-AX205)</f>
        <v>-29305.5555555556</v>
      </c>
      <c r="AY206" s="69" t="n">
        <f aca="false">-MIN((AY204-AY205)/MAX(1,Inputs!$C$80*12),AX208+AY203-AY205)</f>
        <v>-29583.3333333333</v>
      </c>
      <c r="AZ206" s="69" t="n">
        <f aca="false">-MIN((AZ204-AZ205)/MAX(1,Inputs!$C$80*12),AY208+AZ203-AZ205)</f>
        <v>-29583.3333333333</v>
      </c>
      <c r="BA206" s="69" t="n">
        <f aca="false">-MIN((BA204-BA205)/MAX(1,Inputs!$C$80*12),AZ208+BA203-BA205)</f>
        <v>-29583.3333333333</v>
      </c>
      <c r="BB206" s="69" t="n">
        <f aca="false">-MIN((BB204-BB205)/MAX(1,Inputs!$C$80*12),BA208+BB203-BB205)</f>
        <v>-29583.3333333333</v>
      </c>
      <c r="BC206" s="69" t="n">
        <f aca="false">-MIN((BC204-BC205)/MAX(1,Inputs!$C$80*12),BB208+BC203-BC205)</f>
        <v>-29583.3333333333</v>
      </c>
      <c r="BD206" s="69" t="n">
        <f aca="false">-MIN((BD204-BD205)/MAX(1,Inputs!$C$80*12),BC208+BD203-BD205)</f>
        <v>-29583.3333333333</v>
      </c>
      <c r="BE206" s="69" t="n">
        <f aca="false">-MIN((BE204-BE205)/MAX(1,Inputs!$C$80*12),BD208+BE203-BE205)</f>
        <v>-29583.3333333333</v>
      </c>
      <c r="BF206" s="69" t="n">
        <f aca="false">-MIN((BF204-BF205)/MAX(1,Inputs!$C$80*12),BE208+BF203-BF205)</f>
        <v>-29583.3333333333</v>
      </c>
      <c r="BG206" s="69" t="n">
        <f aca="false">-MIN((BG204-BG205)/MAX(1,Inputs!$C$80*12),BF208+BG203-BG205)</f>
        <v>-29583.3333333333</v>
      </c>
      <c r="BH206" s="69" t="n">
        <f aca="false">-MIN((BH204-BH205)/MAX(1,Inputs!$C$80*12),BG208+BH203-BH205)</f>
        <v>-29583.3333333333</v>
      </c>
      <c r="BI206" s="69" t="n">
        <f aca="false">-MIN((BI204-BI205)/MAX(1,Inputs!$C$80*12),BH208+BI203-BI205)</f>
        <v>-29583.3333333333</v>
      </c>
      <c r="BJ206" s="69" t="n">
        <f aca="false">-MIN((BJ204-BJ205)/MAX(1,Inputs!$C$80*12),BI208+BJ203-BJ205)</f>
        <v>-29583.3333333333</v>
      </c>
    </row>
    <row r="207" customFormat="false" ht="15" hidden="false" customHeight="false" outlineLevel="0" collapsed="false">
      <c r="A207" s="6" t="s">
        <v>455</v>
      </c>
      <c r="C207" s="69" t="n">
        <f aca="false">C206</f>
        <v>-28472.2222222222</v>
      </c>
      <c r="D207" s="69" t="n">
        <f aca="false">C207+D206</f>
        <v>-56944.4444444444</v>
      </c>
      <c r="E207" s="69" t="n">
        <f aca="false">D207+E206</f>
        <v>-85416.6666666667</v>
      </c>
      <c r="F207" s="69" t="n">
        <f aca="false">E207+F206</f>
        <v>-113888.888888889</v>
      </c>
      <c r="G207" s="69" t="n">
        <f aca="false">F207+G206</f>
        <v>-142361.111111111</v>
      </c>
      <c r="H207" s="69" t="n">
        <f aca="false">G207+H206</f>
        <v>-170833.333333333</v>
      </c>
      <c r="I207" s="69" t="n">
        <f aca="false">H207+I206</f>
        <v>-199305.555555556</v>
      </c>
      <c r="J207" s="69" t="n">
        <f aca="false">I207+J206</f>
        <v>-227777.777777778</v>
      </c>
      <c r="K207" s="69" t="n">
        <f aca="false">J207+K206</f>
        <v>-256250</v>
      </c>
      <c r="L207" s="69" t="n">
        <f aca="false">K207+L206</f>
        <v>-284722.222222222</v>
      </c>
      <c r="M207" s="69" t="n">
        <f aca="false">L207+M206</f>
        <v>-313194.444444445</v>
      </c>
      <c r="N207" s="69" t="n">
        <f aca="false">M207+N206</f>
        <v>-341666.666666667</v>
      </c>
      <c r="O207" s="69" t="n">
        <f aca="false">N207+O206</f>
        <v>-370416.666666667</v>
      </c>
      <c r="P207" s="69" t="n">
        <f aca="false">O207+P206</f>
        <v>-399166.666666667</v>
      </c>
      <c r="Q207" s="69" t="n">
        <f aca="false">P207+Q206</f>
        <v>-427916.666666667</v>
      </c>
      <c r="R207" s="69" t="n">
        <f aca="false">Q207+R206</f>
        <v>-456666.666666667</v>
      </c>
      <c r="S207" s="69" t="n">
        <f aca="false">R207+S206</f>
        <v>-485416.666666667</v>
      </c>
      <c r="T207" s="69" t="n">
        <f aca="false">S207+T206</f>
        <v>-514166.666666667</v>
      </c>
      <c r="U207" s="69" t="n">
        <f aca="false">T207+U206</f>
        <v>-542916.666666667</v>
      </c>
      <c r="V207" s="69" t="n">
        <f aca="false">U207+V206</f>
        <v>-571666.666666667</v>
      </c>
      <c r="W207" s="69" t="n">
        <f aca="false">V207+W206</f>
        <v>-600416.666666667</v>
      </c>
      <c r="X207" s="69" t="n">
        <f aca="false">W207+X206</f>
        <v>-629166.666666667</v>
      </c>
      <c r="Y207" s="69" t="n">
        <f aca="false">X207+Y206</f>
        <v>-657916.666666667</v>
      </c>
      <c r="Z207" s="69" t="n">
        <f aca="false">Y207+Z206</f>
        <v>-686666.666666667</v>
      </c>
      <c r="AA207" s="69" t="n">
        <f aca="false">Z207+AA206</f>
        <v>-715694.444444445</v>
      </c>
      <c r="AB207" s="69" t="n">
        <f aca="false">AA207+AB206</f>
        <v>-744722.222222222</v>
      </c>
      <c r="AC207" s="69" t="n">
        <f aca="false">AB207+AC206</f>
        <v>-773750</v>
      </c>
      <c r="AD207" s="69" t="n">
        <f aca="false">AC207+AD206</f>
        <v>-802777.777777778</v>
      </c>
      <c r="AE207" s="69" t="n">
        <f aca="false">AD207+AE206</f>
        <v>-831805.555555556</v>
      </c>
      <c r="AF207" s="69" t="n">
        <f aca="false">AE207+AF206</f>
        <v>-860833.333333333</v>
      </c>
      <c r="AG207" s="69" t="n">
        <f aca="false">AF207+AG206</f>
        <v>-889861.111111111</v>
      </c>
      <c r="AH207" s="69" t="n">
        <f aca="false">AG207+AH206</f>
        <v>-918888.888888889</v>
      </c>
      <c r="AI207" s="69" t="n">
        <f aca="false">AH207+AI206</f>
        <v>-947916.666666667</v>
      </c>
      <c r="AJ207" s="69" t="n">
        <f aca="false">AI207+AJ206</f>
        <v>-976944.444444444</v>
      </c>
      <c r="AK207" s="69" t="n">
        <f aca="false">AJ207+AK206</f>
        <v>-1005972.22222222</v>
      </c>
      <c r="AL207" s="69" t="n">
        <f aca="false">AK207+AL206</f>
        <v>-1035000</v>
      </c>
      <c r="AM207" s="69" t="n">
        <f aca="false">AL207+AM206</f>
        <v>-1064305.55555556</v>
      </c>
      <c r="AN207" s="69" t="n">
        <f aca="false">AM207+AN206</f>
        <v>-1093611.11111111</v>
      </c>
      <c r="AO207" s="69" t="n">
        <f aca="false">AN207+AO206</f>
        <v>-1122916.66666667</v>
      </c>
      <c r="AP207" s="69" t="n">
        <f aca="false">AO207+AP206</f>
        <v>-1152222.22222222</v>
      </c>
      <c r="AQ207" s="69" t="n">
        <f aca="false">AP207+AQ206</f>
        <v>-1181527.77777778</v>
      </c>
      <c r="AR207" s="69" t="n">
        <f aca="false">AQ207+AR206</f>
        <v>-1210833.33333333</v>
      </c>
      <c r="AS207" s="69" t="n">
        <f aca="false">AR207+AS206</f>
        <v>-1240138.88888889</v>
      </c>
      <c r="AT207" s="69" t="n">
        <f aca="false">AS207+AT206</f>
        <v>-1269444.44444444</v>
      </c>
      <c r="AU207" s="69" t="n">
        <f aca="false">AT207+AU206</f>
        <v>-1298750</v>
      </c>
      <c r="AV207" s="69" t="n">
        <f aca="false">AU207+AV206</f>
        <v>-1328055.55555555</v>
      </c>
      <c r="AW207" s="69" t="n">
        <f aca="false">AV207+AW206</f>
        <v>-1357361.11111111</v>
      </c>
      <c r="AX207" s="69" t="n">
        <f aca="false">AW207+AX206</f>
        <v>-1386666.66666667</v>
      </c>
      <c r="AY207" s="69" t="n">
        <f aca="false">AX207+AY206</f>
        <v>-1416250</v>
      </c>
      <c r="AZ207" s="69" t="n">
        <f aca="false">AY207+AZ206</f>
        <v>-1445833.33333333</v>
      </c>
      <c r="BA207" s="69" t="n">
        <f aca="false">AZ207+BA206</f>
        <v>-1475416.66666667</v>
      </c>
      <c r="BB207" s="69" t="n">
        <f aca="false">BA207+BB206</f>
        <v>-1505000</v>
      </c>
      <c r="BC207" s="69" t="n">
        <f aca="false">BB207+BC206</f>
        <v>-1534583.33333333</v>
      </c>
      <c r="BD207" s="69" t="n">
        <f aca="false">BC207+BD206</f>
        <v>-1564166.66666667</v>
      </c>
      <c r="BE207" s="69" t="n">
        <f aca="false">BD207+BE206</f>
        <v>-1593750</v>
      </c>
      <c r="BF207" s="69" t="n">
        <f aca="false">BE207+BF206</f>
        <v>-1623333.33333333</v>
      </c>
      <c r="BG207" s="69" t="n">
        <f aca="false">BF207+BG206</f>
        <v>-1652916.66666667</v>
      </c>
      <c r="BH207" s="69" t="n">
        <f aca="false">BG207+BH206</f>
        <v>-1682500</v>
      </c>
      <c r="BI207" s="69" t="n">
        <f aca="false">BH207+BI206</f>
        <v>-1712083.33333333</v>
      </c>
      <c r="BJ207" s="69" t="n">
        <f aca="false">BI207+BJ206</f>
        <v>-1741666.66666666</v>
      </c>
    </row>
    <row r="208" customFormat="false" ht="15" hidden="false" customHeight="false" outlineLevel="0" collapsed="false">
      <c r="A208" s="4" t="s">
        <v>92</v>
      </c>
      <c r="C208" s="75" t="n">
        <f aca="false">C204+C207</f>
        <v>4071527.77777778</v>
      </c>
      <c r="D208" s="75" t="n">
        <f aca="false">D204+D207</f>
        <v>4043055.55555556</v>
      </c>
      <c r="E208" s="75" t="n">
        <f aca="false">E204+E207</f>
        <v>4014583.33333333</v>
      </c>
      <c r="F208" s="75" t="n">
        <f aca="false">F204+F207</f>
        <v>3986111.11111111</v>
      </c>
      <c r="G208" s="75" t="n">
        <f aca="false">G204+G207</f>
        <v>3957638.88888889</v>
      </c>
      <c r="H208" s="75" t="n">
        <f aca="false">H204+H207</f>
        <v>3929166.66666667</v>
      </c>
      <c r="I208" s="75" t="n">
        <f aca="false">I204+I207</f>
        <v>3900694.44444444</v>
      </c>
      <c r="J208" s="75" t="n">
        <f aca="false">J204+J207</f>
        <v>3872222.22222222</v>
      </c>
      <c r="K208" s="75" t="n">
        <f aca="false">K204+K207</f>
        <v>3843750</v>
      </c>
      <c r="L208" s="75" t="n">
        <f aca="false">L204+L207</f>
        <v>3815277.77777778</v>
      </c>
      <c r="M208" s="75" t="n">
        <f aca="false">M204+M207</f>
        <v>3786805.55555556</v>
      </c>
      <c r="N208" s="75" t="n">
        <f aca="false">N204+N207</f>
        <v>3758333.33333333</v>
      </c>
      <c r="O208" s="75" t="n">
        <f aca="false">O204+O207</f>
        <v>3769583.33333333</v>
      </c>
      <c r="P208" s="75" t="n">
        <f aca="false">P204+P207</f>
        <v>3740833.33333333</v>
      </c>
      <c r="Q208" s="75" t="n">
        <f aca="false">Q204+Q207</f>
        <v>3712083.33333333</v>
      </c>
      <c r="R208" s="75" t="n">
        <f aca="false">R204+R207</f>
        <v>3683333.33333333</v>
      </c>
      <c r="S208" s="75" t="n">
        <f aca="false">S204+S207</f>
        <v>3654583.33333333</v>
      </c>
      <c r="T208" s="75" t="n">
        <f aca="false">T204+T207</f>
        <v>3625833.33333333</v>
      </c>
      <c r="U208" s="75" t="n">
        <f aca="false">U204+U207</f>
        <v>3597083.33333333</v>
      </c>
      <c r="V208" s="75" t="n">
        <f aca="false">V204+V207</f>
        <v>3568333.33333333</v>
      </c>
      <c r="W208" s="75" t="n">
        <f aca="false">W204+W207</f>
        <v>3539583.33333333</v>
      </c>
      <c r="X208" s="75" t="n">
        <f aca="false">X204+X207</f>
        <v>3510833.33333333</v>
      </c>
      <c r="Y208" s="75" t="n">
        <f aca="false">Y204+Y207</f>
        <v>3482083.33333333</v>
      </c>
      <c r="Z208" s="75" t="n">
        <f aca="false">Z204+Z207</f>
        <v>3453333.33333333</v>
      </c>
      <c r="AA208" s="75" t="n">
        <f aca="false">AA204+AA207</f>
        <v>3464305.55555556</v>
      </c>
      <c r="AB208" s="75" t="n">
        <f aca="false">AB204+AB207</f>
        <v>3435277.77777778</v>
      </c>
      <c r="AC208" s="75" t="n">
        <f aca="false">AC204+AC207</f>
        <v>3406250</v>
      </c>
      <c r="AD208" s="75" t="n">
        <f aca="false">AD204+AD207</f>
        <v>3377222.22222222</v>
      </c>
      <c r="AE208" s="75" t="n">
        <f aca="false">AE204+AE207</f>
        <v>3348194.44444444</v>
      </c>
      <c r="AF208" s="75" t="n">
        <f aca="false">AF204+AF207</f>
        <v>3319166.66666667</v>
      </c>
      <c r="AG208" s="75" t="n">
        <f aca="false">AG204+AG207</f>
        <v>3290138.88888889</v>
      </c>
      <c r="AH208" s="75" t="n">
        <f aca="false">AH204+AH207</f>
        <v>3261111.11111111</v>
      </c>
      <c r="AI208" s="75" t="n">
        <f aca="false">AI204+AI207</f>
        <v>3232083.33333333</v>
      </c>
      <c r="AJ208" s="75" t="n">
        <f aca="false">AJ204+AJ207</f>
        <v>3203055.55555556</v>
      </c>
      <c r="AK208" s="75" t="n">
        <f aca="false">AK204+AK207</f>
        <v>3174027.77777778</v>
      </c>
      <c r="AL208" s="75" t="n">
        <f aca="false">AL204+AL207</f>
        <v>3145000</v>
      </c>
      <c r="AM208" s="75" t="n">
        <f aca="false">AM204+AM207</f>
        <v>3155694.44444445</v>
      </c>
      <c r="AN208" s="75" t="n">
        <f aca="false">AN204+AN207</f>
        <v>3126388.88888889</v>
      </c>
      <c r="AO208" s="75" t="n">
        <f aca="false">AO204+AO207</f>
        <v>3097083.33333333</v>
      </c>
      <c r="AP208" s="75" t="n">
        <f aca="false">AP204+AP207</f>
        <v>3067777.77777778</v>
      </c>
      <c r="AQ208" s="75" t="n">
        <f aca="false">AQ204+AQ207</f>
        <v>3038472.22222222</v>
      </c>
      <c r="AR208" s="75" t="n">
        <f aca="false">AR204+AR207</f>
        <v>3009166.66666667</v>
      </c>
      <c r="AS208" s="75" t="n">
        <f aca="false">AS204+AS207</f>
        <v>2979861.11111111</v>
      </c>
      <c r="AT208" s="75" t="n">
        <f aca="false">AT204+AT207</f>
        <v>2950555.55555556</v>
      </c>
      <c r="AU208" s="75" t="n">
        <f aca="false">AU204+AU207</f>
        <v>2921250</v>
      </c>
      <c r="AV208" s="75" t="n">
        <f aca="false">AV204+AV207</f>
        <v>2891944.44444445</v>
      </c>
      <c r="AW208" s="75" t="n">
        <f aca="false">AW204+AW207</f>
        <v>2862638.88888889</v>
      </c>
      <c r="AX208" s="75" t="n">
        <f aca="false">AX204+AX207</f>
        <v>2833333.33333333</v>
      </c>
      <c r="AY208" s="75" t="n">
        <f aca="false">AY204+AY207</f>
        <v>2843750</v>
      </c>
      <c r="AZ208" s="75" t="n">
        <f aca="false">AZ204+AZ207</f>
        <v>2814166.66666667</v>
      </c>
      <c r="BA208" s="75" t="n">
        <f aca="false">BA204+BA207</f>
        <v>2784583.33333333</v>
      </c>
      <c r="BB208" s="75" t="n">
        <f aca="false">BB204+BB207</f>
        <v>2755000</v>
      </c>
      <c r="BC208" s="75" t="n">
        <f aca="false">BC204+BC207</f>
        <v>2725416.66666667</v>
      </c>
      <c r="BD208" s="75" t="n">
        <f aca="false">BD204+BD207</f>
        <v>2695833.33333334</v>
      </c>
      <c r="BE208" s="75" t="n">
        <f aca="false">BE204+BE207</f>
        <v>2666250</v>
      </c>
      <c r="BF208" s="75" t="n">
        <f aca="false">BF204+BF207</f>
        <v>2636666.66666667</v>
      </c>
      <c r="BG208" s="75" t="n">
        <f aca="false">BG204+BG207</f>
        <v>2607083.33333334</v>
      </c>
      <c r="BH208" s="75" t="n">
        <f aca="false">BH204+BH207</f>
        <v>2577500</v>
      </c>
      <c r="BI208" s="75" t="n">
        <f aca="false">BI204+BI207</f>
        <v>2547916.66666667</v>
      </c>
      <c r="BJ208" s="75" t="n">
        <f aca="false">BJ204+BJ207</f>
        <v>2518333.33333334</v>
      </c>
    </row>
    <row r="210" customFormat="false" ht="15.75" hidden="false" customHeight="true" outlineLevel="0" collapsed="false">
      <c r="A210" s="7" t="s">
        <v>456</v>
      </c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</row>
    <row r="211" customFormat="false" ht="15" hidden="false" customHeight="false" outlineLevel="0" collapsed="false">
      <c r="A211" s="6" t="s">
        <v>457</v>
      </c>
      <c r="C211" s="69" t="n">
        <f aca="false">0</f>
        <v>0</v>
      </c>
      <c r="D211" s="69" t="n">
        <f aca="false">C214</f>
        <v>3000000</v>
      </c>
      <c r="E211" s="69" t="n">
        <f aca="false">D214</f>
        <v>2975000</v>
      </c>
      <c r="F211" s="69" t="n">
        <f aca="false">E214</f>
        <v>2950000</v>
      </c>
      <c r="G211" s="69" t="n">
        <f aca="false">F214</f>
        <v>2925000</v>
      </c>
      <c r="H211" s="69" t="n">
        <f aca="false">G214</f>
        <v>2900000</v>
      </c>
      <c r="I211" s="69" t="n">
        <f aca="false">H214</f>
        <v>2875000</v>
      </c>
      <c r="J211" s="69" t="n">
        <f aca="false">I214</f>
        <v>2850000</v>
      </c>
      <c r="K211" s="69" t="n">
        <f aca="false">J214</f>
        <v>2825000</v>
      </c>
      <c r="L211" s="69" t="n">
        <f aca="false">K214</f>
        <v>2800000</v>
      </c>
      <c r="M211" s="69" t="n">
        <f aca="false">L214</f>
        <v>2775000</v>
      </c>
      <c r="N211" s="69" t="n">
        <f aca="false">M214</f>
        <v>2750000</v>
      </c>
      <c r="O211" s="69" t="n">
        <f aca="false">N214</f>
        <v>2725000</v>
      </c>
      <c r="P211" s="69" t="n">
        <f aca="false">O214</f>
        <v>2700000</v>
      </c>
      <c r="Q211" s="69" t="n">
        <f aca="false">P214</f>
        <v>2675000</v>
      </c>
      <c r="R211" s="69" t="n">
        <f aca="false">Q214</f>
        <v>2650000</v>
      </c>
      <c r="S211" s="69" t="n">
        <f aca="false">R214</f>
        <v>2625000</v>
      </c>
      <c r="T211" s="69" t="n">
        <f aca="false">S214</f>
        <v>2600000</v>
      </c>
      <c r="U211" s="69" t="n">
        <f aca="false">T214</f>
        <v>2575000</v>
      </c>
      <c r="V211" s="69" t="n">
        <f aca="false">U214</f>
        <v>2550000</v>
      </c>
      <c r="W211" s="69" t="n">
        <f aca="false">V214</f>
        <v>2525000</v>
      </c>
      <c r="X211" s="69" t="n">
        <f aca="false">W214</f>
        <v>2500000</v>
      </c>
      <c r="Y211" s="69" t="n">
        <f aca="false">X214</f>
        <v>2475000</v>
      </c>
      <c r="Z211" s="69" t="n">
        <f aca="false">Y214</f>
        <v>2450000</v>
      </c>
      <c r="AA211" s="69" t="n">
        <f aca="false">Z214</f>
        <v>2425000</v>
      </c>
      <c r="AB211" s="69" t="n">
        <f aca="false">AA214</f>
        <v>2400000</v>
      </c>
      <c r="AC211" s="69" t="n">
        <f aca="false">AB214</f>
        <v>2375000</v>
      </c>
      <c r="AD211" s="69" t="n">
        <f aca="false">AC214</f>
        <v>2350000</v>
      </c>
      <c r="AE211" s="69" t="n">
        <f aca="false">AD214</f>
        <v>2325000</v>
      </c>
      <c r="AF211" s="69" t="n">
        <f aca="false">AE214</f>
        <v>2300000</v>
      </c>
      <c r="AG211" s="69" t="n">
        <f aca="false">AF214</f>
        <v>2275000</v>
      </c>
      <c r="AH211" s="69" t="n">
        <f aca="false">AG214</f>
        <v>2250000</v>
      </c>
      <c r="AI211" s="69" t="n">
        <f aca="false">AH214</f>
        <v>2225000</v>
      </c>
      <c r="AJ211" s="69" t="n">
        <f aca="false">AI214</f>
        <v>2200000</v>
      </c>
      <c r="AK211" s="69" t="n">
        <f aca="false">AJ214</f>
        <v>2175000</v>
      </c>
      <c r="AL211" s="69" t="n">
        <f aca="false">AK214</f>
        <v>2150000</v>
      </c>
      <c r="AM211" s="69" t="n">
        <f aca="false">AL214</f>
        <v>2125000</v>
      </c>
      <c r="AN211" s="69" t="n">
        <f aca="false">AM214</f>
        <v>2100000</v>
      </c>
      <c r="AO211" s="69" t="n">
        <f aca="false">AN214</f>
        <v>2075000</v>
      </c>
      <c r="AP211" s="69" t="n">
        <f aca="false">AO214</f>
        <v>2050000</v>
      </c>
      <c r="AQ211" s="69" t="n">
        <f aca="false">AP214</f>
        <v>2025000</v>
      </c>
      <c r="AR211" s="69" t="n">
        <f aca="false">AQ214</f>
        <v>2000000</v>
      </c>
      <c r="AS211" s="69" t="n">
        <f aca="false">AR214</f>
        <v>1975000</v>
      </c>
      <c r="AT211" s="69" t="n">
        <f aca="false">AS214</f>
        <v>1950000</v>
      </c>
      <c r="AU211" s="69" t="n">
        <f aca="false">AT214</f>
        <v>1925000</v>
      </c>
      <c r="AV211" s="69" t="n">
        <f aca="false">AU214</f>
        <v>1900000</v>
      </c>
      <c r="AW211" s="69" t="n">
        <f aca="false">AV214</f>
        <v>1875000</v>
      </c>
      <c r="AX211" s="69" t="n">
        <f aca="false">AW214</f>
        <v>1850000</v>
      </c>
      <c r="AY211" s="69" t="n">
        <f aca="false">AX214</f>
        <v>1825000</v>
      </c>
      <c r="AZ211" s="69" t="n">
        <f aca="false">AY214</f>
        <v>1800000</v>
      </c>
      <c r="BA211" s="69" t="n">
        <f aca="false">AZ214</f>
        <v>1775000</v>
      </c>
      <c r="BB211" s="69" t="n">
        <f aca="false">BA214</f>
        <v>1750000</v>
      </c>
      <c r="BC211" s="69" t="n">
        <f aca="false">BB214</f>
        <v>1725000</v>
      </c>
      <c r="BD211" s="69" t="n">
        <f aca="false">BC214</f>
        <v>1700000</v>
      </c>
      <c r="BE211" s="69" t="n">
        <f aca="false">BD214</f>
        <v>1675000</v>
      </c>
      <c r="BF211" s="69" t="n">
        <f aca="false">BE214</f>
        <v>1650000</v>
      </c>
      <c r="BG211" s="69" t="n">
        <f aca="false">BF214</f>
        <v>1625000</v>
      </c>
      <c r="BH211" s="69" t="n">
        <f aca="false">BG214</f>
        <v>1600000</v>
      </c>
      <c r="BI211" s="69" t="n">
        <f aca="false">BH214</f>
        <v>1575000</v>
      </c>
      <c r="BJ211" s="69" t="n">
        <f aca="false">BI214</f>
        <v>1550000</v>
      </c>
    </row>
    <row r="212" customFormat="false" ht="15" hidden="false" customHeight="false" outlineLevel="0" collapsed="false">
      <c r="A212" s="6" t="s">
        <v>85</v>
      </c>
      <c r="C212" s="69" t="n">
        <f aca="false">IF(C$135=1,Inputs!$C$70,0)</f>
        <v>3000000</v>
      </c>
      <c r="D212" s="69" t="n">
        <f aca="false">IF(D$135=1,Inputs!$C$70,0)</f>
        <v>0</v>
      </c>
      <c r="E212" s="69" t="n">
        <f aca="false">IF(E$135=1,Inputs!$C$70,0)</f>
        <v>0</v>
      </c>
      <c r="F212" s="69" t="n">
        <f aca="false">IF(F$135=1,Inputs!$C$70,0)</f>
        <v>0</v>
      </c>
      <c r="G212" s="69" t="n">
        <f aca="false">IF(G$135=1,Inputs!$C$70,0)</f>
        <v>0</v>
      </c>
      <c r="H212" s="69" t="n">
        <f aca="false">IF(H$135=1,Inputs!$C$70,0)</f>
        <v>0</v>
      </c>
      <c r="I212" s="69" t="n">
        <f aca="false">IF(I$135=1,Inputs!$C$70,0)</f>
        <v>0</v>
      </c>
      <c r="J212" s="69" t="n">
        <f aca="false">IF(J$135=1,Inputs!$C$70,0)</f>
        <v>0</v>
      </c>
      <c r="K212" s="69" t="n">
        <f aca="false">IF(K$135=1,Inputs!$C$70,0)</f>
        <v>0</v>
      </c>
      <c r="L212" s="69" t="n">
        <f aca="false">IF(L$135=1,Inputs!$C$70,0)</f>
        <v>0</v>
      </c>
      <c r="M212" s="69" t="n">
        <f aca="false">IF(M$135=1,Inputs!$C$70,0)</f>
        <v>0</v>
      </c>
      <c r="N212" s="69" t="n">
        <f aca="false">IF(N$135=1,Inputs!$C$70,0)</f>
        <v>0</v>
      </c>
      <c r="O212" s="69" t="n">
        <f aca="false">IF(O$135=1,Inputs!$C$70,0)</f>
        <v>0</v>
      </c>
      <c r="P212" s="69" t="n">
        <f aca="false">IF(P$135=1,Inputs!$C$70,0)</f>
        <v>0</v>
      </c>
      <c r="Q212" s="69" t="n">
        <f aca="false">IF(Q$135=1,Inputs!$C$70,0)</f>
        <v>0</v>
      </c>
      <c r="R212" s="69" t="n">
        <f aca="false">IF(R$135=1,Inputs!$C$70,0)</f>
        <v>0</v>
      </c>
      <c r="S212" s="69" t="n">
        <f aca="false">IF(S$135=1,Inputs!$C$70,0)</f>
        <v>0</v>
      </c>
      <c r="T212" s="69" t="n">
        <f aca="false">IF(T$135=1,Inputs!$C$70,0)</f>
        <v>0</v>
      </c>
      <c r="U212" s="69" t="n">
        <f aca="false">IF(U$135=1,Inputs!$C$70,0)</f>
        <v>0</v>
      </c>
      <c r="V212" s="69" t="n">
        <f aca="false">IF(V$135=1,Inputs!$C$70,0)</f>
        <v>0</v>
      </c>
      <c r="W212" s="69" t="n">
        <f aca="false">IF(W$135=1,Inputs!$C$70,0)</f>
        <v>0</v>
      </c>
      <c r="X212" s="69" t="n">
        <f aca="false">IF(X$135=1,Inputs!$C$70,0)</f>
        <v>0</v>
      </c>
      <c r="Y212" s="69" t="n">
        <f aca="false">IF(Y$135=1,Inputs!$C$70,0)</f>
        <v>0</v>
      </c>
      <c r="Z212" s="69" t="n">
        <f aca="false">IF(Z$135=1,Inputs!$C$70,0)</f>
        <v>0</v>
      </c>
      <c r="AA212" s="69" t="n">
        <f aca="false">IF(AA$135=1,Inputs!$C$70,0)</f>
        <v>0</v>
      </c>
      <c r="AB212" s="69" t="n">
        <f aca="false">IF(AB$135=1,Inputs!$C$70,0)</f>
        <v>0</v>
      </c>
      <c r="AC212" s="69" t="n">
        <f aca="false">IF(AC$135=1,Inputs!$C$70,0)</f>
        <v>0</v>
      </c>
      <c r="AD212" s="69" t="n">
        <f aca="false">IF(AD$135=1,Inputs!$C$70,0)</f>
        <v>0</v>
      </c>
      <c r="AE212" s="69" t="n">
        <f aca="false">IF(AE$135=1,Inputs!$C$70,0)</f>
        <v>0</v>
      </c>
      <c r="AF212" s="69" t="n">
        <f aca="false">IF(AF$135=1,Inputs!$C$70,0)</f>
        <v>0</v>
      </c>
      <c r="AG212" s="69" t="n">
        <f aca="false">IF(AG$135=1,Inputs!$C$70,0)</f>
        <v>0</v>
      </c>
      <c r="AH212" s="69" t="n">
        <f aca="false">IF(AH$135=1,Inputs!$C$70,0)</f>
        <v>0</v>
      </c>
      <c r="AI212" s="69" t="n">
        <f aca="false">IF(AI$135=1,Inputs!$C$70,0)</f>
        <v>0</v>
      </c>
      <c r="AJ212" s="69" t="n">
        <f aca="false">IF(AJ$135=1,Inputs!$C$70,0)</f>
        <v>0</v>
      </c>
      <c r="AK212" s="69" t="n">
        <f aca="false">IF(AK$135=1,Inputs!$C$70,0)</f>
        <v>0</v>
      </c>
      <c r="AL212" s="69" t="n">
        <f aca="false">IF(AL$135=1,Inputs!$C$70,0)</f>
        <v>0</v>
      </c>
      <c r="AM212" s="69" t="n">
        <f aca="false">IF(AM$135=1,Inputs!$C$70,0)</f>
        <v>0</v>
      </c>
      <c r="AN212" s="69" t="n">
        <f aca="false">IF(AN$135=1,Inputs!$C$70,0)</f>
        <v>0</v>
      </c>
      <c r="AO212" s="69" t="n">
        <f aca="false">IF(AO$135=1,Inputs!$C$70,0)</f>
        <v>0</v>
      </c>
      <c r="AP212" s="69" t="n">
        <f aca="false">IF(AP$135=1,Inputs!$C$70,0)</f>
        <v>0</v>
      </c>
      <c r="AQ212" s="69" t="n">
        <f aca="false">IF(AQ$135=1,Inputs!$C$70,0)</f>
        <v>0</v>
      </c>
      <c r="AR212" s="69" t="n">
        <f aca="false">IF(AR$135=1,Inputs!$C$70,0)</f>
        <v>0</v>
      </c>
      <c r="AS212" s="69" t="n">
        <f aca="false">IF(AS$135=1,Inputs!$C$70,0)</f>
        <v>0</v>
      </c>
      <c r="AT212" s="69" t="n">
        <f aca="false">IF(AT$135=1,Inputs!$C$70,0)</f>
        <v>0</v>
      </c>
      <c r="AU212" s="69" t="n">
        <f aca="false">IF(AU$135=1,Inputs!$C$70,0)</f>
        <v>0</v>
      </c>
      <c r="AV212" s="69" t="n">
        <f aca="false">IF(AV$135=1,Inputs!$C$70,0)</f>
        <v>0</v>
      </c>
      <c r="AW212" s="69" t="n">
        <f aca="false">IF(AW$135=1,Inputs!$C$70,0)</f>
        <v>0</v>
      </c>
      <c r="AX212" s="69" t="n">
        <f aca="false">IF(AX$135=1,Inputs!$C$70,0)</f>
        <v>0</v>
      </c>
      <c r="AY212" s="69" t="n">
        <f aca="false">IF(AY$135=1,Inputs!$C$70,0)</f>
        <v>0</v>
      </c>
      <c r="AZ212" s="69" t="n">
        <f aca="false">IF(AZ$135=1,Inputs!$C$70,0)</f>
        <v>0</v>
      </c>
      <c r="BA212" s="69" t="n">
        <f aca="false">IF(BA$135=1,Inputs!$C$70,0)</f>
        <v>0</v>
      </c>
      <c r="BB212" s="69" t="n">
        <f aca="false">IF(BB$135=1,Inputs!$C$70,0)</f>
        <v>0</v>
      </c>
      <c r="BC212" s="69" t="n">
        <f aca="false">IF(BC$135=1,Inputs!$C$70,0)</f>
        <v>0</v>
      </c>
      <c r="BD212" s="69" t="n">
        <f aca="false">IF(BD$135=1,Inputs!$C$70,0)</f>
        <v>0</v>
      </c>
      <c r="BE212" s="69" t="n">
        <f aca="false">IF(BE$135=1,Inputs!$C$70,0)</f>
        <v>0</v>
      </c>
      <c r="BF212" s="69" t="n">
        <f aca="false">IF(BF$135=1,Inputs!$C$70,0)</f>
        <v>0</v>
      </c>
      <c r="BG212" s="69" t="n">
        <f aca="false">IF(BG$135=1,Inputs!$C$70,0)</f>
        <v>0</v>
      </c>
      <c r="BH212" s="69" t="n">
        <f aca="false">IF(BH$135=1,Inputs!$C$70,0)</f>
        <v>0</v>
      </c>
      <c r="BI212" s="69" t="n">
        <f aca="false">IF(BI$135=1,Inputs!$C$70,0)</f>
        <v>0</v>
      </c>
      <c r="BJ212" s="69" t="n">
        <f aca="false">IF(BJ$135=1,Inputs!$C$70,0)</f>
        <v>0</v>
      </c>
    </row>
    <row r="213" customFormat="false" ht="15" hidden="false" customHeight="false" outlineLevel="0" collapsed="false">
      <c r="A213" s="6" t="s">
        <v>86</v>
      </c>
      <c r="C213" s="69" t="n">
        <f aca="false">-MIN(C211,Inputs!$C$70/MAX(1,Inputs!$C$72*12))</f>
        <v>-0</v>
      </c>
      <c r="D213" s="69" t="n">
        <f aca="false">-MIN(D211,Inputs!$C$70/MAX(1,Inputs!$C$72*12))</f>
        <v>-25000</v>
      </c>
      <c r="E213" s="69" t="n">
        <f aca="false">-MIN(E211,Inputs!$C$70/MAX(1,Inputs!$C$72*12))</f>
        <v>-25000</v>
      </c>
      <c r="F213" s="69" t="n">
        <f aca="false">-MIN(F211,Inputs!$C$70/MAX(1,Inputs!$C$72*12))</f>
        <v>-25000</v>
      </c>
      <c r="G213" s="69" t="n">
        <f aca="false">-MIN(G211,Inputs!$C$70/MAX(1,Inputs!$C$72*12))</f>
        <v>-25000</v>
      </c>
      <c r="H213" s="69" t="n">
        <f aca="false">-MIN(H211,Inputs!$C$70/MAX(1,Inputs!$C$72*12))</f>
        <v>-25000</v>
      </c>
      <c r="I213" s="69" t="n">
        <f aca="false">-MIN(I211,Inputs!$C$70/MAX(1,Inputs!$C$72*12))</f>
        <v>-25000</v>
      </c>
      <c r="J213" s="69" t="n">
        <f aca="false">-MIN(J211,Inputs!$C$70/MAX(1,Inputs!$C$72*12))</f>
        <v>-25000</v>
      </c>
      <c r="K213" s="69" t="n">
        <f aca="false">-MIN(K211,Inputs!$C$70/MAX(1,Inputs!$C$72*12))</f>
        <v>-25000</v>
      </c>
      <c r="L213" s="69" t="n">
        <f aca="false">-MIN(L211,Inputs!$C$70/MAX(1,Inputs!$C$72*12))</f>
        <v>-25000</v>
      </c>
      <c r="M213" s="69" t="n">
        <f aca="false">-MIN(M211,Inputs!$C$70/MAX(1,Inputs!$C$72*12))</f>
        <v>-25000</v>
      </c>
      <c r="N213" s="69" t="n">
        <f aca="false">-MIN(N211,Inputs!$C$70/MAX(1,Inputs!$C$72*12))</f>
        <v>-25000</v>
      </c>
      <c r="O213" s="69" t="n">
        <f aca="false">-MIN(O211,Inputs!$C$70/MAX(1,Inputs!$C$72*12))</f>
        <v>-25000</v>
      </c>
      <c r="P213" s="69" t="n">
        <f aca="false">-MIN(P211,Inputs!$C$70/MAX(1,Inputs!$C$72*12))</f>
        <v>-25000</v>
      </c>
      <c r="Q213" s="69" t="n">
        <f aca="false">-MIN(Q211,Inputs!$C$70/MAX(1,Inputs!$C$72*12))</f>
        <v>-25000</v>
      </c>
      <c r="R213" s="69" t="n">
        <f aca="false">-MIN(R211,Inputs!$C$70/MAX(1,Inputs!$C$72*12))</f>
        <v>-25000</v>
      </c>
      <c r="S213" s="69" t="n">
        <f aca="false">-MIN(S211,Inputs!$C$70/MAX(1,Inputs!$C$72*12))</f>
        <v>-25000</v>
      </c>
      <c r="T213" s="69" t="n">
        <f aca="false">-MIN(T211,Inputs!$C$70/MAX(1,Inputs!$C$72*12))</f>
        <v>-25000</v>
      </c>
      <c r="U213" s="69" t="n">
        <f aca="false">-MIN(U211,Inputs!$C$70/MAX(1,Inputs!$C$72*12))</f>
        <v>-25000</v>
      </c>
      <c r="V213" s="69" t="n">
        <f aca="false">-MIN(V211,Inputs!$C$70/MAX(1,Inputs!$C$72*12))</f>
        <v>-25000</v>
      </c>
      <c r="W213" s="69" t="n">
        <f aca="false">-MIN(W211,Inputs!$C$70/MAX(1,Inputs!$C$72*12))</f>
        <v>-25000</v>
      </c>
      <c r="X213" s="69" t="n">
        <f aca="false">-MIN(X211,Inputs!$C$70/MAX(1,Inputs!$C$72*12))</f>
        <v>-25000</v>
      </c>
      <c r="Y213" s="69" t="n">
        <f aca="false">-MIN(Y211,Inputs!$C$70/MAX(1,Inputs!$C$72*12))</f>
        <v>-25000</v>
      </c>
      <c r="Z213" s="69" t="n">
        <f aca="false">-MIN(Z211,Inputs!$C$70/MAX(1,Inputs!$C$72*12))</f>
        <v>-25000</v>
      </c>
      <c r="AA213" s="69" t="n">
        <f aca="false">-MIN(AA211,Inputs!$C$70/MAX(1,Inputs!$C$72*12))</f>
        <v>-25000</v>
      </c>
      <c r="AB213" s="69" t="n">
        <f aca="false">-MIN(AB211,Inputs!$C$70/MAX(1,Inputs!$C$72*12))</f>
        <v>-25000</v>
      </c>
      <c r="AC213" s="69" t="n">
        <f aca="false">-MIN(AC211,Inputs!$C$70/MAX(1,Inputs!$C$72*12))</f>
        <v>-25000</v>
      </c>
      <c r="AD213" s="69" t="n">
        <f aca="false">-MIN(AD211,Inputs!$C$70/MAX(1,Inputs!$C$72*12))</f>
        <v>-25000</v>
      </c>
      <c r="AE213" s="69" t="n">
        <f aca="false">-MIN(AE211,Inputs!$C$70/MAX(1,Inputs!$C$72*12))</f>
        <v>-25000</v>
      </c>
      <c r="AF213" s="69" t="n">
        <f aca="false">-MIN(AF211,Inputs!$C$70/MAX(1,Inputs!$C$72*12))</f>
        <v>-25000</v>
      </c>
      <c r="AG213" s="69" t="n">
        <f aca="false">-MIN(AG211,Inputs!$C$70/MAX(1,Inputs!$C$72*12))</f>
        <v>-25000</v>
      </c>
      <c r="AH213" s="69" t="n">
        <f aca="false">-MIN(AH211,Inputs!$C$70/MAX(1,Inputs!$C$72*12))</f>
        <v>-25000</v>
      </c>
      <c r="AI213" s="69" t="n">
        <f aca="false">-MIN(AI211,Inputs!$C$70/MAX(1,Inputs!$C$72*12))</f>
        <v>-25000</v>
      </c>
      <c r="AJ213" s="69" t="n">
        <f aca="false">-MIN(AJ211,Inputs!$C$70/MAX(1,Inputs!$C$72*12))</f>
        <v>-25000</v>
      </c>
      <c r="AK213" s="69" t="n">
        <f aca="false">-MIN(AK211,Inputs!$C$70/MAX(1,Inputs!$C$72*12))</f>
        <v>-25000</v>
      </c>
      <c r="AL213" s="69" t="n">
        <f aca="false">-MIN(AL211,Inputs!$C$70/MAX(1,Inputs!$C$72*12))</f>
        <v>-25000</v>
      </c>
      <c r="AM213" s="69" t="n">
        <f aca="false">-MIN(AM211,Inputs!$C$70/MAX(1,Inputs!$C$72*12))</f>
        <v>-25000</v>
      </c>
      <c r="AN213" s="69" t="n">
        <f aca="false">-MIN(AN211,Inputs!$C$70/MAX(1,Inputs!$C$72*12))</f>
        <v>-25000</v>
      </c>
      <c r="AO213" s="69" t="n">
        <f aca="false">-MIN(AO211,Inputs!$C$70/MAX(1,Inputs!$C$72*12))</f>
        <v>-25000</v>
      </c>
      <c r="AP213" s="69" t="n">
        <f aca="false">-MIN(AP211,Inputs!$C$70/MAX(1,Inputs!$C$72*12))</f>
        <v>-25000</v>
      </c>
      <c r="AQ213" s="69" t="n">
        <f aca="false">-MIN(AQ211,Inputs!$C$70/MAX(1,Inputs!$C$72*12))</f>
        <v>-25000</v>
      </c>
      <c r="AR213" s="69" t="n">
        <f aca="false">-MIN(AR211,Inputs!$C$70/MAX(1,Inputs!$C$72*12))</f>
        <v>-25000</v>
      </c>
      <c r="AS213" s="69" t="n">
        <f aca="false">-MIN(AS211,Inputs!$C$70/MAX(1,Inputs!$C$72*12))</f>
        <v>-25000</v>
      </c>
      <c r="AT213" s="69" t="n">
        <f aca="false">-MIN(AT211,Inputs!$C$70/MAX(1,Inputs!$C$72*12))</f>
        <v>-25000</v>
      </c>
      <c r="AU213" s="69" t="n">
        <f aca="false">-MIN(AU211,Inputs!$C$70/MAX(1,Inputs!$C$72*12))</f>
        <v>-25000</v>
      </c>
      <c r="AV213" s="69" t="n">
        <f aca="false">-MIN(AV211,Inputs!$C$70/MAX(1,Inputs!$C$72*12))</f>
        <v>-25000</v>
      </c>
      <c r="AW213" s="69" t="n">
        <f aca="false">-MIN(AW211,Inputs!$C$70/MAX(1,Inputs!$C$72*12))</f>
        <v>-25000</v>
      </c>
      <c r="AX213" s="69" t="n">
        <f aca="false">-MIN(AX211,Inputs!$C$70/MAX(1,Inputs!$C$72*12))</f>
        <v>-25000</v>
      </c>
      <c r="AY213" s="69" t="n">
        <f aca="false">-MIN(AY211,Inputs!$C$70/MAX(1,Inputs!$C$72*12))</f>
        <v>-25000</v>
      </c>
      <c r="AZ213" s="69" t="n">
        <f aca="false">-MIN(AZ211,Inputs!$C$70/MAX(1,Inputs!$C$72*12))</f>
        <v>-25000</v>
      </c>
      <c r="BA213" s="69" t="n">
        <f aca="false">-MIN(BA211,Inputs!$C$70/MAX(1,Inputs!$C$72*12))</f>
        <v>-25000</v>
      </c>
      <c r="BB213" s="69" t="n">
        <f aca="false">-MIN(BB211,Inputs!$C$70/MAX(1,Inputs!$C$72*12))</f>
        <v>-25000</v>
      </c>
      <c r="BC213" s="69" t="n">
        <f aca="false">-MIN(BC211,Inputs!$C$70/MAX(1,Inputs!$C$72*12))</f>
        <v>-25000</v>
      </c>
      <c r="BD213" s="69" t="n">
        <f aca="false">-MIN(BD211,Inputs!$C$70/MAX(1,Inputs!$C$72*12))</f>
        <v>-25000</v>
      </c>
      <c r="BE213" s="69" t="n">
        <f aca="false">-MIN(BE211,Inputs!$C$70/MAX(1,Inputs!$C$72*12))</f>
        <v>-25000</v>
      </c>
      <c r="BF213" s="69" t="n">
        <f aca="false">-MIN(BF211,Inputs!$C$70/MAX(1,Inputs!$C$72*12))</f>
        <v>-25000</v>
      </c>
      <c r="BG213" s="69" t="n">
        <f aca="false">-MIN(BG211,Inputs!$C$70/MAX(1,Inputs!$C$72*12))</f>
        <v>-25000</v>
      </c>
      <c r="BH213" s="69" t="n">
        <f aca="false">-MIN(BH211,Inputs!$C$70/MAX(1,Inputs!$C$72*12))</f>
        <v>-25000</v>
      </c>
      <c r="BI213" s="69" t="n">
        <f aca="false">-MIN(BI211,Inputs!$C$70/MAX(1,Inputs!$C$72*12))</f>
        <v>-25000</v>
      </c>
      <c r="BJ213" s="69" t="n">
        <f aca="false">-MIN(BJ211,Inputs!$C$70/MAX(1,Inputs!$C$72*12))</f>
        <v>-25000</v>
      </c>
    </row>
    <row r="214" customFormat="false" ht="15" hidden="false" customHeight="false" outlineLevel="0" collapsed="false">
      <c r="A214" s="4" t="s">
        <v>458</v>
      </c>
      <c r="C214" s="75" t="n">
        <f aca="false">C211+C212+C213</f>
        <v>3000000</v>
      </c>
      <c r="D214" s="75" t="n">
        <f aca="false">D211+D212+D213</f>
        <v>2975000</v>
      </c>
      <c r="E214" s="75" t="n">
        <f aca="false">E211+E212+E213</f>
        <v>2950000</v>
      </c>
      <c r="F214" s="75" t="n">
        <f aca="false">F211+F212+F213</f>
        <v>2925000</v>
      </c>
      <c r="G214" s="75" t="n">
        <f aca="false">G211+G212+G213</f>
        <v>2900000</v>
      </c>
      <c r="H214" s="75" t="n">
        <f aca="false">H211+H212+H213</f>
        <v>2875000</v>
      </c>
      <c r="I214" s="75" t="n">
        <f aca="false">I211+I212+I213</f>
        <v>2850000</v>
      </c>
      <c r="J214" s="75" t="n">
        <f aca="false">J211+J212+J213</f>
        <v>2825000</v>
      </c>
      <c r="K214" s="75" t="n">
        <f aca="false">K211+K212+K213</f>
        <v>2800000</v>
      </c>
      <c r="L214" s="75" t="n">
        <f aca="false">L211+L212+L213</f>
        <v>2775000</v>
      </c>
      <c r="M214" s="75" t="n">
        <f aca="false">M211+M212+M213</f>
        <v>2750000</v>
      </c>
      <c r="N214" s="75" t="n">
        <f aca="false">N211+N212+N213</f>
        <v>2725000</v>
      </c>
      <c r="O214" s="75" t="n">
        <f aca="false">O211+O212+O213</f>
        <v>2700000</v>
      </c>
      <c r="P214" s="75" t="n">
        <f aca="false">P211+P212+P213</f>
        <v>2675000</v>
      </c>
      <c r="Q214" s="75" t="n">
        <f aca="false">Q211+Q212+Q213</f>
        <v>2650000</v>
      </c>
      <c r="R214" s="75" t="n">
        <f aca="false">R211+R212+R213</f>
        <v>2625000</v>
      </c>
      <c r="S214" s="75" t="n">
        <f aca="false">S211+S212+S213</f>
        <v>2600000</v>
      </c>
      <c r="T214" s="75" t="n">
        <f aca="false">T211+T212+T213</f>
        <v>2575000</v>
      </c>
      <c r="U214" s="75" t="n">
        <f aca="false">U211+U212+U213</f>
        <v>2550000</v>
      </c>
      <c r="V214" s="75" t="n">
        <f aca="false">V211+V212+V213</f>
        <v>2525000</v>
      </c>
      <c r="W214" s="75" t="n">
        <f aca="false">W211+W212+W213</f>
        <v>2500000</v>
      </c>
      <c r="X214" s="75" t="n">
        <f aca="false">X211+X212+X213</f>
        <v>2475000</v>
      </c>
      <c r="Y214" s="75" t="n">
        <f aca="false">Y211+Y212+Y213</f>
        <v>2450000</v>
      </c>
      <c r="Z214" s="75" t="n">
        <f aca="false">Z211+Z212+Z213</f>
        <v>2425000</v>
      </c>
      <c r="AA214" s="75" t="n">
        <f aca="false">AA211+AA212+AA213</f>
        <v>2400000</v>
      </c>
      <c r="AB214" s="75" t="n">
        <f aca="false">AB211+AB212+AB213</f>
        <v>2375000</v>
      </c>
      <c r="AC214" s="75" t="n">
        <f aca="false">AC211+AC212+AC213</f>
        <v>2350000</v>
      </c>
      <c r="AD214" s="75" t="n">
        <f aca="false">AD211+AD212+AD213</f>
        <v>2325000</v>
      </c>
      <c r="AE214" s="75" t="n">
        <f aca="false">AE211+AE212+AE213</f>
        <v>2300000</v>
      </c>
      <c r="AF214" s="75" t="n">
        <f aca="false">AF211+AF212+AF213</f>
        <v>2275000</v>
      </c>
      <c r="AG214" s="75" t="n">
        <f aca="false">AG211+AG212+AG213</f>
        <v>2250000</v>
      </c>
      <c r="AH214" s="75" t="n">
        <f aca="false">AH211+AH212+AH213</f>
        <v>2225000</v>
      </c>
      <c r="AI214" s="75" t="n">
        <f aca="false">AI211+AI212+AI213</f>
        <v>2200000</v>
      </c>
      <c r="AJ214" s="75" t="n">
        <f aca="false">AJ211+AJ212+AJ213</f>
        <v>2175000</v>
      </c>
      <c r="AK214" s="75" t="n">
        <f aca="false">AK211+AK212+AK213</f>
        <v>2150000</v>
      </c>
      <c r="AL214" s="75" t="n">
        <f aca="false">AL211+AL212+AL213</f>
        <v>2125000</v>
      </c>
      <c r="AM214" s="75" t="n">
        <f aca="false">AM211+AM212+AM213</f>
        <v>2100000</v>
      </c>
      <c r="AN214" s="75" t="n">
        <f aca="false">AN211+AN212+AN213</f>
        <v>2075000</v>
      </c>
      <c r="AO214" s="75" t="n">
        <f aca="false">AO211+AO212+AO213</f>
        <v>2050000</v>
      </c>
      <c r="AP214" s="75" t="n">
        <f aca="false">AP211+AP212+AP213</f>
        <v>2025000</v>
      </c>
      <c r="AQ214" s="75" t="n">
        <f aca="false">AQ211+AQ212+AQ213</f>
        <v>2000000</v>
      </c>
      <c r="AR214" s="75" t="n">
        <f aca="false">AR211+AR212+AR213</f>
        <v>1975000</v>
      </c>
      <c r="AS214" s="75" t="n">
        <f aca="false">AS211+AS212+AS213</f>
        <v>1950000</v>
      </c>
      <c r="AT214" s="75" t="n">
        <f aca="false">AT211+AT212+AT213</f>
        <v>1925000</v>
      </c>
      <c r="AU214" s="75" t="n">
        <f aca="false">AU211+AU212+AU213</f>
        <v>1900000</v>
      </c>
      <c r="AV214" s="75" t="n">
        <f aca="false">AV211+AV212+AV213</f>
        <v>1875000</v>
      </c>
      <c r="AW214" s="75" t="n">
        <f aca="false">AW211+AW212+AW213</f>
        <v>1850000</v>
      </c>
      <c r="AX214" s="75" t="n">
        <f aca="false">AX211+AX212+AX213</f>
        <v>1825000</v>
      </c>
      <c r="AY214" s="75" t="n">
        <f aca="false">AY211+AY212+AY213</f>
        <v>1800000</v>
      </c>
      <c r="AZ214" s="75" t="n">
        <f aca="false">AZ211+AZ212+AZ213</f>
        <v>1775000</v>
      </c>
      <c r="BA214" s="75" t="n">
        <f aca="false">BA211+BA212+BA213</f>
        <v>1750000</v>
      </c>
      <c r="BB214" s="75" t="n">
        <f aca="false">BB211+BB212+BB213</f>
        <v>1725000</v>
      </c>
      <c r="BC214" s="75" t="n">
        <f aca="false">BC211+BC212+BC213</f>
        <v>1700000</v>
      </c>
      <c r="BD214" s="75" t="n">
        <f aca="false">BD211+BD212+BD213</f>
        <v>1675000</v>
      </c>
      <c r="BE214" s="75" t="n">
        <f aca="false">BE211+BE212+BE213</f>
        <v>1650000</v>
      </c>
      <c r="BF214" s="75" t="n">
        <f aca="false">BF211+BF212+BF213</f>
        <v>1625000</v>
      </c>
      <c r="BG214" s="75" t="n">
        <f aca="false">BG211+BG212+BG213</f>
        <v>1600000</v>
      </c>
      <c r="BH214" s="75" t="n">
        <f aca="false">BH211+BH212+BH213</f>
        <v>1575000</v>
      </c>
      <c r="BI214" s="75" t="n">
        <f aca="false">BI211+BI212+BI213</f>
        <v>1550000</v>
      </c>
      <c r="BJ214" s="75" t="n">
        <f aca="false">BJ211+BJ212+BJ213</f>
        <v>1525000</v>
      </c>
    </row>
    <row r="216" customFormat="false" ht="15.75" hidden="false" customHeight="true" outlineLevel="0" collapsed="false">
      <c r="A216" s="7" t="s">
        <v>326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6" t="s">
        <v>90</v>
      </c>
      <c r="C217" s="69" t="n">
        <f aca="false">C168*Inputs!$C$75/30</f>
        <v>3196.22386666667</v>
      </c>
      <c r="D217" s="69" t="n">
        <f aca="false">D168*Inputs!$C$75/30</f>
        <v>3629.92906014815</v>
      </c>
      <c r="E217" s="69" t="n">
        <f aca="false">E168*Inputs!$C$75/30</f>
        <v>4851.56011996444</v>
      </c>
      <c r="F217" s="69" t="n">
        <f aca="false">F168*Inputs!$C$75/30</f>
        <v>5403.45992257327</v>
      </c>
      <c r="G217" s="69" t="n">
        <f aca="false">G168*Inputs!$C$75/30</f>
        <v>5966.01842937405</v>
      </c>
      <c r="H217" s="69" t="n">
        <f aca="false">H168*Inputs!$C$75/30</f>
        <v>6538.80929219909</v>
      </c>
      <c r="I217" s="69" t="n">
        <f aca="false">I168*Inputs!$C$75/30</f>
        <v>7121.42321680742</v>
      </c>
      <c r="J217" s="69" t="n">
        <f aca="false">J168*Inputs!$C$75/30</f>
        <v>7713.46728072771</v>
      </c>
      <c r="K217" s="69" t="n">
        <f aca="false">K168*Inputs!$C$75/30</f>
        <v>8314.5642783875</v>
      </c>
      <c r="L217" s="69" t="n">
        <f aca="false">L168*Inputs!$C$75/30</f>
        <v>8924.35209243718</v>
      </c>
      <c r="M217" s="69" t="n">
        <f aca="false">M168*Inputs!$C$75/30</f>
        <v>9103.03667540636</v>
      </c>
      <c r="N217" s="69" t="n">
        <f aca="false">N168*Inputs!$C$75/30</f>
        <v>7915.98187505677</v>
      </c>
      <c r="O217" s="69" t="n">
        <f aca="false">O168*Inputs!$C$75/30</f>
        <v>8395.95702165559</v>
      </c>
      <c r="P217" s="69" t="n">
        <f aca="false">P168*Inputs!$C$75/30</f>
        <v>8541.41545118937</v>
      </c>
      <c r="Q217" s="69" t="n">
        <f aca="false">Q168*Inputs!$C$75/30</f>
        <v>10108.3922987418</v>
      </c>
      <c r="R217" s="69" t="n">
        <f aca="false">R168*Inputs!$C$75/30</f>
        <v>10269.1996019921</v>
      </c>
      <c r="S217" s="69" t="n">
        <f aca="false">S168*Inputs!$C$75/30</f>
        <v>10423.5746131124</v>
      </c>
      <c r="T217" s="69" t="n">
        <f aca="false">T168*Inputs!$C$75/30</f>
        <v>10571.7746237879</v>
      </c>
      <c r="U217" s="69" t="n">
        <f aca="false">U168*Inputs!$C$75/30</f>
        <v>10714.0466340364</v>
      </c>
      <c r="V217" s="69" t="n">
        <f aca="false">V168*Inputs!$C$75/30</f>
        <v>10850.627763875</v>
      </c>
      <c r="W217" s="69" t="n">
        <f aca="false">W168*Inputs!$C$75/30</f>
        <v>10981.74564852</v>
      </c>
      <c r="X217" s="69" t="n">
        <f aca="false">X168*Inputs!$C$75/30</f>
        <v>11107.6188177792</v>
      </c>
      <c r="Y217" s="69" t="n">
        <f aca="false">Y168*Inputs!$C$75/30</f>
        <v>11228.457060268</v>
      </c>
      <c r="Z217" s="69" t="n">
        <f aca="false">Z168*Inputs!$C$75/30</f>
        <v>9917.12501785728</v>
      </c>
      <c r="AA217" s="69" t="n">
        <f aca="false">AA168*Inputs!$C$75/30</f>
        <v>10390.5828321076</v>
      </c>
      <c r="AB217" s="69" t="n">
        <f aca="false">AB168*Inputs!$C$75/30</f>
        <v>10483.1588227695</v>
      </c>
      <c r="AC217" s="69" t="n">
        <f aca="false">AC168*Inputs!$C$75/30</f>
        <v>12071.5917688181</v>
      </c>
      <c r="AD217" s="69" t="n">
        <f aca="false">AD168*Inputs!$C$75/30</f>
        <v>12185.0163088225</v>
      </c>
      <c r="AE217" s="69" t="n">
        <f aca="false">AE168*Inputs!$C$75/30</f>
        <v>12293.9038672267</v>
      </c>
      <c r="AF217" s="69" t="n">
        <f aca="false">AF168*Inputs!$C$75/30</f>
        <v>12398.4359232948</v>
      </c>
      <c r="AG217" s="69" t="n">
        <f aca="false">AG168*Inputs!$C$75/30</f>
        <v>12498.7866971201</v>
      </c>
      <c r="AH217" s="69" t="n">
        <f aca="false">AH168*Inputs!$C$75/30</f>
        <v>12595.1234399924</v>
      </c>
      <c r="AI217" s="69" t="n">
        <f aca="false">AI168*Inputs!$C$75/30</f>
        <v>12687.6067131499</v>
      </c>
      <c r="AJ217" s="69" t="n">
        <f aca="false">AJ168*Inputs!$C$75/30</f>
        <v>12776.390655381</v>
      </c>
      <c r="AK217" s="69" t="n">
        <f aca="false">AK168*Inputs!$C$75/30</f>
        <v>12861.6232399229</v>
      </c>
      <c r="AL217" s="69" t="n">
        <f aca="false">AL168*Inputs!$C$75/30</f>
        <v>11443.8865260699</v>
      </c>
      <c r="AM217" s="69" t="n">
        <f aca="false">AM168*Inputs!$C$75/30</f>
        <v>11922.6472006793</v>
      </c>
      <c r="AN217" s="69" t="n">
        <f aca="false">AN168*Inputs!$C$75/30</f>
        <v>11982.3854589581</v>
      </c>
      <c r="AO217" s="69" t="n">
        <f aca="false">AO168*Inputs!$C$75/30</f>
        <v>13615.1719176664</v>
      </c>
      <c r="AP217" s="69" t="n">
        <f aca="false">AP168*Inputs!$C$75/30</f>
        <v>13699.7553927612</v>
      </c>
      <c r="AQ217" s="69" t="n">
        <f aca="false">AQ168*Inputs!$C$75/30</f>
        <v>13780.9555288522</v>
      </c>
      <c r="AR217" s="69" t="n">
        <f aca="false">AR168*Inputs!$C$75/30</f>
        <v>13858.9076594995</v>
      </c>
      <c r="AS217" s="69" t="n">
        <f aca="false">AS168*Inputs!$C$75/30</f>
        <v>13933.741704921</v>
      </c>
      <c r="AT217" s="69" t="n">
        <f aca="false">AT168*Inputs!$C$75/30</f>
        <v>14005.5823885256</v>
      </c>
      <c r="AU217" s="69" t="n">
        <f aca="false">AU168*Inputs!$C$75/30</f>
        <v>14074.549444786</v>
      </c>
      <c r="AV217" s="69" t="n">
        <f aca="false">AV168*Inputs!$C$75/30</f>
        <v>14140.757818796</v>
      </c>
      <c r="AW217" s="69" t="n">
        <f aca="false">AW168*Inputs!$C$75/30</f>
        <v>14204.3178578456</v>
      </c>
      <c r="AX217" s="69" t="n">
        <f aca="false">AX168*Inputs!$C$75/30</f>
        <v>12689.8977645724</v>
      </c>
      <c r="AY217" s="69" t="n">
        <f aca="false">AY168*Inputs!$C$75/30</f>
        <v>13181.865327897</v>
      </c>
      <c r="AZ217" s="69" t="n">
        <f aca="false">AZ168*Inputs!$C$75/30</f>
        <v>13221.3128394583</v>
      </c>
      <c r="BA217" s="69" t="n">
        <f aca="false">BA168*Inputs!$C$75/30</f>
        <v>14914.3373304944</v>
      </c>
      <c r="BB217" s="69" t="n">
        <f aca="false">BB168*Inputs!$C$75/30</f>
        <v>14981.7150054454</v>
      </c>
      <c r="BC217" s="69" t="n">
        <f aca="false">BC168*Inputs!$C$75/30</f>
        <v>15046.3975733983</v>
      </c>
      <c r="BD217" s="69" t="n">
        <f aca="false">BD168*Inputs!$C$75/30</f>
        <v>15108.4928386332</v>
      </c>
      <c r="BE217" s="69" t="n">
        <f aca="false">BE168*Inputs!$C$75/30</f>
        <v>15168.1042932586</v>
      </c>
      <c r="BF217" s="69" t="n">
        <f aca="false">BF168*Inputs!$C$75/30</f>
        <v>15225.331289699</v>
      </c>
      <c r="BG217" s="69" t="n">
        <f aca="false">BG168*Inputs!$C$75/30</f>
        <v>15280.2692062818</v>
      </c>
      <c r="BH217" s="69" t="n">
        <f aca="false">BH168*Inputs!$C$75/30</f>
        <v>15333.0096062013</v>
      </c>
      <c r="BI217" s="69" t="n">
        <f aca="false">BI168*Inputs!$C$75/30</f>
        <v>15383.640390124</v>
      </c>
      <c r="BJ217" s="69" t="n">
        <f aca="false">BJ168*Inputs!$C$75/30</f>
        <v>13777.0910627525</v>
      </c>
    </row>
    <row r="218" customFormat="false" ht="15" hidden="false" customHeight="false" outlineLevel="0" collapsed="false">
      <c r="A218" s="6" t="s">
        <v>91</v>
      </c>
      <c r="C218" s="69" t="n">
        <f aca="false">-C176*Inputs!$C$76/30</f>
        <v>1650.12067404333</v>
      </c>
      <c r="D218" s="69" t="n">
        <f aca="false">-D176*Inputs!$C$76/30</f>
        <v>1874.00472147456</v>
      </c>
      <c r="E218" s="69" t="n">
        <f aca="false">-E176*Inputs!$C$76/30</f>
        <v>2584.5948932913</v>
      </c>
      <c r="F218" s="69" t="n">
        <f aca="false">-F176*Inputs!$C$76/30</f>
        <v>2884.39593898965</v>
      </c>
      <c r="G218" s="69" t="n">
        <f aca="false">-G176*Inputs!$C$76/30</f>
        <v>3191.70097890673</v>
      </c>
      <c r="H218" s="69" t="n">
        <f aca="false">-H176*Inputs!$C$76/30</f>
        <v>3506.20985327379</v>
      </c>
      <c r="I218" s="69" t="n">
        <f aca="false">-I176*Inputs!$C$76/30</f>
        <v>3827.63440871284</v>
      </c>
      <c r="J218" s="69" t="n">
        <f aca="false">-J176*Inputs!$C$76/30</f>
        <v>4155.698017981</v>
      </c>
      <c r="K218" s="69" t="n">
        <f aca="false">-K176*Inputs!$C$76/30</f>
        <v>4490.13511892509</v>
      </c>
      <c r="L218" s="69" t="n">
        <f aca="false">-L176*Inputs!$C$76/30</f>
        <v>4830.69077187809</v>
      </c>
      <c r="M218" s="69" t="n">
        <f aca="false">-M176*Inputs!$C$76/30</f>
        <v>4956.48918540296</v>
      </c>
      <c r="N218" s="69" t="n">
        <f aca="false">-N176*Inputs!$C$76/30</f>
        <v>4146.69851764287</v>
      </c>
      <c r="O218" s="69" t="n">
        <f aca="false">-O176*Inputs!$C$76/30</f>
        <v>4437.9045862263</v>
      </c>
      <c r="P218" s="69" t="n">
        <f aca="false">-P176*Inputs!$C$76/30</f>
        <v>4524.40568388608</v>
      </c>
      <c r="Q218" s="69" t="n">
        <f aca="false">-Q176*Inputs!$C$76/30</f>
        <v>5635.20556376361</v>
      </c>
      <c r="R218" s="69" t="n">
        <f aca="false">-R176*Inputs!$C$76/30</f>
        <v>5749.36231361903</v>
      </c>
      <c r="S218" s="69" t="n">
        <f aca="false">-S176*Inputs!$C$76/30</f>
        <v>5858.95279348023</v>
      </c>
      <c r="T218" s="69" t="n">
        <f aca="false">-T176*Inputs!$C$76/30</f>
        <v>5964.15965414698</v>
      </c>
      <c r="U218" s="69" t="n">
        <f aca="false">-U176*Inputs!$C$76/30</f>
        <v>6065.15824038706</v>
      </c>
      <c r="V218" s="69" t="n">
        <f aca="false">-V176*Inputs!$C$76/30</f>
        <v>6162.11688317754</v>
      </c>
      <c r="W218" s="69" t="n">
        <f aca="false">-W176*Inputs!$C$76/30</f>
        <v>6255.19718025639</v>
      </c>
      <c r="X218" s="69" t="n">
        <f aca="false">-X176*Inputs!$C$76/30</f>
        <v>6344.5542654521</v>
      </c>
      <c r="Y218" s="69" t="n">
        <f aca="false">-Y176*Inputs!$C$76/30</f>
        <v>6430.33706723997</v>
      </c>
      <c r="Z218" s="69" t="n">
        <f aca="false">-Z176*Inputs!$C$76/30</f>
        <v>5342.51150256752</v>
      </c>
      <c r="AA218" s="69" t="n">
        <f aca="false">-AA176*Inputs!$C$76/30</f>
        <v>5640.15059832643</v>
      </c>
      <c r="AB218" s="69" t="n">
        <f aca="false">-AB176*Inputs!$C$76/30</f>
        <v>5695.64804791407</v>
      </c>
      <c r="AC218" s="69" t="n">
        <f aca="false">-AC176*Inputs!$C$76/30</f>
        <v>7006.63571134713</v>
      </c>
      <c r="AD218" s="69" t="n">
        <f aca="false">-AD176*Inputs!$C$76/30</f>
        <v>7087.82819164455</v>
      </c>
      <c r="AE218" s="69" t="n">
        <f aca="false">-AE176*Inputs!$C$76/30</f>
        <v>7165.77297273006</v>
      </c>
      <c r="AF218" s="69" t="n">
        <f aca="false">-AF176*Inputs!$C$76/30</f>
        <v>7240.59996257216</v>
      </c>
      <c r="AG218" s="69" t="n">
        <f aca="false">-AG176*Inputs!$C$76/30</f>
        <v>7312.43387282057</v>
      </c>
      <c r="AH218" s="69" t="n">
        <f aca="false">-AH176*Inputs!$C$76/30</f>
        <v>7381.39442665905</v>
      </c>
      <c r="AI218" s="69" t="n">
        <f aca="false">-AI176*Inputs!$C$76/30</f>
        <v>7447.59655834399</v>
      </c>
      <c r="AJ218" s="69" t="n">
        <f aca="false">-AJ176*Inputs!$C$76/30</f>
        <v>7511.15060476153</v>
      </c>
      <c r="AK218" s="69" t="n">
        <f aca="false">-AK176*Inputs!$C$76/30</f>
        <v>7572.16248932236</v>
      </c>
      <c r="AL218" s="69" t="n">
        <f aca="false">-AL176*Inputs!$C$76/30</f>
        <v>6271.58503654501</v>
      </c>
      <c r="AM218" s="69" t="n">
        <f aca="false">-AM176*Inputs!$C$76/30</f>
        <v>6580.53393502341</v>
      </c>
      <c r="AN218" s="69" t="n">
        <f aca="false">-AN176*Inputs!$C$76/30</f>
        <v>6616.63542435188</v>
      </c>
      <c r="AO218" s="69" t="n">
        <f aca="false">-AO176*Inputs!$C$76/30</f>
        <v>8093.56439393673</v>
      </c>
      <c r="AP218" s="69" t="n">
        <f aca="false">-AP176*Inputs!$C$76/30</f>
        <v>8154.61815677977</v>
      </c>
      <c r="AQ218" s="69" t="n">
        <f aca="false">-AQ176*Inputs!$C$76/30</f>
        <v>8213.2297691091</v>
      </c>
      <c r="AR218" s="69" t="n">
        <f aca="false">-AR176*Inputs!$C$76/30</f>
        <v>8269.49691694525</v>
      </c>
      <c r="AS218" s="69" t="n">
        <f aca="false">-AS176*Inputs!$C$76/30</f>
        <v>8323.51337886796</v>
      </c>
      <c r="AT218" s="69" t="n">
        <f aca="false">-AT176*Inputs!$C$76/30</f>
        <v>8375.36918231376</v>
      </c>
      <c r="AU218" s="69" t="n">
        <f aca="false">-AU176*Inputs!$C$76/30</f>
        <v>8425.15075362172</v>
      </c>
      <c r="AV218" s="69" t="n">
        <f aca="false">-AV176*Inputs!$C$76/30</f>
        <v>8472.94106207737</v>
      </c>
      <c r="AW218" s="69" t="n">
        <f aca="false">-AW176*Inputs!$C$76/30</f>
        <v>8518.81975819479</v>
      </c>
      <c r="AX218" s="69" t="n">
        <f aca="false">-AX176*Inputs!$C$76/30</f>
        <v>7044.20476913786</v>
      </c>
      <c r="AY218" s="69" t="n">
        <f aca="false">-AY176*Inputs!$C$76/30</f>
        <v>7368.00318073766</v>
      </c>
      <c r="AZ218" s="69" t="n">
        <f aca="false">-AZ176*Inputs!$C$76/30</f>
        <v>7392.03551822076</v>
      </c>
      <c r="BA218" s="69" t="n">
        <f aca="false">-BA176*Inputs!$C$76/30</f>
        <v>9015.90765839958</v>
      </c>
      <c r="BB218" s="69" t="n">
        <f aca="false">-BB176*Inputs!$C$76/30</f>
        <v>9064.94943555324</v>
      </c>
      <c r="BC218" s="69" t="n">
        <f aca="false">-BC176*Inputs!$C$76/30</f>
        <v>9112.02954162074</v>
      </c>
      <c r="BD218" s="69" t="n">
        <f aca="false">-BD176*Inputs!$C$76/30</f>
        <v>9157.22644344555</v>
      </c>
      <c r="BE218" s="69" t="n">
        <f aca="false">-BE176*Inputs!$C$76/30</f>
        <v>9200.61546919736</v>
      </c>
      <c r="BF218" s="69" t="n">
        <f aca="false">-BF176*Inputs!$C$76/30</f>
        <v>9242.2689339191</v>
      </c>
      <c r="BG218" s="69" t="n">
        <f aca="false">-BG176*Inputs!$C$76/30</f>
        <v>9282.25626005198</v>
      </c>
      <c r="BH218" s="69" t="n">
        <f aca="false">-BH176*Inputs!$C$76/30</f>
        <v>9320.64409313953</v>
      </c>
      <c r="BI218" s="69" t="n">
        <f aca="false">-BI176*Inputs!$C$76/30</f>
        <v>9357.49641290359</v>
      </c>
      <c r="BJ218" s="69" t="n">
        <f aca="false">-BJ176*Inputs!$C$76/30</f>
        <v>7730.62848135879</v>
      </c>
    </row>
    <row r="219" customFormat="false" ht="15" hidden="false" customHeight="false" outlineLevel="0" collapsed="false">
      <c r="A219" s="6" t="s">
        <v>94</v>
      </c>
      <c r="C219" s="69" t="n">
        <f aca="false">-C176*Inputs!$C$77/30</f>
        <v>4714.63049726667</v>
      </c>
      <c r="D219" s="69" t="n">
        <f aca="false">-D176*Inputs!$C$77/30</f>
        <v>5354.29920421304</v>
      </c>
      <c r="E219" s="69" t="n">
        <f aca="false">-E176*Inputs!$C$77/30</f>
        <v>7384.55683797515</v>
      </c>
      <c r="F219" s="69" t="n">
        <f aca="false">-F176*Inputs!$C$77/30</f>
        <v>8241.13125425614</v>
      </c>
      <c r="G219" s="69" t="n">
        <f aca="false">-G176*Inputs!$C$77/30</f>
        <v>9119.14565401923</v>
      </c>
      <c r="H219" s="69" t="n">
        <f aca="false">-H176*Inputs!$C$77/30</f>
        <v>10017.7424379251</v>
      </c>
      <c r="I219" s="69" t="n">
        <f aca="false">-I176*Inputs!$C$77/30</f>
        <v>10936.0983106081</v>
      </c>
      <c r="J219" s="69" t="n">
        <f aca="false">-J176*Inputs!$C$77/30</f>
        <v>11873.4229085171</v>
      </c>
      <c r="K219" s="69" t="n">
        <f aca="false">-K176*Inputs!$C$77/30</f>
        <v>12828.9574826431</v>
      </c>
      <c r="L219" s="69" t="n">
        <f aca="false">-L176*Inputs!$C$77/30</f>
        <v>13801.9736339374</v>
      </c>
      <c r="M219" s="69" t="n">
        <f aca="false">-M176*Inputs!$C$77/30</f>
        <v>14161.3976725799</v>
      </c>
      <c r="N219" s="69" t="n">
        <f aca="false">-N176*Inputs!$C$77/30</f>
        <v>11847.7100504082</v>
      </c>
      <c r="O219" s="69" t="n">
        <f aca="false">-O176*Inputs!$C$77/30</f>
        <v>12679.727389218</v>
      </c>
      <c r="P219" s="69" t="n">
        <f aca="false">-P176*Inputs!$C$77/30</f>
        <v>12926.8733825317</v>
      </c>
      <c r="Q219" s="69" t="n">
        <f aca="false">-Q176*Inputs!$C$77/30</f>
        <v>16100.5873250389</v>
      </c>
      <c r="R219" s="69" t="n">
        <f aca="false">-R176*Inputs!$C$77/30</f>
        <v>16426.7494674829</v>
      </c>
      <c r="S219" s="69" t="n">
        <f aca="false">-S176*Inputs!$C$77/30</f>
        <v>16739.8651242292</v>
      </c>
      <c r="T219" s="69" t="n">
        <f aca="false">-T176*Inputs!$C$77/30</f>
        <v>17040.4561547056</v>
      </c>
      <c r="U219" s="69" t="n">
        <f aca="false">-U176*Inputs!$C$77/30</f>
        <v>17329.023543963</v>
      </c>
      <c r="V219" s="69" t="n">
        <f aca="false">-V176*Inputs!$C$77/30</f>
        <v>17606.0482376501</v>
      </c>
      <c r="W219" s="69" t="n">
        <f aca="false">-W176*Inputs!$C$77/30</f>
        <v>17871.9919435897</v>
      </c>
      <c r="X219" s="69" t="n">
        <f aca="false">-X176*Inputs!$C$77/30</f>
        <v>18127.2979012917</v>
      </c>
      <c r="Y219" s="69" t="n">
        <f aca="false">-Y176*Inputs!$C$77/30</f>
        <v>18372.3916206856</v>
      </c>
      <c r="Z219" s="69" t="n">
        <f aca="false">-Z176*Inputs!$C$77/30</f>
        <v>15264.3185787643</v>
      </c>
      <c r="AA219" s="69" t="n">
        <f aca="false">-AA176*Inputs!$C$77/30</f>
        <v>16114.7159952184</v>
      </c>
      <c r="AB219" s="69" t="n">
        <f aca="false">-AB176*Inputs!$C$77/30</f>
        <v>16273.2801368973</v>
      </c>
      <c r="AC219" s="69" t="n">
        <f aca="false">-AC176*Inputs!$C$77/30</f>
        <v>20018.9591752775</v>
      </c>
      <c r="AD219" s="69" t="n">
        <f aca="false">-AD176*Inputs!$C$77/30</f>
        <v>20250.937690413</v>
      </c>
      <c r="AE219" s="69" t="n">
        <f aca="false">-AE176*Inputs!$C$77/30</f>
        <v>20473.637064943</v>
      </c>
      <c r="AF219" s="69" t="n">
        <f aca="false">-AF176*Inputs!$C$77/30</f>
        <v>20687.4284644919</v>
      </c>
      <c r="AG219" s="69" t="n">
        <f aca="false">-AG176*Inputs!$C$77/30</f>
        <v>20892.6682080588</v>
      </c>
      <c r="AH219" s="69" t="n">
        <f aca="false">-AH176*Inputs!$C$77/30</f>
        <v>21089.698361883</v>
      </c>
      <c r="AI219" s="69" t="n">
        <f aca="false">-AI176*Inputs!$C$77/30</f>
        <v>21278.8473095542</v>
      </c>
      <c r="AJ219" s="69" t="n">
        <f aca="false">-AJ176*Inputs!$C$77/30</f>
        <v>21460.4302993186</v>
      </c>
      <c r="AK219" s="69" t="n">
        <f aca="false">-AK176*Inputs!$C$77/30</f>
        <v>21634.7499694925</v>
      </c>
      <c r="AL219" s="69" t="n">
        <f aca="false">-AL176*Inputs!$C$77/30</f>
        <v>17918.8143901286</v>
      </c>
      <c r="AM219" s="69" t="n">
        <f aca="false">-AM176*Inputs!$C$77/30</f>
        <v>18801.5255286383</v>
      </c>
      <c r="AN219" s="69" t="n">
        <f aca="false">-AN176*Inputs!$C$77/30</f>
        <v>18904.6726410054</v>
      </c>
      <c r="AO219" s="69" t="n">
        <f aca="false">-AO176*Inputs!$C$77/30</f>
        <v>23124.4696969621</v>
      </c>
      <c r="AP219" s="69" t="n">
        <f aca="false">-AP176*Inputs!$C$77/30</f>
        <v>23298.9090193708</v>
      </c>
      <c r="AQ219" s="69" t="n">
        <f aca="false">-AQ176*Inputs!$C$77/30</f>
        <v>23466.3707688831</v>
      </c>
      <c r="AR219" s="69" t="n">
        <f aca="false">-AR176*Inputs!$C$77/30</f>
        <v>23627.134048415</v>
      </c>
      <c r="AS219" s="69" t="n">
        <f aca="false">-AS176*Inputs!$C$77/30</f>
        <v>23781.4667967656</v>
      </c>
      <c r="AT219" s="69" t="n">
        <f aca="false">-AT176*Inputs!$C$77/30</f>
        <v>23929.6262351822</v>
      </c>
      <c r="AU219" s="69" t="n">
        <f aca="false">-AU176*Inputs!$C$77/30</f>
        <v>24071.8592960621</v>
      </c>
      <c r="AV219" s="69" t="n">
        <f aca="false">-AV176*Inputs!$C$77/30</f>
        <v>24208.4030345068</v>
      </c>
      <c r="AW219" s="69" t="n">
        <f aca="false">-AW176*Inputs!$C$77/30</f>
        <v>24339.4850234137</v>
      </c>
      <c r="AX219" s="69" t="n">
        <f aca="false">-AX176*Inputs!$C$77/30</f>
        <v>20126.2993403939</v>
      </c>
      <c r="AY219" s="69" t="n">
        <f aca="false">-AY176*Inputs!$C$77/30</f>
        <v>21051.4376592505</v>
      </c>
      <c r="AZ219" s="69" t="n">
        <f aca="false">-AZ176*Inputs!$C$77/30</f>
        <v>21120.1014806307</v>
      </c>
      <c r="BA219" s="69" t="n">
        <f aca="false">-BA176*Inputs!$C$77/30</f>
        <v>25759.7361668559</v>
      </c>
      <c r="BB219" s="69" t="n">
        <f aca="false">-BB176*Inputs!$C$77/30</f>
        <v>25899.8555301521</v>
      </c>
      <c r="BC219" s="69" t="n">
        <f aca="false">-BC176*Inputs!$C$77/30</f>
        <v>26034.3701189164</v>
      </c>
      <c r="BD219" s="69" t="n">
        <f aca="false">-BD176*Inputs!$C$77/30</f>
        <v>26163.5041241301</v>
      </c>
      <c r="BE219" s="69" t="n">
        <f aca="false">-BE176*Inputs!$C$77/30</f>
        <v>26287.4727691353</v>
      </c>
      <c r="BF219" s="69" t="n">
        <f aca="false">-BF176*Inputs!$C$77/30</f>
        <v>26406.4826683403</v>
      </c>
      <c r="BG219" s="69" t="n">
        <f aca="false">-BG176*Inputs!$C$77/30</f>
        <v>26520.7321715771</v>
      </c>
      <c r="BH219" s="69" t="n">
        <f aca="false">-BH176*Inputs!$C$77/30</f>
        <v>26630.4116946844</v>
      </c>
      <c r="BI219" s="69" t="n">
        <f aca="false">-BI176*Inputs!$C$77/30</f>
        <v>26735.7040368674</v>
      </c>
      <c r="BJ219" s="69" t="n">
        <f aca="false">-BJ176*Inputs!$C$77/30</f>
        <v>22087.5099467394</v>
      </c>
    </row>
    <row r="220" customFormat="false" ht="15" hidden="false" customHeight="false" outlineLevel="0" collapsed="false">
      <c r="A220" s="6" t="s">
        <v>348</v>
      </c>
      <c r="C220" s="69" t="n">
        <f aca="false">-C217</f>
        <v>-3196.22386666667</v>
      </c>
      <c r="D220" s="69" t="n">
        <f aca="false">C217-D217</f>
        <v>-433.705193481482</v>
      </c>
      <c r="E220" s="69" t="n">
        <f aca="false">D217-E217</f>
        <v>-1221.6310598163</v>
      </c>
      <c r="F220" s="69" t="n">
        <f aca="false">E217-F217</f>
        <v>-551.899802608829</v>
      </c>
      <c r="G220" s="69" t="n">
        <f aca="false">F217-G217</f>
        <v>-562.558506800773</v>
      </c>
      <c r="H220" s="69" t="n">
        <f aca="false">G217-H217</f>
        <v>-572.790862825039</v>
      </c>
      <c r="I220" s="69" t="n">
        <f aca="false">H217-I217</f>
        <v>-582.613924608332</v>
      </c>
      <c r="J220" s="69" t="n">
        <f aca="false">I217-J217</f>
        <v>-592.044063920296</v>
      </c>
      <c r="K220" s="69" t="n">
        <f aca="false">J217-K217</f>
        <v>-601.096997659782</v>
      </c>
      <c r="L220" s="69" t="n">
        <f aca="false">K217-L217</f>
        <v>-609.787814049685</v>
      </c>
      <c r="M220" s="69" t="n">
        <f aca="false">L217-M217</f>
        <v>-178.684582969179</v>
      </c>
      <c r="N220" s="69" t="n">
        <f aca="false">M217-N217</f>
        <v>1187.05480034959</v>
      </c>
      <c r="O220" s="69" t="n">
        <f aca="false">N217-O217</f>
        <v>-479.975146598818</v>
      </c>
      <c r="P220" s="69" t="n">
        <f aca="false">O217-P217</f>
        <v>-145.458429533775</v>
      </c>
      <c r="Q220" s="69" t="n">
        <f aca="false">P217-Q217</f>
        <v>-1566.97684755243</v>
      </c>
      <c r="R220" s="69" t="n">
        <f aca="false">Q217-R217</f>
        <v>-160.807303250327</v>
      </c>
      <c r="S220" s="69" t="n">
        <f aca="false">R217-S217</f>
        <v>-154.375011120315</v>
      </c>
      <c r="T220" s="69" t="n">
        <f aca="false">S217-T217</f>
        <v>-148.200010675502</v>
      </c>
      <c r="U220" s="69" t="n">
        <f aca="false">T217-U217</f>
        <v>-142.272010248485</v>
      </c>
      <c r="V220" s="69" t="n">
        <f aca="false">U217-V217</f>
        <v>-136.581129838542</v>
      </c>
      <c r="W220" s="69" t="n">
        <f aca="false">V217-W217</f>
        <v>-131.117884645002</v>
      </c>
      <c r="X220" s="69" t="n">
        <f aca="false">W217-X217</f>
        <v>-125.873169259201</v>
      </c>
      <c r="Y220" s="69" t="n">
        <f aca="false">X217-Y217</f>
        <v>-120.838242488833</v>
      </c>
      <c r="Z220" s="69" t="n">
        <f aca="false">Y217-Z217</f>
        <v>1311.33204241072</v>
      </c>
      <c r="AA220" s="69" t="n">
        <f aca="false">Z217-AA217</f>
        <v>-473.457814250329</v>
      </c>
      <c r="AB220" s="69" t="n">
        <f aca="false">AA217-AB217</f>
        <v>-92.5759906619351</v>
      </c>
      <c r="AC220" s="69" t="n">
        <f aca="false">AB217-AC217</f>
        <v>-1588.43294604858</v>
      </c>
      <c r="AD220" s="69" t="n">
        <f aca="false">AC217-AD217</f>
        <v>-113.424540004396</v>
      </c>
      <c r="AE220" s="69" t="n">
        <f aca="false">AD217-AE217</f>
        <v>-108.887558404218</v>
      </c>
      <c r="AF220" s="69" t="n">
        <f aca="false">AE217-AF217</f>
        <v>-104.53205606805</v>
      </c>
      <c r="AG220" s="69" t="n">
        <f aca="false">AF217-AG217</f>
        <v>-100.350773825328</v>
      </c>
      <c r="AH220" s="69" t="n">
        <f aca="false">AG217-AH217</f>
        <v>-96.3367428723159</v>
      </c>
      <c r="AI220" s="69" t="n">
        <f aca="false">AH217-AI217</f>
        <v>-92.4832731574225</v>
      </c>
      <c r="AJ220" s="69" t="n">
        <f aca="false">AI217-AJ217</f>
        <v>-88.7839422311281</v>
      </c>
      <c r="AK220" s="69" t="n">
        <f aca="false">AJ217-AK217</f>
        <v>-85.23258454188</v>
      </c>
      <c r="AL220" s="69" t="n">
        <f aca="false">AK217-AL217</f>
        <v>1417.73671385292</v>
      </c>
      <c r="AM220" s="69" t="n">
        <f aca="false">AL217-AM217</f>
        <v>-478.760674609368</v>
      </c>
      <c r="AN220" s="69" t="n">
        <f aca="false">AM217-AN217</f>
        <v>-59.7382582787486</v>
      </c>
      <c r="AO220" s="69" t="n">
        <f aca="false">AN217-AO217</f>
        <v>-1632.78645870838</v>
      </c>
      <c r="AP220" s="69" t="n">
        <f aca="false">AO217-AP217</f>
        <v>-84.5834750947706</v>
      </c>
      <c r="AQ220" s="69" t="n">
        <f aca="false">AP217-AQ217</f>
        <v>-81.2001360909817</v>
      </c>
      <c r="AR220" s="69" t="n">
        <f aca="false">AQ217-AR217</f>
        <v>-77.9521306473416</v>
      </c>
      <c r="AS220" s="69" t="n">
        <f aca="false">AR217-AS217</f>
        <v>-74.8340454214485</v>
      </c>
      <c r="AT220" s="69" t="n">
        <f aca="false">AS217-AT217</f>
        <v>-71.8406836045888</v>
      </c>
      <c r="AU220" s="69" t="n">
        <f aca="false">AT217-AU217</f>
        <v>-68.9670562604097</v>
      </c>
      <c r="AV220" s="69" t="n">
        <f aca="false">AU217-AV217</f>
        <v>-66.2083740099879</v>
      </c>
      <c r="AW220" s="69" t="n">
        <f aca="false">AV217-AW217</f>
        <v>-63.5600390495929</v>
      </c>
      <c r="AX220" s="69" t="n">
        <f aca="false">AW217-AX217</f>
        <v>1514.42009327318</v>
      </c>
      <c r="AY220" s="69" t="n">
        <f aca="false">AX217-AY217</f>
        <v>-491.967563324595</v>
      </c>
      <c r="AZ220" s="69" t="n">
        <f aca="false">AY217-AZ217</f>
        <v>-39.4475115613004</v>
      </c>
      <c r="BA220" s="69" t="n">
        <f aca="false">AZ217-BA217</f>
        <v>-1693.02449103613</v>
      </c>
      <c r="BB220" s="69" t="n">
        <f aca="false">BA217-BB217</f>
        <v>-67.3776749509852</v>
      </c>
      <c r="BC220" s="69" t="n">
        <f aca="false">BB217-BC217</f>
        <v>-64.6825679529466</v>
      </c>
      <c r="BD220" s="69" t="n">
        <f aca="false">BC217-BD217</f>
        <v>-62.0952652348278</v>
      </c>
      <c r="BE220" s="69" t="n">
        <f aca="false">BD217-BE217</f>
        <v>-59.6114546254357</v>
      </c>
      <c r="BF220" s="69" t="n">
        <f aca="false">BE217-BF217</f>
        <v>-57.2269964404186</v>
      </c>
      <c r="BG220" s="69" t="n">
        <f aca="false">BF217-BG217</f>
        <v>-54.9379165828032</v>
      </c>
      <c r="BH220" s="69" t="n">
        <f aca="false">BG217-BH217</f>
        <v>-52.7403999194885</v>
      </c>
      <c r="BI220" s="69" t="n">
        <f aca="false">BH217-BI217</f>
        <v>-50.6307839227084</v>
      </c>
      <c r="BJ220" s="69" t="n">
        <f aca="false">BI217-BJ217</f>
        <v>1606.54932737148</v>
      </c>
    </row>
    <row r="221" customFormat="false" ht="15" hidden="false" customHeight="false" outlineLevel="0" collapsed="false">
      <c r="A221" s="6" t="s">
        <v>349</v>
      </c>
      <c r="C221" s="69" t="n">
        <f aca="false">-C218</f>
        <v>-1650.12067404333</v>
      </c>
      <c r="D221" s="69" t="n">
        <f aca="false">C218-D218</f>
        <v>-223.88404743123</v>
      </c>
      <c r="E221" s="69" t="n">
        <f aca="false">D218-E218</f>
        <v>-710.590171816739</v>
      </c>
      <c r="F221" s="69" t="n">
        <f aca="false">E218-F218</f>
        <v>-299.801045698348</v>
      </c>
      <c r="G221" s="69" t="n">
        <f aca="false">F218-G218</f>
        <v>-307.30503991708</v>
      </c>
      <c r="H221" s="69" t="n">
        <f aca="false">G218-H218</f>
        <v>-314.508874367064</v>
      </c>
      <c r="I221" s="69" t="n">
        <f aca="false">H218-I218</f>
        <v>-321.424555439047</v>
      </c>
      <c r="J221" s="69" t="n">
        <f aca="false">I218-J218</f>
        <v>-328.063609268154</v>
      </c>
      <c r="K221" s="69" t="n">
        <f aca="false">J218-K218</f>
        <v>-334.437100944093</v>
      </c>
      <c r="L221" s="69" t="n">
        <f aca="false">K218-L218</f>
        <v>-340.555652952998</v>
      </c>
      <c r="M221" s="69" t="n">
        <f aca="false">L218-M218</f>
        <v>-125.798413524875</v>
      </c>
      <c r="N221" s="69" t="n">
        <f aca="false">M218-N218</f>
        <v>809.790667760095</v>
      </c>
      <c r="O221" s="69" t="n">
        <f aca="false">N218-O218</f>
        <v>-291.206068583429</v>
      </c>
      <c r="P221" s="69" t="n">
        <f aca="false">O218-P218</f>
        <v>-86.5010976597878</v>
      </c>
      <c r="Q221" s="69" t="n">
        <f aca="false">P218-Q218</f>
        <v>-1110.79987987753</v>
      </c>
      <c r="R221" s="69" t="n">
        <f aca="false">Q218-R218</f>
        <v>-114.156749855415</v>
      </c>
      <c r="S221" s="69" t="n">
        <f aca="false">R218-S218</f>
        <v>-109.5904798612</v>
      </c>
      <c r="T221" s="69" t="n">
        <f aca="false">S218-T218</f>
        <v>-105.206860666752</v>
      </c>
      <c r="U221" s="69" t="n">
        <f aca="false">T218-U218</f>
        <v>-100.998586240079</v>
      </c>
      <c r="V221" s="69" t="n">
        <f aca="false">U218-V218</f>
        <v>-96.9586427904787</v>
      </c>
      <c r="W221" s="69" t="n">
        <f aca="false">V218-W218</f>
        <v>-93.0802970788591</v>
      </c>
      <c r="X221" s="69" t="n">
        <f aca="false">W218-X218</f>
        <v>-89.3570851957029</v>
      </c>
      <c r="Y221" s="69" t="n">
        <f aca="false">X218-Y218</f>
        <v>-85.7828017878774</v>
      </c>
      <c r="Z221" s="69" t="n">
        <f aca="false">Y218-Z218</f>
        <v>1087.82556467245</v>
      </c>
      <c r="AA221" s="69" t="n">
        <f aca="false">Z218-AA218</f>
        <v>-297.639095758907</v>
      </c>
      <c r="AB221" s="69" t="n">
        <f aca="false">AA218-AB218</f>
        <v>-55.4974495876395</v>
      </c>
      <c r="AC221" s="69" t="n">
        <f aca="false">AB218-AC218</f>
        <v>-1310.98766343307</v>
      </c>
      <c r="AD221" s="69" t="n">
        <f aca="false">AC218-AD218</f>
        <v>-81.1924802974136</v>
      </c>
      <c r="AE221" s="69" t="n">
        <f aca="false">AD218-AE218</f>
        <v>-77.9447810855181</v>
      </c>
      <c r="AF221" s="69" t="n">
        <f aca="false">AE218-AF218</f>
        <v>-74.8269898420958</v>
      </c>
      <c r="AG221" s="69" t="n">
        <f aca="false">AF218-AG218</f>
        <v>-71.8339102484142</v>
      </c>
      <c r="AH221" s="69" t="n">
        <f aca="false">AG218-AH218</f>
        <v>-68.960553838474</v>
      </c>
      <c r="AI221" s="69" t="n">
        <f aca="false">AH218-AI218</f>
        <v>-66.2021316849387</v>
      </c>
      <c r="AJ221" s="69" t="n">
        <f aca="false">AI218-AJ218</f>
        <v>-63.554046417541</v>
      </c>
      <c r="AK221" s="69" t="n">
        <f aca="false">AJ218-AK218</f>
        <v>-61.0118845608367</v>
      </c>
      <c r="AL221" s="69" t="n">
        <f aca="false">AK218-AL218</f>
        <v>1300.57745277735</v>
      </c>
      <c r="AM221" s="69" t="n">
        <f aca="false">AL218-AM218</f>
        <v>-308.948898478398</v>
      </c>
      <c r="AN221" s="69" t="n">
        <f aca="false">AM218-AN218</f>
        <v>-36.1014893284728</v>
      </c>
      <c r="AO221" s="69" t="n">
        <f aca="false">AN218-AO218</f>
        <v>-1476.92896958484</v>
      </c>
      <c r="AP221" s="69" t="n">
        <f aca="false">AO218-AP218</f>
        <v>-61.0537628430493</v>
      </c>
      <c r="AQ221" s="69" t="n">
        <f aca="false">AP218-AQ218</f>
        <v>-58.611612329325</v>
      </c>
      <c r="AR221" s="69" t="n">
        <f aca="false">AQ218-AR218</f>
        <v>-56.2671478361517</v>
      </c>
      <c r="AS221" s="69" t="n">
        <f aca="false">AR218-AS218</f>
        <v>-54.0164619227071</v>
      </c>
      <c r="AT221" s="69" t="n">
        <f aca="false">AS218-AT218</f>
        <v>-51.8558034457983</v>
      </c>
      <c r="AU221" s="69" t="n">
        <f aca="false">AT218-AU218</f>
        <v>-49.7815713079672</v>
      </c>
      <c r="AV221" s="69" t="n">
        <f aca="false">AU218-AV218</f>
        <v>-47.7903084556474</v>
      </c>
      <c r="AW221" s="69" t="n">
        <f aca="false">AV218-AW218</f>
        <v>-45.8786961174228</v>
      </c>
      <c r="AX221" s="69" t="n">
        <f aca="false">AW218-AX218</f>
        <v>1474.61498905693</v>
      </c>
      <c r="AY221" s="69" t="n">
        <f aca="false">AX218-AY218</f>
        <v>-323.7984115998</v>
      </c>
      <c r="AZ221" s="69" t="n">
        <f aca="false">AY218-AZ218</f>
        <v>-24.0323374830932</v>
      </c>
      <c r="BA221" s="69" t="n">
        <f aca="false">AZ218-BA218</f>
        <v>-1623.87214017883</v>
      </c>
      <c r="BB221" s="69" t="n">
        <f aca="false">BA218-BB218</f>
        <v>-49.041777153654</v>
      </c>
      <c r="BC221" s="69" t="n">
        <f aca="false">BB218-BC218</f>
        <v>-47.0801060675058</v>
      </c>
      <c r="BD221" s="69" t="n">
        <f aca="false">BC218-BD218</f>
        <v>-45.1969018248074</v>
      </c>
      <c r="BE221" s="69" t="n">
        <f aca="false">BD218-BE218</f>
        <v>-43.3890257518142</v>
      </c>
      <c r="BF221" s="69" t="n">
        <f aca="false">BE218-BF218</f>
        <v>-41.6534647217413</v>
      </c>
      <c r="BG221" s="69" t="n">
        <f aca="false">BF218-BG218</f>
        <v>-39.9873261328721</v>
      </c>
      <c r="BH221" s="69" t="n">
        <f aca="false">BG218-BH218</f>
        <v>-38.3878330875577</v>
      </c>
      <c r="BI221" s="69" t="n">
        <f aca="false">BH218-BI218</f>
        <v>-36.8523197640534</v>
      </c>
      <c r="BJ221" s="69" t="n">
        <f aca="false">BI218-BJ218</f>
        <v>1626.8679315448</v>
      </c>
    </row>
    <row r="222" customFormat="false" ht="15" hidden="false" customHeight="false" outlineLevel="0" collapsed="false">
      <c r="A222" s="6" t="s">
        <v>350</v>
      </c>
      <c r="C222" s="69" t="n">
        <f aca="false">C219</f>
        <v>4714.63049726667</v>
      </c>
      <c r="D222" s="69" t="n">
        <f aca="false">D219-C219</f>
        <v>639.668706946371</v>
      </c>
      <c r="E222" s="69" t="n">
        <f aca="false">E219-D219</f>
        <v>2030.25763376211</v>
      </c>
      <c r="F222" s="69" t="n">
        <f aca="false">F219-E219</f>
        <v>856.574416280994</v>
      </c>
      <c r="G222" s="69" t="n">
        <f aca="false">G219-F219</f>
        <v>878.014399763088</v>
      </c>
      <c r="H222" s="69" t="n">
        <f aca="false">H219-G219</f>
        <v>898.596783905898</v>
      </c>
      <c r="I222" s="69" t="n">
        <f aca="false">I219-H219</f>
        <v>918.355872682992</v>
      </c>
      <c r="J222" s="69" t="n">
        <f aca="false">J219-I219</f>
        <v>937.32459790901</v>
      </c>
      <c r="K222" s="69" t="n">
        <f aca="false">K219-J219</f>
        <v>955.534574125983</v>
      </c>
      <c r="L222" s="69" t="n">
        <f aca="false">L219-K219</f>
        <v>973.016151294276</v>
      </c>
      <c r="M222" s="69" t="n">
        <f aca="false">M219-L219</f>
        <v>359.424038642504</v>
      </c>
      <c r="N222" s="69" t="n">
        <f aca="false">N219-M219</f>
        <v>-2313.68762217171</v>
      </c>
      <c r="O222" s="69" t="n">
        <f aca="false">O219-N219</f>
        <v>832.017338809799</v>
      </c>
      <c r="P222" s="69" t="n">
        <f aca="false">P219-O219</f>
        <v>247.145993313681</v>
      </c>
      <c r="Q222" s="69" t="n">
        <f aca="false">Q219-P219</f>
        <v>3173.71394250722</v>
      </c>
      <c r="R222" s="69" t="n">
        <f aca="false">R219-Q219</f>
        <v>326.16214244404</v>
      </c>
      <c r="S222" s="69" t="n">
        <f aca="false">S219-R219</f>
        <v>313.115656746286</v>
      </c>
      <c r="T222" s="69" t="n">
        <f aca="false">T219-S219</f>
        <v>300.591030476433</v>
      </c>
      <c r="U222" s="69" t="n">
        <f aca="false">U219-T219</f>
        <v>288.567389257369</v>
      </c>
      <c r="V222" s="69" t="n">
        <f aca="false">V219-U219</f>
        <v>277.024693687083</v>
      </c>
      <c r="W222" s="69" t="n">
        <f aca="false">W219-V219</f>
        <v>265.943705939601</v>
      </c>
      <c r="X222" s="69" t="n">
        <f aca="false">X219-W219</f>
        <v>255.305957702007</v>
      </c>
      <c r="Y222" s="69" t="n">
        <f aca="false">Y219-X219</f>
        <v>245.093719393935</v>
      </c>
      <c r="Z222" s="69" t="n">
        <f aca="false">Z219-Y219</f>
        <v>-3108.0730419213</v>
      </c>
      <c r="AA222" s="69" t="n">
        <f aca="false">AA219-Z219</f>
        <v>850.397416454023</v>
      </c>
      <c r="AB222" s="69" t="n">
        <f aca="false">AB219-AA219</f>
        <v>158.564141678966</v>
      </c>
      <c r="AC222" s="69" t="n">
        <f aca="false">AC219-AB219</f>
        <v>3745.67903838019</v>
      </c>
      <c r="AD222" s="69" t="n">
        <f aca="false">AD219-AC219</f>
        <v>231.97851513547</v>
      </c>
      <c r="AE222" s="69" t="n">
        <f aca="false">AE219-AD219</f>
        <v>222.69937453005</v>
      </c>
      <c r="AF222" s="69" t="n">
        <f aca="false">AF219-AE219</f>
        <v>213.791399548849</v>
      </c>
      <c r="AG222" s="69" t="n">
        <f aca="false">AG219-AF219</f>
        <v>205.23974356689</v>
      </c>
      <c r="AH222" s="69" t="n">
        <f aca="false">AH219-AG219</f>
        <v>197.03015382422</v>
      </c>
      <c r="AI222" s="69" t="n">
        <f aca="false">AI219-AH219</f>
        <v>189.148947671249</v>
      </c>
      <c r="AJ222" s="69" t="n">
        <f aca="false">AJ219-AI219</f>
        <v>181.582989764403</v>
      </c>
      <c r="AK222" s="69" t="n">
        <f aca="false">AK219-AJ219</f>
        <v>174.319670173823</v>
      </c>
      <c r="AL222" s="69" t="n">
        <f aca="false">AL219-AK219</f>
        <v>-3715.93557936386</v>
      </c>
      <c r="AM222" s="69" t="n">
        <f aca="false">AM219-AL219</f>
        <v>882.711138509709</v>
      </c>
      <c r="AN222" s="69" t="n">
        <f aca="false">AN219-AM219</f>
        <v>103.147112367064</v>
      </c>
      <c r="AO222" s="69" t="n">
        <f aca="false">AO219-AN219</f>
        <v>4219.79705595669</v>
      </c>
      <c r="AP222" s="69" t="n">
        <f aca="false">AP219-AO219</f>
        <v>174.439322408707</v>
      </c>
      <c r="AQ222" s="69" t="n">
        <f aca="false">AQ219-AP219</f>
        <v>167.46174951236</v>
      </c>
      <c r="AR222" s="69" t="n">
        <f aca="false">AR219-AQ219</f>
        <v>160.76327953186</v>
      </c>
      <c r="AS222" s="69" t="n">
        <f aca="false">AS219-AR219</f>
        <v>154.332748350589</v>
      </c>
      <c r="AT222" s="69" t="n">
        <f aca="false">AT219-AS219</f>
        <v>148.159438416569</v>
      </c>
      <c r="AU222" s="69" t="n">
        <f aca="false">AU219-AT219</f>
        <v>142.233060879909</v>
      </c>
      <c r="AV222" s="69" t="n">
        <f aca="false">AV219-AU219</f>
        <v>136.543738444703</v>
      </c>
      <c r="AW222" s="69" t="n">
        <f aca="false">AW219-AV219</f>
        <v>131.081988906917</v>
      </c>
      <c r="AX222" s="69" t="n">
        <f aca="false">AX219-AW219</f>
        <v>-4213.1856830198</v>
      </c>
      <c r="AY222" s="69" t="n">
        <f aca="false">AY219-AX219</f>
        <v>925.138318856567</v>
      </c>
      <c r="AZ222" s="69" t="n">
        <f aca="false">AZ219-AY219</f>
        <v>68.6638213802689</v>
      </c>
      <c r="BA222" s="69" t="n">
        <f aca="false">BA219-AZ219</f>
        <v>4639.63468622522</v>
      </c>
      <c r="BB222" s="69" t="n">
        <f aca="false">BB219-BA219</f>
        <v>140.119363296155</v>
      </c>
      <c r="BC222" s="69" t="n">
        <f aca="false">BC219-BB219</f>
        <v>134.514588764301</v>
      </c>
      <c r="BD222" s="69" t="n">
        <f aca="false">BD219-BC219</f>
        <v>129.134005213735</v>
      </c>
      <c r="BE222" s="69" t="n">
        <f aca="false">BE219-BD219</f>
        <v>123.968645005181</v>
      </c>
      <c r="BF222" s="69" t="n">
        <f aca="false">BF219-BE219</f>
        <v>119.009899204972</v>
      </c>
      <c r="BG222" s="69" t="n">
        <f aca="false">BG219-BF219</f>
        <v>114.249503236784</v>
      </c>
      <c r="BH222" s="69" t="n">
        <f aca="false">BH219-BG219</f>
        <v>109.679523107305</v>
      </c>
      <c r="BI222" s="69" t="n">
        <f aca="false">BI219-BH219</f>
        <v>105.292342183016</v>
      </c>
      <c r="BJ222" s="69" t="n">
        <f aca="false">BJ219-BI219</f>
        <v>-4648.194090128</v>
      </c>
    </row>
    <row r="224" customFormat="false" ht="15.75" hidden="false" customHeight="true" outlineLevel="0" collapsed="false">
      <c r="A224" s="7" t="s">
        <v>459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</row>
    <row r="225" customFormat="false" ht="15" hidden="false" customHeight="false" outlineLevel="0" collapsed="false">
      <c r="A225" s="4" t="s">
        <v>52</v>
      </c>
      <c r="C225" s="75" t="n">
        <f aca="false">C195-C206+C220+C221+C222</f>
        <v>-74096.96845601</v>
      </c>
      <c r="D225" s="75" t="n">
        <f aca="false">D195-D206+D220+D221+D222</f>
        <v>-68348.5584380637</v>
      </c>
      <c r="E225" s="75" t="n">
        <f aca="false">E195-E206+E220+E221+E222</f>
        <v>-52776.4387220337</v>
      </c>
      <c r="F225" s="75" t="n">
        <f aca="false">F195-F206+F220+F221+F222</f>
        <v>-45698.8828081446</v>
      </c>
      <c r="G225" s="75" t="n">
        <f aca="false">G195-G206+G220+G221+G222</f>
        <v>-38397.1661873729</v>
      </c>
      <c r="H225" s="75" t="n">
        <f aca="false">H195-H206+H220+H221+H222</f>
        <v>-30972.9688938543</v>
      </c>
      <c r="I225" s="75" t="n">
        <f aca="false">I195-I206+I220+I221+I222</f>
        <v>-23431.1901544986</v>
      </c>
      <c r="J225" s="75" t="n">
        <f aca="false">J195-J206+J220+J221+J222</f>
        <v>-15776.5332271394</v>
      </c>
      <c r="K225" s="75" t="n">
        <f aca="false">K195-K206+K220+K221+K222</f>
        <v>-8013.5132392968</v>
      </c>
      <c r="L225" s="75" t="n">
        <f aca="false">L195-L206+L220+L221+L222</f>
        <v>-146.464713390115</v>
      </c>
      <c r="M225" s="75" t="n">
        <f aca="false">M195-M206+M220+M221+M222</f>
        <v>2204.019664374</v>
      </c>
      <c r="N225" s="75" t="n">
        <f aca="false">N195-N206+N220+N221+N222</f>
        <v>-12325.9707704894</v>
      </c>
      <c r="O225" s="75" t="n">
        <f aca="false">O195-O206+O220+O221+O222</f>
        <v>-5867.20796869892</v>
      </c>
      <c r="P225" s="75" t="n">
        <f aca="false">P195-P206+P220+P221+P222</f>
        <v>-3924.6168398369</v>
      </c>
      <c r="Q225" s="75" t="n">
        <f aca="false">Q195-Q206+Q220+Q221+Q222</f>
        <v>15477.2990419792</v>
      </c>
      <c r="R225" s="75" t="n">
        <f aca="false">R195-R206+R220+R221+R222</f>
        <v>17132.5095846624</v>
      </c>
      <c r="S225" s="75" t="n">
        <f aca="false">S195-S206+S220+S221+S222</f>
        <v>19153.4966761075</v>
      </c>
      <c r="T225" s="75" t="n">
        <f aca="false">T195-T206+T220+T221+T222</f>
        <v>21100.7276172281</v>
      </c>
      <c r="U225" s="75" t="n">
        <f aca="false">U195-U206+U220+U221+U222</f>
        <v>22977.1526540373</v>
      </c>
      <c r="V225" s="75" t="n">
        <f aca="false">V195-V206+V220+V221+V222</f>
        <v>24785.6040227074</v>
      </c>
      <c r="W225" s="75" t="n">
        <f aca="false">W195-W206+W220+W221+W222</f>
        <v>26528.800669964</v>
      </c>
      <c r="X225" s="75" t="n">
        <f aca="false">X195-X206+X220+X221+X222</f>
        <v>28209.3527846637</v>
      </c>
      <c r="Y225" s="75" t="n">
        <f aca="false">Y195-Y206+Y220+Y221+Y222</f>
        <v>29829.7661481088</v>
      </c>
      <c r="Z225" s="75" t="n">
        <f aca="false">Z195-Z206+Z220+Z221+Z222</f>
        <v>14251.5902982079</v>
      </c>
      <c r="AA225" s="75" t="n">
        <f aca="false">AA195-AA206+AA220+AA221+AA222</f>
        <v>20442.132661898</v>
      </c>
      <c r="AB225" s="75" t="n">
        <f aca="false">AB195-AB206+AB220+AB221+AB222</f>
        <v>21701.1998376266</v>
      </c>
      <c r="AC225" s="75" t="n">
        <f aca="false">AC195-AC206+AC220+AC221+AC222</f>
        <v>40922.0265315874</v>
      </c>
      <c r="AD225" s="75" t="n">
        <f aca="false">AD195-AD206+AD220+AD221+AD222</f>
        <v>41643.6132582186</v>
      </c>
      <c r="AE225" s="75" t="n">
        <f aca="false">AE195-AE206+AE220+AE221+AE222</f>
        <v>43118.4664460268</v>
      </c>
      <c r="AF225" s="75" t="n">
        <f aca="false">AF195-AF206+AF220+AF221+AF222</f>
        <v>44541.408839656</v>
      </c>
      <c r="AG225" s="75" t="n">
        <f aca="false">AG195-AG206+AG220+AG221+AG222</f>
        <v>45914.5168708734</v>
      </c>
      <c r="AH225" s="75" t="n">
        <f aca="false">AH195-AH206+AH220+AH221+AH222</f>
        <v>47239.7839141754</v>
      </c>
      <c r="AI225" s="75" t="n">
        <f aca="false">AI195-AI206+AI220+AI221+AI222</f>
        <v>48519.1236090787</v>
      </c>
      <c r="AJ225" s="75" t="n">
        <f aca="false">AJ195-AJ206+AJ220+AJ221+AJ222</f>
        <v>49754.3730495191</v>
      </c>
      <c r="AK225" s="75" t="n">
        <f aca="false">AK195-AK206+AK220+AK221+AK222</f>
        <v>50947.2958456753</v>
      </c>
      <c r="AL225" s="75" t="n">
        <f aca="false">AL195-AL206+AL220+AL221+AL222</f>
        <v>34406.535226456</v>
      </c>
      <c r="AM225" s="75" t="n">
        <f aca="false">AM195-AM206+AM220+AM221+AM222</f>
        <v>40472.9261093208</v>
      </c>
      <c r="AN225" s="75" t="n">
        <f aca="false">AN195-AN206+AN220+AN221+AN222</f>
        <v>41303.6684476227</v>
      </c>
      <c r="AO225" s="75" t="n">
        <f aca="false">AO195-AO206+AO220+AO221+AO222</f>
        <v>60745.6273405503</v>
      </c>
      <c r="AP225" s="75" t="n">
        <f aca="false">AP195-AP206+AP220+AP221+AP222</f>
        <v>60848.5242734996</v>
      </c>
      <c r="AQ225" s="75" t="n">
        <f aca="false">AQ195-AQ206+AQ220+AQ221+AQ222</f>
        <v>61991.2649405503</v>
      </c>
      <c r="AR225" s="75" t="n">
        <f aca="false">AR195-AR206+AR220+AR221+AR222</f>
        <v>63095.3793142523</v>
      </c>
      <c r="AS225" s="75" t="n">
        <f aca="false">AS195-AS206+AS220+AS221+AS222</f>
        <v>64162.4124463395</v>
      </c>
      <c r="AT225" s="75" t="n">
        <f aca="false">AT195-AT206+AT220+AT221+AT222</f>
        <v>65193.8475864766</v>
      </c>
      <c r="AU225" s="75" t="n">
        <f aca="false">AU195-AU206+AU220+AU221+AU222</f>
        <v>66191.1086543415</v>
      </c>
      <c r="AV225" s="75" t="n">
        <f aca="false">AV195-AV206+AV220+AV221+AV222</f>
        <v>67155.5626128252</v>
      </c>
      <c r="AW225" s="75" t="n">
        <f aca="false">AW195-AW206+AW220+AW221+AW222</f>
        <v>68088.5217463028</v>
      </c>
      <c r="AX225" s="75" t="n">
        <f aca="false">AX195-AX206+AX220+AX221+AX222</f>
        <v>50623.2883506386</v>
      </c>
      <c r="AY225" s="75" t="n">
        <f aca="false">AY195-AY206+AY220+AY221+AY222</f>
        <v>56679.9419949779</v>
      </c>
      <c r="AZ225" s="75" t="n">
        <f aca="false">AZ195-AZ206+AZ220+AZ221+AZ222</f>
        <v>57241.553898064</v>
      </c>
      <c r="BA225" s="75" t="n">
        <f aca="false">BA195-BA206+BA220+BA221+BA222</f>
        <v>77172.1066502759</v>
      </c>
      <c r="BB225" s="75" t="n">
        <f aca="false">BB195-BB206+BB220+BB221+BB222</f>
        <v>76850.637919111</v>
      </c>
      <c r="BC225" s="75" t="n">
        <f aca="false">BC195-BC206+BC220+BC221+BC222</f>
        <v>77795.2398921444</v>
      </c>
      <c r="BD225" s="75" t="n">
        <f aca="false">BD195-BD206+BD220+BD221+BD222</f>
        <v>78709.1411195898</v>
      </c>
      <c r="BE225" s="75" t="n">
        <f aca="false">BE195-BE206+BE220+BE221+BE222</f>
        <v>79593.5696312708</v>
      </c>
      <c r="BF225" s="75" t="n">
        <f aca="false">BF195-BF206+BF220+BF221+BF222</f>
        <v>80425.3178086349</v>
      </c>
      <c r="BG225" s="75" t="n">
        <f aca="false">BG195-BG206+BG220+BG221+BG222</f>
        <v>70426.7129132673</v>
      </c>
      <c r="BH225" s="75" t="n">
        <f aca="false">BH195-BH206+BH220+BH221+BH222</f>
        <v>71060.8392803436</v>
      </c>
      <c r="BI225" s="75" t="n">
        <f aca="false">BI195-BI206+BI220+BI221+BI222</f>
        <v>71675.1964260701</v>
      </c>
      <c r="BJ225" s="75" t="n">
        <f aca="false">BJ195-BJ206+BJ220+BJ221+BJ222</f>
        <v>56853.0066571451</v>
      </c>
    </row>
    <row r="226" customFormat="false" ht="15" hidden="false" customHeight="false" outlineLevel="0" collapsed="false">
      <c r="A226" s="6" t="s">
        <v>460</v>
      </c>
      <c r="C226" s="69" t="n">
        <f aca="false">-C203</f>
        <v>-4100000</v>
      </c>
      <c r="D226" s="69" t="n">
        <f aca="false">-D203</f>
        <v>-0</v>
      </c>
      <c r="E226" s="69" t="n">
        <f aca="false">-E203</f>
        <v>-0</v>
      </c>
      <c r="F226" s="69" t="n">
        <f aca="false">-F203</f>
        <v>-0</v>
      </c>
      <c r="G226" s="69" t="n">
        <f aca="false">-G203</f>
        <v>-0</v>
      </c>
      <c r="H226" s="69" t="n">
        <f aca="false">-H203</f>
        <v>-0</v>
      </c>
      <c r="I226" s="69" t="n">
        <f aca="false">-I203</f>
        <v>-0</v>
      </c>
      <c r="J226" s="69" t="n">
        <f aca="false">-J203</f>
        <v>-0</v>
      </c>
      <c r="K226" s="69" t="n">
        <f aca="false">-K203</f>
        <v>-0</v>
      </c>
      <c r="L226" s="69" t="n">
        <f aca="false">-L203</f>
        <v>-0</v>
      </c>
      <c r="M226" s="69" t="n">
        <f aca="false">-M203</f>
        <v>-0</v>
      </c>
      <c r="N226" s="69" t="n">
        <f aca="false">-N203</f>
        <v>-0</v>
      </c>
      <c r="O226" s="69" t="n">
        <f aca="false">-O203</f>
        <v>-40000</v>
      </c>
      <c r="P226" s="69" t="n">
        <f aca="false">-P203</f>
        <v>-0</v>
      </c>
      <c r="Q226" s="69" t="n">
        <f aca="false">-Q203</f>
        <v>-0</v>
      </c>
      <c r="R226" s="69" t="n">
        <f aca="false">-R203</f>
        <v>-0</v>
      </c>
      <c r="S226" s="69" t="n">
        <f aca="false">-S203</f>
        <v>-0</v>
      </c>
      <c r="T226" s="69" t="n">
        <f aca="false">-T203</f>
        <v>-0</v>
      </c>
      <c r="U226" s="69" t="n">
        <f aca="false">-U203</f>
        <v>-0</v>
      </c>
      <c r="V226" s="69" t="n">
        <f aca="false">-V203</f>
        <v>-0</v>
      </c>
      <c r="W226" s="69" t="n">
        <f aca="false">-W203</f>
        <v>-0</v>
      </c>
      <c r="X226" s="69" t="n">
        <f aca="false">-X203</f>
        <v>-0</v>
      </c>
      <c r="Y226" s="69" t="n">
        <f aca="false">-Y203</f>
        <v>-0</v>
      </c>
      <c r="Z226" s="69" t="n">
        <f aca="false">-Z203</f>
        <v>-0</v>
      </c>
      <c r="AA226" s="69" t="n">
        <f aca="false">-AA203</f>
        <v>-40000</v>
      </c>
      <c r="AB226" s="69" t="n">
        <f aca="false">-AB203</f>
        <v>-0</v>
      </c>
      <c r="AC226" s="69" t="n">
        <f aca="false">-AC203</f>
        <v>-0</v>
      </c>
      <c r="AD226" s="69" t="n">
        <f aca="false">-AD203</f>
        <v>-0</v>
      </c>
      <c r="AE226" s="69" t="n">
        <f aca="false">-AE203</f>
        <v>-0</v>
      </c>
      <c r="AF226" s="69" t="n">
        <f aca="false">-AF203</f>
        <v>-0</v>
      </c>
      <c r="AG226" s="69" t="n">
        <f aca="false">-AG203</f>
        <v>-0</v>
      </c>
      <c r="AH226" s="69" t="n">
        <f aca="false">-AH203</f>
        <v>-0</v>
      </c>
      <c r="AI226" s="69" t="n">
        <f aca="false">-AI203</f>
        <v>-0</v>
      </c>
      <c r="AJ226" s="69" t="n">
        <f aca="false">-AJ203</f>
        <v>-0</v>
      </c>
      <c r="AK226" s="69" t="n">
        <f aca="false">-AK203</f>
        <v>-0</v>
      </c>
      <c r="AL226" s="69" t="n">
        <f aca="false">-AL203</f>
        <v>-0</v>
      </c>
      <c r="AM226" s="69" t="n">
        <f aca="false">-AM203</f>
        <v>-40000</v>
      </c>
      <c r="AN226" s="69" t="n">
        <f aca="false">-AN203</f>
        <v>-0</v>
      </c>
      <c r="AO226" s="69" t="n">
        <f aca="false">-AO203</f>
        <v>-0</v>
      </c>
      <c r="AP226" s="69" t="n">
        <f aca="false">-AP203</f>
        <v>-0</v>
      </c>
      <c r="AQ226" s="69" t="n">
        <f aca="false">-AQ203</f>
        <v>-0</v>
      </c>
      <c r="AR226" s="69" t="n">
        <f aca="false">-AR203</f>
        <v>-0</v>
      </c>
      <c r="AS226" s="69" t="n">
        <f aca="false">-AS203</f>
        <v>-0</v>
      </c>
      <c r="AT226" s="69" t="n">
        <f aca="false">-AT203</f>
        <v>-0</v>
      </c>
      <c r="AU226" s="69" t="n">
        <f aca="false">-AU203</f>
        <v>-0</v>
      </c>
      <c r="AV226" s="69" t="n">
        <f aca="false">-AV203</f>
        <v>-0</v>
      </c>
      <c r="AW226" s="69" t="n">
        <f aca="false">-AW203</f>
        <v>-0</v>
      </c>
      <c r="AX226" s="69" t="n">
        <f aca="false">-AX203</f>
        <v>-0</v>
      </c>
      <c r="AY226" s="69" t="n">
        <f aca="false">-AY203</f>
        <v>-40000</v>
      </c>
      <c r="AZ226" s="69" t="n">
        <f aca="false">-AZ203</f>
        <v>-0</v>
      </c>
      <c r="BA226" s="69" t="n">
        <f aca="false">-BA203</f>
        <v>-0</v>
      </c>
      <c r="BB226" s="69" t="n">
        <f aca="false">-BB203</f>
        <v>-0</v>
      </c>
      <c r="BC226" s="69" t="n">
        <f aca="false">-BC203</f>
        <v>-0</v>
      </c>
      <c r="BD226" s="69" t="n">
        <f aca="false">-BD203</f>
        <v>-0</v>
      </c>
      <c r="BE226" s="69" t="n">
        <f aca="false">-BE203</f>
        <v>-0</v>
      </c>
      <c r="BF226" s="69" t="n">
        <f aca="false">-BF203</f>
        <v>-0</v>
      </c>
      <c r="BG226" s="69" t="n">
        <f aca="false">-BG203</f>
        <v>-0</v>
      </c>
      <c r="BH226" s="69" t="n">
        <f aca="false">-BH203</f>
        <v>-0</v>
      </c>
      <c r="BI226" s="69" t="n">
        <f aca="false">-BI203</f>
        <v>-0</v>
      </c>
      <c r="BJ226" s="69" t="n">
        <f aca="false">-BJ203</f>
        <v>-0</v>
      </c>
    </row>
    <row r="227" customFormat="false" ht="15" hidden="false" customHeight="false" outlineLevel="0" collapsed="false">
      <c r="A227" s="6" t="s">
        <v>64</v>
      </c>
      <c r="C227" s="69" t="n">
        <f aca="false">IF(C$135=1,Inputs!$C$69,0)</f>
        <v>2100000</v>
      </c>
      <c r="D227" s="69" t="n">
        <f aca="false">IF(D$135=1,Inputs!$C$69,0)</f>
        <v>0</v>
      </c>
      <c r="E227" s="69" t="n">
        <f aca="false">IF(E$135=1,Inputs!$C$69,0)</f>
        <v>0</v>
      </c>
      <c r="F227" s="69" t="n">
        <f aca="false">IF(F$135=1,Inputs!$C$69,0)</f>
        <v>0</v>
      </c>
      <c r="G227" s="69" t="n">
        <f aca="false">IF(G$135=1,Inputs!$C$69,0)</f>
        <v>0</v>
      </c>
      <c r="H227" s="69" t="n">
        <f aca="false">IF(H$135=1,Inputs!$C$69,0)</f>
        <v>0</v>
      </c>
      <c r="I227" s="69" t="n">
        <f aca="false">IF(I$135=1,Inputs!$C$69,0)</f>
        <v>0</v>
      </c>
      <c r="J227" s="69" t="n">
        <f aca="false">IF(J$135=1,Inputs!$C$69,0)</f>
        <v>0</v>
      </c>
      <c r="K227" s="69" t="n">
        <f aca="false">IF(K$135=1,Inputs!$C$69,0)</f>
        <v>0</v>
      </c>
      <c r="L227" s="69" t="n">
        <f aca="false">IF(L$135=1,Inputs!$C$69,0)</f>
        <v>0</v>
      </c>
      <c r="M227" s="69" t="n">
        <f aca="false">IF(M$135=1,Inputs!$C$69,0)</f>
        <v>0</v>
      </c>
      <c r="N227" s="69" t="n">
        <f aca="false">IF(N$135=1,Inputs!$C$69,0)</f>
        <v>0</v>
      </c>
      <c r="O227" s="69" t="n">
        <f aca="false">IF(O$135=1,Inputs!$C$69,0)</f>
        <v>0</v>
      </c>
      <c r="P227" s="69" t="n">
        <f aca="false">IF(P$135=1,Inputs!$C$69,0)</f>
        <v>0</v>
      </c>
      <c r="Q227" s="69" t="n">
        <f aca="false">IF(Q$135=1,Inputs!$C$69,0)</f>
        <v>0</v>
      </c>
      <c r="R227" s="69" t="n">
        <f aca="false">IF(R$135=1,Inputs!$C$69,0)</f>
        <v>0</v>
      </c>
      <c r="S227" s="69" t="n">
        <f aca="false">IF(S$135=1,Inputs!$C$69,0)</f>
        <v>0</v>
      </c>
      <c r="T227" s="69" t="n">
        <f aca="false">IF(T$135=1,Inputs!$C$69,0)</f>
        <v>0</v>
      </c>
      <c r="U227" s="69" t="n">
        <f aca="false">IF(U$135=1,Inputs!$C$69,0)</f>
        <v>0</v>
      </c>
      <c r="V227" s="69" t="n">
        <f aca="false">IF(V$135=1,Inputs!$C$69,0)</f>
        <v>0</v>
      </c>
      <c r="W227" s="69" t="n">
        <f aca="false">IF(W$135=1,Inputs!$C$69,0)</f>
        <v>0</v>
      </c>
      <c r="X227" s="69" t="n">
        <f aca="false">IF(X$135=1,Inputs!$C$69,0)</f>
        <v>0</v>
      </c>
      <c r="Y227" s="69" t="n">
        <f aca="false">IF(Y$135=1,Inputs!$C$69,0)</f>
        <v>0</v>
      </c>
      <c r="Z227" s="69" t="n">
        <f aca="false">IF(Z$135=1,Inputs!$C$69,0)</f>
        <v>0</v>
      </c>
      <c r="AA227" s="69" t="n">
        <f aca="false">IF(AA$135=1,Inputs!$C$69,0)</f>
        <v>0</v>
      </c>
      <c r="AB227" s="69" t="n">
        <f aca="false">IF(AB$135=1,Inputs!$C$69,0)</f>
        <v>0</v>
      </c>
      <c r="AC227" s="69" t="n">
        <f aca="false">IF(AC$135=1,Inputs!$C$69,0)</f>
        <v>0</v>
      </c>
      <c r="AD227" s="69" t="n">
        <f aca="false">IF(AD$135=1,Inputs!$C$69,0)</f>
        <v>0</v>
      </c>
      <c r="AE227" s="69" t="n">
        <f aca="false">IF(AE$135=1,Inputs!$C$69,0)</f>
        <v>0</v>
      </c>
      <c r="AF227" s="69" t="n">
        <f aca="false">IF(AF$135=1,Inputs!$C$69,0)</f>
        <v>0</v>
      </c>
      <c r="AG227" s="69" t="n">
        <f aca="false">IF(AG$135=1,Inputs!$C$69,0)</f>
        <v>0</v>
      </c>
      <c r="AH227" s="69" t="n">
        <f aca="false">IF(AH$135=1,Inputs!$C$69,0)</f>
        <v>0</v>
      </c>
      <c r="AI227" s="69" t="n">
        <f aca="false">IF(AI$135=1,Inputs!$C$69,0)</f>
        <v>0</v>
      </c>
      <c r="AJ227" s="69" t="n">
        <f aca="false">IF(AJ$135=1,Inputs!$C$69,0)</f>
        <v>0</v>
      </c>
      <c r="AK227" s="69" t="n">
        <f aca="false">IF(AK$135=1,Inputs!$C$69,0)</f>
        <v>0</v>
      </c>
      <c r="AL227" s="69" t="n">
        <f aca="false">IF(AL$135=1,Inputs!$C$69,0)</f>
        <v>0</v>
      </c>
      <c r="AM227" s="69" t="n">
        <f aca="false">IF(AM$135=1,Inputs!$C$69,0)</f>
        <v>0</v>
      </c>
      <c r="AN227" s="69" t="n">
        <f aca="false">IF(AN$135=1,Inputs!$C$69,0)</f>
        <v>0</v>
      </c>
      <c r="AO227" s="69" t="n">
        <f aca="false">IF(AO$135=1,Inputs!$C$69,0)</f>
        <v>0</v>
      </c>
      <c r="AP227" s="69" t="n">
        <f aca="false">IF(AP$135=1,Inputs!$C$69,0)</f>
        <v>0</v>
      </c>
      <c r="AQ227" s="69" t="n">
        <f aca="false">IF(AQ$135=1,Inputs!$C$69,0)</f>
        <v>0</v>
      </c>
      <c r="AR227" s="69" t="n">
        <f aca="false">IF(AR$135=1,Inputs!$C$69,0)</f>
        <v>0</v>
      </c>
      <c r="AS227" s="69" t="n">
        <f aca="false">IF(AS$135=1,Inputs!$C$69,0)</f>
        <v>0</v>
      </c>
      <c r="AT227" s="69" t="n">
        <f aca="false">IF(AT$135=1,Inputs!$C$69,0)</f>
        <v>0</v>
      </c>
      <c r="AU227" s="69" t="n">
        <f aca="false">IF(AU$135=1,Inputs!$C$69,0)</f>
        <v>0</v>
      </c>
      <c r="AV227" s="69" t="n">
        <f aca="false">IF(AV$135=1,Inputs!$C$69,0)</f>
        <v>0</v>
      </c>
      <c r="AW227" s="69" t="n">
        <f aca="false">IF(AW$135=1,Inputs!$C$69,0)</f>
        <v>0</v>
      </c>
      <c r="AX227" s="69" t="n">
        <f aca="false">IF(AX$135=1,Inputs!$C$69,0)</f>
        <v>0</v>
      </c>
      <c r="AY227" s="69" t="n">
        <f aca="false">IF(AY$135=1,Inputs!$C$69,0)</f>
        <v>0</v>
      </c>
      <c r="AZ227" s="69" t="n">
        <f aca="false">IF(AZ$135=1,Inputs!$C$69,0)</f>
        <v>0</v>
      </c>
      <c r="BA227" s="69" t="n">
        <f aca="false">IF(BA$135=1,Inputs!$C$69,0)</f>
        <v>0</v>
      </c>
      <c r="BB227" s="69" t="n">
        <f aca="false">IF(BB$135=1,Inputs!$C$69,0)</f>
        <v>0</v>
      </c>
      <c r="BC227" s="69" t="n">
        <f aca="false">IF(BC$135=1,Inputs!$C$69,0)</f>
        <v>0</v>
      </c>
      <c r="BD227" s="69" t="n">
        <f aca="false">IF(BD$135=1,Inputs!$C$69,0)</f>
        <v>0</v>
      </c>
      <c r="BE227" s="69" t="n">
        <f aca="false">IF(BE$135=1,Inputs!$C$69,0)</f>
        <v>0</v>
      </c>
      <c r="BF227" s="69" t="n">
        <f aca="false">IF(BF$135=1,Inputs!$C$69,0)</f>
        <v>0</v>
      </c>
      <c r="BG227" s="69" t="n">
        <f aca="false">IF(BG$135=1,Inputs!$C$69,0)</f>
        <v>0</v>
      </c>
      <c r="BH227" s="69" t="n">
        <f aca="false">IF(BH$135=1,Inputs!$C$69,0)</f>
        <v>0</v>
      </c>
      <c r="BI227" s="69" t="n">
        <f aca="false">IF(BI$135=1,Inputs!$C$69,0)</f>
        <v>0</v>
      </c>
      <c r="BJ227" s="69" t="n">
        <f aca="false">IF(BJ$135=1,Inputs!$C$69,0)</f>
        <v>0</v>
      </c>
    </row>
    <row r="228" customFormat="false" ht="15" hidden="false" customHeight="false" outlineLevel="0" collapsed="false">
      <c r="A228" s="6" t="s">
        <v>54</v>
      </c>
      <c r="C228" s="69" t="n">
        <f aca="false">C227+C212+C213</f>
        <v>5100000</v>
      </c>
      <c r="D228" s="69" t="n">
        <f aca="false">D227+D212+D213</f>
        <v>-25000</v>
      </c>
      <c r="E228" s="69" t="n">
        <f aca="false">E227+E212+E213</f>
        <v>-25000</v>
      </c>
      <c r="F228" s="69" t="n">
        <f aca="false">F227+F212+F213</f>
        <v>-25000</v>
      </c>
      <c r="G228" s="69" t="n">
        <f aca="false">G227+G212+G213</f>
        <v>-25000</v>
      </c>
      <c r="H228" s="69" t="n">
        <f aca="false">H227+H212+H213</f>
        <v>-25000</v>
      </c>
      <c r="I228" s="69" t="n">
        <f aca="false">I227+I212+I213</f>
        <v>-25000</v>
      </c>
      <c r="J228" s="69" t="n">
        <f aca="false">J227+J212+J213</f>
        <v>-25000</v>
      </c>
      <c r="K228" s="69" t="n">
        <f aca="false">K227+K212+K213</f>
        <v>-25000</v>
      </c>
      <c r="L228" s="69" t="n">
        <f aca="false">L227+L212+L213</f>
        <v>-25000</v>
      </c>
      <c r="M228" s="69" t="n">
        <f aca="false">M227+M212+M213</f>
        <v>-25000</v>
      </c>
      <c r="N228" s="69" t="n">
        <f aca="false">N227+N212+N213</f>
        <v>-25000</v>
      </c>
      <c r="O228" s="69" t="n">
        <f aca="false">O227+O212+O213</f>
        <v>-25000</v>
      </c>
      <c r="P228" s="69" t="n">
        <f aca="false">P227+P212+P213</f>
        <v>-25000</v>
      </c>
      <c r="Q228" s="69" t="n">
        <f aca="false">Q227+Q212+Q213</f>
        <v>-25000</v>
      </c>
      <c r="R228" s="69" t="n">
        <f aca="false">R227+R212+R213</f>
        <v>-25000</v>
      </c>
      <c r="S228" s="69" t="n">
        <f aca="false">S227+S212+S213</f>
        <v>-25000</v>
      </c>
      <c r="T228" s="69" t="n">
        <f aca="false">T227+T212+T213</f>
        <v>-25000</v>
      </c>
      <c r="U228" s="69" t="n">
        <f aca="false">U227+U212+U213</f>
        <v>-25000</v>
      </c>
      <c r="V228" s="69" t="n">
        <f aca="false">V227+V212+V213</f>
        <v>-25000</v>
      </c>
      <c r="W228" s="69" t="n">
        <f aca="false">W227+W212+W213</f>
        <v>-25000</v>
      </c>
      <c r="X228" s="69" t="n">
        <f aca="false">X227+X212+X213</f>
        <v>-25000</v>
      </c>
      <c r="Y228" s="69" t="n">
        <f aca="false">Y227+Y212+Y213</f>
        <v>-25000</v>
      </c>
      <c r="Z228" s="69" t="n">
        <f aca="false">Z227+Z212+Z213</f>
        <v>-25000</v>
      </c>
      <c r="AA228" s="69" t="n">
        <f aca="false">AA227+AA212+AA213</f>
        <v>-25000</v>
      </c>
      <c r="AB228" s="69" t="n">
        <f aca="false">AB227+AB212+AB213</f>
        <v>-25000</v>
      </c>
      <c r="AC228" s="69" t="n">
        <f aca="false">AC227+AC212+AC213</f>
        <v>-25000</v>
      </c>
      <c r="AD228" s="69" t="n">
        <f aca="false">AD227+AD212+AD213</f>
        <v>-25000</v>
      </c>
      <c r="AE228" s="69" t="n">
        <f aca="false">AE227+AE212+AE213</f>
        <v>-25000</v>
      </c>
      <c r="AF228" s="69" t="n">
        <f aca="false">AF227+AF212+AF213</f>
        <v>-25000</v>
      </c>
      <c r="AG228" s="69" t="n">
        <f aca="false">AG227+AG212+AG213</f>
        <v>-25000</v>
      </c>
      <c r="AH228" s="69" t="n">
        <f aca="false">AH227+AH212+AH213</f>
        <v>-25000</v>
      </c>
      <c r="AI228" s="69" t="n">
        <f aca="false">AI227+AI212+AI213</f>
        <v>-25000</v>
      </c>
      <c r="AJ228" s="69" t="n">
        <f aca="false">AJ227+AJ212+AJ213</f>
        <v>-25000</v>
      </c>
      <c r="AK228" s="69" t="n">
        <f aca="false">AK227+AK212+AK213</f>
        <v>-25000</v>
      </c>
      <c r="AL228" s="69" t="n">
        <f aca="false">AL227+AL212+AL213</f>
        <v>-25000</v>
      </c>
      <c r="AM228" s="69" t="n">
        <f aca="false">AM227+AM212+AM213</f>
        <v>-25000</v>
      </c>
      <c r="AN228" s="69" t="n">
        <f aca="false">AN227+AN212+AN213</f>
        <v>-25000</v>
      </c>
      <c r="AO228" s="69" t="n">
        <f aca="false">AO227+AO212+AO213</f>
        <v>-25000</v>
      </c>
      <c r="AP228" s="69" t="n">
        <f aca="false">AP227+AP212+AP213</f>
        <v>-25000</v>
      </c>
      <c r="AQ228" s="69" t="n">
        <f aca="false">AQ227+AQ212+AQ213</f>
        <v>-25000</v>
      </c>
      <c r="AR228" s="69" t="n">
        <f aca="false">AR227+AR212+AR213</f>
        <v>-25000</v>
      </c>
      <c r="AS228" s="69" t="n">
        <f aca="false">AS227+AS212+AS213</f>
        <v>-25000</v>
      </c>
      <c r="AT228" s="69" t="n">
        <f aca="false">AT227+AT212+AT213</f>
        <v>-25000</v>
      </c>
      <c r="AU228" s="69" t="n">
        <f aca="false">AU227+AU212+AU213</f>
        <v>-25000</v>
      </c>
      <c r="AV228" s="69" t="n">
        <f aca="false">AV227+AV212+AV213</f>
        <v>-25000</v>
      </c>
      <c r="AW228" s="69" t="n">
        <f aca="false">AW227+AW212+AW213</f>
        <v>-25000</v>
      </c>
      <c r="AX228" s="69" t="n">
        <f aca="false">AX227+AX212+AX213</f>
        <v>-25000</v>
      </c>
      <c r="AY228" s="69" t="n">
        <f aca="false">AY227+AY212+AY213</f>
        <v>-25000</v>
      </c>
      <c r="AZ228" s="69" t="n">
        <f aca="false">AZ227+AZ212+AZ213</f>
        <v>-25000</v>
      </c>
      <c r="BA228" s="69" t="n">
        <f aca="false">BA227+BA212+BA213</f>
        <v>-25000</v>
      </c>
      <c r="BB228" s="69" t="n">
        <f aca="false">BB227+BB212+BB213</f>
        <v>-25000</v>
      </c>
      <c r="BC228" s="69" t="n">
        <f aca="false">BC227+BC212+BC213</f>
        <v>-25000</v>
      </c>
      <c r="BD228" s="69" t="n">
        <f aca="false">BD227+BD212+BD213</f>
        <v>-25000</v>
      </c>
      <c r="BE228" s="69" t="n">
        <f aca="false">BE227+BE212+BE213</f>
        <v>-25000</v>
      </c>
      <c r="BF228" s="69" t="n">
        <f aca="false">BF227+BF212+BF213</f>
        <v>-25000</v>
      </c>
      <c r="BG228" s="69" t="n">
        <f aca="false">BG227+BG212+BG213</f>
        <v>-25000</v>
      </c>
      <c r="BH228" s="69" t="n">
        <f aca="false">BH227+BH212+BH213</f>
        <v>-25000</v>
      </c>
      <c r="BI228" s="69" t="n">
        <f aca="false">BI227+BI212+BI213</f>
        <v>-25000</v>
      </c>
      <c r="BJ228" s="69" t="n">
        <f aca="false">BJ227+BJ212+BJ213</f>
        <v>-25000</v>
      </c>
    </row>
    <row r="229" customFormat="false" ht="15" hidden="false" customHeight="false" outlineLevel="0" collapsed="false">
      <c r="A229" s="113" t="s">
        <v>461</v>
      </c>
      <c r="C229" s="70" t="n">
        <f aca="false">C225+C226+C228</f>
        <v>925903.03154399</v>
      </c>
      <c r="D229" s="70" t="n">
        <f aca="false">D225+D226+D228</f>
        <v>-93348.5584380637</v>
      </c>
      <c r="E229" s="70" t="n">
        <f aca="false">E225+E226+E228</f>
        <v>-77776.4387220337</v>
      </c>
      <c r="F229" s="70" t="n">
        <f aca="false">F225+F226+F228</f>
        <v>-70698.8828081446</v>
      </c>
      <c r="G229" s="70" t="n">
        <f aca="false">G225+G226+G228</f>
        <v>-63397.1661873729</v>
      </c>
      <c r="H229" s="70" t="n">
        <f aca="false">H225+H226+H228</f>
        <v>-55972.9688938543</v>
      </c>
      <c r="I229" s="70" t="n">
        <f aca="false">I225+I226+I228</f>
        <v>-48431.1901544986</v>
      </c>
      <c r="J229" s="70" t="n">
        <f aca="false">J225+J226+J228</f>
        <v>-40776.5332271394</v>
      </c>
      <c r="K229" s="70" t="n">
        <f aca="false">K225+K226+K228</f>
        <v>-33013.5132392968</v>
      </c>
      <c r="L229" s="70" t="n">
        <f aca="false">L225+L226+L228</f>
        <v>-25146.4647133901</v>
      </c>
      <c r="M229" s="70" t="n">
        <f aca="false">M225+M226+M228</f>
        <v>-22795.980335626</v>
      </c>
      <c r="N229" s="70" t="n">
        <f aca="false">N225+N226+N228</f>
        <v>-37325.9707704894</v>
      </c>
      <c r="O229" s="70" t="n">
        <f aca="false">O225+O226+O228</f>
        <v>-70867.2079686989</v>
      </c>
      <c r="P229" s="70" t="n">
        <f aca="false">P225+P226+P228</f>
        <v>-28924.6168398369</v>
      </c>
      <c r="Q229" s="70" t="n">
        <f aca="false">Q225+Q226+Q228</f>
        <v>-9522.70095802083</v>
      </c>
      <c r="R229" s="70" t="n">
        <f aca="false">R225+R226+R228</f>
        <v>-7867.49041533761</v>
      </c>
      <c r="S229" s="70" t="n">
        <f aca="false">S225+S226+S228</f>
        <v>-5846.50332389252</v>
      </c>
      <c r="T229" s="70" t="n">
        <f aca="false">T225+T226+T228</f>
        <v>-3899.27238277188</v>
      </c>
      <c r="U229" s="70" t="n">
        <f aca="false">U225+U226+U228</f>
        <v>-2022.84734596271</v>
      </c>
      <c r="V229" s="70" t="n">
        <f aca="false">V225+V226+V228</f>
        <v>-214.395977292606</v>
      </c>
      <c r="W229" s="70" t="n">
        <f aca="false">W225+W226+W228</f>
        <v>1528.80066996402</v>
      </c>
      <c r="X229" s="70" t="n">
        <f aca="false">X225+X226+X228</f>
        <v>3209.35278466372</v>
      </c>
      <c r="Y229" s="70" t="n">
        <f aca="false">Y225+Y226+Y228</f>
        <v>4829.76614810879</v>
      </c>
      <c r="Z229" s="70" t="n">
        <f aca="false">Z225+Z226+Z228</f>
        <v>-10748.4097017921</v>
      </c>
      <c r="AA229" s="70" t="n">
        <f aca="false">AA225+AA226+AA228</f>
        <v>-44557.867338102</v>
      </c>
      <c r="AB229" s="70" t="n">
        <f aca="false">AB225+AB226+AB228</f>
        <v>-3298.80016237345</v>
      </c>
      <c r="AC229" s="70" t="n">
        <f aca="false">AC225+AC226+AC228</f>
        <v>15922.0265315874</v>
      </c>
      <c r="AD229" s="70" t="n">
        <f aca="false">AD225+AD226+AD228</f>
        <v>16643.6132582186</v>
      </c>
      <c r="AE229" s="70" t="n">
        <f aca="false">AE225+AE226+AE228</f>
        <v>18118.4664460268</v>
      </c>
      <c r="AF229" s="70" t="n">
        <f aca="false">AF225+AF226+AF228</f>
        <v>19541.408839656</v>
      </c>
      <c r="AG229" s="70" t="n">
        <f aca="false">AG225+AG226+AG228</f>
        <v>20914.5168708734</v>
      </c>
      <c r="AH229" s="70" t="n">
        <f aca="false">AH225+AH226+AH228</f>
        <v>22239.7839141754</v>
      </c>
      <c r="AI229" s="70" t="n">
        <f aca="false">AI225+AI226+AI228</f>
        <v>23519.1236090787</v>
      </c>
      <c r="AJ229" s="70" t="n">
        <f aca="false">AJ225+AJ226+AJ228</f>
        <v>24754.3730495191</v>
      </c>
      <c r="AK229" s="70" t="n">
        <f aca="false">AK225+AK226+AK228</f>
        <v>25947.2958456753</v>
      </c>
      <c r="AL229" s="70" t="n">
        <f aca="false">AL225+AL226+AL228</f>
        <v>9406.535226456</v>
      </c>
      <c r="AM229" s="70" t="n">
        <f aca="false">AM225+AM226+AM228</f>
        <v>-24527.0738906792</v>
      </c>
      <c r="AN229" s="70" t="n">
        <f aca="false">AN225+AN226+AN228</f>
        <v>16303.6684476227</v>
      </c>
      <c r="AO229" s="70" t="n">
        <f aca="false">AO225+AO226+AO228</f>
        <v>35745.6273405503</v>
      </c>
      <c r="AP229" s="70" t="n">
        <f aca="false">AP225+AP226+AP228</f>
        <v>35848.5242734996</v>
      </c>
      <c r="AQ229" s="70" t="n">
        <f aca="false">AQ225+AQ226+AQ228</f>
        <v>36991.2649405503</v>
      </c>
      <c r="AR229" s="70" t="n">
        <f aca="false">AR225+AR226+AR228</f>
        <v>38095.3793142523</v>
      </c>
      <c r="AS229" s="70" t="n">
        <f aca="false">AS225+AS226+AS228</f>
        <v>39162.4124463395</v>
      </c>
      <c r="AT229" s="70" t="n">
        <f aca="false">AT225+AT226+AT228</f>
        <v>40193.8475864766</v>
      </c>
      <c r="AU229" s="70" t="n">
        <f aca="false">AU225+AU226+AU228</f>
        <v>41191.1086543415</v>
      </c>
      <c r="AV229" s="70" t="n">
        <f aca="false">AV225+AV226+AV228</f>
        <v>42155.5626128252</v>
      </c>
      <c r="AW229" s="70" t="n">
        <f aca="false">AW225+AW226+AW228</f>
        <v>43088.5217463028</v>
      </c>
      <c r="AX229" s="70" t="n">
        <f aca="false">AX225+AX226+AX228</f>
        <v>25623.2883506386</v>
      </c>
      <c r="AY229" s="70" t="n">
        <f aca="false">AY225+AY226+AY228</f>
        <v>-8320.05800502209</v>
      </c>
      <c r="AZ229" s="70" t="n">
        <f aca="false">AZ225+AZ226+AZ228</f>
        <v>32241.553898064</v>
      </c>
      <c r="BA229" s="70" t="n">
        <f aca="false">BA225+BA226+BA228</f>
        <v>52172.1066502759</v>
      </c>
      <c r="BB229" s="70" t="n">
        <f aca="false">BB225+BB226+BB228</f>
        <v>51850.637919111</v>
      </c>
      <c r="BC229" s="70" t="n">
        <f aca="false">BC225+BC226+BC228</f>
        <v>52795.2398921444</v>
      </c>
      <c r="BD229" s="70" t="n">
        <f aca="false">BD225+BD226+BD228</f>
        <v>53709.1411195898</v>
      </c>
      <c r="BE229" s="70" t="n">
        <f aca="false">BE225+BE226+BE228</f>
        <v>54593.5696312708</v>
      </c>
      <c r="BF229" s="70" t="n">
        <f aca="false">BF225+BF226+BF228</f>
        <v>55425.3178086349</v>
      </c>
      <c r="BG229" s="70" t="n">
        <f aca="false">BG225+BG226+BG228</f>
        <v>45426.7129132673</v>
      </c>
      <c r="BH229" s="70" t="n">
        <f aca="false">BH225+BH226+BH228</f>
        <v>46060.8392803436</v>
      </c>
      <c r="BI229" s="70" t="n">
        <f aca="false">BI225+BI226+BI228</f>
        <v>46675.1964260701</v>
      </c>
      <c r="BJ229" s="70" t="n">
        <f aca="false">BJ225+BJ226+BJ228</f>
        <v>31853.0066571451</v>
      </c>
    </row>
    <row r="230" customFormat="false" ht="15" hidden="false" customHeight="false" outlineLevel="0" collapsed="false">
      <c r="A230" s="6" t="s">
        <v>351</v>
      </c>
      <c r="C230" s="69" t="n">
        <f aca="false">0</f>
        <v>0</v>
      </c>
      <c r="D230" s="69" t="n">
        <f aca="false">C231</f>
        <v>925903.03154399</v>
      </c>
      <c r="E230" s="69" t="n">
        <f aca="false">D231</f>
        <v>832554.473105926</v>
      </c>
      <c r="F230" s="69" t="n">
        <f aca="false">E231</f>
        <v>754778.034383893</v>
      </c>
      <c r="G230" s="69" t="n">
        <f aca="false">F231</f>
        <v>684079.151575748</v>
      </c>
      <c r="H230" s="69" t="n">
        <f aca="false">G231</f>
        <v>620681.985388375</v>
      </c>
      <c r="I230" s="69" t="n">
        <f aca="false">H231</f>
        <v>564709.016494521</v>
      </c>
      <c r="J230" s="69" t="n">
        <f aca="false">I231</f>
        <v>516277.826340022</v>
      </c>
      <c r="K230" s="69" t="n">
        <f aca="false">J231</f>
        <v>475501.293112883</v>
      </c>
      <c r="L230" s="69" t="n">
        <f aca="false">K231</f>
        <v>442487.779873586</v>
      </c>
      <c r="M230" s="69" t="n">
        <f aca="false">L231</f>
        <v>417341.315160196</v>
      </c>
      <c r="N230" s="69" t="n">
        <f aca="false">M231</f>
        <v>394545.33482457</v>
      </c>
      <c r="O230" s="69" t="n">
        <f aca="false">N231</f>
        <v>357219.364054081</v>
      </c>
      <c r="P230" s="69" t="n">
        <f aca="false">O231</f>
        <v>286352.156085382</v>
      </c>
      <c r="Q230" s="69" t="n">
        <f aca="false">P231</f>
        <v>257427.539245545</v>
      </c>
      <c r="R230" s="69" t="n">
        <f aca="false">Q231</f>
        <v>247904.838287524</v>
      </c>
      <c r="S230" s="69" t="n">
        <f aca="false">R231</f>
        <v>240037.347872186</v>
      </c>
      <c r="T230" s="69" t="n">
        <f aca="false">S231</f>
        <v>234190.844548294</v>
      </c>
      <c r="U230" s="69" t="n">
        <f aca="false">T231</f>
        <v>230291.572165522</v>
      </c>
      <c r="V230" s="69" t="n">
        <f aca="false">U231</f>
        <v>228268.724819559</v>
      </c>
      <c r="W230" s="69" t="n">
        <f aca="false">V231</f>
        <v>228054.328842267</v>
      </c>
      <c r="X230" s="69" t="n">
        <f aca="false">W231</f>
        <v>229583.129512231</v>
      </c>
      <c r="Y230" s="69" t="n">
        <f aca="false">X231</f>
        <v>232792.482296894</v>
      </c>
      <c r="Z230" s="69" t="n">
        <f aca="false">Y231</f>
        <v>237622.248445003</v>
      </c>
      <c r="AA230" s="69" t="n">
        <f aca="false">Z231</f>
        <v>226873.838743211</v>
      </c>
      <c r="AB230" s="69" t="n">
        <f aca="false">AA231</f>
        <v>182315.971405109</v>
      </c>
      <c r="AC230" s="69" t="n">
        <f aca="false">AB231</f>
        <v>179017.171242736</v>
      </c>
      <c r="AD230" s="69" t="n">
        <f aca="false">AC231</f>
        <v>194939.197774323</v>
      </c>
      <c r="AE230" s="69" t="n">
        <f aca="false">AD231</f>
        <v>211582.811032542</v>
      </c>
      <c r="AF230" s="69" t="n">
        <f aca="false">AE231</f>
        <v>229701.277478568</v>
      </c>
      <c r="AG230" s="69" t="n">
        <f aca="false">AF231</f>
        <v>249242.686318224</v>
      </c>
      <c r="AH230" s="69" t="n">
        <f aca="false">AG231</f>
        <v>270157.203189098</v>
      </c>
      <c r="AI230" s="69" t="n">
        <f aca="false">AH231</f>
        <v>292396.987103273</v>
      </c>
      <c r="AJ230" s="69" t="n">
        <f aca="false">AI231</f>
        <v>315916.110712352</v>
      </c>
      <c r="AK230" s="69" t="n">
        <f aca="false">AJ231</f>
        <v>340670.483761871</v>
      </c>
      <c r="AL230" s="69" t="n">
        <f aca="false">AK231</f>
        <v>366617.779607546</v>
      </c>
      <c r="AM230" s="69" t="n">
        <f aca="false">AL231</f>
        <v>376024.314834002</v>
      </c>
      <c r="AN230" s="69" t="n">
        <f aca="false">AM231</f>
        <v>351497.240943323</v>
      </c>
      <c r="AO230" s="69" t="n">
        <f aca="false">AN231</f>
        <v>367800.909390946</v>
      </c>
      <c r="AP230" s="69" t="n">
        <f aca="false">AO231</f>
        <v>403546.536731496</v>
      </c>
      <c r="AQ230" s="69" t="n">
        <f aca="false">AP231</f>
        <v>439395.061004996</v>
      </c>
      <c r="AR230" s="69" t="n">
        <f aca="false">AQ231</f>
        <v>476386.325945546</v>
      </c>
      <c r="AS230" s="69" t="n">
        <f aca="false">AR231</f>
        <v>514481.705259798</v>
      </c>
      <c r="AT230" s="69" t="n">
        <f aca="false">AS231</f>
        <v>553644.117706138</v>
      </c>
      <c r="AU230" s="69" t="n">
        <f aca="false">AT231</f>
        <v>593837.965292614</v>
      </c>
      <c r="AV230" s="69" t="n">
        <f aca="false">AU231</f>
        <v>635029.073946956</v>
      </c>
      <c r="AW230" s="69" t="n">
        <f aca="false">AV231</f>
        <v>677184.636559781</v>
      </c>
      <c r="AX230" s="69" t="n">
        <f aca="false">AW231</f>
        <v>720273.158306084</v>
      </c>
      <c r="AY230" s="69" t="n">
        <f aca="false">AX231</f>
        <v>745896.446656723</v>
      </c>
      <c r="AZ230" s="69" t="n">
        <f aca="false">AY231</f>
        <v>737576.388651701</v>
      </c>
      <c r="BA230" s="69" t="n">
        <f aca="false">AZ231</f>
        <v>769817.942549765</v>
      </c>
      <c r="BB230" s="69" t="n">
        <f aca="false">BA231</f>
        <v>821990.04920004</v>
      </c>
      <c r="BC230" s="69" t="n">
        <f aca="false">BB231</f>
        <v>873840.687119151</v>
      </c>
      <c r="BD230" s="69" t="n">
        <f aca="false">BC231</f>
        <v>926635.927011296</v>
      </c>
      <c r="BE230" s="69" t="n">
        <f aca="false">BD231</f>
        <v>980345.068130886</v>
      </c>
      <c r="BF230" s="69" t="n">
        <f aca="false">BE231</f>
        <v>1034938.63776216</v>
      </c>
      <c r="BG230" s="69" t="n">
        <f aca="false">BF231</f>
        <v>1090363.95557079</v>
      </c>
      <c r="BH230" s="69" t="n">
        <f aca="false">BG231</f>
        <v>1135790.66848406</v>
      </c>
      <c r="BI230" s="69" t="n">
        <f aca="false">BH231</f>
        <v>1181851.5077644</v>
      </c>
      <c r="BJ230" s="69" t="n">
        <f aca="false">BI231</f>
        <v>1228526.70419047</v>
      </c>
    </row>
    <row r="231" customFormat="false" ht="15" hidden="false" customHeight="false" outlineLevel="0" collapsed="false">
      <c r="A231" s="113" t="s">
        <v>87</v>
      </c>
      <c r="C231" s="70" t="n">
        <f aca="false">C230+C229</f>
        <v>925903.03154399</v>
      </c>
      <c r="D231" s="70" t="n">
        <f aca="false">D230+D229</f>
        <v>832554.473105926</v>
      </c>
      <c r="E231" s="70" t="n">
        <f aca="false">E230+E229</f>
        <v>754778.034383893</v>
      </c>
      <c r="F231" s="70" t="n">
        <f aca="false">F230+F229</f>
        <v>684079.151575748</v>
      </c>
      <c r="G231" s="70" t="n">
        <f aca="false">G230+G229</f>
        <v>620681.985388375</v>
      </c>
      <c r="H231" s="70" t="n">
        <f aca="false">H230+H229</f>
        <v>564709.016494521</v>
      </c>
      <c r="I231" s="70" t="n">
        <f aca="false">I230+I229</f>
        <v>516277.826340022</v>
      </c>
      <c r="J231" s="70" t="n">
        <f aca="false">J230+J229</f>
        <v>475501.293112883</v>
      </c>
      <c r="K231" s="70" t="n">
        <f aca="false">K230+K229</f>
        <v>442487.779873586</v>
      </c>
      <c r="L231" s="70" t="n">
        <f aca="false">L230+L229</f>
        <v>417341.315160196</v>
      </c>
      <c r="M231" s="70" t="n">
        <f aca="false">M230+M229</f>
        <v>394545.33482457</v>
      </c>
      <c r="N231" s="70" t="n">
        <f aca="false">N230+N229</f>
        <v>357219.364054081</v>
      </c>
      <c r="O231" s="70" t="n">
        <f aca="false">O230+O229</f>
        <v>286352.156085382</v>
      </c>
      <c r="P231" s="70" t="n">
        <f aca="false">P230+P229</f>
        <v>257427.539245545</v>
      </c>
      <c r="Q231" s="70" t="n">
        <f aca="false">Q230+Q229</f>
        <v>247904.838287524</v>
      </c>
      <c r="R231" s="70" t="n">
        <f aca="false">R230+R229</f>
        <v>240037.347872186</v>
      </c>
      <c r="S231" s="70" t="n">
        <f aca="false">S230+S229</f>
        <v>234190.844548294</v>
      </c>
      <c r="T231" s="70" t="n">
        <f aca="false">T230+T229</f>
        <v>230291.572165522</v>
      </c>
      <c r="U231" s="70" t="n">
        <f aca="false">U230+U229</f>
        <v>228268.724819559</v>
      </c>
      <c r="V231" s="70" t="n">
        <f aca="false">V230+V229</f>
        <v>228054.328842267</v>
      </c>
      <c r="W231" s="70" t="n">
        <f aca="false">W230+W229</f>
        <v>229583.129512231</v>
      </c>
      <c r="X231" s="70" t="n">
        <f aca="false">X230+X229</f>
        <v>232792.482296894</v>
      </c>
      <c r="Y231" s="70" t="n">
        <f aca="false">Y230+Y229</f>
        <v>237622.248445003</v>
      </c>
      <c r="Z231" s="70" t="n">
        <f aca="false">Z230+Z229</f>
        <v>226873.838743211</v>
      </c>
      <c r="AA231" s="70" t="n">
        <f aca="false">AA230+AA229</f>
        <v>182315.971405109</v>
      </c>
      <c r="AB231" s="70" t="n">
        <f aca="false">AB230+AB229</f>
        <v>179017.171242736</v>
      </c>
      <c r="AC231" s="70" t="n">
        <f aca="false">AC230+AC229</f>
        <v>194939.197774323</v>
      </c>
      <c r="AD231" s="70" t="n">
        <f aca="false">AD230+AD229</f>
        <v>211582.811032542</v>
      </c>
      <c r="AE231" s="70" t="n">
        <f aca="false">AE230+AE229</f>
        <v>229701.277478568</v>
      </c>
      <c r="AF231" s="70" t="n">
        <f aca="false">AF230+AF229</f>
        <v>249242.686318224</v>
      </c>
      <c r="AG231" s="70" t="n">
        <f aca="false">AG230+AG229</f>
        <v>270157.203189098</v>
      </c>
      <c r="AH231" s="70" t="n">
        <f aca="false">AH230+AH229</f>
        <v>292396.987103273</v>
      </c>
      <c r="AI231" s="70" t="n">
        <f aca="false">AI230+AI229</f>
        <v>315916.110712352</v>
      </c>
      <c r="AJ231" s="70" t="n">
        <f aca="false">AJ230+AJ229</f>
        <v>340670.483761871</v>
      </c>
      <c r="AK231" s="70" t="n">
        <f aca="false">AK230+AK229</f>
        <v>366617.779607546</v>
      </c>
      <c r="AL231" s="70" t="n">
        <f aca="false">AL230+AL229</f>
        <v>376024.314834002</v>
      </c>
      <c r="AM231" s="70" t="n">
        <f aca="false">AM230+AM229</f>
        <v>351497.240943323</v>
      </c>
      <c r="AN231" s="70" t="n">
        <f aca="false">AN230+AN229</f>
        <v>367800.909390946</v>
      </c>
      <c r="AO231" s="70" t="n">
        <f aca="false">AO230+AO229</f>
        <v>403546.536731496</v>
      </c>
      <c r="AP231" s="70" t="n">
        <f aca="false">AP230+AP229</f>
        <v>439395.061004996</v>
      </c>
      <c r="AQ231" s="70" t="n">
        <f aca="false">AQ230+AQ229</f>
        <v>476386.325945546</v>
      </c>
      <c r="AR231" s="70" t="n">
        <f aca="false">AR230+AR229</f>
        <v>514481.705259798</v>
      </c>
      <c r="AS231" s="70" t="n">
        <f aca="false">AS230+AS229</f>
        <v>553644.117706138</v>
      </c>
      <c r="AT231" s="70" t="n">
        <f aca="false">AT230+AT229</f>
        <v>593837.965292614</v>
      </c>
      <c r="AU231" s="70" t="n">
        <f aca="false">AU230+AU229</f>
        <v>635029.073946956</v>
      </c>
      <c r="AV231" s="70" t="n">
        <f aca="false">AV230+AV229</f>
        <v>677184.636559781</v>
      </c>
      <c r="AW231" s="70" t="n">
        <f aca="false">AW230+AW229</f>
        <v>720273.158306084</v>
      </c>
      <c r="AX231" s="70" t="n">
        <f aca="false">AX230+AX229</f>
        <v>745896.446656723</v>
      </c>
      <c r="AY231" s="70" t="n">
        <f aca="false">AY230+AY229</f>
        <v>737576.388651701</v>
      </c>
      <c r="AZ231" s="70" t="n">
        <f aca="false">AZ230+AZ229</f>
        <v>769817.942549765</v>
      </c>
      <c r="BA231" s="70" t="n">
        <f aca="false">BA230+BA229</f>
        <v>821990.04920004</v>
      </c>
      <c r="BB231" s="70" t="n">
        <f aca="false">BB230+BB229</f>
        <v>873840.687119151</v>
      </c>
      <c r="BC231" s="70" t="n">
        <f aca="false">BC230+BC229</f>
        <v>926635.927011296</v>
      </c>
      <c r="BD231" s="70" t="n">
        <f aca="false">BD230+BD229</f>
        <v>980345.068130886</v>
      </c>
      <c r="BE231" s="70" t="n">
        <f aca="false">BE230+BE229</f>
        <v>1034938.63776216</v>
      </c>
      <c r="BF231" s="70" t="n">
        <f aca="false">BF230+BF229</f>
        <v>1090363.95557079</v>
      </c>
      <c r="BG231" s="70" t="n">
        <f aca="false">BG230+BG229</f>
        <v>1135790.66848406</v>
      </c>
      <c r="BH231" s="70" t="n">
        <f aca="false">BH230+BH229</f>
        <v>1181851.5077644</v>
      </c>
      <c r="BI231" s="70" t="n">
        <f aca="false">BI230+BI229</f>
        <v>1228526.70419047</v>
      </c>
      <c r="BJ231" s="70" t="n">
        <f aca="false">BJ230+BJ229</f>
        <v>1260379.71084762</v>
      </c>
    </row>
    <row r="232" customFormat="false" ht="15" hidden="false" customHeight="false" outlineLevel="0" collapsed="false">
      <c r="A232" s="116" t="s">
        <v>462</v>
      </c>
      <c r="C232" s="118" t="n">
        <f aca="false">IF(C186&gt;0,1,0)</f>
        <v>0</v>
      </c>
      <c r="D232" s="118" t="n">
        <f aca="false">IF(D186&gt;0,1,0)</f>
        <v>0</v>
      </c>
      <c r="E232" s="118" t="n">
        <f aca="false">IF(E186&gt;0,1,0)</f>
        <v>0</v>
      </c>
      <c r="F232" s="118" t="n">
        <f aca="false">IF(F186&gt;0,1,0)</f>
        <v>0</v>
      </c>
      <c r="G232" s="118" t="n">
        <f aca="false">IF(G186&gt;0,1,0)</f>
        <v>0</v>
      </c>
      <c r="H232" s="118" t="n">
        <f aca="false">IF(H186&gt;0,1,0)</f>
        <v>0</v>
      </c>
      <c r="I232" s="118" t="n">
        <f aca="false">IF(I186&gt;0,1,0)</f>
        <v>0</v>
      </c>
      <c r="J232" s="118" t="n">
        <f aca="false">IF(J186&gt;0,1,0)</f>
        <v>1</v>
      </c>
      <c r="K232" s="118" t="n">
        <f aca="false">IF(K186&gt;0,1,0)</f>
        <v>1</v>
      </c>
      <c r="L232" s="118" t="n">
        <f aca="false">IF(L186&gt;0,1,0)</f>
        <v>1</v>
      </c>
      <c r="M232" s="118" t="n">
        <f aca="false">IF(M186&gt;0,1,0)</f>
        <v>1</v>
      </c>
      <c r="N232" s="118" t="n">
        <f aca="false">IF(N186&gt;0,1,0)</f>
        <v>1</v>
      </c>
      <c r="O232" s="118" t="n">
        <f aca="false">IF(O186&gt;0,1,0)</f>
        <v>1</v>
      </c>
      <c r="P232" s="118" t="n">
        <f aca="false">IF(P186&gt;0,1,0)</f>
        <v>1</v>
      </c>
      <c r="Q232" s="118" t="n">
        <f aca="false">IF(Q186&gt;0,1,0)</f>
        <v>1</v>
      </c>
      <c r="R232" s="118" t="n">
        <f aca="false">IF(R186&gt;0,1,0)</f>
        <v>1</v>
      </c>
      <c r="S232" s="118" t="n">
        <f aca="false">IF(S186&gt;0,1,0)</f>
        <v>1</v>
      </c>
      <c r="T232" s="118" t="n">
        <f aca="false">IF(T186&gt;0,1,0)</f>
        <v>1</v>
      </c>
      <c r="U232" s="118" t="n">
        <f aca="false">IF(U186&gt;0,1,0)</f>
        <v>1</v>
      </c>
      <c r="V232" s="118" t="n">
        <f aca="false">IF(V186&gt;0,1,0)</f>
        <v>1</v>
      </c>
      <c r="W232" s="118" t="n">
        <f aca="false">IF(W186&gt;0,1,0)</f>
        <v>1</v>
      </c>
      <c r="X232" s="118" t="n">
        <f aca="false">IF(X186&gt;0,1,0)</f>
        <v>1</v>
      </c>
      <c r="Y232" s="118" t="n">
        <f aca="false">IF(Y186&gt;0,1,0)</f>
        <v>1</v>
      </c>
      <c r="Z232" s="118" t="n">
        <f aca="false">IF(Z186&gt;0,1,0)</f>
        <v>1</v>
      </c>
      <c r="AA232" s="118" t="n">
        <f aca="false">IF(AA186&gt;0,1,0)</f>
        <v>1</v>
      </c>
      <c r="AB232" s="118" t="n">
        <f aca="false">IF(AB186&gt;0,1,0)</f>
        <v>1</v>
      </c>
      <c r="AC232" s="118" t="n">
        <f aca="false">IF(AC186&gt;0,1,0)</f>
        <v>1</v>
      </c>
      <c r="AD232" s="118" t="n">
        <f aca="false">IF(AD186&gt;0,1,0)</f>
        <v>1</v>
      </c>
      <c r="AE232" s="118" t="n">
        <f aca="false">IF(AE186&gt;0,1,0)</f>
        <v>1</v>
      </c>
      <c r="AF232" s="118" t="n">
        <f aca="false">IF(AF186&gt;0,1,0)</f>
        <v>1</v>
      </c>
      <c r="AG232" s="118" t="n">
        <f aca="false">IF(AG186&gt;0,1,0)</f>
        <v>1</v>
      </c>
      <c r="AH232" s="118" t="n">
        <f aca="false">IF(AH186&gt;0,1,0)</f>
        <v>1</v>
      </c>
      <c r="AI232" s="118" t="n">
        <f aca="false">IF(AI186&gt;0,1,0)</f>
        <v>1</v>
      </c>
      <c r="AJ232" s="118" t="n">
        <f aca="false">IF(AJ186&gt;0,1,0)</f>
        <v>1</v>
      </c>
      <c r="AK232" s="118" t="n">
        <f aca="false">IF(AK186&gt;0,1,0)</f>
        <v>1</v>
      </c>
      <c r="AL232" s="118" t="n">
        <f aca="false">IF(AL186&gt;0,1,0)</f>
        <v>1</v>
      </c>
      <c r="AM232" s="118" t="n">
        <f aca="false">IF(AM186&gt;0,1,0)</f>
        <v>1</v>
      </c>
      <c r="AN232" s="118" t="n">
        <f aca="false">IF(AN186&gt;0,1,0)</f>
        <v>1</v>
      </c>
      <c r="AO232" s="118" t="n">
        <f aca="false">IF(AO186&gt;0,1,0)</f>
        <v>1</v>
      </c>
      <c r="AP232" s="118" t="n">
        <f aca="false">IF(AP186&gt;0,1,0)</f>
        <v>1</v>
      </c>
      <c r="AQ232" s="118" t="n">
        <f aca="false">IF(AQ186&gt;0,1,0)</f>
        <v>1</v>
      </c>
      <c r="AR232" s="118" t="n">
        <f aca="false">IF(AR186&gt;0,1,0)</f>
        <v>1</v>
      </c>
      <c r="AS232" s="118" t="n">
        <f aca="false">IF(AS186&gt;0,1,0)</f>
        <v>1</v>
      </c>
      <c r="AT232" s="118" t="n">
        <f aca="false">IF(AT186&gt;0,1,0)</f>
        <v>1</v>
      </c>
      <c r="AU232" s="118" t="n">
        <f aca="false">IF(AU186&gt;0,1,0)</f>
        <v>1</v>
      </c>
      <c r="AV232" s="118" t="n">
        <f aca="false">IF(AV186&gt;0,1,0)</f>
        <v>1</v>
      </c>
      <c r="AW232" s="118" t="n">
        <f aca="false">IF(AW186&gt;0,1,0)</f>
        <v>1</v>
      </c>
      <c r="AX232" s="118" t="n">
        <f aca="false">IF(AX186&gt;0,1,0)</f>
        <v>1</v>
      </c>
      <c r="AY232" s="118" t="n">
        <f aca="false">IF(AY186&gt;0,1,0)</f>
        <v>1</v>
      </c>
      <c r="AZ232" s="118" t="n">
        <f aca="false">IF(AZ186&gt;0,1,0)</f>
        <v>1</v>
      </c>
      <c r="BA232" s="118" t="n">
        <f aca="false">IF(BA186&gt;0,1,0)</f>
        <v>1</v>
      </c>
      <c r="BB232" s="118" t="n">
        <f aca="false">IF(BB186&gt;0,1,0)</f>
        <v>1</v>
      </c>
      <c r="BC232" s="118" t="n">
        <f aca="false">IF(BC186&gt;0,1,0)</f>
        <v>1</v>
      </c>
      <c r="BD232" s="118" t="n">
        <f aca="false">IF(BD186&gt;0,1,0)</f>
        <v>1</v>
      </c>
      <c r="BE232" s="118" t="n">
        <f aca="false">IF(BE186&gt;0,1,0)</f>
        <v>1</v>
      </c>
      <c r="BF232" s="118" t="n">
        <f aca="false">IF(BF186&gt;0,1,0)</f>
        <v>1</v>
      </c>
      <c r="BG232" s="118" t="n">
        <f aca="false">IF(BG186&gt;0,1,0)</f>
        <v>1</v>
      </c>
      <c r="BH232" s="118" t="n">
        <f aca="false">IF(BH186&gt;0,1,0)</f>
        <v>1</v>
      </c>
      <c r="BI232" s="118" t="n">
        <f aca="false">IF(BI186&gt;0,1,0)</f>
        <v>1</v>
      </c>
      <c r="BJ232" s="118" t="n">
        <f aca="false">IF(BJ186&gt;0,1,0)</f>
        <v>1</v>
      </c>
    </row>
    <row r="234" customFormat="false" ht="15.75" hidden="false" customHeight="true" outlineLevel="0" collapsed="false">
      <c r="A234" s="7" t="s">
        <v>463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116" t="s">
        <v>464</v>
      </c>
      <c r="C235" s="118" t="n">
        <f aca="false">IF(C195&gt;0,1,0)</f>
        <v>0</v>
      </c>
      <c r="D235" s="118" t="n">
        <f aca="false">IF(D195&gt;0,1,0)</f>
        <v>0</v>
      </c>
      <c r="E235" s="118" t="n">
        <f aca="false">IF(E195&gt;0,1,0)</f>
        <v>0</v>
      </c>
      <c r="F235" s="118" t="n">
        <f aca="false">IF(F195&gt;0,1,0)</f>
        <v>0</v>
      </c>
      <c r="G235" s="118" t="n">
        <f aca="false">IF(G195&gt;0,1,0)</f>
        <v>0</v>
      </c>
      <c r="H235" s="118" t="n">
        <f aca="false">IF(H195&gt;0,1,0)</f>
        <v>0</v>
      </c>
      <c r="I235" s="118" t="n">
        <f aca="false">IF(I195&gt;0,1,0)</f>
        <v>0</v>
      </c>
      <c r="J235" s="118" t="n">
        <f aca="false">IF(J195&gt;0,1,0)</f>
        <v>0</v>
      </c>
      <c r="K235" s="118" t="n">
        <f aca="false">IF(K195&gt;0,1,0)</f>
        <v>0</v>
      </c>
      <c r="L235" s="118" t="n">
        <f aca="false">IF(L195&gt;0,1,0)</f>
        <v>0</v>
      </c>
      <c r="M235" s="118" t="n">
        <f aca="false">IF(M195&gt;0,1,0)</f>
        <v>0</v>
      </c>
      <c r="N235" s="118" t="n">
        <f aca="false">IF(N195&gt;0,1,0)</f>
        <v>0</v>
      </c>
      <c r="O235" s="118" t="n">
        <f aca="false">IF(O195&gt;0,1,0)</f>
        <v>0</v>
      </c>
      <c r="P235" s="118" t="n">
        <f aca="false">IF(P195&gt;0,1,0)</f>
        <v>0</v>
      </c>
      <c r="Q235" s="118" t="n">
        <f aca="false">IF(Q195&gt;0,1,0)</f>
        <v>0</v>
      </c>
      <c r="R235" s="118" t="n">
        <f aca="false">IF(R195&gt;0,1,0)</f>
        <v>0</v>
      </c>
      <c r="S235" s="118" t="n">
        <f aca="false">IF(S195&gt;0,1,0)</f>
        <v>0</v>
      </c>
      <c r="T235" s="118" t="n">
        <f aca="false">IF(T195&gt;0,1,0)</f>
        <v>0</v>
      </c>
      <c r="U235" s="118" t="n">
        <f aca="false">IF(U195&gt;0,1,0)</f>
        <v>0</v>
      </c>
      <c r="V235" s="118" t="n">
        <f aca="false">IF(V195&gt;0,1,0)</f>
        <v>0</v>
      </c>
      <c r="W235" s="118" t="n">
        <f aca="false">IF(W195&gt;0,1,0)</f>
        <v>0</v>
      </c>
      <c r="X235" s="118" t="n">
        <f aca="false">IF(X195&gt;0,1,0)</f>
        <v>0</v>
      </c>
      <c r="Y235" s="118" t="n">
        <f aca="false">IF(Y195&gt;0,1,0)</f>
        <v>1</v>
      </c>
      <c r="Z235" s="118" t="n">
        <f aca="false">IF(Z195&gt;0,1,0)</f>
        <v>0</v>
      </c>
      <c r="AA235" s="118" t="n">
        <f aca="false">IF(AA195&gt;0,1,0)</f>
        <v>0</v>
      </c>
      <c r="AB235" s="118" t="n">
        <f aca="false">IF(AB195&gt;0,1,0)</f>
        <v>0</v>
      </c>
      <c r="AC235" s="118" t="n">
        <f aca="false">IF(AC195&gt;0,1,0)</f>
        <v>1</v>
      </c>
      <c r="AD235" s="118" t="n">
        <f aca="false">IF(AD195&gt;0,1,0)</f>
        <v>1</v>
      </c>
      <c r="AE235" s="118" t="n">
        <f aca="false">IF(AE195&gt;0,1,0)</f>
        <v>1</v>
      </c>
      <c r="AF235" s="118" t="n">
        <f aca="false">IF(AF195&gt;0,1,0)</f>
        <v>1</v>
      </c>
      <c r="AG235" s="118" t="n">
        <f aca="false">IF(AG195&gt;0,1,0)</f>
        <v>1</v>
      </c>
      <c r="AH235" s="118" t="n">
        <f aca="false">IF(AH195&gt;0,1,0)</f>
        <v>1</v>
      </c>
      <c r="AI235" s="118" t="n">
        <f aca="false">IF(AI195&gt;0,1,0)</f>
        <v>1</v>
      </c>
      <c r="AJ235" s="118" t="n">
        <f aca="false">IF(AJ195&gt;0,1,0)</f>
        <v>1</v>
      </c>
      <c r="AK235" s="118" t="n">
        <f aca="false">IF(AK195&gt;0,1,0)</f>
        <v>1</v>
      </c>
      <c r="AL235" s="118" t="n">
        <f aca="false">IF(AL195&gt;0,1,0)</f>
        <v>1</v>
      </c>
      <c r="AM235" s="118" t="n">
        <f aca="false">IF(AM195&gt;0,1,0)</f>
        <v>1</v>
      </c>
      <c r="AN235" s="118" t="n">
        <f aca="false">IF(AN195&gt;0,1,0)</f>
        <v>1</v>
      </c>
      <c r="AO235" s="118" t="n">
        <f aca="false">IF(AO195&gt;0,1,0)</f>
        <v>1</v>
      </c>
      <c r="AP235" s="118" t="n">
        <f aca="false">IF(AP195&gt;0,1,0)</f>
        <v>1</v>
      </c>
      <c r="AQ235" s="118" t="n">
        <f aca="false">IF(AQ195&gt;0,1,0)</f>
        <v>1</v>
      </c>
      <c r="AR235" s="118" t="n">
        <f aca="false">IF(AR195&gt;0,1,0)</f>
        <v>1</v>
      </c>
      <c r="AS235" s="118" t="n">
        <f aca="false">IF(AS195&gt;0,1,0)</f>
        <v>1</v>
      </c>
      <c r="AT235" s="118" t="n">
        <f aca="false">IF(AT195&gt;0,1,0)</f>
        <v>1</v>
      </c>
      <c r="AU235" s="118" t="n">
        <f aca="false">IF(AU195&gt;0,1,0)</f>
        <v>1</v>
      </c>
      <c r="AV235" s="118" t="n">
        <f aca="false">IF(AV195&gt;0,1,0)</f>
        <v>1</v>
      </c>
      <c r="AW235" s="118" t="n">
        <f aca="false">IF(AW195&gt;0,1,0)</f>
        <v>1</v>
      </c>
      <c r="AX235" s="118" t="n">
        <f aca="false">IF(AX195&gt;0,1,0)</f>
        <v>1</v>
      </c>
      <c r="AY235" s="118" t="n">
        <f aca="false">IF(AY195&gt;0,1,0)</f>
        <v>1</v>
      </c>
      <c r="AZ235" s="118" t="n">
        <f aca="false">IF(AZ195&gt;0,1,0)</f>
        <v>1</v>
      </c>
      <c r="BA235" s="118" t="n">
        <f aca="false">IF(BA195&gt;0,1,0)</f>
        <v>1</v>
      </c>
      <c r="BB235" s="118" t="n">
        <f aca="false">IF(BB195&gt;0,1,0)</f>
        <v>1</v>
      </c>
      <c r="BC235" s="118" t="n">
        <f aca="false">IF(BC195&gt;0,1,0)</f>
        <v>1</v>
      </c>
      <c r="BD235" s="118" t="n">
        <f aca="false">IF(BD195&gt;0,1,0)</f>
        <v>1</v>
      </c>
      <c r="BE235" s="118" t="n">
        <f aca="false">IF(BE195&gt;0,1,0)</f>
        <v>1</v>
      </c>
      <c r="BF235" s="118" t="n">
        <f aca="false">IF(BF195&gt;0,1,0)</f>
        <v>1</v>
      </c>
      <c r="BG235" s="118" t="n">
        <f aca="false">IF(BG195&gt;0,1,0)</f>
        <v>1</v>
      </c>
      <c r="BH235" s="118" t="n">
        <f aca="false">IF(BH195&gt;0,1,0)</f>
        <v>1</v>
      </c>
      <c r="BI235" s="118" t="n">
        <f aca="false">IF(BI195&gt;0,1,0)</f>
        <v>1</v>
      </c>
      <c r="BJ235" s="118" t="n">
        <f aca="false">IF(BJ195&gt;0,1,0)</f>
        <v>1</v>
      </c>
    </row>
    <row r="236" customFormat="false" ht="15" hidden="false" customHeight="false" outlineLevel="0" collapsed="false">
      <c r="A236" s="6" t="s">
        <v>465</v>
      </c>
      <c r="C236" s="69" t="n">
        <f aca="false">C225+C226</f>
        <v>-4174096.96845601</v>
      </c>
      <c r="D236" s="69" t="n">
        <f aca="false">D225+D226</f>
        <v>-68348.5584380637</v>
      </c>
      <c r="E236" s="69" t="n">
        <f aca="false">E225+E226</f>
        <v>-52776.4387220337</v>
      </c>
      <c r="F236" s="69" t="n">
        <f aca="false">F225+F226</f>
        <v>-45698.8828081446</v>
      </c>
      <c r="G236" s="69" t="n">
        <f aca="false">G225+G226</f>
        <v>-38397.1661873729</v>
      </c>
      <c r="H236" s="69" t="n">
        <f aca="false">H225+H226</f>
        <v>-30972.9688938543</v>
      </c>
      <c r="I236" s="69" t="n">
        <f aca="false">I225+I226</f>
        <v>-23431.1901544986</v>
      </c>
      <c r="J236" s="69" t="n">
        <f aca="false">J225+J226</f>
        <v>-15776.5332271394</v>
      </c>
      <c r="K236" s="69" t="n">
        <f aca="false">K225+K226</f>
        <v>-8013.5132392968</v>
      </c>
      <c r="L236" s="69" t="n">
        <f aca="false">L225+L226</f>
        <v>-146.464713390115</v>
      </c>
      <c r="M236" s="69" t="n">
        <f aca="false">M225+M226</f>
        <v>2204.019664374</v>
      </c>
      <c r="N236" s="69" t="n">
        <f aca="false">N225+N226</f>
        <v>-12325.9707704894</v>
      </c>
      <c r="O236" s="69" t="n">
        <f aca="false">O225+O226</f>
        <v>-45867.2079686989</v>
      </c>
      <c r="P236" s="69" t="n">
        <f aca="false">P225+P226</f>
        <v>-3924.6168398369</v>
      </c>
      <c r="Q236" s="69" t="n">
        <f aca="false">Q225+Q226</f>
        <v>15477.2990419792</v>
      </c>
      <c r="R236" s="69" t="n">
        <f aca="false">R225+R226</f>
        <v>17132.5095846624</v>
      </c>
      <c r="S236" s="69" t="n">
        <f aca="false">S225+S226</f>
        <v>19153.4966761075</v>
      </c>
      <c r="T236" s="69" t="n">
        <f aca="false">T225+T226</f>
        <v>21100.7276172281</v>
      </c>
      <c r="U236" s="69" t="n">
        <f aca="false">U225+U226</f>
        <v>22977.1526540373</v>
      </c>
      <c r="V236" s="69" t="n">
        <f aca="false">V225+V226</f>
        <v>24785.6040227074</v>
      </c>
      <c r="W236" s="69" t="n">
        <f aca="false">W225+W226</f>
        <v>26528.800669964</v>
      </c>
      <c r="X236" s="69" t="n">
        <f aca="false">X225+X226</f>
        <v>28209.3527846637</v>
      </c>
      <c r="Y236" s="69" t="n">
        <f aca="false">Y225+Y226</f>
        <v>29829.7661481088</v>
      </c>
      <c r="Z236" s="69" t="n">
        <f aca="false">Z225+Z226</f>
        <v>14251.5902982079</v>
      </c>
      <c r="AA236" s="69" t="n">
        <f aca="false">AA225+AA226</f>
        <v>-19557.867338102</v>
      </c>
      <c r="AB236" s="69" t="n">
        <f aca="false">AB225+AB226</f>
        <v>21701.1998376266</v>
      </c>
      <c r="AC236" s="69" t="n">
        <f aca="false">AC225+AC226</f>
        <v>40922.0265315874</v>
      </c>
      <c r="AD236" s="69" t="n">
        <f aca="false">AD225+AD226</f>
        <v>41643.6132582186</v>
      </c>
      <c r="AE236" s="69" t="n">
        <f aca="false">AE225+AE226</f>
        <v>43118.4664460268</v>
      </c>
      <c r="AF236" s="69" t="n">
        <f aca="false">AF225+AF226</f>
        <v>44541.408839656</v>
      </c>
      <c r="AG236" s="69" t="n">
        <f aca="false">AG225+AG226</f>
        <v>45914.5168708734</v>
      </c>
      <c r="AH236" s="69" t="n">
        <f aca="false">AH225+AH226</f>
        <v>47239.7839141754</v>
      </c>
      <c r="AI236" s="69" t="n">
        <f aca="false">AI225+AI226</f>
        <v>48519.1236090787</v>
      </c>
      <c r="AJ236" s="69" t="n">
        <f aca="false">AJ225+AJ226</f>
        <v>49754.3730495191</v>
      </c>
      <c r="AK236" s="69" t="n">
        <f aca="false">AK225+AK226</f>
        <v>50947.2958456753</v>
      </c>
      <c r="AL236" s="69" t="n">
        <f aca="false">AL225+AL226</f>
        <v>34406.535226456</v>
      </c>
      <c r="AM236" s="69" t="n">
        <f aca="false">AM225+AM226</f>
        <v>472.926109320841</v>
      </c>
      <c r="AN236" s="69" t="n">
        <f aca="false">AN225+AN226</f>
        <v>41303.6684476227</v>
      </c>
      <c r="AO236" s="69" t="n">
        <f aca="false">AO225+AO226</f>
        <v>60745.6273405503</v>
      </c>
      <c r="AP236" s="69" t="n">
        <f aca="false">AP225+AP226</f>
        <v>60848.5242734996</v>
      </c>
      <c r="AQ236" s="69" t="n">
        <f aca="false">AQ225+AQ226</f>
        <v>61991.2649405503</v>
      </c>
      <c r="AR236" s="69" t="n">
        <f aca="false">AR225+AR226</f>
        <v>63095.3793142523</v>
      </c>
      <c r="AS236" s="69" t="n">
        <f aca="false">AS225+AS226</f>
        <v>64162.4124463395</v>
      </c>
      <c r="AT236" s="69" t="n">
        <f aca="false">AT225+AT226</f>
        <v>65193.8475864766</v>
      </c>
      <c r="AU236" s="69" t="n">
        <f aca="false">AU225+AU226</f>
        <v>66191.1086543415</v>
      </c>
      <c r="AV236" s="69" t="n">
        <f aca="false">AV225+AV226</f>
        <v>67155.5626128252</v>
      </c>
      <c r="AW236" s="69" t="n">
        <f aca="false">AW225+AW226</f>
        <v>68088.5217463028</v>
      </c>
      <c r="AX236" s="69" t="n">
        <f aca="false">AX225+AX226</f>
        <v>50623.2883506386</v>
      </c>
      <c r="AY236" s="69" t="n">
        <f aca="false">AY225+AY226</f>
        <v>16679.9419949779</v>
      </c>
      <c r="AZ236" s="69" t="n">
        <f aca="false">AZ225+AZ226</f>
        <v>57241.553898064</v>
      </c>
      <c r="BA236" s="69" t="n">
        <f aca="false">BA225+BA226</f>
        <v>77172.1066502759</v>
      </c>
      <c r="BB236" s="69" t="n">
        <f aca="false">BB225+BB226</f>
        <v>76850.637919111</v>
      </c>
      <c r="BC236" s="69" t="n">
        <f aca="false">BC225+BC226</f>
        <v>77795.2398921444</v>
      </c>
      <c r="BD236" s="69" t="n">
        <f aca="false">BD225+BD226</f>
        <v>78709.1411195898</v>
      </c>
      <c r="BE236" s="69" t="n">
        <f aca="false">BE225+BE226</f>
        <v>79593.5696312708</v>
      </c>
      <c r="BF236" s="69" t="n">
        <f aca="false">BF225+BF226</f>
        <v>80425.3178086349</v>
      </c>
      <c r="BG236" s="69" t="n">
        <f aca="false">BG225+BG226</f>
        <v>70426.7129132673</v>
      </c>
      <c r="BH236" s="69" t="n">
        <f aca="false">BH225+BH226</f>
        <v>71060.8392803436</v>
      </c>
      <c r="BI236" s="69" t="n">
        <f aca="false">BI225+BI226</f>
        <v>71675.1964260701</v>
      </c>
      <c r="BJ236" s="69" t="n">
        <f aca="false">BJ225+BJ226</f>
        <v>56853.0066571451</v>
      </c>
    </row>
    <row r="237" customFormat="false" ht="15" hidden="false" customHeight="false" outlineLevel="0" collapsed="false">
      <c r="A237" s="6" t="s">
        <v>466</v>
      </c>
      <c r="C237" s="69" t="n">
        <f aca="false">C236</f>
        <v>-4174096.96845601</v>
      </c>
      <c r="D237" s="69" t="n">
        <f aca="false">C237+D236</f>
        <v>-4242445.52689407</v>
      </c>
      <c r="E237" s="69" t="n">
        <f aca="false">D237+E236</f>
        <v>-4295221.96561611</v>
      </c>
      <c r="F237" s="69" t="n">
        <f aca="false">E237+F236</f>
        <v>-4340920.84842425</v>
      </c>
      <c r="G237" s="69" t="n">
        <f aca="false">F237+G236</f>
        <v>-4379318.01461163</v>
      </c>
      <c r="H237" s="69" t="n">
        <f aca="false">G237+H236</f>
        <v>-4410290.98350548</v>
      </c>
      <c r="I237" s="69" t="n">
        <f aca="false">H237+I236</f>
        <v>-4433722.17365998</v>
      </c>
      <c r="J237" s="69" t="n">
        <f aca="false">I237+J236</f>
        <v>-4449498.70688712</v>
      </c>
      <c r="K237" s="69" t="n">
        <f aca="false">J237+K236</f>
        <v>-4457512.22012641</v>
      </c>
      <c r="L237" s="69" t="n">
        <f aca="false">K237+L236</f>
        <v>-4457658.6848398</v>
      </c>
      <c r="M237" s="69" t="n">
        <f aca="false">L237+M236</f>
        <v>-4455454.66517543</v>
      </c>
      <c r="N237" s="69" t="n">
        <f aca="false">M237+N236</f>
        <v>-4467780.63594592</v>
      </c>
      <c r="O237" s="69" t="n">
        <f aca="false">N237+O236</f>
        <v>-4513647.84391462</v>
      </c>
      <c r="P237" s="69" t="n">
        <f aca="false">O237+P236</f>
        <v>-4517572.46075446</v>
      </c>
      <c r="Q237" s="69" t="n">
        <f aca="false">P237+Q236</f>
        <v>-4502095.16171248</v>
      </c>
      <c r="R237" s="69" t="n">
        <f aca="false">Q237+R236</f>
        <v>-4484962.65212781</v>
      </c>
      <c r="S237" s="69" t="n">
        <f aca="false">R237+S236</f>
        <v>-4465809.15545171</v>
      </c>
      <c r="T237" s="69" t="n">
        <f aca="false">S237+T236</f>
        <v>-4444708.42783448</v>
      </c>
      <c r="U237" s="69" t="n">
        <f aca="false">T237+U236</f>
        <v>-4421731.27518044</v>
      </c>
      <c r="V237" s="69" t="n">
        <f aca="false">U237+V236</f>
        <v>-4396945.67115773</v>
      </c>
      <c r="W237" s="69" t="n">
        <f aca="false">V237+W236</f>
        <v>-4370416.87048777</v>
      </c>
      <c r="X237" s="69" t="n">
        <f aca="false">W237+X236</f>
        <v>-4342207.51770311</v>
      </c>
      <c r="Y237" s="69" t="n">
        <f aca="false">X237+Y236</f>
        <v>-4312377.751555</v>
      </c>
      <c r="Z237" s="69" t="n">
        <f aca="false">Y237+Z236</f>
        <v>-4298126.16125679</v>
      </c>
      <c r="AA237" s="69" t="n">
        <f aca="false">Z237+AA236</f>
        <v>-4317684.02859489</v>
      </c>
      <c r="AB237" s="69" t="n">
        <f aca="false">AA237+AB236</f>
        <v>-4295982.82875726</v>
      </c>
      <c r="AC237" s="69" t="n">
        <f aca="false">AB237+AC236</f>
        <v>-4255060.80222568</v>
      </c>
      <c r="AD237" s="69" t="n">
        <f aca="false">AC237+AD236</f>
        <v>-4213417.18896746</v>
      </c>
      <c r="AE237" s="69" t="n">
        <f aca="false">AD237+AE236</f>
        <v>-4170298.72252143</v>
      </c>
      <c r="AF237" s="69" t="n">
        <f aca="false">AE237+AF236</f>
        <v>-4125757.31368178</v>
      </c>
      <c r="AG237" s="69" t="n">
        <f aca="false">AF237+AG236</f>
        <v>-4079842.7968109</v>
      </c>
      <c r="AH237" s="69" t="n">
        <f aca="false">AG237+AH236</f>
        <v>-4032603.01289673</v>
      </c>
      <c r="AI237" s="69" t="n">
        <f aca="false">AH237+AI236</f>
        <v>-3984083.88928765</v>
      </c>
      <c r="AJ237" s="69" t="n">
        <f aca="false">AI237+AJ236</f>
        <v>-3934329.51623813</v>
      </c>
      <c r="AK237" s="69" t="n">
        <f aca="false">AJ237+AK236</f>
        <v>-3883382.22039245</v>
      </c>
      <c r="AL237" s="69" t="n">
        <f aca="false">AK237+AL236</f>
        <v>-3848975.685166</v>
      </c>
      <c r="AM237" s="69" t="n">
        <f aca="false">AL237+AM236</f>
        <v>-3848502.75905668</v>
      </c>
      <c r="AN237" s="69" t="n">
        <f aca="false">AM237+AN236</f>
        <v>-3807199.09060905</v>
      </c>
      <c r="AO237" s="69" t="n">
        <f aca="false">AN237+AO236</f>
        <v>-3746453.4632685</v>
      </c>
      <c r="AP237" s="69" t="n">
        <f aca="false">AO237+AP236</f>
        <v>-3685604.938995</v>
      </c>
      <c r="AQ237" s="69" t="n">
        <f aca="false">AP237+AQ236</f>
        <v>-3623613.67405445</v>
      </c>
      <c r="AR237" s="69" t="n">
        <f aca="false">AQ237+AR236</f>
        <v>-3560518.2947402</v>
      </c>
      <c r="AS237" s="69" t="n">
        <f aca="false">AR237+AS236</f>
        <v>-3496355.88229386</v>
      </c>
      <c r="AT237" s="69" t="n">
        <f aca="false">AS237+AT236</f>
        <v>-3431162.03470739</v>
      </c>
      <c r="AU237" s="69" t="n">
        <f aca="false">AT237+AU236</f>
        <v>-3364970.92605304</v>
      </c>
      <c r="AV237" s="69" t="n">
        <f aca="false">AU237+AV236</f>
        <v>-3297815.36344022</v>
      </c>
      <c r="AW237" s="69" t="n">
        <f aca="false">AV237+AW236</f>
        <v>-3229726.84169392</v>
      </c>
      <c r="AX237" s="69" t="n">
        <f aca="false">AW237+AX236</f>
        <v>-3179103.55334328</v>
      </c>
      <c r="AY237" s="69" t="n">
        <f aca="false">AX237+AY236</f>
        <v>-3162423.6113483</v>
      </c>
      <c r="AZ237" s="69" t="n">
        <f aca="false">AY237+AZ236</f>
        <v>-3105182.05745024</v>
      </c>
      <c r="BA237" s="69" t="n">
        <f aca="false">AZ237+BA236</f>
        <v>-3028009.95079996</v>
      </c>
      <c r="BB237" s="69" t="n">
        <f aca="false">BA237+BB236</f>
        <v>-2951159.31288085</v>
      </c>
      <c r="BC237" s="69" t="n">
        <f aca="false">BB237+BC236</f>
        <v>-2873364.0729887</v>
      </c>
      <c r="BD237" s="69" t="n">
        <f aca="false">BC237+BD236</f>
        <v>-2794654.93186911</v>
      </c>
      <c r="BE237" s="69" t="n">
        <f aca="false">BD237+BE236</f>
        <v>-2715061.36223784</v>
      </c>
      <c r="BF237" s="69" t="n">
        <f aca="false">BE237+BF236</f>
        <v>-2634636.04442921</v>
      </c>
      <c r="BG237" s="69" t="n">
        <f aca="false">BF237+BG236</f>
        <v>-2564209.33151594</v>
      </c>
      <c r="BH237" s="69" t="n">
        <f aca="false">BG237+BH236</f>
        <v>-2493148.4922356</v>
      </c>
      <c r="BI237" s="69" t="n">
        <f aca="false">BH237+BI236</f>
        <v>-2421473.29580953</v>
      </c>
      <c r="BJ237" s="69" t="n">
        <f aca="false">BI237+BJ236</f>
        <v>-2364620.28915238</v>
      </c>
    </row>
    <row r="238" customFormat="false" ht="15" hidden="false" customHeight="false" outlineLevel="0" collapsed="false">
      <c r="A238" s="116" t="s">
        <v>467</v>
      </c>
      <c r="C238" s="69" t="n">
        <f aca="false">C237</f>
        <v>-4174096.96845601</v>
      </c>
      <c r="D238" s="69" t="n">
        <f aca="false">MIN(C238,D237)</f>
        <v>-4242445.52689407</v>
      </c>
      <c r="E238" s="69" t="n">
        <f aca="false">MIN(D238,E237)</f>
        <v>-4295221.96561611</v>
      </c>
      <c r="F238" s="69" t="n">
        <f aca="false">MIN(E238,F237)</f>
        <v>-4340920.84842425</v>
      </c>
      <c r="G238" s="69" t="n">
        <f aca="false">MIN(F238,G237)</f>
        <v>-4379318.01461163</v>
      </c>
      <c r="H238" s="69" t="n">
        <f aca="false">MIN(G238,H237)</f>
        <v>-4410290.98350548</v>
      </c>
      <c r="I238" s="69" t="n">
        <f aca="false">MIN(H238,I237)</f>
        <v>-4433722.17365998</v>
      </c>
      <c r="J238" s="69" t="n">
        <f aca="false">MIN(I238,J237)</f>
        <v>-4449498.70688712</v>
      </c>
      <c r="K238" s="69" t="n">
        <f aca="false">MIN(J238,K237)</f>
        <v>-4457512.22012641</v>
      </c>
      <c r="L238" s="69" t="n">
        <f aca="false">MIN(K238,L237)</f>
        <v>-4457658.6848398</v>
      </c>
      <c r="M238" s="69" t="n">
        <f aca="false">MIN(L238,M237)</f>
        <v>-4457658.6848398</v>
      </c>
      <c r="N238" s="69" t="n">
        <f aca="false">MIN(M238,N237)</f>
        <v>-4467780.63594592</v>
      </c>
      <c r="O238" s="69" t="n">
        <f aca="false">MIN(N238,O237)</f>
        <v>-4513647.84391462</v>
      </c>
      <c r="P238" s="69" t="n">
        <f aca="false">MIN(O238,P237)</f>
        <v>-4517572.46075446</v>
      </c>
      <c r="Q238" s="69" t="n">
        <f aca="false">MIN(P238,Q237)</f>
        <v>-4517572.46075446</v>
      </c>
      <c r="R238" s="69" t="n">
        <f aca="false">MIN(Q238,R237)</f>
        <v>-4517572.46075446</v>
      </c>
      <c r="S238" s="69" t="n">
        <f aca="false">MIN(R238,S237)</f>
        <v>-4517572.46075446</v>
      </c>
      <c r="T238" s="69" t="n">
        <f aca="false">MIN(S238,T237)</f>
        <v>-4517572.46075446</v>
      </c>
      <c r="U238" s="69" t="n">
        <f aca="false">MIN(T238,U237)</f>
        <v>-4517572.46075446</v>
      </c>
      <c r="V238" s="69" t="n">
        <f aca="false">MIN(U238,V237)</f>
        <v>-4517572.46075446</v>
      </c>
      <c r="W238" s="69" t="n">
        <f aca="false">MIN(V238,W237)</f>
        <v>-4517572.46075446</v>
      </c>
      <c r="X238" s="69" t="n">
        <f aca="false">MIN(W238,X237)</f>
        <v>-4517572.46075446</v>
      </c>
      <c r="Y238" s="69" t="n">
        <f aca="false">MIN(X238,Y237)</f>
        <v>-4517572.46075446</v>
      </c>
      <c r="Z238" s="69" t="n">
        <f aca="false">MIN(Y238,Z237)</f>
        <v>-4517572.46075446</v>
      </c>
      <c r="AA238" s="69" t="n">
        <f aca="false">MIN(Z238,AA237)</f>
        <v>-4517572.46075446</v>
      </c>
      <c r="AB238" s="69" t="n">
        <f aca="false">MIN(AA238,AB237)</f>
        <v>-4517572.46075446</v>
      </c>
      <c r="AC238" s="69" t="n">
        <f aca="false">MIN(AB238,AC237)</f>
        <v>-4517572.46075446</v>
      </c>
      <c r="AD238" s="69" t="n">
        <f aca="false">MIN(AC238,AD237)</f>
        <v>-4517572.46075446</v>
      </c>
      <c r="AE238" s="69" t="n">
        <f aca="false">MIN(AD238,AE237)</f>
        <v>-4517572.46075446</v>
      </c>
      <c r="AF238" s="69" t="n">
        <f aca="false">MIN(AE238,AF237)</f>
        <v>-4517572.46075446</v>
      </c>
      <c r="AG238" s="69" t="n">
        <f aca="false">MIN(AF238,AG237)</f>
        <v>-4517572.46075446</v>
      </c>
      <c r="AH238" s="69" t="n">
        <f aca="false">MIN(AG238,AH237)</f>
        <v>-4517572.46075446</v>
      </c>
      <c r="AI238" s="69" t="n">
        <f aca="false">MIN(AH238,AI237)</f>
        <v>-4517572.46075446</v>
      </c>
      <c r="AJ238" s="69" t="n">
        <f aca="false">MIN(AI238,AJ237)</f>
        <v>-4517572.46075446</v>
      </c>
      <c r="AK238" s="69" t="n">
        <f aca="false">MIN(AJ238,AK237)</f>
        <v>-4517572.46075446</v>
      </c>
      <c r="AL238" s="69" t="n">
        <f aca="false">MIN(AK238,AL237)</f>
        <v>-4517572.46075446</v>
      </c>
      <c r="AM238" s="69" t="n">
        <f aca="false">MIN(AL238,AM237)</f>
        <v>-4517572.46075446</v>
      </c>
      <c r="AN238" s="69" t="n">
        <f aca="false">MIN(AM238,AN237)</f>
        <v>-4517572.46075446</v>
      </c>
      <c r="AO238" s="69" t="n">
        <f aca="false">MIN(AN238,AO237)</f>
        <v>-4517572.46075446</v>
      </c>
      <c r="AP238" s="69" t="n">
        <f aca="false">MIN(AO238,AP237)</f>
        <v>-4517572.46075446</v>
      </c>
      <c r="AQ238" s="69" t="n">
        <f aca="false">MIN(AP238,AQ237)</f>
        <v>-4517572.46075446</v>
      </c>
      <c r="AR238" s="69" t="n">
        <f aca="false">MIN(AQ238,AR237)</f>
        <v>-4517572.46075446</v>
      </c>
      <c r="AS238" s="69" t="n">
        <f aca="false">MIN(AR238,AS237)</f>
        <v>-4517572.46075446</v>
      </c>
      <c r="AT238" s="69" t="n">
        <f aca="false">MIN(AS238,AT237)</f>
        <v>-4517572.46075446</v>
      </c>
      <c r="AU238" s="69" t="n">
        <f aca="false">MIN(AT238,AU237)</f>
        <v>-4517572.46075446</v>
      </c>
      <c r="AV238" s="69" t="n">
        <f aca="false">MIN(AU238,AV237)</f>
        <v>-4517572.46075446</v>
      </c>
      <c r="AW238" s="69" t="n">
        <f aca="false">MIN(AV238,AW237)</f>
        <v>-4517572.46075446</v>
      </c>
      <c r="AX238" s="69" t="n">
        <f aca="false">MIN(AW238,AX237)</f>
        <v>-4517572.46075446</v>
      </c>
      <c r="AY238" s="69" t="n">
        <f aca="false">MIN(AX238,AY237)</f>
        <v>-4517572.46075446</v>
      </c>
      <c r="AZ238" s="69" t="n">
        <f aca="false">MIN(AY238,AZ237)</f>
        <v>-4517572.46075446</v>
      </c>
      <c r="BA238" s="69" t="n">
        <f aca="false">MIN(AZ238,BA237)</f>
        <v>-4517572.46075446</v>
      </c>
      <c r="BB238" s="69" t="n">
        <f aca="false">MIN(BA238,BB237)</f>
        <v>-4517572.46075446</v>
      </c>
      <c r="BC238" s="69" t="n">
        <f aca="false">MIN(BB238,BC237)</f>
        <v>-4517572.46075446</v>
      </c>
      <c r="BD238" s="69" t="n">
        <f aca="false">MIN(BC238,BD237)</f>
        <v>-4517572.46075446</v>
      </c>
      <c r="BE238" s="69" t="n">
        <f aca="false">MIN(BD238,BE237)</f>
        <v>-4517572.46075446</v>
      </c>
      <c r="BF238" s="69" t="n">
        <f aca="false">MIN(BE238,BF237)</f>
        <v>-4517572.46075446</v>
      </c>
      <c r="BG238" s="69" t="n">
        <f aca="false">MIN(BF238,BG237)</f>
        <v>-4517572.46075446</v>
      </c>
      <c r="BH238" s="69" t="n">
        <f aca="false">MIN(BG238,BH237)</f>
        <v>-4517572.46075446</v>
      </c>
      <c r="BI238" s="69" t="n">
        <f aca="false">MIN(BH238,BI237)</f>
        <v>-4517572.46075446</v>
      </c>
      <c r="BJ238" s="69" t="n">
        <f aca="false">MIN(BI238,BJ237)</f>
        <v>-4517572.46075446</v>
      </c>
    </row>
    <row r="239" customFormat="false" ht="15" hidden="false" customHeight="false" outlineLevel="0" collapsed="false">
      <c r="A239" s="116" t="s">
        <v>468</v>
      </c>
      <c r="C239" s="118" t="n">
        <f aca="false">IF(AND(C237&gt;=0,C238&lt;0),1,0)</f>
        <v>0</v>
      </c>
      <c r="D239" s="118" t="n">
        <f aca="false">IF(AND(D237&gt;=0,D238&lt;0),1,0)</f>
        <v>0</v>
      </c>
      <c r="E239" s="118" t="n">
        <f aca="false">IF(AND(E237&gt;=0,E238&lt;0),1,0)</f>
        <v>0</v>
      </c>
      <c r="F239" s="118" t="n">
        <f aca="false">IF(AND(F237&gt;=0,F238&lt;0),1,0)</f>
        <v>0</v>
      </c>
      <c r="G239" s="118" t="n">
        <f aca="false">IF(AND(G237&gt;=0,G238&lt;0),1,0)</f>
        <v>0</v>
      </c>
      <c r="H239" s="118" t="n">
        <f aca="false">IF(AND(H237&gt;=0,H238&lt;0),1,0)</f>
        <v>0</v>
      </c>
      <c r="I239" s="118" t="n">
        <f aca="false">IF(AND(I237&gt;=0,I238&lt;0),1,0)</f>
        <v>0</v>
      </c>
      <c r="J239" s="118" t="n">
        <f aca="false">IF(AND(J237&gt;=0,J238&lt;0),1,0)</f>
        <v>0</v>
      </c>
      <c r="K239" s="118" t="n">
        <f aca="false">IF(AND(K237&gt;=0,K238&lt;0),1,0)</f>
        <v>0</v>
      </c>
      <c r="L239" s="118" t="n">
        <f aca="false">IF(AND(L237&gt;=0,L238&lt;0),1,0)</f>
        <v>0</v>
      </c>
      <c r="M239" s="118" t="n">
        <f aca="false">IF(AND(M237&gt;=0,M238&lt;0),1,0)</f>
        <v>0</v>
      </c>
      <c r="N239" s="118" t="n">
        <f aca="false">IF(AND(N237&gt;=0,N238&lt;0),1,0)</f>
        <v>0</v>
      </c>
      <c r="O239" s="118" t="n">
        <f aca="false">IF(AND(O237&gt;=0,O238&lt;0),1,0)</f>
        <v>0</v>
      </c>
      <c r="P239" s="118" t="n">
        <f aca="false">IF(AND(P237&gt;=0,P238&lt;0),1,0)</f>
        <v>0</v>
      </c>
      <c r="Q239" s="118" t="n">
        <f aca="false">IF(AND(Q237&gt;=0,Q238&lt;0),1,0)</f>
        <v>0</v>
      </c>
      <c r="R239" s="118" t="n">
        <f aca="false">IF(AND(R237&gt;=0,R238&lt;0),1,0)</f>
        <v>0</v>
      </c>
      <c r="S239" s="118" t="n">
        <f aca="false">IF(AND(S237&gt;=0,S238&lt;0),1,0)</f>
        <v>0</v>
      </c>
      <c r="T239" s="118" t="n">
        <f aca="false">IF(AND(T237&gt;=0,T238&lt;0),1,0)</f>
        <v>0</v>
      </c>
      <c r="U239" s="118" t="n">
        <f aca="false">IF(AND(U237&gt;=0,U238&lt;0),1,0)</f>
        <v>0</v>
      </c>
      <c r="V239" s="118" t="n">
        <f aca="false">IF(AND(V237&gt;=0,V238&lt;0),1,0)</f>
        <v>0</v>
      </c>
      <c r="W239" s="118" t="n">
        <f aca="false">IF(AND(W237&gt;=0,W238&lt;0),1,0)</f>
        <v>0</v>
      </c>
      <c r="X239" s="118" t="n">
        <f aca="false">IF(AND(X237&gt;=0,X238&lt;0),1,0)</f>
        <v>0</v>
      </c>
      <c r="Y239" s="118" t="n">
        <f aca="false">IF(AND(Y237&gt;=0,Y238&lt;0),1,0)</f>
        <v>0</v>
      </c>
      <c r="Z239" s="118" t="n">
        <f aca="false">IF(AND(Z237&gt;=0,Z238&lt;0),1,0)</f>
        <v>0</v>
      </c>
      <c r="AA239" s="118" t="n">
        <f aca="false">IF(AND(AA237&gt;=0,AA238&lt;0),1,0)</f>
        <v>0</v>
      </c>
      <c r="AB239" s="118" t="n">
        <f aca="false">IF(AND(AB237&gt;=0,AB238&lt;0),1,0)</f>
        <v>0</v>
      </c>
      <c r="AC239" s="118" t="n">
        <f aca="false">IF(AND(AC237&gt;=0,AC238&lt;0),1,0)</f>
        <v>0</v>
      </c>
      <c r="AD239" s="118" t="n">
        <f aca="false">IF(AND(AD237&gt;=0,AD238&lt;0),1,0)</f>
        <v>0</v>
      </c>
      <c r="AE239" s="118" t="n">
        <f aca="false">IF(AND(AE237&gt;=0,AE238&lt;0),1,0)</f>
        <v>0</v>
      </c>
      <c r="AF239" s="118" t="n">
        <f aca="false">IF(AND(AF237&gt;=0,AF238&lt;0),1,0)</f>
        <v>0</v>
      </c>
      <c r="AG239" s="118" t="n">
        <f aca="false">IF(AND(AG237&gt;=0,AG238&lt;0),1,0)</f>
        <v>0</v>
      </c>
      <c r="AH239" s="118" t="n">
        <f aca="false">IF(AND(AH237&gt;=0,AH238&lt;0),1,0)</f>
        <v>0</v>
      </c>
      <c r="AI239" s="118" t="n">
        <f aca="false">IF(AND(AI237&gt;=0,AI238&lt;0),1,0)</f>
        <v>0</v>
      </c>
      <c r="AJ239" s="118" t="n">
        <f aca="false">IF(AND(AJ237&gt;=0,AJ238&lt;0),1,0)</f>
        <v>0</v>
      </c>
      <c r="AK239" s="118" t="n">
        <f aca="false">IF(AND(AK237&gt;=0,AK238&lt;0),1,0)</f>
        <v>0</v>
      </c>
      <c r="AL239" s="118" t="n">
        <f aca="false">IF(AND(AL237&gt;=0,AL238&lt;0),1,0)</f>
        <v>0</v>
      </c>
      <c r="AM239" s="118" t="n">
        <f aca="false">IF(AND(AM237&gt;=0,AM238&lt;0),1,0)</f>
        <v>0</v>
      </c>
      <c r="AN239" s="118" t="n">
        <f aca="false">IF(AND(AN237&gt;=0,AN238&lt;0),1,0)</f>
        <v>0</v>
      </c>
      <c r="AO239" s="118" t="n">
        <f aca="false">IF(AND(AO237&gt;=0,AO238&lt;0),1,0)</f>
        <v>0</v>
      </c>
      <c r="AP239" s="118" t="n">
        <f aca="false">IF(AND(AP237&gt;=0,AP238&lt;0),1,0)</f>
        <v>0</v>
      </c>
      <c r="AQ239" s="118" t="n">
        <f aca="false">IF(AND(AQ237&gt;=0,AQ238&lt;0),1,0)</f>
        <v>0</v>
      </c>
      <c r="AR239" s="118" t="n">
        <f aca="false">IF(AND(AR237&gt;=0,AR238&lt;0),1,0)</f>
        <v>0</v>
      </c>
      <c r="AS239" s="118" t="n">
        <f aca="false">IF(AND(AS237&gt;=0,AS238&lt;0),1,0)</f>
        <v>0</v>
      </c>
      <c r="AT239" s="118" t="n">
        <f aca="false">IF(AND(AT237&gt;=0,AT238&lt;0),1,0)</f>
        <v>0</v>
      </c>
      <c r="AU239" s="118" t="n">
        <f aca="false">IF(AND(AU237&gt;=0,AU238&lt;0),1,0)</f>
        <v>0</v>
      </c>
      <c r="AV239" s="118" t="n">
        <f aca="false">IF(AND(AV237&gt;=0,AV238&lt;0),1,0)</f>
        <v>0</v>
      </c>
      <c r="AW239" s="118" t="n">
        <f aca="false">IF(AND(AW237&gt;=0,AW238&lt;0),1,0)</f>
        <v>0</v>
      </c>
      <c r="AX239" s="118" t="n">
        <f aca="false">IF(AND(AX237&gt;=0,AX238&lt;0),1,0)</f>
        <v>0</v>
      </c>
      <c r="AY239" s="118" t="n">
        <f aca="false">IF(AND(AY237&gt;=0,AY238&lt;0),1,0)</f>
        <v>0</v>
      </c>
      <c r="AZ239" s="118" t="n">
        <f aca="false">IF(AND(AZ237&gt;=0,AZ238&lt;0),1,0)</f>
        <v>0</v>
      </c>
      <c r="BA239" s="118" t="n">
        <f aca="false">IF(AND(BA237&gt;=0,BA238&lt;0),1,0)</f>
        <v>0</v>
      </c>
      <c r="BB239" s="118" t="n">
        <f aca="false">IF(AND(BB237&gt;=0,BB238&lt;0),1,0)</f>
        <v>0</v>
      </c>
      <c r="BC239" s="118" t="n">
        <f aca="false">IF(AND(BC237&gt;=0,BC238&lt;0),1,0)</f>
        <v>0</v>
      </c>
      <c r="BD239" s="118" t="n">
        <f aca="false">IF(AND(BD237&gt;=0,BD238&lt;0),1,0)</f>
        <v>0</v>
      </c>
      <c r="BE239" s="118" t="n">
        <f aca="false">IF(AND(BE237&gt;=0,BE238&lt;0),1,0)</f>
        <v>0</v>
      </c>
      <c r="BF239" s="118" t="n">
        <f aca="false">IF(AND(BF237&gt;=0,BF238&lt;0),1,0)</f>
        <v>0</v>
      </c>
      <c r="BG239" s="118" t="n">
        <f aca="false">IF(AND(BG237&gt;=0,BG238&lt;0),1,0)</f>
        <v>0</v>
      </c>
      <c r="BH239" s="118" t="n">
        <f aca="false">IF(AND(BH237&gt;=0,BH238&lt;0),1,0)</f>
        <v>0</v>
      </c>
      <c r="BI239" s="118" t="n">
        <f aca="false">IF(AND(BI237&gt;=0,BI238&lt;0),1,0)</f>
        <v>0</v>
      </c>
      <c r="BJ239" s="118" t="n">
        <f aca="false">IF(AND(BJ237&gt;=0,BJ238&lt;0),1,0)</f>
        <v>0</v>
      </c>
    </row>
    <row r="240" customFormat="false" ht="15" hidden="false" customHeight="false" outlineLevel="0" collapsed="false">
      <c r="A240" s="6" t="s">
        <v>469</v>
      </c>
      <c r="C240" s="69" t="n">
        <f aca="false">C225-C190*(1-Inputs!$C$81)+C226</f>
        <v>-4157309.46845601</v>
      </c>
      <c r="D240" s="69" t="n">
        <f aca="false">D225-D190*(1-Inputs!$C$81)+D226</f>
        <v>-51631.0063547304</v>
      </c>
      <c r="E240" s="69" t="n">
        <f aca="false">E225-E190*(1-Inputs!$C$81)+E226</f>
        <v>-36198.7824720337</v>
      </c>
      <c r="F240" s="69" t="n">
        <f aca="false">F225-F190*(1-Inputs!$C$81)+F226</f>
        <v>-29261.122391478</v>
      </c>
      <c r="G240" s="69" t="n">
        <f aca="false">G225-G190*(1-Inputs!$C$81)+G226</f>
        <v>-22099.3016040396</v>
      </c>
      <c r="H240" s="69" t="n">
        <f aca="false">H225-H190*(1-Inputs!$C$81)+H226</f>
        <v>-14815.0001438543</v>
      </c>
      <c r="I240" s="69" t="n">
        <f aca="false">I225-I190*(1-Inputs!$C$81)+I226</f>
        <v>-7413.11723783197</v>
      </c>
      <c r="J240" s="69" t="n">
        <f aca="false">J225-J190*(1-Inputs!$C$81)+J226</f>
        <v>101.64385619391</v>
      </c>
      <c r="K240" s="69" t="n">
        <f aca="false">K225-K190*(1-Inputs!$C$81)+K226</f>
        <v>7724.7680107032</v>
      </c>
      <c r="L240" s="69" t="n">
        <f aca="false">L225-L190*(1-Inputs!$C$81)+L226</f>
        <v>15451.9207032766</v>
      </c>
      <c r="M240" s="69" t="n">
        <f aca="false">M225-M190*(1-Inputs!$C$81)+M226</f>
        <v>17662.5092477073</v>
      </c>
      <c r="N240" s="69" t="n">
        <f aca="false">N225-N190*(1-Inputs!$C$81)+N226</f>
        <v>2992.6229795106</v>
      </c>
      <c r="O240" s="69" t="n">
        <f aca="false">O225-O190*(1-Inputs!$C$81)+O226</f>
        <v>-30688.5100520323</v>
      </c>
      <c r="P240" s="69" t="n">
        <f aca="false">P225-P190*(1-Inputs!$C$81)+P226</f>
        <v>11114.1852434964</v>
      </c>
      <c r="Q240" s="69" t="n">
        <f aca="false">Q225-Q190*(1-Inputs!$C$81)+Q226</f>
        <v>30376.2052919792</v>
      </c>
      <c r="R240" s="69" t="n">
        <f aca="false">R225-R190*(1-Inputs!$C$81)+R226</f>
        <v>31891.5200013291</v>
      </c>
      <c r="S240" s="69" t="n">
        <f aca="false">S225-S190*(1-Inputs!$C$81)+S226</f>
        <v>33772.6112594408</v>
      </c>
      <c r="T240" s="69" t="n">
        <f aca="false">T225-T190*(1-Inputs!$C$81)+T226</f>
        <v>35579.9463672281</v>
      </c>
      <c r="U240" s="69" t="n">
        <f aca="false">U225-U190*(1-Inputs!$C$81)+U226</f>
        <v>37316.475570704</v>
      </c>
      <c r="V240" s="69" t="n">
        <f aca="false">V225-V190*(1-Inputs!$C$81)+V226</f>
        <v>38985.0311060407</v>
      </c>
      <c r="W240" s="69" t="n">
        <f aca="false">W225-W190*(1-Inputs!$C$81)+W226</f>
        <v>40588.331919964</v>
      </c>
      <c r="X240" s="69" t="n">
        <f aca="false">X225-X190*(1-Inputs!$C$81)+X226</f>
        <v>42128.9882013304</v>
      </c>
      <c r="Y240" s="69" t="n">
        <f aca="false">Y225-Y190*(1-Inputs!$C$81)+Y226</f>
        <v>43609.5057314421</v>
      </c>
      <c r="Z240" s="69" t="n">
        <f aca="false">Z225-Z190*(1-Inputs!$C$81)+Z226</f>
        <v>27891.4340482079</v>
      </c>
      <c r="AA240" s="69" t="n">
        <f aca="false">AA225-AA190*(1-Inputs!$C$81)+AA226</f>
        <v>-6057.91942143532</v>
      </c>
      <c r="AB240" s="69" t="n">
        <f aca="false">AB225-AB190*(1-Inputs!$C$81)+AB226</f>
        <v>35061.2519209599</v>
      </c>
      <c r="AC240" s="69" t="n">
        <f aca="false">AC225-AC190*(1-Inputs!$C$81)+AC226</f>
        <v>54142.1827815874</v>
      </c>
      <c r="AD240" s="69" t="n">
        <f aca="false">AD225-AD190*(1-Inputs!$C$81)+AD226</f>
        <v>54723.8736748853</v>
      </c>
      <c r="AE240" s="69" t="n">
        <f aca="false">AE225-AE190*(1-Inputs!$C$81)+AE226</f>
        <v>56058.8310293601</v>
      </c>
      <c r="AF240" s="69" t="n">
        <f aca="false">AF225-AF190*(1-Inputs!$C$81)+AF226</f>
        <v>57341.877589656</v>
      </c>
      <c r="AG240" s="69" t="n">
        <f aca="false">AG225-AG190*(1-Inputs!$C$81)+AG226</f>
        <v>58575.08978754</v>
      </c>
      <c r="AH240" s="69" t="n">
        <f aca="false">AH225-AH190*(1-Inputs!$C$81)+AH226</f>
        <v>59760.4609975087</v>
      </c>
      <c r="AI240" s="69" t="n">
        <f aca="false">AI225-AI190*(1-Inputs!$C$81)+AI226</f>
        <v>60899.9048590787</v>
      </c>
      <c r="AJ240" s="69" t="n">
        <f aca="false">AJ225-AJ190*(1-Inputs!$C$81)+AJ226</f>
        <v>61995.2584661858</v>
      </c>
      <c r="AK240" s="69" t="n">
        <f aca="false">AK225-AK190*(1-Inputs!$C$81)+AK226</f>
        <v>63048.2854290086</v>
      </c>
      <c r="AL240" s="69" t="n">
        <f aca="false">AL225-AL190*(1-Inputs!$C$81)+AL226</f>
        <v>46367.628976456</v>
      </c>
      <c r="AM240" s="69" t="n">
        <f aca="false">AM225-AM190*(1-Inputs!$C$81)+AM226</f>
        <v>12294.1240259875</v>
      </c>
      <c r="AN240" s="69" t="n">
        <f aca="false">AN225-AN190*(1-Inputs!$C$81)+AN226</f>
        <v>52984.970530956</v>
      </c>
      <c r="AO240" s="69" t="n">
        <f aca="false">AO225-AO190*(1-Inputs!$C$81)+AO226</f>
        <v>72287.0335905504</v>
      </c>
      <c r="AP240" s="69" t="n">
        <f aca="false">AP225-AP190*(1-Inputs!$C$81)+AP226</f>
        <v>72250.0346901663</v>
      </c>
      <c r="AQ240" s="69" t="n">
        <f aca="false">AQ225-AQ190*(1-Inputs!$C$81)+AQ226</f>
        <v>73252.8795238836</v>
      </c>
      <c r="AR240" s="69" t="n">
        <f aca="false">AR225-AR190*(1-Inputs!$C$81)+AR226</f>
        <v>74217.0980642523</v>
      </c>
      <c r="AS240" s="69" t="n">
        <f aca="false">AS225-AS190*(1-Inputs!$C$81)+AS226</f>
        <v>75144.2353630062</v>
      </c>
      <c r="AT240" s="69" t="n">
        <f aca="false">AT225-AT190*(1-Inputs!$C$81)+AT226</f>
        <v>76035.7746698099</v>
      </c>
      <c r="AU240" s="69" t="n">
        <f aca="false">AU225-AU190*(1-Inputs!$C$81)+AU226</f>
        <v>76893.1399043415</v>
      </c>
      <c r="AV240" s="69" t="n">
        <f aca="false">AV225-AV190*(1-Inputs!$C$81)+AV226</f>
        <v>77717.6980294919</v>
      </c>
      <c r="AW240" s="69" t="n">
        <f aca="false">AW225-AW190*(1-Inputs!$C$81)+AW226</f>
        <v>78510.7613296362</v>
      </c>
      <c r="AX240" s="69" t="n">
        <f aca="false">AX225-AX190*(1-Inputs!$C$81)+AX226</f>
        <v>60905.6321006386</v>
      </c>
      <c r="AY240" s="69" t="n">
        <f aca="false">AY225-AY190*(1-Inputs!$C$81)+AY226</f>
        <v>26822.3899116446</v>
      </c>
      <c r="AZ240" s="69" t="n">
        <f aca="false">AZ225-AZ190*(1-Inputs!$C$81)+AZ226</f>
        <v>67244.1059813974</v>
      </c>
      <c r="BA240" s="69" t="n">
        <f aca="false">BA225-BA190*(1-Inputs!$C$81)+BA226</f>
        <v>87034.7629002759</v>
      </c>
      <c r="BB240" s="69" t="n">
        <f aca="false">BB225-BB190*(1-Inputs!$C$81)+BB226</f>
        <v>86573.3983357777</v>
      </c>
      <c r="BC240" s="69" t="n">
        <f aca="false">BC225-BC190*(1-Inputs!$C$81)+BC226</f>
        <v>87378.1044754778</v>
      </c>
      <c r="BD240" s="69" t="n">
        <f aca="false">BD225-BD190*(1-Inputs!$C$81)+BD226</f>
        <v>88152.1098695898</v>
      </c>
      <c r="BE240" s="69" t="n">
        <f aca="false">BE225-BE190*(1-Inputs!$C$81)+BE226</f>
        <v>88896.6425479374</v>
      </c>
      <c r="BF240" s="69" t="n">
        <f aca="false">BF225-BF190*(1-Inputs!$C$81)+BF226</f>
        <v>89588.4948919682</v>
      </c>
      <c r="BG240" s="69" t="n">
        <f aca="false">BG225-BG190*(1-Inputs!$C$81)+BG226</f>
        <v>79449.9941632673</v>
      </c>
      <c r="BH240" s="69" t="n">
        <f aca="false">BH225-BH190*(1-Inputs!$C$81)+BH226</f>
        <v>79944.2246970102</v>
      </c>
      <c r="BI240" s="69" t="n">
        <f aca="false">BI225-BI190*(1-Inputs!$C$81)+BI226</f>
        <v>80418.6860094035</v>
      </c>
      <c r="BJ240" s="69" t="n">
        <f aca="false">BJ225-BJ190*(1-Inputs!$C$81)+BJ226</f>
        <v>65456.6004071451</v>
      </c>
    </row>
    <row r="242" customFormat="false" ht="15.75" hidden="false" customHeight="true" outlineLevel="0" collapsed="false">
      <c r="A242" s="7" t="s">
        <v>470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</row>
    <row r="243" customFormat="false" ht="15" hidden="false" customHeight="false" outlineLevel="0" collapsed="false">
      <c r="A243" s="6" t="s">
        <v>97</v>
      </c>
      <c r="C243" s="69" t="n">
        <f aca="false">C227</f>
        <v>2100000</v>
      </c>
      <c r="D243" s="69" t="n">
        <f aca="false">C243+D227</f>
        <v>2100000</v>
      </c>
      <c r="E243" s="69" t="n">
        <f aca="false">D243+E227</f>
        <v>2100000</v>
      </c>
      <c r="F243" s="69" t="n">
        <f aca="false">E243+F227</f>
        <v>2100000</v>
      </c>
      <c r="G243" s="69" t="n">
        <f aca="false">F243+G227</f>
        <v>2100000</v>
      </c>
      <c r="H243" s="69" t="n">
        <f aca="false">G243+H227</f>
        <v>2100000</v>
      </c>
      <c r="I243" s="69" t="n">
        <f aca="false">H243+I227</f>
        <v>2100000</v>
      </c>
      <c r="J243" s="69" t="n">
        <f aca="false">I243+J227</f>
        <v>2100000</v>
      </c>
      <c r="K243" s="69" t="n">
        <f aca="false">J243+K227</f>
        <v>2100000</v>
      </c>
      <c r="L243" s="69" t="n">
        <f aca="false">K243+L227</f>
        <v>2100000</v>
      </c>
      <c r="M243" s="69" t="n">
        <f aca="false">L243+M227</f>
        <v>2100000</v>
      </c>
      <c r="N243" s="69" t="n">
        <f aca="false">M243+N227</f>
        <v>2100000</v>
      </c>
      <c r="O243" s="69" t="n">
        <f aca="false">N243+O227</f>
        <v>2100000</v>
      </c>
      <c r="P243" s="69" t="n">
        <f aca="false">O243+P227</f>
        <v>2100000</v>
      </c>
      <c r="Q243" s="69" t="n">
        <f aca="false">P243+Q227</f>
        <v>2100000</v>
      </c>
      <c r="R243" s="69" t="n">
        <f aca="false">Q243+R227</f>
        <v>2100000</v>
      </c>
      <c r="S243" s="69" t="n">
        <f aca="false">R243+S227</f>
        <v>2100000</v>
      </c>
      <c r="T243" s="69" t="n">
        <f aca="false">S243+T227</f>
        <v>2100000</v>
      </c>
      <c r="U243" s="69" t="n">
        <f aca="false">T243+U227</f>
        <v>2100000</v>
      </c>
      <c r="V243" s="69" t="n">
        <f aca="false">U243+V227</f>
        <v>2100000</v>
      </c>
      <c r="W243" s="69" t="n">
        <f aca="false">V243+W227</f>
        <v>2100000</v>
      </c>
      <c r="X243" s="69" t="n">
        <f aca="false">W243+X227</f>
        <v>2100000</v>
      </c>
      <c r="Y243" s="69" t="n">
        <f aca="false">X243+Y227</f>
        <v>2100000</v>
      </c>
      <c r="Z243" s="69" t="n">
        <f aca="false">Y243+Z227</f>
        <v>2100000</v>
      </c>
      <c r="AA243" s="69" t="n">
        <f aca="false">Z243+AA227</f>
        <v>2100000</v>
      </c>
      <c r="AB243" s="69" t="n">
        <f aca="false">AA243+AB227</f>
        <v>2100000</v>
      </c>
      <c r="AC243" s="69" t="n">
        <f aca="false">AB243+AC227</f>
        <v>2100000</v>
      </c>
      <c r="AD243" s="69" t="n">
        <f aca="false">AC243+AD227</f>
        <v>2100000</v>
      </c>
      <c r="AE243" s="69" t="n">
        <f aca="false">AD243+AE227</f>
        <v>2100000</v>
      </c>
      <c r="AF243" s="69" t="n">
        <f aca="false">AE243+AF227</f>
        <v>2100000</v>
      </c>
      <c r="AG243" s="69" t="n">
        <f aca="false">AF243+AG227</f>
        <v>2100000</v>
      </c>
      <c r="AH243" s="69" t="n">
        <f aca="false">AG243+AH227</f>
        <v>2100000</v>
      </c>
      <c r="AI243" s="69" t="n">
        <f aca="false">AH243+AI227</f>
        <v>2100000</v>
      </c>
      <c r="AJ243" s="69" t="n">
        <f aca="false">AI243+AJ227</f>
        <v>2100000</v>
      </c>
      <c r="AK243" s="69" t="n">
        <f aca="false">AJ243+AK227</f>
        <v>2100000</v>
      </c>
      <c r="AL243" s="69" t="n">
        <f aca="false">AK243+AL227</f>
        <v>2100000</v>
      </c>
      <c r="AM243" s="69" t="n">
        <f aca="false">AL243+AM227</f>
        <v>2100000</v>
      </c>
      <c r="AN243" s="69" t="n">
        <f aca="false">AM243+AN227</f>
        <v>2100000</v>
      </c>
      <c r="AO243" s="69" t="n">
        <f aca="false">AN243+AO227</f>
        <v>2100000</v>
      </c>
      <c r="AP243" s="69" t="n">
        <f aca="false">AO243+AP227</f>
        <v>2100000</v>
      </c>
      <c r="AQ243" s="69" t="n">
        <f aca="false">AP243+AQ227</f>
        <v>2100000</v>
      </c>
      <c r="AR243" s="69" t="n">
        <f aca="false">AQ243+AR227</f>
        <v>2100000</v>
      </c>
      <c r="AS243" s="69" t="n">
        <f aca="false">AR243+AS227</f>
        <v>2100000</v>
      </c>
      <c r="AT243" s="69" t="n">
        <f aca="false">AS243+AT227</f>
        <v>2100000</v>
      </c>
      <c r="AU243" s="69" t="n">
        <f aca="false">AT243+AU227</f>
        <v>2100000</v>
      </c>
      <c r="AV243" s="69" t="n">
        <f aca="false">AU243+AV227</f>
        <v>2100000</v>
      </c>
      <c r="AW243" s="69" t="n">
        <f aca="false">AV243+AW227</f>
        <v>2100000</v>
      </c>
      <c r="AX243" s="69" t="n">
        <f aca="false">AW243+AX227</f>
        <v>2100000</v>
      </c>
      <c r="AY243" s="69" t="n">
        <f aca="false">AX243+AY227</f>
        <v>2100000</v>
      </c>
      <c r="AZ243" s="69" t="n">
        <f aca="false">AY243+AZ227</f>
        <v>2100000</v>
      </c>
      <c r="BA243" s="69" t="n">
        <f aca="false">AZ243+BA227</f>
        <v>2100000</v>
      </c>
      <c r="BB243" s="69" t="n">
        <f aca="false">BA243+BB227</f>
        <v>2100000</v>
      </c>
      <c r="BC243" s="69" t="n">
        <f aca="false">BB243+BC227</f>
        <v>2100000</v>
      </c>
      <c r="BD243" s="69" t="n">
        <f aca="false">BC243+BD227</f>
        <v>2100000</v>
      </c>
      <c r="BE243" s="69" t="n">
        <f aca="false">BD243+BE227</f>
        <v>2100000</v>
      </c>
      <c r="BF243" s="69" t="n">
        <f aca="false">BE243+BF227</f>
        <v>2100000</v>
      </c>
      <c r="BG243" s="69" t="n">
        <f aca="false">BF243+BG227</f>
        <v>2100000</v>
      </c>
      <c r="BH243" s="69" t="n">
        <f aca="false">BG243+BH227</f>
        <v>2100000</v>
      </c>
      <c r="BI243" s="69" t="n">
        <f aca="false">BH243+BI227</f>
        <v>2100000</v>
      </c>
      <c r="BJ243" s="69" t="n">
        <f aca="false">BI243+BJ227</f>
        <v>2100000</v>
      </c>
    </row>
    <row r="244" customFormat="false" ht="15" hidden="false" customHeight="false" outlineLevel="0" collapsed="false">
      <c r="A244" s="6" t="s">
        <v>98</v>
      </c>
      <c r="C244" s="69" t="n">
        <f aca="false">C195</f>
        <v>-102437.476634789</v>
      </c>
      <c r="D244" s="69" t="n">
        <f aca="false">C244+D195</f>
        <v>-199240.336761108</v>
      </c>
      <c r="E244" s="69" t="n">
        <f aca="false">D244+E195</f>
        <v>-280587.034107493</v>
      </c>
      <c r="F244" s="69" t="n">
        <f aca="false">E244+F195</f>
        <v>-354763.012705834</v>
      </c>
      <c r="G244" s="69" t="n">
        <f aca="false">F244+G195</f>
        <v>-421640.551968474</v>
      </c>
      <c r="H244" s="69" t="n">
        <f aca="false">G244+H195</f>
        <v>-481097.040131265</v>
      </c>
      <c r="I244" s="69" t="n">
        <f aca="false">H244+I195</f>
        <v>-533014.769900621</v>
      </c>
      <c r="J244" s="69" t="n">
        <f aca="false">I244+J195</f>
        <v>-577280.742274703</v>
      </c>
      <c r="K244" s="69" t="n">
        <f aca="false">J244+K195</f>
        <v>-613786.478211745</v>
      </c>
      <c r="L244" s="69" t="n">
        <f aca="false">K244+L195</f>
        <v>-642427.837831648</v>
      </c>
      <c r="M244" s="69" t="n">
        <f aca="false">L244+M195</f>
        <v>-668750.981431645</v>
      </c>
      <c r="N244" s="69" t="n">
        <f aca="false">M244+N195</f>
        <v>-709232.332270295</v>
      </c>
      <c r="O244" s="69" t="n">
        <f aca="false">N244+O195</f>
        <v>-743910.376362621</v>
      </c>
      <c r="P244" s="69" t="n">
        <f aca="false">O244+P195</f>
        <v>-776600.179668578</v>
      </c>
      <c r="Q244" s="69" t="n">
        <f aca="false">P244+Q195</f>
        <v>-790368.817841676</v>
      </c>
      <c r="R244" s="69" t="n">
        <f aca="false">Q244+R195</f>
        <v>-802037.506346352</v>
      </c>
      <c r="S244" s="69" t="n">
        <f aca="false">R244+S195</f>
        <v>-811683.159836009</v>
      </c>
      <c r="T244" s="69" t="n">
        <f aca="false">S244+T195</f>
        <v>-819379.616377916</v>
      </c>
      <c r="U244" s="69" t="n">
        <f aca="false">T244+U195</f>
        <v>-825197.760516647</v>
      </c>
      <c r="V244" s="69" t="n">
        <f aca="false">U244+V195</f>
        <v>-829205.641414998</v>
      </c>
      <c r="W244" s="69" t="n">
        <f aca="false">V244+W195</f>
        <v>-831468.586269249</v>
      </c>
      <c r="X244" s="69" t="n">
        <f aca="false">W244+X195</f>
        <v>-832049.309187833</v>
      </c>
      <c r="Y244" s="69" t="n">
        <f aca="false">X244+Y195</f>
        <v>-831008.015714841</v>
      </c>
      <c r="Z244" s="69" t="n">
        <f aca="false">Y244+Z195</f>
        <v>-844797.509981795</v>
      </c>
      <c r="AA244" s="69" t="n">
        <f aca="false">Z244+AA195</f>
        <v>-853462.45560412</v>
      </c>
      <c r="AB244" s="69" t="n">
        <f aca="false">AA244+AB195</f>
        <v>-860799.5242457</v>
      </c>
      <c r="AC244" s="69" t="n">
        <f aca="false">AB244+AC195</f>
        <v>-849751.533920789</v>
      </c>
      <c r="AD244" s="69" t="n">
        <f aca="false">AC244+AD195</f>
        <v>-837173.059935182</v>
      </c>
      <c r="AE244" s="69" t="n">
        <f aca="false">AD244+AE195</f>
        <v>-823118.238301974</v>
      </c>
      <c r="AF244" s="69" t="n">
        <f aca="false">AE244+AF195</f>
        <v>-807639.039593734</v>
      </c>
      <c r="AG244" s="69" t="n">
        <f aca="false">AF244+AG195</f>
        <v>-790785.355560132</v>
      </c>
      <c r="AH244" s="69" t="n">
        <f aca="false">AG244+AH195</f>
        <v>-772605.082280848</v>
      </c>
      <c r="AI244" s="69" t="n">
        <f aca="false">AH244+AI195</f>
        <v>-753144.199992375</v>
      </c>
      <c r="AJ244" s="69" t="n">
        <f aca="false">AI244+AJ195</f>
        <v>-732446.84972175</v>
      </c>
      <c r="AK244" s="69" t="n">
        <f aca="false">AJ244+AK195</f>
        <v>-710555.406854923</v>
      </c>
      <c r="AL244" s="69" t="n">
        <f aca="false">AK244+AL195</f>
        <v>-704179.027993512</v>
      </c>
      <c r="AM244" s="69" t="n">
        <f aca="false">AL244+AM195</f>
        <v>-693106.659005168</v>
      </c>
      <c r="AN244" s="69" t="n">
        <f aca="false">AM244+AN195</f>
        <v>-681115.853477861</v>
      </c>
      <c r="AO244" s="69" t="n">
        <f aca="false">AN244+AO195</f>
        <v>-650785.86332053</v>
      </c>
      <c r="AP244" s="69" t="n">
        <f aca="false">AO244+AP195</f>
        <v>-619271.696687057</v>
      </c>
      <c r="AQ244" s="69" t="n">
        <f aca="false">AP244+AQ195</f>
        <v>-586613.637303154</v>
      </c>
      <c r="AR244" s="69" t="n">
        <f aca="false">AQ244+AR195</f>
        <v>-552850.357545505</v>
      </c>
      <c r="AS244" s="69" t="n">
        <f aca="false">AR244+AS195</f>
        <v>-518018.982895728</v>
      </c>
      <c r="AT244" s="69" t="n">
        <f aca="false">AS244+AT195</f>
        <v>-482155.153816173</v>
      </c>
      <c r="AU244" s="69" t="n">
        <f aca="false">AT244+AU195</f>
        <v>-445293.085150699</v>
      </c>
      <c r="AV244" s="69" t="n">
        <f aca="false">AU244+AV195</f>
        <v>-407465.623149408</v>
      </c>
      <c r="AW244" s="69" t="n">
        <f aca="false">AV244+AW195</f>
        <v>-368704.300212401</v>
      </c>
      <c r="AX244" s="69" t="n">
        <f aca="false">AW244+AX195</f>
        <v>-346162.416816628</v>
      </c>
      <c r="AY244" s="69" t="n">
        <f aca="false">AX244+AY195</f>
        <v>-319175.180498915</v>
      </c>
      <c r="AZ244" s="69" t="n">
        <f aca="false">AY244+AZ195</f>
        <v>-291522.143906521</v>
      </c>
      <c r="BA244" s="69" t="n">
        <f aca="false">AZ244+BA195</f>
        <v>-245256.108644588</v>
      </c>
      <c r="BB244" s="69" t="n">
        <f aca="false">BA244+BB195</f>
        <v>-198012.503970002</v>
      </c>
      <c r="BC244" s="69" t="n">
        <f aca="false">BB244+BC195</f>
        <v>-149823.349325935</v>
      </c>
      <c r="BD244" s="69" t="n">
        <f aca="false">BC244+BD195</f>
        <v>-100719.383377833</v>
      </c>
      <c r="BE244" s="69" t="n">
        <f aca="false">BD244+BE195</f>
        <v>-50730.1152445231</v>
      </c>
      <c r="BF244" s="69" t="n">
        <f aca="false">BE244+BF195</f>
        <v>91.7397927356287</v>
      </c>
      <c r="BG244" s="69" t="n">
        <f aca="false">BF244+BG195</f>
        <v>40915.7951121485</v>
      </c>
      <c r="BH244" s="69" t="n">
        <f aca="false">BG244+BH195</f>
        <v>82374.7497690584</v>
      </c>
      <c r="BI244" s="69" t="n">
        <f aca="false">BH244+BI195</f>
        <v>124448.803623299</v>
      </c>
      <c r="BJ244" s="69" t="n">
        <f aca="false">BI244+BJ195</f>
        <v>153133.253778322</v>
      </c>
    </row>
    <row r="245" customFormat="false" ht="15" hidden="false" customHeight="false" outlineLevel="0" collapsed="false">
      <c r="A245" s="4" t="s">
        <v>93</v>
      </c>
      <c r="C245" s="75" t="n">
        <f aca="false">C231+C217+C218+C208</f>
        <v>5002277.15386248</v>
      </c>
      <c r="D245" s="75" t="n">
        <f aca="false">D231+D217+D218+D208</f>
        <v>4881113.96244311</v>
      </c>
      <c r="E245" s="75" t="n">
        <f aca="false">E231+E217+E218+E208</f>
        <v>4776797.52273048</v>
      </c>
      <c r="F245" s="75" t="n">
        <f aca="false">F231+F217+F218+F208</f>
        <v>4678478.11854842</v>
      </c>
      <c r="G245" s="75" t="n">
        <f aca="false">G231+G217+G218+G208</f>
        <v>4587478.59368555</v>
      </c>
      <c r="H245" s="75" t="n">
        <f aca="false">H231+H217+H218+H208</f>
        <v>4503920.70230666</v>
      </c>
      <c r="I245" s="75" t="n">
        <f aca="false">I231+I217+I218+I208</f>
        <v>4427921.32840999</v>
      </c>
      <c r="J245" s="75" t="n">
        <f aca="false">J231+J217+J218+J208</f>
        <v>4359592.68063381</v>
      </c>
      <c r="K245" s="75" t="n">
        <f aca="false">K231+K217+K218+K208</f>
        <v>4299042.4792709</v>
      </c>
      <c r="L245" s="75" t="n">
        <f aca="false">L231+L217+L218+L208</f>
        <v>4246374.13580229</v>
      </c>
      <c r="M245" s="75" t="n">
        <f aca="false">M231+M217+M218+M208</f>
        <v>4195410.41624094</v>
      </c>
      <c r="N245" s="75" t="n">
        <f aca="false">N231+N217+N218+N208</f>
        <v>4127615.37778011</v>
      </c>
      <c r="O245" s="75" t="n">
        <f aca="false">O231+O217+O218+O208</f>
        <v>4068769.3510266</v>
      </c>
      <c r="P245" s="75" t="n">
        <f aca="false">P231+P217+P218+P208</f>
        <v>4011326.69371395</v>
      </c>
      <c r="Q245" s="75" t="n">
        <f aca="false">Q231+Q217+Q218+Q208</f>
        <v>3975731.76948336</v>
      </c>
      <c r="R245" s="75" t="n">
        <f aca="false">R231+R217+R218+R208</f>
        <v>3939389.24312113</v>
      </c>
      <c r="S245" s="75" t="n">
        <f aca="false">S231+S217+S218+S208</f>
        <v>3905056.70528822</v>
      </c>
      <c r="T245" s="75" t="n">
        <f aca="false">T231+T217+T218+T208</f>
        <v>3872660.83977679</v>
      </c>
      <c r="U245" s="75" t="n">
        <f aca="false">U231+U217+U218+U208</f>
        <v>3842131.26302732</v>
      </c>
      <c r="V245" s="75" t="n">
        <f aca="false">V231+V217+V218+V208</f>
        <v>3813400.40682265</v>
      </c>
      <c r="W245" s="75" t="n">
        <f aca="false">W231+W217+W218+W208</f>
        <v>3786403.40567434</v>
      </c>
      <c r="X245" s="75" t="n">
        <f aca="false">X231+X217+X218+X208</f>
        <v>3761077.98871346</v>
      </c>
      <c r="Y245" s="75" t="n">
        <f aca="false">Y231+Y217+Y218+Y208</f>
        <v>3737364.37590584</v>
      </c>
      <c r="Z245" s="75" t="n">
        <f aca="false">Z231+Z217+Z218+Z208</f>
        <v>3695466.80859697</v>
      </c>
      <c r="AA245" s="75" t="n">
        <f aca="false">AA231+AA217+AA218+AA208</f>
        <v>3662652.2603911</v>
      </c>
      <c r="AB245" s="75" t="n">
        <f aca="false">AB231+AB217+AB218+AB208</f>
        <v>3630473.7558912</v>
      </c>
      <c r="AC245" s="75" t="n">
        <f aca="false">AC231+AC217+AC218+AC208</f>
        <v>3620267.42525449</v>
      </c>
      <c r="AD245" s="75" t="n">
        <f aca="false">AD231+AD217+AD218+AD208</f>
        <v>3608077.87775523</v>
      </c>
      <c r="AE245" s="75" t="n">
        <f aca="false">AE231+AE217+AE218+AE208</f>
        <v>3597355.39876297</v>
      </c>
      <c r="AF245" s="75" t="n">
        <f aca="false">AF231+AF217+AF218+AF208</f>
        <v>3588048.38887076</v>
      </c>
      <c r="AG245" s="75" t="n">
        <f aca="false">AG231+AG217+AG218+AG208</f>
        <v>3580107.31264793</v>
      </c>
      <c r="AH245" s="75" t="n">
        <f aca="false">AH231+AH217+AH218+AH208</f>
        <v>3573484.61608104</v>
      </c>
      <c r="AI245" s="75" t="n">
        <f aca="false">AI231+AI217+AI218+AI208</f>
        <v>3568134.64731718</v>
      </c>
      <c r="AJ245" s="75" t="n">
        <f aca="false">AJ231+AJ217+AJ218+AJ208</f>
        <v>3564013.58057757</v>
      </c>
      <c r="AK245" s="75" t="n">
        <f aca="false">AK231+AK217+AK218+AK208</f>
        <v>3561079.34311457</v>
      </c>
      <c r="AL245" s="75" t="n">
        <f aca="false">AL231+AL217+AL218+AL208</f>
        <v>3538739.78639662</v>
      </c>
      <c r="AM245" s="75" t="n">
        <f aca="false">AM231+AM217+AM218+AM208</f>
        <v>3525694.86652347</v>
      </c>
      <c r="AN245" s="75" t="n">
        <f aca="false">AN231+AN217+AN218+AN208</f>
        <v>3512788.81916314</v>
      </c>
      <c r="AO245" s="75" t="n">
        <f aca="false">AO231+AO217+AO218+AO208</f>
        <v>3522338.60637643</v>
      </c>
      <c r="AP245" s="75" t="n">
        <f aca="false">AP231+AP217+AP218+AP208</f>
        <v>3529027.21233232</v>
      </c>
      <c r="AQ245" s="75" t="n">
        <f aca="false">AQ231+AQ217+AQ218+AQ208</f>
        <v>3536852.73346573</v>
      </c>
      <c r="AR245" s="75" t="n">
        <f aca="false">AR231+AR217+AR218+AR208</f>
        <v>3545776.77650291</v>
      </c>
      <c r="AS245" s="75" t="n">
        <f aca="false">AS231+AS217+AS218+AS208</f>
        <v>3555762.48390104</v>
      </c>
      <c r="AT245" s="75" t="n">
        <f aca="false">AT231+AT217+AT218+AT208</f>
        <v>3566774.47241901</v>
      </c>
      <c r="AU245" s="75" t="n">
        <f aca="false">AU231+AU217+AU218+AU208</f>
        <v>3578778.77414536</v>
      </c>
      <c r="AV245" s="75" t="n">
        <f aca="false">AV231+AV217+AV218+AV208</f>
        <v>3591742.7798851</v>
      </c>
      <c r="AW245" s="75" t="n">
        <f aca="false">AW231+AW217+AW218+AW208</f>
        <v>3605635.18481101</v>
      </c>
      <c r="AX245" s="75" t="n">
        <f aca="false">AX231+AX217+AX218+AX208</f>
        <v>3598963.88252377</v>
      </c>
      <c r="AY245" s="75" t="n">
        <f aca="false">AY231+AY217+AY218+AY208</f>
        <v>3601876.25716034</v>
      </c>
      <c r="AZ245" s="75" t="n">
        <f aca="false">AZ231+AZ217+AZ218+AZ208</f>
        <v>3604597.95757411</v>
      </c>
      <c r="BA245" s="75" t="n">
        <f aca="false">BA231+BA217+BA218+BA208</f>
        <v>3630503.62752227</v>
      </c>
      <c r="BB245" s="75" t="n">
        <f aca="false">BB231+BB217+BB218+BB208</f>
        <v>3652887.35156015</v>
      </c>
      <c r="BC245" s="75" t="n">
        <f aca="false">BC231+BC217+BC218+BC208</f>
        <v>3676211.02079298</v>
      </c>
      <c r="BD245" s="75" t="n">
        <f aca="false">BD231+BD217+BD218+BD208</f>
        <v>3700444.1207463</v>
      </c>
      <c r="BE245" s="75" t="n">
        <f aca="false">BE231+BE217+BE218+BE208</f>
        <v>3725557.35752461</v>
      </c>
      <c r="BF245" s="75" t="n">
        <f aca="false">BF231+BF217+BF218+BF208</f>
        <v>3751498.22246108</v>
      </c>
      <c r="BG245" s="75" t="n">
        <f aca="false">BG231+BG217+BG218+BG208</f>
        <v>3767436.52728373</v>
      </c>
      <c r="BH245" s="75" t="n">
        <f aca="false">BH231+BH217+BH218+BH208</f>
        <v>3784005.16146375</v>
      </c>
      <c r="BI245" s="75" t="n">
        <f aca="false">BI231+BI217+BI218+BI208</f>
        <v>3801184.50766017</v>
      </c>
      <c r="BJ245" s="75" t="n">
        <f aca="false">BJ231+BJ217+BJ218+BJ208</f>
        <v>3800220.76372506</v>
      </c>
    </row>
    <row r="246" customFormat="false" ht="15" hidden="false" customHeight="false" outlineLevel="0" collapsed="false">
      <c r="A246" s="6" t="s">
        <v>96</v>
      </c>
      <c r="C246" s="69" t="n">
        <f aca="false">C219+C214</f>
        <v>3004714.63049727</v>
      </c>
      <c r="D246" s="69" t="n">
        <f aca="false">D219+D214</f>
        <v>2980354.29920421</v>
      </c>
      <c r="E246" s="69" t="n">
        <f aca="false">E219+E214</f>
        <v>2957384.55683798</v>
      </c>
      <c r="F246" s="69" t="n">
        <f aca="false">F219+F214</f>
        <v>2933241.13125426</v>
      </c>
      <c r="G246" s="69" t="n">
        <f aca="false">G219+G214</f>
        <v>2909119.14565402</v>
      </c>
      <c r="H246" s="69" t="n">
        <f aca="false">H219+H214</f>
        <v>2885017.74243793</v>
      </c>
      <c r="I246" s="69" t="n">
        <f aca="false">I219+I214</f>
        <v>2860936.09831061</v>
      </c>
      <c r="J246" s="69" t="n">
        <f aca="false">J219+J214</f>
        <v>2836873.42290852</v>
      </c>
      <c r="K246" s="69" t="n">
        <f aca="false">K219+K214</f>
        <v>2812828.95748264</v>
      </c>
      <c r="L246" s="69" t="n">
        <f aca="false">L219+L214</f>
        <v>2788801.97363394</v>
      </c>
      <c r="M246" s="69" t="n">
        <f aca="false">M219+M214</f>
        <v>2764161.39767258</v>
      </c>
      <c r="N246" s="69" t="n">
        <f aca="false">N219+N214</f>
        <v>2736847.71005041</v>
      </c>
      <c r="O246" s="69" t="n">
        <f aca="false">O219+O214</f>
        <v>2712679.72738922</v>
      </c>
      <c r="P246" s="69" t="n">
        <f aca="false">P219+P214</f>
        <v>2687926.87338253</v>
      </c>
      <c r="Q246" s="69" t="n">
        <f aca="false">Q219+Q214</f>
        <v>2666100.58732504</v>
      </c>
      <c r="R246" s="69" t="n">
        <f aca="false">R219+R214</f>
        <v>2641426.74946748</v>
      </c>
      <c r="S246" s="69" t="n">
        <f aca="false">S219+S214</f>
        <v>2616739.86512423</v>
      </c>
      <c r="T246" s="69" t="n">
        <f aca="false">T219+T214</f>
        <v>2592040.45615471</v>
      </c>
      <c r="U246" s="69" t="n">
        <f aca="false">U219+U214</f>
        <v>2567329.02354396</v>
      </c>
      <c r="V246" s="69" t="n">
        <f aca="false">V219+V214</f>
        <v>2542606.04823765</v>
      </c>
      <c r="W246" s="69" t="n">
        <f aca="false">W219+W214</f>
        <v>2517871.99194359</v>
      </c>
      <c r="X246" s="69" t="n">
        <f aca="false">X219+X214</f>
        <v>2493127.29790129</v>
      </c>
      <c r="Y246" s="69" t="n">
        <f aca="false">Y219+Y214</f>
        <v>2468372.39162069</v>
      </c>
      <c r="Z246" s="69" t="n">
        <f aca="false">Z219+Z214</f>
        <v>2440264.31857876</v>
      </c>
      <c r="AA246" s="69" t="n">
        <f aca="false">AA219+AA214</f>
        <v>2416114.71599522</v>
      </c>
      <c r="AB246" s="69" t="n">
        <f aca="false">AB219+AB214</f>
        <v>2391273.2801369</v>
      </c>
      <c r="AC246" s="69" t="n">
        <f aca="false">AC219+AC214</f>
        <v>2370018.95917528</v>
      </c>
      <c r="AD246" s="69" t="n">
        <f aca="false">AD219+AD214</f>
        <v>2345250.93769041</v>
      </c>
      <c r="AE246" s="69" t="n">
        <f aca="false">AE219+AE214</f>
        <v>2320473.63706494</v>
      </c>
      <c r="AF246" s="69" t="n">
        <f aca="false">AF219+AF214</f>
        <v>2295687.42846449</v>
      </c>
      <c r="AG246" s="69" t="n">
        <f aca="false">AG219+AG214</f>
        <v>2270892.66820806</v>
      </c>
      <c r="AH246" s="69" t="n">
        <f aca="false">AH219+AH214</f>
        <v>2246089.69836188</v>
      </c>
      <c r="AI246" s="69" t="n">
        <f aca="false">AI219+AI214</f>
        <v>2221278.84730955</v>
      </c>
      <c r="AJ246" s="69" t="n">
        <f aca="false">AJ219+AJ214</f>
        <v>2196460.43029932</v>
      </c>
      <c r="AK246" s="69" t="n">
        <f aca="false">AK219+AK214</f>
        <v>2171634.74996949</v>
      </c>
      <c r="AL246" s="69" t="n">
        <f aca="false">AL219+AL214</f>
        <v>2142918.81439013</v>
      </c>
      <c r="AM246" s="69" t="n">
        <f aca="false">AM219+AM214</f>
        <v>2118801.52552864</v>
      </c>
      <c r="AN246" s="69" t="n">
        <f aca="false">AN219+AN214</f>
        <v>2093904.67264101</v>
      </c>
      <c r="AO246" s="69" t="n">
        <f aca="false">AO219+AO214</f>
        <v>2073124.46969696</v>
      </c>
      <c r="AP246" s="69" t="n">
        <f aca="false">AP219+AP214</f>
        <v>2048298.90901937</v>
      </c>
      <c r="AQ246" s="69" t="n">
        <f aca="false">AQ219+AQ214</f>
        <v>2023466.37076888</v>
      </c>
      <c r="AR246" s="69" t="n">
        <f aca="false">AR219+AR214</f>
        <v>1998627.13404842</v>
      </c>
      <c r="AS246" s="69" t="n">
        <f aca="false">AS219+AS214</f>
        <v>1973781.46679677</v>
      </c>
      <c r="AT246" s="69" t="n">
        <f aca="false">AT219+AT214</f>
        <v>1948929.62623518</v>
      </c>
      <c r="AU246" s="69" t="n">
        <f aca="false">AU219+AU214</f>
        <v>1924071.85929606</v>
      </c>
      <c r="AV246" s="69" t="n">
        <f aca="false">AV219+AV214</f>
        <v>1899208.40303451</v>
      </c>
      <c r="AW246" s="69" t="n">
        <f aca="false">AW219+AW214</f>
        <v>1874339.48502341</v>
      </c>
      <c r="AX246" s="69" t="n">
        <f aca="false">AX219+AX214</f>
        <v>1845126.29934039</v>
      </c>
      <c r="AY246" s="69" t="n">
        <f aca="false">AY219+AY214</f>
        <v>1821051.43765925</v>
      </c>
      <c r="AZ246" s="69" t="n">
        <f aca="false">AZ219+AZ214</f>
        <v>1796120.10148063</v>
      </c>
      <c r="BA246" s="69" t="n">
        <f aca="false">BA219+BA214</f>
        <v>1775759.73616686</v>
      </c>
      <c r="BB246" s="69" t="n">
        <f aca="false">BB219+BB214</f>
        <v>1750899.85553015</v>
      </c>
      <c r="BC246" s="69" t="n">
        <f aca="false">BC219+BC214</f>
        <v>1726034.37011892</v>
      </c>
      <c r="BD246" s="69" t="n">
        <f aca="false">BD219+BD214</f>
        <v>1701163.50412413</v>
      </c>
      <c r="BE246" s="69" t="n">
        <f aca="false">BE219+BE214</f>
        <v>1676287.47276914</v>
      </c>
      <c r="BF246" s="69" t="n">
        <f aca="false">BF219+BF214</f>
        <v>1651406.48266834</v>
      </c>
      <c r="BG246" s="69" t="n">
        <f aca="false">BG219+BG214</f>
        <v>1626520.73217158</v>
      </c>
      <c r="BH246" s="69" t="n">
        <f aca="false">BH219+BH214</f>
        <v>1601630.41169468</v>
      </c>
      <c r="BI246" s="69" t="n">
        <f aca="false">BI219+BI214</f>
        <v>1576735.70403687</v>
      </c>
      <c r="BJ246" s="69" t="n">
        <f aca="false">BJ219+BJ214</f>
        <v>1547087.50994674</v>
      </c>
    </row>
    <row r="247" customFormat="false" ht="15" hidden="false" customHeight="false" outlineLevel="0" collapsed="false">
      <c r="A247" s="6" t="s">
        <v>99</v>
      </c>
      <c r="C247" s="69" t="n">
        <f aca="false">C243+C244</f>
        <v>1997562.52336521</v>
      </c>
      <c r="D247" s="69" t="n">
        <f aca="false">D243+D244</f>
        <v>1900759.66323889</v>
      </c>
      <c r="E247" s="69" t="n">
        <f aca="false">E243+E244</f>
        <v>1819412.96589251</v>
      </c>
      <c r="F247" s="69" t="n">
        <f aca="false">F243+F244</f>
        <v>1745236.98729417</v>
      </c>
      <c r="G247" s="69" t="n">
        <f aca="false">G243+G244</f>
        <v>1678359.44803153</v>
      </c>
      <c r="H247" s="69" t="n">
        <f aca="false">H243+H244</f>
        <v>1618902.95986874</v>
      </c>
      <c r="I247" s="69" t="n">
        <f aca="false">I243+I244</f>
        <v>1566985.23009938</v>
      </c>
      <c r="J247" s="69" t="n">
        <f aca="false">J243+J244</f>
        <v>1522719.2577253</v>
      </c>
      <c r="K247" s="69" t="n">
        <f aca="false">K243+K244</f>
        <v>1486213.52178826</v>
      </c>
      <c r="L247" s="69" t="n">
        <f aca="false">L243+L244</f>
        <v>1457572.16216835</v>
      </c>
      <c r="M247" s="69" t="n">
        <f aca="false">M243+M244</f>
        <v>1431249.01856836</v>
      </c>
      <c r="N247" s="69" t="n">
        <f aca="false">N243+N244</f>
        <v>1390767.66772971</v>
      </c>
      <c r="O247" s="69" t="n">
        <f aca="false">O243+O244</f>
        <v>1356089.62363738</v>
      </c>
      <c r="P247" s="69" t="n">
        <f aca="false">P243+P244</f>
        <v>1323399.82033142</v>
      </c>
      <c r="Q247" s="69" t="n">
        <f aca="false">Q243+Q244</f>
        <v>1309631.18215832</v>
      </c>
      <c r="R247" s="69" t="n">
        <f aca="false">R243+R244</f>
        <v>1297962.49365365</v>
      </c>
      <c r="S247" s="69" t="n">
        <f aca="false">S243+S244</f>
        <v>1288316.84016399</v>
      </c>
      <c r="T247" s="69" t="n">
        <f aca="false">T243+T244</f>
        <v>1280620.38362208</v>
      </c>
      <c r="U247" s="69" t="n">
        <f aca="false">U243+U244</f>
        <v>1274802.23948335</v>
      </c>
      <c r="V247" s="69" t="n">
        <f aca="false">V243+V244</f>
        <v>1270794.358585</v>
      </c>
      <c r="W247" s="69" t="n">
        <f aca="false">W243+W244</f>
        <v>1268531.41373075</v>
      </c>
      <c r="X247" s="69" t="n">
        <f aca="false">X243+X244</f>
        <v>1267950.69081217</v>
      </c>
      <c r="Y247" s="69" t="n">
        <f aca="false">Y243+Y244</f>
        <v>1268991.98428516</v>
      </c>
      <c r="Z247" s="69" t="n">
        <f aca="false">Z243+Z244</f>
        <v>1255202.4900182</v>
      </c>
      <c r="AA247" s="69" t="n">
        <f aca="false">AA243+AA244</f>
        <v>1246537.54439588</v>
      </c>
      <c r="AB247" s="69" t="n">
        <f aca="false">AB243+AB244</f>
        <v>1239200.4757543</v>
      </c>
      <c r="AC247" s="69" t="n">
        <f aca="false">AC243+AC244</f>
        <v>1250248.46607921</v>
      </c>
      <c r="AD247" s="69" t="n">
        <f aca="false">AD243+AD244</f>
        <v>1262826.94006482</v>
      </c>
      <c r="AE247" s="69" t="n">
        <f aca="false">AE243+AE244</f>
        <v>1276881.76169803</v>
      </c>
      <c r="AF247" s="69" t="n">
        <f aca="false">AF243+AF244</f>
        <v>1292360.96040627</v>
      </c>
      <c r="AG247" s="69" t="n">
        <f aca="false">AG243+AG244</f>
        <v>1309214.64443987</v>
      </c>
      <c r="AH247" s="69" t="n">
        <f aca="false">AH243+AH244</f>
        <v>1327394.91771915</v>
      </c>
      <c r="AI247" s="69" t="n">
        <f aca="false">AI243+AI244</f>
        <v>1346855.80000762</v>
      </c>
      <c r="AJ247" s="69" t="n">
        <f aca="false">AJ243+AJ244</f>
        <v>1367553.15027825</v>
      </c>
      <c r="AK247" s="69" t="n">
        <f aca="false">AK243+AK244</f>
        <v>1389444.59314508</v>
      </c>
      <c r="AL247" s="69" t="n">
        <f aca="false">AL243+AL244</f>
        <v>1395820.97200649</v>
      </c>
      <c r="AM247" s="69" t="n">
        <f aca="false">AM243+AM244</f>
        <v>1406893.34099483</v>
      </c>
      <c r="AN247" s="69" t="n">
        <f aca="false">AN243+AN244</f>
        <v>1418884.14652214</v>
      </c>
      <c r="AO247" s="69" t="n">
        <f aca="false">AO243+AO244</f>
        <v>1449214.13667947</v>
      </c>
      <c r="AP247" s="69" t="n">
        <f aca="false">AP243+AP244</f>
        <v>1480728.30331294</v>
      </c>
      <c r="AQ247" s="69" t="n">
        <f aca="false">AQ243+AQ244</f>
        <v>1513386.36269685</v>
      </c>
      <c r="AR247" s="69" t="n">
        <f aca="false">AR243+AR244</f>
        <v>1547149.64245449</v>
      </c>
      <c r="AS247" s="69" t="n">
        <f aca="false">AS243+AS244</f>
        <v>1581981.01710427</v>
      </c>
      <c r="AT247" s="69" t="n">
        <f aca="false">AT243+AT244</f>
        <v>1617844.84618383</v>
      </c>
      <c r="AU247" s="69" t="n">
        <f aca="false">AU243+AU244</f>
        <v>1654706.9148493</v>
      </c>
      <c r="AV247" s="69" t="n">
        <f aca="false">AV243+AV244</f>
        <v>1692534.37685059</v>
      </c>
      <c r="AW247" s="69" t="n">
        <f aca="false">AW243+AW244</f>
        <v>1731295.6997876</v>
      </c>
      <c r="AX247" s="69" t="n">
        <f aca="false">AX243+AX244</f>
        <v>1753837.58318337</v>
      </c>
      <c r="AY247" s="69" t="n">
        <f aca="false">AY243+AY244</f>
        <v>1780824.81950108</v>
      </c>
      <c r="AZ247" s="69" t="n">
        <f aca="false">AZ243+AZ244</f>
        <v>1808477.85609348</v>
      </c>
      <c r="BA247" s="69" t="n">
        <f aca="false">BA243+BA244</f>
        <v>1854743.89135541</v>
      </c>
      <c r="BB247" s="69" t="n">
        <f aca="false">BB243+BB244</f>
        <v>1901987.49603</v>
      </c>
      <c r="BC247" s="69" t="n">
        <f aca="false">BC243+BC244</f>
        <v>1950176.65067407</v>
      </c>
      <c r="BD247" s="69" t="n">
        <f aca="false">BD243+BD244</f>
        <v>1999280.61662217</v>
      </c>
      <c r="BE247" s="69" t="n">
        <f aca="false">BE243+BE244</f>
        <v>2049269.88475548</v>
      </c>
      <c r="BF247" s="69" t="n">
        <f aca="false">BF243+BF244</f>
        <v>2100091.73979274</v>
      </c>
      <c r="BG247" s="69" t="n">
        <f aca="false">BG243+BG244</f>
        <v>2140915.79511215</v>
      </c>
      <c r="BH247" s="69" t="n">
        <f aca="false">BH243+BH244</f>
        <v>2182374.74976906</v>
      </c>
      <c r="BI247" s="69" t="n">
        <f aca="false">BI243+BI244</f>
        <v>2224448.8036233</v>
      </c>
      <c r="BJ247" s="69" t="n">
        <f aca="false">BJ243+BJ244</f>
        <v>2253133.25377832</v>
      </c>
    </row>
    <row r="248" customFormat="false" ht="15" hidden="false" customHeight="false" outlineLevel="0" collapsed="false">
      <c r="A248" s="4" t="s">
        <v>100</v>
      </c>
      <c r="C248" s="75" t="n">
        <f aca="false">C246+C247</f>
        <v>5002277.15386248</v>
      </c>
      <c r="D248" s="75" t="n">
        <f aca="false">D246+D247</f>
        <v>4881113.9624431</v>
      </c>
      <c r="E248" s="75" t="n">
        <f aca="false">E246+E247</f>
        <v>4776797.52273048</v>
      </c>
      <c r="F248" s="75" t="n">
        <f aca="false">F246+F247</f>
        <v>4678478.11854842</v>
      </c>
      <c r="G248" s="75" t="n">
        <f aca="false">G246+G247</f>
        <v>4587478.59368555</v>
      </c>
      <c r="H248" s="75" t="n">
        <f aca="false">H246+H247</f>
        <v>4503920.70230666</v>
      </c>
      <c r="I248" s="75" t="n">
        <f aca="false">I246+I247</f>
        <v>4427921.32840999</v>
      </c>
      <c r="J248" s="75" t="n">
        <f aca="false">J246+J247</f>
        <v>4359592.68063381</v>
      </c>
      <c r="K248" s="75" t="n">
        <f aca="false">K246+K247</f>
        <v>4299042.4792709</v>
      </c>
      <c r="L248" s="75" t="n">
        <f aca="false">L246+L247</f>
        <v>4246374.13580229</v>
      </c>
      <c r="M248" s="75" t="n">
        <f aca="false">M246+M247</f>
        <v>4195410.41624094</v>
      </c>
      <c r="N248" s="75" t="n">
        <f aca="false">N246+N247</f>
        <v>4127615.37778011</v>
      </c>
      <c r="O248" s="75" t="n">
        <f aca="false">O246+O247</f>
        <v>4068769.3510266</v>
      </c>
      <c r="P248" s="75" t="n">
        <f aca="false">P246+P247</f>
        <v>4011326.69371395</v>
      </c>
      <c r="Q248" s="75" t="n">
        <f aca="false">Q246+Q247</f>
        <v>3975731.76948336</v>
      </c>
      <c r="R248" s="75" t="n">
        <f aca="false">R246+R247</f>
        <v>3939389.24312113</v>
      </c>
      <c r="S248" s="75" t="n">
        <f aca="false">S246+S247</f>
        <v>3905056.70528822</v>
      </c>
      <c r="T248" s="75" t="n">
        <f aca="false">T246+T247</f>
        <v>3872660.83977679</v>
      </c>
      <c r="U248" s="75" t="n">
        <f aca="false">U246+U247</f>
        <v>3842131.26302732</v>
      </c>
      <c r="V248" s="75" t="n">
        <f aca="false">V246+V247</f>
        <v>3813400.40682265</v>
      </c>
      <c r="W248" s="75" t="n">
        <f aca="false">W246+W247</f>
        <v>3786403.40567434</v>
      </c>
      <c r="X248" s="75" t="n">
        <f aca="false">X246+X247</f>
        <v>3761077.98871346</v>
      </c>
      <c r="Y248" s="75" t="n">
        <f aca="false">Y246+Y247</f>
        <v>3737364.37590584</v>
      </c>
      <c r="Z248" s="75" t="n">
        <f aca="false">Z246+Z247</f>
        <v>3695466.80859697</v>
      </c>
      <c r="AA248" s="75" t="n">
        <f aca="false">AA246+AA247</f>
        <v>3662652.2603911</v>
      </c>
      <c r="AB248" s="75" t="n">
        <f aca="false">AB246+AB247</f>
        <v>3630473.7558912</v>
      </c>
      <c r="AC248" s="75" t="n">
        <f aca="false">AC246+AC247</f>
        <v>3620267.42525449</v>
      </c>
      <c r="AD248" s="75" t="n">
        <f aca="false">AD246+AD247</f>
        <v>3608077.87775523</v>
      </c>
      <c r="AE248" s="75" t="n">
        <f aca="false">AE246+AE247</f>
        <v>3597355.39876297</v>
      </c>
      <c r="AF248" s="75" t="n">
        <f aca="false">AF246+AF247</f>
        <v>3588048.38887076</v>
      </c>
      <c r="AG248" s="75" t="n">
        <f aca="false">AG246+AG247</f>
        <v>3580107.31264793</v>
      </c>
      <c r="AH248" s="75" t="n">
        <f aca="false">AH246+AH247</f>
        <v>3573484.61608104</v>
      </c>
      <c r="AI248" s="75" t="n">
        <f aca="false">AI246+AI247</f>
        <v>3568134.64731718</v>
      </c>
      <c r="AJ248" s="75" t="n">
        <f aca="false">AJ246+AJ247</f>
        <v>3564013.58057757</v>
      </c>
      <c r="AK248" s="75" t="n">
        <f aca="false">AK246+AK247</f>
        <v>3561079.34311457</v>
      </c>
      <c r="AL248" s="75" t="n">
        <f aca="false">AL246+AL247</f>
        <v>3538739.78639662</v>
      </c>
      <c r="AM248" s="75" t="n">
        <f aca="false">AM246+AM247</f>
        <v>3525694.86652347</v>
      </c>
      <c r="AN248" s="75" t="n">
        <f aca="false">AN246+AN247</f>
        <v>3512788.81916314</v>
      </c>
      <c r="AO248" s="75" t="n">
        <f aca="false">AO246+AO247</f>
        <v>3522338.60637643</v>
      </c>
      <c r="AP248" s="75" t="n">
        <f aca="false">AP246+AP247</f>
        <v>3529027.21233231</v>
      </c>
      <c r="AQ248" s="75" t="n">
        <f aca="false">AQ246+AQ247</f>
        <v>3536852.73346573</v>
      </c>
      <c r="AR248" s="75" t="n">
        <f aca="false">AR246+AR247</f>
        <v>3545776.77650291</v>
      </c>
      <c r="AS248" s="75" t="n">
        <f aca="false">AS246+AS247</f>
        <v>3555762.48390104</v>
      </c>
      <c r="AT248" s="75" t="n">
        <f aca="false">AT246+AT247</f>
        <v>3566774.47241901</v>
      </c>
      <c r="AU248" s="75" t="n">
        <f aca="false">AU246+AU247</f>
        <v>3578778.77414536</v>
      </c>
      <c r="AV248" s="75" t="n">
        <f aca="false">AV246+AV247</f>
        <v>3591742.7798851</v>
      </c>
      <c r="AW248" s="75" t="n">
        <f aca="false">AW246+AW247</f>
        <v>3605635.18481101</v>
      </c>
      <c r="AX248" s="75" t="n">
        <f aca="false">AX246+AX247</f>
        <v>3598963.88252377</v>
      </c>
      <c r="AY248" s="75" t="n">
        <f aca="false">AY246+AY247</f>
        <v>3601876.25716034</v>
      </c>
      <c r="AZ248" s="75" t="n">
        <f aca="false">AZ246+AZ247</f>
        <v>3604597.95757411</v>
      </c>
      <c r="BA248" s="75" t="n">
        <f aca="false">BA246+BA247</f>
        <v>3630503.62752227</v>
      </c>
      <c r="BB248" s="75" t="n">
        <f aca="false">BB246+BB247</f>
        <v>3652887.35156015</v>
      </c>
      <c r="BC248" s="75" t="n">
        <f aca="false">BC246+BC247</f>
        <v>3676211.02079298</v>
      </c>
      <c r="BD248" s="75" t="n">
        <f aca="false">BD246+BD247</f>
        <v>3700444.1207463</v>
      </c>
      <c r="BE248" s="75" t="n">
        <f aca="false">BE246+BE247</f>
        <v>3725557.35752461</v>
      </c>
      <c r="BF248" s="75" t="n">
        <f aca="false">BF246+BF247</f>
        <v>3751498.22246108</v>
      </c>
      <c r="BG248" s="75" t="n">
        <f aca="false">BG246+BG247</f>
        <v>3767436.52728373</v>
      </c>
      <c r="BH248" s="75" t="n">
        <f aca="false">BH246+BH247</f>
        <v>3784005.16146374</v>
      </c>
      <c r="BI248" s="75" t="n">
        <f aca="false">BI246+BI247</f>
        <v>3801184.50766017</v>
      </c>
      <c r="BJ248" s="75" t="n">
        <f aca="false">BJ246+BJ247</f>
        <v>3800220.76372506</v>
      </c>
    </row>
    <row r="249" customFormat="false" ht="15" hidden="false" customHeight="false" outlineLevel="0" collapsed="false">
      <c r="A249" s="6" t="s">
        <v>471</v>
      </c>
      <c r="C249" s="69" t="n">
        <f aca="false">C245-C248</f>
        <v>0</v>
      </c>
      <c r="D249" s="69" t="n">
        <f aca="false">D245-D248</f>
        <v>0</v>
      </c>
      <c r="E249" s="69" t="n">
        <f aca="false">E245-E248</f>
        <v>0</v>
      </c>
      <c r="F249" s="69" t="n">
        <f aca="false">F245-F248</f>
        <v>0</v>
      </c>
      <c r="G249" s="69" t="n">
        <f aca="false">G245-G248</f>
        <v>0</v>
      </c>
      <c r="H249" s="69" t="n">
        <f aca="false">H245-H248</f>
        <v>0</v>
      </c>
      <c r="I249" s="69" t="n">
        <f aca="false">I245-I248</f>
        <v>0</v>
      </c>
      <c r="J249" s="69" t="n">
        <f aca="false">J245-J248</f>
        <v>0</v>
      </c>
      <c r="K249" s="69" t="n">
        <f aca="false">K245-K248</f>
        <v>0</v>
      </c>
      <c r="L249" s="69" t="n">
        <f aca="false">L245-L248</f>
        <v>0</v>
      </c>
      <c r="M249" s="69" t="n">
        <f aca="false">M245-M248</f>
        <v>0</v>
      </c>
      <c r="N249" s="69" t="n">
        <f aca="false">N245-N248</f>
        <v>0</v>
      </c>
      <c r="O249" s="69" t="n">
        <f aca="false">O245-O248</f>
        <v>0</v>
      </c>
      <c r="P249" s="69" t="n">
        <f aca="false">P245-P248</f>
        <v>0</v>
      </c>
      <c r="Q249" s="69" t="n">
        <f aca="false">Q245-Q248</f>
        <v>0</v>
      </c>
      <c r="R249" s="69" t="n">
        <f aca="false">R245-R248</f>
        <v>0</v>
      </c>
      <c r="S249" s="69" t="n">
        <f aca="false">S245-S248</f>
        <v>0</v>
      </c>
      <c r="T249" s="69" t="n">
        <f aca="false">T245-T248</f>
        <v>0</v>
      </c>
      <c r="U249" s="69" t="n">
        <f aca="false">U245-U248</f>
        <v>0</v>
      </c>
      <c r="V249" s="69" t="n">
        <f aca="false">V245-V248</f>
        <v>0</v>
      </c>
      <c r="W249" s="69" t="n">
        <f aca="false">W245-W248</f>
        <v>0</v>
      </c>
      <c r="X249" s="69" t="n">
        <f aca="false">X245-X248</f>
        <v>0</v>
      </c>
      <c r="Y249" s="69" t="n">
        <f aca="false">Y245-Y248</f>
        <v>0</v>
      </c>
      <c r="Z249" s="69" t="n">
        <f aca="false">Z245-Z248</f>
        <v>0</v>
      </c>
      <c r="AA249" s="69" t="n">
        <f aca="false">AA245-AA248</f>
        <v>0</v>
      </c>
      <c r="AB249" s="69" t="n">
        <f aca="false">AB245-AB248</f>
        <v>0</v>
      </c>
      <c r="AC249" s="69" t="n">
        <f aca="false">AC245-AC248</f>
        <v>0</v>
      </c>
      <c r="AD249" s="69" t="n">
        <f aca="false">AD245-AD248</f>
        <v>0</v>
      </c>
      <c r="AE249" s="69" t="n">
        <f aca="false">AE245-AE248</f>
        <v>0</v>
      </c>
      <c r="AF249" s="69" t="n">
        <f aca="false">AF245-AF248</f>
        <v>0</v>
      </c>
      <c r="AG249" s="69" t="n">
        <f aca="false">AG245-AG248</f>
        <v>0</v>
      </c>
      <c r="AH249" s="69" t="n">
        <f aca="false">AH245-AH248</f>
        <v>0</v>
      </c>
      <c r="AI249" s="69" t="n">
        <f aca="false">AI245-AI248</f>
        <v>0</v>
      </c>
      <c r="AJ249" s="69" t="n">
        <f aca="false">AJ245-AJ248</f>
        <v>0</v>
      </c>
      <c r="AK249" s="69" t="n">
        <f aca="false">AK245-AK248</f>
        <v>0</v>
      </c>
      <c r="AL249" s="69" t="n">
        <f aca="false">AL245-AL248</f>
        <v>0</v>
      </c>
      <c r="AM249" s="69" t="n">
        <f aca="false">AM245-AM248</f>
        <v>0</v>
      </c>
      <c r="AN249" s="69" t="n">
        <f aca="false">AN245-AN248</f>
        <v>0</v>
      </c>
      <c r="AO249" s="69" t="n">
        <f aca="false">AO245-AO248</f>
        <v>0</v>
      </c>
      <c r="AP249" s="69" t="n">
        <f aca="false">AP245-AP248</f>
        <v>0</v>
      </c>
      <c r="AQ249" s="69" t="n">
        <f aca="false">AQ245-AQ248</f>
        <v>0</v>
      </c>
      <c r="AR249" s="69" t="n">
        <f aca="false">AR245-AR248</f>
        <v>0</v>
      </c>
      <c r="AS249" s="69" t="n">
        <f aca="false">AS245-AS248</f>
        <v>0</v>
      </c>
      <c r="AT249" s="69" t="n">
        <f aca="false">AT245-AT248</f>
        <v>0</v>
      </c>
      <c r="AU249" s="69" t="n">
        <f aca="false">AU245-AU248</f>
        <v>0</v>
      </c>
      <c r="AV249" s="69" t="n">
        <f aca="false">AV245-AV248</f>
        <v>0</v>
      </c>
      <c r="AW249" s="69" t="n">
        <f aca="false">AW245-AW248</f>
        <v>0</v>
      </c>
      <c r="AX249" s="69" t="n">
        <f aca="false">AX245-AX248</f>
        <v>0</v>
      </c>
      <c r="AY249" s="69" t="n">
        <f aca="false">AY245-AY248</f>
        <v>0</v>
      </c>
      <c r="AZ249" s="69" t="n">
        <f aca="false">AZ245-AZ248</f>
        <v>0</v>
      </c>
      <c r="BA249" s="69" t="n">
        <f aca="false">BA245-BA248</f>
        <v>0</v>
      </c>
      <c r="BB249" s="69" t="n">
        <f aca="false">BB245-BB248</f>
        <v>0</v>
      </c>
      <c r="BC249" s="69" t="n">
        <f aca="false">BC245-BC248</f>
        <v>0</v>
      </c>
      <c r="BD249" s="69" t="n">
        <f aca="false">BD245-BD248</f>
        <v>0</v>
      </c>
      <c r="BE249" s="69" t="n">
        <f aca="false">BE245-BE248</f>
        <v>0</v>
      </c>
      <c r="BF249" s="69" t="n">
        <f aca="false">BF245-BF248</f>
        <v>0</v>
      </c>
      <c r="BG249" s="69" t="n">
        <f aca="false">BG245-BG248</f>
        <v>0</v>
      </c>
      <c r="BH249" s="69" t="n">
        <f aca="false">BH245-BH248</f>
        <v>0</v>
      </c>
      <c r="BI249" s="69" t="n">
        <f aca="false">BI245-BI248</f>
        <v>0</v>
      </c>
      <c r="BJ249" s="69" t="n">
        <f aca="false">BJ245-BJ248</f>
        <v>0</v>
      </c>
    </row>
    <row r="251" customFormat="false" ht="15.75" hidden="false" customHeight="true" outlineLevel="0" collapsed="false">
      <c r="A251" s="7" t="s">
        <v>473</v>
      </c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</row>
    <row r="252" customFormat="false" ht="15" hidden="false" customHeight="false" outlineLevel="0" collapsed="false">
      <c r="A252" s="6" t="s">
        <v>474</v>
      </c>
      <c r="C252" s="117" t="n">
        <f aca="false">Inputs!$C$57*(1+Inputs!$C$59)^(C$136-1)*MAX(0,MIN(1,C$135*1-Inputs!$C$60+1))/1</f>
        <v>1</v>
      </c>
      <c r="D252" s="117" t="n">
        <f aca="false">Inputs!$C$57*(1+Inputs!$C$59)^(D$136-1)*MAX(0,MIN(1,D$135*1-Inputs!$C$60+1))/1</f>
        <v>1</v>
      </c>
      <c r="E252" s="117" t="n">
        <f aca="false">Inputs!$C$57*(1+Inputs!$C$59)^(E$136-1)*MAX(0,MIN(1,E$135*1-Inputs!$C$60+1))/1</f>
        <v>1</v>
      </c>
      <c r="F252" s="117" t="n">
        <f aca="false">Inputs!$C$57*(1+Inputs!$C$59)^(F$136-1)*MAX(0,MIN(1,F$135*1-Inputs!$C$60+1))/1</f>
        <v>1</v>
      </c>
      <c r="G252" s="117" t="n">
        <f aca="false">Inputs!$C$57*(1+Inputs!$C$59)^(G$136-1)*MAX(0,MIN(1,G$135*1-Inputs!$C$60+1))/1</f>
        <v>1</v>
      </c>
      <c r="H252" s="117" t="n">
        <f aca="false">Inputs!$C$57*(1+Inputs!$C$59)^(H$136-1)*MAX(0,MIN(1,H$135*1-Inputs!$C$60+1))/1</f>
        <v>1</v>
      </c>
      <c r="I252" s="117" t="n">
        <f aca="false">Inputs!$C$57*(1+Inputs!$C$59)^(I$136-1)*MAX(0,MIN(1,I$135*1-Inputs!$C$60+1))/1</f>
        <v>1</v>
      </c>
      <c r="J252" s="117" t="n">
        <f aca="false">Inputs!$C$57*(1+Inputs!$C$59)^(J$136-1)*MAX(0,MIN(1,J$135*1-Inputs!$C$60+1))/1</f>
        <v>1</v>
      </c>
      <c r="K252" s="117" t="n">
        <f aca="false">Inputs!$C$57*(1+Inputs!$C$59)^(K$136-1)*MAX(0,MIN(1,K$135*1-Inputs!$C$60+1))/1</f>
        <v>1</v>
      </c>
      <c r="L252" s="117" t="n">
        <f aca="false">Inputs!$C$57*(1+Inputs!$C$59)^(L$136-1)*MAX(0,MIN(1,L$135*1-Inputs!$C$60+1))/1</f>
        <v>1</v>
      </c>
      <c r="M252" s="117" t="n">
        <f aca="false">Inputs!$C$57*(1+Inputs!$C$59)^(M$136-1)*MAX(0,MIN(1,M$135*1-Inputs!$C$60+1))/1</f>
        <v>1</v>
      </c>
      <c r="N252" s="117" t="n">
        <f aca="false">Inputs!$C$57*(1+Inputs!$C$59)^(N$136-1)*MAX(0,MIN(1,N$135*1-Inputs!$C$60+1))/1</f>
        <v>1</v>
      </c>
      <c r="O252" s="117" t="n">
        <f aca="false">Inputs!$C$57*(1+Inputs!$C$59)^(O$136-1)*MAX(0,MIN(1,O$135*1-Inputs!$C$60+1))/1</f>
        <v>1</v>
      </c>
      <c r="P252" s="117" t="n">
        <f aca="false">Inputs!$C$57*(1+Inputs!$C$59)^(P$136-1)*MAX(0,MIN(1,P$135*1-Inputs!$C$60+1))/1</f>
        <v>1</v>
      </c>
      <c r="Q252" s="117" t="n">
        <f aca="false">Inputs!$C$57*(1+Inputs!$C$59)^(Q$136-1)*MAX(0,MIN(1,Q$135*1-Inputs!$C$60+1))/1</f>
        <v>1</v>
      </c>
      <c r="R252" s="117" t="n">
        <f aca="false">Inputs!$C$57*(1+Inputs!$C$59)^(R$136-1)*MAX(0,MIN(1,R$135*1-Inputs!$C$60+1))/1</f>
        <v>1</v>
      </c>
      <c r="S252" s="117" t="n">
        <f aca="false">Inputs!$C$57*(1+Inputs!$C$59)^(S$136-1)*MAX(0,MIN(1,S$135*1-Inputs!$C$60+1))/1</f>
        <v>1</v>
      </c>
      <c r="T252" s="117" t="n">
        <f aca="false">Inputs!$C$57*(1+Inputs!$C$59)^(T$136-1)*MAX(0,MIN(1,T$135*1-Inputs!$C$60+1))/1</f>
        <v>1</v>
      </c>
      <c r="U252" s="117" t="n">
        <f aca="false">Inputs!$C$57*(1+Inputs!$C$59)^(U$136-1)*MAX(0,MIN(1,U$135*1-Inputs!$C$60+1))/1</f>
        <v>1</v>
      </c>
      <c r="V252" s="117" t="n">
        <f aca="false">Inputs!$C$57*(1+Inputs!$C$59)^(V$136-1)*MAX(0,MIN(1,V$135*1-Inputs!$C$60+1))/1</f>
        <v>1</v>
      </c>
      <c r="W252" s="117" t="n">
        <f aca="false">Inputs!$C$57*(1+Inputs!$C$59)^(W$136-1)*MAX(0,MIN(1,W$135*1-Inputs!$C$60+1))/1</f>
        <v>1</v>
      </c>
      <c r="X252" s="117" t="n">
        <f aca="false">Inputs!$C$57*(1+Inputs!$C$59)^(X$136-1)*MAX(0,MIN(1,X$135*1-Inputs!$C$60+1))/1</f>
        <v>1</v>
      </c>
      <c r="Y252" s="117" t="n">
        <f aca="false">Inputs!$C$57*(1+Inputs!$C$59)^(Y$136-1)*MAX(0,MIN(1,Y$135*1-Inputs!$C$60+1))/1</f>
        <v>1</v>
      </c>
      <c r="Z252" s="117" t="n">
        <f aca="false">Inputs!$C$57*(1+Inputs!$C$59)^(Z$136-1)*MAX(0,MIN(1,Z$135*1-Inputs!$C$60+1))/1</f>
        <v>1</v>
      </c>
      <c r="AA252" s="117" t="n">
        <f aca="false">Inputs!$C$57*(1+Inputs!$C$59)^(AA$136-1)*MAX(0,MIN(1,AA$135*1-Inputs!$C$60+1))/1</f>
        <v>1</v>
      </c>
      <c r="AB252" s="117" t="n">
        <f aca="false">Inputs!$C$57*(1+Inputs!$C$59)^(AB$136-1)*MAX(0,MIN(1,AB$135*1-Inputs!$C$60+1))/1</f>
        <v>1</v>
      </c>
      <c r="AC252" s="117" t="n">
        <f aca="false">Inputs!$C$57*(1+Inputs!$C$59)^(AC$136-1)*MAX(0,MIN(1,AC$135*1-Inputs!$C$60+1))/1</f>
        <v>1</v>
      </c>
      <c r="AD252" s="117" t="n">
        <f aca="false">Inputs!$C$57*(1+Inputs!$C$59)^(AD$136-1)*MAX(0,MIN(1,AD$135*1-Inputs!$C$60+1))/1</f>
        <v>1</v>
      </c>
      <c r="AE252" s="117" t="n">
        <f aca="false">Inputs!$C$57*(1+Inputs!$C$59)^(AE$136-1)*MAX(0,MIN(1,AE$135*1-Inputs!$C$60+1))/1</f>
        <v>1</v>
      </c>
      <c r="AF252" s="117" t="n">
        <f aca="false">Inputs!$C$57*(1+Inputs!$C$59)^(AF$136-1)*MAX(0,MIN(1,AF$135*1-Inputs!$C$60+1))/1</f>
        <v>1</v>
      </c>
      <c r="AG252" s="117" t="n">
        <f aca="false">Inputs!$C$57*(1+Inputs!$C$59)^(AG$136-1)*MAX(0,MIN(1,AG$135*1-Inputs!$C$60+1))/1</f>
        <v>1</v>
      </c>
      <c r="AH252" s="117" t="n">
        <f aca="false">Inputs!$C$57*(1+Inputs!$C$59)^(AH$136-1)*MAX(0,MIN(1,AH$135*1-Inputs!$C$60+1))/1</f>
        <v>1</v>
      </c>
      <c r="AI252" s="117" t="n">
        <f aca="false">Inputs!$C$57*(1+Inputs!$C$59)^(AI$136-1)*MAX(0,MIN(1,AI$135*1-Inputs!$C$60+1))/1</f>
        <v>1</v>
      </c>
      <c r="AJ252" s="117" t="n">
        <f aca="false">Inputs!$C$57*(1+Inputs!$C$59)^(AJ$136-1)*MAX(0,MIN(1,AJ$135*1-Inputs!$C$60+1))/1</f>
        <v>1</v>
      </c>
      <c r="AK252" s="117" t="n">
        <f aca="false">Inputs!$C$57*(1+Inputs!$C$59)^(AK$136-1)*MAX(0,MIN(1,AK$135*1-Inputs!$C$60+1))/1</f>
        <v>1</v>
      </c>
      <c r="AL252" s="117" t="n">
        <f aca="false">Inputs!$C$57*(1+Inputs!$C$59)^(AL$136-1)*MAX(0,MIN(1,AL$135*1-Inputs!$C$60+1))/1</f>
        <v>1</v>
      </c>
      <c r="AM252" s="117" t="n">
        <f aca="false">Inputs!$C$57*(1+Inputs!$C$59)^(AM$136-1)*MAX(0,MIN(1,AM$135*1-Inputs!$C$60+1))/1</f>
        <v>1</v>
      </c>
      <c r="AN252" s="117" t="n">
        <f aca="false">Inputs!$C$57*(1+Inputs!$C$59)^(AN$136-1)*MAX(0,MIN(1,AN$135*1-Inputs!$C$60+1))/1</f>
        <v>1</v>
      </c>
      <c r="AO252" s="117" t="n">
        <f aca="false">Inputs!$C$57*(1+Inputs!$C$59)^(AO$136-1)*MAX(0,MIN(1,AO$135*1-Inputs!$C$60+1))/1</f>
        <v>1</v>
      </c>
      <c r="AP252" s="117" t="n">
        <f aca="false">Inputs!$C$57*(1+Inputs!$C$59)^(AP$136-1)*MAX(0,MIN(1,AP$135*1-Inputs!$C$60+1))/1</f>
        <v>1</v>
      </c>
      <c r="AQ252" s="117" t="n">
        <f aca="false">Inputs!$C$57*(1+Inputs!$C$59)^(AQ$136-1)*MAX(0,MIN(1,AQ$135*1-Inputs!$C$60+1))/1</f>
        <v>1</v>
      </c>
      <c r="AR252" s="117" t="n">
        <f aca="false">Inputs!$C$57*(1+Inputs!$C$59)^(AR$136-1)*MAX(0,MIN(1,AR$135*1-Inputs!$C$60+1))/1</f>
        <v>1</v>
      </c>
      <c r="AS252" s="117" t="n">
        <f aca="false">Inputs!$C$57*(1+Inputs!$C$59)^(AS$136-1)*MAX(0,MIN(1,AS$135*1-Inputs!$C$60+1))/1</f>
        <v>1</v>
      </c>
      <c r="AT252" s="117" t="n">
        <f aca="false">Inputs!$C$57*(1+Inputs!$C$59)^(AT$136-1)*MAX(0,MIN(1,AT$135*1-Inputs!$C$60+1))/1</f>
        <v>1</v>
      </c>
      <c r="AU252" s="117" t="n">
        <f aca="false">Inputs!$C$57*(1+Inputs!$C$59)^(AU$136-1)*MAX(0,MIN(1,AU$135*1-Inputs!$C$60+1))/1</f>
        <v>1</v>
      </c>
      <c r="AV252" s="117" t="n">
        <f aca="false">Inputs!$C$57*(1+Inputs!$C$59)^(AV$136-1)*MAX(0,MIN(1,AV$135*1-Inputs!$C$60+1))/1</f>
        <v>1</v>
      </c>
      <c r="AW252" s="117" t="n">
        <f aca="false">Inputs!$C$57*(1+Inputs!$C$59)^(AW$136-1)*MAX(0,MIN(1,AW$135*1-Inputs!$C$60+1))/1</f>
        <v>1</v>
      </c>
      <c r="AX252" s="117" t="n">
        <f aca="false">Inputs!$C$57*(1+Inputs!$C$59)^(AX$136-1)*MAX(0,MIN(1,AX$135*1-Inputs!$C$60+1))/1</f>
        <v>1</v>
      </c>
      <c r="AY252" s="117" t="n">
        <f aca="false">Inputs!$C$57*(1+Inputs!$C$59)^(AY$136-1)*MAX(0,MIN(1,AY$135*1-Inputs!$C$60+1))/1</f>
        <v>1</v>
      </c>
      <c r="AZ252" s="117" t="n">
        <f aca="false">Inputs!$C$57*(1+Inputs!$C$59)^(AZ$136-1)*MAX(0,MIN(1,AZ$135*1-Inputs!$C$60+1))/1</f>
        <v>1</v>
      </c>
      <c r="BA252" s="117" t="n">
        <f aca="false">Inputs!$C$57*(1+Inputs!$C$59)^(BA$136-1)*MAX(0,MIN(1,BA$135*1-Inputs!$C$60+1))/1</f>
        <v>1</v>
      </c>
      <c r="BB252" s="117" t="n">
        <f aca="false">Inputs!$C$57*(1+Inputs!$C$59)^(BB$136-1)*MAX(0,MIN(1,BB$135*1-Inputs!$C$60+1))/1</f>
        <v>1</v>
      </c>
      <c r="BC252" s="117" t="n">
        <f aca="false">Inputs!$C$57*(1+Inputs!$C$59)^(BC$136-1)*MAX(0,MIN(1,BC$135*1-Inputs!$C$60+1))/1</f>
        <v>1</v>
      </c>
      <c r="BD252" s="117" t="n">
        <f aca="false">Inputs!$C$57*(1+Inputs!$C$59)^(BD$136-1)*MAX(0,MIN(1,BD$135*1-Inputs!$C$60+1))/1</f>
        <v>1</v>
      </c>
      <c r="BE252" s="117" t="n">
        <f aca="false">Inputs!$C$57*(1+Inputs!$C$59)^(BE$136-1)*MAX(0,MIN(1,BE$135*1-Inputs!$C$60+1))/1</f>
        <v>1</v>
      </c>
      <c r="BF252" s="117" t="n">
        <f aca="false">Inputs!$C$57*(1+Inputs!$C$59)^(BF$136-1)*MAX(0,MIN(1,BF$135*1-Inputs!$C$60+1))/1</f>
        <v>1</v>
      </c>
      <c r="BG252" s="117" t="n">
        <f aca="false">Inputs!$C$57*(1+Inputs!$C$59)^(BG$136-1)*MAX(0,MIN(1,BG$135*1-Inputs!$C$60+1))/1</f>
        <v>1</v>
      </c>
      <c r="BH252" s="117" t="n">
        <f aca="false">Inputs!$C$57*(1+Inputs!$C$59)^(BH$136-1)*MAX(0,MIN(1,BH$135*1-Inputs!$C$60+1))/1</f>
        <v>1</v>
      </c>
      <c r="BI252" s="117" t="n">
        <f aca="false">Inputs!$C$57*(1+Inputs!$C$59)^(BI$136-1)*MAX(0,MIN(1,BI$135*1-Inputs!$C$60+1))/1</f>
        <v>1</v>
      </c>
      <c r="BJ252" s="117" t="n">
        <f aca="false">Inputs!$C$57*(1+Inputs!$C$59)^(BJ$136-1)*MAX(0,MIN(1,BJ$135*1-Inputs!$C$60+1))/1</f>
        <v>1</v>
      </c>
    </row>
    <row r="253" customFormat="false" ht="15" hidden="false" customHeight="false" outlineLevel="0" collapsed="false">
      <c r="A253" s="6" t="s">
        <v>475</v>
      </c>
      <c r="C253" s="117" t="n">
        <f aca="false">Inputs!$C$61*(1+Inputs!$C$63)^(C$136-1)*MAX(0,MIN(1,C$135*1-Inputs!$C$64+1))/1</f>
        <v>10</v>
      </c>
      <c r="D253" s="117" t="n">
        <f aca="false">Inputs!$C$61*(1+Inputs!$C$63)^(D$136-1)*MAX(0,MIN(1,D$135*1-Inputs!$C$64+1))/1</f>
        <v>10</v>
      </c>
      <c r="E253" s="117" t="n">
        <f aca="false">Inputs!$C$61*(1+Inputs!$C$63)^(E$136-1)*MAX(0,MIN(1,E$135*1-Inputs!$C$64+1))/1</f>
        <v>10</v>
      </c>
      <c r="F253" s="117" t="n">
        <f aca="false">Inputs!$C$61*(1+Inputs!$C$63)^(F$136-1)*MAX(0,MIN(1,F$135*1-Inputs!$C$64+1))/1</f>
        <v>10</v>
      </c>
      <c r="G253" s="117" t="n">
        <f aca="false">Inputs!$C$61*(1+Inputs!$C$63)^(G$136-1)*MAX(0,MIN(1,G$135*1-Inputs!$C$64+1))/1</f>
        <v>10</v>
      </c>
      <c r="H253" s="117" t="n">
        <f aca="false">Inputs!$C$61*(1+Inputs!$C$63)^(H$136-1)*MAX(0,MIN(1,H$135*1-Inputs!$C$64+1))/1</f>
        <v>10</v>
      </c>
      <c r="I253" s="117" t="n">
        <f aca="false">Inputs!$C$61*(1+Inputs!$C$63)^(I$136-1)*MAX(0,MIN(1,I$135*1-Inputs!$C$64+1))/1</f>
        <v>10</v>
      </c>
      <c r="J253" s="117" t="n">
        <f aca="false">Inputs!$C$61*(1+Inputs!$C$63)^(J$136-1)*MAX(0,MIN(1,J$135*1-Inputs!$C$64+1))/1</f>
        <v>10</v>
      </c>
      <c r="K253" s="117" t="n">
        <f aca="false">Inputs!$C$61*(1+Inputs!$C$63)^(K$136-1)*MAX(0,MIN(1,K$135*1-Inputs!$C$64+1))/1</f>
        <v>10</v>
      </c>
      <c r="L253" s="117" t="n">
        <f aca="false">Inputs!$C$61*(1+Inputs!$C$63)^(L$136-1)*MAX(0,MIN(1,L$135*1-Inputs!$C$64+1))/1</f>
        <v>10</v>
      </c>
      <c r="M253" s="117" t="n">
        <f aca="false">Inputs!$C$61*(1+Inputs!$C$63)^(M$136-1)*MAX(0,MIN(1,M$135*1-Inputs!$C$64+1))/1</f>
        <v>10</v>
      </c>
      <c r="N253" s="117" t="n">
        <f aca="false">Inputs!$C$61*(1+Inputs!$C$63)^(N$136-1)*MAX(0,MIN(1,N$135*1-Inputs!$C$64+1))/1</f>
        <v>10</v>
      </c>
      <c r="O253" s="117" t="n">
        <f aca="false">Inputs!$C$61*(1+Inputs!$C$63)^(O$136-1)*MAX(0,MIN(1,O$135*1-Inputs!$C$64+1))/1</f>
        <v>10</v>
      </c>
      <c r="P253" s="117" t="n">
        <f aca="false">Inputs!$C$61*(1+Inputs!$C$63)^(P$136-1)*MAX(0,MIN(1,P$135*1-Inputs!$C$64+1))/1</f>
        <v>10</v>
      </c>
      <c r="Q253" s="117" t="n">
        <f aca="false">Inputs!$C$61*(1+Inputs!$C$63)^(Q$136-1)*MAX(0,MIN(1,Q$135*1-Inputs!$C$64+1))/1</f>
        <v>10</v>
      </c>
      <c r="R253" s="117" t="n">
        <f aca="false">Inputs!$C$61*(1+Inputs!$C$63)^(R$136-1)*MAX(0,MIN(1,R$135*1-Inputs!$C$64+1))/1</f>
        <v>10</v>
      </c>
      <c r="S253" s="117" t="n">
        <f aca="false">Inputs!$C$61*(1+Inputs!$C$63)^(S$136-1)*MAX(0,MIN(1,S$135*1-Inputs!$C$64+1))/1</f>
        <v>10</v>
      </c>
      <c r="T253" s="117" t="n">
        <f aca="false">Inputs!$C$61*(1+Inputs!$C$63)^(T$136-1)*MAX(0,MIN(1,T$135*1-Inputs!$C$64+1))/1</f>
        <v>10</v>
      </c>
      <c r="U253" s="117" t="n">
        <f aca="false">Inputs!$C$61*(1+Inputs!$C$63)^(U$136-1)*MAX(0,MIN(1,U$135*1-Inputs!$C$64+1))/1</f>
        <v>10</v>
      </c>
      <c r="V253" s="117" t="n">
        <f aca="false">Inputs!$C$61*(1+Inputs!$C$63)^(V$136-1)*MAX(0,MIN(1,V$135*1-Inputs!$C$64+1))/1</f>
        <v>10</v>
      </c>
      <c r="W253" s="117" t="n">
        <f aca="false">Inputs!$C$61*(1+Inputs!$C$63)^(W$136-1)*MAX(0,MIN(1,W$135*1-Inputs!$C$64+1))/1</f>
        <v>10</v>
      </c>
      <c r="X253" s="117" t="n">
        <f aca="false">Inputs!$C$61*(1+Inputs!$C$63)^(X$136-1)*MAX(0,MIN(1,X$135*1-Inputs!$C$64+1))/1</f>
        <v>10</v>
      </c>
      <c r="Y253" s="117" t="n">
        <f aca="false">Inputs!$C$61*(1+Inputs!$C$63)^(Y$136-1)*MAX(0,MIN(1,Y$135*1-Inputs!$C$64+1))/1</f>
        <v>10</v>
      </c>
      <c r="Z253" s="117" t="n">
        <f aca="false">Inputs!$C$61*(1+Inputs!$C$63)^(Z$136-1)*MAX(0,MIN(1,Z$135*1-Inputs!$C$64+1))/1</f>
        <v>10</v>
      </c>
      <c r="AA253" s="117" t="n">
        <f aca="false">Inputs!$C$61*(1+Inputs!$C$63)^(AA$136-1)*MAX(0,MIN(1,AA$135*1-Inputs!$C$64+1))/1</f>
        <v>10</v>
      </c>
      <c r="AB253" s="117" t="n">
        <f aca="false">Inputs!$C$61*(1+Inputs!$C$63)^(AB$136-1)*MAX(0,MIN(1,AB$135*1-Inputs!$C$64+1))/1</f>
        <v>10</v>
      </c>
      <c r="AC253" s="117" t="n">
        <f aca="false">Inputs!$C$61*(1+Inputs!$C$63)^(AC$136-1)*MAX(0,MIN(1,AC$135*1-Inputs!$C$64+1))/1</f>
        <v>10</v>
      </c>
      <c r="AD253" s="117" t="n">
        <f aca="false">Inputs!$C$61*(1+Inputs!$C$63)^(AD$136-1)*MAX(0,MIN(1,AD$135*1-Inputs!$C$64+1))/1</f>
        <v>10</v>
      </c>
      <c r="AE253" s="117" t="n">
        <f aca="false">Inputs!$C$61*(1+Inputs!$C$63)^(AE$136-1)*MAX(0,MIN(1,AE$135*1-Inputs!$C$64+1))/1</f>
        <v>10</v>
      </c>
      <c r="AF253" s="117" t="n">
        <f aca="false">Inputs!$C$61*(1+Inputs!$C$63)^(AF$136-1)*MAX(0,MIN(1,AF$135*1-Inputs!$C$64+1))/1</f>
        <v>10</v>
      </c>
      <c r="AG253" s="117" t="n">
        <f aca="false">Inputs!$C$61*(1+Inputs!$C$63)^(AG$136-1)*MAX(0,MIN(1,AG$135*1-Inputs!$C$64+1))/1</f>
        <v>10</v>
      </c>
      <c r="AH253" s="117" t="n">
        <f aca="false">Inputs!$C$61*(1+Inputs!$C$63)^(AH$136-1)*MAX(0,MIN(1,AH$135*1-Inputs!$C$64+1))/1</f>
        <v>10</v>
      </c>
      <c r="AI253" s="117" t="n">
        <f aca="false">Inputs!$C$61*(1+Inputs!$C$63)^(AI$136-1)*MAX(0,MIN(1,AI$135*1-Inputs!$C$64+1))/1</f>
        <v>10</v>
      </c>
      <c r="AJ253" s="117" t="n">
        <f aca="false">Inputs!$C$61*(1+Inputs!$C$63)^(AJ$136-1)*MAX(0,MIN(1,AJ$135*1-Inputs!$C$64+1))/1</f>
        <v>10</v>
      </c>
      <c r="AK253" s="117" t="n">
        <f aca="false">Inputs!$C$61*(1+Inputs!$C$63)^(AK$136-1)*MAX(0,MIN(1,AK$135*1-Inputs!$C$64+1))/1</f>
        <v>10</v>
      </c>
      <c r="AL253" s="117" t="n">
        <f aca="false">Inputs!$C$61*(1+Inputs!$C$63)^(AL$136-1)*MAX(0,MIN(1,AL$135*1-Inputs!$C$64+1))/1</f>
        <v>10</v>
      </c>
      <c r="AM253" s="117" t="n">
        <f aca="false">Inputs!$C$61*(1+Inputs!$C$63)^(AM$136-1)*MAX(0,MIN(1,AM$135*1-Inputs!$C$64+1))/1</f>
        <v>10</v>
      </c>
      <c r="AN253" s="117" t="n">
        <f aca="false">Inputs!$C$61*(1+Inputs!$C$63)^(AN$136-1)*MAX(0,MIN(1,AN$135*1-Inputs!$C$64+1))/1</f>
        <v>10</v>
      </c>
      <c r="AO253" s="117" t="n">
        <f aca="false">Inputs!$C$61*(1+Inputs!$C$63)^(AO$136-1)*MAX(0,MIN(1,AO$135*1-Inputs!$C$64+1))/1</f>
        <v>10</v>
      </c>
      <c r="AP253" s="117" t="n">
        <f aca="false">Inputs!$C$61*(1+Inputs!$C$63)^(AP$136-1)*MAX(0,MIN(1,AP$135*1-Inputs!$C$64+1))/1</f>
        <v>10</v>
      </c>
      <c r="AQ253" s="117" t="n">
        <f aca="false">Inputs!$C$61*(1+Inputs!$C$63)^(AQ$136-1)*MAX(0,MIN(1,AQ$135*1-Inputs!$C$64+1))/1</f>
        <v>10</v>
      </c>
      <c r="AR253" s="117" t="n">
        <f aca="false">Inputs!$C$61*(1+Inputs!$C$63)^(AR$136-1)*MAX(0,MIN(1,AR$135*1-Inputs!$C$64+1))/1</f>
        <v>10</v>
      </c>
      <c r="AS253" s="117" t="n">
        <f aca="false">Inputs!$C$61*(1+Inputs!$C$63)^(AS$136-1)*MAX(0,MIN(1,AS$135*1-Inputs!$C$64+1))/1</f>
        <v>10</v>
      </c>
      <c r="AT253" s="117" t="n">
        <f aca="false">Inputs!$C$61*(1+Inputs!$C$63)^(AT$136-1)*MAX(0,MIN(1,AT$135*1-Inputs!$C$64+1))/1</f>
        <v>10</v>
      </c>
      <c r="AU253" s="117" t="n">
        <f aca="false">Inputs!$C$61*(1+Inputs!$C$63)^(AU$136-1)*MAX(0,MIN(1,AU$135*1-Inputs!$C$64+1))/1</f>
        <v>10</v>
      </c>
      <c r="AV253" s="117" t="n">
        <f aca="false">Inputs!$C$61*(1+Inputs!$C$63)^(AV$136-1)*MAX(0,MIN(1,AV$135*1-Inputs!$C$64+1))/1</f>
        <v>10</v>
      </c>
      <c r="AW253" s="117" t="n">
        <f aca="false">Inputs!$C$61*(1+Inputs!$C$63)^(AW$136-1)*MAX(0,MIN(1,AW$135*1-Inputs!$C$64+1))/1</f>
        <v>10</v>
      </c>
      <c r="AX253" s="117" t="n">
        <f aca="false">Inputs!$C$61*(1+Inputs!$C$63)^(AX$136-1)*MAX(0,MIN(1,AX$135*1-Inputs!$C$64+1))/1</f>
        <v>10</v>
      </c>
      <c r="AY253" s="117" t="n">
        <f aca="false">Inputs!$C$61*(1+Inputs!$C$63)^(AY$136-1)*MAX(0,MIN(1,AY$135*1-Inputs!$C$64+1))/1</f>
        <v>10</v>
      </c>
      <c r="AZ253" s="117" t="n">
        <f aca="false">Inputs!$C$61*(1+Inputs!$C$63)^(AZ$136-1)*MAX(0,MIN(1,AZ$135*1-Inputs!$C$64+1))/1</f>
        <v>10</v>
      </c>
      <c r="BA253" s="117" t="n">
        <f aca="false">Inputs!$C$61*(1+Inputs!$C$63)^(BA$136-1)*MAX(0,MIN(1,BA$135*1-Inputs!$C$64+1))/1</f>
        <v>10</v>
      </c>
      <c r="BB253" s="117" t="n">
        <f aca="false">Inputs!$C$61*(1+Inputs!$C$63)^(BB$136-1)*MAX(0,MIN(1,BB$135*1-Inputs!$C$64+1))/1</f>
        <v>10</v>
      </c>
      <c r="BC253" s="117" t="n">
        <f aca="false">Inputs!$C$61*(1+Inputs!$C$63)^(BC$136-1)*MAX(0,MIN(1,BC$135*1-Inputs!$C$64+1))/1</f>
        <v>10</v>
      </c>
      <c r="BD253" s="117" t="n">
        <f aca="false">Inputs!$C$61*(1+Inputs!$C$63)^(BD$136-1)*MAX(0,MIN(1,BD$135*1-Inputs!$C$64+1))/1</f>
        <v>10</v>
      </c>
      <c r="BE253" s="117" t="n">
        <f aca="false">Inputs!$C$61*(1+Inputs!$C$63)^(BE$136-1)*MAX(0,MIN(1,BE$135*1-Inputs!$C$64+1))/1</f>
        <v>10</v>
      </c>
      <c r="BF253" s="117" t="n">
        <f aca="false">Inputs!$C$61*(1+Inputs!$C$63)^(BF$136-1)*MAX(0,MIN(1,BF$135*1-Inputs!$C$64+1))/1</f>
        <v>10</v>
      </c>
      <c r="BG253" s="117" t="n">
        <f aca="false">Inputs!$C$61*(1+Inputs!$C$63)^(BG$136-1)*MAX(0,MIN(1,BG$135*1-Inputs!$C$64+1))/1</f>
        <v>10</v>
      </c>
      <c r="BH253" s="117" t="n">
        <f aca="false">Inputs!$C$61*(1+Inputs!$C$63)^(BH$136-1)*MAX(0,MIN(1,BH$135*1-Inputs!$C$64+1))/1</f>
        <v>10</v>
      </c>
      <c r="BI253" s="117" t="n">
        <f aca="false">Inputs!$C$61*(1+Inputs!$C$63)^(BI$136-1)*MAX(0,MIN(1,BI$135*1-Inputs!$C$64+1))/1</f>
        <v>10</v>
      </c>
      <c r="BJ253" s="117" t="n">
        <f aca="false">Inputs!$C$61*(1+Inputs!$C$63)^(BJ$136-1)*MAX(0,MIN(1,BJ$135*1-Inputs!$C$64+1))/1</f>
        <v>10</v>
      </c>
    </row>
    <row r="254" customFormat="false" ht="15" hidden="false" customHeight="false" outlineLevel="0" collapsed="false">
      <c r="A254" s="113" t="s">
        <v>476</v>
      </c>
      <c r="C254" s="123" t="n">
        <f aca="false">C252+C253</f>
        <v>11</v>
      </c>
      <c r="D254" s="123" t="n">
        <f aca="false">D252+D253</f>
        <v>11</v>
      </c>
      <c r="E254" s="123" t="n">
        <f aca="false">E252+E253</f>
        <v>11</v>
      </c>
      <c r="F254" s="123" t="n">
        <f aca="false">F252+F253</f>
        <v>11</v>
      </c>
      <c r="G254" s="123" t="n">
        <f aca="false">G252+G253</f>
        <v>11</v>
      </c>
      <c r="H254" s="123" t="n">
        <f aca="false">H252+H253</f>
        <v>11</v>
      </c>
      <c r="I254" s="123" t="n">
        <f aca="false">I252+I253</f>
        <v>11</v>
      </c>
      <c r="J254" s="123" t="n">
        <f aca="false">J252+J253</f>
        <v>11</v>
      </c>
      <c r="K254" s="123" t="n">
        <f aca="false">K252+K253</f>
        <v>11</v>
      </c>
      <c r="L254" s="123" t="n">
        <f aca="false">L252+L253</f>
        <v>11</v>
      </c>
      <c r="M254" s="123" t="n">
        <f aca="false">M252+M253</f>
        <v>11</v>
      </c>
      <c r="N254" s="123" t="n">
        <f aca="false">N252+N253</f>
        <v>11</v>
      </c>
      <c r="O254" s="123" t="n">
        <f aca="false">O252+O253</f>
        <v>11</v>
      </c>
      <c r="P254" s="123" t="n">
        <f aca="false">P252+P253</f>
        <v>11</v>
      </c>
      <c r="Q254" s="123" t="n">
        <f aca="false">Q252+Q253</f>
        <v>11</v>
      </c>
      <c r="R254" s="123" t="n">
        <f aca="false">R252+R253</f>
        <v>11</v>
      </c>
      <c r="S254" s="123" t="n">
        <f aca="false">S252+S253</f>
        <v>11</v>
      </c>
      <c r="T254" s="123" t="n">
        <f aca="false">T252+T253</f>
        <v>11</v>
      </c>
      <c r="U254" s="123" t="n">
        <f aca="false">U252+U253</f>
        <v>11</v>
      </c>
      <c r="V254" s="123" t="n">
        <f aca="false">V252+V253</f>
        <v>11</v>
      </c>
      <c r="W254" s="123" t="n">
        <f aca="false">W252+W253</f>
        <v>11</v>
      </c>
      <c r="X254" s="123" t="n">
        <f aca="false">X252+X253</f>
        <v>11</v>
      </c>
      <c r="Y254" s="123" t="n">
        <f aca="false">Y252+Y253</f>
        <v>11</v>
      </c>
      <c r="Z254" s="123" t="n">
        <f aca="false">Z252+Z253</f>
        <v>11</v>
      </c>
      <c r="AA254" s="123" t="n">
        <f aca="false">AA252+AA253</f>
        <v>11</v>
      </c>
      <c r="AB254" s="123" t="n">
        <f aca="false">AB252+AB253</f>
        <v>11</v>
      </c>
      <c r="AC254" s="123" t="n">
        <f aca="false">AC252+AC253</f>
        <v>11</v>
      </c>
      <c r="AD254" s="123" t="n">
        <f aca="false">AD252+AD253</f>
        <v>11</v>
      </c>
      <c r="AE254" s="123" t="n">
        <f aca="false">AE252+AE253</f>
        <v>11</v>
      </c>
      <c r="AF254" s="123" t="n">
        <f aca="false">AF252+AF253</f>
        <v>11</v>
      </c>
      <c r="AG254" s="123" t="n">
        <f aca="false">AG252+AG253</f>
        <v>11</v>
      </c>
      <c r="AH254" s="123" t="n">
        <f aca="false">AH252+AH253</f>
        <v>11</v>
      </c>
      <c r="AI254" s="123" t="n">
        <f aca="false">AI252+AI253</f>
        <v>11</v>
      </c>
      <c r="AJ254" s="123" t="n">
        <f aca="false">AJ252+AJ253</f>
        <v>11</v>
      </c>
      <c r="AK254" s="123" t="n">
        <f aca="false">AK252+AK253</f>
        <v>11</v>
      </c>
      <c r="AL254" s="123" t="n">
        <f aca="false">AL252+AL253</f>
        <v>11</v>
      </c>
      <c r="AM254" s="123" t="n">
        <f aca="false">AM252+AM253</f>
        <v>11</v>
      </c>
      <c r="AN254" s="123" t="n">
        <f aca="false">AN252+AN253</f>
        <v>11</v>
      </c>
      <c r="AO254" s="123" t="n">
        <f aca="false">AO252+AO253</f>
        <v>11</v>
      </c>
      <c r="AP254" s="123" t="n">
        <f aca="false">AP252+AP253</f>
        <v>11</v>
      </c>
      <c r="AQ254" s="123" t="n">
        <f aca="false">AQ252+AQ253</f>
        <v>11</v>
      </c>
      <c r="AR254" s="123" t="n">
        <f aca="false">AR252+AR253</f>
        <v>11</v>
      </c>
      <c r="AS254" s="123" t="n">
        <f aca="false">AS252+AS253</f>
        <v>11</v>
      </c>
      <c r="AT254" s="123" t="n">
        <f aca="false">AT252+AT253</f>
        <v>11</v>
      </c>
      <c r="AU254" s="123" t="n">
        <f aca="false">AU252+AU253</f>
        <v>11</v>
      </c>
      <c r="AV254" s="123" t="n">
        <f aca="false">AV252+AV253</f>
        <v>11</v>
      </c>
      <c r="AW254" s="123" t="n">
        <f aca="false">AW252+AW253</f>
        <v>11</v>
      </c>
      <c r="AX254" s="123" t="n">
        <f aca="false">AX252+AX253</f>
        <v>11</v>
      </c>
      <c r="AY254" s="123" t="n">
        <f aca="false">AY252+AY253</f>
        <v>11</v>
      </c>
      <c r="AZ254" s="123" t="n">
        <f aca="false">AZ252+AZ253</f>
        <v>11</v>
      </c>
      <c r="BA254" s="123" t="n">
        <f aca="false">BA252+BA253</f>
        <v>11</v>
      </c>
      <c r="BB254" s="123" t="n">
        <f aca="false">BB252+BB253</f>
        <v>11</v>
      </c>
      <c r="BC254" s="123" t="n">
        <f aca="false">BC252+BC253</f>
        <v>11</v>
      </c>
      <c r="BD254" s="123" t="n">
        <f aca="false">BD252+BD253</f>
        <v>11</v>
      </c>
      <c r="BE254" s="123" t="n">
        <f aca="false">BE252+BE253</f>
        <v>11</v>
      </c>
      <c r="BF254" s="123" t="n">
        <f aca="false">BF252+BF253</f>
        <v>11</v>
      </c>
      <c r="BG254" s="123" t="n">
        <f aca="false">BG252+BG253</f>
        <v>11</v>
      </c>
      <c r="BH254" s="123" t="n">
        <f aca="false">BH252+BH253</f>
        <v>11</v>
      </c>
      <c r="BI254" s="123" t="n">
        <f aca="false">BI252+BI253</f>
        <v>11</v>
      </c>
      <c r="BJ254" s="123" t="n">
        <f aca="false">BJ252+BJ253</f>
        <v>11</v>
      </c>
    </row>
    <row r="256" customFormat="false" ht="15.75" hidden="false" customHeight="true" outlineLevel="0" collapsed="false">
      <c r="A256" s="7" t="s">
        <v>477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6" t="s">
        <v>478</v>
      </c>
      <c r="C257" s="69" t="n">
        <f aca="false">-C252*Inputs!$C$58/12*1*(1+Inputs!$C$65)*(1+Inputs!$C$66)^(C$136-1)</f>
        <v>-6720</v>
      </c>
      <c r="D257" s="69" t="n">
        <f aca="false">-D252*Inputs!$C$58/12*1*(1+Inputs!$C$65)*(1+Inputs!$C$66)^(D$136-1)</f>
        <v>-6720</v>
      </c>
      <c r="E257" s="69" t="n">
        <f aca="false">-E252*Inputs!$C$58/12*1*(1+Inputs!$C$65)*(1+Inputs!$C$66)^(E$136-1)</f>
        <v>-6720</v>
      </c>
      <c r="F257" s="69" t="n">
        <f aca="false">-F252*Inputs!$C$58/12*1*(1+Inputs!$C$65)*(1+Inputs!$C$66)^(F$136-1)</f>
        <v>-6720</v>
      </c>
      <c r="G257" s="69" t="n">
        <f aca="false">-G252*Inputs!$C$58/12*1*(1+Inputs!$C$65)*(1+Inputs!$C$66)^(G$136-1)</f>
        <v>-6720</v>
      </c>
      <c r="H257" s="69" t="n">
        <f aca="false">-H252*Inputs!$C$58/12*1*(1+Inputs!$C$65)*(1+Inputs!$C$66)^(H$136-1)</f>
        <v>-6720</v>
      </c>
      <c r="I257" s="69" t="n">
        <f aca="false">-I252*Inputs!$C$58/12*1*(1+Inputs!$C$65)*(1+Inputs!$C$66)^(I$136-1)</f>
        <v>-6720</v>
      </c>
      <c r="J257" s="69" t="n">
        <f aca="false">-J252*Inputs!$C$58/12*1*(1+Inputs!$C$65)*(1+Inputs!$C$66)^(J$136-1)</f>
        <v>-6720</v>
      </c>
      <c r="K257" s="69" t="n">
        <f aca="false">-K252*Inputs!$C$58/12*1*(1+Inputs!$C$65)*(1+Inputs!$C$66)^(K$136-1)</f>
        <v>-6720</v>
      </c>
      <c r="L257" s="69" t="n">
        <f aca="false">-L252*Inputs!$C$58/12*1*(1+Inputs!$C$65)*(1+Inputs!$C$66)^(L$136-1)</f>
        <v>-6720</v>
      </c>
      <c r="M257" s="69" t="n">
        <f aca="false">-M252*Inputs!$C$58/12*1*(1+Inputs!$C$65)*(1+Inputs!$C$66)^(M$136-1)</f>
        <v>-6720</v>
      </c>
      <c r="N257" s="69" t="n">
        <f aca="false">-N252*Inputs!$C$58/12*1*(1+Inputs!$C$65)*(1+Inputs!$C$66)^(N$136-1)</f>
        <v>-6720</v>
      </c>
      <c r="O257" s="69" t="n">
        <f aca="false">-O252*Inputs!$C$58/12*1*(1+Inputs!$C$65)*(1+Inputs!$C$66)^(O$136-1)</f>
        <v>-6921.6</v>
      </c>
      <c r="P257" s="69" t="n">
        <f aca="false">-P252*Inputs!$C$58/12*1*(1+Inputs!$C$65)*(1+Inputs!$C$66)^(P$136-1)</f>
        <v>-6921.6</v>
      </c>
      <c r="Q257" s="69" t="n">
        <f aca="false">-Q252*Inputs!$C$58/12*1*(1+Inputs!$C$65)*(1+Inputs!$C$66)^(Q$136-1)</f>
        <v>-6921.6</v>
      </c>
      <c r="R257" s="69" t="n">
        <f aca="false">-R252*Inputs!$C$58/12*1*(1+Inputs!$C$65)*(1+Inputs!$C$66)^(R$136-1)</f>
        <v>-6921.6</v>
      </c>
      <c r="S257" s="69" t="n">
        <f aca="false">-S252*Inputs!$C$58/12*1*(1+Inputs!$C$65)*(1+Inputs!$C$66)^(S$136-1)</f>
        <v>-6921.6</v>
      </c>
      <c r="T257" s="69" t="n">
        <f aca="false">-T252*Inputs!$C$58/12*1*(1+Inputs!$C$65)*(1+Inputs!$C$66)^(T$136-1)</f>
        <v>-6921.6</v>
      </c>
      <c r="U257" s="69" t="n">
        <f aca="false">-U252*Inputs!$C$58/12*1*(1+Inputs!$C$65)*(1+Inputs!$C$66)^(U$136-1)</f>
        <v>-6921.6</v>
      </c>
      <c r="V257" s="69" t="n">
        <f aca="false">-V252*Inputs!$C$58/12*1*(1+Inputs!$C$65)*(1+Inputs!$C$66)^(V$136-1)</f>
        <v>-6921.6</v>
      </c>
      <c r="W257" s="69" t="n">
        <f aca="false">-W252*Inputs!$C$58/12*1*(1+Inputs!$C$65)*(1+Inputs!$C$66)^(W$136-1)</f>
        <v>-6921.6</v>
      </c>
      <c r="X257" s="69" t="n">
        <f aca="false">-X252*Inputs!$C$58/12*1*(1+Inputs!$C$65)*(1+Inputs!$C$66)^(X$136-1)</f>
        <v>-6921.6</v>
      </c>
      <c r="Y257" s="69" t="n">
        <f aca="false">-Y252*Inputs!$C$58/12*1*(1+Inputs!$C$65)*(1+Inputs!$C$66)^(Y$136-1)</f>
        <v>-6921.6</v>
      </c>
      <c r="Z257" s="69" t="n">
        <f aca="false">-Z252*Inputs!$C$58/12*1*(1+Inputs!$C$65)*(1+Inputs!$C$66)^(Z$136-1)</f>
        <v>-6921.6</v>
      </c>
      <c r="AA257" s="69" t="n">
        <f aca="false">-AA252*Inputs!$C$58/12*1*(1+Inputs!$C$65)*(1+Inputs!$C$66)^(AA$136-1)</f>
        <v>-7129.248</v>
      </c>
      <c r="AB257" s="69" t="n">
        <f aca="false">-AB252*Inputs!$C$58/12*1*(1+Inputs!$C$65)*(1+Inputs!$C$66)^(AB$136-1)</f>
        <v>-7129.248</v>
      </c>
      <c r="AC257" s="69" t="n">
        <f aca="false">-AC252*Inputs!$C$58/12*1*(1+Inputs!$C$65)*(1+Inputs!$C$66)^(AC$136-1)</f>
        <v>-7129.248</v>
      </c>
      <c r="AD257" s="69" t="n">
        <f aca="false">-AD252*Inputs!$C$58/12*1*(1+Inputs!$C$65)*(1+Inputs!$C$66)^(AD$136-1)</f>
        <v>-7129.248</v>
      </c>
      <c r="AE257" s="69" t="n">
        <f aca="false">-AE252*Inputs!$C$58/12*1*(1+Inputs!$C$65)*(1+Inputs!$C$66)^(AE$136-1)</f>
        <v>-7129.248</v>
      </c>
      <c r="AF257" s="69" t="n">
        <f aca="false">-AF252*Inputs!$C$58/12*1*(1+Inputs!$C$65)*(1+Inputs!$C$66)^(AF$136-1)</f>
        <v>-7129.248</v>
      </c>
      <c r="AG257" s="69" t="n">
        <f aca="false">-AG252*Inputs!$C$58/12*1*(1+Inputs!$C$65)*(1+Inputs!$C$66)^(AG$136-1)</f>
        <v>-7129.248</v>
      </c>
      <c r="AH257" s="69" t="n">
        <f aca="false">-AH252*Inputs!$C$58/12*1*(1+Inputs!$C$65)*(1+Inputs!$C$66)^(AH$136-1)</f>
        <v>-7129.248</v>
      </c>
      <c r="AI257" s="69" t="n">
        <f aca="false">-AI252*Inputs!$C$58/12*1*(1+Inputs!$C$65)*(1+Inputs!$C$66)^(AI$136-1)</f>
        <v>-7129.248</v>
      </c>
      <c r="AJ257" s="69" t="n">
        <f aca="false">-AJ252*Inputs!$C$58/12*1*(1+Inputs!$C$65)*(1+Inputs!$C$66)^(AJ$136-1)</f>
        <v>-7129.248</v>
      </c>
      <c r="AK257" s="69" t="n">
        <f aca="false">-AK252*Inputs!$C$58/12*1*(1+Inputs!$C$65)*(1+Inputs!$C$66)^(AK$136-1)</f>
        <v>-7129.248</v>
      </c>
      <c r="AL257" s="69" t="n">
        <f aca="false">-AL252*Inputs!$C$58/12*1*(1+Inputs!$C$65)*(1+Inputs!$C$66)^(AL$136-1)</f>
        <v>-7129.248</v>
      </c>
      <c r="AM257" s="69" t="n">
        <f aca="false">-AM252*Inputs!$C$58/12*1*(1+Inputs!$C$65)*(1+Inputs!$C$66)^(AM$136-1)</f>
        <v>-7343.12544</v>
      </c>
      <c r="AN257" s="69" t="n">
        <f aca="false">-AN252*Inputs!$C$58/12*1*(1+Inputs!$C$65)*(1+Inputs!$C$66)^(AN$136-1)</f>
        <v>-7343.12544</v>
      </c>
      <c r="AO257" s="69" t="n">
        <f aca="false">-AO252*Inputs!$C$58/12*1*(1+Inputs!$C$65)*(1+Inputs!$C$66)^(AO$136-1)</f>
        <v>-7343.12544</v>
      </c>
      <c r="AP257" s="69" t="n">
        <f aca="false">-AP252*Inputs!$C$58/12*1*(1+Inputs!$C$65)*(1+Inputs!$C$66)^(AP$136-1)</f>
        <v>-7343.12544</v>
      </c>
      <c r="AQ257" s="69" t="n">
        <f aca="false">-AQ252*Inputs!$C$58/12*1*(1+Inputs!$C$65)*(1+Inputs!$C$66)^(AQ$136-1)</f>
        <v>-7343.12544</v>
      </c>
      <c r="AR257" s="69" t="n">
        <f aca="false">-AR252*Inputs!$C$58/12*1*(1+Inputs!$C$65)*(1+Inputs!$C$66)^(AR$136-1)</f>
        <v>-7343.12544</v>
      </c>
      <c r="AS257" s="69" t="n">
        <f aca="false">-AS252*Inputs!$C$58/12*1*(1+Inputs!$C$65)*(1+Inputs!$C$66)^(AS$136-1)</f>
        <v>-7343.12544</v>
      </c>
      <c r="AT257" s="69" t="n">
        <f aca="false">-AT252*Inputs!$C$58/12*1*(1+Inputs!$C$65)*(1+Inputs!$C$66)^(AT$136-1)</f>
        <v>-7343.12544</v>
      </c>
      <c r="AU257" s="69" t="n">
        <f aca="false">-AU252*Inputs!$C$58/12*1*(1+Inputs!$C$65)*(1+Inputs!$C$66)^(AU$136-1)</f>
        <v>-7343.12544</v>
      </c>
      <c r="AV257" s="69" t="n">
        <f aca="false">-AV252*Inputs!$C$58/12*1*(1+Inputs!$C$65)*(1+Inputs!$C$66)^(AV$136-1)</f>
        <v>-7343.12544</v>
      </c>
      <c r="AW257" s="69" t="n">
        <f aca="false">-AW252*Inputs!$C$58/12*1*(1+Inputs!$C$65)*(1+Inputs!$C$66)^(AW$136-1)</f>
        <v>-7343.12544</v>
      </c>
      <c r="AX257" s="69" t="n">
        <f aca="false">-AX252*Inputs!$C$58/12*1*(1+Inputs!$C$65)*(1+Inputs!$C$66)^(AX$136-1)</f>
        <v>-7343.12544</v>
      </c>
      <c r="AY257" s="69" t="n">
        <f aca="false">-AY252*Inputs!$C$58/12*1*(1+Inputs!$C$65)*(1+Inputs!$C$66)^(AY$136-1)</f>
        <v>-7563.4192032</v>
      </c>
      <c r="AZ257" s="69" t="n">
        <f aca="false">-AZ252*Inputs!$C$58/12*1*(1+Inputs!$C$65)*(1+Inputs!$C$66)^(AZ$136-1)</f>
        <v>-7563.4192032</v>
      </c>
      <c r="BA257" s="69" t="n">
        <f aca="false">-BA252*Inputs!$C$58/12*1*(1+Inputs!$C$65)*(1+Inputs!$C$66)^(BA$136-1)</f>
        <v>-7563.4192032</v>
      </c>
      <c r="BB257" s="69" t="n">
        <f aca="false">-BB252*Inputs!$C$58/12*1*(1+Inputs!$C$65)*(1+Inputs!$C$66)^(BB$136-1)</f>
        <v>-7563.4192032</v>
      </c>
      <c r="BC257" s="69" t="n">
        <f aca="false">-BC252*Inputs!$C$58/12*1*(1+Inputs!$C$65)*(1+Inputs!$C$66)^(BC$136-1)</f>
        <v>-7563.4192032</v>
      </c>
      <c r="BD257" s="69" t="n">
        <f aca="false">-BD252*Inputs!$C$58/12*1*(1+Inputs!$C$65)*(1+Inputs!$C$66)^(BD$136-1)</f>
        <v>-7563.4192032</v>
      </c>
      <c r="BE257" s="69" t="n">
        <f aca="false">-BE252*Inputs!$C$58/12*1*(1+Inputs!$C$65)*(1+Inputs!$C$66)^(BE$136-1)</f>
        <v>-7563.4192032</v>
      </c>
      <c r="BF257" s="69" t="n">
        <f aca="false">-BF252*Inputs!$C$58/12*1*(1+Inputs!$C$65)*(1+Inputs!$C$66)^(BF$136-1)</f>
        <v>-7563.4192032</v>
      </c>
      <c r="BG257" s="69" t="n">
        <f aca="false">-BG252*Inputs!$C$58/12*1*(1+Inputs!$C$65)*(1+Inputs!$C$66)^(BG$136-1)</f>
        <v>-7563.4192032</v>
      </c>
      <c r="BH257" s="69" t="n">
        <f aca="false">-BH252*Inputs!$C$58/12*1*(1+Inputs!$C$65)*(1+Inputs!$C$66)^(BH$136-1)</f>
        <v>-7563.4192032</v>
      </c>
      <c r="BI257" s="69" t="n">
        <f aca="false">-BI252*Inputs!$C$58/12*1*(1+Inputs!$C$65)*(1+Inputs!$C$66)^(BI$136-1)</f>
        <v>-7563.4192032</v>
      </c>
      <c r="BJ257" s="69" t="n">
        <f aca="false">-BJ252*Inputs!$C$58/12*1*(1+Inputs!$C$65)*(1+Inputs!$C$66)^(BJ$136-1)</f>
        <v>-7563.4192032</v>
      </c>
    </row>
    <row r="258" customFormat="false" ht="15" hidden="false" customHeight="false" outlineLevel="0" collapsed="false">
      <c r="A258" s="6" t="s">
        <v>479</v>
      </c>
      <c r="C258" s="69" t="n">
        <f aca="false">-C253*Inputs!$C$62/12*1*(1+Inputs!$C$65)*(1+Inputs!$C$66)^(C$136-1)</f>
        <v>-29866.6666666667</v>
      </c>
      <c r="D258" s="69" t="n">
        <f aca="false">-D253*Inputs!$C$62/12*1*(1+Inputs!$C$65)*(1+Inputs!$C$66)^(D$136-1)</f>
        <v>-29866.6666666667</v>
      </c>
      <c r="E258" s="69" t="n">
        <f aca="false">-E253*Inputs!$C$62/12*1*(1+Inputs!$C$65)*(1+Inputs!$C$66)^(E$136-1)</f>
        <v>-29866.6666666667</v>
      </c>
      <c r="F258" s="69" t="n">
        <f aca="false">-F253*Inputs!$C$62/12*1*(1+Inputs!$C$65)*(1+Inputs!$C$66)^(F$136-1)</f>
        <v>-29866.6666666667</v>
      </c>
      <c r="G258" s="69" t="n">
        <f aca="false">-G253*Inputs!$C$62/12*1*(1+Inputs!$C$65)*(1+Inputs!$C$66)^(G$136-1)</f>
        <v>-29866.6666666667</v>
      </c>
      <c r="H258" s="69" t="n">
        <f aca="false">-H253*Inputs!$C$62/12*1*(1+Inputs!$C$65)*(1+Inputs!$C$66)^(H$136-1)</f>
        <v>-29866.6666666667</v>
      </c>
      <c r="I258" s="69" t="n">
        <f aca="false">-I253*Inputs!$C$62/12*1*(1+Inputs!$C$65)*(1+Inputs!$C$66)^(I$136-1)</f>
        <v>-29866.6666666667</v>
      </c>
      <c r="J258" s="69" t="n">
        <f aca="false">-J253*Inputs!$C$62/12*1*(1+Inputs!$C$65)*(1+Inputs!$C$66)^(J$136-1)</f>
        <v>-29866.6666666667</v>
      </c>
      <c r="K258" s="69" t="n">
        <f aca="false">-K253*Inputs!$C$62/12*1*(1+Inputs!$C$65)*(1+Inputs!$C$66)^(K$136-1)</f>
        <v>-29866.6666666667</v>
      </c>
      <c r="L258" s="69" t="n">
        <f aca="false">-L253*Inputs!$C$62/12*1*(1+Inputs!$C$65)*(1+Inputs!$C$66)^(L$136-1)</f>
        <v>-29866.6666666667</v>
      </c>
      <c r="M258" s="69" t="n">
        <f aca="false">-M253*Inputs!$C$62/12*1*(1+Inputs!$C$65)*(1+Inputs!$C$66)^(M$136-1)</f>
        <v>-29866.6666666667</v>
      </c>
      <c r="N258" s="69" t="n">
        <f aca="false">-N253*Inputs!$C$62/12*1*(1+Inputs!$C$65)*(1+Inputs!$C$66)^(N$136-1)</f>
        <v>-29866.6666666667</v>
      </c>
      <c r="O258" s="69" t="n">
        <f aca="false">-O253*Inputs!$C$62/12*1*(1+Inputs!$C$65)*(1+Inputs!$C$66)^(O$136-1)</f>
        <v>-30762.6666666667</v>
      </c>
      <c r="P258" s="69" t="n">
        <f aca="false">-P253*Inputs!$C$62/12*1*(1+Inputs!$C$65)*(1+Inputs!$C$66)^(P$136-1)</f>
        <v>-30762.6666666667</v>
      </c>
      <c r="Q258" s="69" t="n">
        <f aca="false">-Q253*Inputs!$C$62/12*1*(1+Inputs!$C$65)*(1+Inputs!$C$66)^(Q$136-1)</f>
        <v>-30762.6666666667</v>
      </c>
      <c r="R258" s="69" t="n">
        <f aca="false">-R253*Inputs!$C$62/12*1*(1+Inputs!$C$65)*(1+Inputs!$C$66)^(R$136-1)</f>
        <v>-30762.6666666667</v>
      </c>
      <c r="S258" s="69" t="n">
        <f aca="false">-S253*Inputs!$C$62/12*1*(1+Inputs!$C$65)*(1+Inputs!$C$66)^(S$136-1)</f>
        <v>-30762.6666666667</v>
      </c>
      <c r="T258" s="69" t="n">
        <f aca="false">-T253*Inputs!$C$62/12*1*(1+Inputs!$C$65)*(1+Inputs!$C$66)^(T$136-1)</f>
        <v>-30762.6666666667</v>
      </c>
      <c r="U258" s="69" t="n">
        <f aca="false">-U253*Inputs!$C$62/12*1*(1+Inputs!$C$65)*(1+Inputs!$C$66)^(U$136-1)</f>
        <v>-30762.6666666667</v>
      </c>
      <c r="V258" s="69" t="n">
        <f aca="false">-V253*Inputs!$C$62/12*1*(1+Inputs!$C$65)*(1+Inputs!$C$66)^(V$136-1)</f>
        <v>-30762.6666666667</v>
      </c>
      <c r="W258" s="69" t="n">
        <f aca="false">-W253*Inputs!$C$62/12*1*(1+Inputs!$C$65)*(1+Inputs!$C$66)^(W$136-1)</f>
        <v>-30762.6666666667</v>
      </c>
      <c r="X258" s="69" t="n">
        <f aca="false">-X253*Inputs!$C$62/12*1*(1+Inputs!$C$65)*(1+Inputs!$C$66)^(X$136-1)</f>
        <v>-30762.6666666667</v>
      </c>
      <c r="Y258" s="69" t="n">
        <f aca="false">-Y253*Inputs!$C$62/12*1*(1+Inputs!$C$65)*(1+Inputs!$C$66)^(Y$136-1)</f>
        <v>-30762.6666666667</v>
      </c>
      <c r="Z258" s="69" t="n">
        <f aca="false">-Z253*Inputs!$C$62/12*1*(1+Inputs!$C$65)*(1+Inputs!$C$66)^(Z$136-1)</f>
        <v>-30762.6666666667</v>
      </c>
      <c r="AA258" s="69" t="n">
        <f aca="false">-AA253*Inputs!$C$62/12*1*(1+Inputs!$C$65)*(1+Inputs!$C$66)^(AA$136-1)</f>
        <v>-31685.5466666667</v>
      </c>
      <c r="AB258" s="69" t="n">
        <f aca="false">-AB253*Inputs!$C$62/12*1*(1+Inputs!$C$65)*(1+Inputs!$C$66)^(AB$136-1)</f>
        <v>-31685.5466666667</v>
      </c>
      <c r="AC258" s="69" t="n">
        <f aca="false">-AC253*Inputs!$C$62/12*1*(1+Inputs!$C$65)*(1+Inputs!$C$66)^(AC$136-1)</f>
        <v>-31685.5466666667</v>
      </c>
      <c r="AD258" s="69" t="n">
        <f aca="false">-AD253*Inputs!$C$62/12*1*(1+Inputs!$C$65)*(1+Inputs!$C$66)^(AD$136-1)</f>
        <v>-31685.5466666667</v>
      </c>
      <c r="AE258" s="69" t="n">
        <f aca="false">-AE253*Inputs!$C$62/12*1*(1+Inputs!$C$65)*(1+Inputs!$C$66)^(AE$136-1)</f>
        <v>-31685.5466666667</v>
      </c>
      <c r="AF258" s="69" t="n">
        <f aca="false">-AF253*Inputs!$C$62/12*1*(1+Inputs!$C$65)*(1+Inputs!$C$66)^(AF$136-1)</f>
        <v>-31685.5466666667</v>
      </c>
      <c r="AG258" s="69" t="n">
        <f aca="false">-AG253*Inputs!$C$62/12*1*(1+Inputs!$C$65)*(1+Inputs!$C$66)^(AG$136-1)</f>
        <v>-31685.5466666667</v>
      </c>
      <c r="AH258" s="69" t="n">
        <f aca="false">-AH253*Inputs!$C$62/12*1*(1+Inputs!$C$65)*(1+Inputs!$C$66)^(AH$136-1)</f>
        <v>-31685.5466666667</v>
      </c>
      <c r="AI258" s="69" t="n">
        <f aca="false">-AI253*Inputs!$C$62/12*1*(1+Inputs!$C$65)*(1+Inputs!$C$66)^(AI$136-1)</f>
        <v>-31685.5466666667</v>
      </c>
      <c r="AJ258" s="69" t="n">
        <f aca="false">-AJ253*Inputs!$C$62/12*1*(1+Inputs!$C$65)*(1+Inputs!$C$66)^(AJ$136-1)</f>
        <v>-31685.5466666667</v>
      </c>
      <c r="AK258" s="69" t="n">
        <f aca="false">-AK253*Inputs!$C$62/12*1*(1+Inputs!$C$65)*(1+Inputs!$C$66)^(AK$136-1)</f>
        <v>-31685.5466666667</v>
      </c>
      <c r="AL258" s="69" t="n">
        <f aca="false">-AL253*Inputs!$C$62/12*1*(1+Inputs!$C$65)*(1+Inputs!$C$66)^(AL$136-1)</f>
        <v>-31685.5466666667</v>
      </c>
      <c r="AM258" s="69" t="n">
        <f aca="false">-AM253*Inputs!$C$62/12*1*(1+Inputs!$C$65)*(1+Inputs!$C$66)^(AM$136-1)</f>
        <v>-32636.1130666667</v>
      </c>
      <c r="AN258" s="69" t="n">
        <f aca="false">-AN253*Inputs!$C$62/12*1*(1+Inputs!$C$65)*(1+Inputs!$C$66)^(AN$136-1)</f>
        <v>-32636.1130666667</v>
      </c>
      <c r="AO258" s="69" t="n">
        <f aca="false">-AO253*Inputs!$C$62/12*1*(1+Inputs!$C$65)*(1+Inputs!$C$66)^(AO$136-1)</f>
        <v>-32636.1130666667</v>
      </c>
      <c r="AP258" s="69" t="n">
        <f aca="false">-AP253*Inputs!$C$62/12*1*(1+Inputs!$C$65)*(1+Inputs!$C$66)^(AP$136-1)</f>
        <v>-32636.1130666667</v>
      </c>
      <c r="AQ258" s="69" t="n">
        <f aca="false">-AQ253*Inputs!$C$62/12*1*(1+Inputs!$C$65)*(1+Inputs!$C$66)^(AQ$136-1)</f>
        <v>-32636.1130666667</v>
      </c>
      <c r="AR258" s="69" t="n">
        <f aca="false">-AR253*Inputs!$C$62/12*1*(1+Inputs!$C$65)*(1+Inputs!$C$66)^(AR$136-1)</f>
        <v>-32636.1130666667</v>
      </c>
      <c r="AS258" s="69" t="n">
        <f aca="false">-AS253*Inputs!$C$62/12*1*(1+Inputs!$C$65)*(1+Inputs!$C$66)^(AS$136-1)</f>
        <v>-32636.1130666667</v>
      </c>
      <c r="AT258" s="69" t="n">
        <f aca="false">-AT253*Inputs!$C$62/12*1*(1+Inputs!$C$65)*(1+Inputs!$C$66)^(AT$136-1)</f>
        <v>-32636.1130666667</v>
      </c>
      <c r="AU258" s="69" t="n">
        <f aca="false">-AU253*Inputs!$C$62/12*1*(1+Inputs!$C$65)*(1+Inputs!$C$66)^(AU$136-1)</f>
        <v>-32636.1130666667</v>
      </c>
      <c r="AV258" s="69" t="n">
        <f aca="false">-AV253*Inputs!$C$62/12*1*(1+Inputs!$C$65)*(1+Inputs!$C$66)^(AV$136-1)</f>
        <v>-32636.1130666667</v>
      </c>
      <c r="AW258" s="69" t="n">
        <f aca="false">-AW253*Inputs!$C$62/12*1*(1+Inputs!$C$65)*(1+Inputs!$C$66)^(AW$136-1)</f>
        <v>-32636.1130666667</v>
      </c>
      <c r="AX258" s="69" t="n">
        <f aca="false">-AX253*Inputs!$C$62/12*1*(1+Inputs!$C$65)*(1+Inputs!$C$66)^(AX$136-1)</f>
        <v>-32636.1130666667</v>
      </c>
      <c r="AY258" s="69" t="n">
        <f aca="false">-AY253*Inputs!$C$62/12*1*(1+Inputs!$C$65)*(1+Inputs!$C$66)^(AY$136-1)</f>
        <v>-33615.1964586667</v>
      </c>
      <c r="AZ258" s="69" t="n">
        <f aca="false">-AZ253*Inputs!$C$62/12*1*(1+Inputs!$C$65)*(1+Inputs!$C$66)^(AZ$136-1)</f>
        <v>-33615.1964586667</v>
      </c>
      <c r="BA258" s="69" t="n">
        <f aca="false">-BA253*Inputs!$C$62/12*1*(1+Inputs!$C$65)*(1+Inputs!$C$66)^(BA$136-1)</f>
        <v>-33615.1964586667</v>
      </c>
      <c r="BB258" s="69" t="n">
        <f aca="false">-BB253*Inputs!$C$62/12*1*(1+Inputs!$C$65)*(1+Inputs!$C$66)^(BB$136-1)</f>
        <v>-33615.1964586667</v>
      </c>
      <c r="BC258" s="69" t="n">
        <f aca="false">-BC253*Inputs!$C$62/12*1*(1+Inputs!$C$65)*(1+Inputs!$C$66)^(BC$136-1)</f>
        <v>-33615.1964586667</v>
      </c>
      <c r="BD258" s="69" t="n">
        <f aca="false">-BD253*Inputs!$C$62/12*1*(1+Inputs!$C$65)*(1+Inputs!$C$66)^(BD$136-1)</f>
        <v>-33615.1964586667</v>
      </c>
      <c r="BE258" s="69" t="n">
        <f aca="false">-BE253*Inputs!$C$62/12*1*(1+Inputs!$C$65)*(1+Inputs!$C$66)^(BE$136-1)</f>
        <v>-33615.1964586667</v>
      </c>
      <c r="BF258" s="69" t="n">
        <f aca="false">-BF253*Inputs!$C$62/12*1*(1+Inputs!$C$65)*(1+Inputs!$C$66)^(BF$136-1)</f>
        <v>-33615.1964586667</v>
      </c>
      <c r="BG258" s="69" t="n">
        <f aca="false">-BG253*Inputs!$C$62/12*1*(1+Inputs!$C$65)*(1+Inputs!$C$66)^(BG$136-1)</f>
        <v>-33615.1964586667</v>
      </c>
      <c r="BH258" s="69" t="n">
        <f aca="false">-BH253*Inputs!$C$62/12*1*(1+Inputs!$C$65)*(1+Inputs!$C$66)^(BH$136-1)</f>
        <v>-33615.1964586667</v>
      </c>
      <c r="BI258" s="69" t="n">
        <f aca="false">-BI253*Inputs!$C$62/12*1*(1+Inputs!$C$65)*(1+Inputs!$C$66)^(BI$136-1)</f>
        <v>-33615.1964586667</v>
      </c>
      <c r="BJ258" s="69" t="n">
        <f aca="false">-BJ253*Inputs!$C$62/12*1*(1+Inputs!$C$65)*(1+Inputs!$C$66)^(BJ$136-1)</f>
        <v>-33615.1964586667</v>
      </c>
    </row>
    <row r="259" customFormat="false" ht="15" hidden="false" customHeight="false" outlineLevel="0" collapsed="false">
      <c r="A259" s="113" t="s">
        <v>480</v>
      </c>
      <c r="C259" s="70" t="n">
        <f aca="false">C257+C258</f>
        <v>-36586.6666666667</v>
      </c>
      <c r="D259" s="70" t="n">
        <f aca="false">D257+D258</f>
        <v>-36586.6666666667</v>
      </c>
      <c r="E259" s="70" t="n">
        <f aca="false">E257+E258</f>
        <v>-36586.6666666667</v>
      </c>
      <c r="F259" s="70" t="n">
        <f aca="false">F257+F258</f>
        <v>-36586.6666666667</v>
      </c>
      <c r="G259" s="70" t="n">
        <f aca="false">G257+G258</f>
        <v>-36586.6666666667</v>
      </c>
      <c r="H259" s="70" t="n">
        <f aca="false">H257+H258</f>
        <v>-36586.6666666667</v>
      </c>
      <c r="I259" s="70" t="n">
        <f aca="false">I257+I258</f>
        <v>-36586.6666666667</v>
      </c>
      <c r="J259" s="70" t="n">
        <f aca="false">J257+J258</f>
        <v>-36586.6666666667</v>
      </c>
      <c r="K259" s="70" t="n">
        <f aca="false">K257+K258</f>
        <v>-36586.6666666667</v>
      </c>
      <c r="L259" s="70" t="n">
        <f aca="false">L257+L258</f>
        <v>-36586.6666666667</v>
      </c>
      <c r="M259" s="70" t="n">
        <f aca="false">M257+M258</f>
        <v>-36586.6666666667</v>
      </c>
      <c r="N259" s="70" t="n">
        <f aca="false">N257+N258</f>
        <v>-36586.6666666667</v>
      </c>
      <c r="O259" s="70" t="n">
        <f aca="false">O257+O258</f>
        <v>-37684.2666666667</v>
      </c>
      <c r="P259" s="70" t="n">
        <f aca="false">P257+P258</f>
        <v>-37684.2666666667</v>
      </c>
      <c r="Q259" s="70" t="n">
        <f aca="false">Q257+Q258</f>
        <v>-37684.2666666667</v>
      </c>
      <c r="R259" s="70" t="n">
        <f aca="false">R257+R258</f>
        <v>-37684.2666666667</v>
      </c>
      <c r="S259" s="70" t="n">
        <f aca="false">S257+S258</f>
        <v>-37684.2666666667</v>
      </c>
      <c r="T259" s="70" t="n">
        <f aca="false">T257+T258</f>
        <v>-37684.2666666667</v>
      </c>
      <c r="U259" s="70" t="n">
        <f aca="false">U257+U258</f>
        <v>-37684.2666666667</v>
      </c>
      <c r="V259" s="70" t="n">
        <f aca="false">V257+V258</f>
        <v>-37684.2666666667</v>
      </c>
      <c r="W259" s="70" t="n">
        <f aca="false">W257+W258</f>
        <v>-37684.2666666667</v>
      </c>
      <c r="X259" s="70" t="n">
        <f aca="false">X257+X258</f>
        <v>-37684.2666666667</v>
      </c>
      <c r="Y259" s="70" t="n">
        <f aca="false">Y257+Y258</f>
        <v>-37684.2666666667</v>
      </c>
      <c r="Z259" s="70" t="n">
        <f aca="false">Z257+Z258</f>
        <v>-37684.2666666667</v>
      </c>
      <c r="AA259" s="70" t="n">
        <f aca="false">AA257+AA258</f>
        <v>-38814.7946666667</v>
      </c>
      <c r="AB259" s="70" t="n">
        <f aca="false">AB257+AB258</f>
        <v>-38814.7946666667</v>
      </c>
      <c r="AC259" s="70" t="n">
        <f aca="false">AC257+AC258</f>
        <v>-38814.7946666667</v>
      </c>
      <c r="AD259" s="70" t="n">
        <f aca="false">AD257+AD258</f>
        <v>-38814.7946666667</v>
      </c>
      <c r="AE259" s="70" t="n">
        <f aca="false">AE257+AE258</f>
        <v>-38814.7946666667</v>
      </c>
      <c r="AF259" s="70" t="n">
        <f aca="false">AF257+AF258</f>
        <v>-38814.7946666667</v>
      </c>
      <c r="AG259" s="70" t="n">
        <f aca="false">AG257+AG258</f>
        <v>-38814.7946666667</v>
      </c>
      <c r="AH259" s="70" t="n">
        <f aca="false">AH257+AH258</f>
        <v>-38814.7946666667</v>
      </c>
      <c r="AI259" s="70" t="n">
        <f aca="false">AI257+AI258</f>
        <v>-38814.7946666667</v>
      </c>
      <c r="AJ259" s="70" t="n">
        <f aca="false">AJ257+AJ258</f>
        <v>-38814.7946666667</v>
      </c>
      <c r="AK259" s="70" t="n">
        <f aca="false">AK257+AK258</f>
        <v>-38814.7946666667</v>
      </c>
      <c r="AL259" s="70" t="n">
        <f aca="false">AL257+AL258</f>
        <v>-38814.7946666667</v>
      </c>
      <c r="AM259" s="70" t="n">
        <f aca="false">AM257+AM258</f>
        <v>-39979.2385066667</v>
      </c>
      <c r="AN259" s="70" t="n">
        <f aca="false">AN257+AN258</f>
        <v>-39979.2385066667</v>
      </c>
      <c r="AO259" s="70" t="n">
        <f aca="false">AO257+AO258</f>
        <v>-39979.2385066667</v>
      </c>
      <c r="AP259" s="70" t="n">
        <f aca="false">AP257+AP258</f>
        <v>-39979.2385066667</v>
      </c>
      <c r="AQ259" s="70" t="n">
        <f aca="false">AQ257+AQ258</f>
        <v>-39979.2385066667</v>
      </c>
      <c r="AR259" s="70" t="n">
        <f aca="false">AR257+AR258</f>
        <v>-39979.2385066667</v>
      </c>
      <c r="AS259" s="70" t="n">
        <f aca="false">AS257+AS258</f>
        <v>-39979.2385066667</v>
      </c>
      <c r="AT259" s="70" t="n">
        <f aca="false">AT257+AT258</f>
        <v>-39979.2385066667</v>
      </c>
      <c r="AU259" s="70" t="n">
        <f aca="false">AU257+AU258</f>
        <v>-39979.2385066667</v>
      </c>
      <c r="AV259" s="70" t="n">
        <f aca="false">AV257+AV258</f>
        <v>-39979.2385066667</v>
      </c>
      <c r="AW259" s="70" t="n">
        <f aca="false">AW257+AW258</f>
        <v>-39979.2385066667</v>
      </c>
      <c r="AX259" s="70" t="n">
        <f aca="false">AX257+AX258</f>
        <v>-39979.2385066667</v>
      </c>
      <c r="AY259" s="70" t="n">
        <f aca="false">AY257+AY258</f>
        <v>-41178.6156618667</v>
      </c>
      <c r="AZ259" s="70" t="n">
        <f aca="false">AZ257+AZ258</f>
        <v>-41178.6156618667</v>
      </c>
      <c r="BA259" s="70" t="n">
        <f aca="false">BA257+BA258</f>
        <v>-41178.6156618667</v>
      </c>
      <c r="BB259" s="70" t="n">
        <f aca="false">BB257+BB258</f>
        <v>-41178.6156618667</v>
      </c>
      <c r="BC259" s="70" t="n">
        <f aca="false">BC257+BC258</f>
        <v>-41178.6156618667</v>
      </c>
      <c r="BD259" s="70" t="n">
        <f aca="false">BD257+BD258</f>
        <v>-41178.6156618667</v>
      </c>
      <c r="BE259" s="70" t="n">
        <f aca="false">BE257+BE258</f>
        <v>-41178.6156618667</v>
      </c>
      <c r="BF259" s="70" t="n">
        <f aca="false">BF257+BF258</f>
        <v>-41178.6156618667</v>
      </c>
      <c r="BG259" s="70" t="n">
        <f aca="false">BG257+BG258</f>
        <v>-41178.6156618667</v>
      </c>
      <c r="BH259" s="70" t="n">
        <f aca="false">BH257+BH258</f>
        <v>-41178.6156618667</v>
      </c>
      <c r="BI259" s="70" t="n">
        <f aca="false">BI257+BI258</f>
        <v>-41178.6156618667</v>
      </c>
      <c r="BJ259" s="70" t="n">
        <f aca="false">BJ257+BJ258</f>
        <v>-41178.6156618667</v>
      </c>
    </row>
    <row r="262" customFormat="false" ht="15.75" hidden="false" customHeight="true" outlineLevel="0" collapsed="false">
      <c r="A262" s="7" t="s">
        <v>485</v>
      </c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</row>
    <row r="263" customFormat="false" ht="15" hidden="false" customHeight="false" outlineLevel="0" collapsed="false">
      <c r="A263" s="33" t="s">
        <v>355</v>
      </c>
      <c r="C263" s="52" t="s">
        <v>356</v>
      </c>
      <c r="D263" s="52" t="s">
        <v>357</v>
      </c>
      <c r="E263" s="52" t="s">
        <v>358</v>
      </c>
      <c r="F263" s="52" t="s">
        <v>359</v>
      </c>
      <c r="G263" s="52" t="s">
        <v>360</v>
      </c>
      <c r="H263" s="52" t="s">
        <v>361</v>
      </c>
      <c r="I263" s="52" t="s">
        <v>362</v>
      </c>
      <c r="J263" s="52" t="s">
        <v>363</v>
      </c>
      <c r="K263" s="52" t="s">
        <v>364</v>
      </c>
      <c r="L263" s="52" t="s">
        <v>365</v>
      </c>
      <c r="M263" s="52" t="s">
        <v>366</v>
      </c>
      <c r="N263" s="52" t="s">
        <v>367</v>
      </c>
      <c r="O263" s="52" t="s">
        <v>368</v>
      </c>
      <c r="P263" s="52" t="s">
        <v>369</v>
      </c>
      <c r="Q263" s="52" t="s">
        <v>370</v>
      </c>
      <c r="R263" s="52" t="s">
        <v>371</v>
      </c>
      <c r="S263" s="52" t="s">
        <v>372</v>
      </c>
      <c r="T263" s="52" t="s">
        <v>373</v>
      </c>
      <c r="U263" s="52" t="s">
        <v>374</v>
      </c>
      <c r="V263" s="52" t="s">
        <v>375</v>
      </c>
      <c r="W263" s="52" t="s">
        <v>376</v>
      </c>
      <c r="X263" s="52" t="s">
        <v>377</v>
      </c>
      <c r="Y263" s="52" t="s">
        <v>378</v>
      </c>
      <c r="Z263" s="52" t="s">
        <v>379</v>
      </c>
      <c r="AA263" s="52" t="s">
        <v>380</v>
      </c>
      <c r="AB263" s="52" t="s">
        <v>381</v>
      </c>
      <c r="AC263" s="52" t="s">
        <v>382</v>
      </c>
      <c r="AD263" s="52" t="s">
        <v>383</v>
      </c>
      <c r="AE263" s="52" t="s">
        <v>384</v>
      </c>
      <c r="AF263" s="52" t="s">
        <v>385</v>
      </c>
      <c r="AG263" s="52" t="s">
        <v>386</v>
      </c>
      <c r="AH263" s="52" t="s">
        <v>387</v>
      </c>
      <c r="AI263" s="52" t="s">
        <v>388</v>
      </c>
      <c r="AJ263" s="52" t="s">
        <v>389</v>
      </c>
      <c r="AK263" s="52" t="s">
        <v>390</v>
      </c>
      <c r="AL263" s="52" t="s">
        <v>391</v>
      </c>
      <c r="AM263" s="52" t="s">
        <v>392</v>
      </c>
      <c r="AN263" s="52" t="s">
        <v>393</v>
      </c>
      <c r="AO263" s="52" t="s">
        <v>394</v>
      </c>
      <c r="AP263" s="52" t="s">
        <v>395</v>
      </c>
      <c r="AQ263" s="52" t="s">
        <v>396</v>
      </c>
      <c r="AR263" s="52" t="s">
        <v>397</v>
      </c>
      <c r="AS263" s="52" t="s">
        <v>398</v>
      </c>
      <c r="AT263" s="52" t="s">
        <v>399</v>
      </c>
      <c r="AU263" s="52" t="s">
        <v>400</v>
      </c>
      <c r="AV263" s="52" t="s">
        <v>401</v>
      </c>
      <c r="AW263" s="52" t="s">
        <v>402</v>
      </c>
      <c r="AX263" s="52" t="s">
        <v>403</v>
      </c>
      <c r="AY263" s="52" t="s">
        <v>404</v>
      </c>
      <c r="AZ263" s="52" t="s">
        <v>405</v>
      </c>
      <c r="BA263" s="52" t="s">
        <v>406</v>
      </c>
      <c r="BB263" s="52" t="s">
        <v>407</v>
      </c>
      <c r="BC263" s="52" t="s">
        <v>408</v>
      </c>
      <c r="BD263" s="52" t="s">
        <v>409</v>
      </c>
      <c r="BE263" s="52" t="s">
        <v>410</v>
      </c>
      <c r="BF263" s="52" t="s">
        <v>411</v>
      </c>
      <c r="BG263" s="52" t="s">
        <v>412</v>
      </c>
      <c r="BH263" s="52" t="s">
        <v>413</v>
      </c>
      <c r="BI263" s="52" t="s">
        <v>414</v>
      </c>
      <c r="BJ263" s="52" t="s">
        <v>415</v>
      </c>
    </row>
    <row r="264" customFormat="false" ht="15" hidden="false" customHeight="false" outlineLevel="0" collapsed="false">
      <c r="A264" s="74" t="s">
        <v>416</v>
      </c>
      <c r="C264" s="74" t="n">
        <v>1</v>
      </c>
      <c r="D264" s="74" t="n">
        <v>2</v>
      </c>
      <c r="E264" s="74" t="n">
        <v>3</v>
      </c>
      <c r="F264" s="74" t="n">
        <v>4</v>
      </c>
      <c r="G264" s="74" t="n">
        <v>5</v>
      </c>
      <c r="H264" s="74" t="n">
        <v>6</v>
      </c>
      <c r="I264" s="74" t="n">
        <v>7</v>
      </c>
      <c r="J264" s="74" t="n">
        <v>8</v>
      </c>
      <c r="K264" s="74" t="n">
        <v>9</v>
      </c>
      <c r="L264" s="74" t="n">
        <v>10</v>
      </c>
      <c r="M264" s="74" t="n">
        <v>11</v>
      </c>
      <c r="N264" s="74" t="n">
        <v>12</v>
      </c>
      <c r="O264" s="74" t="n">
        <v>13</v>
      </c>
      <c r="P264" s="74" t="n">
        <v>14</v>
      </c>
      <c r="Q264" s="74" t="n">
        <v>15</v>
      </c>
      <c r="R264" s="74" t="n">
        <v>16</v>
      </c>
      <c r="S264" s="74" t="n">
        <v>17</v>
      </c>
      <c r="T264" s="74" t="n">
        <v>18</v>
      </c>
      <c r="U264" s="74" t="n">
        <v>19</v>
      </c>
      <c r="V264" s="74" t="n">
        <v>20</v>
      </c>
      <c r="W264" s="74" t="n">
        <v>21</v>
      </c>
      <c r="X264" s="74" t="n">
        <v>22</v>
      </c>
      <c r="Y264" s="74" t="n">
        <v>23</v>
      </c>
      <c r="Z264" s="74" t="n">
        <v>24</v>
      </c>
      <c r="AA264" s="74" t="n">
        <v>25</v>
      </c>
      <c r="AB264" s="74" t="n">
        <v>26</v>
      </c>
      <c r="AC264" s="74" t="n">
        <v>27</v>
      </c>
      <c r="AD264" s="74" t="n">
        <v>28</v>
      </c>
      <c r="AE264" s="74" t="n">
        <v>29</v>
      </c>
      <c r="AF264" s="74" t="n">
        <v>30</v>
      </c>
      <c r="AG264" s="74" t="n">
        <v>31</v>
      </c>
      <c r="AH264" s="74" t="n">
        <v>32</v>
      </c>
      <c r="AI264" s="74" t="n">
        <v>33</v>
      </c>
      <c r="AJ264" s="74" t="n">
        <v>34</v>
      </c>
      <c r="AK264" s="74" t="n">
        <v>35</v>
      </c>
      <c r="AL264" s="74" t="n">
        <v>36</v>
      </c>
      <c r="AM264" s="74" t="n">
        <v>37</v>
      </c>
      <c r="AN264" s="74" t="n">
        <v>38</v>
      </c>
      <c r="AO264" s="74" t="n">
        <v>39</v>
      </c>
      <c r="AP264" s="74" t="n">
        <v>40</v>
      </c>
      <c r="AQ264" s="74" t="n">
        <v>41</v>
      </c>
      <c r="AR264" s="74" t="n">
        <v>42</v>
      </c>
      <c r="AS264" s="74" t="n">
        <v>43</v>
      </c>
      <c r="AT264" s="74" t="n">
        <v>44</v>
      </c>
      <c r="AU264" s="74" t="n">
        <v>45</v>
      </c>
      <c r="AV264" s="74" t="n">
        <v>46</v>
      </c>
      <c r="AW264" s="74" t="n">
        <v>47</v>
      </c>
      <c r="AX264" s="74" t="n">
        <v>48</v>
      </c>
      <c r="AY264" s="74" t="n">
        <v>49</v>
      </c>
      <c r="AZ264" s="74" t="n">
        <v>50</v>
      </c>
      <c r="BA264" s="74" t="n">
        <v>51</v>
      </c>
      <c r="BB264" s="74" t="n">
        <v>52</v>
      </c>
      <c r="BC264" s="74" t="n">
        <v>53</v>
      </c>
      <c r="BD264" s="74" t="n">
        <v>54</v>
      </c>
      <c r="BE264" s="74" t="n">
        <v>55</v>
      </c>
      <c r="BF264" s="74" t="n">
        <v>56</v>
      </c>
      <c r="BG264" s="74" t="n">
        <v>57</v>
      </c>
      <c r="BH264" s="74" t="n">
        <v>58</v>
      </c>
      <c r="BI264" s="74" t="n">
        <v>59</v>
      </c>
      <c r="BJ264" s="74" t="n">
        <v>60</v>
      </c>
    </row>
    <row r="265" customFormat="false" ht="15" hidden="false" customHeight="false" outlineLevel="0" collapsed="false">
      <c r="A265" s="74" t="s">
        <v>155</v>
      </c>
      <c r="C265" s="74" t="n">
        <f aca="false">ROUNDUP(C264*1/12,0)</f>
        <v>1</v>
      </c>
      <c r="D265" s="74" t="n">
        <f aca="false">ROUNDUP(D264*1/12,0)</f>
        <v>1</v>
      </c>
      <c r="E265" s="74" t="n">
        <f aca="false">ROUNDUP(E264*1/12,0)</f>
        <v>1</v>
      </c>
      <c r="F265" s="74" t="n">
        <f aca="false">ROUNDUP(F264*1/12,0)</f>
        <v>1</v>
      </c>
      <c r="G265" s="74" t="n">
        <f aca="false">ROUNDUP(G264*1/12,0)</f>
        <v>1</v>
      </c>
      <c r="H265" s="74" t="n">
        <f aca="false">ROUNDUP(H264*1/12,0)</f>
        <v>1</v>
      </c>
      <c r="I265" s="74" t="n">
        <f aca="false">ROUNDUP(I264*1/12,0)</f>
        <v>1</v>
      </c>
      <c r="J265" s="74" t="n">
        <f aca="false">ROUNDUP(J264*1/12,0)</f>
        <v>1</v>
      </c>
      <c r="K265" s="74" t="n">
        <f aca="false">ROUNDUP(K264*1/12,0)</f>
        <v>1</v>
      </c>
      <c r="L265" s="74" t="n">
        <f aca="false">ROUNDUP(L264*1/12,0)</f>
        <v>1</v>
      </c>
      <c r="M265" s="74" t="n">
        <f aca="false">ROUNDUP(M264*1/12,0)</f>
        <v>1</v>
      </c>
      <c r="N265" s="74" t="n">
        <f aca="false">ROUNDUP(N264*1/12,0)</f>
        <v>1</v>
      </c>
      <c r="O265" s="74" t="n">
        <f aca="false">ROUNDUP(O264*1/12,0)</f>
        <v>2</v>
      </c>
      <c r="P265" s="74" t="n">
        <f aca="false">ROUNDUP(P264*1/12,0)</f>
        <v>2</v>
      </c>
      <c r="Q265" s="74" t="n">
        <f aca="false">ROUNDUP(Q264*1/12,0)</f>
        <v>2</v>
      </c>
      <c r="R265" s="74" t="n">
        <f aca="false">ROUNDUP(R264*1/12,0)</f>
        <v>2</v>
      </c>
      <c r="S265" s="74" t="n">
        <f aca="false">ROUNDUP(S264*1/12,0)</f>
        <v>2</v>
      </c>
      <c r="T265" s="74" t="n">
        <f aca="false">ROUNDUP(T264*1/12,0)</f>
        <v>2</v>
      </c>
      <c r="U265" s="74" t="n">
        <f aca="false">ROUNDUP(U264*1/12,0)</f>
        <v>2</v>
      </c>
      <c r="V265" s="74" t="n">
        <f aca="false">ROUNDUP(V264*1/12,0)</f>
        <v>2</v>
      </c>
      <c r="W265" s="74" t="n">
        <f aca="false">ROUNDUP(W264*1/12,0)</f>
        <v>2</v>
      </c>
      <c r="X265" s="74" t="n">
        <f aca="false">ROUNDUP(X264*1/12,0)</f>
        <v>2</v>
      </c>
      <c r="Y265" s="74" t="n">
        <f aca="false">ROUNDUP(Y264*1/12,0)</f>
        <v>2</v>
      </c>
      <c r="Z265" s="74" t="n">
        <f aca="false">ROUNDUP(Z264*1/12,0)</f>
        <v>2</v>
      </c>
      <c r="AA265" s="74" t="n">
        <f aca="false">ROUNDUP(AA264*1/12,0)</f>
        <v>3</v>
      </c>
      <c r="AB265" s="74" t="n">
        <f aca="false">ROUNDUP(AB264*1/12,0)</f>
        <v>3</v>
      </c>
      <c r="AC265" s="74" t="n">
        <f aca="false">ROUNDUP(AC264*1/12,0)</f>
        <v>3</v>
      </c>
      <c r="AD265" s="74" t="n">
        <f aca="false">ROUNDUP(AD264*1/12,0)</f>
        <v>3</v>
      </c>
      <c r="AE265" s="74" t="n">
        <f aca="false">ROUNDUP(AE264*1/12,0)</f>
        <v>3</v>
      </c>
      <c r="AF265" s="74" t="n">
        <f aca="false">ROUNDUP(AF264*1/12,0)</f>
        <v>3</v>
      </c>
      <c r="AG265" s="74" t="n">
        <f aca="false">ROUNDUP(AG264*1/12,0)</f>
        <v>3</v>
      </c>
      <c r="AH265" s="74" t="n">
        <f aca="false">ROUNDUP(AH264*1/12,0)</f>
        <v>3</v>
      </c>
      <c r="AI265" s="74" t="n">
        <f aca="false">ROUNDUP(AI264*1/12,0)</f>
        <v>3</v>
      </c>
      <c r="AJ265" s="74" t="n">
        <f aca="false">ROUNDUP(AJ264*1/12,0)</f>
        <v>3</v>
      </c>
      <c r="AK265" s="74" t="n">
        <f aca="false">ROUNDUP(AK264*1/12,0)</f>
        <v>3</v>
      </c>
      <c r="AL265" s="74" t="n">
        <f aca="false">ROUNDUP(AL264*1/12,0)</f>
        <v>3</v>
      </c>
      <c r="AM265" s="74" t="n">
        <f aca="false">ROUNDUP(AM264*1/12,0)</f>
        <v>4</v>
      </c>
      <c r="AN265" s="74" t="n">
        <f aca="false">ROUNDUP(AN264*1/12,0)</f>
        <v>4</v>
      </c>
      <c r="AO265" s="74" t="n">
        <f aca="false">ROUNDUP(AO264*1/12,0)</f>
        <v>4</v>
      </c>
      <c r="AP265" s="74" t="n">
        <f aca="false">ROUNDUP(AP264*1/12,0)</f>
        <v>4</v>
      </c>
      <c r="AQ265" s="74" t="n">
        <f aca="false">ROUNDUP(AQ264*1/12,0)</f>
        <v>4</v>
      </c>
      <c r="AR265" s="74" t="n">
        <f aca="false">ROUNDUP(AR264*1/12,0)</f>
        <v>4</v>
      </c>
      <c r="AS265" s="74" t="n">
        <f aca="false">ROUNDUP(AS264*1/12,0)</f>
        <v>4</v>
      </c>
      <c r="AT265" s="74" t="n">
        <f aca="false">ROUNDUP(AT264*1/12,0)</f>
        <v>4</v>
      </c>
      <c r="AU265" s="74" t="n">
        <f aca="false">ROUNDUP(AU264*1/12,0)</f>
        <v>4</v>
      </c>
      <c r="AV265" s="74" t="n">
        <f aca="false">ROUNDUP(AV264*1/12,0)</f>
        <v>4</v>
      </c>
      <c r="AW265" s="74" t="n">
        <f aca="false">ROUNDUP(AW264*1/12,0)</f>
        <v>4</v>
      </c>
      <c r="AX265" s="74" t="n">
        <f aca="false">ROUNDUP(AX264*1/12,0)</f>
        <v>4</v>
      </c>
      <c r="AY265" s="74" t="n">
        <f aca="false">ROUNDUP(AY264*1/12,0)</f>
        <v>5</v>
      </c>
      <c r="AZ265" s="74" t="n">
        <f aca="false">ROUNDUP(AZ264*1/12,0)</f>
        <v>5</v>
      </c>
      <c r="BA265" s="74" t="n">
        <f aca="false">ROUNDUP(BA264*1/12,0)</f>
        <v>5</v>
      </c>
      <c r="BB265" s="74" t="n">
        <f aca="false">ROUNDUP(BB264*1/12,0)</f>
        <v>5</v>
      </c>
      <c r="BC265" s="74" t="n">
        <f aca="false">ROUNDUP(BC264*1/12,0)</f>
        <v>5</v>
      </c>
      <c r="BD265" s="74" t="n">
        <f aca="false">ROUNDUP(BD264*1/12,0)</f>
        <v>5</v>
      </c>
      <c r="BE265" s="74" t="n">
        <f aca="false">ROUNDUP(BE264*1/12,0)</f>
        <v>5</v>
      </c>
      <c r="BF265" s="74" t="n">
        <f aca="false">ROUNDUP(BF264*1/12,0)</f>
        <v>5</v>
      </c>
      <c r="BG265" s="74" t="n">
        <f aca="false">ROUNDUP(BG264*1/12,0)</f>
        <v>5</v>
      </c>
      <c r="BH265" s="74" t="n">
        <f aca="false">ROUNDUP(BH264*1/12,0)</f>
        <v>5</v>
      </c>
      <c r="BI265" s="74" t="n">
        <f aca="false">ROUNDUP(BI264*1/12,0)</f>
        <v>5</v>
      </c>
      <c r="BJ265" s="74" t="n">
        <f aca="false">ROUNDUP(BJ264*1/12,0)</f>
        <v>5</v>
      </c>
    </row>
    <row r="267" customFormat="false" ht="15.75" hidden="false" customHeight="true" outlineLevel="0" collapsed="false">
      <c r="A267" s="7" t="s">
        <v>417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116" t="s">
        <v>418</v>
      </c>
      <c r="C268" s="117" t="n">
        <f aca="false">MAX(0,MIN(1,Inputs!$D$10-(C$264-1)*1))</f>
        <v>1</v>
      </c>
      <c r="D268" s="117" t="n">
        <f aca="false">MAX(0,MIN(1,Inputs!$D$10-(D$264-1)*1))</f>
        <v>1</v>
      </c>
      <c r="E268" s="117" t="n">
        <f aca="false">MAX(0,MIN(1,Inputs!$D$10-(E$264-1)*1))</f>
        <v>1</v>
      </c>
      <c r="F268" s="117" t="n">
        <f aca="false">MAX(0,MIN(1,Inputs!$D$10-(F$264-1)*1))</f>
        <v>1</v>
      </c>
      <c r="G268" s="117" t="n">
        <f aca="false">MAX(0,MIN(1,Inputs!$D$10-(G$264-1)*1))</f>
        <v>1</v>
      </c>
      <c r="H268" s="117" t="n">
        <f aca="false">MAX(0,MIN(1,Inputs!$D$10-(H$264-1)*1))</f>
        <v>1</v>
      </c>
      <c r="I268" s="117" t="n">
        <f aca="false">MAX(0,MIN(1,Inputs!$D$10-(I$264-1)*1))</f>
        <v>1</v>
      </c>
      <c r="J268" s="117" t="n">
        <f aca="false">MAX(0,MIN(1,Inputs!$D$10-(J$264-1)*1))</f>
        <v>0</v>
      </c>
      <c r="K268" s="117" t="n">
        <f aca="false">MAX(0,MIN(1,Inputs!$D$10-(K$264-1)*1))</f>
        <v>0</v>
      </c>
      <c r="L268" s="117" t="n">
        <f aca="false">MAX(0,MIN(1,Inputs!$D$10-(L$264-1)*1))</f>
        <v>0</v>
      </c>
      <c r="M268" s="117" t="n">
        <f aca="false">MAX(0,MIN(1,Inputs!$D$10-(M$264-1)*1))</f>
        <v>0</v>
      </c>
      <c r="N268" s="117" t="n">
        <f aca="false">MAX(0,MIN(1,Inputs!$D$10-(N$264-1)*1))</f>
        <v>0</v>
      </c>
      <c r="O268" s="117" t="n">
        <f aca="false">MAX(0,MIN(1,Inputs!$D$10-(O$264-1)*1))</f>
        <v>0</v>
      </c>
      <c r="P268" s="117" t="n">
        <f aca="false">MAX(0,MIN(1,Inputs!$D$10-(P$264-1)*1))</f>
        <v>0</v>
      </c>
      <c r="Q268" s="117" t="n">
        <f aca="false">MAX(0,MIN(1,Inputs!$D$10-(Q$264-1)*1))</f>
        <v>0</v>
      </c>
      <c r="R268" s="117" t="n">
        <f aca="false">MAX(0,MIN(1,Inputs!$D$10-(R$264-1)*1))</f>
        <v>0</v>
      </c>
      <c r="S268" s="117" t="n">
        <f aca="false">MAX(0,MIN(1,Inputs!$D$10-(S$264-1)*1))</f>
        <v>0</v>
      </c>
      <c r="T268" s="117" t="n">
        <f aca="false">MAX(0,MIN(1,Inputs!$D$10-(T$264-1)*1))</f>
        <v>0</v>
      </c>
      <c r="U268" s="117" t="n">
        <f aca="false">MAX(0,MIN(1,Inputs!$D$10-(U$264-1)*1))</f>
        <v>0</v>
      </c>
      <c r="V268" s="117" t="n">
        <f aca="false">MAX(0,MIN(1,Inputs!$D$10-(V$264-1)*1))</f>
        <v>0</v>
      </c>
      <c r="W268" s="117" t="n">
        <f aca="false">MAX(0,MIN(1,Inputs!$D$10-(W$264-1)*1))</f>
        <v>0</v>
      </c>
      <c r="X268" s="117" t="n">
        <f aca="false">MAX(0,MIN(1,Inputs!$D$10-(X$264-1)*1))</f>
        <v>0</v>
      </c>
      <c r="Y268" s="117" t="n">
        <f aca="false">MAX(0,MIN(1,Inputs!$D$10-(Y$264-1)*1))</f>
        <v>0</v>
      </c>
      <c r="Z268" s="117" t="n">
        <f aca="false">MAX(0,MIN(1,Inputs!$D$10-(Z$264-1)*1))</f>
        <v>0</v>
      </c>
      <c r="AA268" s="117" t="n">
        <f aca="false">MAX(0,MIN(1,Inputs!$D$10-(AA$264-1)*1))</f>
        <v>0</v>
      </c>
      <c r="AB268" s="117" t="n">
        <f aca="false">MAX(0,MIN(1,Inputs!$D$10-(AB$264-1)*1))</f>
        <v>0</v>
      </c>
      <c r="AC268" s="117" t="n">
        <f aca="false">MAX(0,MIN(1,Inputs!$D$10-(AC$264-1)*1))</f>
        <v>0</v>
      </c>
      <c r="AD268" s="117" t="n">
        <f aca="false">MAX(0,MIN(1,Inputs!$D$10-(AD$264-1)*1))</f>
        <v>0</v>
      </c>
      <c r="AE268" s="117" t="n">
        <f aca="false">MAX(0,MIN(1,Inputs!$D$10-(AE$264-1)*1))</f>
        <v>0</v>
      </c>
      <c r="AF268" s="117" t="n">
        <f aca="false">MAX(0,MIN(1,Inputs!$D$10-(AF$264-1)*1))</f>
        <v>0</v>
      </c>
      <c r="AG268" s="117" t="n">
        <f aca="false">MAX(0,MIN(1,Inputs!$D$10-(AG$264-1)*1))</f>
        <v>0</v>
      </c>
      <c r="AH268" s="117" t="n">
        <f aca="false">MAX(0,MIN(1,Inputs!$D$10-(AH$264-1)*1))</f>
        <v>0</v>
      </c>
      <c r="AI268" s="117" t="n">
        <f aca="false">MAX(0,MIN(1,Inputs!$D$10-(AI$264-1)*1))</f>
        <v>0</v>
      </c>
      <c r="AJ268" s="117" t="n">
        <f aca="false">MAX(0,MIN(1,Inputs!$D$10-(AJ$264-1)*1))</f>
        <v>0</v>
      </c>
      <c r="AK268" s="117" t="n">
        <f aca="false">MAX(0,MIN(1,Inputs!$D$10-(AK$264-1)*1))</f>
        <v>0</v>
      </c>
      <c r="AL268" s="117" t="n">
        <f aca="false">MAX(0,MIN(1,Inputs!$D$10-(AL$264-1)*1))</f>
        <v>0</v>
      </c>
      <c r="AM268" s="117" t="n">
        <f aca="false">MAX(0,MIN(1,Inputs!$D$10-(AM$264-1)*1))</f>
        <v>0</v>
      </c>
      <c r="AN268" s="117" t="n">
        <f aca="false">MAX(0,MIN(1,Inputs!$D$10-(AN$264-1)*1))</f>
        <v>0</v>
      </c>
      <c r="AO268" s="117" t="n">
        <f aca="false">MAX(0,MIN(1,Inputs!$D$10-(AO$264-1)*1))</f>
        <v>0</v>
      </c>
      <c r="AP268" s="117" t="n">
        <f aca="false">MAX(0,MIN(1,Inputs!$D$10-(AP$264-1)*1))</f>
        <v>0</v>
      </c>
      <c r="AQ268" s="117" t="n">
        <f aca="false">MAX(0,MIN(1,Inputs!$D$10-(AQ$264-1)*1))</f>
        <v>0</v>
      </c>
      <c r="AR268" s="117" t="n">
        <f aca="false">MAX(0,MIN(1,Inputs!$D$10-(AR$264-1)*1))</f>
        <v>0</v>
      </c>
      <c r="AS268" s="117" t="n">
        <f aca="false">MAX(0,MIN(1,Inputs!$D$10-(AS$264-1)*1))</f>
        <v>0</v>
      </c>
      <c r="AT268" s="117" t="n">
        <f aca="false">MAX(0,MIN(1,Inputs!$D$10-(AT$264-1)*1))</f>
        <v>0</v>
      </c>
      <c r="AU268" s="117" t="n">
        <f aca="false">MAX(0,MIN(1,Inputs!$D$10-(AU$264-1)*1))</f>
        <v>0</v>
      </c>
      <c r="AV268" s="117" t="n">
        <f aca="false">MAX(0,MIN(1,Inputs!$D$10-(AV$264-1)*1))</f>
        <v>0</v>
      </c>
      <c r="AW268" s="117" t="n">
        <f aca="false">MAX(0,MIN(1,Inputs!$D$10-(AW$264-1)*1))</f>
        <v>0</v>
      </c>
      <c r="AX268" s="117" t="n">
        <f aca="false">MAX(0,MIN(1,Inputs!$D$10-(AX$264-1)*1))</f>
        <v>0</v>
      </c>
      <c r="AY268" s="117" t="n">
        <f aca="false">MAX(0,MIN(1,Inputs!$D$10-(AY$264-1)*1))</f>
        <v>0</v>
      </c>
      <c r="AZ268" s="117" t="n">
        <f aca="false">MAX(0,MIN(1,Inputs!$D$10-(AZ$264-1)*1))</f>
        <v>0</v>
      </c>
      <c r="BA268" s="117" t="n">
        <f aca="false">MAX(0,MIN(1,Inputs!$D$10-(BA$264-1)*1))</f>
        <v>0</v>
      </c>
      <c r="BB268" s="117" t="n">
        <f aca="false">MAX(0,MIN(1,Inputs!$D$10-(BB$264-1)*1))</f>
        <v>0</v>
      </c>
      <c r="BC268" s="117" t="n">
        <f aca="false">MAX(0,MIN(1,Inputs!$D$10-(BC$264-1)*1))</f>
        <v>0</v>
      </c>
      <c r="BD268" s="117" t="n">
        <f aca="false">MAX(0,MIN(1,Inputs!$D$10-(BD$264-1)*1))</f>
        <v>0</v>
      </c>
      <c r="BE268" s="117" t="n">
        <f aca="false">MAX(0,MIN(1,Inputs!$D$10-(BE$264-1)*1))</f>
        <v>0</v>
      </c>
      <c r="BF268" s="117" t="n">
        <f aca="false">MAX(0,MIN(1,Inputs!$D$10-(BF$264-1)*1))</f>
        <v>0</v>
      </c>
      <c r="BG268" s="117" t="n">
        <f aca="false">MAX(0,MIN(1,Inputs!$D$10-(BG$264-1)*1))</f>
        <v>0</v>
      </c>
      <c r="BH268" s="117" t="n">
        <f aca="false">MAX(0,MIN(1,Inputs!$D$10-(BH$264-1)*1))</f>
        <v>0</v>
      </c>
      <c r="BI268" s="117" t="n">
        <f aca="false">MAX(0,MIN(1,Inputs!$D$10-(BI$264-1)*1))</f>
        <v>0</v>
      </c>
      <c r="BJ268" s="117" t="n">
        <f aca="false">MAX(0,MIN(1,Inputs!$D$10-(BJ$264-1)*1))</f>
        <v>0</v>
      </c>
    </row>
    <row r="269" customFormat="false" ht="15" hidden="false" customHeight="false" outlineLevel="0" collapsed="false">
      <c r="A269" s="38" t="s">
        <v>419</v>
      </c>
      <c r="C269" s="76" t="n">
        <f aca="false">IF(Inputs!$D$10&lt;=0,1,(C268*Inputs!$D$11+(1-Inputs!$D$11)/MAX(1,Inputs!$D$10)*(C268*(C$264-1)*1+C268*(C268-1)/2)+1-C268)/1)</f>
        <v>0.55</v>
      </c>
      <c r="D269" s="76" t="n">
        <f aca="false">IF(Inputs!$D$10&lt;=0,1,(D268*Inputs!$D$11+(1-Inputs!$D$11)/MAX(1,Inputs!$D$10)*(D268*(D$264-1)*1+D268*(D268-1)/2)+1-D268)/1)</f>
        <v>0.614285714285714</v>
      </c>
      <c r="E269" s="76" t="n">
        <f aca="false">IF(Inputs!$D$10&lt;=0,1,(E268*Inputs!$D$11+(1-Inputs!$D$11)/MAX(1,Inputs!$D$10)*(E268*(E$264-1)*1+E268*(E268-1)/2)+1-E268)/1)</f>
        <v>0.678571428571429</v>
      </c>
      <c r="F269" s="76" t="n">
        <f aca="false">IF(Inputs!$D$10&lt;=0,1,(F268*Inputs!$D$11+(1-Inputs!$D$11)/MAX(1,Inputs!$D$10)*(F268*(F$264-1)*1+F268*(F268-1)/2)+1-F268)/1)</f>
        <v>0.742857142857143</v>
      </c>
      <c r="G269" s="76" t="n">
        <f aca="false">IF(Inputs!$D$10&lt;=0,1,(G268*Inputs!$D$11+(1-Inputs!$D$11)/MAX(1,Inputs!$D$10)*(G268*(G$264-1)*1+G268*(G268-1)/2)+1-G268)/1)</f>
        <v>0.807142857142857</v>
      </c>
      <c r="H269" s="76" t="n">
        <f aca="false">IF(Inputs!$D$10&lt;=0,1,(H268*Inputs!$D$11+(1-Inputs!$D$11)/MAX(1,Inputs!$D$10)*(H268*(H$264-1)*1+H268*(H268-1)/2)+1-H268)/1)</f>
        <v>0.871428571428571</v>
      </c>
      <c r="I269" s="76" t="n">
        <f aca="false">IF(Inputs!$D$10&lt;=0,1,(I268*Inputs!$D$11+(1-Inputs!$D$11)/MAX(1,Inputs!$D$10)*(I268*(I$264-1)*1+I268*(I268-1)/2)+1-I268)/1)</f>
        <v>0.935714285714286</v>
      </c>
      <c r="J269" s="76" t="n">
        <f aca="false">IF(Inputs!$D$10&lt;=0,1,(J268*Inputs!$D$11+(1-Inputs!$D$11)/MAX(1,Inputs!$D$10)*(J268*(J$264-1)*1+J268*(J268-1)/2)+1-J268)/1)</f>
        <v>1</v>
      </c>
      <c r="K269" s="76" t="n">
        <f aca="false">IF(Inputs!$D$10&lt;=0,1,(K268*Inputs!$D$11+(1-Inputs!$D$11)/MAX(1,Inputs!$D$10)*(K268*(K$264-1)*1+K268*(K268-1)/2)+1-K268)/1)</f>
        <v>1</v>
      </c>
      <c r="L269" s="76" t="n">
        <f aca="false">IF(Inputs!$D$10&lt;=0,1,(L268*Inputs!$D$11+(1-Inputs!$D$11)/MAX(1,Inputs!$D$10)*(L268*(L$264-1)*1+L268*(L268-1)/2)+1-L268)/1)</f>
        <v>1</v>
      </c>
      <c r="M269" s="76" t="n">
        <f aca="false">IF(Inputs!$D$10&lt;=0,1,(M268*Inputs!$D$11+(1-Inputs!$D$11)/MAX(1,Inputs!$D$10)*(M268*(M$264-1)*1+M268*(M268-1)/2)+1-M268)/1)</f>
        <v>1</v>
      </c>
      <c r="N269" s="76" t="n">
        <f aca="false">IF(Inputs!$D$10&lt;=0,1,(N268*Inputs!$D$11+(1-Inputs!$D$11)/MAX(1,Inputs!$D$10)*(N268*(N$264-1)*1+N268*(N268-1)/2)+1-N268)/1)</f>
        <v>1</v>
      </c>
      <c r="O269" s="76" t="n">
        <f aca="false">IF(Inputs!$D$10&lt;=0,1,(O268*Inputs!$D$11+(1-Inputs!$D$11)/MAX(1,Inputs!$D$10)*(O268*(O$264-1)*1+O268*(O268-1)/2)+1-O268)/1)</f>
        <v>1</v>
      </c>
      <c r="P269" s="76" t="n">
        <f aca="false">IF(Inputs!$D$10&lt;=0,1,(P268*Inputs!$D$11+(1-Inputs!$D$11)/MAX(1,Inputs!$D$10)*(P268*(P$264-1)*1+P268*(P268-1)/2)+1-P268)/1)</f>
        <v>1</v>
      </c>
      <c r="Q269" s="76" t="n">
        <f aca="false">IF(Inputs!$D$10&lt;=0,1,(Q268*Inputs!$D$11+(1-Inputs!$D$11)/MAX(1,Inputs!$D$10)*(Q268*(Q$264-1)*1+Q268*(Q268-1)/2)+1-Q268)/1)</f>
        <v>1</v>
      </c>
      <c r="R269" s="76" t="n">
        <f aca="false">IF(Inputs!$D$10&lt;=0,1,(R268*Inputs!$D$11+(1-Inputs!$D$11)/MAX(1,Inputs!$D$10)*(R268*(R$264-1)*1+R268*(R268-1)/2)+1-R268)/1)</f>
        <v>1</v>
      </c>
      <c r="S269" s="76" t="n">
        <f aca="false">IF(Inputs!$D$10&lt;=0,1,(S268*Inputs!$D$11+(1-Inputs!$D$11)/MAX(1,Inputs!$D$10)*(S268*(S$264-1)*1+S268*(S268-1)/2)+1-S268)/1)</f>
        <v>1</v>
      </c>
      <c r="T269" s="76" t="n">
        <f aca="false">IF(Inputs!$D$10&lt;=0,1,(T268*Inputs!$D$11+(1-Inputs!$D$11)/MAX(1,Inputs!$D$10)*(T268*(T$264-1)*1+T268*(T268-1)/2)+1-T268)/1)</f>
        <v>1</v>
      </c>
      <c r="U269" s="76" t="n">
        <f aca="false">IF(Inputs!$D$10&lt;=0,1,(U268*Inputs!$D$11+(1-Inputs!$D$11)/MAX(1,Inputs!$D$10)*(U268*(U$264-1)*1+U268*(U268-1)/2)+1-U268)/1)</f>
        <v>1</v>
      </c>
      <c r="V269" s="76" t="n">
        <f aca="false">IF(Inputs!$D$10&lt;=0,1,(V268*Inputs!$D$11+(1-Inputs!$D$11)/MAX(1,Inputs!$D$10)*(V268*(V$264-1)*1+V268*(V268-1)/2)+1-V268)/1)</f>
        <v>1</v>
      </c>
      <c r="W269" s="76" t="n">
        <f aca="false">IF(Inputs!$D$10&lt;=0,1,(W268*Inputs!$D$11+(1-Inputs!$D$11)/MAX(1,Inputs!$D$10)*(W268*(W$264-1)*1+W268*(W268-1)/2)+1-W268)/1)</f>
        <v>1</v>
      </c>
      <c r="X269" s="76" t="n">
        <f aca="false">IF(Inputs!$D$10&lt;=0,1,(X268*Inputs!$D$11+(1-Inputs!$D$11)/MAX(1,Inputs!$D$10)*(X268*(X$264-1)*1+X268*(X268-1)/2)+1-X268)/1)</f>
        <v>1</v>
      </c>
      <c r="Y269" s="76" t="n">
        <f aca="false">IF(Inputs!$D$10&lt;=0,1,(Y268*Inputs!$D$11+(1-Inputs!$D$11)/MAX(1,Inputs!$D$10)*(Y268*(Y$264-1)*1+Y268*(Y268-1)/2)+1-Y268)/1)</f>
        <v>1</v>
      </c>
      <c r="Z269" s="76" t="n">
        <f aca="false">IF(Inputs!$D$10&lt;=0,1,(Z268*Inputs!$D$11+(1-Inputs!$D$11)/MAX(1,Inputs!$D$10)*(Z268*(Z$264-1)*1+Z268*(Z268-1)/2)+1-Z268)/1)</f>
        <v>1</v>
      </c>
      <c r="AA269" s="76" t="n">
        <f aca="false">IF(Inputs!$D$10&lt;=0,1,(AA268*Inputs!$D$11+(1-Inputs!$D$11)/MAX(1,Inputs!$D$10)*(AA268*(AA$264-1)*1+AA268*(AA268-1)/2)+1-AA268)/1)</f>
        <v>1</v>
      </c>
      <c r="AB269" s="76" t="n">
        <f aca="false">IF(Inputs!$D$10&lt;=0,1,(AB268*Inputs!$D$11+(1-Inputs!$D$11)/MAX(1,Inputs!$D$10)*(AB268*(AB$264-1)*1+AB268*(AB268-1)/2)+1-AB268)/1)</f>
        <v>1</v>
      </c>
      <c r="AC269" s="76" t="n">
        <f aca="false">IF(Inputs!$D$10&lt;=0,1,(AC268*Inputs!$D$11+(1-Inputs!$D$11)/MAX(1,Inputs!$D$10)*(AC268*(AC$264-1)*1+AC268*(AC268-1)/2)+1-AC268)/1)</f>
        <v>1</v>
      </c>
      <c r="AD269" s="76" t="n">
        <f aca="false">IF(Inputs!$D$10&lt;=0,1,(AD268*Inputs!$D$11+(1-Inputs!$D$11)/MAX(1,Inputs!$D$10)*(AD268*(AD$264-1)*1+AD268*(AD268-1)/2)+1-AD268)/1)</f>
        <v>1</v>
      </c>
      <c r="AE269" s="76" t="n">
        <f aca="false">IF(Inputs!$D$10&lt;=0,1,(AE268*Inputs!$D$11+(1-Inputs!$D$11)/MAX(1,Inputs!$D$10)*(AE268*(AE$264-1)*1+AE268*(AE268-1)/2)+1-AE268)/1)</f>
        <v>1</v>
      </c>
      <c r="AF269" s="76" t="n">
        <f aca="false">IF(Inputs!$D$10&lt;=0,1,(AF268*Inputs!$D$11+(1-Inputs!$D$11)/MAX(1,Inputs!$D$10)*(AF268*(AF$264-1)*1+AF268*(AF268-1)/2)+1-AF268)/1)</f>
        <v>1</v>
      </c>
      <c r="AG269" s="76" t="n">
        <f aca="false">IF(Inputs!$D$10&lt;=0,1,(AG268*Inputs!$D$11+(1-Inputs!$D$11)/MAX(1,Inputs!$D$10)*(AG268*(AG$264-1)*1+AG268*(AG268-1)/2)+1-AG268)/1)</f>
        <v>1</v>
      </c>
      <c r="AH269" s="76" t="n">
        <f aca="false">IF(Inputs!$D$10&lt;=0,1,(AH268*Inputs!$D$11+(1-Inputs!$D$11)/MAX(1,Inputs!$D$10)*(AH268*(AH$264-1)*1+AH268*(AH268-1)/2)+1-AH268)/1)</f>
        <v>1</v>
      </c>
      <c r="AI269" s="76" t="n">
        <f aca="false">IF(Inputs!$D$10&lt;=0,1,(AI268*Inputs!$D$11+(1-Inputs!$D$11)/MAX(1,Inputs!$D$10)*(AI268*(AI$264-1)*1+AI268*(AI268-1)/2)+1-AI268)/1)</f>
        <v>1</v>
      </c>
      <c r="AJ269" s="76" t="n">
        <f aca="false">IF(Inputs!$D$10&lt;=0,1,(AJ268*Inputs!$D$11+(1-Inputs!$D$11)/MAX(1,Inputs!$D$10)*(AJ268*(AJ$264-1)*1+AJ268*(AJ268-1)/2)+1-AJ268)/1)</f>
        <v>1</v>
      </c>
      <c r="AK269" s="76" t="n">
        <f aca="false">IF(Inputs!$D$10&lt;=0,1,(AK268*Inputs!$D$11+(1-Inputs!$D$11)/MAX(1,Inputs!$D$10)*(AK268*(AK$264-1)*1+AK268*(AK268-1)/2)+1-AK268)/1)</f>
        <v>1</v>
      </c>
      <c r="AL269" s="76" t="n">
        <f aca="false">IF(Inputs!$D$10&lt;=0,1,(AL268*Inputs!$D$11+(1-Inputs!$D$11)/MAX(1,Inputs!$D$10)*(AL268*(AL$264-1)*1+AL268*(AL268-1)/2)+1-AL268)/1)</f>
        <v>1</v>
      </c>
      <c r="AM269" s="76" t="n">
        <f aca="false">IF(Inputs!$D$10&lt;=0,1,(AM268*Inputs!$D$11+(1-Inputs!$D$11)/MAX(1,Inputs!$D$10)*(AM268*(AM$264-1)*1+AM268*(AM268-1)/2)+1-AM268)/1)</f>
        <v>1</v>
      </c>
      <c r="AN269" s="76" t="n">
        <f aca="false">IF(Inputs!$D$10&lt;=0,1,(AN268*Inputs!$D$11+(1-Inputs!$D$11)/MAX(1,Inputs!$D$10)*(AN268*(AN$264-1)*1+AN268*(AN268-1)/2)+1-AN268)/1)</f>
        <v>1</v>
      </c>
      <c r="AO269" s="76" t="n">
        <f aca="false">IF(Inputs!$D$10&lt;=0,1,(AO268*Inputs!$D$11+(1-Inputs!$D$11)/MAX(1,Inputs!$D$10)*(AO268*(AO$264-1)*1+AO268*(AO268-1)/2)+1-AO268)/1)</f>
        <v>1</v>
      </c>
      <c r="AP269" s="76" t="n">
        <f aca="false">IF(Inputs!$D$10&lt;=0,1,(AP268*Inputs!$D$11+(1-Inputs!$D$11)/MAX(1,Inputs!$D$10)*(AP268*(AP$264-1)*1+AP268*(AP268-1)/2)+1-AP268)/1)</f>
        <v>1</v>
      </c>
      <c r="AQ269" s="76" t="n">
        <f aca="false">IF(Inputs!$D$10&lt;=0,1,(AQ268*Inputs!$D$11+(1-Inputs!$D$11)/MAX(1,Inputs!$D$10)*(AQ268*(AQ$264-1)*1+AQ268*(AQ268-1)/2)+1-AQ268)/1)</f>
        <v>1</v>
      </c>
      <c r="AR269" s="76" t="n">
        <f aca="false">IF(Inputs!$D$10&lt;=0,1,(AR268*Inputs!$D$11+(1-Inputs!$D$11)/MAX(1,Inputs!$D$10)*(AR268*(AR$264-1)*1+AR268*(AR268-1)/2)+1-AR268)/1)</f>
        <v>1</v>
      </c>
      <c r="AS269" s="76" t="n">
        <f aca="false">IF(Inputs!$D$10&lt;=0,1,(AS268*Inputs!$D$11+(1-Inputs!$D$11)/MAX(1,Inputs!$D$10)*(AS268*(AS$264-1)*1+AS268*(AS268-1)/2)+1-AS268)/1)</f>
        <v>1</v>
      </c>
      <c r="AT269" s="76" t="n">
        <f aca="false">IF(Inputs!$D$10&lt;=0,1,(AT268*Inputs!$D$11+(1-Inputs!$D$11)/MAX(1,Inputs!$D$10)*(AT268*(AT$264-1)*1+AT268*(AT268-1)/2)+1-AT268)/1)</f>
        <v>1</v>
      </c>
      <c r="AU269" s="76" t="n">
        <f aca="false">IF(Inputs!$D$10&lt;=0,1,(AU268*Inputs!$D$11+(1-Inputs!$D$11)/MAX(1,Inputs!$D$10)*(AU268*(AU$264-1)*1+AU268*(AU268-1)/2)+1-AU268)/1)</f>
        <v>1</v>
      </c>
      <c r="AV269" s="76" t="n">
        <f aca="false">IF(Inputs!$D$10&lt;=0,1,(AV268*Inputs!$D$11+(1-Inputs!$D$11)/MAX(1,Inputs!$D$10)*(AV268*(AV$264-1)*1+AV268*(AV268-1)/2)+1-AV268)/1)</f>
        <v>1</v>
      </c>
      <c r="AW269" s="76" t="n">
        <f aca="false">IF(Inputs!$D$10&lt;=0,1,(AW268*Inputs!$D$11+(1-Inputs!$D$11)/MAX(1,Inputs!$D$10)*(AW268*(AW$264-1)*1+AW268*(AW268-1)/2)+1-AW268)/1)</f>
        <v>1</v>
      </c>
      <c r="AX269" s="76" t="n">
        <f aca="false">IF(Inputs!$D$10&lt;=0,1,(AX268*Inputs!$D$11+(1-Inputs!$D$11)/MAX(1,Inputs!$D$10)*(AX268*(AX$264-1)*1+AX268*(AX268-1)/2)+1-AX268)/1)</f>
        <v>1</v>
      </c>
      <c r="AY269" s="76" t="n">
        <f aca="false">IF(Inputs!$D$10&lt;=0,1,(AY268*Inputs!$D$11+(1-Inputs!$D$11)/MAX(1,Inputs!$D$10)*(AY268*(AY$264-1)*1+AY268*(AY268-1)/2)+1-AY268)/1)</f>
        <v>1</v>
      </c>
      <c r="AZ269" s="76" t="n">
        <f aca="false">IF(Inputs!$D$10&lt;=0,1,(AZ268*Inputs!$D$11+(1-Inputs!$D$11)/MAX(1,Inputs!$D$10)*(AZ268*(AZ$264-1)*1+AZ268*(AZ268-1)/2)+1-AZ268)/1)</f>
        <v>1</v>
      </c>
      <c r="BA269" s="76" t="n">
        <f aca="false">IF(Inputs!$D$10&lt;=0,1,(BA268*Inputs!$D$11+(1-Inputs!$D$11)/MAX(1,Inputs!$D$10)*(BA268*(BA$264-1)*1+BA268*(BA268-1)/2)+1-BA268)/1)</f>
        <v>1</v>
      </c>
      <c r="BB269" s="76" t="n">
        <f aca="false">IF(Inputs!$D$10&lt;=0,1,(BB268*Inputs!$D$11+(1-Inputs!$D$11)/MAX(1,Inputs!$D$10)*(BB268*(BB$264-1)*1+BB268*(BB268-1)/2)+1-BB268)/1)</f>
        <v>1</v>
      </c>
      <c r="BC269" s="76" t="n">
        <f aca="false">IF(Inputs!$D$10&lt;=0,1,(BC268*Inputs!$D$11+(1-Inputs!$D$11)/MAX(1,Inputs!$D$10)*(BC268*(BC$264-1)*1+BC268*(BC268-1)/2)+1-BC268)/1)</f>
        <v>1</v>
      </c>
      <c r="BD269" s="76" t="n">
        <f aca="false">IF(Inputs!$D$10&lt;=0,1,(BD268*Inputs!$D$11+(1-Inputs!$D$11)/MAX(1,Inputs!$D$10)*(BD268*(BD$264-1)*1+BD268*(BD268-1)/2)+1-BD268)/1)</f>
        <v>1</v>
      </c>
      <c r="BE269" s="76" t="n">
        <f aca="false">IF(Inputs!$D$10&lt;=0,1,(BE268*Inputs!$D$11+(1-Inputs!$D$11)/MAX(1,Inputs!$D$10)*(BE268*(BE$264-1)*1+BE268*(BE268-1)/2)+1-BE268)/1)</f>
        <v>1</v>
      </c>
      <c r="BF269" s="76" t="n">
        <f aca="false">IF(Inputs!$D$10&lt;=0,1,(BF268*Inputs!$D$11+(1-Inputs!$D$11)/MAX(1,Inputs!$D$10)*(BF268*(BF$264-1)*1+BF268*(BF268-1)/2)+1-BF268)/1)</f>
        <v>1</v>
      </c>
      <c r="BG269" s="76" t="n">
        <f aca="false">IF(Inputs!$D$10&lt;=0,1,(BG268*Inputs!$D$11+(1-Inputs!$D$11)/MAX(1,Inputs!$D$10)*(BG268*(BG$264-1)*1+BG268*(BG268-1)/2)+1-BG268)/1)</f>
        <v>1</v>
      </c>
      <c r="BH269" s="76" t="n">
        <f aca="false">IF(Inputs!$D$10&lt;=0,1,(BH268*Inputs!$D$11+(1-Inputs!$D$11)/MAX(1,Inputs!$D$10)*(BH268*(BH$264-1)*1+BH268*(BH268-1)/2)+1-BH268)/1)</f>
        <v>1</v>
      </c>
      <c r="BI269" s="76" t="n">
        <f aca="false">IF(Inputs!$D$10&lt;=0,1,(BI268*Inputs!$D$11+(1-Inputs!$D$11)/MAX(1,Inputs!$D$10)*(BI268*(BI$264-1)*1+BI268*(BI268-1)/2)+1-BI268)/1)</f>
        <v>1</v>
      </c>
      <c r="BJ269" s="76" t="n">
        <f aca="false">IF(Inputs!$D$10&lt;=0,1,(BJ268*Inputs!$D$11+(1-Inputs!$D$11)/MAX(1,Inputs!$D$10)*(BJ268*(BJ$264-1)*1+BJ268*(BJ268-1)/2)+1-BJ268)/1)</f>
        <v>1</v>
      </c>
    </row>
    <row r="270" customFormat="false" ht="15" hidden="false" customHeight="false" outlineLevel="0" collapsed="false">
      <c r="A270" s="6" t="s">
        <v>420</v>
      </c>
      <c r="C270" s="79" t="n">
        <f aca="false">IF(OR(MOD(C$264-1,12)&gt;=11,MOD(C$264-1,12)&lt;=1),1-Inputs!$D$12,1+Inputs!$D$12/3)</f>
        <v>0.9</v>
      </c>
      <c r="D270" s="79" t="n">
        <f aca="false">IF(OR(MOD(D$264-1,12)&gt;=11,MOD(D$264-1,12)&lt;=1),1-Inputs!$D$12,1+Inputs!$D$12/3)</f>
        <v>0.9</v>
      </c>
      <c r="E270" s="79" t="n">
        <f aca="false">IF(OR(MOD(E$264-1,12)&gt;=11,MOD(E$264-1,12)&lt;=1),1-Inputs!$D$12,1+Inputs!$D$12/3)</f>
        <v>1.03333333333333</v>
      </c>
      <c r="F270" s="79" t="n">
        <f aca="false">IF(OR(MOD(F$264-1,12)&gt;=11,MOD(F$264-1,12)&lt;=1),1-Inputs!$D$12,1+Inputs!$D$12/3)</f>
        <v>1.03333333333333</v>
      </c>
      <c r="G270" s="79" t="n">
        <f aca="false">IF(OR(MOD(G$264-1,12)&gt;=11,MOD(G$264-1,12)&lt;=1),1-Inputs!$D$12,1+Inputs!$D$12/3)</f>
        <v>1.03333333333333</v>
      </c>
      <c r="H270" s="79" t="n">
        <f aca="false">IF(OR(MOD(H$264-1,12)&gt;=11,MOD(H$264-1,12)&lt;=1),1-Inputs!$D$12,1+Inputs!$D$12/3)</f>
        <v>1.03333333333333</v>
      </c>
      <c r="I270" s="79" t="n">
        <f aca="false">IF(OR(MOD(I$264-1,12)&gt;=11,MOD(I$264-1,12)&lt;=1),1-Inputs!$D$12,1+Inputs!$D$12/3)</f>
        <v>1.03333333333333</v>
      </c>
      <c r="J270" s="79" t="n">
        <f aca="false">IF(OR(MOD(J$264-1,12)&gt;=11,MOD(J$264-1,12)&lt;=1),1-Inputs!$D$12,1+Inputs!$D$12/3)</f>
        <v>1.03333333333333</v>
      </c>
      <c r="K270" s="79" t="n">
        <f aca="false">IF(OR(MOD(K$264-1,12)&gt;=11,MOD(K$264-1,12)&lt;=1),1-Inputs!$D$12,1+Inputs!$D$12/3)</f>
        <v>1.03333333333333</v>
      </c>
      <c r="L270" s="79" t="n">
        <f aca="false">IF(OR(MOD(L$264-1,12)&gt;=11,MOD(L$264-1,12)&lt;=1),1-Inputs!$D$12,1+Inputs!$D$12/3)</f>
        <v>1.03333333333333</v>
      </c>
      <c r="M270" s="79" t="n">
        <f aca="false">IF(OR(MOD(M$264-1,12)&gt;=11,MOD(M$264-1,12)&lt;=1),1-Inputs!$D$12,1+Inputs!$D$12/3)</f>
        <v>1.03333333333333</v>
      </c>
      <c r="N270" s="79" t="n">
        <f aca="false">IF(OR(MOD(N$264-1,12)&gt;=11,MOD(N$264-1,12)&lt;=1),1-Inputs!$D$12,1+Inputs!$D$12/3)</f>
        <v>0.9</v>
      </c>
      <c r="O270" s="79" t="n">
        <f aca="false">IF(OR(MOD(O$264-1,12)&gt;=11,MOD(O$264-1,12)&lt;=1),1-Inputs!$D$12,1+Inputs!$D$12/3)</f>
        <v>0.9</v>
      </c>
      <c r="P270" s="79" t="n">
        <f aca="false">IF(OR(MOD(P$264-1,12)&gt;=11,MOD(P$264-1,12)&lt;=1),1-Inputs!$D$12,1+Inputs!$D$12/3)</f>
        <v>0.9</v>
      </c>
      <c r="Q270" s="79" t="n">
        <f aca="false">IF(OR(MOD(Q$264-1,12)&gt;=11,MOD(Q$264-1,12)&lt;=1),1-Inputs!$D$12,1+Inputs!$D$12/3)</f>
        <v>1.03333333333333</v>
      </c>
      <c r="R270" s="79" t="n">
        <f aca="false">IF(OR(MOD(R$264-1,12)&gt;=11,MOD(R$264-1,12)&lt;=1),1-Inputs!$D$12,1+Inputs!$D$12/3)</f>
        <v>1.03333333333333</v>
      </c>
      <c r="S270" s="79" t="n">
        <f aca="false">IF(OR(MOD(S$264-1,12)&gt;=11,MOD(S$264-1,12)&lt;=1),1-Inputs!$D$12,1+Inputs!$D$12/3)</f>
        <v>1.03333333333333</v>
      </c>
      <c r="T270" s="79" t="n">
        <f aca="false">IF(OR(MOD(T$264-1,12)&gt;=11,MOD(T$264-1,12)&lt;=1),1-Inputs!$D$12,1+Inputs!$D$12/3)</f>
        <v>1.03333333333333</v>
      </c>
      <c r="U270" s="79" t="n">
        <f aca="false">IF(OR(MOD(U$264-1,12)&gt;=11,MOD(U$264-1,12)&lt;=1),1-Inputs!$D$12,1+Inputs!$D$12/3)</f>
        <v>1.03333333333333</v>
      </c>
      <c r="V270" s="79" t="n">
        <f aca="false">IF(OR(MOD(V$264-1,12)&gt;=11,MOD(V$264-1,12)&lt;=1),1-Inputs!$D$12,1+Inputs!$D$12/3)</f>
        <v>1.03333333333333</v>
      </c>
      <c r="W270" s="79" t="n">
        <f aca="false">IF(OR(MOD(W$264-1,12)&gt;=11,MOD(W$264-1,12)&lt;=1),1-Inputs!$D$12,1+Inputs!$D$12/3)</f>
        <v>1.03333333333333</v>
      </c>
      <c r="X270" s="79" t="n">
        <f aca="false">IF(OR(MOD(X$264-1,12)&gt;=11,MOD(X$264-1,12)&lt;=1),1-Inputs!$D$12,1+Inputs!$D$12/3)</f>
        <v>1.03333333333333</v>
      </c>
      <c r="Y270" s="79" t="n">
        <f aca="false">IF(OR(MOD(Y$264-1,12)&gt;=11,MOD(Y$264-1,12)&lt;=1),1-Inputs!$D$12,1+Inputs!$D$12/3)</f>
        <v>1.03333333333333</v>
      </c>
      <c r="Z270" s="79" t="n">
        <f aca="false">IF(OR(MOD(Z$264-1,12)&gt;=11,MOD(Z$264-1,12)&lt;=1),1-Inputs!$D$12,1+Inputs!$D$12/3)</f>
        <v>0.9</v>
      </c>
      <c r="AA270" s="79" t="n">
        <f aca="false">IF(OR(MOD(AA$264-1,12)&gt;=11,MOD(AA$264-1,12)&lt;=1),1-Inputs!$D$12,1+Inputs!$D$12/3)</f>
        <v>0.9</v>
      </c>
      <c r="AB270" s="79" t="n">
        <f aca="false">IF(OR(MOD(AB$264-1,12)&gt;=11,MOD(AB$264-1,12)&lt;=1),1-Inputs!$D$12,1+Inputs!$D$12/3)</f>
        <v>0.9</v>
      </c>
      <c r="AC270" s="79" t="n">
        <f aca="false">IF(OR(MOD(AC$264-1,12)&gt;=11,MOD(AC$264-1,12)&lt;=1),1-Inputs!$D$12,1+Inputs!$D$12/3)</f>
        <v>1.03333333333333</v>
      </c>
      <c r="AD270" s="79" t="n">
        <f aca="false">IF(OR(MOD(AD$264-1,12)&gt;=11,MOD(AD$264-1,12)&lt;=1),1-Inputs!$D$12,1+Inputs!$D$12/3)</f>
        <v>1.03333333333333</v>
      </c>
      <c r="AE270" s="79" t="n">
        <f aca="false">IF(OR(MOD(AE$264-1,12)&gt;=11,MOD(AE$264-1,12)&lt;=1),1-Inputs!$D$12,1+Inputs!$D$12/3)</f>
        <v>1.03333333333333</v>
      </c>
      <c r="AF270" s="79" t="n">
        <f aca="false">IF(OR(MOD(AF$264-1,12)&gt;=11,MOD(AF$264-1,12)&lt;=1),1-Inputs!$D$12,1+Inputs!$D$12/3)</f>
        <v>1.03333333333333</v>
      </c>
      <c r="AG270" s="79" t="n">
        <f aca="false">IF(OR(MOD(AG$264-1,12)&gt;=11,MOD(AG$264-1,12)&lt;=1),1-Inputs!$D$12,1+Inputs!$D$12/3)</f>
        <v>1.03333333333333</v>
      </c>
      <c r="AH270" s="79" t="n">
        <f aca="false">IF(OR(MOD(AH$264-1,12)&gt;=11,MOD(AH$264-1,12)&lt;=1),1-Inputs!$D$12,1+Inputs!$D$12/3)</f>
        <v>1.03333333333333</v>
      </c>
      <c r="AI270" s="79" t="n">
        <f aca="false">IF(OR(MOD(AI$264-1,12)&gt;=11,MOD(AI$264-1,12)&lt;=1),1-Inputs!$D$12,1+Inputs!$D$12/3)</f>
        <v>1.03333333333333</v>
      </c>
      <c r="AJ270" s="79" t="n">
        <f aca="false">IF(OR(MOD(AJ$264-1,12)&gt;=11,MOD(AJ$264-1,12)&lt;=1),1-Inputs!$D$12,1+Inputs!$D$12/3)</f>
        <v>1.03333333333333</v>
      </c>
      <c r="AK270" s="79" t="n">
        <f aca="false">IF(OR(MOD(AK$264-1,12)&gt;=11,MOD(AK$264-1,12)&lt;=1),1-Inputs!$D$12,1+Inputs!$D$12/3)</f>
        <v>1.03333333333333</v>
      </c>
      <c r="AL270" s="79" t="n">
        <f aca="false">IF(OR(MOD(AL$264-1,12)&gt;=11,MOD(AL$264-1,12)&lt;=1),1-Inputs!$D$12,1+Inputs!$D$12/3)</f>
        <v>0.9</v>
      </c>
      <c r="AM270" s="79" t="n">
        <f aca="false">IF(OR(MOD(AM$264-1,12)&gt;=11,MOD(AM$264-1,12)&lt;=1),1-Inputs!$D$12,1+Inputs!$D$12/3)</f>
        <v>0.9</v>
      </c>
      <c r="AN270" s="79" t="n">
        <f aca="false">IF(OR(MOD(AN$264-1,12)&gt;=11,MOD(AN$264-1,12)&lt;=1),1-Inputs!$D$12,1+Inputs!$D$12/3)</f>
        <v>0.9</v>
      </c>
      <c r="AO270" s="79" t="n">
        <f aca="false">IF(OR(MOD(AO$264-1,12)&gt;=11,MOD(AO$264-1,12)&lt;=1),1-Inputs!$D$12,1+Inputs!$D$12/3)</f>
        <v>1.03333333333333</v>
      </c>
      <c r="AP270" s="79" t="n">
        <f aca="false">IF(OR(MOD(AP$264-1,12)&gt;=11,MOD(AP$264-1,12)&lt;=1),1-Inputs!$D$12,1+Inputs!$D$12/3)</f>
        <v>1.03333333333333</v>
      </c>
      <c r="AQ270" s="79" t="n">
        <f aca="false">IF(OR(MOD(AQ$264-1,12)&gt;=11,MOD(AQ$264-1,12)&lt;=1),1-Inputs!$D$12,1+Inputs!$D$12/3)</f>
        <v>1.03333333333333</v>
      </c>
      <c r="AR270" s="79" t="n">
        <f aca="false">IF(OR(MOD(AR$264-1,12)&gt;=11,MOD(AR$264-1,12)&lt;=1),1-Inputs!$D$12,1+Inputs!$D$12/3)</f>
        <v>1.03333333333333</v>
      </c>
      <c r="AS270" s="79" t="n">
        <f aca="false">IF(OR(MOD(AS$264-1,12)&gt;=11,MOD(AS$264-1,12)&lt;=1),1-Inputs!$D$12,1+Inputs!$D$12/3)</f>
        <v>1.03333333333333</v>
      </c>
      <c r="AT270" s="79" t="n">
        <f aca="false">IF(OR(MOD(AT$264-1,12)&gt;=11,MOD(AT$264-1,12)&lt;=1),1-Inputs!$D$12,1+Inputs!$D$12/3)</f>
        <v>1.03333333333333</v>
      </c>
      <c r="AU270" s="79" t="n">
        <f aca="false">IF(OR(MOD(AU$264-1,12)&gt;=11,MOD(AU$264-1,12)&lt;=1),1-Inputs!$D$12,1+Inputs!$D$12/3)</f>
        <v>1.03333333333333</v>
      </c>
      <c r="AV270" s="79" t="n">
        <f aca="false">IF(OR(MOD(AV$264-1,12)&gt;=11,MOD(AV$264-1,12)&lt;=1),1-Inputs!$D$12,1+Inputs!$D$12/3)</f>
        <v>1.03333333333333</v>
      </c>
      <c r="AW270" s="79" t="n">
        <f aca="false">IF(OR(MOD(AW$264-1,12)&gt;=11,MOD(AW$264-1,12)&lt;=1),1-Inputs!$D$12,1+Inputs!$D$12/3)</f>
        <v>1.03333333333333</v>
      </c>
      <c r="AX270" s="79" t="n">
        <f aca="false">IF(OR(MOD(AX$264-1,12)&gt;=11,MOD(AX$264-1,12)&lt;=1),1-Inputs!$D$12,1+Inputs!$D$12/3)</f>
        <v>0.9</v>
      </c>
      <c r="AY270" s="79" t="n">
        <f aca="false">IF(OR(MOD(AY$264-1,12)&gt;=11,MOD(AY$264-1,12)&lt;=1),1-Inputs!$D$12,1+Inputs!$D$12/3)</f>
        <v>0.9</v>
      </c>
      <c r="AZ270" s="79" t="n">
        <f aca="false">IF(OR(MOD(AZ$264-1,12)&gt;=11,MOD(AZ$264-1,12)&lt;=1),1-Inputs!$D$12,1+Inputs!$D$12/3)</f>
        <v>0.9</v>
      </c>
      <c r="BA270" s="79" t="n">
        <f aca="false">IF(OR(MOD(BA$264-1,12)&gt;=11,MOD(BA$264-1,12)&lt;=1),1-Inputs!$D$12,1+Inputs!$D$12/3)</f>
        <v>1.03333333333333</v>
      </c>
      <c r="BB270" s="79" t="n">
        <f aca="false">IF(OR(MOD(BB$264-1,12)&gt;=11,MOD(BB$264-1,12)&lt;=1),1-Inputs!$D$12,1+Inputs!$D$12/3)</f>
        <v>1.03333333333333</v>
      </c>
      <c r="BC270" s="79" t="n">
        <f aca="false">IF(OR(MOD(BC$264-1,12)&gt;=11,MOD(BC$264-1,12)&lt;=1),1-Inputs!$D$12,1+Inputs!$D$12/3)</f>
        <v>1.03333333333333</v>
      </c>
      <c r="BD270" s="79" t="n">
        <f aca="false">IF(OR(MOD(BD$264-1,12)&gt;=11,MOD(BD$264-1,12)&lt;=1),1-Inputs!$D$12,1+Inputs!$D$12/3)</f>
        <v>1.03333333333333</v>
      </c>
      <c r="BE270" s="79" t="n">
        <f aca="false">IF(OR(MOD(BE$264-1,12)&gt;=11,MOD(BE$264-1,12)&lt;=1),1-Inputs!$D$12,1+Inputs!$D$12/3)</f>
        <v>1.03333333333333</v>
      </c>
      <c r="BF270" s="79" t="n">
        <f aca="false">IF(OR(MOD(BF$264-1,12)&gt;=11,MOD(BF$264-1,12)&lt;=1),1-Inputs!$D$12,1+Inputs!$D$12/3)</f>
        <v>1.03333333333333</v>
      </c>
      <c r="BG270" s="79" t="n">
        <f aca="false">IF(OR(MOD(BG$264-1,12)&gt;=11,MOD(BG$264-1,12)&lt;=1),1-Inputs!$D$12,1+Inputs!$D$12/3)</f>
        <v>1.03333333333333</v>
      </c>
      <c r="BH270" s="79" t="n">
        <f aca="false">IF(OR(MOD(BH$264-1,12)&gt;=11,MOD(BH$264-1,12)&lt;=1),1-Inputs!$D$12,1+Inputs!$D$12/3)</f>
        <v>1.03333333333333</v>
      </c>
      <c r="BI270" s="79" t="n">
        <f aca="false">IF(OR(MOD(BI$264-1,12)&gt;=11,MOD(BI$264-1,12)&lt;=1),1-Inputs!$D$12,1+Inputs!$D$12/3)</f>
        <v>1.03333333333333</v>
      </c>
      <c r="BJ270" s="79" t="n">
        <f aca="false">IF(OR(MOD(BJ$264-1,12)&gt;=11,MOD(BJ$264-1,12)&lt;=1),1-Inputs!$D$12,1+Inputs!$D$12/3)</f>
        <v>0.9</v>
      </c>
    </row>
    <row r="271" customFormat="false" ht="15" hidden="false" customHeight="false" outlineLevel="0" collapsed="false">
      <c r="A271" s="6" t="s">
        <v>421</v>
      </c>
      <c r="C271" s="118" t="n">
        <f aca="false">Inputs!$D$7*(1+Inputs!$D$8)^(C$265-1)*Inputs!$D$9*1*C269*C270</f>
        <v>4019.4</v>
      </c>
      <c r="D271" s="118" t="n">
        <f aca="false">Inputs!$D$7*(1+Inputs!$D$8)^(D$265-1)*Inputs!$D$9*1*D269*D270</f>
        <v>4489.2</v>
      </c>
      <c r="E271" s="118" t="n">
        <f aca="false">Inputs!$D$7*(1+Inputs!$D$8)^(E$265-1)*Inputs!$D$9*1*E269*E270</f>
        <v>5693.66666666667</v>
      </c>
      <c r="F271" s="118" t="n">
        <f aca="false">Inputs!$D$7*(1+Inputs!$D$8)^(F$265-1)*Inputs!$D$9*1*F269*F270</f>
        <v>6233.06666666667</v>
      </c>
      <c r="G271" s="118" t="n">
        <f aca="false">Inputs!$D$7*(1+Inputs!$D$8)^(G$265-1)*Inputs!$D$9*1*G269*G270</f>
        <v>6772.46666666667</v>
      </c>
      <c r="H271" s="118" t="n">
        <f aca="false">Inputs!$D$7*(1+Inputs!$D$8)^(H$265-1)*Inputs!$D$9*1*H269*H270</f>
        <v>7311.86666666667</v>
      </c>
      <c r="I271" s="118" t="n">
        <f aca="false">Inputs!$D$7*(1+Inputs!$D$8)^(I$265-1)*Inputs!$D$9*1*I269*I270</f>
        <v>7851.26666666667</v>
      </c>
      <c r="J271" s="118" t="n">
        <f aca="false">Inputs!$D$7*(1+Inputs!$D$8)^(J$265-1)*Inputs!$D$9*1*J269*J270</f>
        <v>8390.66666666667</v>
      </c>
      <c r="K271" s="118" t="n">
        <f aca="false">Inputs!$D$7*(1+Inputs!$D$8)^(K$265-1)*Inputs!$D$9*1*K269*K270</f>
        <v>8390.66666666667</v>
      </c>
      <c r="L271" s="118" t="n">
        <f aca="false">Inputs!$D$7*(1+Inputs!$D$8)^(L$265-1)*Inputs!$D$9*1*L269*L270</f>
        <v>8390.66666666667</v>
      </c>
      <c r="M271" s="118" t="n">
        <f aca="false">Inputs!$D$7*(1+Inputs!$D$8)^(M$265-1)*Inputs!$D$9*1*M269*M270</f>
        <v>8390.66666666667</v>
      </c>
      <c r="N271" s="118" t="n">
        <f aca="false">Inputs!$D$7*(1+Inputs!$D$8)^(N$265-1)*Inputs!$D$9*1*N269*N270</f>
        <v>7308</v>
      </c>
      <c r="O271" s="118" t="n">
        <f aca="false">Inputs!$D$7*(1+Inputs!$D$8)^(O$265-1)*Inputs!$D$9*1*O269*O270</f>
        <v>7746.48</v>
      </c>
      <c r="P271" s="118" t="n">
        <f aca="false">Inputs!$D$7*(1+Inputs!$D$8)^(P$265-1)*Inputs!$D$9*1*P269*P270</f>
        <v>7746.48</v>
      </c>
      <c r="Q271" s="118" t="n">
        <f aca="false">Inputs!$D$7*(1+Inputs!$D$8)^(Q$265-1)*Inputs!$D$9*1*Q269*Q270</f>
        <v>8894.10666666667</v>
      </c>
      <c r="R271" s="118" t="n">
        <f aca="false">Inputs!$D$7*(1+Inputs!$D$8)^(R$265-1)*Inputs!$D$9*1*R269*R270</f>
        <v>8894.10666666667</v>
      </c>
      <c r="S271" s="118" t="n">
        <f aca="false">Inputs!$D$7*(1+Inputs!$D$8)^(S$265-1)*Inputs!$D$9*1*S269*S270</f>
        <v>8894.10666666667</v>
      </c>
      <c r="T271" s="118" t="n">
        <f aca="false">Inputs!$D$7*(1+Inputs!$D$8)^(T$265-1)*Inputs!$D$9*1*T269*T270</f>
        <v>8894.10666666667</v>
      </c>
      <c r="U271" s="118" t="n">
        <f aca="false">Inputs!$D$7*(1+Inputs!$D$8)^(U$265-1)*Inputs!$D$9*1*U269*U270</f>
        <v>8894.10666666667</v>
      </c>
      <c r="V271" s="118" t="n">
        <f aca="false">Inputs!$D$7*(1+Inputs!$D$8)^(V$265-1)*Inputs!$D$9*1*V269*V270</f>
        <v>8894.10666666667</v>
      </c>
      <c r="W271" s="118" t="n">
        <f aca="false">Inputs!$D$7*(1+Inputs!$D$8)^(W$265-1)*Inputs!$D$9*1*W269*W270</f>
        <v>8894.10666666667</v>
      </c>
      <c r="X271" s="118" t="n">
        <f aca="false">Inputs!$D$7*(1+Inputs!$D$8)^(X$265-1)*Inputs!$D$9*1*X269*X270</f>
        <v>8894.10666666667</v>
      </c>
      <c r="Y271" s="118" t="n">
        <f aca="false">Inputs!$D$7*(1+Inputs!$D$8)^(Y$265-1)*Inputs!$D$9*1*Y269*Y270</f>
        <v>8894.10666666667</v>
      </c>
      <c r="Z271" s="118" t="n">
        <f aca="false">Inputs!$D$7*(1+Inputs!$D$8)^(Z$265-1)*Inputs!$D$9*1*Z269*Z270</f>
        <v>7746.48</v>
      </c>
      <c r="AA271" s="118" t="n">
        <f aca="false">Inputs!$D$7*(1+Inputs!$D$8)^(AA$265-1)*Inputs!$D$9*1*AA269*AA270</f>
        <v>8211.2688</v>
      </c>
      <c r="AB271" s="118" t="n">
        <f aca="false">Inputs!$D$7*(1+Inputs!$D$8)^(AB$265-1)*Inputs!$D$9*1*AB269*AB270</f>
        <v>8211.2688</v>
      </c>
      <c r="AC271" s="118" t="n">
        <f aca="false">Inputs!$D$7*(1+Inputs!$D$8)^(AC$265-1)*Inputs!$D$9*1*AC269*AC270</f>
        <v>9427.75306666667</v>
      </c>
      <c r="AD271" s="118" t="n">
        <f aca="false">Inputs!$D$7*(1+Inputs!$D$8)^(AD$265-1)*Inputs!$D$9*1*AD269*AD270</f>
        <v>9427.75306666667</v>
      </c>
      <c r="AE271" s="118" t="n">
        <f aca="false">Inputs!$D$7*(1+Inputs!$D$8)^(AE$265-1)*Inputs!$D$9*1*AE269*AE270</f>
        <v>9427.75306666667</v>
      </c>
      <c r="AF271" s="118" t="n">
        <f aca="false">Inputs!$D$7*(1+Inputs!$D$8)^(AF$265-1)*Inputs!$D$9*1*AF269*AF270</f>
        <v>9427.75306666667</v>
      </c>
      <c r="AG271" s="118" t="n">
        <f aca="false">Inputs!$D$7*(1+Inputs!$D$8)^(AG$265-1)*Inputs!$D$9*1*AG269*AG270</f>
        <v>9427.75306666667</v>
      </c>
      <c r="AH271" s="118" t="n">
        <f aca="false">Inputs!$D$7*(1+Inputs!$D$8)^(AH$265-1)*Inputs!$D$9*1*AH269*AH270</f>
        <v>9427.75306666667</v>
      </c>
      <c r="AI271" s="118" t="n">
        <f aca="false">Inputs!$D$7*(1+Inputs!$D$8)^(AI$265-1)*Inputs!$D$9*1*AI269*AI270</f>
        <v>9427.75306666667</v>
      </c>
      <c r="AJ271" s="118" t="n">
        <f aca="false">Inputs!$D$7*(1+Inputs!$D$8)^(AJ$265-1)*Inputs!$D$9*1*AJ269*AJ270</f>
        <v>9427.75306666667</v>
      </c>
      <c r="AK271" s="118" t="n">
        <f aca="false">Inputs!$D$7*(1+Inputs!$D$8)^(AK$265-1)*Inputs!$D$9*1*AK269*AK270</f>
        <v>9427.75306666667</v>
      </c>
      <c r="AL271" s="118" t="n">
        <f aca="false">Inputs!$D$7*(1+Inputs!$D$8)^(AL$265-1)*Inputs!$D$9*1*AL269*AL270</f>
        <v>8211.2688</v>
      </c>
      <c r="AM271" s="118" t="n">
        <f aca="false">Inputs!$D$7*(1+Inputs!$D$8)^(AM$265-1)*Inputs!$D$9*1*AM269*AM270</f>
        <v>8703.944928</v>
      </c>
      <c r="AN271" s="118" t="n">
        <f aca="false">Inputs!$D$7*(1+Inputs!$D$8)^(AN$265-1)*Inputs!$D$9*1*AN269*AN270</f>
        <v>8703.944928</v>
      </c>
      <c r="AO271" s="118" t="n">
        <f aca="false">Inputs!$D$7*(1+Inputs!$D$8)^(AO$265-1)*Inputs!$D$9*1*AO269*AO270</f>
        <v>9993.41825066667</v>
      </c>
      <c r="AP271" s="118" t="n">
        <f aca="false">Inputs!$D$7*(1+Inputs!$D$8)^(AP$265-1)*Inputs!$D$9*1*AP269*AP270</f>
        <v>9993.41825066667</v>
      </c>
      <c r="AQ271" s="118" t="n">
        <f aca="false">Inputs!$D$7*(1+Inputs!$D$8)^(AQ$265-1)*Inputs!$D$9*1*AQ269*AQ270</f>
        <v>9993.41825066667</v>
      </c>
      <c r="AR271" s="118" t="n">
        <f aca="false">Inputs!$D$7*(1+Inputs!$D$8)^(AR$265-1)*Inputs!$D$9*1*AR269*AR270</f>
        <v>9993.41825066667</v>
      </c>
      <c r="AS271" s="118" t="n">
        <f aca="false">Inputs!$D$7*(1+Inputs!$D$8)^(AS$265-1)*Inputs!$D$9*1*AS269*AS270</f>
        <v>9993.41825066667</v>
      </c>
      <c r="AT271" s="118" t="n">
        <f aca="false">Inputs!$D$7*(1+Inputs!$D$8)^(AT$265-1)*Inputs!$D$9*1*AT269*AT270</f>
        <v>9993.41825066667</v>
      </c>
      <c r="AU271" s="118" t="n">
        <f aca="false">Inputs!$D$7*(1+Inputs!$D$8)^(AU$265-1)*Inputs!$D$9*1*AU269*AU270</f>
        <v>9993.41825066667</v>
      </c>
      <c r="AV271" s="118" t="n">
        <f aca="false">Inputs!$D$7*(1+Inputs!$D$8)^(AV$265-1)*Inputs!$D$9*1*AV269*AV270</f>
        <v>9993.41825066667</v>
      </c>
      <c r="AW271" s="118" t="n">
        <f aca="false">Inputs!$D$7*(1+Inputs!$D$8)^(AW$265-1)*Inputs!$D$9*1*AW269*AW270</f>
        <v>9993.41825066667</v>
      </c>
      <c r="AX271" s="118" t="n">
        <f aca="false">Inputs!$D$7*(1+Inputs!$D$8)^(AX$265-1)*Inputs!$D$9*1*AX269*AX270</f>
        <v>8703.944928</v>
      </c>
      <c r="AY271" s="118" t="n">
        <f aca="false">Inputs!$D$7*(1+Inputs!$D$8)^(AY$265-1)*Inputs!$D$9*1*AY269*AY270</f>
        <v>9226.18162368</v>
      </c>
      <c r="AZ271" s="118" t="n">
        <f aca="false">Inputs!$D$7*(1+Inputs!$D$8)^(AZ$265-1)*Inputs!$D$9*1*AZ269*AZ270</f>
        <v>9226.18162368</v>
      </c>
      <c r="BA271" s="118" t="n">
        <f aca="false">Inputs!$D$7*(1+Inputs!$D$8)^(BA$265-1)*Inputs!$D$9*1*BA269*BA270</f>
        <v>10593.0233457067</v>
      </c>
      <c r="BB271" s="118" t="n">
        <f aca="false">Inputs!$D$7*(1+Inputs!$D$8)^(BB$265-1)*Inputs!$D$9*1*BB269*BB270</f>
        <v>10593.0233457067</v>
      </c>
      <c r="BC271" s="118" t="n">
        <f aca="false">Inputs!$D$7*(1+Inputs!$D$8)^(BC$265-1)*Inputs!$D$9*1*BC269*BC270</f>
        <v>10593.0233457067</v>
      </c>
      <c r="BD271" s="118" t="n">
        <f aca="false">Inputs!$D$7*(1+Inputs!$D$8)^(BD$265-1)*Inputs!$D$9*1*BD269*BD270</f>
        <v>10593.0233457067</v>
      </c>
      <c r="BE271" s="118" t="n">
        <f aca="false">Inputs!$D$7*(1+Inputs!$D$8)^(BE$265-1)*Inputs!$D$9*1*BE269*BE270</f>
        <v>10593.0233457067</v>
      </c>
      <c r="BF271" s="118" t="n">
        <f aca="false">Inputs!$D$7*(1+Inputs!$D$8)^(BF$265-1)*Inputs!$D$9*1*BF269*BF270</f>
        <v>10593.0233457067</v>
      </c>
      <c r="BG271" s="118" t="n">
        <f aca="false">Inputs!$D$7*(1+Inputs!$D$8)^(BG$265-1)*Inputs!$D$9*1*BG269*BG270</f>
        <v>10593.0233457067</v>
      </c>
      <c r="BH271" s="118" t="n">
        <f aca="false">Inputs!$D$7*(1+Inputs!$D$8)^(BH$265-1)*Inputs!$D$9*1*BH269*BH270</f>
        <v>10593.0233457067</v>
      </c>
      <c r="BI271" s="118" t="n">
        <f aca="false">Inputs!$D$7*(1+Inputs!$D$8)^(BI$265-1)*Inputs!$D$9*1*BI269*BI270</f>
        <v>10593.0233457067</v>
      </c>
      <c r="BJ271" s="118" t="n">
        <f aca="false">Inputs!$D$7*(1+Inputs!$D$8)^(BJ$265-1)*Inputs!$D$9*1*BJ269*BJ270</f>
        <v>9226.18162368</v>
      </c>
    </row>
    <row r="273" customFormat="false" ht="15.75" hidden="false" customHeight="true" outlineLevel="0" collapsed="false">
      <c r="A273" s="7" t="s">
        <v>422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</row>
    <row r="274" customFormat="false" ht="15" hidden="false" customHeight="false" outlineLevel="0" collapsed="false">
      <c r="A274" s="6" t="s">
        <v>423</v>
      </c>
      <c r="C274" s="117" t="n">
        <f aca="false">C271*Inputs!$D$23</f>
        <v>40.194</v>
      </c>
      <c r="D274" s="117" t="n">
        <f aca="false">D271*Inputs!$D$23</f>
        <v>44.892</v>
      </c>
      <c r="E274" s="117" t="n">
        <f aca="false">E271*Inputs!$D$23</f>
        <v>56.9366666666667</v>
      </c>
      <c r="F274" s="117" t="n">
        <f aca="false">F271*Inputs!$D$23</f>
        <v>62.3306666666667</v>
      </c>
      <c r="G274" s="117" t="n">
        <f aca="false">G271*Inputs!$D$23</f>
        <v>67.7246666666667</v>
      </c>
      <c r="H274" s="117" t="n">
        <f aca="false">H271*Inputs!$D$23</f>
        <v>73.1186666666667</v>
      </c>
      <c r="I274" s="117" t="n">
        <f aca="false">I271*Inputs!$D$23</f>
        <v>78.5126666666667</v>
      </c>
      <c r="J274" s="117" t="n">
        <f aca="false">J271*Inputs!$D$23</f>
        <v>83.9066666666667</v>
      </c>
      <c r="K274" s="117" t="n">
        <f aca="false">K271*Inputs!$D$23</f>
        <v>83.9066666666667</v>
      </c>
      <c r="L274" s="117" t="n">
        <f aca="false">L271*Inputs!$D$23</f>
        <v>83.9066666666667</v>
      </c>
      <c r="M274" s="117" t="n">
        <f aca="false">M271*Inputs!$D$23</f>
        <v>83.9066666666667</v>
      </c>
      <c r="N274" s="117" t="n">
        <f aca="false">N271*Inputs!$D$23</f>
        <v>73.08</v>
      </c>
      <c r="O274" s="117" t="n">
        <f aca="false">O271*Inputs!$D$23</f>
        <v>77.4648</v>
      </c>
      <c r="P274" s="117" t="n">
        <f aca="false">P271*Inputs!$D$23</f>
        <v>77.4648</v>
      </c>
      <c r="Q274" s="117" t="n">
        <f aca="false">Q271*Inputs!$D$23</f>
        <v>88.9410666666667</v>
      </c>
      <c r="R274" s="117" t="n">
        <f aca="false">R271*Inputs!$D$23</f>
        <v>88.9410666666667</v>
      </c>
      <c r="S274" s="117" t="n">
        <f aca="false">S271*Inputs!$D$23</f>
        <v>88.9410666666667</v>
      </c>
      <c r="T274" s="117" t="n">
        <f aca="false">T271*Inputs!$D$23</f>
        <v>88.9410666666667</v>
      </c>
      <c r="U274" s="117" t="n">
        <f aca="false">U271*Inputs!$D$23</f>
        <v>88.9410666666667</v>
      </c>
      <c r="V274" s="117" t="n">
        <f aca="false">V271*Inputs!$D$23</f>
        <v>88.9410666666667</v>
      </c>
      <c r="W274" s="117" t="n">
        <f aca="false">W271*Inputs!$D$23</f>
        <v>88.9410666666667</v>
      </c>
      <c r="X274" s="117" t="n">
        <f aca="false">X271*Inputs!$D$23</f>
        <v>88.9410666666667</v>
      </c>
      <c r="Y274" s="117" t="n">
        <f aca="false">Y271*Inputs!$D$23</f>
        <v>88.9410666666667</v>
      </c>
      <c r="Z274" s="117" t="n">
        <f aca="false">Z271*Inputs!$D$23</f>
        <v>77.4648</v>
      </c>
      <c r="AA274" s="117" t="n">
        <f aca="false">AA271*Inputs!$D$23</f>
        <v>82.112688</v>
      </c>
      <c r="AB274" s="117" t="n">
        <f aca="false">AB271*Inputs!$D$23</f>
        <v>82.112688</v>
      </c>
      <c r="AC274" s="117" t="n">
        <f aca="false">AC271*Inputs!$D$23</f>
        <v>94.2775306666667</v>
      </c>
      <c r="AD274" s="117" t="n">
        <f aca="false">AD271*Inputs!$D$23</f>
        <v>94.2775306666667</v>
      </c>
      <c r="AE274" s="117" t="n">
        <f aca="false">AE271*Inputs!$D$23</f>
        <v>94.2775306666667</v>
      </c>
      <c r="AF274" s="117" t="n">
        <f aca="false">AF271*Inputs!$D$23</f>
        <v>94.2775306666667</v>
      </c>
      <c r="AG274" s="117" t="n">
        <f aca="false">AG271*Inputs!$D$23</f>
        <v>94.2775306666667</v>
      </c>
      <c r="AH274" s="117" t="n">
        <f aca="false">AH271*Inputs!$D$23</f>
        <v>94.2775306666667</v>
      </c>
      <c r="AI274" s="117" t="n">
        <f aca="false">AI271*Inputs!$D$23</f>
        <v>94.2775306666667</v>
      </c>
      <c r="AJ274" s="117" t="n">
        <f aca="false">AJ271*Inputs!$D$23</f>
        <v>94.2775306666667</v>
      </c>
      <c r="AK274" s="117" t="n">
        <f aca="false">AK271*Inputs!$D$23</f>
        <v>94.2775306666667</v>
      </c>
      <c r="AL274" s="117" t="n">
        <f aca="false">AL271*Inputs!$D$23</f>
        <v>82.112688</v>
      </c>
      <c r="AM274" s="117" t="n">
        <f aca="false">AM271*Inputs!$D$23</f>
        <v>87.03944928</v>
      </c>
      <c r="AN274" s="117" t="n">
        <f aca="false">AN271*Inputs!$D$23</f>
        <v>87.03944928</v>
      </c>
      <c r="AO274" s="117" t="n">
        <f aca="false">AO271*Inputs!$D$23</f>
        <v>99.9341825066667</v>
      </c>
      <c r="AP274" s="117" t="n">
        <f aca="false">AP271*Inputs!$D$23</f>
        <v>99.9341825066667</v>
      </c>
      <c r="AQ274" s="117" t="n">
        <f aca="false">AQ271*Inputs!$D$23</f>
        <v>99.9341825066667</v>
      </c>
      <c r="AR274" s="117" t="n">
        <f aca="false">AR271*Inputs!$D$23</f>
        <v>99.9341825066667</v>
      </c>
      <c r="AS274" s="117" t="n">
        <f aca="false">AS271*Inputs!$D$23</f>
        <v>99.9341825066667</v>
      </c>
      <c r="AT274" s="117" t="n">
        <f aca="false">AT271*Inputs!$D$23</f>
        <v>99.9341825066667</v>
      </c>
      <c r="AU274" s="117" t="n">
        <f aca="false">AU271*Inputs!$D$23</f>
        <v>99.9341825066667</v>
      </c>
      <c r="AV274" s="117" t="n">
        <f aca="false">AV271*Inputs!$D$23</f>
        <v>99.9341825066667</v>
      </c>
      <c r="AW274" s="117" t="n">
        <f aca="false">AW271*Inputs!$D$23</f>
        <v>99.9341825066667</v>
      </c>
      <c r="AX274" s="117" t="n">
        <f aca="false">AX271*Inputs!$D$23</f>
        <v>87.03944928</v>
      </c>
      <c r="AY274" s="117" t="n">
        <f aca="false">AY271*Inputs!$D$23</f>
        <v>92.2618162368</v>
      </c>
      <c r="AZ274" s="117" t="n">
        <f aca="false">AZ271*Inputs!$D$23</f>
        <v>92.2618162368</v>
      </c>
      <c r="BA274" s="117" t="n">
        <f aca="false">BA271*Inputs!$D$23</f>
        <v>105.930233457067</v>
      </c>
      <c r="BB274" s="117" t="n">
        <f aca="false">BB271*Inputs!$D$23</f>
        <v>105.930233457067</v>
      </c>
      <c r="BC274" s="117" t="n">
        <f aca="false">BC271*Inputs!$D$23</f>
        <v>105.930233457067</v>
      </c>
      <c r="BD274" s="117" t="n">
        <f aca="false">BD271*Inputs!$D$23</f>
        <v>105.930233457067</v>
      </c>
      <c r="BE274" s="117" t="n">
        <f aca="false">BE271*Inputs!$D$23</f>
        <v>105.930233457067</v>
      </c>
      <c r="BF274" s="117" t="n">
        <f aca="false">BF271*Inputs!$D$23</f>
        <v>105.930233457067</v>
      </c>
      <c r="BG274" s="117" t="n">
        <f aca="false">BG271*Inputs!$D$23</f>
        <v>105.930233457067</v>
      </c>
      <c r="BH274" s="117" t="n">
        <f aca="false">BH271*Inputs!$D$23</f>
        <v>105.930233457067</v>
      </c>
      <c r="BI274" s="117" t="n">
        <f aca="false">BI271*Inputs!$D$23</f>
        <v>105.930233457067</v>
      </c>
      <c r="BJ274" s="117" t="n">
        <f aca="false">BJ271*Inputs!$D$23</f>
        <v>92.2618162368</v>
      </c>
    </row>
    <row r="275" customFormat="false" ht="15" hidden="false" customHeight="false" outlineLevel="0" collapsed="false">
      <c r="A275" s="6" t="s">
        <v>424</v>
      </c>
      <c r="C275" s="117" t="n">
        <f aca="false">Inputs!$D$21*(1+Inputs!$D$22)^(C$265-1)*1*C269</f>
        <v>33</v>
      </c>
      <c r="D275" s="117" t="n">
        <f aca="false">Inputs!$D$21*(1+Inputs!$D$22)^(D$265-1)*1*D269</f>
        <v>36.8571428571429</v>
      </c>
      <c r="E275" s="117" t="n">
        <f aca="false">Inputs!$D$21*(1+Inputs!$D$22)^(E$265-1)*1*E269</f>
        <v>40.7142857142857</v>
      </c>
      <c r="F275" s="117" t="n">
        <f aca="false">Inputs!$D$21*(1+Inputs!$D$22)^(F$265-1)*1*F269</f>
        <v>44.5714285714286</v>
      </c>
      <c r="G275" s="117" t="n">
        <f aca="false">Inputs!$D$21*(1+Inputs!$D$22)^(G$265-1)*1*G269</f>
        <v>48.4285714285714</v>
      </c>
      <c r="H275" s="117" t="n">
        <f aca="false">Inputs!$D$21*(1+Inputs!$D$22)^(H$265-1)*1*H269</f>
        <v>52.2857142857143</v>
      </c>
      <c r="I275" s="117" t="n">
        <f aca="false">Inputs!$D$21*(1+Inputs!$D$22)^(I$265-1)*1*I269</f>
        <v>56.1428571428571</v>
      </c>
      <c r="J275" s="117" t="n">
        <f aca="false">Inputs!$D$21*(1+Inputs!$D$22)^(J$265-1)*1*J269</f>
        <v>60</v>
      </c>
      <c r="K275" s="117" t="n">
        <f aca="false">Inputs!$D$21*(1+Inputs!$D$22)^(K$265-1)*1*K269</f>
        <v>60</v>
      </c>
      <c r="L275" s="117" t="n">
        <f aca="false">Inputs!$D$21*(1+Inputs!$D$22)^(L$265-1)*1*L269</f>
        <v>60</v>
      </c>
      <c r="M275" s="117" t="n">
        <f aca="false">Inputs!$D$21*(1+Inputs!$D$22)^(M$265-1)*1*M269</f>
        <v>60</v>
      </c>
      <c r="N275" s="117" t="n">
        <f aca="false">Inputs!$D$21*(1+Inputs!$D$22)^(N$265-1)*1*N269</f>
        <v>60</v>
      </c>
      <c r="O275" s="117" t="n">
        <f aca="false">Inputs!$D$21*(1+Inputs!$D$22)^(O$265-1)*1*O269</f>
        <v>66</v>
      </c>
      <c r="P275" s="117" t="n">
        <f aca="false">Inputs!$D$21*(1+Inputs!$D$22)^(P$265-1)*1*P269</f>
        <v>66</v>
      </c>
      <c r="Q275" s="117" t="n">
        <f aca="false">Inputs!$D$21*(1+Inputs!$D$22)^(Q$265-1)*1*Q269</f>
        <v>66</v>
      </c>
      <c r="R275" s="117" t="n">
        <f aca="false">Inputs!$D$21*(1+Inputs!$D$22)^(R$265-1)*1*R269</f>
        <v>66</v>
      </c>
      <c r="S275" s="117" t="n">
        <f aca="false">Inputs!$D$21*(1+Inputs!$D$22)^(S$265-1)*1*S269</f>
        <v>66</v>
      </c>
      <c r="T275" s="117" t="n">
        <f aca="false">Inputs!$D$21*(1+Inputs!$D$22)^(T$265-1)*1*T269</f>
        <v>66</v>
      </c>
      <c r="U275" s="117" t="n">
        <f aca="false">Inputs!$D$21*(1+Inputs!$D$22)^(U$265-1)*1*U269</f>
        <v>66</v>
      </c>
      <c r="V275" s="117" t="n">
        <f aca="false">Inputs!$D$21*(1+Inputs!$D$22)^(V$265-1)*1*V269</f>
        <v>66</v>
      </c>
      <c r="W275" s="117" t="n">
        <f aca="false">Inputs!$D$21*(1+Inputs!$D$22)^(W$265-1)*1*W269</f>
        <v>66</v>
      </c>
      <c r="X275" s="117" t="n">
        <f aca="false">Inputs!$D$21*(1+Inputs!$D$22)^(X$265-1)*1*X269</f>
        <v>66</v>
      </c>
      <c r="Y275" s="117" t="n">
        <f aca="false">Inputs!$D$21*(1+Inputs!$D$22)^(Y$265-1)*1*Y269</f>
        <v>66</v>
      </c>
      <c r="Z275" s="117" t="n">
        <f aca="false">Inputs!$D$21*(1+Inputs!$D$22)^(Z$265-1)*1*Z269</f>
        <v>66</v>
      </c>
      <c r="AA275" s="117" t="n">
        <f aca="false">Inputs!$D$21*(1+Inputs!$D$22)^(AA$265-1)*1*AA269</f>
        <v>72.6</v>
      </c>
      <c r="AB275" s="117" t="n">
        <f aca="false">Inputs!$D$21*(1+Inputs!$D$22)^(AB$265-1)*1*AB269</f>
        <v>72.6</v>
      </c>
      <c r="AC275" s="117" t="n">
        <f aca="false">Inputs!$D$21*(1+Inputs!$D$22)^(AC$265-1)*1*AC269</f>
        <v>72.6</v>
      </c>
      <c r="AD275" s="117" t="n">
        <f aca="false">Inputs!$D$21*(1+Inputs!$D$22)^(AD$265-1)*1*AD269</f>
        <v>72.6</v>
      </c>
      <c r="AE275" s="117" t="n">
        <f aca="false">Inputs!$D$21*(1+Inputs!$D$22)^(AE$265-1)*1*AE269</f>
        <v>72.6</v>
      </c>
      <c r="AF275" s="117" t="n">
        <f aca="false">Inputs!$D$21*(1+Inputs!$D$22)^(AF$265-1)*1*AF269</f>
        <v>72.6</v>
      </c>
      <c r="AG275" s="117" t="n">
        <f aca="false">Inputs!$D$21*(1+Inputs!$D$22)^(AG$265-1)*1*AG269</f>
        <v>72.6</v>
      </c>
      <c r="AH275" s="117" t="n">
        <f aca="false">Inputs!$D$21*(1+Inputs!$D$22)^(AH$265-1)*1*AH269</f>
        <v>72.6</v>
      </c>
      <c r="AI275" s="117" t="n">
        <f aca="false">Inputs!$D$21*(1+Inputs!$D$22)^(AI$265-1)*1*AI269</f>
        <v>72.6</v>
      </c>
      <c r="AJ275" s="117" t="n">
        <f aca="false">Inputs!$D$21*(1+Inputs!$D$22)^(AJ$265-1)*1*AJ269</f>
        <v>72.6</v>
      </c>
      <c r="AK275" s="117" t="n">
        <f aca="false">Inputs!$D$21*(1+Inputs!$D$22)^(AK$265-1)*1*AK269</f>
        <v>72.6</v>
      </c>
      <c r="AL275" s="117" t="n">
        <f aca="false">Inputs!$D$21*(1+Inputs!$D$22)^(AL$265-1)*1*AL269</f>
        <v>72.6</v>
      </c>
      <c r="AM275" s="117" t="n">
        <f aca="false">Inputs!$D$21*(1+Inputs!$D$22)^(AM$265-1)*1*AM269</f>
        <v>79.86</v>
      </c>
      <c r="AN275" s="117" t="n">
        <f aca="false">Inputs!$D$21*(1+Inputs!$D$22)^(AN$265-1)*1*AN269</f>
        <v>79.86</v>
      </c>
      <c r="AO275" s="117" t="n">
        <f aca="false">Inputs!$D$21*(1+Inputs!$D$22)^(AO$265-1)*1*AO269</f>
        <v>79.86</v>
      </c>
      <c r="AP275" s="117" t="n">
        <f aca="false">Inputs!$D$21*(1+Inputs!$D$22)^(AP$265-1)*1*AP269</f>
        <v>79.86</v>
      </c>
      <c r="AQ275" s="117" t="n">
        <f aca="false">Inputs!$D$21*(1+Inputs!$D$22)^(AQ$265-1)*1*AQ269</f>
        <v>79.86</v>
      </c>
      <c r="AR275" s="117" t="n">
        <f aca="false">Inputs!$D$21*(1+Inputs!$D$22)^(AR$265-1)*1*AR269</f>
        <v>79.86</v>
      </c>
      <c r="AS275" s="117" t="n">
        <f aca="false">Inputs!$D$21*(1+Inputs!$D$22)^(AS$265-1)*1*AS269</f>
        <v>79.86</v>
      </c>
      <c r="AT275" s="117" t="n">
        <f aca="false">Inputs!$D$21*(1+Inputs!$D$22)^(AT$265-1)*1*AT269</f>
        <v>79.86</v>
      </c>
      <c r="AU275" s="117" t="n">
        <f aca="false">Inputs!$D$21*(1+Inputs!$D$22)^(AU$265-1)*1*AU269</f>
        <v>79.86</v>
      </c>
      <c r="AV275" s="117" t="n">
        <f aca="false">Inputs!$D$21*(1+Inputs!$D$22)^(AV$265-1)*1*AV269</f>
        <v>79.86</v>
      </c>
      <c r="AW275" s="117" t="n">
        <f aca="false">Inputs!$D$21*(1+Inputs!$D$22)^(AW$265-1)*1*AW269</f>
        <v>79.86</v>
      </c>
      <c r="AX275" s="117" t="n">
        <f aca="false">Inputs!$D$21*(1+Inputs!$D$22)^(AX$265-1)*1*AX269</f>
        <v>79.86</v>
      </c>
      <c r="AY275" s="117" t="n">
        <f aca="false">Inputs!$D$21*(1+Inputs!$D$22)^(AY$265-1)*1*AY269</f>
        <v>87.846</v>
      </c>
      <c r="AZ275" s="117" t="n">
        <f aca="false">Inputs!$D$21*(1+Inputs!$D$22)^(AZ$265-1)*1*AZ269</f>
        <v>87.846</v>
      </c>
      <c r="BA275" s="117" t="n">
        <f aca="false">Inputs!$D$21*(1+Inputs!$D$22)^(BA$265-1)*1*BA269</f>
        <v>87.846</v>
      </c>
      <c r="BB275" s="117" t="n">
        <f aca="false">Inputs!$D$21*(1+Inputs!$D$22)^(BB$265-1)*1*BB269</f>
        <v>87.846</v>
      </c>
      <c r="BC275" s="117" t="n">
        <f aca="false">Inputs!$D$21*(1+Inputs!$D$22)^(BC$265-1)*1*BC269</f>
        <v>87.846</v>
      </c>
      <c r="BD275" s="117" t="n">
        <f aca="false">Inputs!$D$21*(1+Inputs!$D$22)^(BD$265-1)*1*BD269</f>
        <v>87.846</v>
      </c>
      <c r="BE275" s="117" t="n">
        <f aca="false">Inputs!$D$21*(1+Inputs!$D$22)^(BE$265-1)*1*BE269</f>
        <v>87.846</v>
      </c>
      <c r="BF275" s="117" t="n">
        <f aca="false">Inputs!$D$21*(1+Inputs!$D$22)^(BF$265-1)*1*BF269</f>
        <v>87.846</v>
      </c>
      <c r="BG275" s="117" t="n">
        <f aca="false">Inputs!$D$21*(1+Inputs!$D$22)^(BG$265-1)*1*BG269</f>
        <v>87.846</v>
      </c>
      <c r="BH275" s="117" t="n">
        <f aca="false">Inputs!$D$21*(1+Inputs!$D$22)^(BH$265-1)*1*BH269</f>
        <v>87.846</v>
      </c>
      <c r="BI275" s="117" t="n">
        <f aca="false">Inputs!$D$21*(1+Inputs!$D$22)^(BI$265-1)*1*BI269</f>
        <v>87.846</v>
      </c>
      <c r="BJ275" s="117" t="n">
        <f aca="false">Inputs!$D$21*(1+Inputs!$D$22)^(BJ$265-1)*1*BJ269</f>
        <v>87.846</v>
      </c>
    </row>
    <row r="276" customFormat="false" ht="15" hidden="false" customHeight="false" outlineLevel="0" collapsed="false">
      <c r="A276" s="4" t="s">
        <v>425</v>
      </c>
      <c r="C276" s="119" t="n">
        <f aca="false">C274+C275</f>
        <v>73.194</v>
      </c>
      <c r="D276" s="119" t="n">
        <f aca="false">D274+D275</f>
        <v>81.7491428571429</v>
      </c>
      <c r="E276" s="119" t="n">
        <f aca="false">E274+E275</f>
        <v>97.6509523809524</v>
      </c>
      <c r="F276" s="119" t="n">
        <f aca="false">F274+F275</f>
        <v>106.902095238095</v>
      </c>
      <c r="G276" s="119" t="n">
        <f aca="false">G274+G275</f>
        <v>116.153238095238</v>
      </c>
      <c r="H276" s="119" t="n">
        <f aca="false">H274+H275</f>
        <v>125.404380952381</v>
      </c>
      <c r="I276" s="119" t="n">
        <f aca="false">I274+I275</f>
        <v>134.655523809524</v>
      </c>
      <c r="J276" s="119" t="n">
        <f aca="false">J274+J275</f>
        <v>143.906666666667</v>
      </c>
      <c r="K276" s="119" t="n">
        <f aca="false">K274+K275</f>
        <v>143.906666666667</v>
      </c>
      <c r="L276" s="119" t="n">
        <f aca="false">L274+L275</f>
        <v>143.906666666667</v>
      </c>
      <c r="M276" s="119" t="n">
        <f aca="false">M274+M275</f>
        <v>143.906666666667</v>
      </c>
      <c r="N276" s="119" t="n">
        <f aca="false">N274+N275</f>
        <v>133.08</v>
      </c>
      <c r="O276" s="119" t="n">
        <f aca="false">O274+O275</f>
        <v>143.4648</v>
      </c>
      <c r="P276" s="119" t="n">
        <f aca="false">P274+P275</f>
        <v>143.4648</v>
      </c>
      <c r="Q276" s="119" t="n">
        <f aca="false">Q274+Q275</f>
        <v>154.941066666667</v>
      </c>
      <c r="R276" s="119" t="n">
        <f aca="false">R274+R275</f>
        <v>154.941066666667</v>
      </c>
      <c r="S276" s="119" t="n">
        <f aca="false">S274+S275</f>
        <v>154.941066666667</v>
      </c>
      <c r="T276" s="119" t="n">
        <f aca="false">T274+T275</f>
        <v>154.941066666667</v>
      </c>
      <c r="U276" s="119" t="n">
        <f aca="false">U274+U275</f>
        <v>154.941066666667</v>
      </c>
      <c r="V276" s="119" t="n">
        <f aca="false">V274+V275</f>
        <v>154.941066666667</v>
      </c>
      <c r="W276" s="119" t="n">
        <f aca="false">W274+W275</f>
        <v>154.941066666667</v>
      </c>
      <c r="X276" s="119" t="n">
        <f aca="false">X274+X275</f>
        <v>154.941066666667</v>
      </c>
      <c r="Y276" s="119" t="n">
        <f aca="false">Y274+Y275</f>
        <v>154.941066666667</v>
      </c>
      <c r="Z276" s="119" t="n">
        <f aca="false">Z274+Z275</f>
        <v>143.4648</v>
      </c>
      <c r="AA276" s="119" t="n">
        <f aca="false">AA274+AA275</f>
        <v>154.712688</v>
      </c>
      <c r="AB276" s="119" t="n">
        <f aca="false">AB274+AB275</f>
        <v>154.712688</v>
      </c>
      <c r="AC276" s="119" t="n">
        <f aca="false">AC274+AC275</f>
        <v>166.877530666667</v>
      </c>
      <c r="AD276" s="119" t="n">
        <f aca="false">AD274+AD275</f>
        <v>166.877530666667</v>
      </c>
      <c r="AE276" s="119" t="n">
        <f aca="false">AE274+AE275</f>
        <v>166.877530666667</v>
      </c>
      <c r="AF276" s="119" t="n">
        <f aca="false">AF274+AF275</f>
        <v>166.877530666667</v>
      </c>
      <c r="AG276" s="119" t="n">
        <f aca="false">AG274+AG275</f>
        <v>166.877530666667</v>
      </c>
      <c r="AH276" s="119" t="n">
        <f aca="false">AH274+AH275</f>
        <v>166.877530666667</v>
      </c>
      <c r="AI276" s="119" t="n">
        <f aca="false">AI274+AI275</f>
        <v>166.877530666667</v>
      </c>
      <c r="AJ276" s="119" t="n">
        <f aca="false">AJ274+AJ275</f>
        <v>166.877530666667</v>
      </c>
      <c r="AK276" s="119" t="n">
        <f aca="false">AK274+AK275</f>
        <v>166.877530666667</v>
      </c>
      <c r="AL276" s="119" t="n">
        <f aca="false">AL274+AL275</f>
        <v>154.712688</v>
      </c>
      <c r="AM276" s="119" t="n">
        <f aca="false">AM274+AM275</f>
        <v>166.89944928</v>
      </c>
      <c r="AN276" s="119" t="n">
        <f aca="false">AN274+AN275</f>
        <v>166.89944928</v>
      </c>
      <c r="AO276" s="119" t="n">
        <f aca="false">AO274+AO275</f>
        <v>179.794182506667</v>
      </c>
      <c r="AP276" s="119" t="n">
        <f aca="false">AP274+AP275</f>
        <v>179.794182506667</v>
      </c>
      <c r="AQ276" s="119" t="n">
        <f aca="false">AQ274+AQ275</f>
        <v>179.794182506667</v>
      </c>
      <c r="AR276" s="119" t="n">
        <f aca="false">AR274+AR275</f>
        <v>179.794182506667</v>
      </c>
      <c r="AS276" s="119" t="n">
        <f aca="false">AS274+AS275</f>
        <v>179.794182506667</v>
      </c>
      <c r="AT276" s="119" t="n">
        <f aca="false">AT274+AT275</f>
        <v>179.794182506667</v>
      </c>
      <c r="AU276" s="119" t="n">
        <f aca="false">AU274+AU275</f>
        <v>179.794182506667</v>
      </c>
      <c r="AV276" s="119" t="n">
        <f aca="false">AV274+AV275</f>
        <v>179.794182506667</v>
      </c>
      <c r="AW276" s="119" t="n">
        <f aca="false">AW274+AW275</f>
        <v>179.794182506667</v>
      </c>
      <c r="AX276" s="119" t="n">
        <f aca="false">AX274+AX275</f>
        <v>166.89944928</v>
      </c>
      <c r="AY276" s="119" t="n">
        <f aca="false">AY274+AY275</f>
        <v>180.1078162368</v>
      </c>
      <c r="AZ276" s="119" t="n">
        <f aca="false">AZ274+AZ275</f>
        <v>180.1078162368</v>
      </c>
      <c r="BA276" s="119" t="n">
        <f aca="false">BA274+BA275</f>
        <v>193.776233457067</v>
      </c>
      <c r="BB276" s="119" t="n">
        <f aca="false">BB274+BB275</f>
        <v>193.776233457067</v>
      </c>
      <c r="BC276" s="119" t="n">
        <f aca="false">BC274+BC275</f>
        <v>193.776233457067</v>
      </c>
      <c r="BD276" s="119" t="n">
        <f aca="false">BD274+BD275</f>
        <v>193.776233457067</v>
      </c>
      <c r="BE276" s="119" t="n">
        <f aca="false">BE274+BE275</f>
        <v>193.776233457067</v>
      </c>
      <c r="BF276" s="119" t="n">
        <f aca="false">BF274+BF275</f>
        <v>193.776233457067</v>
      </c>
      <c r="BG276" s="119" t="n">
        <f aca="false">BG274+BG275</f>
        <v>193.776233457067</v>
      </c>
      <c r="BH276" s="119" t="n">
        <f aca="false">BH274+BH275</f>
        <v>193.776233457067</v>
      </c>
      <c r="BI276" s="119" t="n">
        <f aca="false">BI274+BI275</f>
        <v>193.776233457067</v>
      </c>
      <c r="BJ276" s="119" t="n">
        <f aca="false">BJ274+BJ275</f>
        <v>180.1078162368</v>
      </c>
    </row>
    <row r="277" customFormat="false" ht="15" hidden="false" customHeight="false" outlineLevel="0" collapsed="false">
      <c r="A277" s="6" t="s">
        <v>426</v>
      </c>
      <c r="C277" s="120" t="n">
        <f aca="false">Inputs!$D$20</f>
        <v>350</v>
      </c>
      <c r="D277" s="117" t="n">
        <f aca="false">C279</f>
        <v>411.994</v>
      </c>
      <c r="E277" s="117" t="n">
        <f aca="false">D279</f>
        <v>480.559334857143</v>
      </c>
      <c r="F277" s="117" t="n">
        <f aca="false">E279</f>
        <v>562.832388522667</v>
      </c>
      <c r="G277" s="117" t="n">
        <f aca="false">F279</f>
        <v>651.723847328037</v>
      </c>
      <c r="H277" s="117" t="n">
        <f aca="false">G279</f>
        <v>747.021922308777</v>
      </c>
      <c r="I277" s="117" t="n">
        <f aca="false">H279</f>
        <v>848.521601747278</v>
      </c>
      <c r="J277" s="117" t="n">
        <f aca="false">I279</f>
        <v>956.024434300888</v>
      </c>
      <c r="K277" s="117" t="n">
        <f aca="false">J279</f>
        <v>1069.33831906993</v>
      </c>
      <c r="L277" s="117" t="n">
        <f aca="false">K279</f>
        <v>1179.02615952636</v>
      </c>
      <c r="M277" s="117" t="n">
        <f aca="false">L279</f>
        <v>1285.20398908818</v>
      </c>
      <c r="N277" s="117" t="n">
        <f aca="false">M279</f>
        <v>1387.98412810402</v>
      </c>
      <c r="O277" s="117" t="n">
        <f aca="false">N279</f>
        <v>1476.6486360047</v>
      </c>
      <c r="P277" s="117" t="n">
        <f aca="false">O279</f>
        <v>1572.86067965254</v>
      </c>
      <c r="Q277" s="117" t="n">
        <f aca="false">P279</f>
        <v>1665.99393790366</v>
      </c>
      <c r="R277" s="117" t="n">
        <f aca="false">Q279</f>
        <v>1767.62319855741</v>
      </c>
      <c r="S277" s="117" t="n">
        <f aca="false">R279</f>
        <v>1866.00032287024</v>
      </c>
      <c r="T277" s="117" t="n">
        <f aca="false">S279</f>
        <v>1961.22937920506</v>
      </c>
      <c r="U277" s="117" t="n">
        <f aca="false">T279</f>
        <v>2053.41110573717</v>
      </c>
      <c r="V277" s="117" t="n">
        <f aca="false">U279</f>
        <v>2142.64301702024</v>
      </c>
      <c r="W277" s="117" t="n">
        <f aca="false">V279</f>
        <v>2229.01950714226</v>
      </c>
      <c r="X277" s="117" t="n">
        <f aca="false">W279</f>
        <v>2312.63194958038</v>
      </c>
      <c r="Y277" s="117" t="n">
        <f aca="false">X279</f>
        <v>2393.56879386047</v>
      </c>
      <c r="Z277" s="117" t="n">
        <f aca="false">Y279</f>
        <v>2471.9156591236</v>
      </c>
      <c r="AA277" s="117" t="n">
        <f aca="false">Z279</f>
        <v>2536.27915803165</v>
      </c>
      <c r="AB277" s="117" t="n">
        <f aca="false">AA279</f>
        <v>2609.83091297463</v>
      </c>
      <c r="AC277" s="117" t="n">
        <f aca="false">AB279</f>
        <v>2681.02901175945</v>
      </c>
      <c r="AD277" s="117" t="n">
        <f aca="false">AC279</f>
        <v>2762.11361404981</v>
      </c>
      <c r="AE277" s="117" t="n">
        <f aca="false">AD279</f>
        <v>2840.60350906688</v>
      </c>
      <c r="AF277" s="117" t="n">
        <f aca="false">AE279</f>
        <v>2916.58172744341</v>
      </c>
      <c r="AG277" s="117" t="n">
        <f aca="false">AF279</f>
        <v>2990.12864283189</v>
      </c>
      <c r="AH277" s="117" t="n">
        <f aca="false">AG279</f>
        <v>3061.32205692793</v>
      </c>
      <c r="AI277" s="117" t="n">
        <f aca="false">AH279</f>
        <v>3130.23728177291</v>
      </c>
      <c r="AJ277" s="117" t="n">
        <f aca="false">AI279</f>
        <v>3196.94721942284</v>
      </c>
      <c r="AK277" s="117" t="n">
        <f aca="false">AJ279</f>
        <v>3261.52243906798</v>
      </c>
      <c r="AL277" s="117" t="n">
        <f aca="false">AK279</f>
        <v>3324.03125168447</v>
      </c>
      <c r="AM277" s="117" t="n">
        <f aca="false">AL279</f>
        <v>3372.37493963056</v>
      </c>
      <c r="AN277" s="117" t="n">
        <f aca="false">AM279</f>
        <v>3431.35839084239</v>
      </c>
      <c r="AO277" s="117" t="n">
        <f aca="false">AN279</f>
        <v>3488.45437161543</v>
      </c>
      <c r="AP277" s="117" t="n">
        <f aca="false">AO279</f>
        <v>3556.6180142304</v>
      </c>
      <c r="AQ277" s="117" t="n">
        <f aca="false">AP279</f>
        <v>3622.6004202817</v>
      </c>
      <c r="AR277" s="117" t="n">
        <f aca="false">AQ279</f>
        <v>3686.47138933935</v>
      </c>
      <c r="AS277" s="117" t="n">
        <f aca="false">AR279</f>
        <v>3748.29848738716</v>
      </c>
      <c r="AT277" s="117" t="n">
        <f aca="false">AS279</f>
        <v>3808.14711829743</v>
      </c>
      <c r="AU277" s="117" t="n">
        <f aca="false">AT279</f>
        <v>3866.08059301858</v>
      </c>
      <c r="AV277" s="117" t="n">
        <f aca="false">AU279</f>
        <v>3922.16019654866</v>
      </c>
      <c r="AW277" s="117" t="n">
        <f aca="false">AV279</f>
        <v>3976.44525276577</v>
      </c>
      <c r="AX277" s="117" t="n">
        <f aca="false">AW279</f>
        <v>4028.99318718393</v>
      </c>
      <c r="AY277" s="117" t="n">
        <f aca="false">AX279</f>
        <v>4066.96485447404</v>
      </c>
      <c r="AZ277" s="117" t="n">
        <f aca="false">AY279</f>
        <v>4116.92979536767</v>
      </c>
      <c r="BA277" s="117" t="n">
        <f aca="false">AZ279</f>
        <v>4165.29585815271</v>
      </c>
      <c r="BB277" s="117" t="n">
        <f aca="false">BA279</f>
        <v>4225.78262414889</v>
      </c>
      <c r="BC277" s="117" t="n">
        <f aca="false">BB279</f>
        <v>4284.33381363319</v>
      </c>
      <c r="BD277" s="117" t="n">
        <f aca="false">BC279</f>
        <v>4341.01136505399</v>
      </c>
      <c r="BE277" s="117" t="n">
        <f aca="false">BD279</f>
        <v>4395.87523482933</v>
      </c>
      <c r="BF277" s="117" t="n">
        <f aca="false">BE279</f>
        <v>4448.98346077186</v>
      </c>
      <c r="BG277" s="117" t="n">
        <f aca="false">BF279</f>
        <v>4500.39222348423</v>
      </c>
      <c r="BH277" s="117" t="n">
        <f aca="false">BG279</f>
        <v>4550.1559057898</v>
      </c>
      <c r="BI277" s="117" t="n">
        <f aca="false">BH279</f>
        <v>4598.32715026159</v>
      </c>
      <c r="BJ277" s="117" t="n">
        <f aca="false">BI279</f>
        <v>4644.95691491029</v>
      </c>
    </row>
    <row r="278" customFormat="false" ht="15" hidden="false" customHeight="false" outlineLevel="0" collapsed="false">
      <c r="A278" s="6" t="s">
        <v>427</v>
      </c>
      <c r="C278" s="117" t="n">
        <f aca="false">C279-C277-C276</f>
        <v>-11.2</v>
      </c>
      <c r="D278" s="117" t="n">
        <f aca="false">D279-D277-D276</f>
        <v>-13.183808</v>
      </c>
      <c r="E278" s="117" t="n">
        <f aca="false">E279-E277-E276</f>
        <v>-15.3778987154286</v>
      </c>
      <c r="F278" s="117" t="n">
        <f aca="false">F279-F277-F276</f>
        <v>-18.0106364327254</v>
      </c>
      <c r="G278" s="117" t="n">
        <f aca="false">G279-G277-G276</f>
        <v>-20.8551631144972</v>
      </c>
      <c r="H278" s="117" t="n">
        <f aca="false">H279-H277-H276</f>
        <v>-23.9047015138809</v>
      </c>
      <c r="I278" s="117" t="n">
        <f aca="false">I279-I277-I276</f>
        <v>-27.1526912559129</v>
      </c>
      <c r="J278" s="117" t="n">
        <f aca="false">J279-J277-J276</f>
        <v>-30.5927818976284</v>
      </c>
      <c r="K278" s="117" t="n">
        <f aca="false">K279-K277-K276</f>
        <v>-34.2188262102376</v>
      </c>
      <c r="L278" s="117" t="n">
        <f aca="false">L279-L277-L276</f>
        <v>-37.7288371048434</v>
      </c>
      <c r="M278" s="117" t="n">
        <f aca="false">M279-M277-M276</f>
        <v>-41.1265276508217</v>
      </c>
      <c r="N278" s="117" t="n">
        <f aca="false">N279-N277-N276</f>
        <v>-44.4154920993288</v>
      </c>
      <c r="O278" s="117" t="n">
        <f aca="false">O279-O277-O276</f>
        <v>-47.2527563521504</v>
      </c>
      <c r="P278" s="117" t="n">
        <f aca="false">P279-P277-P276</f>
        <v>-50.3315417488817</v>
      </c>
      <c r="Q278" s="117" t="n">
        <f aca="false">Q279-Q277-Q276</f>
        <v>-53.3118060129172</v>
      </c>
      <c r="R278" s="117" t="n">
        <f aca="false">R279-R277-R276</f>
        <v>-56.5639423538373</v>
      </c>
      <c r="S278" s="117" t="n">
        <f aca="false">S279-S277-S276</f>
        <v>-59.7120103318477</v>
      </c>
      <c r="T278" s="117" t="n">
        <f aca="false">T279-T277-T276</f>
        <v>-62.7593401345623</v>
      </c>
      <c r="U278" s="117" t="n">
        <f aca="false">U279-U277-U276</f>
        <v>-65.7091553835894</v>
      </c>
      <c r="V278" s="117" t="n">
        <f aca="false">V279-V277-V276</f>
        <v>-68.5645765446479</v>
      </c>
      <c r="W278" s="117" t="n">
        <f aca="false">W279-W277-W276</f>
        <v>-71.3286242285525</v>
      </c>
      <c r="X278" s="117" t="n">
        <f aca="false">X279-X277-X276</f>
        <v>-74.0042223865721</v>
      </c>
      <c r="Y278" s="117" t="n">
        <f aca="false">Y279-Y277-Y276</f>
        <v>-76.5942014035349</v>
      </c>
      <c r="Z278" s="117" t="n">
        <f aca="false">Z279-Z277-Z276</f>
        <v>-79.1013010919554</v>
      </c>
      <c r="AA278" s="117" t="n">
        <f aca="false">AA279-AA277-AA276</f>
        <v>-81.1609330570126</v>
      </c>
      <c r="AB278" s="117" t="n">
        <f aca="false">AB279-AB277-AB276</f>
        <v>-83.5145892151881</v>
      </c>
      <c r="AC278" s="117" t="n">
        <f aca="false">AC279-AC277-AC276</f>
        <v>-85.7929283763024</v>
      </c>
      <c r="AD278" s="117" t="n">
        <f aca="false">AD279-AD277-AD276</f>
        <v>-88.387635649594</v>
      </c>
      <c r="AE278" s="117" t="n">
        <f aca="false">AE279-AE277-AE276</f>
        <v>-90.8993122901402</v>
      </c>
      <c r="AF278" s="117" t="n">
        <f aca="false">AF279-AF277-AF276</f>
        <v>-93.3306152781893</v>
      </c>
      <c r="AG278" s="117" t="n">
        <f aca="false">AG279-AG277-AG276</f>
        <v>-95.6841165706206</v>
      </c>
      <c r="AH278" s="117" t="n">
        <f aca="false">AH279-AH277-AH276</f>
        <v>-97.962305821694</v>
      </c>
      <c r="AI278" s="117" t="n">
        <f aca="false">AI279-AI277-AI276</f>
        <v>-100.167593016733</v>
      </c>
      <c r="AJ278" s="117" t="n">
        <f aca="false">AJ279-AJ277-AJ276</f>
        <v>-102.302311021531</v>
      </c>
      <c r="AK278" s="117" t="n">
        <f aca="false">AK279-AK277-AK276</f>
        <v>-104.368718050175</v>
      </c>
      <c r="AL278" s="117" t="n">
        <f aca="false">AL279-AL277-AL276</f>
        <v>-106.369000053903</v>
      </c>
      <c r="AM278" s="117" t="n">
        <f aca="false">AM279-AM277-AM276</f>
        <v>-107.915998068178</v>
      </c>
      <c r="AN278" s="117" t="n">
        <f aca="false">AN279-AN277-AN276</f>
        <v>-109.803468506956</v>
      </c>
      <c r="AO278" s="117" t="n">
        <f aca="false">AO279-AO277-AO276</f>
        <v>-111.630539891694</v>
      </c>
      <c r="AP278" s="117" t="n">
        <f aca="false">AP279-AP277-AP276</f>
        <v>-113.811776455373</v>
      </c>
      <c r="AQ278" s="117" t="n">
        <f aca="false">AQ279-AQ277-AQ276</f>
        <v>-115.923213449014</v>
      </c>
      <c r="AR278" s="117" t="n">
        <f aca="false">AR279-AR277-AR276</f>
        <v>-117.967084458859</v>
      </c>
      <c r="AS278" s="117" t="n">
        <f aca="false">AS279-AS277-AS276</f>
        <v>-119.945551596389</v>
      </c>
      <c r="AT278" s="117" t="n">
        <f aca="false">AT279-AT277-AT276</f>
        <v>-121.860707785518</v>
      </c>
      <c r="AU278" s="117" t="n">
        <f aca="false">AU279-AU277-AU276</f>
        <v>-123.714578976594</v>
      </c>
      <c r="AV278" s="117" t="n">
        <f aca="false">AV279-AV277-AV276</f>
        <v>-125.509126289557</v>
      </c>
      <c r="AW278" s="117" t="n">
        <f aca="false">AW279-AW277-AW276</f>
        <v>-127.246248088505</v>
      </c>
      <c r="AX278" s="117" t="n">
        <f aca="false">AX279-AX277-AX276</f>
        <v>-128.927781989886</v>
      </c>
      <c r="AY278" s="117" t="n">
        <f aca="false">AY279-AY277-AY276</f>
        <v>-130.14287534317</v>
      </c>
      <c r="AZ278" s="117" t="n">
        <f aca="false">AZ279-AZ277-AZ276</f>
        <v>-131.741753451766</v>
      </c>
      <c r="BA278" s="117" t="n">
        <f aca="false">BA279-BA277-BA276</f>
        <v>-133.289467460887</v>
      </c>
      <c r="BB278" s="117" t="n">
        <f aca="false">BB279-BB277-BB276</f>
        <v>-135.225043972765</v>
      </c>
      <c r="BC278" s="117" t="n">
        <f aca="false">BC279-BC277-BC276</f>
        <v>-137.098682036262</v>
      </c>
      <c r="BD278" s="117" t="n">
        <f aca="false">BD279-BD277-BD276</f>
        <v>-138.912363681727</v>
      </c>
      <c r="BE278" s="117" t="n">
        <f aca="false">BE279-BE277-BE276</f>
        <v>-140.668007514538</v>
      </c>
      <c r="BF278" s="117" t="n">
        <f aca="false">BF279-BF277-BF276</f>
        <v>-142.3674707447</v>
      </c>
      <c r="BG278" s="117" t="n">
        <f aca="false">BG279-BG277-BG276</f>
        <v>-144.012551151495</v>
      </c>
      <c r="BH278" s="117" t="n">
        <f aca="false">BH279-BH277-BH276</f>
        <v>-145.604988985274</v>
      </c>
      <c r="BI278" s="117" t="n">
        <f aca="false">BI279-BI277-BI276</f>
        <v>-147.146468808371</v>
      </c>
      <c r="BJ278" s="117" t="n">
        <f aca="false">BJ279-BJ277-BJ276</f>
        <v>-148.638621277129</v>
      </c>
    </row>
    <row r="279" customFormat="false" ht="15" hidden="false" customHeight="false" outlineLevel="0" collapsed="false">
      <c r="A279" s="4" t="s">
        <v>428</v>
      </c>
      <c r="C279" s="119" t="n">
        <f aca="false">C277*(1-Inputs!$D$24)+C276</f>
        <v>411.994</v>
      </c>
      <c r="D279" s="119" t="n">
        <f aca="false">D277*(1-Inputs!$D$24)+D276</f>
        <v>480.559334857143</v>
      </c>
      <c r="E279" s="119" t="n">
        <f aca="false">E277*(1-Inputs!$D$24)+E276</f>
        <v>562.832388522667</v>
      </c>
      <c r="F279" s="119" t="n">
        <f aca="false">F277*(1-Inputs!$D$24)+F276</f>
        <v>651.723847328037</v>
      </c>
      <c r="G279" s="119" t="n">
        <f aca="false">G277*(1-Inputs!$D$24)+G276</f>
        <v>747.021922308777</v>
      </c>
      <c r="H279" s="119" t="n">
        <f aca="false">H277*(1-Inputs!$D$24)+H276</f>
        <v>848.521601747278</v>
      </c>
      <c r="I279" s="119" t="n">
        <f aca="false">I277*(1-Inputs!$D$24)+I276</f>
        <v>956.024434300888</v>
      </c>
      <c r="J279" s="119" t="n">
        <f aca="false">J277*(1-Inputs!$D$24)+J276</f>
        <v>1069.33831906993</v>
      </c>
      <c r="K279" s="119" t="n">
        <f aca="false">K277*(1-Inputs!$D$24)+K276</f>
        <v>1179.02615952636</v>
      </c>
      <c r="L279" s="119" t="n">
        <f aca="false">L277*(1-Inputs!$D$24)+L276</f>
        <v>1285.20398908818</v>
      </c>
      <c r="M279" s="119" t="n">
        <f aca="false">M277*(1-Inputs!$D$24)+M276</f>
        <v>1387.98412810402</v>
      </c>
      <c r="N279" s="119" t="n">
        <f aca="false">N277*(1-Inputs!$D$24)+N276</f>
        <v>1476.6486360047</v>
      </c>
      <c r="O279" s="119" t="n">
        <f aca="false">O277*(1-Inputs!$D$24)+O276</f>
        <v>1572.86067965254</v>
      </c>
      <c r="P279" s="119" t="n">
        <f aca="false">P277*(1-Inputs!$D$24)+P276</f>
        <v>1665.99393790366</v>
      </c>
      <c r="Q279" s="119" t="n">
        <f aca="false">Q277*(1-Inputs!$D$24)+Q276</f>
        <v>1767.62319855741</v>
      </c>
      <c r="R279" s="119" t="n">
        <f aca="false">R277*(1-Inputs!$D$24)+R276</f>
        <v>1866.00032287024</v>
      </c>
      <c r="S279" s="119" t="n">
        <f aca="false">S277*(1-Inputs!$D$24)+S276</f>
        <v>1961.22937920506</v>
      </c>
      <c r="T279" s="119" t="n">
        <f aca="false">T277*(1-Inputs!$D$24)+T276</f>
        <v>2053.41110573717</v>
      </c>
      <c r="U279" s="119" t="n">
        <f aca="false">U277*(1-Inputs!$D$24)+U276</f>
        <v>2142.64301702024</v>
      </c>
      <c r="V279" s="119" t="n">
        <f aca="false">V277*(1-Inputs!$D$24)+V276</f>
        <v>2229.01950714226</v>
      </c>
      <c r="W279" s="119" t="n">
        <f aca="false">W277*(1-Inputs!$D$24)+W276</f>
        <v>2312.63194958038</v>
      </c>
      <c r="X279" s="119" t="n">
        <f aca="false">X277*(1-Inputs!$D$24)+X276</f>
        <v>2393.56879386047</v>
      </c>
      <c r="Y279" s="119" t="n">
        <f aca="false">Y277*(1-Inputs!$D$24)+Y276</f>
        <v>2471.9156591236</v>
      </c>
      <c r="Z279" s="119" t="n">
        <f aca="false">Z277*(1-Inputs!$D$24)+Z276</f>
        <v>2536.27915803165</v>
      </c>
      <c r="AA279" s="119" t="n">
        <f aca="false">AA277*(1-Inputs!$D$24)+AA276</f>
        <v>2609.83091297463</v>
      </c>
      <c r="AB279" s="119" t="n">
        <f aca="false">AB277*(1-Inputs!$D$24)+AB276</f>
        <v>2681.02901175945</v>
      </c>
      <c r="AC279" s="119" t="n">
        <f aca="false">AC277*(1-Inputs!$D$24)+AC276</f>
        <v>2762.11361404981</v>
      </c>
      <c r="AD279" s="119" t="n">
        <f aca="false">AD277*(1-Inputs!$D$24)+AD276</f>
        <v>2840.60350906688</v>
      </c>
      <c r="AE279" s="119" t="n">
        <f aca="false">AE277*(1-Inputs!$D$24)+AE276</f>
        <v>2916.58172744341</v>
      </c>
      <c r="AF279" s="119" t="n">
        <f aca="false">AF277*(1-Inputs!$D$24)+AF276</f>
        <v>2990.12864283189</v>
      </c>
      <c r="AG279" s="119" t="n">
        <f aca="false">AG277*(1-Inputs!$D$24)+AG276</f>
        <v>3061.32205692793</v>
      </c>
      <c r="AH279" s="119" t="n">
        <f aca="false">AH277*(1-Inputs!$D$24)+AH276</f>
        <v>3130.23728177291</v>
      </c>
      <c r="AI279" s="119" t="n">
        <f aca="false">AI277*(1-Inputs!$D$24)+AI276</f>
        <v>3196.94721942284</v>
      </c>
      <c r="AJ279" s="119" t="n">
        <f aca="false">AJ277*(1-Inputs!$D$24)+AJ276</f>
        <v>3261.52243906798</v>
      </c>
      <c r="AK279" s="119" t="n">
        <f aca="false">AK277*(1-Inputs!$D$24)+AK276</f>
        <v>3324.03125168447</v>
      </c>
      <c r="AL279" s="119" t="n">
        <f aca="false">AL277*(1-Inputs!$D$24)+AL276</f>
        <v>3372.37493963056</v>
      </c>
      <c r="AM279" s="119" t="n">
        <f aca="false">AM277*(1-Inputs!$D$24)+AM276</f>
        <v>3431.35839084239</v>
      </c>
      <c r="AN279" s="119" t="n">
        <f aca="false">AN277*(1-Inputs!$D$24)+AN276</f>
        <v>3488.45437161543</v>
      </c>
      <c r="AO279" s="119" t="n">
        <f aca="false">AO277*(1-Inputs!$D$24)+AO276</f>
        <v>3556.6180142304</v>
      </c>
      <c r="AP279" s="119" t="n">
        <f aca="false">AP277*(1-Inputs!$D$24)+AP276</f>
        <v>3622.6004202817</v>
      </c>
      <c r="AQ279" s="119" t="n">
        <f aca="false">AQ277*(1-Inputs!$D$24)+AQ276</f>
        <v>3686.47138933935</v>
      </c>
      <c r="AR279" s="119" t="n">
        <f aca="false">AR277*(1-Inputs!$D$24)+AR276</f>
        <v>3748.29848738716</v>
      </c>
      <c r="AS279" s="119" t="n">
        <f aca="false">AS277*(1-Inputs!$D$24)+AS276</f>
        <v>3808.14711829743</v>
      </c>
      <c r="AT279" s="119" t="n">
        <f aca="false">AT277*(1-Inputs!$D$24)+AT276</f>
        <v>3866.08059301858</v>
      </c>
      <c r="AU279" s="119" t="n">
        <f aca="false">AU277*(1-Inputs!$D$24)+AU276</f>
        <v>3922.16019654866</v>
      </c>
      <c r="AV279" s="119" t="n">
        <f aca="false">AV277*(1-Inputs!$D$24)+AV276</f>
        <v>3976.44525276577</v>
      </c>
      <c r="AW279" s="119" t="n">
        <f aca="false">AW277*(1-Inputs!$D$24)+AW276</f>
        <v>4028.99318718393</v>
      </c>
      <c r="AX279" s="119" t="n">
        <f aca="false">AX277*(1-Inputs!$D$24)+AX276</f>
        <v>4066.96485447404</v>
      </c>
      <c r="AY279" s="119" t="n">
        <f aca="false">AY277*(1-Inputs!$D$24)+AY276</f>
        <v>4116.92979536767</v>
      </c>
      <c r="AZ279" s="119" t="n">
        <f aca="false">AZ277*(1-Inputs!$D$24)+AZ276</f>
        <v>4165.29585815271</v>
      </c>
      <c r="BA279" s="119" t="n">
        <f aca="false">BA277*(1-Inputs!$D$24)+BA276</f>
        <v>4225.78262414889</v>
      </c>
      <c r="BB279" s="119" t="n">
        <f aca="false">BB277*(1-Inputs!$D$24)+BB276</f>
        <v>4284.33381363319</v>
      </c>
      <c r="BC279" s="119" t="n">
        <f aca="false">BC277*(1-Inputs!$D$24)+BC276</f>
        <v>4341.01136505399</v>
      </c>
      <c r="BD279" s="119" t="n">
        <f aca="false">BD277*(1-Inputs!$D$24)+BD276</f>
        <v>4395.87523482933</v>
      </c>
      <c r="BE279" s="119" t="n">
        <f aca="false">BE277*(1-Inputs!$D$24)+BE276</f>
        <v>4448.98346077186</v>
      </c>
      <c r="BF279" s="119" t="n">
        <f aca="false">BF277*(1-Inputs!$D$24)+BF276</f>
        <v>4500.39222348423</v>
      </c>
      <c r="BG279" s="119" t="n">
        <f aca="false">BG277*(1-Inputs!$D$24)+BG276</f>
        <v>4550.1559057898</v>
      </c>
      <c r="BH279" s="119" t="n">
        <f aca="false">BH277*(1-Inputs!$D$24)+BH276</f>
        <v>4598.32715026159</v>
      </c>
      <c r="BI279" s="119" t="n">
        <f aca="false">BI277*(1-Inputs!$D$24)+BI276</f>
        <v>4644.95691491029</v>
      </c>
      <c r="BJ279" s="119" t="n">
        <f aca="false">BJ277*(1-Inputs!$D$24)+BJ276</f>
        <v>4676.42610986996</v>
      </c>
    </row>
    <row r="280" customFormat="false" ht="15" hidden="false" customHeight="false" outlineLevel="0" collapsed="false">
      <c r="A280" s="6" t="s">
        <v>429</v>
      </c>
      <c r="C280" s="117" t="n">
        <f aca="false">(C277+C279)/2</f>
        <v>380.997</v>
      </c>
      <c r="D280" s="117" t="n">
        <f aca="false">(D277+D279)/2</f>
        <v>446.276667428571</v>
      </c>
      <c r="E280" s="117" t="n">
        <f aca="false">(E277+E279)/2</f>
        <v>521.695861689905</v>
      </c>
      <c r="F280" s="117" t="n">
        <f aca="false">(F277+F279)/2</f>
        <v>607.278117925352</v>
      </c>
      <c r="G280" s="117" t="n">
        <f aca="false">(G277+G279)/2</f>
        <v>699.372884818407</v>
      </c>
      <c r="H280" s="117" t="n">
        <f aca="false">(H277+H279)/2</f>
        <v>797.771762028028</v>
      </c>
      <c r="I280" s="117" t="n">
        <f aca="false">(I277+I279)/2</f>
        <v>902.273018024083</v>
      </c>
      <c r="J280" s="117" t="n">
        <f aca="false">(J277+J279)/2</f>
        <v>1012.68137668541</v>
      </c>
      <c r="K280" s="117" t="n">
        <f aca="false">(K277+K279)/2</f>
        <v>1124.18223929814</v>
      </c>
      <c r="L280" s="117" t="n">
        <f aca="false">(L277+L279)/2</f>
        <v>1232.11507430727</v>
      </c>
      <c r="M280" s="117" t="n">
        <f aca="false">(M277+M279)/2</f>
        <v>1336.5940585961</v>
      </c>
      <c r="N280" s="117" t="n">
        <f aca="false">(N277+N279)/2</f>
        <v>1432.31638205436</v>
      </c>
      <c r="O280" s="117" t="n">
        <f aca="false">(O277+O279)/2</f>
        <v>1524.75465782862</v>
      </c>
      <c r="P280" s="117" t="n">
        <f aca="false">(P277+P279)/2</f>
        <v>1619.4273087781</v>
      </c>
      <c r="Q280" s="117" t="n">
        <f aca="false">(Q277+Q279)/2</f>
        <v>1716.80856823054</v>
      </c>
      <c r="R280" s="117" t="n">
        <f aca="false">(R277+R279)/2</f>
        <v>1816.81176071383</v>
      </c>
      <c r="S280" s="117" t="n">
        <f aca="false">(S277+S279)/2</f>
        <v>1913.61485103765</v>
      </c>
      <c r="T280" s="117" t="n">
        <f aca="false">(T277+T279)/2</f>
        <v>2007.32024247111</v>
      </c>
      <c r="U280" s="117" t="n">
        <f aca="false">(U277+U279)/2</f>
        <v>2098.0270613787</v>
      </c>
      <c r="V280" s="117" t="n">
        <f aca="false">(V277+V279)/2</f>
        <v>2185.83126208125</v>
      </c>
      <c r="W280" s="117" t="n">
        <f aca="false">(W277+W279)/2</f>
        <v>2270.82572836132</v>
      </c>
      <c r="X280" s="117" t="n">
        <f aca="false">(X277+X279)/2</f>
        <v>2353.10037172042</v>
      </c>
      <c r="Y280" s="117" t="n">
        <f aca="false">(Y277+Y279)/2</f>
        <v>2432.74222649204</v>
      </c>
      <c r="Z280" s="117" t="n">
        <f aca="false">(Z277+Z279)/2</f>
        <v>2504.09740857762</v>
      </c>
      <c r="AA280" s="117" t="n">
        <f aca="false">(AA277+AA279)/2</f>
        <v>2573.05503550314</v>
      </c>
      <c r="AB280" s="117" t="n">
        <f aca="false">(AB277+AB279)/2</f>
        <v>2645.42996236704</v>
      </c>
      <c r="AC280" s="117" t="n">
        <f aca="false">(AC277+AC279)/2</f>
        <v>2721.57131290463</v>
      </c>
      <c r="AD280" s="117" t="n">
        <f aca="false">(AD277+AD279)/2</f>
        <v>2801.35856155835</v>
      </c>
      <c r="AE280" s="117" t="n">
        <f aca="false">(AE277+AE279)/2</f>
        <v>2878.59261825515</v>
      </c>
      <c r="AF280" s="117" t="n">
        <f aca="false">(AF277+AF279)/2</f>
        <v>2953.35518513765</v>
      </c>
      <c r="AG280" s="117" t="n">
        <f aca="false">(AG277+AG279)/2</f>
        <v>3025.72534987991</v>
      </c>
      <c r="AH280" s="117" t="n">
        <f aca="false">(AH277+AH279)/2</f>
        <v>3095.77966935042</v>
      </c>
      <c r="AI280" s="117" t="n">
        <f aca="false">(AI277+AI279)/2</f>
        <v>3163.59225059787</v>
      </c>
      <c r="AJ280" s="117" t="n">
        <f aca="false">(AJ277+AJ279)/2</f>
        <v>3229.23482924541</v>
      </c>
      <c r="AK280" s="117" t="n">
        <f aca="false">(AK277+AK279)/2</f>
        <v>3292.77684537622</v>
      </c>
      <c r="AL280" s="117" t="n">
        <f aca="false">(AL277+AL279)/2</f>
        <v>3348.20309565752</v>
      </c>
      <c r="AM280" s="117" t="n">
        <f aca="false">(AM277+AM279)/2</f>
        <v>3401.86666523648</v>
      </c>
      <c r="AN280" s="117" t="n">
        <f aca="false">(AN277+AN279)/2</f>
        <v>3459.90638122891</v>
      </c>
      <c r="AO280" s="117" t="n">
        <f aca="false">(AO277+AO279)/2</f>
        <v>3522.53619292292</v>
      </c>
      <c r="AP280" s="117" t="n">
        <f aca="false">(AP277+AP279)/2</f>
        <v>3589.60921725605</v>
      </c>
      <c r="AQ280" s="117" t="n">
        <f aca="false">(AQ277+AQ279)/2</f>
        <v>3654.53590481052</v>
      </c>
      <c r="AR280" s="117" t="n">
        <f aca="false">(AR277+AR279)/2</f>
        <v>3717.38493836325</v>
      </c>
      <c r="AS280" s="117" t="n">
        <f aca="false">(AS277+AS279)/2</f>
        <v>3778.2228028423</v>
      </c>
      <c r="AT280" s="117" t="n">
        <f aca="false">(AT277+AT279)/2</f>
        <v>3837.11385565801</v>
      </c>
      <c r="AU280" s="117" t="n">
        <f aca="false">(AU277+AU279)/2</f>
        <v>3894.12039478362</v>
      </c>
      <c r="AV280" s="117" t="n">
        <f aca="false">(AV277+AV279)/2</f>
        <v>3949.30272465721</v>
      </c>
      <c r="AW280" s="117" t="n">
        <f aca="false">(AW277+AW279)/2</f>
        <v>4002.71921997485</v>
      </c>
      <c r="AX280" s="117" t="n">
        <f aca="false">(AX277+AX279)/2</f>
        <v>4047.97902082899</v>
      </c>
      <c r="AY280" s="117" t="n">
        <f aca="false">(AY277+AY279)/2</f>
        <v>4091.94732492086</v>
      </c>
      <c r="AZ280" s="117" t="n">
        <f aca="false">(AZ277+AZ279)/2</f>
        <v>4141.11282676019</v>
      </c>
      <c r="BA280" s="117" t="n">
        <f aca="false">(BA277+BA279)/2</f>
        <v>4195.5392411508</v>
      </c>
      <c r="BB280" s="117" t="n">
        <f aca="false">(BB277+BB279)/2</f>
        <v>4255.05821889104</v>
      </c>
      <c r="BC280" s="117" t="n">
        <f aca="false">(BC277+BC279)/2</f>
        <v>4312.67258934359</v>
      </c>
      <c r="BD280" s="117" t="n">
        <f aca="false">(BD277+BD279)/2</f>
        <v>4368.44329994166</v>
      </c>
      <c r="BE280" s="117" t="n">
        <f aca="false">(BE277+BE279)/2</f>
        <v>4422.4293478006</v>
      </c>
      <c r="BF280" s="117" t="n">
        <f aca="false">(BF277+BF279)/2</f>
        <v>4474.68784212805</v>
      </c>
      <c r="BG280" s="117" t="n">
        <f aca="false">(BG277+BG279)/2</f>
        <v>4525.27406463702</v>
      </c>
      <c r="BH280" s="117" t="n">
        <f aca="false">(BH277+BH279)/2</f>
        <v>4574.2415280257</v>
      </c>
      <c r="BI280" s="117" t="n">
        <f aca="false">(BI277+BI279)/2</f>
        <v>4621.64203258594</v>
      </c>
      <c r="BJ280" s="117" t="n">
        <f aca="false">(BJ277+BJ279)/2</f>
        <v>4660.69151239012</v>
      </c>
    </row>
    <row r="282" customFormat="false" ht="15.75" hidden="false" customHeight="true" outlineLevel="0" collapsed="false">
      <c r="A282" s="7" t="s">
        <v>430</v>
      </c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</row>
    <row r="283" customFormat="false" ht="15" hidden="false" customHeight="false" outlineLevel="0" collapsed="false">
      <c r="A283" s="6" t="s">
        <v>431</v>
      </c>
      <c r="C283" s="118" t="n">
        <f aca="false">C280*Inputs!$D$25*C270*1</f>
        <v>1097.27136</v>
      </c>
      <c r="D283" s="118" t="n">
        <f aca="false">D280*Inputs!$D$25*D270*1</f>
        <v>1285.27680219429</v>
      </c>
      <c r="E283" s="118" t="n">
        <f aca="false">E280*Inputs!$D$25*E270*1</f>
        <v>1725.07431598795</v>
      </c>
      <c r="F283" s="118" t="n">
        <f aca="false">F280*Inputs!$D$25*F270*1</f>
        <v>2008.06630993983</v>
      </c>
      <c r="G283" s="118" t="n">
        <f aca="false">G280*Inputs!$D$25*G270*1</f>
        <v>2312.59300579953</v>
      </c>
      <c r="H283" s="118" t="n">
        <f aca="false">H280*Inputs!$D$25*H270*1</f>
        <v>2637.96529310601</v>
      </c>
      <c r="I283" s="118" t="n">
        <f aca="false">I280*Inputs!$D$25*I270*1</f>
        <v>2983.51611293297</v>
      </c>
      <c r="J283" s="118" t="n">
        <f aca="false">J280*Inputs!$D$25*J270*1</f>
        <v>3348.59975223975</v>
      </c>
      <c r="K283" s="118" t="n">
        <f aca="false">K280*Inputs!$D$25*K270*1</f>
        <v>3717.29593794585</v>
      </c>
      <c r="L283" s="118" t="n">
        <f aca="false">L280*Inputs!$D$25*L270*1</f>
        <v>4074.19384570936</v>
      </c>
      <c r="M283" s="118" t="n">
        <f aca="false">M280*Inputs!$D$25*M270*1</f>
        <v>4419.67102042444</v>
      </c>
      <c r="N283" s="118" t="n">
        <f aca="false">N280*Inputs!$D$25*N270*1</f>
        <v>4125.07118031656</v>
      </c>
      <c r="O283" s="118" t="n">
        <f aca="false">O280*Inputs!$D$25*O270*1</f>
        <v>4391.29341454643</v>
      </c>
      <c r="P283" s="118" t="n">
        <f aca="false">P280*Inputs!$D$25*P270*1</f>
        <v>4663.95064928094</v>
      </c>
      <c r="Q283" s="118" t="n">
        <f aca="false">Q280*Inputs!$D$25*Q270*1</f>
        <v>5676.91366561565</v>
      </c>
      <c r="R283" s="118" t="n">
        <f aca="false">R280*Inputs!$D$25*R270*1</f>
        <v>6007.59088876039</v>
      </c>
      <c r="S283" s="118" t="n">
        <f aca="false">S280*Inputs!$D$25*S270*1</f>
        <v>6327.6864407645</v>
      </c>
      <c r="T283" s="118" t="n">
        <f aca="false">T280*Inputs!$D$25*T270*1</f>
        <v>6637.53893510448</v>
      </c>
      <c r="U283" s="118" t="n">
        <f aca="false">U280*Inputs!$D$25*U270*1</f>
        <v>6937.47614962558</v>
      </c>
      <c r="V283" s="118" t="n">
        <f aca="false">V280*Inputs!$D$25*V270*1</f>
        <v>7227.81537328201</v>
      </c>
      <c r="W283" s="118" t="n">
        <f aca="false">W280*Inputs!$D$25*W270*1</f>
        <v>7508.86374178143</v>
      </c>
      <c r="X283" s="118" t="n">
        <f aca="false">X280*Inputs!$D$25*X270*1</f>
        <v>7780.91856248887</v>
      </c>
      <c r="Y283" s="118" t="n">
        <f aca="false">Y280*Inputs!$D$25*Y270*1</f>
        <v>8044.26762893367</v>
      </c>
      <c r="Z283" s="118" t="n">
        <f aca="false">Z280*Inputs!$D$25*Z270*1</f>
        <v>7211.80053670356</v>
      </c>
      <c r="AA283" s="118" t="n">
        <f aca="false">AA280*Inputs!$D$25*AA270*1</f>
        <v>7410.39850224905</v>
      </c>
      <c r="AB283" s="118" t="n">
        <f aca="false">AB280*Inputs!$D$25*AB270*1</f>
        <v>7618.83829161708</v>
      </c>
      <c r="AC283" s="118" t="n">
        <f aca="false">AC280*Inputs!$D$25*AC270*1</f>
        <v>8999.32914133797</v>
      </c>
      <c r="AD283" s="118" t="n">
        <f aca="false">AD280*Inputs!$D$25*AD270*1</f>
        <v>9263.15897688627</v>
      </c>
      <c r="AE283" s="118" t="n">
        <f aca="false">AE280*Inputs!$D$25*AE270*1</f>
        <v>9518.54625769702</v>
      </c>
      <c r="AF283" s="118" t="n">
        <f aca="false">AF280*Inputs!$D$25*AF270*1</f>
        <v>9765.76114552183</v>
      </c>
      <c r="AG283" s="118" t="n">
        <f aca="false">AG280*Inputs!$D$25*AG270*1</f>
        <v>10005.0651569362</v>
      </c>
      <c r="AH283" s="118" t="n">
        <f aca="false">AH280*Inputs!$D$25*AH270*1</f>
        <v>10236.7114399854</v>
      </c>
      <c r="AI283" s="118" t="n">
        <f aca="false">AI280*Inputs!$D$25*AI270*1</f>
        <v>10460.945041977</v>
      </c>
      <c r="AJ283" s="118" t="n">
        <f aca="false">AJ280*Inputs!$D$25*AJ270*1</f>
        <v>10678.0031687048</v>
      </c>
      <c r="AK283" s="118" t="n">
        <f aca="false">AK280*Inputs!$D$25*AK270*1</f>
        <v>10888.1154353774</v>
      </c>
      <c r="AL283" s="118" t="n">
        <f aca="false">AL280*Inputs!$D$25*AL270*1</f>
        <v>9642.82491549365</v>
      </c>
      <c r="AM283" s="118" t="n">
        <f aca="false">AM280*Inputs!$D$25*AM270*1</f>
        <v>9797.37599588105</v>
      </c>
      <c r="AN283" s="118" t="n">
        <f aca="false">AN280*Inputs!$D$25*AN270*1</f>
        <v>9964.53037793926</v>
      </c>
      <c r="AO283" s="118" t="n">
        <f aca="false">AO280*Inputs!$D$25*AO270*1</f>
        <v>11647.8530112651</v>
      </c>
      <c r="AP283" s="118" t="n">
        <f aca="false">AP280*Inputs!$D$25*AP270*1</f>
        <v>11869.64114506</v>
      </c>
      <c r="AQ283" s="118" t="n">
        <f aca="false">AQ280*Inputs!$D$25*AQ270*1</f>
        <v>12084.3320585735</v>
      </c>
      <c r="AR283" s="118" t="n">
        <f aca="false">AR280*Inputs!$D$25*AR270*1</f>
        <v>12292.1528628545</v>
      </c>
      <c r="AS283" s="118" t="n">
        <f aca="false">AS280*Inputs!$D$25*AS270*1</f>
        <v>12493.3234013985</v>
      </c>
      <c r="AT283" s="118" t="n">
        <f aca="false">AT280*Inputs!$D$25*AT270*1</f>
        <v>12688.0564827092</v>
      </c>
      <c r="AU283" s="118" t="n">
        <f aca="false">AU280*Inputs!$D$25*AU270*1</f>
        <v>12876.5581054178</v>
      </c>
      <c r="AV283" s="118" t="n">
        <f aca="false">AV280*Inputs!$D$25*AV270*1</f>
        <v>13059.0276761998</v>
      </c>
      <c r="AW283" s="118" t="n">
        <f aca="false">AW280*Inputs!$D$25*AW270*1</f>
        <v>13235.6582207168</v>
      </c>
      <c r="AX283" s="118" t="n">
        <f aca="false">AX280*Inputs!$D$25*AX270*1</f>
        <v>11658.1795799875</v>
      </c>
      <c r="AY283" s="118" t="n">
        <f aca="false">AY280*Inputs!$D$25*AY270*1</f>
        <v>11784.8082957721</v>
      </c>
      <c r="AZ283" s="118" t="n">
        <f aca="false">AZ280*Inputs!$D$25*AZ270*1</f>
        <v>11926.4049410693</v>
      </c>
      <c r="BA283" s="118" t="n">
        <f aca="false">BA280*Inputs!$D$25*BA270*1</f>
        <v>13873.2497574053</v>
      </c>
      <c r="BB283" s="118" t="n">
        <f aca="false">BB280*Inputs!$D$25*BB270*1</f>
        <v>14070.059177133</v>
      </c>
      <c r="BC283" s="118" t="n">
        <f aca="false">BC280*Inputs!$D$25*BC270*1</f>
        <v>14260.5706954295</v>
      </c>
      <c r="BD283" s="118" t="n">
        <f aca="false">BD280*Inputs!$D$25*BD270*1</f>
        <v>14444.9858451404</v>
      </c>
      <c r="BE283" s="118" t="n">
        <f aca="false">BE280*Inputs!$D$25*BE270*1</f>
        <v>14623.4997100606</v>
      </c>
      <c r="BF283" s="118" t="n">
        <f aca="false">BF280*Inputs!$D$25*BF270*1</f>
        <v>14796.3011313034</v>
      </c>
      <c r="BG283" s="118" t="n">
        <f aca="false">BG280*Inputs!$D$25*BG270*1</f>
        <v>14963.5729070664</v>
      </c>
      <c r="BH283" s="118" t="n">
        <f aca="false">BH280*Inputs!$D$25*BH270*1</f>
        <v>15125.491986005</v>
      </c>
      <c r="BI283" s="118" t="n">
        <f aca="false">BI280*Inputs!$D$25*BI270*1</f>
        <v>15282.2296544175</v>
      </c>
      <c r="BJ283" s="118" t="n">
        <f aca="false">BJ280*Inputs!$D$25*BJ270*1</f>
        <v>13422.7915556836</v>
      </c>
    </row>
    <row r="284" customFormat="false" ht="15" hidden="false" customHeight="false" outlineLevel="0" collapsed="false">
      <c r="A284" s="6" t="s">
        <v>432</v>
      </c>
      <c r="C284" s="118" t="n">
        <f aca="false">Inputs!$D$15*Inputs!$D$16*Inputs!$D$17*Inputs!$D$9*1</f>
        <v>24563</v>
      </c>
      <c r="D284" s="118" t="n">
        <f aca="false">Inputs!$D$15*Inputs!$D$16*Inputs!$D$17*Inputs!$D$9*1</f>
        <v>24563</v>
      </c>
      <c r="E284" s="118" t="n">
        <f aca="false">Inputs!$D$15*Inputs!$D$16*Inputs!$D$17*Inputs!$D$9*1</f>
        <v>24563</v>
      </c>
      <c r="F284" s="118" t="n">
        <f aca="false">Inputs!$D$15*Inputs!$D$16*Inputs!$D$17*Inputs!$D$9*1</f>
        <v>24563</v>
      </c>
      <c r="G284" s="118" t="n">
        <f aca="false">Inputs!$D$15*Inputs!$D$16*Inputs!$D$17*Inputs!$D$9*1</f>
        <v>24563</v>
      </c>
      <c r="H284" s="118" t="n">
        <f aca="false">Inputs!$D$15*Inputs!$D$16*Inputs!$D$17*Inputs!$D$9*1</f>
        <v>24563</v>
      </c>
      <c r="I284" s="118" t="n">
        <f aca="false">Inputs!$D$15*Inputs!$D$16*Inputs!$D$17*Inputs!$D$9*1</f>
        <v>24563</v>
      </c>
      <c r="J284" s="118" t="n">
        <f aca="false">Inputs!$D$15*Inputs!$D$16*Inputs!$D$17*Inputs!$D$9*1</f>
        <v>24563</v>
      </c>
      <c r="K284" s="118" t="n">
        <f aca="false">Inputs!$D$15*Inputs!$D$16*Inputs!$D$17*Inputs!$D$9*1</f>
        <v>24563</v>
      </c>
      <c r="L284" s="118" t="n">
        <f aca="false">Inputs!$D$15*Inputs!$D$16*Inputs!$D$17*Inputs!$D$9*1</f>
        <v>24563</v>
      </c>
      <c r="M284" s="118" t="n">
        <f aca="false">Inputs!$D$15*Inputs!$D$16*Inputs!$D$17*Inputs!$D$9*1</f>
        <v>24563</v>
      </c>
      <c r="N284" s="118" t="n">
        <f aca="false">Inputs!$D$15*Inputs!$D$16*Inputs!$D$17*Inputs!$D$9*1</f>
        <v>24563</v>
      </c>
      <c r="O284" s="118" t="n">
        <f aca="false">Inputs!$D$15*Inputs!$D$16*Inputs!$D$17*Inputs!$D$9*1</f>
        <v>24563</v>
      </c>
      <c r="P284" s="118" t="n">
        <f aca="false">Inputs!$D$15*Inputs!$D$16*Inputs!$D$17*Inputs!$D$9*1</f>
        <v>24563</v>
      </c>
      <c r="Q284" s="118" t="n">
        <f aca="false">Inputs!$D$15*Inputs!$D$16*Inputs!$D$17*Inputs!$D$9*1</f>
        <v>24563</v>
      </c>
      <c r="R284" s="118" t="n">
        <f aca="false">Inputs!$D$15*Inputs!$D$16*Inputs!$D$17*Inputs!$D$9*1</f>
        <v>24563</v>
      </c>
      <c r="S284" s="118" t="n">
        <f aca="false">Inputs!$D$15*Inputs!$D$16*Inputs!$D$17*Inputs!$D$9*1</f>
        <v>24563</v>
      </c>
      <c r="T284" s="118" t="n">
        <f aca="false">Inputs!$D$15*Inputs!$D$16*Inputs!$D$17*Inputs!$D$9*1</f>
        <v>24563</v>
      </c>
      <c r="U284" s="118" t="n">
        <f aca="false">Inputs!$D$15*Inputs!$D$16*Inputs!$D$17*Inputs!$D$9*1</f>
        <v>24563</v>
      </c>
      <c r="V284" s="118" t="n">
        <f aca="false">Inputs!$D$15*Inputs!$D$16*Inputs!$D$17*Inputs!$D$9*1</f>
        <v>24563</v>
      </c>
      <c r="W284" s="118" t="n">
        <f aca="false">Inputs!$D$15*Inputs!$D$16*Inputs!$D$17*Inputs!$D$9*1</f>
        <v>24563</v>
      </c>
      <c r="X284" s="118" t="n">
        <f aca="false">Inputs!$D$15*Inputs!$D$16*Inputs!$D$17*Inputs!$D$9*1</f>
        <v>24563</v>
      </c>
      <c r="Y284" s="118" t="n">
        <f aca="false">Inputs!$D$15*Inputs!$D$16*Inputs!$D$17*Inputs!$D$9*1</f>
        <v>24563</v>
      </c>
      <c r="Z284" s="118" t="n">
        <f aca="false">Inputs!$D$15*Inputs!$D$16*Inputs!$D$17*Inputs!$D$9*1</f>
        <v>24563</v>
      </c>
      <c r="AA284" s="118" t="n">
        <f aca="false">Inputs!$D$15*Inputs!$D$16*Inputs!$D$17*Inputs!$D$9*1</f>
        <v>24563</v>
      </c>
      <c r="AB284" s="118" t="n">
        <f aca="false">Inputs!$D$15*Inputs!$D$16*Inputs!$D$17*Inputs!$D$9*1</f>
        <v>24563</v>
      </c>
      <c r="AC284" s="118" t="n">
        <f aca="false">Inputs!$D$15*Inputs!$D$16*Inputs!$D$17*Inputs!$D$9*1</f>
        <v>24563</v>
      </c>
      <c r="AD284" s="118" t="n">
        <f aca="false">Inputs!$D$15*Inputs!$D$16*Inputs!$D$17*Inputs!$D$9*1</f>
        <v>24563</v>
      </c>
      <c r="AE284" s="118" t="n">
        <f aca="false">Inputs!$D$15*Inputs!$D$16*Inputs!$D$17*Inputs!$D$9*1</f>
        <v>24563</v>
      </c>
      <c r="AF284" s="118" t="n">
        <f aca="false">Inputs!$D$15*Inputs!$D$16*Inputs!$D$17*Inputs!$D$9*1</f>
        <v>24563</v>
      </c>
      <c r="AG284" s="118" t="n">
        <f aca="false">Inputs!$D$15*Inputs!$D$16*Inputs!$D$17*Inputs!$D$9*1</f>
        <v>24563</v>
      </c>
      <c r="AH284" s="118" t="n">
        <f aca="false">Inputs!$D$15*Inputs!$D$16*Inputs!$D$17*Inputs!$D$9*1</f>
        <v>24563</v>
      </c>
      <c r="AI284" s="118" t="n">
        <f aca="false">Inputs!$D$15*Inputs!$D$16*Inputs!$D$17*Inputs!$D$9*1</f>
        <v>24563</v>
      </c>
      <c r="AJ284" s="118" t="n">
        <f aca="false">Inputs!$D$15*Inputs!$D$16*Inputs!$D$17*Inputs!$D$9*1</f>
        <v>24563</v>
      </c>
      <c r="AK284" s="118" t="n">
        <f aca="false">Inputs!$D$15*Inputs!$D$16*Inputs!$D$17*Inputs!$D$9*1</f>
        <v>24563</v>
      </c>
      <c r="AL284" s="118" t="n">
        <f aca="false">Inputs!$D$15*Inputs!$D$16*Inputs!$D$17*Inputs!$D$9*1</f>
        <v>24563</v>
      </c>
      <c r="AM284" s="118" t="n">
        <f aca="false">Inputs!$D$15*Inputs!$D$16*Inputs!$D$17*Inputs!$D$9*1</f>
        <v>24563</v>
      </c>
      <c r="AN284" s="118" t="n">
        <f aca="false">Inputs!$D$15*Inputs!$D$16*Inputs!$D$17*Inputs!$D$9*1</f>
        <v>24563</v>
      </c>
      <c r="AO284" s="118" t="n">
        <f aca="false">Inputs!$D$15*Inputs!$D$16*Inputs!$D$17*Inputs!$D$9*1</f>
        <v>24563</v>
      </c>
      <c r="AP284" s="118" t="n">
        <f aca="false">Inputs!$D$15*Inputs!$D$16*Inputs!$D$17*Inputs!$D$9*1</f>
        <v>24563</v>
      </c>
      <c r="AQ284" s="118" t="n">
        <f aca="false">Inputs!$D$15*Inputs!$D$16*Inputs!$D$17*Inputs!$D$9*1</f>
        <v>24563</v>
      </c>
      <c r="AR284" s="118" t="n">
        <f aca="false">Inputs!$D$15*Inputs!$D$16*Inputs!$D$17*Inputs!$D$9*1</f>
        <v>24563</v>
      </c>
      <c r="AS284" s="118" t="n">
        <f aca="false">Inputs!$D$15*Inputs!$D$16*Inputs!$D$17*Inputs!$D$9*1</f>
        <v>24563</v>
      </c>
      <c r="AT284" s="118" t="n">
        <f aca="false">Inputs!$D$15*Inputs!$D$16*Inputs!$D$17*Inputs!$D$9*1</f>
        <v>24563</v>
      </c>
      <c r="AU284" s="118" t="n">
        <f aca="false">Inputs!$D$15*Inputs!$D$16*Inputs!$D$17*Inputs!$D$9*1</f>
        <v>24563</v>
      </c>
      <c r="AV284" s="118" t="n">
        <f aca="false">Inputs!$D$15*Inputs!$D$16*Inputs!$D$17*Inputs!$D$9*1</f>
        <v>24563</v>
      </c>
      <c r="AW284" s="118" t="n">
        <f aca="false">Inputs!$D$15*Inputs!$D$16*Inputs!$D$17*Inputs!$D$9*1</f>
        <v>24563</v>
      </c>
      <c r="AX284" s="118" t="n">
        <f aca="false">Inputs!$D$15*Inputs!$D$16*Inputs!$D$17*Inputs!$D$9*1</f>
        <v>24563</v>
      </c>
      <c r="AY284" s="118" t="n">
        <f aca="false">Inputs!$D$15*Inputs!$D$16*Inputs!$D$17*Inputs!$D$9*1</f>
        <v>24563</v>
      </c>
      <c r="AZ284" s="118" t="n">
        <f aca="false">Inputs!$D$15*Inputs!$D$16*Inputs!$D$17*Inputs!$D$9*1</f>
        <v>24563</v>
      </c>
      <c r="BA284" s="118" t="n">
        <f aca="false">Inputs!$D$15*Inputs!$D$16*Inputs!$D$17*Inputs!$D$9*1</f>
        <v>24563</v>
      </c>
      <c r="BB284" s="118" t="n">
        <f aca="false">Inputs!$D$15*Inputs!$D$16*Inputs!$D$17*Inputs!$D$9*1</f>
        <v>24563</v>
      </c>
      <c r="BC284" s="118" t="n">
        <f aca="false">Inputs!$D$15*Inputs!$D$16*Inputs!$D$17*Inputs!$D$9*1</f>
        <v>24563</v>
      </c>
      <c r="BD284" s="118" t="n">
        <f aca="false">Inputs!$D$15*Inputs!$D$16*Inputs!$D$17*Inputs!$D$9*1</f>
        <v>24563</v>
      </c>
      <c r="BE284" s="118" t="n">
        <f aca="false">Inputs!$D$15*Inputs!$D$16*Inputs!$D$17*Inputs!$D$9*1</f>
        <v>24563</v>
      </c>
      <c r="BF284" s="118" t="n">
        <f aca="false">Inputs!$D$15*Inputs!$D$16*Inputs!$D$17*Inputs!$D$9*1</f>
        <v>24563</v>
      </c>
      <c r="BG284" s="118" t="n">
        <f aca="false">Inputs!$D$15*Inputs!$D$16*Inputs!$D$17*Inputs!$D$9*1</f>
        <v>24563</v>
      </c>
      <c r="BH284" s="118" t="n">
        <f aca="false">Inputs!$D$15*Inputs!$D$16*Inputs!$D$17*Inputs!$D$9*1</f>
        <v>24563</v>
      </c>
      <c r="BI284" s="118" t="n">
        <f aca="false">Inputs!$D$15*Inputs!$D$16*Inputs!$D$17*Inputs!$D$9*1</f>
        <v>24563</v>
      </c>
      <c r="BJ284" s="118" t="n">
        <f aca="false">Inputs!$D$15*Inputs!$D$16*Inputs!$D$17*Inputs!$D$9*1</f>
        <v>24563</v>
      </c>
    </row>
    <row r="285" customFormat="false" ht="15" hidden="false" customHeight="false" outlineLevel="0" collapsed="false">
      <c r="A285" s="38" t="s">
        <v>433</v>
      </c>
      <c r="C285" s="76" t="n">
        <f aca="false">MIN(1,C284/MAX(1,C271+C283))</f>
        <v>1</v>
      </c>
      <c r="D285" s="76" t="n">
        <f aca="false">MIN(1,D284/MAX(1,D271+D283))</f>
        <v>1</v>
      </c>
      <c r="E285" s="76" t="n">
        <f aca="false">MIN(1,E284/MAX(1,E271+E283))</f>
        <v>1</v>
      </c>
      <c r="F285" s="76" t="n">
        <f aca="false">MIN(1,F284/MAX(1,F271+F283))</f>
        <v>1</v>
      </c>
      <c r="G285" s="76" t="n">
        <f aca="false">MIN(1,G284/MAX(1,G271+G283))</f>
        <v>1</v>
      </c>
      <c r="H285" s="76" t="n">
        <f aca="false">MIN(1,H284/MAX(1,H271+H283))</f>
        <v>1</v>
      </c>
      <c r="I285" s="76" t="n">
        <f aca="false">MIN(1,I284/MAX(1,I271+I283))</f>
        <v>1</v>
      </c>
      <c r="J285" s="76" t="n">
        <f aca="false">MIN(1,J284/MAX(1,J271+J283))</f>
        <v>1</v>
      </c>
      <c r="K285" s="76" t="n">
        <f aca="false">MIN(1,K284/MAX(1,K271+K283))</f>
        <v>1</v>
      </c>
      <c r="L285" s="76" t="n">
        <f aca="false">MIN(1,L284/MAX(1,L271+L283))</f>
        <v>1</v>
      </c>
      <c r="M285" s="76" t="n">
        <f aca="false">MIN(1,M284/MAX(1,M271+M283))</f>
        <v>1</v>
      </c>
      <c r="N285" s="76" t="n">
        <f aca="false">MIN(1,N284/MAX(1,N271+N283))</f>
        <v>1</v>
      </c>
      <c r="O285" s="76" t="n">
        <f aca="false">MIN(1,O284/MAX(1,O271+O283))</f>
        <v>1</v>
      </c>
      <c r="P285" s="76" t="n">
        <f aca="false">MIN(1,P284/MAX(1,P271+P283))</f>
        <v>1</v>
      </c>
      <c r="Q285" s="76" t="n">
        <f aca="false">MIN(1,Q284/MAX(1,Q271+Q283))</f>
        <v>1</v>
      </c>
      <c r="R285" s="76" t="n">
        <f aca="false">MIN(1,R284/MAX(1,R271+R283))</f>
        <v>1</v>
      </c>
      <c r="S285" s="76" t="n">
        <f aca="false">MIN(1,S284/MAX(1,S271+S283))</f>
        <v>1</v>
      </c>
      <c r="T285" s="76" t="n">
        <f aca="false">MIN(1,T284/MAX(1,T271+T283))</f>
        <v>1</v>
      </c>
      <c r="U285" s="76" t="n">
        <f aca="false">MIN(1,U284/MAX(1,U271+U283))</f>
        <v>1</v>
      </c>
      <c r="V285" s="76" t="n">
        <f aca="false">MIN(1,V284/MAX(1,V271+V283))</f>
        <v>1</v>
      </c>
      <c r="W285" s="76" t="n">
        <f aca="false">MIN(1,W284/MAX(1,W271+W283))</f>
        <v>1</v>
      </c>
      <c r="X285" s="76" t="n">
        <f aca="false">MIN(1,X284/MAX(1,X271+X283))</f>
        <v>1</v>
      </c>
      <c r="Y285" s="76" t="n">
        <f aca="false">MIN(1,Y284/MAX(1,Y271+Y283))</f>
        <v>1</v>
      </c>
      <c r="Z285" s="76" t="n">
        <f aca="false">MIN(1,Z284/MAX(1,Z271+Z283))</f>
        <v>1</v>
      </c>
      <c r="AA285" s="76" t="n">
        <f aca="false">MIN(1,AA284/MAX(1,AA271+AA283))</f>
        <v>1</v>
      </c>
      <c r="AB285" s="76" t="n">
        <f aca="false">MIN(1,AB284/MAX(1,AB271+AB283))</f>
        <v>1</v>
      </c>
      <c r="AC285" s="76" t="n">
        <f aca="false">MIN(1,AC284/MAX(1,AC271+AC283))</f>
        <v>1</v>
      </c>
      <c r="AD285" s="76" t="n">
        <f aca="false">MIN(1,AD284/MAX(1,AD271+AD283))</f>
        <v>1</v>
      </c>
      <c r="AE285" s="76" t="n">
        <f aca="false">MIN(1,AE284/MAX(1,AE271+AE283))</f>
        <v>1</v>
      </c>
      <c r="AF285" s="76" t="n">
        <f aca="false">MIN(1,AF284/MAX(1,AF271+AF283))</f>
        <v>1</v>
      </c>
      <c r="AG285" s="76" t="n">
        <f aca="false">MIN(1,AG284/MAX(1,AG271+AG283))</f>
        <v>1</v>
      </c>
      <c r="AH285" s="76" t="n">
        <f aca="false">MIN(1,AH284/MAX(1,AH271+AH283))</f>
        <v>1</v>
      </c>
      <c r="AI285" s="76" t="n">
        <f aca="false">MIN(1,AI284/MAX(1,AI271+AI283))</f>
        <v>1</v>
      </c>
      <c r="AJ285" s="76" t="n">
        <f aca="false">MIN(1,AJ284/MAX(1,AJ271+AJ283))</f>
        <v>1</v>
      </c>
      <c r="AK285" s="76" t="n">
        <f aca="false">MIN(1,AK284/MAX(1,AK271+AK283))</f>
        <v>1</v>
      </c>
      <c r="AL285" s="76" t="n">
        <f aca="false">MIN(1,AL284/MAX(1,AL271+AL283))</f>
        <v>1</v>
      </c>
      <c r="AM285" s="76" t="n">
        <f aca="false">MIN(1,AM284/MAX(1,AM271+AM283))</f>
        <v>1</v>
      </c>
      <c r="AN285" s="76" t="n">
        <f aca="false">MIN(1,AN284/MAX(1,AN271+AN283))</f>
        <v>1</v>
      </c>
      <c r="AO285" s="76" t="n">
        <f aca="false">MIN(1,AO284/MAX(1,AO271+AO283))</f>
        <v>1</v>
      </c>
      <c r="AP285" s="76" t="n">
        <f aca="false">MIN(1,AP284/MAX(1,AP271+AP283))</f>
        <v>1</v>
      </c>
      <c r="AQ285" s="76" t="n">
        <f aca="false">MIN(1,AQ284/MAX(1,AQ271+AQ283))</f>
        <v>1</v>
      </c>
      <c r="AR285" s="76" t="n">
        <f aca="false">MIN(1,AR284/MAX(1,AR271+AR283))</f>
        <v>1</v>
      </c>
      <c r="AS285" s="76" t="n">
        <f aca="false">MIN(1,AS284/MAX(1,AS271+AS283))</f>
        <v>1</v>
      </c>
      <c r="AT285" s="76" t="n">
        <f aca="false">MIN(1,AT284/MAX(1,AT271+AT283))</f>
        <v>1</v>
      </c>
      <c r="AU285" s="76" t="n">
        <f aca="false">MIN(1,AU284/MAX(1,AU271+AU283))</f>
        <v>1</v>
      </c>
      <c r="AV285" s="76" t="n">
        <f aca="false">MIN(1,AV284/MAX(1,AV271+AV283))</f>
        <v>1</v>
      </c>
      <c r="AW285" s="76" t="n">
        <f aca="false">MIN(1,AW284/MAX(1,AW271+AW283))</f>
        <v>1</v>
      </c>
      <c r="AX285" s="76" t="n">
        <f aca="false">MIN(1,AX284/MAX(1,AX271+AX283))</f>
        <v>1</v>
      </c>
      <c r="AY285" s="76" t="n">
        <f aca="false">MIN(1,AY284/MAX(1,AY271+AY283))</f>
        <v>1</v>
      </c>
      <c r="AZ285" s="76" t="n">
        <f aca="false">MIN(1,AZ284/MAX(1,AZ271+AZ283))</f>
        <v>1</v>
      </c>
      <c r="BA285" s="76" t="n">
        <f aca="false">MIN(1,BA284/MAX(1,BA271+BA283))</f>
        <v>1</v>
      </c>
      <c r="BB285" s="76" t="n">
        <f aca="false">MIN(1,BB284/MAX(1,BB271+BB283))</f>
        <v>0.995942010786891</v>
      </c>
      <c r="BC285" s="76" t="n">
        <f aca="false">MIN(1,BC284/MAX(1,BC271+BC283))</f>
        <v>0.988307765844442</v>
      </c>
      <c r="BD285" s="76" t="n">
        <f aca="false">MIN(1,BD284/MAX(1,BD271+BD283))</f>
        <v>0.981028476057084</v>
      </c>
      <c r="BE285" s="76" t="n">
        <f aca="false">MIN(1,BE284/MAX(1,BE271+BE283))</f>
        <v>0.974083538229199</v>
      </c>
      <c r="BF285" s="76" t="n">
        <f aca="false">MIN(1,BF284/MAX(1,BF271+BF283))</f>
        <v>0.967453861257384</v>
      </c>
      <c r="BG285" s="76" t="n">
        <f aca="false">MIN(1,BG284/MAX(1,BG271+BG283))</f>
        <v>0.961121729867871</v>
      </c>
      <c r="BH285" s="76" t="n">
        <f aca="false">MIN(1,BH284/MAX(1,BH271+BH283))</f>
        <v>0.955070682859875</v>
      </c>
      <c r="BI285" s="76" t="n">
        <f aca="false">MIN(1,BI284/MAX(1,BI271+BI283))</f>
        <v>0.949285404084053</v>
      </c>
      <c r="BJ285" s="76" t="n">
        <f aca="false">MIN(1,BJ284/MAX(1,BJ271+BJ283))</f>
        <v>1</v>
      </c>
    </row>
    <row r="286" customFormat="false" ht="15" hidden="false" customHeight="false" outlineLevel="0" collapsed="false">
      <c r="A286" s="6" t="s">
        <v>238</v>
      </c>
      <c r="C286" s="118" t="n">
        <f aca="false">C271*C285</f>
        <v>4019.4</v>
      </c>
      <c r="D286" s="118" t="n">
        <f aca="false">D271*D285</f>
        <v>4489.2</v>
      </c>
      <c r="E286" s="118" t="n">
        <f aca="false">E271*E285</f>
        <v>5693.66666666667</v>
      </c>
      <c r="F286" s="118" t="n">
        <f aca="false">F271*F285</f>
        <v>6233.06666666667</v>
      </c>
      <c r="G286" s="118" t="n">
        <f aca="false">G271*G285</f>
        <v>6772.46666666667</v>
      </c>
      <c r="H286" s="118" t="n">
        <f aca="false">H271*H285</f>
        <v>7311.86666666667</v>
      </c>
      <c r="I286" s="118" t="n">
        <f aca="false">I271*I285</f>
        <v>7851.26666666667</v>
      </c>
      <c r="J286" s="118" t="n">
        <f aca="false">J271*J285</f>
        <v>8390.66666666667</v>
      </c>
      <c r="K286" s="118" t="n">
        <f aca="false">K271*K285</f>
        <v>8390.66666666667</v>
      </c>
      <c r="L286" s="118" t="n">
        <f aca="false">L271*L285</f>
        <v>8390.66666666667</v>
      </c>
      <c r="M286" s="118" t="n">
        <f aca="false">M271*M285</f>
        <v>8390.66666666667</v>
      </c>
      <c r="N286" s="118" t="n">
        <f aca="false">N271*N285</f>
        <v>7308</v>
      </c>
      <c r="O286" s="118" t="n">
        <f aca="false">O271*O285</f>
        <v>7746.48</v>
      </c>
      <c r="P286" s="118" t="n">
        <f aca="false">P271*P285</f>
        <v>7746.48</v>
      </c>
      <c r="Q286" s="118" t="n">
        <f aca="false">Q271*Q285</f>
        <v>8894.10666666667</v>
      </c>
      <c r="R286" s="118" t="n">
        <f aca="false">R271*R285</f>
        <v>8894.10666666667</v>
      </c>
      <c r="S286" s="118" t="n">
        <f aca="false">S271*S285</f>
        <v>8894.10666666667</v>
      </c>
      <c r="T286" s="118" t="n">
        <f aca="false">T271*T285</f>
        <v>8894.10666666667</v>
      </c>
      <c r="U286" s="118" t="n">
        <f aca="false">U271*U285</f>
        <v>8894.10666666667</v>
      </c>
      <c r="V286" s="118" t="n">
        <f aca="false">V271*V285</f>
        <v>8894.10666666667</v>
      </c>
      <c r="W286" s="118" t="n">
        <f aca="false">W271*W285</f>
        <v>8894.10666666667</v>
      </c>
      <c r="X286" s="118" t="n">
        <f aca="false">X271*X285</f>
        <v>8894.10666666667</v>
      </c>
      <c r="Y286" s="118" t="n">
        <f aca="false">Y271*Y285</f>
        <v>8894.10666666667</v>
      </c>
      <c r="Z286" s="118" t="n">
        <f aca="false">Z271*Z285</f>
        <v>7746.48</v>
      </c>
      <c r="AA286" s="118" t="n">
        <f aca="false">AA271*AA285</f>
        <v>8211.2688</v>
      </c>
      <c r="AB286" s="118" t="n">
        <f aca="false">AB271*AB285</f>
        <v>8211.2688</v>
      </c>
      <c r="AC286" s="118" t="n">
        <f aca="false">AC271*AC285</f>
        <v>9427.75306666667</v>
      </c>
      <c r="AD286" s="118" t="n">
        <f aca="false">AD271*AD285</f>
        <v>9427.75306666667</v>
      </c>
      <c r="AE286" s="118" t="n">
        <f aca="false">AE271*AE285</f>
        <v>9427.75306666667</v>
      </c>
      <c r="AF286" s="118" t="n">
        <f aca="false">AF271*AF285</f>
        <v>9427.75306666667</v>
      </c>
      <c r="AG286" s="118" t="n">
        <f aca="false">AG271*AG285</f>
        <v>9427.75306666667</v>
      </c>
      <c r="AH286" s="118" t="n">
        <f aca="false">AH271*AH285</f>
        <v>9427.75306666667</v>
      </c>
      <c r="AI286" s="118" t="n">
        <f aca="false">AI271*AI285</f>
        <v>9427.75306666667</v>
      </c>
      <c r="AJ286" s="118" t="n">
        <f aca="false">AJ271*AJ285</f>
        <v>9427.75306666667</v>
      </c>
      <c r="AK286" s="118" t="n">
        <f aca="false">AK271*AK285</f>
        <v>9427.75306666667</v>
      </c>
      <c r="AL286" s="118" t="n">
        <f aca="false">AL271*AL285</f>
        <v>8211.2688</v>
      </c>
      <c r="AM286" s="118" t="n">
        <f aca="false">AM271*AM285</f>
        <v>8703.944928</v>
      </c>
      <c r="AN286" s="118" t="n">
        <f aca="false">AN271*AN285</f>
        <v>8703.944928</v>
      </c>
      <c r="AO286" s="118" t="n">
        <f aca="false">AO271*AO285</f>
        <v>9993.41825066667</v>
      </c>
      <c r="AP286" s="118" t="n">
        <f aca="false">AP271*AP285</f>
        <v>9993.41825066667</v>
      </c>
      <c r="AQ286" s="118" t="n">
        <f aca="false">AQ271*AQ285</f>
        <v>9993.41825066667</v>
      </c>
      <c r="AR286" s="118" t="n">
        <f aca="false">AR271*AR285</f>
        <v>9993.41825066667</v>
      </c>
      <c r="AS286" s="118" t="n">
        <f aca="false">AS271*AS285</f>
        <v>9993.41825066667</v>
      </c>
      <c r="AT286" s="118" t="n">
        <f aca="false">AT271*AT285</f>
        <v>9993.41825066667</v>
      </c>
      <c r="AU286" s="118" t="n">
        <f aca="false">AU271*AU285</f>
        <v>9993.41825066667</v>
      </c>
      <c r="AV286" s="118" t="n">
        <f aca="false">AV271*AV285</f>
        <v>9993.41825066667</v>
      </c>
      <c r="AW286" s="118" t="n">
        <f aca="false">AW271*AW285</f>
        <v>9993.41825066667</v>
      </c>
      <c r="AX286" s="118" t="n">
        <f aca="false">AX271*AX285</f>
        <v>8703.944928</v>
      </c>
      <c r="AY286" s="118" t="n">
        <f aca="false">AY271*AY285</f>
        <v>9226.18162368</v>
      </c>
      <c r="AZ286" s="118" t="n">
        <f aca="false">AZ271*AZ285</f>
        <v>9226.18162368</v>
      </c>
      <c r="BA286" s="118" t="n">
        <f aca="false">BA271*BA285</f>
        <v>10593.0233457067</v>
      </c>
      <c r="BB286" s="118" t="n">
        <f aca="false">BB271*BB285</f>
        <v>10550.0369712356</v>
      </c>
      <c r="BC286" s="118" t="n">
        <f aca="false">BC271*BC285</f>
        <v>10469.1672363334</v>
      </c>
      <c r="BD286" s="118" t="n">
        <f aca="false">BD271*BD285</f>
        <v>10392.0575496757</v>
      </c>
      <c r="BE286" s="118" t="n">
        <f aca="false">BE271*BE285</f>
        <v>10318.4896611305</v>
      </c>
      <c r="BF286" s="118" t="n">
        <f aca="false">BF271*BF285</f>
        <v>10248.2613381935</v>
      </c>
      <c r="BG286" s="118" t="n">
        <f aca="false">BG271*BG285</f>
        <v>10181.1849225563</v>
      </c>
      <c r="BH286" s="118" t="n">
        <f aca="false">BH271*BH285</f>
        <v>10117.0860403347</v>
      </c>
      <c r="BI286" s="118" t="n">
        <f aca="false">BI271*BI285</f>
        <v>10055.802447201</v>
      </c>
      <c r="BJ286" s="118" t="n">
        <f aca="false">BJ271*BJ285</f>
        <v>9226.18162368</v>
      </c>
    </row>
    <row r="287" customFormat="false" ht="15" hidden="false" customHeight="false" outlineLevel="0" collapsed="false">
      <c r="A287" s="6" t="s">
        <v>239</v>
      </c>
      <c r="C287" s="118" t="n">
        <f aca="false">C283*C285</f>
        <v>1097.27136</v>
      </c>
      <c r="D287" s="118" t="n">
        <f aca="false">D283*D285</f>
        <v>1285.27680219429</v>
      </c>
      <c r="E287" s="118" t="n">
        <f aca="false">E283*E285</f>
        <v>1725.07431598795</v>
      </c>
      <c r="F287" s="118" t="n">
        <f aca="false">F283*F285</f>
        <v>2008.06630993983</v>
      </c>
      <c r="G287" s="118" t="n">
        <f aca="false">G283*G285</f>
        <v>2312.59300579953</v>
      </c>
      <c r="H287" s="118" t="n">
        <f aca="false">H283*H285</f>
        <v>2637.96529310601</v>
      </c>
      <c r="I287" s="118" t="n">
        <f aca="false">I283*I285</f>
        <v>2983.51611293297</v>
      </c>
      <c r="J287" s="118" t="n">
        <f aca="false">J283*J285</f>
        <v>3348.59975223975</v>
      </c>
      <c r="K287" s="118" t="n">
        <f aca="false">K283*K285</f>
        <v>3717.29593794585</v>
      </c>
      <c r="L287" s="118" t="n">
        <f aca="false">L283*L285</f>
        <v>4074.19384570936</v>
      </c>
      <c r="M287" s="118" t="n">
        <f aca="false">M283*M285</f>
        <v>4419.67102042444</v>
      </c>
      <c r="N287" s="118" t="n">
        <f aca="false">N283*N285</f>
        <v>4125.07118031656</v>
      </c>
      <c r="O287" s="118" t="n">
        <f aca="false">O283*O285</f>
        <v>4391.29341454643</v>
      </c>
      <c r="P287" s="118" t="n">
        <f aca="false">P283*P285</f>
        <v>4663.95064928094</v>
      </c>
      <c r="Q287" s="118" t="n">
        <f aca="false">Q283*Q285</f>
        <v>5676.91366561565</v>
      </c>
      <c r="R287" s="118" t="n">
        <f aca="false">R283*R285</f>
        <v>6007.59088876039</v>
      </c>
      <c r="S287" s="118" t="n">
        <f aca="false">S283*S285</f>
        <v>6327.6864407645</v>
      </c>
      <c r="T287" s="118" t="n">
        <f aca="false">T283*T285</f>
        <v>6637.53893510448</v>
      </c>
      <c r="U287" s="118" t="n">
        <f aca="false">U283*U285</f>
        <v>6937.47614962558</v>
      </c>
      <c r="V287" s="118" t="n">
        <f aca="false">V283*V285</f>
        <v>7227.81537328201</v>
      </c>
      <c r="W287" s="118" t="n">
        <f aca="false">W283*W285</f>
        <v>7508.86374178143</v>
      </c>
      <c r="X287" s="118" t="n">
        <f aca="false">X283*X285</f>
        <v>7780.91856248887</v>
      </c>
      <c r="Y287" s="118" t="n">
        <f aca="false">Y283*Y285</f>
        <v>8044.26762893367</v>
      </c>
      <c r="Z287" s="118" t="n">
        <f aca="false">Z283*Z285</f>
        <v>7211.80053670356</v>
      </c>
      <c r="AA287" s="118" t="n">
        <f aca="false">AA283*AA285</f>
        <v>7410.39850224905</v>
      </c>
      <c r="AB287" s="118" t="n">
        <f aca="false">AB283*AB285</f>
        <v>7618.83829161708</v>
      </c>
      <c r="AC287" s="118" t="n">
        <f aca="false">AC283*AC285</f>
        <v>8999.32914133797</v>
      </c>
      <c r="AD287" s="118" t="n">
        <f aca="false">AD283*AD285</f>
        <v>9263.15897688627</v>
      </c>
      <c r="AE287" s="118" t="n">
        <f aca="false">AE283*AE285</f>
        <v>9518.54625769702</v>
      </c>
      <c r="AF287" s="118" t="n">
        <f aca="false">AF283*AF285</f>
        <v>9765.76114552183</v>
      </c>
      <c r="AG287" s="118" t="n">
        <f aca="false">AG283*AG285</f>
        <v>10005.0651569362</v>
      </c>
      <c r="AH287" s="118" t="n">
        <f aca="false">AH283*AH285</f>
        <v>10236.7114399854</v>
      </c>
      <c r="AI287" s="118" t="n">
        <f aca="false">AI283*AI285</f>
        <v>10460.945041977</v>
      </c>
      <c r="AJ287" s="118" t="n">
        <f aca="false">AJ283*AJ285</f>
        <v>10678.0031687048</v>
      </c>
      <c r="AK287" s="118" t="n">
        <f aca="false">AK283*AK285</f>
        <v>10888.1154353774</v>
      </c>
      <c r="AL287" s="118" t="n">
        <f aca="false">AL283*AL285</f>
        <v>9642.82491549365</v>
      </c>
      <c r="AM287" s="118" t="n">
        <f aca="false">AM283*AM285</f>
        <v>9797.37599588105</v>
      </c>
      <c r="AN287" s="118" t="n">
        <f aca="false">AN283*AN285</f>
        <v>9964.53037793926</v>
      </c>
      <c r="AO287" s="118" t="n">
        <f aca="false">AO283*AO285</f>
        <v>11647.8530112651</v>
      </c>
      <c r="AP287" s="118" t="n">
        <f aca="false">AP283*AP285</f>
        <v>11869.64114506</v>
      </c>
      <c r="AQ287" s="118" t="n">
        <f aca="false">AQ283*AQ285</f>
        <v>12084.3320585735</v>
      </c>
      <c r="AR287" s="118" t="n">
        <f aca="false">AR283*AR285</f>
        <v>12292.1528628545</v>
      </c>
      <c r="AS287" s="118" t="n">
        <f aca="false">AS283*AS285</f>
        <v>12493.3234013985</v>
      </c>
      <c r="AT287" s="118" t="n">
        <f aca="false">AT283*AT285</f>
        <v>12688.0564827092</v>
      </c>
      <c r="AU287" s="118" t="n">
        <f aca="false">AU283*AU285</f>
        <v>12876.5581054178</v>
      </c>
      <c r="AV287" s="118" t="n">
        <f aca="false">AV283*AV285</f>
        <v>13059.0276761998</v>
      </c>
      <c r="AW287" s="118" t="n">
        <f aca="false">AW283*AW285</f>
        <v>13235.6582207168</v>
      </c>
      <c r="AX287" s="118" t="n">
        <f aca="false">AX283*AX285</f>
        <v>11658.1795799875</v>
      </c>
      <c r="AY287" s="118" t="n">
        <f aca="false">AY283*AY285</f>
        <v>11784.8082957721</v>
      </c>
      <c r="AZ287" s="118" t="n">
        <f aca="false">AZ283*AZ285</f>
        <v>11926.4049410693</v>
      </c>
      <c r="BA287" s="118" t="n">
        <f aca="false">BA283*BA285</f>
        <v>13873.2497574053</v>
      </c>
      <c r="BB287" s="118" t="n">
        <f aca="false">BB283*BB285</f>
        <v>14012.9630287644</v>
      </c>
      <c r="BC287" s="118" t="n">
        <f aca="false">BC283*BC285</f>
        <v>14093.8327636666</v>
      </c>
      <c r="BD287" s="118" t="n">
        <f aca="false">BD283*BD285</f>
        <v>14170.9424503243</v>
      </c>
      <c r="BE287" s="118" t="n">
        <f aca="false">BE283*BE285</f>
        <v>14244.5103388695</v>
      </c>
      <c r="BF287" s="118" t="n">
        <f aca="false">BF283*BF285</f>
        <v>14314.7386618065</v>
      </c>
      <c r="BG287" s="118" t="n">
        <f aca="false">BG283*BG285</f>
        <v>14381.8150774437</v>
      </c>
      <c r="BH287" s="118" t="n">
        <f aca="false">BH283*BH285</f>
        <v>14445.9139596653</v>
      </c>
      <c r="BI287" s="118" t="n">
        <f aca="false">BI283*BI285</f>
        <v>14507.197552799</v>
      </c>
      <c r="BJ287" s="118" t="n">
        <f aca="false">BJ283*BJ285</f>
        <v>13422.7915556836</v>
      </c>
    </row>
    <row r="288" customFormat="false" ht="15" hidden="false" customHeight="false" outlineLevel="0" collapsed="false">
      <c r="A288" s="4" t="s">
        <v>434</v>
      </c>
      <c r="C288" s="121" t="n">
        <f aca="false">C286+C287</f>
        <v>5116.67136</v>
      </c>
      <c r="D288" s="121" t="n">
        <f aca="false">D286+D287</f>
        <v>5774.47680219429</v>
      </c>
      <c r="E288" s="121" t="n">
        <f aca="false">E286+E287</f>
        <v>7418.74098265462</v>
      </c>
      <c r="F288" s="121" t="n">
        <f aca="false">F286+F287</f>
        <v>8241.1329766065</v>
      </c>
      <c r="G288" s="121" t="n">
        <f aca="false">G286+G287</f>
        <v>9085.0596724662</v>
      </c>
      <c r="H288" s="121" t="n">
        <f aca="false">H286+H287</f>
        <v>9949.83195977268</v>
      </c>
      <c r="I288" s="121" t="n">
        <f aca="false">I286+I287</f>
        <v>10834.7827795996</v>
      </c>
      <c r="J288" s="121" t="n">
        <f aca="false">J286+J287</f>
        <v>11739.2664189064</v>
      </c>
      <c r="K288" s="121" t="n">
        <f aca="false">K286+K287</f>
        <v>12107.9626046125</v>
      </c>
      <c r="L288" s="121" t="n">
        <f aca="false">L286+L287</f>
        <v>12464.860512376</v>
      </c>
      <c r="M288" s="121" t="n">
        <f aca="false">M286+M287</f>
        <v>12810.3376870911</v>
      </c>
      <c r="N288" s="121" t="n">
        <f aca="false">N286+N287</f>
        <v>11433.0711803166</v>
      </c>
      <c r="O288" s="121" t="n">
        <f aca="false">O286+O287</f>
        <v>12137.7734145464</v>
      </c>
      <c r="P288" s="121" t="n">
        <f aca="false">P286+P287</f>
        <v>12410.4306492809</v>
      </c>
      <c r="Q288" s="121" t="n">
        <f aca="false">Q286+Q287</f>
        <v>14571.0203322823</v>
      </c>
      <c r="R288" s="121" t="n">
        <f aca="false">R286+R287</f>
        <v>14901.6975554271</v>
      </c>
      <c r="S288" s="121" t="n">
        <f aca="false">S286+S287</f>
        <v>15221.7931074312</v>
      </c>
      <c r="T288" s="121" t="n">
        <f aca="false">T286+T287</f>
        <v>15531.6456017712</v>
      </c>
      <c r="U288" s="121" t="n">
        <f aca="false">U286+U287</f>
        <v>15831.5828162923</v>
      </c>
      <c r="V288" s="121" t="n">
        <f aca="false">V286+V287</f>
        <v>16121.9220399487</v>
      </c>
      <c r="W288" s="121" t="n">
        <f aca="false">W286+W287</f>
        <v>16402.9704084481</v>
      </c>
      <c r="X288" s="121" t="n">
        <f aca="false">X286+X287</f>
        <v>16675.0252291555</v>
      </c>
      <c r="Y288" s="121" t="n">
        <f aca="false">Y286+Y287</f>
        <v>16938.3742956003</v>
      </c>
      <c r="Z288" s="121" t="n">
        <f aca="false">Z286+Z287</f>
        <v>14958.2805367036</v>
      </c>
      <c r="AA288" s="121" t="n">
        <f aca="false">AA286+AA287</f>
        <v>15621.667302249</v>
      </c>
      <c r="AB288" s="121" t="n">
        <f aca="false">AB286+AB287</f>
        <v>15830.1070916171</v>
      </c>
      <c r="AC288" s="121" t="n">
        <f aca="false">AC286+AC287</f>
        <v>18427.0822080046</v>
      </c>
      <c r="AD288" s="121" t="n">
        <f aca="false">AD286+AD287</f>
        <v>18690.9120435529</v>
      </c>
      <c r="AE288" s="121" t="n">
        <f aca="false">AE286+AE287</f>
        <v>18946.2993243637</v>
      </c>
      <c r="AF288" s="121" t="n">
        <f aca="false">AF286+AF287</f>
        <v>19193.5142121885</v>
      </c>
      <c r="AG288" s="121" t="n">
        <f aca="false">AG286+AG287</f>
        <v>19432.8182236029</v>
      </c>
      <c r="AH288" s="121" t="n">
        <f aca="false">AH286+AH287</f>
        <v>19664.4645066521</v>
      </c>
      <c r="AI288" s="121" t="n">
        <f aca="false">AI286+AI287</f>
        <v>19888.6981086436</v>
      </c>
      <c r="AJ288" s="121" t="n">
        <f aca="false">AJ286+AJ287</f>
        <v>20105.7562353715</v>
      </c>
      <c r="AK288" s="121" t="n">
        <f aca="false">AK286+AK287</f>
        <v>20315.868502044</v>
      </c>
      <c r="AL288" s="121" t="n">
        <f aca="false">AL286+AL287</f>
        <v>17854.0937154936</v>
      </c>
      <c r="AM288" s="121" t="n">
        <f aca="false">AM286+AM287</f>
        <v>18501.3209238811</v>
      </c>
      <c r="AN288" s="121" t="n">
        <f aca="false">AN286+AN287</f>
        <v>18668.4753059393</v>
      </c>
      <c r="AO288" s="121" t="n">
        <f aca="false">AO286+AO287</f>
        <v>21641.2712619318</v>
      </c>
      <c r="AP288" s="121" t="n">
        <f aca="false">AP286+AP287</f>
        <v>21863.0593957267</v>
      </c>
      <c r="AQ288" s="121" t="n">
        <f aca="false">AQ286+AQ287</f>
        <v>22077.7503092401</v>
      </c>
      <c r="AR288" s="121" t="n">
        <f aca="false">AR286+AR287</f>
        <v>22285.5711135212</v>
      </c>
      <c r="AS288" s="121" t="n">
        <f aca="false">AS286+AS287</f>
        <v>22486.7416520652</v>
      </c>
      <c r="AT288" s="121" t="n">
        <f aca="false">AT286+AT287</f>
        <v>22681.4747333758</v>
      </c>
      <c r="AU288" s="121" t="n">
        <f aca="false">AU286+AU287</f>
        <v>22869.9763560845</v>
      </c>
      <c r="AV288" s="121" t="n">
        <f aca="false">AV286+AV287</f>
        <v>23052.4459268665</v>
      </c>
      <c r="AW288" s="121" t="n">
        <f aca="false">AW286+AW287</f>
        <v>23229.0764713835</v>
      </c>
      <c r="AX288" s="121" t="n">
        <f aca="false">AX286+AX287</f>
        <v>20362.1245079875</v>
      </c>
      <c r="AY288" s="121" t="n">
        <f aca="false">AY286+AY287</f>
        <v>21010.9899194521</v>
      </c>
      <c r="AZ288" s="121" t="n">
        <f aca="false">AZ286+AZ287</f>
        <v>21152.5865647494</v>
      </c>
      <c r="BA288" s="121" t="n">
        <f aca="false">BA286+BA287</f>
        <v>24466.273103112</v>
      </c>
      <c r="BB288" s="121" t="n">
        <f aca="false">BB286+BB287</f>
        <v>24563</v>
      </c>
      <c r="BC288" s="121" t="n">
        <f aca="false">BC286+BC287</f>
        <v>24563</v>
      </c>
      <c r="BD288" s="121" t="n">
        <f aca="false">BD286+BD287</f>
        <v>24563</v>
      </c>
      <c r="BE288" s="121" t="n">
        <f aca="false">BE286+BE287</f>
        <v>24563</v>
      </c>
      <c r="BF288" s="121" t="n">
        <f aca="false">BF286+BF287</f>
        <v>24563</v>
      </c>
      <c r="BG288" s="121" t="n">
        <f aca="false">BG286+BG287</f>
        <v>24563</v>
      </c>
      <c r="BH288" s="121" t="n">
        <f aca="false">BH286+BH287</f>
        <v>24563</v>
      </c>
      <c r="BI288" s="121" t="n">
        <f aca="false">BI286+BI287</f>
        <v>24563</v>
      </c>
      <c r="BJ288" s="121" t="n">
        <f aca="false">BJ286+BJ287</f>
        <v>22648.9731793636</v>
      </c>
    </row>
    <row r="289" customFormat="false" ht="15" hidden="false" customHeight="false" outlineLevel="0" collapsed="false">
      <c r="A289" s="6" t="s">
        <v>242</v>
      </c>
      <c r="C289" s="118" t="n">
        <f aca="false">C271+C283-C288</f>
        <v>0</v>
      </c>
      <c r="D289" s="118" t="n">
        <f aca="false">D271+D283-D288</f>
        <v>0</v>
      </c>
      <c r="E289" s="118" t="n">
        <f aca="false">E271+E283-E288</f>
        <v>0</v>
      </c>
      <c r="F289" s="118" t="n">
        <f aca="false">F271+F283-F288</f>
        <v>0</v>
      </c>
      <c r="G289" s="118" t="n">
        <f aca="false">G271+G283-G288</f>
        <v>0</v>
      </c>
      <c r="H289" s="118" t="n">
        <f aca="false">H271+H283-H288</f>
        <v>0</v>
      </c>
      <c r="I289" s="118" t="n">
        <f aca="false">I271+I283-I288</f>
        <v>0</v>
      </c>
      <c r="J289" s="118" t="n">
        <f aca="false">J271+J283-J288</f>
        <v>0</v>
      </c>
      <c r="K289" s="118" t="n">
        <f aca="false">K271+K283-K288</f>
        <v>0</v>
      </c>
      <c r="L289" s="118" t="n">
        <f aca="false">L271+L283-L288</f>
        <v>0</v>
      </c>
      <c r="M289" s="118" t="n">
        <f aca="false">M271+M283-M288</f>
        <v>0</v>
      </c>
      <c r="N289" s="118" t="n">
        <f aca="false">N271+N283-N288</f>
        <v>0</v>
      </c>
      <c r="O289" s="118" t="n">
        <f aca="false">O271+O283-O288</f>
        <v>0</v>
      </c>
      <c r="P289" s="118" t="n">
        <f aca="false">P271+P283-P288</f>
        <v>0</v>
      </c>
      <c r="Q289" s="118" t="n">
        <f aca="false">Q271+Q283-Q288</f>
        <v>0</v>
      </c>
      <c r="R289" s="118" t="n">
        <f aca="false">R271+R283-R288</f>
        <v>0</v>
      </c>
      <c r="S289" s="118" t="n">
        <f aca="false">S271+S283-S288</f>
        <v>0</v>
      </c>
      <c r="T289" s="118" t="n">
        <f aca="false">T271+T283-T288</f>
        <v>0</v>
      </c>
      <c r="U289" s="118" t="n">
        <f aca="false">U271+U283-U288</f>
        <v>0</v>
      </c>
      <c r="V289" s="118" t="n">
        <f aca="false">V271+V283-V288</f>
        <v>0</v>
      </c>
      <c r="W289" s="118" t="n">
        <f aca="false">W271+W283-W288</f>
        <v>0</v>
      </c>
      <c r="X289" s="118" t="n">
        <f aca="false">X271+X283-X288</f>
        <v>0</v>
      </c>
      <c r="Y289" s="118" t="n">
        <f aca="false">Y271+Y283-Y288</f>
        <v>0</v>
      </c>
      <c r="Z289" s="118" t="n">
        <f aca="false">Z271+Z283-Z288</f>
        <v>0</v>
      </c>
      <c r="AA289" s="118" t="n">
        <f aca="false">AA271+AA283-AA288</f>
        <v>0</v>
      </c>
      <c r="AB289" s="118" t="n">
        <f aca="false">AB271+AB283-AB288</f>
        <v>0</v>
      </c>
      <c r="AC289" s="118" t="n">
        <f aca="false">AC271+AC283-AC288</f>
        <v>0</v>
      </c>
      <c r="AD289" s="118" t="n">
        <f aca="false">AD271+AD283-AD288</f>
        <v>0</v>
      </c>
      <c r="AE289" s="118" t="n">
        <f aca="false">AE271+AE283-AE288</f>
        <v>0</v>
      </c>
      <c r="AF289" s="118" t="n">
        <f aca="false">AF271+AF283-AF288</f>
        <v>0</v>
      </c>
      <c r="AG289" s="118" t="n">
        <f aca="false">AG271+AG283-AG288</f>
        <v>0</v>
      </c>
      <c r="AH289" s="118" t="n">
        <f aca="false">AH271+AH283-AH288</f>
        <v>0</v>
      </c>
      <c r="AI289" s="118" t="n">
        <f aca="false">AI271+AI283-AI288</f>
        <v>0</v>
      </c>
      <c r="AJ289" s="118" t="n">
        <f aca="false">AJ271+AJ283-AJ288</f>
        <v>0</v>
      </c>
      <c r="AK289" s="118" t="n">
        <f aca="false">AK271+AK283-AK288</f>
        <v>0</v>
      </c>
      <c r="AL289" s="118" t="n">
        <f aca="false">AL271+AL283-AL288</f>
        <v>0</v>
      </c>
      <c r="AM289" s="118" t="n">
        <f aca="false">AM271+AM283-AM288</f>
        <v>0</v>
      </c>
      <c r="AN289" s="118" t="n">
        <f aca="false">AN271+AN283-AN288</f>
        <v>0</v>
      </c>
      <c r="AO289" s="118" t="n">
        <f aca="false">AO271+AO283-AO288</f>
        <v>0</v>
      </c>
      <c r="AP289" s="118" t="n">
        <f aca="false">AP271+AP283-AP288</f>
        <v>0</v>
      </c>
      <c r="AQ289" s="118" t="n">
        <f aca="false">AQ271+AQ283-AQ288</f>
        <v>0</v>
      </c>
      <c r="AR289" s="118" t="n">
        <f aca="false">AR271+AR283-AR288</f>
        <v>0</v>
      </c>
      <c r="AS289" s="118" t="n">
        <f aca="false">AS271+AS283-AS288</f>
        <v>0</v>
      </c>
      <c r="AT289" s="118" t="n">
        <f aca="false">AT271+AT283-AT288</f>
        <v>0</v>
      </c>
      <c r="AU289" s="118" t="n">
        <f aca="false">AU271+AU283-AU288</f>
        <v>0</v>
      </c>
      <c r="AV289" s="118" t="n">
        <f aca="false">AV271+AV283-AV288</f>
        <v>0</v>
      </c>
      <c r="AW289" s="118" t="n">
        <f aca="false">AW271+AW283-AW288</f>
        <v>0</v>
      </c>
      <c r="AX289" s="118" t="n">
        <f aca="false">AX271+AX283-AX288</f>
        <v>0</v>
      </c>
      <c r="AY289" s="118" t="n">
        <f aca="false">AY271+AY283-AY288</f>
        <v>0</v>
      </c>
      <c r="AZ289" s="118" t="n">
        <f aca="false">AZ271+AZ283-AZ288</f>
        <v>0</v>
      </c>
      <c r="BA289" s="118" t="n">
        <f aca="false">BA271+BA283-BA288</f>
        <v>0</v>
      </c>
      <c r="BB289" s="118" t="n">
        <f aca="false">BB271+BB283-BB288</f>
        <v>100.082522839708</v>
      </c>
      <c r="BC289" s="118" t="n">
        <f aca="false">BC271+BC283-BC288</f>
        <v>290.594041136137</v>
      </c>
      <c r="BD289" s="118" t="n">
        <f aca="false">BD271+BD283-BD288</f>
        <v>475.009190847108</v>
      </c>
      <c r="BE289" s="118" t="n">
        <f aca="false">BE271+BE283-BE288</f>
        <v>653.523055767309</v>
      </c>
      <c r="BF289" s="118" t="n">
        <f aca="false">BF271+BF283-BF288</f>
        <v>826.324477010079</v>
      </c>
      <c r="BG289" s="118" t="n">
        <f aca="false">BG271+BG283-BG288</f>
        <v>993.596252773059</v>
      </c>
      <c r="BH289" s="118" t="n">
        <f aca="false">BH271+BH283-BH288</f>
        <v>1155.51533171165</v>
      </c>
      <c r="BI289" s="118" t="n">
        <f aca="false">BI271+BI283-BI288</f>
        <v>1312.25300012418</v>
      </c>
      <c r="BJ289" s="118" t="n">
        <f aca="false">BJ271+BJ283-BJ288</f>
        <v>0</v>
      </c>
    </row>
    <row r="291" customFormat="false" ht="15.75" hidden="false" customHeight="true" outlineLevel="0" collapsed="false">
      <c r="A291" s="7" t="s">
        <v>44</v>
      </c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</row>
    <row r="292" customFormat="false" ht="15" hidden="false" customHeight="false" outlineLevel="0" collapsed="false">
      <c r="A292" s="6" t="s">
        <v>435</v>
      </c>
      <c r="C292" s="122" t="n">
        <f aca="false">Inputs!$D$28*(1+Inputs!$D$31)^(C$265-1)</f>
        <v>14</v>
      </c>
      <c r="D292" s="122" t="n">
        <f aca="false">Inputs!$D$28*(1+Inputs!$D$31)^(D$265-1)</f>
        <v>14</v>
      </c>
      <c r="E292" s="122" t="n">
        <f aca="false">Inputs!$D$28*(1+Inputs!$D$31)^(E$265-1)</f>
        <v>14</v>
      </c>
      <c r="F292" s="122" t="n">
        <f aca="false">Inputs!$D$28*(1+Inputs!$D$31)^(F$265-1)</f>
        <v>14</v>
      </c>
      <c r="G292" s="122" t="n">
        <f aca="false">Inputs!$D$28*(1+Inputs!$D$31)^(G$265-1)</f>
        <v>14</v>
      </c>
      <c r="H292" s="122" t="n">
        <f aca="false">Inputs!$D$28*(1+Inputs!$D$31)^(H$265-1)</f>
        <v>14</v>
      </c>
      <c r="I292" s="122" t="n">
        <f aca="false">Inputs!$D$28*(1+Inputs!$D$31)^(I$265-1)</f>
        <v>14</v>
      </c>
      <c r="J292" s="122" t="n">
        <f aca="false">Inputs!$D$28*(1+Inputs!$D$31)^(J$265-1)</f>
        <v>14</v>
      </c>
      <c r="K292" s="122" t="n">
        <f aca="false">Inputs!$D$28*(1+Inputs!$D$31)^(K$265-1)</f>
        <v>14</v>
      </c>
      <c r="L292" s="122" t="n">
        <f aca="false">Inputs!$D$28*(1+Inputs!$D$31)^(L$265-1)</f>
        <v>14</v>
      </c>
      <c r="M292" s="122" t="n">
        <f aca="false">Inputs!$D$28*(1+Inputs!$D$31)^(M$265-1)</f>
        <v>14</v>
      </c>
      <c r="N292" s="122" t="n">
        <f aca="false">Inputs!$D$28*(1+Inputs!$D$31)^(N$265-1)</f>
        <v>14</v>
      </c>
      <c r="O292" s="122" t="n">
        <f aca="false">Inputs!$D$28*(1+Inputs!$D$31)^(O$265-1)</f>
        <v>14.42</v>
      </c>
      <c r="P292" s="122" t="n">
        <f aca="false">Inputs!$D$28*(1+Inputs!$D$31)^(P$265-1)</f>
        <v>14.42</v>
      </c>
      <c r="Q292" s="122" t="n">
        <f aca="false">Inputs!$D$28*(1+Inputs!$D$31)^(Q$265-1)</f>
        <v>14.42</v>
      </c>
      <c r="R292" s="122" t="n">
        <f aca="false">Inputs!$D$28*(1+Inputs!$D$31)^(R$265-1)</f>
        <v>14.42</v>
      </c>
      <c r="S292" s="122" t="n">
        <f aca="false">Inputs!$D$28*(1+Inputs!$D$31)^(S$265-1)</f>
        <v>14.42</v>
      </c>
      <c r="T292" s="122" t="n">
        <f aca="false">Inputs!$D$28*(1+Inputs!$D$31)^(T$265-1)</f>
        <v>14.42</v>
      </c>
      <c r="U292" s="122" t="n">
        <f aca="false">Inputs!$D$28*(1+Inputs!$D$31)^(U$265-1)</f>
        <v>14.42</v>
      </c>
      <c r="V292" s="122" t="n">
        <f aca="false">Inputs!$D$28*(1+Inputs!$D$31)^(V$265-1)</f>
        <v>14.42</v>
      </c>
      <c r="W292" s="122" t="n">
        <f aca="false">Inputs!$D$28*(1+Inputs!$D$31)^(W$265-1)</f>
        <v>14.42</v>
      </c>
      <c r="X292" s="122" t="n">
        <f aca="false">Inputs!$D$28*(1+Inputs!$D$31)^(X$265-1)</f>
        <v>14.42</v>
      </c>
      <c r="Y292" s="122" t="n">
        <f aca="false">Inputs!$D$28*(1+Inputs!$D$31)^(Y$265-1)</f>
        <v>14.42</v>
      </c>
      <c r="Z292" s="122" t="n">
        <f aca="false">Inputs!$D$28*(1+Inputs!$D$31)^(Z$265-1)</f>
        <v>14.42</v>
      </c>
      <c r="AA292" s="122" t="n">
        <f aca="false">Inputs!$D$28*(1+Inputs!$D$31)^(AA$265-1)</f>
        <v>14.8526</v>
      </c>
      <c r="AB292" s="122" t="n">
        <f aca="false">Inputs!$D$28*(1+Inputs!$D$31)^(AB$265-1)</f>
        <v>14.8526</v>
      </c>
      <c r="AC292" s="122" t="n">
        <f aca="false">Inputs!$D$28*(1+Inputs!$D$31)^(AC$265-1)</f>
        <v>14.8526</v>
      </c>
      <c r="AD292" s="122" t="n">
        <f aca="false">Inputs!$D$28*(1+Inputs!$D$31)^(AD$265-1)</f>
        <v>14.8526</v>
      </c>
      <c r="AE292" s="122" t="n">
        <f aca="false">Inputs!$D$28*(1+Inputs!$D$31)^(AE$265-1)</f>
        <v>14.8526</v>
      </c>
      <c r="AF292" s="122" t="n">
        <f aca="false">Inputs!$D$28*(1+Inputs!$D$31)^(AF$265-1)</f>
        <v>14.8526</v>
      </c>
      <c r="AG292" s="122" t="n">
        <f aca="false">Inputs!$D$28*(1+Inputs!$D$31)^(AG$265-1)</f>
        <v>14.8526</v>
      </c>
      <c r="AH292" s="122" t="n">
        <f aca="false">Inputs!$D$28*(1+Inputs!$D$31)^(AH$265-1)</f>
        <v>14.8526</v>
      </c>
      <c r="AI292" s="122" t="n">
        <f aca="false">Inputs!$D$28*(1+Inputs!$D$31)^(AI$265-1)</f>
        <v>14.8526</v>
      </c>
      <c r="AJ292" s="122" t="n">
        <f aca="false">Inputs!$D$28*(1+Inputs!$D$31)^(AJ$265-1)</f>
        <v>14.8526</v>
      </c>
      <c r="AK292" s="122" t="n">
        <f aca="false">Inputs!$D$28*(1+Inputs!$D$31)^(AK$265-1)</f>
        <v>14.8526</v>
      </c>
      <c r="AL292" s="122" t="n">
        <f aca="false">Inputs!$D$28*(1+Inputs!$D$31)^(AL$265-1)</f>
        <v>14.8526</v>
      </c>
      <c r="AM292" s="122" t="n">
        <f aca="false">Inputs!$D$28*(1+Inputs!$D$31)^(AM$265-1)</f>
        <v>15.298178</v>
      </c>
      <c r="AN292" s="122" t="n">
        <f aca="false">Inputs!$D$28*(1+Inputs!$D$31)^(AN$265-1)</f>
        <v>15.298178</v>
      </c>
      <c r="AO292" s="122" t="n">
        <f aca="false">Inputs!$D$28*(1+Inputs!$D$31)^(AO$265-1)</f>
        <v>15.298178</v>
      </c>
      <c r="AP292" s="122" t="n">
        <f aca="false">Inputs!$D$28*(1+Inputs!$D$31)^(AP$265-1)</f>
        <v>15.298178</v>
      </c>
      <c r="AQ292" s="122" t="n">
        <f aca="false">Inputs!$D$28*(1+Inputs!$D$31)^(AQ$265-1)</f>
        <v>15.298178</v>
      </c>
      <c r="AR292" s="122" t="n">
        <f aca="false">Inputs!$D$28*(1+Inputs!$D$31)^(AR$265-1)</f>
        <v>15.298178</v>
      </c>
      <c r="AS292" s="122" t="n">
        <f aca="false">Inputs!$D$28*(1+Inputs!$D$31)^(AS$265-1)</f>
        <v>15.298178</v>
      </c>
      <c r="AT292" s="122" t="n">
        <f aca="false">Inputs!$D$28*(1+Inputs!$D$31)^(AT$265-1)</f>
        <v>15.298178</v>
      </c>
      <c r="AU292" s="122" t="n">
        <f aca="false">Inputs!$D$28*(1+Inputs!$D$31)^(AU$265-1)</f>
        <v>15.298178</v>
      </c>
      <c r="AV292" s="122" t="n">
        <f aca="false">Inputs!$D$28*(1+Inputs!$D$31)^(AV$265-1)</f>
        <v>15.298178</v>
      </c>
      <c r="AW292" s="122" t="n">
        <f aca="false">Inputs!$D$28*(1+Inputs!$D$31)^(AW$265-1)</f>
        <v>15.298178</v>
      </c>
      <c r="AX292" s="122" t="n">
        <f aca="false">Inputs!$D$28*(1+Inputs!$D$31)^(AX$265-1)</f>
        <v>15.298178</v>
      </c>
      <c r="AY292" s="122" t="n">
        <f aca="false">Inputs!$D$28*(1+Inputs!$D$31)^(AY$265-1)</f>
        <v>15.75712334</v>
      </c>
      <c r="AZ292" s="122" t="n">
        <f aca="false">Inputs!$D$28*(1+Inputs!$D$31)^(AZ$265-1)</f>
        <v>15.75712334</v>
      </c>
      <c r="BA292" s="122" t="n">
        <f aca="false">Inputs!$D$28*(1+Inputs!$D$31)^(BA$265-1)</f>
        <v>15.75712334</v>
      </c>
      <c r="BB292" s="122" t="n">
        <f aca="false">Inputs!$D$28*(1+Inputs!$D$31)^(BB$265-1)</f>
        <v>15.75712334</v>
      </c>
      <c r="BC292" s="122" t="n">
        <f aca="false">Inputs!$D$28*(1+Inputs!$D$31)^(BC$265-1)</f>
        <v>15.75712334</v>
      </c>
      <c r="BD292" s="122" t="n">
        <f aca="false">Inputs!$D$28*(1+Inputs!$D$31)^(BD$265-1)</f>
        <v>15.75712334</v>
      </c>
      <c r="BE292" s="122" t="n">
        <f aca="false">Inputs!$D$28*(1+Inputs!$D$31)^(BE$265-1)</f>
        <v>15.75712334</v>
      </c>
      <c r="BF292" s="122" t="n">
        <f aca="false">Inputs!$D$28*(1+Inputs!$D$31)^(BF$265-1)</f>
        <v>15.75712334</v>
      </c>
      <c r="BG292" s="122" t="n">
        <f aca="false">Inputs!$D$28*(1+Inputs!$D$31)^(BG$265-1)</f>
        <v>15.75712334</v>
      </c>
      <c r="BH292" s="122" t="n">
        <f aca="false">Inputs!$D$28*(1+Inputs!$D$31)^(BH$265-1)</f>
        <v>15.75712334</v>
      </c>
      <c r="BI292" s="122" t="n">
        <f aca="false">Inputs!$D$28*(1+Inputs!$D$31)^(BI$265-1)</f>
        <v>15.75712334</v>
      </c>
      <c r="BJ292" s="122" t="n">
        <f aca="false">Inputs!$D$28*(1+Inputs!$D$31)^(BJ$265-1)</f>
        <v>15.75712334</v>
      </c>
    </row>
    <row r="293" customFormat="false" ht="15" hidden="false" customHeight="false" outlineLevel="0" collapsed="false">
      <c r="A293" s="6" t="s">
        <v>436</v>
      </c>
      <c r="C293" s="122" t="n">
        <f aca="false">Inputs!$D$30*(1+Inputs!$D$31)^(C$265-1)</f>
        <v>38</v>
      </c>
      <c r="D293" s="122" t="n">
        <f aca="false">Inputs!$D$30*(1+Inputs!$D$31)^(D$265-1)</f>
        <v>38</v>
      </c>
      <c r="E293" s="122" t="n">
        <f aca="false">Inputs!$D$30*(1+Inputs!$D$31)^(E$265-1)</f>
        <v>38</v>
      </c>
      <c r="F293" s="122" t="n">
        <f aca="false">Inputs!$D$30*(1+Inputs!$D$31)^(F$265-1)</f>
        <v>38</v>
      </c>
      <c r="G293" s="122" t="n">
        <f aca="false">Inputs!$D$30*(1+Inputs!$D$31)^(G$265-1)</f>
        <v>38</v>
      </c>
      <c r="H293" s="122" t="n">
        <f aca="false">Inputs!$D$30*(1+Inputs!$D$31)^(H$265-1)</f>
        <v>38</v>
      </c>
      <c r="I293" s="122" t="n">
        <f aca="false">Inputs!$D$30*(1+Inputs!$D$31)^(I$265-1)</f>
        <v>38</v>
      </c>
      <c r="J293" s="122" t="n">
        <f aca="false">Inputs!$D$30*(1+Inputs!$D$31)^(J$265-1)</f>
        <v>38</v>
      </c>
      <c r="K293" s="122" t="n">
        <f aca="false">Inputs!$D$30*(1+Inputs!$D$31)^(K$265-1)</f>
        <v>38</v>
      </c>
      <c r="L293" s="122" t="n">
        <f aca="false">Inputs!$D$30*(1+Inputs!$D$31)^(L$265-1)</f>
        <v>38</v>
      </c>
      <c r="M293" s="122" t="n">
        <f aca="false">Inputs!$D$30*(1+Inputs!$D$31)^(M$265-1)</f>
        <v>38</v>
      </c>
      <c r="N293" s="122" t="n">
        <f aca="false">Inputs!$D$30*(1+Inputs!$D$31)^(N$265-1)</f>
        <v>38</v>
      </c>
      <c r="O293" s="122" t="n">
        <f aca="false">Inputs!$D$30*(1+Inputs!$D$31)^(O$265-1)</f>
        <v>39.14</v>
      </c>
      <c r="P293" s="122" t="n">
        <f aca="false">Inputs!$D$30*(1+Inputs!$D$31)^(P$265-1)</f>
        <v>39.14</v>
      </c>
      <c r="Q293" s="122" t="n">
        <f aca="false">Inputs!$D$30*(1+Inputs!$D$31)^(Q$265-1)</f>
        <v>39.14</v>
      </c>
      <c r="R293" s="122" t="n">
        <f aca="false">Inputs!$D$30*(1+Inputs!$D$31)^(R$265-1)</f>
        <v>39.14</v>
      </c>
      <c r="S293" s="122" t="n">
        <f aca="false">Inputs!$D$30*(1+Inputs!$D$31)^(S$265-1)</f>
        <v>39.14</v>
      </c>
      <c r="T293" s="122" t="n">
        <f aca="false">Inputs!$D$30*(1+Inputs!$D$31)^(T$265-1)</f>
        <v>39.14</v>
      </c>
      <c r="U293" s="122" t="n">
        <f aca="false">Inputs!$D$30*(1+Inputs!$D$31)^(U$265-1)</f>
        <v>39.14</v>
      </c>
      <c r="V293" s="122" t="n">
        <f aca="false">Inputs!$D$30*(1+Inputs!$D$31)^(V$265-1)</f>
        <v>39.14</v>
      </c>
      <c r="W293" s="122" t="n">
        <f aca="false">Inputs!$D$30*(1+Inputs!$D$31)^(W$265-1)</f>
        <v>39.14</v>
      </c>
      <c r="X293" s="122" t="n">
        <f aca="false">Inputs!$D$30*(1+Inputs!$D$31)^(X$265-1)</f>
        <v>39.14</v>
      </c>
      <c r="Y293" s="122" t="n">
        <f aca="false">Inputs!$D$30*(1+Inputs!$D$31)^(Y$265-1)</f>
        <v>39.14</v>
      </c>
      <c r="Z293" s="122" t="n">
        <f aca="false">Inputs!$D$30*(1+Inputs!$D$31)^(Z$265-1)</f>
        <v>39.14</v>
      </c>
      <c r="AA293" s="122" t="n">
        <f aca="false">Inputs!$D$30*(1+Inputs!$D$31)^(AA$265-1)</f>
        <v>40.3142</v>
      </c>
      <c r="AB293" s="122" t="n">
        <f aca="false">Inputs!$D$30*(1+Inputs!$D$31)^(AB$265-1)</f>
        <v>40.3142</v>
      </c>
      <c r="AC293" s="122" t="n">
        <f aca="false">Inputs!$D$30*(1+Inputs!$D$31)^(AC$265-1)</f>
        <v>40.3142</v>
      </c>
      <c r="AD293" s="122" t="n">
        <f aca="false">Inputs!$D$30*(1+Inputs!$D$31)^(AD$265-1)</f>
        <v>40.3142</v>
      </c>
      <c r="AE293" s="122" t="n">
        <f aca="false">Inputs!$D$30*(1+Inputs!$D$31)^(AE$265-1)</f>
        <v>40.3142</v>
      </c>
      <c r="AF293" s="122" t="n">
        <f aca="false">Inputs!$D$30*(1+Inputs!$D$31)^(AF$265-1)</f>
        <v>40.3142</v>
      </c>
      <c r="AG293" s="122" t="n">
        <f aca="false">Inputs!$D$30*(1+Inputs!$D$31)^(AG$265-1)</f>
        <v>40.3142</v>
      </c>
      <c r="AH293" s="122" t="n">
        <f aca="false">Inputs!$D$30*(1+Inputs!$D$31)^(AH$265-1)</f>
        <v>40.3142</v>
      </c>
      <c r="AI293" s="122" t="n">
        <f aca="false">Inputs!$D$30*(1+Inputs!$D$31)^(AI$265-1)</f>
        <v>40.3142</v>
      </c>
      <c r="AJ293" s="122" t="n">
        <f aca="false">Inputs!$D$30*(1+Inputs!$D$31)^(AJ$265-1)</f>
        <v>40.3142</v>
      </c>
      <c r="AK293" s="122" t="n">
        <f aca="false">Inputs!$D$30*(1+Inputs!$D$31)^(AK$265-1)</f>
        <v>40.3142</v>
      </c>
      <c r="AL293" s="122" t="n">
        <f aca="false">Inputs!$D$30*(1+Inputs!$D$31)^(AL$265-1)</f>
        <v>40.3142</v>
      </c>
      <c r="AM293" s="122" t="n">
        <f aca="false">Inputs!$D$30*(1+Inputs!$D$31)^(AM$265-1)</f>
        <v>41.523626</v>
      </c>
      <c r="AN293" s="122" t="n">
        <f aca="false">Inputs!$D$30*(1+Inputs!$D$31)^(AN$265-1)</f>
        <v>41.523626</v>
      </c>
      <c r="AO293" s="122" t="n">
        <f aca="false">Inputs!$D$30*(1+Inputs!$D$31)^(AO$265-1)</f>
        <v>41.523626</v>
      </c>
      <c r="AP293" s="122" t="n">
        <f aca="false">Inputs!$D$30*(1+Inputs!$D$31)^(AP$265-1)</f>
        <v>41.523626</v>
      </c>
      <c r="AQ293" s="122" t="n">
        <f aca="false">Inputs!$D$30*(1+Inputs!$D$31)^(AQ$265-1)</f>
        <v>41.523626</v>
      </c>
      <c r="AR293" s="122" t="n">
        <f aca="false">Inputs!$D$30*(1+Inputs!$D$31)^(AR$265-1)</f>
        <v>41.523626</v>
      </c>
      <c r="AS293" s="122" t="n">
        <f aca="false">Inputs!$D$30*(1+Inputs!$D$31)^(AS$265-1)</f>
        <v>41.523626</v>
      </c>
      <c r="AT293" s="122" t="n">
        <f aca="false">Inputs!$D$30*(1+Inputs!$D$31)^(AT$265-1)</f>
        <v>41.523626</v>
      </c>
      <c r="AU293" s="122" t="n">
        <f aca="false">Inputs!$D$30*(1+Inputs!$D$31)^(AU$265-1)</f>
        <v>41.523626</v>
      </c>
      <c r="AV293" s="122" t="n">
        <f aca="false">Inputs!$D$30*(1+Inputs!$D$31)^(AV$265-1)</f>
        <v>41.523626</v>
      </c>
      <c r="AW293" s="122" t="n">
        <f aca="false">Inputs!$D$30*(1+Inputs!$D$31)^(AW$265-1)</f>
        <v>41.523626</v>
      </c>
      <c r="AX293" s="122" t="n">
        <f aca="false">Inputs!$D$30*(1+Inputs!$D$31)^(AX$265-1)</f>
        <v>41.523626</v>
      </c>
      <c r="AY293" s="122" t="n">
        <f aca="false">Inputs!$D$30*(1+Inputs!$D$31)^(AY$265-1)</f>
        <v>42.76933478</v>
      </c>
      <c r="AZ293" s="122" t="n">
        <f aca="false">Inputs!$D$30*(1+Inputs!$D$31)^(AZ$265-1)</f>
        <v>42.76933478</v>
      </c>
      <c r="BA293" s="122" t="n">
        <f aca="false">Inputs!$D$30*(1+Inputs!$D$31)^(BA$265-1)</f>
        <v>42.76933478</v>
      </c>
      <c r="BB293" s="122" t="n">
        <f aca="false">Inputs!$D$30*(1+Inputs!$D$31)^(BB$265-1)</f>
        <v>42.76933478</v>
      </c>
      <c r="BC293" s="122" t="n">
        <f aca="false">Inputs!$D$30*(1+Inputs!$D$31)^(BC$265-1)</f>
        <v>42.76933478</v>
      </c>
      <c r="BD293" s="122" t="n">
        <f aca="false">Inputs!$D$30*(1+Inputs!$D$31)^(BD$265-1)</f>
        <v>42.76933478</v>
      </c>
      <c r="BE293" s="122" t="n">
        <f aca="false">Inputs!$D$30*(1+Inputs!$D$31)^(BE$265-1)</f>
        <v>42.76933478</v>
      </c>
      <c r="BF293" s="122" t="n">
        <f aca="false">Inputs!$D$30*(1+Inputs!$D$31)^(BF$265-1)</f>
        <v>42.76933478</v>
      </c>
      <c r="BG293" s="122" t="n">
        <f aca="false">Inputs!$D$30*(1+Inputs!$D$31)^(BG$265-1)</f>
        <v>42.76933478</v>
      </c>
      <c r="BH293" s="122" t="n">
        <f aca="false">Inputs!$D$30*(1+Inputs!$D$31)^(BH$265-1)</f>
        <v>42.76933478</v>
      </c>
      <c r="BI293" s="122" t="n">
        <f aca="false">Inputs!$D$30*(1+Inputs!$D$31)^(BI$265-1)</f>
        <v>42.76933478</v>
      </c>
      <c r="BJ293" s="122" t="n">
        <f aca="false">Inputs!$D$30*(1+Inputs!$D$31)^(BJ$265-1)</f>
        <v>42.76933478</v>
      </c>
    </row>
    <row r="294" customFormat="false" ht="15" hidden="false" customHeight="false" outlineLevel="0" collapsed="false">
      <c r="A294" s="6" t="s">
        <v>437</v>
      </c>
      <c r="C294" s="69" t="n">
        <f aca="false">C286*C292</f>
        <v>56271.6</v>
      </c>
      <c r="D294" s="69" t="n">
        <f aca="false">D286*D292</f>
        <v>62848.8</v>
      </c>
      <c r="E294" s="69" t="n">
        <f aca="false">E286*E292</f>
        <v>79711.3333333333</v>
      </c>
      <c r="F294" s="69" t="n">
        <f aca="false">F286*F292</f>
        <v>87262.9333333334</v>
      </c>
      <c r="G294" s="69" t="n">
        <f aca="false">G286*G292</f>
        <v>94814.5333333333</v>
      </c>
      <c r="H294" s="69" t="n">
        <f aca="false">H286*H292</f>
        <v>102366.133333333</v>
      </c>
      <c r="I294" s="69" t="n">
        <f aca="false">I286*I292</f>
        <v>109917.733333333</v>
      </c>
      <c r="J294" s="69" t="n">
        <f aca="false">J286*J292</f>
        <v>117469.333333333</v>
      </c>
      <c r="K294" s="69" t="n">
        <f aca="false">K286*K292</f>
        <v>117469.333333333</v>
      </c>
      <c r="L294" s="69" t="n">
        <f aca="false">L286*L292</f>
        <v>117469.333333333</v>
      </c>
      <c r="M294" s="69" t="n">
        <f aca="false">M286*M292</f>
        <v>117469.333333333</v>
      </c>
      <c r="N294" s="69" t="n">
        <f aca="false">N286*N292</f>
        <v>102312</v>
      </c>
      <c r="O294" s="69" t="n">
        <f aca="false">O286*O292</f>
        <v>111704.2416</v>
      </c>
      <c r="P294" s="69" t="n">
        <f aca="false">P286*P292</f>
        <v>111704.2416</v>
      </c>
      <c r="Q294" s="69" t="n">
        <f aca="false">Q286*Q292</f>
        <v>128253.018133333</v>
      </c>
      <c r="R294" s="69" t="n">
        <f aca="false">R286*R292</f>
        <v>128253.018133333</v>
      </c>
      <c r="S294" s="69" t="n">
        <f aca="false">S286*S292</f>
        <v>128253.018133333</v>
      </c>
      <c r="T294" s="69" t="n">
        <f aca="false">T286*T292</f>
        <v>128253.018133333</v>
      </c>
      <c r="U294" s="69" t="n">
        <f aca="false">U286*U292</f>
        <v>128253.018133333</v>
      </c>
      <c r="V294" s="69" t="n">
        <f aca="false">V286*V292</f>
        <v>128253.018133333</v>
      </c>
      <c r="W294" s="69" t="n">
        <f aca="false">W286*W292</f>
        <v>128253.018133333</v>
      </c>
      <c r="X294" s="69" t="n">
        <f aca="false">X286*X292</f>
        <v>128253.018133333</v>
      </c>
      <c r="Y294" s="69" t="n">
        <f aca="false">Y286*Y292</f>
        <v>128253.018133333</v>
      </c>
      <c r="Z294" s="69" t="n">
        <f aca="false">Z286*Z292</f>
        <v>111704.2416</v>
      </c>
      <c r="AA294" s="69" t="n">
        <f aca="false">AA286*AA292</f>
        <v>121958.69097888</v>
      </c>
      <c r="AB294" s="69" t="n">
        <f aca="false">AB286*AB292</f>
        <v>121958.69097888</v>
      </c>
      <c r="AC294" s="69" t="n">
        <f aca="false">AC286*AC292</f>
        <v>140026.645197973</v>
      </c>
      <c r="AD294" s="69" t="n">
        <f aca="false">AD286*AD292</f>
        <v>140026.645197973</v>
      </c>
      <c r="AE294" s="69" t="n">
        <f aca="false">AE286*AE292</f>
        <v>140026.645197973</v>
      </c>
      <c r="AF294" s="69" t="n">
        <f aca="false">AF286*AF292</f>
        <v>140026.645197973</v>
      </c>
      <c r="AG294" s="69" t="n">
        <f aca="false">AG286*AG292</f>
        <v>140026.645197973</v>
      </c>
      <c r="AH294" s="69" t="n">
        <f aca="false">AH286*AH292</f>
        <v>140026.645197973</v>
      </c>
      <c r="AI294" s="69" t="n">
        <f aca="false">AI286*AI292</f>
        <v>140026.645197973</v>
      </c>
      <c r="AJ294" s="69" t="n">
        <f aca="false">AJ286*AJ292</f>
        <v>140026.645197973</v>
      </c>
      <c r="AK294" s="69" t="n">
        <f aca="false">AK286*AK292</f>
        <v>140026.645197973</v>
      </c>
      <c r="AL294" s="69" t="n">
        <f aca="false">AL286*AL292</f>
        <v>121958.69097888</v>
      </c>
      <c r="AM294" s="69" t="n">
        <f aca="false">AM286*AM292</f>
        <v>133154.498810741</v>
      </c>
      <c r="AN294" s="69" t="n">
        <f aca="false">AN286*AN292</f>
        <v>133154.498810741</v>
      </c>
      <c r="AO294" s="69" t="n">
        <f aca="false">AO286*AO292</f>
        <v>152881.091227147</v>
      </c>
      <c r="AP294" s="69" t="n">
        <f aca="false">AP286*AP292</f>
        <v>152881.091227147</v>
      </c>
      <c r="AQ294" s="69" t="n">
        <f aca="false">AQ286*AQ292</f>
        <v>152881.091227147</v>
      </c>
      <c r="AR294" s="69" t="n">
        <f aca="false">AR286*AR292</f>
        <v>152881.091227147</v>
      </c>
      <c r="AS294" s="69" t="n">
        <f aca="false">AS286*AS292</f>
        <v>152881.091227147</v>
      </c>
      <c r="AT294" s="69" t="n">
        <f aca="false">AT286*AT292</f>
        <v>152881.091227147</v>
      </c>
      <c r="AU294" s="69" t="n">
        <f aca="false">AU286*AU292</f>
        <v>152881.091227147</v>
      </c>
      <c r="AV294" s="69" t="n">
        <f aca="false">AV286*AV292</f>
        <v>152881.091227147</v>
      </c>
      <c r="AW294" s="69" t="n">
        <f aca="false">AW286*AW292</f>
        <v>152881.091227147</v>
      </c>
      <c r="AX294" s="69" t="n">
        <f aca="false">AX286*AX292</f>
        <v>133154.498810741</v>
      </c>
      <c r="AY294" s="69" t="n">
        <f aca="false">AY286*AY292</f>
        <v>145378.081801567</v>
      </c>
      <c r="AZ294" s="69" t="n">
        <f aca="false">AZ286*AZ292</f>
        <v>145378.081801567</v>
      </c>
      <c r="BA294" s="69" t="n">
        <f aca="false">BA286*BA292</f>
        <v>166915.5754018</v>
      </c>
      <c r="BB294" s="69" t="n">
        <f aca="false">BB286*BB292</f>
        <v>166238.233797319</v>
      </c>
      <c r="BC294" s="69" t="n">
        <f aca="false">BC286*BC292</f>
        <v>164963.959409992</v>
      </c>
      <c r="BD294" s="69" t="n">
        <f aca="false">BD286*BD292</f>
        <v>163748.932566619</v>
      </c>
      <c r="BE294" s="69" t="n">
        <f aca="false">BE286*BE292</f>
        <v>162589.714272948</v>
      </c>
      <c r="BF294" s="69" t="n">
        <f aca="false">BF286*BF292</f>
        <v>161483.117926469</v>
      </c>
      <c r="BG294" s="69" t="n">
        <f aca="false">BG286*BG292</f>
        <v>160426.186572069</v>
      </c>
      <c r="BH294" s="69" t="n">
        <f aca="false">BH286*BH292</f>
        <v>159416.172578946</v>
      </c>
      <c r="BI294" s="69" t="n">
        <f aca="false">BI286*BI292</f>
        <v>158450.51944322</v>
      </c>
      <c r="BJ294" s="69" t="n">
        <f aca="false">BJ286*BJ292</f>
        <v>145378.081801567</v>
      </c>
    </row>
    <row r="295" customFormat="false" ht="15" hidden="false" customHeight="false" outlineLevel="0" collapsed="false">
      <c r="A295" s="6" t="s">
        <v>438</v>
      </c>
      <c r="C295" s="69" t="n">
        <f aca="false">C286*Inputs!$D$29*(1+Inputs!$D$31)^(C$265-1)</f>
        <v>7234.92</v>
      </c>
      <c r="D295" s="69" t="n">
        <f aca="false">D286*Inputs!$D$29*(1+Inputs!$D$31)^(D$265-1)</f>
        <v>8080.56</v>
      </c>
      <c r="E295" s="69" t="n">
        <f aca="false">E286*Inputs!$D$29*(1+Inputs!$D$31)^(E$265-1)</f>
        <v>10248.6</v>
      </c>
      <c r="F295" s="69" t="n">
        <f aca="false">F286*Inputs!$D$29*(1+Inputs!$D$31)^(F$265-1)</f>
        <v>11219.52</v>
      </c>
      <c r="G295" s="69" t="n">
        <f aca="false">G286*Inputs!$D$29*(1+Inputs!$D$31)^(G$265-1)</f>
        <v>12190.44</v>
      </c>
      <c r="H295" s="69" t="n">
        <f aca="false">H286*Inputs!$D$29*(1+Inputs!$D$31)^(H$265-1)</f>
        <v>13161.36</v>
      </c>
      <c r="I295" s="69" t="n">
        <f aca="false">I286*Inputs!$D$29*(1+Inputs!$D$31)^(I$265-1)</f>
        <v>14132.28</v>
      </c>
      <c r="J295" s="69" t="n">
        <f aca="false">J286*Inputs!$D$29*(1+Inputs!$D$31)^(J$265-1)</f>
        <v>15103.2</v>
      </c>
      <c r="K295" s="69" t="n">
        <f aca="false">K286*Inputs!$D$29*(1+Inputs!$D$31)^(K$265-1)</f>
        <v>15103.2</v>
      </c>
      <c r="L295" s="69" t="n">
        <f aca="false">L286*Inputs!$D$29*(1+Inputs!$D$31)^(L$265-1)</f>
        <v>15103.2</v>
      </c>
      <c r="M295" s="69" t="n">
        <f aca="false">M286*Inputs!$D$29*(1+Inputs!$D$31)^(M$265-1)</f>
        <v>15103.2</v>
      </c>
      <c r="N295" s="69" t="n">
        <f aca="false">N286*Inputs!$D$29*(1+Inputs!$D$31)^(N$265-1)</f>
        <v>13154.4</v>
      </c>
      <c r="O295" s="69" t="n">
        <f aca="false">O286*Inputs!$D$29*(1+Inputs!$D$31)^(O$265-1)</f>
        <v>14361.97392</v>
      </c>
      <c r="P295" s="69" t="n">
        <f aca="false">P286*Inputs!$D$29*(1+Inputs!$D$31)^(P$265-1)</f>
        <v>14361.97392</v>
      </c>
      <c r="Q295" s="69" t="n">
        <f aca="false">Q286*Inputs!$D$29*(1+Inputs!$D$31)^(Q$265-1)</f>
        <v>16489.67376</v>
      </c>
      <c r="R295" s="69" t="n">
        <f aca="false">R286*Inputs!$D$29*(1+Inputs!$D$31)^(R$265-1)</f>
        <v>16489.67376</v>
      </c>
      <c r="S295" s="69" t="n">
        <f aca="false">S286*Inputs!$D$29*(1+Inputs!$D$31)^(S$265-1)</f>
        <v>16489.67376</v>
      </c>
      <c r="T295" s="69" t="n">
        <f aca="false">T286*Inputs!$D$29*(1+Inputs!$D$31)^(T$265-1)</f>
        <v>16489.67376</v>
      </c>
      <c r="U295" s="69" t="n">
        <f aca="false">U286*Inputs!$D$29*(1+Inputs!$D$31)^(U$265-1)</f>
        <v>16489.67376</v>
      </c>
      <c r="V295" s="69" t="n">
        <f aca="false">V286*Inputs!$D$29*(1+Inputs!$D$31)^(V$265-1)</f>
        <v>16489.67376</v>
      </c>
      <c r="W295" s="69" t="n">
        <f aca="false">W286*Inputs!$D$29*(1+Inputs!$D$31)^(W$265-1)</f>
        <v>16489.67376</v>
      </c>
      <c r="X295" s="69" t="n">
        <f aca="false">X286*Inputs!$D$29*(1+Inputs!$D$31)^(X$265-1)</f>
        <v>16489.67376</v>
      </c>
      <c r="Y295" s="69" t="n">
        <f aca="false">Y286*Inputs!$D$29*(1+Inputs!$D$31)^(Y$265-1)</f>
        <v>16489.67376</v>
      </c>
      <c r="Z295" s="69" t="n">
        <f aca="false">Z286*Inputs!$D$29*(1+Inputs!$D$31)^(Z$265-1)</f>
        <v>14361.97392</v>
      </c>
      <c r="AA295" s="69" t="n">
        <f aca="false">AA286*Inputs!$D$29*(1+Inputs!$D$31)^(AA$265-1)</f>
        <v>15680.403125856</v>
      </c>
      <c r="AB295" s="69" t="n">
        <f aca="false">AB286*Inputs!$D$29*(1+Inputs!$D$31)^(AB$265-1)</f>
        <v>15680.403125856</v>
      </c>
      <c r="AC295" s="69" t="n">
        <f aca="false">AC286*Inputs!$D$29*(1+Inputs!$D$31)^(AC$265-1)</f>
        <v>18003.425811168</v>
      </c>
      <c r="AD295" s="69" t="n">
        <f aca="false">AD286*Inputs!$D$29*(1+Inputs!$D$31)^(AD$265-1)</f>
        <v>18003.425811168</v>
      </c>
      <c r="AE295" s="69" t="n">
        <f aca="false">AE286*Inputs!$D$29*(1+Inputs!$D$31)^(AE$265-1)</f>
        <v>18003.425811168</v>
      </c>
      <c r="AF295" s="69" t="n">
        <f aca="false">AF286*Inputs!$D$29*(1+Inputs!$D$31)^(AF$265-1)</f>
        <v>18003.425811168</v>
      </c>
      <c r="AG295" s="69" t="n">
        <f aca="false">AG286*Inputs!$D$29*(1+Inputs!$D$31)^(AG$265-1)</f>
        <v>18003.425811168</v>
      </c>
      <c r="AH295" s="69" t="n">
        <f aca="false">AH286*Inputs!$D$29*(1+Inputs!$D$31)^(AH$265-1)</f>
        <v>18003.425811168</v>
      </c>
      <c r="AI295" s="69" t="n">
        <f aca="false">AI286*Inputs!$D$29*(1+Inputs!$D$31)^(AI$265-1)</f>
        <v>18003.425811168</v>
      </c>
      <c r="AJ295" s="69" t="n">
        <f aca="false">AJ286*Inputs!$D$29*(1+Inputs!$D$31)^(AJ$265-1)</f>
        <v>18003.425811168</v>
      </c>
      <c r="AK295" s="69" t="n">
        <f aca="false">AK286*Inputs!$D$29*(1+Inputs!$D$31)^(AK$265-1)</f>
        <v>18003.425811168</v>
      </c>
      <c r="AL295" s="69" t="n">
        <f aca="false">AL286*Inputs!$D$29*(1+Inputs!$D$31)^(AL$265-1)</f>
        <v>15680.403125856</v>
      </c>
      <c r="AM295" s="69" t="n">
        <f aca="false">AM286*Inputs!$D$29*(1+Inputs!$D$31)^(AM$265-1)</f>
        <v>17119.8641328096</v>
      </c>
      <c r="AN295" s="69" t="n">
        <f aca="false">AN286*Inputs!$D$29*(1+Inputs!$D$31)^(AN$265-1)</f>
        <v>17119.8641328096</v>
      </c>
      <c r="AO295" s="69" t="n">
        <f aca="false">AO286*Inputs!$D$29*(1+Inputs!$D$31)^(AO$265-1)</f>
        <v>19656.1403006332</v>
      </c>
      <c r="AP295" s="69" t="n">
        <f aca="false">AP286*Inputs!$D$29*(1+Inputs!$D$31)^(AP$265-1)</f>
        <v>19656.1403006332</v>
      </c>
      <c r="AQ295" s="69" t="n">
        <f aca="false">AQ286*Inputs!$D$29*(1+Inputs!$D$31)^(AQ$265-1)</f>
        <v>19656.1403006332</v>
      </c>
      <c r="AR295" s="69" t="n">
        <f aca="false">AR286*Inputs!$D$29*(1+Inputs!$D$31)^(AR$265-1)</f>
        <v>19656.1403006332</v>
      </c>
      <c r="AS295" s="69" t="n">
        <f aca="false">AS286*Inputs!$D$29*(1+Inputs!$D$31)^(AS$265-1)</f>
        <v>19656.1403006332</v>
      </c>
      <c r="AT295" s="69" t="n">
        <f aca="false">AT286*Inputs!$D$29*(1+Inputs!$D$31)^(AT$265-1)</f>
        <v>19656.1403006332</v>
      </c>
      <c r="AU295" s="69" t="n">
        <f aca="false">AU286*Inputs!$D$29*(1+Inputs!$D$31)^(AU$265-1)</f>
        <v>19656.1403006332</v>
      </c>
      <c r="AV295" s="69" t="n">
        <f aca="false">AV286*Inputs!$D$29*(1+Inputs!$D$31)^(AV$265-1)</f>
        <v>19656.1403006332</v>
      </c>
      <c r="AW295" s="69" t="n">
        <f aca="false">AW286*Inputs!$D$29*(1+Inputs!$D$31)^(AW$265-1)</f>
        <v>19656.1403006332</v>
      </c>
      <c r="AX295" s="69" t="n">
        <f aca="false">AX286*Inputs!$D$29*(1+Inputs!$D$31)^(AX$265-1)</f>
        <v>17119.8641328096</v>
      </c>
      <c r="AY295" s="69" t="n">
        <f aca="false">AY286*Inputs!$D$29*(1+Inputs!$D$31)^(AY$265-1)</f>
        <v>18691.4676602015</v>
      </c>
      <c r="AZ295" s="69" t="n">
        <f aca="false">AZ286*Inputs!$D$29*(1+Inputs!$D$31)^(AZ$265-1)</f>
        <v>18691.4676602015</v>
      </c>
      <c r="BA295" s="69" t="n">
        <f aca="false">BA286*Inputs!$D$29*(1+Inputs!$D$31)^(BA$265-1)</f>
        <v>21460.5739802314</v>
      </c>
      <c r="BB295" s="69" t="n">
        <f aca="false">BB286*Inputs!$D$29*(1+Inputs!$D$31)^(BB$265-1)</f>
        <v>21373.4872025125</v>
      </c>
      <c r="BC295" s="69" t="n">
        <f aca="false">BC286*Inputs!$D$29*(1+Inputs!$D$31)^(BC$265-1)</f>
        <v>21209.6519241418</v>
      </c>
      <c r="BD295" s="69" t="n">
        <f aca="false">BD286*Inputs!$D$29*(1+Inputs!$D$31)^(BD$265-1)</f>
        <v>21053.4341871367</v>
      </c>
      <c r="BE295" s="69" t="n">
        <f aca="false">BE286*Inputs!$D$29*(1+Inputs!$D$31)^(BE$265-1)</f>
        <v>20904.3918350933</v>
      </c>
      <c r="BF295" s="69" t="n">
        <f aca="false">BF286*Inputs!$D$29*(1+Inputs!$D$31)^(BF$265-1)</f>
        <v>20762.1151619746</v>
      </c>
      <c r="BG295" s="69" t="n">
        <f aca="false">BG286*Inputs!$D$29*(1+Inputs!$D$31)^(BG$265-1)</f>
        <v>20626.2239878374</v>
      </c>
      <c r="BH295" s="69" t="n">
        <f aca="false">BH286*Inputs!$D$29*(1+Inputs!$D$31)^(BH$265-1)</f>
        <v>20496.3650458644</v>
      </c>
      <c r="BI295" s="69" t="n">
        <f aca="false">BI286*Inputs!$D$29*(1+Inputs!$D$31)^(BI$265-1)</f>
        <v>20372.2096426997</v>
      </c>
      <c r="BJ295" s="69" t="n">
        <f aca="false">BJ286*Inputs!$D$29*(1+Inputs!$D$31)^(BJ$265-1)</f>
        <v>18691.4676602015</v>
      </c>
    </row>
    <row r="296" customFormat="false" ht="15" hidden="false" customHeight="false" outlineLevel="0" collapsed="false">
      <c r="A296" s="6" t="s">
        <v>243</v>
      </c>
      <c r="C296" s="69" t="n">
        <f aca="false">C280*C293*1</f>
        <v>14477.886</v>
      </c>
      <c r="D296" s="69" t="n">
        <f aca="false">D280*D293*1</f>
        <v>16958.5133622857</v>
      </c>
      <c r="E296" s="69" t="n">
        <f aca="false">E280*E293*1</f>
        <v>19824.4427442164</v>
      </c>
      <c r="F296" s="69" t="n">
        <f aca="false">F280*F293*1</f>
        <v>23076.5684811634</v>
      </c>
      <c r="G296" s="69" t="n">
        <f aca="false">G280*G293*1</f>
        <v>26576.1696230995</v>
      </c>
      <c r="H296" s="69" t="n">
        <f aca="false">H280*H293*1</f>
        <v>30315.326957065</v>
      </c>
      <c r="I296" s="69" t="n">
        <f aca="false">I280*I293*1</f>
        <v>34286.3746849152</v>
      </c>
      <c r="J296" s="69" t="n">
        <f aca="false">J280*J293*1</f>
        <v>38481.8923140455</v>
      </c>
      <c r="K296" s="69" t="n">
        <f aca="false">K280*K293*1</f>
        <v>42718.9250933294</v>
      </c>
      <c r="L296" s="69" t="n">
        <f aca="false">L280*L293*1</f>
        <v>46820.3728236762</v>
      </c>
      <c r="M296" s="69" t="n">
        <f aca="false">M280*M293*1</f>
        <v>50790.5742266519</v>
      </c>
      <c r="N296" s="69" t="n">
        <f aca="false">N280*N293*1</f>
        <v>54428.0225180657</v>
      </c>
      <c r="O296" s="69" t="n">
        <f aca="false">O280*O293*1</f>
        <v>59678.8973074122</v>
      </c>
      <c r="P296" s="69" t="n">
        <f aca="false">P280*P293*1</f>
        <v>63384.384865575</v>
      </c>
      <c r="Q296" s="69" t="n">
        <f aca="false">Q280*Q293*1</f>
        <v>67195.8873605433</v>
      </c>
      <c r="R296" s="69" t="n">
        <f aca="false">R280*R293*1</f>
        <v>71110.0123143392</v>
      </c>
      <c r="S296" s="69" t="n">
        <f aca="false">S280*S293*1</f>
        <v>74898.8852696137</v>
      </c>
      <c r="T296" s="69" t="n">
        <f aca="false">T280*T293*1</f>
        <v>78566.5142903194</v>
      </c>
      <c r="U296" s="69" t="n">
        <f aca="false">U280*U293*1</f>
        <v>82116.7791823625</v>
      </c>
      <c r="V296" s="69" t="n">
        <f aca="false">V280*V293*1</f>
        <v>85553.4355978602</v>
      </c>
      <c r="W296" s="69" t="n">
        <f aca="false">W280*W293*1</f>
        <v>88880.119008062</v>
      </c>
      <c r="X296" s="69" t="n">
        <f aca="false">X280*X293*1</f>
        <v>92100.3485491374</v>
      </c>
      <c r="Y296" s="69" t="n">
        <f aca="false">Y280*Y293*1</f>
        <v>95217.5307448983</v>
      </c>
      <c r="Z296" s="69" t="n">
        <f aca="false">Z280*Z293*1</f>
        <v>98010.3725717282</v>
      </c>
      <c r="AA296" s="69" t="n">
        <f aca="false">AA280*AA293*1</f>
        <v>103730.655312281</v>
      </c>
      <c r="AB296" s="69" t="n">
        <f aca="false">AB280*AB293*1</f>
        <v>106648.392588857</v>
      </c>
      <c r="AC296" s="69" t="n">
        <f aca="false">AC280*AC293*1</f>
        <v>109717.9702227</v>
      </c>
      <c r="AD296" s="69" t="n">
        <f aca="false">AD280*AD293*1</f>
        <v>112934.529322376</v>
      </c>
      <c r="AE296" s="69" t="n">
        <f aca="false">AE280*AE293*1</f>
        <v>116048.158530862</v>
      </c>
      <c r="AF296" s="69" t="n">
        <f aca="false">AF280*AF293*1</f>
        <v>119062.151604676</v>
      </c>
      <c r="AG296" s="69" t="n">
        <f aca="false">AG280*AG293*1</f>
        <v>121979.696900129</v>
      </c>
      <c r="AH296" s="69" t="n">
        <f aca="false">AH280*AH293*1</f>
        <v>124803.880746127</v>
      </c>
      <c r="AI296" s="69" t="n">
        <f aca="false">AI280*AI293*1</f>
        <v>127537.690709053</v>
      </c>
      <c r="AJ296" s="69" t="n">
        <f aca="false">AJ280*AJ293*1</f>
        <v>130184.018753165</v>
      </c>
      <c r="AK296" s="69" t="n">
        <f aca="false">AK280*AK293*1</f>
        <v>132745.664299866</v>
      </c>
      <c r="AL296" s="69" t="n">
        <f aca="false">AL280*AL293*1</f>
        <v>134980.129238956</v>
      </c>
      <c r="AM296" s="69" t="n">
        <f aca="false">AM280*AM293*1</f>
        <v>141257.839109147</v>
      </c>
      <c r="AN296" s="69" t="n">
        <f aca="false">AN280*AN293*1</f>
        <v>143667.858569163</v>
      </c>
      <c r="AO296" s="69" t="n">
        <f aca="false">AO280*AO293*1</f>
        <v>146268.475446395</v>
      </c>
      <c r="AP296" s="69" t="n">
        <f aca="false">AP280*AP293*1</f>
        <v>149053.590623493</v>
      </c>
      <c r="AQ296" s="69" t="n">
        <f aca="false">AQ280*AQ293*1</f>
        <v>151749.582114924</v>
      </c>
      <c r="AR296" s="69" t="n">
        <f aca="false">AR280*AR293*1</f>
        <v>154359.301878629</v>
      </c>
      <c r="AS296" s="69" t="n">
        <f aca="false">AS280*AS293*1</f>
        <v>156885.510609895</v>
      </c>
      <c r="AT296" s="69" t="n">
        <f aca="false">AT280*AT293*1</f>
        <v>159330.880661761</v>
      </c>
      <c r="AU296" s="69" t="n">
        <f aca="false">AU280*AU293*1</f>
        <v>161697.998871967</v>
      </c>
      <c r="AV296" s="69" t="n">
        <f aca="false">AV280*AV293*1</f>
        <v>163989.369299447</v>
      </c>
      <c r="AW296" s="69" t="n">
        <f aca="false">AW280*AW293*1</f>
        <v>166207.415873247</v>
      </c>
      <c r="AX296" s="69" t="n">
        <f aca="false">AX280*AX293*1</f>
        <v>168086.766916749</v>
      </c>
      <c r="AY296" s="69" t="n">
        <f aca="false">AY280*AY293*1</f>
        <v>175009.865041666</v>
      </c>
      <c r="AZ296" s="69" t="n">
        <f aca="false">AZ280*AZ293*1</f>
        <v>177112.640849459</v>
      </c>
      <c r="BA296" s="69" t="n">
        <f aca="false">BA280*BA293*1</f>
        <v>179440.422387406</v>
      </c>
      <c r="BB296" s="69" t="n">
        <f aca="false">BB280*BB293*1</f>
        <v>181986.009472141</v>
      </c>
      <c r="BC296" s="69" t="n">
        <f aca="false">BC280*BC293*1</f>
        <v>184450.137770166</v>
      </c>
      <c r="BD296" s="69" t="n">
        <f aca="false">BD280*BD293*1</f>
        <v>186835.413962653</v>
      </c>
      <c r="BE296" s="69" t="n">
        <f aca="false">BE280*BE293*1</f>
        <v>189144.361316981</v>
      </c>
      <c r="BF296" s="69" t="n">
        <f aca="false">BF280*BF293*1</f>
        <v>191379.42235597</v>
      </c>
      <c r="BG296" s="69" t="n">
        <f aca="false">BG280*BG293*1</f>
        <v>193542.961441712</v>
      </c>
      <c r="BH296" s="69" t="n">
        <f aca="false">BH280*BH293*1</f>
        <v>195637.26727671</v>
      </c>
      <c r="BI296" s="69" t="n">
        <f aca="false">BI280*BI293*1</f>
        <v>197664.555324988</v>
      </c>
      <c r="BJ296" s="69" t="n">
        <f aca="false">BJ280*BJ293*1</f>
        <v>199334.675599718</v>
      </c>
    </row>
    <row r="297" customFormat="false" ht="15" hidden="false" customHeight="false" outlineLevel="0" collapsed="false">
      <c r="A297" s="113" t="s">
        <v>44</v>
      </c>
      <c r="C297" s="70" t="n">
        <f aca="false">C294+C295+C296</f>
        <v>77984.406</v>
      </c>
      <c r="D297" s="70" t="n">
        <f aca="false">D294+D295+D296</f>
        <v>87887.8733622857</v>
      </c>
      <c r="E297" s="70" t="n">
        <f aca="false">E294+E295+E296</f>
        <v>109784.37607755</v>
      </c>
      <c r="F297" s="70" t="n">
        <f aca="false">F294+F295+F296</f>
        <v>121559.021814497</v>
      </c>
      <c r="G297" s="70" t="n">
        <f aca="false">G294+G295+G296</f>
        <v>133581.142956433</v>
      </c>
      <c r="H297" s="70" t="n">
        <f aca="false">H294+H295+H296</f>
        <v>145842.820290398</v>
      </c>
      <c r="I297" s="70" t="n">
        <f aca="false">I294+I295+I296</f>
        <v>158336.388018249</v>
      </c>
      <c r="J297" s="70" t="n">
        <f aca="false">J294+J295+J296</f>
        <v>171054.425647379</v>
      </c>
      <c r="K297" s="70" t="n">
        <f aca="false">K294+K295+K296</f>
        <v>175291.458426663</v>
      </c>
      <c r="L297" s="70" t="n">
        <f aca="false">L294+L295+L296</f>
        <v>179392.90615701</v>
      </c>
      <c r="M297" s="70" t="n">
        <f aca="false">M294+M295+M296</f>
        <v>183363.107559985</v>
      </c>
      <c r="N297" s="70" t="n">
        <f aca="false">N294+N295+N296</f>
        <v>169894.422518066</v>
      </c>
      <c r="O297" s="70" t="n">
        <f aca="false">O294+O295+O296</f>
        <v>185745.112827412</v>
      </c>
      <c r="P297" s="70" t="n">
        <f aca="false">P294+P295+P296</f>
        <v>189450.600385575</v>
      </c>
      <c r="Q297" s="70" t="n">
        <f aca="false">Q294+Q295+Q296</f>
        <v>211938.579253877</v>
      </c>
      <c r="R297" s="70" t="n">
        <f aca="false">R294+R295+R296</f>
        <v>215852.704207673</v>
      </c>
      <c r="S297" s="70" t="n">
        <f aca="false">S294+S295+S296</f>
        <v>219641.577162947</v>
      </c>
      <c r="T297" s="70" t="n">
        <f aca="false">T294+T295+T296</f>
        <v>223309.206183653</v>
      </c>
      <c r="U297" s="70" t="n">
        <f aca="false">U294+U295+U296</f>
        <v>226859.471075696</v>
      </c>
      <c r="V297" s="70" t="n">
        <f aca="false">V294+V295+V296</f>
        <v>230296.127491194</v>
      </c>
      <c r="W297" s="70" t="n">
        <f aca="false">W294+W295+W296</f>
        <v>233622.810901395</v>
      </c>
      <c r="X297" s="70" t="n">
        <f aca="false">X294+X295+X296</f>
        <v>236843.040442471</v>
      </c>
      <c r="Y297" s="70" t="n">
        <f aca="false">Y294+Y295+Y296</f>
        <v>239960.222638232</v>
      </c>
      <c r="Z297" s="70" t="n">
        <f aca="false">Z294+Z295+Z296</f>
        <v>224076.588091728</v>
      </c>
      <c r="AA297" s="70" t="n">
        <f aca="false">AA294+AA295+AA296</f>
        <v>241369.749417017</v>
      </c>
      <c r="AB297" s="70" t="n">
        <f aca="false">AB294+AB295+AB296</f>
        <v>244287.486693593</v>
      </c>
      <c r="AC297" s="70" t="n">
        <f aca="false">AC294+AC295+AC296</f>
        <v>267748.041231841</v>
      </c>
      <c r="AD297" s="70" t="n">
        <f aca="false">AD294+AD295+AD296</f>
        <v>270964.600331517</v>
      </c>
      <c r="AE297" s="70" t="n">
        <f aca="false">AE294+AE295+AE296</f>
        <v>274078.229540003</v>
      </c>
      <c r="AF297" s="70" t="n">
        <f aca="false">AF294+AF295+AF296</f>
        <v>277092.222613818</v>
      </c>
      <c r="AG297" s="70" t="n">
        <f aca="false">AG294+AG295+AG296</f>
        <v>280009.76790927</v>
      </c>
      <c r="AH297" s="70" t="n">
        <f aca="false">AH294+AH295+AH296</f>
        <v>282833.951755268</v>
      </c>
      <c r="AI297" s="70" t="n">
        <f aca="false">AI294+AI295+AI296</f>
        <v>285567.761718194</v>
      </c>
      <c r="AJ297" s="70" t="n">
        <f aca="false">AJ294+AJ295+AJ296</f>
        <v>288214.089762307</v>
      </c>
      <c r="AK297" s="70" t="n">
        <f aca="false">AK294+AK295+AK296</f>
        <v>290775.735309007</v>
      </c>
      <c r="AL297" s="70" t="n">
        <f aca="false">AL294+AL295+AL296</f>
        <v>272619.223343692</v>
      </c>
      <c r="AM297" s="70" t="n">
        <f aca="false">AM294+AM295+AM296</f>
        <v>291532.202052697</v>
      </c>
      <c r="AN297" s="70" t="n">
        <f aca="false">AN294+AN295+AN296</f>
        <v>293942.221512713</v>
      </c>
      <c r="AO297" s="70" t="n">
        <f aca="false">AO294+AO295+AO296</f>
        <v>318805.706974176</v>
      </c>
      <c r="AP297" s="70" t="n">
        <f aca="false">AP294+AP295+AP296</f>
        <v>321590.822151274</v>
      </c>
      <c r="AQ297" s="70" t="n">
        <f aca="false">AQ294+AQ295+AQ296</f>
        <v>324286.813642704</v>
      </c>
      <c r="AR297" s="70" t="n">
        <f aca="false">AR294+AR295+AR296</f>
        <v>326896.533406409</v>
      </c>
      <c r="AS297" s="70" t="n">
        <f aca="false">AS294+AS295+AS296</f>
        <v>329422.742137676</v>
      </c>
      <c r="AT297" s="70" t="n">
        <f aca="false">AT294+AT295+AT296</f>
        <v>331868.112189542</v>
      </c>
      <c r="AU297" s="70" t="n">
        <f aca="false">AU294+AU295+AU296</f>
        <v>334235.230399748</v>
      </c>
      <c r="AV297" s="70" t="n">
        <f aca="false">AV294+AV295+AV296</f>
        <v>336526.600827228</v>
      </c>
      <c r="AW297" s="70" t="n">
        <f aca="false">AW294+AW295+AW296</f>
        <v>338744.647401028</v>
      </c>
      <c r="AX297" s="70" t="n">
        <f aca="false">AX294+AX295+AX296</f>
        <v>318361.1298603</v>
      </c>
      <c r="AY297" s="70" t="n">
        <f aca="false">AY294+AY295+AY296</f>
        <v>339079.414503434</v>
      </c>
      <c r="AZ297" s="70" t="n">
        <f aca="false">AZ294+AZ295+AZ296</f>
        <v>341182.190311228</v>
      </c>
      <c r="BA297" s="70" t="n">
        <f aca="false">BA294+BA295+BA296</f>
        <v>367816.571769437</v>
      </c>
      <c r="BB297" s="70" t="n">
        <f aca="false">BB294+BB295+BB296</f>
        <v>369597.730471973</v>
      </c>
      <c r="BC297" s="70" t="n">
        <f aca="false">BC294+BC295+BC296</f>
        <v>370623.749104299</v>
      </c>
      <c r="BD297" s="70" t="n">
        <f aca="false">BD294+BD295+BD296</f>
        <v>371637.780716408</v>
      </c>
      <c r="BE297" s="70" t="n">
        <f aca="false">BE294+BE295+BE296</f>
        <v>372638.467425022</v>
      </c>
      <c r="BF297" s="70" t="n">
        <f aca="false">BF294+BF295+BF296</f>
        <v>373624.655444414</v>
      </c>
      <c r="BG297" s="70" t="n">
        <f aca="false">BG294+BG295+BG296</f>
        <v>374595.372001618</v>
      </c>
      <c r="BH297" s="70" t="n">
        <f aca="false">BH294+BH295+BH296</f>
        <v>375549.80490152</v>
      </c>
      <c r="BI297" s="70" t="n">
        <f aca="false">BI294+BI295+BI296</f>
        <v>376487.284410907</v>
      </c>
      <c r="BJ297" s="70" t="n">
        <f aca="false">BJ294+BJ295+BJ296</f>
        <v>363404.225061487</v>
      </c>
    </row>
    <row r="299" customFormat="false" ht="15.75" hidden="false" customHeight="true" outlineLevel="0" collapsed="false">
      <c r="A299" s="7" t="s">
        <v>76</v>
      </c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customFormat="false" ht="15" hidden="false" customHeight="false" outlineLevel="0" collapsed="false">
      <c r="A300" s="6" t="s">
        <v>439</v>
      </c>
      <c r="C300" s="69" t="n">
        <f aca="false">-C288*Inputs!$D$34*(1+Inputs!$D$39)^(C$265-1)</f>
        <v>-3837.50352</v>
      </c>
      <c r="D300" s="69" t="n">
        <f aca="false">-D288*Inputs!$D$34*(1+Inputs!$D$39)^(D$265-1)</f>
        <v>-4330.85760164571</v>
      </c>
      <c r="E300" s="69" t="n">
        <f aca="false">-E288*Inputs!$D$34*(1+Inputs!$D$39)^(E$265-1)</f>
        <v>-5564.05573699096</v>
      </c>
      <c r="F300" s="69" t="n">
        <f aca="false">-F288*Inputs!$D$34*(1+Inputs!$D$39)^(F$265-1)</f>
        <v>-6180.84973245487</v>
      </c>
      <c r="G300" s="69" t="n">
        <f aca="false">-G288*Inputs!$D$34*(1+Inputs!$D$39)^(G$265-1)</f>
        <v>-6813.79475434965</v>
      </c>
      <c r="H300" s="69" t="n">
        <f aca="false">-H288*Inputs!$D$34*(1+Inputs!$D$39)^(H$265-1)</f>
        <v>-7462.37396982951</v>
      </c>
      <c r="I300" s="69" t="n">
        <f aca="false">-I288*Inputs!$D$34*(1+Inputs!$D$39)^(I$265-1)</f>
        <v>-8126.08708469973</v>
      </c>
      <c r="J300" s="69" t="n">
        <f aca="false">-J288*Inputs!$D$34*(1+Inputs!$D$39)^(J$265-1)</f>
        <v>-8804.44981417981</v>
      </c>
      <c r="K300" s="69" t="n">
        <f aca="false">-K288*Inputs!$D$34*(1+Inputs!$D$39)^(K$265-1)</f>
        <v>-9080.97195345939</v>
      </c>
      <c r="L300" s="69" t="n">
        <f aca="false">-L288*Inputs!$D$34*(1+Inputs!$D$39)^(L$265-1)</f>
        <v>-9348.64538428202</v>
      </c>
      <c r="M300" s="69" t="n">
        <f aca="false">-M288*Inputs!$D$34*(1+Inputs!$D$39)^(M$265-1)</f>
        <v>-9607.75326531833</v>
      </c>
      <c r="N300" s="69" t="n">
        <f aca="false">-N288*Inputs!$D$34*(1+Inputs!$D$39)^(N$265-1)</f>
        <v>-8574.80338523742</v>
      </c>
      <c r="O300" s="69" t="n">
        <f aca="false">-O288*Inputs!$D$34*(1+Inputs!$D$39)^(O$265-1)</f>
        <v>-9330.91331243257</v>
      </c>
      <c r="P300" s="69" t="n">
        <f aca="false">-P288*Inputs!$D$34*(1+Inputs!$D$39)^(P$265-1)</f>
        <v>-9540.51856163472</v>
      </c>
      <c r="Q300" s="69" t="n">
        <f aca="false">-Q288*Inputs!$D$34*(1+Inputs!$D$39)^(Q$265-1)</f>
        <v>-11201.471880442</v>
      </c>
      <c r="R300" s="69" t="n">
        <f aca="false">-R288*Inputs!$D$34*(1+Inputs!$D$39)^(R$265-1)</f>
        <v>-11455.6799957346</v>
      </c>
      <c r="S300" s="69" t="n">
        <f aca="false">-S288*Inputs!$D$34*(1+Inputs!$D$39)^(S$265-1)</f>
        <v>-11701.7534513377</v>
      </c>
      <c r="T300" s="69" t="n">
        <f aca="false">-T288*Inputs!$D$34*(1+Inputs!$D$39)^(T$265-1)</f>
        <v>-11939.9525563616</v>
      </c>
      <c r="U300" s="69" t="n">
        <f aca="false">-U288*Inputs!$D$34*(1+Inputs!$D$39)^(U$265-1)</f>
        <v>-12170.5292900247</v>
      </c>
      <c r="V300" s="69" t="n">
        <f aca="false">-V288*Inputs!$D$34*(1+Inputs!$D$39)^(V$265-1)</f>
        <v>-12393.7275682105</v>
      </c>
      <c r="W300" s="69" t="n">
        <f aca="false">-W288*Inputs!$D$34*(1+Inputs!$D$39)^(W$265-1)</f>
        <v>-12609.7835014945</v>
      </c>
      <c r="X300" s="69" t="n">
        <f aca="false">-X288*Inputs!$D$34*(1+Inputs!$D$39)^(X$265-1)</f>
        <v>-12818.9256449133</v>
      </c>
      <c r="Y300" s="69" t="n">
        <f aca="false">-Y288*Inputs!$D$34*(1+Inputs!$D$39)^(Y$265-1)</f>
        <v>-13021.3752397428</v>
      </c>
      <c r="Z300" s="69" t="n">
        <f aca="false">-Z288*Inputs!$D$34*(1+Inputs!$D$39)^(Z$265-1)</f>
        <v>-11499.1781625909</v>
      </c>
      <c r="AA300" s="69" t="n">
        <f aca="false">-AA288*Inputs!$D$34*(1+Inputs!$D$39)^(AA$265-1)</f>
        <v>-12309.3856570691</v>
      </c>
      <c r="AB300" s="69" t="n">
        <f aca="false">-AB288*Inputs!$D$34*(1+Inputs!$D$39)^(AB$265-1)</f>
        <v>-12473.6296973476</v>
      </c>
      <c r="AC300" s="69" t="n">
        <f aca="false">-AC288*Inputs!$D$34*(1+Inputs!$D$39)^(AC$265-1)</f>
        <v>-14519.9649335887</v>
      </c>
      <c r="AD300" s="69" t="n">
        <f aca="false">-AD288*Inputs!$D$34*(1+Inputs!$D$39)^(AD$265-1)</f>
        <v>-14727.8545993184</v>
      </c>
      <c r="AE300" s="69" t="n">
        <f aca="false">-AE288*Inputs!$D$34*(1+Inputs!$D$39)^(AE$265-1)</f>
        <v>-14929.0917957447</v>
      </c>
      <c r="AF300" s="69" t="n">
        <f aca="false">-AF288*Inputs!$D$34*(1+Inputs!$D$39)^(AF$265-1)</f>
        <v>-15123.8894018854</v>
      </c>
      <c r="AG300" s="69" t="n">
        <f aca="false">-AG288*Inputs!$D$34*(1+Inputs!$D$39)^(AG$265-1)</f>
        <v>-15312.4534846296</v>
      </c>
      <c r="AH300" s="69" t="n">
        <f aca="false">-AH288*Inputs!$D$34*(1+Inputs!$D$39)^(AH$265-1)</f>
        <v>-15494.983516726</v>
      </c>
      <c r="AI300" s="69" t="n">
        <f aca="false">-AI288*Inputs!$D$34*(1+Inputs!$D$39)^(AI$265-1)</f>
        <v>-15671.6725877953</v>
      </c>
      <c r="AJ300" s="69" t="n">
        <f aca="false">-AJ288*Inputs!$D$34*(1+Inputs!$D$39)^(AJ$265-1)</f>
        <v>-15842.7076085904</v>
      </c>
      <c r="AK300" s="69" t="n">
        <f aca="false">-AK288*Inputs!$D$34*(1+Inputs!$D$39)^(AK$265-1)</f>
        <v>-16008.26950872</v>
      </c>
      <c r="AL300" s="69" t="n">
        <f aca="false">-AL288*Inputs!$D$34*(1+Inputs!$D$39)^(AL$265-1)</f>
        <v>-14068.4679073804</v>
      </c>
      <c r="AM300" s="69" t="n">
        <f aca="false">-AM288*Inputs!$D$34*(1+Inputs!$D$39)^(AM$265-1)</f>
        <v>-14942.9242897829</v>
      </c>
      <c r="AN300" s="69" t="n">
        <f aca="false">-AN288*Inputs!$D$34*(1+Inputs!$D$39)^(AN$265-1)</f>
        <v>-15077.9295300075</v>
      </c>
      <c r="AO300" s="69" t="n">
        <f aca="false">-AO288*Inputs!$D$34*(1+Inputs!$D$39)^(AO$265-1)</f>
        <v>-17478.9616012922</v>
      </c>
      <c r="AP300" s="69" t="n">
        <f aca="false">-AP288*Inputs!$D$34*(1+Inputs!$D$39)^(AP$265-1)</f>
        <v>-17658.0927728072</v>
      </c>
      <c r="AQ300" s="69" t="n">
        <f aca="false">-AQ288*Inputs!$D$34*(1+Inputs!$D$39)^(AQ$265-1)</f>
        <v>-17831.4917468337</v>
      </c>
      <c r="AR300" s="69" t="n">
        <f aca="false">-AR288*Inputs!$D$34*(1+Inputs!$D$39)^(AR$265-1)</f>
        <v>-17999.3419536913</v>
      </c>
      <c r="AS300" s="69" t="n">
        <f aca="false">-AS288*Inputs!$D$34*(1+Inputs!$D$39)^(AS$265-1)</f>
        <v>-18161.8209539295</v>
      </c>
      <c r="AT300" s="69" t="n">
        <f aca="false">-AT288*Inputs!$D$34*(1+Inputs!$D$39)^(AT$265-1)</f>
        <v>-18319.1006261601</v>
      </c>
      <c r="AU300" s="69" t="n">
        <f aca="false">-AU288*Inputs!$D$34*(1+Inputs!$D$39)^(AU$265-1)</f>
        <v>-18471.3473488793</v>
      </c>
      <c r="AV300" s="69" t="n">
        <f aca="false">-AV288*Inputs!$D$34*(1+Inputs!$D$39)^(AV$265-1)</f>
        <v>-18618.7221764715</v>
      </c>
      <c r="AW300" s="69" t="n">
        <f aca="false">-AW288*Inputs!$D$34*(1+Inputs!$D$39)^(AW$265-1)</f>
        <v>-18761.3810095807</v>
      </c>
      <c r="AX300" s="69" t="n">
        <f aca="false">-AX288*Inputs!$D$34*(1+Inputs!$D$39)^(AX$265-1)</f>
        <v>-16445.8357408008</v>
      </c>
      <c r="AY300" s="69" t="n">
        <f aca="false">-AY288*Inputs!$D$34*(1+Inputs!$D$39)^(AY$265-1)</f>
        <v>-17394.1511384123</v>
      </c>
      <c r="AZ300" s="69" t="n">
        <f aca="false">-AZ288*Inputs!$D$34*(1+Inputs!$D$39)^(AZ$265-1)</f>
        <v>-17511.3732901736</v>
      </c>
      <c r="BA300" s="69" t="n">
        <f aca="false">-BA288*Inputs!$D$34*(1+Inputs!$D$39)^(BA$265-1)</f>
        <v>-20254.640727575</v>
      </c>
      <c r="BB300" s="69" t="n">
        <f aca="false">-BB288*Inputs!$D$34*(1+Inputs!$D$39)^(BB$265-1)</f>
        <v>-20334.7170243164</v>
      </c>
      <c r="BC300" s="69" t="n">
        <f aca="false">-BC288*Inputs!$D$34*(1+Inputs!$D$39)^(BC$265-1)</f>
        <v>-20334.7170243164</v>
      </c>
      <c r="BD300" s="69" t="n">
        <f aca="false">-BD288*Inputs!$D$34*(1+Inputs!$D$39)^(BD$265-1)</f>
        <v>-20334.7170243164</v>
      </c>
      <c r="BE300" s="69" t="n">
        <f aca="false">-BE288*Inputs!$D$34*(1+Inputs!$D$39)^(BE$265-1)</f>
        <v>-20334.7170243164</v>
      </c>
      <c r="BF300" s="69" t="n">
        <f aca="false">-BF288*Inputs!$D$34*(1+Inputs!$D$39)^(BF$265-1)</f>
        <v>-20334.7170243164</v>
      </c>
      <c r="BG300" s="69" t="n">
        <f aca="false">-BG288*Inputs!$D$34*(1+Inputs!$D$39)^(BG$265-1)</f>
        <v>-20334.7170243164</v>
      </c>
      <c r="BH300" s="69" t="n">
        <f aca="false">-BH288*Inputs!$D$34*(1+Inputs!$D$39)^(BH$265-1)</f>
        <v>-20334.7170243164</v>
      </c>
      <c r="BI300" s="69" t="n">
        <f aca="false">-BI288*Inputs!$D$34*(1+Inputs!$D$39)^(BI$265-1)</f>
        <v>-20334.7170243164</v>
      </c>
      <c r="BJ300" s="69" t="n">
        <f aca="false">-BJ288*Inputs!$D$34*(1+Inputs!$D$39)^(BJ$265-1)</f>
        <v>-18750.171416101</v>
      </c>
    </row>
    <row r="301" customFormat="false" ht="15" hidden="false" customHeight="false" outlineLevel="0" collapsed="false">
      <c r="A301" s="6" t="s">
        <v>440</v>
      </c>
      <c r="C301" s="69" t="n">
        <f aca="false">-C288*Inputs!$D$35/1000*Inputs!$D$36*(1+Inputs!$D$39)^(C$265-1)</f>
        <v>-1473.60135168</v>
      </c>
      <c r="D301" s="69" t="n">
        <f aca="false">-D288*Inputs!$D$35/1000*Inputs!$D$36*(1+Inputs!$D$39)^(D$265-1)</f>
        <v>-1663.04931903195</v>
      </c>
      <c r="E301" s="69" t="n">
        <f aca="false">-E288*Inputs!$D$35/1000*Inputs!$D$36*(1+Inputs!$D$39)^(E$265-1)</f>
        <v>-2136.59740300453</v>
      </c>
      <c r="F301" s="69" t="n">
        <f aca="false">-F288*Inputs!$D$35/1000*Inputs!$D$36*(1+Inputs!$D$39)^(F$265-1)</f>
        <v>-2373.44629726267</v>
      </c>
      <c r="G301" s="69" t="n">
        <f aca="false">-G288*Inputs!$D$35/1000*Inputs!$D$36*(1+Inputs!$D$39)^(G$265-1)</f>
        <v>-2616.49718567027</v>
      </c>
      <c r="H301" s="69" t="n">
        <f aca="false">-H288*Inputs!$D$35/1000*Inputs!$D$36*(1+Inputs!$D$39)^(H$265-1)</f>
        <v>-2865.55160441453</v>
      </c>
      <c r="I301" s="69" t="n">
        <f aca="false">-I288*Inputs!$D$35/1000*Inputs!$D$36*(1+Inputs!$D$39)^(I$265-1)</f>
        <v>-3120.41744052469</v>
      </c>
      <c r="J301" s="69" t="n">
        <f aca="false">-J288*Inputs!$D$35/1000*Inputs!$D$36*(1+Inputs!$D$39)^(J$265-1)</f>
        <v>-3380.90872864505</v>
      </c>
      <c r="K301" s="69" t="n">
        <f aca="false">-K288*Inputs!$D$35/1000*Inputs!$D$36*(1+Inputs!$D$39)^(K$265-1)</f>
        <v>-3487.09323012841</v>
      </c>
      <c r="L301" s="69" t="n">
        <f aca="false">-L288*Inputs!$D$35/1000*Inputs!$D$36*(1+Inputs!$D$39)^(L$265-1)</f>
        <v>-3589.8798275643</v>
      </c>
      <c r="M301" s="69" t="n">
        <f aca="false">-M288*Inputs!$D$35/1000*Inputs!$D$36*(1+Inputs!$D$39)^(M$265-1)</f>
        <v>-3689.37725388224</v>
      </c>
      <c r="N301" s="69" t="n">
        <f aca="false">-N288*Inputs!$D$35/1000*Inputs!$D$36*(1+Inputs!$D$39)^(N$265-1)</f>
        <v>-3292.72449993117</v>
      </c>
      <c r="O301" s="69" t="n">
        <f aca="false">-O288*Inputs!$D$35/1000*Inputs!$D$36*(1+Inputs!$D$39)^(O$265-1)</f>
        <v>-3583.07071197411</v>
      </c>
      <c r="P301" s="69" t="n">
        <f aca="false">-P288*Inputs!$D$35/1000*Inputs!$D$36*(1+Inputs!$D$39)^(P$265-1)</f>
        <v>-3663.55912766773</v>
      </c>
      <c r="Q301" s="69" t="n">
        <f aca="false">-Q288*Inputs!$D$35/1000*Inputs!$D$36*(1+Inputs!$D$39)^(Q$265-1)</f>
        <v>-4301.36520208974</v>
      </c>
      <c r="R301" s="69" t="n">
        <f aca="false">-R288*Inputs!$D$35/1000*Inputs!$D$36*(1+Inputs!$D$39)^(R$265-1)</f>
        <v>-4398.98111836207</v>
      </c>
      <c r="S301" s="69" t="n">
        <f aca="false">-S288*Inputs!$D$35/1000*Inputs!$D$36*(1+Inputs!$D$39)^(S$265-1)</f>
        <v>-4493.47332531368</v>
      </c>
      <c r="T301" s="69" t="n">
        <f aca="false">-T288*Inputs!$D$35/1000*Inputs!$D$36*(1+Inputs!$D$39)^(T$265-1)</f>
        <v>-4584.94178164284</v>
      </c>
      <c r="U301" s="69" t="n">
        <f aca="false">-U288*Inputs!$D$35/1000*Inputs!$D$36*(1+Inputs!$D$39)^(U$265-1)</f>
        <v>-4673.48324736947</v>
      </c>
      <c r="V301" s="69" t="n">
        <f aca="false">-V288*Inputs!$D$35/1000*Inputs!$D$36*(1+Inputs!$D$39)^(V$265-1)</f>
        <v>-4759.19138619285</v>
      </c>
      <c r="W301" s="69" t="n">
        <f aca="false">-W288*Inputs!$D$35/1000*Inputs!$D$36*(1+Inputs!$D$39)^(W$265-1)</f>
        <v>-4842.15686457388</v>
      </c>
      <c r="X301" s="69" t="n">
        <f aca="false">-X288*Inputs!$D$35/1000*Inputs!$D$36*(1+Inputs!$D$39)^(X$265-1)</f>
        <v>-4922.46744764671</v>
      </c>
      <c r="Y301" s="69" t="n">
        <f aca="false">-Y288*Inputs!$D$35/1000*Inputs!$D$36*(1+Inputs!$D$39)^(Y$265-1)</f>
        <v>-5000.20809206122</v>
      </c>
      <c r="Z301" s="69" t="n">
        <f aca="false">-Z288*Inputs!$D$35/1000*Inputs!$D$36*(1+Inputs!$D$39)^(Z$265-1)</f>
        <v>-4415.68441443489</v>
      </c>
      <c r="AA301" s="69" t="n">
        <f aca="false">-AA288*Inputs!$D$35/1000*Inputs!$D$36*(1+Inputs!$D$39)^(AA$265-1)</f>
        <v>-4726.80409231452</v>
      </c>
      <c r="AB301" s="69" t="n">
        <f aca="false">-AB288*Inputs!$D$35/1000*Inputs!$D$36*(1+Inputs!$D$39)^(AB$265-1)</f>
        <v>-4789.8738037815</v>
      </c>
      <c r="AC301" s="69" t="n">
        <f aca="false">-AC288*Inputs!$D$35/1000*Inputs!$D$36*(1+Inputs!$D$39)^(AC$265-1)</f>
        <v>-5575.66653449804</v>
      </c>
      <c r="AD301" s="69" t="n">
        <f aca="false">-AD288*Inputs!$D$35/1000*Inputs!$D$36*(1+Inputs!$D$39)^(AD$265-1)</f>
        <v>-5655.49616613825</v>
      </c>
      <c r="AE301" s="69" t="n">
        <f aca="false">-AE288*Inputs!$D$35/1000*Inputs!$D$36*(1+Inputs!$D$39)^(AE$265-1)</f>
        <v>-5732.77124956597</v>
      </c>
      <c r="AF301" s="69" t="n">
        <f aca="false">-AF288*Inputs!$D$35/1000*Inputs!$D$36*(1+Inputs!$D$39)^(AF$265-1)</f>
        <v>-5807.57353032399</v>
      </c>
      <c r="AG301" s="69" t="n">
        <f aca="false">-AG288*Inputs!$D$35/1000*Inputs!$D$36*(1+Inputs!$D$39)^(AG$265-1)</f>
        <v>-5879.98213809777</v>
      </c>
      <c r="AH301" s="69" t="n">
        <f aca="false">-AH288*Inputs!$D$35/1000*Inputs!$D$36*(1+Inputs!$D$39)^(AH$265-1)</f>
        <v>-5950.07367042278</v>
      </c>
      <c r="AI301" s="69" t="n">
        <f aca="false">-AI288*Inputs!$D$35/1000*Inputs!$D$36*(1+Inputs!$D$39)^(AI$265-1)</f>
        <v>-6017.92227371339</v>
      </c>
      <c r="AJ301" s="69" t="n">
        <f aca="false">-AJ288*Inputs!$D$35/1000*Inputs!$D$36*(1+Inputs!$D$39)^(AJ$265-1)</f>
        <v>-6083.5997216987</v>
      </c>
      <c r="AK301" s="69" t="n">
        <f aca="false">-AK288*Inputs!$D$35/1000*Inputs!$D$36*(1+Inputs!$D$39)^(AK$265-1)</f>
        <v>-6147.17549134849</v>
      </c>
      <c r="AL301" s="69" t="n">
        <f aca="false">-AL288*Inputs!$D$35/1000*Inputs!$D$36*(1+Inputs!$D$39)^(AL$265-1)</f>
        <v>-5402.29167643407</v>
      </c>
      <c r="AM301" s="69" t="n">
        <f aca="false">-AM288*Inputs!$D$35/1000*Inputs!$D$36*(1+Inputs!$D$39)^(AM$265-1)</f>
        <v>-5738.08292727663</v>
      </c>
      <c r="AN301" s="69" t="n">
        <f aca="false">-AN288*Inputs!$D$35/1000*Inputs!$D$36*(1+Inputs!$D$39)^(AN$265-1)</f>
        <v>-5789.92493952288</v>
      </c>
      <c r="AO301" s="69" t="n">
        <f aca="false">-AO288*Inputs!$D$35/1000*Inputs!$D$36*(1+Inputs!$D$39)^(AO$265-1)</f>
        <v>-6711.9212548962</v>
      </c>
      <c r="AP301" s="69" t="n">
        <f aca="false">-AP288*Inputs!$D$35/1000*Inputs!$D$36*(1+Inputs!$D$39)^(AP$265-1)</f>
        <v>-6780.70762475795</v>
      </c>
      <c r="AQ301" s="69" t="n">
        <f aca="false">-AQ288*Inputs!$D$35/1000*Inputs!$D$36*(1+Inputs!$D$39)^(AQ$265-1)</f>
        <v>-6847.29283078412</v>
      </c>
      <c r="AR301" s="69" t="n">
        <f aca="false">-AR288*Inputs!$D$35/1000*Inputs!$D$36*(1+Inputs!$D$39)^(AR$265-1)</f>
        <v>-6911.74731021746</v>
      </c>
      <c r="AS301" s="69" t="n">
        <f aca="false">-AS288*Inputs!$D$35/1000*Inputs!$D$36*(1+Inputs!$D$39)^(AS$265-1)</f>
        <v>-6974.13924630893</v>
      </c>
      <c r="AT301" s="69" t="n">
        <f aca="false">-AT288*Inputs!$D$35/1000*Inputs!$D$36*(1+Inputs!$D$39)^(AT$265-1)</f>
        <v>-7034.53464044548</v>
      </c>
      <c r="AU301" s="69" t="n">
        <f aca="false">-AU288*Inputs!$D$35/1000*Inputs!$D$36*(1+Inputs!$D$39)^(AU$265-1)</f>
        <v>-7092.99738196965</v>
      </c>
      <c r="AV301" s="69" t="n">
        <f aca="false">-AV288*Inputs!$D$35/1000*Inputs!$D$36*(1+Inputs!$D$39)^(AV$265-1)</f>
        <v>-7149.58931576505</v>
      </c>
      <c r="AW301" s="69" t="n">
        <f aca="false">-AW288*Inputs!$D$35/1000*Inputs!$D$36*(1+Inputs!$D$39)^(AW$265-1)</f>
        <v>-7204.370307679</v>
      </c>
      <c r="AX301" s="69" t="n">
        <f aca="false">-AX288*Inputs!$D$35/1000*Inputs!$D$36*(1+Inputs!$D$39)^(AX$265-1)</f>
        <v>-6315.20092446752</v>
      </c>
      <c r="AY301" s="69" t="n">
        <f aca="false">-AY288*Inputs!$D$35/1000*Inputs!$D$36*(1+Inputs!$D$39)^(AY$265-1)</f>
        <v>-6679.35403715034</v>
      </c>
      <c r="AZ301" s="69" t="n">
        <f aca="false">-AZ288*Inputs!$D$35/1000*Inputs!$D$36*(1+Inputs!$D$39)^(AZ$265-1)</f>
        <v>-6724.36734342668</v>
      </c>
      <c r="BA301" s="69" t="n">
        <f aca="false">-BA288*Inputs!$D$35/1000*Inputs!$D$36*(1+Inputs!$D$39)^(BA$265-1)</f>
        <v>-7777.78203938881</v>
      </c>
      <c r="BB301" s="69" t="n">
        <f aca="false">-BB288*Inputs!$D$35/1000*Inputs!$D$36*(1+Inputs!$D$39)^(BB$265-1)</f>
        <v>-7808.5313373375</v>
      </c>
      <c r="BC301" s="69" t="n">
        <f aca="false">-BC288*Inputs!$D$35/1000*Inputs!$D$36*(1+Inputs!$D$39)^(BC$265-1)</f>
        <v>-7808.5313373375</v>
      </c>
      <c r="BD301" s="69" t="n">
        <f aca="false">-BD288*Inputs!$D$35/1000*Inputs!$D$36*(1+Inputs!$D$39)^(BD$265-1)</f>
        <v>-7808.5313373375</v>
      </c>
      <c r="BE301" s="69" t="n">
        <f aca="false">-BE288*Inputs!$D$35/1000*Inputs!$D$36*(1+Inputs!$D$39)^(BE$265-1)</f>
        <v>-7808.5313373375</v>
      </c>
      <c r="BF301" s="69" t="n">
        <f aca="false">-BF288*Inputs!$D$35/1000*Inputs!$D$36*(1+Inputs!$D$39)^(BF$265-1)</f>
        <v>-7808.5313373375</v>
      </c>
      <c r="BG301" s="69" t="n">
        <f aca="false">-BG288*Inputs!$D$35/1000*Inputs!$D$36*(1+Inputs!$D$39)^(BG$265-1)</f>
        <v>-7808.5313373375</v>
      </c>
      <c r="BH301" s="69" t="n">
        <f aca="false">-BH288*Inputs!$D$35/1000*Inputs!$D$36*(1+Inputs!$D$39)^(BH$265-1)</f>
        <v>-7808.5313373375</v>
      </c>
      <c r="BI301" s="69" t="n">
        <f aca="false">-BI288*Inputs!$D$35/1000*Inputs!$D$36*(1+Inputs!$D$39)^(BI$265-1)</f>
        <v>-7808.5313373375</v>
      </c>
      <c r="BJ301" s="69" t="n">
        <f aca="false">-BJ288*Inputs!$D$35/1000*Inputs!$D$36*(1+Inputs!$D$39)^(BJ$265-1)</f>
        <v>-7200.0658237828</v>
      </c>
    </row>
    <row r="302" customFormat="false" ht="15" hidden="false" customHeight="false" outlineLevel="0" collapsed="false">
      <c r="A302" s="6" t="s">
        <v>441</v>
      </c>
      <c r="C302" s="69" t="n">
        <f aca="false">-C288*Inputs!$D$37*(1+Inputs!$D$39)^(C$265-1)</f>
        <v>-2046.668544</v>
      </c>
      <c r="D302" s="69" t="n">
        <f aca="false">-D288*Inputs!$D$37*(1+Inputs!$D$39)^(D$265-1)</f>
        <v>-2309.79072087771</v>
      </c>
      <c r="E302" s="69" t="n">
        <f aca="false">-E288*Inputs!$D$37*(1+Inputs!$D$39)^(E$265-1)</f>
        <v>-2967.49639306185</v>
      </c>
      <c r="F302" s="69" t="n">
        <f aca="false">-F288*Inputs!$D$37*(1+Inputs!$D$39)^(F$265-1)</f>
        <v>-3296.4531906426</v>
      </c>
      <c r="G302" s="69" t="n">
        <f aca="false">-G288*Inputs!$D$37*(1+Inputs!$D$39)^(G$265-1)</f>
        <v>-3634.02386898648</v>
      </c>
      <c r="H302" s="69" t="n">
        <f aca="false">-H288*Inputs!$D$37*(1+Inputs!$D$39)^(H$265-1)</f>
        <v>-3979.93278390907</v>
      </c>
      <c r="I302" s="69" t="n">
        <f aca="false">-I288*Inputs!$D$37*(1+Inputs!$D$39)^(I$265-1)</f>
        <v>-4333.91311183985</v>
      </c>
      <c r="J302" s="69" t="n">
        <f aca="false">-J288*Inputs!$D$37*(1+Inputs!$D$39)^(J$265-1)</f>
        <v>-4695.70656756257</v>
      </c>
      <c r="K302" s="69" t="n">
        <f aca="false">-K288*Inputs!$D$37*(1+Inputs!$D$39)^(K$265-1)</f>
        <v>-4843.18504184501</v>
      </c>
      <c r="L302" s="69" t="n">
        <f aca="false">-L288*Inputs!$D$37*(1+Inputs!$D$39)^(L$265-1)</f>
        <v>-4985.94420495041</v>
      </c>
      <c r="M302" s="69" t="n">
        <f aca="false">-M288*Inputs!$D$37*(1+Inputs!$D$39)^(M$265-1)</f>
        <v>-5124.13507483645</v>
      </c>
      <c r="N302" s="69" t="n">
        <f aca="false">-N288*Inputs!$D$37*(1+Inputs!$D$39)^(N$265-1)</f>
        <v>-4573.22847212662</v>
      </c>
      <c r="O302" s="69" t="n">
        <f aca="false">-O288*Inputs!$D$37*(1+Inputs!$D$39)^(O$265-1)</f>
        <v>-4976.48709996404</v>
      </c>
      <c r="P302" s="69" t="n">
        <f aca="false">-P288*Inputs!$D$37*(1+Inputs!$D$39)^(P$265-1)</f>
        <v>-5088.27656620519</v>
      </c>
      <c r="Q302" s="69" t="n">
        <f aca="false">-Q288*Inputs!$D$37*(1+Inputs!$D$39)^(Q$265-1)</f>
        <v>-5974.11833623575</v>
      </c>
      <c r="R302" s="69" t="n">
        <f aca="false">-R288*Inputs!$D$37*(1+Inputs!$D$39)^(R$265-1)</f>
        <v>-6109.69599772509</v>
      </c>
      <c r="S302" s="69" t="n">
        <f aca="false">-S288*Inputs!$D$37*(1+Inputs!$D$39)^(S$265-1)</f>
        <v>-6240.93517404678</v>
      </c>
      <c r="T302" s="69" t="n">
        <f aca="false">-T288*Inputs!$D$37*(1+Inputs!$D$39)^(T$265-1)</f>
        <v>-6367.97469672617</v>
      </c>
      <c r="U302" s="69" t="n">
        <f aca="false">-U288*Inputs!$D$37*(1+Inputs!$D$39)^(U$265-1)</f>
        <v>-6490.94895467982</v>
      </c>
      <c r="V302" s="69" t="n">
        <f aca="false">-V288*Inputs!$D$37*(1+Inputs!$D$39)^(V$265-1)</f>
        <v>-6609.98803637896</v>
      </c>
      <c r="W302" s="69" t="n">
        <f aca="false">-W288*Inputs!$D$37*(1+Inputs!$D$39)^(W$265-1)</f>
        <v>-6725.21786746372</v>
      </c>
      <c r="X302" s="69" t="n">
        <f aca="false">-X288*Inputs!$D$37*(1+Inputs!$D$39)^(X$265-1)</f>
        <v>-6836.76034395377</v>
      </c>
      <c r="Y302" s="69" t="n">
        <f aca="false">-Y288*Inputs!$D$37*(1+Inputs!$D$39)^(Y$265-1)</f>
        <v>-6944.73346119614</v>
      </c>
      <c r="Z302" s="69" t="n">
        <f aca="false">-Z288*Inputs!$D$37*(1+Inputs!$D$39)^(Z$265-1)</f>
        <v>-6132.89502004846</v>
      </c>
      <c r="AA302" s="69" t="n">
        <f aca="false">-AA288*Inputs!$D$37*(1+Inputs!$D$39)^(AA$265-1)</f>
        <v>-6565.00568377016</v>
      </c>
      <c r="AB302" s="69" t="n">
        <f aca="false">-AB288*Inputs!$D$37*(1+Inputs!$D$39)^(AB$265-1)</f>
        <v>-6652.60250525208</v>
      </c>
      <c r="AC302" s="69" t="n">
        <f aca="false">-AC288*Inputs!$D$37*(1+Inputs!$D$39)^(AC$265-1)</f>
        <v>-7743.98129791395</v>
      </c>
      <c r="AD302" s="69" t="n">
        <f aca="false">-AD288*Inputs!$D$37*(1+Inputs!$D$39)^(AD$265-1)</f>
        <v>-7854.85578630312</v>
      </c>
      <c r="AE302" s="69" t="n">
        <f aca="false">-AE288*Inputs!$D$37*(1+Inputs!$D$39)^(AE$265-1)</f>
        <v>-7962.18229106384</v>
      </c>
      <c r="AF302" s="69" t="n">
        <f aca="false">-AF288*Inputs!$D$37*(1+Inputs!$D$39)^(AF$265-1)</f>
        <v>-8066.07434767222</v>
      </c>
      <c r="AG302" s="69" t="n">
        <f aca="false">-AG288*Inputs!$D$37*(1+Inputs!$D$39)^(AG$265-1)</f>
        <v>-8166.64185846912</v>
      </c>
      <c r="AH302" s="69" t="n">
        <f aca="false">-AH288*Inputs!$D$37*(1+Inputs!$D$39)^(AH$265-1)</f>
        <v>-8263.99120892053</v>
      </c>
      <c r="AI302" s="69" t="n">
        <f aca="false">-AI288*Inputs!$D$37*(1+Inputs!$D$39)^(AI$265-1)</f>
        <v>-8358.22538015749</v>
      </c>
      <c r="AJ302" s="69" t="n">
        <f aca="false">-AJ288*Inputs!$D$37*(1+Inputs!$D$39)^(AJ$265-1)</f>
        <v>-8449.44405791487</v>
      </c>
      <c r="AK302" s="69" t="n">
        <f aca="false">-AK288*Inputs!$D$37*(1+Inputs!$D$39)^(AK$265-1)</f>
        <v>-8537.74373798401</v>
      </c>
      <c r="AL302" s="69" t="n">
        <f aca="false">-AL288*Inputs!$D$37*(1+Inputs!$D$39)^(AL$265-1)</f>
        <v>-7503.18288393621</v>
      </c>
      <c r="AM302" s="69" t="n">
        <f aca="false">-AM288*Inputs!$D$37*(1+Inputs!$D$39)^(AM$265-1)</f>
        <v>-7969.55962121754</v>
      </c>
      <c r="AN302" s="69" t="n">
        <f aca="false">-AN288*Inputs!$D$37*(1+Inputs!$D$39)^(AN$265-1)</f>
        <v>-8041.56241600399</v>
      </c>
      <c r="AO302" s="69" t="n">
        <f aca="false">-AO288*Inputs!$D$37*(1+Inputs!$D$39)^(AO$265-1)</f>
        <v>-9322.1128540225</v>
      </c>
      <c r="AP302" s="69" t="n">
        <f aca="false">-AP288*Inputs!$D$37*(1+Inputs!$D$39)^(AP$265-1)</f>
        <v>-9417.64947883049</v>
      </c>
      <c r="AQ302" s="69" t="n">
        <f aca="false">-AQ288*Inputs!$D$37*(1+Inputs!$D$39)^(AQ$265-1)</f>
        <v>-9510.12893164462</v>
      </c>
      <c r="AR302" s="69" t="n">
        <f aca="false">-AR288*Inputs!$D$37*(1+Inputs!$D$39)^(AR$265-1)</f>
        <v>-9599.6490419687</v>
      </c>
      <c r="AS302" s="69" t="n">
        <f aca="false">-AS288*Inputs!$D$37*(1+Inputs!$D$39)^(AS$265-1)</f>
        <v>-9686.30450876241</v>
      </c>
      <c r="AT302" s="69" t="n">
        <f aca="false">-AT288*Inputs!$D$37*(1+Inputs!$D$39)^(AT$265-1)</f>
        <v>-9770.18700061872</v>
      </c>
      <c r="AU302" s="69" t="n">
        <f aca="false">-AU288*Inputs!$D$37*(1+Inputs!$D$39)^(AU$265-1)</f>
        <v>-9851.38525273563</v>
      </c>
      <c r="AV302" s="69" t="n">
        <f aca="false">-AV288*Inputs!$D$37*(1+Inputs!$D$39)^(AV$265-1)</f>
        <v>-9929.98516078479</v>
      </c>
      <c r="AW302" s="69" t="n">
        <f aca="false">-AW288*Inputs!$D$37*(1+Inputs!$D$39)^(AW$265-1)</f>
        <v>-10006.0698717764</v>
      </c>
      <c r="AX302" s="69" t="n">
        <f aca="false">-AX288*Inputs!$D$37*(1+Inputs!$D$39)^(AX$265-1)</f>
        <v>-8771.11239509378</v>
      </c>
      <c r="AY302" s="69" t="n">
        <f aca="false">-AY288*Inputs!$D$37*(1+Inputs!$D$39)^(AY$265-1)</f>
        <v>-9276.88060715325</v>
      </c>
      <c r="AZ302" s="69" t="n">
        <f aca="false">-AZ288*Inputs!$D$37*(1+Inputs!$D$39)^(AZ$265-1)</f>
        <v>-9339.3990880926</v>
      </c>
      <c r="BA302" s="69" t="n">
        <f aca="false">-BA288*Inputs!$D$37*(1+Inputs!$D$39)^(BA$265-1)</f>
        <v>-10802.4750547067</v>
      </c>
      <c r="BB302" s="69" t="n">
        <f aca="false">-BB288*Inputs!$D$37*(1+Inputs!$D$39)^(BB$265-1)</f>
        <v>-10845.1824129687</v>
      </c>
      <c r="BC302" s="69" t="n">
        <f aca="false">-BC288*Inputs!$D$37*(1+Inputs!$D$39)^(BC$265-1)</f>
        <v>-10845.1824129687</v>
      </c>
      <c r="BD302" s="69" t="n">
        <f aca="false">-BD288*Inputs!$D$37*(1+Inputs!$D$39)^(BD$265-1)</f>
        <v>-10845.1824129687</v>
      </c>
      <c r="BE302" s="69" t="n">
        <f aca="false">-BE288*Inputs!$D$37*(1+Inputs!$D$39)^(BE$265-1)</f>
        <v>-10845.1824129687</v>
      </c>
      <c r="BF302" s="69" t="n">
        <f aca="false">-BF288*Inputs!$D$37*(1+Inputs!$D$39)^(BF$265-1)</f>
        <v>-10845.1824129687</v>
      </c>
      <c r="BG302" s="69" t="n">
        <f aca="false">-BG288*Inputs!$D$37*(1+Inputs!$D$39)^(BG$265-1)</f>
        <v>-10845.1824129687</v>
      </c>
      <c r="BH302" s="69" t="n">
        <f aca="false">-BH288*Inputs!$D$37*(1+Inputs!$D$39)^(BH$265-1)</f>
        <v>-10845.1824129687</v>
      </c>
      <c r="BI302" s="69" t="n">
        <f aca="false">-BI288*Inputs!$D$37*(1+Inputs!$D$39)^(BI$265-1)</f>
        <v>-10845.1824129687</v>
      </c>
      <c r="BJ302" s="69" t="n">
        <f aca="false">-BJ288*Inputs!$D$37*(1+Inputs!$D$39)^(BJ$265-1)</f>
        <v>-10000.0914219206</v>
      </c>
    </row>
    <row r="303" customFormat="false" ht="15" hidden="false" customHeight="false" outlineLevel="0" collapsed="false">
      <c r="A303" s="6" t="s">
        <v>248</v>
      </c>
      <c r="C303" s="69" t="n">
        <f aca="false">C300+C301+C302</f>
        <v>-7357.77341568</v>
      </c>
      <c r="D303" s="69" t="n">
        <f aca="false">D300+D301+D302</f>
        <v>-8303.69764155538</v>
      </c>
      <c r="E303" s="69" t="n">
        <f aca="false">E300+E301+E302</f>
        <v>-10668.1495330573</v>
      </c>
      <c r="F303" s="69" t="n">
        <f aca="false">F300+F301+F302</f>
        <v>-11850.7492203601</v>
      </c>
      <c r="G303" s="69" t="n">
        <f aca="false">G300+G301+G302</f>
        <v>-13064.3158090064</v>
      </c>
      <c r="H303" s="69" t="n">
        <f aca="false">H300+H301+H302</f>
        <v>-14307.8583581531</v>
      </c>
      <c r="I303" s="69" t="n">
        <f aca="false">I300+I301+I302</f>
        <v>-15580.4176370643</v>
      </c>
      <c r="J303" s="69" t="n">
        <f aca="false">J300+J301+J302</f>
        <v>-16881.0651103874</v>
      </c>
      <c r="K303" s="69" t="n">
        <f aca="false">K300+K301+K302</f>
        <v>-17411.2502254328</v>
      </c>
      <c r="L303" s="69" t="n">
        <f aca="false">L300+L301+L302</f>
        <v>-17924.4694167967</v>
      </c>
      <c r="M303" s="69" t="n">
        <f aca="false">M300+M301+M302</f>
        <v>-18421.265594037</v>
      </c>
      <c r="N303" s="69" t="n">
        <f aca="false">N300+N301+N302</f>
        <v>-16440.7563572952</v>
      </c>
      <c r="O303" s="69" t="n">
        <f aca="false">O300+O301+O302</f>
        <v>-17890.4711243707</v>
      </c>
      <c r="P303" s="69" t="n">
        <f aca="false">P300+P301+P302</f>
        <v>-18292.3542555076</v>
      </c>
      <c r="Q303" s="69" t="n">
        <f aca="false">Q300+Q301+Q302</f>
        <v>-21476.9554187675</v>
      </c>
      <c r="R303" s="69" t="n">
        <f aca="false">R300+R301+R302</f>
        <v>-21964.3571118217</v>
      </c>
      <c r="S303" s="69" t="n">
        <f aca="false">S300+S301+S302</f>
        <v>-22436.1619506982</v>
      </c>
      <c r="T303" s="69" t="n">
        <f aca="false">T300+T301+T302</f>
        <v>-22892.8690347306</v>
      </c>
      <c r="U303" s="69" t="n">
        <f aca="false">U300+U301+U302</f>
        <v>-23334.961492074</v>
      </c>
      <c r="V303" s="69" t="n">
        <f aca="false">V300+V301+V302</f>
        <v>-23762.9069907823</v>
      </c>
      <c r="W303" s="69" t="n">
        <f aca="false">W300+W301+W302</f>
        <v>-24177.1582335321</v>
      </c>
      <c r="X303" s="69" t="n">
        <f aca="false">X300+X301+X302</f>
        <v>-24578.1534365138</v>
      </c>
      <c r="Y303" s="69" t="n">
        <f aca="false">Y300+Y301+Y302</f>
        <v>-24966.3167930001</v>
      </c>
      <c r="Z303" s="69" t="n">
        <f aca="false">Z300+Z301+Z302</f>
        <v>-22047.7575970742</v>
      </c>
      <c r="AA303" s="69" t="n">
        <f aca="false">AA300+AA301+AA302</f>
        <v>-23601.1954331537</v>
      </c>
      <c r="AB303" s="69" t="n">
        <f aca="false">AB300+AB301+AB302</f>
        <v>-23916.1060063812</v>
      </c>
      <c r="AC303" s="69" t="n">
        <f aca="false">AC300+AC301+AC302</f>
        <v>-27839.6127660007</v>
      </c>
      <c r="AD303" s="69" t="n">
        <f aca="false">AD300+AD301+AD302</f>
        <v>-28238.2065517597</v>
      </c>
      <c r="AE303" s="69" t="n">
        <f aca="false">AE300+AE301+AE302</f>
        <v>-28624.0453363745</v>
      </c>
      <c r="AF303" s="69" t="n">
        <f aca="false">AF300+AF301+AF302</f>
        <v>-28997.5372798816</v>
      </c>
      <c r="AG303" s="69" t="n">
        <f aca="false">AG300+AG301+AG302</f>
        <v>-29359.0774811965</v>
      </c>
      <c r="AH303" s="69" t="n">
        <f aca="false">AH300+AH301+AH302</f>
        <v>-29709.0483960693</v>
      </c>
      <c r="AI303" s="69" t="n">
        <f aca="false">AI300+AI301+AI302</f>
        <v>-30047.8202416662</v>
      </c>
      <c r="AJ303" s="69" t="n">
        <f aca="false">AJ300+AJ301+AJ302</f>
        <v>-30375.7513882039</v>
      </c>
      <c r="AK303" s="69" t="n">
        <f aca="false">AK300+AK301+AK302</f>
        <v>-30693.1887380525</v>
      </c>
      <c r="AL303" s="69" t="n">
        <f aca="false">AL300+AL301+AL302</f>
        <v>-26973.9424677507</v>
      </c>
      <c r="AM303" s="69" t="n">
        <f aca="false">AM300+AM301+AM302</f>
        <v>-28650.566838277</v>
      </c>
      <c r="AN303" s="69" t="n">
        <f aca="false">AN300+AN301+AN302</f>
        <v>-28909.4168855344</v>
      </c>
      <c r="AO303" s="69" t="n">
        <f aca="false">AO300+AO301+AO302</f>
        <v>-33512.9957102109</v>
      </c>
      <c r="AP303" s="69" t="n">
        <f aca="false">AP300+AP301+AP302</f>
        <v>-33856.4498763956</v>
      </c>
      <c r="AQ303" s="69" t="n">
        <f aca="false">AQ300+AQ301+AQ302</f>
        <v>-34188.9135092624</v>
      </c>
      <c r="AR303" s="69" t="n">
        <f aca="false">AR300+AR301+AR302</f>
        <v>-34510.7383058775</v>
      </c>
      <c r="AS303" s="69" t="n">
        <f aca="false">AS300+AS301+AS302</f>
        <v>-34822.2647090009</v>
      </c>
      <c r="AT303" s="69" t="n">
        <f aca="false">AT300+AT301+AT302</f>
        <v>-35123.8222672243</v>
      </c>
      <c r="AU303" s="69" t="n">
        <f aca="false">AU300+AU301+AU302</f>
        <v>-35415.7299835846</v>
      </c>
      <c r="AV303" s="69" t="n">
        <f aca="false">AV300+AV301+AV302</f>
        <v>-35698.2966530213</v>
      </c>
      <c r="AW303" s="69" t="n">
        <f aca="false">AW300+AW301+AW302</f>
        <v>-35971.8211890361</v>
      </c>
      <c r="AX303" s="69" t="n">
        <f aca="false">AX300+AX301+AX302</f>
        <v>-31532.1490603621</v>
      </c>
      <c r="AY303" s="69" t="n">
        <f aca="false">AY300+AY301+AY302</f>
        <v>-33350.3857827159</v>
      </c>
      <c r="AZ303" s="69" t="n">
        <f aca="false">AZ300+AZ301+AZ302</f>
        <v>-33575.1397216929</v>
      </c>
      <c r="BA303" s="69" t="n">
        <f aca="false">BA300+BA301+BA302</f>
        <v>-38834.8978216705</v>
      </c>
      <c r="BB303" s="69" t="n">
        <f aca="false">BB300+BB301+BB302</f>
        <v>-38988.4307746226</v>
      </c>
      <c r="BC303" s="69" t="n">
        <f aca="false">BC300+BC301+BC302</f>
        <v>-38988.4307746227</v>
      </c>
      <c r="BD303" s="69" t="n">
        <f aca="false">BD300+BD301+BD302</f>
        <v>-38988.4307746226</v>
      </c>
      <c r="BE303" s="69" t="n">
        <f aca="false">BE300+BE301+BE302</f>
        <v>-38988.4307746227</v>
      </c>
      <c r="BF303" s="69" t="n">
        <f aca="false">BF300+BF301+BF302</f>
        <v>-38988.4307746226</v>
      </c>
      <c r="BG303" s="69" t="n">
        <f aca="false">BG300+BG301+BG302</f>
        <v>-38988.4307746227</v>
      </c>
      <c r="BH303" s="69" t="n">
        <f aca="false">BH300+BH301+BH302</f>
        <v>-38988.4307746226</v>
      </c>
      <c r="BI303" s="69" t="n">
        <f aca="false">BI300+BI301+BI302</f>
        <v>-38988.4307746227</v>
      </c>
      <c r="BJ303" s="69" t="n">
        <f aca="false">BJ300+BJ301+BJ302</f>
        <v>-35950.3286618044</v>
      </c>
    </row>
    <row r="304" customFormat="false" ht="15" hidden="false" customHeight="false" outlineLevel="0" collapsed="false">
      <c r="A304" s="6" t="s">
        <v>442</v>
      </c>
      <c r="C304" s="69" t="n">
        <f aca="false">-C297*Inputs!$D$38</f>
        <v>-2183.563368</v>
      </c>
      <c r="D304" s="69" t="n">
        <f aca="false">-D297*Inputs!$D$38</f>
        <v>-2460.860454144</v>
      </c>
      <c r="E304" s="69" t="n">
        <f aca="false">-E297*Inputs!$D$38</f>
        <v>-3073.96253017139</v>
      </c>
      <c r="F304" s="69" t="n">
        <f aca="false">-F297*Inputs!$D$38</f>
        <v>-3403.65261080591</v>
      </c>
      <c r="G304" s="69" t="n">
        <f aca="false">-G297*Inputs!$D$38</f>
        <v>-3740.27200278012</v>
      </c>
      <c r="H304" s="69" t="n">
        <f aca="false">-H297*Inputs!$D$38</f>
        <v>-4083.59896813116</v>
      </c>
      <c r="I304" s="69" t="n">
        <f aca="false">-I297*Inputs!$D$38</f>
        <v>-4433.41886451096</v>
      </c>
      <c r="J304" s="69" t="n">
        <f aca="false">-J297*Inputs!$D$38</f>
        <v>-4789.52391812661</v>
      </c>
      <c r="K304" s="69" t="n">
        <f aca="false">-K297*Inputs!$D$38</f>
        <v>-4908.16083594656</v>
      </c>
      <c r="L304" s="69" t="n">
        <f aca="false">-L297*Inputs!$D$38</f>
        <v>-5023.00137239627</v>
      </c>
      <c r="M304" s="69" t="n">
        <f aca="false">-M297*Inputs!$D$38</f>
        <v>-5134.16701167959</v>
      </c>
      <c r="N304" s="69" t="n">
        <f aca="false">-N297*Inputs!$D$38</f>
        <v>-4757.04383050584</v>
      </c>
      <c r="O304" s="69" t="n">
        <f aca="false">-O297*Inputs!$D$38</f>
        <v>-5200.86315916754</v>
      </c>
      <c r="P304" s="69" t="n">
        <f aca="false">-P297*Inputs!$D$38</f>
        <v>-5304.6168107961</v>
      </c>
      <c r="Q304" s="69" t="n">
        <f aca="false">-Q297*Inputs!$D$38</f>
        <v>-5934.28021910855</v>
      </c>
      <c r="R304" s="69" t="n">
        <f aca="false">-R297*Inputs!$D$38</f>
        <v>-6043.87571781483</v>
      </c>
      <c r="S304" s="69" t="n">
        <f aca="false">-S297*Inputs!$D$38</f>
        <v>-6149.96416056252</v>
      </c>
      <c r="T304" s="69" t="n">
        <f aca="false">-T297*Inputs!$D$38</f>
        <v>-6252.65777314228</v>
      </c>
      <c r="U304" s="69" t="n">
        <f aca="false">-U297*Inputs!$D$38</f>
        <v>-6352.06519011948</v>
      </c>
      <c r="V304" s="69" t="n">
        <f aca="false">-V297*Inputs!$D$38</f>
        <v>-6448.29156975342</v>
      </c>
      <c r="W304" s="69" t="n">
        <f aca="false">-W297*Inputs!$D$38</f>
        <v>-6541.43870523907</v>
      </c>
      <c r="X304" s="69" t="n">
        <f aca="false">-X297*Inputs!$D$38</f>
        <v>-6631.60513238918</v>
      </c>
      <c r="Y304" s="69" t="n">
        <f aca="false">-Y297*Inputs!$D$38</f>
        <v>-6718.88623387049</v>
      </c>
      <c r="Z304" s="69" t="n">
        <f aca="false">-Z297*Inputs!$D$38</f>
        <v>-6274.14446656839</v>
      </c>
      <c r="AA304" s="69" t="n">
        <f aca="false">-AA297*Inputs!$D$38</f>
        <v>-6758.35298367647</v>
      </c>
      <c r="AB304" s="69" t="n">
        <f aca="false">-AB297*Inputs!$D$38</f>
        <v>-6840.04962742062</v>
      </c>
      <c r="AC304" s="69" t="n">
        <f aca="false">-AC297*Inputs!$D$38</f>
        <v>-7496.94515449155</v>
      </c>
      <c r="AD304" s="69" t="n">
        <f aca="false">-AD297*Inputs!$D$38</f>
        <v>-7587.00880928247</v>
      </c>
      <c r="AE304" s="69" t="n">
        <f aca="false">-AE297*Inputs!$D$38</f>
        <v>-7674.19042712008</v>
      </c>
      <c r="AF304" s="69" t="n">
        <f aca="false">-AF297*Inputs!$D$38</f>
        <v>-7758.58223318689</v>
      </c>
      <c r="AG304" s="69" t="n">
        <f aca="false">-AG297*Inputs!$D$38</f>
        <v>-7840.27350145956</v>
      </c>
      <c r="AH304" s="69" t="n">
        <f aca="false">-AH297*Inputs!$D$38</f>
        <v>-7919.35064914751</v>
      </c>
      <c r="AI304" s="69" t="n">
        <f aca="false">-AI297*Inputs!$D$38</f>
        <v>-7995.89732810944</v>
      </c>
      <c r="AJ304" s="69" t="n">
        <f aca="false">-AJ297*Inputs!$D$38</f>
        <v>-8069.99451334458</v>
      </c>
      <c r="AK304" s="69" t="n">
        <f aca="false">-AK297*Inputs!$D$38</f>
        <v>-8141.72058865221</v>
      </c>
      <c r="AL304" s="69" t="n">
        <f aca="false">-AL297*Inputs!$D$38</f>
        <v>-7633.33825362338</v>
      </c>
      <c r="AM304" s="69" t="n">
        <f aca="false">-AM297*Inputs!$D$38</f>
        <v>-8162.90165747553</v>
      </c>
      <c r="AN304" s="69" t="n">
        <f aca="false">-AN297*Inputs!$D$38</f>
        <v>-8230.38220235597</v>
      </c>
      <c r="AO304" s="69" t="n">
        <f aca="false">-AO297*Inputs!$D$38</f>
        <v>-8926.55979527692</v>
      </c>
      <c r="AP304" s="69" t="n">
        <f aca="false">-AP297*Inputs!$D$38</f>
        <v>-9004.54302023566</v>
      </c>
      <c r="AQ304" s="69" t="n">
        <f aca="false">-AQ297*Inputs!$D$38</f>
        <v>-9080.03078199572</v>
      </c>
      <c r="AR304" s="69" t="n">
        <f aca="false">-AR297*Inputs!$D$38</f>
        <v>-9153.10293537946</v>
      </c>
      <c r="AS304" s="69" t="n">
        <f aca="false">-AS297*Inputs!$D$38</f>
        <v>-9223.83677985492</v>
      </c>
      <c r="AT304" s="69" t="n">
        <f aca="false">-AT297*Inputs!$D$38</f>
        <v>-9292.30714130717</v>
      </c>
      <c r="AU304" s="69" t="n">
        <f aca="false">-AU297*Inputs!$D$38</f>
        <v>-9358.58645119294</v>
      </c>
      <c r="AV304" s="69" t="n">
        <f aca="false">-AV297*Inputs!$D$38</f>
        <v>-9422.74482316237</v>
      </c>
      <c r="AW304" s="69" t="n">
        <f aca="false">-AW297*Inputs!$D$38</f>
        <v>-9484.85012722878</v>
      </c>
      <c r="AX304" s="69" t="n">
        <f aca="false">-AX297*Inputs!$D$38</f>
        <v>-8914.11163608839</v>
      </c>
      <c r="AY304" s="69" t="n">
        <f aca="false">-AY297*Inputs!$D$38</f>
        <v>-9494.22360609616</v>
      </c>
      <c r="AZ304" s="69" t="n">
        <f aca="false">-AZ297*Inputs!$D$38</f>
        <v>-9553.10132871437</v>
      </c>
      <c r="BA304" s="69" t="n">
        <f aca="false">-BA297*Inputs!$D$38</f>
        <v>-10298.8640095442</v>
      </c>
      <c r="BB304" s="69" t="n">
        <f aca="false">-BB297*Inputs!$D$38</f>
        <v>-10348.7364532152</v>
      </c>
      <c r="BC304" s="69" t="n">
        <f aca="false">-BC297*Inputs!$D$38</f>
        <v>-10377.4649749204</v>
      </c>
      <c r="BD304" s="69" t="n">
        <f aca="false">-BD297*Inputs!$D$38</f>
        <v>-10405.8578600594</v>
      </c>
      <c r="BE304" s="69" t="n">
        <f aca="false">-BE297*Inputs!$D$38</f>
        <v>-10433.8770879006</v>
      </c>
      <c r="BF304" s="69" t="n">
        <f aca="false">-BF297*Inputs!$D$38</f>
        <v>-10461.4903524436</v>
      </c>
      <c r="BG304" s="69" t="n">
        <f aca="false">-BG297*Inputs!$D$38</f>
        <v>-10488.6704160453</v>
      </c>
      <c r="BH304" s="69" t="n">
        <f aca="false">-BH297*Inputs!$D$38</f>
        <v>-10515.3945372426</v>
      </c>
      <c r="BI304" s="69" t="n">
        <f aca="false">-BI297*Inputs!$D$38</f>
        <v>-10541.6439635054</v>
      </c>
      <c r="BJ304" s="69" t="n">
        <f aca="false">-BJ297*Inputs!$D$38</f>
        <v>-10175.3183017216</v>
      </c>
    </row>
    <row r="305" customFormat="false" ht="15" hidden="false" customHeight="false" outlineLevel="0" collapsed="false">
      <c r="A305" s="4" t="s">
        <v>76</v>
      </c>
      <c r="C305" s="75" t="n">
        <f aca="false">C303+C304</f>
        <v>-9541.33678368</v>
      </c>
      <c r="D305" s="75" t="n">
        <f aca="false">D303+D304</f>
        <v>-10764.5580956994</v>
      </c>
      <c r="E305" s="75" t="n">
        <f aca="false">E303+E304</f>
        <v>-13742.1120632287</v>
      </c>
      <c r="F305" s="75" t="n">
        <f aca="false">F303+F304</f>
        <v>-15254.4018311661</v>
      </c>
      <c r="G305" s="75" t="n">
        <f aca="false">G303+G304</f>
        <v>-16804.5878117865</v>
      </c>
      <c r="H305" s="75" t="n">
        <f aca="false">H303+H304</f>
        <v>-18391.4573262843</v>
      </c>
      <c r="I305" s="75" t="n">
        <f aca="false">I303+I304</f>
        <v>-20013.8365015752</v>
      </c>
      <c r="J305" s="75" t="n">
        <f aca="false">J303+J304</f>
        <v>-21670.589028514</v>
      </c>
      <c r="K305" s="75" t="n">
        <f aca="false">K303+K304</f>
        <v>-22319.4110613794</v>
      </c>
      <c r="L305" s="75" t="n">
        <f aca="false">L303+L304</f>
        <v>-22947.470789193</v>
      </c>
      <c r="M305" s="75" t="n">
        <f aca="false">M303+M304</f>
        <v>-23555.4326057166</v>
      </c>
      <c r="N305" s="75" t="n">
        <f aca="false">N303+N304</f>
        <v>-21197.800187801</v>
      </c>
      <c r="O305" s="75" t="n">
        <f aca="false">O303+O304</f>
        <v>-23091.3342835383</v>
      </c>
      <c r="P305" s="75" t="n">
        <f aca="false">P303+P304</f>
        <v>-23596.9710663037</v>
      </c>
      <c r="Q305" s="75" t="n">
        <f aca="false">Q303+Q304</f>
        <v>-27411.2356378761</v>
      </c>
      <c r="R305" s="75" t="n">
        <f aca="false">R303+R304</f>
        <v>-28008.2328296365</v>
      </c>
      <c r="S305" s="75" t="n">
        <f aca="false">S303+S304</f>
        <v>-28586.1261112607</v>
      </c>
      <c r="T305" s="75" t="n">
        <f aca="false">T303+T304</f>
        <v>-29145.5268078729</v>
      </c>
      <c r="U305" s="75" t="n">
        <f aca="false">U303+U304</f>
        <v>-29687.0266821934</v>
      </c>
      <c r="V305" s="75" t="n">
        <f aca="false">V303+V304</f>
        <v>-30211.1985605358</v>
      </c>
      <c r="W305" s="75" t="n">
        <f aca="false">W303+W304</f>
        <v>-30718.5969387711</v>
      </c>
      <c r="X305" s="75" t="n">
        <f aca="false">X303+X304</f>
        <v>-31209.758568903</v>
      </c>
      <c r="Y305" s="75" t="n">
        <f aca="false">Y303+Y304</f>
        <v>-31685.2030268706</v>
      </c>
      <c r="Z305" s="75" t="n">
        <f aca="false">Z303+Z304</f>
        <v>-28321.9020636426</v>
      </c>
      <c r="AA305" s="75" t="n">
        <f aca="false">AA303+AA304</f>
        <v>-30359.5484168302</v>
      </c>
      <c r="AB305" s="75" t="n">
        <f aca="false">AB303+AB304</f>
        <v>-30756.1556338018</v>
      </c>
      <c r="AC305" s="75" t="n">
        <f aca="false">AC303+AC304</f>
        <v>-35336.5579204922</v>
      </c>
      <c r="AD305" s="75" t="n">
        <f aca="false">AD303+AD304</f>
        <v>-35825.2153610422</v>
      </c>
      <c r="AE305" s="75" t="n">
        <f aca="false">AE303+AE304</f>
        <v>-36298.2357634946</v>
      </c>
      <c r="AF305" s="75" t="n">
        <f aca="false">AF303+AF304</f>
        <v>-36756.1195130685</v>
      </c>
      <c r="AG305" s="75" t="n">
        <f aca="false">AG303+AG304</f>
        <v>-37199.3509826561</v>
      </c>
      <c r="AH305" s="75" t="n">
        <f aca="false">AH303+AH304</f>
        <v>-37628.3990452168</v>
      </c>
      <c r="AI305" s="75" t="n">
        <f aca="false">AI303+AI304</f>
        <v>-38043.7175697756</v>
      </c>
      <c r="AJ305" s="75" t="n">
        <f aca="false">AJ303+AJ304</f>
        <v>-38445.7459015485</v>
      </c>
      <c r="AK305" s="75" t="n">
        <f aca="false">AK303+AK304</f>
        <v>-38834.9093267047</v>
      </c>
      <c r="AL305" s="75" t="n">
        <f aca="false">AL303+AL304</f>
        <v>-34607.280721374</v>
      </c>
      <c r="AM305" s="75" t="n">
        <f aca="false">AM303+AM304</f>
        <v>-36813.4684957526</v>
      </c>
      <c r="AN305" s="75" t="n">
        <f aca="false">AN303+AN304</f>
        <v>-37139.7990878903</v>
      </c>
      <c r="AO305" s="75" t="n">
        <f aca="false">AO303+AO304</f>
        <v>-42439.5555054878</v>
      </c>
      <c r="AP305" s="75" t="n">
        <f aca="false">AP303+AP304</f>
        <v>-42860.9928966313</v>
      </c>
      <c r="AQ305" s="75" t="n">
        <f aca="false">AQ303+AQ304</f>
        <v>-43268.9442912581</v>
      </c>
      <c r="AR305" s="75" t="n">
        <f aca="false">AR303+AR304</f>
        <v>-43663.8412412569</v>
      </c>
      <c r="AS305" s="75" t="n">
        <f aca="false">AS303+AS304</f>
        <v>-44046.1014888558</v>
      </c>
      <c r="AT305" s="75" t="n">
        <f aca="false">AT303+AT304</f>
        <v>-44416.1294085315</v>
      </c>
      <c r="AU305" s="75" t="n">
        <f aca="false">AU303+AU304</f>
        <v>-44774.3164347775</v>
      </c>
      <c r="AV305" s="75" t="n">
        <f aca="false">AV303+AV304</f>
        <v>-45121.0414761837</v>
      </c>
      <c r="AW305" s="75" t="n">
        <f aca="false">AW303+AW304</f>
        <v>-45456.6713162649</v>
      </c>
      <c r="AX305" s="75" t="n">
        <f aca="false">AX303+AX304</f>
        <v>-40446.2606964505</v>
      </c>
      <c r="AY305" s="75" t="n">
        <f aca="false">AY303+AY304</f>
        <v>-42844.6093888121</v>
      </c>
      <c r="AZ305" s="75" t="n">
        <f aca="false">AZ303+AZ304</f>
        <v>-43128.2410504073</v>
      </c>
      <c r="BA305" s="75" t="n">
        <f aca="false">BA303+BA304</f>
        <v>-49133.7618312148</v>
      </c>
      <c r="BB305" s="75" t="n">
        <f aca="false">BB303+BB304</f>
        <v>-49337.1672278379</v>
      </c>
      <c r="BC305" s="75" t="n">
        <f aca="false">BC303+BC304</f>
        <v>-49365.895749543</v>
      </c>
      <c r="BD305" s="75" t="n">
        <f aca="false">BD303+BD304</f>
        <v>-49394.2886346821</v>
      </c>
      <c r="BE305" s="75" t="n">
        <f aca="false">BE303+BE304</f>
        <v>-49422.3078625233</v>
      </c>
      <c r="BF305" s="75" t="n">
        <f aca="false">BF303+BF304</f>
        <v>-49449.9211270662</v>
      </c>
      <c r="BG305" s="75" t="n">
        <f aca="false">BG303+BG304</f>
        <v>-49477.101190668</v>
      </c>
      <c r="BH305" s="75" t="n">
        <f aca="false">BH303+BH304</f>
        <v>-49503.8253118652</v>
      </c>
      <c r="BI305" s="75" t="n">
        <f aca="false">BI303+BI304</f>
        <v>-49530.074738128</v>
      </c>
      <c r="BJ305" s="75" t="n">
        <f aca="false">BJ303+BJ304</f>
        <v>-46125.646963526</v>
      </c>
    </row>
    <row r="306" customFormat="false" ht="15" hidden="false" customHeight="false" outlineLevel="0" collapsed="false">
      <c r="A306" s="113" t="s">
        <v>45</v>
      </c>
      <c r="C306" s="70" t="n">
        <f aca="false">C297+C305</f>
        <v>68443.06921632</v>
      </c>
      <c r="D306" s="70" t="n">
        <f aca="false">D297+D305</f>
        <v>77123.3152665863</v>
      </c>
      <c r="E306" s="70" t="n">
        <f aca="false">E297+E305</f>
        <v>96042.264014321</v>
      </c>
      <c r="F306" s="70" t="n">
        <f aca="false">F297+F305</f>
        <v>106304.619983331</v>
      </c>
      <c r="G306" s="70" t="n">
        <f aca="false">G297+G305</f>
        <v>116776.555144646</v>
      </c>
      <c r="H306" s="70" t="n">
        <f aca="false">H297+H305</f>
        <v>127451.362964114</v>
      </c>
      <c r="I306" s="70" t="n">
        <f aca="false">I297+I305</f>
        <v>138322.551516673</v>
      </c>
      <c r="J306" s="70" t="n">
        <f aca="false">J297+J305</f>
        <v>149383.836618865</v>
      </c>
      <c r="K306" s="70" t="n">
        <f aca="false">K297+K305</f>
        <v>152972.047365283</v>
      </c>
      <c r="L306" s="70" t="n">
        <f aca="false">L297+L305</f>
        <v>156445.435367817</v>
      </c>
      <c r="M306" s="70" t="n">
        <f aca="false">M297+M305</f>
        <v>159807.674954269</v>
      </c>
      <c r="N306" s="70" t="n">
        <f aca="false">N297+N305</f>
        <v>148696.622330265</v>
      </c>
      <c r="O306" s="70" t="n">
        <f aca="false">O297+O305</f>
        <v>162653.778543874</v>
      </c>
      <c r="P306" s="70" t="n">
        <f aca="false">P297+P305</f>
        <v>165853.629319271</v>
      </c>
      <c r="Q306" s="70" t="n">
        <f aca="false">Q297+Q305</f>
        <v>184527.343616001</v>
      </c>
      <c r="R306" s="70" t="n">
        <f aca="false">R297+R305</f>
        <v>187844.471378036</v>
      </c>
      <c r="S306" s="70" t="n">
        <f aca="false">S297+S305</f>
        <v>191055.451051686</v>
      </c>
      <c r="T306" s="70" t="n">
        <f aca="false">T297+T305</f>
        <v>194163.67937578</v>
      </c>
      <c r="U306" s="70" t="n">
        <f aca="false">U297+U305</f>
        <v>197172.444393502</v>
      </c>
      <c r="V306" s="70" t="n">
        <f aca="false">V297+V305</f>
        <v>200084.928930658</v>
      </c>
      <c r="W306" s="70" t="n">
        <f aca="false">W297+W305</f>
        <v>202904.213962624</v>
      </c>
      <c r="X306" s="70" t="n">
        <f aca="false">X297+X305</f>
        <v>205633.281873568</v>
      </c>
      <c r="Y306" s="70" t="n">
        <f aca="false">Y297+Y305</f>
        <v>208275.019611361</v>
      </c>
      <c r="Z306" s="70" t="n">
        <f aca="false">Z297+Z305</f>
        <v>195754.686028086</v>
      </c>
      <c r="AA306" s="70" t="n">
        <f aca="false">AA297+AA305</f>
        <v>211010.201000187</v>
      </c>
      <c r="AB306" s="70" t="n">
        <f aca="false">AB297+AB305</f>
        <v>213531.331059792</v>
      </c>
      <c r="AC306" s="70" t="n">
        <f aca="false">AC297+AC305</f>
        <v>232411.483311349</v>
      </c>
      <c r="AD306" s="70" t="n">
        <f aca="false">AD297+AD305</f>
        <v>235139.384970475</v>
      </c>
      <c r="AE306" s="70" t="n">
        <f aca="false">AE297+AE305</f>
        <v>237779.993776508</v>
      </c>
      <c r="AF306" s="70" t="n">
        <f aca="false">AF297+AF305</f>
        <v>240336.103100749</v>
      </c>
      <c r="AG306" s="70" t="n">
        <f aca="false">AG297+AG305</f>
        <v>242810.416926614</v>
      </c>
      <c r="AH306" s="70" t="n">
        <f aca="false">AH297+AH305</f>
        <v>245205.552710051</v>
      </c>
      <c r="AI306" s="70" t="n">
        <f aca="false">AI297+AI305</f>
        <v>247524.044148419</v>
      </c>
      <c r="AJ306" s="70" t="n">
        <f aca="false">AJ297+AJ305</f>
        <v>249768.343860758</v>
      </c>
      <c r="AK306" s="70" t="n">
        <f aca="false">AK297+AK305</f>
        <v>251940.825982303</v>
      </c>
      <c r="AL306" s="70" t="n">
        <f aca="false">AL297+AL305</f>
        <v>238011.942622318</v>
      </c>
      <c r="AM306" s="70" t="n">
        <f aca="false">AM297+AM305</f>
        <v>254718.733556945</v>
      </c>
      <c r="AN306" s="70" t="n">
        <f aca="false">AN297+AN305</f>
        <v>256802.422424823</v>
      </c>
      <c r="AO306" s="70" t="n">
        <f aca="false">AO297+AO305</f>
        <v>276366.151468688</v>
      </c>
      <c r="AP306" s="70" t="n">
        <f aca="false">AP297+AP305</f>
        <v>278729.829254642</v>
      </c>
      <c r="AQ306" s="70" t="n">
        <f aca="false">AQ297+AQ305</f>
        <v>281017.869351446</v>
      </c>
      <c r="AR306" s="70" t="n">
        <f aca="false">AR297+AR305</f>
        <v>283232.692165152</v>
      </c>
      <c r="AS306" s="70" t="n">
        <f aca="false">AS297+AS305</f>
        <v>285376.64064882</v>
      </c>
      <c r="AT306" s="70" t="n">
        <f aca="false">AT297+AT305</f>
        <v>287451.98278101</v>
      </c>
      <c r="AU306" s="70" t="n">
        <f aca="false">AU297+AU305</f>
        <v>289460.91396497</v>
      </c>
      <c r="AV306" s="70" t="n">
        <f aca="false">AV297+AV305</f>
        <v>291405.559351044</v>
      </c>
      <c r="AW306" s="70" t="n">
        <f aca="false">AW297+AW305</f>
        <v>293287.976084763</v>
      </c>
      <c r="AX306" s="70" t="n">
        <f aca="false">AX297+AX305</f>
        <v>277914.869163849</v>
      </c>
      <c r="AY306" s="70" t="n">
        <f aca="false">AY297+AY305</f>
        <v>296234.805114622</v>
      </c>
      <c r="AZ306" s="70" t="n">
        <f aca="false">AZ297+AZ305</f>
        <v>298053.94926082</v>
      </c>
      <c r="BA306" s="70" t="n">
        <f aca="false">BA297+BA305</f>
        <v>318682.809938222</v>
      </c>
      <c r="BB306" s="70" t="n">
        <f aca="false">BB297+BB305</f>
        <v>320260.563244135</v>
      </c>
      <c r="BC306" s="70" t="n">
        <f aca="false">BC297+BC305</f>
        <v>321257.853354756</v>
      </c>
      <c r="BD306" s="70" t="n">
        <f aca="false">BD297+BD305</f>
        <v>322243.492081726</v>
      </c>
      <c r="BE306" s="70" t="n">
        <f aca="false">BE297+BE305</f>
        <v>323216.159562498</v>
      </c>
      <c r="BF306" s="70" t="n">
        <f aca="false">BF297+BF305</f>
        <v>324174.734317347</v>
      </c>
      <c r="BG306" s="70" t="n">
        <f aca="false">BG297+BG305</f>
        <v>325118.27081095</v>
      </c>
      <c r="BH306" s="70" t="n">
        <f aca="false">BH297+BH305</f>
        <v>326045.979589655</v>
      </c>
      <c r="BI306" s="70" t="n">
        <f aca="false">BI297+BI305</f>
        <v>326957.209672779</v>
      </c>
      <c r="BJ306" s="70" t="n">
        <f aca="false">BJ297+BJ305</f>
        <v>317278.578097961</v>
      </c>
    </row>
    <row r="308" customFormat="false" ht="15.75" hidden="false" customHeight="true" outlineLevel="0" collapsed="false">
      <c r="A308" s="7" t="s">
        <v>47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</row>
    <row r="309" customFormat="false" ht="15" hidden="false" customHeight="false" outlineLevel="0" collapsed="false">
      <c r="A309" s="6" t="s">
        <v>342</v>
      </c>
      <c r="C309" s="69" t="n">
        <f aca="false">C388</f>
        <v>-36586.6666666667</v>
      </c>
      <c r="D309" s="69" t="n">
        <f aca="false">D388</f>
        <v>-36586.6666666667</v>
      </c>
      <c r="E309" s="69" t="n">
        <f aca="false">E388</f>
        <v>-36586.6666666667</v>
      </c>
      <c r="F309" s="69" t="n">
        <f aca="false">F388</f>
        <v>-36586.6666666667</v>
      </c>
      <c r="G309" s="69" t="n">
        <f aca="false">G388</f>
        <v>-36586.6666666667</v>
      </c>
      <c r="H309" s="69" t="n">
        <f aca="false">H388</f>
        <v>-36586.6666666667</v>
      </c>
      <c r="I309" s="69" t="n">
        <f aca="false">I388</f>
        <v>-36586.6666666667</v>
      </c>
      <c r="J309" s="69" t="n">
        <f aca="false">J388</f>
        <v>-36586.6666666667</v>
      </c>
      <c r="K309" s="69" t="n">
        <f aca="false">K388</f>
        <v>-36586.6666666667</v>
      </c>
      <c r="L309" s="69" t="n">
        <f aca="false">L388</f>
        <v>-36586.6666666667</v>
      </c>
      <c r="M309" s="69" t="n">
        <f aca="false">M388</f>
        <v>-36586.6666666667</v>
      </c>
      <c r="N309" s="69" t="n">
        <f aca="false">N388</f>
        <v>-36586.6666666667</v>
      </c>
      <c r="O309" s="69" t="n">
        <f aca="false">O388</f>
        <v>-37684.2666666667</v>
      </c>
      <c r="P309" s="69" t="n">
        <f aca="false">P388</f>
        <v>-37684.2666666667</v>
      </c>
      <c r="Q309" s="69" t="n">
        <f aca="false">Q388</f>
        <v>-37684.2666666667</v>
      </c>
      <c r="R309" s="69" t="n">
        <f aca="false">R388</f>
        <v>-37684.2666666667</v>
      </c>
      <c r="S309" s="69" t="n">
        <f aca="false">S388</f>
        <v>-37684.2666666667</v>
      </c>
      <c r="T309" s="69" t="n">
        <f aca="false">T388</f>
        <v>-37684.2666666667</v>
      </c>
      <c r="U309" s="69" t="n">
        <f aca="false">U388</f>
        <v>-37684.2666666667</v>
      </c>
      <c r="V309" s="69" t="n">
        <f aca="false">V388</f>
        <v>-37684.2666666667</v>
      </c>
      <c r="W309" s="69" t="n">
        <f aca="false">W388</f>
        <v>-37684.2666666667</v>
      </c>
      <c r="X309" s="69" t="n">
        <f aca="false">X388</f>
        <v>-37684.2666666667</v>
      </c>
      <c r="Y309" s="69" t="n">
        <f aca="false">Y388</f>
        <v>-37684.2666666667</v>
      </c>
      <c r="Z309" s="69" t="n">
        <f aca="false">Z388</f>
        <v>-37684.2666666667</v>
      </c>
      <c r="AA309" s="69" t="n">
        <f aca="false">AA388</f>
        <v>-38814.7946666667</v>
      </c>
      <c r="AB309" s="69" t="n">
        <f aca="false">AB388</f>
        <v>-38814.7946666667</v>
      </c>
      <c r="AC309" s="69" t="n">
        <f aca="false">AC388</f>
        <v>-38814.7946666667</v>
      </c>
      <c r="AD309" s="69" t="n">
        <f aca="false">AD388</f>
        <v>-38814.7946666667</v>
      </c>
      <c r="AE309" s="69" t="n">
        <f aca="false">AE388</f>
        <v>-38814.7946666667</v>
      </c>
      <c r="AF309" s="69" t="n">
        <f aca="false">AF388</f>
        <v>-38814.7946666667</v>
      </c>
      <c r="AG309" s="69" t="n">
        <f aca="false">AG388</f>
        <v>-38814.7946666667</v>
      </c>
      <c r="AH309" s="69" t="n">
        <f aca="false">AH388</f>
        <v>-38814.7946666667</v>
      </c>
      <c r="AI309" s="69" t="n">
        <f aca="false">AI388</f>
        <v>-38814.7946666667</v>
      </c>
      <c r="AJ309" s="69" t="n">
        <f aca="false">AJ388</f>
        <v>-38814.7946666667</v>
      </c>
      <c r="AK309" s="69" t="n">
        <f aca="false">AK388</f>
        <v>-38814.7946666667</v>
      </c>
      <c r="AL309" s="69" t="n">
        <f aca="false">AL388</f>
        <v>-38814.7946666667</v>
      </c>
      <c r="AM309" s="69" t="n">
        <f aca="false">AM388</f>
        <v>-39979.2385066667</v>
      </c>
      <c r="AN309" s="69" t="n">
        <f aca="false">AN388</f>
        <v>-39979.2385066667</v>
      </c>
      <c r="AO309" s="69" t="n">
        <f aca="false">AO388</f>
        <v>-39979.2385066667</v>
      </c>
      <c r="AP309" s="69" t="n">
        <f aca="false">AP388</f>
        <v>-39979.2385066667</v>
      </c>
      <c r="AQ309" s="69" t="n">
        <f aca="false">AQ388</f>
        <v>-39979.2385066667</v>
      </c>
      <c r="AR309" s="69" t="n">
        <f aca="false">AR388</f>
        <v>-39979.2385066667</v>
      </c>
      <c r="AS309" s="69" t="n">
        <f aca="false">AS388</f>
        <v>-39979.2385066667</v>
      </c>
      <c r="AT309" s="69" t="n">
        <f aca="false">AT388</f>
        <v>-39979.2385066667</v>
      </c>
      <c r="AU309" s="69" t="n">
        <f aca="false">AU388</f>
        <v>-39979.2385066667</v>
      </c>
      <c r="AV309" s="69" t="n">
        <f aca="false">AV388</f>
        <v>-39979.2385066667</v>
      </c>
      <c r="AW309" s="69" t="n">
        <f aca="false">AW388</f>
        <v>-39979.2385066667</v>
      </c>
      <c r="AX309" s="69" t="n">
        <f aca="false">AX388</f>
        <v>-39979.2385066667</v>
      </c>
      <c r="AY309" s="69" t="n">
        <f aca="false">AY388</f>
        <v>-41178.6156618667</v>
      </c>
      <c r="AZ309" s="69" t="n">
        <f aca="false">AZ388</f>
        <v>-41178.6156618667</v>
      </c>
      <c r="BA309" s="69" t="n">
        <f aca="false">BA388</f>
        <v>-41178.6156618667</v>
      </c>
      <c r="BB309" s="69" t="n">
        <f aca="false">BB388</f>
        <v>-41178.6156618667</v>
      </c>
      <c r="BC309" s="69" t="n">
        <f aca="false">BC388</f>
        <v>-41178.6156618667</v>
      </c>
      <c r="BD309" s="69" t="n">
        <f aca="false">BD388</f>
        <v>-41178.6156618667</v>
      </c>
      <c r="BE309" s="69" t="n">
        <f aca="false">BE388</f>
        <v>-41178.6156618667</v>
      </c>
      <c r="BF309" s="69" t="n">
        <f aca="false">BF388</f>
        <v>-41178.6156618667</v>
      </c>
      <c r="BG309" s="69" t="n">
        <f aca="false">BG388</f>
        <v>-41178.6156618667</v>
      </c>
      <c r="BH309" s="69" t="n">
        <f aca="false">BH388</f>
        <v>-41178.6156618667</v>
      </c>
      <c r="BI309" s="69" t="n">
        <f aca="false">BI388</f>
        <v>-41178.6156618667</v>
      </c>
      <c r="BJ309" s="69" t="n">
        <f aca="false">BJ388</f>
        <v>-41178.6156618667</v>
      </c>
    </row>
    <row r="310" customFormat="false" ht="15" hidden="false" customHeight="false" outlineLevel="0" collapsed="false">
      <c r="A310" s="6" t="s">
        <v>343</v>
      </c>
      <c r="C310" s="69" t="n">
        <f aca="false">-Inputs!$D$42*(1+Inputs!$D$43)^(C$265-1)*1</f>
        <v>-30000</v>
      </c>
      <c r="D310" s="69" t="n">
        <f aca="false">-Inputs!$D$42*(1+Inputs!$D$43)^(D$265-1)*1</f>
        <v>-30000</v>
      </c>
      <c r="E310" s="69" t="n">
        <f aca="false">-Inputs!$D$42*(1+Inputs!$D$43)^(E$265-1)*1</f>
        <v>-30000</v>
      </c>
      <c r="F310" s="69" t="n">
        <f aca="false">-Inputs!$D$42*(1+Inputs!$D$43)^(F$265-1)*1</f>
        <v>-30000</v>
      </c>
      <c r="G310" s="69" t="n">
        <f aca="false">-Inputs!$D$42*(1+Inputs!$D$43)^(G$265-1)*1</f>
        <v>-30000</v>
      </c>
      <c r="H310" s="69" t="n">
        <f aca="false">-Inputs!$D$42*(1+Inputs!$D$43)^(H$265-1)*1</f>
        <v>-30000</v>
      </c>
      <c r="I310" s="69" t="n">
        <f aca="false">-Inputs!$D$42*(1+Inputs!$D$43)^(I$265-1)*1</f>
        <v>-30000</v>
      </c>
      <c r="J310" s="69" t="n">
        <f aca="false">-Inputs!$D$42*(1+Inputs!$D$43)^(J$265-1)*1</f>
        <v>-30000</v>
      </c>
      <c r="K310" s="69" t="n">
        <f aca="false">-Inputs!$D$42*(1+Inputs!$D$43)^(K$265-1)*1</f>
        <v>-30000</v>
      </c>
      <c r="L310" s="69" t="n">
        <f aca="false">-Inputs!$D$42*(1+Inputs!$D$43)^(L$265-1)*1</f>
        <v>-30000</v>
      </c>
      <c r="M310" s="69" t="n">
        <f aca="false">-Inputs!$D$42*(1+Inputs!$D$43)^(M$265-1)*1</f>
        <v>-30000</v>
      </c>
      <c r="N310" s="69" t="n">
        <f aca="false">-Inputs!$D$42*(1+Inputs!$D$43)^(N$265-1)*1</f>
        <v>-30000</v>
      </c>
      <c r="O310" s="69" t="n">
        <f aca="false">-Inputs!$D$42*(1+Inputs!$D$43)^(O$265-1)*1</f>
        <v>-30900</v>
      </c>
      <c r="P310" s="69" t="n">
        <f aca="false">-Inputs!$D$42*(1+Inputs!$D$43)^(P$265-1)*1</f>
        <v>-30900</v>
      </c>
      <c r="Q310" s="69" t="n">
        <f aca="false">-Inputs!$D$42*(1+Inputs!$D$43)^(Q$265-1)*1</f>
        <v>-30900</v>
      </c>
      <c r="R310" s="69" t="n">
        <f aca="false">-Inputs!$D$42*(1+Inputs!$D$43)^(R$265-1)*1</f>
        <v>-30900</v>
      </c>
      <c r="S310" s="69" t="n">
        <f aca="false">-Inputs!$D$42*(1+Inputs!$D$43)^(S$265-1)*1</f>
        <v>-30900</v>
      </c>
      <c r="T310" s="69" t="n">
        <f aca="false">-Inputs!$D$42*(1+Inputs!$D$43)^(T$265-1)*1</f>
        <v>-30900</v>
      </c>
      <c r="U310" s="69" t="n">
        <f aca="false">-Inputs!$D$42*(1+Inputs!$D$43)^(U$265-1)*1</f>
        <v>-30900</v>
      </c>
      <c r="V310" s="69" t="n">
        <f aca="false">-Inputs!$D$42*(1+Inputs!$D$43)^(V$265-1)*1</f>
        <v>-30900</v>
      </c>
      <c r="W310" s="69" t="n">
        <f aca="false">-Inputs!$D$42*(1+Inputs!$D$43)^(W$265-1)*1</f>
        <v>-30900</v>
      </c>
      <c r="X310" s="69" t="n">
        <f aca="false">-Inputs!$D$42*(1+Inputs!$D$43)^(X$265-1)*1</f>
        <v>-30900</v>
      </c>
      <c r="Y310" s="69" t="n">
        <f aca="false">-Inputs!$D$42*(1+Inputs!$D$43)^(Y$265-1)*1</f>
        <v>-30900</v>
      </c>
      <c r="Z310" s="69" t="n">
        <f aca="false">-Inputs!$D$42*(1+Inputs!$D$43)^(Z$265-1)*1</f>
        <v>-30900</v>
      </c>
      <c r="AA310" s="69" t="n">
        <f aca="false">-Inputs!$D$42*(1+Inputs!$D$43)^(AA$265-1)*1</f>
        <v>-31827</v>
      </c>
      <c r="AB310" s="69" t="n">
        <f aca="false">-Inputs!$D$42*(1+Inputs!$D$43)^(AB$265-1)*1</f>
        <v>-31827</v>
      </c>
      <c r="AC310" s="69" t="n">
        <f aca="false">-Inputs!$D$42*(1+Inputs!$D$43)^(AC$265-1)*1</f>
        <v>-31827</v>
      </c>
      <c r="AD310" s="69" t="n">
        <f aca="false">-Inputs!$D$42*(1+Inputs!$D$43)^(AD$265-1)*1</f>
        <v>-31827</v>
      </c>
      <c r="AE310" s="69" t="n">
        <f aca="false">-Inputs!$D$42*(1+Inputs!$D$43)^(AE$265-1)*1</f>
        <v>-31827</v>
      </c>
      <c r="AF310" s="69" t="n">
        <f aca="false">-Inputs!$D$42*(1+Inputs!$D$43)^(AF$265-1)*1</f>
        <v>-31827</v>
      </c>
      <c r="AG310" s="69" t="n">
        <f aca="false">-Inputs!$D$42*(1+Inputs!$D$43)^(AG$265-1)*1</f>
        <v>-31827</v>
      </c>
      <c r="AH310" s="69" t="n">
        <f aca="false">-Inputs!$D$42*(1+Inputs!$D$43)^(AH$265-1)*1</f>
        <v>-31827</v>
      </c>
      <c r="AI310" s="69" t="n">
        <f aca="false">-Inputs!$D$42*(1+Inputs!$D$43)^(AI$265-1)*1</f>
        <v>-31827</v>
      </c>
      <c r="AJ310" s="69" t="n">
        <f aca="false">-Inputs!$D$42*(1+Inputs!$D$43)^(AJ$265-1)*1</f>
        <v>-31827</v>
      </c>
      <c r="AK310" s="69" t="n">
        <f aca="false">-Inputs!$D$42*(1+Inputs!$D$43)^(AK$265-1)*1</f>
        <v>-31827</v>
      </c>
      <c r="AL310" s="69" t="n">
        <f aca="false">-Inputs!$D$42*(1+Inputs!$D$43)^(AL$265-1)*1</f>
        <v>-31827</v>
      </c>
      <c r="AM310" s="69" t="n">
        <f aca="false">-Inputs!$D$42*(1+Inputs!$D$43)^(AM$265-1)*1</f>
        <v>-32781.81</v>
      </c>
      <c r="AN310" s="69" t="n">
        <f aca="false">-Inputs!$D$42*(1+Inputs!$D$43)^(AN$265-1)*1</f>
        <v>-32781.81</v>
      </c>
      <c r="AO310" s="69" t="n">
        <f aca="false">-Inputs!$D$42*(1+Inputs!$D$43)^(AO$265-1)*1</f>
        <v>-32781.81</v>
      </c>
      <c r="AP310" s="69" t="n">
        <f aca="false">-Inputs!$D$42*(1+Inputs!$D$43)^(AP$265-1)*1</f>
        <v>-32781.81</v>
      </c>
      <c r="AQ310" s="69" t="n">
        <f aca="false">-Inputs!$D$42*(1+Inputs!$D$43)^(AQ$265-1)*1</f>
        <v>-32781.81</v>
      </c>
      <c r="AR310" s="69" t="n">
        <f aca="false">-Inputs!$D$42*(1+Inputs!$D$43)^(AR$265-1)*1</f>
        <v>-32781.81</v>
      </c>
      <c r="AS310" s="69" t="n">
        <f aca="false">-Inputs!$D$42*(1+Inputs!$D$43)^(AS$265-1)*1</f>
        <v>-32781.81</v>
      </c>
      <c r="AT310" s="69" t="n">
        <f aca="false">-Inputs!$D$42*(1+Inputs!$D$43)^(AT$265-1)*1</f>
        <v>-32781.81</v>
      </c>
      <c r="AU310" s="69" t="n">
        <f aca="false">-Inputs!$D$42*(1+Inputs!$D$43)^(AU$265-1)*1</f>
        <v>-32781.81</v>
      </c>
      <c r="AV310" s="69" t="n">
        <f aca="false">-Inputs!$D$42*(1+Inputs!$D$43)^(AV$265-1)*1</f>
        <v>-32781.81</v>
      </c>
      <c r="AW310" s="69" t="n">
        <f aca="false">-Inputs!$D$42*(1+Inputs!$D$43)^(AW$265-1)*1</f>
        <v>-32781.81</v>
      </c>
      <c r="AX310" s="69" t="n">
        <f aca="false">-Inputs!$D$42*(1+Inputs!$D$43)^(AX$265-1)*1</f>
        <v>-32781.81</v>
      </c>
      <c r="AY310" s="69" t="n">
        <f aca="false">-Inputs!$D$42*(1+Inputs!$D$43)^(AY$265-1)*1</f>
        <v>-33765.2643</v>
      </c>
      <c r="AZ310" s="69" t="n">
        <f aca="false">-Inputs!$D$42*(1+Inputs!$D$43)^(AZ$265-1)*1</f>
        <v>-33765.2643</v>
      </c>
      <c r="BA310" s="69" t="n">
        <f aca="false">-Inputs!$D$42*(1+Inputs!$D$43)^(BA$265-1)*1</f>
        <v>-33765.2643</v>
      </c>
      <c r="BB310" s="69" t="n">
        <f aca="false">-Inputs!$D$42*(1+Inputs!$D$43)^(BB$265-1)*1</f>
        <v>-33765.2643</v>
      </c>
      <c r="BC310" s="69" t="n">
        <f aca="false">-Inputs!$D$42*(1+Inputs!$D$43)^(BC$265-1)*1</f>
        <v>-33765.2643</v>
      </c>
      <c r="BD310" s="69" t="n">
        <f aca="false">-Inputs!$D$42*(1+Inputs!$D$43)^(BD$265-1)*1</f>
        <v>-33765.2643</v>
      </c>
      <c r="BE310" s="69" t="n">
        <f aca="false">-Inputs!$D$42*(1+Inputs!$D$43)^(BE$265-1)*1</f>
        <v>-33765.2643</v>
      </c>
      <c r="BF310" s="69" t="n">
        <f aca="false">-Inputs!$D$42*(1+Inputs!$D$43)^(BF$265-1)*1</f>
        <v>-33765.2643</v>
      </c>
      <c r="BG310" s="69" t="n">
        <f aca="false">-Inputs!$D$42*(1+Inputs!$D$43)^(BG$265-1)*1</f>
        <v>-33765.2643</v>
      </c>
      <c r="BH310" s="69" t="n">
        <f aca="false">-Inputs!$D$42*(1+Inputs!$D$43)^(BH$265-1)*1</f>
        <v>-33765.2643</v>
      </c>
      <c r="BI310" s="69" t="n">
        <f aca="false">-Inputs!$D$42*(1+Inputs!$D$43)^(BI$265-1)*1</f>
        <v>-33765.2643</v>
      </c>
      <c r="BJ310" s="69" t="n">
        <f aca="false">-Inputs!$D$42*(1+Inputs!$D$43)^(BJ$265-1)*1</f>
        <v>-33765.2643</v>
      </c>
    </row>
    <row r="311" customFormat="false" ht="15" hidden="false" customHeight="false" outlineLevel="0" collapsed="false">
      <c r="A311" s="6" t="s">
        <v>344</v>
      </c>
      <c r="C311" s="69" t="n">
        <f aca="false">-Inputs!$D$44*(1+Inputs!$D$39)^(C$265-1)*1</f>
        <v>-5500</v>
      </c>
      <c r="D311" s="69" t="n">
        <f aca="false">-Inputs!$D$44*(1+Inputs!$D$39)^(D$265-1)*1</f>
        <v>-5500</v>
      </c>
      <c r="E311" s="69" t="n">
        <f aca="false">-Inputs!$D$44*(1+Inputs!$D$39)^(E$265-1)*1</f>
        <v>-5500</v>
      </c>
      <c r="F311" s="69" t="n">
        <f aca="false">-Inputs!$D$44*(1+Inputs!$D$39)^(F$265-1)*1</f>
        <v>-5500</v>
      </c>
      <c r="G311" s="69" t="n">
        <f aca="false">-Inputs!$D$44*(1+Inputs!$D$39)^(G$265-1)*1</f>
        <v>-5500</v>
      </c>
      <c r="H311" s="69" t="n">
        <f aca="false">-Inputs!$D$44*(1+Inputs!$D$39)^(H$265-1)*1</f>
        <v>-5500</v>
      </c>
      <c r="I311" s="69" t="n">
        <f aca="false">-Inputs!$D$44*(1+Inputs!$D$39)^(I$265-1)*1</f>
        <v>-5500</v>
      </c>
      <c r="J311" s="69" t="n">
        <f aca="false">-Inputs!$D$44*(1+Inputs!$D$39)^(J$265-1)*1</f>
        <v>-5500</v>
      </c>
      <c r="K311" s="69" t="n">
        <f aca="false">-Inputs!$D$44*(1+Inputs!$D$39)^(K$265-1)*1</f>
        <v>-5500</v>
      </c>
      <c r="L311" s="69" t="n">
        <f aca="false">-Inputs!$D$44*(1+Inputs!$D$39)^(L$265-1)*1</f>
        <v>-5500</v>
      </c>
      <c r="M311" s="69" t="n">
        <f aca="false">-Inputs!$D$44*(1+Inputs!$D$39)^(M$265-1)*1</f>
        <v>-5500</v>
      </c>
      <c r="N311" s="69" t="n">
        <f aca="false">-Inputs!$D$44*(1+Inputs!$D$39)^(N$265-1)*1</f>
        <v>-5500</v>
      </c>
      <c r="O311" s="69" t="n">
        <f aca="false">-Inputs!$D$44*(1+Inputs!$D$39)^(O$265-1)*1</f>
        <v>-5637.5</v>
      </c>
      <c r="P311" s="69" t="n">
        <f aca="false">-Inputs!$D$44*(1+Inputs!$D$39)^(P$265-1)*1</f>
        <v>-5637.5</v>
      </c>
      <c r="Q311" s="69" t="n">
        <f aca="false">-Inputs!$D$44*(1+Inputs!$D$39)^(Q$265-1)*1</f>
        <v>-5637.5</v>
      </c>
      <c r="R311" s="69" t="n">
        <f aca="false">-Inputs!$D$44*(1+Inputs!$D$39)^(R$265-1)*1</f>
        <v>-5637.5</v>
      </c>
      <c r="S311" s="69" t="n">
        <f aca="false">-Inputs!$D$44*(1+Inputs!$D$39)^(S$265-1)*1</f>
        <v>-5637.5</v>
      </c>
      <c r="T311" s="69" t="n">
        <f aca="false">-Inputs!$D$44*(1+Inputs!$D$39)^(T$265-1)*1</f>
        <v>-5637.5</v>
      </c>
      <c r="U311" s="69" t="n">
        <f aca="false">-Inputs!$D$44*(1+Inputs!$D$39)^(U$265-1)*1</f>
        <v>-5637.5</v>
      </c>
      <c r="V311" s="69" t="n">
        <f aca="false">-Inputs!$D$44*(1+Inputs!$D$39)^(V$265-1)*1</f>
        <v>-5637.5</v>
      </c>
      <c r="W311" s="69" t="n">
        <f aca="false">-Inputs!$D$44*(1+Inputs!$D$39)^(W$265-1)*1</f>
        <v>-5637.5</v>
      </c>
      <c r="X311" s="69" t="n">
        <f aca="false">-Inputs!$D$44*(1+Inputs!$D$39)^(X$265-1)*1</f>
        <v>-5637.5</v>
      </c>
      <c r="Y311" s="69" t="n">
        <f aca="false">-Inputs!$D$44*(1+Inputs!$D$39)^(Y$265-1)*1</f>
        <v>-5637.5</v>
      </c>
      <c r="Z311" s="69" t="n">
        <f aca="false">-Inputs!$D$44*(1+Inputs!$D$39)^(Z$265-1)*1</f>
        <v>-5637.5</v>
      </c>
      <c r="AA311" s="69" t="n">
        <f aca="false">-Inputs!$D$44*(1+Inputs!$D$39)^(AA$265-1)*1</f>
        <v>-5778.4375</v>
      </c>
      <c r="AB311" s="69" t="n">
        <f aca="false">-Inputs!$D$44*(1+Inputs!$D$39)^(AB$265-1)*1</f>
        <v>-5778.4375</v>
      </c>
      <c r="AC311" s="69" t="n">
        <f aca="false">-Inputs!$D$44*(1+Inputs!$D$39)^(AC$265-1)*1</f>
        <v>-5778.4375</v>
      </c>
      <c r="AD311" s="69" t="n">
        <f aca="false">-Inputs!$D$44*(1+Inputs!$D$39)^(AD$265-1)*1</f>
        <v>-5778.4375</v>
      </c>
      <c r="AE311" s="69" t="n">
        <f aca="false">-Inputs!$D$44*(1+Inputs!$D$39)^(AE$265-1)*1</f>
        <v>-5778.4375</v>
      </c>
      <c r="AF311" s="69" t="n">
        <f aca="false">-Inputs!$D$44*(1+Inputs!$D$39)^(AF$265-1)*1</f>
        <v>-5778.4375</v>
      </c>
      <c r="AG311" s="69" t="n">
        <f aca="false">-Inputs!$D$44*(1+Inputs!$D$39)^(AG$265-1)*1</f>
        <v>-5778.4375</v>
      </c>
      <c r="AH311" s="69" t="n">
        <f aca="false">-Inputs!$D$44*(1+Inputs!$D$39)^(AH$265-1)*1</f>
        <v>-5778.4375</v>
      </c>
      <c r="AI311" s="69" t="n">
        <f aca="false">-Inputs!$D$44*(1+Inputs!$D$39)^(AI$265-1)*1</f>
        <v>-5778.4375</v>
      </c>
      <c r="AJ311" s="69" t="n">
        <f aca="false">-Inputs!$D$44*(1+Inputs!$D$39)^(AJ$265-1)*1</f>
        <v>-5778.4375</v>
      </c>
      <c r="AK311" s="69" t="n">
        <f aca="false">-Inputs!$D$44*(1+Inputs!$D$39)^(AK$265-1)*1</f>
        <v>-5778.4375</v>
      </c>
      <c r="AL311" s="69" t="n">
        <f aca="false">-Inputs!$D$44*(1+Inputs!$D$39)^(AL$265-1)*1</f>
        <v>-5778.4375</v>
      </c>
      <c r="AM311" s="69" t="n">
        <f aca="false">-Inputs!$D$44*(1+Inputs!$D$39)^(AM$265-1)*1</f>
        <v>-5922.8984375</v>
      </c>
      <c r="AN311" s="69" t="n">
        <f aca="false">-Inputs!$D$44*(1+Inputs!$D$39)^(AN$265-1)*1</f>
        <v>-5922.8984375</v>
      </c>
      <c r="AO311" s="69" t="n">
        <f aca="false">-Inputs!$D$44*(1+Inputs!$D$39)^(AO$265-1)*1</f>
        <v>-5922.8984375</v>
      </c>
      <c r="AP311" s="69" t="n">
        <f aca="false">-Inputs!$D$44*(1+Inputs!$D$39)^(AP$265-1)*1</f>
        <v>-5922.8984375</v>
      </c>
      <c r="AQ311" s="69" t="n">
        <f aca="false">-Inputs!$D$44*(1+Inputs!$D$39)^(AQ$265-1)*1</f>
        <v>-5922.8984375</v>
      </c>
      <c r="AR311" s="69" t="n">
        <f aca="false">-Inputs!$D$44*(1+Inputs!$D$39)^(AR$265-1)*1</f>
        <v>-5922.8984375</v>
      </c>
      <c r="AS311" s="69" t="n">
        <f aca="false">-Inputs!$D$44*(1+Inputs!$D$39)^(AS$265-1)*1</f>
        <v>-5922.8984375</v>
      </c>
      <c r="AT311" s="69" t="n">
        <f aca="false">-Inputs!$D$44*(1+Inputs!$D$39)^(AT$265-1)*1</f>
        <v>-5922.8984375</v>
      </c>
      <c r="AU311" s="69" t="n">
        <f aca="false">-Inputs!$D$44*(1+Inputs!$D$39)^(AU$265-1)*1</f>
        <v>-5922.8984375</v>
      </c>
      <c r="AV311" s="69" t="n">
        <f aca="false">-Inputs!$D$44*(1+Inputs!$D$39)^(AV$265-1)*1</f>
        <v>-5922.8984375</v>
      </c>
      <c r="AW311" s="69" t="n">
        <f aca="false">-Inputs!$D$44*(1+Inputs!$D$39)^(AW$265-1)*1</f>
        <v>-5922.8984375</v>
      </c>
      <c r="AX311" s="69" t="n">
        <f aca="false">-Inputs!$D$44*(1+Inputs!$D$39)^(AX$265-1)*1</f>
        <v>-5922.8984375</v>
      </c>
      <c r="AY311" s="69" t="n">
        <f aca="false">-Inputs!$D$44*(1+Inputs!$D$39)^(AY$265-1)*1</f>
        <v>-6070.9708984375</v>
      </c>
      <c r="AZ311" s="69" t="n">
        <f aca="false">-Inputs!$D$44*(1+Inputs!$D$39)^(AZ$265-1)*1</f>
        <v>-6070.9708984375</v>
      </c>
      <c r="BA311" s="69" t="n">
        <f aca="false">-Inputs!$D$44*(1+Inputs!$D$39)^(BA$265-1)*1</f>
        <v>-6070.9708984375</v>
      </c>
      <c r="BB311" s="69" t="n">
        <f aca="false">-Inputs!$D$44*(1+Inputs!$D$39)^(BB$265-1)*1</f>
        <v>-6070.9708984375</v>
      </c>
      <c r="BC311" s="69" t="n">
        <f aca="false">-Inputs!$D$44*(1+Inputs!$D$39)^(BC$265-1)*1</f>
        <v>-6070.9708984375</v>
      </c>
      <c r="BD311" s="69" t="n">
        <f aca="false">-Inputs!$D$44*(1+Inputs!$D$39)^(BD$265-1)*1</f>
        <v>-6070.9708984375</v>
      </c>
      <c r="BE311" s="69" t="n">
        <f aca="false">-Inputs!$D$44*(1+Inputs!$D$39)^(BE$265-1)*1</f>
        <v>-6070.9708984375</v>
      </c>
      <c r="BF311" s="69" t="n">
        <f aca="false">-Inputs!$D$44*(1+Inputs!$D$39)^(BF$265-1)*1</f>
        <v>-6070.9708984375</v>
      </c>
      <c r="BG311" s="69" t="n">
        <f aca="false">-Inputs!$D$44*(1+Inputs!$D$39)^(BG$265-1)*1</f>
        <v>-6070.9708984375</v>
      </c>
      <c r="BH311" s="69" t="n">
        <f aca="false">-Inputs!$D$44*(1+Inputs!$D$39)^(BH$265-1)*1</f>
        <v>-6070.9708984375</v>
      </c>
      <c r="BI311" s="69" t="n">
        <f aca="false">-Inputs!$D$44*(1+Inputs!$D$39)^(BI$265-1)*1</f>
        <v>-6070.9708984375</v>
      </c>
      <c r="BJ311" s="69" t="n">
        <f aca="false">-Inputs!$D$44*(1+Inputs!$D$39)^(BJ$265-1)*1</f>
        <v>-6070.9708984375</v>
      </c>
    </row>
    <row r="312" customFormat="false" ht="15" hidden="false" customHeight="false" outlineLevel="0" collapsed="false">
      <c r="A312" s="6" t="s">
        <v>345</v>
      </c>
      <c r="C312" s="69" t="n">
        <f aca="false">-Inputs!$D$45*(1+Inputs!$D$39)^(C$265-1)*1</f>
        <v>-9500</v>
      </c>
      <c r="D312" s="69" t="n">
        <f aca="false">-Inputs!$D$45*(1+Inputs!$D$39)^(D$265-1)*1</f>
        <v>-9500</v>
      </c>
      <c r="E312" s="69" t="n">
        <f aca="false">-Inputs!$D$45*(1+Inputs!$D$39)^(E$265-1)*1</f>
        <v>-9500</v>
      </c>
      <c r="F312" s="69" t="n">
        <f aca="false">-Inputs!$D$45*(1+Inputs!$D$39)^(F$265-1)*1</f>
        <v>-9500</v>
      </c>
      <c r="G312" s="69" t="n">
        <f aca="false">-Inputs!$D$45*(1+Inputs!$D$39)^(G$265-1)*1</f>
        <v>-9500</v>
      </c>
      <c r="H312" s="69" t="n">
        <f aca="false">-Inputs!$D$45*(1+Inputs!$D$39)^(H$265-1)*1</f>
        <v>-9500</v>
      </c>
      <c r="I312" s="69" t="n">
        <f aca="false">-Inputs!$D$45*(1+Inputs!$D$39)^(I$265-1)*1</f>
        <v>-9500</v>
      </c>
      <c r="J312" s="69" t="n">
        <f aca="false">-Inputs!$D$45*(1+Inputs!$D$39)^(J$265-1)*1</f>
        <v>-9500</v>
      </c>
      <c r="K312" s="69" t="n">
        <f aca="false">-Inputs!$D$45*(1+Inputs!$D$39)^(K$265-1)*1</f>
        <v>-9500</v>
      </c>
      <c r="L312" s="69" t="n">
        <f aca="false">-Inputs!$D$45*(1+Inputs!$D$39)^(L$265-1)*1</f>
        <v>-9500</v>
      </c>
      <c r="M312" s="69" t="n">
        <f aca="false">-Inputs!$D$45*(1+Inputs!$D$39)^(M$265-1)*1</f>
        <v>-9500</v>
      </c>
      <c r="N312" s="69" t="n">
        <f aca="false">-Inputs!$D$45*(1+Inputs!$D$39)^(N$265-1)*1</f>
        <v>-9500</v>
      </c>
      <c r="O312" s="69" t="n">
        <f aca="false">-Inputs!$D$45*(1+Inputs!$D$39)^(O$265-1)*1</f>
        <v>-9737.5</v>
      </c>
      <c r="P312" s="69" t="n">
        <f aca="false">-Inputs!$D$45*(1+Inputs!$D$39)^(P$265-1)*1</f>
        <v>-9737.5</v>
      </c>
      <c r="Q312" s="69" t="n">
        <f aca="false">-Inputs!$D$45*(1+Inputs!$D$39)^(Q$265-1)*1</f>
        <v>-9737.5</v>
      </c>
      <c r="R312" s="69" t="n">
        <f aca="false">-Inputs!$D$45*(1+Inputs!$D$39)^(R$265-1)*1</f>
        <v>-9737.5</v>
      </c>
      <c r="S312" s="69" t="n">
        <f aca="false">-Inputs!$D$45*(1+Inputs!$D$39)^(S$265-1)*1</f>
        <v>-9737.5</v>
      </c>
      <c r="T312" s="69" t="n">
        <f aca="false">-Inputs!$D$45*(1+Inputs!$D$39)^(T$265-1)*1</f>
        <v>-9737.5</v>
      </c>
      <c r="U312" s="69" t="n">
        <f aca="false">-Inputs!$D$45*(1+Inputs!$D$39)^(U$265-1)*1</f>
        <v>-9737.5</v>
      </c>
      <c r="V312" s="69" t="n">
        <f aca="false">-Inputs!$D$45*(1+Inputs!$D$39)^(V$265-1)*1</f>
        <v>-9737.5</v>
      </c>
      <c r="W312" s="69" t="n">
        <f aca="false">-Inputs!$D$45*(1+Inputs!$D$39)^(W$265-1)*1</f>
        <v>-9737.5</v>
      </c>
      <c r="X312" s="69" t="n">
        <f aca="false">-Inputs!$D$45*(1+Inputs!$D$39)^(X$265-1)*1</f>
        <v>-9737.5</v>
      </c>
      <c r="Y312" s="69" t="n">
        <f aca="false">-Inputs!$D$45*(1+Inputs!$D$39)^(Y$265-1)*1</f>
        <v>-9737.5</v>
      </c>
      <c r="Z312" s="69" t="n">
        <f aca="false">-Inputs!$D$45*(1+Inputs!$D$39)^(Z$265-1)*1</f>
        <v>-9737.5</v>
      </c>
      <c r="AA312" s="69" t="n">
        <f aca="false">-Inputs!$D$45*(1+Inputs!$D$39)^(AA$265-1)*1</f>
        <v>-9980.9375</v>
      </c>
      <c r="AB312" s="69" t="n">
        <f aca="false">-Inputs!$D$45*(1+Inputs!$D$39)^(AB$265-1)*1</f>
        <v>-9980.9375</v>
      </c>
      <c r="AC312" s="69" t="n">
        <f aca="false">-Inputs!$D$45*(1+Inputs!$D$39)^(AC$265-1)*1</f>
        <v>-9980.9375</v>
      </c>
      <c r="AD312" s="69" t="n">
        <f aca="false">-Inputs!$D$45*(1+Inputs!$D$39)^(AD$265-1)*1</f>
        <v>-9980.9375</v>
      </c>
      <c r="AE312" s="69" t="n">
        <f aca="false">-Inputs!$D$45*(1+Inputs!$D$39)^(AE$265-1)*1</f>
        <v>-9980.9375</v>
      </c>
      <c r="AF312" s="69" t="n">
        <f aca="false">-Inputs!$D$45*(1+Inputs!$D$39)^(AF$265-1)*1</f>
        <v>-9980.9375</v>
      </c>
      <c r="AG312" s="69" t="n">
        <f aca="false">-Inputs!$D$45*(1+Inputs!$D$39)^(AG$265-1)*1</f>
        <v>-9980.9375</v>
      </c>
      <c r="AH312" s="69" t="n">
        <f aca="false">-Inputs!$D$45*(1+Inputs!$D$39)^(AH$265-1)*1</f>
        <v>-9980.9375</v>
      </c>
      <c r="AI312" s="69" t="n">
        <f aca="false">-Inputs!$D$45*(1+Inputs!$D$39)^(AI$265-1)*1</f>
        <v>-9980.9375</v>
      </c>
      <c r="AJ312" s="69" t="n">
        <f aca="false">-Inputs!$D$45*(1+Inputs!$D$39)^(AJ$265-1)*1</f>
        <v>-9980.9375</v>
      </c>
      <c r="AK312" s="69" t="n">
        <f aca="false">-Inputs!$D$45*(1+Inputs!$D$39)^(AK$265-1)*1</f>
        <v>-9980.9375</v>
      </c>
      <c r="AL312" s="69" t="n">
        <f aca="false">-Inputs!$D$45*(1+Inputs!$D$39)^(AL$265-1)*1</f>
        <v>-9980.9375</v>
      </c>
      <c r="AM312" s="69" t="n">
        <f aca="false">-Inputs!$D$45*(1+Inputs!$D$39)^(AM$265-1)*1</f>
        <v>-10230.4609375</v>
      </c>
      <c r="AN312" s="69" t="n">
        <f aca="false">-Inputs!$D$45*(1+Inputs!$D$39)^(AN$265-1)*1</f>
        <v>-10230.4609375</v>
      </c>
      <c r="AO312" s="69" t="n">
        <f aca="false">-Inputs!$D$45*(1+Inputs!$D$39)^(AO$265-1)*1</f>
        <v>-10230.4609375</v>
      </c>
      <c r="AP312" s="69" t="n">
        <f aca="false">-Inputs!$D$45*(1+Inputs!$D$39)^(AP$265-1)*1</f>
        <v>-10230.4609375</v>
      </c>
      <c r="AQ312" s="69" t="n">
        <f aca="false">-Inputs!$D$45*(1+Inputs!$D$39)^(AQ$265-1)*1</f>
        <v>-10230.4609375</v>
      </c>
      <c r="AR312" s="69" t="n">
        <f aca="false">-Inputs!$D$45*(1+Inputs!$D$39)^(AR$265-1)*1</f>
        <v>-10230.4609375</v>
      </c>
      <c r="AS312" s="69" t="n">
        <f aca="false">-Inputs!$D$45*(1+Inputs!$D$39)^(AS$265-1)*1</f>
        <v>-10230.4609375</v>
      </c>
      <c r="AT312" s="69" t="n">
        <f aca="false">-Inputs!$D$45*(1+Inputs!$D$39)^(AT$265-1)*1</f>
        <v>-10230.4609375</v>
      </c>
      <c r="AU312" s="69" t="n">
        <f aca="false">-Inputs!$D$45*(1+Inputs!$D$39)^(AU$265-1)*1</f>
        <v>-10230.4609375</v>
      </c>
      <c r="AV312" s="69" t="n">
        <f aca="false">-Inputs!$D$45*(1+Inputs!$D$39)^(AV$265-1)*1</f>
        <v>-10230.4609375</v>
      </c>
      <c r="AW312" s="69" t="n">
        <f aca="false">-Inputs!$D$45*(1+Inputs!$D$39)^(AW$265-1)*1</f>
        <v>-10230.4609375</v>
      </c>
      <c r="AX312" s="69" t="n">
        <f aca="false">-Inputs!$D$45*(1+Inputs!$D$39)^(AX$265-1)*1</f>
        <v>-10230.4609375</v>
      </c>
      <c r="AY312" s="69" t="n">
        <f aca="false">-Inputs!$D$45*(1+Inputs!$D$39)^(AY$265-1)*1</f>
        <v>-10486.2224609375</v>
      </c>
      <c r="AZ312" s="69" t="n">
        <f aca="false">-Inputs!$D$45*(1+Inputs!$D$39)^(AZ$265-1)*1</f>
        <v>-10486.2224609375</v>
      </c>
      <c r="BA312" s="69" t="n">
        <f aca="false">-Inputs!$D$45*(1+Inputs!$D$39)^(BA$265-1)*1</f>
        <v>-10486.2224609375</v>
      </c>
      <c r="BB312" s="69" t="n">
        <f aca="false">-Inputs!$D$45*(1+Inputs!$D$39)^(BB$265-1)*1</f>
        <v>-10486.2224609375</v>
      </c>
      <c r="BC312" s="69" t="n">
        <f aca="false">-Inputs!$D$45*(1+Inputs!$D$39)^(BC$265-1)*1</f>
        <v>-10486.2224609375</v>
      </c>
      <c r="BD312" s="69" t="n">
        <f aca="false">-Inputs!$D$45*(1+Inputs!$D$39)^(BD$265-1)*1</f>
        <v>-10486.2224609375</v>
      </c>
      <c r="BE312" s="69" t="n">
        <f aca="false">-Inputs!$D$45*(1+Inputs!$D$39)^(BE$265-1)*1</f>
        <v>-10486.2224609375</v>
      </c>
      <c r="BF312" s="69" t="n">
        <f aca="false">-Inputs!$D$45*(1+Inputs!$D$39)^(BF$265-1)*1</f>
        <v>-10486.2224609375</v>
      </c>
      <c r="BG312" s="69" t="n">
        <f aca="false">-Inputs!$D$45*(1+Inputs!$D$39)^(BG$265-1)*1</f>
        <v>-10486.2224609375</v>
      </c>
      <c r="BH312" s="69" t="n">
        <f aca="false">-Inputs!$D$45*(1+Inputs!$D$39)^(BH$265-1)*1</f>
        <v>-10486.2224609375</v>
      </c>
      <c r="BI312" s="69" t="n">
        <f aca="false">-Inputs!$D$45*(1+Inputs!$D$39)^(BI$265-1)*1</f>
        <v>-10486.2224609375</v>
      </c>
      <c r="BJ312" s="69" t="n">
        <f aca="false">-Inputs!$D$45*(1+Inputs!$D$39)^(BJ$265-1)*1</f>
        <v>-10486.2224609375</v>
      </c>
    </row>
    <row r="313" customFormat="false" ht="15" hidden="false" customHeight="false" outlineLevel="0" collapsed="false">
      <c r="A313" s="6" t="s">
        <v>346</v>
      </c>
      <c r="C313" s="69" t="n">
        <f aca="false">-Inputs!$D$46*(1+Inputs!$D$47)^(C$265-1)*1</f>
        <v>-12000</v>
      </c>
      <c r="D313" s="69" t="n">
        <f aca="false">-Inputs!$D$46*(1+Inputs!$D$47)^(D$265-1)*1</f>
        <v>-12000</v>
      </c>
      <c r="E313" s="69" t="n">
        <f aca="false">-Inputs!$D$46*(1+Inputs!$D$47)^(E$265-1)*1</f>
        <v>-12000</v>
      </c>
      <c r="F313" s="69" t="n">
        <f aca="false">-Inputs!$D$46*(1+Inputs!$D$47)^(F$265-1)*1</f>
        <v>-12000</v>
      </c>
      <c r="G313" s="69" t="n">
        <f aca="false">-Inputs!$D$46*(1+Inputs!$D$47)^(G$265-1)*1</f>
        <v>-12000</v>
      </c>
      <c r="H313" s="69" t="n">
        <f aca="false">-Inputs!$D$46*(1+Inputs!$D$47)^(H$265-1)*1</f>
        <v>-12000</v>
      </c>
      <c r="I313" s="69" t="n">
        <f aca="false">-Inputs!$D$46*(1+Inputs!$D$47)^(I$265-1)*1</f>
        <v>-12000</v>
      </c>
      <c r="J313" s="69" t="n">
        <f aca="false">-Inputs!$D$46*(1+Inputs!$D$47)^(J$265-1)*1</f>
        <v>-12000</v>
      </c>
      <c r="K313" s="69" t="n">
        <f aca="false">-Inputs!$D$46*(1+Inputs!$D$47)^(K$265-1)*1</f>
        <v>-12000</v>
      </c>
      <c r="L313" s="69" t="n">
        <f aca="false">-Inputs!$D$46*(1+Inputs!$D$47)^(L$265-1)*1</f>
        <v>-12000</v>
      </c>
      <c r="M313" s="69" t="n">
        <f aca="false">-Inputs!$D$46*(1+Inputs!$D$47)^(M$265-1)*1</f>
        <v>-12000</v>
      </c>
      <c r="N313" s="69" t="n">
        <f aca="false">-Inputs!$D$46*(1+Inputs!$D$47)^(N$265-1)*1</f>
        <v>-12000</v>
      </c>
      <c r="O313" s="69" t="n">
        <f aca="false">-Inputs!$D$46*(1+Inputs!$D$47)^(O$265-1)*1</f>
        <v>-10800</v>
      </c>
      <c r="P313" s="69" t="n">
        <f aca="false">-Inputs!$D$46*(1+Inputs!$D$47)^(P$265-1)*1</f>
        <v>-10800</v>
      </c>
      <c r="Q313" s="69" t="n">
        <f aca="false">-Inputs!$D$46*(1+Inputs!$D$47)^(Q$265-1)*1</f>
        <v>-10800</v>
      </c>
      <c r="R313" s="69" t="n">
        <f aca="false">-Inputs!$D$46*(1+Inputs!$D$47)^(R$265-1)*1</f>
        <v>-10800</v>
      </c>
      <c r="S313" s="69" t="n">
        <f aca="false">-Inputs!$D$46*(1+Inputs!$D$47)^(S$265-1)*1</f>
        <v>-10800</v>
      </c>
      <c r="T313" s="69" t="n">
        <f aca="false">-Inputs!$D$46*(1+Inputs!$D$47)^(T$265-1)*1</f>
        <v>-10800</v>
      </c>
      <c r="U313" s="69" t="n">
        <f aca="false">-Inputs!$D$46*(1+Inputs!$D$47)^(U$265-1)*1</f>
        <v>-10800</v>
      </c>
      <c r="V313" s="69" t="n">
        <f aca="false">-Inputs!$D$46*(1+Inputs!$D$47)^(V$265-1)*1</f>
        <v>-10800</v>
      </c>
      <c r="W313" s="69" t="n">
        <f aca="false">-Inputs!$D$46*(1+Inputs!$D$47)^(W$265-1)*1</f>
        <v>-10800</v>
      </c>
      <c r="X313" s="69" t="n">
        <f aca="false">-Inputs!$D$46*(1+Inputs!$D$47)^(X$265-1)*1</f>
        <v>-10800</v>
      </c>
      <c r="Y313" s="69" t="n">
        <f aca="false">-Inputs!$D$46*(1+Inputs!$D$47)^(Y$265-1)*1</f>
        <v>-10800</v>
      </c>
      <c r="Z313" s="69" t="n">
        <f aca="false">-Inputs!$D$46*(1+Inputs!$D$47)^(Z$265-1)*1</f>
        <v>-10800</v>
      </c>
      <c r="AA313" s="69" t="n">
        <f aca="false">-Inputs!$D$46*(1+Inputs!$D$47)^(AA$265-1)*1</f>
        <v>-9720</v>
      </c>
      <c r="AB313" s="69" t="n">
        <f aca="false">-Inputs!$D$46*(1+Inputs!$D$47)^(AB$265-1)*1</f>
        <v>-9720</v>
      </c>
      <c r="AC313" s="69" t="n">
        <f aca="false">-Inputs!$D$46*(1+Inputs!$D$47)^(AC$265-1)*1</f>
        <v>-9720</v>
      </c>
      <c r="AD313" s="69" t="n">
        <f aca="false">-Inputs!$D$46*(1+Inputs!$D$47)^(AD$265-1)*1</f>
        <v>-9720</v>
      </c>
      <c r="AE313" s="69" t="n">
        <f aca="false">-Inputs!$D$46*(1+Inputs!$D$47)^(AE$265-1)*1</f>
        <v>-9720</v>
      </c>
      <c r="AF313" s="69" t="n">
        <f aca="false">-Inputs!$D$46*(1+Inputs!$D$47)^(AF$265-1)*1</f>
        <v>-9720</v>
      </c>
      <c r="AG313" s="69" t="n">
        <f aca="false">-Inputs!$D$46*(1+Inputs!$D$47)^(AG$265-1)*1</f>
        <v>-9720</v>
      </c>
      <c r="AH313" s="69" t="n">
        <f aca="false">-Inputs!$D$46*(1+Inputs!$D$47)^(AH$265-1)*1</f>
        <v>-9720</v>
      </c>
      <c r="AI313" s="69" t="n">
        <f aca="false">-Inputs!$D$46*(1+Inputs!$D$47)^(AI$265-1)*1</f>
        <v>-9720</v>
      </c>
      <c r="AJ313" s="69" t="n">
        <f aca="false">-Inputs!$D$46*(1+Inputs!$D$47)^(AJ$265-1)*1</f>
        <v>-9720</v>
      </c>
      <c r="AK313" s="69" t="n">
        <f aca="false">-Inputs!$D$46*(1+Inputs!$D$47)^(AK$265-1)*1</f>
        <v>-9720</v>
      </c>
      <c r="AL313" s="69" t="n">
        <f aca="false">-Inputs!$D$46*(1+Inputs!$D$47)^(AL$265-1)*1</f>
        <v>-9720</v>
      </c>
      <c r="AM313" s="69" t="n">
        <f aca="false">-Inputs!$D$46*(1+Inputs!$D$47)^(AM$265-1)*1</f>
        <v>-8748</v>
      </c>
      <c r="AN313" s="69" t="n">
        <f aca="false">-Inputs!$D$46*(1+Inputs!$D$47)^(AN$265-1)*1</f>
        <v>-8748</v>
      </c>
      <c r="AO313" s="69" t="n">
        <f aca="false">-Inputs!$D$46*(1+Inputs!$D$47)^(AO$265-1)*1</f>
        <v>-8748</v>
      </c>
      <c r="AP313" s="69" t="n">
        <f aca="false">-Inputs!$D$46*(1+Inputs!$D$47)^(AP$265-1)*1</f>
        <v>-8748</v>
      </c>
      <c r="AQ313" s="69" t="n">
        <f aca="false">-Inputs!$D$46*(1+Inputs!$D$47)^(AQ$265-1)*1</f>
        <v>-8748</v>
      </c>
      <c r="AR313" s="69" t="n">
        <f aca="false">-Inputs!$D$46*(1+Inputs!$D$47)^(AR$265-1)*1</f>
        <v>-8748</v>
      </c>
      <c r="AS313" s="69" t="n">
        <f aca="false">-Inputs!$D$46*(1+Inputs!$D$47)^(AS$265-1)*1</f>
        <v>-8748</v>
      </c>
      <c r="AT313" s="69" t="n">
        <f aca="false">-Inputs!$D$46*(1+Inputs!$D$47)^(AT$265-1)*1</f>
        <v>-8748</v>
      </c>
      <c r="AU313" s="69" t="n">
        <f aca="false">-Inputs!$D$46*(1+Inputs!$D$47)^(AU$265-1)*1</f>
        <v>-8748</v>
      </c>
      <c r="AV313" s="69" t="n">
        <f aca="false">-Inputs!$D$46*(1+Inputs!$D$47)^(AV$265-1)*1</f>
        <v>-8748</v>
      </c>
      <c r="AW313" s="69" t="n">
        <f aca="false">-Inputs!$D$46*(1+Inputs!$D$47)^(AW$265-1)*1</f>
        <v>-8748</v>
      </c>
      <c r="AX313" s="69" t="n">
        <f aca="false">-Inputs!$D$46*(1+Inputs!$D$47)^(AX$265-1)*1</f>
        <v>-8748</v>
      </c>
      <c r="AY313" s="69" t="n">
        <f aca="false">-Inputs!$D$46*(1+Inputs!$D$47)^(AY$265-1)*1</f>
        <v>-7873.2</v>
      </c>
      <c r="AZ313" s="69" t="n">
        <f aca="false">-Inputs!$D$46*(1+Inputs!$D$47)^(AZ$265-1)*1</f>
        <v>-7873.2</v>
      </c>
      <c r="BA313" s="69" t="n">
        <f aca="false">-Inputs!$D$46*(1+Inputs!$D$47)^(BA$265-1)*1</f>
        <v>-7873.2</v>
      </c>
      <c r="BB313" s="69" t="n">
        <f aca="false">-Inputs!$D$46*(1+Inputs!$D$47)^(BB$265-1)*1</f>
        <v>-7873.2</v>
      </c>
      <c r="BC313" s="69" t="n">
        <f aca="false">-Inputs!$D$46*(1+Inputs!$D$47)^(BC$265-1)*1</f>
        <v>-7873.2</v>
      </c>
      <c r="BD313" s="69" t="n">
        <f aca="false">-Inputs!$D$46*(1+Inputs!$D$47)^(BD$265-1)*1</f>
        <v>-7873.2</v>
      </c>
      <c r="BE313" s="69" t="n">
        <f aca="false">-Inputs!$D$46*(1+Inputs!$D$47)^(BE$265-1)*1</f>
        <v>-7873.2</v>
      </c>
      <c r="BF313" s="69" t="n">
        <f aca="false">-Inputs!$D$46*(1+Inputs!$D$47)^(BF$265-1)*1</f>
        <v>-7873.2</v>
      </c>
      <c r="BG313" s="69" t="n">
        <f aca="false">-Inputs!$D$46*(1+Inputs!$D$47)^(BG$265-1)*1</f>
        <v>-7873.2</v>
      </c>
      <c r="BH313" s="69" t="n">
        <f aca="false">-Inputs!$D$46*(1+Inputs!$D$47)^(BH$265-1)*1</f>
        <v>-7873.2</v>
      </c>
      <c r="BI313" s="69" t="n">
        <f aca="false">-Inputs!$D$46*(1+Inputs!$D$47)^(BI$265-1)*1</f>
        <v>-7873.2</v>
      </c>
      <c r="BJ313" s="69" t="n">
        <f aca="false">-Inputs!$D$46*(1+Inputs!$D$47)^(BJ$265-1)*1</f>
        <v>-7873.2</v>
      </c>
    </row>
    <row r="314" customFormat="false" ht="15" hidden="false" customHeight="false" outlineLevel="0" collapsed="false">
      <c r="A314" s="113" t="s">
        <v>77</v>
      </c>
      <c r="C314" s="70" t="n">
        <f aca="false">C309+C310+C311+C312+C313</f>
        <v>-93586.6666666667</v>
      </c>
      <c r="D314" s="70" t="n">
        <f aca="false">D309+D310+D311+D312+D313</f>
        <v>-93586.6666666667</v>
      </c>
      <c r="E314" s="70" t="n">
        <f aca="false">E309+E310+E311+E312+E313</f>
        <v>-93586.6666666667</v>
      </c>
      <c r="F314" s="70" t="n">
        <f aca="false">F309+F310+F311+F312+F313</f>
        <v>-93586.6666666667</v>
      </c>
      <c r="G314" s="70" t="n">
        <f aca="false">G309+G310+G311+G312+G313</f>
        <v>-93586.6666666667</v>
      </c>
      <c r="H314" s="70" t="n">
        <f aca="false">H309+H310+H311+H312+H313</f>
        <v>-93586.6666666667</v>
      </c>
      <c r="I314" s="70" t="n">
        <f aca="false">I309+I310+I311+I312+I313</f>
        <v>-93586.6666666667</v>
      </c>
      <c r="J314" s="70" t="n">
        <f aca="false">J309+J310+J311+J312+J313</f>
        <v>-93586.6666666667</v>
      </c>
      <c r="K314" s="70" t="n">
        <f aca="false">K309+K310+K311+K312+K313</f>
        <v>-93586.6666666667</v>
      </c>
      <c r="L314" s="70" t="n">
        <f aca="false">L309+L310+L311+L312+L313</f>
        <v>-93586.6666666667</v>
      </c>
      <c r="M314" s="70" t="n">
        <f aca="false">M309+M310+M311+M312+M313</f>
        <v>-93586.6666666667</v>
      </c>
      <c r="N314" s="70" t="n">
        <f aca="false">N309+N310+N311+N312+N313</f>
        <v>-93586.6666666667</v>
      </c>
      <c r="O314" s="70" t="n">
        <f aca="false">O309+O310+O311+O312+O313</f>
        <v>-94759.2666666667</v>
      </c>
      <c r="P314" s="70" t="n">
        <f aca="false">P309+P310+P311+P312+P313</f>
        <v>-94759.2666666667</v>
      </c>
      <c r="Q314" s="70" t="n">
        <f aca="false">Q309+Q310+Q311+Q312+Q313</f>
        <v>-94759.2666666667</v>
      </c>
      <c r="R314" s="70" t="n">
        <f aca="false">R309+R310+R311+R312+R313</f>
        <v>-94759.2666666667</v>
      </c>
      <c r="S314" s="70" t="n">
        <f aca="false">S309+S310+S311+S312+S313</f>
        <v>-94759.2666666667</v>
      </c>
      <c r="T314" s="70" t="n">
        <f aca="false">T309+T310+T311+T312+T313</f>
        <v>-94759.2666666667</v>
      </c>
      <c r="U314" s="70" t="n">
        <f aca="false">U309+U310+U311+U312+U313</f>
        <v>-94759.2666666667</v>
      </c>
      <c r="V314" s="70" t="n">
        <f aca="false">V309+V310+V311+V312+V313</f>
        <v>-94759.2666666667</v>
      </c>
      <c r="W314" s="70" t="n">
        <f aca="false">W309+W310+W311+W312+W313</f>
        <v>-94759.2666666667</v>
      </c>
      <c r="X314" s="70" t="n">
        <f aca="false">X309+X310+X311+X312+X313</f>
        <v>-94759.2666666667</v>
      </c>
      <c r="Y314" s="70" t="n">
        <f aca="false">Y309+Y310+Y311+Y312+Y313</f>
        <v>-94759.2666666667</v>
      </c>
      <c r="Z314" s="70" t="n">
        <f aca="false">Z309+Z310+Z311+Z312+Z313</f>
        <v>-94759.2666666667</v>
      </c>
      <c r="AA314" s="70" t="n">
        <f aca="false">AA309+AA310+AA311+AA312+AA313</f>
        <v>-96121.1696666667</v>
      </c>
      <c r="AB314" s="70" t="n">
        <f aca="false">AB309+AB310+AB311+AB312+AB313</f>
        <v>-96121.1696666667</v>
      </c>
      <c r="AC314" s="70" t="n">
        <f aca="false">AC309+AC310+AC311+AC312+AC313</f>
        <v>-96121.1696666667</v>
      </c>
      <c r="AD314" s="70" t="n">
        <f aca="false">AD309+AD310+AD311+AD312+AD313</f>
        <v>-96121.1696666667</v>
      </c>
      <c r="AE314" s="70" t="n">
        <f aca="false">AE309+AE310+AE311+AE312+AE313</f>
        <v>-96121.1696666667</v>
      </c>
      <c r="AF314" s="70" t="n">
        <f aca="false">AF309+AF310+AF311+AF312+AF313</f>
        <v>-96121.1696666667</v>
      </c>
      <c r="AG314" s="70" t="n">
        <f aca="false">AG309+AG310+AG311+AG312+AG313</f>
        <v>-96121.1696666667</v>
      </c>
      <c r="AH314" s="70" t="n">
        <f aca="false">AH309+AH310+AH311+AH312+AH313</f>
        <v>-96121.1696666667</v>
      </c>
      <c r="AI314" s="70" t="n">
        <f aca="false">AI309+AI310+AI311+AI312+AI313</f>
        <v>-96121.1696666667</v>
      </c>
      <c r="AJ314" s="70" t="n">
        <f aca="false">AJ309+AJ310+AJ311+AJ312+AJ313</f>
        <v>-96121.1696666667</v>
      </c>
      <c r="AK314" s="70" t="n">
        <f aca="false">AK309+AK310+AK311+AK312+AK313</f>
        <v>-96121.1696666667</v>
      </c>
      <c r="AL314" s="70" t="n">
        <f aca="false">AL309+AL310+AL311+AL312+AL313</f>
        <v>-96121.1696666667</v>
      </c>
      <c r="AM314" s="70" t="n">
        <f aca="false">AM309+AM310+AM311+AM312+AM313</f>
        <v>-97662.4078816667</v>
      </c>
      <c r="AN314" s="70" t="n">
        <f aca="false">AN309+AN310+AN311+AN312+AN313</f>
        <v>-97662.4078816667</v>
      </c>
      <c r="AO314" s="70" t="n">
        <f aca="false">AO309+AO310+AO311+AO312+AO313</f>
        <v>-97662.4078816667</v>
      </c>
      <c r="AP314" s="70" t="n">
        <f aca="false">AP309+AP310+AP311+AP312+AP313</f>
        <v>-97662.4078816667</v>
      </c>
      <c r="AQ314" s="70" t="n">
        <f aca="false">AQ309+AQ310+AQ311+AQ312+AQ313</f>
        <v>-97662.4078816667</v>
      </c>
      <c r="AR314" s="70" t="n">
        <f aca="false">AR309+AR310+AR311+AR312+AR313</f>
        <v>-97662.4078816667</v>
      </c>
      <c r="AS314" s="70" t="n">
        <f aca="false">AS309+AS310+AS311+AS312+AS313</f>
        <v>-97662.4078816667</v>
      </c>
      <c r="AT314" s="70" t="n">
        <f aca="false">AT309+AT310+AT311+AT312+AT313</f>
        <v>-97662.4078816667</v>
      </c>
      <c r="AU314" s="70" t="n">
        <f aca="false">AU309+AU310+AU311+AU312+AU313</f>
        <v>-97662.4078816667</v>
      </c>
      <c r="AV314" s="70" t="n">
        <f aca="false">AV309+AV310+AV311+AV312+AV313</f>
        <v>-97662.4078816667</v>
      </c>
      <c r="AW314" s="70" t="n">
        <f aca="false">AW309+AW310+AW311+AW312+AW313</f>
        <v>-97662.4078816667</v>
      </c>
      <c r="AX314" s="70" t="n">
        <f aca="false">AX309+AX310+AX311+AX312+AX313</f>
        <v>-97662.4078816667</v>
      </c>
      <c r="AY314" s="70" t="n">
        <f aca="false">AY309+AY310+AY311+AY312+AY313</f>
        <v>-99374.2733212417</v>
      </c>
      <c r="AZ314" s="70" t="n">
        <f aca="false">AZ309+AZ310+AZ311+AZ312+AZ313</f>
        <v>-99374.2733212417</v>
      </c>
      <c r="BA314" s="70" t="n">
        <f aca="false">BA309+BA310+BA311+BA312+BA313</f>
        <v>-99374.2733212417</v>
      </c>
      <c r="BB314" s="70" t="n">
        <f aca="false">BB309+BB310+BB311+BB312+BB313</f>
        <v>-99374.2733212417</v>
      </c>
      <c r="BC314" s="70" t="n">
        <f aca="false">BC309+BC310+BC311+BC312+BC313</f>
        <v>-99374.2733212417</v>
      </c>
      <c r="BD314" s="70" t="n">
        <f aca="false">BD309+BD310+BD311+BD312+BD313</f>
        <v>-99374.2733212417</v>
      </c>
      <c r="BE314" s="70" t="n">
        <f aca="false">BE309+BE310+BE311+BE312+BE313</f>
        <v>-99374.2733212417</v>
      </c>
      <c r="BF314" s="70" t="n">
        <f aca="false">BF309+BF310+BF311+BF312+BF313</f>
        <v>-99374.2733212417</v>
      </c>
      <c r="BG314" s="70" t="n">
        <f aca="false">BG309+BG310+BG311+BG312+BG313</f>
        <v>-99374.2733212417</v>
      </c>
      <c r="BH314" s="70" t="n">
        <f aca="false">BH309+BH310+BH311+BH312+BH313</f>
        <v>-99374.2733212417</v>
      </c>
      <c r="BI314" s="70" t="n">
        <f aca="false">BI309+BI310+BI311+BI312+BI313</f>
        <v>-99374.2733212417</v>
      </c>
      <c r="BJ314" s="70" t="n">
        <f aca="false">BJ309+BJ310+BJ311+BJ312+BJ313</f>
        <v>-99374.2733212417</v>
      </c>
    </row>
    <row r="315" customFormat="false" ht="15" hidden="false" customHeight="false" outlineLevel="0" collapsed="false">
      <c r="A315" s="113" t="s">
        <v>48</v>
      </c>
      <c r="C315" s="70" t="n">
        <f aca="false">C306+C314</f>
        <v>-25143.5974503467</v>
      </c>
      <c r="D315" s="70" t="n">
        <f aca="false">D306+D314</f>
        <v>-16463.3514000803</v>
      </c>
      <c r="E315" s="70" t="n">
        <f aca="false">E306+E314</f>
        <v>2455.59734765433</v>
      </c>
      <c r="F315" s="70" t="n">
        <f aca="false">F306+F314</f>
        <v>12717.953316664</v>
      </c>
      <c r="G315" s="70" t="n">
        <f aca="false">G306+G314</f>
        <v>23189.8884779796</v>
      </c>
      <c r="H315" s="70" t="n">
        <f aca="false">H306+H314</f>
        <v>33864.6962974474</v>
      </c>
      <c r="I315" s="70" t="n">
        <f aca="false">I306+I314</f>
        <v>44735.8848500066</v>
      </c>
      <c r="J315" s="70" t="n">
        <f aca="false">J306+J314</f>
        <v>55797.1699521981</v>
      </c>
      <c r="K315" s="70" t="n">
        <f aca="false">K306+K314</f>
        <v>59385.3806986167</v>
      </c>
      <c r="L315" s="70" t="n">
        <f aca="false">L306+L314</f>
        <v>62858.7687011498</v>
      </c>
      <c r="M315" s="70" t="n">
        <f aca="false">M306+M314</f>
        <v>66221.0082876019</v>
      </c>
      <c r="N315" s="70" t="n">
        <f aca="false">N306+N314</f>
        <v>55109.955663598</v>
      </c>
      <c r="O315" s="70" t="n">
        <f aca="false">O306+O314</f>
        <v>67894.5118772073</v>
      </c>
      <c r="P315" s="70" t="n">
        <f aca="false">P306+P314</f>
        <v>71094.3626526046</v>
      </c>
      <c r="Q315" s="70" t="n">
        <f aca="false">Q306+Q314</f>
        <v>89768.0769493339</v>
      </c>
      <c r="R315" s="70" t="n">
        <f aca="false">R306+R314</f>
        <v>93085.2047113694</v>
      </c>
      <c r="S315" s="70" t="n">
        <f aca="false">S306+S314</f>
        <v>96296.1843850197</v>
      </c>
      <c r="T315" s="70" t="n">
        <f aca="false">T306+T314</f>
        <v>99404.4127091132</v>
      </c>
      <c r="U315" s="70" t="n">
        <f aca="false">U306+U314</f>
        <v>102413.177726836</v>
      </c>
      <c r="V315" s="70" t="n">
        <f aca="false">V306+V314</f>
        <v>105325.662263991</v>
      </c>
      <c r="W315" s="70" t="n">
        <f aca="false">W306+W314</f>
        <v>108144.947295958</v>
      </c>
      <c r="X315" s="70" t="n">
        <f aca="false">X306+X314</f>
        <v>110874.015206901</v>
      </c>
      <c r="Y315" s="70" t="n">
        <f aca="false">Y306+Y314</f>
        <v>113515.752944694</v>
      </c>
      <c r="Z315" s="70" t="n">
        <f aca="false">Z306+Z314</f>
        <v>100995.419361419</v>
      </c>
      <c r="AA315" s="70" t="n">
        <f aca="false">AA306+AA314</f>
        <v>114889.03133352</v>
      </c>
      <c r="AB315" s="70" t="n">
        <f aca="false">AB306+AB314</f>
        <v>117410.161393125</v>
      </c>
      <c r="AC315" s="70" t="n">
        <f aca="false">AC306+AC314</f>
        <v>136290.313644682</v>
      </c>
      <c r="AD315" s="70" t="n">
        <f aca="false">AD306+AD314</f>
        <v>139018.215303808</v>
      </c>
      <c r="AE315" s="70" t="n">
        <f aca="false">AE306+AE314</f>
        <v>141658.824109842</v>
      </c>
      <c r="AF315" s="70" t="n">
        <f aca="false">AF306+AF314</f>
        <v>144214.933434082</v>
      </c>
      <c r="AG315" s="70" t="n">
        <f aca="false">AG306+AG314</f>
        <v>146689.247259947</v>
      </c>
      <c r="AH315" s="70" t="n">
        <f aca="false">AH306+AH314</f>
        <v>149084.383043385</v>
      </c>
      <c r="AI315" s="70" t="n">
        <f aca="false">AI306+AI314</f>
        <v>151402.874481752</v>
      </c>
      <c r="AJ315" s="70" t="n">
        <f aca="false">AJ306+AJ314</f>
        <v>153647.174194091</v>
      </c>
      <c r="AK315" s="70" t="n">
        <f aca="false">AK306+AK314</f>
        <v>155819.656315636</v>
      </c>
      <c r="AL315" s="70" t="n">
        <f aca="false">AL306+AL314</f>
        <v>141890.772955652</v>
      </c>
      <c r="AM315" s="70" t="n">
        <f aca="false">AM306+AM314</f>
        <v>157056.325675278</v>
      </c>
      <c r="AN315" s="70" t="n">
        <f aca="false">AN306+AN314</f>
        <v>159140.014543156</v>
      </c>
      <c r="AO315" s="70" t="n">
        <f aca="false">AO306+AO314</f>
        <v>178703.743587021</v>
      </c>
      <c r="AP315" s="70" t="n">
        <f aca="false">AP306+AP314</f>
        <v>181067.421372976</v>
      </c>
      <c r="AQ315" s="70" t="n">
        <f aca="false">AQ306+AQ314</f>
        <v>183355.46146978</v>
      </c>
      <c r="AR315" s="70" t="n">
        <f aca="false">AR306+AR314</f>
        <v>185570.284283486</v>
      </c>
      <c r="AS315" s="70" t="n">
        <f aca="false">AS306+AS314</f>
        <v>187714.232767153</v>
      </c>
      <c r="AT315" s="70" t="n">
        <f aca="false">AT306+AT314</f>
        <v>189789.574899344</v>
      </c>
      <c r="AU315" s="70" t="n">
        <f aca="false">AU306+AU314</f>
        <v>191798.506083304</v>
      </c>
      <c r="AV315" s="70" t="n">
        <f aca="false">AV306+AV314</f>
        <v>193743.151469377</v>
      </c>
      <c r="AW315" s="70" t="n">
        <f aca="false">AW306+AW314</f>
        <v>195625.568203096</v>
      </c>
      <c r="AX315" s="70" t="n">
        <f aca="false">AX306+AX314</f>
        <v>180252.461282183</v>
      </c>
      <c r="AY315" s="70" t="n">
        <f aca="false">AY306+AY314</f>
        <v>196860.531793381</v>
      </c>
      <c r="AZ315" s="70" t="n">
        <f aca="false">AZ306+AZ314</f>
        <v>198679.675939579</v>
      </c>
      <c r="BA315" s="70" t="n">
        <f aca="false">BA306+BA314</f>
        <v>219308.53661698</v>
      </c>
      <c r="BB315" s="70" t="n">
        <f aca="false">BB306+BB314</f>
        <v>220886.289922893</v>
      </c>
      <c r="BC315" s="70" t="n">
        <f aca="false">BC306+BC314</f>
        <v>221883.580033515</v>
      </c>
      <c r="BD315" s="70" t="n">
        <f aca="false">BD306+BD314</f>
        <v>222869.218760485</v>
      </c>
      <c r="BE315" s="70" t="n">
        <f aca="false">BE306+BE314</f>
        <v>223841.886241257</v>
      </c>
      <c r="BF315" s="70" t="n">
        <f aca="false">BF306+BF314</f>
        <v>224800.460996106</v>
      </c>
      <c r="BG315" s="70" t="n">
        <f aca="false">BG306+BG314</f>
        <v>225743.997489708</v>
      </c>
      <c r="BH315" s="70" t="n">
        <f aca="false">BH306+BH314</f>
        <v>226671.706268413</v>
      </c>
      <c r="BI315" s="70" t="n">
        <f aca="false">BI306+BI314</f>
        <v>227582.936351537</v>
      </c>
      <c r="BJ315" s="70" t="n">
        <f aca="false">BJ306+BJ314</f>
        <v>217904.304776719</v>
      </c>
    </row>
    <row r="317" customFormat="false" ht="15.75" hidden="false" customHeight="true" outlineLevel="0" collapsed="false">
      <c r="A317" s="7" t="s">
        <v>443</v>
      </c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</row>
    <row r="318" customFormat="false" ht="15" hidden="false" customHeight="false" outlineLevel="0" collapsed="false">
      <c r="A318" s="4" t="s">
        <v>79</v>
      </c>
      <c r="C318" s="75" t="n">
        <f aca="false">C315+C335</f>
        <v>-53615.8196725689</v>
      </c>
      <c r="D318" s="75" t="n">
        <f aca="false">D315+D335</f>
        <v>-44935.5736223026</v>
      </c>
      <c r="E318" s="75" t="n">
        <f aca="false">E315+E335</f>
        <v>-26016.6248745679</v>
      </c>
      <c r="F318" s="75" t="n">
        <f aca="false">F315+F335</f>
        <v>-15754.2689055582</v>
      </c>
      <c r="G318" s="75" t="n">
        <f aca="false">G315+G335</f>
        <v>-5282.3337442426</v>
      </c>
      <c r="H318" s="75" t="n">
        <f aca="false">H315+H335</f>
        <v>5392.47407522522</v>
      </c>
      <c r="I318" s="75" t="n">
        <f aca="false">I315+I335</f>
        <v>16263.6626277844</v>
      </c>
      <c r="J318" s="75" t="n">
        <f aca="false">J315+J335</f>
        <v>27324.9477299759</v>
      </c>
      <c r="K318" s="75" t="n">
        <f aca="false">K315+K335</f>
        <v>30913.1584763945</v>
      </c>
      <c r="L318" s="75" t="n">
        <f aca="false">L315+L335</f>
        <v>34386.5464789276</v>
      </c>
      <c r="M318" s="75" t="n">
        <f aca="false">M315+M335</f>
        <v>37748.7860653797</v>
      </c>
      <c r="N318" s="75" t="n">
        <f aca="false">N315+N335</f>
        <v>26637.7334413757</v>
      </c>
      <c r="O318" s="75" t="n">
        <f aca="false">O315+O335</f>
        <v>39144.5118772073</v>
      </c>
      <c r="P318" s="75" t="n">
        <f aca="false">P315+P335</f>
        <v>42344.3626526046</v>
      </c>
      <c r="Q318" s="75" t="n">
        <f aca="false">Q315+Q335</f>
        <v>61018.0769493339</v>
      </c>
      <c r="R318" s="75" t="n">
        <f aca="false">R315+R335</f>
        <v>64335.2047113694</v>
      </c>
      <c r="S318" s="75" t="n">
        <f aca="false">S315+S335</f>
        <v>67546.1843850197</v>
      </c>
      <c r="T318" s="75" t="n">
        <f aca="false">T315+T335</f>
        <v>70654.4127091132</v>
      </c>
      <c r="U318" s="75" t="n">
        <f aca="false">U315+U335</f>
        <v>73663.1777268357</v>
      </c>
      <c r="V318" s="75" t="n">
        <f aca="false">V315+V335</f>
        <v>76575.6622639912</v>
      </c>
      <c r="W318" s="75" t="n">
        <f aca="false">W315+W335</f>
        <v>79394.9472959576</v>
      </c>
      <c r="X318" s="75" t="n">
        <f aca="false">X315+X335</f>
        <v>82124.0152069011</v>
      </c>
      <c r="Y318" s="75" t="n">
        <f aca="false">Y315+Y335</f>
        <v>84765.7529446944</v>
      </c>
      <c r="Z318" s="75" t="n">
        <f aca="false">Z315+Z335</f>
        <v>72245.419361419</v>
      </c>
      <c r="AA318" s="75" t="n">
        <f aca="false">AA315+AA335</f>
        <v>85861.2535557421</v>
      </c>
      <c r="AB318" s="75" t="n">
        <f aca="false">AB315+AB335</f>
        <v>88382.3836153471</v>
      </c>
      <c r="AC318" s="75" t="n">
        <f aca="false">AC315+AC335</f>
        <v>107262.535866905</v>
      </c>
      <c r="AD318" s="75" t="n">
        <f aca="false">AD315+AD335</f>
        <v>109990.43752603</v>
      </c>
      <c r="AE318" s="75" t="n">
        <f aca="false">AE315+AE335</f>
        <v>112631.046332064</v>
      </c>
      <c r="AF318" s="75" t="n">
        <f aca="false">AF315+AF335</f>
        <v>115187.155656305</v>
      </c>
      <c r="AG318" s="75" t="n">
        <f aca="false">AG315+AG335</f>
        <v>117661.46948217</v>
      </c>
      <c r="AH318" s="75" t="n">
        <f aca="false">AH315+AH335</f>
        <v>120056.605265607</v>
      </c>
      <c r="AI318" s="75" t="n">
        <f aca="false">AI315+AI335</f>
        <v>122375.096703974</v>
      </c>
      <c r="AJ318" s="75" t="n">
        <f aca="false">AJ315+AJ335</f>
        <v>124619.396416314</v>
      </c>
      <c r="AK318" s="75" t="n">
        <f aca="false">AK315+AK335</f>
        <v>126791.878537858</v>
      </c>
      <c r="AL318" s="75" t="n">
        <f aca="false">AL315+AL335</f>
        <v>112862.995177874</v>
      </c>
      <c r="AM318" s="75" t="n">
        <f aca="false">AM315+AM335</f>
        <v>127750.770119723</v>
      </c>
      <c r="AN318" s="75" t="n">
        <f aca="false">AN315+AN335</f>
        <v>129834.458987601</v>
      </c>
      <c r="AO318" s="75" t="n">
        <f aca="false">AO315+AO335</f>
        <v>149398.188031465</v>
      </c>
      <c r="AP318" s="75" t="n">
        <f aca="false">AP315+AP335</f>
        <v>151761.86581742</v>
      </c>
      <c r="AQ318" s="75" t="n">
        <f aca="false">AQ315+AQ335</f>
        <v>154049.905914224</v>
      </c>
      <c r="AR318" s="75" t="n">
        <f aca="false">AR315+AR335</f>
        <v>156264.72872793</v>
      </c>
      <c r="AS318" s="75" t="n">
        <f aca="false">AS315+AS335</f>
        <v>158408.677211598</v>
      </c>
      <c r="AT318" s="75" t="n">
        <f aca="false">AT315+AT335</f>
        <v>160484.019343788</v>
      </c>
      <c r="AU318" s="75" t="n">
        <f aca="false">AU315+AU335</f>
        <v>162492.950527748</v>
      </c>
      <c r="AV318" s="75" t="n">
        <f aca="false">AV315+AV335</f>
        <v>164437.595913822</v>
      </c>
      <c r="AW318" s="75" t="n">
        <f aca="false">AW315+AW335</f>
        <v>166320.012647541</v>
      </c>
      <c r="AX318" s="75" t="n">
        <f aca="false">AX315+AX335</f>
        <v>150946.905726627</v>
      </c>
      <c r="AY318" s="75" t="n">
        <f aca="false">AY315+AY335</f>
        <v>167277.198460047</v>
      </c>
      <c r="AZ318" s="75" t="n">
        <f aca="false">AZ315+AZ335</f>
        <v>169096.342606245</v>
      </c>
      <c r="BA318" s="75" t="n">
        <f aca="false">BA315+BA335</f>
        <v>189725.203283647</v>
      </c>
      <c r="BB318" s="75" t="n">
        <f aca="false">BB315+BB335</f>
        <v>191302.95658956</v>
      </c>
      <c r="BC318" s="75" t="n">
        <f aca="false">BC315+BC335</f>
        <v>192300.246700181</v>
      </c>
      <c r="BD318" s="75" t="n">
        <f aca="false">BD315+BD335</f>
        <v>193285.885427151</v>
      </c>
      <c r="BE318" s="75" t="n">
        <f aca="false">BE315+BE335</f>
        <v>194258.552907923</v>
      </c>
      <c r="BF318" s="75" t="n">
        <f aca="false">BF315+BF335</f>
        <v>195217.127662772</v>
      </c>
      <c r="BG318" s="75" t="n">
        <f aca="false">BG315+BG335</f>
        <v>196160.664156375</v>
      </c>
      <c r="BH318" s="75" t="n">
        <f aca="false">BH315+BH335</f>
        <v>197088.37293508</v>
      </c>
      <c r="BI318" s="75" t="n">
        <f aca="false">BI315+BI335</f>
        <v>197999.603018204</v>
      </c>
      <c r="BJ318" s="75" t="n">
        <f aca="false">BJ315+BJ335</f>
        <v>188320.971443386</v>
      </c>
    </row>
    <row r="319" customFormat="false" ht="15" hidden="false" customHeight="false" outlineLevel="0" collapsed="false">
      <c r="A319" s="6" t="s">
        <v>444</v>
      </c>
      <c r="C319" s="69" t="n">
        <f aca="false">-(C340+C341+C343)/2*Inputs!$D$71/12</f>
        <v>-21250</v>
      </c>
      <c r="D319" s="69" t="n">
        <f aca="false">-(D340+D341+D343)/2*Inputs!$D$71/12</f>
        <v>-21161.4583333333</v>
      </c>
      <c r="E319" s="69" t="n">
        <f aca="false">-(E340+E341+E343)/2*Inputs!$D$71/12</f>
        <v>-20984.375</v>
      </c>
      <c r="F319" s="69" t="n">
        <f aca="false">-(F340+F341+F343)/2*Inputs!$D$71/12</f>
        <v>-20807.2916666667</v>
      </c>
      <c r="G319" s="69" t="n">
        <f aca="false">-(G340+G341+G343)/2*Inputs!$D$71/12</f>
        <v>-20630.2083333333</v>
      </c>
      <c r="H319" s="69" t="n">
        <f aca="false">-(H340+H341+H343)/2*Inputs!$D$71/12</f>
        <v>-20453.125</v>
      </c>
      <c r="I319" s="69" t="n">
        <f aca="false">-(I340+I341+I343)/2*Inputs!$D$71/12</f>
        <v>-20276.0416666667</v>
      </c>
      <c r="J319" s="69" t="n">
        <f aca="false">-(J340+J341+J343)/2*Inputs!$D$71/12</f>
        <v>-20098.9583333333</v>
      </c>
      <c r="K319" s="69" t="n">
        <f aca="false">-(K340+K341+K343)/2*Inputs!$D$71/12</f>
        <v>-19921.875</v>
      </c>
      <c r="L319" s="69" t="n">
        <f aca="false">-(L340+L341+L343)/2*Inputs!$D$71/12</f>
        <v>-19744.7916666667</v>
      </c>
      <c r="M319" s="69" t="n">
        <f aca="false">-(M340+M341+M343)/2*Inputs!$D$71/12</f>
        <v>-19567.7083333333</v>
      </c>
      <c r="N319" s="69" t="n">
        <f aca="false">-(N340+N341+N343)/2*Inputs!$D$71/12</f>
        <v>-19390.625</v>
      </c>
      <c r="O319" s="69" t="n">
        <f aca="false">-(O340+O341+O343)/2*Inputs!$D$71/12</f>
        <v>-19213.5416666667</v>
      </c>
      <c r="P319" s="69" t="n">
        <f aca="false">-(P340+P341+P343)/2*Inputs!$D$71/12</f>
        <v>-19036.4583333333</v>
      </c>
      <c r="Q319" s="69" t="n">
        <f aca="false">-(Q340+Q341+Q343)/2*Inputs!$D$71/12</f>
        <v>-18859.375</v>
      </c>
      <c r="R319" s="69" t="n">
        <f aca="false">-(R340+R341+R343)/2*Inputs!$D$71/12</f>
        <v>-18682.2916666667</v>
      </c>
      <c r="S319" s="69" t="n">
        <f aca="false">-(S340+S341+S343)/2*Inputs!$D$71/12</f>
        <v>-18505.2083333333</v>
      </c>
      <c r="T319" s="69" t="n">
        <f aca="false">-(T340+T341+T343)/2*Inputs!$D$71/12</f>
        <v>-18328.125</v>
      </c>
      <c r="U319" s="69" t="n">
        <f aca="false">-(U340+U341+U343)/2*Inputs!$D$71/12</f>
        <v>-18151.0416666667</v>
      </c>
      <c r="V319" s="69" t="n">
        <f aca="false">-(V340+V341+V343)/2*Inputs!$D$71/12</f>
        <v>-17973.9583333333</v>
      </c>
      <c r="W319" s="69" t="n">
        <f aca="false">-(W340+W341+W343)/2*Inputs!$D$71/12</f>
        <v>-17796.875</v>
      </c>
      <c r="X319" s="69" t="n">
        <f aca="false">-(X340+X341+X343)/2*Inputs!$D$71/12</f>
        <v>-17619.7916666667</v>
      </c>
      <c r="Y319" s="69" t="n">
        <f aca="false">-(Y340+Y341+Y343)/2*Inputs!$D$71/12</f>
        <v>-17442.7083333333</v>
      </c>
      <c r="Z319" s="69" t="n">
        <f aca="false">-(Z340+Z341+Z343)/2*Inputs!$D$71/12</f>
        <v>-17265.625</v>
      </c>
      <c r="AA319" s="69" t="n">
        <f aca="false">-(AA340+AA341+AA343)/2*Inputs!$D$71/12</f>
        <v>-17088.5416666667</v>
      </c>
      <c r="AB319" s="69" t="n">
        <f aca="false">-(AB340+AB341+AB343)/2*Inputs!$D$71/12</f>
        <v>-16911.4583333333</v>
      </c>
      <c r="AC319" s="69" t="n">
        <f aca="false">-(AC340+AC341+AC343)/2*Inputs!$D$71/12</f>
        <v>-16734.375</v>
      </c>
      <c r="AD319" s="69" t="n">
        <f aca="false">-(AD340+AD341+AD343)/2*Inputs!$D$71/12</f>
        <v>-16557.2916666667</v>
      </c>
      <c r="AE319" s="69" t="n">
        <f aca="false">-(AE340+AE341+AE343)/2*Inputs!$D$71/12</f>
        <v>-16380.2083333333</v>
      </c>
      <c r="AF319" s="69" t="n">
        <f aca="false">-(AF340+AF341+AF343)/2*Inputs!$D$71/12</f>
        <v>-16203.125</v>
      </c>
      <c r="AG319" s="69" t="n">
        <f aca="false">-(AG340+AG341+AG343)/2*Inputs!$D$71/12</f>
        <v>-16026.0416666667</v>
      </c>
      <c r="AH319" s="69" t="n">
        <f aca="false">-(AH340+AH341+AH343)/2*Inputs!$D$71/12</f>
        <v>-15848.9583333333</v>
      </c>
      <c r="AI319" s="69" t="n">
        <f aca="false">-(AI340+AI341+AI343)/2*Inputs!$D$71/12</f>
        <v>-15671.875</v>
      </c>
      <c r="AJ319" s="69" t="n">
        <f aca="false">-(AJ340+AJ341+AJ343)/2*Inputs!$D$71/12</f>
        <v>-15494.7916666667</v>
      </c>
      <c r="AK319" s="69" t="n">
        <f aca="false">-(AK340+AK341+AK343)/2*Inputs!$D$71/12</f>
        <v>-15317.7083333333</v>
      </c>
      <c r="AL319" s="69" t="n">
        <f aca="false">-(AL340+AL341+AL343)/2*Inputs!$D$71/12</f>
        <v>-15140.625</v>
      </c>
      <c r="AM319" s="69" t="n">
        <f aca="false">-(AM340+AM341+AM343)/2*Inputs!$D$71/12</f>
        <v>-14963.5416666667</v>
      </c>
      <c r="AN319" s="69" t="n">
        <f aca="false">-(AN340+AN341+AN343)/2*Inputs!$D$71/12</f>
        <v>-14786.4583333333</v>
      </c>
      <c r="AO319" s="69" t="n">
        <f aca="false">-(AO340+AO341+AO343)/2*Inputs!$D$71/12</f>
        <v>-14609.375</v>
      </c>
      <c r="AP319" s="69" t="n">
        <f aca="false">-(AP340+AP341+AP343)/2*Inputs!$D$71/12</f>
        <v>-14432.2916666667</v>
      </c>
      <c r="AQ319" s="69" t="n">
        <f aca="false">-(AQ340+AQ341+AQ343)/2*Inputs!$D$71/12</f>
        <v>-14255.2083333333</v>
      </c>
      <c r="AR319" s="69" t="n">
        <f aca="false">-(AR340+AR341+AR343)/2*Inputs!$D$71/12</f>
        <v>-14078.125</v>
      </c>
      <c r="AS319" s="69" t="n">
        <f aca="false">-(AS340+AS341+AS343)/2*Inputs!$D$71/12</f>
        <v>-13901.0416666667</v>
      </c>
      <c r="AT319" s="69" t="n">
        <f aca="false">-(AT340+AT341+AT343)/2*Inputs!$D$71/12</f>
        <v>-13723.9583333333</v>
      </c>
      <c r="AU319" s="69" t="n">
        <f aca="false">-(AU340+AU341+AU343)/2*Inputs!$D$71/12</f>
        <v>-13546.875</v>
      </c>
      <c r="AV319" s="69" t="n">
        <f aca="false">-(AV340+AV341+AV343)/2*Inputs!$D$71/12</f>
        <v>-13369.7916666667</v>
      </c>
      <c r="AW319" s="69" t="n">
        <f aca="false">-(AW340+AW341+AW343)/2*Inputs!$D$71/12</f>
        <v>-13192.7083333333</v>
      </c>
      <c r="AX319" s="69" t="n">
        <f aca="false">-(AX340+AX341+AX343)/2*Inputs!$D$71/12</f>
        <v>-13015.625</v>
      </c>
      <c r="AY319" s="69" t="n">
        <f aca="false">-(AY340+AY341+AY343)/2*Inputs!$D$71/12</f>
        <v>-12838.5416666667</v>
      </c>
      <c r="AZ319" s="69" t="n">
        <f aca="false">-(AZ340+AZ341+AZ343)/2*Inputs!$D$71/12</f>
        <v>-12661.4583333333</v>
      </c>
      <c r="BA319" s="69" t="n">
        <f aca="false">-(BA340+BA341+BA343)/2*Inputs!$D$71/12</f>
        <v>-12484.375</v>
      </c>
      <c r="BB319" s="69" t="n">
        <f aca="false">-(BB340+BB341+BB343)/2*Inputs!$D$71/12</f>
        <v>-12307.2916666667</v>
      </c>
      <c r="BC319" s="69" t="n">
        <f aca="false">-(BC340+BC341+BC343)/2*Inputs!$D$71/12</f>
        <v>-12130.2083333333</v>
      </c>
      <c r="BD319" s="69" t="n">
        <f aca="false">-(BD340+BD341+BD343)/2*Inputs!$D$71/12</f>
        <v>-11953.125</v>
      </c>
      <c r="BE319" s="69" t="n">
        <f aca="false">-(BE340+BE341+BE343)/2*Inputs!$D$71/12</f>
        <v>-11776.0416666667</v>
      </c>
      <c r="BF319" s="69" t="n">
        <f aca="false">-(BF340+BF341+BF343)/2*Inputs!$D$71/12</f>
        <v>-11598.9583333333</v>
      </c>
      <c r="BG319" s="69" t="n">
        <f aca="false">-(BG340+BG341+BG343)/2*Inputs!$D$71/12</f>
        <v>-11421.875</v>
      </c>
      <c r="BH319" s="69" t="n">
        <f aca="false">-(BH340+BH341+BH343)/2*Inputs!$D$71/12</f>
        <v>-11244.7916666667</v>
      </c>
      <c r="BI319" s="69" t="n">
        <f aca="false">-(BI340+BI341+BI343)/2*Inputs!$D$71/12</f>
        <v>-11067.7083333333</v>
      </c>
      <c r="BJ319" s="69" t="n">
        <f aca="false">-(BJ340+BJ341+BJ343)/2*Inputs!$D$71/12</f>
        <v>-10890.625</v>
      </c>
    </row>
    <row r="320" customFormat="false" ht="15" hidden="false" customHeight="false" outlineLevel="0" collapsed="false">
      <c r="A320" s="113" t="s">
        <v>81</v>
      </c>
      <c r="C320" s="70" t="n">
        <f aca="false">C318+C319</f>
        <v>-74865.8196725689</v>
      </c>
      <c r="D320" s="70" t="n">
        <f aca="false">D318+D319</f>
        <v>-66097.0319556359</v>
      </c>
      <c r="E320" s="70" t="n">
        <f aca="false">E318+E319</f>
        <v>-47000.9998745679</v>
      </c>
      <c r="F320" s="70" t="n">
        <f aca="false">F318+F319</f>
        <v>-36561.5605722249</v>
      </c>
      <c r="G320" s="70" t="n">
        <f aca="false">G318+G319</f>
        <v>-25912.5420775759</v>
      </c>
      <c r="H320" s="70" t="n">
        <f aca="false">H318+H319</f>
        <v>-15060.6509247748</v>
      </c>
      <c r="I320" s="70" t="n">
        <f aca="false">I318+I319</f>
        <v>-4012.3790388823</v>
      </c>
      <c r="J320" s="70" t="n">
        <f aca="false">J318+J319</f>
        <v>7225.98939664256</v>
      </c>
      <c r="K320" s="70" t="n">
        <f aca="false">K318+K319</f>
        <v>10991.2834763945</v>
      </c>
      <c r="L320" s="70" t="n">
        <f aca="false">L318+L319</f>
        <v>14641.7548122609</v>
      </c>
      <c r="M320" s="70" t="n">
        <f aca="false">M318+M319</f>
        <v>18181.0777320464</v>
      </c>
      <c r="N320" s="70" t="n">
        <f aca="false">N318+N319</f>
        <v>7247.10844137573</v>
      </c>
      <c r="O320" s="70" t="n">
        <f aca="false">O318+O319</f>
        <v>19930.9702105406</v>
      </c>
      <c r="P320" s="70" t="n">
        <f aca="false">P318+P319</f>
        <v>23307.9043192713</v>
      </c>
      <c r="Q320" s="70" t="n">
        <f aca="false">Q318+Q319</f>
        <v>42158.7019493339</v>
      </c>
      <c r="R320" s="70" t="n">
        <f aca="false">R318+R319</f>
        <v>45652.9130447027</v>
      </c>
      <c r="S320" s="70" t="n">
        <f aca="false">S318+S319</f>
        <v>49040.9760516863</v>
      </c>
      <c r="T320" s="70" t="n">
        <f aca="false">T318+T319</f>
        <v>52326.2877091132</v>
      </c>
      <c r="U320" s="70" t="n">
        <f aca="false">U318+U319</f>
        <v>55512.1360601691</v>
      </c>
      <c r="V320" s="70" t="n">
        <f aca="false">V318+V319</f>
        <v>58601.7039306578</v>
      </c>
      <c r="W320" s="70" t="n">
        <f aca="false">W318+W319</f>
        <v>61598.0722959576</v>
      </c>
      <c r="X320" s="70" t="n">
        <f aca="false">X318+X319</f>
        <v>64504.2235402344</v>
      </c>
      <c r="Y320" s="70" t="n">
        <f aca="false">Y318+Y319</f>
        <v>67323.0446113611</v>
      </c>
      <c r="Z320" s="70" t="n">
        <f aca="false">Z318+Z319</f>
        <v>54979.794361419</v>
      </c>
      <c r="AA320" s="70" t="n">
        <f aca="false">AA318+AA319</f>
        <v>68772.7118890754</v>
      </c>
      <c r="AB320" s="70" t="n">
        <f aca="false">AB318+AB319</f>
        <v>71470.9252820138</v>
      </c>
      <c r="AC320" s="70" t="n">
        <f aca="false">AC318+AC319</f>
        <v>90528.1608669046</v>
      </c>
      <c r="AD320" s="70" t="n">
        <f aca="false">AD318+AD319</f>
        <v>93433.1458593636</v>
      </c>
      <c r="AE320" s="70" t="n">
        <f aca="false">AE318+AE319</f>
        <v>96250.8379987306</v>
      </c>
      <c r="AF320" s="70" t="n">
        <f aca="false">AF318+AF319</f>
        <v>98984.0306563047</v>
      </c>
      <c r="AG320" s="70" t="n">
        <f aca="false">AG318+AG319</f>
        <v>101635.427815503</v>
      </c>
      <c r="AH320" s="70" t="n">
        <f aca="false">AH318+AH319</f>
        <v>104207.646932274</v>
      </c>
      <c r="AI320" s="70" t="n">
        <f aca="false">AI318+AI319</f>
        <v>106703.221703974</v>
      </c>
      <c r="AJ320" s="70" t="n">
        <f aca="false">AJ318+AJ319</f>
        <v>109124.604749647</v>
      </c>
      <c r="AK320" s="70" t="n">
        <f aca="false">AK318+AK319</f>
        <v>111474.170204525</v>
      </c>
      <c r="AL320" s="70" t="n">
        <f aca="false">AL318+AL319</f>
        <v>97722.3701778738</v>
      </c>
      <c r="AM320" s="70" t="n">
        <f aca="false">AM318+AM319</f>
        <v>112787.228453056</v>
      </c>
      <c r="AN320" s="70" t="n">
        <f aca="false">AN318+AN319</f>
        <v>115048.000654267</v>
      </c>
      <c r="AO320" s="70" t="n">
        <f aca="false">AO318+AO319</f>
        <v>134788.813031465</v>
      </c>
      <c r="AP320" s="70" t="n">
        <f aca="false">AP318+AP319</f>
        <v>137329.574150753</v>
      </c>
      <c r="AQ320" s="70" t="n">
        <f aca="false">AQ318+AQ319</f>
        <v>139794.697580891</v>
      </c>
      <c r="AR320" s="70" t="n">
        <f aca="false">AR318+AR319</f>
        <v>142186.60372793</v>
      </c>
      <c r="AS320" s="70" t="n">
        <f aca="false">AS318+AS319</f>
        <v>144507.635544931</v>
      </c>
      <c r="AT320" s="70" t="n">
        <f aca="false">AT318+AT319</f>
        <v>146760.061010455</v>
      </c>
      <c r="AU320" s="70" t="n">
        <f aca="false">AU318+AU319</f>
        <v>148946.075527748</v>
      </c>
      <c r="AV320" s="70" t="n">
        <f aca="false">AV318+AV319</f>
        <v>151067.804247155</v>
      </c>
      <c r="AW320" s="70" t="n">
        <f aca="false">AW318+AW319</f>
        <v>153127.304314207</v>
      </c>
      <c r="AX320" s="70" t="n">
        <f aca="false">AX318+AX319</f>
        <v>137931.280726627</v>
      </c>
      <c r="AY320" s="70" t="n">
        <f aca="false">AY318+AY319</f>
        <v>154438.656793381</v>
      </c>
      <c r="AZ320" s="70" t="n">
        <f aca="false">AZ318+AZ319</f>
        <v>156434.884272912</v>
      </c>
      <c r="BA320" s="70" t="n">
        <f aca="false">BA318+BA319</f>
        <v>177240.828283647</v>
      </c>
      <c r="BB320" s="70" t="n">
        <f aca="false">BB318+BB319</f>
        <v>178995.664922893</v>
      </c>
      <c r="BC320" s="70" t="n">
        <f aca="false">BC318+BC319</f>
        <v>180170.038366848</v>
      </c>
      <c r="BD320" s="70" t="n">
        <f aca="false">BD318+BD319</f>
        <v>181332.760427151</v>
      </c>
      <c r="BE320" s="70" t="n">
        <f aca="false">BE318+BE319</f>
        <v>182482.511241257</v>
      </c>
      <c r="BF320" s="70" t="n">
        <f aca="false">BF318+BF319</f>
        <v>183618.169329439</v>
      </c>
      <c r="BG320" s="70" t="n">
        <f aca="false">BG318+BG319</f>
        <v>184738.789156375</v>
      </c>
      <c r="BH320" s="70" t="n">
        <f aca="false">BH318+BH319</f>
        <v>185843.581268413</v>
      </c>
      <c r="BI320" s="70" t="n">
        <f aca="false">BI318+BI319</f>
        <v>186931.894684871</v>
      </c>
      <c r="BJ320" s="70" t="n">
        <f aca="false">BJ318+BJ319</f>
        <v>177430.346443386</v>
      </c>
    </row>
    <row r="321" customFormat="false" ht="15" hidden="false" customHeight="false" outlineLevel="0" collapsed="false">
      <c r="A321" s="116" t="s">
        <v>445</v>
      </c>
      <c r="C321" s="69" t="n">
        <f aca="false">C320</f>
        <v>-74865.8196725689</v>
      </c>
      <c r="D321" s="69" t="n">
        <f aca="false">C321+D320</f>
        <v>-140962.851628205</v>
      </c>
      <c r="E321" s="69" t="n">
        <f aca="false">D321+E320</f>
        <v>-187963.851502773</v>
      </c>
      <c r="F321" s="69" t="n">
        <f aca="false">E321+F320</f>
        <v>-224525.412074998</v>
      </c>
      <c r="G321" s="69" t="n">
        <f aca="false">F321+G320</f>
        <v>-250437.954152574</v>
      </c>
      <c r="H321" s="69" t="n">
        <f aca="false">G321+H320</f>
        <v>-265498.605077348</v>
      </c>
      <c r="I321" s="69" t="n">
        <f aca="false">H321+I320</f>
        <v>-269510.984116231</v>
      </c>
      <c r="J321" s="69" t="n">
        <f aca="false">I321+J320</f>
        <v>-262284.994719588</v>
      </c>
      <c r="K321" s="69" t="n">
        <f aca="false">J321+K320</f>
        <v>-251293.711243194</v>
      </c>
      <c r="L321" s="69" t="n">
        <f aca="false">K321+L320</f>
        <v>-236651.956430933</v>
      </c>
      <c r="M321" s="69" t="n">
        <f aca="false">L321+M320</f>
        <v>-218470.878698886</v>
      </c>
      <c r="N321" s="69" t="n">
        <f aca="false">M321+N320</f>
        <v>-211223.770257511</v>
      </c>
      <c r="O321" s="69" t="n">
        <f aca="false">N321+O320</f>
        <v>-191292.80004697</v>
      </c>
      <c r="P321" s="69" t="n">
        <f aca="false">O321+P320</f>
        <v>-167984.895727699</v>
      </c>
      <c r="Q321" s="69" t="n">
        <f aca="false">P321+Q320</f>
        <v>-125826.193778365</v>
      </c>
      <c r="R321" s="69" t="n">
        <f aca="false">Q321+R320</f>
        <v>-80173.2807336621</v>
      </c>
      <c r="S321" s="69" t="n">
        <f aca="false">R321+S320</f>
        <v>-31132.3046819758</v>
      </c>
      <c r="T321" s="69" t="n">
        <f aca="false">S321+T320</f>
        <v>21193.9830271375</v>
      </c>
      <c r="U321" s="69" t="n">
        <f aca="false">T321+U320</f>
        <v>76706.1190873065</v>
      </c>
      <c r="V321" s="69" t="n">
        <f aca="false">U321+V320</f>
        <v>135307.823017964</v>
      </c>
      <c r="W321" s="69" t="n">
        <f aca="false">V321+W320</f>
        <v>196905.895313922</v>
      </c>
      <c r="X321" s="69" t="n">
        <f aca="false">W321+X320</f>
        <v>261410.118854156</v>
      </c>
      <c r="Y321" s="69" t="n">
        <f aca="false">X321+Y320</f>
        <v>328733.163465517</v>
      </c>
      <c r="Z321" s="69" t="n">
        <f aca="false">Y321+Z320</f>
        <v>383712.957826936</v>
      </c>
      <c r="AA321" s="69" t="n">
        <f aca="false">Z321+AA320</f>
        <v>452485.669716012</v>
      </c>
      <c r="AB321" s="69" t="n">
        <f aca="false">AA321+AB320</f>
        <v>523956.594998026</v>
      </c>
      <c r="AC321" s="69" t="n">
        <f aca="false">AB321+AC320</f>
        <v>614484.75586493</v>
      </c>
      <c r="AD321" s="69" t="n">
        <f aca="false">AC321+AD320</f>
        <v>707917.901724294</v>
      </c>
      <c r="AE321" s="69" t="n">
        <f aca="false">AD321+AE320</f>
        <v>804168.739723024</v>
      </c>
      <c r="AF321" s="69" t="n">
        <f aca="false">AE321+AF320</f>
        <v>903152.770379329</v>
      </c>
      <c r="AG321" s="69" t="n">
        <f aca="false">AF321+AG320</f>
        <v>1004788.19819483</v>
      </c>
      <c r="AH321" s="69" t="n">
        <f aca="false">AG321+AH320</f>
        <v>1108995.84512711</v>
      </c>
      <c r="AI321" s="69" t="n">
        <f aca="false">AH321+AI320</f>
        <v>1215699.06683108</v>
      </c>
      <c r="AJ321" s="69" t="n">
        <f aca="false">AI321+AJ320</f>
        <v>1324823.67158073</v>
      </c>
      <c r="AK321" s="69" t="n">
        <f aca="false">AJ321+AK320</f>
        <v>1436297.84178525</v>
      </c>
      <c r="AL321" s="69" t="n">
        <f aca="false">AK321+AL320</f>
        <v>1534020.21196313</v>
      </c>
      <c r="AM321" s="69" t="n">
        <f aca="false">AL321+AM320</f>
        <v>1646807.44041618</v>
      </c>
      <c r="AN321" s="69" t="n">
        <f aca="false">AM321+AN320</f>
        <v>1761855.44107045</v>
      </c>
      <c r="AO321" s="69" t="n">
        <f aca="false">AN321+AO320</f>
        <v>1896644.25410191</v>
      </c>
      <c r="AP321" s="69" t="n">
        <f aca="false">AO321+AP320</f>
        <v>2033973.82825267</v>
      </c>
      <c r="AQ321" s="69" t="n">
        <f aca="false">AP321+AQ320</f>
        <v>2173768.52583356</v>
      </c>
      <c r="AR321" s="69" t="n">
        <f aca="false">AQ321+AR320</f>
        <v>2315955.12956149</v>
      </c>
      <c r="AS321" s="69" t="n">
        <f aca="false">AR321+AS320</f>
        <v>2460462.76510642</v>
      </c>
      <c r="AT321" s="69" t="n">
        <f aca="false">AS321+AT320</f>
        <v>2607222.82611687</v>
      </c>
      <c r="AU321" s="69" t="n">
        <f aca="false">AT321+AU320</f>
        <v>2756168.90164462</v>
      </c>
      <c r="AV321" s="69" t="n">
        <f aca="false">AU321+AV320</f>
        <v>2907236.70589178</v>
      </c>
      <c r="AW321" s="69" t="n">
        <f aca="false">AV321+AW320</f>
        <v>3060364.01020598</v>
      </c>
      <c r="AX321" s="69" t="n">
        <f aca="false">AW321+AX320</f>
        <v>3198295.29093261</v>
      </c>
      <c r="AY321" s="69" t="n">
        <f aca="false">AX321+AY320</f>
        <v>3352733.94772599</v>
      </c>
      <c r="AZ321" s="69" t="n">
        <f aca="false">AY321+AZ320</f>
        <v>3509168.8319989</v>
      </c>
      <c r="BA321" s="69" t="n">
        <f aca="false">AZ321+BA320</f>
        <v>3686409.66028255</v>
      </c>
      <c r="BB321" s="69" t="n">
        <f aca="false">BA321+BB320</f>
        <v>3865405.32520544</v>
      </c>
      <c r="BC321" s="69" t="n">
        <f aca="false">BB321+BC320</f>
        <v>4045575.36357229</v>
      </c>
      <c r="BD321" s="69" t="n">
        <f aca="false">BC321+BD320</f>
        <v>4226908.12399944</v>
      </c>
      <c r="BE321" s="69" t="n">
        <f aca="false">BD321+BE320</f>
        <v>4409390.6352407</v>
      </c>
      <c r="BF321" s="69" t="n">
        <f aca="false">BE321+BF320</f>
        <v>4593008.80457014</v>
      </c>
      <c r="BG321" s="69" t="n">
        <f aca="false">BF321+BG320</f>
        <v>4777747.59372651</v>
      </c>
      <c r="BH321" s="69" t="n">
        <f aca="false">BG321+BH320</f>
        <v>4963591.17499493</v>
      </c>
      <c r="BI321" s="69" t="n">
        <f aca="false">BH321+BI320</f>
        <v>5150523.0696798</v>
      </c>
      <c r="BJ321" s="69" t="n">
        <f aca="false">BI321+BJ320</f>
        <v>5327953.41612318</v>
      </c>
    </row>
    <row r="322" customFormat="false" ht="15" hidden="false" customHeight="false" outlineLevel="0" collapsed="false">
      <c r="A322" s="116" t="s">
        <v>446</v>
      </c>
      <c r="C322" s="69" t="n">
        <f aca="false">MAX(0,C321)</f>
        <v>0</v>
      </c>
      <c r="D322" s="69" t="n">
        <f aca="false">MAX(C322,D321)</f>
        <v>0</v>
      </c>
      <c r="E322" s="69" t="n">
        <f aca="false">MAX(D322,E321)</f>
        <v>0</v>
      </c>
      <c r="F322" s="69" t="n">
        <f aca="false">MAX(E322,F321)</f>
        <v>0</v>
      </c>
      <c r="G322" s="69" t="n">
        <f aca="false">MAX(F322,G321)</f>
        <v>0</v>
      </c>
      <c r="H322" s="69" t="n">
        <f aca="false">MAX(G322,H321)</f>
        <v>0</v>
      </c>
      <c r="I322" s="69" t="n">
        <f aca="false">MAX(H322,I321)</f>
        <v>0</v>
      </c>
      <c r="J322" s="69" t="n">
        <f aca="false">MAX(I322,J321)</f>
        <v>0</v>
      </c>
      <c r="K322" s="69" t="n">
        <f aca="false">MAX(J322,K321)</f>
        <v>0</v>
      </c>
      <c r="L322" s="69" t="n">
        <f aca="false">MAX(K322,L321)</f>
        <v>0</v>
      </c>
      <c r="M322" s="69" t="n">
        <f aca="false">MAX(L322,M321)</f>
        <v>0</v>
      </c>
      <c r="N322" s="69" t="n">
        <f aca="false">MAX(M322,N321)</f>
        <v>0</v>
      </c>
      <c r="O322" s="69" t="n">
        <f aca="false">MAX(N322,O321)</f>
        <v>0</v>
      </c>
      <c r="P322" s="69" t="n">
        <f aca="false">MAX(O322,P321)</f>
        <v>0</v>
      </c>
      <c r="Q322" s="69" t="n">
        <f aca="false">MAX(P322,Q321)</f>
        <v>0</v>
      </c>
      <c r="R322" s="69" t="n">
        <f aca="false">MAX(Q322,R321)</f>
        <v>0</v>
      </c>
      <c r="S322" s="69" t="n">
        <f aca="false">MAX(R322,S321)</f>
        <v>0</v>
      </c>
      <c r="T322" s="69" t="n">
        <f aca="false">MAX(S322,T321)</f>
        <v>21193.9830271375</v>
      </c>
      <c r="U322" s="69" t="n">
        <f aca="false">MAX(T322,U321)</f>
        <v>76706.1190873065</v>
      </c>
      <c r="V322" s="69" t="n">
        <f aca="false">MAX(U322,V321)</f>
        <v>135307.823017964</v>
      </c>
      <c r="W322" s="69" t="n">
        <f aca="false">MAX(V322,W321)</f>
        <v>196905.895313922</v>
      </c>
      <c r="X322" s="69" t="n">
        <f aca="false">MAX(W322,X321)</f>
        <v>261410.118854156</v>
      </c>
      <c r="Y322" s="69" t="n">
        <f aca="false">MAX(X322,Y321)</f>
        <v>328733.163465517</v>
      </c>
      <c r="Z322" s="69" t="n">
        <f aca="false">MAX(Y322,Z321)</f>
        <v>383712.957826936</v>
      </c>
      <c r="AA322" s="69" t="n">
        <f aca="false">MAX(Z322,AA321)</f>
        <v>452485.669716012</v>
      </c>
      <c r="AB322" s="69" t="n">
        <f aca="false">MAX(AA322,AB321)</f>
        <v>523956.594998026</v>
      </c>
      <c r="AC322" s="69" t="n">
        <f aca="false">MAX(AB322,AC321)</f>
        <v>614484.75586493</v>
      </c>
      <c r="AD322" s="69" t="n">
        <f aca="false">MAX(AC322,AD321)</f>
        <v>707917.901724294</v>
      </c>
      <c r="AE322" s="69" t="n">
        <f aca="false">MAX(AD322,AE321)</f>
        <v>804168.739723024</v>
      </c>
      <c r="AF322" s="69" t="n">
        <f aca="false">MAX(AE322,AF321)</f>
        <v>903152.770379329</v>
      </c>
      <c r="AG322" s="69" t="n">
        <f aca="false">MAX(AF322,AG321)</f>
        <v>1004788.19819483</v>
      </c>
      <c r="AH322" s="69" t="n">
        <f aca="false">MAX(AG322,AH321)</f>
        <v>1108995.84512711</v>
      </c>
      <c r="AI322" s="69" t="n">
        <f aca="false">MAX(AH322,AI321)</f>
        <v>1215699.06683108</v>
      </c>
      <c r="AJ322" s="69" t="n">
        <f aca="false">MAX(AI322,AJ321)</f>
        <v>1324823.67158073</v>
      </c>
      <c r="AK322" s="69" t="n">
        <f aca="false">MAX(AJ322,AK321)</f>
        <v>1436297.84178525</v>
      </c>
      <c r="AL322" s="69" t="n">
        <f aca="false">MAX(AK322,AL321)</f>
        <v>1534020.21196313</v>
      </c>
      <c r="AM322" s="69" t="n">
        <f aca="false">MAX(AL322,AM321)</f>
        <v>1646807.44041618</v>
      </c>
      <c r="AN322" s="69" t="n">
        <f aca="false">MAX(AM322,AN321)</f>
        <v>1761855.44107045</v>
      </c>
      <c r="AO322" s="69" t="n">
        <f aca="false">MAX(AN322,AO321)</f>
        <v>1896644.25410191</v>
      </c>
      <c r="AP322" s="69" t="n">
        <f aca="false">MAX(AO322,AP321)</f>
        <v>2033973.82825267</v>
      </c>
      <c r="AQ322" s="69" t="n">
        <f aca="false">MAX(AP322,AQ321)</f>
        <v>2173768.52583356</v>
      </c>
      <c r="AR322" s="69" t="n">
        <f aca="false">MAX(AQ322,AR321)</f>
        <v>2315955.12956149</v>
      </c>
      <c r="AS322" s="69" t="n">
        <f aca="false">MAX(AR322,AS321)</f>
        <v>2460462.76510642</v>
      </c>
      <c r="AT322" s="69" t="n">
        <f aca="false">MAX(AS322,AT321)</f>
        <v>2607222.82611687</v>
      </c>
      <c r="AU322" s="69" t="n">
        <f aca="false">MAX(AT322,AU321)</f>
        <v>2756168.90164462</v>
      </c>
      <c r="AV322" s="69" t="n">
        <f aca="false">MAX(AU322,AV321)</f>
        <v>2907236.70589178</v>
      </c>
      <c r="AW322" s="69" t="n">
        <f aca="false">MAX(AV322,AW321)</f>
        <v>3060364.01020598</v>
      </c>
      <c r="AX322" s="69" t="n">
        <f aca="false">MAX(AW322,AX321)</f>
        <v>3198295.29093261</v>
      </c>
      <c r="AY322" s="69" t="n">
        <f aca="false">MAX(AX322,AY321)</f>
        <v>3352733.94772599</v>
      </c>
      <c r="AZ322" s="69" t="n">
        <f aca="false">MAX(AY322,AZ321)</f>
        <v>3509168.8319989</v>
      </c>
      <c r="BA322" s="69" t="n">
        <f aca="false">MAX(AZ322,BA321)</f>
        <v>3686409.66028255</v>
      </c>
      <c r="BB322" s="69" t="n">
        <f aca="false">MAX(BA322,BB321)</f>
        <v>3865405.32520544</v>
      </c>
      <c r="BC322" s="69" t="n">
        <f aca="false">MAX(BB322,BC321)</f>
        <v>4045575.36357229</v>
      </c>
      <c r="BD322" s="69" t="n">
        <f aca="false">MAX(BC322,BD321)</f>
        <v>4226908.12399944</v>
      </c>
      <c r="BE322" s="69" t="n">
        <f aca="false">MAX(BD322,BE321)</f>
        <v>4409390.6352407</v>
      </c>
      <c r="BF322" s="69" t="n">
        <f aca="false">MAX(BE322,BF321)</f>
        <v>4593008.80457014</v>
      </c>
      <c r="BG322" s="69" t="n">
        <f aca="false">MAX(BF322,BG321)</f>
        <v>4777747.59372651</v>
      </c>
      <c r="BH322" s="69" t="n">
        <f aca="false">MAX(BG322,BH321)</f>
        <v>4963591.17499493</v>
      </c>
      <c r="BI322" s="69" t="n">
        <f aca="false">MAX(BH322,BI321)</f>
        <v>5150523.0696798</v>
      </c>
      <c r="BJ322" s="69" t="n">
        <f aca="false">MAX(BI322,BJ321)</f>
        <v>5327953.41612318</v>
      </c>
    </row>
    <row r="323" customFormat="false" ht="15" hidden="false" customHeight="false" outlineLevel="0" collapsed="false">
      <c r="A323" s="6" t="s">
        <v>82</v>
      </c>
      <c r="C323" s="69" t="n">
        <f aca="false">-C322*Inputs!$D$81</f>
        <v>-0</v>
      </c>
      <c r="D323" s="69" t="n">
        <f aca="false">-(D322-C322)*Inputs!$D$81</f>
        <v>-0</v>
      </c>
      <c r="E323" s="69" t="n">
        <f aca="false">-(E322-D322)*Inputs!$D$81</f>
        <v>-0</v>
      </c>
      <c r="F323" s="69" t="n">
        <f aca="false">-(F322-E322)*Inputs!$D$81</f>
        <v>-0</v>
      </c>
      <c r="G323" s="69" t="n">
        <f aca="false">-(G322-F322)*Inputs!$D$81</f>
        <v>-0</v>
      </c>
      <c r="H323" s="69" t="n">
        <f aca="false">-(H322-G322)*Inputs!$D$81</f>
        <v>-0</v>
      </c>
      <c r="I323" s="69" t="n">
        <f aca="false">-(I322-H322)*Inputs!$D$81</f>
        <v>-0</v>
      </c>
      <c r="J323" s="69" t="n">
        <f aca="false">-(J322-I322)*Inputs!$D$81</f>
        <v>-0</v>
      </c>
      <c r="K323" s="69" t="n">
        <f aca="false">-(K322-J322)*Inputs!$D$81</f>
        <v>-0</v>
      </c>
      <c r="L323" s="69" t="n">
        <f aca="false">-(L322-K322)*Inputs!$D$81</f>
        <v>-0</v>
      </c>
      <c r="M323" s="69" t="n">
        <f aca="false">-(M322-L322)*Inputs!$D$81</f>
        <v>-0</v>
      </c>
      <c r="N323" s="69" t="n">
        <f aca="false">-(N322-M322)*Inputs!$D$81</f>
        <v>-0</v>
      </c>
      <c r="O323" s="69" t="n">
        <f aca="false">-(O322-N322)*Inputs!$D$81</f>
        <v>-0</v>
      </c>
      <c r="P323" s="69" t="n">
        <f aca="false">-(P322-O322)*Inputs!$D$81</f>
        <v>-0</v>
      </c>
      <c r="Q323" s="69" t="n">
        <f aca="false">-(Q322-P322)*Inputs!$D$81</f>
        <v>-0</v>
      </c>
      <c r="R323" s="69" t="n">
        <f aca="false">-(R322-Q322)*Inputs!$D$81</f>
        <v>-0</v>
      </c>
      <c r="S323" s="69" t="n">
        <f aca="false">-(S322-R322)*Inputs!$D$81</f>
        <v>-0</v>
      </c>
      <c r="T323" s="69" t="n">
        <f aca="false">-(T322-S322)*Inputs!$D$81</f>
        <v>-4450.73643569887</v>
      </c>
      <c r="U323" s="69" t="n">
        <f aca="false">-(U322-T322)*Inputs!$D$81</f>
        <v>-11657.5485726355</v>
      </c>
      <c r="V323" s="69" t="n">
        <f aca="false">-(V322-U322)*Inputs!$D$81</f>
        <v>-12306.3578254381</v>
      </c>
      <c r="W323" s="69" t="n">
        <f aca="false">-(W322-V322)*Inputs!$D$81</f>
        <v>-12935.5951821511</v>
      </c>
      <c r="X323" s="69" t="n">
        <f aca="false">-(X322-W322)*Inputs!$D$81</f>
        <v>-13545.8869434492</v>
      </c>
      <c r="Y323" s="69" t="n">
        <f aca="false">-(Y322-X322)*Inputs!$D$81</f>
        <v>-14137.8393683858</v>
      </c>
      <c r="Z323" s="69" t="n">
        <f aca="false">-(Z322-Y322)*Inputs!$D$81</f>
        <v>-11545.756815898</v>
      </c>
      <c r="AA323" s="69" t="n">
        <f aca="false">-(AA322-Z322)*Inputs!$D$81</f>
        <v>-14442.2694967058</v>
      </c>
      <c r="AB323" s="69" t="n">
        <f aca="false">-(AB322-AA322)*Inputs!$D$81</f>
        <v>-15008.8943092229</v>
      </c>
      <c r="AC323" s="69" t="n">
        <f aca="false">-(AC322-AB322)*Inputs!$D$81</f>
        <v>-19010.91378205</v>
      </c>
      <c r="AD323" s="69" t="n">
        <f aca="false">-(AD322-AC322)*Inputs!$D$81</f>
        <v>-19620.9606304664</v>
      </c>
      <c r="AE323" s="69" t="n">
        <f aca="false">-(AE322-AD322)*Inputs!$D$81</f>
        <v>-20212.6759797334</v>
      </c>
      <c r="AF323" s="69" t="n">
        <f aca="false">-(AF322-AE322)*Inputs!$D$81</f>
        <v>-20786.646437824</v>
      </c>
      <c r="AG323" s="69" t="n">
        <f aca="false">-(AG322-AF322)*Inputs!$D$81</f>
        <v>-21343.4398412556</v>
      </c>
      <c r="AH323" s="69" t="n">
        <f aca="false">-(AH322-AG322)*Inputs!$D$81</f>
        <v>-21883.6058557774</v>
      </c>
      <c r="AI323" s="69" t="n">
        <f aca="false">-(AI322-AH322)*Inputs!$D$81</f>
        <v>-22407.6765578346</v>
      </c>
      <c r="AJ323" s="69" t="n">
        <f aca="false">-(AJ322-AI322)*Inputs!$D$81</f>
        <v>-22916.1669974259</v>
      </c>
      <c r="AK323" s="69" t="n">
        <f aca="false">-(AK322-AJ322)*Inputs!$D$81</f>
        <v>-23409.5757429502</v>
      </c>
      <c r="AL323" s="69" t="n">
        <f aca="false">-(AL322-AK322)*Inputs!$D$81</f>
        <v>-20521.6977373535</v>
      </c>
      <c r="AM323" s="69" t="n">
        <f aca="false">-(AM322-AL322)*Inputs!$D$81</f>
        <v>-23685.3179751418</v>
      </c>
      <c r="AN323" s="69" t="n">
        <f aca="false">-(AN322-AM322)*Inputs!$D$81</f>
        <v>-24160.0801373961</v>
      </c>
      <c r="AO323" s="69" t="n">
        <f aca="false">-(AO322-AN322)*Inputs!$D$81</f>
        <v>-28305.6507366078</v>
      </c>
      <c r="AP323" s="69" t="n">
        <f aca="false">-(AP322-AO322)*Inputs!$D$81</f>
        <v>-28839.2105716582</v>
      </c>
      <c r="AQ323" s="69" t="n">
        <f aca="false">-(AQ322-AP322)*Inputs!$D$81</f>
        <v>-29356.8864919871</v>
      </c>
      <c r="AR323" s="69" t="n">
        <f aca="false">-(AR322-AQ322)*Inputs!$D$81</f>
        <v>-29859.1867828653</v>
      </c>
      <c r="AS323" s="69" t="n">
        <f aca="false">-(AS322-AR322)*Inputs!$D$81</f>
        <v>-30346.6034644355</v>
      </c>
      <c r="AT323" s="69" t="n">
        <f aca="false">-(AT322-AS322)*Inputs!$D$81</f>
        <v>-30819.6128121955</v>
      </c>
      <c r="AU323" s="69" t="n">
        <f aca="false">-(AU322-AT322)*Inputs!$D$81</f>
        <v>-31278.6758608271</v>
      </c>
      <c r="AV323" s="69" t="n">
        <f aca="false">-(AV322-AU322)*Inputs!$D$81</f>
        <v>-31724.2388919025</v>
      </c>
      <c r="AW323" s="69" t="n">
        <f aca="false">-(AW322-AV322)*Inputs!$D$81</f>
        <v>-32156.7339059835</v>
      </c>
      <c r="AX323" s="69" t="n">
        <f aca="false">-(AX322-AW322)*Inputs!$D$81</f>
        <v>-28965.5689525917</v>
      </c>
      <c r="AY323" s="69" t="n">
        <f aca="false">-(AY322-AX322)*Inputs!$D$81</f>
        <v>-32432.1179266099</v>
      </c>
      <c r="AZ323" s="69" t="n">
        <f aca="false">-(AZ322-AY322)*Inputs!$D$81</f>
        <v>-32851.3256973115</v>
      </c>
      <c r="BA323" s="69" t="n">
        <f aca="false">-(BA322-AZ322)*Inputs!$D$81</f>
        <v>-37220.5739395658</v>
      </c>
      <c r="BB323" s="69" t="n">
        <f aca="false">-(BB322-BA322)*Inputs!$D$81</f>
        <v>-37589.0896338076</v>
      </c>
      <c r="BC323" s="69" t="n">
        <f aca="false">-(BC322-BB322)*Inputs!$D$81</f>
        <v>-37835.7080570381</v>
      </c>
      <c r="BD323" s="69" t="n">
        <f aca="false">-(BD322-BC322)*Inputs!$D$81</f>
        <v>-38079.8796897018</v>
      </c>
      <c r="BE323" s="69" t="n">
        <f aca="false">-(BE322-BD322)*Inputs!$D$81</f>
        <v>-38321.3273606638</v>
      </c>
      <c r="BF323" s="69" t="n">
        <f aca="false">-(BF322-BE322)*Inputs!$D$81</f>
        <v>-38559.8155591823</v>
      </c>
      <c r="BG323" s="69" t="n">
        <f aca="false">-(BG322-BF322)*Inputs!$D$81</f>
        <v>-38795.1457228387</v>
      </c>
      <c r="BH323" s="69" t="n">
        <f aca="false">-(BH322-BG322)*Inputs!$D$81</f>
        <v>-39027.1520663667</v>
      </c>
      <c r="BI323" s="69" t="n">
        <f aca="false">-(BI322-BH322)*Inputs!$D$81</f>
        <v>-39255.6978838229</v>
      </c>
      <c r="BJ323" s="69" t="n">
        <f aca="false">-(BJ322-BI322)*Inputs!$D$81</f>
        <v>-37260.372753111</v>
      </c>
    </row>
    <row r="324" customFormat="false" ht="15" hidden="false" customHeight="false" outlineLevel="0" collapsed="false">
      <c r="A324" s="113" t="s">
        <v>50</v>
      </c>
      <c r="C324" s="70" t="n">
        <f aca="false">C320+C323</f>
        <v>-74865.8196725689</v>
      </c>
      <c r="D324" s="70" t="n">
        <f aca="false">D320+D323</f>
        <v>-66097.0319556359</v>
      </c>
      <c r="E324" s="70" t="n">
        <f aca="false">E320+E323</f>
        <v>-47000.9998745679</v>
      </c>
      <c r="F324" s="70" t="n">
        <f aca="false">F320+F323</f>
        <v>-36561.5605722249</v>
      </c>
      <c r="G324" s="70" t="n">
        <f aca="false">G320+G323</f>
        <v>-25912.5420775759</v>
      </c>
      <c r="H324" s="70" t="n">
        <f aca="false">H320+H323</f>
        <v>-15060.6509247748</v>
      </c>
      <c r="I324" s="70" t="n">
        <f aca="false">I320+I323</f>
        <v>-4012.3790388823</v>
      </c>
      <c r="J324" s="70" t="n">
        <f aca="false">J320+J323</f>
        <v>7225.98939664256</v>
      </c>
      <c r="K324" s="70" t="n">
        <f aca="false">K320+K323</f>
        <v>10991.2834763945</v>
      </c>
      <c r="L324" s="70" t="n">
        <f aca="false">L320+L323</f>
        <v>14641.7548122609</v>
      </c>
      <c r="M324" s="70" t="n">
        <f aca="false">M320+M323</f>
        <v>18181.0777320464</v>
      </c>
      <c r="N324" s="70" t="n">
        <f aca="false">N320+N323</f>
        <v>7247.10844137573</v>
      </c>
      <c r="O324" s="70" t="n">
        <f aca="false">O320+O323</f>
        <v>19930.9702105406</v>
      </c>
      <c r="P324" s="70" t="n">
        <f aca="false">P320+P323</f>
        <v>23307.9043192713</v>
      </c>
      <c r="Q324" s="70" t="n">
        <f aca="false">Q320+Q323</f>
        <v>42158.7019493339</v>
      </c>
      <c r="R324" s="70" t="n">
        <f aca="false">R320+R323</f>
        <v>45652.9130447027</v>
      </c>
      <c r="S324" s="70" t="n">
        <f aca="false">S320+S323</f>
        <v>49040.9760516863</v>
      </c>
      <c r="T324" s="70" t="n">
        <f aca="false">T320+T323</f>
        <v>47875.5512734143</v>
      </c>
      <c r="U324" s="70" t="n">
        <f aca="false">U320+U323</f>
        <v>43854.5874875336</v>
      </c>
      <c r="V324" s="70" t="n">
        <f aca="false">V320+V323</f>
        <v>46295.3461052197</v>
      </c>
      <c r="W324" s="70" t="n">
        <f aca="false">W320+W323</f>
        <v>48662.4771138065</v>
      </c>
      <c r="X324" s="70" t="n">
        <f aca="false">X320+X323</f>
        <v>50958.3365967852</v>
      </c>
      <c r="Y324" s="70" t="n">
        <f aca="false">Y320+Y323</f>
        <v>53185.2052429753</v>
      </c>
      <c r="Z324" s="70" t="n">
        <f aca="false">Z320+Z323</f>
        <v>43434.037545521</v>
      </c>
      <c r="AA324" s="70" t="n">
        <f aca="false">AA320+AA323</f>
        <v>54330.4423923696</v>
      </c>
      <c r="AB324" s="70" t="n">
        <f aca="false">AB320+AB323</f>
        <v>56462.0309727909</v>
      </c>
      <c r="AC324" s="70" t="n">
        <f aca="false">AC320+AC323</f>
        <v>71517.2470848546</v>
      </c>
      <c r="AD324" s="70" t="n">
        <f aca="false">AD320+AD323</f>
        <v>73812.1852288972</v>
      </c>
      <c r="AE324" s="70" t="n">
        <f aca="false">AE320+AE323</f>
        <v>76038.1620189972</v>
      </c>
      <c r="AF324" s="70" t="n">
        <f aca="false">AF320+AF323</f>
        <v>78197.3842184807</v>
      </c>
      <c r="AG324" s="70" t="n">
        <f aca="false">AG320+AG323</f>
        <v>80291.9879742473</v>
      </c>
      <c r="AH324" s="70" t="n">
        <f aca="false">AH320+AH323</f>
        <v>82324.0410764961</v>
      </c>
      <c r="AI324" s="70" t="n">
        <f aca="false">AI320+AI323</f>
        <v>84295.5451461396</v>
      </c>
      <c r="AJ324" s="70" t="n">
        <f aca="false">AJ320+AJ323</f>
        <v>86208.4377522211</v>
      </c>
      <c r="AK324" s="70" t="n">
        <f aca="false">AK320+AK323</f>
        <v>88064.5944615747</v>
      </c>
      <c r="AL324" s="70" t="n">
        <f aca="false">AL320+AL323</f>
        <v>77200.6724405203</v>
      </c>
      <c r="AM324" s="70" t="n">
        <f aca="false">AM320+AM323</f>
        <v>89101.9104779142</v>
      </c>
      <c r="AN324" s="70" t="n">
        <f aca="false">AN320+AN323</f>
        <v>90887.9205168713</v>
      </c>
      <c r="AO324" s="70" t="n">
        <f aca="false">AO320+AO323</f>
        <v>106483.162294858</v>
      </c>
      <c r="AP324" s="70" t="n">
        <f aca="false">AP320+AP323</f>
        <v>108490.363579095</v>
      </c>
      <c r="AQ324" s="70" t="n">
        <f aca="false">AQ320+AQ323</f>
        <v>110437.811088904</v>
      </c>
      <c r="AR324" s="70" t="n">
        <f aca="false">AR320+AR323</f>
        <v>112327.416945065</v>
      </c>
      <c r="AS324" s="70" t="n">
        <f aca="false">AS320+AS323</f>
        <v>114161.032080496</v>
      </c>
      <c r="AT324" s="70" t="n">
        <f aca="false">AT320+AT323</f>
        <v>115940.448198259</v>
      </c>
      <c r="AU324" s="70" t="n">
        <f aca="false">AU320+AU323</f>
        <v>117667.399666921</v>
      </c>
      <c r="AV324" s="70" t="n">
        <f aca="false">AV320+AV323</f>
        <v>119343.565355252</v>
      </c>
      <c r="AW324" s="70" t="n">
        <f aca="false">AW320+AW323</f>
        <v>120970.570408224</v>
      </c>
      <c r="AX324" s="70" t="n">
        <f aca="false">AX320+AX323</f>
        <v>108965.711774035</v>
      </c>
      <c r="AY324" s="70" t="n">
        <f aca="false">AY320+AY323</f>
        <v>122006.538866771</v>
      </c>
      <c r="AZ324" s="70" t="n">
        <f aca="false">AZ320+AZ323</f>
        <v>123583.5585756</v>
      </c>
      <c r="BA324" s="70" t="n">
        <f aca="false">BA320+BA323</f>
        <v>140020.254344081</v>
      </c>
      <c r="BB324" s="70" t="n">
        <f aca="false">BB320+BB323</f>
        <v>141406.575289086</v>
      </c>
      <c r="BC324" s="70" t="n">
        <f aca="false">BC320+BC323</f>
        <v>142334.33030981</v>
      </c>
      <c r="BD324" s="70" t="n">
        <f aca="false">BD320+BD323</f>
        <v>143252.880737449</v>
      </c>
      <c r="BE324" s="70" t="n">
        <f aca="false">BE320+BE323</f>
        <v>144161.183880593</v>
      </c>
      <c r="BF324" s="70" t="n">
        <f aca="false">BF320+BF323</f>
        <v>145058.353770257</v>
      </c>
      <c r="BG324" s="70" t="n">
        <f aca="false">BG320+BG323</f>
        <v>145943.643433536</v>
      </c>
      <c r="BH324" s="70" t="n">
        <f aca="false">BH320+BH323</f>
        <v>146816.429202046</v>
      </c>
      <c r="BI324" s="70" t="n">
        <f aca="false">BI320+BI323</f>
        <v>147676.196801048</v>
      </c>
      <c r="BJ324" s="70" t="n">
        <f aca="false">BJ320+BJ323</f>
        <v>140169.973690275</v>
      </c>
    </row>
    <row r="326" customFormat="false" ht="15.75" hidden="false" customHeight="true" outlineLevel="0" collapsed="false">
      <c r="A326" s="7" t="s">
        <v>447</v>
      </c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</row>
    <row r="327" customFormat="false" ht="15" hidden="false" customHeight="false" outlineLevel="0" collapsed="false">
      <c r="A327" s="6" t="s">
        <v>448</v>
      </c>
      <c r="C327" s="69" t="n">
        <f aca="false">IF(C$264=1,Inputs!$D$50,0)</f>
        <v>1650000</v>
      </c>
      <c r="D327" s="69" t="n">
        <f aca="false">IF(D$264=1,Inputs!$D$50,0)</f>
        <v>0</v>
      </c>
      <c r="E327" s="69" t="n">
        <f aca="false">IF(E$264=1,Inputs!$D$50,0)</f>
        <v>0</v>
      </c>
      <c r="F327" s="69" t="n">
        <f aca="false">IF(F$264=1,Inputs!$D$50,0)</f>
        <v>0</v>
      </c>
      <c r="G327" s="69" t="n">
        <f aca="false">IF(G$264=1,Inputs!$D$50,0)</f>
        <v>0</v>
      </c>
      <c r="H327" s="69" t="n">
        <f aca="false">IF(H$264=1,Inputs!$D$50,0)</f>
        <v>0</v>
      </c>
      <c r="I327" s="69" t="n">
        <f aca="false">IF(I$264=1,Inputs!$D$50,0)</f>
        <v>0</v>
      </c>
      <c r="J327" s="69" t="n">
        <f aca="false">IF(J$264=1,Inputs!$D$50,0)</f>
        <v>0</v>
      </c>
      <c r="K327" s="69" t="n">
        <f aca="false">IF(K$264=1,Inputs!$D$50,0)</f>
        <v>0</v>
      </c>
      <c r="L327" s="69" t="n">
        <f aca="false">IF(L$264=1,Inputs!$D$50,0)</f>
        <v>0</v>
      </c>
      <c r="M327" s="69" t="n">
        <f aca="false">IF(M$264=1,Inputs!$D$50,0)</f>
        <v>0</v>
      </c>
      <c r="N327" s="69" t="n">
        <f aca="false">IF(N$264=1,Inputs!$D$50,0)</f>
        <v>0</v>
      </c>
      <c r="O327" s="69" t="n">
        <f aca="false">IF(O$264=1,Inputs!$D$50,0)</f>
        <v>0</v>
      </c>
      <c r="P327" s="69" t="n">
        <f aca="false">IF(P$264=1,Inputs!$D$50,0)</f>
        <v>0</v>
      </c>
      <c r="Q327" s="69" t="n">
        <f aca="false">IF(Q$264=1,Inputs!$D$50,0)</f>
        <v>0</v>
      </c>
      <c r="R327" s="69" t="n">
        <f aca="false">IF(R$264=1,Inputs!$D$50,0)</f>
        <v>0</v>
      </c>
      <c r="S327" s="69" t="n">
        <f aca="false">IF(S$264=1,Inputs!$D$50,0)</f>
        <v>0</v>
      </c>
      <c r="T327" s="69" t="n">
        <f aca="false">IF(T$264=1,Inputs!$D$50,0)</f>
        <v>0</v>
      </c>
      <c r="U327" s="69" t="n">
        <f aca="false">IF(U$264=1,Inputs!$D$50,0)</f>
        <v>0</v>
      </c>
      <c r="V327" s="69" t="n">
        <f aca="false">IF(V$264=1,Inputs!$D$50,0)</f>
        <v>0</v>
      </c>
      <c r="W327" s="69" t="n">
        <f aca="false">IF(W$264=1,Inputs!$D$50,0)</f>
        <v>0</v>
      </c>
      <c r="X327" s="69" t="n">
        <f aca="false">IF(X$264=1,Inputs!$D$50,0)</f>
        <v>0</v>
      </c>
      <c r="Y327" s="69" t="n">
        <f aca="false">IF(Y$264=1,Inputs!$D$50,0)</f>
        <v>0</v>
      </c>
      <c r="Z327" s="69" t="n">
        <f aca="false">IF(Z$264=1,Inputs!$D$50,0)</f>
        <v>0</v>
      </c>
      <c r="AA327" s="69" t="n">
        <f aca="false">IF(AA$264=1,Inputs!$D$50,0)</f>
        <v>0</v>
      </c>
      <c r="AB327" s="69" t="n">
        <f aca="false">IF(AB$264=1,Inputs!$D$50,0)</f>
        <v>0</v>
      </c>
      <c r="AC327" s="69" t="n">
        <f aca="false">IF(AC$264=1,Inputs!$D$50,0)</f>
        <v>0</v>
      </c>
      <c r="AD327" s="69" t="n">
        <f aca="false">IF(AD$264=1,Inputs!$D$50,0)</f>
        <v>0</v>
      </c>
      <c r="AE327" s="69" t="n">
        <f aca="false">IF(AE$264=1,Inputs!$D$50,0)</f>
        <v>0</v>
      </c>
      <c r="AF327" s="69" t="n">
        <f aca="false">IF(AF$264=1,Inputs!$D$50,0)</f>
        <v>0</v>
      </c>
      <c r="AG327" s="69" t="n">
        <f aca="false">IF(AG$264=1,Inputs!$D$50,0)</f>
        <v>0</v>
      </c>
      <c r="AH327" s="69" t="n">
        <f aca="false">IF(AH$264=1,Inputs!$D$50,0)</f>
        <v>0</v>
      </c>
      <c r="AI327" s="69" t="n">
        <f aca="false">IF(AI$264=1,Inputs!$D$50,0)</f>
        <v>0</v>
      </c>
      <c r="AJ327" s="69" t="n">
        <f aca="false">IF(AJ$264=1,Inputs!$D$50,0)</f>
        <v>0</v>
      </c>
      <c r="AK327" s="69" t="n">
        <f aca="false">IF(AK$264=1,Inputs!$D$50,0)</f>
        <v>0</v>
      </c>
      <c r="AL327" s="69" t="n">
        <f aca="false">IF(AL$264=1,Inputs!$D$50,0)</f>
        <v>0</v>
      </c>
      <c r="AM327" s="69" t="n">
        <f aca="false">IF(AM$264=1,Inputs!$D$50,0)</f>
        <v>0</v>
      </c>
      <c r="AN327" s="69" t="n">
        <f aca="false">IF(AN$264=1,Inputs!$D$50,0)</f>
        <v>0</v>
      </c>
      <c r="AO327" s="69" t="n">
        <f aca="false">IF(AO$264=1,Inputs!$D$50,0)</f>
        <v>0</v>
      </c>
      <c r="AP327" s="69" t="n">
        <f aca="false">IF(AP$264=1,Inputs!$D$50,0)</f>
        <v>0</v>
      </c>
      <c r="AQ327" s="69" t="n">
        <f aca="false">IF(AQ$264=1,Inputs!$D$50,0)</f>
        <v>0</v>
      </c>
      <c r="AR327" s="69" t="n">
        <f aca="false">IF(AR$264=1,Inputs!$D$50,0)</f>
        <v>0</v>
      </c>
      <c r="AS327" s="69" t="n">
        <f aca="false">IF(AS$264=1,Inputs!$D$50,0)</f>
        <v>0</v>
      </c>
      <c r="AT327" s="69" t="n">
        <f aca="false">IF(AT$264=1,Inputs!$D$50,0)</f>
        <v>0</v>
      </c>
      <c r="AU327" s="69" t="n">
        <f aca="false">IF(AU$264=1,Inputs!$D$50,0)</f>
        <v>0</v>
      </c>
      <c r="AV327" s="69" t="n">
        <f aca="false">IF(AV$264=1,Inputs!$D$50,0)</f>
        <v>0</v>
      </c>
      <c r="AW327" s="69" t="n">
        <f aca="false">IF(AW$264=1,Inputs!$D$50,0)</f>
        <v>0</v>
      </c>
      <c r="AX327" s="69" t="n">
        <f aca="false">IF(AX$264=1,Inputs!$D$50,0)</f>
        <v>0</v>
      </c>
      <c r="AY327" s="69" t="n">
        <f aca="false">IF(AY$264=1,Inputs!$D$50,0)</f>
        <v>0</v>
      </c>
      <c r="AZ327" s="69" t="n">
        <f aca="false">IF(AZ$264=1,Inputs!$D$50,0)</f>
        <v>0</v>
      </c>
      <c r="BA327" s="69" t="n">
        <f aca="false">IF(BA$264=1,Inputs!$D$50,0)</f>
        <v>0</v>
      </c>
      <c r="BB327" s="69" t="n">
        <f aca="false">IF(BB$264=1,Inputs!$D$50,0)</f>
        <v>0</v>
      </c>
      <c r="BC327" s="69" t="n">
        <f aca="false">IF(BC$264=1,Inputs!$D$50,0)</f>
        <v>0</v>
      </c>
      <c r="BD327" s="69" t="n">
        <f aca="false">IF(BD$264=1,Inputs!$D$50,0)</f>
        <v>0</v>
      </c>
      <c r="BE327" s="69" t="n">
        <f aca="false">IF(BE$264=1,Inputs!$D$50,0)</f>
        <v>0</v>
      </c>
      <c r="BF327" s="69" t="n">
        <f aca="false">IF(BF$264=1,Inputs!$D$50,0)</f>
        <v>0</v>
      </c>
      <c r="BG327" s="69" t="n">
        <f aca="false">IF(BG$264=1,Inputs!$D$50,0)</f>
        <v>0</v>
      </c>
      <c r="BH327" s="69" t="n">
        <f aca="false">IF(BH$264=1,Inputs!$D$50,0)</f>
        <v>0</v>
      </c>
      <c r="BI327" s="69" t="n">
        <f aca="false">IF(BI$264=1,Inputs!$D$50,0)</f>
        <v>0</v>
      </c>
      <c r="BJ327" s="69" t="n">
        <f aca="false">IF(BJ$264=1,Inputs!$D$50,0)</f>
        <v>0</v>
      </c>
    </row>
    <row r="328" customFormat="false" ht="15" hidden="false" customHeight="false" outlineLevel="0" collapsed="false">
      <c r="A328" s="6" t="s">
        <v>449</v>
      </c>
      <c r="C328" s="69" t="n">
        <f aca="false">IF(C$264=1,Inputs!$D$51,0)</f>
        <v>2300000</v>
      </c>
      <c r="D328" s="69" t="n">
        <f aca="false">IF(D$264=1,Inputs!$D$51,0)</f>
        <v>0</v>
      </c>
      <c r="E328" s="69" t="n">
        <f aca="false">IF(E$264=1,Inputs!$D$51,0)</f>
        <v>0</v>
      </c>
      <c r="F328" s="69" t="n">
        <f aca="false">IF(F$264=1,Inputs!$D$51,0)</f>
        <v>0</v>
      </c>
      <c r="G328" s="69" t="n">
        <f aca="false">IF(G$264=1,Inputs!$D$51,0)</f>
        <v>0</v>
      </c>
      <c r="H328" s="69" t="n">
        <f aca="false">IF(H$264=1,Inputs!$D$51,0)</f>
        <v>0</v>
      </c>
      <c r="I328" s="69" t="n">
        <f aca="false">IF(I$264=1,Inputs!$D$51,0)</f>
        <v>0</v>
      </c>
      <c r="J328" s="69" t="n">
        <f aca="false">IF(J$264=1,Inputs!$D$51,0)</f>
        <v>0</v>
      </c>
      <c r="K328" s="69" t="n">
        <f aca="false">IF(K$264=1,Inputs!$D$51,0)</f>
        <v>0</v>
      </c>
      <c r="L328" s="69" t="n">
        <f aca="false">IF(L$264=1,Inputs!$D$51,0)</f>
        <v>0</v>
      </c>
      <c r="M328" s="69" t="n">
        <f aca="false">IF(M$264=1,Inputs!$D$51,0)</f>
        <v>0</v>
      </c>
      <c r="N328" s="69" t="n">
        <f aca="false">IF(N$264=1,Inputs!$D$51,0)</f>
        <v>0</v>
      </c>
      <c r="O328" s="69" t="n">
        <f aca="false">IF(O$264=1,Inputs!$D$51,0)</f>
        <v>0</v>
      </c>
      <c r="P328" s="69" t="n">
        <f aca="false">IF(P$264=1,Inputs!$D$51,0)</f>
        <v>0</v>
      </c>
      <c r="Q328" s="69" t="n">
        <f aca="false">IF(Q$264=1,Inputs!$D$51,0)</f>
        <v>0</v>
      </c>
      <c r="R328" s="69" t="n">
        <f aca="false">IF(R$264=1,Inputs!$D$51,0)</f>
        <v>0</v>
      </c>
      <c r="S328" s="69" t="n">
        <f aca="false">IF(S$264=1,Inputs!$D$51,0)</f>
        <v>0</v>
      </c>
      <c r="T328" s="69" t="n">
        <f aca="false">IF(T$264=1,Inputs!$D$51,0)</f>
        <v>0</v>
      </c>
      <c r="U328" s="69" t="n">
        <f aca="false">IF(U$264=1,Inputs!$D$51,0)</f>
        <v>0</v>
      </c>
      <c r="V328" s="69" t="n">
        <f aca="false">IF(V$264=1,Inputs!$D$51,0)</f>
        <v>0</v>
      </c>
      <c r="W328" s="69" t="n">
        <f aca="false">IF(W$264=1,Inputs!$D$51,0)</f>
        <v>0</v>
      </c>
      <c r="X328" s="69" t="n">
        <f aca="false">IF(X$264=1,Inputs!$D$51,0)</f>
        <v>0</v>
      </c>
      <c r="Y328" s="69" t="n">
        <f aca="false">IF(Y$264=1,Inputs!$D$51,0)</f>
        <v>0</v>
      </c>
      <c r="Z328" s="69" t="n">
        <f aca="false">IF(Z$264=1,Inputs!$D$51,0)</f>
        <v>0</v>
      </c>
      <c r="AA328" s="69" t="n">
        <f aca="false">IF(AA$264=1,Inputs!$D$51,0)</f>
        <v>0</v>
      </c>
      <c r="AB328" s="69" t="n">
        <f aca="false">IF(AB$264=1,Inputs!$D$51,0)</f>
        <v>0</v>
      </c>
      <c r="AC328" s="69" t="n">
        <f aca="false">IF(AC$264=1,Inputs!$D$51,0)</f>
        <v>0</v>
      </c>
      <c r="AD328" s="69" t="n">
        <f aca="false">IF(AD$264=1,Inputs!$D$51,0)</f>
        <v>0</v>
      </c>
      <c r="AE328" s="69" t="n">
        <f aca="false">IF(AE$264=1,Inputs!$D$51,0)</f>
        <v>0</v>
      </c>
      <c r="AF328" s="69" t="n">
        <f aca="false">IF(AF$264=1,Inputs!$D$51,0)</f>
        <v>0</v>
      </c>
      <c r="AG328" s="69" t="n">
        <f aca="false">IF(AG$264=1,Inputs!$D$51,0)</f>
        <v>0</v>
      </c>
      <c r="AH328" s="69" t="n">
        <f aca="false">IF(AH$264=1,Inputs!$D$51,0)</f>
        <v>0</v>
      </c>
      <c r="AI328" s="69" t="n">
        <f aca="false">IF(AI$264=1,Inputs!$D$51,0)</f>
        <v>0</v>
      </c>
      <c r="AJ328" s="69" t="n">
        <f aca="false">IF(AJ$264=1,Inputs!$D$51,0)</f>
        <v>0</v>
      </c>
      <c r="AK328" s="69" t="n">
        <f aca="false">IF(AK$264=1,Inputs!$D$51,0)</f>
        <v>0</v>
      </c>
      <c r="AL328" s="69" t="n">
        <f aca="false">IF(AL$264=1,Inputs!$D$51,0)</f>
        <v>0</v>
      </c>
      <c r="AM328" s="69" t="n">
        <f aca="false">IF(AM$264=1,Inputs!$D$51,0)</f>
        <v>0</v>
      </c>
      <c r="AN328" s="69" t="n">
        <f aca="false">IF(AN$264=1,Inputs!$D$51,0)</f>
        <v>0</v>
      </c>
      <c r="AO328" s="69" t="n">
        <f aca="false">IF(AO$264=1,Inputs!$D$51,0)</f>
        <v>0</v>
      </c>
      <c r="AP328" s="69" t="n">
        <f aca="false">IF(AP$264=1,Inputs!$D$51,0)</f>
        <v>0</v>
      </c>
      <c r="AQ328" s="69" t="n">
        <f aca="false">IF(AQ$264=1,Inputs!$D$51,0)</f>
        <v>0</v>
      </c>
      <c r="AR328" s="69" t="n">
        <f aca="false">IF(AR$264=1,Inputs!$D$51,0)</f>
        <v>0</v>
      </c>
      <c r="AS328" s="69" t="n">
        <f aca="false">IF(AS$264=1,Inputs!$D$51,0)</f>
        <v>0</v>
      </c>
      <c r="AT328" s="69" t="n">
        <f aca="false">IF(AT$264=1,Inputs!$D$51,0)</f>
        <v>0</v>
      </c>
      <c r="AU328" s="69" t="n">
        <f aca="false">IF(AU$264=1,Inputs!$D$51,0)</f>
        <v>0</v>
      </c>
      <c r="AV328" s="69" t="n">
        <f aca="false">IF(AV$264=1,Inputs!$D$51,0)</f>
        <v>0</v>
      </c>
      <c r="AW328" s="69" t="n">
        <f aca="false">IF(AW$264=1,Inputs!$D$51,0)</f>
        <v>0</v>
      </c>
      <c r="AX328" s="69" t="n">
        <f aca="false">IF(AX$264=1,Inputs!$D$51,0)</f>
        <v>0</v>
      </c>
      <c r="AY328" s="69" t="n">
        <f aca="false">IF(AY$264=1,Inputs!$D$51,0)</f>
        <v>0</v>
      </c>
      <c r="AZ328" s="69" t="n">
        <f aca="false">IF(AZ$264=1,Inputs!$D$51,0)</f>
        <v>0</v>
      </c>
      <c r="BA328" s="69" t="n">
        <f aca="false">IF(BA$264=1,Inputs!$D$51,0)</f>
        <v>0</v>
      </c>
      <c r="BB328" s="69" t="n">
        <f aca="false">IF(BB$264=1,Inputs!$D$51,0)</f>
        <v>0</v>
      </c>
      <c r="BC328" s="69" t="n">
        <f aca="false">IF(BC$264=1,Inputs!$D$51,0)</f>
        <v>0</v>
      </c>
      <c r="BD328" s="69" t="n">
        <f aca="false">IF(BD$264=1,Inputs!$D$51,0)</f>
        <v>0</v>
      </c>
      <c r="BE328" s="69" t="n">
        <f aca="false">IF(BE$264=1,Inputs!$D$51,0)</f>
        <v>0</v>
      </c>
      <c r="BF328" s="69" t="n">
        <f aca="false">IF(BF$264=1,Inputs!$D$51,0)</f>
        <v>0</v>
      </c>
      <c r="BG328" s="69" t="n">
        <f aca="false">IF(BG$264=1,Inputs!$D$51,0)</f>
        <v>0</v>
      </c>
      <c r="BH328" s="69" t="n">
        <f aca="false">IF(BH$264=1,Inputs!$D$51,0)</f>
        <v>0</v>
      </c>
      <c r="BI328" s="69" t="n">
        <f aca="false">IF(BI$264=1,Inputs!$D$51,0)</f>
        <v>0</v>
      </c>
      <c r="BJ328" s="69" t="n">
        <f aca="false">IF(BJ$264=1,Inputs!$D$51,0)</f>
        <v>0</v>
      </c>
    </row>
    <row r="329" customFormat="false" ht="15" hidden="false" customHeight="false" outlineLevel="0" collapsed="false">
      <c r="A329" s="6" t="s">
        <v>450</v>
      </c>
      <c r="C329" s="69" t="n">
        <f aca="false">IF(C$264=1,Inputs!$D$52,0)</f>
        <v>150000</v>
      </c>
      <c r="D329" s="69" t="n">
        <f aca="false">IF(D$264=1,Inputs!$D$52,0)</f>
        <v>0</v>
      </c>
      <c r="E329" s="69" t="n">
        <f aca="false">IF(E$264=1,Inputs!$D$52,0)</f>
        <v>0</v>
      </c>
      <c r="F329" s="69" t="n">
        <f aca="false">IF(F$264=1,Inputs!$D$52,0)</f>
        <v>0</v>
      </c>
      <c r="G329" s="69" t="n">
        <f aca="false">IF(G$264=1,Inputs!$D$52,0)</f>
        <v>0</v>
      </c>
      <c r="H329" s="69" t="n">
        <f aca="false">IF(H$264=1,Inputs!$D$52,0)</f>
        <v>0</v>
      </c>
      <c r="I329" s="69" t="n">
        <f aca="false">IF(I$264=1,Inputs!$D$52,0)</f>
        <v>0</v>
      </c>
      <c r="J329" s="69" t="n">
        <f aca="false">IF(J$264=1,Inputs!$D$52,0)</f>
        <v>0</v>
      </c>
      <c r="K329" s="69" t="n">
        <f aca="false">IF(K$264=1,Inputs!$D$52,0)</f>
        <v>0</v>
      </c>
      <c r="L329" s="69" t="n">
        <f aca="false">IF(L$264=1,Inputs!$D$52,0)</f>
        <v>0</v>
      </c>
      <c r="M329" s="69" t="n">
        <f aca="false">IF(M$264=1,Inputs!$D$52,0)</f>
        <v>0</v>
      </c>
      <c r="N329" s="69" t="n">
        <f aca="false">IF(N$264=1,Inputs!$D$52,0)</f>
        <v>0</v>
      </c>
      <c r="O329" s="69" t="n">
        <f aca="false">IF(O$264=1,Inputs!$D$52,0)</f>
        <v>0</v>
      </c>
      <c r="P329" s="69" t="n">
        <f aca="false">IF(P$264=1,Inputs!$D$52,0)</f>
        <v>0</v>
      </c>
      <c r="Q329" s="69" t="n">
        <f aca="false">IF(Q$264=1,Inputs!$D$52,0)</f>
        <v>0</v>
      </c>
      <c r="R329" s="69" t="n">
        <f aca="false">IF(R$264=1,Inputs!$D$52,0)</f>
        <v>0</v>
      </c>
      <c r="S329" s="69" t="n">
        <f aca="false">IF(S$264=1,Inputs!$D$52,0)</f>
        <v>0</v>
      </c>
      <c r="T329" s="69" t="n">
        <f aca="false">IF(T$264=1,Inputs!$D$52,0)</f>
        <v>0</v>
      </c>
      <c r="U329" s="69" t="n">
        <f aca="false">IF(U$264=1,Inputs!$D$52,0)</f>
        <v>0</v>
      </c>
      <c r="V329" s="69" t="n">
        <f aca="false">IF(V$264=1,Inputs!$D$52,0)</f>
        <v>0</v>
      </c>
      <c r="W329" s="69" t="n">
        <f aca="false">IF(W$264=1,Inputs!$D$52,0)</f>
        <v>0</v>
      </c>
      <c r="X329" s="69" t="n">
        <f aca="false">IF(X$264=1,Inputs!$D$52,0)</f>
        <v>0</v>
      </c>
      <c r="Y329" s="69" t="n">
        <f aca="false">IF(Y$264=1,Inputs!$D$52,0)</f>
        <v>0</v>
      </c>
      <c r="Z329" s="69" t="n">
        <f aca="false">IF(Z$264=1,Inputs!$D$52,0)</f>
        <v>0</v>
      </c>
      <c r="AA329" s="69" t="n">
        <f aca="false">IF(AA$264=1,Inputs!$D$52,0)</f>
        <v>0</v>
      </c>
      <c r="AB329" s="69" t="n">
        <f aca="false">IF(AB$264=1,Inputs!$D$52,0)</f>
        <v>0</v>
      </c>
      <c r="AC329" s="69" t="n">
        <f aca="false">IF(AC$264=1,Inputs!$D$52,0)</f>
        <v>0</v>
      </c>
      <c r="AD329" s="69" t="n">
        <f aca="false">IF(AD$264=1,Inputs!$D$52,0)</f>
        <v>0</v>
      </c>
      <c r="AE329" s="69" t="n">
        <f aca="false">IF(AE$264=1,Inputs!$D$52,0)</f>
        <v>0</v>
      </c>
      <c r="AF329" s="69" t="n">
        <f aca="false">IF(AF$264=1,Inputs!$D$52,0)</f>
        <v>0</v>
      </c>
      <c r="AG329" s="69" t="n">
        <f aca="false">IF(AG$264=1,Inputs!$D$52,0)</f>
        <v>0</v>
      </c>
      <c r="AH329" s="69" t="n">
        <f aca="false">IF(AH$264=1,Inputs!$D$52,0)</f>
        <v>0</v>
      </c>
      <c r="AI329" s="69" t="n">
        <f aca="false">IF(AI$264=1,Inputs!$D$52,0)</f>
        <v>0</v>
      </c>
      <c r="AJ329" s="69" t="n">
        <f aca="false">IF(AJ$264=1,Inputs!$D$52,0)</f>
        <v>0</v>
      </c>
      <c r="AK329" s="69" t="n">
        <f aca="false">IF(AK$264=1,Inputs!$D$52,0)</f>
        <v>0</v>
      </c>
      <c r="AL329" s="69" t="n">
        <f aca="false">IF(AL$264=1,Inputs!$D$52,0)</f>
        <v>0</v>
      </c>
      <c r="AM329" s="69" t="n">
        <f aca="false">IF(AM$264=1,Inputs!$D$52,0)</f>
        <v>0</v>
      </c>
      <c r="AN329" s="69" t="n">
        <f aca="false">IF(AN$264=1,Inputs!$D$52,0)</f>
        <v>0</v>
      </c>
      <c r="AO329" s="69" t="n">
        <f aca="false">IF(AO$264=1,Inputs!$D$52,0)</f>
        <v>0</v>
      </c>
      <c r="AP329" s="69" t="n">
        <f aca="false">IF(AP$264=1,Inputs!$D$52,0)</f>
        <v>0</v>
      </c>
      <c r="AQ329" s="69" t="n">
        <f aca="false">IF(AQ$264=1,Inputs!$D$52,0)</f>
        <v>0</v>
      </c>
      <c r="AR329" s="69" t="n">
        <f aca="false">IF(AR$264=1,Inputs!$D$52,0)</f>
        <v>0</v>
      </c>
      <c r="AS329" s="69" t="n">
        <f aca="false">IF(AS$264=1,Inputs!$D$52,0)</f>
        <v>0</v>
      </c>
      <c r="AT329" s="69" t="n">
        <f aca="false">IF(AT$264=1,Inputs!$D$52,0)</f>
        <v>0</v>
      </c>
      <c r="AU329" s="69" t="n">
        <f aca="false">IF(AU$264=1,Inputs!$D$52,0)</f>
        <v>0</v>
      </c>
      <c r="AV329" s="69" t="n">
        <f aca="false">IF(AV$264=1,Inputs!$D$52,0)</f>
        <v>0</v>
      </c>
      <c r="AW329" s="69" t="n">
        <f aca="false">IF(AW$264=1,Inputs!$D$52,0)</f>
        <v>0</v>
      </c>
      <c r="AX329" s="69" t="n">
        <f aca="false">IF(AX$264=1,Inputs!$D$52,0)</f>
        <v>0</v>
      </c>
      <c r="AY329" s="69" t="n">
        <f aca="false">IF(AY$264=1,Inputs!$D$52,0)</f>
        <v>0</v>
      </c>
      <c r="AZ329" s="69" t="n">
        <f aca="false">IF(AZ$264=1,Inputs!$D$52,0)</f>
        <v>0</v>
      </c>
      <c r="BA329" s="69" t="n">
        <f aca="false">IF(BA$264=1,Inputs!$D$52,0)</f>
        <v>0</v>
      </c>
      <c r="BB329" s="69" t="n">
        <f aca="false">IF(BB$264=1,Inputs!$D$52,0)</f>
        <v>0</v>
      </c>
      <c r="BC329" s="69" t="n">
        <f aca="false">IF(BC$264=1,Inputs!$D$52,0)</f>
        <v>0</v>
      </c>
      <c r="BD329" s="69" t="n">
        <f aca="false">IF(BD$264=1,Inputs!$D$52,0)</f>
        <v>0</v>
      </c>
      <c r="BE329" s="69" t="n">
        <f aca="false">IF(BE$264=1,Inputs!$D$52,0)</f>
        <v>0</v>
      </c>
      <c r="BF329" s="69" t="n">
        <f aca="false">IF(BF$264=1,Inputs!$D$52,0)</f>
        <v>0</v>
      </c>
      <c r="BG329" s="69" t="n">
        <f aca="false">IF(BG$264=1,Inputs!$D$52,0)</f>
        <v>0</v>
      </c>
      <c r="BH329" s="69" t="n">
        <f aca="false">IF(BH$264=1,Inputs!$D$52,0)</f>
        <v>0</v>
      </c>
      <c r="BI329" s="69" t="n">
        <f aca="false">IF(BI$264=1,Inputs!$D$52,0)</f>
        <v>0</v>
      </c>
      <c r="BJ329" s="69" t="n">
        <f aca="false">IF(BJ$264=1,Inputs!$D$52,0)</f>
        <v>0</v>
      </c>
    </row>
    <row r="330" customFormat="false" ht="15" hidden="false" customHeight="false" outlineLevel="0" collapsed="false">
      <c r="A330" s="6" t="s">
        <v>451</v>
      </c>
      <c r="C330" s="69" t="n">
        <f aca="false">IF(C$264=1,Inputs!$D$53,0)</f>
        <v>0</v>
      </c>
      <c r="D330" s="69" t="n">
        <f aca="false">IF(D$264=1,Inputs!$D$53,0)</f>
        <v>0</v>
      </c>
      <c r="E330" s="69" t="n">
        <f aca="false">IF(E$264=1,Inputs!$D$53,0)</f>
        <v>0</v>
      </c>
      <c r="F330" s="69" t="n">
        <f aca="false">IF(F$264=1,Inputs!$D$53,0)</f>
        <v>0</v>
      </c>
      <c r="G330" s="69" t="n">
        <f aca="false">IF(G$264=1,Inputs!$D$53,0)</f>
        <v>0</v>
      </c>
      <c r="H330" s="69" t="n">
        <f aca="false">IF(H$264=1,Inputs!$D$53,0)</f>
        <v>0</v>
      </c>
      <c r="I330" s="69" t="n">
        <f aca="false">IF(I$264=1,Inputs!$D$53,0)</f>
        <v>0</v>
      </c>
      <c r="J330" s="69" t="n">
        <f aca="false">IF(J$264=1,Inputs!$D$53,0)</f>
        <v>0</v>
      </c>
      <c r="K330" s="69" t="n">
        <f aca="false">IF(K$264=1,Inputs!$D$53,0)</f>
        <v>0</v>
      </c>
      <c r="L330" s="69" t="n">
        <f aca="false">IF(L$264=1,Inputs!$D$53,0)</f>
        <v>0</v>
      </c>
      <c r="M330" s="69" t="n">
        <f aca="false">IF(M$264=1,Inputs!$D$53,0)</f>
        <v>0</v>
      </c>
      <c r="N330" s="69" t="n">
        <f aca="false">IF(N$264=1,Inputs!$D$53,0)</f>
        <v>0</v>
      </c>
      <c r="O330" s="69" t="n">
        <f aca="false">IF(O$264=1,Inputs!$D$53,0)</f>
        <v>0</v>
      </c>
      <c r="P330" s="69" t="n">
        <f aca="false">IF(P$264=1,Inputs!$D$53,0)</f>
        <v>0</v>
      </c>
      <c r="Q330" s="69" t="n">
        <f aca="false">IF(Q$264=1,Inputs!$D$53,0)</f>
        <v>0</v>
      </c>
      <c r="R330" s="69" t="n">
        <f aca="false">IF(R$264=1,Inputs!$D$53,0)</f>
        <v>0</v>
      </c>
      <c r="S330" s="69" t="n">
        <f aca="false">IF(S$264=1,Inputs!$D$53,0)</f>
        <v>0</v>
      </c>
      <c r="T330" s="69" t="n">
        <f aca="false">IF(T$264=1,Inputs!$D$53,0)</f>
        <v>0</v>
      </c>
      <c r="U330" s="69" t="n">
        <f aca="false">IF(U$264=1,Inputs!$D$53,0)</f>
        <v>0</v>
      </c>
      <c r="V330" s="69" t="n">
        <f aca="false">IF(V$264=1,Inputs!$D$53,0)</f>
        <v>0</v>
      </c>
      <c r="W330" s="69" t="n">
        <f aca="false">IF(W$264=1,Inputs!$D$53,0)</f>
        <v>0</v>
      </c>
      <c r="X330" s="69" t="n">
        <f aca="false">IF(X$264=1,Inputs!$D$53,0)</f>
        <v>0</v>
      </c>
      <c r="Y330" s="69" t="n">
        <f aca="false">IF(Y$264=1,Inputs!$D$53,0)</f>
        <v>0</v>
      </c>
      <c r="Z330" s="69" t="n">
        <f aca="false">IF(Z$264=1,Inputs!$D$53,0)</f>
        <v>0</v>
      </c>
      <c r="AA330" s="69" t="n">
        <f aca="false">IF(AA$264=1,Inputs!$D$53,0)</f>
        <v>0</v>
      </c>
      <c r="AB330" s="69" t="n">
        <f aca="false">IF(AB$264=1,Inputs!$D$53,0)</f>
        <v>0</v>
      </c>
      <c r="AC330" s="69" t="n">
        <f aca="false">IF(AC$264=1,Inputs!$D$53,0)</f>
        <v>0</v>
      </c>
      <c r="AD330" s="69" t="n">
        <f aca="false">IF(AD$264=1,Inputs!$D$53,0)</f>
        <v>0</v>
      </c>
      <c r="AE330" s="69" t="n">
        <f aca="false">IF(AE$264=1,Inputs!$D$53,0)</f>
        <v>0</v>
      </c>
      <c r="AF330" s="69" t="n">
        <f aca="false">IF(AF$264=1,Inputs!$D$53,0)</f>
        <v>0</v>
      </c>
      <c r="AG330" s="69" t="n">
        <f aca="false">IF(AG$264=1,Inputs!$D$53,0)</f>
        <v>0</v>
      </c>
      <c r="AH330" s="69" t="n">
        <f aca="false">IF(AH$264=1,Inputs!$D$53,0)</f>
        <v>0</v>
      </c>
      <c r="AI330" s="69" t="n">
        <f aca="false">IF(AI$264=1,Inputs!$D$53,0)</f>
        <v>0</v>
      </c>
      <c r="AJ330" s="69" t="n">
        <f aca="false">IF(AJ$264=1,Inputs!$D$53,0)</f>
        <v>0</v>
      </c>
      <c r="AK330" s="69" t="n">
        <f aca="false">IF(AK$264=1,Inputs!$D$53,0)</f>
        <v>0</v>
      </c>
      <c r="AL330" s="69" t="n">
        <f aca="false">IF(AL$264=1,Inputs!$D$53,0)</f>
        <v>0</v>
      </c>
      <c r="AM330" s="69" t="n">
        <f aca="false">IF(AM$264=1,Inputs!$D$53,0)</f>
        <v>0</v>
      </c>
      <c r="AN330" s="69" t="n">
        <f aca="false">IF(AN$264=1,Inputs!$D$53,0)</f>
        <v>0</v>
      </c>
      <c r="AO330" s="69" t="n">
        <f aca="false">IF(AO$264=1,Inputs!$D$53,0)</f>
        <v>0</v>
      </c>
      <c r="AP330" s="69" t="n">
        <f aca="false">IF(AP$264=1,Inputs!$D$53,0)</f>
        <v>0</v>
      </c>
      <c r="AQ330" s="69" t="n">
        <f aca="false">IF(AQ$264=1,Inputs!$D$53,0)</f>
        <v>0</v>
      </c>
      <c r="AR330" s="69" t="n">
        <f aca="false">IF(AR$264=1,Inputs!$D$53,0)</f>
        <v>0</v>
      </c>
      <c r="AS330" s="69" t="n">
        <f aca="false">IF(AS$264=1,Inputs!$D$53,0)</f>
        <v>0</v>
      </c>
      <c r="AT330" s="69" t="n">
        <f aca="false">IF(AT$264=1,Inputs!$D$53,0)</f>
        <v>0</v>
      </c>
      <c r="AU330" s="69" t="n">
        <f aca="false">IF(AU$264=1,Inputs!$D$53,0)</f>
        <v>0</v>
      </c>
      <c r="AV330" s="69" t="n">
        <f aca="false">IF(AV$264=1,Inputs!$D$53,0)</f>
        <v>0</v>
      </c>
      <c r="AW330" s="69" t="n">
        <f aca="false">IF(AW$264=1,Inputs!$D$53,0)</f>
        <v>0</v>
      </c>
      <c r="AX330" s="69" t="n">
        <f aca="false">IF(AX$264=1,Inputs!$D$53,0)</f>
        <v>0</v>
      </c>
      <c r="AY330" s="69" t="n">
        <f aca="false">IF(AY$264=1,Inputs!$D$53,0)</f>
        <v>0</v>
      </c>
      <c r="AZ330" s="69" t="n">
        <f aca="false">IF(AZ$264=1,Inputs!$D$53,0)</f>
        <v>0</v>
      </c>
      <c r="BA330" s="69" t="n">
        <f aca="false">IF(BA$264=1,Inputs!$D$53,0)</f>
        <v>0</v>
      </c>
      <c r="BB330" s="69" t="n">
        <f aca="false">IF(BB$264=1,Inputs!$D$53,0)</f>
        <v>0</v>
      </c>
      <c r="BC330" s="69" t="n">
        <f aca="false">IF(BC$264=1,Inputs!$D$53,0)</f>
        <v>0</v>
      </c>
      <c r="BD330" s="69" t="n">
        <f aca="false">IF(BD$264=1,Inputs!$D$53,0)</f>
        <v>0</v>
      </c>
      <c r="BE330" s="69" t="n">
        <f aca="false">IF(BE$264=1,Inputs!$D$53,0)</f>
        <v>0</v>
      </c>
      <c r="BF330" s="69" t="n">
        <f aca="false">IF(BF$264=1,Inputs!$D$53,0)</f>
        <v>0</v>
      </c>
      <c r="BG330" s="69" t="n">
        <f aca="false">IF(BG$264=1,Inputs!$D$53,0)</f>
        <v>0</v>
      </c>
      <c r="BH330" s="69" t="n">
        <f aca="false">IF(BH$264=1,Inputs!$D$53,0)</f>
        <v>0</v>
      </c>
      <c r="BI330" s="69" t="n">
        <f aca="false">IF(BI$264=1,Inputs!$D$53,0)</f>
        <v>0</v>
      </c>
      <c r="BJ330" s="69" t="n">
        <f aca="false">IF(BJ$264=1,Inputs!$D$53,0)</f>
        <v>0</v>
      </c>
    </row>
    <row r="331" customFormat="false" ht="15" hidden="false" customHeight="false" outlineLevel="0" collapsed="false">
      <c r="A331" s="6" t="s">
        <v>452</v>
      </c>
      <c r="C331" s="69" t="n">
        <f aca="false">IF(AND(C$265&gt;1,MOD(C$264-1,12)=0),Inputs!$D$54,0)</f>
        <v>0</v>
      </c>
      <c r="D331" s="69" t="n">
        <f aca="false">IF(AND(D$265&gt;1,MOD(D$264-1,12)=0),Inputs!$D$54,0)</f>
        <v>0</v>
      </c>
      <c r="E331" s="69" t="n">
        <f aca="false">IF(AND(E$265&gt;1,MOD(E$264-1,12)=0),Inputs!$D$54,0)</f>
        <v>0</v>
      </c>
      <c r="F331" s="69" t="n">
        <f aca="false">IF(AND(F$265&gt;1,MOD(F$264-1,12)=0),Inputs!$D$54,0)</f>
        <v>0</v>
      </c>
      <c r="G331" s="69" t="n">
        <f aca="false">IF(AND(G$265&gt;1,MOD(G$264-1,12)=0),Inputs!$D$54,0)</f>
        <v>0</v>
      </c>
      <c r="H331" s="69" t="n">
        <f aca="false">IF(AND(H$265&gt;1,MOD(H$264-1,12)=0),Inputs!$D$54,0)</f>
        <v>0</v>
      </c>
      <c r="I331" s="69" t="n">
        <f aca="false">IF(AND(I$265&gt;1,MOD(I$264-1,12)=0),Inputs!$D$54,0)</f>
        <v>0</v>
      </c>
      <c r="J331" s="69" t="n">
        <f aca="false">IF(AND(J$265&gt;1,MOD(J$264-1,12)=0),Inputs!$D$54,0)</f>
        <v>0</v>
      </c>
      <c r="K331" s="69" t="n">
        <f aca="false">IF(AND(K$265&gt;1,MOD(K$264-1,12)=0),Inputs!$D$54,0)</f>
        <v>0</v>
      </c>
      <c r="L331" s="69" t="n">
        <f aca="false">IF(AND(L$265&gt;1,MOD(L$264-1,12)=0),Inputs!$D$54,0)</f>
        <v>0</v>
      </c>
      <c r="M331" s="69" t="n">
        <f aca="false">IF(AND(M$265&gt;1,MOD(M$264-1,12)=0),Inputs!$D$54,0)</f>
        <v>0</v>
      </c>
      <c r="N331" s="69" t="n">
        <f aca="false">IF(AND(N$265&gt;1,MOD(N$264-1,12)=0),Inputs!$D$54,0)</f>
        <v>0</v>
      </c>
      <c r="O331" s="69" t="n">
        <f aca="false">IF(AND(O$265&gt;1,MOD(O$264-1,12)=0),Inputs!$D$54,0)</f>
        <v>40000</v>
      </c>
      <c r="P331" s="69" t="n">
        <f aca="false">IF(AND(P$265&gt;1,MOD(P$264-1,12)=0),Inputs!$D$54,0)</f>
        <v>0</v>
      </c>
      <c r="Q331" s="69" t="n">
        <f aca="false">IF(AND(Q$265&gt;1,MOD(Q$264-1,12)=0),Inputs!$D$54,0)</f>
        <v>0</v>
      </c>
      <c r="R331" s="69" t="n">
        <f aca="false">IF(AND(R$265&gt;1,MOD(R$264-1,12)=0),Inputs!$D$54,0)</f>
        <v>0</v>
      </c>
      <c r="S331" s="69" t="n">
        <f aca="false">IF(AND(S$265&gt;1,MOD(S$264-1,12)=0),Inputs!$D$54,0)</f>
        <v>0</v>
      </c>
      <c r="T331" s="69" t="n">
        <f aca="false">IF(AND(T$265&gt;1,MOD(T$264-1,12)=0),Inputs!$D$54,0)</f>
        <v>0</v>
      </c>
      <c r="U331" s="69" t="n">
        <f aca="false">IF(AND(U$265&gt;1,MOD(U$264-1,12)=0),Inputs!$D$54,0)</f>
        <v>0</v>
      </c>
      <c r="V331" s="69" t="n">
        <f aca="false">IF(AND(V$265&gt;1,MOD(V$264-1,12)=0),Inputs!$D$54,0)</f>
        <v>0</v>
      </c>
      <c r="W331" s="69" t="n">
        <f aca="false">IF(AND(W$265&gt;1,MOD(W$264-1,12)=0),Inputs!$D$54,0)</f>
        <v>0</v>
      </c>
      <c r="X331" s="69" t="n">
        <f aca="false">IF(AND(X$265&gt;1,MOD(X$264-1,12)=0),Inputs!$D$54,0)</f>
        <v>0</v>
      </c>
      <c r="Y331" s="69" t="n">
        <f aca="false">IF(AND(Y$265&gt;1,MOD(Y$264-1,12)=0),Inputs!$D$54,0)</f>
        <v>0</v>
      </c>
      <c r="Z331" s="69" t="n">
        <f aca="false">IF(AND(Z$265&gt;1,MOD(Z$264-1,12)=0),Inputs!$D$54,0)</f>
        <v>0</v>
      </c>
      <c r="AA331" s="69" t="n">
        <f aca="false">IF(AND(AA$265&gt;1,MOD(AA$264-1,12)=0),Inputs!$D$54,0)</f>
        <v>40000</v>
      </c>
      <c r="AB331" s="69" t="n">
        <f aca="false">IF(AND(AB$265&gt;1,MOD(AB$264-1,12)=0),Inputs!$D$54,0)</f>
        <v>0</v>
      </c>
      <c r="AC331" s="69" t="n">
        <f aca="false">IF(AND(AC$265&gt;1,MOD(AC$264-1,12)=0),Inputs!$D$54,0)</f>
        <v>0</v>
      </c>
      <c r="AD331" s="69" t="n">
        <f aca="false">IF(AND(AD$265&gt;1,MOD(AD$264-1,12)=0),Inputs!$D$54,0)</f>
        <v>0</v>
      </c>
      <c r="AE331" s="69" t="n">
        <f aca="false">IF(AND(AE$265&gt;1,MOD(AE$264-1,12)=0),Inputs!$D$54,0)</f>
        <v>0</v>
      </c>
      <c r="AF331" s="69" t="n">
        <f aca="false">IF(AND(AF$265&gt;1,MOD(AF$264-1,12)=0),Inputs!$D$54,0)</f>
        <v>0</v>
      </c>
      <c r="AG331" s="69" t="n">
        <f aca="false">IF(AND(AG$265&gt;1,MOD(AG$264-1,12)=0),Inputs!$D$54,0)</f>
        <v>0</v>
      </c>
      <c r="AH331" s="69" t="n">
        <f aca="false">IF(AND(AH$265&gt;1,MOD(AH$264-1,12)=0),Inputs!$D$54,0)</f>
        <v>0</v>
      </c>
      <c r="AI331" s="69" t="n">
        <f aca="false">IF(AND(AI$265&gt;1,MOD(AI$264-1,12)=0),Inputs!$D$54,0)</f>
        <v>0</v>
      </c>
      <c r="AJ331" s="69" t="n">
        <f aca="false">IF(AND(AJ$265&gt;1,MOD(AJ$264-1,12)=0),Inputs!$D$54,0)</f>
        <v>0</v>
      </c>
      <c r="AK331" s="69" t="n">
        <f aca="false">IF(AND(AK$265&gt;1,MOD(AK$264-1,12)=0),Inputs!$D$54,0)</f>
        <v>0</v>
      </c>
      <c r="AL331" s="69" t="n">
        <f aca="false">IF(AND(AL$265&gt;1,MOD(AL$264-1,12)=0),Inputs!$D$54,0)</f>
        <v>0</v>
      </c>
      <c r="AM331" s="69" t="n">
        <f aca="false">IF(AND(AM$265&gt;1,MOD(AM$264-1,12)=0),Inputs!$D$54,0)</f>
        <v>40000</v>
      </c>
      <c r="AN331" s="69" t="n">
        <f aca="false">IF(AND(AN$265&gt;1,MOD(AN$264-1,12)=0),Inputs!$D$54,0)</f>
        <v>0</v>
      </c>
      <c r="AO331" s="69" t="n">
        <f aca="false">IF(AND(AO$265&gt;1,MOD(AO$264-1,12)=0),Inputs!$D$54,0)</f>
        <v>0</v>
      </c>
      <c r="AP331" s="69" t="n">
        <f aca="false">IF(AND(AP$265&gt;1,MOD(AP$264-1,12)=0),Inputs!$D$54,0)</f>
        <v>0</v>
      </c>
      <c r="AQ331" s="69" t="n">
        <f aca="false">IF(AND(AQ$265&gt;1,MOD(AQ$264-1,12)=0),Inputs!$D$54,0)</f>
        <v>0</v>
      </c>
      <c r="AR331" s="69" t="n">
        <f aca="false">IF(AND(AR$265&gt;1,MOD(AR$264-1,12)=0),Inputs!$D$54,0)</f>
        <v>0</v>
      </c>
      <c r="AS331" s="69" t="n">
        <f aca="false">IF(AND(AS$265&gt;1,MOD(AS$264-1,12)=0),Inputs!$D$54,0)</f>
        <v>0</v>
      </c>
      <c r="AT331" s="69" t="n">
        <f aca="false">IF(AND(AT$265&gt;1,MOD(AT$264-1,12)=0),Inputs!$D$54,0)</f>
        <v>0</v>
      </c>
      <c r="AU331" s="69" t="n">
        <f aca="false">IF(AND(AU$265&gt;1,MOD(AU$264-1,12)=0),Inputs!$D$54,0)</f>
        <v>0</v>
      </c>
      <c r="AV331" s="69" t="n">
        <f aca="false">IF(AND(AV$265&gt;1,MOD(AV$264-1,12)=0),Inputs!$D$54,0)</f>
        <v>0</v>
      </c>
      <c r="AW331" s="69" t="n">
        <f aca="false">IF(AND(AW$265&gt;1,MOD(AW$264-1,12)=0),Inputs!$D$54,0)</f>
        <v>0</v>
      </c>
      <c r="AX331" s="69" t="n">
        <f aca="false">IF(AND(AX$265&gt;1,MOD(AX$264-1,12)=0),Inputs!$D$54,0)</f>
        <v>0</v>
      </c>
      <c r="AY331" s="69" t="n">
        <f aca="false">IF(AND(AY$265&gt;1,MOD(AY$264-1,12)=0),Inputs!$D$54,0)</f>
        <v>40000</v>
      </c>
      <c r="AZ331" s="69" t="n">
        <f aca="false">IF(AND(AZ$265&gt;1,MOD(AZ$264-1,12)=0),Inputs!$D$54,0)</f>
        <v>0</v>
      </c>
      <c r="BA331" s="69" t="n">
        <f aca="false">IF(AND(BA$265&gt;1,MOD(BA$264-1,12)=0),Inputs!$D$54,0)</f>
        <v>0</v>
      </c>
      <c r="BB331" s="69" t="n">
        <f aca="false">IF(AND(BB$265&gt;1,MOD(BB$264-1,12)=0),Inputs!$D$54,0)</f>
        <v>0</v>
      </c>
      <c r="BC331" s="69" t="n">
        <f aca="false">IF(AND(BC$265&gt;1,MOD(BC$264-1,12)=0),Inputs!$D$54,0)</f>
        <v>0</v>
      </c>
      <c r="BD331" s="69" t="n">
        <f aca="false">IF(AND(BD$265&gt;1,MOD(BD$264-1,12)=0),Inputs!$D$54,0)</f>
        <v>0</v>
      </c>
      <c r="BE331" s="69" t="n">
        <f aca="false">IF(AND(BE$265&gt;1,MOD(BE$264-1,12)=0),Inputs!$D$54,0)</f>
        <v>0</v>
      </c>
      <c r="BF331" s="69" t="n">
        <f aca="false">IF(AND(BF$265&gt;1,MOD(BF$264-1,12)=0),Inputs!$D$54,0)</f>
        <v>0</v>
      </c>
      <c r="BG331" s="69" t="n">
        <f aca="false">IF(AND(BG$265&gt;1,MOD(BG$264-1,12)=0),Inputs!$D$54,0)</f>
        <v>0</v>
      </c>
      <c r="BH331" s="69" t="n">
        <f aca="false">IF(AND(BH$265&gt;1,MOD(BH$264-1,12)=0),Inputs!$D$54,0)</f>
        <v>0</v>
      </c>
      <c r="BI331" s="69" t="n">
        <f aca="false">IF(AND(BI$265&gt;1,MOD(BI$264-1,12)=0),Inputs!$D$54,0)</f>
        <v>0</v>
      </c>
      <c r="BJ331" s="69" t="n">
        <f aca="false">IF(AND(BJ$265&gt;1,MOD(BJ$264-1,12)=0),Inputs!$D$54,0)</f>
        <v>0</v>
      </c>
    </row>
    <row r="332" customFormat="false" ht="15" hidden="false" customHeight="false" outlineLevel="0" collapsed="false">
      <c r="A332" s="4" t="s">
        <v>84</v>
      </c>
      <c r="C332" s="75" t="n">
        <f aca="false">C327+C328+C329+C330+C331</f>
        <v>4100000</v>
      </c>
      <c r="D332" s="75" t="n">
        <f aca="false">D327+D328+D329+D330+D331</f>
        <v>0</v>
      </c>
      <c r="E332" s="75" t="n">
        <f aca="false">E327+E328+E329+E330+E331</f>
        <v>0</v>
      </c>
      <c r="F332" s="75" t="n">
        <f aca="false">F327+F328+F329+F330+F331</f>
        <v>0</v>
      </c>
      <c r="G332" s="75" t="n">
        <f aca="false">G327+G328+G329+G330+G331</f>
        <v>0</v>
      </c>
      <c r="H332" s="75" t="n">
        <f aca="false">H327+H328+H329+H330+H331</f>
        <v>0</v>
      </c>
      <c r="I332" s="75" t="n">
        <f aca="false">I327+I328+I329+I330+I331</f>
        <v>0</v>
      </c>
      <c r="J332" s="75" t="n">
        <f aca="false">J327+J328+J329+J330+J331</f>
        <v>0</v>
      </c>
      <c r="K332" s="75" t="n">
        <f aca="false">K327+K328+K329+K330+K331</f>
        <v>0</v>
      </c>
      <c r="L332" s="75" t="n">
        <f aca="false">L327+L328+L329+L330+L331</f>
        <v>0</v>
      </c>
      <c r="M332" s="75" t="n">
        <f aca="false">M327+M328+M329+M330+M331</f>
        <v>0</v>
      </c>
      <c r="N332" s="75" t="n">
        <f aca="false">N327+N328+N329+N330+N331</f>
        <v>0</v>
      </c>
      <c r="O332" s="75" t="n">
        <f aca="false">O327+O328+O329+O330+O331</f>
        <v>40000</v>
      </c>
      <c r="P332" s="75" t="n">
        <f aca="false">P327+P328+P329+P330+P331</f>
        <v>0</v>
      </c>
      <c r="Q332" s="75" t="n">
        <f aca="false">Q327+Q328+Q329+Q330+Q331</f>
        <v>0</v>
      </c>
      <c r="R332" s="75" t="n">
        <f aca="false">R327+R328+R329+R330+R331</f>
        <v>0</v>
      </c>
      <c r="S332" s="75" t="n">
        <f aca="false">S327+S328+S329+S330+S331</f>
        <v>0</v>
      </c>
      <c r="T332" s="75" t="n">
        <f aca="false">T327+T328+T329+T330+T331</f>
        <v>0</v>
      </c>
      <c r="U332" s="75" t="n">
        <f aca="false">U327+U328+U329+U330+U331</f>
        <v>0</v>
      </c>
      <c r="V332" s="75" t="n">
        <f aca="false">V327+V328+V329+V330+V331</f>
        <v>0</v>
      </c>
      <c r="W332" s="75" t="n">
        <f aca="false">W327+W328+W329+W330+W331</f>
        <v>0</v>
      </c>
      <c r="X332" s="75" t="n">
        <f aca="false">X327+X328+X329+X330+X331</f>
        <v>0</v>
      </c>
      <c r="Y332" s="75" t="n">
        <f aca="false">Y327+Y328+Y329+Y330+Y331</f>
        <v>0</v>
      </c>
      <c r="Z332" s="75" t="n">
        <f aca="false">Z327+Z328+Z329+Z330+Z331</f>
        <v>0</v>
      </c>
      <c r="AA332" s="75" t="n">
        <f aca="false">AA327+AA328+AA329+AA330+AA331</f>
        <v>40000</v>
      </c>
      <c r="AB332" s="75" t="n">
        <f aca="false">AB327+AB328+AB329+AB330+AB331</f>
        <v>0</v>
      </c>
      <c r="AC332" s="75" t="n">
        <f aca="false">AC327+AC328+AC329+AC330+AC331</f>
        <v>0</v>
      </c>
      <c r="AD332" s="75" t="n">
        <f aca="false">AD327+AD328+AD329+AD330+AD331</f>
        <v>0</v>
      </c>
      <c r="AE332" s="75" t="n">
        <f aca="false">AE327+AE328+AE329+AE330+AE331</f>
        <v>0</v>
      </c>
      <c r="AF332" s="75" t="n">
        <f aca="false">AF327+AF328+AF329+AF330+AF331</f>
        <v>0</v>
      </c>
      <c r="AG332" s="75" t="n">
        <f aca="false">AG327+AG328+AG329+AG330+AG331</f>
        <v>0</v>
      </c>
      <c r="AH332" s="75" t="n">
        <f aca="false">AH327+AH328+AH329+AH330+AH331</f>
        <v>0</v>
      </c>
      <c r="AI332" s="75" t="n">
        <f aca="false">AI327+AI328+AI329+AI330+AI331</f>
        <v>0</v>
      </c>
      <c r="AJ332" s="75" t="n">
        <f aca="false">AJ327+AJ328+AJ329+AJ330+AJ331</f>
        <v>0</v>
      </c>
      <c r="AK332" s="75" t="n">
        <f aca="false">AK327+AK328+AK329+AK330+AK331</f>
        <v>0</v>
      </c>
      <c r="AL332" s="75" t="n">
        <f aca="false">AL327+AL328+AL329+AL330+AL331</f>
        <v>0</v>
      </c>
      <c r="AM332" s="75" t="n">
        <f aca="false">AM327+AM328+AM329+AM330+AM331</f>
        <v>40000</v>
      </c>
      <c r="AN332" s="75" t="n">
        <f aca="false">AN327+AN328+AN329+AN330+AN331</f>
        <v>0</v>
      </c>
      <c r="AO332" s="75" t="n">
        <f aca="false">AO327+AO328+AO329+AO330+AO331</f>
        <v>0</v>
      </c>
      <c r="AP332" s="75" t="n">
        <f aca="false">AP327+AP328+AP329+AP330+AP331</f>
        <v>0</v>
      </c>
      <c r="AQ332" s="75" t="n">
        <f aca="false">AQ327+AQ328+AQ329+AQ330+AQ331</f>
        <v>0</v>
      </c>
      <c r="AR332" s="75" t="n">
        <f aca="false">AR327+AR328+AR329+AR330+AR331</f>
        <v>0</v>
      </c>
      <c r="AS332" s="75" t="n">
        <f aca="false">AS327+AS328+AS329+AS330+AS331</f>
        <v>0</v>
      </c>
      <c r="AT332" s="75" t="n">
        <f aca="false">AT327+AT328+AT329+AT330+AT331</f>
        <v>0</v>
      </c>
      <c r="AU332" s="75" t="n">
        <f aca="false">AU327+AU328+AU329+AU330+AU331</f>
        <v>0</v>
      </c>
      <c r="AV332" s="75" t="n">
        <f aca="false">AV327+AV328+AV329+AV330+AV331</f>
        <v>0</v>
      </c>
      <c r="AW332" s="75" t="n">
        <f aca="false">AW327+AW328+AW329+AW330+AW331</f>
        <v>0</v>
      </c>
      <c r="AX332" s="75" t="n">
        <f aca="false">AX327+AX328+AX329+AX330+AX331</f>
        <v>0</v>
      </c>
      <c r="AY332" s="75" t="n">
        <f aca="false">AY327+AY328+AY329+AY330+AY331</f>
        <v>40000</v>
      </c>
      <c r="AZ332" s="75" t="n">
        <f aca="false">AZ327+AZ328+AZ329+AZ330+AZ331</f>
        <v>0</v>
      </c>
      <c r="BA332" s="75" t="n">
        <f aca="false">BA327+BA328+BA329+BA330+BA331</f>
        <v>0</v>
      </c>
      <c r="BB332" s="75" t="n">
        <f aca="false">BB327+BB328+BB329+BB330+BB331</f>
        <v>0</v>
      </c>
      <c r="BC332" s="75" t="n">
        <f aca="false">BC327+BC328+BC329+BC330+BC331</f>
        <v>0</v>
      </c>
      <c r="BD332" s="75" t="n">
        <f aca="false">BD327+BD328+BD329+BD330+BD331</f>
        <v>0</v>
      </c>
      <c r="BE332" s="75" t="n">
        <f aca="false">BE327+BE328+BE329+BE330+BE331</f>
        <v>0</v>
      </c>
      <c r="BF332" s="75" t="n">
        <f aca="false">BF327+BF328+BF329+BF330+BF331</f>
        <v>0</v>
      </c>
      <c r="BG332" s="75" t="n">
        <f aca="false">BG327+BG328+BG329+BG330+BG331</f>
        <v>0</v>
      </c>
      <c r="BH332" s="75" t="n">
        <f aca="false">BH327+BH328+BH329+BH330+BH331</f>
        <v>0</v>
      </c>
      <c r="BI332" s="75" t="n">
        <f aca="false">BI327+BI328+BI329+BI330+BI331</f>
        <v>0</v>
      </c>
      <c r="BJ332" s="75" t="n">
        <f aca="false">BJ327+BJ328+BJ329+BJ330+BJ331</f>
        <v>0</v>
      </c>
    </row>
    <row r="333" customFormat="false" ht="15" hidden="false" customHeight="false" outlineLevel="0" collapsed="false">
      <c r="A333" s="6" t="s">
        <v>453</v>
      </c>
      <c r="C333" s="69" t="n">
        <f aca="false">C332</f>
        <v>4100000</v>
      </c>
      <c r="D333" s="69" t="n">
        <f aca="false">C333+D332</f>
        <v>4100000</v>
      </c>
      <c r="E333" s="69" t="n">
        <f aca="false">D333+E332</f>
        <v>4100000</v>
      </c>
      <c r="F333" s="69" t="n">
        <f aca="false">E333+F332</f>
        <v>4100000</v>
      </c>
      <c r="G333" s="69" t="n">
        <f aca="false">F333+G332</f>
        <v>4100000</v>
      </c>
      <c r="H333" s="69" t="n">
        <f aca="false">G333+H332</f>
        <v>4100000</v>
      </c>
      <c r="I333" s="69" t="n">
        <f aca="false">H333+I332</f>
        <v>4100000</v>
      </c>
      <c r="J333" s="69" t="n">
        <f aca="false">I333+J332</f>
        <v>4100000</v>
      </c>
      <c r="K333" s="69" t="n">
        <f aca="false">J333+K332</f>
        <v>4100000</v>
      </c>
      <c r="L333" s="69" t="n">
        <f aca="false">K333+L332</f>
        <v>4100000</v>
      </c>
      <c r="M333" s="69" t="n">
        <f aca="false">L333+M332</f>
        <v>4100000</v>
      </c>
      <c r="N333" s="69" t="n">
        <f aca="false">M333+N332</f>
        <v>4100000</v>
      </c>
      <c r="O333" s="69" t="n">
        <f aca="false">N333+O332</f>
        <v>4140000</v>
      </c>
      <c r="P333" s="69" t="n">
        <f aca="false">O333+P332</f>
        <v>4140000</v>
      </c>
      <c r="Q333" s="69" t="n">
        <f aca="false">P333+Q332</f>
        <v>4140000</v>
      </c>
      <c r="R333" s="69" t="n">
        <f aca="false">Q333+R332</f>
        <v>4140000</v>
      </c>
      <c r="S333" s="69" t="n">
        <f aca="false">R333+S332</f>
        <v>4140000</v>
      </c>
      <c r="T333" s="69" t="n">
        <f aca="false">S333+T332</f>
        <v>4140000</v>
      </c>
      <c r="U333" s="69" t="n">
        <f aca="false">T333+U332</f>
        <v>4140000</v>
      </c>
      <c r="V333" s="69" t="n">
        <f aca="false">U333+V332</f>
        <v>4140000</v>
      </c>
      <c r="W333" s="69" t="n">
        <f aca="false">V333+W332</f>
        <v>4140000</v>
      </c>
      <c r="X333" s="69" t="n">
        <f aca="false">W333+X332</f>
        <v>4140000</v>
      </c>
      <c r="Y333" s="69" t="n">
        <f aca="false">X333+Y332</f>
        <v>4140000</v>
      </c>
      <c r="Z333" s="69" t="n">
        <f aca="false">Y333+Z332</f>
        <v>4140000</v>
      </c>
      <c r="AA333" s="69" t="n">
        <f aca="false">Z333+AA332</f>
        <v>4180000</v>
      </c>
      <c r="AB333" s="69" t="n">
        <f aca="false">AA333+AB332</f>
        <v>4180000</v>
      </c>
      <c r="AC333" s="69" t="n">
        <f aca="false">AB333+AC332</f>
        <v>4180000</v>
      </c>
      <c r="AD333" s="69" t="n">
        <f aca="false">AC333+AD332</f>
        <v>4180000</v>
      </c>
      <c r="AE333" s="69" t="n">
        <f aca="false">AD333+AE332</f>
        <v>4180000</v>
      </c>
      <c r="AF333" s="69" t="n">
        <f aca="false">AE333+AF332</f>
        <v>4180000</v>
      </c>
      <c r="AG333" s="69" t="n">
        <f aca="false">AF333+AG332</f>
        <v>4180000</v>
      </c>
      <c r="AH333" s="69" t="n">
        <f aca="false">AG333+AH332</f>
        <v>4180000</v>
      </c>
      <c r="AI333" s="69" t="n">
        <f aca="false">AH333+AI332</f>
        <v>4180000</v>
      </c>
      <c r="AJ333" s="69" t="n">
        <f aca="false">AI333+AJ332</f>
        <v>4180000</v>
      </c>
      <c r="AK333" s="69" t="n">
        <f aca="false">AJ333+AK332</f>
        <v>4180000</v>
      </c>
      <c r="AL333" s="69" t="n">
        <f aca="false">AK333+AL332</f>
        <v>4180000</v>
      </c>
      <c r="AM333" s="69" t="n">
        <f aca="false">AL333+AM332</f>
        <v>4220000</v>
      </c>
      <c r="AN333" s="69" t="n">
        <f aca="false">AM333+AN332</f>
        <v>4220000</v>
      </c>
      <c r="AO333" s="69" t="n">
        <f aca="false">AN333+AO332</f>
        <v>4220000</v>
      </c>
      <c r="AP333" s="69" t="n">
        <f aca="false">AO333+AP332</f>
        <v>4220000</v>
      </c>
      <c r="AQ333" s="69" t="n">
        <f aca="false">AP333+AQ332</f>
        <v>4220000</v>
      </c>
      <c r="AR333" s="69" t="n">
        <f aca="false">AQ333+AR332</f>
        <v>4220000</v>
      </c>
      <c r="AS333" s="69" t="n">
        <f aca="false">AR333+AS332</f>
        <v>4220000</v>
      </c>
      <c r="AT333" s="69" t="n">
        <f aca="false">AS333+AT332</f>
        <v>4220000</v>
      </c>
      <c r="AU333" s="69" t="n">
        <f aca="false">AT333+AU332</f>
        <v>4220000</v>
      </c>
      <c r="AV333" s="69" t="n">
        <f aca="false">AU333+AV332</f>
        <v>4220000</v>
      </c>
      <c r="AW333" s="69" t="n">
        <f aca="false">AV333+AW332</f>
        <v>4220000</v>
      </c>
      <c r="AX333" s="69" t="n">
        <f aca="false">AW333+AX332</f>
        <v>4220000</v>
      </c>
      <c r="AY333" s="69" t="n">
        <f aca="false">AX333+AY332</f>
        <v>4260000</v>
      </c>
      <c r="AZ333" s="69" t="n">
        <f aca="false">AY333+AZ332</f>
        <v>4260000</v>
      </c>
      <c r="BA333" s="69" t="n">
        <f aca="false">AZ333+BA332</f>
        <v>4260000</v>
      </c>
      <c r="BB333" s="69" t="n">
        <f aca="false">BA333+BB332</f>
        <v>4260000</v>
      </c>
      <c r="BC333" s="69" t="n">
        <f aca="false">BB333+BC332</f>
        <v>4260000</v>
      </c>
      <c r="BD333" s="69" t="n">
        <f aca="false">BC333+BD332</f>
        <v>4260000</v>
      </c>
      <c r="BE333" s="69" t="n">
        <f aca="false">BD333+BE332</f>
        <v>4260000</v>
      </c>
      <c r="BF333" s="69" t="n">
        <f aca="false">BE333+BF332</f>
        <v>4260000</v>
      </c>
      <c r="BG333" s="69" t="n">
        <f aca="false">BF333+BG332</f>
        <v>4260000</v>
      </c>
      <c r="BH333" s="69" t="n">
        <f aca="false">BG333+BH332</f>
        <v>4260000</v>
      </c>
      <c r="BI333" s="69" t="n">
        <f aca="false">BH333+BI332</f>
        <v>4260000</v>
      </c>
      <c r="BJ333" s="69" t="n">
        <f aca="false">BI333+BJ332</f>
        <v>4260000</v>
      </c>
    </row>
    <row r="334" customFormat="false" ht="15" hidden="false" customHeight="false" outlineLevel="0" collapsed="false">
      <c r="A334" s="6" t="s">
        <v>454</v>
      </c>
      <c r="C334" s="69" t="n">
        <f aca="false">C330</f>
        <v>0</v>
      </c>
      <c r="D334" s="69" t="n">
        <f aca="false">C334+D330</f>
        <v>0</v>
      </c>
      <c r="E334" s="69" t="n">
        <f aca="false">D334+E330</f>
        <v>0</v>
      </c>
      <c r="F334" s="69" t="n">
        <f aca="false">E334+F330</f>
        <v>0</v>
      </c>
      <c r="G334" s="69" t="n">
        <f aca="false">F334+G330</f>
        <v>0</v>
      </c>
      <c r="H334" s="69" t="n">
        <f aca="false">G334+H330</f>
        <v>0</v>
      </c>
      <c r="I334" s="69" t="n">
        <f aca="false">H334+I330</f>
        <v>0</v>
      </c>
      <c r="J334" s="69" t="n">
        <f aca="false">I334+J330</f>
        <v>0</v>
      </c>
      <c r="K334" s="69" t="n">
        <f aca="false">J334+K330</f>
        <v>0</v>
      </c>
      <c r="L334" s="69" t="n">
        <f aca="false">K334+L330</f>
        <v>0</v>
      </c>
      <c r="M334" s="69" t="n">
        <f aca="false">L334+M330</f>
        <v>0</v>
      </c>
      <c r="N334" s="69" t="n">
        <f aca="false">M334+N330</f>
        <v>0</v>
      </c>
      <c r="O334" s="69" t="n">
        <f aca="false">N334+O330</f>
        <v>0</v>
      </c>
      <c r="P334" s="69" t="n">
        <f aca="false">O334+P330</f>
        <v>0</v>
      </c>
      <c r="Q334" s="69" t="n">
        <f aca="false">P334+Q330</f>
        <v>0</v>
      </c>
      <c r="R334" s="69" t="n">
        <f aca="false">Q334+R330</f>
        <v>0</v>
      </c>
      <c r="S334" s="69" t="n">
        <f aca="false">R334+S330</f>
        <v>0</v>
      </c>
      <c r="T334" s="69" t="n">
        <f aca="false">S334+T330</f>
        <v>0</v>
      </c>
      <c r="U334" s="69" t="n">
        <f aca="false">T334+U330</f>
        <v>0</v>
      </c>
      <c r="V334" s="69" t="n">
        <f aca="false">U334+V330</f>
        <v>0</v>
      </c>
      <c r="W334" s="69" t="n">
        <f aca="false">V334+W330</f>
        <v>0</v>
      </c>
      <c r="X334" s="69" t="n">
        <f aca="false">W334+X330</f>
        <v>0</v>
      </c>
      <c r="Y334" s="69" t="n">
        <f aca="false">X334+Y330</f>
        <v>0</v>
      </c>
      <c r="Z334" s="69" t="n">
        <f aca="false">Y334+Z330</f>
        <v>0</v>
      </c>
      <c r="AA334" s="69" t="n">
        <f aca="false">Z334+AA330</f>
        <v>0</v>
      </c>
      <c r="AB334" s="69" t="n">
        <f aca="false">AA334+AB330</f>
        <v>0</v>
      </c>
      <c r="AC334" s="69" t="n">
        <f aca="false">AB334+AC330</f>
        <v>0</v>
      </c>
      <c r="AD334" s="69" t="n">
        <f aca="false">AC334+AD330</f>
        <v>0</v>
      </c>
      <c r="AE334" s="69" t="n">
        <f aca="false">AD334+AE330</f>
        <v>0</v>
      </c>
      <c r="AF334" s="69" t="n">
        <f aca="false">AE334+AF330</f>
        <v>0</v>
      </c>
      <c r="AG334" s="69" t="n">
        <f aca="false">AF334+AG330</f>
        <v>0</v>
      </c>
      <c r="AH334" s="69" t="n">
        <f aca="false">AG334+AH330</f>
        <v>0</v>
      </c>
      <c r="AI334" s="69" t="n">
        <f aca="false">AH334+AI330</f>
        <v>0</v>
      </c>
      <c r="AJ334" s="69" t="n">
        <f aca="false">AI334+AJ330</f>
        <v>0</v>
      </c>
      <c r="AK334" s="69" t="n">
        <f aca="false">AJ334+AK330</f>
        <v>0</v>
      </c>
      <c r="AL334" s="69" t="n">
        <f aca="false">AK334+AL330</f>
        <v>0</v>
      </c>
      <c r="AM334" s="69" t="n">
        <f aca="false">AL334+AM330</f>
        <v>0</v>
      </c>
      <c r="AN334" s="69" t="n">
        <f aca="false">AM334+AN330</f>
        <v>0</v>
      </c>
      <c r="AO334" s="69" t="n">
        <f aca="false">AN334+AO330</f>
        <v>0</v>
      </c>
      <c r="AP334" s="69" t="n">
        <f aca="false">AO334+AP330</f>
        <v>0</v>
      </c>
      <c r="AQ334" s="69" t="n">
        <f aca="false">AP334+AQ330</f>
        <v>0</v>
      </c>
      <c r="AR334" s="69" t="n">
        <f aca="false">AQ334+AR330</f>
        <v>0</v>
      </c>
      <c r="AS334" s="69" t="n">
        <f aca="false">AR334+AS330</f>
        <v>0</v>
      </c>
      <c r="AT334" s="69" t="n">
        <f aca="false">AS334+AT330</f>
        <v>0</v>
      </c>
      <c r="AU334" s="69" t="n">
        <f aca="false">AT334+AU330</f>
        <v>0</v>
      </c>
      <c r="AV334" s="69" t="n">
        <f aca="false">AU334+AV330</f>
        <v>0</v>
      </c>
      <c r="AW334" s="69" t="n">
        <f aca="false">AV334+AW330</f>
        <v>0</v>
      </c>
      <c r="AX334" s="69" t="n">
        <f aca="false">AW334+AX330</f>
        <v>0</v>
      </c>
      <c r="AY334" s="69" t="n">
        <f aca="false">AX334+AY330</f>
        <v>0</v>
      </c>
      <c r="AZ334" s="69" t="n">
        <f aca="false">AY334+AZ330</f>
        <v>0</v>
      </c>
      <c r="BA334" s="69" t="n">
        <f aca="false">AZ334+BA330</f>
        <v>0</v>
      </c>
      <c r="BB334" s="69" t="n">
        <f aca="false">BA334+BB330</f>
        <v>0</v>
      </c>
      <c r="BC334" s="69" t="n">
        <f aca="false">BB334+BC330</f>
        <v>0</v>
      </c>
      <c r="BD334" s="69" t="n">
        <f aca="false">BC334+BD330</f>
        <v>0</v>
      </c>
      <c r="BE334" s="69" t="n">
        <f aca="false">BD334+BE330</f>
        <v>0</v>
      </c>
      <c r="BF334" s="69" t="n">
        <f aca="false">BE334+BF330</f>
        <v>0</v>
      </c>
      <c r="BG334" s="69" t="n">
        <f aca="false">BF334+BG330</f>
        <v>0</v>
      </c>
      <c r="BH334" s="69" t="n">
        <f aca="false">BG334+BH330</f>
        <v>0</v>
      </c>
      <c r="BI334" s="69" t="n">
        <f aca="false">BH334+BI330</f>
        <v>0</v>
      </c>
      <c r="BJ334" s="69" t="n">
        <f aca="false">BI334+BJ330</f>
        <v>0</v>
      </c>
    </row>
    <row r="335" customFormat="false" ht="15" hidden="false" customHeight="false" outlineLevel="0" collapsed="false">
      <c r="A335" s="6" t="s">
        <v>78</v>
      </c>
      <c r="C335" s="69" t="n">
        <f aca="false">-MIN((C333-C334)/MAX(1,Inputs!$D$80*12),C332-C334)</f>
        <v>-28472.2222222222</v>
      </c>
      <c r="D335" s="69" t="n">
        <f aca="false">-MIN((D333-D334)/MAX(1,Inputs!$D$80*12),C337+D332-D334)</f>
        <v>-28472.2222222222</v>
      </c>
      <c r="E335" s="69" t="n">
        <f aca="false">-MIN((E333-E334)/MAX(1,Inputs!$D$80*12),D337+E332-E334)</f>
        <v>-28472.2222222222</v>
      </c>
      <c r="F335" s="69" t="n">
        <f aca="false">-MIN((F333-F334)/MAX(1,Inputs!$D$80*12),E337+F332-F334)</f>
        <v>-28472.2222222222</v>
      </c>
      <c r="G335" s="69" t="n">
        <f aca="false">-MIN((G333-G334)/MAX(1,Inputs!$D$80*12),F337+G332-G334)</f>
        <v>-28472.2222222222</v>
      </c>
      <c r="H335" s="69" t="n">
        <f aca="false">-MIN((H333-H334)/MAX(1,Inputs!$D$80*12),G337+H332-H334)</f>
        <v>-28472.2222222222</v>
      </c>
      <c r="I335" s="69" t="n">
        <f aca="false">-MIN((I333-I334)/MAX(1,Inputs!$D$80*12),H337+I332-I334)</f>
        <v>-28472.2222222222</v>
      </c>
      <c r="J335" s="69" t="n">
        <f aca="false">-MIN((J333-J334)/MAX(1,Inputs!$D$80*12),I337+J332-J334)</f>
        <v>-28472.2222222222</v>
      </c>
      <c r="K335" s="69" t="n">
        <f aca="false">-MIN((K333-K334)/MAX(1,Inputs!$D$80*12),J337+K332-K334)</f>
        <v>-28472.2222222222</v>
      </c>
      <c r="L335" s="69" t="n">
        <f aca="false">-MIN((L333-L334)/MAX(1,Inputs!$D$80*12),K337+L332-L334)</f>
        <v>-28472.2222222222</v>
      </c>
      <c r="M335" s="69" t="n">
        <f aca="false">-MIN((M333-M334)/MAX(1,Inputs!$D$80*12),L337+M332-M334)</f>
        <v>-28472.2222222222</v>
      </c>
      <c r="N335" s="69" t="n">
        <f aca="false">-MIN((N333-N334)/MAX(1,Inputs!$D$80*12),M337+N332-N334)</f>
        <v>-28472.2222222222</v>
      </c>
      <c r="O335" s="69" t="n">
        <f aca="false">-MIN((O333-O334)/MAX(1,Inputs!$D$80*12),N337+O332-O334)</f>
        <v>-28750</v>
      </c>
      <c r="P335" s="69" t="n">
        <f aca="false">-MIN((P333-P334)/MAX(1,Inputs!$D$80*12),O337+P332-P334)</f>
        <v>-28750</v>
      </c>
      <c r="Q335" s="69" t="n">
        <f aca="false">-MIN((Q333-Q334)/MAX(1,Inputs!$D$80*12),P337+Q332-Q334)</f>
        <v>-28750</v>
      </c>
      <c r="R335" s="69" t="n">
        <f aca="false">-MIN((R333-R334)/MAX(1,Inputs!$D$80*12),Q337+R332-R334)</f>
        <v>-28750</v>
      </c>
      <c r="S335" s="69" t="n">
        <f aca="false">-MIN((S333-S334)/MAX(1,Inputs!$D$80*12),R337+S332-S334)</f>
        <v>-28750</v>
      </c>
      <c r="T335" s="69" t="n">
        <f aca="false">-MIN((T333-T334)/MAX(1,Inputs!$D$80*12),S337+T332-T334)</f>
        <v>-28750</v>
      </c>
      <c r="U335" s="69" t="n">
        <f aca="false">-MIN((U333-U334)/MAX(1,Inputs!$D$80*12),T337+U332-U334)</f>
        <v>-28750</v>
      </c>
      <c r="V335" s="69" t="n">
        <f aca="false">-MIN((V333-V334)/MAX(1,Inputs!$D$80*12),U337+V332-V334)</f>
        <v>-28750</v>
      </c>
      <c r="W335" s="69" t="n">
        <f aca="false">-MIN((W333-W334)/MAX(1,Inputs!$D$80*12),V337+W332-W334)</f>
        <v>-28750</v>
      </c>
      <c r="X335" s="69" t="n">
        <f aca="false">-MIN((X333-X334)/MAX(1,Inputs!$D$80*12),W337+X332-X334)</f>
        <v>-28750</v>
      </c>
      <c r="Y335" s="69" t="n">
        <f aca="false">-MIN((Y333-Y334)/MAX(1,Inputs!$D$80*12),X337+Y332-Y334)</f>
        <v>-28750</v>
      </c>
      <c r="Z335" s="69" t="n">
        <f aca="false">-MIN((Z333-Z334)/MAX(1,Inputs!$D$80*12),Y337+Z332-Z334)</f>
        <v>-28750</v>
      </c>
      <c r="AA335" s="69" t="n">
        <f aca="false">-MIN((AA333-AA334)/MAX(1,Inputs!$D$80*12),Z337+AA332-AA334)</f>
        <v>-29027.7777777778</v>
      </c>
      <c r="AB335" s="69" t="n">
        <f aca="false">-MIN((AB333-AB334)/MAX(1,Inputs!$D$80*12),AA337+AB332-AB334)</f>
        <v>-29027.7777777778</v>
      </c>
      <c r="AC335" s="69" t="n">
        <f aca="false">-MIN((AC333-AC334)/MAX(1,Inputs!$D$80*12),AB337+AC332-AC334)</f>
        <v>-29027.7777777778</v>
      </c>
      <c r="AD335" s="69" t="n">
        <f aca="false">-MIN((AD333-AD334)/MAX(1,Inputs!$D$80*12),AC337+AD332-AD334)</f>
        <v>-29027.7777777778</v>
      </c>
      <c r="AE335" s="69" t="n">
        <f aca="false">-MIN((AE333-AE334)/MAX(1,Inputs!$D$80*12),AD337+AE332-AE334)</f>
        <v>-29027.7777777778</v>
      </c>
      <c r="AF335" s="69" t="n">
        <f aca="false">-MIN((AF333-AF334)/MAX(1,Inputs!$D$80*12),AE337+AF332-AF334)</f>
        <v>-29027.7777777778</v>
      </c>
      <c r="AG335" s="69" t="n">
        <f aca="false">-MIN((AG333-AG334)/MAX(1,Inputs!$D$80*12),AF337+AG332-AG334)</f>
        <v>-29027.7777777778</v>
      </c>
      <c r="AH335" s="69" t="n">
        <f aca="false">-MIN((AH333-AH334)/MAX(1,Inputs!$D$80*12),AG337+AH332-AH334)</f>
        <v>-29027.7777777778</v>
      </c>
      <c r="AI335" s="69" t="n">
        <f aca="false">-MIN((AI333-AI334)/MAX(1,Inputs!$D$80*12),AH337+AI332-AI334)</f>
        <v>-29027.7777777778</v>
      </c>
      <c r="AJ335" s="69" t="n">
        <f aca="false">-MIN((AJ333-AJ334)/MAX(1,Inputs!$D$80*12),AI337+AJ332-AJ334)</f>
        <v>-29027.7777777778</v>
      </c>
      <c r="AK335" s="69" t="n">
        <f aca="false">-MIN((AK333-AK334)/MAX(1,Inputs!$D$80*12),AJ337+AK332-AK334)</f>
        <v>-29027.7777777778</v>
      </c>
      <c r="AL335" s="69" t="n">
        <f aca="false">-MIN((AL333-AL334)/MAX(1,Inputs!$D$80*12),AK337+AL332-AL334)</f>
        <v>-29027.7777777778</v>
      </c>
      <c r="AM335" s="69" t="n">
        <f aca="false">-MIN((AM333-AM334)/MAX(1,Inputs!$D$80*12),AL337+AM332-AM334)</f>
        <v>-29305.5555555556</v>
      </c>
      <c r="AN335" s="69" t="n">
        <f aca="false">-MIN((AN333-AN334)/MAX(1,Inputs!$D$80*12),AM337+AN332-AN334)</f>
        <v>-29305.5555555556</v>
      </c>
      <c r="AO335" s="69" t="n">
        <f aca="false">-MIN((AO333-AO334)/MAX(1,Inputs!$D$80*12),AN337+AO332-AO334)</f>
        <v>-29305.5555555556</v>
      </c>
      <c r="AP335" s="69" t="n">
        <f aca="false">-MIN((AP333-AP334)/MAX(1,Inputs!$D$80*12),AO337+AP332-AP334)</f>
        <v>-29305.5555555556</v>
      </c>
      <c r="AQ335" s="69" t="n">
        <f aca="false">-MIN((AQ333-AQ334)/MAX(1,Inputs!$D$80*12),AP337+AQ332-AQ334)</f>
        <v>-29305.5555555556</v>
      </c>
      <c r="AR335" s="69" t="n">
        <f aca="false">-MIN((AR333-AR334)/MAX(1,Inputs!$D$80*12),AQ337+AR332-AR334)</f>
        <v>-29305.5555555556</v>
      </c>
      <c r="AS335" s="69" t="n">
        <f aca="false">-MIN((AS333-AS334)/MAX(1,Inputs!$D$80*12),AR337+AS332-AS334)</f>
        <v>-29305.5555555556</v>
      </c>
      <c r="AT335" s="69" t="n">
        <f aca="false">-MIN((AT333-AT334)/MAX(1,Inputs!$D$80*12),AS337+AT332-AT334)</f>
        <v>-29305.5555555556</v>
      </c>
      <c r="AU335" s="69" t="n">
        <f aca="false">-MIN((AU333-AU334)/MAX(1,Inputs!$D$80*12),AT337+AU332-AU334)</f>
        <v>-29305.5555555556</v>
      </c>
      <c r="AV335" s="69" t="n">
        <f aca="false">-MIN((AV333-AV334)/MAX(1,Inputs!$D$80*12),AU337+AV332-AV334)</f>
        <v>-29305.5555555556</v>
      </c>
      <c r="AW335" s="69" t="n">
        <f aca="false">-MIN((AW333-AW334)/MAX(1,Inputs!$D$80*12),AV337+AW332-AW334)</f>
        <v>-29305.5555555556</v>
      </c>
      <c r="AX335" s="69" t="n">
        <f aca="false">-MIN((AX333-AX334)/MAX(1,Inputs!$D$80*12),AW337+AX332-AX334)</f>
        <v>-29305.5555555556</v>
      </c>
      <c r="AY335" s="69" t="n">
        <f aca="false">-MIN((AY333-AY334)/MAX(1,Inputs!$D$80*12),AX337+AY332-AY334)</f>
        <v>-29583.3333333333</v>
      </c>
      <c r="AZ335" s="69" t="n">
        <f aca="false">-MIN((AZ333-AZ334)/MAX(1,Inputs!$D$80*12),AY337+AZ332-AZ334)</f>
        <v>-29583.3333333333</v>
      </c>
      <c r="BA335" s="69" t="n">
        <f aca="false">-MIN((BA333-BA334)/MAX(1,Inputs!$D$80*12),AZ337+BA332-BA334)</f>
        <v>-29583.3333333333</v>
      </c>
      <c r="BB335" s="69" t="n">
        <f aca="false">-MIN((BB333-BB334)/MAX(1,Inputs!$D$80*12),BA337+BB332-BB334)</f>
        <v>-29583.3333333333</v>
      </c>
      <c r="BC335" s="69" t="n">
        <f aca="false">-MIN((BC333-BC334)/MAX(1,Inputs!$D$80*12),BB337+BC332-BC334)</f>
        <v>-29583.3333333333</v>
      </c>
      <c r="BD335" s="69" t="n">
        <f aca="false">-MIN((BD333-BD334)/MAX(1,Inputs!$D$80*12),BC337+BD332-BD334)</f>
        <v>-29583.3333333333</v>
      </c>
      <c r="BE335" s="69" t="n">
        <f aca="false">-MIN((BE333-BE334)/MAX(1,Inputs!$D$80*12),BD337+BE332-BE334)</f>
        <v>-29583.3333333333</v>
      </c>
      <c r="BF335" s="69" t="n">
        <f aca="false">-MIN((BF333-BF334)/MAX(1,Inputs!$D$80*12),BE337+BF332-BF334)</f>
        <v>-29583.3333333333</v>
      </c>
      <c r="BG335" s="69" t="n">
        <f aca="false">-MIN((BG333-BG334)/MAX(1,Inputs!$D$80*12),BF337+BG332-BG334)</f>
        <v>-29583.3333333333</v>
      </c>
      <c r="BH335" s="69" t="n">
        <f aca="false">-MIN((BH333-BH334)/MAX(1,Inputs!$D$80*12),BG337+BH332-BH334)</f>
        <v>-29583.3333333333</v>
      </c>
      <c r="BI335" s="69" t="n">
        <f aca="false">-MIN((BI333-BI334)/MAX(1,Inputs!$D$80*12),BH337+BI332-BI334)</f>
        <v>-29583.3333333333</v>
      </c>
      <c r="BJ335" s="69" t="n">
        <f aca="false">-MIN((BJ333-BJ334)/MAX(1,Inputs!$D$80*12),BI337+BJ332-BJ334)</f>
        <v>-29583.3333333333</v>
      </c>
    </row>
    <row r="336" customFormat="false" ht="15" hidden="false" customHeight="false" outlineLevel="0" collapsed="false">
      <c r="A336" s="6" t="s">
        <v>455</v>
      </c>
      <c r="C336" s="69" t="n">
        <f aca="false">C335</f>
        <v>-28472.2222222222</v>
      </c>
      <c r="D336" s="69" t="n">
        <f aca="false">C336+D335</f>
        <v>-56944.4444444444</v>
      </c>
      <c r="E336" s="69" t="n">
        <f aca="false">D336+E335</f>
        <v>-85416.6666666667</v>
      </c>
      <c r="F336" s="69" t="n">
        <f aca="false">E336+F335</f>
        <v>-113888.888888889</v>
      </c>
      <c r="G336" s="69" t="n">
        <f aca="false">F336+G335</f>
        <v>-142361.111111111</v>
      </c>
      <c r="H336" s="69" t="n">
        <f aca="false">G336+H335</f>
        <v>-170833.333333333</v>
      </c>
      <c r="I336" s="69" t="n">
        <f aca="false">H336+I335</f>
        <v>-199305.555555556</v>
      </c>
      <c r="J336" s="69" t="n">
        <f aca="false">I336+J335</f>
        <v>-227777.777777778</v>
      </c>
      <c r="K336" s="69" t="n">
        <f aca="false">J336+K335</f>
        <v>-256250</v>
      </c>
      <c r="L336" s="69" t="n">
        <f aca="false">K336+L335</f>
        <v>-284722.222222222</v>
      </c>
      <c r="M336" s="69" t="n">
        <f aca="false">L336+M335</f>
        <v>-313194.444444445</v>
      </c>
      <c r="N336" s="69" t="n">
        <f aca="false">M336+N335</f>
        <v>-341666.666666667</v>
      </c>
      <c r="O336" s="69" t="n">
        <f aca="false">N336+O335</f>
        <v>-370416.666666667</v>
      </c>
      <c r="P336" s="69" t="n">
        <f aca="false">O336+P335</f>
        <v>-399166.666666667</v>
      </c>
      <c r="Q336" s="69" t="n">
        <f aca="false">P336+Q335</f>
        <v>-427916.666666667</v>
      </c>
      <c r="R336" s="69" t="n">
        <f aca="false">Q336+R335</f>
        <v>-456666.666666667</v>
      </c>
      <c r="S336" s="69" t="n">
        <f aca="false">R336+S335</f>
        <v>-485416.666666667</v>
      </c>
      <c r="T336" s="69" t="n">
        <f aca="false">S336+T335</f>
        <v>-514166.666666667</v>
      </c>
      <c r="U336" s="69" t="n">
        <f aca="false">T336+U335</f>
        <v>-542916.666666667</v>
      </c>
      <c r="V336" s="69" t="n">
        <f aca="false">U336+V335</f>
        <v>-571666.666666667</v>
      </c>
      <c r="W336" s="69" t="n">
        <f aca="false">V336+W335</f>
        <v>-600416.666666667</v>
      </c>
      <c r="X336" s="69" t="n">
        <f aca="false">W336+X335</f>
        <v>-629166.666666667</v>
      </c>
      <c r="Y336" s="69" t="n">
        <f aca="false">X336+Y335</f>
        <v>-657916.666666667</v>
      </c>
      <c r="Z336" s="69" t="n">
        <f aca="false">Y336+Z335</f>
        <v>-686666.666666667</v>
      </c>
      <c r="AA336" s="69" t="n">
        <f aca="false">Z336+AA335</f>
        <v>-715694.444444445</v>
      </c>
      <c r="AB336" s="69" t="n">
        <f aca="false">AA336+AB335</f>
        <v>-744722.222222222</v>
      </c>
      <c r="AC336" s="69" t="n">
        <f aca="false">AB336+AC335</f>
        <v>-773750</v>
      </c>
      <c r="AD336" s="69" t="n">
        <f aca="false">AC336+AD335</f>
        <v>-802777.777777778</v>
      </c>
      <c r="AE336" s="69" t="n">
        <f aca="false">AD336+AE335</f>
        <v>-831805.555555556</v>
      </c>
      <c r="AF336" s="69" t="n">
        <f aca="false">AE336+AF335</f>
        <v>-860833.333333333</v>
      </c>
      <c r="AG336" s="69" t="n">
        <f aca="false">AF336+AG335</f>
        <v>-889861.111111111</v>
      </c>
      <c r="AH336" s="69" t="n">
        <f aca="false">AG336+AH335</f>
        <v>-918888.888888889</v>
      </c>
      <c r="AI336" s="69" t="n">
        <f aca="false">AH336+AI335</f>
        <v>-947916.666666667</v>
      </c>
      <c r="AJ336" s="69" t="n">
        <f aca="false">AI336+AJ335</f>
        <v>-976944.444444444</v>
      </c>
      <c r="AK336" s="69" t="n">
        <f aca="false">AJ336+AK335</f>
        <v>-1005972.22222222</v>
      </c>
      <c r="AL336" s="69" t="n">
        <f aca="false">AK336+AL335</f>
        <v>-1035000</v>
      </c>
      <c r="AM336" s="69" t="n">
        <f aca="false">AL336+AM335</f>
        <v>-1064305.55555556</v>
      </c>
      <c r="AN336" s="69" t="n">
        <f aca="false">AM336+AN335</f>
        <v>-1093611.11111111</v>
      </c>
      <c r="AO336" s="69" t="n">
        <f aca="false">AN336+AO335</f>
        <v>-1122916.66666667</v>
      </c>
      <c r="AP336" s="69" t="n">
        <f aca="false">AO336+AP335</f>
        <v>-1152222.22222222</v>
      </c>
      <c r="AQ336" s="69" t="n">
        <f aca="false">AP336+AQ335</f>
        <v>-1181527.77777778</v>
      </c>
      <c r="AR336" s="69" t="n">
        <f aca="false">AQ336+AR335</f>
        <v>-1210833.33333333</v>
      </c>
      <c r="AS336" s="69" t="n">
        <f aca="false">AR336+AS335</f>
        <v>-1240138.88888889</v>
      </c>
      <c r="AT336" s="69" t="n">
        <f aca="false">AS336+AT335</f>
        <v>-1269444.44444444</v>
      </c>
      <c r="AU336" s="69" t="n">
        <f aca="false">AT336+AU335</f>
        <v>-1298750</v>
      </c>
      <c r="AV336" s="69" t="n">
        <f aca="false">AU336+AV335</f>
        <v>-1328055.55555555</v>
      </c>
      <c r="AW336" s="69" t="n">
        <f aca="false">AV336+AW335</f>
        <v>-1357361.11111111</v>
      </c>
      <c r="AX336" s="69" t="n">
        <f aca="false">AW336+AX335</f>
        <v>-1386666.66666667</v>
      </c>
      <c r="AY336" s="69" t="n">
        <f aca="false">AX336+AY335</f>
        <v>-1416250</v>
      </c>
      <c r="AZ336" s="69" t="n">
        <f aca="false">AY336+AZ335</f>
        <v>-1445833.33333333</v>
      </c>
      <c r="BA336" s="69" t="n">
        <f aca="false">AZ336+BA335</f>
        <v>-1475416.66666667</v>
      </c>
      <c r="BB336" s="69" t="n">
        <f aca="false">BA336+BB335</f>
        <v>-1505000</v>
      </c>
      <c r="BC336" s="69" t="n">
        <f aca="false">BB336+BC335</f>
        <v>-1534583.33333333</v>
      </c>
      <c r="BD336" s="69" t="n">
        <f aca="false">BC336+BD335</f>
        <v>-1564166.66666667</v>
      </c>
      <c r="BE336" s="69" t="n">
        <f aca="false">BD336+BE335</f>
        <v>-1593750</v>
      </c>
      <c r="BF336" s="69" t="n">
        <f aca="false">BE336+BF335</f>
        <v>-1623333.33333333</v>
      </c>
      <c r="BG336" s="69" t="n">
        <f aca="false">BF336+BG335</f>
        <v>-1652916.66666667</v>
      </c>
      <c r="BH336" s="69" t="n">
        <f aca="false">BG336+BH335</f>
        <v>-1682500</v>
      </c>
      <c r="BI336" s="69" t="n">
        <f aca="false">BH336+BI335</f>
        <v>-1712083.33333333</v>
      </c>
      <c r="BJ336" s="69" t="n">
        <f aca="false">BI336+BJ335</f>
        <v>-1741666.66666666</v>
      </c>
    </row>
    <row r="337" customFormat="false" ht="15" hidden="false" customHeight="false" outlineLevel="0" collapsed="false">
      <c r="A337" s="4" t="s">
        <v>92</v>
      </c>
      <c r="C337" s="75" t="n">
        <f aca="false">C333+C336</f>
        <v>4071527.77777778</v>
      </c>
      <c r="D337" s="75" t="n">
        <f aca="false">D333+D336</f>
        <v>4043055.55555556</v>
      </c>
      <c r="E337" s="75" t="n">
        <f aca="false">E333+E336</f>
        <v>4014583.33333333</v>
      </c>
      <c r="F337" s="75" t="n">
        <f aca="false">F333+F336</f>
        <v>3986111.11111111</v>
      </c>
      <c r="G337" s="75" t="n">
        <f aca="false">G333+G336</f>
        <v>3957638.88888889</v>
      </c>
      <c r="H337" s="75" t="n">
        <f aca="false">H333+H336</f>
        <v>3929166.66666667</v>
      </c>
      <c r="I337" s="75" t="n">
        <f aca="false">I333+I336</f>
        <v>3900694.44444444</v>
      </c>
      <c r="J337" s="75" t="n">
        <f aca="false">J333+J336</f>
        <v>3872222.22222222</v>
      </c>
      <c r="K337" s="75" t="n">
        <f aca="false">K333+K336</f>
        <v>3843750</v>
      </c>
      <c r="L337" s="75" t="n">
        <f aca="false">L333+L336</f>
        <v>3815277.77777778</v>
      </c>
      <c r="M337" s="75" t="n">
        <f aca="false">M333+M336</f>
        <v>3786805.55555556</v>
      </c>
      <c r="N337" s="75" t="n">
        <f aca="false">N333+N336</f>
        <v>3758333.33333333</v>
      </c>
      <c r="O337" s="75" t="n">
        <f aca="false">O333+O336</f>
        <v>3769583.33333333</v>
      </c>
      <c r="P337" s="75" t="n">
        <f aca="false">P333+P336</f>
        <v>3740833.33333333</v>
      </c>
      <c r="Q337" s="75" t="n">
        <f aca="false">Q333+Q336</f>
        <v>3712083.33333333</v>
      </c>
      <c r="R337" s="75" t="n">
        <f aca="false">R333+R336</f>
        <v>3683333.33333333</v>
      </c>
      <c r="S337" s="75" t="n">
        <f aca="false">S333+S336</f>
        <v>3654583.33333333</v>
      </c>
      <c r="T337" s="75" t="n">
        <f aca="false">T333+T336</f>
        <v>3625833.33333333</v>
      </c>
      <c r="U337" s="75" t="n">
        <f aca="false">U333+U336</f>
        <v>3597083.33333333</v>
      </c>
      <c r="V337" s="75" t="n">
        <f aca="false">V333+V336</f>
        <v>3568333.33333333</v>
      </c>
      <c r="W337" s="75" t="n">
        <f aca="false">W333+W336</f>
        <v>3539583.33333333</v>
      </c>
      <c r="X337" s="75" t="n">
        <f aca="false">X333+X336</f>
        <v>3510833.33333333</v>
      </c>
      <c r="Y337" s="75" t="n">
        <f aca="false">Y333+Y336</f>
        <v>3482083.33333333</v>
      </c>
      <c r="Z337" s="75" t="n">
        <f aca="false">Z333+Z336</f>
        <v>3453333.33333333</v>
      </c>
      <c r="AA337" s="75" t="n">
        <f aca="false">AA333+AA336</f>
        <v>3464305.55555556</v>
      </c>
      <c r="AB337" s="75" t="n">
        <f aca="false">AB333+AB336</f>
        <v>3435277.77777778</v>
      </c>
      <c r="AC337" s="75" t="n">
        <f aca="false">AC333+AC336</f>
        <v>3406250</v>
      </c>
      <c r="AD337" s="75" t="n">
        <f aca="false">AD333+AD336</f>
        <v>3377222.22222222</v>
      </c>
      <c r="AE337" s="75" t="n">
        <f aca="false">AE333+AE336</f>
        <v>3348194.44444444</v>
      </c>
      <c r="AF337" s="75" t="n">
        <f aca="false">AF333+AF336</f>
        <v>3319166.66666667</v>
      </c>
      <c r="AG337" s="75" t="n">
        <f aca="false">AG333+AG336</f>
        <v>3290138.88888889</v>
      </c>
      <c r="AH337" s="75" t="n">
        <f aca="false">AH333+AH336</f>
        <v>3261111.11111111</v>
      </c>
      <c r="AI337" s="75" t="n">
        <f aca="false">AI333+AI336</f>
        <v>3232083.33333333</v>
      </c>
      <c r="AJ337" s="75" t="n">
        <f aca="false">AJ333+AJ336</f>
        <v>3203055.55555556</v>
      </c>
      <c r="AK337" s="75" t="n">
        <f aca="false">AK333+AK336</f>
        <v>3174027.77777778</v>
      </c>
      <c r="AL337" s="75" t="n">
        <f aca="false">AL333+AL336</f>
        <v>3145000</v>
      </c>
      <c r="AM337" s="75" t="n">
        <f aca="false">AM333+AM336</f>
        <v>3155694.44444445</v>
      </c>
      <c r="AN337" s="75" t="n">
        <f aca="false">AN333+AN336</f>
        <v>3126388.88888889</v>
      </c>
      <c r="AO337" s="75" t="n">
        <f aca="false">AO333+AO336</f>
        <v>3097083.33333333</v>
      </c>
      <c r="AP337" s="75" t="n">
        <f aca="false">AP333+AP336</f>
        <v>3067777.77777778</v>
      </c>
      <c r="AQ337" s="75" t="n">
        <f aca="false">AQ333+AQ336</f>
        <v>3038472.22222222</v>
      </c>
      <c r="AR337" s="75" t="n">
        <f aca="false">AR333+AR336</f>
        <v>3009166.66666667</v>
      </c>
      <c r="AS337" s="75" t="n">
        <f aca="false">AS333+AS336</f>
        <v>2979861.11111111</v>
      </c>
      <c r="AT337" s="75" t="n">
        <f aca="false">AT333+AT336</f>
        <v>2950555.55555556</v>
      </c>
      <c r="AU337" s="75" t="n">
        <f aca="false">AU333+AU336</f>
        <v>2921250</v>
      </c>
      <c r="AV337" s="75" t="n">
        <f aca="false">AV333+AV336</f>
        <v>2891944.44444445</v>
      </c>
      <c r="AW337" s="75" t="n">
        <f aca="false">AW333+AW336</f>
        <v>2862638.88888889</v>
      </c>
      <c r="AX337" s="75" t="n">
        <f aca="false">AX333+AX336</f>
        <v>2833333.33333333</v>
      </c>
      <c r="AY337" s="75" t="n">
        <f aca="false">AY333+AY336</f>
        <v>2843750</v>
      </c>
      <c r="AZ337" s="75" t="n">
        <f aca="false">AZ333+AZ336</f>
        <v>2814166.66666667</v>
      </c>
      <c r="BA337" s="75" t="n">
        <f aca="false">BA333+BA336</f>
        <v>2784583.33333333</v>
      </c>
      <c r="BB337" s="75" t="n">
        <f aca="false">BB333+BB336</f>
        <v>2755000</v>
      </c>
      <c r="BC337" s="75" t="n">
        <f aca="false">BC333+BC336</f>
        <v>2725416.66666667</v>
      </c>
      <c r="BD337" s="75" t="n">
        <f aca="false">BD333+BD336</f>
        <v>2695833.33333334</v>
      </c>
      <c r="BE337" s="75" t="n">
        <f aca="false">BE333+BE336</f>
        <v>2666250</v>
      </c>
      <c r="BF337" s="75" t="n">
        <f aca="false">BF333+BF336</f>
        <v>2636666.66666667</v>
      </c>
      <c r="BG337" s="75" t="n">
        <f aca="false">BG333+BG336</f>
        <v>2607083.33333334</v>
      </c>
      <c r="BH337" s="75" t="n">
        <f aca="false">BH333+BH336</f>
        <v>2577500</v>
      </c>
      <c r="BI337" s="75" t="n">
        <f aca="false">BI333+BI336</f>
        <v>2547916.66666667</v>
      </c>
      <c r="BJ337" s="75" t="n">
        <f aca="false">BJ333+BJ336</f>
        <v>2518333.33333334</v>
      </c>
    </row>
    <row r="339" customFormat="false" ht="15.75" hidden="false" customHeight="true" outlineLevel="0" collapsed="false">
      <c r="A339" s="7" t="s">
        <v>456</v>
      </c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</row>
    <row r="340" customFormat="false" ht="15" hidden="false" customHeight="false" outlineLevel="0" collapsed="false">
      <c r="A340" s="6" t="s">
        <v>457</v>
      </c>
      <c r="C340" s="69" t="n">
        <f aca="false">0</f>
        <v>0</v>
      </c>
      <c r="D340" s="69" t="n">
        <f aca="false">C343</f>
        <v>3000000</v>
      </c>
      <c r="E340" s="69" t="n">
        <f aca="false">D343</f>
        <v>2975000</v>
      </c>
      <c r="F340" s="69" t="n">
        <f aca="false">E343</f>
        <v>2950000</v>
      </c>
      <c r="G340" s="69" t="n">
        <f aca="false">F343</f>
        <v>2925000</v>
      </c>
      <c r="H340" s="69" t="n">
        <f aca="false">G343</f>
        <v>2900000</v>
      </c>
      <c r="I340" s="69" t="n">
        <f aca="false">H343</f>
        <v>2875000</v>
      </c>
      <c r="J340" s="69" t="n">
        <f aca="false">I343</f>
        <v>2850000</v>
      </c>
      <c r="K340" s="69" t="n">
        <f aca="false">J343</f>
        <v>2825000</v>
      </c>
      <c r="L340" s="69" t="n">
        <f aca="false">K343</f>
        <v>2800000</v>
      </c>
      <c r="M340" s="69" t="n">
        <f aca="false">L343</f>
        <v>2775000</v>
      </c>
      <c r="N340" s="69" t="n">
        <f aca="false">M343</f>
        <v>2750000</v>
      </c>
      <c r="O340" s="69" t="n">
        <f aca="false">N343</f>
        <v>2725000</v>
      </c>
      <c r="P340" s="69" t="n">
        <f aca="false">O343</f>
        <v>2700000</v>
      </c>
      <c r="Q340" s="69" t="n">
        <f aca="false">P343</f>
        <v>2675000</v>
      </c>
      <c r="R340" s="69" t="n">
        <f aca="false">Q343</f>
        <v>2650000</v>
      </c>
      <c r="S340" s="69" t="n">
        <f aca="false">R343</f>
        <v>2625000</v>
      </c>
      <c r="T340" s="69" t="n">
        <f aca="false">S343</f>
        <v>2600000</v>
      </c>
      <c r="U340" s="69" t="n">
        <f aca="false">T343</f>
        <v>2575000</v>
      </c>
      <c r="V340" s="69" t="n">
        <f aca="false">U343</f>
        <v>2550000</v>
      </c>
      <c r="W340" s="69" t="n">
        <f aca="false">V343</f>
        <v>2525000</v>
      </c>
      <c r="X340" s="69" t="n">
        <f aca="false">W343</f>
        <v>2500000</v>
      </c>
      <c r="Y340" s="69" t="n">
        <f aca="false">X343</f>
        <v>2475000</v>
      </c>
      <c r="Z340" s="69" t="n">
        <f aca="false">Y343</f>
        <v>2450000</v>
      </c>
      <c r="AA340" s="69" t="n">
        <f aca="false">Z343</f>
        <v>2425000</v>
      </c>
      <c r="AB340" s="69" t="n">
        <f aca="false">AA343</f>
        <v>2400000</v>
      </c>
      <c r="AC340" s="69" t="n">
        <f aca="false">AB343</f>
        <v>2375000</v>
      </c>
      <c r="AD340" s="69" t="n">
        <f aca="false">AC343</f>
        <v>2350000</v>
      </c>
      <c r="AE340" s="69" t="n">
        <f aca="false">AD343</f>
        <v>2325000</v>
      </c>
      <c r="AF340" s="69" t="n">
        <f aca="false">AE343</f>
        <v>2300000</v>
      </c>
      <c r="AG340" s="69" t="n">
        <f aca="false">AF343</f>
        <v>2275000</v>
      </c>
      <c r="AH340" s="69" t="n">
        <f aca="false">AG343</f>
        <v>2250000</v>
      </c>
      <c r="AI340" s="69" t="n">
        <f aca="false">AH343</f>
        <v>2225000</v>
      </c>
      <c r="AJ340" s="69" t="n">
        <f aca="false">AI343</f>
        <v>2200000</v>
      </c>
      <c r="AK340" s="69" t="n">
        <f aca="false">AJ343</f>
        <v>2175000</v>
      </c>
      <c r="AL340" s="69" t="n">
        <f aca="false">AK343</f>
        <v>2150000</v>
      </c>
      <c r="AM340" s="69" t="n">
        <f aca="false">AL343</f>
        <v>2125000</v>
      </c>
      <c r="AN340" s="69" t="n">
        <f aca="false">AM343</f>
        <v>2100000</v>
      </c>
      <c r="AO340" s="69" t="n">
        <f aca="false">AN343</f>
        <v>2075000</v>
      </c>
      <c r="AP340" s="69" t="n">
        <f aca="false">AO343</f>
        <v>2050000</v>
      </c>
      <c r="AQ340" s="69" t="n">
        <f aca="false">AP343</f>
        <v>2025000</v>
      </c>
      <c r="AR340" s="69" t="n">
        <f aca="false">AQ343</f>
        <v>2000000</v>
      </c>
      <c r="AS340" s="69" t="n">
        <f aca="false">AR343</f>
        <v>1975000</v>
      </c>
      <c r="AT340" s="69" t="n">
        <f aca="false">AS343</f>
        <v>1950000</v>
      </c>
      <c r="AU340" s="69" t="n">
        <f aca="false">AT343</f>
        <v>1925000</v>
      </c>
      <c r="AV340" s="69" t="n">
        <f aca="false">AU343</f>
        <v>1900000</v>
      </c>
      <c r="AW340" s="69" t="n">
        <f aca="false">AV343</f>
        <v>1875000</v>
      </c>
      <c r="AX340" s="69" t="n">
        <f aca="false">AW343</f>
        <v>1850000</v>
      </c>
      <c r="AY340" s="69" t="n">
        <f aca="false">AX343</f>
        <v>1825000</v>
      </c>
      <c r="AZ340" s="69" t="n">
        <f aca="false">AY343</f>
        <v>1800000</v>
      </c>
      <c r="BA340" s="69" t="n">
        <f aca="false">AZ343</f>
        <v>1775000</v>
      </c>
      <c r="BB340" s="69" t="n">
        <f aca="false">BA343</f>
        <v>1750000</v>
      </c>
      <c r="BC340" s="69" t="n">
        <f aca="false">BB343</f>
        <v>1725000</v>
      </c>
      <c r="BD340" s="69" t="n">
        <f aca="false">BC343</f>
        <v>1700000</v>
      </c>
      <c r="BE340" s="69" t="n">
        <f aca="false">BD343</f>
        <v>1675000</v>
      </c>
      <c r="BF340" s="69" t="n">
        <f aca="false">BE343</f>
        <v>1650000</v>
      </c>
      <c r="BG340" s="69" t="n">
        <f aca="false">BF343</f>
        <v>1625000</v>
      </c>
      <c r="BH340" s="69" t="n">
        <f aca="false">BG343</f>
        <v>1600000</v>
      </c>
      <c r="BI340" s="69" t="n">
        <f aca="false">BH343</f>
        <v>1575000</v>
      </c>
      <c r="BJ340" s="69" t="n">
        <f aca="false">BI343</f>
        <v>1550000</v>
      </c>
    </row>
    <row r="341" customFormat="false" ht="15" hidden="false" customHeight="false" outlineLevel="0" collapsed="false">
      <c r="A341" s="6" t="s">
        <v>85</v>
      </c>
      <c r="C341" s="69" t="n">
        <f aca="false">IF(C$264=1,Inputs!$D$70,0)</f>
        <v>3000000</v>
      </c>
      <c r="D341" s="69" t="n">
        <f aca="false">IF(D$264=1,Inputs!$D$70,0)</f>
        <v>0</v>
      </c>
      <c r="E341" s="69" t="n">
        <f aca="false">IF(E$264=1,Inputs!$D$70,0)</f>
        <v>0</v>
      </c>
      <c r="F341" s="69" t="n">
        <f aca="false">IF(F$264=1,Inputs!$D$70,0)</f>
        <v>0</v>
      </c>
      <c r="G341" s="69" t="n">
        <f aca="false">IF(G$264=1,Inputs!$D$70,0)</f>
        <v>0</v>
      </c>
      <c r="H341" s="69" t="n">
        <f aca="false">IF(H$264=1,Inputs!$D$70,0)</f>
        <v>0</v>
      </c>
      <c r="I341" s="69" t="n">
        <f aca="false">IF(I$264=1,Inputs!$D$70,0)</f>
        <v>0</v>
      </c>
      <c r="J341" s="69" t="n">
        <f aca="false">IF(J$264=1,Inputs!$D$70,0)</f>
        <v>0</v>
      </c>
      <c r="K341" s="69" t="n">
        <f aca="false">IF(K$264=1,Inputs!$D$70,0)</f>
        <v>0</v>
      </c>
      <c r="L341" s="69" t="n">
        <f aca="false">IF(L$264=1,Inputs!$D$70,0)</f>
        <v>0</v>
      </c>
      <c r="M341" s="69" t="n">
        <f aca="false">IF(M$264=1,Inputs!$D$70,0)</f>
        <v>0</v>
      </c>
      <c r="N341" s="69" t="n">
        <f aca="false">IF(N$264=1,Inputs!$D$70,0)</f>
        <v>0</v>
      </c>
      <c r="O341" s="69" t="n">
        <f aca="false">IF(O$264=1,Inputs!$D$70,0)</f>
        <v>0</v>
      </c>
      <c r="P341" s="69" t="n">
        <f aca="false">IF(P$264=1,Inputs!$D$70,0)</f>
        <v>0</v>
      </c>
      <c r="Q341" s="69" t="n">
        <f aca="false">IF(Q$264=1,Inputs!$D$70,0)</f>
        <v>0</v>
      </c>
      <c r="R341" s="69" t="n">
        <f aca="false">IF(R$264=1,Inputs!$D$70,0)</f>
        <v>0</v>
      </c>
      <c r="S341" s="69" t="n">
        <f aca="false">IF(S$264=1,Inputs!$D$70,0)</f>
        <v>0</v>
      </c>
      <c r="T341" s="69" t="n">
        <f aca="false">IF(T$264=1,Inputs!$D$70,0)</f>
        <v>0</v>
      </c>
      <c r="U341" s="69" t="n">
        <f aca="false">IF(U$264=1,Inputs!$D$70,0)</f>
        <v>0</v>
      </c>
      <c r="V341" s="69" t="n">
        <f aca="false">IF(V$264=1,Inputs!$D$70,0)</f>
        <v>0</v>
      </c>
      <c r="W341" s="69" t="n">
        <f aca="false">IF(W$264=1,Inputs!$D$70,0)</f>
        <v>0</v>
      </c>
      <c r="X341" s="69" t="n">
        <f aca="false">IF(X$264=1,Inputs!$D$70,0)</f>
        <v>0</v>
      </c>
      <c r="Y341" s="69" t="n">
        <f aca="false">IF(Y$264=1,Inputs!$D$70,0)</f>
        <v>0</v>
      </c>
      <c r="Z341" s="69" t="n">
        <f aca="false">IF(Z$264=1,Inputs!$D$70,0)</f>
        <v>0</v>
      </c>
      <c r="AA341" s="69" t="n">
        <f aca="false">IF(AA$264=1,Inputs!$D$70,0)</f>
        <v>0</v>
      </c>
      <c r="AB341" s="69" t="n">
        <f aca="false">IF(AB$264=1,Inputs!$D$70,0)</f>
        <v>0</v>
      </c>
      <c r="AC341" s="69" t="n">
        <f aca="false">IF(AC$264=1,Inputs!$D$70,0)</f>
        <v>0</v>
      </c>
      <c r="AD341" s="69" t="n">
        <f aca="false">IF(AD$264=1,Inputs!$D$70,0)</f>
        <v>0</v>
      </c>
      <c r="AE341" s="69" t="n">
        <f aca="false">IF(AE$264=1,Inputs!$D$70,0)</f>
        <v>0</v>
      </c>
      <c r="AF341" s="69" t="n">
        <f aca="false">IF(AF$264=1,Inputs!$D$70,0)</f>
        <v>0</v>
      </c>
      <c r="AG341" s="69" t="n">
        <f aca="false">IF(AG$264=1,Inputs!$D$70,0)</f>
        <v>0</v>
      </c>
      <c r="AH341" s="69" t="n">
        <f aca="false">IF(AH$264=1,Inputs!$D$70,0)</f>
        <v>0</v>
      </c>
      <c r="AI341" s="69" t="n">
        <f aca="false">IF(AI$264=1,Inputs!$D$70,0)</f>
        <v>0</v>
      </c>
      <c r="AJ341" s="69" t="n">
        <f aca="false">IF(AJ$264=1,Inputs!$D$70,0)</f>
        <v>0</v>
      </c>
      <c r="AK341" s="69" t="n">
        <f aca="false">IF(AK$264=1,Inputs!$D$70,0)</f>
        <v>0</v>
      </c>
      <c r="AL341" s="69" t="n">
        <f aca="false">IF(AL$264=1,Inputs!$D$70,0)</f>
        <v>0</v>
      </c>
      <c r="AM341" s="69" t="n">
        <f aca="false">IF(AM$264=1,Inputs!$D$70,0)</f>
        <v>0</v>
      </c>
      <c r="AN341" s="69" t="n">
        <f aca="false">IF(AN$264=1,Inputs!$D$70,0)</f>
        <v>0</v>
      </c>
      <c r="AO341" s="69" t="n">
        <f aca="false">IF(AO$264=1,Inputs!$D$70,0)</f>
        <v>0</v>
      </c>
      <c r="AP341" s="69" t="n">
        <f aca="false">IF(AP$264=1,Inputs!$D$70,0)</f>
        <v>0</v>
      </c>
      <c r="AQ341" s="69" t="n">
        <f aca="false">IF(AQ$264=1,Inputs!$D$70,0)</f>
        <v>0</v>
      </c>
      <c r="AR341" s="69" t="n">
        <f aca="false">IF(AR$264=1,Inputs!$D$70,0)</f>
        <v>0</v>
      </c>
      <c r="AS341" s="69" t="n">
        <f aca="false">IF(AS$264=1,Inputs!$D$70,0)</f>
        <v>0</v>
      </c>
      <c r="AT341" s="69" t="n">
        <f aca="false">IF(AT$264=1,Inputs!$D$70,0)</f>
        <v>0</v>
      </c>
      <c r="AU341" s="69" t="n">
        <f aca="false">IF(AU$264=1,Inputs!$D$70,0)</f>
        <v>0</v>
      </c>
      <c r="AV341" s="69" t="n">
        <f aca="false">IF(AV$264=1,Inputs!$D$70,0)</f>
        <v>0</v>
      </c>
      <c r="AW341" s="69" t="n">
        <f aca="false">IF(AW$264=1,Inputs!$D$70,0)</f>
        <v>0</v>
      </c>
      <c r="AX341" s="69" t="n">
        <f aca="false">IF(AX$264=1,Inputs!$D$70,0)</f>
        <v>0</v>
      </c>
      <c r="AY341" s="69" t="n">
        <f aca="false">IF(AY$264=1,Inputs!$D$70,0)</f>
        <v>0</v>
      </c>
      <c r="AZ341" s="69" t="n">
        <f aca="false">IF(AZ$264=1,Inputs!$D$70,0)</f>
        <v>0</v>
      </c>
      <c r="BA341" s="69" t="n">
        <f aca="false">IF(BA$264=1,Inputs!$D$70,0)</f>
        <v>0</v>
      </c>
      <c r="BB341" s="69" t="n">
        <f aca="false">IF(BB$264=1,Inputs!$D$70,0)</f>
        <v>0</v>
      </c>
      <c r="BC341" s="69" t="n">
        <f aca="false">IF(BC$264=1,Inputs!$D$70,0)</f>
        <v>0</v>
      </c>
      <c r="BD341" s="69" t="n">
        <f aca="false">IF(BD$264=1,Inputs!$D$70,0)</f>
        <v>0</v>
      </c>
      <c r="BE341" s="69" t="n">
        <f aca="false">IF(BE$264=1,Inputs!$D$70,0)</f>
        <v>0</v>
      </c>
      <c r="BF341" s="69" t="n">
        <f aca="false">IF(BF$264=1,Inputs!$D$70,0)</f>
        <v>0</v>
      </c>
      <c r="BG341" s="69" t="n">
        <f aca="false">IF(BG$264=1,Inputs!$D$70,0)</f>
        <v>0</v>
      </c>
      <c r="BH341" s="69" t="n">
        <f aca="false">IF(BH$264=1,Inputs!$D$70,0)</f>
        <v>0</v>
      </c>
      <c r="BI341" s="69" t="n">
        <f aca="false">IF(BI$264=1,Inputs!$D$70,0)</f>
        <v>0</v>
      </c>
      <c r="BJ341" s="69" t="n">
        <f aca="false">IF(BJ$264=1,Inputs!$D$70,0)</f>
        <v>0</v>
      </c>
    </row>
    <row r="342" customFormat="false" ht="15" hidden="false" customHeight="false" outlineLevel="0" collapsed="false">
      <c r="A342" s="6" t="s">
        <v>86</v>
      </c>
      <c r="C342" s="69" t="n">
        <f aca="false">-MIN(C340,Inputs!$D$70/MAX(1,Inputs!$D$72*12))</f>
        <v>-0</v>
      </c>
      <c r="D342" s="69" t="n">
        <f aca="false">-MIN(D340,Inputs!$D$70/MAX(1,Inputs!$D$72*12))</f>
        <v>-25000</v>
      </c>
      <c r="E342" s="69" t="n">
        <f aca="false">-MIN(E340,Inputs!$D$70/MAX(1,Inputs!$D$72*12))</f>
        <v>-25000</v>
      </c>
      <c r="F342" s="69" t="n">
        <f aca="false">-MIN(F340,Inputs!$D$70/MAX(1,Inputs!$D$72*12))</f>
        <v>-25000</v>
      </c>
      <c r="G342" s="69" t="n">
        <f aca="false">-MIN(G340,Inputs!$D$70/MAX(1,Inputs!$D$72*12))</f>
        <v>-25000</v>
      </c>
      <c r="H342" s="69" t="n">
        <f aca="false">-MIN(H340,Inputs!$D$70/MAX(1,Inputs!$D$72*12))</f>
        <v>-25000</v>
      </c>
      <c r="I342" s="69" t="n">
        <f aca="false">-MIN(I340,Inputs!$D$70/MAX(1,Inputs!$D$72*12))</f>
        <v>-25000</v>
      </c>
      <c r="J342" s="69" t="n">
        <f aca="false">-MIN(J340,Inputs!$D$70/MAX(1,Inputs!$D$72*12))</f>
        <v>-25000</v>
      </c>
      <c r="K342" s="69" t="n">
        <f aca="false">-MIN(K340,Inputs!$D$70/MAX(1,Inputs!$D$72*12))</f>
        <v>-25000</v>
      </c>
      <c r="L342" s="69" t="n">
        <f aca="false">-MIN(L340,Inputs!$D$70/MAX(1,Inputs!$D$72*12))</f>
        <v>-25000</v>
      </c>
      <c r="M342" s="69" t="n">
        <f aca="false">-MIN(M340,Inputs!$D$70/MAX(1,Inputs!$D$72*12))</f>
        <v>-25000</v>
      </c>
      <c r="N342" s="69" t="n">
        <f aca="false">-MIN(N340,Inputs!$D$70/MAX(1,Inputs!$D$72*12))</f>
        <v>-25000</v>
      </c>
      <c r="O342" s="69" t="n">
        <f aca="false">-MIN(O340,Inputs!$D$70/MAX(1,Inputs!$D$72*12))</f>
        <v>-25000</v>
      </c>
      <c r="P342" s="69" t="n">
        <f aca="false">-MIN(P340,Inputs!$D$70/MAX(1,Inputs!$D$72*12))</f>
        <v>-25000</v>
      </c>
      <c r="Q342" s="69" t="n">
        <f aca="false">-MIN(Q340,Inputs!$D$70/MAX(1,Inputs!$D$72*12))</f>
        <v>-25000</v>
      </c>
      <c r="R342" s="69" t="n">
        <f aca="false">-MIN(R340,Inputs!$D$70/MAX(1,Inputs!$D$72*12))</f>
        <v>-25000</v>
      </c>
      <c r="S342" s="69" t="n">
        <f aca="false">-MIN(S340,Inputs!$D$70/MAX(1,Inputs!$D$72*12))</f>
        <v>-25000</v>
      </c>
      <c r="T342" s="69" t="n">
        <f aca="false">-MIN(T340,Inputs!$D$70/MAX(1,Inputs!$D$72*12))</f>
        <v>-25000</v>
      </c>
      <c r="U342" s="69" t="n">
        <f aca="false">-MIN(U340,Inputs!$D$70/MAX(1,Inputs!$D$72*12))</f>
        <v>-25000</v>
      </c>
      <c r="V342" s="69" t="n">
        <f aca="false">-MIN(V340,Inputs!$D$70/MAX(1,Inputs!$D$72*12))</f>
        <v>-25000</v>
      </c>
      <c r="W342" s="69" t="n">
        <f aca="false">-MIN(W340,Inputs!$D$70/MAX(1,Inputs!$D$72*12))</f>
        <v>-25000</v>
      </c>
      <c r="X342" s="69" t="n">
        <f aca="false">-MIN(X340,Inputs!$D$70/MAX(1,Inputs!$D$72*12))</f>
        <v>-25000</v>
      </c>
      <c r="Y342" s="69" t="n">
        <f aca="false">-MIN(Y340,Inputs!$D$70/MAX(1,Inputs!$D$72*12))</f>
        <v>-25000</v>
      </c>
      <c r="Z342" s="69" t="n">
        <f aca="false">-MIN(Z340,Inputs!$D$70/MAX(1,Inputs!$D$72*12))</f>
        <v>-25000</v>
      </c>
      <c r="AA342" s="69" t="n">
        <f aca="false">-MIN(AA340,Inputs!$D$70/MAX(1,Inputs!$D$72*12))</f>
        <v>-25000</v>
      </c>
      <c r="AB342" s="69" t="n">
        <f aca="false">-MIN(AB340,Inputs!$D$70/MAX(1,Inputs!$D$72*12))</f>
        <v>-25000</v>
      </c>
      <c r="AC342" s="69" t="n">
        <f aca="false">-MIN(AC340,Inputs!$D$70/MAX(1,Inputs!$D$72*12))</f>
        <v>-25000</v>
      </c>
      <c r="AD342" s="69" t="n">
        <f aca="false">-MIN(AD340,Inputs!$D$70/MAX(1,Inputs!$D$72*12))</f>
        <v>-25000</v>
      </c>
      <c r="AE342" s="69" t="n">
        <f aca="false">-MIN(AE340,Inputs!$D$70/MAX(1,Inputs!$D$72*12))</f>
        <v>-25000</v>
      </c>
      <c r="AF342" s="69" t="n">
        <f aca="false">-MIN(AF340,Inputs!$D$70/MAX(1,Inputs!$D$72*12))</f>
        <v>-25000</v>
      </c>
      <c r="AG342" s="69" t="n">
        <f aca="false">-MIN(AG340,Inputs!$D$70/MAX(1,Inputs!$D$72*12))</f>
        <v>-25000</v>
      </c>
      <c r="AH342" s="69" t="n">
        <f aca="false">-MIN(AH340,Inputs!$D$70/MAX(1,Inputs!$D$72*12))</f>
        <v>-25000</v>
      </c>
      <c r="AI342" s="69" t="n">
        <f aca="false">-MIN(AI340,Inputs!$D$70/MAX(1,Inputs!$D$72*12))</f>
        <v>-25000</v>
      </c>
      <c r="AJ342" s="69" t="n">
        <f aca="false">-MIN(AJ340,Inputs!$D$70/MAX(1,Inputs!$D$72*12))</f>
        <v>-25000</v>
      </c>
      <c r="AK342" s="69" t="n">
        <f aca="false">-MIN(AK340,Inputs!$D$70/MAX(1,Inputs!$D$72*12))</f>
        <v>-25000</v>
      </c>
      <c r="AL342" s="69" t="n">
        <f aca="false">-MIN(AL340,Inputs!$D$70/MAX(1,Inputs!$D$72*12))</f>
        <v>-25000</v>
      </c>
      <c r="AM342" s="69" t="n">
        <f aca="false">-MIN(AM340,Inputs!$D$70/MAX(1,Inputs!$D$72*12))</f>
        <v>-25000</v>
      </c>
      <c r="AN342" s="69" t="n">
        <f aca="false">-MIN(AN340,Inputs!$D$70/MAX(1,Inputs!$D$72*12))</f>
        <v>-25000</v>
      </c>
      <c r="AO342" s="69" t="n">
        <f aca="false">-MIN(AO340,Inputs!$D$70/MAX(1,Inputs!$D$72*12))</f>
        <v>-25000</v>
      </c>
      <c r="AP342" s="69" t="n">
        <f aca="false">-MIN(AP340,Inputs!$D$70/MAX(1,Inputs!$D$72*12))</f>
        <v>-25000</v>
      </c>
      <c r="AQ342" s="69" t="n">
        <f aca="false">-MIN(AQ340,Inputs!$D$70/MAX(1,Inputs!$D$72*12))</f>
        <v>-25000</v>
      </c>
      <c r="AR342" s="69" t="n">
        <f aca="false">-MIN(AR340,Inputs!$D$70/MAX(1,Inputs!$D$72*12))</f>
        <v>-25000</v>
      </c>
      <c r="AS342" s="69" t="n">
        <f aca="false">-MIN(AS340,Inputs!$D$70/MAX(1,Inputs!$D$72*12))</f>
        <v>-25000</v>
      </c>
      <c r="AT342" s="69" t="n">
        <f aca="false">-MIN(AT340,Inputs!$D$70/MAX(1,Inputs!$D$72*12))</f>
        <v>-25000</v>
      </c>
      <c r="AU342" s="69" t="n">
        <f aca="false">-MIN(AU340,Inputs!$D$70/MAX(1,Inputs!$D$72*12))</f>
        <v>-25000</v>
      </c>
      <c r="AV342" s="69" t="n">
        <f aca="false">-MIN(AV340,Inputs!$D$70/MAX(1,Inputs!$D$72*12))</f>
        <v>-25000</v>
      </c>
      <c r="AW342" s="69" t="n">
        <f aca="false">-MIN(AW340,Inputs!$D$70/MAX(1,Inputs!$D$72*12))</f>
        <v>-25000</v>
      </c>
      <c r="AX342" s="69" t="n">
        <f aca="false">-MIN(AX340,Inputs!$D$70/MAX(1,Inputs!$D$72*12))</f>
        <v>-25000</v>
      </c>
      <c r="AY342" s="69" t="n">
        <f aca="false">-MIN(AY340,Inputs!$D$70/MAX(1,Inputs!$D$72*12))</f>
        <v>-25000</v>
      </c>
      <c r="AZ342" s="69" t="n">
        <f aca="false">-MIN(AZ340,Inputs!$D$70/MAX(1,Inputs!$D$72*12))</f>
        <v>-25000</v>
      </c>
      <c r="BA342" s="69" t="n">
        <f aca="false">-MIN(BA340,Inputs!$D$70/MAX(1,Inputs!$D$72*12))</f>
        <v>-25000</v>
      </c>
      <c r="BB342" s="69" t="n">
        <f aca="false">-MIN(BB340,Inputs!$D$70/MAX(1,Inputs!$D$72*12))</f>
        <v>-25000</v>
      </c>
      <c r="BC342" s="69" t="n">
        <f aca="false">-MIN(BC340,Inputs!$D$70/MAX(1,Inputs!$D$72*12))</f>
        <v>-25000</v>
      </c>
      <c r="BD342" s="69" t="n">
        <f aca="false">-MIN(BD340,Inputs!$D$70/MAX(1,Inputs!$D$72*12))</f>
        <v>-25000</v>
      </c>
      <c r="BE342" s="69" t="n">
        <f aca="false">-MIN(BE340,Inputs!$D$70/MAX(1,Inputs!$D$72*12))</f>
        <v>-25000</v>
      </c>
      <c r="BF342" s="69" t="n">
        <f aca="false">-MIN(BF340,Inputs!$D$70/MAX(1,Inputs!$D$72*12))</f>
        <v>-25000</v>
      </c>
      <c r="BG342" s="69" t="n">
        <f aca="false">-MIN(BG340,Inputs!$D$70/MAX(1,Inputs!$D$72*12))</f>
        <v>-25000</v>
      </c>
      <c r="BH342" s="69" t="n">
        <f aca="false">-MIN(BH340,Inputs!$D$70/MAX(1,Inputs!$D$72*12))</f>
        <v>-25000</v>
      </c>
      <c r="BI342" s="69" t="n">
        <f aca="false">-MIN(BI340,Inputs!$D$70/MAX(1,Inputs!$D$72*12))</f>
        <v>-25000</v>
      </c>
      <c r="BJ342" s="69" t="n">
        <f aca="false">-MIN(BJ340,Inputs!$D$70/MAX(1,Inputs!$D$72*12))</f>
        <v>-25000</v>
      </c>
    </row>
    <row r="343" customFormat="false" ht="15" hidden="false" customHeight="false" outlineLevel="0" collapsed="false">
      <c r="A343" s="4" t="s">
        <v>458</v>
      </c>
      <c r="C343" s="75" t="n">
        <f aca="false">C340+C341+C342</f>
        <v>3000000</v>
      </c>
      <c r="D343" s="75" t="n">
        <f aca="false">D340+D341+D342</f>
        <v>2975000</v>
      </c>
      <c r="E343" s="75" t="n">
        <f aca="false">E340+E341+E342</f>
        <v>2950000</v>
      </c>
      <c r="F343" s="75" t="n">
        <f aca="false">F340+F341+F342</f>
        <v>2925000</v>
      </c>
      <c r="G343" s="75" t="n">
        <f aca="false">G340+G341+G342</f>
        <v>2900000</v>
      </c>
      <c r="H343" s="75" t="n">
        <f aca="false">H340+H341+H342</f>
        <v>2875000</v>
      </c>
      <c r="I343" s="75" t="n">
        <f aca="false">I340+I341+I342</f>
        <v>2850000</v>
      </c>
      <c r="J343" s="75" t="n">
        <f aca="false">J340+J341+J342</f>
        <v>2825000</v>
      </c>
      <c r="K343" s="75" t="n">
        <f aca="false">K340+K341+K342</f>
        <v>2800000</v>
      </c>
      <c r="L343" s="75" t="n">
        <f aca="false">L340+L341+L342</f>
        <v>2775000</v>
      </c>
      <c r="M343" s="75" t="n">
        <f aca="false">M340+M341+M342</f>
        <v>2750000</v>
      </c>
      <c r="N343" s="75" t="n">
        <f aca="false">N340+N341+N342</f>
        <v>2725000</v>
      </c>
      <c r="O343" s="75" t="n">
        <f aca="false">O340+O341+O342</f>
        <v>2700000</v>
      </c>
      <c r="P343" s="75" t="n">
        <f aca="false">P340+P341+P342</f>
        <v>2675000</v>
      </c>
      <c r="Q343" s="75" t="n">
        <f aca="false">Q340+Q341+Q342</f>
        <v>2650000</v>
      </c>
      <c r="R343" s="75" t="n">
        <f aca="false">R340+R341+R342</f>
        <v>2625000</v>
      </c>
      <c r="S343" s="75" t="n">
        <f aca="false">S340+S341+S342</f>
        <v>2600000</v>
      </c>
      <c r="T343" s="75" t="n">
        <f aca="false">T340+T341+T342</f>
        <v>2575000</v>
      </c>
      <c r="U343" s="75" t="n">
        <f aca="false">U340+U341+U342</f>
        <v>2550000</v>
      </c>
      <c r="V343" s="75" t="n">
        <f aca="false">V340+V341+V342</f>
        <v>2525000</v>
      </c>
      <c r="W343" s="75" t="n">
        <f aca="false">W340+W341+W342</f>
        <v>2500000</v>
      </c>
      <c r="X343" s="75" t="n">
        <f aca="false">X340+X341+X342</f>
        <v>2475000</v>
      </c>
      <c r="Y343" s="75" t="n">
        <f aca="false">Y340+Y341+Y342</f>
        <v>2450000</v>
      </c>
      <c r="Z343" s="75" t="n">
        <f aca="false">Z340+Z341+Z342</f>
        <v>2425000</v>
      </c>
      <c r="AA343" s="75" t="n">
        <f aca="false">AA340+AA341+AA342</f>
        <v>2400000</v>
      </c>
      <c r="AB343" s="75" t="n">
        <f aca="false">AB340+AB341+AB342</f>
        <v>2375000</v>
      </c>
      <c r="AC343" s="75" t="n">
        <f aca="false">AC340+AC341+AC342</f>
        <v>2350000</v>
      </c>
      <c r="AD343" s="75" t="n">
        <f aca="false">AD340+AD341+AD342</f>
        <v>2325000</v>
      </c>
      <c r="AE343" s="75" t="n">
        <f aca="false">AE340+AE341+AE342</f>
        <v>2300000</v>
      </c>
      <c r="AF343" s="75" t="n">
        <f aca="false">AF340+AF341+AF342</f>
        <v>2275000</v>
      </c>
      <c r="AG343" s="75" t="n">
        <f aca="false">AG340+AG341+AG342</f>
        <v>2250000</v>
      </c>
      <c r="AH343" s="75" t="n">
        <f aca="false">AH340+AH341+AH342</f>
        <v>2225000</v>
      </c>
      <c r="AI343" s="75" t="n">
        <f aca="false">AI340+AI341+AI342</f>
        <v>2200000</v>
      </c>
      <c r="AJ343" s="75" t="n">
        <f aca="false">AJ340+AJ341+AJ342</f>
        <v>2175000</v>
      </c>
      <c r="AK343" s="75" t="n">
        <f aca="false">AK340+AK341+AK342</f>
        <v>2150000</v>
      </c>
      <c r="AL343" s="75" t="n">
        <f aca="false">AL340+AL341+AL342</f>
        <v>2125000</v>
      </c>
      <c r="AM343" s="75" t="n">
        <f aca="false">AM340+AM341+AM342</f>
        <v>2100000</v>
      </c>
      <c r="AN343" s="75" t="n">
        <f aca="false">AN340+AN341+AN342</f>
        <v>2075000</v>
      </c>
      <c r="AO343" s="75" t="n">
        <f aca="false">AO340+AO341+AO342</f>
        <v>2050000</v>
      </c>
      <c r="AP343" s="75" t="n">
        <f aca="false">AP340+AP341+AP342</f>
        <v>2025000</v>
      </c>
      <c r="AQ343" s="75" t="n">
        <f aca="false">AQ340+AQ341+AQ342</f>
        <v>2000000</v>
      </c>
      <c r="AR343" s="75" t="n">
        <f aca="false">AR340+AR341+AR342</f>
        <v>1975000</v>
      </c>
      <c r="AS343" s="75" t="n">
        <f aca="false">AS340+AS341+AS342</f>
        <v>1950000</v>
      </c>
      <c r="AT343" s="75" t="n">
        <f aca="false">AT340+AT341+AT342</f>
        <v>1925000</v>
      </c>
      <c r="AU343" s="75" t="n">
        <f aca="false">AU340+AU341+AU342</f>
        <v>1900000</v>
      </c>
      <c r="AV343" s="75" t="n">
        <f aca="false">AV340+AV341+AV342</f>
        <v>1875000</v>
      </c>
      <c r="AW343" s="75" t="n">
        <f aca="false">AW340+AW341+AW342</f>
        <v>1850000</v>
      </c>
      <c r="AX343" s="75" t="n">
        <f aca="false">AX340+AX341+AX342</f>
        <v>1825000</v>
      </c>
      <c r="AY343" s="75" t="n">
        <f aca="false">AY340+AY341+AY342</f>
        <v>1800000</v>
      </c>
      <c r="AZ343" s="75" t="n">
        <f aca="false">AZ340+AZ341+AZ342</f>
        <v>1775000</v>
      </c>
      <c r="BA343" s="75" t="n">
        <f aca="false">BA340+BA341+BA342</f>
        <v>1750000</v>
      </c>
      <c r="BB343" s="75" t="n">
        <f aca="false">BB340+BB341+BB342</f>
        <v>1725000</v>
      </c>
      <c r="BC343" s="75" t="n">
        <f aca="false">BC340+BC341+BC342</f>
        <v>1700000</v>
      </c>
      <c r="BD343" s="75" t="n">
        <f aca="false">BD340+BD341+BD342</f>
        <v>1675000</v>
      </c>
      <c r="BE343" s="75" t="n">
        <f aca="false">BE340+BE341+BE342</f>
        <v>1650000</v>
      </c>
      <c r="BF343" s="75" t="n">
        <f aca="false">BF340+BF341+BF342</f>
        <v>1625000</v>
      </c>
      <c r="BG343" s="75" t="n">
        <f aca="false">BG340+BG341+BG342</f>
        <v>1600000</v>
      </c>
      <c r="BH343" s="75" t="n">
        <f aca="false">BH340+BH341+BH342</f>
        <v>1575000</v>
      </c>
      <c r="BI343" s="75" t="n">
        <f aca="false">BI340+BI341+BI342</f>
        <v>1550000</v>
      </c>
      <c r="BJ343" s="75" t="n">
        <f aca="false">BJ340+BJ341+BJ342</f>
        <v>1525000</v>
      </c>
    </row>
    <row r="345" customFormat="false" ht="15.75" hidden="false" customHeight="true" outlineLevel="0" collapsed="false">
      <c r="A345" s="7" t="s">
        <v>326</v>
      </c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</row>
    <row r="346" customFormat="false" ht="15" hidden="false" customHeight="false" outlineLevel="0" collapsed="false">
      <c r="A346" s="6" t="s">
        <v>90</v>
      </c>
      <c r="C346" s="69" t="n">
        <f aca="false">C297*Inputs!$D$75/30</f>
        <v>5198.9604</v>
      </c>
      <c r="D346" s="69" t="n">
        <f aca="false">D297*Inputs!$D$75/30</f>
        <v>5859.19155748571</v>
      </c>
      <c r="E346" s="69" t="n">
        <f aca="false">E297*Inputs!$D$75/30</f>
        <v>7318.95840516998</v>
      </c>
      <c r="F346" s="69" t="n">
        <f aca="false">F297*Inputs!$D$75/30</f>
        <v>8103.93478763312</v>
      </c>
      <c r="G346" s="69" t="n">
        <f aca="false">G297*Inputs!$D$75/30</f>
        <v>8905.40953042885</v>
      </c>
      <c r="H346" s="69" t="n">
        <f aca="false">H297*Inputs!$D$75/30</f>
        <v>9722.85468602656</v>
      </c>
      <c r="I346" s="69" t="n">
        <f aca="false">I297*Inputs!$D$75/30</f>
        <v>10555.7592012166</v>
      </c>
      <c r="J346" s="69" t="n">
        <f aca="false">J297*Inputs!$D$75/30</f>
        <v>11403.6283764919</v>
      </c>
      <c r="K346" s="69" t="n">
        <f aca="false">K297*Inputs!$D$75/30</f>
        <v>11686.0972284442</v>
      </c>
      <c r="L346" s="69" t="n">
        <f aca="false">L297*Inputs!$D$75/30</f>
        <v>11959.527077134</v>
      </c>
      <c r="M346" s="69" t="n">
        <f aca="false">M297*Inputs!$D$75/30</f>
        <v>12224.2071706657</v>
      </c>
      <c r="N346" s="69" t="n">
        <f aca="false">N297*Inputs!$D$75/30</f>
        <v>11326.2948345377</v>
      </c>
      <c r="O346" s="69" t="n">
        <f aca="false">O297*Inputs!$D$75/30</f>
        <v>12383.0075218275</v>
      </c>
      <c r="P346" s="69" t="n">
        <f aca="false">P297*Inputs!$D$75/30</f>
        <v>12630.040025705</v>
      </c>
      <c r="Q346" s="69" t="n">
        <f aca="false">Q297*Inputs!$D$75/30</f>
        <v>14129.2386169251</v>
      </c>
      <c r="R346" s="69" t="n">
        <f aca="false">R297*Inputs!$D$75/30</f>
        <v>14390.1802805115</v>
      </c>
      <c r="S346" s="69" t="n">
        <f aca="false">S297*Inputs!$D$75/30</f>
        <v>14642.7718108631</v>
      </c>
      <c r="T346" s="69" t="n">
        <f aca="false">T297*Inputs!$D$75/30</f>
        <v>14887.2804122435</v>
      </c>
      <c r="U346" s="69" t="n">
        <f aca="false">U297*Inputs!$D$75/30</f>
        <v>15123.9647383797</v>
      </c>
      <c r="V346" s="69" t="n">
        <f aca="false">V297*Inputs!$D$75/30</f>
        <v>15353.0751660796</v>
      </c>
      <c r="W346" s="69" t="n">
        <f aca="false">W297*Inputs!$D$75/30</f>
        <v>15574.854060093</v>
      </c>
      <c r="X346" s="69" t="n">
        <f aca="false">X297*Inputs!$D$75/30</f>
        <v>15789.536029498</v>
      </c>
      <c r="Y346" s="69" t="n">
        <f aca="false">Y297*Inputs!$D$75/30</f>
        <v>15997.3481758821</v>
      </c>
      <c r="Z346" s="69" t="n">
        <f aca="false">Z297*Inputs!$D$75/30</f>
        <v>14938.4392061152</v>
      </c>
      <c r="AA346" s="69" t="n">
        <f aca="false">AA297*Inputs!$D$75/30</f>
        <v>16091.3166278011</v>
      </c>
      <c r="AB346" s="69" t="n">
        <f aca="false">AB297*Inputs!$D$75/30</f>
        <v>16285.8324462396</v>
      </c>
      <c r="AC346" s="69" t="n">
        <f aca="false">AC297*Inputs!$D$75/30</f>
        <v>17849.8694154561</v>
      </c>
      <c r="AD346" s="69" t="n">
        <f aca="false">AD297*Inputs!$D$75/30</f>
        <v>18064.3066887678</v>
      </c>
      <c r="AE346" s="69" t="n">
        <f aca="false">AE297*Inputs!$D$75/30</f>
        <v>18271.8819693335</v>
      </c>
      <c r="AF346" s="69" t="n">
        <f aca="false">AF297*Inputs!$D$75/30</f>
        <v>18472.8148409212</v>
      </c>
      <c r="AG346" s="69" t="n">
        <f aca="false">AG297*Inputs!$D$75/30</f>
        <v>18667.317860618</v>
      </c>
      <c r="AH346" s="69" t="n">
        <f aca="false">AH297*Inputs!$D$75/30</f>
        <v>18855.5967836845</v>
      </c>
      <c r="AI346" s="69" t="n">
        <f aca="false">AI297*Inputs!$D$75/30</f>
        <v>19037.8507812129</v>
      </c>
      <c r="AJ346" s="69" t="n">
        <f aca="false">AJ297*Inputs!$D$75/30</f>
        <v>19214.2726508204</v>
      </c>
      <c r="AK346" s="69" t="n">
        <f aca="false">AK297*Inputs!$D$75/30</f>
        <v>19385.0490206005</v>
      </c>
      <c r="AL346" s="69" t="n">
        <f aca="false">AL297*Inputs!$D$75/30</f>
        <v>18174.6148895795</v>
      </c>
      <c r="AM346" s="69" t="n">
        <f aca="false">AM297*Inputs!$D$75/30</f>
        <v>19435.4801368465</v>
      </c>
      <c r="AN346" s="69" t="n">
        <f aca="false">AN297*Inputs!$D$75/30</f>
        <v>19596.1481008476</v>
      </c>
      <c r="AO346" s="69" t="n">
        <f aca="false">AO297*Inputs!$D$75/30</f>
        <v>21253.7137982784</v>
      </c>
      <c r="AP346" s="69" t="n">
        <f aca="false">AP297*Inputs!$D$75/30</f>
        <v>21439.3881434182</v>
      </c>
      <c r="AQ346" s="69" t="n">
        <f aca="false">AQ297*Inputs!$D$75/30</f>
        <v>21619.1209095136</v>
      </c>
      <c r="AR346" s="69" t="n">
        <f aca="false">AR297*Inputs!$D$75/30</f>
        <v>21793.102227094</v>
      </c>
      <c r="AS346" s="69" t="n">
        <f aca="false">AS297*Inputs!$D$75/30</f>
        <v>21961.5161425117</v>
      </c>
      <c r="AT346" s="69" t="n">
        <f aca="false">AT297*Inputs!$D$75/30</f>
        <v>22124.5408126361</v>
      </c>
      <c r="AU346" s="69" t="n">
        <f aca="false">AU297*Inputs!$D$75/30</f>
        <v>22282.3486933165</v>
      </c>
      <c r="AV346" s="69" t="n">
        <f aca="false">AV297*Inputs!$D$75/30</f>
        <v>22435.1067218152</v>
      </c>
      <c r="AW346" s="69" t="n">
        <f aca="false">AW297*Inputs!$D$75/30</f>
        <v>22582.9764934019</v>
      </c>
      <c r="AX346" s="69" t="n">
        <f aca="false">AX297*Inputs!$D$75/30</f>
        <v>21224.07532402</v>
      </c>
      <c r="AY346" s="69" t="n">
        <f aca="false">AY297*Inputs!$D$75/30</f>
        <v>22605.294300229</v>
      </c>
      <c r="AZ346" s="69" t="n">
        <f aca="false">AZ297*Inputs!$D$75/30</f>
        <v>22745.4793540818</v>
      </c>
      <c r="BA346" s="69" t="n">
        <f aca="false">BA297*Inputs!$D$75/30</f>
        <v>24521.1047846291</v>
      </c>
      <c r="BB346" s="69" t="n">
        <f aca="false">BB297*Inputs!$D$75/30</f>
        <v>24639.8486981315</v>
      </c>
      <c r="BC346" s="69" t="n">
        <f aca="false">BC297*Inputs!$D$75/30</f>
        <v>24708.2499402866</v>
      </c>
      <c r="BD346" s="69" t="n">
        <f aca="false">BD297*Inputs!$D$75/30</f>
        <v>24775.8520477606</v>
      </c>
      <c r="BE346" s="69" t="n">
        <f aca="false">BE297*Inputs!$D$75/30</f>
        <v>24842.5644950014</v>
      </c>
      <c r="BF346" s="69" t="n">
        <f aca="false">BF297*Inputs!$D$75/30</f>
        <v>24908.3103629609</v>
      </c>
      <c r="BG346" s="69" t="n">
        <f aca="false">BG297*Inputs!$D$75/30</f>
        <v>24973.0248001079</v>
      </c>
      <c r="BH346" s="69" t="n">
        <f aca="false">BH297*Inputs!$D$75/30</f>
        <v>25036.6536601013</v>
      </c>
      <c r="BI346" s="69" t="n">
        <f aca="false">BI297*Inputs!$D$75/30</f>
        <v>25099.1522940605</v>
      </c>
      <c r="BJ346" s="69" t="n">
        <f aca="false">BJ297*Inputs!$D$75/30</f>
        <v>24226.9483374324</v>
      </c>
    </row>
    <row r="347" customFormat="false" ht="15" hidden="false" customHeight="false" outlineLevel="0" collapsed="false">
      <c r="A347" s="6" t="s">
        <v>91</v>
      </c>
      <c r="C347" s="69" t="n">
        <f aca="false">-C305*Inputs!$D$76/30</f>
        <v>2226.311916192</v>
      </c>
      <c r="D347" s="69" t="n">
        <f aca="false">-D305*Inputs!$D$76/30</f>
        <v>2511.73022232986</v>
      </c>
      <c r="E347" s="69" t="n">
        <f aca="false">-E305*Inputs!$D$76/30</f>
        <v>3206.49281475337</v>
      </c>
      <c r="F347" s="69" t="n">
        <f aca="false">-F305*Inputs!$D$76/30</f>
        <v>3559.36042727208</v>
      </c>
      <c r="G347" s="69" t="n">
        <f aca="false">-G305*Inputs!$D$76/30</f>
        <v>3921.07048941685</v>
      </c>
      <c r="H347" s="69" t="n">
        <f aca="false">-H305*Inputs!$D$76/30</f>
        <v>4291.34004279966</v>
      </c>
      <c r="I347" s="69" t="n">
        <f aca="false">-I305*Inputs!$D$76/30</f>
        <v>4669.89518370089</v>
      </c>
      <c r="J347" s="69" t="n">
        <f aca="false">-J305*Inputs!$D$76/30</f>
        <v>5056.47077331994</v>
      </c>
      <c r="K347" s="69" t="n">
        <f aca="false">-K305*Inputs!$D$76/30</f>
        <v>5207.86258098852</v>
      </c>
      <c r="L347" s="69" t="n">
        <f aca="false">-L305*Inputs!$D$76/30</f>
        <v>5354.4098508117</v>
      </c>
      <c r="M347" s="69" t="n">
        <f aca="false">-M305*Inputs!$D$76/30</f>
        <v>5496.26760800054</v>
      </c>
      <c r="N347" s="69" t="n">
        <f aca="false">-N305*Inputs!$D$76/30</f>
        <v>4946.15337715358</v>
      </c>
      <c r="O347" s="69" t="n">
        <f aca="false">-O305*Inputs!$D$76/30</f>
        <v>5387.97799949226</v>
      </c>
      <c r="P347" s="69" t="n">
        <f aca="false">-P305*Inputs!$D$76/30</f>
        <v>5505.95991547087</v>
      </c>
      <c r="Q347" s="69" t="n">
        <f aca="false">-Q305*Inputs!$D$76/30</f>
        <v>6395.95498217108</v>
      </c>
      <c r="R347" s="69" t="n">
        <f aca="false">-R305*Inputs!$D$76/30</f>
        <v>6535.25432691519</v>
      </c>
      <c r="S347" s="69" t="n">
        <f aca="false">-S305*Inputs!$D$76/30</f>
        <v>6670.0960926275</v>
      </c>
      <c r="T347" s="69" t="n">
        <f aca="false">-T305*Inputs!$D$76/30</f>
        <v>6800.622921837</v>
      </c>
      <c r="U347" s="69" t="n">
        <f aca="false">-U305*Inputs!$D$76/30</f>
        <v>6926.9728925118</v>
      </c>
      <c r="V347" s="69" t="n">
        <f aca="false">-V305*Inputs!$D$76/30</f>
        <v>7049.27966412501</v>
      </c>
      <c r="W347" s="69" t="n">
        <f aca="false">-W305*Inputs!$D$76/30</f>
        <v>7167.6726190466</v>
      </c>
      <c r="X347" s="69" t="n">
        <f aca="false">-X305*Inputs!$D$76/30</f>
        <v>7282.2769994107</v>
      </c>
      <c r="Y347" s="69" t="n">
        <f aca="false">-Y305*Inputs!$D$76/30</f>
        <v>7393.21403960314</v>
      </c>
      <c r="Z347" s="69" t="n">
        <f aca="false">-Z305*Inputs!$D$76/30</f>
        <v>6608.44381484994</v>
      </c>
      <c r="AA347" s="69" t="n">
        <f aca="false">-AA305*Inputs!$D$76/30</f>
        <v>7083.89463059371</v>
      </c>
      <c r="AB347" s="69" t="n">
        <f aca="false">-AB305*Inputs!$D$76/30</f>
        <v>7176.43631455376</v>
      </c>
      <c r="AC347" s="69" t="n">
        <f aca="false">-AC305*Inputs!$D$76/30</f>
        <v>8245.19684811485</v>
      </c>
      <c r="AD347" s="69" t="n">
        <f aca="false">-AD305*Inputs!$D$76/30</f>
        <v>8359.21691757651</v>
      </c>
      <c r="AE347" s="69" t="n">
        <f aca="false">-AE305*Inputs!$D$76/30</f>
        <v>8469.5883448154</v>
      </c>
      <c r="AF347" s="69" t="n">
        <f aca="false">-AF305*Inputs!$D$76/30</f>
        <v>8576.42788638265</v>
      </c>
      <c r="AG347" s="69" t="n">
        <f aca="false">-AG305*Inputs!$D$76/30</f>
        <v>8679.84856261974</v>
      </c>
      <c r="AH347" s="69" t="n">
        <f aca="false">-AH305*Inputs!$D$76/30</f>
        <v>8779.95977721726</v>
      </c>
      <c r="AI347" s="69" t="n">
        <f aca="false">-AI305*Inputs!$D$76/30</f>
        <v>8876.86743294764</v>
      </c>
      <c r="AJ347" s="69" t="n">
        <f aca="false">-AJ305*Inputs!$D$76/30</f>
        <v>8970.67404369466</v>
      </c>
      <c r="AK347" s="69" t="n">
        <f aca="false">-AK305*Inputs!$D$76/30</f>
        <v>9061.47884289777</v>
      </c>
      <c r="AL347" s="69" t="n">
        <f aca="false">-AL305*Inputs!$D$76/30</f>
        <v>8075.03216832061</v>
      </c>
      <c r="AM347" s="69" t="n">
        <f aca="false">-AM305*Inputs!$D$76/30</f>
        <v>8589.8093156756</v>
      </c>
      <c r="AN347" s="69" t="n">
        <f aca="false">-AN305*Inputs!$D$76/30</f>
        <v>8665.95312050775</v>
      </c>
      <c r="AO347" s="69" t="n">
        <f aca="false">-AO305*Inputs!$D$76/30</f>
        <v>9902.56295128049</v>
      </c>
      <c r="AP347" s="69" t="n">
        <f aca="false">-AP305*Inputs!$D$76/30</f>
        <v>10000.8983425473</v>
      </c>
      <c r="AQ347" s="69" t="n">
        <f aca="false">-AQ305*Inputs!$D$76/30</f>
        <v>10096.0870012936</v>
      </c>
      <c r="AR347" s="69" t="n">
        <f aca="false">-AR305*Inputs!$D$76/30</f>
        <v>10188.22962296</v>
      </c>
      <c r="AS347" s="69" t="n">
        <f aca="false">-AS305*Inputs!$D$76/30</f>
        <v>10277.423680733</v>
      </c>
      <c r="AT347" s="69" t="n">
        <f aca="false">-AT305*Inputs!$D$76/30</f>
        <v>10363.7635286573</v>
      </c>
      <c r="AU347" s="69" t="n">
        <f aca="false">-AU305*Inputs!$D$76/30</f>
        <v>10447.3405014481</v>
      </c>
      <c r="AV347" s="69" t="n">
        <f aca="false">-AV305*Inputs!$D$76/30</f>
        <v>10528.2430111095</v>
      </c>
      <c r="AW347" s="69" t="n">
        <f aca="false">-AW305*Inputs!$D$76/30</f>
        <v>10606.5566404618</v>
      </c>
      <c r="AX347" s="69" t="n">
        <f aca="false">-AX305*Inputs!$D$76/30</f>
        <v>9437.46082917179</v>
      </c>
      <c r="AY347" s="69" t="n">
        <f aca="false">-AY305*Inputs!$D$76/30</f>
        <v>9997.07552405615</v>
      </c>
      <c r="AZ347" s="69" t="n">
        <f aca="false">-AZ305*Inputs!$D$76/30</f>
        <v>10063.256245095</v>
      </c>
      <c r="BA347" s="69" t="n">
        <f aca="false">-BA305*Inputs!$D$76/30</f>
        <v>11464.5444272834</v>
      </c>
      <c r="BB347" s="69" t="n">
        <f aca="false">-BB305*Inputs!$D$76/30</f>
        <v>11512.0056864955</v>
      </c>
      <c r="BC347" s="69" t="n">
        <f aca="false">-BC305*Inputs!$D$76/30</f>
        <v>11518.7090082267</v>
      </c>
      <c r="BD347" s="69" t="n">
        <f aca="false">-BD305*Inputs!$D$76/30</f>
        <v>11525.3340147592</v>
      </c>
      <c r="BE347" s="69" t="n">
        <f aca="false">-BE305*Inputs!$D$76/30</f>
        <v>11531.8718345888</v>
      </c>
      <c r="BF347" s="69" t="n">
        <f aca="false">-BF305*Inputs!$D$76/30</f>
        <v>11538.3149296488</v>
      </c>
      <c r="BG347" s="69" t="n">
        <f aca="false">-BG305*Inputs!$D$76/30</f>
        <v>11544.6569444892</v>
      </c>
      <c r="BH347" s="69" t="n">
        <f aca="false">-BH305*Inputs!$D$76/30</f>
        <v>11550.8925727685</v>
      </c>
      <c r="BI347" s="69" t="n">
        <f aca="false">-BI305*Inputs!$D$76/30</f>
        <v>11557.0174388965</v>
      </c>
      <c r="BJ347" s="69" t="n">
        <f aca="false">-BJ305*Inputs!$D$76/30</f>
        <v>10762.6509581561</v>
      </c>
    </row>
    <row r="348" customFormat="false" ht="15" hidden="false" customHeight="false" outlineLevel="0" collapsed="false">
      <c r="A348" s="6" t="s">
        <v>94</v>
      </c>
      <c r="C348" s="69" t="n">
        <f aca="false">-C305*Inputs!$D$77/30</f>
        <v>6360.89118912</v>
      </c>
      <c r="D348" s="69" t="n">
        <f aca="false">-D305*Inputs!$D$77/30</f>
        <v>7176.37206379959</v>
      </c>
      <c r="E348" s="69" t="n">
        <f aca="false">-E305*Inputs!$D$77/30</f>
        <v>9161.40804215249</v>
      </c>
      <c r="F348" s="69" t="n">
        <f aca="false">-F305*Inputs!$D$77/30</f>
        <v>10169.6012207774</v>
      </c>
      <c r="G348" s="69" t="n">
        <f aca="false">-G305*Inputs!$D$77/30</f>
        <v>11203.058541191</v>
      </c>
      <c r="H348" s="69" t="n">
        <f aca="false">-H305*Inputs!$D$77/30</f>
        <v>12260.9715508562</v>
      </c>
      <c r="I348" s="69" t="n">
        <f aca="false">-I305*Inputs!$D$77/30</f>
        <v>13342.5576677168</v>
      </c>
      <c r="J348" s="69" t="n">
        <f aca="false">-J305*Inputs!$D$77/30</f>
        <v>14447.0593523427</v>
      </c>
      <c r="K348" s="69" t="n">
        <f aca="false">-K305*Inputs!$D$77/30</f>
        <v>14879.6073742529</v>
      </c>
      <c r="L348" s="69" t="n">
        <f aca="false">-L305*Inputs!$D$77/30</f>
        <v>15298.313859462</v>
      </c>
      <c r="M348" s="69" t="n">
        <f aca="false">-M305*Inputs!$D$77/30</f>
        <v>15703.6217371444</v>
      </c>
      <c r="N348" s="69" t="n">
        <f aca="false">-N305*Inputs!$D$77/30</f>
        <v>14131.8667918674</v>
      </c>
      <c r="O348" s="69" t="n">
        <f aca="false">-O305*Inputs!$D$77/30</f>
        <v>15394.2228556922</v>
      </c>
      <c r="P348" s="69" t="n">
        <f aca="false">-P305*Inputs!$D$77/30</f>
        <v>15731.3140442025</v>
      </c>
      <c r="Q348" s="69" t="n">
        <f aca="false">-Q305*Inputs!$D$77/30</f>
        <v>18274.1570919174</v>
      </c>
      <c r="R348" s="69" t="n">
        <f aca="false">-R305*Inputs!$D$77/30</f>
        <v>18672.1552197577</v>
      </c>
      <c r="S348" s="69" t="n">
        <f aca="false">-S305*Inputs!$D$77/30</f>
        <v>19057.4174075071</v>
      </c>
      <c r="T348" s="69" t="n">
        <f aca="false">-T305*Inputs!$D$77/30</f>
        <v>19430.3512052486</v>
      </c>
      <c r="U348" s="69" t="n">
        <f aca="false">-U305*Inputs!$D$77/30</f>
        <v>19791.3511214623</v>
      </c>
      <c r="V348" s="69" t="n">
        <f aca="false">-V305*Inputs!$D$77/30</f>
        <v>20140.7990403572</v>
      </c>
      <c r="W348" s="69" t="n">
        <f aca="false">-W305*Inputs!$D$77/30</f>
        <v>20479.0646258474</v>
      </c>
      <c r="X348" s="69" t="n">
        <f aca="false">-X305*Inputs!$D$77/30</f>
        <v>20806.505712602</v>
      </c>
      <c r="Y348" s="69" t="n">
        <f aca="false">-Y305*Inputs!$D$77/30</f>
        <v>21123.4686845804</v>
      </c>
      <c r="Z348" s="69" t="n">
        <f aca="false">-Z305*Inputs!$D$77/30</f>
        <v>18881.2680424284</v>
      </c>
      <c r="AA348" s="69" t="n">
        <f aca="false">-AA305*Inputs!$D$77/30</f>
        <v>20239.6989445535</v>
      </c>
      <c r="AB348" s="69" t="n">
        <f aca="false">-AB305*Inputs!$D$77/30</f>
        <v>20504.1037558679</v>
      </c>
      <c r="AC348" s="69" t="n">
        <f aca="false">-AC305*Inputs!$D$77/30</f>
        <v>23557.7052803281</v>
      </c>
      <c r="AD348" s="69" t="n">
        <f aca="false">-AD305*Inputs!$D$77/30</f>
        <v>23883.4769073615</v>
      </c>
      <c r="AE348" s="69" t="n">
        <f aca="false">-AE305*Inputs!$D$77/30</f>
        <v>24198.8238423297</v>
      </c>
      <c r="AF348" s="69" t="n">
        <f aca="false">-AF305*Inputs!$D$77/30</f>
        <v>24504.079675379</v>
      </c>
      <c r="AG348" s="69" t="n">
        <f aca="false">-AG305*Inputs!$D$77/30</f>
        <v>24799.5673217707</v>
      </c>
      <c r="AH348" s="69" t="n">
        <f aca="false">-AH305*Inputs!$D$77/30</f>
        <v>25085.5993634779</v>
      </c>
      <c r="AI348" s="69" t="n">
        <f aca="false">-AI305*Inputs!$D$77/30</f>
        <v>25362.4783798504</v>
      </c>
      <c r="AJ348" s="69" t="n">
        <f aca="false">-AJ305*Inputs!$D$77/30</f>
        <v>25630.497267699</v>
      </c>
      <c r="AK348" s="69" t="n">
        <f aca="false">-AK305*Inputs!$D$77/30</f>
        <v>25889.9395511365</v>
      </c>
      <c r="AL348" s="69" t="n">
        <f aca="false">-AL305*Inputs!$D$77/30</f>
        <v>23071.520480916</v>
      </c>
      <c r="AM348" s="69" t="n">
        <f aca="false">-AM305*Inputs!$D$77/30</f>
        <v>24542.3123305017</v>
      </c>
      <c r="AN348" s="69" t="n">
        <f aca="false">-AN305*Inputs!$D$77/30</f>
        <v>24759.8660585936</v>
      </c>
      <c r="AO348" s="69" t="n">
        <f aca="false">-AO305*Inputs!$D$77/30</f>
        <v>28293.0370036585</v>
      </c>
      <c r="AP348" s="69" t="n">
        <f aca="false">-AP305*Inputs!$D$77/30</f>
        <v>28573.9952644208</v>
      </c>
      <c r="AQ348" s="69" t="n">
        <f aca="false">-AQ305*Inputs!$D$77/30</f>
        <v>28845.9628608387</v>
      </c>
      <c r="AR348" s="69" t="n">
        <f aca="false">-AR305*Inputs!$D$77/30</f>
        <v>29109.2274941713</v>
      </c>
      <c r="AS348" s="69" t="n">
        <f aca="false">-AS305*Inputs!$D$77/30</f>
        <v>29364.0676592372</v>
      </c>
      <c r="AT348" s="69" t="n">
        <f aca="false">-AT305*Inputs!$D$77/30</f>
        <v>29610.752939021</v>
      </c>
      <c r="AU348" s="69" t="n">
        <f aca="false">-AU305*Inputs!$D$77/30</f>
        <v>29849.5442898517</v>
      </c>
      <c r="AV348" s="69" t="n">
        <f aca="false">-AV305*Inputs!$D$77/30</f>
        <v>30080.6943174558</v>
      </c>
      <c r="AW348" s="69" t="n">
        <f aca="false">-AW305*Inputs!$D$77/30</f>
        <v>30304.4475441766</v>
      </c>
      <c r="AX348" s="69" t="n">
        <f aca="false">-AX305*Inputs!$D$77/30</f>
        <v>26964.1737976337</v>
      </c>
      <c r="AY348" s="69" t="n">
        <f aca="false">-AY305*Inputs!$D$77/30</f>
        <v>28563.0729258747</v>
      </c>
      <c r="AZ348" s="69" t="n">
        <f aca="false">-AZ305*Inputs!$D$77/30</f>
        <v>28752.1607002715</v>
      </c>
      <c r="BA348" s="69" t="n">
        <f aca="false">-BA305*Inputs!$D$77/30</f>
        <v>32755.8412208098</v>
      </c>
      <c r="BB348" s="69" t="n">
        <f aca="false">-BB305*Inputs!$D$77/30</f>
        <v>32891.4448185586</v>
      </c>
      <c r="BC348" s="69" t="n">
        <f aca="false">-BC305*Inputs!$D$77/30</f>
        <v>32910.597166362</v>
      </c>
      <c r="BD348" s="69" t="n">
        <f aca="false">-BD305*Inputs!$D$77/30</f>
        <v>32929.5257564547</v>
      </c>
      <c r="BE348" s="69" t="n">
        <f aca="false">-BE305*Inputs!$D$77/30</f>
        <v>32948.2052416822</v>
      </c>
      <c r="BF348" s="69" t="n">
        <f aca="false">-BF305*Inputs!$D$77/30</f>
        <v>32966.6140847108</v>
      </c>
      <c r="BG348" s="69" t="n">
        <f aca="false">-BG305*Inputs!$D$77/30</f>
        <v>32984.734127112</v>
      </c>
      <c r="BH348" s="69" t="n">
        <f aca="false">-BH305*Inputs!$D$77/30</f>
        <v>33002.5502079101</v>
      </c>
      <c r="BI348" s="69" t="n">
        <f aca="false">-BI305*Inputs!$D$77/30</f>
        <v>33020.0498254187</v>
      </c>
      <c r="BJ348" s="69" t="n">
        <f aca="false">-BJ305*Inputs!$D$77/30</f>
        <v>30750.4313090173</v>
      </c>
    </row>
    <row r="349" customFormat="false" ht="15" hidden="false" customHeight="false" outlineLevel="0" collapsed="false">
      <c r="A349" s="6" t="s">
        <v>348</v>
      </c>
      <c r="C349" s="69" t="n">
        <f aca="false">-C346</f>
        <v>-5198.9604</v>
      </c>
      <c r="D349" s="69" t="n">
        <f aca="false">C346-D346</f>
        <v>-660.231157485714</v>
      </c>
      <c r="E349" s="69" t="n">
        <f aca="false">D346-E346</f>
        <v>-1459.76684768427</v>
      </c>
      <c r="F349" s="69" t="n">
        <f aca="false">E346-F346</f>
        <v>-784.976382463133</v>
      </c>
      <c r="G349" s="69" t="n">
        <f aca="false">F346-G346</f>
        <v>-801.474742795738</v>
      </c>
      <c r="H349" s="69" t="n">
        <f aca="false">G346-H346</f>
        <v>-817.445155597705</v>
      </c>
      <c r="I349" s="69" t="n">
        <f aca="false">H346-I346</f>
        <v>-832.904515190008</v>
      </c>
      <c r="J349" s="69" t="n">
        <f aca="false">I346-J346</f>
        <v>-847.869175275357</v>
      </c>
      <c r="K349" s="69" t="n">
        <f aca="false">J346-K346</f>
        <v>-282.468851952259</v>
      </c>
      <c r="L349" s="69" t="n">
        <f aca="false">K346-L346</f>
        <v>-273.429848689786</v>
      </c>
      <c r="M349" s="69" t="n">
        <f aca="false">L346-M346</f>
        <v>-264.680093531713</v>
      </c>
      <c r="N349" s="69" t="n">
        <f aca="false">M346-N346</f>
        <v>897.912336127969</v>
      </c>
      <c r="O349" s="69" t="n">
        <f aca="false">N346-O346</f>
        <v>-1056.71268728977</v>
      </c>
      <c r="P349" s="69" t="n">
        <f aca="false">O346-P346</f>
        <v>-247.032503877521</v>
      </c>
      <c r="Q349" s="69" t="n">
        <f aca="false">P346-Q346</f>
        <v>-1499.19859122011</v>
      </c>
      <c r="R349" s="69" t="n">
        <f aca="false">Q346-R346</f>
        <v>-260.941663586395</v>
      </c>
      <c r="S349" s="69" t="n">
        <f aca="false">R346-S346</f>
        <v>-252.591530351632</v>
      </c>
      <c r="T349" s="69" t="n">
        <f aca="false">S346-T346</f>
        <v>-244.508601380379</v>
      </c>
      <c r="U349" s="69" t="n">
        <f aca="false">T346-U346</f>
        <v>-236.684326136208</v>
      </c>
      <c r="V349" s="69" t="n">
        <f aca="false">U346-V346</f>
        <v>-229.110427699849</v>
      </c>
      <c r="W349" s="69" t="n">
        <f aca="false">V346-W346</f>
        <v>-221.778894013454</v>
      </c>
      <c r="X349" s="69" t="n">
        <f aca="false">W346-X346</f>
        <v>-214.681969405021</v>
      </c>
      <c r="Y349" s="69" t="n">
        <f aca="false">X346-Y346</f>
        <v>-207.812146384063</v>
      </c>
      <c r="Z349" s="69" t="n">
        <f aca="false">Y346-Z346</f>
        <v>1058.9089697669</v>
      </c>
      <c r="AA349" s="69" t="n">
        <f aca="false">Z346-AA346</f>
        <v>-1152.8774216859</v>
      </c>
      <c r="AB349" s="69" t="n">
        <f aca="false">AA346-AB346</f>
        <v>-194.515818438444</v>
      </c>
      <c r="AC349" s="69" t="n">
        <f aca="false">AB346-AC346</f>
        <v>-1564.03696921652</v>
      </c>
      <c r="AD349" s="69" t="n">
        <f aca="false">AC346-AD346</f>
        <v>-214.437273311716</v>
      </c>
      <c r="AE349" s="69" t="n">
        <f aca="false">AD346-AE346</f>
        <v>-207.575280565736</v>
      </c>
      <c r="AF349" s="69" t="n">
        <f aca="false">AE346-AF346</f>
        <v>-200.932871587644</v>
      </c>
      <c r="AG349" s="69" t="n">
        <f aca="false">AF346-AG346</f>
        <v>-194.503019696829</v>
      </c>
      <c r="AH349" s="69" t="n">
        <f aca="false">AG346-AH346</f>
        <v>-188.278923066537</v>
      </c>
      <c r="AI349" s="69" t="n">
        <f aca="false">AH346-AI346</f>
        <v>-182.253997528405</v>
      </c>
      <c r="AJ349" s="69" t="n">
        <f aca="false">AI346-AJ346</f>
        <v>-176.421869607493</v>
      </c>
      <c r="AK349" s="69" t="n">
        <f aca="false">AJ346-AK346</f>
        <v>-170.776369780058</v>
      </c>
      <c r="AL349" s="69" t="n">
        <f aca="false">AK346-AL346</f>
        <v>1210.43413102101</v>
      </c>
      <c r="AM349" s="69" t="n">
        <f aca="false">AL346-AM346</f>
        <v>-1260.86524726701</v>
      </c>
      <c r="AN349" s="69" t="n">
        <f aca="false">AM346-AN346</f>
        <v>-160.667964001063</v>
      </c>
      <c r="AO349" s="69" t="n">
        <f aca="false">AN346-AO346</f>
        <v>-1657.56569743081</v>
      </c>
      <c r="AP349" s="69" t="n">
        <f aca="false">AO346-AP346</f>
        <v>-185.674345139865</v>
      </c>
      <c r="AQ349" s="69" t="n">
        <f aca="false">AP346-AQ346</f>
        <v>-179.732766095385</v>
      </c>
      <c r="AR349" s="69" t="n">
        <f aca="false">AQ346-AR346</f>
        <v>-173.981317580336</v>
      </c>
      <c r="AS349" s="69" t="n">
        <f aca="false">AR346-AS346</f>
        <v>-168.413915417765</v>
      </c>
      <c r="AT349" s="69" t="n">
        <f aca="false">AS346-AT346</f>
        <v>-163.024670124392</v>
      </c>
      <c r="AU349" s="69" t="n">
        <f aca="false">AT346-AU346</f>
        <v>-157.807880680415</v>
      </c>
      <c r="AV349" s="69" t="n">
        <f aca="false">AU346-AV346</f>
        <v>-152.758028498643</v>
      </c>
      <c r="AW349" s="69" t="n">
        <f aca="false">AV346-AW346</f>
        <v>-147.869771586684</v>
      </c>
      <c r="AX349" s="69" t="n">
        <f aca="false">AW346-AX346</f>
        <v>1358.90116938187</v>
      </c>
      <c r="AY349" s="69" t="n">
        <f aca="false">AX346-AY346</f>
        <v>-1381.21897620898</v>
      </c>
      <c r="AZ349" s="69" t="n">
        <f aca="false">AY346-AZ346</f>
        <v>-140.185053852874</v>
      </c>
      <c r="BA349" s="69" t="n">
        <f aca="false">AZ346-BA346</f>
        <v>-1775.62543054726</v>
      </c>
      <c r="BB349" s="69" t="n">
        <f aca="false">BA346-BB346</f>
        <v>-118.743913502425</v>
      </c>
      <c r="BC349" s="69" t="n">
        <f aca="false">BB346-BC346</f>
        <v>-68.4012421551015</v>
      </c>
      <c r="BD349" s="69" t="n">
        <f aca="false">BC346-BD346</f>
        <v>-67.6021074739329</v>
      </c>
      <c r="BE349" s="69" t="n">
        <f aca="false">BD346-BE346</f>
        <v>-66.7124472408868</v>
      </c>
      <c r="BF349" s="69" t="n">
        <f aca="false">BE346-BF346</f>
        <v>-65.7458679594674</v>
      </c>
      <c r="BG349" s="69" t="n">
        <f aca="false">BF346-BG346</f>
        <v>-64.7144371469476</v>
      </c>
      <c r="BH349" s="69" t="n">
        <f aca="false">BG346-BH346</f>
        <v>-63.6288599934596</v>
      </c>
      <c r="BI349" s="69" t="n">
        <f aca="false">BH346-BI346</f>
        <v>-62.4986339591524</v>
      </c>
      <c r="BJ349" s="69" t="n">
        <f aca="false">BI346-BJ346</f>
        <v>872.203956628029</v>
      </c>
    </row>
    <row r="350" customFormat="false" ht="15" hidden="false" customHeight="false" outlineLevel="0" collapsed="false">
      <c r="A350" s="6" t="s">
        <v>349</v>
      </c>
      <c r="C350" s="69" t="n">
        <f aca="false">-C347</f>
        <v>-2226.311916192</v>
      </c>
      <c r="D350" s="69" t="n">
        <f aca="false">C347-D347</f>
        <v>-285.418306137856</v>
      </c>
      <c r="E350" s="69" t="n">
        <f aca="false">D347-E347</f>
        <v>-694.762592423516</v>
      </c>
      <c r="F350" s="69" t="n">
        <f aca="false">E347-F347</f>
        <v>-352.867612518707</v>
      </c>
      <c r="G350" s="69" t="n">
        <f aca="false">F347-G347</f>
        <v>-361.710062144775</v>
      </c>
      <c r="H350" s="69" t="n">
        <f aca="false">G347-H347</f>
        <v>-370.26955338281</v>
      </c>
      <c r="I350" s="69" t="n">
        <f aca="false">H347-I347</f>
        <v>-378.555140901225</v>
      </c>
      <c r="J350" s="69" t="n">
        <f aca="false">I347-J347</f>
        <v>-386.575589619053</v>
      </c>
      <c r="K350" s="69" t="n">
        <f aca="false">J347-K347</f>
        <v>-151.391807668578</v>
      </c>
      <c r="L350" s="69" t="n">
        <f aca="false">K347-L347</f>
        <v>-146.547269823181</v>
      </c>
      <c r="M350" s="69" t="n">
        <f aca="false">L347-M347</f>
        <v>-141.857757188842</v>
      </c>
      <c r="N350" s="69" t="n">
        <f aca="false">M347-N347</f>
        <v>550.114230846964</v>
      </c>
      <c r="O350" s="69" t="n">
        <f aca="false">N347-O347</f>
        <v>-441.824622338681</v>
      </c>
      <c r="P350" s="69" t="n">
        <f aca="false">O347-P347</f>
        <v>-117.981915978615</v>
      </c>
      <c r="Q350" s="69" t="n">
        <f aca="false">P347-Q347</f>
        <v>-889.995066700209</v>
      </c>
      <c r="R350" s="69" t="n">
        <f aca="false">Q347-R347</f>
        <v>-139.299344744112</v>
      </c>
      <c r="S350" s="69" t="n">
        <f aca="false">R347-S347</f>
        <v>-134.841765712301</v>
      </c>
      <c r="T350" s="69" t="n">
        <f aca="false">S347-T347</f>
        <v>-130.526829209506</v>
      </c>
      <c r="U350" s="69" t="n">
        <f aca="false">T347-U347</f>
        <v>-126.349970674803</v>
      </c>
      <c r="V350" s="69" t="n">
        <f aca="false">U347-V347</f>
        <v>-122.306771613209</v>
      </c>
      <c r="W350" s="69" t="n">
        <f aca="false">V347-W347</f>
        <v>-118.392954921587</v>
      </c>
      <c r="X350" s="69" t="n">
        <f aca="false">W347-X347</f>
        <v>-114.604380364095</v>
      </c>
      <c r="Y350" s="69" t="n">
        <f aca="false">X347-Y347</f>
        <v>-110.937040192444</v>
      </c>
      <c r="Z350" s="69" t="n">
        <f aca="false">Y347-Z347</f>
        <v>784.770224753199</v>
      </c>
      <c r="AA350" s="69" t="n">
        <f aca="false">Z347-AA347</f>
        <v>-475.450815743773</v>
      </c>
      <c r="AB350" s="69" t="n">
        <f aca="false">AA347-AB347</f>
        <v>-92.5416839600457</v>
      </c>
      <c r="AC350" s="69" t="n">
        <f aca="false">AB347-AC347</f>
        <v>-1068.76053356109</v>
      </c>
      <c r="AD350" s="69" t="n">
        <f aca="false">AC347-AD347</f>
        <v>-114.020069461667</v>
      </c>
      <c r="AE350" s="69" t="n">
        <f aca="false">AD347-AE347</f>
        <v>-110.37142723889</v>
      </c>
      <c r="AF350" s="69" t="n">
        <f aca="false">AE347-AF347</f>
        <v>-106.839541567248</v>
      </c>
      <c r="AG350" s="69" t="n">
        <f aca="false">AF347-AG347</f>
        <v>-103.420676237092</v>
      </c>
      <c r="AH350" s="69" t="n">
        <f aca="false">AG347-AH347</f>
        <v>-100.111214597511</v>
      </c>
      <c r="AI350" s="69" t="n">
        <f aca="false">AH347-AI347</f>
        <v>-96.907655730387</v>
      </c>
      <c r="AJ350" s="69" t="n">
        <f aca="false">AI347-AJ347</f>
        <v>-93.8066107470149</v>
      </c>
      <c r="AK350" s="69" t="n">
        <f aca="false">AJ347-AK347</f>
        <v>-90.8047992031115</v>
      </c>
      <c r="AL350" s="69" t="n">
        <f aca="false">AK347-AL347</f>
        <v>986.446674577159</v>
      </c>
      <c r="AM350" s="69" t="n">
        <f aca="false">AL347-AM347</f>
        <v>-514.777147354989</v>
      </c>
      <c r="AN350" s="69" t="n">
        <f aca="false">AM347-AN347</f>
        <v>-76.143804832147</v>
      </c>
      <c r="AO350" s="69" t="n">
        <f aca="false">AN347-AO347</f>
        <v>-1236.60983077274</v>
      </c>
      <c r="AP350" s="69" t="n">
        <f aca="false">AO347-AP347</f>
        <v>-98.3353912668063</v>
      </c>
      <c r="AQ350" s="69" t="n">
        <f aca="false">AP347-AQ347</f>
        <v>-95.1886587462668</v>
      </c>
      <c r="AR350" s="69" t="n">
        <f aca="false">AQ347-AR347</f>
        <v>-92.1426216663913</v>
      </c>
      <c r="AS350" s="69" t="n">
        <f aca="false">AR347-AS347</f>
        <v>-89.1940577730638</v>
      </c>
      <c r="AT350" s="69" t="n">
        <f aca="false">AS347-AT347</f>
        <v>-86.3398479243242</v>
      </c>
      <c r="AU350" s="69" t="n">
        <f aca="false">AT347-AU347</f>
        <v>-83.5769727907464</v>
      </c>
      <c r="AV350" s="69" t="n">
        <f aca="false">AU347-AV347</f>
        <v>-80.9025096614441</v>
      </c>
      <c r="AW350" s="69" t="n">
        <f aca="false">AV347-AW347</f>
        <v>-78.3136293522766</v>
      </c>
      <c r="AX350" s="69" t="n">
        <f aca="false">AW347-AX347</f>
        <v>1169.09581129002</v>
      </c>
      <c r="AY350" s="69" t="n">
        <f aca="false">AX347-AY347</f>
        <v>-559.614694884365</v>
      </c>
      <c r="AZ350" s="69" t="n">
        <f aca="false">AY347-AZ347</f>
        <v>-66.1807210388761</v>
      </c>
      <c r="BA350" s="69" t="n">
        <f aca="false">AZ347-BA347</f>
        <v>-1401.28818218841</v>
      </c>
      <c r="BB350" s="69" t="n">
        <f aca="false">BA347-BB347</f>
        <v>-47.4612592120648</v>
      </c>
      <c r="BC350" s="69" t="n">
        <f aca="false">BB347-BC347</f>
        <v>-6.70332173120187</v>
      </c>
      <c r="BD350" s="69" t="n">
        <f aca="false">BC347-BD347</f>
        <v>-6.62500653244206</v>
      </c>
      <c r="BE350" s="69" t="n">
        <f aca="false">BD347-BE347</f>
        <v>-6.53781982960936</v>
      </c>
      <c r="BF350" s="69" t="n">
        <f aca="false">BE347-BF347</f>
        <v>-6.44309506002537</v>
      </c>
      <c r="BG350" s="69" t="n">
        <f aca="false">BF347-BG347</f>
        <v>-6.34201484040568</v>
      </c>
      <c r="BH350" s="69" t="n">
        <f aca="false">BG347-BH347</f>
        <v>-6.2356282793553</v>
      </c>
      <c r="BI350" s="69" t="n">
        <f aca="false">BH347-BI347</f>
        <v>-6.12486612799876</v>
      </c>
      <c r="BJ350" s="69" t="n">
        <f aca="false">BI347-BJ347</f>
        <v>794.366480740475</v>
      </c>
    </row>
    <row r="351" customFormat="false" ht="15" hidden="false" customHeight="false" outlineLevel="0" collapsed="false">
      <c r="A351" s="6" t="s">
        <v>350</v>
      </c>
      <c r="C351" s="69" t="n">
        <f aca="false">C348</f>
        <v>6360.89118912</v>
      </c>
      <c r="D351" s="69" t="n">
        <f aca="false">D348-C348</f>
        <v>815.480874679587</v>
      </c>
      <c r="E351" s="69" t="n">
        <f aca="false">E348-D348</f>
        <v>1985.0359783529</v>
      </c>
      <c r="F351" s="69" t="n">
        <f aca="false">F348-E348</f>
        <v>1008.19317862488</v>
      </c>
      <c r="G351" s="69" t="n">
        <f aca="false">G348-F348</f>
        <v>1033.45732041364</v>
      </c>
      <c r="H351" s="69" t="n">
        <f aca="false">H348-G348</f>
        <v>1057.91300966517</v>
      </c>
      <c r="I351" s="69" t="n">
        <f aca="false">I348-H348</f>
        <v>1081.58611686064</v>
      </c>
      <c r="J351" s="69" t="n">
        <f aca="false">J348-I348</f>
        <v>1104.50168462587</v>
      </c>
      <c r="K351" s="69" t="n">
        <f aca="false">K348-J348</f>
        <v>432.548021910221</v>
      </c>
      <c r="L351" s="69" t="n">
        <f aca="false">L348-K348</f>
        <v>418.70648520909</v>
      </c>
      <c r="M351" s="69" t="n">
        <f aca="false">M348-L348</f>
        <v>405.307877682402</v>
      </c>
      <c r="N351" s="69" t="n">
        <f aca="false">N348-M348</f>
        <v>-1571.75494527704</v>
      </c>
      <c r="O351" s="69" t="n">
        <f aca="false">O348-N348</f>
        <v>1262.35606382481</v>
      </c>
      <c r="P351" s="69" t="n">
        <f aca="false">P348-O348</f>
        <v>337.091188510327</v>
      </c>
      <c r="Q351" s="69" t="n">
        <f aca="false">Q348-P348</f>
        <v>2542.84304771488</v>
      </c>
      <c r="R351" s="69" t="n">
        <f aca="false">R348-Q348</f>
        <v>397.998127840321</v>
      </c>
      <c r="S351" s="69" t="n">
        <f aca="false">S348-R348</f>
        <v>385.262187749431</v>
      </c>
      <c r="T351" s="69" t="n">
        <f aca="false">T348-S348</f>
        <v>372.933797741447</v>
      </c>
      <c r="U351" s="69" t="n">
        <f aca="false">U348-T348</f>
        <v>360.999916213721</v>
      </c>
      <c r="V351" s="69" t="n">
        <f aca="false">V348-U348</f>
        <v>349.447918894883</v>
      </c>
      <c r="W351" s="69" t="n">
        <f aca="false">W348-V348</f>
        <v>338.265585490251</v>
      </c>
      <c r="X351" s="69" t="n">
        <f aca="false">X348-W348</f>
        <v>327.441086754559</v>
      </c>
      <c r="Y351" s="69" t="n">
        <f aca="false">Y348-X348</f>
        <v>316.962971978413</v>
      </c>
      <c r="Z351" s="69" t="n">
        <f aca="false">Z348-Y348</f>
        <v>-2242.200642152</v>
      </c>
      <c r="AA351" s="69" t="n">
        <f aca="false">AA348-Z348</f>
        <v>1358.43090212506</v>
      </c>
      <c r="AB351" s="69" t="n">
        <f aca="false">AB348-AA348</f>
        <v>264.404811314416</v>
      </c>
      <c r="AC351" s="69" t="n">
        <f aca="false">AC348-AB348</f>
        <v>3053.60152446025</v>
      </c>
      <c r="AD351" s="69" t="n">
        <f aca="false">AD348-AC348</f>
        <v>325.771627033337</v>
      </c>
      <c r="AE351" s="69" t="n">
        <f aca="false">AE348-AD348</f>
        <v>315.346934968256</v>
      </c>
      <c r="AF351" s="69" t="n">
        <f aca="false">AF348-AE348</f>
        <v>305.255833049283</v>
      </c>
      <c r="AG351" s="69" t="n">
        <f aca="false">AG348-AF348</f>
        <v>295.487646391692</v>
      </c>
      <c r="AH351" s="69" t="n">
        <f aca="false">AH348-AG348</f>
        <v>286.032041707167</v>
      </c>
      <c r="AI351" s="69" t="n">
        <f aca="false">AI348-AH348</f>
        <v>276.879016372532</v>
      </c>
      <c r="AJ351" s="69" t="n">
        <f aca="false">AJ348-AI348</f>
        <v>268.018887848622</v>
      </c>
      <c r="AK351" s="69" t="n">
        <f aca="false">AK348-AJ348</f>
        <v>259.442283437453</v>
      </c>
      <c r="AL351" s="69" t="n">
        <f aca="false">AL348-AK348</f>
        <v>-2818.41907022045</v>
      </c>
      <c r="AM351" s="69" t="n">
        <f aca="false">AM348-AL348</f>
        <v>1470.79184958569</v>
      </c>
      <c r="AN351" s="69" t="n">
        <f aca="false">AN348-AM348</f>
        <v>217.553728091843</v>
      </c>
      <c r="AO351" s="69" t="n">
        <f aca="false">AO348-AN348</f>
        <v>3533.17094506498</v>
      </c>
      <c r="AP351" s="69" t="n">
        <f aca="false">AP348-AO348</f>
        <v>280.958260762294</v>
      </c>
      <c r="AQ351" s="69" t="n">
        <f aca="false">AQ348-AP348</f>
        <v>271.967596417911</v>
      </c>
      <c r="AR351" s="69" t="n">
        <f aca="false">AR348-AQ348</f>
        <v>263.264633332543</v>
      </c>
      <c r="AS351" s="69" t="n">
        <f aca="false">AS348-AR348</f>
        <v>254.8401650659</v>
      </c>
      <c r="AT351" s="69" t="n">
        <f aca="false">AT348-AS348</f>
        <v>246.685279783782</v>
      </c>
      <c r="AU351" s="69" t="n">
        <f aca="false">AU348-AT348</f>
        <v>238.791350830707</v>
      </c>
      <c r="AV351" s="69" t="n">
        <f aca="false">AV348-AU348</f>
        <v>231.150027604122</v>
      </c>
      <c r="AW351" s="69" t="n">
        <f aca="false">AW348-AV348</f>
        <v>223.753226720793</v>
      </c>
      <c r="AX351" s="69" t="n">
        <f aca="false">AX348-AW348</f>
        <v>-3340.27374654291</v>
      </c>
      <c r="AY351" s="69" t="n">
        <f aca="false">AY348-AX348</f>
        <v>1598.89912824104</v>
      </c>
      <c r="AZ351" s="69" t="n">
        <f aca="false">AZ348-AY348</f>
        <v>189.087774396794</v>
      </c>
      <c r="BA351" s="69" t="n">
        <f aca="false">BA348-AZ348</f>
        <v>4003.68052053832</v>
      </c>
      <c r="BB351" s="69" t="n">
        <f aca="false">BB348-BA348</f>
        <v>135.603597748755</v>
      </c>
      <c r="BC351" s="69" t="n">
        <f aca="false">BC348-BB348</f>
        <v>19.1523478034287</v>
      </c>
      <c r="BD351" s="69" t="n">
        <f aca="false">BD348-BC348</f>
        <v>18.9285900926916</v>
      </c>
      <c r="BE351" s="69" t="n">
        <f aca="false">BE348-BD348</f>
        <v>18.6794852274543</v>
      </c>
      <c r="BF351" s="69" t="n">
        <f aca="false">BF348-BE348</f>
        <v>18.4088430286429</v>
      </c>
      <c r="BG351" s="69" t="n">
        <f aca="false">BG348-BF348</f>
        <v>18.1200424011622</v>
      </c>
      <c r="BH351" s="69" t="n">
        <f aca="false">BH348-BG348</f>
        <v>17.8160807981549</v>
      </c>
      <c r="BI351" s="69" t="n">
        <f aca="false">BI348-BH348</f>
        <v>17.4996175085689</v>
      </c>
      <c r="BJ351" s="69" t="n">
        <f aca="false">BJ348-BI348</f>
        <v>-2269.61851640135</v>
      </c>
    </row>
    <row r="353" customFormat="false" ht="15.75" hidden="false" customHeight="true" outlineLevel="0" collapsed="false">
      <c r="A353" s="7" t="s">
        <v>459</v>
      </c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</row>
    <row r="354" customFormat="false" ht="15" hidden="false" customHeight="false" outlineLevel="0" collapsed="false">
      <c r="A354" s="4" t="s">
        <v>52</v>
      </c>
      <c r="C354" s="75" t="n">
        <f aca="false">C324-C335+C349+C350+C351</f>
        <v>-47457.9785774187</v>
      </c>
      <c r="D354" s="75" t="n">
        <f aca="false">D324-D335+D349+D350+D351</f>
        <v>-37754.9783223577</v>
      </c>
      <c r="E354" s="75" t="n">
        <f aca="false">E324-E335+E349+E350+E351</f>
        <v>-18698.2711141006</v>
      </c>
      <c r="F354" s="75" t="n">
        <f aca="false">F324-F335+F349+F350+F351</f>
        <v>-8218.98916635963</v>
      </c>
      <c r="G354" s="75" t="n">
        <f aca="false">G324-G335+G349+G350+G351</f>
        <v>2429.95266011941</v>
      </c>
      <c r="H354" s="75" t="n">
        <f aca="false">H324-H335+H349+H350+H351</f>
        <v>13281.7695981321</v>
      </c>
      <c r="I354" s="75" t="n">
        <f aca="false">I324-I335+I349+I350+I351</f>
        <v>24329.9696441093</v>
      </c>
      <c r="J354" s="75" t="n">
        <f aca="false">J324-J335+J349+J350+J351</f>
        <v>35568.2685385962</v>
      </c>
      <c r="K354" s="75" t="n">
        <f aca="false">K324-K335+K349+K350+K351</f>
        <v>39462.1930609061</v>
      </c>
      <c r="L354" s="75" t="n">
        <f aca="false">L324-L335+L349+L350+L351</f>
        <v>43112.7064011793</v>
      </c>
      <c r="M354" s="75" t="n">
        <f aca="false">M324-M335+M349+M350+M351</f>
        <v>46652.0699812305</v>
      </c>
      <c r="N354" s="75" t="n">
        <f aca="false">N324-N335+N349+N350+N351</f>
        <v>35595.6022852959</v>
      </c>
      <c r="O354" s="75" t="n">
        <f aca="false">O324-O335+O349+O350+O351</f>
        <v>48444.788964737</v>
      </c>
      <c r="P354" s="75" t="n">
        <f aca="false">P324-P335+P349+P350+P351</f>
        <v>52029.9810879254</v>
      </c>
      <c r="Q354" s="75" t="n">
        <f aca="false">Q324-Q335+Q349+Q350+Q351</f>
        <v>71062.3513391285</v>
      </c>
      <c r="R354" s="75" t="n">
        <f aca="false">R324-R335+R349+R350+R351</f>
        <v>74400.6701642125</v>
      </c>
      <c r="S354" s="75" t="n">
        <f aca="false">S324-S335+S349+S350+S351</f>
        <v>77788.8049433718</v>
      </c>
      <c r="T354" s="75" t="n">
        <f aca="false">T324-T335+T349+T350+T351</f>
        <v>76623.4496405659</v>
      </c>
      <c r="U354" s="75" t="n">
        <f aca="false">U324-U335+U349+U350+U351</f>
        <v>72602.5531069363</v>
      </c>
      <c r="V354" s="75" t="n">
        <f aca="false">V324-V335+V349+V350+V351</f>
        <v>75043.3768248015</v>
      </c>
      <c r="W354" s="75" t="n">
        <f aca="false">W324-W335+W349+W350+W351</f>
        <v>77410.5708503617</v>
      </c>
      <c r="X354" s="75" t="n">
        <f aca="false">X324-X335+X349+X350+X351</f>
        <v>79706.4913337706</v>
      </c>
      <c r="Y354" s="75" t="n">
        <f aca="false">Y324-Y335+Y349+Y350+Y351</f>
        <v>81933.4190283772</v>
      </c>
      <c r="Z354" s="75" t="n">
        <f aca="false">Z324-Z335+Z349+Z350+Z351</f>
        <v>71785.5160978891</v>
      </c>
      <c r="AA354" s="75" t="n">
        <f aca="false">AA324-AA335+AA349+AA350+AA351</f>
        <v>83088.3228348428</v>
      </c>
      <c r="AB354" s="75" t="n">
        <f aca="false">AB324-AB335+AB349+AB350+AB351</f>
        <v>85467.1560594846</v>
      </c>
      <c r="AC354" s="75" t="n">
        <f aca="false">AC324-AC335+AC349+AC350+AC351</f>
        <v>100965.828884315</v>
      </c>
      <c r="AD354" s="75" t="n">
        <f aca="false">AD324-AD335+AD349+AD350+AD351</f>
        <v>102837.277290935</v>
      </c>
      <c r="AE354" s="75" t="n">
        <f aca="false">AE324-AE335+AE349+AE350+AE351</f>
        <v>105063.340023939</v>
      </c>
      <c r="AF354" s="75" t="n">
        <f aca="false">AF324-AF335+AF349+AF350+AF351</f>
        <v>107222.645416153</v>
      </c>
      <c r="AG354" s="75" t="n">
        <f aca="false">AG324-AG335+AG349+AG350+AG351</f>
        <v>109317.329702483</v>
      </c>
      <c r="AH354" s="75" t="n">
        <f aca="false">AH324-AH335+AH349+AH350+AH351</f>
        <v>111349.460758317</v>
      </c>
      <c r="AI354" s="75" t="n">
        <f aca="false">AI324-AI335+AI349+AI350+AI351</f>
        <v>113321.040287031</v>
      </c>
      <c r="AJ354" s="75" t="n">
        <f aca="false">AJ324-AJ335+AJ349+AJ350+AJ351</f>
        <v>115234.005937493</v>
      </c>
      <c r="AK354" s="75" t="n">
        <f aca="false">AK324-AK335+AK349+AK350+AK351</f>
        <v>117090.233353807</v>
      </c>
      <c r="AL354" s="75" t="n">
        <f aca="false">AL324-AL335+AL349+AL350+AL351</f>
        <v>105606.911953676</v>
      </c>
      <c r="AM354" s="75" t="n">
        <f aca="false">AM324-AM335+AM349+AM350+AM351</f>
        <v>118102.615488433</v>
      </c>
      <c r="AN354" s="75" t="n">
        <f aca="false">AN324-AN335+AN349+AN350+AN351</f>
        <v>120174.218031685</v>
      </c>
      <c r="AO354" s="75" t="n">
        <f aca="false">AO324-AO335+AO349+AO350+AO351</f>
        <v>136427.713267275</v>
      </c>
      <c r="AP354" s="75" t="n">
        <f aca="false">AP324-AP335+AP349+AP350+AP351</f>
        <v>137792.867659006</v>
      </c>
      <c r="AQ354" s="75" t="n">
        <f aca="false">AQ324-AQ335+AQ349+AQ350+AQ351</f>
        <v>139740.412816035</v>
      </c>
      <c r="AR354" s="75" t="n">
        <f aca="false">AR324-AR335+AR349+AR350+AR351</f>
        <v>141630.113194706</v>
      </c>
      <c r="AS354" s="75" t="n">
        <f aca="false">AS324-AS335+AS349+AS350+AS351</f>
        <v>143463.819827926</v>
      </c>
      <c r="AT354" s="75" t="n">
        <f aca="false">AT324-AT335+AT349+AT350+AT351</f>
        <v>145243.32451555</v>
      </c>
      <c r="AU354" s="75" t="n">
        <f aca="false">AU324-AU335+AU349+AU350+AU351</f>
        <v>146970.361719836</v>
      </c>
      <c r="AV354" s="75" t="n">
        <f aca="false">AV324-AV335+AV349+AV350+AV351</f>
        <v>148646.610400252</v>
      </c>
      <c r="AW354" s="75" t="n">
        <f aca="false">AW324-AW335+AW349+AW350+AW351</f>
        <v>150273.695789561</v>
      </c>
      <c r="AX354" s="75" t="n">
        <f aca="false">AX324-AX335+AX349+AX350+AX351</f>
        <v>137458.99056372</v>
      </c>
      <c r="AY354" s="75" t="n">
        <f aca="false">AY324-AY335+AY349+AY350+AY351</f>
        <v>151247.937657252</v>
      </c>
      <c r="AZ354" s="75" t="n">
        <f aca="false">AZ324-AZ335+AZ349+AZ350+AZ351</f>
        <v>153149.613908439</v>
      </c>
      <c r="BA354" s="75" t="n">
        <f aca="false">BA324-BA335+BA349+BA350+BA351</f>
        <v>170430.354585217</v>
      </c>
      <c r="BB354" s="75" t="n">
        <f aca="false">BB324-BB335+BB349+BB350+BB351</f>
        <v>170959.307047453</v>
      </c>
      <c r="BC354" s="75" t="n">
        <f aca="false">BC324-BC335+BC349+BC350+BC351</f>
        <v>171861.71142706</v>
      </c>
      <c r="BD354" s="75" t="n">
        <f aca="false">BD324-BD335+BD349+BD350+BD351</f>
        <v>172780.915546869</v>
      </c>
      <c r="BE354" s="75" t="n">
        <f aca="false">BE324-BE335+BE349+BE350+BE351</f>
        <v>173689.946432083</v>
      </c>
      <c r="BF354" s="75" t="n">
        <f aca="false">BF324-BF335+BF349+BF350+BF351</f>
        <v>174587.906983599</v>
      </c>
      <c r="BG354" s="75" t="n">
        <f aca="false">BG324-BG335+BG349+BG350+BG351</f>
        <v>175474.040357283</v>
      </c>
      <c r="BH354" s="75" t="n">
        <f aca="false">BH324-BH335+BH349+BH350+BH351</f>
        <v>176347.714127905</v>
      </c>
      <c r="BI354" s="75" t="n">
        <f aca="false">BI324-BI335+BI349+BI350+BI351</f>
        <v>177208.406251803</v>
      </c>
      <c r="BJ354" s="75" t="n">
        <f aca="false">BJ324-BJ335+BJ349+BJ350+BJ351</f>
        <v>169150.258944575</v>
      </c>
    </row>
    <row r="355" customFormat="false" ht="15" hidden="false" customHeight="false" outlineLevel="0" collapsed="false">
      <c r="A355" s="6" t="s">
        <v>460</v>
      </c>
      <c r="C355" s="69" t="n">
        <f aca="false">-C332</f>
        <v>-4100000</v>
      </c>
      <c r="D355" s="69" t="n">
        <f aca="false">-D332</f>
        <v>-0</v>
      </c>
      <c r="E355" s="69" t="n">
        <f aca="false">-E332</f>
        <v>-0</v>
      </c>
      <c r="F355" s="69" t="n">
        <f aca="false">-F332</f>
        <v>-0</v>
      </c>
      <c r="G355" s="69" t="n">
        <f aca="false">-G332</f>
        <v>-0</v>
      </c>
      <c r="H355" s="69" t="n">
        <f aca="false">-H332</f>
        <v>-0</v>
      </c>
      <c r="I355" s="69" t="n">
        <f aca="false">-I332</f>
        <v>-0</v>
      </c>
      <c r="J355" s="69" t="n">
        <f aca="false">-J332</f>
        <v>-0</v>
      </c>
      <c r="K355" s="69" t="n">
        <f aca="false">-K332</f>
        <v>-0</v>
      </c>
      <c r="L355" s="69" t="n">
        <f aca="false">-L332</f>
        <v>-0</v>
      </c>
      <c r="M355" s="69" t="n">
        <f aca="false">-M332</f>
        <v>-0</v>
      </c>
      <c r="N355" s="69" t="n">
        <f aca="false">-N332</f>
        <v>-0</v>
      </c>
      <c r="O355" s="69" t="n">
        <f aca="false">-O332</f>
        <v>-40000</v>
      </c>
      <c r="P355" s="69" t="n">
        <f aca="false">-P332</f>
        <v>-0</v>
      </c>
      <c r="Q355" s="69" t="n">
        <f aca="false">-Q332</f>
        <v>-0</v>
      </c>
      <c r="R355" s="69" t="n">
        <f aca="false">-R332</f>
        <v>-0</v>
      </c>
      <c r="S355" s="69" t="n">
        <f aca="false">-S332</f>
        <v>-0</v>
      </c>
      <c r="T355" s="69" t="n">
        <f aca="false">-T332</f>
        <v>-0</v>
      </c>
      <c r="U355" s="69" t="n">
        <f aca="false">-U332</f>
        <v>-0</v>
      </c>
      <c r="V355" s="69" t="n">
        <f aca="false">-V332</f>
        <v>-0</v>
      </c>
      <c r="W355" s="69" t="n">
        <f aca="false">-W332</f>
        <v>-0</v>
      </c>
      <c r="X355" s="69" t="n">
        <f aca="false">-X332</f>
        <v>-0</v>
      </c>
      <c r="Y355" s="69" t="n">
        <f aca="false">-Y332</f>
        <v>-0</v>
      </c>
      <c r="Z355" s="69" t="n">
        <f aca="false">-Z332</f>
        <v>-0</v>
      </c>
      <c r="AA355" s="69" t="n">
        <f aca="false">-AA332</f>
        <v>-40000</v>
      </c>
      <c r="AB355" s="69" t="n">
        <f aca="false">-AB332</f>
        <v>-0</v>
      </c>
      <c r="AC355" s="69" t="n">
        <f aca="false">-AC332</f>
        <v>-0</v>
      </c>
      <c r="AD355" s="69" t="n">
        <f aca="false">-AD332</f>
        <v>-0</v>
      </c>
      <c r="AE355" s="69" t="n">
        <f aca="false">-AE332</f>
        <v>-0</v>
      </c>
      <c r="AF355" s="69" t="n">
        <f aca="false">-AF332</f>
        <v>-0</v>
      </c>
      <c r="AG355" s="69" t="n">
        <f aca="false">-AG332</f>
        <v>-0</v>
      </c>
      <c r="AH355" s="69" t="n">
        <f aca="false">-AH332</f>
        <v>-0</v>
      </c>
      <c r="AI355" s="69" t="n">
        <f aca="false">-AI332</f>
        <v>-0</v>
      </c>
      <c r="AJ355" s="69" t="n">
        <f aca="false">-AJ332</f>
        <v>-0</v>
      </c>
      <c r="AK355" s="69" t="n">
        <f aca="false">-AK332</f>
        <v>-0</v>
      </c>
      <c r="AL355" s="69" t="n">
        <f aca="false">-AL332</f>
        <v>-0</v>
      </c>
      <c r="AM355" s="69" t="n">
        <f aca="false">-AM332</f>
        <v>-40000</v>
      </c>
      <c r="AN355" s="69" t="n">
        <f aca="false">-AN332</f>
        <v>-0</v>
      </c>
      <c r="AO355" s="69" t="n">
        <f aca="false">-AO332</f>
        <v>-0</v>
      </c>
      <c r="AP355" s="69" t="n">
        <f aca="false">-AP332</f>
        <v>-0</v>
      </c>
      <c r="AQ355" s="69" t="n">
        <f aca="false">-AQ332</f>
        <v>-0</v>
      </c>
      <c r="AR355" s="69" t="n">
        <f aca="false">-AR332</f>
        <v>-0</v>
      </c>
      <c r="AS355" s="69" t="n">
        <f aca="false">-AS332</f>
        <v>-0</v>
      </c>
      <c r="AT355" s="69" t="n">
        <f aca="false">-AT332</f>
        <v>-0</v>
      </c>
      <c r="AU355" s="69" t="n">
        <f aca="false">-AU332</f>
        <v>-0</v>
      </c>
      <c r="AV355" s="69" t="n">
        <f aca="false">-AV332</f>
        <v>-0</v>
      </c>
      <c r="AW355" s="69" t="n">
        <f aca="false">-AW332</f>
        <v>-0</v>
      </c>
      <c r="AX355" s="69" t="n">
        <f aca="false">-AX332</f>
        <v>-0</v>
      </c>
      <c r="AY355" s="69" t="n">
        <f aca="false">-AY332</f>
        <v>-40000</v>
      </c>
      <c r="AZ355" s="69" t="n">
        <f aca="false">-AZ332</f>
        <v>-0</v>
      </c>
      <c r="BA355" s="69" t="n">
        <f aca="false">-BA332</f>
        <v>-0</v>
      </c>
      <c r="BB355" s="69" t="n">
        <f aca="false">-BB332</f>
        <v>-0</v>
      </c>
      <c r="BC355" s="69" t="n">
        <f aca="false">-BC332</f>
        <v>-0</v>
      </c>
      <c r="BD355" s="69" t="n">
        <f aca="false">-BD332</f>
        <v>-0</v>
      </c>
      <c r="BE355" s="69" t="n">
        <f aca="false">-BE332</f>
        <v>-0</v>
      </c>
      <c r="BF355" s="69" t="n">
        <f aca="false">-BF332</f>
        <v>-0</v>
      </c>
      <c r="BG355" s="69" t="n">
        <f aca="false">-BG332</f>
        <v>-0</v>
      </c>
      <c r="BH355" s="69" t="n">
        <f aca="false">-BH332</f>
        <v>-0</v>
      </c>
      <c r="BI355" s="69" t="n">
        <f aca="false">-BI332</f>
        <v>-0</v>
      </c>
      <c r="BJ355" s="69" t="n">
        <f aca="false">-BJ332</f>
        <v>-0</v>
      </c>
    </row>
    <row r="356" customFormat="false" ht="15" hidden="false" customHeight="false" outlineLevel="0" collapsed="false">
      <c r="A356" s="6" t="s">
        <v>64</v>
      </c>
      <c r="C356" s="69" t="n">
        <f aca="false">IF(C$264=1,Inputs!$D$69,0)</f>
        <v>2100000</v>
      </c>
      <c r="D356" s="69" t="n">
        <f aca="false">IF(D$264=1,Inputs!$D$69,0)</f>
        <v>0</v>
      </c>
      <c r="E356" s="69" t="n">
        <f aca="false">IF(E$264=1,Inputs!$D$69,0)</f>
        <v>0</v>
      </c>
      <c r="F356" s="69" t="n">
        <f aca="false">IF(F$264=1,Inputs!$D$69,0)</f>
        <v>0</v>
      </c>
      <c r="G356" s="69" t="n">
        <f aca="false">IF(G$264=1,Inputs!$D$69,0)</f>
        <v>0</v>
      </c>
      <c r="H356" s="69" t="n">
        <f aca="false">IF(H$264=1,Inputs!$D$69,0)</f>
        <v>0</v>
      </c>
      <c r="I356" s="69" t="n">
        <f aca="false">IF(I$264=1,Inputs!$D$69,0)</f>
        <v>0</v>
      </c>
      <c r="J356" s="69" t="n">
        <f aca="false">IF(J$264=1,Inputs!$D$69,0)</f>
        <v>0</v>
      </c>
      <c r="K356" s="69" t="n">
        <f aca="false">IF(K$264=1,Inputs!$D$69,0)</f>
        <v>0</v>
      </c>
      <c r="L356" s="69" t="n">
        <f aca="false">IF(L$264=1,Inputs!$D$69,0)</f>
        <v>0</v>
      </c>
      <c r="M356" s="69" t="n">
        <f aca="false">IF(M$264=1,Inputs!$D$69,0)</f>
        <v>0</v>
      </c>
      <c r="N356" s="69" t="n">
        <f aca="false">IF(N$264=1,Inputs!$D$69,0)</f>
        <v>0</v>
      </c>
      <c r="O356" s="69" t="n">
        <f aca="false">IF(O$264=1,Inputs!$D$69,0)</f>
        <v>0</v>
      </c>
      <c r="P356" s="69" t="n">
        <f aca="false">IF(P$264=1,Inputs!$D$69,0)</f>
        <v>0</v>
      </c>
      <c r="Q356" s="69" t="n">
        <f aca="false">IF(Q$264=1,Inputs!$D$69,0)</f>
        <v>0</v>
      </c>
      <c r="R356" s="69" t="n">
        <f aca="false">IF(R$264=1,Inputs!$D$69,0)</f>
        <v>0</v>
      </c>
      <c r="S356" s="69" t="n">
        <f aca="false">IF(S$264=1,Inputs!$D$69,0)</f>
        <v>0</v>
      </c>
      <c r="T356" s="69" t="n">
        <f aca="false">IF(T$264=1,Inputs!$D$69,0)</f>
        <v>0</v>
      </c>
      <c r="U356" s="69" t="n">
        <f aca="false">IF(U$264=1,Inputs!$D$69,0)</f>
        <v>0</v>
      </c>
      <c r="V356" s="69" t="n">
        <f aca="false">IF(V$264=1,Inputs!$D$69,0)</f>
        <v>0</v>
      </c>
      <c r="W356" s="69" t="n">
        <f aca="false">IF(W$264=1,Inputs!$D$69,0)</f>
        <v>0</v>
      </c>
      <c r="X356" s="69" t="n">
        <f aca="false">IF(X$264=1,Inputs!$D$69,0)</f>
        <v>0</v>
      </c>
      <c r="Y356" s="69" t="n">
        <f aca="false">IF(Y$264=1,Inputs!$D$69,0)</f>
        <v>0</v>
      </c>
      <c r="Z356" s="69" t="n">
        <f aca="false">IF(Z$264=1,Inputs!$D$69,0)</f>
        <v>0</v>
      </c>
      <c r="AA356" s="69" t="n">
        <f aca="false">IF(AA$264=1,Inputs!$D$69,0)</f>
        <v>0</v>
      </c>
      <c r="AB356" s="69" t="n">
        <f aca="false">IF(AB$264=1,Inputs!$D$69,0)</f>
        <v>0</v>
      </c>
      <c r="AC356" s="69" t="n">
        <f aca="false">IF(AC$264=1,Inputs!$D$69,0)</f>
        <v>0</v>
      </c>
      <c r="AD356" s="69" t="n">
        <f aca="false">IF(AD$264=1,Inputs!$D$69,0)</f>
        <v>0</v>
      </c>
      <c r="AE356" s="69" t="n">
        <f aca="false">IF(AE$264=1,Inputs!$D$69,0)</f>
        <v>0</v>
      </c>
      <c r="AF356" s="69" t="n">
        <f aca="false">IF(AF$264=1,Inputs!$D$69,0)</f>
        <v>0</v>
      </c>
      <c r="AG356" s="69" t="n">
        <f aca="false">IF(AG$264=1,Inputs!$D$69,0)</f>
        <v>0</v>
      </c>
      <c r="AH356" s="69" t="n">
        <f aca="false">IF(AH$264=1,Inputs!$D$69,0)</f>
        <v>0</v>
      </c>
      <c r="AI356" s="69" t="n">
        <f aca="false">IF(AI$264=1,Inputs!$D$69,0)</f>
        <v>0</v>
      </c>
      <c r="AJ356" s="69" t="n">
        <f aca="false">IF(AJ$264=1,Inputs!$D$69,0)</f>
        <v>0</v>
      </c>
      <c r="AK356" s="69" t="n">
        <f aca="false">IF(AK$264=1,Inputs!$D$69,0)</f>
        <v>0</v>
      </c>
      <c r="AL356" s="69" t="n">
        <f aca="false">IF(AL$264=1,Inputs!$D$69,0)</f>
        <v>0</v>
      </c>
      <c r="AM356" s="69" t="n">
        <f aca="false">IF(AM$264=1,Inputs!$D$69,0)</f>
        <v>0</v>
      </c>
      <c r="AN356" s="69" t="n">
        <f aca="false">IF(AN$264=1,Inputs!$D$69,0)</f>
        <v>0</v>
      </c>
      <c r="AO356" s="69" t="n">
        <f aca="false">IF(AO$264=1,Inputs!$D$69,0)</f>
        <v>0</v>
      </c>
      <c r="AP356" s="69" t="n">
        <f aca="false">IF(AP$264=1,Inputs!$D$69,0)</f>
        <v>0</v>
      </c>
      <c r="AQ356" s="69" t="n">
        <f aca="false">IF(AQ$264=1,Inputs!$D$69,0)</f>
        <v>0</v>
      </c>
      <c r="AR356" s="69" t="n">
        <f aca="false">IF(AR$264=1,Inputs!$D$69,0)</f>
        <v>0</v>
      </c>
      <c r="AS356" s="69" t="n">
        <f aca="false">IF(AS$264=1,Inputs!$D$69,0)</f>
        <v>0</v>
      </c>
      <c r="AT356" s="69" t="n">
        <f aca="false">IF(AT$264=1,Inputs!$D$69,0)</f>
        <v>0</v>
      </c>
      <c r="AU356" s="69" t="n">
        <f aca="false">IF(AU$264=1,Inputs!$D$69,0)</f>
        <v>0</v>
      </c>
      <c r="AV356" s="69" t="n">
        <f aca="false">IF(AV$264=1,Inputs!$D$69,0)</f>
        <v>0</v>
      </c>
      <c r="AW356" s="69" t="n">
        <f aca="false">IF(AW$264=1,Inputs!$D$69,0)</f>
        <v>0</v>
      </c>
      <c r="AX356" s="69" t="n">
        <f aca="false">IF(AX$264=1,Inputs!$D$69,0)</f>
        <v>0</v>
      </c>
      <c r="AY356" s="69" t="n">
        <f aca="false">IF(AY$264=1,Inputs!$D$69,0)</f>
        <v>0</v>
      </c>
      <c r="AZ356" s="69" t="n">
        <f aca="false">IF(AZ$264=1,Inputs!$D$69,0)</f>
        <v>0</v>
      </c>
      <c r="BA356" s="69" t="n">
        <f aca="false">IF(BA$264=1,Inputs!$D$69,0)</f>
        <v>0</v>
      </c>
      <c r="BB356" s="69" t="n">
        <f aca="false">IF(BB$264=1,Inputs!$D$69,0)</f>
        <v>0</v>
      </c>
      <c r="BC356" s="69" t="n">
        <f aca="false">IF(BC$264=1,Inputs!$D$69,0)</f>
        <v>0</v>
      </c>
      <c r="BD356" s="69" t="n">
        <f aca="false">IF(BD$264=1,Inputs!$D$69,0)</f>
        <v>0</v>
      </c>
      <c r="BE356" s="69" t="n">
        <f aca="false">IF(BE$264=1,Inputs!$D$69,0)</f>
        <v>0</v>
      </c>
      <c r="BF356" s="69" t="n">
        <f aca="false">IF(BF$264=1,Inputs!$D$69,0)</f>
        <v>0</v>
      </c>
      <c r="BG356" s="69" t="n">
        <f aca="false">IF(BG$264=1,Inputs!$D$69,0)</f>
        <v>0</v>
      </c>
      <c r="BH356" s="69" t="n">
        <f aca="false">IF(BH$264=1,Inputs!$D$69,0)</f>
        <v>0</v>
      </c>
      <c r="BI356" s="69" t="n">
        <f aca="false">IF(BI$264=1,Inputs!$D$69,0)</f>
        <v>0</v>
      </c>
      <c r="BJ356" s="69" t="n">
        <f aca="false">IF(BJ$264=1,Inputs!$D$69,0)</f>
        <v>0</v>
      </c>
    </row>
    <row r="357" customFormat="false" ht="15" hidden="false" customHeight="false" outlineLevel="0" collapsed="false">
      <c r="A357" s="6" t="s">
        <v>54</v>
      </c>
      <c r="C357" s="69" t="n">
        <f aca="false">C356+C341+C342</f>
        <v>5100000</v>
      </c>
      <c r="D357" s="69" t="n">
        <f aca="false">D356+D341+D342</f>
        <v>-25000</v>
      </c>
      <c r="E357" s="69" t="n">
        <f aca="false">E356+E341+E342</f>
        <v>-25000</v>
      </c>
      <c r="F357" s="69" t="n">
        <f aca="false">F356+F341+F342</f>
        <v>-25000</v>
      </c>
      <c r="G357" s="69" t="n">
        <f aca="false">G356+G341+G342</f>
        <v>-25000</v>
      </c>
      <c r="H357" s="69" t="n">
        <f aca="false">H356+H341+H342</f>
        <v>-25000</v>
      </c>
      <c r="I357" s="69" t="n">
        <f aca="false">I356+I341+I342</f>
        <v>-25000</v>
      </c>
      <c r="J357" s="69" t="n">
        <f aca="false">J356+J341+J342</f>
        <v>-25000</v>
      </c>
      <c r="K357" s="69" t="n">
        <f aca="false">K356+K341+K342</f>
        <v>-25000</v>
      </c>
      <c r="L357" s="69" t="n">
        <f aca="false">L356+L341+L342</f>
        <v>-25000</v>
      </c>
      <c r="M357" s="69" t="n">
        <f aca="false">M356+M341+M342</f>
        <v>-25000</v>
      </c>
      <c r="N357" s="69" t="n">
        <f aca="false">N356+N341+N342</f>
        <v>-25000</v>
      </c>
      <c r="O357" s="69" t="n">
        <f aca="false">O356+O341+O342</f>
        <v>-25000</v>
      </c>
      <c r="P357" s="69" t="n">
        <f aca="false">P356+P341+P342</f>
        <v>-25000</v>
      </c>
      <c r="Q357" s="69" t="n">
        <f aca="false">Q356+Q341+Q342</f>
        <v>-25000</v>
      </c>
      <c r="R357" s="69" t="n">
        <f aca="false">R356+R341+R342</f>
        <v>-25000</v>
      </c>
      <c r="S357" s="69" t="n">
        <f aca="false">S356+S341+S342</f>
        <v>-25000</v>
      </c>
      <c r="T357" s="69" t="n">
        <f aca="false">T356+T341+T342</f>
        <v>-25000</v>
      </c>
      <c r="U357" s="69" t="n">
        <f aca="false">U356+U341+U342</f>
        <v>-25000</v>
      </c>
      <c r="V357" s="69" t="n">
        <f aca="false">V356+V341+V342</f>
        <v>-25000</v>
      </c>
      <c r="W357" s="69" t="n">
        <f aca="false">W356+W341+W342</f>
        <v>-25000</v>
      </c>
      <c r="X357" s="69" t="n">
        <f aca="false">X356+X341+X342</f>
        <v>-25000</v>
      </c>
      <c r="Y357" s="69" t="n">
        <f aca="false">Y356+Y341+Y342</f>
        <v>-25000</v>
      </c>
      <c r="Z357" s="69" t="n">
        <f aca="false">Z356+Z341+Z342</f>
        <v>-25000</v>
      </c>
      <c r="AA357" s="69" t="n">
        <f aca="false">AA356+AA341+AA342</f>
        <v>-25000</v>
      </c>
      <c r="AB357" s="69" t="n">
        <f aca="false">AB356+AB341+AB342</f>
        <v>-25000</v>
      </c>
      <c r="AC357" s="69" t="n">
        <f aca="false">AC356+AC341+AC342</f>
        <v>-25000</v>
      </c>
      <c r="AD357" s="69" t="n">
        <f aca="false">AD356+AD341+AD342</f>
        <v>-25000</v>
      </c>
      <c r="AE357" s="69" t="n">
        <f aca="false">AE356+AE341+AE342</f>
        <v>-25000</v>
      </c>
      <c r="AF357" s="69" t="n">
        <f aca="false">AF356+AF341+AF342</f>
        <v>-25000</v>
      </c>
      <c r="AG357" s="69" t="n">
        <f aca="false">AG356+AG341+AG342</f>
        <v>-25000</v>
      </c>
      <c r="AH357" s="69" t="n">
        <f aca="false">AH356+AH341+AH342</f>
        <v>-25000</v>
      </c>
      <c r="AI357" s="69" t="n">
        <f aca="false">AI356+AI341+AI342</f>
        <v>-25000</v>
      </c>
      <c r="AJ357" s="69" t="n">
        <f aca="false">AJ356+AJ341+AJ342</f>
        <v>-25000</v>
      </c>
      <c r="AK357" s="69" t="n">
        <f aca="false">AK356+AK341+AK342</f>
        <v>-25000</v>
      </c>
      <c r="AL357" s="69" t="n">
        <f aca="false">AL356+AL341+AL342</f>
        <v>-25000</v>
      </c>
      <c r="AM357" s="69" t="n">
        <f aca="false">AM356+AM341+AM342</f>
        <v>-25000</v>
      </c>
      <c r="AN357" s="69" t="n">
        <f aca="false">AN356+AN341+AN342</f>
        <v>-25000</v>
      </c>
      <c r="AO357" s="69" t="n">
        <f aca="false">AO356+AO341+AO342</f>
        <v>-25000</v>
      </c>
      <c r="AP357" s="69" t="n">
        <f aca="false">AP356+AP341+AP342</f>
        <v>-25000</v>
      </c>
      <c r="AQ357" s="69" t="n">
        <f aca="false">AQ356+AQ341+AQ342</f>
        <v>-25000</v>
      </c>
      <c r="AR357" s="69" t="n">
        <f aca="false">AR356+AR341+AR342</f>
        <v>-25000</v>
      </c>
      <c r="AS357" s="69" t="n">
        <f aca="false">AS356+AS341+AS342</f>
        <v>-25000</v>
      </c>
      <c r="AT357" s="69" t="n">
        <f aca="false">AT356+AT341+AT342</f>
        <v>-25000</v>
      </c>
      <c r="AU357" s="69" t="n">
        <f aca="false">AU356+AU341+AU342</f>
        <v>-25000</v>
      </c>
      <c r="AV357" s="69" t="n">
        <f aca="false">AV356+AV341+AV342</f>
        <v>-25000</v>
      </c>
      <c r="AW357" s="69" t="n">
        <f aca="false">AW356+AW341+AW342</f>
        <v>-25000</v>
      </c>
      <c r="AX357" s="69" t="n">
        <f aca="false">AX356+AX341+AX342</f>
        <v>-25000</v>
      </c>
      <c r="AY357" s="69" t="n">
        <f aca="false">AY356+AY341+AY342</f>
        <v>-25000</v>
      </c>
      <c r="AZ357" s="69" t="n">
        <f aca="false">AZ356+AZ341+AZ342</f>
        <v>-25000</v>
      </c>
      <c r="BA357" s="69" t="n">
        <f aca="false">BA356+BA341+BA342</f>
        <v>-25000</v>
      </c>
      <c r="BB357" s="69" t="n">
        <f aca="false">BB356+BB341+BB342</f>
        <v>-25000</v>
      </c>
      <c r="BC357" s="69" t="n">
        <f aca="false">BC356+BC341+BC342</f>
        <v>-25000</v>
      </c>
      <c r="BD357" s="69" t="n">
        <f aca="false">BD356+BD341+BD342</f>
        <v>-25000</v>
      </c>
      <c r="BE357" s="69" t="n">
        <f aca="false">BE356+BE341+BE342</f>
        <v>-25000</v>
      </c>
      <c r="BF357" s="69" t="n">
        <f aca="false">BF356+BF341+BF342</f>
        <v>-25000</v>
      </c>
      <c r="BG357" s="69" t="n">
        <f aca="false">BG356+BG341+BG342</f>
        <v>-25000</v>
      </c>
      <c r="BH357" s="69" t="n">
        <f aca="false">BH356+BH341+BH342</f>
        <v>-25000</v>
      </c>
      <c r="BI357" s="69" t="n">
        <f aca="false">BI356+BI341+BI342</f>
        <v>-25000</v>
      </c>
      <c r="BJ357" s="69" t="n">
        <f aca="false">BJ356+BJ341+BJ342</f>
        <v>-25000</v>
      </c>
    </row>
    <row r="358" customFormat="false" ht="15" hidden="false" customHeight="false" outlineLevel="0" collapsed="false">
      <c r="A358" s="113" t="s">
        <v>461</v>
      </c>
      <c r="C358" s="70" t="n">
        <f aca="false">C354+C355+C357</f>
        <v>952542.021422581</v>
      </c>
      <c r="D358" s="70" t="n">
        <f aca="false">D354+D355+D357</f>
        <v>-62754.9783223577</v>
      </c>
      <c r="E358" s="70" t="n">
        <f aca="false">E354+E355+E357</f>
        <v>-43698.2711141006</v>
      </c>
      <c r="F358" s="70" t="n">
        <f aca="false">F354+F355+F357</f>
        <v>-33218.9891663596</v>
      </c>
      <c r="G358" s="70" t="n">
        <f aca="false">G354+G355+G357</f>
        <v>-22570.0473398806</v>
      </c>
      <c r="H358" s="70" t="n">
        <f aca="false">H354+H355+H357</f>
        <v>-11718.2304018679</v>
      </c>
      <c r="I358" s="70" t="n">
        <f aca="false">I354+I355+I357</f>
        <v>-670.030355890667</v>
      </c>
      <c r="J358" s="70" t="n">
        <f aca="false">J354+J355+J357</f>
        <v>10568.2685385962</v>
      </c>
      <c r="K358" s="70" t="n">
        <f aca="false">K354+K355+K357</f>
        <v>14462.1930609061</v>
      </c>
      <c r="L358" s="70" t="n">
        <f aca="false">L354+L355+L357</f>
        <v>18112.7064011793</v>
      </c>
      <c r="M358" s="70" t="n">
        <f aca="false">M354+M355+M357</f>
        <v>21652.0699812305</v>
      </c>
      <c r="N358" s="70" t="n">
        <f aca="false">N354+N355+N357</f>
        <v>10595.6022852958</v>
      </c>
      <c r="O358" s="70" t="n">
        <f aca="false">O354+O355+O357</f>
        <v>-16555.211035263</v>
      </c>
      <c r="P358" s="70" t="n">
        <f aca="false">P354+P355+P357</f>
        <v>27029.9810879254</v>
      </c>
      <c r="Q358" s="70" t="n">
        <f aca="false">Q354+Q355+Q357</f>
        <v>46062.3513391285</v>
      </c>
      <c r="R358" s="70" t="n">
        <f aca="false">R354+R355+R357</f>
        <v>49400.6701642125</v>
      </c>
      <c r="S358" s="70" t="n">
        <f aca="false">S354+S355+S357</f>
        <v>52788.8049433718</v>
      </c>
      <c r="T358" s="70" t="n">
        <f aca="false">T354+T355+T357</f>
        <v>51623.4496405659</v>
      </c>
      <c r="U358" s="70" t="n">
        <f aca="false">U354+U355+U357</f>
        <v>47602.5531069363</v>
      </c>
      <c r="V358" s="70" t="n">
        <f aca="false">V354+V355+V357</f>
        <v>50043.3768248015</v>
      </c>
      <c r="W358" s="70" t="n">
        <f aca="false">W354+W355+W357</f>
        <v>52410.5708503617</v>
      </c>
      <c r="X358" s="70" t="n">
        <f aca="false">X354+X355+X357</f>
        <v>54706.4913337706</v>
      </c>
      <c r="Y358" s="70" t="n">
        <f aca="false">Y354+Y355+Y357</f>
        <v>56933.4190283772</v>
      </c>
      <c r="Z358" s="70" t="n">
        <f aca="false">Z354+Z355+Z357</f>
        <v>46785.5160978891</v>
      </c>
      <c r="AA358" s="70" t="n">
        <f aca="false">AA354+AA355+AA357</f>
        <v>18088.3228348428</v>
      </c>
      <c r="AB358" s="70" t="n">
        <f aca="false">AB354+AB355+AB357</f>
        <v>60467.1560594846</v>
      </c>
      <c r="AC358" s="70" t="n">
        <f aca="false">AC354+AC355+AC357</f>
        <v>75965.828884315</v>
      </c>
      <c r="AD358" s="70" t="n">
        <f aca="false">AD354+AD355+AD357</f>
        <v>77837.277290935</v>
      </c>
      <c r="AE358" s="70" t="n">
        <f aca="false">AE354+AE355+AE357</f>
        <v>80063.3400239386</v>
      </c>
      <c r="AF358" s="70" t="n">
        <f aca="false">AF354+AF355+AF357</f>
        <v>82222.6454161528</v>
      </c>
      <c r="AG358" s="70" t="n">
        <f aca="false">AG354+AG355+AG357</f>
        <v>84317.3297024829</v>
      </c>
      <c r="AH358" s="70" t="n">
        <f aca="false">AH354+AH355+AH357</f>
        <v>86349.460758317</v>
      </c>
      <c r="AI358" s="70" t="n">
        <f aca="false">AI354+AI355+AI357</f>
        <v>88321.0402870311</v>
      </c>
      <c r="AJ358" s="70" t="n">
        <f aca="false">AJ354+AJ355+AJ357</f>
        <v>90234.005937493</v>
      </c>
      <c r="AK358" s="70" t="n">
        <f aca="false">AK354+AK355+AK357</f>
        <v>92090.2333538068</v>
      </c>
      <c r="AL358" s="70" t="n">
        <f aca="false">AL354+AL355+AL357</f>
        <v>80606.9119536758</v>
      </c>
      <c r="AM358" s="70" t="n">
        <f aca="false">AM354+AM355+AM357</f>
        <v>53102.6154884334</v>
      </c>
      <c r="AN358" s="70" t="n">
        <f aca="false">AN354+AN355+AN357</f>
        <v>95174.2180316855</v>
      </c>
      <c r="AO358" s="70" t="n">
        <f aca="false">AO354+AO355+AO357</f>
        <v>111427.713267275</v>
      </c>
      <c r="AP358" s="70" t="n">
        <f aca="false">AP354+AP355+AP357</f>
        <v>112792.867659006</v>
      </c>
      <c r="AQ358" s="70" t="n">
        <f aca="false">AQ354+AQ355+AQ357</f>
        <v>114740.412816035</v>
      </c>
      <c r="AR358" s="70" t="n">
        <f aca="false">AR354+AR355+AR357</f>
        <v>116630.113194706</v>
      </c>
      <c r="AS358" s="70" t="n">
        <f aca="false">AS354+AS355+AS357</f>
        <v>118463.819827926</v>
      </c>
      <c r="AT358" s="70" t="n">
        <f aca="false">AT354+AT355+AT357</f>
        <v>120243.32451555</v>
      </c>
      <c r="AU358" s="70" t="n">
        <f aca="false">AU354+AU355+AU357</f>
        <v>121970.361719836</v>
      </c>
      <c r="AV358" s="70" t="n">
        <f aca="false">AV354+AV355+AV357</f>
        <v>123646.610400252</v>
      </c>
      <c r="AW358" s="70" t="n">
        <f aca="false">AW354+AW355+AW357</f>
        <v>125273.695789561</v>
      </c>
      <c r="AX358" s="70" t="n">
        <f aca="false">AX354+AX355+AX357</f>
        <v>112458.99056372</v>
      </c>
      <c r="AY358" s="70" t="n">
        <f aca="false">AY354+AY355+AY357</f>
        <v>86247.9376572518</v>
      </c>
      <c r="AZ358" s="70" t="n">
        <f aca="false">AZ354+AZ355+AZ357</f>
        <v>128149.613908439</v>
      </c>
      <c r="BA358" s="70" t="n">
        <f aca="false">BA354+BA355+BA357</f>
        <v>145430.354585217</v>
      </c>
      <c r="BB358" s="70" t="n">
        <f aca="false">BB354+BB355+BB357</f>
        <v>145959.307047453</v>
      </c>
      <c r="BC358" s="70" t="n">
        <f aca="false">BC354+BC355+BC357</f>
        <v>146861.71142706</v>
      </c>
      <c r="BD358" s="70" t="n">
        <f aca="false">BD354+BD355+BD357</f>
        <v>147780.915546869</v>
      </c>
      <c r="BE358" s="70" t="n">
        <f aca="false">BE354+BE355+BE357</f>
        <v>148689.946432083</v>
      </c>
      <c r="BF358" s="70" t="n">
        <f aca="false">BF354+BF355+BF357</f>
        <v>149587.906983599</v>
      </c>
      <c r="BG358" s="70" t="n">
        <f aca="false">BG354+BG355+BG357</f>
        <v>150474.040357283</v>
      </c>
      <c r="BH358" s="70" t="n">
        <f aca="false">BH354+BH355+BH357</f>
        <v>151347.714127905</v>
      </c>
      <c r="BI358" s="70" t="n">
        <f aca="false">BI354+BI355+BI357</f>
        <v>152208.406251803</v>
      </c>
      <c r="BJ358" s="70" t="n">
        <f aca="false">BJ354+BJ355+BJ357</f>
        <v>144150.258944575</v>
      </c>
    </row>
    <row r="359" customFormat="false" ht="15" hidden="false" customHeight="false" outlineLevel="0" collapsed="false">
      <c r="A359" s="6" t="s">
        <v>351</v>
      </c>
      <c r="C359" s="69" t="n">
        <f aca="false">0</f>
        <v>0</v>
      </c>
      <c r="D359" s="69" t="n">
        <f aca="false">C360</f>
        <v>952542.021422581</v>
      </c>
      <c r="E359" s="69" t="n">
        <f aca="false">D360</f>
        <v>889787.043100224</v>
      </c>
      <c r="F359" s="69" t="n">
        <f aca="false">E360</f>
        <v>846088.771986123</v>
      </c>
      <c r="G359" s="69" t="n">
        <f aca="false">F360</f>
        <v>812869.782819763</v>
      </c>
      <c r="H359" s="69" t="n">
        <f aca="false">G360</f>
        <v>790299.735479883</v>
      </c>
      <c r="I359" s="69" t="n">
        <f aca="false">H360</f>
        <v>778581.505078015</v>
      </c>
      <c r="J359" s="69" t="n">
        <f aca="false">I360</f>
        <v>777911.474722124</v>
      </c>
      <c r="K359" s="69" t="n">
        <f aca="false">J360</f>
        <v>788479.743260721</v>
      </c>
      <c r="L359" s="69" t="n">
        <f aca="false">K360</f>
        <v>802941.936321627</v>
      </c>
      <c r="M359" s="69" t="n">
        <f aca="false">L360</f>
        <v>821054.642722806</v>
      </c>
      <c r="N359" s="69" t="n">
        <f aca="false">M360</f>
        <v>842706.712704036</v>
      </c>
      <c r="O359" s="69" t="n">
        <f aca="false">N360</f>
        <v>853302.314989332</v>
      </c>
      <c r="P359" s="69" t="n">
        <f aca="false">O360</f>
        <v>836747.103954069</v>
      </c>
      <c r="Q359" s="69" t="n">
        <f aca="false">P360</f>
        <v>863777.085041995</v>
      </c>
      <c r="R359" s="69" t="n">
        <f aca="false">Q360</f>
        <v>909839.436381123</v>
      </c>
      <c r="S359" s="69" t="n">
        <f aca="false">R360</f>
        <v>959240.106545336</v>
      </c>
      <c r="T359" s="69" t="n">
        <f aca="false">S360</f>
        <v>1012028.91148871</v>
      </c>
      <c r="U359" s="69" t="n">
        <f aca="false">T360</f>
        <v>1063652.36112927</v>
      </c>
      <c r="V359" s="69" t="n">
        <f aca="false">U360</f>
        <v>1111254.91423621</v>
      </c>
      <c r="W359" s="69" t="n">
        <f aca="false">V360</f>
        <v>1161298.29106101</v>
      </c>
      <c r="X359" s="69" t="n">
        <f aca="false">W360</f>
        <v>1213708.86191137</v>
      </c>
      <c r="Y359" s="69" t="n">
        <f aca="false">X360</f>
        <v>1268415.35324514</v>
      </c>
      <c r="Z359" s="69" t="n">
        <f aca="false">Y360</f>
        <v>1325348.77227352</v>
      </c>
      <c r="AA359" s="69" t="n">
        <f aca="false">Z360</f>
        <v>1372134.28837141</v>
      </c>
      <c r="AB359" s="69" t="n">
        <f aca="false">AA360</f>
        <v>1390222.61120625</v>
      </c>
      <c r="AC359" s="69" t="n">
        <f aca="false">AB360</f>
        <v>1450689.76726574</v>
      </c>
      <c r="AD359" s="69" t="n">
        <f aca="false">AC360</f>
        <v>1526655.59615005</v>
      </c>
      <c r="AE359" s="69" t="n">
        <f aca="false">AD360</f>
        <v>1604492.87344099</v>
      </c>
      <c r="AF359" s="69" t="n">
        <f aca="false">AE360</f>
        <v>1684556.21346493</v>
      </c>
      <c r="AG359" s="69" t="n">
        <f aca="false">AF360</f>
        <v>1766778.85888108</v>
      </c>
      <c r="AH359" s="69" t="n">
        <f aca="false">AG360</f>
        <v>1851096.18858356</v>
      </c>
      <c r="AI359" s="69" t="n">
        <f aca="false">AH360</f>
        <v>1937445.64934188</v>
      </c>
      <c r="AJ359" s="69" t="n">
        <f aca="false">AI360</f>
        <v>2025766.68962891</v>
      </c>
      <c r="AK359" s="69" t="n">
        <f aca="false">AJ360</f>
        <v>2116000.6955664</v>
      </c>
      <c r="AL359" s="69" t="n">
        <f aca="false">AK360</f>
        <v>2208090.92892021</v>
      </c>
      <c r="AM359" s="69" t="n">
        <f aca="false">AL360</f>
        <v>2288697.84087389</v>
      </c>
      <c r="AN359" s="69" t="n">
        <f aca="false">AM360</f>
        <v>2341800.45636232</v>
      </c>
      <c r="AO359" s="69" t="n">
        <f aca="false">AN360</f>
        <v>2436974.674394</v>
      </c>
      <c r="AP359" s="69" t="n">
        <f aca="false">AO360</f>
        <v>2548402.38766128</v>
      </c>
      <c r="AQ359" s="69" t="n">
        <f aca="false">AP360</f>
        <v>2661195.25532028</v>
      </c>
      <c r="AR359" s="69" t="n">
        <f aca="false">AQ360</f>
        <v>2775935.66813632</v>
      </c>
      <c r="AS359" s="69" t="n">
        <f aca="false">AR360</f>
        <v>2892565.78133103</v>
      </c>
      <c r="AT359" s="69" t="n">
        <f aca="false">AS360</f>
        <v>3011029.60115895</v>
      </c>
      <c r="AU359" s="69" t="n">
        <f aca="false">AT360</f>
        <v>3131272.9256745</v>
      </c>
      <c r="AV359" s="69" t="n">
        <f aca="false">AU360</f>
        <v>3253243.28739434</v>
      </c>
      <c r="AW359" s="69" t="n">
        <f aca="false">AV360</f>
        <v>3376889.89779459</v>
      </c>
      <c r="AX359" s="69" t="n">
        <f aca="false">AW360</f>
        <v>3502163.59358415</v>
      </c>
      <c r="AY359" s="69" t="n">
        <f aca="false">AX360</f>
        <v>3614622.58414787</v>
      </c>
      <c r="AZ359" s="69" t="n">
        <f aca="false">AY360</f>
        <v>3700870.52180512</v>
      </c>
      <c r="BA359" s="69" t="n">
        <f aca="false">AZ360</f>
        <v>3829020.13571356</v>
      </c>
      <c r="BB359" s="69" t="n">
        <f aca="false">BA360</f>
        <v>3974450.49029878</v>
      </c>
      <c r="BC359" s="69" t="n">
        <f aca="false">BB360</f>
        <v>4120409.79734623</v>
      </c>
      <c r="BD359" s="69" t="n">
        <f aca="false">BC360</f>
        <v>4267271.50877329</v>
      </c>
      <c r="BE359" s="69" t="n">
        <f aca="false">BD360</f>
        <v>4415052.42432016</v>
      </c>
      <c r="BF359" s="69" t="n">
        <f aca="false">BE360</f>
        <v>4563742.37075225</v>
      </c>
      <c r="BG359" s="69" t="n">
        <f aca="false">BF360</f>
        <v>4713330.27773584</v>
      </c>
      <c r="BH359" s="69" t="n">
        <f aca="false">BG360</f>
        <v>4863804.31809313</v>
      </c>
      <c r="BI359" s="69" t="n">
        <f aca="false">BH360</f>
        <v>5015152.03222103</v>
      </c>
      <c r="BJ359" s="69" t="n">
        <f aca="false">BI360</f>
        <v>5167360.43847284</v>
      </c>
    </row>
    <row r="360" customFormat="false" ht="15" hidden="false" customHeight="false" outlineLevel="0" collapsed="false">
      <c r="A360" s="113" t="s">
        <v>87</v>
      </c>
      <c r="C360" s="70" t="n">
        <f aca="false">C359+C358</f>
        <v>952542.021422581</v>
      </c>
      <c r="D360" s="70" t="n">
        <f aca="false">D359+D358</f>
        <v>889787.043100224</v>
      </c>
      <c r="E360" s="70" t="n">
        <f aca="false">E359+E358</f>
        <v>846088.771986123</v>
      </c>
      <c r="F360" s="70" t="n">
        <f aca="false">F359+F358</f>
        <v>812869.782819763</v>
      </c>
      <c r="G360" s="70" t="n">
        <f aca="false">G359+G358</f>
        <v>790299.735479883</v>
      </c>
      <c r="H360" s="70" t="n">
        <f aca="false">H359+H358</f>
        <v>778581.505078015</v>
      </c>
      <c r="I360" s="70" t="n">
        <f aca="false">I359+I358</f>
        <v>777911.474722124</v>
      </c>
      <c r="J360" s="70" t="n">
        <f aca="false">J359+J358</f>
        <v>788479.743260721</v>
      </c>
      <c r="K360" s="70" t="n">
        <f aca="false">K359+K358</f>
        <v>802941.936321627</v>
      </c>
      <c r="L360" s="70" t="n">
        <f aca="false">L359+L358</f>
        <v>821054.642722806</v>
      </c>
      <c r="M360" s="70" t="n">
        <f aca="false">M359+M358</f>
        <v>842706.712704036</v>
      </c>
      <c r="N360" s="70" t="n">
        <f aca="false">N359+N358</f>
        <v>853302.314989332</v>
      </c>
      <c r="O360" s="70" t="n">
        <f aca="false">O359+O358</f>
        <v>836747.103954069</v>
      </c>
      <c r="P360" s="70" t="n">
        <f aca="false">P359+P358</f>
        <v>863777.085041995</v>
      </c>
      <c r="Q360" s="70" t="n">
        <f aca="false">Q359+Q358</f>
        <v>909839.436381123</v>
      </c>
      <c r="R360" s="70" t="n">
        <f aca="false">R359+R358</f>
        <v>959240.106545336</v>
      </c>
      <c r="S360" s="70" t="n">
        <f aca="false">S359+S358</f>
        <v>1012028.91148871</v>
      </c>
      <c r="T360" s="70" t="n">
        <f aca="false">T359+T358</f>
        <v>1063652.36112927</v>
      </c>
      <c r="U360" s="70" t="n">
        <f aca="false">U359+U358</f>
        <v>1111254.91423621</v>
      </c>
      <c r="V360" s="70" t="n">
        <f aca="false">V359+V358</f>
        <v>1161298.29106101</v>
      </c>
      <c r="W360" s="70" t="n">
        <f aca="false">W359+W358</f>
        <v>1213708.86191137</v>
      </c>
      <c r="X360" s="70" t="n">
        <f aca="false">X359+X358</f>
        <v>1268415.35324514</v>
      </c>
      <c r="Y360" s="70" t="n">
        <f aca="false">Y359+Y358</f>
        <v>1325348.77227352</v>
      </c>
      <c r="Z360" s="70" t="n">
        <f aca="false">Z359+Z358</f>
        <v>1372134.28837141</v>
      </c>
      <c r="AA360" s="70" t="n">
        <f aca="false">AA359+AA358</f>
        <v>1390222.61120625</v>
      </c>
      <c r="AB360" s="70" t="n">
        <f aca="false">AB359+AB358</f>
        <v>1450689.76726574</v>
      </c>
      <c r="AC360" s="70" t="n">
        <f aca="false">AC359+AC358</f>
        <v>1526655.59615005</v>
      </c>
      <c r="AD360" s="70" t="n">
        <f aca="false">AD359+AD358</f>
        <v>1604492.87344099</v>
      </c>
      <c r="AE360" s="70" t="n">
        <f aca="false">AE359+AE358</f>
        <v>1684556.21346493</v>
      </c>
      <c r="AF360" s="70" t="n">
        <f aca="false">AF359+AF358</f>
        <v>1766778.85888108</v>
      </c>
      <c r="AG360" s="70" t="n">
        <f aca="false">AG359+AG358</f>
        <v>1851096.18858356</v>
      </c>
      <c r="AH360" s="70" t="n">
        <f aca="false">AH359+AH358</f>
        <v>1937445.64934188</v>
      </c>
      <c r="AI360" s="70" t="n">
        <f aca="false">AI359+AI358</f>
        <v>2025766.68962891</v>
      </c>
      <c r="AJ360" s="70" t="n">
        <f aca="false">AJ359+AJ358</f>
        <v>2116000.6955664</v>
      </c>
      <c r="AK360" s="70" t="n">
        <f aca="false">AK359+AK358</f>
        <v>2208090.92892021</v>
      </c>
      <c r="AL360" s="70" t="n">
        <f aca="false">AL359+AL358</f>
        <v>2288697.84087389</v>
      </c>
      <c r="AM360" s="70" t="n">
        <f aca="false">AM359+AM358</f>
        <v>2341800.45636232</v>
      </c>
      <c r="AN360" s="70" t="n">
        <f aca="false">AN359+AN358</f>
        <v>2436974.674394</v>
      </c>
      <c r="AO360" s="70" t="n">
        <f aca="false">AO359+AO358</f>
        <v>2548402.38766128</v>
      </c>
      <c r="AP360" s="70" t="n">
        <f aca="false">AP359+AP358</f>
        <v>2661195.25532028</v>
      </c>
      <c r="AQ360" s="70" t="n">
        <f aca="false">AQ359+AQ358</f>
        <v>2775935.66813632</v>
      </c>
      <c r="AR360" s="70" t="n">
        <f aca="false">AR359+AR358</f>
        <v>2892565.78133103</v>
      </c>
      <c r="AS360" s="70" t="n">
        <f aca="false">AS359+AS358</f>
        <v>3011029.60115895</v>
      </c>
      <c r="AT360" s="70" t="n">
        <f aca="false">AT359+AT358</f>
        <v>3131272.9256745</v>
      </c>
      <c r="AU360" s="70" t="n">
        <f aca="false">AU359+AU358</f>
        <v>3253243.28739434</v>
      </c>
      <c r="AV360" s="70" t="n">
        <f aca="false">AV359+AV358</f>
        <v>3376889.89779459</v>
      </c>
      <c r="AW360" s="70" t="n">
        <f aca="false">AW359+AW358</f>
        <v>3502163.59358415</v>
      </c>
      <c r="AX360" s="70" t="n">
        <f aca="false">AX359+AX358</f>
        <v>3614622.58414787</v>
      </c>
      <c r="AY360" s="70" t="n">
        <f aca="false">AY359+AY358</f>
        <v>3700870.52180512</v>
      </c>
      <c r="AZ360" s="70" t="n">
        <f aca="false">AZ359+AZ358</f>
        <v>3829020.13571356</v>
      </c>
      <c r="BA360" s="70" t="n">
        <f aca="false">BA359+BA358</f>
        <v>3974450.49029878</v>
      </c>
      <c r="BB360" s="70" t="n">
        <f aca="false">BB359+BB358</f>
        <v>4120409.79734623</v>
      </c>
      <c r="BC360" s="70" t="n">
        <f aca="false">BC359+BC358</f>
        <v>4267271.50877329</v>
      </c>
      <c r="BD360" s="70" t="n">
        <f aca="false">BD359+BD358</f>
        <v>4415052.42432016</v>
      </c>
      <c r="BE360" s="70" t="n">
        <f aca="false">BE359+BE358</f>
        <v>4563742.37075225</v>
      </c>
      <c r="BF360" s="70" t="n">
        <f aca="false">BF359+BF358</f>
        <v>4713330.27773584</v>
      </c>
      <c r="BG360" s="70" t="n">
        <f aca="false">BG359+BG358</f>
        <v>4863804.31809313</v>
      </c>
      <c r="BH360" s="70" t="n">
        <f aca="false">BH359+BH358</f>
        <v>5015152.03222103</v>
      </c>
      <c r="BI360" s="70" t="n">
        <f aca="false">BI359+BI358</f>
        <v>5167360.43847284</v>
      </c>
      <c r="BJ360" s="70" t="n">
        <f aca="false">BJ359+BJ358</f>
        <v>5311510.69741741</v>
      </c>
    </row>
    <row r="361" customFormat="false" ht="15" hidden="false" customHeight="false" outlineLevel="0" collapsed="false">
      <c r="A361" s="116" t="s">
        <v>462</v>
      </c>
      <c r="C361" s="118" t="n">
        <f aca="false">IF(C315&gt;0,1,0)</f>
        <v>0</v>
      </c>
      <c r="D361" s="118" t="n">
        <f aca="false">IF(D315&gt;0,1,0)</f>
        <v>0</v>
      </c>
      <c r="E361" s="118" t="n">
        <f aca="false">IF(E315&gt;0,1,0)</f>
        <v>1</v>
      </c>
      <c r="F361" s="118" t="n">
        <f aca="false">IF(F315&gt;0,1,0)</f>
        <v>1</v>
      </c>
      <c r="G361" s="118" t="n">
        <f aca="false">IF(G315&gt;0,1,0)</f>
        <v>1</v>
      </c>
      <c r="H361" s="118" t="n">
        <f aca="false">IF(H315&gt;0,1,0)</f>
        <v>1</v>
      </c>
      <c r="I361" s="118" t="n">
        <f aca="false">IF(I315&gt;0,1,0)</f>
        <v>1</v>
      </c>
      <c r="J361" s="118" t="n">
        <f aca="false">IF(J315&gt;0,1,0)</f>
        <v>1</v>
      </c>
      <c r="K361" s="118" t="n">
        <f aca="false">IF(K315&gt;0,1,0)</f>
        <v>1</v>
      </c>
      <c r="L361" s="118" t="n">
        <f aca="false">IF(L315&gt;0,1,0)</f>
        <v>1</v>
      </c>
      <c r="M361" s="118" t="n">
        <f aca="false">IF(M315&gt;0,1,0)</f>
        <v>1</v>
      </c>
      <c r="N361" s="118" t="n">
        <f aca="false">IF(N315&gt;0,1,0)</f>
        <v>1</v>
      </c>
      <c r="O361" s="118" t="n">
        <f aca="false">IF(O315&gt;0,1,0)</f>
        <v>1</v>
      </c>
      <c r="P361" s="118" t="n">
        <f aca="false">IF(P315&gt;0,1,0)</f>
        <v>1</v>
      </c>
      <c r="Q361" s="118" t="n">
        <f aca="false">IF(Q315&gt;0,1,0)</f>
        <v>1</v>
      </c>
      <c r="R361" s="118" t="n">
        <f aca="false">IF(R315&gt;0,1,0)</f>
        <v>1</v>
      </c>
      <c r="S361" s="118" t="n">
        <f aca="false">IF(S315&gt;0,1,0)</f>
        <v>1</v>
      </c>
      <c r="T361" s="118" t="n">
        <f aca="false">IF(T315&gt;0,1,0)</f>
        <v>1</v>
      </c>
      <c r="U361" s="118" t="n">
        <f aca="false">IF(U315&gt;0,1,0)</f>
        <v>1</v>
      </c>
      <c r="V361" s="118" t="n">
        <f aca="false">IF(V315&gt;0,1,0)</f>
        <v>1</v>
      </c>
      <c r="W361" s="118" t="n">
        <f aca="false">IF(W315&gt;0,1,0)</f>
        <v>1</v>
      </c>
      <c r="X361" s="118" t="n">
        <f aca="false">IF(X315&gt;0,1,0)</f>
        <v>1</v>
      </c>
      <c r="Y361" s="118" t="n">
        <f aca="false">IF(Y315&gt;0,1,0)</f>
        <v>1</v>
      </c>
      <c r="Z361" s="118" t="n">
        <f aca="false">IF(Z315&gt;0,1,0)</f>
        <v>1</v>
      </c>
      <c r="AA361" s="118" t="n">
        <f aca="false">IF(AA315&gt;0,1,0)</f>
        <v>1</v>
      </c>
      <c r="AB361" s="118" t="n">
        <f aca="false">IF(AB315&gt;0,1,0)</f>
        <v>1</v>
      </c>
      <c r="AC361" s="118" t="n">
        <f aca="false">IF(AC315&gt;0,1,0)</f>
        <v>1</v>
      </c>
      <c r="AD361" s="118" t="n">
        <f aca="false">IF(AD315&gt;0,1,0)</f>
        <v>1</v>
      </c>
      <c r="AE361" s="118" t="n">
        <f aca="false">IF(AE315&gt;0,1,0)</f>
        <v>1</v>
      </c>
      <c r="AF361" s="118" t="n">
        <f aca="false">IF(AF315&gt;0,1,0)</f>
        <v>1</v>
      </c>
      <c r="AG361" s="118" t="n">
        <f aca="false">IF(AG315&gt;0,1,0)</f>
        <v>1</v>
      </c>
      <c r="AH361" s="118" t="n">
        <f aca="false">IF(AH315&gt;0,1,0)</f>
        <v>1</v>
      </c>
      <c r="AI361" s="118" t="n">
        <f aca="false">IF(AI315&gt;0,1,0)</f>
        <v>1</v>
      </c>
      <c r="AJ361" s="118" t="n">
        <f aca="false">IF(AJ315&gt;0,1,0)</f>
        <v>1</v>
      </c>
      <c r="AK361" s="118" t="n">
        <f aca="false">IF(AK315&gt;0,1,0)</f>
        <v>1</v>
      </c>
      <c r="AL361" s="118" t="n">
        <f aca="false">IF(AL315&gt;0,1,0)</f>
        <v>1</v>
      </c>
      <c r="AM361" s="118" t="n">
        <f aca="false">IF(AM315&gt;0,1,0)</f>
        <v>1</v>
      </c>
      <c r="AN361" s="118" t="n">
        <f aca="false">IF(AN315&gt;0,1,0)</f>
        <v>1</v>
      </c>
      <c r="AO361" s="118" t="n">
        <f aca="false">IF(AO315&gt;0,1,0)</f>
        <v>1</v>
      </c>
      <c r="AP361" s="118" t="n">
        <f aca="false">IF(AP315&gt;0,1,0)</f>
        <v>1</v>
      </c>
      <c r="AQ361" s="118" t="n">
        <f aca="false">IF(AQ315&gt;0,1,0)</f>
        <v>1</v>
      </c>
      <c r="AR361" s="118" t="n">
        <f aca="false">IF(AR315&gt;0,1,0)</f>
        <v>1</v>
      </c>
      <c r="AS361" s="118" t="n">
        <f aca="false">IF(AS315&gt;0,1,0)</f>
        <v>1</v>
      </c>
      <c r="AT361" s="118" t="n">
        <f aca="false">IF(AT315&gt;0,1,0)</f>
        <v>1</v>
      </c>
      <c r="AU361" s="118" t="n">
        <f aca="false">IF(AU315&gt;0,1,0)</f>
        <v>1</v>
      </c>
      <c r="AV361" s="118" t="n">
        <f aca="false">IF(AV315&gt;0,1,0)</f>
        <v>1</v>
      </c>
      <c r="AW361" s="118" t="n">
        <f aca="false">IF(AW315&gt;0,1,0)</f>
        <v>1</v>
      </c>
      <c r="AX361" s="118" t="n">
        <f aca="false">IF(AX315&gt;0,1,0)</f>
        <v>1</v>
      </c>
      <c r="AY361" s="118" t="n">
        <f aca="false">IF(AY315&gt;0,1,0)</f>
        <v>1</v>
      </c>
      <c r="AZ361" s="118" t="n">
        <f aca="false">IF(AZ315&gt;0,1,0)</f>
        <v>1</v>
      </c>
      <c r="BA361" s="118" t="n">
        <f aca="false">IF(BA315&gt;0,1,0)</f>
        <v>1</v>
      </c>
      <c r="BB361" s="118" t="n">
        <f aca="false">IF(BB315&gt;0,1,0)</f>
        <v>1</v>
      </c>
      <c r="BC361" s="118" t="n">
        <f aca="false">IF(BC315&gt;0,1,0)</f>
        <v>1</v>
      </c>
      <c r="BD361" s="118" t="n">
        <f aca="false">IF(BD315&gt;0,1,0)</f>
        <v>1</v>
      </c>
      <c r="BE361" s="118" t="n">
        <f aca="false">IF(BE315&gt;0,1,0)</f>
        <v>1</v>
      </c>
      <c r="BF361" s="118" t="n">
        <f aca="false">IF(BF315&gt;0,1,0)</f>
        <v>1</v>
      </c>
      <c r="BG361" s="118" t="n">
        <f aca="false">IF(BG315&gt;0,1,0)</f>
        <v>1</v>
      </c>
      <c r="BH361" s="118" t="n">
        <f aca="false">IF(BH315&gt;0,1,0)</f>
        <v>1</v>
      </c>
      <c r="BI361" s="118" t="n">
        <f aca="false">IF(BI315&gt;0,1,0)</f>
        <v>1</v>
      </c>
      <c r="BJ361" s="118" t="n">
        <f aca="false">IF(BJ315&gt;0,1,0)</f>
        <v>1</v>
      </c>
    </row>
    <row r="363" customFormat="false" ht="15.75" hidden="false" customHeight="true" outlineLevel="0" collapsed="false">
      <c r="A363" s="7" t="s">
        <v>463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</row>
    <row r="364" customFormat="false" ht="15" hidden="false" customHeight="false" outlineLevel="0" collapsed="false">
      <c r="A364" s="116" t="s">
        <v>464</v>
      </c>
      <c r="C364" s="118" t="n">
        <f aca="false">IF(C324&gt;0,1,0)</f>
        <v>0</v>
      </c>
      <c r="D364" s="118" t="n">
        <f aca="false">IF(D324&gt;0,1,0)</f>
        <v>0</v>
      </c>
      <c r="E364" s="118" t="n">
        <f aca="false">IF(E324&gt;0,1,0)</f>
        <v>0</v>
      </c>
      <c r="F364" s="118" t="n">
        <f aca="false">IF(F324&gt;0,1,0)</f>
        <v>0</v>
      </c>
      <c r="G364" s="118" t="n">
        <f aca="false">IF(G324&gt;0,1,0)</f>
        <v>0</v>
      </c>
      <c r="H364" s="118" t="n">
        <f aca="false">IF(H324&gt;0,1,0)</f>
        <v>0</v>
      </c>
      <c r="I364" s="118" t="n">
        <f aca="false">IF(I324&gt;0,1,0)</f>
        <v>0</v>
      </c>
      <c r="J364" s="118" t="n">
        <f aca="false">IF(J324&gt;0,1,0)</f>
        <v>1</v>
      </c>
      <c r="K364" s="118" t="n">
        <f aca="false">IF(K324&gt;0,1,0)</f>
        <v>1</v>
      </c>
      <c r="L364" s="118" t="n">
        <f aca="false">IF(L324&gt;0,1,0)</f>
        <v>1</v>
      </c>
      <c r="M364" s="118" t="n">
        <f aca="false">IF(M324&gt;0,1,0)</f>
        <v>1</v>
      </c>
      <c r="N364" s="118" t="n">
        <f aca="false">IF(N324&gt;0,1,0)</f>
        <v>1</v>
      </c>
      <c r="O364" s="118" t="n">
        <f aca="false">IF(O324&gt;0,1,0)</f>
        <v>1</v>
      </c>
      <c r="P364" s="118" t="n">
        <f aca="false">IF(P324&gt;0,1,0)</f>
        <v>1</v>
      </c>
      <c r="Q364" s="118" t="n">
        <f aca="false">IF(Q324&gt;0,1,0)</f>
        <v>1</v>
      </c>
      <c r="R364" s="118" t="n">
        <f aca="false">IF(R324&gt;0,1,0)</f>
        <v>1</v>
      </c>
      <c r="S364" s="118" t="n">
        <f aca="false">IF(S324&gt;0,1,0)</f>
        <v>1</v>
      </c>
      <c r="T364" s="118" t="n">
        <f aca="false">IF(T324&gt;0,1,0)</f>
        <v>1</v>
      </c>
      <c r="U364" s="118" t="n">
        <f aca="false">IF(U324&gt;0,1,0)</f>
        <v>1</v>
      </c>
      <c r="V364" s="118" t="n">
        <f aca="false">IF(V324&gt;0,1,0)</f>
        <v>1</v>
      </c>
      <c r="W364" s="118" t="n">
        <f aca="false">IF(W324&gt;0,1,0)</f>
        <v>1</v>
      </c>
      <c r="X364" s="118" t="n">
        <f aca="false">IF(X324&gt;0,1,0)</f>
        <v>1</v>
      </c>
      <c r="Y364" s="118" t="n">
        <f aca="false">IF(Y324&gt;0,1,0)</f>
        <v>1</v>
      </c>
      <c r="Z364" s="118" t="n">
        <f aca="false">IF(Z324&gt;0,1,0)</f>
        <v>1</v>
      </c>
      <c r="AA364" s="118" t="n">
        <f aca="false">IF(AA324&gt;0,1,0)</f>
        <v>1</v>
      </c>
      <c r="AB364" s="118" t="n">
        <f aca="false">IF(AB324&gt;0,1,0)</f>
        <v>1</v>
      </c>
      <c r="AC364" s="118" t="n">
        <f aca="false">IF(AC324&gt;0,1,0)</f>
        <v>1</v>
      </c>
      <c r="AD364" s="118" t="n">
        <f aca="false">IF(AD324&gt;0,1,0)</f>
        <v>1</v>
      </c>
      <c r="AE364" s="118" t="n">
        <f aca="false">IF(AE324&gt;0,1,0)</f>
        <v>1</v>
      </c>
      <c r="AF364" s="118" t="n">
        <f aca="false">IF(AF324&gt;0,1,0)</f>
        <v>1</v>
      </c>
      <c r="AG364" s="118" t="n">
        <f aca="false">IF(AG324&gt;0,1,0)</f>
        <v>1</v>
      </c>
      <c r="AH364" s="118" t="n">
        <f aca="false">IF(AH324&gt;0,1,0)</f>
        <v>1</v>
      </c>
      <c r="AI364" s="118" t="n">
        <f aca="false">IF(AI324&gt;0,1,0)</f>
        <v>1</v>
      </c>
      <c r="AJ364" s="118" t="n">
        <f aca="false">IF(AJ324&gt;0,1,0)</f>
        <v>1</v>
      </c>
      <c r="AK364" s="118" t="n">
        <f aca="false">IF(AK324&gt;0,1,0)</f>
        <v>1</v>
      </c>
      <c r="AL364" s="118" t="n">
        <f aca="false">IF(AL324&gt;0,1,0)</f>
        <v>1</v>
      </c>
      <c r="AM364" s="118" t="n">
        <f aca="false">IF(AM324&gt;0,1,0)</f>
        <v>1</v>
      </c>
      <c r="AN364" s="118" t="n">
        <f aca="false">IF(AN324&gt;0,1,0)</f>
        <v>1</v>
      </c>
      <c r="AO364" s="118" t="n">
        <f aca="false">IF(AO324&gt;0,1,0)</f>
        <v>1</v>
      </c>
      <c r="AP364" s="118" t="n">
        <f aca="false">IF(AP324&gt;0,1,0)</f>
        <v>1</v>
      </c>
      <c r="AQ364" s="118" t="n">
        <f aca="false">IF(AQ324&gt;0,1,0)</f>
        <v>1</v>
      </c>
      <c r="AR364" s="118" t="n">
        <f aca="false">IF(AR324&gt;0,1,0)</f>
        <v>1</v>
      </c>
      <c r="AS364" s="118" t="n">
        <f aca="false">IF(AS324&gt;0,1,0)</f>
        <v>1</v>
      </c>
      <c r="AT364" s="118" t="n">
        <f aca="false">IF(AT324&gt;0,1,0)</f>
        <v>1</v>
      </c>
      <c r="AU364" s="118" t="n">
        <f aca="false">IF(AU324&gt;0,1,0)</f>
        <v>1</v>
      </c>
      <c r="AV364" s="118" t="n">
        <f aca="false">IF(AV324&gt;0,1,0)</f>
        <v>1</v>
      </c>
      <c r="AW364" s="118" t="n">
        <f aca="false">IF(AW324&gt;0,1,0)</f>
        <v>1</v>
      </c>
      <c r="AX364" s="118" t="n">
        <f aca="false">IF(AX324&gt;0,1,0)</f>
        <v>1</v>
      </c>
      <c r="AY364" s="118" t="n">
        <f aca="false">IF(AY324&gt;0,1,0)</f>
        <v>1</v>
      </c>
      <c r="AZ364" s="118" t="n">
        <f aca="false">IF(AZ324&gt;0,1,0)</f>
        <v>1</v>
      </c>
      <c r="BA364" s="118" t="n">
        <f aca="false">IF(BA324&gt;0,1,0)</f>
        <v>1</v>
      </c>
      <c r="BB364" s="118" t="n">
        <f aca="false">IF(BB324&gt;0,1,0)</f>
        <v>1</v>
      </c>
      <c r="BC364" s="118" t="n">
        <f aca="false">IF(BC324&gt;0,1,0)</f>
        <v>1</v>
      </c>
      <c r="BD364" s="118" t="n">
        <f aca="false">IF(BD324&gt;0,1,0)</f>
        <v>1</v>
      </c>
      <c r="BE364" s="118" t="n">
        <f aca="false">IF(BE324&gt;0,1,0)</f>
        <v>1</v>
      </c>
      <c r="BF364" s="118" t="n">
        <f aca="false">IF(BF324&gt;0,1,0)</f>
        <v>1</v>
      </c>
      <c r="BG364" s="118" t="n">
        <f aca="false">IF(BG324&gt;0,1,0)</f>
        <v>1</v>
      </c>
      <c r="BH364" s="118" t="n">
        <f aca="false">IF(BH324&gt;0,1,0)</f>
        <v>1</v>
      </c>
      <c r="BI364" s="118" t="n">
        <f aca="false">IF(BI324&gt;0,1,0)</f>
        <v>1</v>
      </c>
      <c r="BJ364" s="118" t="n">
        <f aca="false">IF(BJ324&gt;0,1,0)</f>
        <v>1</v>
      </c>
    </row>
    <row r="365" customFormat="false" ht="15" hidden="false" customHeight="false" outlineLevel="0" collapsed="false">
      <c r="A365" s="6" t="s">
        <v>465</v>
      </c>
      <c r="C365" s="69" t="n">
        <f aca="false">C354+C355</f>
        <v>-4147457.97857742</v>
      </c>
      <c r="D365" s="69" t="n">
        <f aca="false">D354+D355</f>
        <v>-37754.9783223577</v>
      </c>
      <c r="E365" s="69" t="n">
        <f aca="false">E354+E355</f>
        <v>-18698.2711141006</v>
      </c>
      <c r="F365" s="69" t="n">
        <f aca="false">F354+F355</f>
        <v>-8218.98916635963</v>
      </c>
      <c r="G365" s="69" t="n">
        <f aca="false">G354+G355</f>
        <v>2429.95266011941</v>
      </c>
      <c r="H365" s="69" t="n">
        <f aca="false">H354+H355</f>
        <v>13281.7695981321</v>
      </c>
      <c r="I365" s="69" t="n">
        <f aca="false">I354+I355</f>
        <v>24329.9696441093</v>
      </c>
      <c r="J365" s="69" t="n">
        <f aca="false">J354+J355</f>
        <v>35568.2685385962</v>
      </c>
      <c r="K365" s="69" t="n">
        <f aca="false">K354+K355</f>
        <v>39462.1930609061</v>
      </c>
      <c r="L365" s="69" t="n">
        <f aca="false">L354+L355</f>
        <v>43112.7064011793</v>
      </c>
      <c r="M365" s="69" t="n">
        <f aca="false">M354+M355</f>
        <v>46652.0699812305</v>
      </c>
      <c r="N365" s="69" t="n">
        <f aca="false">N354+N355</f>
        <v>35595.6022852959</v>
      </c>
      <c r="O365" s="69" t="n">
        <f aca="false">O354+O355</f>
        <v>8444.78896473697</v>
      </c>
      <c r="P365" s="69" t="n">
        <f aca="false">P354+P355</f>
        <v>52029.9810879254</v>
      </c>
      <c r="Q365" s="69" t="n">
        <f aca="false">Q354+Q355</f>
        <v>71062.3513391285</v>
      </c>
      <c r="R365" s="69" t="n">
        <f aca="false">R354+R355</f>
        <v>74400.6701642125</v>
      </c>
      <c r="S365" s="69" t="n">
        <f aca="false">S354+S355</f>
        <v>77788.8049433718</v>
      </c>
      <c r="T365" s="69" t="n">
        <f aca="false">T354+T355</f>
        <v>76623.4496405659</v>
      </c>
      <c r="U365" s="69" t="n">
        <f aca="false">U354+U355</f>
        <v>72602.5531069363</v>
      </c>
      <c r="V365" s="69" t="n">
        <f aca="false">V354+V355</f>
        <v>75043.3768248015</v>
      </c>
      <c r="W365" s="69" t="n">
        <f aca="false">W354+W355</f>
        <v>77410.5708503617</v>
      </c>
      <c r="X365" s="69" t="n">
        <f aca="false">X354+X355</f>
        <v>79706.4913337706</v>
      </c>
      <c r="Y365" s="69" t="n">
        <f aca="false">Y354+Y355</f>
        <v>81933.4190283772</v>
      </c>
      <c r="Z365" s="69" t="n">
        <f aca="false">Z354+Z355</f>
        <v>71785.5160978891</v>
      </c>
      <c r="AA365" s="69" t="n">
        <f aca="false">AA354+AA355</f>
        <v>43088.3228348428</v>
      </c>
      <c r="AB365" s="69" t="n">
        <f aca="false">AB354+AB355</f>
        <v>85467.1560594846</v>
      </c>
      <c r="AC365" s="69" t="n">
        <f aca="false">AC354+AC355</f>
        <v>100965.828884315</v>
      </c>
      <c r="AD365" s="69" t="n">
        <f aca="false">AD354+AD355</f>
        <v>102837.277290935</v>
      </c>
      <c r="AE365" s="69" t="n">
        <f aca="false">AE354+AE355</f>
        <v>105063.340023939</v>
      </c>
      <c r="AF365" s="69" t="n">
        <f aca="false">AF354+AF355</f>
        <v>107222.645416153</v>
      </c>
      <c r="AG365" s="69" t="n">
        <f aca="false">AG354+AG355</f>
        <v>109317.329702483</v>
      </c>
      <c r="AH365" s="69" t="n">
        <f aca="false">AH354+AH355</f>
        <v>111349.460758317</v>
      </c>
      <c r="AI365" s="69" t="n">
        <f aca="false">AI354+AI355</f>
        <v>113321.040287031</v>
      </c>
      <c r="AJ365" s="69" t="n">
        <f aca="false">AJ354+AJ355</f>
        <v>115234.005937493</v>
      </c>
      <c r="AK365" s="69" t="n">
        <f aca="false">AK354+AK355</f>
        <v>117090.233353807</v>
      </c>
      <c r="AL365" s="69" t="n">
        <f aca="false">AL354+AL355</f>
        <v>105606.911953676</v>
      </c>
      <c r="AM365" s="69" t="n">
        <f aca="false">AM354+AM355</f>
        <v>78102.6154884334</v>
      </c>
      <c r="AN365" s="69" t="n">
        <f aca="false">AN354+AN355</f>
        <v>120174.218031685</v>
      </c>
      <c r="AO365" s="69" t="n">
        <f aca="false">AO354+AO355</f>
        <v>136427.713267275</v>
      </c>
      <c r="AP365" s="69" t="n">
        <f aca="false">AP354+AP355</f>
        <v>137792.867659006</v>
      </c>
      <c r="AQ365" s="69" t="n">
        <f aca="false">AQ354+AQ355</f>
        <v>139740.412816035</v>
      </c>
      <c r="AR365" s="69" t="n">
        <f aca="false">AR354+AR355</f>
        <v>141630.113194706</v>
      </c>
      <c r="AS365" s="69" t="n">
        <f aca="false">AS354+AS355</f>
        <v>143463.819827926</v>
      </c>
      <c r="AT365" s="69" t="n">
        <f aca="false">AT354+AT355</f>
        <v>145243.32451555</v>
      </c>
      <c r="AU365" s="69" t="n">
        <f aca="false">AU354+AU355</f>
        <v>146970.361719836</v>
      </c>
      <c r="AV365" s="69" t="n">
        <f aca="false">AV354+AV355</f>
        <v>148646.610400252</v>
      </c>
      <c r="AW365" s="69" t="n">
        <f aca="false">AW354+AW355</f>
        <v>150273.695789561</v>
      </c>
      <c r="AX365" s="69" t="n">
        <f aca="false">AX354+AX355</f>
        <v>137458.99056372</v>
      </c>
      <c r="AY365" s="69" t="n">
        <f aca="false">AY354+AY355</f>
        <v>111247.937657252</v>
      </c>
      <c r="AZ365" s="69" t="n">
        <f aca="false">AZ354+AZ355</f>
        <v>153149.613908439</v>
      </c>
      <c r="BA365" s="69" t="n">
        <f aca="false">BA354+BA355</f>
        <v>170430.354585217</v>
      </c>
      <c r="BB365" s="69" t="n">
        <f aca="false">BB354+BB355</f>
        <v>170959.307047453</v>
      </c>
      <c r="BC365" s="69" t="n">
        <f aca="false">BC354+BC355</f>
        <v>171861.71142706</v>
      </c>
      <c r="BD365" s="69" t="n">
        <f aca="false">BD354+BD355</f>
        <v>172780.915546869</v>
      </c>
      <c r="BE365" s="69" t="n">
        <f aca="false">BE354+BE355</f>
        <v>173689.946432083</v>
      </c>
      <c r="BF365" s="69" t="n">
        <f aca="false">BF354+BF355</f>
        <v>174587.906983599</v>
      </c>
      <c r="BG365" s="69" t="n">
        <f aca="false">BG354+BG355</f>
        <v>175474.040357283</v>
      </c>
      <c r="BH365" s="69" t="n">
        <f aca="false">BH354+BH355</f>
        <v>176347.714127905</v>
      </c>
      <c r="BI365" s="69" t="n">
        <f aca="false">BI354+BI355</f>
        <v>177208.406251803</v>
      </c>
      <c r="BJ365" s="69" t="n">
        <f aca="false">BJ354+BJ355</f>
        <v>169150.258944575</v>
      </c>
    </row>
    <row r="366" customFormat="false" ht="15" hidden="false" customHeight="false" outlineLevel="0" collapsed="false">
      <c r="A366" s="6" t="s">
        <v>466</v>
      </c>
      <c r="C366" s="69" t="n">
        <f aca="false">C365</f>
        <v>-4147457.97857742</v>
      </c>
      <c r="D366" s="69" t="n">
        <f aca="false">C366+D365</f>
        <v>-4185212.95689978</v>
      </c>
      <c r="E366" s="69" t="n">
        <f aca="false">D366+E365</f>
        <v>-4203911.22801388</v>
      </c>
      <c r="F366" s="69" t="n">
        <f aca="false">E366+F365</f>
        <v>-4212130.21718024</v>
      </c>
      <c r="G366" s="69" t="n">
        <f aca="false">F366+G365</f>
        <v>-4209700.26452012</v>
      </c>
      <c r="H366" s="69" t="n">
        <f aca="false">G366+H365</f>
        <v>-4196418.49492199</v>
      </c>
      <c r="I366" s="69" t="n">
        <f aca="false">H366+I365</f>
        <v>-4172088.52527788</v>
      </c>
      <c r="J366" s="69" t="n">
        <f aca="false">I366+J365</f>
        <v>-4136520.25673928</v>
      </c>
      <c r="K366" s="69" t="n">
        <f aca="false">J366+K365</f>
        <v>-4097058.06367837</v>
      </c>
      <c r="L366" s="69" t="n">
        <f aca="false">K366+L365</f>
        <v>-4053945.35727719</v>
      </c>
      <c r="M366" s="69" t="n">
        <f aca="false">L366+M365</f>
        <v>-4007293.28729596</v>
      </c>
      <c r="N366" s="69" t="n">
        <f aca="false">M366+N365</f>
        <v>-3971697.68501067</v>
      </c>
      <c r="O366" s="69" t="n">
        <f aca="false">N366+O365</f>
        <v>-3963252.89604593</v>
      </c>
      <c r="P366" s="69" t="n">
        <f aca="false">O366+P365</f>
        <v>-3911222.91495801</v>
      </c>
      <c r="Q366" s="69" t="n">
        <f aca="false">P366+Q365</f>
        <v>-3840160.56361888</v>
      </c>
      <c r="R366" s="69" t="n">
        <f aca="false">Q366+R365</f>
        <v>-3765759.89345467</v>
      </c>
      <c r="S366" s="69" t="n">
        <f aca="false">R366+S365</f>
        <v>-3687971.08851129</v>
      </c>
      <c r="T366" s="69" t="n">
        <f aca="false">S366+T365</f>
        <v>-3611347.63887073</v>
      </c>
      <c r="U366" s="69" t="n">
        <f aca="false">T366+U365</f>
        <v>-3538745.08576379</v>
      </c>
      <c r="V366" s="69" t="n">
        <f aca="false">U366+V365</f>
        <v>-3463701.70893899</v>
      </c>
      <c r="W366" s="69" t="n">
        <f aca="false">V366+W365</f>
        <v>-3386291.13808863</v>
      </c>
      <c r="X366" s="69" t="n">
        <f aca="false">W366+X365</f>
        <v>-3306584.64675486</v>
      </c>
      <c r="Y366" s="69" t="n">
        <f aca="false">X366+Y365</f>
        <v>-3224651.22772648</v>
      </c>
      <c r="Z366" s="69" t="n">
        <f aca="false">Y366+Z365</f>
        <v>-3152865.71162859</v>
      </c>
      <c r="AA366" s="69" t="n">
        <f aca="false">Z366+AA365</f>
        <v>-3109777.38879375</v>
      </c>
      <c r="AB366" s="69" t="n">
        <f aca="false">AA366+AB365</f>
        <v>-3024310.23273426</v>
      </c>
      <c r="AC366" s="69" t="n">
        <f aca="false">AB366+AC365</f>
        <v>-2923344.40384995</v>
      </c>
      <c r="AD366" s="69" t="n">
        <f aca="false">AC366+AD365</f>
        <v>-2820507.12655901</v>
      </c>
      <c r="AE366" s="69" t="n">
        <f aca="false">AD366+AE365</f>
        <v>-2715443.78653508</v>
      </c>
      <c r="AF366" s="69" t="n">
        <f aca="false">AE366+AF365</f>
        <v>-2608221.14111892</v>
      </c>
      <c r="AG366" s="69" t="n">
        <f aca="false">AF366+AG365</f>
        <v>-2498903.81141644</v>
      </c>
      <c r="AH366" s="69" t="n">
        <f aca="false">AG366+AH365</f>
        <v>-2387554.35065812</v>
      </c>
      <c r="AI366" s="69" t="n">
        <f aca="false">AH366+AI365</f>
        <v>-2274233.31037109</v>
      </c>
      <c r="AJ366" s="69" t="n">
        <f aca="false">AI366+AJ365</f>
        <v>-2158999.3044336</v>
      </c>
      <c r="AK366" s="69" t="n">
        <f aca="false">AJ366+AK365</f>
        <v>-2041909.07107979</v>
      </c>
      <c r="AL366" s="69" t="n">
        <f aca="false">AK366+AL365</f>
        <v>-1936302.15912612</v>
      </c>
      <c r="AM366" s="69" t="n">
        <f aca="false">AL366+AM365</f>
        <v>-1858199.54363768</v>
      </c>
      <c r="AN366" s="69" t="n">
        <f aca="false">AM366+AN365</f>
        <v>-1738025.325606</v>
      </c>
      <c r="AO366" s="69" t="n">
        <f aca="false">AN366+AO365</f>
        <v>-1601597.61233872</v>
      </c>
      <c r="AP366" s="69" t="n">
        <f aca="false">AO366+AP365</f>
        <v>-1463804.74467972</v>
      </c>
      <c r="AQ366" s="69" t="n">
        <f aca="false">AP366+AQ365</f>
        <v>-1324064.33186368</v>
      </c>
      <c r="AR366" s="69" t="n">
        <f aca="false">AQ366+AR365</f>
        <v>-1182434.21866897</v>
      </c>
      <c r="AS366" s="69" t="n">
        <f aca="false">AR366+AS365</f>
        <v>-1038970.39884105</v>
      </c>
      <c r="AT366" s="69" t="n">
        <f aca="false">AS366+AT365</f>
        <v>-893727.074325498</v>
      </c>
      <c r="AU366" s="69" t="n">
        <f aca="false">AT366+AU365</f>
        <v>-746756.712605662</v>
      </c>
      <c r="AV366" s="69" t="n">
        <f aca="false">AU366+AV365</f>
        <v>-598110.10220541</v>
      </c>
      <c r="AW366" s="69" t="n">
        <f aca="false">AV366+AW365</f>
        <v>-447836.406415849</v>
      </c>
      <c r="AX366" s="69" t="n">
        <f aca="false">AW366+AX365</f>
        <v>-310377.415852129</v>
      </c>
      <c r="AY366" s="69" t="n">
        <f aca="false">AX366+AY365</f>
        <v>-199129.478194877</v>
      </c>
      <c r="AZ366" s="69" t="n">
        <f aca="false">AY366+AZ365</f>
        <v>-45979.8642864385</v>
      </c>
      <c r="BA366" s="69" t="n">
        <f aca="false">AZ366+BA365</f>
        <v>124450.490298778</v>
      </c>
      <c r="BB366" s="69" t="n">
        <f aca="false">BA366+BB365</f>
        <v>295409.797346232</v>
      </c>
      <c r="BC366" s="69" t="n">
        <f aca="false">BB366+BC365</f>
        <v>467271.508773292</v>
      </c>
      <c r="BD366" s="69" t="n">
        <f aca="false">BC366+BD365</f>
        <v>640052.424320161</v>
      </c>
      <c r="BE366" s="69" t="n">
        <f aca="false">BD366+BE365</f>
        <v>813742.370752245</v>
      </c>
      <c r="BF366" s="69" t="n">
        <f aca="false">BE366+BF365</f>
        <v>988330.277735844</v>
      </c>
      <c r="BG366" s="69" t="n">
        <f aca="false">BF366+BG365</f>
        <v>1163804.31809313</v>
      </c>
      <c r="BH366" s="69" t="n">
        <f aca="false">BG366+BH365</f>
        <v>1340152.03222103</v>
      </c>
      <c r="BI366" s="69" t="n">
        <f aca="false">BH366+BI365</f>
        <v>1517360.43847283</v>
      </c>
      <c r="BJ366" s="69" t="n">
        <f aca="false">BI366+BJ365</f>
        <v>1686510.69741741</v>
      </c>
    </row>
    <row r="367" customFormat="false" ht="15" hidden="false" customHeight="false" outlineLevel="0" collapsed="false">
      <c r="A367" s="116" t="s">
        <v>467</v>
      </c>
      <c r="C367" s="69" t="n">
        <f aca="false">C366</f>
        <v>-4147457.97857742</v>
      </c>
      <c r="D367" s="69" t="n">
        <f aca="false">MIN(C367,D366)</f>
        <v>-4185212.95689978</v>
      </c>
      <c r="E367" s="69" t="n">
        <f aca="false">MIN(D367,E366)</f>
        <v>-4203911.22801388</v>
      </c>
      <c r="F367" s="69" t="n">
        <f aca="false">MIN(E367,F366)</f>
        <v>-4212130.21718024</v>
      </c>
      <c r="G367" s="69" t="n">
        <f aca="false">MIN(F367,G366)</f>
        <v>-4212130.21718024</v>
      </c>
      <c r="H367" s="69" t="n">
        <f aca="false">MIN(G367,H366)</f>
        <v>-4212130.21718024</v>
      </c>
      <c r="I367" s="69" t="n">
        <f aca="false">MIN(H367,I366)</f>
        <v>-4212130.21718024</v>
      </c>
      <c r="J367" s="69" t="n">
        <f aca="false">MIN(I367,J366)</f>
        <v>-4212130.21718024</v>
      </c>
      <c r="K367" s="69" t="n">
        <f aca="false">MIN(J367,K366)</f>
        <v>-4212130.21718024</v>
      </c>
      <c r="L367" s="69" t="n">
        <f aca="false">MIN(K367,L366)</f>
        <v>-4212130.21718024</v>
      </c>
      <c r="M367" s="69" t="n">
        <f aca="false">MIN(L367,M366)</f>
        <v>-4212130.21718024</v>
      </c>
      <c r="N367" s="69" t="n">
        <f aca="false">MIN(M367,N366)</f>
        <v>-4212130.21718024</v>
      </c>
      <c r="O367" s="69" t="n">
        <f aca="false">MIN(N367,O366)</f>
        <v>-4212130.21718024</v>
      </c>
      <c r="P367" s="69" t="n">
        <f aca="false">MIN(O367,P366)</f>
        <v>-4212130.21718024</v>
      </c>
      <c r="Q367" s="69" t="n">
        <f aca="false">MIN(P367,Q366)</f>
        <v>-4212130.21718024</v>
      </c>
      <c r="R367" s="69" t="n">
        <f aca="false">MIN(Q367,R366)</f>
        <v>-4212130.21718024</v>
      </c>
      <c r="S367" s="69" t="n">
        <f aca="false">MIN(R367,S366)</f>
        <v>-4212130.21718024</v>
      </c>
      <c r="T367" s="69" t="n">
        <f aca="false">MIN(S367,T366)</f>
        <v>-4212130.21718024</v>
      </c>
      <c r="U367" s="69" t="n">
        <f aca="false">MIN(T367,U366)</f>
        <v>-4212130.21718024</v>
      </c>
      <c r="V367" s="69" t="n">
        <f aca="false">MIN(U367,V366)</f>
        <v>-4212130.21718024</v>
      </c>
      <c r="W367" s="69" t="n">
        <f aca="false">MIN(V367,W366)</f>
        <v>-4212130.21718024</v>
      </c>
      <c r="X367" s="69" t="n">
        <f aca="false">MIN(W367,X366)</f>
        <v>-4212130.21718024</v>
      </c>
      <c r="Y367" s="69" t="n">
        <f aca="false">MIN(X367,Y366)</f>
        <v>-4212130.21718024</v>
      </c>
      <c r="Z367" s="69" t="n">
        <f aca="false">MIN(Y367,Z366)</f>
        <v>-4212130.21718024</v>
      </c>
      <c r="AA367" s="69" t="n">
        <f aca="false">MIN(Z367,AA366)</f>
        <v>-4212130.21718024</v>
      </c>
      <c r="AB367" s="69" t="n">
        <f aca="false">MIN(AA367,AB366)</f>
        <v>-4212130.21718024</v>
      </c>
      <c r="AC367" s="69" t="n">
        <f aca="false">MIN(AB367,AC366)</f>
        <v>-4212130.21718024</v>
      </c>
      <c r="AD367" s="69" t="n">
        <f aca="false">MIN(AC367,AD366)</f>
        <v>-4212130.21718024</v>
      </c>
      <c r="AE367" s="69" t="n">
        <f aca="false">MIN(AD367,AE366)</f>
        <v>-4212130.21718024</v>
      </c>
      <c r="AF367" s="69" t="n">
        <f aca="false">MIN(AE367,AF366)</f>
        <v>-4212130.21718024</v>
      </c>
      <c r="AG367" s="69" t="n">
        <f aca="false">MIN(AF367,AG366)</f>
        <v>-4212130.21718024</v>
      </c>
      <c r="AH367" s="69" t="n">
        <f aca="false">MIN(AG367,AH366)</f>
        <v>-4212130.21718024</v>
      </c>
      <c r="AI367" s="69" t="n">
        <f aca="false">MIN(AH367,AI366)</f>
        <v>-4212130.21718024</v>
      </c>
      <c r="AJ367" s="69" t="n">
        <f aca="false">MIN(AI367,AJ366)</f>
        <v>-4212130.21718024</v>
      </c>
      <c r="AK367" s="69" t="n">
        <f aca="false">MIN(AJ367,AK366)</f>
        <v>-4212130.21718024</v>
      </c>
      <c r="AL367" s="69" t="n">
        <f aca="false">MIN(AK367,AL366)</f>
        <v>-4212130.21718024</v>
      </c>
      <c r="AM367" s="69" t="n">
        <f aca="false">MIN(AL367,AM366)</f>
        <v>-4212130.21718024</v>
      </c>
      <c r="AN367" s="69" t="n">
        <f aca="false">MIN(AM367,AN366)</f>
        <v>-4212130.21718024</v>
      </c>
      <c r="AO367" s="69" t="n">
        <f aca="false">MIN(AN367,AO366)</f>
        <v>-4212130.21718024</v>
      </c>
      <c r="AP367" s="69" t="n">
        <f aca="false">MIN(AO367,AP366)</f>
        <v>-4212130.21718024</v>
      </c>
      <c r="AQ367" s="69" t="n">
        <f aca="false">MIN(AP367,AQ366)</f>
        <v>-4212130.21718024</v>
      </c>
      <c r="AR367" s="69" t="n">
        <f aca="false">MIN(AQ367,AR366)</f>
        <v>-4212130.21718024</v>
      </c>
      <c r="AS367" s="69" t="n">
        <f aca="false">MIN(AR367,AS366)</f>
        <v>-4212130.21718024</v>
      </c>
      <c r="AT367" s="69" t="n">
        <f aca="false">MIN(AS367,AT366)</f>
        <v>-4212130.21718024</v>
      </c>
      <c r="AU367" s="69" t="n">
        <f aca="false">MIN(AT367,AU366)</f>
        <v>-4212130.21718024</v>
      </c>
      <c r="AV367" s="69" t="n">
        <f aca="false">MIN(AU367,AV366)</f>
        <v>-4212130.21718024</v>
      </c>
      <c r="AW367" s="69" t="n">
        <f aca="false">MIN(AV367,AW366)</f>
        <v>-4212130.21718024</v>
      </c>
      <c r="AX367" s="69" t="n">
        <f aca="false">MIN(AW367,AX366)</f>
        <v>-4212130.21718024</v>
      </c>
      <c r="AY367" s="69" t="n">
        <f aca="false">MIN(AX367,AY366)</f>
        <v>-4212130.21718024</v>
      </c>
      <c r="AZ367" s="69" t="n">
        <f aca="false">MIN(AY367,AZ366)</f>
        <v>-4212130.21718024</v>
      </c>
      <c r="BA367" s="69" t="n">
        <f aca="false">MIN(AZ367,BA366)</f>
        <v>-4212130.21718024</v>
      </c>
      <c r="BB367" s="69" t="n">
        <f aca="false">MIN(BA367,BB366)</f>
        <v>-4212130.21718024</v>
      </c>
      <c r="BC367" s="69" t="n">
        <f aca="false">MIN(BB367,BC366)</f>
        <v>-4212130.21718024</v>
      </c>
      <c r="BD367" s="69" t="n">
        <f aca="false">MIN(BC367,BD366)</f>
        <v>-4212130.21718024</v>
      </c>
      <c r="BE367" s="69" t="n">
        <f aca="false">MIN(BD367,BE366)</f>
        <v>-4212130.21718024</v>
      </c>
      <c r="BF367" s="69" t="n">
        <f aca="false">MIN(BE367,BF366)</f>
        <v>-4212130.21718024</v>
      </c>
      <c r="BG367" s="69" t="n">
        <f aca="false">MIN(BF367,BG366)</f>
        <v>-4212130.21718024</v>
      </c>
      <c r="BH367" s="69" t="n">
        <f aca="false">MIN(BG367,BH366)</f>
        <v>-4212130.21718024</v>
      </c>
      <c r="BI367" s="69" t="n">
        <f aca="false">MIN(BH367,BI366)</f>
        <v>-4212130.21718024</v>
      </c>
      <c r="BJ367" s="69" t="n">
        <f aca="false">MIN(BI367,BJ366)</f>
        <v>-4212130.21718024</v>
      </c>
    </row>
    <row r="368" customFormat="false" ht="15" hidden="false" customHeight="false" outlineLevel="0" collapsed="false">
      <c r="A368" s="116" t="s">
        <v>468</v>
      </c>
      <c r="C368" s="118" t="n">
        <f aca="false">IF(AND(C366&gt;=0,C367&lt;0),1,0)</f>
        <v>0</v>
      </c>
      <c r="D368" s="118" t="n">
        <f aca="false">IF(AND(D366&gt;=0,D367&lt;0),1,0)</f>
        <v>0</v>
      </c>
      <c r="E368" s="118" t="n">
        <f aca="false">IF(AND(E366&gt;=0,E367&lt;0),1,0)</f>
        <v>0</v>
      </c>
      <c r="F368" s="118" t="n">
        <f aca="false">IF(AND(F366&gt;=0,F367&lt;0),1,0)</f>
        <v>0</v>
      </c>
      <c r="G368" s="118" t="n">
        <f aca="false">IF(AND(G366&gt;=0,G367&lt;0),1,0)</f>
        <v>0</v>
      </c>
      <c r="H368" s="118" t="n">
        <f aca="false">IF(AND(H366&gt;=0,H367&lt;0),1,0)</f>
        <v>0</v>
      </c>
      <c r="I368" s="118" t="n">
        <f aca="false">IF(AND(I366&gt;=0,I367&lt;0),1,0)</f>
        <v>0</v>
      </c>
      <c r="J368" s="118" t="n">
        <f aca="false">IF(AND(J366&gt;=0,J367&lt;0),1,0)</f>
        <v>0</v>
      </c>
      <c r="K368" s="118" t="n">
        <f aca="false">IF(AND(K366&gt;=0,K367&lt;0),1,0)</f>
        <v>0</v>
      </c>
      <c r="L368" s="118" t="n">
        <f aca="false">IF(AND(L366&gt;=0,L367&lt;0),1,0)</f>
        <v>0</v>
      </c>
      <c r="M368" s="118" t="n">
        <f aca="false">IF(AND(M366&gt;=0,M367&lt;0),1,0)</f>
        <v>0</v>
      </c>
      <c r="N368" s="118" t="n">
        <f aca="false">IF(AND(N366&gt;=0,N367&lt;0),1,0)</f>
        <v>0</v>
      </c>
      <c r="O368" s="118" t="n">
        <f aca="false">IF(AND(O366&gt;=0,O367&lt;0),1,0)</f>
        <v>0</v>
      </c>
      <c r="P368" s="118" t="n">
        <f aca="false">IF(AND(P366&gt;=0,P367&lt;0),1,0)</f>
        <v>0</v>
      </c>
      <c r="Q368" s="118" t="n">
        <f aca="false">IF(AND(Q366&gt;=0,Q367&lt;0),1,0)</f>
        <v>0</v>
      </c>
      <c r="R368" s="118" t="n">
        <f aca="false">IF(AND(R366&gt;=0,R367&lt;0),1,0)</f>
        <v>0</v>
      </c>
      <c r="S368" s="118" t="n">
        <f aca="false">IF(AND(S366&gt;=0,S367&lt;0),1,0)</f>
        <v>0</v>
      </c>
      <c r="T368" s="118" t="n">
        <f aca="false">IF(AND(T366&gt;=0,T367&lt;0),1,0)</f>
        <v>0</v>
      </c>
      <c r="U368" s="118" t="n">
        <f aca="false">IF(AND(U366&gt;=0,U367&lt;0),1,0)</f>
        <v>0</v>
      </c>
      <c r="V368" s="118" t="n">
        <f aca="false">IF(AND(V366&gt;=0,V367&lt;0),1,0)</f>
        <v>0</v>
      </c>
      <c r="W368" s="118" t="n">
        <f aca="false">IF(AND(W366&gt;=0,W367&lt;0),1,0)</f>
        <v>0</v>
      </c>
      <c r="X368" s="118" t="n">
        <f aca="false">IF(AND(X366&gt;=0,X367&lt;0),1,0)</f>
        <v>0</v>
      </c>
      <c r="Y368" s="118" t="n">
        <f aca="false">IF(AND(Y366&gt;=0,Y367&lt;0),1,0)</f>
        <v>0</v>
      </c>
      <c r="Z368" s="118" t="n">
        <f aca="false">IF(AND(Z366&gt;=0,Z367&lt;0),1,0)</f>
        <v>0</v>
      </c>
      <c r="AA368" s="118" t="n">
        <f aca="false">IF(AND(AA366&gt;=0,AA367&lt;0),1,0)</f>
        <v>0</v>
      </c>
      <c r="AB368" s="118" t="n">
        <f aca="false">IF(AND(AB366&gt;=0,AB367&lt;0),1,0)</f>
        <v>0</v>
      </c>
      <c r="AC368" s="118" t="n">
        <f aca="false">IF(AND(AC366&gt;=0,AC367&lt;0),1,0)</f>
        <v>0</v>
      </c>
      <c r="AD368" s="118" t="n">
        <f aca="false">IF(AND(AD366&gt;=0,AD367&lt;0),1,0)</f>
        <v>0</v>
      </c>
      <c r="AE368" s="118" t="n">
        <f aca="false">IF(AND(AE366&gt;=0,AE367&lt;0),1,0)</f>
        <v>0</v>
      </c>
      <c r="AF368" s="118" t="n">
        <f aca="false">IF(AND(AF366&gt;=0,AF367&lt;0),1,0)</f>
        <v>0</v>
      </c>
      <c r="AG368" s="118" t="n">
        <f aca="false">IF(AND(AG366&gt;=0,AG367&lt;0),1,0)</f>
        <v>0</v>
      </c>
      <c r="AH368" s="118" t="n">
        <f aca="false">IF(AND(AH366&gt;=0,AH367&lt;0),1,0)</f>
        <v>0</v>
      </c>
      <c r="AI368" s="118" t="n">
        <f aca="false">IF(AND(AI366&gt;=0,AI367&lt;0),1,0)</f>
        <v>0</v>
      </c>
      <c r="AJ368" s="118" t="n">
        <f aca="false">IF(AND(AJ366&gt;=0,AJ367&lt;0),1,0)</f>
        <v>0</v>
      </c>
      <c r="AK368" s="118" t="n">
        <f aca="false">IF(AND(AK366&gt;=0,AK367&lt;0),1,0)</f>
        <v>0</v>
      </c>
      <c r="AL368" s="118" t="n">
        <f aca="false">IF(AND(AL366&gt;=0,AL367&lt;0),1,0)</f>
        <v>0</v>
      </c>
      <c r="AM368" s="118" t="n">
        <f aca="false">IF(AND(AM366&gt;=0,AM367&lt;0),1,0)</f>
        <v>0</v>
      </c>
      <c r="AN368" s="118" t="n">
        <f aca="false">IF(AND(AN366&gt;=0,AN367&lt;0),1,0)</f>
        <v>0</v>
      </c>
      <c r="AO368" s="118" t="n">
        <f aca="false">IF(AND(AO366&gt;=0,AO367&lt;0),1,0)</f>
        <v>0</v>
      </c>
      <c r="AP368" s="118" t="n">
        <f aca="false">IF(AND(AP366&gt;=0,AP367&lt;0),1,0)</f>
        <v>0</v>
      </c>
      <c r="AQ368" s="118" t="n">
        <f aca="false">IF(AND(AQ366&gt;=0,AQ367&lt;0),1,0)</f>
        <v>0</v>
      </c>
      <c r="AR368" s="118" t="n">
        <f aca="false">IF(AND(AR366&gt;=0,AR367&lt;0),1,0)</f>
        <v>0</v>
      </c>
      <c r="AS368" s="118" t="n">
        <f aca="false">IF(AND(AS366&gt;=0,AS367&lt;0),1,0)</f>
        <v>0</v>
      </c>
      <c r="AT368" s="118" t="n">
        <f aca="false">IF(AND(AT366&gt;=0,AT367&lt;0),1,0)</f>
        <v>0</v>
      </c>
      <c r="AU368" s="118" t="n">
        <f aca="false">IF(AND(AU366&gt;=0,AU367&lt;0),1,0)</f>
        <v>0</v>
      </c>
      <c r="AV368" s="118" t="n">
        <f aca="false">IF(AND(AV366&gt;=0,AV367&lt;0),1,0)</f>
        <v>0</v>
      </c>
      <c r="AW368" s="118" t="n">
        <f aca="false">IF(AND(AW366&gt;=0,AW367&lt;0),1,0)</f>
        <v>0</v>
      </c>
      <c r="AX368" s="118" t="n">
        <f aca="false">IF(AND(AX366&gt;=0,AX367&lt;0),1,0)</f>
        <v>0</v>
      </c>
      <c r="AY368" s="118" t="n">
        <f aca="false">IF(AND(AY366&gt;=0,AY367&lt;0),1,0)</f>
        <v>0</v>
      </c>
      <c r="AZ368" s="118" t="n">
        <f aca="false">IF(AND(AZ366&gt;=0,AZ367&lt;0),1,0)</f>
        <v>0</v>
      </c>
      <c r="BA368" s="118" t="n">
        <f aca="false">IF(AND(BA366&gt;=0,BA367&lt;0),1,0)</f>
        <v>1</v>
      </c>
      <c r="BB368" s="118" t="n">
        <f aca="false">IF(AND(BB366&gt;=0,BB367&lt;0),1,0)</f>
        <v>1</v>
      </c>
      <c r="BC368" s="118" t="n">
        <f aca="false">IF(AND(BC366&gt;=0,BC367&lt;0),1,0)</f>
        <v>1</v>
      </c>
      <c r="BD368" s="118" t="n">
        <f aca="false">IF(AND(BD366&gt;=0,BD367&lt;0),1,0)</f>
        <v>1</v>
      </c>
      <c r="BE368" s="118" t="n">
        <f aca="false">IF(AND(BE366&gt;=0,BE367&lt;0),1,0)</f>
        <v>1</v>
      </c>
      <c r="BF368" s="118" t="n">
        <f aca="false">IF(AND(BF366&gt;=0,BF367&lt;0),1,0)</f>
        <v>1</v>
      </c>
      <c r="BG368" s="118" t="n">
        <f aca="false">IF(AND(BG366&gt;=0,BG367&lt;0),1,0)</f>
        <v>1</v>
      </c>
      <c r="BH368" s="118" t="n">
        <f aca="false">IF(AND(BH366&gt;=0,BH367&lt;0),1,0)</f>
        <v>1</v>
      </c>
      <c r="BI368" s="118" t="n">
        <f aca="false">IF(AND(BI366&gt;=0,BI367&lt;0),1,0)</f>
        <v>1</v>
      </c>
      <c r="BJ368" s="118" t="n">
        <f aca="false">IF(AND(BJ366&gt;=0,BJ367&lt;0),1,0)</f>
        <v>1</v>
      </c>
    </row>
    <row r="369" customFormat="false" ht="15" hidden="false" customHeight="false" outlineLevel="0" collapsed="false">
      <c r="A369" s="6" t="s">
        <v>469</v>
      </c>
      <c r="C369" s="69" t="n">
        <f aca="false">C354-C319*(1-Inputs!$D$81)+C355</f>
        <v>-4130670.47857742</v>
      </c>
      <c r="D369" s="69" t="n">
        <f aca="false">D354-D319*(1-Inputs!$D$81)+D355</f>
        <v>-21037.4262390243</v>
      </c>
      <c r="E369" s="69" t="n">
        <f aca="false">E354-E319*(1-Inputs!$D$81)+E355</f>
        <v>-2120.61486410055</v>
      </c>
      <c r="F369" s="69" t="n">
        <f aca="false">F354-F319*(1-Inputs!$D$81)+F355</f>
        <v>8218.77125030704</v>
      </c>
      <c r="G369" s="69" t="n">
        <f aca="false">G354-G319*(1-Inputs!$D$81)+G355</f>
        <v>18727.8172434527</v>
      </c>
      <c r="H369" s="69" t="n">
        <f aca="false">H354-H319*(1-Inputs!$D$81)+H355</f>
        <v>29439.7383481321</v>
      </c>
      <c r="I369" s="69" t="n">
        <f aca="false">I354-I319*(1-Inputs!$D$81)+I355</f>
        <v>40348.042560776</v>
      </c>
      <c r="J369" s="69" t="n">
        <f aca="false">J354-J319*(1-Inputs!$D$81)+J355</f>
        <v>51446.4456219296</v>
      </c>
      <c r="K369" s="69" t="n">
        <f aca="false">K354-K319*(1-Inputs!$D$81)+K355</f>
        <v>55200.4743109061</v>
      </c>
      <c r="L369" s="69" t="n">
        <f aca="false">L354-L319*(1-Inputs!$D$81)+L355</f>
        <v>58711.091817846</v>
      </c>
      <c r="M369" s="69" t="n">
        <f aca="false">M354-M319*(1-Inputs!$D$81)+M355</f>
        <v>62110.5595645638</v>
      </c>
      <c r="N369" s="69" t="n">
        <f aca="false">N354-N319*(1-Inputs!$D$81)+N355</f>
        <v>50914.1960352959</v>
      </c>
      <c r="O369" s="69" t="n">
        <f aca="false">O354-O319*(1-Inputs!$D$81)+O355</f>
        <v>23623.4868814036</v>
      </c>
      <c r="P369" s="69" t="n">
        <f aca="false">P354-P319*(1-Inputs!$D$81)+P355</f>
        <v>67068.7831712588</v>
      </c>
      <c r="Q369" s="69" t="n">
        <f aca="false">Q354-Q319*(1-Inputs!$D$81)+Q355</f>
        <v>85961.2575891285</v>
      </c>
      <c r="R369" s="69" t="n">
        <f aca="false">R354-R319*(1-Inputs!$D$81)+R355</f>
        <v>89159.6805808792</v>
      </c>
      <c r="S369" s="69" t="n">
        <f aca="false">S354-S319*(1-Inputs!$D$81)+S355</f>
        <v>92407.9195267052</v>
      </c>
      <c r="T369" s="69" t="n">
        <f aca="false">T354-T319*(1-Inputs!$D$81)+T355</f>
        <v>91102.6683905659</v>
      </c>
      <c r="U369" s="69" t="n">
        <f aca="false">U354-U319*(1-Inputs!$D$81)+U355</f>
        <v>86941.876023603</v>
      </c>
      <c r="V369" s="69" t="n">
        <f aca="false">V354-V319*(1-Inputs!$D$81)+V355</f>
        <v>89242.8039081348</v>
      </c>
      <c r="W369" s="69" t="n">
        <f aca="false">W354-W319*(1-Inputs!$D$81)+W355</f>
        <v>91470.1021003617</v>
      </c>
      <c r="X369" s="69" t="n">
        <f aca="false">X354-X319*(1-Inputs!$D$81)+X355</f>
        <v>93626.1267504373</v>
      </c>
      <c r="Y369" s="69" t="n">
        <f aca="false">Y354-Y319*(1-Inputs!$D$81)+Y355</f>
        <v>95713.1586117105</v>
      </c>
      <c r="Z369" s="69" t="n">
        <f aca="false">Z354-Z319*(1-Inputs!$D$81)+Z355</f>
        <v>85425.3598478891</v>
      </c>
      <c r="AA369" s="69" t="n">
        <f aca="false">AA354-AA319*(1-Inputs!$D$81)+AA355</f>
        <v>56588.2707515095</v>
      </c>
      <c r="AB369" s="69" t="n">
        <f aca="false">AB354-AB319*(1-Inputs!$D$81)+AB355</f>
        <v>98827.2081428179</v>
      </c>
      <c r="AC369" s="69" t="n">
        <f aca="false">AC354-AC319*(1-Inputs!$D$81)+AC355</f>
        <v>114185.985134315</v>
      </c>
      <c r="AD369" s="69" t="n">
        <f aca="false">AD354-AD319*(1-Inputs!$D$81)+AD355</f>
        <v>115917.537707602</v>
      </c>
      <c r="AE369" s="69" t="n">
        <f aca="false">AE354-AE319*(1-Inputs!$D$81)+AE355</f>
        <v>118003.704607272</v>
      </c>
      <c r="AF369" s="69" t="n">
        <f aca="false">AF354-AF319*(1-Inputs!$D$81)+AF355</f>
        <v>120023.114166153</v>
      </c>
      <c r="AG369" s="69" t="n">
        <f aca="false">AG354-AG319*(1-Inputs!$D$81)+AG355</f>
        <v>121977.90261915</v>
      </c>
      <c r="AH369" s="69" t="n">
        <f aca="false">AH354-AH319*(1-Inputs!$D$81)+AH355</f>
        <v>123870.13784165</v>
      </c>
      <c r="AI369" s="69" t="n">
        <f aca="false">AI354-AI319*(1-Inputs!$D$81)+AI355</f>
        <v>125701.821537031</v>
      </c>
      <c r="AJ369" s="69" t="n">
        <f aca="false">AJ354-AJ319*(1-Inputs!$D$81)+AJ355</f>
        <v>127474.89135416</v>
      </c>
      <c r="AK369" s="69" t="n">
        <f aca="false">AK354-AK319*(1-Inputs!$D$81)+AK355</f>
        <v>129191.22293714</v>
      </c>
      <c r="AL369" s="69" t="n">
        <f aca="false">AL354-AL319*(1-Inputs!$D$81)+AL355</f>
        <v>117568.005703676</v>
      </c>
      <c r="AM369" s="69" t="n">
        <f aca="false">AM354-AM319*(1-Inputs!$D$81)+AM355</f>
        <v>89923.8134051001</v>
      </c>
      <c r="AN369" s="69" t="n">
        <f aca="false">AN354-AN319*(1-Inputs!$D$81)+AN355</f>
        <v>131855.520115019</v>
      </c>
      <c r="AO369" s="69" t="n">
        <f aca="false">AO354-AO319*(1-Inputs!$D$81)+AO355</f>
        <v>147969.119517275</v>
      </c>
      <c r="AP369" s="69" t="n">
        <f aca="false">AP354-AP319*(1-Inputs!$D$81)+AP355</f>
        <v>149194.378075673</v>
      </c>
      <c r="AQ369" s="69" t="n">
        <f aca="false">AQ354-AQ319*(1-Inputs!$D$81)+AQ355</f>
        <v>151002.027399369</v>
      </c>
      <c r="AR369" s="69" t="n">
        <f aca="false">AR354-AR319*(1-Inputs!$D$81)+AR355</f>
        <v>152751.831944706</v>
      </c>
      <c r="AS369" s="69" t="n">
        <f aca="false">AS354-AS319*(1-Inputs!$D$81)+AS355</f>
        <v>154445.642744593</v>
      </c>
      <c r="AT369" s="69" t="n">
        <f aca="false">AT354-AT319*(1-Inputs!$D$81)+AT355</f>
        <v>156085.251598883</v>
      </c>
      <c r="AU369" s="69" t="n">
        <f aca="false">AU354-AU319*(1-Inputs!$D$81)+AU355</f>
        <v>157672.392969836</v>
      </c>
      <c r="AV369" s="69" t="n">
        <f aca="false">AV354-AV319*(1-Inputs!$D$81)+AV355</f>
        <v>159208.745816919</v>
      </c>
      <c r="AW369" s="69" t="n">
        <f aca="false">AW354-AW319*(1-Inputs!$D$81)+AW355</f>
        <v>160695.935372895</v>
      </c>
      <c r="AX369" s="69" t="n">
        <f aca="false">AX354-AX319*(1-Inputs!$D$81)+AX355</f>
        <v>147741.33431372</v>
      </c>
      <c r="AY369" s="69" t="n">
        <f aca="false">AY354-AY319*(1-Inputs!$D$81)+AY355</f>
        <v>121390.385573918</v>
      </c>
      <c r="AZ369" s="69" t="n">
        <f aca="false">AZ354-AZ319*(1-Inputs!$D$81)+AZ355</f>
        <v>163152.165991772</v>
      </c>
      <c r="BA369" s="69" t="n">
        <f aca="false">BA354-BA319*(1-Inputs!$D$81)+BA355</f>
        <v>180293.010835217</v>
      </c>
      <c r="BB369" s="69" t="n">
        <f aca="false">BB354-BB319*(1-Inputs!$D$81)+BB355</f>
        <v>180682.06746412</v>
      </c>
      <c r="BC369" s="69" t="n">
        <f aca="false">BC354-BC319*(1-Inputs!$D$81)+BC355</f>
        <v>181444.576010394</v>
      </c>
      <c r="BD369" s="69" t="n">
        <f aca="false">BD354-BD319*(1-Inputs!$D$81)+BD355</f>
        <v>182223.884296869</v>
      </c>
      <c r="BE369" s="69" t="n">
        <f aca="false">BE354-BE319*(1-Inputs!$D$81)+BE355</f>
        <v>182993.01934875</v>
      </c>
      <c r="BF369" s="69" t="n">
        <f aca="false">BF354-BF319*(1-Inputs!$D$81)+BF355</f>
        <v>183751.084066933</v>
      </c>
      <c r="BG369" s="69" t="n">
        <f aca="false">BG354-BG319*(1-Inputs!$D$81)+BG355</f>
        <v>184497.321607283</v>
      </c>
      <c r="BH369" s="69" t="n">
        <f aca="false">BH354-BH319*(1-Inputs!$D$81)+BH355</f>
        <v>185231.099544572</v>
      </c>
      <c r="BI369" s="69" t="n">
        <f aca="false">BI354-BI319*(1-Inputs!$D$81)+BI355</f>
        <v>185951.895835136</v>
      </c>
      <c r="BJ369" s="69" t="n">
        <f aca="false">BJ354-BJ319*(1-Inputs!$D$81)+BJ355</f>
        <v>177753.852694575</v>
      </c>
    </row>
    <row r="371" customFormat="false" ht="15.75" hidden="false" customHeight="true" outlineLevel="0" collapsed="false">
      <c r="A371" s="7" t="s">
        <v>470</v>
      </c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</row>
    <row r="372" customFormat="false" ht="15" hidden="false" customHeight="false" outlineLevel="0" collapsed="false">
      <c r="A372" s="6" t="s">
        <v>97</v>
      </c>
      <c r="C372" s="69" t="n">
        <f aca="false">C356</f>
        <v>2100000</v>
      </c>
      <c r="D372" s="69" t="n">
        <f aca="false">C372+D356</f>
        <v>2100000</v>
      </c>
      <c r="E372" s="69" t="n">
        <f aca="false">D372+E356</f>
        <v>2100000</v>
      </c>
      <c r="F372" s="69" t="n">
        <f aca="false">E372+F356</f>
        <v>2100000</v>
      </c>
      <c r="G372" s="69" t="n">
        <f aca="false">F372+G356</f>
        <v>2100000</v>
      </c>
      <c r="H372" s="69" t="n">
        <f aca="false">G372+H356</f>
        <v>2100000</v>
      </c>
      <c r="I372" s="69" t="n">
        <f aca="false">H372+I356</f>
        <v>2100000</v>
      </c>
      <c r="J372" s="69" t="n">
        <f aca="false">I372+J356</f>
        <v>2100000</v>
      </c>
      <c r="K372" s="69" t="n">
        <f aca="false">J372+K356</f>
        <v>2100000</v>
      </c>
      <c r="L372" s="69" t="n">
        <f aca="false">K372+L356</f>
        <v>2100000</v>
      </c>
      <c r="M372" s="69" t="n">
        <f aca="false">L372+M356</f>
        <v>2100000</v>
      </c>
      <c r="N372" s="69" t="n">
        <f aca="false">M372+N356</f>
        <v>2100000</v>
      </c>
      <c r="O372" s="69" t="n">
        <f aca="false">N372+O356</f>
        <v>2100000</v>
      </c>
      <c r="P372" s="69" t="n">
        <f aca="false">O372+P356</f>
        <v>2100000</v>
      </c>
      <c r="Q372" s="69" t="n">
        <f aca="false">P372+Q356</f>
        <v>2100000</v>
      </c>
      <c r="R372" s="69" t="n">
        <f aca="false">Q372+R356</f>
        <v>2100000</v>
      </c>
      <c r="S372" s="69" t="n">
        <f aca="false">R372+S356</f>
        <v>2100000</v>
      </c>
      <c r="T372" s="69" t="n">
        <f aca="false">S372+T356</f>
        <v>2100000</v>
      </c>
      <c r="U372" s="69" t="n">
        <f aca="false">T372+U356</f>
        <v>2100000</v>
      </c>
      <c r="V372" s="69" t="n">
        <f aca="false">U372+V356</f>
        <v>2100000</v>
      </c>
      <c r="W372" s="69" t="n">
        <f aca="false">V372+W356</f>
        <v>2100000</v>
      </c>
      <c r="X372" s="69" t="n">
        <f aca="false">W372+X356</f>
        <v>2100000</v>
      </c>
      <c r="Y372" s="69" t="n">
        <f aca="false">X372+Y356</f>
        <v>2100000</v>
      </c>
      <c r="Z372" s="69" t="n">
        <f aca="false">Y372+Z356</f>
        <v>2100000</v>
      </c>
      <c r="AA372" s="69" t="n">
        <f aca="false">Z372+AA356</f>
        <v>2100000</v>
      </c>
      <c r="AB372" s="69" t="n">
        <f aca="false">AA372+AB356</f>
        <v>2100000</v>
      </c>
      <c r="AC372" s="69" t="n">
        <f aca="false">AB372+AC356</f>
        <v>2100000</v>
      </c>
      <c r="AD372" s="69" t="n">
        <f aca="false">AC372+AD356</f>
        <v>2100000</v>
      </c>
      <c r="AE372" s="69" t="n">
        <f aca="false">AD372+AE356</f>
        <v>2100000</v>
      </c>
      <c r="AF372" s="69" t="n">
        <f aca="false">AE372+AF356</f>
        <v>2100000</v>
      </c>
      <c r="AG372" s="69" t="n">
        <f aca="false">AF372+AG356</f>
        <v>2100000</v>
      </c>
      <c r="AH372" s="69" t="n">
        <f aca="false">AG372+AH356</f>
        <v>2100000</v>
      </c>
      <c r="AI372" s="69" t="n">
        <f aca="false">AH372+AI356</f>
        <v>2100000</v>
      </c>
      <c r="AJ372" s="69" t="n">
        <f aca="false">AI372+AJ356</f>
        <v>2100000</v>
      </c>
      <c r="AK372" s="69" t="n">
        <f aca="false">AJ372+AK356</f>
        <v>2100000</v>
      </c>
      <c r="AL372" s="69" t="n">
        <f aca="false">AK372+AL356</f>
        <v>2100000</v>
      </c>
      <c r="AM372" s="69" t="n">
        <f aca="false">AL372+AM356</f>
        <v>2100000</v>
      </c>
      <c r="AN372" s="69" t="n">
        <f aca="false">AM372+AN356</f>
        <v>2100000</v>
      </c>
      <c r="AO372" s="69" t="n">
        <f aca="false">AN372+AO356</f>
        <v>2100000</v>
      </c>
      <c r="AP372" s="69" t="n">
        <f aca="false">AO372+AP356</f>
        <v>2100000</v>
      </c>
      <c r="AQ372" s="69" t="n">
        <f aca="false">AP372+AQ356</f>
        <v>2100000</v>
      </c>
      <c r="AR372" s="69" t="n">
        <f aca="false">AQ372+AR356</f>
        <v>2100000</v>
      </c>
      <c r="AS372" s="69" t="n">
        <f aca="false">AR372+AS356</f>
        <v>2100000</v>
      </c>
      <c r="AT372" s="69" t="n">
        <f aca="false">AS372+AT356</f>
        <v>2100000</v>
      </c>
      <c r="AU372" s="69" t="n">
        <f aca="false">AT372+AU356</f>
        <v>2100000</v>
      </c>
      <c r="AV372" s="69" t="n">
        <f aca="false">AU372+AV356</f>
        <v>2100000</v>
      </c>
      <c r="AW372" s="69" t="n">
        <f aca="false">AV372+AW356</f>
        <v>2100000</v>
      </c>
      <c r="AX372" s="69" t="n">
        <f aca="false">AW372+AX356</f>
        <v>2100000</v>
      </c>
      <c r="AY372" s="69" t="n">
        <f aca="false">AX372+AY356</f>
        <v>2100000</v>
      </c>
      <c r="AZ372" s="69" t="n">
        <f aca="false">AY372+AZ356</f>
        <v>2100000</v>
      </c>
      <c r="BA372" s="69" t="n">
        <f aca="false">AZ372+BA356</f>
        <v>2100000</v>
      </c>
      <c r="BB372" s="69" t="n">
        <f aca="false">BA372+BB356</f>
        <v>2100000</v>
      </c>
      <c r="BC372" s="69" t="n">
        <f aca="false">BB372+BC356</f>
        <v>2100000</v>
      </c>
      <c r="BD372" s="69" t="n">
        <f aca="false">BC372+BD356</f>
        <v>2100000</v>
      </c>
      <c r="BE372" s="69" t="n">
        <f aca="false">BD372+BE356</f>
        <v>2100000</v>
      </c>
      <c r="BF372" s="69" t="n">
        <f aca="false">BE372+BF356</f>
        <v>2100000</v>
      </c>
      <c r="BG372" s="69" t="n">
        <f aca="false">BF372+BG356</f>
        <v>2100000</v>
      </c>
      <c r="BH372" s="69" t="n">
        <f aca="false">BG372+BH356</f>
        <v>2100000</v>
      </c>
      <c r="BI372" s="69" t="n">
        <f aca="false">BH372+BI356</f>
        <v>2100000</v>
      </c>
      <c r="BJ372" s="69" t="n">
        <f aca="false">BI372+BJ356</f>
        <v>2100000</v>
      </c>
    </row>
    <row r="373" customFormat="false" ht="15" hidden="false" customHeight="false" outlineLevel="0" collapsed="false">
      <c r="A373" s="6" t="s">
        <v>98</v>
      </c>
      <c r="C373" s="69" t="n">
        <f aca="false">C324</f>
        <v>-74865.8196725689</v>
      </c>
      <c r="D373" s="69" t="n">
        <f aca="false">C373+D324</f>
        <v>-140962.851628205</v>
      </c>
      <c r="E373" s="69" t="n">
        <f aca="false">D373+E324</f>
        <v>-187963.851502773</v>
      </c>
      <c r="F373" s="69" t="n">
        <f aca="false">E373+F324</f>
        <v>-224525.412074998</v>
      </c>
      <c r="G373" s="69" t="n">
        <f aca="false">F373+G324</f>
        <v>-250437.954152574</v>
      </c>
      <c r="H373" s="69" t="n">
        <f aca="false">G373+H324</f>
        <v>-265498.605077348</v>
      </c>
      <c r="I373" s="69" t="n">
        <f aca="false">H373+I324</f>
        <v>-269510.984116231</v>
      </c>
      <c r="J373" s="69" t="n">
        <f aca="false">I373+J324</f>
        <v>-262284.994719588</v>
      </c>
      <c r="K373" s="69" t="n">
        <f aca="false">J373+K324</f>
        <v>-251293.711243194</v>
      </c>
      <c r="L373" s="69" t="n">
        <f aca="false">K373+L324</f>
        <v>-236651.956430933</v>
      </c>
      <c r="M373" s="69" t="n">
        <f aca="false">L373+M324</f>
        <v>-218470.878698886</v>
      </c>
      <c r="N373" s="69" t="n">
        <f aca="false">M373+N324</f>
        <v>-211223.770257511</v>
      </c>
      <c r="O373" s="69" t="n">
        <f aca="false">N373+O324</f>
        <v>-191292.80004697</v>
      </c>
      <c r="P373" s="69" t="n">
        <f aca="false">O373+P324</f>
        <v>-167984.895727699</v>
      </c>
      <c r="Q373" s="69" t="n">
        <f aca="false">P373+Q324</f>
        <v>-125826.193778365</v>
      </c>
      <c r="R373" s="69" t="n">
        <f aca="false">Q373+R324</f>
        <v>-80173.2807336621</v>
      </c>
      <c r="S373" s="69" t="n">
        <f aca="false">R373+S324</f>
        <v>-31132.3046819758</v>
      </c>
      <c r="T373" s="69" t="n">
        <f aca="false">S373+T324</f>
        <v>16743.2465914386</v>
      </c>
      <c r="U373" s="69" t="n">
        <f aca="false">T373+U324</f>
        <v>60597.8340789722</v>
      </c>
      <c r="V373" s="69" t="n">
        <f aca="false">U373+V324</f>
        <v>106893.180184192</v>
      </c>
      <c r="W373" s="69" t="n">
        <f aca="false">V373+W324</f>
        <v>155555.657297998</v>
      </c>
      <c r="X373" s="69" t="n">
        <f aca="false">W373+X324</f>
        <v>206513.993894784</v>
      </c>
      <c r="Y373" s="69" t="n">
        <f aca="false">X373+Y324</f>
        <v>259699.199137759</v>
      </c>
      <c r="Z373" s="69" t="n">
        <f aca="false">Y373+Z324</f>
        <v>303133.23668328</v>
      </c>
      <c r="AA373" s="69" t="n">
        <f aca="false">Z373+AA324</f>
        <v>357463.679075649</v>
      </c>
      <c r="AB373" s="69" t="n">
        <f aca="false">AA373+AB324</f>
        <v>413925.71004844</v>
      </c>
      <c r="AC373" s="69" t="n">
        <f aca="false">AB373+AC324</f>
        <v>485442.957133295</v>
      </c>
      <c r="AD373" s="69" t="n">
        <f aca="false">AC373+AD324</f>
        <v>559255.142362192</v>
      </c>
      <c r="AE373" s="69" t="n">
        <f aca="false">AD373+AE324</f>
        <v>635293.304381189</v>
      </c>
      <c r="AF373" s="69" t="n">
        <f aca="false">AE373+AF324</f>
        <v>713490.68859967</v>
      </c>
      <c r="AG373" s="69" t="n">
        <f aca="false">AF373+AG324</f>
        <v>793782.676573917</v>
      </c>
      <c r="AH373" s="69" t="n">
        <f aca="false">AG373+AH324</f>
        <v>876106.717650414</v>
      </c>
      <c r="AI373" s="69" t="n">
        <f aca="false">AH373+AI324</f>
        <v>960402.262796553</v>
      </c>
      <c r="AJ373" s="69" t="n">
        <f aca="false">AI373+AJ324</f>
        <v>1046610.70054877</v>
      </c>
      <c r="AK373" s="69" t="n">
        <f aca="false">AJ373+AK324</f>
        <v>1134675.29501035</v>
      </c>
      <c r="AL373" s="69" t="n">
        <f aca="false">AK373+AL324</f>
        <v>1211875.96745087</v>
      </c>
      <c r="AM373" s="69" t="n">
        <f aca="false">AL373+AM324</f>
        <v>1300977.87792878</v>
      </c>
      <c r="AN373" s="69" t="n">
        <f aca="false">AM373+AN324</f>
        <v>1391865.79844565</v>
      </c>
      <c r="AO373" s="69" t="n">
        <f aca="false">AN373+AO324</f>
        <v>1498348.96074051</v>
      </c>
      <c r="AP373" s="69" t="n">
        <f aca="false">AO373+AP324</f>
        <v>1606839.32431961</v>
      </c>
      <c r="AQ373" s="69" t="n">
        <f aca="false">AP373+AQ324</f>
        <v>1717277.13540851</v>
      </c>
      <c r="AR373" s="69" t="n">
        <f aca="false">AQ373+AR324</f>
        <v>1829604.55235358</v>
      </c>
      <c r="AS373" s="69" t="n">
        <f aca="false">AR373+AS324</f>
        <v>1943765.58443407</v>
      </c>
      <c r="AT373" s="69" t="n">
        <f aca="false">AS373+AT324</f>
        <v>2059706.03263233</v>
      </c>
      <c r="AU373" s="69" t="n">
        <f aca="false">AT373+AU324</f>
        <v>2177373.43229925</v>
      </c>
      <c r="AV373" s="69" t="n">
        <f aca="false">AU373+AV324</f>
        <v>2296716.9976545</v>
      </c>
      <c r="AW373" s="69" t="n">
        <f aca="false">AV373+AW324</f>
        <v>2417687.56806273</v>
      </c>
      <c r="AX373" s="69" t="n">
        <f aca="false">AW373+AX324</f>
        <v>2526653.27983676</v>
      </c>
      <c r="AY373" s="69" t="n">
        <f aca="false">AX373+AY324</f>
        <v>2648659.81870353</v>
      </c>
      <c r="AZ373" s="69" t="n">
        <f aca="false">AY373+AZ324</f>
        <v>2772243.37727913</v>
      </c>
      <c r="BA373" s="69" t="n">
        <f aca="false">AZ373+BA324</f>
        <v>2912263.63162322</v>
      </c>
      <c r="BB373" s="69" t="n">
        <f aca="false">BA373+BB324</f>
        <v>3053670.2069123</v>
      </c>
      <c r="BC373" s="69" t="n">
        <f aca="false">BB373+BC324</f>
        <v>3196004.53722211</v>
      </c>
      <c r="BD373" s="69" t="n">
        <f aca="false">BC373+BD324</f>
        <v>3339257.41795956</v>
      </c>
      <c r="BE373" s="69" t="n">
        <f aca="false">BD373+BE324</f>
        <v>3483418.60184015</v>
      </c>
      <c r="BF373" s="69" t="n">
        <f aca="false">BE373+BF324</f>
        <v>3628476.95561041</v>
      </c>
      <c r="BG373" s="69" t="n">
        <f aca="false">BF373+BG324</f>
        <v>3774420.59904395</v>
      </c>
      <c r="BH373" s="69" t="n">
        <f aca="false">BG373+BH324</f>
        <v>3921237.02824599</v>
      </c>
      <c r="BI373" s="69" t="n">
        <f aca="false">BH373+BI324</f>
        <v>4068913.22504704</v>
      </c>
      <c r="BJ373" s="69" t="n">
        <f aca="false">BI373+BJ324</f>
        <v>4209083.19873732</v>
      </c>
    </row>
    <row r="374" customFormat="false" ht="15" hidden="false" customHeight="false" outlineLevel="0" collapsed="false">
      <c r="A374" s="4" t="s">
        <v>93</v>
      </c>
      <c r="C374" s="75" t="n">
        <f aca="false">C360+C346+C347+C337</f>
        <v>5031495.07151655</v>
      </c>
      <c r="D374" s="75" t="n">
        <f aca="false">D360+D346+D347+D337</f>
        <v>4941213.5204356</v>
      </c>
      <c r="E374" s="75" t="n">
        <f aca="false">E360+E346+E347+E337</f>
        <v>4871197.55653938</v>
      </c>
      <c r="F374" s="75" t="n">
        <f aca="false">F360+F346+F347+F337</f>
        <v>4810644.18914578</v>
      </c>
      <c r="G374" s="75" t="n">
        <f aca="false">G360+G346+G347+G337</f>
        <v>4760765.10438862</v>
      </c>
      <c r="H374" s="75" t="n">
        <f aca="false">H360+H346+H347+H337</f>
        <v>4721762.36647351</v>
      </c>
      <c r="I374" s="75" t="n">
        <f aca="false">I360+I346+I347+I337</f>
        <v>4693831.57355149</v>
      </c>
      <c r="J374" s="75" t="n">
        <f aca="false">J360+J346+J347+J337</f>
        <v>4677162.06463276</v>
      </c>
      <c r="K374" s="75" t="n">
        <f aca="false">K360+K346+K347+K337</f>
        <v>4663585.89613106</v>
      </c>
      <c r="L374" s="75" t="n">
        <f aca="false">L360+L346+L347+L337</f>
        <v>4653646.35742853</v>
      </c>
      <c r="M374" s="75" t="n">
        <f aca="false">M360+M346+M347+M337</f>
        <v>4647232.74303826</v>
      </c>
      <c r="N374" s="75" t="n">
        <f aca="false">N360+N346+N347+N337</f>
        <v>4627908.09653436</v>
      </c>
      <c r="O374" s="75" t="n">
        <f aca="false">O360+O346+O347+O337</f>
        <v>4624101.42280872</v>
      </c>
      <c r="P374" s="75" t="n">
        <f aca="false">P360+P346+P347+P337</f>
        <v>4622746.4183165</v>
      </c>
      <c r="Q374" s="75" t="n">
        <f aca="false">Q360+Q346+Q347+Q337</f>
        <v>4642447.96331355</v>
      </c>
      <c r="R374" s="75" t="n">
        <f aca="false">R360+R346+R347+R337</f>
        <v>4663498.8744861</v>
      </c>
      <c r="S374" s="75" t="n">
        <f aca="false">S360+S346+S347+S337</f>
        <v>4687925.11272553</v>
      </c>
      <c r="T374" s="75" t="n">
        <f aca="false">T360+T346+T347+T337</f>
        <v>4711173.59779669</v>
      </c>
      <c r="U374" s="75" t="n">
        <f aca="false">U360+U346+U347+U337</f>
        <v>4730389.18520043</v>
      </c>
      <c r="V374" s="75" t="n">
        <f aca="false">V360+V346+V347+V337</f>
        <v>4752033.97922455</v>
      </c>
      <c r="W374" s="75" t="n">
        <f aca="false">W360+W346+W347+W337</f>
        <v>4776034.72192385</v>
      </c>
      <c r="X374" s="75" t="n">
        <f aca="false">X360+X346+X347+X337</f>
        <v>4802320.49960739</v>
      </c>
      <c r="Y374" s="75" t="n">
        <f aca="false">Y360+Y346+Y347+Y337</f>
        <v>4830822.66782234</v>
      </c>
      <c r="Z374" s="75" t="n">
        <f aca="false">Z360+Z346+Z347+Z337</f>
        <v>4847014.50472571</v>
      </c>
      <c r="AA374" s="75" t="n">
        <f aca="false">AA360+AA346+AA347+AA337</f>
        <v>4877703.3780202</v>
      </c>
      <c r="AB374" s="75" t="n">
        <f aca="false">AB360+AB346+AB347+AB337</f>
        <v>4909429.81380431</v>
      </c>
      <c r="AC374" s="75" t="n">
        <f aca="false">AC360+AC346+AC347+AC337</f>
        <v>4959000.66241362</v>
      </c>
      <c r="AD374" s="75" t="n">
        <f aca="false">AD360+AD346+AD347+AD337</f>
        <v>5008138.61926955</v>
      </c>
      <c r="AE374" s="75" t="n">
        <f aca="false">AE360+AE346+AE347+AE337</f>
        <v>5059492.12822352</v>
      </c>
      <c r="AF374" s="75" t="n">
        <f aca="false">AF360+AF346+AF347+AF337</f>
        <v>5112994.76827505</v>
      </c>
      <c r="AG374" s="75" t="n">
        <f aca="false">AG360+AG346+AG347+AG337</f>
        <v>5168582.24389569</v>
      </c>
      <c r="AH374" s="75" t="n">
        <f aca="false">AH360+AH346+AH347+AH337</f>
        <v>5226192.31701389</v>
      </c>
      <c r="AI374" s="75" t="n">
        <f aca="false">AI360+AI346+AI347+AI337</f>
        <v>5285764.7411764</v>
      </c>
      <c r="AJ374" s="75" t="n">
        <f aca="false">AJ360+AJ346+AJ347+AJ337</f>
        <v>5347241.19781647</v>
      </c>
      <c r="AK374" s="75" t="n">
        <f aca="false">AK360+AK346+AK347+AK337</f>
        <v>5410565.23456149</v>
      </c>
      <c r="AL374" s="75" t="n">
        <f aca="false">AL360+AL346+AL347+AL337</f>
        <v>5459947.48793178</v>
      </c>
      <c r="AM374" s="75" t="n">
        <f aca="false">AM360+AM346+AM347+AM337</f>
        <v>5525520.19025929</v>
      </c>
      <c r="AN374" s="75" t="n">
        <f aca="false">AN360+AN346+AN347+AN337</f>
        <v>5591625.66450425</v>
      </c>
      <c r="AO374" s="75" t="n">
        <f aca="false">AO360+AO346+AO347+AO337</f>
        <v>5676641.99774417</v>
      </c>
      <c r="AP374" s="75" t="n">
        <f aca="false">AP360+AP346+AP347+AP337</f>
        <v>5760413.31958403</v>
      </c>
      <c r="AQ374" s="75" t="n">
        <f aca="false">AQ360+AQ346+AQ347+AQ337</f>
        <v>5846123.09826935</v>
      </c>
      <c r="AR374" s="75" t="n">
        <f aca="false">AR360+AR346+AR347+AR337</f>
        <v>5933713.77984775</v>
      </c>
      <c r="AS374" s="75" t="n">
        <f aca="false">AS360+AS346+AS347+AS337</f>
        <v>6023129.65209331</v>
      </c>
      <c r="AT374" s="75" t="n">
        <f aca="false">AT360+AT346+AT347+AT337</f>
        <v>6114316.78557135</v>
      </c>
      <c r="AU374" s="75" t="n">
        <f aca="false">AU360+AU346+AU347+AU337</f>
        <v>6207222.9765891</v>
      </c>
      <c r="AV374" s="75" t="n">
        <f aca="false">AV360+AV346+AV347+AV337</f>
        <v>6301797.69197196</v>
      </c>
      <c r="AW374" s="75" t="n">
        <f aca="false">AW360+AW346+AW347+AW337</f>
        <v>6397992.01560691</v>
      </c>
      <c r="AX374" s="75" t="n">
        <f aca="false">AX360+AX346+AX347+AX337</f>
        <v>6478617.4536344</v>
      </c>
      <c r="AY374" s="75" t="n">
        <f aca="false">AY360+AY346+AY347+AY337</f>
        <v>6577222.89162941</v>
      </c>
      <c r="AZ374" s="75" t="n">
        <f aca="false">AZ360+AZ346+AZ347+AZ337</f>
        <v>6675995.53797941</v>
      </c>
      <c r="BA374" s="75" t="n">
        <f aca="false">BA360+BA346+BA347+BA337</f>
        <v>6795019.47284403</v>
      </c>
      <c r="BB374" s="75" t="n">
        <f aca="false">BB360+BB346+BB347+BB337</f>
        <v>6911561.65173086</v>
      </c>
      <c r="BC374" s="75" t="n">
        <f aca="false">BC360+BC346+BC347+BC337</f>
        <v>7028915.13438848</v>
      </c>
      <c r="BD374" s="75" t="n">
        <f aca="false">BD360+BD346+BD347+BD337</f>
        <v>7147186.94371602</v>
      </c>
      <c r="BE374" s="75" t="n">
        <f aca="false">BE360+BE346+BE347+BE337</f>
        <v>7266366.80708184</v>
      </c>
      <c r="BF374" s="75" t="n">
        <f aca="false">BF360+BF346+BF347+BF337</f>
        <v>7386443.56969512</v>
      </c>
      <c r="BG374" s="75" t="n">
        <f aca="false">BG360+BG346+BG347+BG337</f>
        <v>7507405.33317106</v>
      </c>
      <c r="BH374" s="75" t="n">
        <f aca="false">BH360+BH346+BH347+BH337</f>
        <v>7629239.5784539</v>
      </c>
      <c r="BI374" s="75" t="n">
        <f aca="false">BI360+BI346+BI347+BI337</f>
        <v>7751933.27487246</v>
      </c>
      <c r="BJ374" s="75" t="n">
        <f aca="false">BJ360+BJ346+BJ347+BJ337</f>
        <v>7864833.63004633</v>
      </c>
    </row>
    <row r="375" customFormat="false" ht="15" hidden="false" customHeight="false" outlineLevel="0" collapsed="false">
      <c r="A375" s="6" t="s">
        <v>96</v>
      </c>
      <c r="C375" s="69" t="n">
        <f aca="false">C348+C343</f>
        <v>3006360.89118912</v>
      </c>
      <c r="D375" s="69" t="n">
        <f aca="false">D348+D343</f>
        <v>2982176.3720638</v>
      </c>
      <c r="E375" s="69" t="n">
        <f aca="false">E348+E343</f>
        <v>2959161.40804215</v>
      </c>
      <c r="F375" s="69" t="n">
        <f aca="false">F348+F343</f>
        <v>2935169.60122078</v>
      </c>
      <c r="G375" s="69" t="n">
        <f aca="false">G348+G343</f>
        <v>2911203.05854119</v>
      </c>
      <c r="H375" s="69" t="n">
        <f aca="false">H348+H343</f>
        <v>2887260.97155086</v>
      </c>
      <c r="I375" s="69" t="n">
        <f aca="false">I348+I343</f>
        <v>2863342.55766772</v>
      </c>
      <c r="J375" s="69" t="n">
        <f aca="false">J348+J343</f>
        <v>2839447.05935234</v>
      </c>
      <c r="K375" s="69" t="n">
        <f aca="false">K348+K343</f>
        <v>2814879.60737425</v>
      </c>
      <c r="L375" s="69" t="n">
        <f aca="false">L348+L343</f>
        <v>2790298.31385946</v>
      </c>
      <c r="M375" s="69" t="n">
        <f aca="false">M348+M343</f>
        <v>2765703.62173714</v>
      </c>
      <c r="N375" s="69" t="n">
        <f aca="false">N348+N343</f>
        <v>2739131.86679187</v>
      </c>
      <c r="O375" s="69" t="n">
        <f aca="false">O348+O343</f>
        <v>2715394.22285569</v>
      </c>
      <c r="P375" s="69" t="n">
        <f aca="false">P348+P343</f>
        <v>2690731.3140442</v>
      </c>
      <c r="Q375" s="69" t="n">
        <f aca="false">Q348+Q343</f>
        <v>2668274.15709192</v>
      </c>
      <c r="R375" s="69" t="n">
        <f aca="false">R348+R343</f>
        <v>2643672.15521976</v>
      </c>
      <c r="S375" s="69" t="n">
        <f aca="false">S348+S343</f>
        <v>2619057.41740751</v>
      </c>
      <c r="T375" s="69" t="n">
        <f aca="false">T348+T343</f>
        <v>2594430.35120525</v>
      </c>
      <c r="U375" s="69" t="n">
        <f aca="false">U348+U343</f>
        <v>2569791.35112146</v>
      </c>
      <c r="V375" s="69" t="n">
        <f aca="false">V348+V343</f>
        <v>2545140.79904036</v>
      </c>
      <c r="W375" s="69" t="n">
        <f aca="false">W348+W343</f>
        <v>2520479.06462585</v>
      </c>
      <c r="X375" s="69" t="n">
        <f aca="false">X348+X343</f>
        <v>2495806.5057126</v>
      </c>
      <c r="Y375" s="69" t="n">
        <f aca="false">Y348+Y343</f>
        <v>2471123.46868458</v>
      </c>
      <c r="Z375" s="69" t="n">
        <f aca="false">Z348+Z343</f>
        <v>2443881.26804243</v>
      </c>
      <c r="AA375" s="69" t="n">
        <f aca="false">AA348+AA343</f>
        <v>2420239.69894455</v>
      </c>
      <c r="AB375" s="69" t="n">
        <f aca="false">AB348+AB343</f>
        <v>2395504.10375587</v>
      </c>
      <c r="AC375" s="69" t="n">
        <f aca="false">AC348+AC343</f>
        <v>2373557.70528033</v>
      </c>
      <c r="AD375" s="69" t="n">
        <f aca="false">AD348+AD343</f>
        <v>2348883.47690736</v>
      </c>
      <c r="AE375" s="69" t="n">
        <f aca="false">AE348+AE343</f>
        <v>2324198.82384233</v>
      </c>
      <c r="AF375" s="69" t="n">
        <f aca="false">AF348+AF343</f>
        <v>2299504.07967538</v>
      </c>
      <c r="AG375" s="69" t="n">
        <f aca="false">AG348+AG343</f>
        <v>2274799.56732177</v>
      </c>
      <c r="AH375" s="69" t="n">
        <f aca="false">AH348+AH343</f>
        <v>2250085.59936348</v>
      </c>
      <c r="AI375" s="69" t="n">
        <f aca="false">AI348+AI343</f>
        <v>2225362.47837985</v>
      </c>
      <c r="AJ375" s="69" t="n">
        <f aca="false">AJ348+AJ343</f>
        <v>2200630.4972677</v>
      </c>
      <c r="AK375" s="69" t="n">
        <f aca="false">AK348+AK343</f>
        <v>2175889.93955114</v>
      </c>
      <c r="AL375" s="69" t="n">
        <f aca="false">AL348+AL343</f>
        <v>2148071.52048092</v>
      </c>
      <c r="AM375" s="69" t="n">
        <f aca="false">AM348+AM343</f>
        <v>2124542.3123305</v>
      </c>
      <c r="AN375" s="69" t="n">
        <f aca="false">AN348+AN343</f>
        <v>2099759.86605859</v>
      </c>
      <c r="AO375" s="69" t="n">
        <f aca="false">AO348+AO343</f>
        <v>2078293.03700366</v>
      </c>
      <c r="AP375" s="69" t="n">
        <f aca="false">AP348+AP343</f>
        <v>2053573.99526442</v>
      </c>
      <c r="AQ375" s="69" t="n">
        <f aca="false">AQ348+AQ343</f>
        <v>2028845.96286084</v>
      </c>
      <c r="AR375" s="69" t="n">
        <f aca="false">AR348+AR343</f>
        <v>2004109.22749417</v>
      </c>
      <c r="AS375" s="69" t="n">
        <f aca="false">AS348+AS343</f>
        <v>1979364.06765924</v>
      </c>
      <c r="AT375" s="69" t="n">
        <f aca="false">AT348+AT343</f>
        <v>1954610.75293902</v>
      </c>
      <c r="AU375" s="69" t="n">
        <f aca="false">AU348+AU343</f>
        <v>1929849.54428985</v>
      </c>
      <c r="AV375" s="69" t="n">
        <f aca="false">AV348+AV343</f>
        <v>1905080.69431746</v>
      </c>
      <c r="AW375" s="69" t="n">
        <f aca="false">AW348+AW343</f>
        <v>1880304.44754418</v>
      </c>
      <c r="AX375" s="69" t="n">
        <f aca="false">AX348+AX343</f>
        <v>1851964.17379763</v>
      </c>
      <c r="AY375" s="69" t="n">
        <f aca="false">AY348+AY343</f>
        <v>1828563.07292587</v>
      </c>
      <c r="AZ375" s="69" t="n">
        <f aca="false">AZ348+AZ343</f>
        <v>1803752.16070027</v>
      </c>
      <c r="BA375" s="69" t="n">
        <f aca="false">BA348+BA343</f>
        <v>1782755.84122081</v>
      </c>
      <c r="BB375" s="69" t="n">
        <f aca="false">BB348+BB343</f>
        <v>1757891.44481856</v>
      </c>
      <c r="BC375" s="69" t="n">
        <f aca="false">BC348+BC343</f>
        <v>1732910.59716636</v>
      </c>
      <c r="BD375" s="69" t="n">
        <f aca="false">BD348+BD343</f>
        <v>1707929.52575645</v>
      </c>
      <c r="BE375" s="69" t="n">
        <f aca="false">BE348+BE343</f>
        <v>1682948.20524168</v>
      </c>
      <c r="BF375" s="69" t="n">
        <f aca="false">BF348+BF343</f>
        <v>1657966.61408471</v>
      </c>
      <c r="BG375" s="69" t="n">
        <f aca="false">BG348+BG343</f>
        <v>1632984.73412711</v>
      </c>
      <c r="BH375" s="69" t="n">
        <f aca="false">BH348+BH343</f>
        <v>1608002.55020791</v>
      </c>
      <c r="BI375" s="69" t="n">
        <f aca="false">BI348+BI343</f>
        <v>1583020.04982542</v>
      </c>
      <c r="BJ375" s="69" t="n">
        <f aca="false">BJ348+BJ343</f>
        <v>1555750.43130902</v>
      </c>
    </row>
    <row r="376" customFormat="false" ht="15" hidden="false" customHeight="false" outlineLevel="0" collapsed="false">
      <c r="A376" s="6" t="s">
        <v>99</v>
      </c>
      <c r="C376" s="69" t="n">
        <f aca="false">C372+C373</f>
        <v>2025134.18032743</v>
      </c>
      <c r="D376" s="69" t="n">
        <f aca="false">D372+D373</f>
        <v>1959037.1483718</v>
      </c>
      <c r="E376" s="69" t="n">
        <f aca="false">E372+E373</f>
        <v>1912036.14849723</v>
      </c>
      <c r="F376" s="69" t="n">
        <f aca="false">F372+F373</f>
        <v>1875474.587925</v>
      </c>
      <c r="G376" s="69" t="n">
        <f aca="false">G372+G373</f>
        <v>1849562.04584743</v>
      </c>
      <c r="H376" s="69" t="n">
        <f aca="false">H372+H373</f>
        <v>1834501.39492265</v>
      </c>
      <c r="I376" s="69" t="n">
        <f aca="false">I372+I373</f>
        <v>1830489.01588377</v>
      </c>
      <c r="J376" s="69" t="n">
        <f aca="false">J372+J373</f>
        <v>1837715.00528041</v>
      </c>
      <c r="K376" s="69" t="n">
        <f aca="false">K372+K373</f>
        <v>1848706.28875681</v>
      </c>
      <c r="L376" s="69" t="n">
        <f aca="false">L372+L373</f>
        <v>1863348.04356907</v>
      </c>
      <c r="M376" s="69" t="n">
        <f aca="false">M372+M373</f>
        <v>1881529.12130111</v>
      </c>
      <c r="N376" s="69" t="n">
        <f aca="false">N372+N373</f>
        <v>1888776.22974249</v>
      </c>
      <c r="O376" s="69" t="n">
        <f aca="false">O372+O373</f>
        <v>1908707.19995303</v>
      </c>
      <c r="P376" s="69" t="n">
        <f aca="false">P372+P373</f>
        <v>1932015.1042723</v>
      </c>
      <c r="Q376" s="69" t="n">
        <f aca="false">Q372+Q373</f>
        <v>1974173.80622164</v>
      </c>
      <c r="R376" s="69" t="n">
        <f aca="false">R372+R373</f>
        <v>2019826.71926634</v>
      </c>
      <c r="S376" s="69" t="n">
        <f aca="false">S372+S373</f>
        <v>2068867.69531802</v>
      </c>
      <c r="T376" s="69" t="n">
        <f aca="false">T372+T373</f>
        <v>2116743.24659144</v>
      </c>
      <c r="U376" s="69" t="n">
        <f aca="false">U372+U373</f>
        <v>2160597.83407897</v>
      </c>
      <c r="V376" s="69" t="n">
        <f aca="false">V372+V373</f>
        <v>2206893.18018419</v>
      </c>
      <c r="W376" s="69" t="n">
        <f aca="false">W372+W373</f>
        <v>2255555.657298</v>
      </c>
      <c r="X376" s="69" t="n">
        <f aca="false">X372+X373</f>
        <v>2306513.99389478</v>
      </c>
      <c r="Y376" s="69" t="n">
        <f aca="false">Y372+Y373</f>
        <v>2359699.19913776</v>
      </c>
      <c r="Z376" s="69" t="n">
        <f aca="false">Z372+Z373</f>
        <v>2403133.23668328</v>
      </c>
      <c r="AA376" s="69" t="n">
        <f aca="false">AA372+AA373</f>
        <v>2457463.67907565</v>
      </c>
      <c r="AB376" s="69" t="n">
        <f aca="false">AB372+AB373</f>
        <v>2513925.71004844</v>
      </c>
      <c r="AC376" s="69" t="n">
        <f aca="false">AC372+AC373</f>
        <v>2585442.9571333</v>
      </c>
      <c r="AD376" s="69" t="n">
        <f aca="false">AD372+AD373</f>
        <v>2659255.14236219</v>
      </c>
      <c r="AE376" s="69" t="n">
        <f aca="false">AE372+AE373</f>
        <v>2735293.30438119</v>
      </c>
      <c r="AF376" s="69" t="n">
        <f aca="false">AF372+AF373</f>
        <v>2813490.68859967</v>
      </c>
      <c r="AG376" s="69" t="n">
        <f aca="false">AG372+AG373</f>
        <v>2893782.67657392</v>
      </c>
      <c r="AH376" s="69" t="n">
        <f aca="false">AH372+AH373</f>
        <v>2976106.71765041</v>
      </c>
      <c r="AI376" s="69" t="n">
        <f aca="false">AI372+AI373</f>
        <v>3060402.26279655</v>
      </c>
      <c r="AJ376" s="69" t="n">
        <f aca="false">AJ372+AJ373</f>
        <v>3146610.70054877</v>
      </c>
      <c r="AK376" s="69" t="n">
        <f aca="false">AK372+AK373</f>
        <v>3234675.29501035</v>
      </c>
      <c r="AL376" s="69" t="n">
        <f aca="false">AL372+AL373</f>
        <v>3311875.96745087</v>
      </c>
      <c r="AM376" s="69" t="n">
        <f aca="false">AM372+AM373</f>
        <v>3400977.87792878</v>
      </c>
      <c r="AN376" s="69" t="n">
        <f aca="false">AN372+AN373</f>
        <v>3491865.79844566</v>
      </c>
      <c r="AO376" s="69" t="n">
        <f aca="false">AO372+AO373</f>
        <v>3598348.96074051</v>
      </c>
      <c r="AP376" s="69" t="n">
        <f aca="false">AP372+AP373</f>
        <v>3706839.32431961</v>
      </c>
      <c r="AQ376" s="69" t="n">
        <f aca="false">AQ372+AQ373</f>
        <v>3817277.13540851</v>
      </c>
      <c r="AR376" s="69" t="n">
        <f aca="false">AR372+AR373</f>
        <v>3929604.55235358</v>
      </c>
      <c r="AS376" s="69" t="n">
        <f aca="false">AS372+AS373</f>
        <v>4043765.58443407</v>
      </c>
      <c r="AT376" s="69" t="n">
        <f aca="false">AT372+AT373</f>
        <v>4159706.03263233</v>
      </c>
      <c r="AU376" s="69" t="n">
        <f aca="false">AU372+AU373</f>
        <v>4277373.43229925</v>
      </c>
      <c r="AV376" s="69" t="n">
        <f aca="false">AV372+AV373</f>
        <v>4396716.9976545</v>
      </c>
      <c r="AW376" s="69" t="n">
        <f aca="false">AW372+AW373</f>
        <v>4517687.56806273</v>
      </c>
      <c r="AX376" s="69" t="n">
        <f aca="false">AX372+AX373</f>
        <v>4626653.27983676</v>
      </c>
      <c r="AY376" s="69" t="n">
        <f aca="false">AY372+AY373</f>
        <v>4748659.81870353</v>
      </c>
      <c r="AZ376" s="69" t="n">
        <f aca="false">AZ372+AZ373</f>
        <v>4872243.37727913</v>
      </c>
      <c r="BA376" s="69" t="n">
        <f aca="false">BA372+BA373</f>
        <v>5012263.63162322</v>
      </c>
      <c r="BB376" s="69" t="n">
        <f aca="false">BB372+BB373</f>
        <v>5153670.2069123</v>
      </c>
      <c r="BC376" s="69" t="n">
        <f aca="false">BC372+BC373</f>
        <v>5296004.53722211</v>
      </c>
      <c r="BD376" s="69" t="n">
        <f aca="false">BD372+BD373</f>
        <v>5439257.41795956</v>
      </c>
      <c r="BE376" s="69" t="n">
        <f aca="false">BE372+BE373</f>
        <v>5583418.60184015</v>
      </c>
      <c r="BF376" s="69" t="n">
        <f aca="false">BF372+BF373</f>
        <v>5728476.95561041</v>
      </c>
      <c r="BG376" s="69" t="n">
        <f aca="false">BG372+BG373</f>
        <v>5874420.59904395</v>
      </c>
      <c r="BH376" s="69" t="n">
        <f aca="false">BH372+BH373</f>
        <v>6021237.02824599</v>
      </c>
      <c r="BI376" s="69" t="n">
        <f aca="false">BI372+BI373</f>
        <v>6168913.22504704</v>
      </c>
      <c r="BJ376" s="69" t="n">
        <f aca="false">BJ372+BJ373</f>
        <v>6309083.19873732</v>
      </c>
    </row>
    <row r="377" customFormat="false" ht="15" hidden="false" customHeight="false" outlineLevel="0" collapsed="false">
      <c r="A377" s="4" t="s">
        <v>100</v>
      </c>
      <c r="C377" s="75" t="n">
        <f aca="false">C375+C376</f>
        <v>5031495.07151655</v>
      </c>
      <c r="D377" s="75" t="n">
        <f aca="false">D375+D376</f>
        <v>4941213.5204356</v>
      </c>
      <c r="E377" s="75" t="n">
        <f aca="false">E375+E376</f>
        <v>4871197.55653938</v>
      </c>
      <c r="F377" s="75" t="n">
        <f aca="false">F375+F376</f>
        <v>4810644.18914578</v>
      </c>
      <c r="G377" s="75" t="n">
        <f aca="false">G375+G376</f>
        <v>4760765.10438862</v>
      </c>
      <c r="H377" s="75" t="n">
        <f aca="false">H375+H376</f>
        <v>4721762.36647351</v>
      </c>
      <c r="I377" s="75" t="n">
        <f aca="false">I375+I376</f>
        <v>4693831.57355149</v>
      </c>
      <c r="J377" s="75" t="n">
        <f aca="false">J375+J376</f>
        <v>4677162.06463276</v>
      </c>
      <c r="K377" s="75" t="n">
        <f aca="false">K375+K376</f>
        <v>4663585.89613106</v>
      </c>
      <c r="L377" s="75" t="n">
        <f aca="false">L375+L376</f>
        <v>4653646.35742853</v>
      </c>
      <c r="M377" s="75" t="n">
        <f aca="false">M375+M376</f>
        <v>4647232.74303826</v>
      </c>
      <c r="N377" s="75" t="n">
        <f aca="false">N375+N376</f>
        <v>4627908.09653436</v>
      </c>
      <c r="O377" s="75" t="n">
        <f aca="false">O375+O376</f>
        <v>4624101.42280872</v>
      </c>
      <c r="P377" s="75" t="n">
        <f aca="false">P375+P376</f>
        <v>4622746.4183165</v>
      </c>
      <c r="Q377" s="75" t="n">
        <f aca="false">Q375+Q376</f>
        <v>4642447.96331355</v>
      </c>
      <c r="R377" s="75" t="n">
        <f aca="false">R375+R376</f>
        <v>4663498.8744861</v>
      </c>
      <c r="S377" s="75" t="n">
        <f aca="false">S375+S376</f>
        <v>4687925.11272553</v>
      </c>
      <c r="T377" s="75" t="n">
        <f aca="false">T375+T376</f>
        <v>4711173.59779669</v>
      </c>
      <c r="U377" s="75" t="n">
        <f aca="false">U375+U376</f>
        <v>4730389.18520043</v>
      </c>
      <c r="V377" s="75" t="n">
        <f aca="false">V375+V376</f>
        <v>4752033.97922455</v>
      </c>
      <c r="W377" s="75" t="n">
        <f aca="false">W375+W376</f>
        <v>4776034.72192385</v>
      </c>
      <c r="X377" s="75" t="n">
        <f aca="false">X375+X376</f>
        <v>4802320.49960739</v>
      </c>
      <c r="Y377" s="75" t="n">
        <f aca="false">Y375+Y376</f>
        <v>4830822.66782234</v>
      </c>
      <c r="Z377" s="75" t="n">
        <f aca="false">Z375+Z376</f>
        <v>4847014.50472571</v>
      </c>
      <c r="AA377" s="75" t="n">
        <f aca="false">AA375+AA376</f>
        <v>4877703.3780202</v>
      </c>
      <c r="AB377" s="75" t="n">
        <f aca="false">AB375+AB376</f>
        <v>4909429.81380431</v>
      </c>
      <c r="AC377" s="75" t="n">
        <f aca="false">AC375+AC376</f>
        <v>4959000.66241362</v>
      </c>
      <c r="AD377" s="75" t="n">
        <f aca="false">AD375+AD376</f>
        <v>5008138.61926955</v>
      </c>
      <c r="AE377" s="75" t="n">
        <f aca="false">AE375+AE376</f>
        <v>5059492.12822352</v>
      </c>
      <c r="AF377" s="75" t="n">
        <f aca="false">AF375+AF376</f>
        <v>5112994.76827505</v>
      </c>
      <c r="AG377" s="75" t="n">
        <f aca="false">AG375+AG376</f>
        <v>5168582.24389569</v>
      </c>
      <c r="AH377" s="75" t="n">
        <f aca="false">AH375+AH376</f>
        <v>5226192.31701389</v>
      </c>
      <c r="AI377" s="75" t="n">
        <f aca="false">AI375+AI376</f>
        <v>5285764.7411764</v>
      </c>
      <c r="AJ377" s="75" t="n">
        <f aca="false">AJ375+AJ376</f>
        <v>5347241.19781647</v>
      </c>
      <c r="AK377" s="75" t="n">
        <f aca="false">AK375+AK376</f>
        <v>5410565.23456149</v>
      </c>
      <c r="AL377" s="75" t="n">
        <f aca="false">AL375+AL376</f>
        <v>5459947.48793179</v>
      </c>
      <c r="AM377" s="75" t="n">
        <f aca="false">AM375+AM376</f>
        <v>5525520.19025929</v>
      </c>
      <c r="AN377" s="75" t="n">
        <f aca="false">AN375+AN376</f>
        <v>5591625.66450425</v>
      </c>
      <c r="AO377" s="75" t="n">
        <f aca="false">AO375+AO376</f>
        <v>5676641.99774417</v>
      </c>
      <c r="AP377" s="75" t="n">
        <f aca="false">AP375+AP376</f>
        <v>5760413.31958403</v>
      </c>
      <c r="AQ377" s="75" t="n">
        <f aca="false">AQ375+AQ376</f>
        <v>5846123.09826935</v>
      </c>
      <c r="AR377" s="75" t="n">
        <f aca="false">AR375+AR376</f>
        <v>5933713.77984775</v>
      </c>
      <c r="AS377" s="75" t="n">
        <f aca="false">AS375+AS376</f>
        <v>6023129.65209331</v>
      </c>
      <c r="AT377" s="75" t="n">
        <f aca="false">AT375+AT376</f>
        <v>6114316.78557135</v>
      </c>
      <c r="AU377" s="75" t="n">
        <f aca="false">AU375+AU376</f>
        <v>6207222.9765891</v>
      </c>
      <c r="AV377" s="75" t="n">
        <f aca="false">AV375+AV376</f>
        <v>6301797.69197196</v>
      </c>
      <c r="AW377" s="75" t="n">
        <f aca="false">AW375+AW376</f>
        <v>6397992.0156069</v>
      </c>
      <c r="AX377" s="75" t="n">
        <f aca="false">AX375+AX376</f>
        <v>6478617.4536344</v>
      </c>
      <c r="AY377" s="75" t="n">
        <f aca="false">AY375+AY376</f>
        <v>6577222.89162941</v>
      </c>
      <c r="AZ377" s="75" t="n">
        <f aca="false">AZ375+AZ376</f>
        <v>6675995.53797941</v>
      </c>
      <c r="BA377" s="75" t="n">
        <f aca="false">BA375+BA376</f>
        <v>6795019.47284403</v>
      </c>
      <c r="BB377" s="75" t="n">
        <f aca="false">BB375+BB376</f>
        <v>6911561.65173086</v>
      </c>
      <c r="BC377" s="75" t="n">
        <f aca="false">BC375+BC376</f>
        <v>7028915.13438847</v>
      </c>
      <c r="BD377" s="75" t="n">
        <f aca="false">BD375+BD376</f>
        <v>7147186.94371602</v>
      </c>
      <c r="BE377" s="75" t="n">
        <f aca="false">BE375+BE376</f>
        <v>7266366.80708184</v>
      </c>
      <c r="BF377" s="75" t="n">
        <f aca="false">BF375+BF376</f>
        <v>7386443.56969512</v>
      </c>
      <c r="BG377" s="75" t="n">
        <f aca="false">BG375+BG376</f>
        <v>7507405.33317106</v>
      </c>
      <c r="BH377" s="75" t="n">
        <f aca="false">BH375+BH376</f>
        <v>7629239.5784539</v>
      </c>
      <c r="BI377" s="75" t="n">
        <f aca="false">BI375+BI376</f>
        <v>7751933.27487246</v>
      </c>
      <c r="BJ377" s="75" t="n">
        <f aca="false">BJ375+BJ376</f>
        <v>7864833.63004633</v>
      </c>
    </row>
    <row r="378" customFormat="false" ht="15" hidden="false" customHeight="false" outlineLevel="0" collapsed="false">
      <c r="A378" s="6" t="s">
        <v>471</v>
      </c>
      <c r="C378" s="69" t="n">
        <f aca="false">C374-C377</f>
        <v>0</v>
      </c>
      <c r="D378" s="69" t="n">
        <f aca="false">D374-D377</f>
        <v>0</v>
      </c>
      <c r="E378" s="69" t="n">
        <f aca="false">E374-E377</f>
        <v>0</v>
      </c>
      <c r="F378" s="69" t="n">
        <f aca="false">F374-F377</f>
        <v>0</v>
      </c>
      <c r="G378" s="69" t="n">
        <f aca="false">G374-G377</f>
        <v>0</v>
      </c>
      <c r="H378" s="69" t="n">
        <f aca="false">H374-H377</f>
        <v>0</v>
      </c>
      <c r="I378" s="69" t="n">
        <f aca="false">I374-I377</f>
        <v>0</v>
      </c>
      <c r="J378" s="69" t="n">
        <f aca="false">J374-J377</f>
        <v>0</v>
      </c>
      <c r="K378" s="69" t="n">
        <f aca="false">K374-K377</f>
        <v>0</v>
      </c>
      <c r="L378" s="69" t="n">
        <f aca="false">L374-L377</f>
        <v>0</v>
      </c>
      <c r="M378" s="69" t="n">
        <f aca="false">M374-M377</f>
        <v>0</v>
      </c>
      <c r="N378" s="69" t="n">
        <f aca="false">N374-N377</f>
        <v>0</v>
      </c>
      <c r="O378" s="69" t="n">
        <f aca="false">O374-O377</f>
        <v>0</v>
      </c>
      <c r="P378" s="69" t="n">
        <f aca="false">P374-P377</f>
        <v>0</v>
      </c>
      <c r="Q378" s="69" t="n">
        <f aca="false">Q374-Q377</f>
        <v>0</v>
      </c>
      <c r="R378" s="69" t="n">
        <f aca="false">R374-R377</f>
        <v>0</v>
      </c>
      <c r="S378" s="69" t="n">
        <f aca="false">S374-S377</f>
        <v>0</v>
      </c>
      <c r="T378" s="69" t="n">
        <f aca="false">T374-T377</f>
        <v>0</v>
      </c>
      <c r="U378" s="69" t="n">
        <f aca="false">U374-U377</f>
        <v>0</v>
      </c>
      <c r="V378" s="69" t="n">
        <f aca="false">V374-V377</f>
        <v>0</v>
      </c>
      <c r="W378" s="69" t="n">
        <f aca="false">W374-W377</f>
        <v>0</v>
      </c>
      <c r="X378" s="69" t="n">
        <f aca="false">X374-X377</f>
        <v>0</v>
      </c>
      <c r="Y378" s="69" t="n">
        <f aca="false">Y374-Y377</f>
        <v>0</v>
      </c>
      <c r="Z378" s="69" t="n">
        <f aca="false">Z374-Z377</f>
        <v>0</v>
      </c>
      <c r="AA378" s="69" t="n">
        <f aca="false">AA374-AA377</f>
        <v>0</v>
      </c>
      <c r="AB378" s="69" t="n">
        <f aca="false">AB374-AB377</f>
        <v>0</v>
      </c>
      <c r="AC378" s="69" t="n">
        <f aca="false">AC374-AC377</f>
        <v>0</v>
      </c>
      <c r="AD378" s="69" t="n">
        <f aca="false">AD374-AD377</f>
        <v>0</v>
      </c>
      <c r="AE378" s="69" t="n">
        <f aca="false">AE374-AE377</f>
        <v>0</v>
      </c>
      <c r="AF378" s="69" t="n">
        <f aca="false">AF374-AF377</f>
        <v>0</v>
      </c>
      <c r="AG378" s="69" t="n">
        <f aca="false">AG374-AG377</f>
        <v>0</v>
      </c>
      <c r="AH378" s="69" t="n">
        <f aca="false">AH374-AH377</f>
        <v>0</v>
      </c>
      <c r="AI378" s="69" t="n">
        <f aca="false">AI374-AI377</f>
        <v>0</v>
      </c>
      <c r="AJ378" s="69" t="n">
        <f aca="false">AJ374-AJ377</f>
        <v>0</v>
      </c>
      <c r="AK378" s="69" t="n">
        <f aca="false">AK374-AK377</f>
        <v>0</v>
      </c>
      <c r="AL378" s="69" t="n">
        <f aca="false">AL374-AL377</f>
        <v>0</v>
      </c>
      <c r="AM378" s="69" t="n">
        <f aca="false">AM374-AM377</f>
        <v>0</v>
      </c>
      <c r="AN378" s="69" t="n">
        <f aca="false">AN374-AN377</f>
        <v>0</v>
      </c>
      <c r="AO378" s="69" t="n">
        <f aca="false">AO374-AO377</f>
        <v>0</v>
      </c>
      <c r="AP378" s="69" t="n">
        <f aca="false">AP374-AP377</f>
        <v>0</v>
      </c>
      <c r="AQ378" s="69" t="n">
        <f aca="false">AQ374-AQ377</f>
        <v>0</v>
      </c>
      <c r="AR378" s="69" t="n">
        <f aca="false">AR374-AR377</f>
        <v>0</v>
      </c>
      <c r="AS378" s="69" t="n">
        <f aca="false">AS374-AS377</f>
        <v>0</v>
      </c>
      <c r="AT378" s="69" t="n">
        <f aca="false">AT374-AT377</f>
        <v>0</v>
      </c>
      <c r="AU378" s="69" t="n">
        <f aca="false">AU374-AU377</f>
        <v>0</v>
      </c>
      <c r="AV378" s="69" t="n">
        <f aca="false">AV374-AV377</f>
        <v>0</v>
      </c>
      <c r="AW378" s="69" t="n">
        <f aca="false">AW374-AW377</f>
        <v>0</v>
      </c>
      <c r="AX378" s="69" t="n">
        <f aca="false">AX374-AX377</f>
        <v>0</v>
      </c>
      <c r="AY378" s="69" t="n">
        <f aca="false">AY374-AY377</f>
        <v>0</v>
      </c>
      <c r="AZ378" s="69" t="n">
        <f aca="false">AZ374-AZ377</f>
        <v>0</v>
      </c>
      <c r="BA378" s="69" t="n">
        <f aca="false">BA374-BA377</f>
        <v>0</v>
      </c>
      <c r="BB378" s="69" t="n">
        <f aca="false">BB374-BB377</f>
        <v>0</v>
      </c>
      <c r="BC378" s="69" t="n">
        <f aca="false">BC374-BC377</f>
        <v>0</v>
      </c>
      <c r="BD378" s="69" t="n">
        <f aca="false">BD374-BD377</f>
        <v>0</v>
      </c>
      <c r="BE378" s="69" t="n">
        <f aca="false">BE374-BE377</f>
        <v>0</v>
      </c>
      <c r="BF378" s="69" t="n">
        <f aca="false">BF374-BF377</f>
        <v>0</v>
      </c>
      <c r="BG378" s="69" t="n">
        <f aca="false">BG374-BG377</f>
        <v>0</v>
      </c>
      <c r="BH378" s="69" t="n">
        <f aca="false">BH374-BH377</f>
        <v>0</v>
      </c>
      <c r="BI378" s="69" t="n">
        <f aca="false">BI374-BI377</f>
        <v>0</v>
      </c>
      <c r="BJ378" s="69" t="n">
        <f aca="false">BJ374-BJ377</f>
        <v>0</v>
      </c>
    </row>
    <row r="380" customFormat="false" ht="15.75" hidden="false" customHeight="true" outlineLevel="0" collapsed="false">
      <c r="A380" s="7" t="s">
        <v>473</v>
      </c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</row>
    <row r="381" customFormat="false" ht="15" hidden="false" customHeight="false" outlineLevel="0" collapsed="false">
      <c r="A381" s="6" t="s">
        <v>474</v>
      </c>
      <c r="C381" s="117" t="n">
        <f aca="false">Inputs!$D$57*(1+Inputs!$D$59)^(C$265-1)*MAX(0,MIN(1,C$264*1-Inputs!$D$60+1))/1</f>
        <v>1</v>
      </c>
      <c r="D381" s="117" t="n">
        <f aca="false">Inputs!$D$57*(1+Inputs!$D$59)^(D$265-1)*MAX(0,MIN(1,D$264*1-Inputs!$D$60+1))/1</f>
        <v>1</v>
      </c>
      <c r="E381" s="117" t="n">
        <f aca="false">Inputs!$D$57*(1+Inputs!$D$59)^(E$265-1)*MAX(0,MIN(1,E$264*1-Inputs!$D$60+1))/1</f>
        <v>1</v>
      </c>
      <c r="F381" s="117" t="n">
        <f aca="false">Inputs!$D$57*(1+Inputs!$D$59)^(F$265-1)*MAX(0,MIN(1,F$264*1-Inputs!$D$60+1))/1</f>
        <v>1</v>
      </c>
      <c r="G381" s="117" t="n">
        <f aca="false">Inputs!$D$57*(1+Inputs!$D$59)^(G$265-1)*MAX(0,MIN(1,G$264*1-Inputs!$D$60+1))/1</f>
        <v>1</v>
      </c>
      <c r="H381" s="117" t="n">
        <f aca="false">Inputs!$D$57*(1+Inputs!$D$59)^(H$265-1)*MAX(0,MIN(1,H$264*1-Inputs!$D$60+1))/1</f>
        <v>1</v>
      </c>
      <c r="I381" s="117" t="n">
        <f aca="false">Inputs!$D$57*(1+Inputs!$D$59)^(I$265-1)*MAX(0,MIN(1,I$264*1-Inputs!$D$60+1))/1</f>
        <v>1</v>
      </c>
      <c r="J381" s="117" t="n">
        <f aca="false">Inputs!$D$57*(1+Inputs!$D$59)^(J$265-1)*MAX(0,MIN(1,J$264*1-Inputs!$D$60+1))/1</f>
        <v>1</v>
      </c>
      <c r="K381" s="117" t="n">
        <f aca="false">Inputs!$D$57*(1+Inputs!$D$59)^(K$265-1)*MAX(0,MIN(1,K$264*1-Inputs!$D$60+1))/1</f>
        <v>1</v>
      </c>
      <c r="L381" s="117" t="n">
        <f aca="false">Inputs!$D$57*(1+Inputs!$D$59)^(L$265-1)*MAX(0,MIN(1,L$264*1-Inputs!$D$60+1))/1</f>
        <v>1</v>
      </c>
      <c r="M381" s="117" t="n">
        <f aca="false">Inputs!$D$57*(1+Inputs!$D$59)^(M$265-1)*MAX(0,MIN(1,M$264*1-Inputs!$D$60+1))/1</f>
        <v>1</v>
      </c>
      <c r="N381" s="117" t="n">
        <f aca="false">Inputs!$D$57*(1+Inputs!$D$59)^(N$265-1)*MAX(0,MIN(1,N$264*1-Inputs!$D$60+1))/1</f>
        <v>1</v>
      </c>
      <c r="O381" s="117" t="n">
        <f aca="false">Inputs!$D$57*(1+Inputs!$D$59)^(O$265-1)*MAX(0,MIN(1,O$264*1-Inputs!$D$60+1))/1</f>
        <v>1</v>
      </c>
      <c r="P381" s="117" t="n">
        <f aca="false">Inputs!$D$57*(1+Inputs!$D$59)^(P$265-1)*MAX(0,MIN(1,P$264*1-Inputs!$D$60+1))/1</f>
        <v>1</v>
      </c>
      <c r="Q381" s="117" t="n">
        <f aca="false">Inputs!$D$57*(1+Inputs!$D$59)^(Q$265-1)*MAX(0,MIN(1,Q$264*1-Inputs!$D$60+1))/1</f>
        <v>1</v>
      </c>
      <c r="R381" s="117" t="n">
        <f aca="false">Inputs!$D$57*(1+Inputs!$D$59)^(R$265-1)*MAX(0,MIN(1,R$264*1-Inputs!$D$60+1))/1</f>
        <v>1</v>
      </c>
      <c r="S381" s="117" t="n">
        <f aca="false">Inputs!$D$57*(1+Inputs!$D$59)^(S$265-1)*MAX(0,MIN(1,S$264*1-Inputs!$D$60+1))/1</f>
        <v>1</v>
      </c>
      <c r="T381" s="117" t="n">
        <f aca="false">Inputs!$D$57*(1+Inputs!$D$59)^(T$265-1)*MAX(0,MIN(1,T$264*1-Inputs!$D$60+1))/1</f>
        <v>1</v>
      </c>
      <c r="U381" s="117" t="n">
        <f aca="false">Inputs!$D$57*(1+Inputs!$D$59)^(U$265-1)*MAX(0,MIN(1,U$264*1-Inputs!$D$60+1))/1</f>
        <v>1</v>
      </c>
      <c r="V381" s="117" t="n">
        <f aca="false">Inputs!$D$57*(1+Inputs!$D$59)^(V$265-1)*MAX(0,MIN(1,V$264*1-Inputs!$D$60+1))/1</f>
        <v>1</v>
      </c>
      <c r="W381" s="117" t="n">
        <f aca="false">Inputs!$D$57*(1+Inputs!$D$59)^(W$265-1)*MAX(0,MIN(1,W$264*1-Inputs!$D$60+1))/1</f>
        <v>1</v>
      </c>
      <c r="X381" s="117" t="n">
        <f aca="false">Inputs!$D$57*(1+Inputs!$D$59)^(X$265-1)*MAX(0,MIN(1,X$264*1-Inputs!$D$60+1))/1</f>
        <v>1</v>
      </c>
      <c r="Y381" s="117" t="n">
        <f aca="false">Inputs!$D$57*(1+Inputs!$D$59)^(Y$265-1)*MAX(0,MIN(1,Y$264*1-Inputs!$D$60+1))/1</f>
        <v>1</v>
      </c>
      <c r="Z381" s="117" t="n">
        <f aca="false">Inputs!$D$57*(1+Inputs!$D$59)^(Z$265-1)*MAX(0,MIN(1,Z$264*1-Inputs!$D$60+1))/1</f>
        <v>1</v>
      </c>
      <c r="AA381" s="117" t="n">
        <f aca="false">Inputs!$D$57*(1+Inputs!$D$59)^(AA$265-1)*MAX(0,MIN(1,AA$264*1-Inputs!$D$60+1))/1</f>
        <v>1</v>
      </c>
      <c r="AB381" s="117" t="n">
        <f aca="false">Inputs!$D$57*(1+Inputs!$D$59)^(AB$265-1)*MAX(0,MIN(1,AB$264*1-Inputs!$D$60+1))/1</f>
        <v>1</v>
      </c>
      <c r="AC381" s="117" t="n">
        <f aca="false">Inputs!$D$57*(1+Inputs!$D$59)^(AC$265-1)*MAX(0,MIN(1,AC$264*1-Inputs!$D$60+1))/1</f>
        <v>1</v>
      </c>
      <c r="AD381" s="117" t="n">
        <f aca="false">Inputs!$D$57*(1+Inputs!$D$59)^(AD$265-1)*MAX(0,MIN(1,AD$264*1-Inputs!$D$60+1))/1</f>
        <v>1</v>
      </c>
      <c r="AE381" s="117" t="n">
        <f aca="false">Inputs!$D$57*(1+Inputs!$D$59)^(AE$265-1)*MAX(0,MIN(1,AE$264*1-Inputs!$D$60+1))/1</f>
        <v>1</v>
      </c>
      <c r="AF381" s="117" t="n">
        <f aca="false">Inputs!$D$57*(1+Inputs!$D$59)^(AF$265-1)*MAX(0,MIN(1,AF$264*1-Inputs!$D$60+1))/1</f>
        <v>1</v>
      </c>
      <c r="AG381" s="117" t="n">
        <f aca="false">Inputs!$D$57*(1+Inputs!$D$59)^(AG$265-1)*MAX(0,MIN(1,AG$264*1-Inputs!$D$60+1))/1</f>
        <v>1</v>
      </c>
      <c r="AH381" s="117" t="n">
        <f aca="false">Inputs!$D$57*(1+Inputs!$D$59)^(AH$265-1)*MAX(0,MIN(1,AH$264*1-Inputs!$D$60+1))/1</f>
        <v>1</v>
      </c>
      <c r="AI381" s="117" t="n">
        <f aca="false">Inputs!$D$57*(1+Inputs!$D$59)^(AI$265-1)*MAX(0,MIN(1,AI$264*1-Inputs!$D$60+1))/1</f>
        <v>1</v>
      </c>
      <c r="AJ381" s="117" t="n">
        <f aca="false">Inputs!$D$57*(1+Inputs!$D$59)^(AJ$265-1)*MAX(0,MIN(1,AJ$264*1-Inputs!$D$60+1))/1</f>
        <v>1</v>
      </c>
      <c r="AK381" s="117" t="n">
        <f aca="false">Inputs!$D$57*(1+Inputs!$D$59)^(AK$265-1)*MAX(0,MIN(1,AK$264*1-Inputs!$D$60+1))/1</f>
        <v>1</v>
      </c>
      <c r="AL381" s="117" t="n">
        <f aca="false">Inputs!$D$57*(1+Inputs!$D$59)^(AL$265-1)*MAX(0,MIN(1,AL$264*1-Inputs!$D$60+1))/1</f>
        <v>1</v>
      </c>
      <c r="AM381" s="117" t="n">
        <f aca="false">Inputs!$D$57*(1+Inputs!$D$59)^(AM$265-1)*MAX(0,MIN(1,AM$264*1-Inputs!$D$60+1))/1</f>
        <v>1</v>
      </c>
      <c r="AN381" s="117" t="n">
        <f aca="false">Inputs!$D$57*(1+Inputs!$D$59)^(AN$265-1)*MAX(0,MIN(1,AN$264*1-Inputs!$D$60+1))/1</f>
        <v>1</v>
      </c>
      <c r="AO381" s="117" t="n">
        <f aca="false">Inputs!$D$57*(1+Inputs!$D$59)^(AO$265-1)*MAX(0,MIN(1,AO$264*1-Inputs!$D$60+1))/1</f>
        <v>1</v>
      </c>
      <c r="AP381" s="117" t="n">
        <f aca="false">Inputs!$D$57*(1+Inputs!$D$59)^(AP$265-1)*MAX(0,MIN(1,AP$264*1-Inputs!$D$60+1))/1</f>
        <v>1</v>
      </c>
      <c r="AQ381" s="117" t="n">
        <f aca="false">Inputs!$D$57*(1+Inputs!$D$59)^(AQ$265-1)*MAX(0,MIN(1,AQ$264*1-Inputs!$D$60+1))/1</f>
        <v>1</v>
      </c>
      <c r="AR381" s="117" t="n">
        <f aca="false">Inputs!$D$57*(1+Inputs!$D$59)^(AR$265-1)*MAX(0,MIN(1,AR$264*1-Inputs!$D$60+1))/1</f>
        <v>1</v>
      </c>
      <c r="AS381" s="117" t="n">
        <f aca="false">Inputs!$D$57*(1+Inputs!$D$59)^(AS$265-1)*MAX(0,MIN(1,AS$264*1-Inputs!$D$60+1))/1</f>
        <v>1</v>
      </c>
      <c r="AT381" s="117" t="n">
        <f aca="false">Inputs!$D$57*(1+Inputs!$D$59)^(AT$265-1)*MAX(0,MIN(1,AT$264*1-Inputs!$D$60+1))/1</f>
        <v>1</v>
      </c>
      <c r="AU381" s="117" t="n">
        <f aca="false">Inputs!$D$57*(1+Inputs!$D$59)^(AU$265-1)*MAX(0,MIN(1,AU$264*1-Inputs!$D$60+1))/1</f>
        <v>1</v>
      </c>
      <c r="AV381" s="117" t="n">
        <f aca="false">Inputs!$D$57*(1+Inputs!$D$59)^(AV$265-1)*MAX(0,MIN(1,AV$264*1-Inputs!$D$60+1))/1</f>
        <v>1</v>
      </c>
      <c r="AW381" s="117" t="n">
        <f aca="false">Inputs!$D$57*(1+Inputs!$D$59)^(AW$265-1)*MAX(0,MIN(1,AW$264*1-Inputs!$D$60+1))/1</f>
        <v>1</v>
      </c>
      <c r="AX381" s="117" t="n">
        <f aca="false">Inputs!$D$57*(1+Inputs!$D$59)^(AX$265-1)*MAX(0,MIN(1,AX$264*1-Inputs!$D$60+1))/1</f>
        <v>1</v>
      </c>
      <c r="AY381" s="117" t="n">
        <f aca="false">Inputs!$D$57*(1+Inputs!$D$59)^(AY$265-1)*MAX(0,MIN(1,AY$264*1-Inputs!$D$60+1))/1</f>
        <v>1</v>
      </c>
      <c r="AZ381" s="117" t="n">
        <f aca="false">Inputs!$D$57*(1+Inputs!$D$59)^(AZ$265-1)*MAX(0,MIN(1,AZ$264*1-Inputs!$D$60+1))/1</f>
        <v>1</v>
      </c>
      <c r="BA381" s="117" t="n">
        <f aca="false">Inputs!$D$57*(1+Inputs!$D$59)^(BA$265-1)*MAX(0,MIN(1,BA$264*1-Inputs!$D$60+1))/1</f>
        <v>1</v>
      </c>
      <c r="BB381" s="117" t="n">
        <f aca="false">Inputs!$D$57*(1+Inputs!$D$59)^(BB$265-1)*MAX(0,MIN(1,BB$264*1-Inputs!$D$60+1))/1</f>
        <v>1</v>
      </c>
      <c r="BC381" s="117" t="n">
        <f aca="false">Inputs!$D$57*(1+Inputs!$D$59)^(BC$265-1)*MAX(0,MIN(1,BC$264*1-Inputs!$D$60+1))/1</f>
        <v>1</v>
      </c>
      <c r="BD381" s="117" t="n">
        <f aca="false">Inputs!$D$57*(1+Inputs!$D$59)^(BD$265-1)*MAX(0,MIN(1,BD$264*1-Inputs!$D$60+1))/1</f>
        <v>1</v>
      </c>
      <c r="BE381" s="117" t="n">
        <f aca="false">Inputs!$D$57*(1+Inputs!$D$59)^(BE$265-1)*MAX(0,MIN(1,BE$264*1-Inputs!$D$60+1))/1</f>
        <v>1</v>
      </c>
      <c r="BF381" s="117" t="n">
        <f aca="false">Inputs!$D$57*(1+Inputs!$D$59)^(BF$265-1)*MAX(0,MIN(1,BF$264*1-Inputs!$D$60+1))/1</f>
        <v>1</v>
      </c>
      <c r="BG381" s="117" t="n">
        <f aca="false">Inputs!$D$57*(1+Inputs!$D$59)^(BG$265-1)*MAX(0,MIN(1,BG$264*1-Inputs!$D$60+1))/1</f>
        <v>1</v>
      </c>
      <c r="BH381" s="117" t="n">
        <f aca="false">Inputs!$D$57*(1+Inputs!$D$59)^(BH$265-1)*MAX(0,MIN(1,BH$264*1-Inputs!$D$60+1))/1</f>
        <v>1</v>
      </c>
      <c r="BI381" s="117" t="n">
        <f aca="false">Inputs!$D$57*(1+Inputs!$D$59)^(BI$265-1)*MAX(0,MIN(1,BI$264*1-Inputs!$D$60+1))/1</f>
        <v>1</v>
      </c>
      <c r="BJ381" s="117" t="n">
        <f aca="false">Inputs!$D$57*(1+Inputs!$D$59)^(BJ$265-1)*MAX(0,MIN(1,BJ$264*1-Inputs!$D$60+1))/1</f>
        <v>1</v>
      </c>
    </row>
    <row r="382" customFormat="false" ht="15" hidden="false" customHeight="false" outlineLevel="0" collapsed="false">
      <c r="A382" s="6" t="s">
        <v>475</v>
      </c>
      <c r="C382" s="117" t="n">
        <f aca="false">Inputs!$D$61*(1+Inputs!$D$63)^(C$265-1)*MAX(0,MIN(1,C$264*1-Inputs!$D$64+1))/1</f>
        <v>10</v>
      </c>
      <c r="D382" s="117" t="n">
        <f aca="false">Inputs!$D$61*(1+Inputs!$D$63)^(D$265-1)*MAX(0,MIN(1,D$264*1-Inputs!$D$64+1))/1</f>
        <v>10</v>
      </c>
      <c r="E382" s="117" t="n">
        <f aca="false">Inputs!$D$61*(1+Inputs!$D$63)^(E$265-1)*MAX(0,MIN(1,E$264*1-Inputs!$D$64+1))/1</f>
        <v>10</v>
      </c>
      <c r="F382" s="117" t="n">
        <f aca="false">Inputs!$D$61*(1+Inputs!$D$63)^(F$265-1)*MAX(0,MIN(1,F$264*1-Inputs!$D$64+1))/1</f>
        <v>10</v>
      </c>
      <c r="G382" s="117" t="n">
        <f aca="false">Inputs!$D$61*(1+Inputs!$D$63)^(G$265-1)*MAX(0,MIN(1,G$264*1-Inputs!$D$64+1))/1</f>
        <v>10</v>
      </c>
      <c r="H382" s="117" t="n">
        <f aca="false">Inputs!$D$61*(1+Inputs!$D$63)^(H$265-1)*MAX(0,MIN(1,H$264*1-Inputs!$D$64+1))/1</f>
        <v>10</v>
      </c>
      <c r="I382" s="117" t="n">
        <f aca="false">Inputs!$D$61*(1+Inputs!$D$63)^(I$265-1)*MAX(0,MIN(1,I$264*1-Inputs!$D$64+1))/1</f>
        <v>10</v>
      </c>
      <c r="J382" s="117" t="n">
        <f aca="false">Inputs!$D$61*(1+Inputs!$D$63)^(J$265-1)*MAX(0,MIN(1,J$264*1-Inputs!$D$64+1))/1</f>
        <v>10</v>
      </c>
      <c r="K382" s="117" t="n">
        <f aca="false">Inputs!$D$61*(1+Inputs!$D$63)^(K$265-1)*MAX(0,MIN(1,K$264*1-Inputs!$D$64+1))/1</f>
        <v>10</v>
      </c>
      <c r="L382" s="117" t="n">
        <f aca="false">Inputs!$D$61*(1+Inputs!$D$63)^(L$265-1)*MAX(0,MIN(1,L$264*1-Inputs!$D$64+1))/1</f>
        <v>10</v>
      </c>
      <c r="M382" s="117" t="n">
        <f aca="false">Inputs!$D$61*(1+Inputs!$D$63)^(M$265-1)*MAX(0,MIN(1,M$264*1-Inputs!$D$64+1))/1</f>
        <v>10</v>
      </c>
      <c r="N382" s="117" t="n">
        <f aca="false">Inputs!$D$61*(1+Inputs!$D$63)^(N$265-1)*MAX(0,MIN(1,N$264*1-Inputs!$D$64+1))/1</f>
        <v>10</v>
      </c>
      <c r="O382" s="117" t="n">
        <f aca="false">Inputs!$D$61*(1+Inputs!$D$63)^(O$265-1)*MAX(0,MIN(1,O$264*1-Inputs!$D$64+1))/1</f>
        <v>10</v>
      </c>
      <c r="P382" s="117" t="n">
        <f aca="false">Inputs!$D$61*(1+Inputs!$D$63)^(P$265-1)*MAX(0,MIN(1,P$264*1-Inputs!$D$64+1))/1</f>
        <v>10</v>
      </c>
      <c r="Q382" s="117" t="n">
        <f aca="false">Inputs!$D$61*(1+Inputs!$D$63)^(Q$265-1)*MAX(0,MIN(1,Q$264*1-Inputs!$D$64+1))/1</f>
        <v>10</v>
      </c>
      <c r="R382" s="117" t="n">
        <f aca="false">Inputs!$D$61*(1+Inputs!$D$63)^(R$265-1)*MAX(0,MIN(1,R$264*1-Inputs!$D$64+1))/1</f>
        <v>10</v>
      </c>
      <c r="S382" s="117" t="n">
        <f aca="false">Inputs!$D$61*(1+Inputs!$D$63)^(S$265-1)*MAX(0,MIN(1,S$264*1-Inputs!$D$64+1))/1</f>
        <v>10</v>
      </c>
      <c r="T382" s="117" t="n">
        <f aca="false">Inputs!$D$61*(1+Inputs!$D$63)^(T$265-1)*MAX(0,MIN(1,T$264*1-Inputs!$D$64+1))/1</f>
        <v>10</v>
      </c>
      <c r="U382" s="117" t="n">
        <f aca="false">Inputs!$D$61*(1+Inputs!$D$63)^(U$265-1)*MAX(0,MIN(1,U$264*1-Inputs!$D$64+1))/1</f>
        <v>10</v>
      </c>
      <c r="V382" s="117" t="n">
        <f aca="false">Inputs!$D$61*(1+Inputs!$D$63)^(V$265-1)*MAX(0,MIN(1,V$264*1-Inputs!$D$64+1))/1</f>
        <v>10</v>
      </c>
      <c r="W382" s="117" t="n">
        <f aca="false">Inputs!$D$61*(1+Inputs!$D$63)^(W$265-1)*MAX(0,MIN(1,W$264*1-Inputs!$D$64+1))/1</f>
        <v>10</v>
      </c>
      <c r="X382" s="117" t="n">
        <f aca="false">Inputs!$D$61*(1+Inputs!$D$63)^(X$265-1)*MAX(0,MIN(1,X$264*1-Inputs!$D$64+1))/1</f>
        <v>10</v>
      </c>
      <c r="Y382" s="117" t="n">
        <f aca="false">Inputs!$D$61*(1+Inputs!$D$63)^(Y$265-1)*MAX(0,MIN(1,Y$264*1-Inputs!$D$64+1))/1</f>
        <v>10</v>
      </c>
      <c r="Z382" s="117" t="n">
        <f aca="false">Inputs!$D$61*(1+Inputs!$D$63)^(Z$265-1)*MAX(0,MIN(1,Z$264*1-Inputs!$D$64+1))/1</f>
        <v>10</v>
      </c>
      <c r="AA382" s="117" t="n">
        <f aca="false">Inputs!$D$61*(1+Inputs!$D$63)^(AA$265-1)*MAX(0,MIN(1,AA$264*1-Inputs!$D$64+1))/1</f>
        <v>10</v>
      </c>
      <c r="AB382" s="117" t="n">
        <f aca="false">Inputs!$D$61*(1+Inputs!$D$63)^(AB$265-1)*MAX(0,MIN(1,AB$264*1-Inputs!$D$64+1))/1</f>
        <v>10</v>
      </c>
      <c r="AC382" s="117" t="n">
        <f aca="false">Inputs!$D$61*(1+Inputs!$D$63)^(AC$265-1)*MAX(0,MIN(1,AC$264*1-Inputs!$D$64+1))/1</f>
        <v>10</v>
      </c>
      <c r="AD382" s="117" t="n">
        <f aca="false">Inputs!$D$61*(1+Inputs!$D$63)^(AD$265-1)*MAX(0,MIN(1,AD$264*1-Inputs!$D$64+1))/1</f>
        <v>10</v>
      </c>
      <c r="AE382" s="117" t="n">
        <f aca="false">Inputs!$D$61*(1+Inputs!$D$63)^(AE$265-1)*MAX(0,MIN(1,AE$264*1-Inputs!$D$64+1))/1</f>
        <v>10</v>
      </c>
      <c r="AF382" s="117" t="n">
        <f aca="false">Inputs!$D$61*(1+Inputs!$D$63)^(AF$265-1)*MAX(0,MIN(1,AF$264*1-Inputs!$D$64+1))/1</f>
        <v>10</v>
      </c>
      <c r="AG382" s="117" t="n">
        <f aca="false">Inputs!$D$61*(1+Inputs!$D$63)^(AG$265-1)*MAX(0,MIN(1,AG$264*1-Inputs!$D$64+1))/1</f>
        <v>10</v>
      </c>
      <c r="AH382" s="117" t="n">
        <f aca="false">Inputs!$D$61*(1+Inputs!$D$63)^(AH$265-1)*MAX(0,MIN(1,AH$264*1-Inputs!$D$64+1))/1</f>
        <v>10</v>
      </c>
      <c r="AI382" s="117" t="n">
        <f aca="false">Inputs!$D$61*(1+Inputs!$D$63)^(AI$265-1)*MAX(0,MIN(1,AI$264*1-Inputs!$D$64+1))/1</f>
        <v>10</v>
      </c>
      <c r="AJ382" s="117" t="n">
        <f aca="false">Inputs!$D$61*(1+Inputs!$D$63)^(AJ$265-1)*MAX(0,MIN(1,AJ$264*1-Inputs!$D$64+1))/1</f>
        <v>10</v>
      </c>
      <c r="AK382" s="117" t="n">
        <f aca="false">Inputs!$D$61*(1+Inputs!$D$63)^(AK$265-1)*MAX(0,MIN(1,AK$264*1-Inputs!$D$64+1))/1</f>
        <v>10</v>
      </c>
      <c r="AL382" s="117" t="n">
        <f aca="false">Inputs!$D$61*(1+Inputs!$D$63)^(AL$265-1)*MAX(0,MIN(1,AL$264*1-Inputs!$D$64+1))/1</f>
        <v>10</v>
      </c>
      <c r="AM382" s="117" t="n">
        <f aca="false">Inputs!$D$61*(1+Inputs!$D$63)^(AM$265-1)*MAX(0,MIN(1,AM$264*1-Inputs!$D$64+1))/1</f>
        <v>10</v>
      </c>
      <c r="AN382" s="117" t="n">
        <f aca="false">Inputs!$D$61*(1+Inputs!$D$63)^(AN$265-1)*MAX(0,MIN(1,AN$264*1-Inputs!$D$64+1))/1</f>
        <v>10</v>
      </c>
      <c r="AO382" s="117" t="n">
        <f aca="false">Inputs!$D$61*(1+Inputs!$D$63)^(AO$265-1)*MAX(0,MIN(1,AO$264*1-Inputs!$D$64+1))/1</f>
        <v>10</v>
      </c>
      <c r="AP382" s="117" t="n">
        <f aca="false">Inputs!$D$61*(1+Inputs!$D$63)^(AP$265-1)*MAX(0,MIN(1,AP$264*1-Inputs!$D$64+1))/1</f>
        <v>10</v>
      </c>
      <c r="AQ382" s="117" t="n">
        <f aca="false">Inputs!$D$61*(1+Inputs!$D$63)^(AQ$265-1)*MAX(0,MIN(1,AQ$264*1-Inputs!$D$64+1))/1</f>
        <v>10</v>
      </c>
      <c r="AR382" s="117" t="n">
        <f aca="false">Inputs!$D$61*(1+Inputs!$D$63)^(AR$265-1)*MAX(0,MIN(1,AR$264*1-Inputs!$D$64+1))/1</f>
        <v>10</v>
      </c>
      <c r="AS382" s="117" t="n">
        <f aca="false">Inputs!$D$61*(1+Inputs!$D$63)^(AS$265-1)*MAX(0,MIN(1,AS$264*1-Inputs!$D$64+1))/1</f>
        <v>10</v>
      </c>
      <c r="AT382" s="117" t="n">
        <f aca="false">Inputs!$D$61*(1+Inputs!$D$63)^(AT$265-1)*MAX(0,MIN(1,AT$264*1-Inputs!$D$64+1))/1</f>
        <v>10</v>
      </c>
      <c r="AU382" s="117" t="n">
        <f aca="false">Inputs!$D$61*(1+Inputs!$D$63)^(AU$265-1)*MAX(0,MIN(1,AU$264*1-Inputs!$D$64+1))/1</f>
        <v>10</v>
      </c>
      <c r="AV382" s="117" t="n">
        <f aca="false">Inputs!$D$61*(1+Inputs!$D$63)^(AV$265-1)*MAX(0,MIN(1,AV$264*1-Inputs!$D$64+1))/1</f>
        <v>10</v>
      </c>
      <c r="AW382" s="117" t="n">
        <f aca="false">Inputs!$D$61*(1+Inputs!$D$63)^(AW$265-1)*MAX(0,MIN(1,AW$264*1-Inputs!$D$64+1))/1</f>
        <v>10</v>
      </c>
      <c r="AX382" s="117" t="n">
        <f aca="false">Inputs!$D$61*(1+Inputs!$D$63)^(AX$265-1)*MAX(0,MIN(1,AX$264*1-Inputs!$D$64+1))/1</f>
        <v>10</v>
      </c>
      <c r="AY382" s="117" t="n">
        <f aca="false">Inputs!$D$61*(1+Inputs!$D$63)^(AY$265-1)*MAX(0,MIN(1,AY$264*1-Inputs!$D$64+1))/1</f>
        <v>10</v>
      </c>
      <c r="AZ382" s="117" t="n">
        <f aca="false">Inputs!$D$61*(1+Inputs!$D$63)^(AZ$265-1)*MAX(0,MIN(1,AZ$264*1-Inputs!$D$64+1))/1</f>
        <v>10</v>
      </c>
      <c r="BA382" s="117" t="n">
        <f aca="false">Inputs!$D$61*(1+Inputs!$D$63)^(BA$265-1)*MAX(0,MIN(1,BA$264*1-Inputs!$D$64+1))/1</f>
        <v>10</v>
      </c>
      <c r="BB382" s="117" t="n">
        <f aca="false">Inputs!$D$61*(1+Inputs!$D$63)^(BB$265-1)*MAX(0,MIN(1,BB$264*1-Inputs!$D$64+1))/1</f>
        <v>10</v>
      </c>
      <c r="BC382" s="117" t="n">
        <f aca="false">Inputs!$D$61*(1+Inputs!$D$63)^(BC$265-1)*MAX(0,MIN(1,BC$264*1-Inputs!$D$64+1))/1</f>
        <v>10</v>
      </c>
      <c r="BD382" s="117" t="n">
        <f aca="false">Inputs!$D$61*(1+Inputs!$D$63)^(BD$265-1)*MAX(0,MIN(1,BD$264*1-Inputs!$D$64+1))/1</f>
        <v>10</v>
      </c>
      <c r="BE382" s="117" t="n">
        <f aca="false">Inputs!$D$61*(1+Inputs!$D$63)^(BE$265-1)*MAX(0,MIN(1,BE$264*1-Inputs!$D$64+1))/1</f>
        <v>10</v>
      </c>
      <c r="BF382" s="117" t="n">
        <f aca="false">Inputs!$D$61*(1+Inputs!$D$63)^(BF$265-1)*MAX(0,MIN(1,BF$264*1-Inputs!$D$64+1))/1</f>
        <v>10</v>
      </c>
      <c r="BG382" s="117" t="n">
        <f aca="false">Inputs!$D$61*(1+Inputs!$D$63)^(BG$265-1)*MAX(0,MIN(1,BG$264*1-Inputs!$D$64+1))/1</f>
        <v>10</v>
      </c>
      <c r="BH382" s="117" t="n">
        <f aca="false">Inputs!$D$61*(1+Inputs!$D$63)^(BH$265-1)*MAX(0,MIN(1,BH$264*1-Inputs!$D$64+1))/1</f>
        <v>10</v>
      </c>
      <c r="BI382" s="117" t="n">
        <f aca="false">Inputs!$D$61*(1+Inputs!$D$63)^(BI$265-1)*MAX(0,MIN(1,BI$264*1-Inputs!$D$64+1))/1</f>
        <v>10</v>
      </c>
      <c r="BJ382" s="117" t="n">
        <f aca="false">Inputs!$D$61*(1+Inputs!$D$63)^(BJ$265-1)*MAX(0,MIN(1,BJ$264*1-Inputs!$D$64+1))/1</f>
        <v>10</v>
      </c>
    </row>
    <row r="383" customFormat="false" ht="15" hidden="false" customHeight="false" outlineLevel="0" collapsed="false">
      <c r="A383" s="113" t="s">
        <v>476</v>
      </c>
      <c r="C383" s="123" t="n">
        <f aca="false">C381+C382</f>
        <v>11</v>
      </c>
      <c r="D383" s="123" t="n">
        <f aca="false">D381+D382</f>
        <v>11</v>
      </c>
      <c r="E383" s="123" t="n">
        <f aca="false">E381+E382</f>
        <v>11</v>
      </c>
      <c r="F383" s="123" t="n">
        <f aca="false">F381+F382</f>
        <v>11</v>
      </c>
      <c r="G383" s="123" t="n">
        <f aca="false">G381+G382</f>
        <v>11</v>
      </c>
      <c r="H383" s="123" t="n">
        <f aca="false">H381+H382</f>
        <v>11</v>
      </c>
      <c r="I383" s="123" t="n">
        <f aca="false">I381+I382</f>
        <v>11</v>
      </c>
      <c r="J383" s="123" t="n">
        <f aca="false">J381+J382</f>
        <v>11</v>
      </c>
      <c r="K383" s="123" t="n">
        <f aca="false">K381+K382</f>
        <v>11</v>
      </c>
      <c r="L383" s="123" t="n">
        <f aca="false">L381+L382</f>
        <v>11</v>
      </c>
      <c r="M383" s="123" t="n">
        <f aca="false">M381+M382</f>
        <v>11</v>
      </c>
      <c r="N383" s="123" t="n">
        <f aca="false">N381+N382</f>
        <v>11</v>
      </c>
      <c r="O383" s="123" t="n">
        <f aca="false">O381+O382</f>
        <v>11</v>
      </c>
      <c r="P383" s="123" t="n">
        <f aca="false">P381+P382</f>
        <v>11</v>
      </c>
      <c r="Q383" s="123" t="n">
        <f aca="false">Q381+Q382</f>
        <v>11</v>
      </c>
      <c r="R383" s="123" t="n">
        <f aca="false">R381+R382</f>
        <v>11</v>
      </c>
      <c r="S383" s="123" t="n">
        <f aca="false">S381+S382</f>
        <v>11</v>
      </c>
      <c r="T383" s="123" t="n">
        <f aca="false">T381+T382</f>
        <v>11</v>
      </c>
      <c r="U383" s="123" t="n">
        <f aca="false">U381+U382</f>
        <v>11</v>
      </c>
      <c r="V383" s="123" t="n">
        <f aca="false">V381+V382</f>
        <v>11</v>
      </c>
      <c r="W383" s="123" t="n">
        <f aca="false">W381+W382</f>
        <v>11</v>
      </c>
      <c r="X383" s="123" t="n">
        <f aca="false">X381+X382</f>
        <v>11</v>
      </c>
      <c r="Y383" s="123" t="n">
        <f aca="false">Y381+Y382</f>
        <v>11</v>
      </c>
      <c r="Z383" s="123" t="n">
        <f aca="false">Z381+Z382</f>
        <v>11</v>
      </c>
      <c r="AA383" s="123" t="n">
        <f aca="false">AA381+AA382</f>
        <v>11</v>
      </c>
      <c r="AB383" s="123" t="n">
        <f aca="false">AB381+AB382</f>
        <v>11</v>
      </c>
      <c r="AC383" s="123" t="n">
        <f aca="false">AC381+AC382</f>
        <v>11</v>
      </c>
      <c r="AD383" s="123" t="n">
        <f aca="false">AD381+AD382</f>
        <v>11</v>
      </c>
      <c r="AE383" s="123" t="n">
        <f aca="false">AE381+AE382</f>
        <v>11</v>
      </c>
      <c r="AF383" s="123" t="n">
        <f aca="false">AF381+AF382</f>
        <v>11</v>
      </c>
      <c r="AG383" s="123" t="n">
        <f aca="false">AG381+AG382</f>
        <v>11</v>
      </c>
      <c r="AH383" s="123" t="n">
        <f aca="false">AH381+AH382</f>
        <v>11</v>
      </c>
      <c r="AI383" s="123" t="n">
        <f aca="false">AI381+AI382</f>
        <v>11</v>
      </c>
      <c r="AJ383" s="123" t="n">
        <f aca="false">AJ381+AJ382</f>
        <v>11</v>
      </c>
      <c r="AK383" s="123" t="n">
        <f aca="false">AK381+AK382</f>
        <v>11</v>
      </c>
      <c r="AL383" s="123" t="n">
        <f aca="false">AL381+AL382</f>
        <v>11</v>
      </c>
      <c r="AM383" s="123" t="n">
        <f aca="false">AM381+AM382</f>
        <v>11</v>
      </c>
      <c r="AN383" s="123" t="n">
        <f aca="false">AN381+AN382</f>
        <v>11</v>
      </c>
      <c r="AO383" s="123" t="n">
        <f aca="false">AO381+AO382</f>
        <v>11</v>
      </c>
      <c r="AP383" s="123" t="n">
        <f aca="false">AP381+AP382</f>
        <v>11</v>
      </c>
      <c r="AQ383" s="123" t="n">
        <f aca="false">AQ381+AQ382</f>
        <v>11</v>
      </c>
      <c r="AR383" s="123" t="n">
        <f aca="false">AR381+AR382</f>
        <v>11</v>
      </c>
      <c r="AS383" s="123" t="n">
        <f aca="false">AS381+AS382</f>
        <v>11</v>
      </c>
      <c r="AT383" s="123" t="n">
        <f aca="false">AT381+AT382</f>
        <v>11</v>
      </c>
      <c r="AU383" s="123" t="n">
        <f aca="false">AU381+AU382</f>
        <v>11</v>
      </c>
      <c r="AV383" s="123" t="n">
        <f aca="false">AV381+AV382</f>
        <v>11</v>
      </c>
      <c r="AW383" s="123" t="n">
        <f aca="false">AW381+AW382</f>
        <v>11</v>
      </c>
      <c r="AX383" s="123" t="n">
        <f aca="false">AX381+AX382</f>
        <v>11</v>
      </c>
      <c r="AY383" s="123" t="n">
        <f aca="false">AY381+AY382</f>
        <v>11</v>
      </c>
      <c r="AZ383" s="123" t="n">
        <f aca="false">AZ381+AZ382</f>
        <v>11</v>
      </c>
      <c r="BA383" s="123" t="n">
        <f aca="false">BA381+BA382</f>
        <v>11</v>
      </c>
      <c r="BB383" s="123" t="n">
        <f aca="false">BB381+BB382</f>
        <v>11</v>
      </c>
      <c r="BC383" s="123" t="n">
        <f aca="false">BC381+BC382</f>
        <v>11</v>
      </c>
      <c r="BD383" s="123" t="n">
        <f aca="false">BD381+BD382</f>
        <v>11</v>
      </c>
      <c r="BE383" s="123" t="n">
        <f aca="false">BE381+BE382</f>
        <v>11</v>
      </c>
      <c r="BF383" s="123" t="n">
        <f aca="false">BF381+BF382</f>
        <v>11</v>
      </c>
      <c r="BG383" s="123" t="n">
        <f aca="false">BG381+BG382</f>
        <v>11</v>
      </c>
      <c r="BH383" s="123" t="n">
        <f aca="false">BH381+BH382</f>
        <v>11</v>
      </c>
      <c r="BI383" s="123" t="n">
        <f aca="false">BI381+BI382</f>
        <v>11</v>
      </c>
      <c r="BJ383" s="123" t="n">
        <f aca="false">BJ381+BJ382</f>
        <v>11</v>
      </c>
    </row>
    <row r="385" customFormat="false" ht="15.75" hidden="false" customHeight="true" outlineLevel="0" collapsed="false">
      <c r="A385" s="7" t="s">
        <v>477</v>
      </c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</row>
    <row r="386" customFormat="false" ht="15" hidden="false" customHeight="false" outlineLevel="0" collapsed="false">
      <c r="A386" s="6" t="s">
        <v>478</v>
      </c>
      <c r="C386" s="69" t="n">
        <f aca="false">-C381*Inputs!$D$58/12*1*(1+Inputs!$D$65)*(1+Inputs!$D$66)^(C$265-1)</f>
        <v>-6720</v>
      </c>
      <c r="D386" s="69" t="n">
        <f aca="false">-D381*Inputs!$D$58/12*1*(1+Inputs!$D$65)*(1+Inputs!$D$66)^(D$265-1)</f>
        <v>-6720</v>
      </c>
      <c r="E386" s="69" t="n">
        <f aca="false">-E381*Inputs!$D$58/12*1*(1+Inputs!$D$65)*(1+Inputs!$D$66)^(E$265-1)</f>
        <v>-6720</v>
      </c>
      <c r="F386" s="69" t="n">
        <f aca="false">-F381*Inputs!$D$58/12*1*(1+Inputs!$D$65)*(1+Inputs!$D$66)^(F$265-1)</f>
        <v>-6720</v>
      </c>
      <c r="G386" s="69" t="n">
        <f aca="false">-G381*Inputs!$D$58/12*1*(1+Inputs!$D$65)*(1+Inputs!$D$66)^(G$265-1)</f>
        <v>-6720</v>
      </c>
      <c r="H386" s="69" t="n">
        <f aca="false">-H381*Inputs!$D$58/12*1*(1+Inputs!$D$65)*(1+Inputs!$D$66)^(H$265-1)</f>
        <v>-6720</v>
      </c>
      <c r="I386" s="69" t="n">
        <f aca="false">-I381*Inputs!$D$58/12*1*(1+Inputs!$D$65)*(1+Inputs!$D$66)^(I$265-1)</f>
        <v>-6720</v>
      </c>
      <c r="J386" s="69" t="n">
        <f aca="false">-J381*Inputs!$D$58/12*1*(1+Inputs!$D$65)*(1+Inputs!$D$66)^(J$265-1)</f>
        <v>-6720</v>
      </c>
      <c r="K386" s="69" t="n">
        <f aca="false">-K381*Inputs!$D$58/12*1*(1+Inputs!$D$65)*(1+Inputs!$D$66)^(K$265-1)</f>
        <v>-6720</v>
      </c>
      <c r="L386" s="69" t="n">
        <f aca="false">-L381*Inputs!$D$58/12*1*(1+Inputs!$D$65)*(1+Inputs!$D$66)^(L$265-1)</f>
        <v>-6720</v>
      </c>
      <c r="M386" s="69" t="n">
        <f aca="false">-M381*Inputs!$D$58/12*1*(1+Inputs!$D$65)*(1+Inputs!$D$66)^(M$265-1)</f>
        <v>-6720</v>
      </c>
      <c r="N386" s="69" t="n">
        <f aca="false">-N381*Inputs!$D$58/12*1*(1+Inputs!$D$65)*(1+Inputs!$D$66)^(N$265-1)</f>
        <v>-6720</v>
      </c>
      <c r="O386" s="69" t="n">
        <f aca="false">-O381*Inputs!$D$58/12*1*(1+Inputs!$D$65)*(1+Inputs!$D$66)^(O$265-1)</f>
        <v>-6921.6</v>
      </c>
      <c r="P386" s="69" t="n">
        <f aca="false">-P381*Inputs!$D$58/12*1*(1+Inputs!$D$65)*(1+Inputs!$D$66)^(P$265-1)</f>
        <v>-6921.6</v>
      </c>
      <c r="Q386" s="69" t="n">
        <f aca="false">-Q381*Inputs!$D$58/12*1*(1+Inputs!$D$65)*(1+Inputs!$D$66)^(Q$265-1)</f>
        <v>-6921.6</v>
      </c>
      <c r="R386" s="69" t="n">
        <f aca="false">-R381*Inputs!$D$58/12*1*(1+Inputs!$D$65)*(1+Inputs!$D$66)^(R$265-1)</f>
        <v>-6921.6</v>
      </c>
      <c r="S386" s="69" t="n">
        <f aca="false">-S381*Inputs!$D$58/12*1*(1+Inputs!$D$65)*(1+Inputs!$D$66)^(S$265-1)</f>
        <v>-6921.6</v>
      </c>
      <c r="T386" s="69" t="n">
        <f aca="false">-T381*Inputs!$D$58/12*1*(1+Inputs!$D$65)*(1+Inputs!$D$66)^(T$265-1)</f>
        <v>-6921.6</v>
      </c>
      <c r="U386" s="69" t="n">
        <f aca="false">-U381*Inputs!$D$58/12*1*(1+Inputs!$D$65)*(1+Inputs!$D$66)^(U$265-1)</f>
        <v>-6921.6</v>
      </c>
      <c r="V386" s="69" t="n">
        <f aca="false">-V381*Inputs!$D$58/12*1*(1+Inputs!$D$65)*(1+Inputs!$D$66)^(V$265-1)</f>
        <v>-6921.6</v>
      </c>
      <c r="W386" s="69" t="n">
        <f aca="false">-W381*Inputs!$D$58/12*1*(1+Inputs!$D$65)*(1+Inputs!$D$66)^(W$265-1)</f>
        <v>-6921.6</v>
      </c>
      <c r="X386" s="69" t="n">
        <f aca="false">-X381*Inputs!$D$58/12*1*(1+Inputs!$D$65)*(1+Inputs!$D$66)^(X$265-1)</f>
        <v>-6921.6</v>
      </c>
      <c r="Y386" s="69" t="n">
        <f aca="false">-Y381*Inputs!$D$58/12*1*(1+Inputs!$D$65)*(1+Inputs!$D$66)^(Y$265-1)</f>
        <v>-6921.6</v>
      </c>
      <c r="Z386" s="69" t="n">
        <f aca="false">-Z381*Inputs!$D$58/12*1*(1+Inputs!$D$65)*(1+Inputs!$D$66)^(Z$265-1)</f>
        <v>-6921.6</v>
      </c>
      <c r="AA386" s="69" t="n">
        <f aca="false">-AA381*Inputs!$D$58/12*1*(1+Inputs!$D$65)*(1+Inputs!$D$66)^(AA$265-1)</f>
        <v>-7129.248</v>
      </c>
      <c r="AB386" s="69" t="n">
        <f aca="false">-AB381*Inputs!$D$58/12*1*(1+Inputs!$D$65)*(1+Inputs!$D$66)^(AB$265-1)</f>
        <v>-7129.248</v>
      </c>
      <c r="AC386" s="69" t="n">
        <f aca="false">-AC381*Inputs!$D$58/12*1*(1+Inputs!$D$65)*(1+Inputs!$D$66)^(AC$265-1)</f>
        <v>-7129.248</v>
      </c>
      <c r="AD386" s="69" t="n">
        <f aca="false">-AD381*Inputs!$D$58/12*1*(1+Inputs!$D$65)*(1+Inputs!$D$66)^(AD$265-1)</f>
        <v>-7129.248</v>
      </c>
      <c r="AE386" s="69" t="n">
        <f aca="false">-AE381*Inputs!$D$58/12*1*(1+Inputs!$D$65)*(1+Inputs!$D$66)^(AE$265-1)</f>
        <v>-7129.248</v>
      </c>
      <c r="AF386" s="69" t="n">
        <f aca="false">-AF381*Inputs!$D$58/12*1*(1+Inputs!$D$65)*(1+Inputs!$D$66)^(AF$265-1)</f>
        <v>-7129.248</v>
      </c>
      <c r="AG386" s="69" t="n">
        <f aca="false">-AG381*Inputs!$D$58/12*1*(1+Inputs!$D$65)*(1+Inputs!$D$66)^(AG$265-1)</f>
        <v>-7129.248</v>
      </c>
      <c r="AH386" s="69" t="n">
        <f aca="false">-AH381*Inputs!$D$58/12*1*(1+Inputs!$D$65)*(1+Inputs!$D$66)^(AH$265-1)</f>
        <v>-7129.248</v>
      </c>
      <c r="AI386" s="69" t="n">
        <f aca="false">-AI381*Inputs!$D$58/12*1*(1+Inputs!$D$65)*(1+Inputs!$D$66)^(AI$265-1)</f>
        <v>-7129.248</v>
      </c>
      <c r="AJ386" s="69" t="n">
        <f aca="false">-AJ381*Inputs!$D$58/12*1*(1+Inputs!$D$65)*(1+Inputs!$D$66)^(AJ$265-1)</f>
        <v>-7129.248</v>
      </c>
      <c r="AK386" s="69" t="n">
        <f aca="false">-AK381*Inputs!$D$58/12*1*(1+Inputs!$D$65)*(1+Inputs!$D$66)^(AK$265-1)</f>
        <v>-7129.248</v>
      </c>
      <c r="AL386" s="69" t="n">
        <f aca="false">-AL381*Inputs!$D$58/12*1*(1+Inputs!$D$65)*(1+Inputs!$D$66)^(AL$265-1)</f>
        <v>-7129.248</v>
      </c>
      <c r="AM386" s="69" t="n">
        <f aca="false">-AM381*Inputs!$D$58/12*1*(1+Inputs!$D$65)*(1+Inputs!$D$66)^(AM$265-1)</f>
        <v>-7343.12544</v>
      </c>
      <c r="AN386" s="69" t="n">
        <f aca="false">-AN381*Inputs!$D$58/12*1*(1+Inputs!$D$65)*(1+Inputs!$D$66)^(AN$265-1)</f>
        <v>-7343.12544</v>
      </c>
      <c r="AO386" s="69" t="n">
        <f aca="false">-AO381*Inputs!$D$58/12*1*(1+Inputs!$D$65)*(1+Inputs!$D$66)^(AO$265-1)</f>
        <v>-7343.12544</v>
      </c>
      <c r="AP386" s="69" t="n">
        <f aca="false">-AP381*Inputs!$D$58/12*1*(1+Inputs!$D$65)*(1+Inputs!$D$66)^(AP$265-1)</f>
        <v>-7343.12544</v>
      </c>
      <c r="AQ386" s="69" t="n">
        <f aca="false">-AQ381*Inputs!$D$58/12*1*(1+Inputs!$D$65)*(1+Inputs!$D$66)^(AQ$265-1)</f>
        <v>-7343.12544</v>
      </c>
      <c r="AR386" s="69" t="n">
        <f aca="false">-AR381*Inputs!$D$58/12*1*(1+Inputs!$D$65)*(1+Inputs!$D$66)^(AR$265-1)</f>
        <v>-7343.12544</v>
      </c>
      <c r="AS386" s="69" t="n">
        <f aca="false">-AS381*Inputs!$D$58/12*1*(1+Inputs!$D$65)*(1+Inputs!$D$66)^(AS$265-1)</f>
        <v>-7343.12544</v>
      </c>
      <c r="AT386" s="69" t="n">
        <f aca="false">-AT381*Inputs!$D$58/12*1*(1+Inputs!$D$65)*(1+Inputs!$D$66)^(AT$265-1)</f>
        <v>-7343.12544</v>
      </c>
      <c r="AU386" s="69" t="n">
        <f aca="false">-AU381*Inputs!$D$58/12*1*(1+Inputs!$D$65)*(1+Inputs!$D$66)^(AU$265-1)</f>
        <v>-7343.12544</v>
      </c>
      <c r="AV386" s="69" t="n">
        <f aca="false">-AV381*Inputs!$D$58/12*1*(1+Inputs!$D$65)*(1+Inputs!$D$66)^(AV$265-1)</f>
        <v>-7343.12544</v>
      </c>
      <c r="AW386" s="69" t="n">
        <f aca="false">-AW381*Inputs!$D$58/12*1*(1+Inputs!$D$65)*(1+Inputs!$D$66)^(AW$265-1)</f>
        <v>-7343.12544</v>
      </c>
      <c r="AX386" s="69" t="n">
        <f aca="false">-AX381*Inputs!$D$58/12*1*(1+Inputs!$D$65)*(1+Inputs!$D$66)^(AX$265-1)</f>
        <v>-7343.12544</v>
      </c>
      <c r="AY386" s="69" t="n">
        <f aca="false">-AY381*Inputs!$D$58/12*1*(1+Inputs!$D$65)*(1+Inputs!$D$66)^(AY$265-1)</f>
        <v>-7563.4192032</v>
      </c>
      <c r="AZ386" s="69" t="n">
        <f aca="false">-AZ381*Inputs!$D$58/12*1*(1+Inputs!$D$65)*(1+Inputs!$D$66)^(AZ$265-1)</f>
        <v>-7563.4192032</v>
      </c>
      <c r="BA386" s="69" t="n">
        <f aca="false">-BA381*Inputs!$D$58/12*1*(1+Inputs!$D$65)*(1+Inputs!$D$66)^(BA$265-1)</f>
        <v>-7563.4192032</v>
      </c>
      <c r="BB386" s="69" t="n">
        <f aca="false">-BB381*Inputs!$D$58/12*1*(1+Inputs!$D$65)*(1+Inputs!$D$66)^(BB$265-1)</f>
        <v>-7563.4192032</v>
      </c>
      <c r="BC386" s="69" t="n">
        <f aca="false">-BC381*Inputs!$D$58/12*1*(1+Inputs!$D$65)*(1+Inputs!$D$66)^(BC$265-1)</f>
        <v>-7563.4192032</v>
      </c>
      <c r="BD386" s="69" t="n">
        <f aca="false">-BD381*Inputs!$D$58/12*1*(1+Inputs!$D$65)*(1+Inputs!$D$66)^(BD$265-1)</f>
        <v>-7563.4192032</v>
      </c>
      <c r="BE386" s="69" t="n">
        <f aca="false">-BE381*Inputs!$D$58/12*1*(1+Inputs!$D$65)*(1+Inputs!$D$66)^(BE$265-1)</f>
        <v>-7563.4192032</v>
      </c>
      <c r="BF386" s="69" t="n">
        <f aca="false">-BF381*Inputs!$D$58/12*1*(1+Inputs!$D$65)*(1+Inputs!$D$66)^(BF$265-1)</f>
        <v>-7563.4192032</v>
      </c>
      <c r="BG386" s="69" t="n">
        <f aca="false">-BG381*Inputs!$D$58/12*1*(1+Inputs!$D$65)*(1+Inputs!$D$66)^(BG$265-1)</f>
        <v>-7563.4192032</v>
      </c>
      <c r="BH386" s="69" t="n">
        <f aca="false">-BH381*Inputs!$D$58/12*1*(1+Inputs!$D$65)*(1+Inputs!$D$66)^(BH$265-1)</f>
        <v>-7563.4192032</v>
      </c>
      <c r="BI386" s="69" t="n">
        <f aca="false">-BI381*Inputs!$D$58/12*1*(1+Inputs!$D$65)*(1+Inputs!$D$66)^(BI$265-1)</f>
        <v>-7563.4192032</v>
      </c>
      <c r="BJ386" s="69" t="n">
        <f aca="false">-BJ381*Inputs!$D$58/12*1*(1+Inputs!$D$65)*(1+Inputs!$D$66)^(BJ$265-1)</f>
        <v>-7563.4192032</v>
      </c>
    </row>
    <row r="387" customFormat="false" ht="15" hidden="false" customHeight="false" outlineLevel="0" collapsed="false">
      <c r="A387" s="6" t="s">
        <v>479</v>
      </c>
      <c r="C387" s="69" t="n">
        <f aca="false">-C382*Inputs!$D$62/12*1*(1+Inputs!$D$65)*(1+Inputs!$D$66)^(C$265-1)</f>
        <v>-29866.6666666667</v>
      </c>
      <c r="D387" s="69" t="n">
        <f aca="false">-D382*Inputs!$D$62/12*1*(1+Inputs!$D$65)*(1+Inputs!$D$66)^(D$265-1)</f>
        <v>-29866.6666666667</v>
      </c>
      <c r="E387" s="69" t="n">
        <f aca="false">-E382*Inputs!$D$62/12*1*(1+Inputs!$D$65)*(1+Inputs!$D$66)^(E$265-1)</f>
        <v>-29866.6666666667</v>
      </c>
      <c r="F387" s="69" t="n">
        <f aca="false">-F382*Inputs!$D$62/12*1*(1+Inputs!$D$65)*(1+Inputs!$D$66)^(F$265-1)</f>
        <v>-29866.6666666667</v>
      </c>
      <c r="G387" s="69" t="n">
        <f aca="false">-G382*Inputs!$D$62/12*1*(1+Inputs!$D$65)*(1+Inputs!$D$66)^(G$265-1)</f>
        <v>-29866.6666666667</v>
      </c>
      <c r="H387" s="69" t="n">
        <f aca="false">-H382*Inputs!$D$62/12*1*(1+Inputs!$D$65)*(1+Inputs!$D$66)^(H$265-1)</f>
        <v>-29866.6666666667</v>
      </c>
      <c r="I387" s="69" t="n">
        <f aca="false">-I382*Inputs!$D$62/12*1*(1+Inputs!$D$65)*(1+Inputs!$D$66)^(I$265-1)</f>
        <v>-29866.6666666667</v>
      </c>
      <c r="J387" s="69" t="n">
        <f aca="false">-J382*Inputs!$D$62/12*1*(1+Inputs!$D$65)*(1+Inputs!$D$66)^(J$265-1)</f>
        <v>-29866.6666666667</v>
      </c>
      <c r="K387" s="69" t="n">
        <f aca="false">-K382*Inputs!$D$62/12*1*(1+Inputs!$D$65)*(1+Inputs!$D$66)^(K$265-1)</f>
        <v>-29866.6666666667</v>
      </c>
      <c r="L387" s="69" t="n">
        <f aca="false">-L382*Inputs!$D$62/12*1*(1+Inputs!$D$65)*(1+Inputs!$D$66)^(L$265-1)</f>
        <v>-29866.6666666667</v>
      </c>
      <c r="M387" s="69" t="n">
        <f aca="false">-M382*Inputs!$D$62/12*1*(1+Inputs!$D$65)*(1+Inputs!$D$66)^(M$265-1)</f>
        <v>-29866.6666666667</v>
      </c>
      <c r="N387" s="69" t="n">
        <f aca="false">-N382*Inputs!$D$62/12*1*(1+Inputs!$D$65)*(1+Inputs!$D$66)^(N$265-1)</f>
        <v>-29866.6666666667</v>
      </c>
      <c r="O387" s="69" t="n">
        <f aca="false">-O382*Inputs!$D$62/12*1*(1+Inputs!$D$65)*(1+Inputs!$D$66)^(O$265-1)</f>
        <v>-30762.6666666667</v>
      </c>
      <c r="P387" s="69" t="n">
        <f aca="false">-P382*Inputs!$D$62/12*1*(1+Inputs!$D$65)*(1+Inputs!$D$66)^(P$265-1)</f>
        <v>-30762.6666666667</v>
      </c>
      <c r="Q387" s="69" t="n">
        <f aca="false">-Q382*Inputs!$D$62/12*1*(1+Inputs!$D$65)*(1+Inputs!$D$66)^(Q$265-1)</f>
        <v>-30762.6666666667</v>
      </c>
      <c r="R387" s="69" t="n">
        <f aca="false">-R382*Inputs!$D$62/12*1*(1+Inputs!$D$65)*(1+Inputs!$D$66)^(R$265-1)</f>
        <v>-30762.6666666667</v>
      </c>
      <c r="S387" s="69" t="n">
        <f aca="false">-S382*Inputs!$D$62/12*1*(1+Inputs!$D$65)*(1+Inputs!$D$66)^(S$265-1)</f>
        <v>-30762.6666666667</v>
      </c>
      <c r="T387" s="69" t="n">
        <f aca="false">-T382*Inputs!$D$62/12*1*(1+Inputs!$D$65)*(1+Inputs!$D$66)^(T$265-1)</f>
        <v>-30762.6666666667</v>
      </c>
      <c r="U387" s="69" t="n">
        <f aca="false">-U382*Inputs!$D$62/12*1*(1+Inputs!$D$65)*(1+Inputs!$D$66)^(U$265-1)</f>
        <v>-30762.6666666667</v>
      </c>
      <c r="V387" s="69" t="n">
        <f aca="false">-V382*Inputs!$D$62/12*1*(1+Inputs!$D$65)*(1+Inputs!$D$66)^(V$265-1)</f>
        <v>-30762.6666666667</v>
      </c>
      <c r="W387" s="69" t="n">
        <f aca="false">-W382*Inputs!$D$62/12*1*(1+Inputs!$D$65)*(1+Inputs!$D$66)^(W$265-1)</f>
        <v>-30762.6666666667</v>
      </c>
      <c r="X387" s="69" t="n">
        <f aca="false">-X382*Inputs!$D$62/12*1*(1+Inputs!$D$65)*(1+Inputs!$D$66)^(X$265-1)</f>
        <v>-30762.6666666667</v>
      </c>
      <c r="Y387" s="69" t="n">
        <f aca="false">-Y382*Inputs!$D$62/12*1*(1+Inputs!$D$65)*(1+Inputs!$D$66)^(Y$265-1)</f>
        <v>-30762.6666666667</v>
      </c>
      <c r="Z387" s="69" t="n">
        <f aca="false">-Z382*Inputs!$D$62/12*1*(1+Inputs!$D$65)*(1+Inputs!$D$66)^(Z$265-1)</f>
        <v>-30762.6666666667</v>
      </c>
      <c r="AA387" s="69" t="n">
        <f aca="false">-AA382*Inputs!$D$62/12*1*(1+Inputs!$D$65)*(1+Inputs!$D$66)^(AA$265-1)</f>
        <v>-31685.5466666667</v>
      </c>
      <c r="AB387" s="69" t="n">
        <f aca="false">-AB382*Inputs!$D$62/12*1*(1+Inputs!$D$65)*(1+Inputs!$D$66)^(AB$265-1)</f>
        <v>-31685.5466666667</v>
      </c>
      <c r="AC387" s="69" t="n">
        <f aca="false">-AC382*Inputs!$D$62/12*1*(1+Inputs!$D$65)*(1+Inputs!$D$66)^(AC$265-1)</f>
        <v>-31685.5466666667</v>
      </c>
      <c r="AD387" s="69" t="n">
        <f aca="false">-AD382*Inputs!$D$62/12*1*(1+Inputs!$D$65)*(1+Inputs!$D$66)^(AD$265-1)</f>
        <v>-31685.5466666667</v>
      </c>
      <c r="AE387" s="69" t="n">
        <f aca="false">-AE382*Inputs!$D$62/12*1*(1+Inputs!$D$65)*(1+Inputs!$D$66)^(AE$265-1)</f>
        <v>-31685.5466666667</v>
      </c>
      <c r="AF387" s="69" t="n">
        <f aca="false">-AF382*Inputs!$D$62/12*1*(1+Inputs!$D$65)*(1+Inputs!$D$66)^(AF$265-1)</f>
        <v>-31685.5466666667</v>
      </c>
      <c r="AG387" s="69" t="n">
        <f aca="false">-AG382*Inputs!$D$62/12*1*(1+Inputs!$D$65)*(1+Inputs!$D$66)^(AG$265-1)</f>
        <v>-31685.5466666667</v>
      </c>
      <c r="AH387" s="69" t="n">
        <f aca="false">-AH382*Inputs!$D$62/12*1*(1+Inputs!$D$65)*(1+Inputs!$D$66)^(AH$265-1)</f>
        <v>-31685.5466666667</v>
      </c>
      <c r="AI387" s="69" t="n">
        <f aca="false">-AI382*Inputs!$D$62/12*1*(1+Inputs!$D$65)*(1+Inputs!$D$66)^(AI$265-1)</f>
        <v>-31685.5466666667</v>
      </c>
      <c r="AJ387" s="69" t="n">
        <f aca="false">-AJ382*Inputs!$D$62/12*1*(1+Inputs!$D$65)*(1+Inputs!$D$66)^(AJ$265-1)</f>
        <v>-31685.5466666667</v>
      </c>
      <c r="AK387" s="69" t="n">
        <f aca="false">-AK382*Inputs!$D$62/12*1*(1+Inputs!$D$65)*(1+Inputs!$D$66)^(AK$265-1)</f>
        <v>-31685.5466666667</v>
      </c>
      <c r="AL387" s="69" t="n">
        <f aca="false">-AL382*Inputs!$D$62/12*1*(1+Inputs!$D$65)*(1+Inputs!$D$66)^(AL$265-1)</f>
        <v>-31685.5466666667</v>
      </c>
      <c r="AM387" s="69" t="n">
        <f aca="false">-AM382*Inputs!$D$62/12*1*(1+Inputs!$D$65)*(1+Inputs!$D$66)^(AM$265-1)</f>
        <v>-32636.1130666667</v>
      </c>
      <c r="AN387" s="69" t="n">
        <f aca="false">-AN382*Inputs!$D$62/12*1*(1+Inputs!$D$65)*(1+Inputs!$D$66)^(AN$265-1)</f>
        <v>-32636.1130666667</v>
      </c>
      <c r="AO387" s="69" t="n">
        <f aca="false">-AO382*Inputs!$D$62/12*1*(1+Inputs!$D$65)*(1+Inputs!$D$66)^(AO$265-1)</f>
        <v>-32636.1130666667</v>
      </c>
      <c r="AP387" s="69" t="n">
        <f aca="false">-AP382*Inputs!$D$62/12*1*(1+Inputs!$D$65)*(1+Inputs!$D$66)^(AP$265-1)</f>
        <v>-32636.1130666667</v>
      </c>
      <c r="AQ387" s="69" t="n">
        <f aca="false">-AQ382*Inputs!$D$62/12*1*(1+Inputs!$D$65)*(1+Inputs!$D$66)^(AQ$265-1)</f>
        <v>-32636.1130666667</v>
      </c>
      <c r="AR387" s="69" t="n">
        <f aca="false">-AR382*Inputs!$D$62/12*1*(1+Inputs!$D$65)*(1+Inputs!$D$66)^(AR$265-1)</f>
        <v>-32636.1130666667</v>
      </c>
      <c r="AS387" s="69" t="n">
        <f aca="false">-AS382*Inputs!$D$62/12*1*(1+Inputs!$D$65)*(1+Inputs!$D$66)^(AS$265-1)</f>
        <v>-32636.1130666667</v>
      </c>
      <c r="AT387" s="69" t="n">
        <f aca="false">-AT382*Inputs!$D$62/12*1*(1+Inputs!$D$65)*(1+Inputs!$D$66)^(AT$265-1)</f>
        <v>-32636.1130666667</v>
      </c>
      <c r="AU387" s="69" t="n">
        <f aca="false">-AU382*Inputs!$D$62/12*1*(1+Inputs!$D$65)*(1+Inputs!$D$66)^(AU$265-1)</f>
        <v>-32636.1130666667</v>
      </c>
      <c r="AV387" s="69" t="n">
        <f aca="false">-AV382*Inputs!$D$62/12*1*(1+Inputs!$D$65)*(1+Inputs!$D$66)^(AV$265-1)</f>
        <v>-32636.1130666667</v>
      </c>
      <c r="AW387" s="69" t="n">
        <f aca="false">-AW382*Inputs!$D$62/12*1*(1+Inputs!$D$65)*(1+Inputs!$D$66)^(AW$265-1)</f>
        <v>-32636.1130666667</v>
      </c>
      <c r="AX387" s="69" t="n">
        <f aca="false">-AX382*Inputs!$D$62/12*1*(1+Inputs!$D$65)*(1+Inputs!$D$66)^(AX$265-1)</f>
        <v>-32636.1130666667</v>
      </c>
      <c r="AY387" s="69" t="n">
        <f aca="false">-AY382*Inputs!$D$62/12*1*(1+Inputs!$D$65)*(1+Inputs!$D$66)^(AY$265-1)</f>
        <v>-33615.1964586667</v>
      </c>
      <c r="AZ387" s="69" t="n">
        <f aca="false">-AZ382*Inputs!$D$62/12*1*(1+Inputs!$D$65)*(1+Inputs!$D$66)^(AZ$265-1)</f>
        <v>-33615.1964586667</v>
      </c>
      <c r="BA387" s="69" t="n">
        <f aca="false">-BA382*Inputs!$D$62/12*1*(1+Inputs!$D$65)*(1+Inputs!$D$66)^(BA$265-1)</f>
        <v>-33615.1964586667</v>
      </c>
      <c r="BB387" s="69" t="n">
        <f aca="false">-BB382*Inputs!$D$62/12*1*(1+Inputs!$D$65)*(1+Inputs!$D$66)^(BB$265-1)</f>
        <v>-33615.1964586667</v>
      </c>
      <c r="BC387" s="69" t="n">
        <f aca="false">-BC382*Inputs!$D$62/12*1*(1+Inputs!$D$65)*(1+Inputs!$D$66)^(BC$265-1)</f>
        <v>-33615.1964586667</v>
      </c>
      <c r="BD387" s="69" t="n">
        <f aca="false">-BD382*Inputs!$D$62/12*1*(1+Inputs!$D$65)*(1+Inputs!$D$66)^(BD$265-1)</f>
        <v>-33615.1964586667</v>
      </c>
      <c r="BE387" s="69" t="n">
        <f aca="false">-BE382*Inputs!$D$62/12*1*(1+Inputs!$D$65)*(1+Inputs!$D$66)^(BE$265-1)</f>
        <v>-33615.1964586667</v>
      </c>
      <c r="BF387" s="69" t="n">
        <f aca="false">-BF382*Inputs!$D$62/12*1*(1+Inputs!$D$65)*(1+Inputs!$D$66)^(BF$265-1)</f>
        <v>-33615.1964586667</v>
      </c>
      <c r="BG387" s="69" t="n">
        <f aca="false">-BG382*Inputs!$D$62/12*1*(1+Inputs!$D$65)*(1+Inputs!$D$66)^(BG$265-1)</f>
        <v>-33615.1964586667</v>
      </c>
      <c r="BH387" s="69" t="n">
        <f aca="false">-BH382*Inputs!$D$62/12*1*(1+Inputs!$D$65)*(1+Inputs!$D$66)^(BH$265-1)</f>
        <v>-33615.1964586667</v>
      </c>
      <c r="BI387" s="69" t="n">
        <f aca="false">-BI382*Inputs!$D$62/12*1*(1+Inputs!$D$65)*(1+Inputs!$D$66)^(BI$265-1)</f>
        <v>-33615.1964586667</v>
      </c>
      <c r="BJ387" s="69" t="n">
        <f aca="false">-BJ382*Inputs!$D$62/12*1*(1+Inputs!$D$65)*(1+Inputs!$D$66)^(BJ$265-1)</f>
        <v>-33615.1964586667</v>
      </c>
    </row>
    <row r="388" customFormat="false" ht="15" hidden="false" customHeight="false" outlineLevel="0" collapsed="false">
      <c r="A388" s="113" t="s">
        <v>480</v>
      </c>
      <c r="C388" s="70" t="n">
        <f aca="false">C386+C387</f>
        <v>-36586.6666666667</v>
      </c>
      <c r="D388" s="70" t="n">
        <f aca="false">D386+D387</f>
        <v>-36586.6666666667</v>
      </c>
      <c r="E388" s="70" t="n">
        <f aca="false">E386+E387</f>
        <v>-36586.6666666667</v>
      </c>
      <c r="F388" s="70" t="n">
        <f aca="false">F386+F387</f>
        <v>-36586.6666666667</v>
      </c>
      <c r="G388" s="70" t="n">
        <f aca="false">G386+G387</f>
        <v>-36586.6666666667</v>
      </c>
      <c r="H388" s="70" t="n">
        <f aca="false">H386+H387</f>
        <v>-36586.6666666667</v>
      </c>
      <c r="I388" s="70" t="n">
        <f aca="false">I386+I387</f>
        <v>-36586.6666666667</v>
      </c>
      <c r="J388" s="70" t="n">
        <f aca="false">J386+J387</f>
        <v>-36586.6666666667</v>
      </c>
      <c r="K388" s="70" t="n">
        <f aca="false">K386+K387</f>
        <v>-36586.6666666667</v>
      </c>
      <c r="L388" s="70" t="n">
        <f aca="false">L386+L387</f>
        <v>-36586.6666666667</v>
      </c>
      <c r="M388" s="70" t="n">
        <f aca="false">M386+M387</f>
        <v>-36586.6666666667</v>
      </c>
      <c r="N388" s="70" t="n">
        <f aca="false">N386+N387</f>
        <v>-36586.6666666667</v>
      </c>
      <c r="O388" s="70" t="n">
        <f aca="false">O386+O387</f>
        <v>-37684.2666666667</v>
      </c>
      <c r="P388" s="70" t="n">
        <f aca="false">P386+P387</f>
        <v>-37684.2666666667</v>
      </c>
      <c r="Q388" s="70" t="n">
        <f aca="false">Q386+Q387</f>
        <v>-37684.2666666667</v>
      </c>
      <c r="R388" s="70" t="n">
        <f aca="false">R386+R387</f>
        <v>-37684.2666666667</v>
      </c>
      <c r="S388" s="70" t="n">
        <f aca="false">S386+S387</f>
        <v>-37684.2666666667</v>
      </c>
      <c r="T388" s="70" t="n">
        <f aca="false">T386+T387</f>
        <v>-37684.2666666667</v>
      </c>
      <c r="U388" s="70" t="n">
        <f aca="false">U386+U387</f>
        <v>-37684.2666666667</v>
      </c>
      <c r="V388" s="70" t="n">
        <f aca="false">V386+V387</f>
        <v>-37684.2666666667</v>
      </c>
      <c r="W388" s="70" t="n">
        <f aca="false">W386+W387</f>
        <v>-37684.2666666667</v>
      </c>
      <c r="X388" s="70" t="n">
        <f aca="false">X386+X387</f>
        <v>-37684.2666666667</v>
      </c>
      <c r="Y388" s="70" t="n">
        <f aca="false">Y386+Y387</f>
        <v>-37684.2666666667</v>
      </c>
      <c r="Z388" s="70" t="n">
        <f aca="false">Z386+Z387</f>
        <v>-37684.2666666667</v>
      </c>
      <c r="AA388" s="70" t="n">
        <f aca="false">AA386+AA387</f>
        <v>-38814.7946666667</v>
      </c>
      <c r="AB388" s="70" t="n">
        <f aca="false">AB386+AB387</f>
        <v>-38814.7946666667</v>
      </c>
      <c r="AC388" s="70" t="n">
        <f aca="false">AC386+AC387</f>
        <v>-38814.7946666667</v>
      </c>
      <c r="AD388" s="70" t="n">
        <f aca="false">AD386+AD387</f>
        <v>-38814.7946666667</v>
      </c>
      <c r="AE388" s="70" t="n">
        <f aca="false">AE386+AE387</f>
        <v>-38814.7946666667</v>
      </c>
      <c r="AF388" s="70" t="n">
        <f aca="false">AF386+AF387</f>
        <v>-38814.7946666667</v>
      </c>
      <c r="AG388" s="70" t="n">
        <f aca="false">AG386+AG387</f>
        <v>-38814.7946666667</v>
      </c>
      <c r="AH388" s="70" t="n">
        <f aca="false">AH386+AH387</f>
        <v>-38814.7946666667</v>
      </c>
      <c r="AI388" s="70" t="n">
        <f aca="false">AI386+AI387</f>
        <v>-38814.7946666667</v>
      </c>
      <c r="AJ388" s="70" t="n">
        <f aca="false">AJ386+AJ387</f>
        <v>-38814.7946666667</v>
      </c>
      <c r="AK388" s="70" t="n">
        <f aca="false">AK386+AK387</f>
        <v>-38814.7946666667</v>
      </c>
      <c r="AL388" s="70" t="n">
        <f aca="false">AL386+AL387</f>
        <v>-38814.7946666667</v>
      </c>
      <c r="AM388" s="70" t="n">
        <f aca="false">AM386+AM387</f>
        <v>-39979.2385066667</v>
      </c>
      <c r="AN388" s="70" t="n">
        <f aca="false">AN386+AN387</f>
        <v>-39979.2385066667</v>
      </c>
      <c r="AO388" s="70" t="n">
        <f aca="false">AO386+AO387</f>
        <v>-39979.2385066667</v>
      </c>
      <c r="AP388" s="70" t="n">
        <f aca="false">AP386+AP387</f>
        <v>-39979.2385066667</v>
      </c>
      <c r="AQ388" s="70" t="n">
        <f aca="false">AQ386+AQ387</f>
        <v>-39979.2385066667</v>
      </c>
      <c r="AR388" s="70" t="n">
        <f aca="false">AR386+AR387</f>
        <v>-39979.2385066667</v>
      </c>
      <c r="AS388" s="70" t="n">
        <f aca="false">AS386+AS387</f>
        <v>-39979.2385066667</v>
      </c>
      <c r="AT388" s="70" t="n">
        <f aca="false">AT386+AT387</f>
        <v>-39979.2385066667</v>
      </c>
      <c r="AU388" s="70" t="n">
        <f aca="false">AU386+AU387</f>
        <v>-39979.2385066667</v>
      </c>
      <c r="AV388" s="70" t="n">
        <f aca="false">AV386+AV387</f>
        <v>-39979.2385066667</v>
      </c>
      <c r="AW388" s="70" t="n">
        <f aca="false">AW386+AW387</f>
        <v>-39979.2385066667</v>
      </c>
      <c r="AX388" s="70" t="n">
        <f aca="false">AX386+AX387</f>
        <v>-39979.2385066667</v>
      </c>
      <c r="AY388" s="70" t="n">
        <f aca="false">AY386+AY387</f>
        <v>-41178.6156618667</v>
      </c>
      <c r="AZ388" s="70" t="n">
        <f aca="false">AZ386+AZ387</f>
        <v>-41178.6156618667</v>
      </c>
      <c r="BA388" s="70" t="n">
        <f aca="false">BA386+BA387</f>
        <v>-41178.6156618667</v>
      </c>
      <c r="BB388" s="70" t="n">
        <f aca="false">BB386+BB387</f>
        <v>-41178.6156618667</v>
      </c>
      <c r="BC388" s="70" t="n">
        <f aca="false">BC386+BC387</f>
        <v>-41178.6156618667</v>
      </c>
      <c r="BD388" s="70" t="n">
        <f aca="false">BD386+BD387</f>
        <v>-41178.6156618667</v>
      </c>
      <c r="BE388" s="70" t="n">
        <f aca="false">BE386+BE387</f>
        <v>-41178.6156618667</v>
      </c>
      <c r="BF388" s="70" t="n">
        <f aca="false">BF386+BF387</f>
        <v>-41178.6156618667</v>
      </c>
      <c r="BG388" s="70" t="n">
        <f aca="false">BG386+BG387</f>
        <v>-41178.6156618667</v>
      </c>
      <c r="BH388" s="70" t="n">
        <f aca="false">BH386+BH387</f>
        <v>-41178.6156618667</v>
      </c>
      <c r="BI388" s="70" t="n">
        <f aca="false">BI386+BI387</f>
        <v>-41178.6156618667</v>
      </c>
      <c r="BJ388" s="70" t="n">
        <f aca="false">BJ386+BJ387</f>
        <v>-41178.6156618667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486</v>
      </c>
    </row>
    <row r="3" customFormat="false" ht="15" hidden="false" customHeight="false" outlineLevel="0" collapsed="false">
      <c r="A3" s="33" t="s">
        <v>487</v>
      </c>
      <c r="B3" s="33" t="s">
        <v>488</v>
      </c>
      <c r="C3" s="33" t="s">
        <v>489</v>
      </c>
    </row>
    <row r="4" customFormat="false" ht="15" hidden="false" customHeight="false" outlineLevel="0" collapsed="false">
      <c r="A4" s="6" t="s">
        <v>490</v>
      </c>
      <c r="B4" s="4" t="str">
        <f aca="false">IF(ABS(SUM('P&amp;L'!$B$5:$F$5)-SUM(Monthly!$C$37:$BJ$37))&lt;0.5,"PASS","FAIL")</f>
        <v>PASS</v>
      </c>
      <c r="C4" s="18" t="s">
        <v>491</v>
      </c>
    </row>
    <row r="5" customFormat="false" ht="15" hidden="false" customHeight="false" outlineLevel="0" collapsed="false">
      <c r="A5" s="6" t="s">
        <v>492</v>
      </c>
      <c r="B5" s="4" t="str">
        <f aca="false">IF(ABS(SUM('P&amp;L'!$B$22:$F$22)-SUM(Monthly!$C$64:$BJ$64))&lt;0.5,"PASS","FAIL")</f>
        <v>PASS</v>
      </c>
      <c r="C5" s="18" t="s">
        <v>493</v>
      </c>
    </row>
    <row r="6" customFormat="false" ht="15" hidden="false" customHeight="false" outlineLevel="0" collapsed="false">
      <c r="A6" s="6" t="s">
        <v>494</v>
      </c>
      <c r="B6" s="4" t="str">
        <f aca="false">IF(ABS(SUM(Monthly!$C$55:$BJ$55)-SUM(Monthly!$C$46:$BJ$46)-SUM(Monthly!$C$54:$BJ$54))&lt;0.5,"PASS","FAIL")</f>
        <v>PASS</v>
      </c>
      <c r="C6" s="18" t="s">
        <v>495</v>
      </c>
    </row>
    <row r="7" customFormat="false" ht="15" hidden="false" customHeight="false" outlineLevel="0" collapsed="false">
      <c r="A7" s="6" t="s">
        <v>496</v>
      </c>
      <c r="B7" s="4" t="str">
        <f aca="false">IF(ABS(INDEX(Monthly!$C$100:$BJ$100,60)-SUM(Monthly!$C$98:$BJ$98))&lt;0.5,"PASS","FAIL")</f>
        <v>PASS</v>
      </c>
      <c r="C7" s="18" t="s">
        <v>497</v>
      </c>
    </row>
    <row r="8" customFormat="false" ht="15" hidden="false" customHeight="false" outlineLevel="0" collapsed="false">
      <c r="A8" s="6" t="s">
        <v>498</v>
      </c>
      <c r="B8" s="4" t="str">
        <f aca="false">IF(AND(ISNUMBER(Dashboard!B4),Dashboard!B4&gt;=1,Dashboard!B4&lt;=3,INT(Dashboard!B4)=Dashboard!B4),"PASS","FAIL")</f>
        <v>PASS</v>
      </c>
      <c r="C8" s="18" t="s">
        <v>499</v>
      </c>
    </row>
    <row r="9" customFormat="false" ht="15" hidden="false" customHeight="false" outlineLevel="0" collapsed="false">
      <c r="A9" s="6" t="s">
        <v>500</v>
      </c>
      <c r="B9" s="4" t="str">
        <f aca="false">IF(AND(Inputs!$B$7&lt;=Inputs!$C$7,Inputs!$C$7&lt;=Inputs!$D$7,Inputs!$B$8&lt;=Inputs!$C$8,Inputs!$C$8&lt;=Inputs!$D$8,Inputs!$B$10&gt;=Inputs!$C$10,Inputs!$C$10&gt;=Inputs!$D$10,Inputs!$B$11&lt;=Inputs!$C$11,Inputs!$C$11&lt;=Inputs!$D$11,Inputs!$B$12&gt;=Inputs!$C$12,Inputs!$C$12&gt;=Inputs!$D$12,Inputs!$B$20&lt;=Inputs!$C$20,Inputs!$C$20&lt;=Inputs!$D$20,Inputs!$B$21&lt;=Inputs!$C$21,Inputs!$C$21&lt;=Inputs!$D$21,Inputs!$B$22&lt;=Inputs!$C$22,Inputs!$C$22&lt;=Inputs!$D$22,Inputs!$B$23&lt;=Inputs!$C$23,Inputs!$C$23&lt;=Inputs!$D$23,Inputs!$B$24&gt;=Inputs!$C$24,Inputs!$C$24&gt;=Inputs!$D$24,Inputs!$B$25&gt;=Inputs!$C$25,Inputs!$C$25&gt;=Inputs!$D$25,Inputs!$B$28&lt;=Inputs!$C$28,Inputs!$C$28&lt;=Inputs!$D$28,Inputs!$B$29&lt;=Inputs!$C$29,Inputs!$C$29&lt;=Inputs!$D$29,Inputs!$B$30&lt;=Inputs!$C$30,Inputs!$C$30&lt;=Inputs!$D$30,Inputs!$B$31&lt;=Inputs!$C$31,Inputs!$C$31&lt;=Inputs!$D$31,Inputs!$B$34&gt;=Inputs!$C$34,Inputs!$C$34&gt;=Inputs!$D$34,Inputs!$B$35&gt;=Inputs!$C$35,Inputs!$C$35&gt;=Inputs!$D$35,Inputs!$B$36&gt;=Inputs!$C$36,Inputs!$C$36&gt;=Inputs!$D$36,Inputs!$B$37&gt;=Inputs!$C$37,Inputs!$C$37&gt;=Inputs!$D$37,Inputs!$B$38&gt;=Inputs!$C$38,Inputs!$C$38&gt;=Inputs!$D$38,Inputs!$B$39&gt;=Inputs!$C$39,Inputs!$C$39&gt;=Inputs!$D$39,Inputs!$B$47&lt;=Inputs!$C$47,Inputs!$C$47&lt;=Inputs!$D$47,Inputs!$B$57&lt;=Inputs!$C$57,Inputs!$C$57&lt;=Inputs!$D$57,Inputs!$B$59&lt;=Inputs!$C$59,Inputs!$C$59&lt;=Inputs!$D$59,Inputs!$B$61&lt;=Inputs!$C$61,Inputs!$C$61&lt;=Inputs!$D$61,Inputs!$B$63&lt;=Inputs!$C$63,Inputs!$C$63&lt;=Inputs!$D$63,Inputs!$B$87&gt;=Inputs!$C$87,Inputs!$C$87&gt;=Inputs!$D$87,Inputs!$B$88&lt;=Inputs!$C$88,Inputs!$C$88&lt;=Inputs!$D$88,Inputs!$B$89&lt;=Inputs!$C$89,Inputs!$C$89&lt;=Inputs!$D$89),"PASS","FAIL")</f>
        <v>PASS</v>
      </c>
      <c r="C9" s="18" t="s">
        <v>501</v>
      </c>
    </row>
    <row r="10" customFormat="false" ht="15" hidden="false" customHeight="false" outlineLevel="0" collapsed="false">
      <c r="A10" s="6" t="s">
        <v>502</v>
      </c>
      <c r="B10" s="4" t="str">
        <f aca="false">IF(AND(MIN('P&amp;L'!$B$8:$F$8)&gt;=0,MAX('P&amp;L'!$B$8:$F$8)&lt;=1),"PASS","FAIL")</f>
        <v>PASS</v>
      </c>
      <c r="C10" s="18" t="s">
        <v>503</v>
      </c>
    </row>
    <row r="11" customFormat="false" ht="15" hidden="false" customHeight="false" outlineLevel="0" collapsed="false">
      <c r="A11" s="6" t="s">
        <v>504</v>
      </c>
      <c r="B11" s="4" t="str">
        <f aca="false">IF(MIN(Monthly!$C$83:$BJ$83)&gt;=-0.5,"PASS","FAIL")</f>
        <v>PASS</v>
      </c>
      <c r="C11" s="18" t="s">
        <v>505</v>
      </c>
    </row>
    <row r="12" customFormat="false" ht="15" hidden="false" customHeight="false" outlineLevel="0" collapsed="false">
      <c r="A12" s="6" t="s">
        <v>506</v>
      </c>
      <c r="B12" s="4" t="str">
        <f aca="false">IF(ABS('Break-even'!B18-('Break-even'!B16-'Break-even'!B10))&lt;0.5,"PASS","FAIL")</f>
        <v>PASS</v>
      </c>
      <c r="C12" s="18" t="s">
        <v>507</v>
      </c>
    </row>
    <row r="13" customFormat="false" ht="15" hidden="false" customHeight="false" outlineLevel="0" collapsed="false">
      <c r="A13" s="6" t="s">
        <v>508</v>
      </c>
      <c r="B13" s="4" t="str">
        <f aca="false">IF(ABS(Valuation!B23-NPV(Valuation!B6,Valuation!$B$17:$F$17))&lt;0.5,"PASS","FAIL")</f>
        <v>PASS</v>
      </c>
      <c r="C13" s="18" t="s">
        <v>509</v>
      </c>
    </row>
    <row r="14" customFormat="false" ht="15" hidden="false" customHeight="false" outlineLevel="0" collapsed="false">
      <c r="A14" s="6" t="s">
        <v>510</v>
      </c>
      <c r="B14" s="4" t="str">
        <f aca="false">IF(Valuation!B6&gt;Valuation!B7,"PASS","FAIL")</f>
        <v>PASS</v>
      </c>
      <c r="C14" s="18" t="s">
        <v>511</v>
      </c>
    </row>
    <row r="15" customFormat="false" ht="15" hidden="false" customHeight="false" outlineLevel="0" collapsed="false">
      <c r="A15" s="6" t="s">
        <v>512</v>
      </c>
      <c r="B15" s="4" t="str">
        <f aca="false">IF(ABS(Valuation!D36-Valuation!B27)&lt;0.5,"PASS","FAIL")</f>
        <v>PASS</v>
      </c>
      <c r="C15" s="18" t="s">
        <v>513</v>
      </c>
    </row>
    <row r="16" customFormat="false" ht="15" hidden="false" customHeight="false" outlineLevel="0" collapsed="false">
      <c r="A16" s="6" t="s">
        <v>514</v>
      </c>
      <c r="B16" s="4" t="str">
        <f aca="false">IF(Valuation!$F$17&gt;0,"PASS","WARN")</f>
        <v>PASS</v>
      </c>
      <c r="C16" s="18" t="s">
        <v>515</v>
      </c>
    </row>
    <row r="17" customFormat="false" ht="15" hidden="false" customHeight="false" outlineLevel="0" collapsed="false">
      <c r="A17" s="6" t="s">
        <v>516</v>
      </c>
      <c r="B17" s="4" t="str">
        <f aca="false">IF(ABS('Sources &amp; Uses'!B21-'Sources &amp; Uses'!B28)&lt;0.5,"PASS","FAIL")</f>
        <v>PASS</v>
      </c>
      <c r="C17" s="18" t="s">
        <v>517</v>
      </c>
    </row>
    <row r="18" customFormat="false" ht="15" hidden="false" customHeight="false" outlineLevel="0" collapsed="false">
      <c r="A18" s="6" t="s">
        <v>518</v>
      </c>
      <c r="B18" s="4" t="str">
        <f aca="false">IF(SUMPRODUCT(--ISERROR(Monthly!$C$4:$BJ$118))+SUMPRODUCT(--ISERROR(Headcount!$C$4:$BJ$15))+SUMPRODUCT(--ISERROR('P&amp;L'!$B$3:$F$23))+SUMPRODUCT(--ISERROR('Cash Flow'!$B$3:$F$18))+SUMPRODUCT(--ISERROR('Balance Sheet'!$B$3:$F$17))+SUMPRODUCT(--ISERROR(KPIs!$B$27:$F$52))+SUMPRODUCT(--ISERROR('Break-even'!$B$26:$F$33))+SUMPRODUCT(--ISERROR(Valuation!$B$14:$F$19))+SUMPRODUCT(--ISERROR('Break-even'!$B$3:$F$35))+SUMPRODUCT(--ISERROR(Valuation!$A$3:$F$40))+SUMPRODUCT(--ISERROR('Sources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Uses'!$B$3:$C$30))+SUMPRODUCT(--ISERROR(Dashboard!$A$6:$W$44))+SUMPRODUCT(--ISERROR(Summary!$A$5:$S$52))+SUMPRODUCT(--ISERROR(KPIs!$A$4:$G$52))+SUMPRODUCT(--ISERROR('Scenario calc'!$C$6:$BJ$130))+SUMPRODUCT(--ISERROR('Scenario calc'!$C$135:$BJ$259))+SUMPRODUCT(--ISERROR('Scenario calc'!$C$264:$BJ$388))+SUMPRODUCT(--ISERROR(Scenarios!$B$5:$F$51))=0,"PASS","FAIL")</f>
        <v>PASS</v>
      </c>
      <c r="C18" s="18" t="s">
        <v>519</v>
      </c>
    </row>
    <row r="19" customFormat="false" ht="15" hidden="false" customHeight="false" outlineLevel="0" collapsed="false">
      <c r="A19" s="6" t="s">
        <v>520</v>
      </c>
      <c r="B19" s="4" t="str">
        <f aca="false">IF(IFERROR(AND(SUMPRODUCT(--(ABS(Summary!$B$7:$F$7-'P&amp;L'!$B$5:$F$5)&gt;0.5))=0,SUMPRODUCT(--(ABS(Summary!$B$19:$F$19-'P&amp;L'!$B$22:$F$22)&gt;0.5))=0,SUMPRODUCT(--(ABS(Summary!$B$31:$F$31-'Cash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521</v>
      </c>
    </row>
    <row r="20" customFormat="false" ht="15" hidden="false" customHeight="false" outlineLevel="0" collapsed="false">
      <c r="A20" s="6" t="s">
        <v>522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523</v>
      </c>
    </row>
    <row r="21" customFormat="false" ht="15" hidden="false" customHeight="false" outlineLevel="0" collapsed="false">
      <c r="A21" s="6" t="s">
        <v>524</v>
      </c>
      <c r="B21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1" s="18" t="s">
        <v>525</v>
      </c>
    </row>
    <row r="22" customFormat="false" ht="15" hidden="false" customHeight="false" outlineLevel="0" collapsed="false">
      <c r="A22" s="6" t="s">
        <v>526</v>
      </c>
      <c r="B22" s="4" t="str">
        <f aca="false">IF(SUMPRODUCT(--(ABS(Monthly!$C$118:$BJ$118)&gt;0.5))=0,"PASS","FAIL")</f>
        <v>PASS</v>
      </c>
      <c r="C22" s="18" t="s">
        <v>527</v>
      </c>
    </row>
    <row r="23" customFormat="false" ht="15" hidden="false" customHeight="false" outlineLevel="0" collapsed="false">
      <c r="A23" s="6" t="s">
        <v>528</v>
      </c>
      <c r="B23" s="4" t="str">
        <f aca="false">IF(MIN(Monthly!$C$100:$BJ$100)&gt;=0,"PASS","WARN")</f>
        <v>PASS</v>
      </c>
      <c r="C23" s="18" t="s">
        <v>529</v>
      </c>
    </row>
    <row r="25" customFormat="false" ht="15" hidden="false" customHeight="false" outlineLevel="0" collapsed="false">
      <c r="A25" s="72" t="s">
        <v>530</v>
      </c>
      <c r="B25" s="72" t="str">
        <f aca="false">IF(COUNTIF(B4:B23,"FAIL")&gt;0,"FAIL",IF(COUNTIF(B4:B23,"WARN")&gt;0,"PASS WITH WARNINGS","PASS"))</f>
        <v>PASS</v>
      </c>
      <c r="C25" s="124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2026-10-22T13:54:59Z</dcterms:created>
  <dc:creator/>
  <dc:description/>
  <dc:language>en-US</dc:language>
  <cp:lastModifiedBy/>
  <dcterms:modified xsi:type="dcterms:W3CDTF">2026-10-22T13:55:00Z</dcterms:modified>
  <cp:revision>0</cp:revision>
  <dc:subject/>
  <dc:title>Car wash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