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Break-even" sheetId="4" state="visible" r:id="rId6"/>
    <sheet name="Valuation" sheetId="5" state="visible" r:id="rId7"/>
    <sheet name="Inputs" sheetId="6" state="visible" r:id="rId8"/>
    <sheet name="P&amp;L" sheetId="7" state="visible" r:id="rId9"/>
    <sheet name="Cash Flow" sheetId="8" state="visible" r:id="rId10"/>
    <sheet name="Balance Sheet" sheetId="9" state="visible" r:id="rId11"/>
    <sheet name="Monthly" sheetId="10" state="visible" r:id="rId12"/>
    <sheet name="Headcount" sheetId="11" state="visible" r:id="rId13"/>
    <sheet name="Check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<sst xmlns="http://schemas.openxmlformats.org/spreadsheetml/2006/main" count="695" uniqueCount="414">
  <si>
    <t xml:space="preserve">Fitness studio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</si>
  <si>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</si>
  <si>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</si>
  <si>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</si>
  <si>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</si>
  <si>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</si>
  <si>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</si>
  <si>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20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</si>
  <si>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</si>
  <si>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</si>
  <si>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</si>
  <si>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</si>
  <si>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</si>
  <si>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</si>
  <si>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</si>
  <si>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</si>
  <si>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</si>
  <si>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</si>
  <si>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</si>
  <si>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</si>
  <si>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</si>
  <si>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</si>
  <si>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</si>
  <si>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</si>
  <si>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</si>
  <si>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</si>
  <si>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</si>
  <si>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</si>
  <si>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</si>
  <si>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</si>
  <si>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</si>
  <si>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</si>
  <si>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</si>
  <si>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</si>
  <si>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</si>
  <si>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</si>
  <si>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</si>
  <si>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</si>
  <si>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</si>
  <si>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</si>
  <si>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</si>
  <si>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</si>
  <si>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</si>
  <si>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</si>
  <si>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</si>
  <si>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</si>
  <si>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</si>
  <si>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</si>
  <si>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</si>
  <si>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</si>
  <si>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</si>
  <si>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</si>
  <si>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</si>
  <si>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Membership metrics</t>
  </si>
  <si>
    <t xml:space="preserve">Members (year end)</t>
  </si>
  <si>
    <t xml:space="preserve">Capacity used (year end)</t>
  </si>
  <si>
    <t xml:space="preserve">Membership fees per month (year end)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</si>
  <si>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</si>
  <si>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</si>
  <si>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</si>
  <si>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</si>
  <si>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</si>
  <si>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</si>
  <si>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</si>
  <si>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</si>
  <si>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</si>
  <si>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</si>
  <si>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</si>
  <si>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Membership metrics — detail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</si>
  <si>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</si>
  <si>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</si>
  <si>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</si>
  <si>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</si>
  <si>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</si>
  <si>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</si>
  <si>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New members in the year</t>
  </si>
  <si>
    <t xml:space="preserve">Members who cancelled in the year</t>
  </si>
  <si>
    <t xml:space="preserve">Joins lost to the capacity limit</t>
  </si>
  <si>
    <t xml:space="preserve">Capacity used (year-end members ÷ capacity)</t>
  </si>
  <si>
    <t xml:space="preserve">Membership fees per month at year end</t>
  </si>
  <si>
    <t xml:space="preserve">Membership fee per month</t>
  </si>
  <si>
    <t xml:space="preserve">Membership fees</t>
  </si>
  <si>
    <t xml:space="preserve">Personal training, retail &amp; joining fees</t>
  </si>
  <si>
    <t xml:space="preserve">Marketing spend</t>
  </si>
  <si>
    <t xml:space="preserve">New members from marketing</t>
  </si>
  <si>
    <t xml:space="preserve">Marketing cost per new member</t>
  </si>
  <si>
    <t xml:space="preserve">Members who cancel per month</t>
  </si>
  <si>
    <t xml:space="preserve">Member lifetime value (fee × gross margin ÷ monthly cancellations)</t>
  </si>
  <si>
    <t xml:space="preserve">Revenue per square foot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</si>
  <si>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</si>
  <si>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</si>
  <si>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</si>
  <si>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</si>
  <si>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</si>
  <si>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</si>
  <si>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</si>
  <si>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</si>
  <si>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</si>
  <si>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</si>
  <si>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</si>
  <si>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</si>
  <si>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</si>
  <si>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</si>
  <si>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</si>
  <si>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</si>
  <si>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</si>
  <si>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</si>
  <si>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</si>
  <si>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</si>
  <si>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</si>
  <si>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</si>
  <si>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</si>
  <si>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</si>
  <si>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</si>
  <si>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</si>
  <si>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</si>
  <si>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</si>
  <si>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</si>
  <si>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</si>
  <si>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</si>
  <si>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</si>
  <si>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Lowest cash point (month #)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</si>
  <si>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</si>
  <si>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</si>
  <si>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</si>
  <si>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</si>
  <si>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</si>
  <si>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</si>
  <si>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</si>
  <si>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</si>
  <si>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</si>
  <si>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</si>
  <si>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</si>
  <si>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</si>
  <si>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</si>
  <si>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</si>
  <si>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</si>
  <si>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</si>
  <si>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</si>
  <si>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</si>
  <si>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</si>
  <si>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</si>
  <si>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</si>
  <si>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</si>
  <si>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</si>
  <si>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</si>
  <si>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</si>
  <si>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</si>
  <si>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</si>
  <si>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</si>
  <si>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</si>
  <si>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</si>
  <si>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</si>
  <si>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</si>
  <si>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</si>
  <si>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</si>
  <si>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</si>
  <si>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</si>
  <si>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</si>
  <si>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</si>
  <si>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</si>
  <si>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</si>
  <si>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</si>
  <si>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</si>
  <si>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</si>
  <si>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</si>
  <si>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</si>
  <si>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</si>
  <si>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</si>
  <si>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</si>
  <si>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</si>
  <si>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Inputs — Low / Base / High</t>
  </si>
  <si>
    <t xml:space="preserve">Illustrative assumptions — replace them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</si>
  <si>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</si>
  <si>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</si>
  <si>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</si>
  <si>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</si>
  <si>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</si>
  <si>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</si>
  <si>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Source / comment</t>
  </si>
  <si>
    <t xml:space="preserve">Members</t>
  </si>
  <si>
    <t xml:space="preserve">Members at start (presale or current base)</t>
  </si>
  <si>
    <t xml:space="preserve">#</t>
  </si>
  <si>
    <t xml:space="preserve">Low ≤ Base ≤ High</t>
  </si>
  <si>
    <t xml:space="preserve">Capacity: most members the studio can hold</t>
  </si>
  <si>
    <t xml:space="preserve">Referral &amp; walk-in joins per month (year 1)</t>
  </si>
  <si>
    <t xml:space="preserve">Referral &amp; walk-in joins growth per year</t>
  </si>
  <si>
    <t xml:space="preserve">%</t>
  </si>
  <si>
    <t xml:space="preserve">Marketing budget per month (year 1)</t>
  </si>
  <si>
    <t xml:space="preserve">$</t>
  </si>
  <si>
    <t xml:space="preserve">Marketing budget growth per year</t>
  </si>
  <si>
    <t xml:space="preserve">Cost per lead</t>
  </si>
  <si>
    <t xml:space="preserve">Low ≥ Base ≥ High (lower is better)</t>
  </si>
  <si>
    <t xml:space="preserve">Leads that join</t>
  </si>
  <si>
    <t xml:space="preserve">Prices</t>
  </si>
  <si>
    <t xml:space="preserve">Membership fee per month (year 1)</t>
  </si>
  <si>
    <t xml:space="preserve">Price increase per year</t>
  </si>
  <si>
    <t xml:space="preserve">Joining fee per new member</t>
  </si>
  <si>
    <t xml:space="preserve">Personal training &amp; retail</t>
  </si>
  <si>
    <t xml:space="preserve">Members buying personal training</t>
  </si>
  <si>
    <t xml:space="preserve">Sessions per personal-training client per month</t>
  </si>
  <si>
    <t xml:space="preserve">Price per personal-training session</t>
  </si>
  <si>
    <t xml:space="preserve">Trainer payout, % of personal-training revenue</t>
  </si>
  <si>
    <t xml:space="preserve">Retail &amp; drinks sales per member per month</t>
  </si>
  <si>
    <t xml:space="preserve">Retail &amp; drinks cost, % of sales</t>
  </si>
  <si>
    <t xml:space="preserve">Costs</t>
  </si>
  <si>
    <t xml:space="preserve">Group classes per week</t>
  </si>
  <si>
    <t xml:space="preserve">Instructor cost per class (year 1)</t>
  </si>
  <si>
    <t xml:space="preserve">Rent per month</t>
  </si>
  <si>
    <t xml:space="preserve">Utilities per month</t>
  </si>
  <si>
    <t xml:space="preserve">Equipment maintenance &amp; cleaning per month</t>
  </si>
  <si>
    <t xml:space="preserve">Booking software &amp; payment fees, % of revenue</t>
  </si>
  <si>
    <t xml:space="preserve">Insurance &amp; other G&amp;A per month</t>
  </si>
  <si>
    <t xml:space="preserve">Studio size</t>
  </si>
  <si>
    <t xml:space="preserve">sq ft</t>
  </si>
  <si>
    <t xml:space="preserve">Fit-out &amp; equipment (month 1)</t>
  </si>
  <si>
    <t xml:space="preserve">Headcount</t>
  </si>
  <si>
    <t xml:space="preserve">Studio manager: headcount (FTE)</t>
  </si>
  <si>
    <t xml:space="preserve">FTE</t>
  </si>
  <si>
    <t xml:space="preserve">Studio manager: salary per FTE per year</t>
  </si>
  <si>
    <t xml:space="preserve">Studio manager: headcount growth per year</t>
  </si>
  <si>
    <t xml:space="preserve">Studio manager: first month on payroll</t>
  </si>
  <si>
    <t xml:space="preserve">month #</t>
  </si>
  <si>
    <t xml:space="preserve">Front desk &amp; sales: headcount (FTE)</t>
  </si>
  <si>
    <t xml:space="preserve">Front desk &amp; sales: salary per FTE per year</t>
  </si>
  <si>
    <t xml:space="preserve">Front desk &amp; sales: headcount growth per year</t>
  </si>
  <si>
    <t xml:space="preserve">Front desk &amp; sales: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</si>
  <si>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</si>
  <si>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</si>
  <si>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</si>
  <si>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</si>
  <si>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</si>
  <si>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</si>
  <si>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</si>
  <si>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</si>
  <si>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</si>
  <si>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</si>
  <si>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</si>
  <si>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</si>
  <si>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</si>
  <si>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</si>
  <si>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</si>
  <si>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</si>
  <si>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</si>
  <si>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</si>
  <si>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</si>
  <si>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</si>
  <si>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</si>
  <si>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</si>
  <si>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</si>
  <si>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</si>
  <si>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</si>
  <si>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Staff payroll</t>
  </si>
  <si>
    <t xml:space="preserve">Marketing</t>
  </si>
  <si>
    <t xml:space="preserve">Rent</t>
  </si>
  <si>
    <t xml:space="preserve">Utilities</t>
  </si>
  <si>
    <t xml:space="preserve">Equipment maintenance &amp; cleaning</t>
  </si>
  <si>
    <t xml:space="preserve">Booking software &amp; payment fees</t>
  </si>
  <si>
    <t xml:space="preserve">Insurance &amp; 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</si>
  <si>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</si>
  <si>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</si>
  <si>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</si>
  <si>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</si>
  <si>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</si>
  <si>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</si>
  <si>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</si>
  <si>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</si>
  <si>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</si>
  <si>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</si>
  <si>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</si>
  <si>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</si>
  <si>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</si>
  <si>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</si>
  <si>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</si>
  <si>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</si>
  <si>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</si>
  <si>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</si>
  <si>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</si>
  <si>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</si>
  <si>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</si>
  <si>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</si>
  <si>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</si>
  <si>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</si>
  <si>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</si>
  <si>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</si>
  <si>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</si>
  <si>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</si>
  <si>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</si>
  <si>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</si>
  <si>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</si>
  <si>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</si>
  <si>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</si>
  <si>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</si>
  <si>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</si>
  <si>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</si>
  <si>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</si>
  <si>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</si>
  <si>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</si>
  <si>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</si>
  <si>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</si>
  <si>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</si>
  <si>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</si>
  <si>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</si>
  <si>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</si>
  <si>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</si>
  <si>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</si>
  <si>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</si>
  <si>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</si>
  <si>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</si>
  <si>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</si>
  <si>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</si>
  <si>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</si>
  <si>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</si>
  <si>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</si>
  <si>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</si>
  <si>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</si>
  <si>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</si>
  <si>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</si>
  <si>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</si>
  <si>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</si>
  <si>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</si>
  <si>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</si>
  <si>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</si>
  <si>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</si>
  <si>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</si>
  <si>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</si>
  <si>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</si>
  <si>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</si>
  <si>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</si>
  <si>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New members from referrals &amp; walk-ins</t>
  </si>
  <si>
    <t xml:space="preserve">New members — total</t>
  </si>
  <si>
    <t xml:space="preserve">Members — opening</t>
  </si>
  <si>
    <t xml:space="preserve">Members who cancelled</t>
  </si>
  <si>
    <t xml:space="preserve">Helper: members before the capacity limit</t>
  </si>
  <si>
    <t xml:space="preserve">Members — closing</t>
  </si>
  <si>
    <t xml:space="preserve">Members — average</t>
  </si>
  <si>
    <t xml:space="preserve">Joining fees</t>
  </si>
  <si>
    <t xml:space="preserve">Personal training</t>
  </si>
  <si>
    <t xml:space="preserve">Retail &amp; drinks</t>
  </si>
  <si>
    <t xml:space="preserve">Group-class instructors</t>
  </si>
  <si>
    <t xml:space="preserve">Trainer payouts</t>
  </si>
  <si>
    <t xml:space="preserve">Retail &amp; drinks cost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</si>
  <si>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</si>
  <si>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</si>
  <si>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</si>
  <si>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</si>
  <si>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</si>
  <si>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(fit-out &amp; equipment)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</si>
  <si>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</si>
  <si>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</si>
  <si>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</si>
  <si>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</si>
  <si>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</si>
  <si>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</si>
  <si>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</si>
  <si>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</si>
  <si>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</si>
  <si>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</si>
  <si>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</si>
  <si>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</si>
  <si>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</si>
  <si>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</si>
  <si>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</si>
  <si>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</si>
  <si>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</si>
  <si>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</si>
  <si>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</si>
  <si>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</si>
  <si>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Studio manager — FTE</t>
  </si>
  <si>
    <t xml:space="preserve">Front desk &amp; sales — FTE</t>
  </si>
  <si>
    <t xml:space="preserve">Total FTE</t>
  </si>
  <si>
    <t xml:space="preserve">Payroll cost (salary + taxes &amp; benefits)</t>
  </si>
  <si>
    <t xml:space="preserve">Studio manager — payroll cost</t>
  </si>
  <si>
    <t xml:space="preserve">Front desk &amp; sales — payroll cost</t>
  </si>
  <si>
    <t xml:space="preserve">Total payroll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</si>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</sst>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6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Year &quot;0"/>
    <numFmt numFmtId="173" formatCode="\$#,##0,;&quot;($&quot;#,##0,\);\-"/>
    <numFmt numFmtId="174" formatCode="#,##0;\(#,##0\);\-"/>
    <numFmt numFmtId="175" formatCode="#,##0.0;\(#,##0.0\);\-"/>
    <numFmt numFmtId="176" formatCode="&quot;Month &quot;0"/>
    <numFmt numFmtId="177" formatCode="#,##0.0;\(#,##0.0\);\-"/>
    <numFmt numFmtId="178" formatCode="0.0%;\(0.0%\);\-"/>
    <numFmt numFmtId="179" formatCode="[&gt;=1000000]\$#,##0.0,,\M;[&gt;=1000]\$#,##0.0,\k;\$#,##0"/>
    <numFmt numFmtId="180" formatCode="\$#,##0.00;&quot;($&quot;#,##0.00\);\-"/>
    <numFmt numFmtId="181" formatCode="\$#,##0.0,,\M"/>
    <numFmt numFmtId="182" formatCode="0%"/>
    <numFmt numFmtId="183" formatCode="\M0"/>
    <numFmt numFmtId="184" formatCode="\$#,##0,\K"/>
    <numFmt numFmtId="185" formatCode="0"/>
    <numFmt numFmtId="186" formatCode="\$#,##0;&quot;($&quot;#,##0\);\-"/>
    <numFmt numFmtId="187" formatCode="0.0\x"/>
    <numFmt numFmtId="188" formatCode="0.000"/>
    <numFmt numFmtId="189" formatCode="#,##0;\(#,##0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7"/>
      <color rgb="FFA3ABA8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i val="true"/>
      <sz val="9"/>
      <color rgb="FF008000"/>
      <name val="Arial"/>
      <family val="0"/>
      <charset val="1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808080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393075.459761719</c:v>
                </c:pt>
                <c:pt idx="1">
                  <c:v>663933.884151801</c:v>
                </c:pt>
                <c:pt idx="2">
                  <c:v>722638.4004</c:v>
                </c:pt>
                <c:pt idx="3">
                  <c:v>744317.552412</c:v>
                </c:pt>
                <c:pt idx="4">
                  <c:v>766647.07898436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-182978.134141062</c:v>
                </c:pt>
                <c:pt idx="1">
                  <c:v>40239.7675238735</c:v>
                </c:pt>
                <c:pt idx="2">
                  <c:v>79977.9283840001</c:v>
                </c:pt>
                <c:pt idx="3">
                  <c:v>87798.8662355202</c:v>
                </c:pt>
                <c:pt idx="4">
                  <c:v>95801.5122225856</c:v>
                </c:pt>
              </c:numCache>
            </c:numRef>
          </c:val>
        </c:ser>
        <c:gapWidth val="60"/>
        <c:overlap val="0"/>
        <c:axId val="93323807"/>
        <c:axId val="23912249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-0.465503835451804</c:v>
                </c:pt>
                <c:pt idx="1">
                  <c:v>0.0606080943967504</c:v>
                </c:pt>
                <c:pt idx="2">
                  <c:v>0.110674894026847</c:v>
                </c:pt>
                <c:pt idx="3">
                  <c:v>0.117958881865681</c:v>
                </c:pt>
                <c:pt idx="4">
                  <c:v>0.124961686868359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859928"/>
        <c:axId val="3561440"/>
      </c:lineChart>
      <c:catAx>
        <c:axId val="9332380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912249"/>
        <c:crosses val="autoZero"/>
        <c:auto val="1"/>
        <c:lblAlgn val="ctr"/>
        <c:lblOffset val="100"/>
        <c:noMultiLvlLbl val="0"/>
      </c:catAx>
      <c:valAx>
        <c:axId val="2391224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3323807"/>
        <c:crosses val="autoZero"/>
        <c:crossBetween val="between"/>
      </c:valAx>
      <c:catAx>
        <c:axId val="8185992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61440"/>
        <c:crosses val="autoZero"/>
        <c:auto val="1"/>
        <c:lblAlgn val="ctr"/>
        <c:lblOffset val="100"/>
        <c:noMultiLvlLbl val="0"/>
      </c:catAx>
      <c:valAx>
        <c:axId val="356144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8599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-190250.259354596</c:v>
                </c:pt>
                <c:pt idx="1">
                  <c:v>31208.1522612175</c:v>
                </c:pt>
                <c:pt idx="2">
                  <c:v>72257.2090268572</c:v>
                </c:pt>
                <c:pt idx="3">
                  <c:v>81796.5252976631</c:v>
                </c:pt>
                <c:pt idx="4">
                  <c:v>91517.6724851642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-250000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460357.142857143</c:v>
                </c:pt>
                <c:pt idx="1">
                  <c:v>-21428.5714285714</c:v>
                </c:pt>
                <c:pt idx="2">
                  <c:v>-21428.5714285714</c:v>
                </c:pt>
                <c:pt idx="3">
                  <c:v>-21428.5714285714</c:v>
                </c:pt>
                <c:pt idx="4">
                  <c:v>-21428.5714285714</c:v>
                </c:pt>
              </c:numCache>
            </c:numRef>
          </c:val>
        </c:ser>
        <c:gapWidth val="60"/>
        <c:overlap val="0"/>
        <c:axId val="98265171"/>
        <c:axId val="12084273"/>
      </c:barChart>
      <c:catAx>
        <c:axId val="9826517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084273"/>
        <c:crosses val="autoZero"/>
        <c:auto val="1"/>
        <c:lblAlgn val="ctr"/>
        <c:lblOffset val="100"/>
        <c:noMultiLvlLbl val="0"/>
      </c:catAx>
      <c:valAx>
        <c:axId val="1208427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2651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20106.8835025468</c:v>
                </c:pt>
                <c:pt idx="1">
                  <c:v>29886.4643351928</c:v>
                </c:pt>
                <c:pt idx="2">
                  <c:v>80715.1019334786</c:v>
                </c:pt>
                <c:pt idx="3">
                  <c:v>141083.05580257</c:v>
                </c:pt>
                <c:pt idx="4">
                  <c:v>211172.156859163</c:v>
                </c:pt>
              </c:numCache>
            </c:numRef>
          </c:val>
        </c:ser>
        <c:gapWidth val="60"/>
        <c:overlap val="0"/>
        <c:axId val="64216675"/>
        <c:axId val="94416967"/>
      </c:barChart>
      <c:catAx>
        <c:axId val="6421667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416967"/>
        <c:crosses val="autoZero"/>
        <c:auto val="1"/>
        <c:lblAlgn val="ctr"/>
        <c:lblOffset val="100"/>
        <c:noMultiLvlLbl val="0"/>
      </c:catAx>
      <c:valAx>
        <c:axId val="9441696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2166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Members &amp;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Members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355.835858333586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</c:numCache>
            </c:numRef>
          </c:val>
        </c:ser>
        <c:gapWidth val="60"/>
        <c:overlap val="0"/>
        <c:axId val="94073904"/>
        <c:axId val="30845956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Capacity used (year end)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0.790746351852413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191611"/>
        <c:axId val="77229863"/>
      </c:lineChart>
      <c:catAx>
        <c:axId val="9407390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845956"/>
        <c:crosses val="autoZero"/>
        <c:auto val="1"/>
        <c:lblAlgn val="ctr"/>
        <c:lblOffset val="100"/>
        <c:noMultiLvlLbl val="0"/>
      </c:catAx>
      <c:valAx>
        <c:axId val="3084595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073904"/>
        <c:crosses val="autoZero"/>
        <c:crossBetween val="between"/>
      </c:valAx>
      <c:catAx>
        <c:axId val="4719161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229863"/>
        <c:crosses val="autoZero"/>
        <c:auto val="1"/>
        <c:lblAlgn val="ctr"/>
        <c:lblOffset val="100"/>
        <c:noMultiLvlLbl val="0"/>
      </c:catAx>
      <c:valAx>
        <c:axId val="7722986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719161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18123</c:v>
                </c:pt>
                <c:pt idx="1">
                  <c:v>21349.608</c:v>
                </c:pt>
                <c:pt idx="2">
                  <c:v>24382.61952</c:v>
                </c:pt>
                <c:pt idx="3">
                  <c:v>27233.6503488</c:v>
                </c:pt>
                <c:pt idx="4">
                  <c:v>29913.619327872</c:v>
                </c:pt>
                <c:pt idx="5">
                  <c:v>32432.7901681997</c:v>
                </c:pt>
                <c:pt idx="6">
                  <c:v>34800.8107581077</c:v>
                </c:pt>
                <c:pt idx="7">
                  <c:v>37026.7501126212</c:v>
                </c:pt>
                <c:pt idx="8">
                  <c:v>39119.133105864</c:v>
                </c:pt>
                <c:pt idx="9">
                  <c:v>41085.9731195121</c:v>
                </c:pt>
                <c:pt idx="10">
                  <c:v>42934.8027323414</c:v>
                </c:pt>
                <c:pt idx="11">
                  <c:v>44672.7025684009</c:v>
                </c:pt>
              </c:numCache>
            </c:numRef>
          </c:val>
        </c:ser>
        <c:gapWidth val="60"/>
        <c:overlap val="0"/>
        <c:axId val="73069219"/>
        <c:axId val="22589616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-27858.9366666667</c:v>
                </c:pt>
                <c:pt idx="1">
                  <c:v>-25078.2919866667</c:v>
                </c:pt>
                <c:pt idx="2">
                  <c:v>-22464.4859874667</c:v>
                </c:pt>
                <c:pt idx="3">
                  <c:v>-20007.5083482187</c:v>
                </c:pt>
                <c:pt idx="4">
                  <c:v>-17697.9493673256</c:v>
                </c:pt>
                <c:pt idx="5">
                  <c:v>-15526.963925286</c:v>
                </c:pt>
                <c:pt idx="6">
                  <c:v>-13486.2376097689</c:v>
                </c:pt>
                <c:pt idx="7">
                  <c:v>-11567.9548731827</c:v>
                </c:pt>
                <c:pt idx="8">
                  <c:v>-9764.76910079178</c:v>
                </c:pt>
                <c:pt idx="9">
                  <c:v>-8069.77447474427</c:v>
                </c:pt>
                <c:pt idx="10">
                  <c:v>-6476.47952625962</c:v>
                </c:pt>
                <c:pt idx="11">
                  <c:v>-4978.78227468404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-31835.1271428571</c:v>
                </c:pt>
                <c:pt idx="1">
                  <c:v>-29048.5300819048</c:v>
                </c:pt>
                <c:pt idx="2">
                  <c:v>-26422.8193208</c:v>
                </c:pt>
                <c:pt idx="3">
                  <c:v>-23953.9369196472</c:v>
                </c:pt>
                <c:pt idx="4">
                  <c:v>-21632.4731768494</c:v>
                </c:pt>
                <c:pt idx="5">
                  <c:v>-19449.5829729051</c:v>
                </c:pt>
                <c:pt idx="6">
                  <c:v>-17396.9518954832</c:v>
                </c:pt>
                <c:pt idx="7">
                  <c:v>-15466.7643969923</c:v>
                </c:pt>
                <c:pt idx="8">
                  <c:v>-13651.6738626965</c:v>
                </c:pt>
                <c:pt idx="9">
                  <c:v>-11944.7744747443</c:v>
                </c:pt>
                <c:pt idx="10">
                  <c:v>-10339.5747643549</c:v>
                </c:pt>
                <c:pt idx="11">
                  <c:v>-8829.97275087452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069219"/>
        <c:axId val="22589616"/>
      </c:lineChart>
      <c:catAx>
        <c:axId val="73069219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589616"/>
        <c:crosses val="autoZero"/>
        <c:auto val="1"/>
        <c:lblAlgn val="ctr"/>
        <c:lblOffset val="100"/>
        <c:noMultiLvlLbl val="0"/>
      </c:catAx>
      <c:valAx>
        <c:axId val="2258961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0692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-25720.4866666667</c:v>
                </c:pt>
                <c:pt idx="1">
                  <c:v>-25966.7066057143</c:v>
                </c:pt>
                <c:pt idx="2">
                  <c:v>-23347.3338246095</c:v>
                </c:pt>
                <c:pt idx="3">
                  <c:v>-20884.4091246568</c:v>
                </c:pt>
                <c:pt idx="4">
                  <c:v>-18568.5456209869</c:v>
                </c:pt>
                <c:pt idx="5">
                  <c:v>-16390.9196418229</c:v>
                </c:pt>
                <c:pt idx="6">
                  <c:v>-14343.2369356945</c:v>
                </c:pt>
                <c:pt idx="7">
                  <c:v>-12417.7009062195</c:v>
                </c:pt>
                <c:pt idx="8">
                  <c:v>-10606.9827527987</c:v>
                </c:pt>
                <c:pt idx="9">
                  <c:v>-8904.19340286889</c:v>
                </c:pt>
                <c:pt idx="10">
                  <c:v>-7302.85712822056</c:v>
                </c:pt>
                <c:pt idx="11">
                  <c:v>-5796.88674433685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-250000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480000</c:v>
                </c:pt>
                <c:pt idx="1">
                  <c:v>-1785.71428571429</c:v>
                </c:pt>
                <c:pt idx="2">
                  <c:v>-1785.71428571429</c:v>
                </c:pt>
                <c:pt idx="3">
                  <c:v>-1785.71428571429</c:v>
                </c:pt>
                <c:pt idx="4">
                  <c:v>-1785.71428571429</c:v>
                </c:pt>
                <c:pt idx="5">
                  <c:v>-1785.71428571429</c:v>
                </c:pt>
                <c:pt idx="6">
                  <c:v>-1785.71428571429</c:v>
                </c:pt>
                <c:pt idx="7">
                  <c:v>-1785.71428571429</c:v>
                </c:pt>
                <c:pt idx="8">
                  <c:v>-1785.71428571429</c:v>
                </c:pt>
                <c:pt idx="9">
                  <c:v>-1785.71428571429</c:v>
                </c:pt>
                <c:pt idx="10">
                  <c:v>-1785.71428571429</c:v>
                </c:pt>
                <c:pt idx="11">
                  <c:v>-1785.71428571429</c:v>
                </c:pt>
              </c:numCache>
            </c:numRef>
          </c:val>
        </c:ser>
        <c:gapWidth val="60"/>
        <c:overlap val="0"/>
        <c:axId val="29051264"/>
        <c:axId val="93338916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204279.513333333</c:v>
                </c:pt>
                <c:pt idx="1">
                  <c:v>176527.092441905</c:v>
                </c:pt>
                <c:pt idx="2">
                  <c:v>151394.044331581</c:v>
                </c:pt>
                <c:pt idx="3">
                  <c:v>128723.92092121</c:v>
                </c:pt>
                <c:pt idx="4">
                  <c:v>108369.661014509</c:v>
                </c:pt>
                <c:pt idx="5">
                  <c:v>90193.0270869715</c:v>
                </c:pt>
                <c:pt idx="6">
                  <c:v>74064.0758655627</c:v>
                </c:pt>
                <c:pt idx="7">
                  <c:v>59860.6606736289</c:v>
                </c:pt>
                <c:pt idx="8">
                  <c:v>47467.9636351159</c:v>
                </c:pt>
                <c:pt idx="9">
                  <c:v>36778.0559465327</c:v>
                </c:pt>
                <c:pt idx="10">
                  <c:v>27689.4845325979</c:v>
                </c:pt>
                <c:pt idx="11">
                  <c:v>20106.8835025468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231913"/>
        <c:axId val="43256607"/>
      </c:lineChart>
      <c:catAx>
        <c:axId val="29051264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3338916"/>
        <c:crosses val="autoZero"/>
        <c:auto val="1"/>
        <c:lblAlgn val="ctr"/>
        <c:lblOffset val="100"/>
        <c:noMultiLvlLbl val="0"/>
      </c:catAx>
      <c:valAx>
        <c:axId val="9333891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9051264"/>
        <c:crosses val="autoZero"/>
        <c:crossBetween val="between"/>
      </c:valAx>
      <c:catAx>
        <c:axId val="22231913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256607"/>
        <c:crosses val="autoZero"/>
        <c:auto val="1"/>
        <c:lblAlgn val="ctr"/>
        <c:lblOffset val="100"/>
        <c:noMultiLvlLbl val="0"/>
      </c:catAx>
      <c:valAx>
        <c:axId val="43256607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23191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204279.513333333</c:v>
                </c:pt>
                <c:pt idx="1">
                  <c:v>176527.092441905</c:v>
                </c:pt>
                <c:pt idx="2">
                  <c:v>151394.044331581</c:v>
                </c:pt>
                <c:pt idx="3">
                  <c:v>128723.92092121</c:v>
                </c:pt>
                <c:pt idx="4">
                  <c:v>108369.661014509</c:v>
                </c:pt>
                <c:pt idx="5">
                  <c:v>90193.0270869715</c:v>
                </c:pt>
                <c:pt idx="6">
                  <c:v>74064.0758655627</c:v>
                </c:pt>
                <c:pt idx="7">
                  <c:v>59860.6606736289</c:v>
                </c:pt>
                <c:pt idx="8">
                  <c:v>47467.9636351159</c:v>
                </c:pt>
                <c:pt idx="9">
                  <c:v>36778.0559465327</c:v>
                </c:pt>
                <c:pt idx="10">
                  <c:v>27689.4845325979</c:v>
                </c:pt>
                <c:pt idx="11">
                  <c:v>20106.8835025468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247023.80952381</c:v>
                </c:pt>
                <c:pt idx="1">
                  <c:v>244047.619047619</c:v>
                </c:pt>
                <c:pt idx="2">
                  <c:v>241071.428571429</c:v>
                </c:pt>
                <c:pt idx="3">
                  <c:v>238095.238095238</c:v>
                </c:pt>
                <c:pt idx="4">
                  <c:v>235119.047619048</c:v>
                </c:pt>
                <c:pt idx="5">
                  <c:v>232142.857142857</c:v>
                </c:pt>
                <c:pt idx="6">
                  <c:v>229166.666666667</c:v>
                </c:pt>
                <c:pt idx="7">
                  <c:v>226190.476190476</c:v>
                </c:pt>
                <c:pt idx="8">
                  <c:v>223214.285714286</c:v>
                </c:pt>
                <c:pt idx="9">
                  <c:v>220238.095238095</c:v>
                </c:pt>
                <c:pt idx="10">
                  <c:v>217261.904761905</c:v>
                </c:pt>
                <c:pt idx="11">
                  <c:v>214285.714285714</c:v>
                </c:pt>
              </c:numCache>
            </c:numRef>
          </c:val>
        </c:ser>
        <c:gapWidth val="60"/>
        <c:overlap val="100"/>
        <c:axId val="20798466"/>
        <c:axId val="18431896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298164.872857143</c:v>
                </c:pt>
                <c:pt idx="1">
                  <c:v>269116.342775238</c:v>
                </c:pt>
                <c:pt idx="2">
                  <c:v>242693.523454438</c:v>
                </c:pt>
                <c:pt idx="3">
                  <c:v>218739.586534791</c:v>
                </c:pt>
                <c:pt idx="4">
                  <c:v>197107.113357941</c:v>
                </c:pt>
                <c:pt idx="5">
                  <c:v>177657.530385036</c:v>
                </c:pt>
                <c:pt idx="6">
                  <c:v>160260.578489553</c:v>
                </c:pt>
                <c:pt idx="7">
                  <c:v>144793.814092561</c:v>
                </c:pt>
                <c:pt idx="8">
                  <c:v>131142.140229864</c:v>
                </c:pt>
                <c:pt idx="9">
                  <c:v>119197.36575512</c:v>
                </c:pt>
                <c:pt idx="10">
                  <c:v>108857.790990765</c:v>
                </c:pt>
                <c:pt idx="11">
                  <c:v>100027.818239891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798466"/>
        <c:axId val="18431896"/>
      </c:lineChart>
      <c:catAx>
        <c:axId val="2079846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431896"/>
        <c:crosses val="autoZero"/>
        <c:auto val="1"/>
        <c:lblAlgn val="ctr"/>
        <c:lblOffset val="100"/>
        <c:noMultiLvlLbl val="0"/>
      </c:catAx>
      <c:valAx>
        <c:axId val="1843189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7984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Checks!B22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HYPERLINK("#'Break-even'!A1","Break-even")</f>
        <v>Break-even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HYPERLINK("#Valuation!A1","Valuation")</f>
        <v>Valuation</v>
      </c>
      <c r="D15" s="11" t="s">
        <v>13</v>
      </c>
    </row>
    <row r="16" customFormat="false" ht="15" hidden="false" customHeight="false" outlineLevel="0" collapsed="false">
      <c r="C16" s="8" t="s">
        <v>14</v>
      </c>
    </row>
    <row r="17" customFormat="false" ht="15" hidden="false" customHeight="false" outlineLevel="0" collapsed="false">
      <c r="B17" s="9" t="n">
        <v>5</v>
      </c>
      <c r="C17" s="10" t="str">
        <f aca="false">HYPERLINK("#Inputs!A1","Inputs")</f>
        <v>Inputs</v>
      </c>
      <c r="D17" s="11" t="s">
        <v>15</v>
      </c>
    </row>
    <row r="18" customFormat="false" ht="15" hidden="false" customHeight="false" outlineLevel="0" collapsed="false">
      <c r="C18" s="8" t="s">
        <v>16</v>
      </c>
    </row>
    <row r="19" customFormat="false" ht="15" hidden="false" customHeight="false" outlineLevel="0" collapsed="false">
      <c r="B19" s="9" t="n">
        <v>6</v>
      </c>
      <c r="C19" s="10" t="str">
        <f aca="false">HYPERLINK("#'P&amp;L'!A1","P&amp;L")</f>
        <v>P&amp;L</v>
      </c>
      <c r="D19" s="11" t="s">
        <v>17</v>
      </c>
    </row>
    <row r="20" customFormat="false" ht="15" hidden="false" customHeight="false" outlineLevel="0" collapsed="false">
      <c r="B20" s="9" t="n">
        <v>7</v>
      </c>
      <c r="C20" s="10" t="str">
        <f aca="false">HYPERLINK("#'Cash Flow'!A1","Cash Flow")</f>
        <v>Cash Flow</v>
      </c>
      <c r="D20" s="11" t="s">
        <v>18</v>
      </c>
    </row>
    <row r="21" customFormat="false" ht="15" hidden="false" customHeight="false" outlineLevel="0" collapsed="false">
      <c r="B21" s="9" t="n">
        <v>8</v>
      </c>
      <c r="C21" s="10" t="str">
        <f aca="false">HYPERLINK("#'Balance Sheet'!A1","Balance Sheet")</f>
        <v>Balance Sheet</v>
      </c>
      <c r="D21" s="11" t="s">
        <v>19</v>
      </c>
    </row>
    <row r="22" customFormat="false" ht="15" hidden="false" customHeight="false" outlineLevel="0" collapsed="false">
      <c r="C22" s="8" t="s">
        <v>20</v>
      </c>
    </row>
    <row r="23" customFormat="false" ht="15" hidden="false" customHeight="false" outlineLevel="0" collapsed="false">
      <c r="B23" s="9" t="n">
        <v>9</v>
      </c>
      <c r="C23" s="10" t="str">
        <f aca="false">HYPERLINK("#Monthly!A1","Monthly")</f>
        <v>Monthly</v>
      </c>
      <c r="D23" s="11" t="s">
        <v>21</v>
      </c>
    </row>
    <row r="24" customFormat="false" ht="15" hidden="false" customHeight="false" outlineLevel="0" collapsed="false">
      <c r="B24" s="9" t="n">
        <v>10</v>
      </c>
      <c r="C24" s="10" t="str">
        <f aca="false">HYPERLINK("#Headcount!A1","Headcount")</f>
        <v>Headcount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11</v>
      </c>
      <c r="C26" s="10" t="str">
        <f aca="false">HYPERLINK("#Checks!A1","Checks")</f>
        <v>Checks</v>
      </c>
      <c r="D26" s="11" t="s">
        <v>24</v>
      </c>
    </row>
    <row r="28" customFormat="false" ht="15" hidden="false" customHeight="false" outlineLevel="0" collapsed="false">
      <c r="B28" s="3" t="s">
        <v>25</v>
      </c>
    </row>
    <row r="29" customFormat="false" ht="15" hidden="false" customHeight="false" outlineLevel="0" collapsed="false">
      <c r="C29" s="12" t="n">
        <v>1000</v>
      </c>
      <c r="D29" s="6" t="s">
        <v>26</v>
      </c>
    </row>
    <row r="30" customFormat="false" ht="15" hidden="false" customHeight="false" outlineLevel="0" collapsed="false">
      <c r="C30" s="13" t="n">
        <v>1000</v>
      </c>
      <c r="D30" s="6" t="s">
        <v>27</v>
      </c>
    </row>
    <row r="31" customFormat="false" ht="15" hidden="false" customHeight="false" outlineLevel="0" collapsed="false">
      <c r="C31" s="14" t="n">
        <v>1000</v>
      </c>
      <c r="D31" s="6" t="s">
        <v>28</v>
      </c>
    </row>
    <row r="32" customFormat="false" ht="15" hidden="false" customHeight="false" outlineLevel="0" collapsed="false">
      <c r="C32" s="15" t="n">
        <v>1000</v>
      </c>
      <c r="D32" s="6" t="s">
        <v>29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30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31</v>
      </c>
      <c r="S4" s="22" t="s">
        <v>5</v>
      </c>
      <c r="T4" s="23" t="str">
        <f aca="false">Checks!B22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32</v>
      </c>
      <c r="B6" s="24"/>
      <c r="C6" s="24" t="s">
        <v>33</v>
      </c>
      <c r="D6" s="24"/>
      <c r="E6" s="24"/>
      <c r="F6" s="24"/>
      <c r="H6" s="24" t="s">
        <v>34</v>
      </c>
      <c r="I6" s="24"/>
      <c r="J6" s="24"/>
      <c r="K6" s="24"/>
      <c r="L6" s="24" t="s">
        <v>35</v>
      </c>
      <c r="M6" s="24"/>
      <c r="N6" s="24"/>
      <c r="O6" s="24"/>
      <c r="P6" s="24" t="s">
        <v>36</v>
      </c>
      <c r="Q6" s="24"/>
      <c r="R6" s="24"/>
      <c r="S6" s="24"/>
      <c r="T6" s="24" t="s">
        <v>37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766647.07898436</v>
      </c>
      <c r="B7" s="25"/>
      <c r="C7" s="26" t="n">
        <f aca="false">F17</f>
        <v>0.124961686868359</v>
      </c>
      <c r="D7" s="26"/>
      <c r="E7" s="26"/>
      <c r="F7" s="26"/>
      <c r="H7" s="25" t="n">
        <f aca="false">F18</f>
        <v>55658.6550797285</v>
      </c>
      <c r="I7" s="25"/>
      <c r="J7" s="25"/>
      <c r="K7" s="25"/>
      <c r="L7" s="25" t="n">
        <f aca="false">F38</f>
        <v>7440.36358710485</v>
      </c>
      <c r="M7" s="25"/>
      <c r="N7" s="25"/>
      <c r="O7" s="25"/>
      <c r="P7" s="25" t="n">
        <f aca="false">F36</f>
        <v>583559.636412895</v>
      </c>
      <c r="Q7" s="25"/>
      <c r="R7" s="25"/>
      <c r="S7" s="25"/>
      <c r="T7" s="25" t="n">
        <f aca="false">F43</f>
        <v>-81635.8220680866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0.181761639703206</v>
      </c>
      <c r="B8" s="27"/>
      <c r="C8" s="28" t="n">
        <f aca="false">F16</f>
        <v>95801.5122225856</v>
      </c>
      <c r="D8" s="28"/>
      <c r="E8" s="28"/>
      <c r="F8" s="28"/>
      <c r="H8" s="29" t="n">
        <f aca="false">F19</f>
        <v>0.0726001006270891</v>
      </c>
      <c r="I8" s="29"/>
      <c r="J8" s="29"/>
      <c r="K8" s="29"/>
      <c r="L8" s="30" t="n">
        <f aca="false">'Break-even'!B6</f>
        <v>16</v>
      </c>
      <c r="M8" s="30"/>
      <c r="N8" s="30"/>
      <c r="O8" s="30"/>
      <c r="P8" s="31" t="str">
        <f aca="false">IF(F37&gt;=0,"Covered by funding raised","Shortfall $"&amp;TEXT(-F37/1000000,"0.0")&amp;"M")</f>
        <v>Shortfall $0.1M</v>
      </c>
      <c r="Q8" s="31"/>
      <c r="R8" s="31"/>
      <c r="S8" s="31"/>
      <c r="T8" s="31" t="s">
        <v>38</v>
      </c>
      <c r="U8" s="31"/>
      <c r="V8" s="31"/>
      <c r="W8" s="31"/>
    </row>
    <row r="10" customFormat="false" ht="15.75" hidden="false" customHeight="true" outlineLevel="0" collapsed="false">
      <c r="A10" s="7" t="s">
        <v>39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2"/>
      <c r="B11" s="33" t="n">
        <v>1</v>
      </c>
      <c r="C11" s="33" t="n">
        <v>2</v>
      </c>
      <c r="D11" s="33" t="n">
        <v>3</v>
      </c>
      <c r="E11" s="33" t="n">
        <v>4</v>
      </c>
      <c r="F11" s="33" t="n">
        <v>5</v>
      </c>
    </row>
    <row r="12" customFormat="false" ht="15" hidden="false" customHeight="false" outlineLevel="0" collapsed="false">
      <c r="A12" s="6" t="s">
        <v>40</v>
      </c>
      <c r="B12" s="34" t="n">
        <f aca="false">SUMIF(Monthly!$C$5:$BJ$5,B$11,Monthly!$C$24:$BJ$24)</f>
        <v>393075.459761719</v>
      </c>
      <c r="C12" s="34" t="n">
        <f aca="false">SUMIF(Monthly!$C$5:$BJ$5,C$11,Monthly!$C$24:$BJ$24)</f>
        <v>663933.884151801</v>
      </c>
      <c r="D12" s="34" t="n">
        <f aca="false">SUMIF(Monthly!$C$5:$BJ$5,D$11,Monthly!$C$24:$BJ$24)</f>
        <v>722638.4004</v>
      </c>
      <c r="E12" s="34" t="n">
        <f aca="false">SUMIF(Monthly!$C$5:$BJ$5,E$11,Monthly!$C$24:$BJ$24)</f>
        <v>744317.552412</v>
      </c>
      <c r="F12" s="34" t="n">
        <f aca="false">SUMIF(Monthly!$C$5:$BJ$5,F$11,Monthly!$C$24:$BJ$24)</f>
        <v>766647.07898436</v>
      </c>
    </row>
    <row r="13" customFormat="false" ht="15" hidden="false" customHeight="false" outlineLevel="0" collapsed="false">
      <c r="A13" s="35" t="s">
        <v>41</v>
      </c>
      <c r="B13" s="36" t="n">
        <f aca="false">SUMIF(Monthly!$C$5:$BJ$5,B$11,Monthly!$C$31:$BJ$31)</f>
        <v>262844.884249407</v>
      </c>
      <c r="C13" s="36" t="n">
        <f aca="false">SUMIF(Monthly!$C$5:$BJ$5,C$11,Monthly!$C$31:$BJ$31)</f>
        <v>504280.122889946</v>
      </c>
      <c r="D13" s="36" t="n">
        <f aca="false">SUMIF(Monthly!$C$5:$BJ$5,D$11,Monthly!$C$31:$BJ$31)</f>
        <v>554018.9544</v>
      </c>
      <c r="E13" s="36" t="n">
        <f aca="false">SUMIF(Monthly!$C$5:$BJ$5,E$11,Monthly!$C$31:$BJ$31)</f>
        <v>570639.523032</v>
      </c>
      <c r="F13" s="36" t="n">
        <f aca="false">SUMIF(Monthly!$C$5:$BJ$5,F$11,Monthly!$C$31:$BJ$31)</f>
        <v>587758.70872296</v>
      </c>
    </row>
    <row r="14" customFormat="false" ht="15" hidden="false" customHeight="false" outlineLevel="0" collapsed="false">
      <c r="A14" s="37" t="s">
        <v>42</v>
      </c>
      <c r="B14" s="38" t="n">
        <f aca="false">IF(B12=0,0,B13/B12)</f>
        <v>0.668688104845678</v>
      </c>
      <c r="C14" s="38" t="n">
        <f aca="false">IF(C12=0,0,C13/C12)</f>
        <v>0.759533644730577</v>
      </c>
      <c r="D14" s="38" t="n">
        <f aca="false">IF(D12=0,0,D13/D12)</f>
        <v>0.766661381533746</v>
      </c>
      <c r="E14" s="38" t="n">
        <f aca="false">IF(E12=0,0,E13/E12)</f>
        <v>0.766661381533746</v>
      </c>
      <c r="F14" s="38" t="n">
        <f aca="false">IF(F12=0,0,F13/F12)</f>
        <v>0.766661381533746</v>
      </c>
    </row>
    <row r="15" customFormat="false" ht="15" hidden="false" customHeight="false" outlineLevel="0" collapsed="false">
      <c r="A15" s="6" t="s">
        <v>43</v>
      </c>
      <c r="B15" s="34" t="n">
        <f aca="false">SUMIF(Monthly!$C$5:$BJ$5,B$11,Monthly!$C$41:$BJ$41)</f>
        <v>-445823.018390469</v>
      </c>
      <c r="C15" s="34" t="n">
        <f aca="false">SUMIF(Monthly!$C$5:$BJ$5,C$11,Monthly!$C$41:$BJ$41)</f>
        <v>-464040.355366072</v>
      </c>
      <c r="D15" s="34" t="n">
        <f aca="false">SUMIF(Monthly!$C$5:$BJ$5,D$11,Monthly!$C$41:$BJ$41)</f>
        <v>-474041.026016</v>
      </c>
      <c r="E15" s="34" t="n">
        <f aca="false">SUMIF(Monthly!$C$5:$BJ$5,E$11,Monthly!$C$41:$BJ$41)</f>
        <v>-482840.65679648</v>
      </c>
      <c r="F15" s="34" t="n">
        <f aca="false">SUMIF(Monthly!$C$5:$BJ$5,F$11,Monthly!$C$41:$BJ$41)</f>
        <v>-491957.196500374</v>
      </c>
    </row>
    <row r="16" customFormat="false" ht="15" hidden="false" customHeight="false" outlineLevel="0" collapsed="false">
      <c r="A16" s="35" t="s">
        <v>44</v>
      </c>
      <c r="B16" s="36" t="n">
        <f aca="false">SUMIF(Monthly!$C$5:$BJ$5,B$11,Monthly!$C$42:$BJ$42)</f>
        <v>-182978.134141062</v>
      </c>
      <c r="C16" s="36" t="n">
        <f aca="false">SUMIF(Monthly!$C$5:$BJ$5,C$11,Monthly!$C$42:$BJ$42)</f>
        <v>40239.7675238735</v>
      </c>
      <c r="D16" s="36" t="n">
        <f aca="false">SUMIF(Monthly!$C$5:$BJ$5,D$11,Monthly!$C$42:$BJ$42)</f>
        <v>79977.9283840001</v>
      </c>
      <c r="E16" s="36" t="n">
        <f aca="false">SUMIF(Monthly!$C$5:$BJ$5,E$11,Monthly!$C$42:$BJ$42)</f>
        <v>87798.8662355202</v>
      </c>
      <c r="F16" s="36" t="n">
        <f aca="false">SUMIF(Monthly!$C$5:$BJ$5,F$11,Monthly!$C$42:$BJ$42)</f>
        <v>95801.5122225856</v>
      </c>
    </row>
    <row r="17" customFormat="false" ht="15" hidden="false" customHeight="false" outlineLevel="0" collapsed="false">
      <c r="A17" s="37" t="s">
        <v>45</v>
      </c>
      <c r="B17" s="38" t="n">
        <f aca="false">IF(B12=0,0,B16/B12)</f>
        <v>-0.465503835451804</v>
      </c>
      <c r="C17" s="38" t="n">
        <f aca="false">IF(C12=0,0,C16/C12)</f>
        <v>0.0606080943967504</v>
      </c>
      <c r="D17" s="38" t="n">
        <f aca="false">IF(D12=0,0,D16/D12)</f>
        <v>0.110674894026847</v>
      </c>
      <c r="E17" s="38" t="n">
        <f aca="false">IF(E12=0,0,E16/E12)</f>
        <v>0.117958881865681</v>
      </c>
      <c r="F17" s="38" t="n">
        <f aca="false">IF(F12=0,0,F16/F12)</f>
        <v>0.124961686868359</v>
      </c>
    </row>
    <row r="18" customFormat="false" ht="15" hidden="false" customHeight="false" outlineLevel="0" collapsed="false">
      <c r="A18" s="39" t="s">
        <v>46</v>
      </c>
      <c r="B18" s="40" t="n">
        <f aca="false">SUMIF(Monthly!$C$5:$BJ$5,B$11,Monthly!$C$51:$BJ$51)</f>
        <v>-229972.181760109</v>
      </c>
      <c r="C18" s="40" t="n">
        <f aca="false">SUMIF(Monthly!$C$5:$BJ$5,C$11,Monthly!$C$51:$BJ$51)</f>
        <v>-5045.9467618408</v>
      </c>
      <c r="D18" s="40" t="n">
        <f aca="false">SUMIF(Monthly!$C$5:$BJ$5,D$11,Monthly!$C$51:$BJ$51)</f>
        <v>36406.4998125715</v>
      </c>
      <c r="E18" s="40" t="n">
        <f aca="false">SUMIF(Monthly!$C$5:$BJ$5,E$11,Monthly!$C$51:$BJ$51)</f>
        <v>45941.7233783774</v>
      </c>
      <c r="F18" s="40" t="n">
        <f aca="false">SUMIF(Monthly!$C$5:$BJ$5,F$11,Monthly!$C$51:$BJ$51)</f>
        <v>55658.6550797285</v>
      </c>
    </row>
    <row r="19" customFormat="false" ht="15" hidden="false" customHeight="false" outlineLevel="0" collapsed="false">
      <c r="A19" s="37" t="s">
        <v>47</v>
      </c>
      <c r="B19" s="38" t="n">
        <f aca="false">IF(B12=0,0,B18/B12)</f>
        <v>-0.585058609101463</v>
      </c>
      <c r="C19" s="38" t="n">
        <f aca="false">IF(C12=0,0,C18/C12)</f>
        <v>-0.00760007416745596</v>
      </c>
      <c r="D19" s="38" t="n">
        <f aca="false">IF(D12=0,0,D18/D12)</f>
        <v>0.0503799684495309</v>
      </c>
      <c r="E19" s="38" t="n">
        <f aca="false">IF(E12=0,0,E18/E12)</f>
        <v>0.0617232836032158</v>
      </c>
      <c r="F19" s="38" t="n">
        <f aca="false">IF(F12=0,0,F18/F12)</f>
        <v>0.0726001006270891</v>
      </c>
    </row>
    <row r="20" customFormat="false" ht="15" hidden="false" customHeight="false" outlineLevel="0" collapsed="false">
      <c r="A20" s="6" t="s">
        <v>48</v>
      </c>
      <c r="B20" s="34" t="n">
        <f aca="false">SUMIF(Monthly!$C$5:$BJ$5,B$11,Monthly!$C$75:$BJ$75)</f>
        <v>-190250.259354596</v>
      </c>
      <c r="C20" s="34" t="n">
        <f aca="false">SUMIF(Monthly!$C$5:$BJ$5,C$11,Monthly!$C$75:$BJ$75)</f>
        <v>31208.1522612175</v>
      </c>
      <c r="D20" s="34" t="n">
        <f aca="false">SUMIF(Monthly!$C$5:$BJ$5,D$11,Monthly!$C$75:$BJ$75)</f>
        <v>72257.2090268572</v>
      </c>
      <c r="E20" s="34" t="n">
        <f aca="false">SUMIF(Monthly!$C$5:$BJ$5,E$11,Monthly!$C$75:$BJ$75)</f>
        <v>81796.5252976631</v>
      </c>
      <c r="F20" s="34" t="n">
        <f aca="false">SUMIF(Monthly!$C$5:$BJ$5,F$11,Monthly!$C$75:$BJ$75)</f>
        <v>91517.6724851642</v>
      </c>
    </row>
    <row r="21" customFormat="false" ht="15" hidden="false" customHeight="false" outlineLevel="0" collapsed="false">
      <c r="A21" s="6" t="s">
        <v>49</v>
      </c>
      <c r="B21" s="34" t="n">
        <f aca="false">SUMIF(Monthly!$C$5:$BJ$5,B$11,Monthly!$C$76:$BJ$76)</f>
        <v>-250000</v>
      </c>
      <c r="C21" s="34" t="n">
        <f aca="false">SUMIF(Monthly!$C$5:$BJ$5,C$11,Monthly!$C$76:$BJ$76)</f>
        <v>0</v>
      </c>
      <c r="D21" s="34" t="n">
        <f aca="false">SUMIF(Monthly!$C$5:$BJ$5,D$11,Monthly!$C$76:$BJ$76)</f>
        <v>0</v>
      </c>
      <c r="E21" s="34" t="n">
        <f aca="false">SUMIF(Monthly!$C$5:$BJ$5,E$11,Monthly!$C$76:$BJ$76)</f>
        <v>0</v>
      </c>
      <c r="F21" s="34" t="n">
        <f aca="false">SUMIF(Monthly!$C$5:$BJ$5,F$11,Monthly!$C$76:$BJ$76)</f>
        <v>0</v>
      </c>
    </row>
    <row r="22" customFormat="false" ht="15" hidden="false" customHeight="false" outlineLevel="0" collapsed="false">
      <c r="A22" s="6" t="s">
        <v>50</v>
      </c>
      <c r="B22" s="34" t="n">
        <f aca="false">SUMIF(Monthly!$C$5:$BJ$5,B$11,Monthly!$C$78:$BJ$78)</f>
        <v>460357.142857143</v>
      </c>
      <c r="C22" s="34" t="n">
        <f aca="false">SUMIF(Monthly!$C$5:$BJ$5,C$11,Monthly!$C$78:$BJ$78)</f>
        <v>-21428.5714285714</v>
      </c>
      <c r="D22" s="34" t="n">
        <f aca="false">SUMIF(Monthly!$C$5:$BJ$5,D$11,Monthly!$C$78:$BJ$78)</f>
        <v>-21428.5714285714</v>
      </c>
      <c r="E22" s="34" t="n">
        <f aca="false">SUMIF(Monthly!$C$5:$BJ$5,E$11,Monthly!$C$78:$BJ$78)</f>
        <v>-21428.5714285714</v>
      </c>
      <c r="F22" s="34" t="n">
        <f aca="false">SUMIF(Monthly!$C$5:$BJ$5,F$11,Monthly!$C$78:$BJ$78)</f>
        <v>-21428.5714285714</v>
      </c>
    </row>
    <row r="23" customFormat="false" ht="15" hidden="false" customHeight="false" outlineLevel="0" collapsed="false">
      <c r="A23" s="35" t="s">
        <v>51</v>
      </c>
      <c r="B23" s="36" t="n">
        <f aca="false">SUMIF(Monthly!$C$5:$BJ$5,B$11,Monthly!$C$79:$BJ$79)</f>
        <v>20106.8835025468</v>
      </c>
      <c r="C23" s="36" t="n">
        <f aca="false">SUMIF(Monthly!$C$5:$BJ$5,C$11,Monthly!$C$79:$BJ$79)</f>
        <v>9779.58083264608</v>
      </c>
      <c r="D23" s="36" t="n">
        <f aca="false">SUMIF(Monthly!$C$5:$BJ$5,D$11,Monthly!$C$79:$BJ$79)</f>
        <v>50828.6375982858</v>
      </c>
      <c r="E23" s="36" t="n">
        <f aca="false">SUMIF(Monthly!$C$5:$BJ$5,E$11,Monthly!$C$79:$BJ$79)</f>
        <v>60367.9538690916</v>
      </c>
      <c r="F23" s="36" t="n">
        <f aca="false">SUMIF(Monthly!$C$5:$BJ$5,F$11,Monthly!$C$79:$BJ$79)</f>
        <v>70089.1010565928</v>
      </c>
    </row>
    <row r="24" customFormat="false" ht="15" hidden="false" customHeight="false" outlineLevel="0" collapsed="false">
      <c r="A24" s="39" t="s">
        <v>52</v>
      </c>
      <c r="B24" s="40" t="n">
        <f aca="false">INDEX(Monthly!$C$81:$BJ$81,B$11*12)</f>
        <v>20106.8835025468</v>
      </c>
      <c r="C24" s="40" t="n">
        <f aca="false">INDEX(Monthly!$C$81:$BJ$81,C$11*12)</f>
        <v>29886.4643351928</v>
      </c>
      <c r="D24" s="40" t="n">
        <f aca="false">INDEX(Monthly!$C$81:$BJ$81,D$11*12)</f>
        <v>80715.1019334786</v>
      </c>
      <c r="E24" s="40" t="n">
        <f aca="false">INDEX(Monthly!$C$81:$BJ$81,E$11*12)</f>
        <v>141083.05580257</v>
      </c>
      <c r="F24" s="40" t="n">
        <f aca="false">INDEX(Monthly!$C$81:$BJ$81,F$11*12)</f>
        <v>211172.156859163</v>
      </c>
    </row>
    <row r="26" customFormat="false" ht="15.75" hidden="false" customHeight="true" outlineLevel="0" collapsed="false">
      <c r="A26" s="7" t="s">
        <v>53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2"/>
      <c r="B27" s="33" t="n">
        <v>1</v>
      </c>
      <c r="C27" s="33" t="n">
        <v>2</v>
      </c>
      <c r="D27" s="33" t="n">
        <v>3</v>
      </c>
      <c r="E27" s="33" t="n">
        <v>4</v>
      </c>
      <c r="F27" s="33" t="n">
        <v>5</v>
      </c>
    </row>
    <row r="28" customFormat="false" ht="15" hidden="false" customHeight="false" outlineLevel="0" collapsed="false">
      <c r="A28" s="6" t="s">
        <v>54</v>
      </c>
      <c r="B28" s="41" t="n">
        <f aca="false">B49</f>
        <v>355.835858333586</v>
      </c>
      <c r="C28" s="41" t="n">
        <f aca="false">C49</f>
        <v>450</v>
      </c>
      <c r="D28" s="41" t="n">
        <f aca="false">D49</f>
        <v>450</v>
      </c>
      <c r="E28" s="41" t="n">
        <f aca="false">E49</f>
        <v>450</v>
      </c>
      <c r="F28" s="41" t="n">
        <f aca="false">F49</f>
        <v>450</v>
      </c>
    </row>
    <row r="29" customFormat="false" ht="15" hidden="false" customHeight="false" outlineLevel="0" collapsed="false">
      <c r="A29" s="6" t="s">
        <v>55</v>
      </c>
      <c r="B29" s="42" t="n">
        <f aca="false">B53</f>
        <v>0.790746351852413</v>
      </c>
      <c r="C29" s="42" t="n">
        <f aca="false">C53</f>
        <v>1</v>
      </c>
      <c r="D29" s="42" t="n">
        <f aca="false">D53</f>
        <v>1</v>
      </c>
      <c r="E29" s="42" t="n">
        <f aca="false">E53</f>
        <v>1</v>
      </c>
      <c r="F29" s="42" t="n">
        <f aca="false">F53</f>
        <v>1</v>
      </c>
    </row>
    <row r="30" customFormat="false" ht="15" hidden="false" customHeight="false" outlineLevel="0" collapsed="false">
      <c r="A30" s="6" t="s">
        <v>56</v>
      </c>
      <c r="B30" s="34" t="n">
        <f aca="false">B54</f>
        <v>35227.749975025</v>
      </c>
      <c r="C30" s="34" t="n">
        <f aca="false">C54</f>
        <v>45886.5</v>
      </c>
      <c r="D30" s="34" t="n">
        <f aca="false">D54</f>
        <v>47263.095</v>
      </c>
      <c r="E30" s="34" t="n">
        <f aca="false">E54</f>
        <v>48680.98785</v>
      </c>
      <c r="F30" s="34" t="n">
        <f aca="false">F54</f>
        <v>50141.4174855</v>
      </c>
    </row>
    <row r="31" customFormat="false" ht="15" hidden="false" customHeight="false" outlineLevel="0" collapsed="false">
      <c r="A31" s="6" t="s">
        <v>57</v>
      </c>
      <c r="B31" s="43" t="n">
        <f aca="false">INDEX(Headcount!$C$10:$BJ$10,B$27*12)</f>
        <v>4</v>
      </c>
      <c r="C31" s="43" t="n">
        <f aca="false">INDEX(Headcount!$C$10:$BJ$10,C$27*12)</f>
        <v>4</v>
      </c>
      <c r="D31" s="43" t="n">
        <f aca="false">INDEX(Headcount!$C$10:$BJ$10,D$27*12)</f>
        <v>4</v>
      </c>
      <c r="E31" s="43" t="n">
        <f aca="false">INDEX(Headcount!$C$10:$BJ$10,E$27*12)</f>
        <v>4</v>
      </c>
      <c r="F31" s="43" t="n">
        <f aca="false">INDEX(Headcount!$C$10:$BJ$10,F$27*12)</f>
        <v>4</v>
      </c>
    </row>
    <row r="33" customFormat="false" ht="15.75" hidden="false" customHeight="true" outlineLevel="0" collapsed="false">
      <c r="A33" s="7" t="s">
        <v>58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59</v>
      </c>
      <c r="B34" s="44"/>
      <c r="C34" s="44"/>
      <c r="D34" s="44"/>
      <c r="E34" s="44"/>
      <c r="F34" s="45" t="n">
        <f aca="false">Inputs!$E$54</f>
        <v>330000</v>
      </c>
    </row>
    <row r="35" customFormat="false" ht="15" hidden="false" customHeight="false" outlineLevel="0" collapsed="false">
      <c r="A35" s="6" t="s">
        <v>60</v>
      </c>
      <c r="B35" s="44"/>
      <c r="C35" s="44"/>
      <c r="D35" s="44"/>
      <c r="E35" s="44"/>
      <c r="F35" s="45" t="n">
        <f aca="false">Inputs!$E$55</f>
        <v>150000</v>
      </c>
    </row>
    <row r="36" customFormat="false" ht="15" hidden="false" customHeight="false" outlineLevel="0" collapsed="false">
      <c r="A36" s="6" t="s">
        <v>61</v>
      </c>
      <c r="B36" s="44"/>
      <c r="C36" s="44"/>
      <c r="D36" s="44"/>
      <c r="E36" s="44"/>
      <c r="F36" s="45" t="n">
        <f aca="false">'Break-even'!B12</f>
        <v>583559.636412895</v>
      </c>
    </row>
    <row r="37" customFormat="false" ht="15" hidden="false" customHeight="false" outlineLevel="0" collapsed="false">
      <c r="A37" s="35" t="s">
        <v>62</v>
      </c>
      <c r="B37" s="35"/>
      <c r="C37" s="35"/>
      <c r="D37" s="35"/>
      <c r="E37" s="35"/>
      <c r="F37" s="36" t="n">
        <f aca="false">'Break-even'!B17</f>
        <v>-103559.636412895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16)</v>
      </c>
      <c r="B38" s="44"/>
      <c r="C38" s="44"/>
      <c r="D38" s="44"/>
      <c r="E38" s="44"/>
      <c r="F38" s="45" t="n">
        <f aca="false">'Break-even'!B18</f>
        <v>7440.36358710485</v>
      </c>
    </row>
    <row r="39" customFormat="false" ht="15" hidden="false" customHeight="false" outlineLevel="0" collapsed="false">
      <c r="A39" s="6" t="s">
        <v>63</v>
      </c>
      <c r="B39" s="44"/>
      <c r="C39" s="44"/>
      <c r="D39" s="44"/>
      <c r="E39" s="44"/>
      <c r="F39" s="46" t="n">
        <f aca="false">'Break-even'!B21</f>
        <v>15</v>
      </c>
    </row>
    <row r="40" customFormat="false" ht="15" hidden="false" customHeight="false" outlineLevel="0" collapsed="false">
      <c r="A40" s="6" t="s">
        <v>64</v>
      </c>
      <c r="B40" s="44"/>
      <c r="C40" s="44"/>
      <c r="D40" s="44"/>
      <c r="E40" s="44"/>
      <c r="F40" s="46" t="str">
        <f aca="false">'Break-even'!B23</f>
        <v>Not within horizon</v>
      </c>
    </row>
    <row r="41" customFormat="false" ht="15" hidden="false" customHeight="false" outlineLevel="0" collapsed="false">
      <c r="A41" s="6" t="s">
        <v>65</v>
      </c>
      <c r="B41" s="44"/>
      <c r="C41" s="44"/>
      <c r="D41" s="44"/>
      <c r="E41" s="44"/>
      <c r="F41" s="45" t="n">
        <f aca="false">Valuation!B27</f>
        <v>-75381.9940274848</v>
      </c>
    </row>
    <row r="42" customFormat="false" ht="15" hidden="false" customHeight="false" outlineLevel="0" collapsed="false">
      <c r="A42" s="6" t="s">
        <v>66</v>
      </c>
      <c r="B42" s="44"/>
      <c r="C42" s="44"/>
      <c r="D42" s="44"/>
      <c r="E42" s="44"/>
      <c r="F42" s="45" t="n">
        <f aca="false">Valuation!C27</f>
        <v>-87889.6501086885</v>
      </c>
    </row>
    <row r="43" customFormat="false" ht="15" hidden="false" customHeight="false" outlineLevel="0" collapsed="false">
      <c r="A43" s="39" t="s">
        <v>67</v>
      </c>
      <c r="B43" s="39"/>
      <c r="C43" s="39"/>
      <c r="D43" s="39"/>
      <c r="E43" s="39"/>
      <c r="F43" s="40" t="n">
        <f aca="false">Valuation!B30</f>
        <v>-81635.8220680866</v>
      </c>
    </row>
    <row r="46" customFormat="false" ht="15.75" hidden="false" customHeight="true" outlineLevel="0" collapsed="false">
      <c r="A46" s="7" t="s">
        <v>68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47" t="s">
        <v>69</v>
      </c>
      <c r="B47" s="47" t="n">
        <v>1</v>
      </c>
      <c r="C47" s="47" t="n">
        <v>2</v>
      </c>
      <c r="D47" s="47" t="n">
        <v>3</v>
      </c>
      <c r="E47" s="47" t="n">
        <v>4</v>
      </c>
      <c r="F47" s="47" t="n">
        <v>5</v>
      </c>
    </row>
    <row r="48" customFormat="false" ht="15" hidden="false" customHeight="false" outlineLevel="0" collapsed="false">
      <c r="A48" s="32"/>
      <c r="B48" s="48" t="s">
        <v>70</v>
      </c>
      <c r="C48" s="48" t="s">
        <v>71</v>
      </c>
      <c r="D48" s="48" t="s">
        <v>72</v>
      </c>
      <c r="E48" s="48" t="s">
        <v>73</v>
      </c>
      <c r="F48" s="48" t="s">
        <v>74</v>
      </c>
    </row>
    <row r="49" customFormat="false" ht="15" hidden="false" customHeight="false" outlineLevel="0" collapsed="false">
      <c r="A49" s="4" t="s">
        <v>54</v>
      </c>
      <c r="B49" s="49" t="n">
        <f aca="false">INDEX(Monthly!$C$14:$BJ$14,B$47*12)</f>
        <v>355.835858333586</v>
      </c>
      <c r="C49" s="49" t="n">
        <f aca="false">INDEX(Monthly!$C$14:$BJ$14,C$47*12)</f>
        <v>450</v>
      </c>
      <c r="D49" s="49" t="n">
        <f aca="false">INDEX(Monthly!$C$14:$BJ$14,D$47*12)</f>
        <v>450</v>
      </c>
      <c r="E49" s="49" t="n">
        <f aca="false">INDEX(Monthly!$C$14:$BJ$14,E$47*12)</f>
        <v>450</v>
      </c>
      <c r="F49" s="49" t="n">
        <f aca="false">INDEX(Monthly!$C$14:$BJ$14,F$47*12)</f>
        <v>450</v>
      </c>
    </row>
    <row r="50" customFormat="false" ht="15" hidden="false" customHeight="false" outlineLevel="0" collapsed="false">
      <c r="A50" s="6" t="s">
        <v>75</v>
      </c>
      <c r="B50" s="50" t="n">
        <f aca="false">SUMIF(Monthly!$C$5:$BJ$5,B$47,Monthly!$C$10:$BJ$10)</f>
        <v>410.4</v>
      </c>
      <c r="C50" s="50" t="n">
        <f aca="false">SUMIF(Monthly!$C$5:$BJ$5,C$47,Monthly!$C$10:$BJ$10)</f>
        <v>439.92</v>
      </c>
      <c r="D50" s="50" t="n">
        <f aca="false">SUMIF(Monthly!$C$5:$BJ$5,D$47,Monthly!$C$10:$BJ$10)</f>
        <v>471.816</v>
      </c>
      <c r="E50" s="50" t="n">
        <f aca="false">SUMIF(Monthly!$C$5:$BJ$5,E$47,Monthly!$C$10:$BJ$10)</f>
        <v>506.2968</v>
      </c>
      <c r="F50" s="50" t="n">
        <f aca="false">SUMIF(Monthly!$C$5:$BJ$5,F$47,Monthly!$C$10:$BJ$10)</f>
        <v>543.59064</v>
      </c>
    </row>
    <row r="51" customFormat="false" ht="15" hidden="false" customHeight="false" outlineLevel="0" collapsed="false">
      <c r="A51" s="6" t="s">
        <v>76</v>
      </c>
      <c r="B51" s="50" t="n">
        <f aca="false">SUMIF(Monthly!$C$5:$BJ$5,B$47,Monthly!$C$12:$BJ$12)</f>
        <v>-174.564141666414</v>
      </c>
      <c r="C51" s="50" t="n">
        <f aca="false">SUMIF(Monthly!$C$5:$BJ$5,C$47,Monthly!$C$12:$BJ$12)</f>
        <v>-301.655993322928</v>
      </c>
      <c r="D51" s="50" t="n">
        <f aca="false">SUMIF(Monthly!$C$5:$BJ$5,D$47,Monthly!$C$12:$BJ$12)</f>
        <v>-324</v>
      </c>
      <c r="E51" s="50" t="n">
        <f aca="false">SUMIF(Monthly!$C$5:$BJ$5,E$47,Monthly!$C$12:$BJ$12)</f>
        <v>-324</v>
      </c>
      <c r="F51" s="50" t="n">
        <f aca="false">SUMIF(Monthly!$C$5:$BJ$5,F$47,Monthly!$C$12:$BJ$12)</f>
        <v>-324</v>
      </c>
    </row>
    <row r="52" customFormat="false" ht="15" hidden="false" customHeight="false" outlineLevel="0" collapsed="false">
      <c r="A52" s="6" t="s">
        <v>77</v>
      </c>
      <c r="B52" s="50" t="n">
        <f aca="false">SUMIF(Monthly!$C$5:$BJ$5,B$47,Monthly!$C$15:$BJ$15)</f>
        <v>0</v>
      </c>
      <c r="C52" s="50" t="n">
        <f aca="false">SUMIF(Monthly!$C$5:$BJ$5,C$47,Monthly!$C$15:$BJ$15)</f>
        <v>44.0998650106575</v>
      </c>
      <c r="D52" s="50" t="n">
        <f aca="false">SUMIF(Monthly!$C$5:$BJ$5,D$47,Monthly!$C$15:$BJ$15)</f>
        <v>147.816</v>
      </c>
      <c r="E52" s="50" t="n">
        <f aca="false">SUMIF(Monthly!$C$5:$BJ$5,E$47,Monthly!$C$15:$BJ$15)</f>
        <v>182.2968</v>
      </c>
      <c r="F52" s="50" t="n">
        <f aca="false">SUMIF(Monthly!$C$5:$BJ$5,F$47,Monthly!$C$15:$BJ$15)</f>
        <v>219.59064</v>
      </c>
    </row>
    <row r="53" customFormat="false" ht="15" hidden="false" customHeight="false" outlineLevel="0" collapsed="false">
      <c r="A53" s="37" t="s">
        <v>78</v>
      </c>
      <c r="B53" s="51" t="n">
        <f aca="false">IF(Inputs!$E$8=0,0,B49/Inputs!$E$8)</f>
        <v>0.790746351852413</v>
      </c>
      <c r="C53" s="51" t="n">
        <f aca="false">IF(Inputs!$E$8=0,0,C49/Inputs!$E$8)</f>
        <v>1</v>
      </c>
      <c r="D53" s="51" t="n">
        <f aca="false">IF(Inputs!$E$8=0,0,D49/Inputs!$E$8)</f>
        <v>1</v>
      </c>
      <c r="E53" s="51" t="n">
        <f aca="false">IF(Inputs!$E$8=0,0,E49/Inputs!$E$8)</f>
        <v>1</v>
      </c>
      <c r="F53" s="51" t="n">
        <f aca="false">IF(Inputs!$E$8=0,0,F49/Inputs!$E$8)</f>
        <v>1</v>
      </c>
    </row>
    <row r="54" customFormat="false" ht="15" hidden="false" customHeight="false" outlineLevel="0" collapsed="false">
      <c r="A54" s="6" t="s">
        <v>79</v>
      </c>
      <c r="B54" s="52" t="n">
        <f aca="false">B49*B55</f>
        <v>35227.749975025</v>
      </c>
      <c r="C54" s="52" t="n">
        <f aca="false">C49*C55</f>
        <v>45886.5</v>
      </c>
      <c r="D54" s="52" t="n">
        <f aca="false">D49*D55</f>
        <v>47263.095</v>
      </c>
      <c r="E54" s="52" t="n">
        <f aca="false">E49*E55</f>
        <v>48680.98785</v>
      </c>
      <c r="F54" s="52" t="n">
        <f aca="false">F49*F55</f>
        <v>50141.4174855</v>
      </c>
    </row>
    <row r="55" customFormat="false" ht="15" hidden="false" customHeight="false" outlineLevel="0" collapsed="false">
      <c r="A55" s="6" t="s">
        <v>80</v>
      </c>
      <c r="B55" s="53" t="n">
        <f aca="false">INDEX(Monthly!$C$19:$BJ$19,B$47*12)</f>
        <v>99</v>
      </c>
      <c r="C55" s="53" t="n">
        <f aca="false">INDEX(Monthly!$C$19:$BJ$19,C$47*12)</f>
        <v>101.97</v>
      </c>
      <c r="D55" s="53" t="n">
        <f aca="false">INDEX(Monthly!$C$19:$BJ$19,D$47*12)</f>
        <v>105.0291</v>
      </c>
      <c r="E55" s="53" t="n">
        <f aca="false">INDEX(Monthly!$C$19:$BJ$19,E$47*12)</f>
        <v>108.179973</v>
      </c>
      <c r="F55" s="53" t="n">
        <f aca="false">INDEX(Monthly!$C$19:$BJ$19,F$47*12)</f>
        <v>111.42537219</v>
      </c>
    </row>
    <row r="56" customFormat="false" ht="15" hidden="false" customHeight="false" outlineLevel="0" collapsed="false">
      <c r="A56" s="4" t="s">
        <v>40</v>
      </c>
      <c r="B56" s="54" t="n">
        <f aca="false">SUMIF(Monthly!$C$5:$BJ$5,B$47,Monthly!$C$24:$BJ$24)</f>
        <v>393075.459761719</v>
      </c>
      <c r="C56" s="54" t="n">
        <f aca="false">SUMIF(Monthly!$C$5:$BJ$5,C$47,Monthly!$C$24:$BJ$24)</f>
        <v>663933.884151801</v>
      </c>
      <c r="D56" s="54" t="n">
        <f aca="false">SUMIF(Monthly!$C$5:$BJ$5,D$47,Monthly!$C$24:$BJ$24)</f>
        <v>722638.4004</v>
      </c>
      <c r="E56" s="54" t="n">
        <f aca="false">SUMIF(Monthly!$C$5:$BJ$5,E$47,Monthly!$C$24:$BJ$24)</f>
        <v>744317.552412</v>
      </c>
      <c r="F56" s="54" t="n">
        <f aca="false">SUMIF(Monthly!$C$5:$BJ$5,F$47,Monthly!$C$24:$BJ$24)</f>
        <v>766647.07898436</v>
      </c>
    </row>
    <row r="57" customFormat="false" ht="15" hidden="false" customHeight="false" outlineLevel="0" collapsed="false">
      <c r="A57" s="6" t="s">
        <v>81</v>
      </c>
      <c r="B57" s="52" t="n">
        <f aca="false">SUMIF(Monthly!$C$5:$BJ$5,B$47,Monthly!$C$20:$BJ$20)</f>
        <v>299704.708737096</v>
      </c>
      <c r="C57" s="52" t="n">
        <f aca="false">SUMIF(Monthly!$C$5:$BJ$5,C$47,Monthly!$C$20:$BJ$20)</f>
        <v>517465.319415178</v>
      </c>
      <c r="D57" s="52" t="n">
        <f aca="false">SUMIF(Monthly!$C$5:$BJ$5,D$47,Monthly!$C$20:$BJ$20)</f>
        <v>567157.14</v>
      </c>
      <c r="E57" s="52" t="n">
        <f aca="false">SUMIF(Monthly!$C$5:$BJ$5,E$47,Monthly!$C$20:$BJ$20)</f>
        <v>584171.8542</v>
      </c>
      <c r="F57" s="52" t="n">
        <f aca="false">SUMIF(Monthly!$C$5:$BJ$5,F$47,Monthly!$C$20:$BJ$20)</f>
        <v>601697.009826</v>
      </c>
    </row>
    <row r="58" customFormat="false" ht="15" hidden="false" customHeight="false" outlineLevel="0" collapsed="false">
      <c r="A58" s="6" t="s">
        <v>82</v>
      </c>
      <c r="B58" s="52" t="n">
        <f aca="false">B56-B57</f>
        <v>93370.7510246233</v>
      </c>
      <c r="C58" s="52" t="n">
        <f aca="false">C56-C57</f>
        <v>146468.564736622</v>
      </c>
      <c r="D58" s="52" t="n">
        <f aca="false">D56-D57</f>
        <v>155481.2604</v>
      </c>
      <c r="E58" s="52" t="n">
        <f aca="false">E56-E57</f>
        <v>160145.698212</v>
      </c>
      <c r="F58" s="52" t="n">
        <f aca="false">F56-F57</f>
        <v>164950.06915836</v>
      </c>
    </row>
    <row r="59" customFormat="false" ht="15" hidden="false" customHeight="false" outlineLevel="0" collapsed="false">
      <c r="A59" s="6" t="s">
        <v>83</v>
      </c>
      <c r="B59" s="52" t="n">
        <f aca="false">-SUMIF(Monthly!$C$5:$BJ$5,B$47,Monthly!$C$35:$BJ$35)</f>
        <v>48000</v>
      </c>
      <c r="C59" s="52" t="n">
        <f aca="false">-SUMIF(Monthly!$C$5:$BJ$5,C$47,Monthly!$C$35:$BJ$35)</f>
        <v>50400</v>
      </c>
      <c r="D59" s="52" t="n">
        <f aca="false">-SUMIF(Monthly!$C$5:$BJ$5,D$47,Monthly!$C$35:$BJ$35)</f>
        <v>52920</v>
      </c>
      <c r="E59" s="52" t="n">
        <f aca="false">-SUMIF(Monthly!$C$5:$BJ$5,E$47,Monthly!$C$35:$BJ$35)</f>
        <v>55566</v>
      </c>
      <c r="F59" s="52" t="n">
        <f aca="false">-SUMIF(Monthly!$C$5:$BJ$5,F$47,Monthly!$C$35:$BJ$35)</f>
        <v>58344.3</v>
      </c>
    </row>
    <row r="60" customFormat="false" ht="15" hidden="false" customHeight="false" outlineLevel="0" collapsed="false">
      <c r="A60" s="6" t="s">
        <v>84</v>
      </c>
      <c r="B60" s="50" t="n">
        <f aca="false">SUMIF(Monthly!$C$5:$BJ$5,B$47,Monthly!$C$8:$BJ$8)</f>
        <v>230.4</v>
      </c>
      <c r="C60" s="50" t="n">
        <f aca="false">SUMIF(Monthly!$C$5:$BJ$5,C$47,Monthly!$C$8:$BJ$8)</f>
        <v>241.92</v>
      </c>
      <c r="D60" s="50" t="n">
        <f aca="false">SUMIF(Monthly!$C$5:$BJ$5,D$47,Monthly!$C$8:$BJ$8)</f>
        <v>254.016</v>
      </c>
      <c r="E60" s="50" t="n">
        <f aca="false">SUMIF(Monthly!$C$5:$BJ$5,E$47,Monthly!$C$8:$BJ$8)</f>
        <v>266.7168</v>
      </c>
      <c r="F60" s="50" t="n">
        <f aca="false">SUMIF(Monthly!$C$5:$BJ$5,F$47,Monthly!$C$8:$BJ$8)</f>
        <v>280.05264</v>
      </c>
    </row>
    <row r="61" customFormat="false" ht="15" hidden="false" customHeight="false" outlineLevel="0" collapsed="false">
      <c r="A61" s="6" t="s">
        <v>85</v>
      </c>
      <c r="B61" s="53" t="n">
        <f aca="false">IF(B60=0,0,B59/B60)</f>
        <v>208.333333333333</v>
      </c>
      <c r="C61" s="53" t="n">
        <f aca="false">IF(C60=0,0,C59/C60)</f>
        <v>208.333333333333</v>
      </c>
      <c r="D61" s="53" t="n">
        <f aca="false">IF(D60=0,0,D59/D60)</f>
        <v>208.333333333333</v>
      </c>
      <c r="E61" s="53" t="n">
        <f aca="false">IF(E60=0,0,E59/E60)</f>
        <v>208.333333333333</v>
      </c>
      <c r="F61" s="53" t="n">
        <f aca="false">IF(F60=0,0,F59/F60)</f>
        <v>208.333333333333</v>
      </c>
    </row>
    <row r="62" customFormat="false" ht="15" hidden="false" customHeight="false" outlineLevel="0" collapsed="false">
      <c r="A62" s="6" t="s">
        <v>41</v>
      </c>
      <c r="B62" s="52" t="n">
        <f aca="false">SUMIF(Monthly!$C$5:$BJ$5,B$47,Monthly!$C$31:$BJ$31)</f>
        <v>262844.884249407</v>
      </c>
      <c r="C62" s="52" t="n">
        <f aca="false">SUMIF(Monthly!$C$5:$BJ$5,C$47,Monthly!$C$31:$BJ$31)</f>
        <v>504280.122889946</v>
      </c>
      <c r="D62" s="52" t="n">
        <f aca="false">SUMIF(Monthly!$C$5:$BJ$5,D$47,Monthly!$C$31:$BJ$31)</f>
        <v>554018.9544</v>
      </c>
      <c r="E62" s="52" t="n">
        <f aca="false">SUMIF(Monthly!$C$5:$BJ$5,E$47,Monthly!$C$31:$BJ$31)</f>
        <v>570639.523032</v>
      </c>
      <c r="F62" s="52" t="n">
        <f aca="false">SUMIF(Monthly!$C$5:$BJ$5,F$47,Monthly!$C$31:$BJ$31)</f>
        <v>587758.70872296</v>
      </c>
    </row>
    <row r="63" customFormat="false" ht="15" hidden="false" customHeight="false" outlineLevel="0" collapsed="false">
      <c r="A63" s="37" t="s">
        <v>42</v>
      </c>
      <c r="B63" s="51" t="n">
        <f aca="false">IF(B56=0,0,B62/B56)</f>
        <v>0.668688104845678</v>
      </c>
      <c r="C63" s="51" t="n">
        <f aca="false">IF(C56=0,0,C62/C56)</f>
        <v>0.759533644730577</v>
      </c>
      <c r="D63" s="51" t="n">
        <f aca="false">IF(D56=0,0,D62/D56)</f>
        <v>0.766661381533746</v>
      </c>
      <c r="E63" s="51" t="n">
        <f aca="false">IF(E56=0,0,E62/E56)</f>
        <v>0.766661381533746</v>
      </c>
      <c r="F63" s="51" t="n">
        <f aca="false">IF(F56=0,0,F62/F56)</f>
        <v>0.766661381533746</v>
      </c>
    </row>
    <row r="64" customFormat="false" ht="15" hidden="false" customHeight="false" outlineLevel="0" collapsed="false">
      <c r="A64" s="37" t="s">
        <v>86</v>
      </c>
      <c r="B64" s="51" t="n">
        <f aca="false">Inputs!$E$15</f>
        <v>0.06</v>
      </c>
      <c r="C64" s="51" t="n">
        <f aca="false">Inputs!$E$15</f>
        <v>0.06</v>
      </c>
      <c r="D64" s="51" t="n">
        <f aca="false">Inputs!$E$15</f>
        <v>0.06</v>
      </c>
      <c r="E64" s="51" t="n">
        <f aca="false">Inputs!$E$15</f>
        <v>0.06</v>
      </c>
      <c r="F64" s="51" t="n">
        <f aca="false">Inputs!$E$15</f>
        <v>0.06</v>
      </c>
    </row>
    <row r="65" customFormat="false" ht="15" hidden="false" customHeight="false" outlineLevel="0" collapsed="false">
      <c r="A65" s="6" t="s">
        <v>87</v>
      </c>
      <c r="B65" s="53" t="n">
        <f aca="false">IF(B64=0,0,B55*B63/B64)</f>
        <v>1103.33537299537</v>
      </c>
      <c r="C65" s="53" t="n">
        <f aca="false">IF(C64=0,0,C55*C63/C64)</f>
        <v>1290.82742921962</v>
      </c>
      <c r="D65" s="53" t="n">
        <f aca="false">IF(D64=0,0,D55*D63/D64)</f>
        <v>1342.0292484541</v>
      </c>
      <c r="E65" s="53" t="n">
        <f aca="false">IF(E64=0,0,E55*E63/E64)</f>
        <v>1382.29012590772</v>
      </c>
      <c r="F65" s="53" t="n">
        <f aca="false">IF(F64=0,0,F55*F63/F64)</f>
        <v>1423.75882968495</v>
      </c>
    </row>
    <row r="66" customFormat="false" ht="15" hidden="false" customHeight="false" outlineLevel="0" collapsed="false">
      <c r="A66" s="6" t="s">
        <v>44</v>
      </c>
      <c r="B66" s="52" t="n">
        <f aca="false">SUMIF(Monthly!$C$5:$BJ$5,B$47,Monthly!$C$42:$BJ$42)</f>
        <v>-182978.134141062</v>
      </c>
      <c r="C66" s="52" t="n">
        <f aca="false">SUMIF(Monthly!$C$5:$BJ$5,C$47,Monthly!$C$42:$BJ$42)</f>
        <v>40239.7675238735</v>
      </c>
      <c r="D66" s="52" t="n">
        <f aca="false">SUMIF(Monthly!$C$5:$BJ$5,D$47,Monthly!$C$42:$BJ$42)</f>
        <v>79977.9283840001</v>
      </c>
      <c r="E66" s="52" t="n">
        <f aca="false">SUMIF(Monthly!$C$5:$BJ$5,E$47,Monthly!$C$42:$BJ$42)</f>
        <v>87798.8662355202</v>
      </c>
      <c r="F66" s="52" t="n">
        <f aca="false">SUMIF(Monthly!$C$5:$BJ$5,F$47,Monthly!$C$42:$BJ$42)</f>
        <v>95801.5122225856</v>
      </c>
    </row>
    <row r="67" customFormat="false" ht="15" hidden="false" customHeight="false" outlineLevel="0" collapsed="false">
      <c r="A67" s="37" t="s">
        <v>45</v>
      </c>
      <c r="B67" s="51" t="n">
        <f aca="false">IF(B56=0,0,B66/B56)</f>
        <v>-0.465503835451804</v>
      </c>
      <c r="C67" s="51" t="n">
        <f aca="false">IF(C56=0,0,C66/C56)</f>
        <v>0.0606080943967504</v>
      </c>
      <c r="D67" s="51" t="n">
        <f aca="false">IF(D56=0,0,D66/D56)</f>
        <v>0.110674894026847</v>
      </c>
      <c r="E67" s="51" t="n">
        <f aca="false">IF(E56=0,0,E66/E56)</f>
        <v>0.117958881865681</v>
      </c>
      <c r="F67" s="51" t="n">
        <f aca="false">IF(F56=0,0,F66/F56)</f>
        <v>0.124961686868359</v>
      </c>
    </row>
    <row r="68" customFormat="false" ht="15" hidden="false" customHeight="false" outlineLevel="0" collapsed="false">
      <c r="A68" s="6" t="s">
        <v>88</v>
      </c>
      <c r="B68" s="53" t="n">
        <f aca="false">IF(Inputs!$E$38=0,0,B56/Inputs!$E$38)</f>
        <v>98.2688649404297</v>
      </c>
      <c r="C68" s="53" t="n">
        <f aca="false">IF(Inputs!$E$38=0,0,C56/Inputs!$E$38)</f>
        <v>165.98347103795</v>
      </c>
      <c r="D68" s="53" t="n">
        <f aca="false">IF(Inputs!$E$38=0,0,D56/Inputs!$E$38)</f>
        <v>180.6596001</v>
      </c>
      <c r="E68" s="53" t="n">
        <f aca="false">IF(Inputs!$E$38=0,0,E56/Inputs!$E$38)</f>
        <v>186.079388103</v>
      </c>
      <c r="F68" s="53" t="n">
        <f aca="false">IF(Inputs!$E$38=0,0,F56/Inputs!$E$38)</f>
        <v>191.66176974609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89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90</v>
      </c>
      <c r="R2" s="55" t="n">
        <v>1</v>
      </c>
      <c r="S2" s="55"/>
    </row>
    <row r="5" customFormat="false" ht="15.75" hidden="false" customHeight="true" outlineLevel="0" collapsed="false">
      <c r="A5" s="7" t="s">
        <v>91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2"/>
      <c r="B6" s="33" t="n">
        <v>1</v>
      </c>
      <c r="C6" s="33" t="n">
        <v>2</v>
      </c>
      <c r="D6" s="33" t="n">
        <v>3</v>
      </c>
      <c r="E6" s="33" t="n">
        <v>4</v>
      </c>
      <c r="F6" s="33" t="n">
        <v>5</v>
      </c>
      <c r="H6" s="56" t="n">
        <f aca="false">INDEX(Monthly!$C$4:$BJ$4,($R$2-1)*12+1)</f>
        <v>1</v>
      </c>
      <c r="I6" s="56" t="n">
        <f aca="false">INDEX(Monthly!$C$4:$BJ$4,($R$2-1)*12+2)</f>
        <v>2</v>
      </c>
      <c r="J6" s="56" t="n">
        <f aca="false">INDEX(Monthly!$C$4:$BJ$4,($R$2-1)*12+3)</f>
        <v>3</v>
      </c>
      <c r="K6" s="56" t="n">
        <f aca="false">INDEX(Monthly!$C$4:$BJ$4,($R$2-1)*12+4)</f>
        <v>4</v>
      </c>
      <c r="L6" s="56" t="n">
        <f aca="false">INDEX(Monthly!$C$4:$BJ$4,($R$2-1)*12+5)</f>
        <v>5</v>
      </c>
      <c r="M6" s="56" t="n">
        <f aca="false">INDEX(Monthly!$C$4:$BJ$4,($R$2-1)*12+6)</f>
        <v>6</v>
      </c>
      <c r="N6" s="56" t="n">
        <f aca="false">INDEX(Monthly!$C$4:$BJ$4,($R$2-1)*12+7)</f>
        <v>7</v>
      </c>
      <c r="O6" s="56" t="n">
        <f aca="false">INDEX(Monthly!$C$4:$BJ$4,($R$2-1)*12+8)</f>
        <v>8</v>
      </c>
      <c r="P6" s="56" t="n">
        <f aca="false">INDEX(Monthly!$C$4:$BJ$4,($R$2-1)*12+9)</f>
        <v>9</v>
      </c>
      <c r="Q6" s="56" t="n">
        <f aca="false">INDEX(Monthly!$C$4:$BJ$4,($R$2-1)*12+10)</f>
        <v>10</v>
      </c>
      <c r="R6" s="56" t="n">
        <f aca="false">INDEX(Monthly!$C$4:$BJ$4,($R$2-1)*12+11)</f>
        <v>11</v>
      </c>
      <c r="S6" s="56" t="n">
        <f aca="false">INDEX(Monthly!$C$4:$BJ$4,($R$2-1)*12+12)</f>
        <v>12</v>
      </c>
    </row>
    <row r="7" customFormat="false" ht="15" hidden="false" customHeight="false" outlineLevel="0" collapsed="false">
      <c r="A7" s="57" t="s">
        <v>40</v>
      </c>
      <c r="B7" s="34" t="n">
        <f aca="false">'P&amp;L'!B5</f>
        <v>393075.459761719</v>
      </c>
      <c r="C7" s="34" t="n">
        <f aca="false">'P&amp;L'!C5</f>
        <v>663933.884151801</v>
      </c>
      <c r="D7" s="34" t="n">
        <f aca="false">'P&amp;L'!D5</f>
        <v>722638.4004</v>
      </c>
      <c r="E7" s="34" t="n">
        <f aca="false">'P&amp;L'!E5</f>
        <v>744317.552412</v>
      </c>
      <c r="F7" s="34" t="n">
        <f aca="false">'P&amp;L'!F5</f>
        <v>766647.07898436</v>
      </c>
      <c r="H7" s="34" t="n">
        <f aca="false">INDEX(Monthly!$C$24:$BJ$24,($R$2-1)*12+1)</f>
        <v>18123</v>
      </c>
      <c r="I7" s="34" t="n">
        <f aca="false">INDEX(Monthly!$C$24:$BJ$24,($R$2-1)*12+2)</f>
        <v>21349.608</v>
      </c>
      <c r="J7" s="34" t="n">
        <f aca="false">INDEX(Monthly!$C$24:$BJ$24,($R$2-1)*12+3)</f>
        <v>24382.61952</v>
      </c>
      <c r="K7" s="34" t="n">
        <f aca="false">INDEX(Monthly!$C$24:$BJ$24,($R$2-1)*12+4)</f>
        <v>27233.6503488</v>
      </c>
      <c r="L7" s="34" t="n">
        <f aca="false">INDEX(Monthly!$C$24:$BJ$24,($R$2-1)*12+5)</f>
        <v>29913.619327872</v>
      </c>
      <c r="M7" s="34" t="n">
        <f aca="false">INDEX(Monthly!$C$24:$BJ$24,($R$2-1)*12+6)</f>
        <v>32432.7901681997</v>
      </c>
      <c r="N7" s="34" t="n">
        <f aca="false">INDEX(Monthly!$C$24:$BJ$24,($R$2-1)*12+7)</f>
        <v>34800.8107581077</v>
      </c>
      <c r="O7" s="34" t="n">
        <f aca="false">INDEX(Monthly!$C$24:$BJ$24,($R$2-1)*12+8)</f>
        <v>37026.7501126212</v>
      </c>
      <c r="P7" s="34" t="n">
        <f aca="false">INDEX(Monthly!$C$24:$BJ$24,($R$2-1)*12+9)</f>
        <v>39119.133105864</v>
      </c>
      <c r="Q7" s="34" t="n">
        <f aca="false">INDEX(Monthly!$C$24:$BJ$24,($R$2-1)*12+10)</f>
        <v>41085.9731195121</v>
      </c>
      <c r="R7" s="34" t="n">
        <f aca="false">INDEX(Monthly!$C$24:$BJ$24,($R$2-1)*12+11)</f>
        <v>42934.8027323414</v>
      </c>
      <c r="S7" s="34" t="n">
        <f aca="false">INDEX(Monthly!$C$24:$BJ$24,($R$2-1)*12+12)</f>
        <v>44672.7025684009</v>
      </c>
    </row>
    <row r="8" customFormat="false" ht="15" hidden="false" customHeight="false" outlineLevel="0" collapsed="false">
      <c r="A8" s="57" t="s">
        <v>92</v>
      </c>
      <c r="B8" s="34" t="n">
        <f aca="false">'P&amp;L'!B6</f>
        <v>-130230.575512312</v>
      </c>
      <c r="C8" s="34" t="n">
        <f aca="false">'P&amp;L'!C6</f>
        <v>-159653.761261855</v>
      </c>
      <c r="D8" s="34" t="n">
        <f aca="false">'P&amp;L'!D6</f>
        <v>-168619.446</v>
      </c>
      <c r="E8" s="34" t="n">
        <f aca="false">'P&amp;L'!E6</f>
        <v>-173678.02938</v>
      </c>
      <c r="F8" s="34" t="n">
        <f aca="false">'P&amp;L'!F6</f>
        <v>-178888.3702614</v>
      </c>
      <c r="H8" s="34" t="n">
        <f aca="false">INDEX(Monthly!$C$30:$BJ$30,($R$2-1)*12+1)</f>
        <v>-9415.35</v>
      </c>
      <c r="I8" s="34" t="n">
        <f aca="false">INDEX(Monthly!$C$30:$BJ$30,($R$2-1)*12+2)</f>
        <v>-9732.249</v>
      </c>
      <c r="J8" s="34" t="n">
        <f aca="false">INDEX(Monthly!$C$30:$BJ$30,($R$2-1)*12+3)</f>
        <v>-10030.13406</v>
      </c>
      <c r="K8" s="34" t="n">
        <f aca="false">INDEX(Monthly!$C$30:$BJ$30,($R$2-1)*12+4)</f>
        <v>-10310.1460164</v>
      </c>
      <c r="L8" s="34" t="n">
        <f aca="false">INDEX(Monthly!$C$30:$BJ$30,($R$2-1)*12+5)</f>
        <v>-10573.357255416</v>
      </c>
      <c r="M8" s="34" t="n">
        <f aca="false">INDEX(Monthly!$C$30:$BJ$30,($R$2-1)*12+6)</f>
        <v>-10820.775820091</v>
      </c>
      <c r="N8" s="34" t="n">
        <f aca="false">INDEX(Monthly!$C$30:$BJ$30,($R$2-1)*12+7)</f>
        <v>-11053.3492708856</v>
      </c>
      <c r="O8" s="34" t="n">
        <f aca="false">INDEX(Monthly!$C$30:$BJ$30,($R$2-1)*12+8)</f>
        <v>-11271.9683146324</v>
      </c>
      <c r="P8" s="34" t="n">
        <f aca="false">INDEX(Monthly!$C$30:$BJ$30,($R$2-1)*12+9)</f>
        <v>-11477.4702157545</v>
      </c>
      <c r="Q8" s="34" t="n">
        <f aca="false">INDEX(Monthly!$C$30:$BJ$30,($R$2-1)*12+10)</f>
        <v>-11670.6420028092</v>
      </c>
      <c r="R8" s="34" t="n">
        <f aca="false">INDEX(Monthly!$C$30:$BJ$30,($R$2-1)*12+11)</f>
        <v>-11852.2234826407</v>
      </c>
      <c r="S8" s="34" t="n">
        <f aca="false">INDEX(Monthly!$C$30:$BJ$30,($R$2-1)*12+12)</f>
        <v>-12022.9100736822</v>
      </c>
    </row>
    <row r="9" customFormat="false" ht="15" hidden="false" customHeight="false" outlineLevel="0" collapsed="false">
      <c r="A9" s="35" t="s">
        <v>41</v>
      </c>
      <c r="B9" s="36" t="n">
        <f aca="false">'P&amp;L'!B7</f>
        <v>262844.884249407</v>
      </c>
      <c r="C9" s="36" t="n">
        <f aca="false">'P&amp;L'!C7</f>
        <v>504280.122889946</v>
      </c>
      <c r="D9" s="36" t="n">
        <f aca="false">'P&amp;L'!D7</f>
        <v>554018.9544</v>
      </c>
      <c r="E9" s="36" t="n">
        <f aca="false">'P&amp;L'!E7</f>
        <v>570639.523032</v>
      </c>
      <c r="F9" s="36" t="n">
        <f aca="false">'P&amp;L'!F7</f>
        <v>587758.70872296</v>
      </c>
      <c r="H9" s="36" t="n">
        <f aca="false">INDEX(Monthly!$C$31:$BJ$31,($R$2-1)*12+1)</f>
        <v>8707.65</v>
      </c>
      <c r="I9" s="36" t="n">
        <f aca="false">INDEX(Monthly!$C$31:$BJ$31,($R$2-1)*12+2)</f>
        <v>11617.359</v>
      </c>
      <c r="J9" s="36" t="n">
        <f aca="false">INDEX(Monthly!$C$31:$BJ$31,($R$2-1)*12+3)</f>
        <v>14352.48546</v>
      </c>
      <c r="K9" s="36" t="n">
        <f aca="false">INDEX(Monthly!$C$31:$BJ$31,($R$2-1)*12+4)</f>
        <v>16923.5043324</v>
      </c>
      <c r="L9" s="36" t="n">
        <f aca="false">INDEX(Monthly!$C$31:$BJ$31,($R$2-1)*12+5)</f>
        <v>19340.262072456</v>
      </c>
      <c r="M9" s="36" t="n">
        <f aca="false">INDEX(Monthly!$C$31:$BJ$31,($R$2-1)*12+6)</f>
        <v>21612.0143481086</v>
      </c>
      <c r="N9" s="36" t="n">
        <f aca="false">INDEX(Monthly!$C$31:$BJ$31,($R$2-1)*12+7)</f>
        <v>23747.4614872221</v>
      </c>
      <c r="O9" s="36" t="n">
        <f aca="false">INDEX(Monthly!$C$31:$BJ$31,($R$2-1)*12+8)</f>
        <v>25754.7817979888</v>
      </c>
      <c r="P9" s="36" t="n">
        <f aca="false">INDEX(Monthly!$C$31:$BJ$31,($R$2-1)*12+9)</f>
        <v>27641.6628901095</v>
      </c>
      <c r="Q9" s="36" t="n">
        <f aca="false">INDEX(Monthly!$C$31:$BJ$31,($R$2-1)*12+10)</f>
        <v>29415.3311167029</v>
      </c>
      <c r="R9" s="36" t="n">
        <f aca="false">INDEX(Monthly!$C$31:$BJ$31,($R$2-1)*12+11)</f>
        <v>31082.5792497007</v>
      </c>
      <c r="S9" s="36" t="n">
        <f aca="false">INDEX(Monthly!$C$31:$BJ$31,($R$2-1)*12+12)</f>
        <v>32649.7924947187</v>
      </c>
    </row>
    <row r="10" customFormat="false" ht="15" hidden="false" customHeight="false" outlineLevel="0" collapsed="false">
      <c r="A10" s="37" t="s">
        <v>42</v>
      </c>
      <c r="B10" s="38" t="n">
        <f aca="false">'P&amp;L'!B8</f>
        <v>0.668688104845678</v>
      </c>
      <c r="C10" s="38" t="n">
        <f aca="false">'P&amp;L'!C8</f>
        <v>0.759533644730577</v>
      </c>
      <c r="D10" s="38" t="n">
        <f aca="false">'P&amp;L'!D8</f>
        <v>0.766661381533746</v>
      </c>
      <c r="E10" s="38" t="n">
        <f aca="false">'P&amp;L'!E8</f>
        <v>0.766661381533746</v>
      </c>
      <c r="F10" s="38" t="n">
        <f aca="false">'P&amp;L'!F8</f>
        <v>0.766661381533746</v>
      </c>
      <c r="H10" s="38" t="n">
        <f aca="false">IF(H7=0,0,H9/H7)</f>
        <v>0.480475086906141</v>
      </c>
      <c r="I10" s="38" t="n">
        <f aca="false">IF(I7=0,0,I9/I7)</f>
        <v>0.544148585772629</v>
      </c>
      <c r="J10" s="38" t="n">
        <f aca="false">IF(J7=0,0,J9/J7)</f>
        <v>0.588635911257496</v>
      </c>
      <c r="K10" s="38" t="n">
        <f aca="false">IF(K7=0,0,K9/K7)</f>
        <v>0.621418873916978</v>
      </c>
      <c r="L10" s="38" t="n">
        <f aca="false">IF(L7=0,0,L9/L7)</f>
        <v>0.646537012471631</v>
      </c>
      <c r="M10" s="38" t="n">
        <f aca="false">IF(M7=0,0,M9/M7)</f>
        <v>0.66636309229106</v>
      </c>
      <c r="N10" s="38" t="n">
        <f aca="false">IF(N7=0,0,N9/N7)</f>
        <v>0.682382420693735</v>
      </c>
      <c r="O10" s="38" t="n">
        <f aca="false">IF(O7=0,0,O9/O7)</f>
        <v>0.695572301637399</v>
      </c>
      <c r="P10" s="38" t="n">
        <f aca="false">IF(P7=0,0,P9/P7)</f>
        <v>0.706602132907848</v>
      </c>
      <c r="Q10" s="38" t="n">
        <f aca="false">IF(Q7=0,0,Q9/Q7)</f>
        <v>0.715945829763815</v>
      </c>
      <c r="R10" s="38" t="n">
        <f aca="false">IF(R7=0,0,R9/R7)</f>
        <v>0.723948341942357</v>
      </c>
      <c r="S10" s="38" t="n">
        <f aca="false">IF(S7=0,0,S9/S7)</f>
        <v>0.730866740034963</v>
      </c>
    </row>
    <row r="11" customFormat="false" ht="15" hidden="false" customHeight="false" outlineLevel="0" collapsed="false">
      <c r="A11" s="57" t="s">
        <v>93</v>
      </c>
      <c r="B11" s="34" t="n">
        <f aca="false">'P&amp;L'!B16</f>
        <v>-445823.018390469</v>
      </c>
      <c r="C11" s="34" t="n">
        <f aca="false">'P&amp;L'!C16</f>
        <v>-464040.355366072</v>
      </c>
      <c r="D11" s="34" t="n">
        <f aca="false">'P&amp;L'!D16</f>
        <v>-474041.026016</v>
      </c>
      <c r="E11" s="34" t="n">
        <f aca="false">'P&amp;L'!E16</f>
        <v>-482840.65679648</v>
      </c>
      <c r="F11" s="34" t="n">
        <f aca="false">'P&amp;L'!F16</f>
        <v>-491957.196500374</v>
      </c>
      <c r="H11" s="34" t="n">
        <f aca="false">INDEX(Monthly!$C$41:$BJ$41,($R$2-1)*12+1)</f>
        <v>-36566.5866666667</v>
      </c>
      <c r="I11" s="34" t="n">
        <f aca="false">INDEX(Monthly!$C$41:$BJ$41,($R$2-1)*12+2)</f>
        <v>-36695.6509866667</v>
      </c>
      <c r="J11" s="34" t="n">
        <f aca="false">INDEX(Monthly!$C$41:$BJ$41,($R$2-1)*12+3)</f>
        <v>-36816.9714474667</v>
      </c>
      <c r="K11" s="34" t="n">
        <f aca="false">INDEX(Monthly!$C$41:$BJ$41,($R$2-1)*12+4)</f>
        <v>-36931.0126806187</v>
      </c>
      <c r="L11" s="34" t="n">
        <f aca="false">INDEX(Monthly!$C$41:$BJ$41,($R$2-1)*12+5)</f>
        <v>-37038.2114397816</v>
      </c>
      <c r="M11" s="34" t="n">
        <f aca="false">INDEX(Monthly!$C$41:$BJ$41,($R$2-1)*12+6)</f>
        <v>-37138.9782733947</v>
      </c>
      <c r="N11" s="34" t="n">
        <f aca="false">INDEX(Monthly!$C$41:$BJ$41,($R$2-1)*12+7)</f>
        <v>-37233.699096991</v>
      </c>
      <c r="O11" s="34" t="n">
        <f aca="false">INDEX(Monthly!$C$41:$BJ$41,($R$2-1)*12+8)</f>
        <v>-37322.7366711715</v>
      </c>
      <c r="P11" s="34" t="n">
        <f aca="false">INDEX(Monthly!$C$41:$BJ$41,($R$2-1)*12+9)</f>
        <v>-37406.4319909012</v>
      </c>
      <c r="Q11" s="34" t="n">
        <f aca="false">INDEX(Monthly!$C$41:$BJ$41,($R$2-1)*12+10)</f>
        <v>-37485.1055914472</v>
      </c>
      <c r="R11" s="34" t="n">
        <f aca="false">INDEX(Monthly!$C$41:$BJ$41,($R$2-1)*12+11)</f>
        <v>-37559.0587759603</v>
      </c>
      <c r="S11" s="34" t="n">
        <f aca="false">INDEX(Monthly!$C$41:$BJ$41,($R$2-1)*12+12)</f>
        <v>-37628.5747694027</v>
      </c>
    </row>
    <row r="12" customFormat="false" ht="15" hidden="false" customHeight="false" outlineLevel="0" collapsed="false">
      <c r="A12" s="35" t="s">
        <v>44</v>
      </c>
      <c r="B12" s="36" t="n">
        <f aca="false">'P&amp;L'!B17</f>
        <v>-182978.134141062</v>
      </c>
      <c r="C12" s="36" t="n">
        <f aca="false">'P&amp;L'!C17</f>
        <v>40239.7675238735</v>
      </c>
      <c r="D12" s="36" t="n">
        <f aca="false">'P&amp;L'!D17</f>
        <v>79977.9283840001</v>
      </c>
      <c r="E12" s="36" t="n">
        <f aca="false">'P&amp;L'!E17</f>
        <v>87798.8662355202</v>
      </c>
      <c r="F12" s="36" t="n">
        <f aca="false">'P&amp;L'!F17</f>
        <v>95801.5122225856</v>
      </c>
      <c r="H12" s="36" t="n">
        <f aca="false">INDEX(Monthly!$C$42:$BJ$42,($R$2-1)*12+1)</f>
        <v>-27858.9366666667</v>
      </c>
      <c r="I12" s="36" t="n">
        <f aca="false">INDEX(Monthly!$C$42:$BJ$42,($R$2-1)*12+2)</f>
        <v>-25078.2919866667</v>
      </c>
      <c r="J12" s="36" t="n">
        <f aca="false">INDEX(Monthly!$C$42:$BJ$42,($R$2-1)*12+3)</f>
        <v>-22464.4859874667</v>
      </c>
      <c r="K12" s="36" t="n">
        <f aca="false">INDEX(Monthly!$C$42:$BJ$42,($R$2-1)*12+4)</f>
        <v>-20007.5083482187</v>
      </c>
      <c r="L12" s="36" t="n">
        <f aca="false">INDEX(Monthly!$C$42:$BJ$42,($R$2-1)*12+5)</f>
        <v>-17697.9493673256</v>
      </c>
      <c r="M12" s="36" t="n">
        <f aca="false">INDEX(Monthly!$C$42:$BJ$42,($R$2-1)*12+6)</f>
        <v>-15526.963925286</v>
      </c>
      <c r="N12" s="36" t="n">
        <f aca="false">INDEX(Monthly!$C$42:$BJ$42,($R$2-1)*12+7)</f>
        <v>-13486.2376097689</v>
      </c>
      <c r="O12" s="36" t="n">
        <f aca="false">INDEX(Monthly!$C$42:$BJ$42,($R$2-1)*12+8)</f>
        <v>-11567.9548731827</v>
      </c>
      <c r="P12" s="36" t="n">
        <f aca="false">INDEX(Monthly!$C$42:$BJ$42,($R$2-1)*12+9)</f>
        <v>-9764.76910079178</v>
      </c>
      <c r="Q12" s="36" t="n">
        <f aca="false">INDEX(Monthly!$C$42:$BJ$42,($R$2-1)*12+10)</f>
        <v>-8069.77447474427</v>
      </c>
      <c r="R12" s="36" t="n">
        <f aca="false">INDEX(Monthly!$C$42:$BJ$42,($R$2-1)*12+11)</f>
        <v>-6476.47952625962</v>
      </c>
      <c r="S12" s="36" t="n">
        <f aca="false">INDEX(Monthly!$C$42:$BJ$42,($R$2-1)*12+12)</f>
        <v>-4978.78227468404</v>
      </c>
    </row>
    <row r="13" customFormat="false" ht="15" hidden="false" customHeight="false" outlineLevel="0" collapsed="false">
      <c r="A13" s="37" t="s">
        <v>45</v>
      </c>
      <c r="B13" s="38" t="n">
        <f aca="false">'P&amp;L'!B18</f>
        <v>-0.465503835451804</v>
      </c>
      <c r="C13" s="38" t="n">
        <f aca="false">'P&amp;L'!C18</f>
        <v>0.0606080943967504</v>
      </c>
      <c r="D13" s="38" t="n">
        <f aca="false">'P&amp;L'!D18</f>
        <v>0.110674894026847</v>
      </c>
      <c r="E13" s="38" t="n">
        <f aca="false">'P&amp;L'!E18</f>
        <v>0.117958881865681</v>
      </c>
      <c r="F13" s="38" t="n">
        <f aca="false">'P&amp;L'!F18</f>
        <v>0.124961686868359</v>
      </c>
      <c r="H13" s="38" t="n">
        <f aca="false">IF(H7=0,0,H12/H7)</f>
        <v>-1.53721440526771</v>
      </c>
      <c r="I13" s="38" t="n">
        <f aca="false">IF(I7=0,0,I12/I7)</f>
        <v>-1.17464882665137</v>
      </c>
      <c r="J13" s="38" t="n">
        <f aca="false">IF(J7=0,0,J12/J7)</f>
        <v>-0.921331933553736</v>
      </c>
      <c r="K13" s="38" t="n">
        <f aca="false">IF(K7=0,0,K12/K7)</f>
        <v>-0.734661277205546</v>
      </c>
      <c r="L13" s="38" t="n">
        <f aca="false">IF(L7=0,0,L12/L7)</f>
        <v>-0.591635173709505</v>
      </c>
      <c r="M13" s="38" t="n">
        <f aca="false">IF(M7=0,0,M12/M7)</f>
        <v>-0.47874277374107</v>
      </c>
      <c r="N13" s="38" t="n">
        <f aca="false">IF(N7=0,0,N12/N7)</f>
        <v>-0.387526535042777</v>
      </c>
      <c r="O13" s="38" t="n">
        <f aca="false">IF(O7=0,0,O12/O7)</f>
        <v>-0.31242155571303</v>
      </c>
      <c r="P13" s="38" t="n">
        <f aca="false">IF(P7=0,0,P12/P7)</f>
        <v>-0.249616193548216</v>
      </c>
      <c r="Q13" s="38" t="n">
        <f aca="false">IF(Q7=0,0,Q12/Q7)</f>
        <v>-0.196411910490003</v>
      </c>
      <c r="R13" s="38" t="n">
        <f aca="false">IF(R7=0,0,R12/R7)</f>
        <v>-0.150844515733179</v>
      </c>
      <c r="S13" s="38" t="n">
        <f aca="false">IF(S7=0,0,S12/S7)</f>
        <v>-0.111450214301692</v>
      </c>
    </row>
    <row r="14" customFormat="false" ht="15" hidden="false" customHeight="false" outlineLevel="0" collapsed="false">
      <c r="A14" s="57" t="s">
        <v>94</v>
      </c>
      <c r="B14" s="34" t="n">
        <f aca="false">'P&amp;L'!B19</f>
        <v>-35714.2857142857</v>
      </c>
      <c r="C14" s="34" t="n">
        <f aca="false">'P&amp;L'!C19</f>
        <v>-35714.2857142857</v>
      </c>
      <c r="D14" s="34" t="n">
        <f aca="false">'P&amp;L'!D19</f>
        <v>-35714.2857142857</v>
      </c>
      <c r="E14" s="34" t="n">
        <f aca="false">'P&amp;L'!E19</f>
        <v>-35714.2857142857</v>
      </c>
      <c r="F14" s="34" t="n">
        <f aca="false">'P&amp;L'!F19</f>
        <v>-35714.2857142857</v>
      </c>
      <c r="H14" s="34" t="n">
        <f aca="false">INDEX(Monthly!$C$56:$BJ$56,($R$2-1)*12+1)</f>
        <v>-2976.19047619048</v>
      </c>
      <c r="I14" s="34" t="n">
        <f aca="false">INDEX(Monthly!$C$56:$BJ$56,($R$2-1)*12+2)</f>
        <v>-2976.19047619048</v>
      </c>
      <c r="J14" s="34" t="n">
        <f aca="false">INDEX(Monthly!$C$56:$BJ$56,($R$2-1)*12+3)</f>
        <v>-2976.19047619048</v>
      </c>
      <c r="K14" s="34" t="n">
        <f aca="false">INDEX(Monthly!$C$56:$BJ$56,($R$2-1)*12+4)</f>
        <v>-2976.19047619048</v>
      </c>
      <c r="L14" s="34" t="n">
        <f aca="false">INDEX(Monthly!$C$56:$BJ$56,($R$2-1)*12+5)</f>
        <v>-2976.19047619048</v>
      </c>
      <c r="M14" s="34" t="n">
        <f aca="false">INDEX(Monthly!$C$56:$BJ$56,($R$2-1)*12+6)</f>
        <v>-2976.19047619048</v>
      </c>
      <c r="N14" s="34" t="n">
        <f aca="false">INDEX(Monthly!$C$56:$BJ$56,($R$2-1)*12+7)</f>
        <v>-2976.19047619048</v>
      </c>
      <c r="O14" s="34" t="n">
        <f aca="false">INDEX(Monthly!$C$56:$BJ$56,($R$2-1)*12+8)</f>
        <v>-2976.19047619048</v>
      </c>
      <c r="P14" s="34" t="n">
        <f aca="false">INDEX(Monthly!$C$56:$BJ$56,($R$2-1)*12+9)</f>
        <v>-2976.19047619048</v>
      </c>
      <c r="Q14" s="34" t="n">
        <f aca="false">INDEX(Monthly!$C$56:$BJ$56,($R$2-1)*12+10)</f>
        <v>-2976.19047619048</v>
      </c>
      <c r="R14" s="34" t="n">
        <f aca="false">INDEX(Monthly!$C$56:$BJ$56,($R$2-1)*12+11)</f>
        <v>-2976.19047619048</v>
      </c>
      <c r="S14" s="34" t="n">
        <f aca="false">INDEX(Monthly!$C$56:$BJ$56,($R$2-1)*12+12)</f>
        <v>-2976.19047619048</v>
      </c>
    </row>
    <row r="15" customFormat="false" ht="15" hidden="false" customHeight="false" outlineLevel="0" collapsed="false">
      <c r="A15" s="35" t="s">
        <v>95</v>
      </c>
      <c r="B15" s="36" t="n">
        <f aca="false">'P&amp;L'!B20</f>
        <v>-218692.419855347</v>
      </c>
      <c r="C15" s="36" t="n">
        <f aca="false">'P&amp;L'!C20</f>
        <v>4525.48180958777</v>
      </c>
      <c r="D15" s="36" t="n">
        <f aca="false">'P&amp;L'!D20</f>
        <v>44263.6426697144</v>
      </c>
      <c r="E15" s="36" t="n">
        <f aca="false">'P&amp;L'!E20</f>
        <v>52084.5805212345</v>
      </c>
      <c r="F15" s="36" t="n">
        <f aca="false">'P&amp;L'!F20</f>
        <v>60087.2265082999</v>
      </c>
      <c r="H15" s="36" t="n">
        <f aca="false">INDEX(Monthly!$C$45:$BJ$45,($R$2-1)*12+1)</f>
        <v>-30835.1271428571</v>
      </c>
      <c r="I15" s="36" t="n">
        <f aca="false">INDEX(Monthly!$C$45:$BJ$45,($R$2-1)*12+2)</f>
        <v>-28054.4824628572</v>
      </c>
      <c r="J15" s="36" t="n">
        <f aca="false">INDEX(Monthly!$C$45:$BJ$45,($R$2-1)*12+3)</f>
        <v>-25440.6764636572</v>
      </c>
      <c r="K15" s="36" t="n">
        <f aca="false">INDEX(Monthly!$C$45:$BJ$45,($R$2-1)*12+4)</f>
        <v>-22983.6988244092</v>
      </c>
      <c r="L15" s="36" t="n">
        <f aca="false">INDEX(Monthly!$C$45:$BJ$45,($R$2-1)*12+5)</f>
        <v>-20674.139843516</v>
      </c>
      <c r="M15" s="36" t="n">
        <f aca="false">INDEX(Monthly!$C$45:$BJ$45,($R$2-1)*12+6)</f>
        <v>-18503.1544014765</v>
      </c>
      <c r="N15" s="36" t="n">
        <f aca="false">INDEX(Monthly!$C$45:$BJ$45,($R$2-1)*12+7)</f>
        <v>-16462.4280859593</v>
      </c>
      <c r="O15" s="36" t="n">
        <f aca="false">INDEX(Monthly!$C$45:$BJ$45,($R$2-1)*12+8)</f>
        <v>-14544.1453493732</v>
      </c>
      <c r="P15" s="36" t="n">
        <f aca="false">INDEX(Monthly!$C$45:$BJ$45,($R$2-1)*12+9)</f>
        <v>-12740.9595769823</v>
      </c>
      <c r="Q15" s="36" t="n">
        <f aca="false">INDEX(Monthly!$C$45:$BJ$45,($R$2-1)*12+10)</f>
        <v>-11045.9649509347</v>
      </c>
      <c r="R15" s="36" t="n">
        <f aca="false">INDEX(Monthly!$C$45:$BJ$45,($R$2-1)*12+11)</f>
        <v>-9452.67000245009</v>
      </c>
      <c r="S15" s="36" t="n">
        <f aca="false">INDEX(Monthly!$C$45:$BJ$45,($R$2-1)*12+12)</f>
        <v>-7954.97275087452</v>
      </c>
    </row>
    <row r="16" customFormat="false" ht="15" hidden="false" customHeight="false" outlineLevel="0" collapsed="false">
      <c r="A16" s="57" t="s">
        <v>96</v>
      </c>
      <c r="B16" s="34" t="n">
        <f aca="false">'P&amp;L'!B21</f>
        <v>-11279.7619047619</v>
      </c>
      <c r="C16" s="34" t="n">
        <f aca="false">'P&amp;L'!C21</f>
        <v>-9571.42857142857</v>
      </c>
      <c r="D16" s="34" t="n">
        <f aca="false">'P&amp;L'!D21</f>
        <v>-7857.14285714285</v>
      </c>
      <c r="E16" s="34" t="n">
        <f aca="false">'P&amp;L'!E21</f>
        <v>-6142.85714285713</v>
      </c>
      <c r="F16" s="34" t="n">
        <f aca="false">'P&amp;L'!F21</f>
        <v>-4428.57142857142</v>
      </c>
      <c r="H16" s="34" t="n">
        <f aca="false">INDEX(Monthly!$C$46:$BJ$46,($R$2-1)*12+1)</f>
        <v>-1000</v>
      </c>
      <c r="I16" s="34" t="n">
        <f aca="false">INDEX(Monthly!$C$46:$BJ$46,($R$2-1)*12+2)</f>
        <v>-994.047619047619</v>
      </c>
      <c r="J16" s="34" t="n">
        <f aca="false">INDEX(Monthly!$C$46:$BJ$46,($R$2-1)*12+3)</f>
        <v>-982.142857142857</v>
      </c>
      <c r="K16" s="34" t="n">
        <f aca="false">INDEX(Monthly!$C$46:$BJ$46,($R$2-1)*12+4)</f>
        <v>-970.238095238095</v>
      </c>
      <c r="L16" s="34" t="n">
        <f aca="false">INDEX(Monthly!$C$46:$BJ$46,($R$2-1)*12+5)</f>
        <v>-958.333333333333</v>
      </c>
      <c r="M16" s="34" t="n">
        <f aca="false">INDEX(Monthly!$C$46:$BJ$46,($R$2-1)*12+6)</f>
        <v>-946.428571428571</v>
      </c>
      <c r="N16" s="34" t="n">
        <f aca="false">INDEX(Monthly!$C$46:$BJ$46,($R$2-1)*12+7)</f>
        <v>-934.52380952381</v>
      </c>
      <c r="O16" s="34" t="n">
        <f aca="false">INDEX(Monthly!$C$46:$BJ$46,($R$2-1)*12+8)</f>
        <v>-922.619047619047</v>
      </c>
      <c r="P16" s="34" t="n">
        <f aca="false">INDEX(Monthly!$C$46:$BJ$46,($R$2-1)*12+9)</f>
        <v>-910.714285714286</v>
      </c>
      <c r="Q16" s="34" t="n">
        <f aca="false">INDEX(Monthly!$C$46:$BJ$46,($R$2-1)*12+10)</f>
        <v>-898.809523809524</v>
      </c>
      <c r="R16" s="34" t="n">
        <f aca="false">INDEX(Monthly!$C$46:$BJ$46,($R$2-1)*12+11)</f>
        <v>-886.904761904762</v>
      </c>
      <c r="S16" s="34" t="n">
        <f aca="false">INDEX(Monthly!$C$46:$BJ$46,($R$2-1)*12+12)</f>
        <v>-875</v>
      </c>
    </row>
    <row r="17" customFormat="false" ht="15" hidden="false" customHeight="false" outlineLevel="0" collapsed="false">
      <c r="A17" s="57" t="s">
        <v>97</v>
      </c>
      <c r="B17" s="34" t="n">
        <f aca="false">'P&amp;L'!B22</f>
        <v>-229972.181760109</v>
      </c>
      <c r="C17" s="34" t="n">
        <f aca="false">'P&amp;L'!C22</f>
        <v>-5045.9467618408</v>
      </c>
      <c r="D17" s="34" t="n">
        <f aca="false">'P&amp;L'!D22</f>
        <v>36406.4998125715</v>
      </c>
      <c r="E17" s="34" t="n">
        <f aca="false">'P&amp;L'!E22</f>
        <v>45941.7233783774</v>
      </c>
      <c r="F17" s="34" t="n">
        <f aca="false">'P&amp;L'!F22</f>
        <v>55658.6550797285</v>
      </c>
      <c r="H17" s="34" t="n">
        <f aca="false">INDEX(Monthly!$C$47:$BJ$47,($R$2-1)*12+1)</f>
        <v>-31835.1271428571</v>
      </c>
      <c r="I17" s="34" t="n">
        <f aca="false">INDEX(Monthly!$C$47:$BJ$47,($R$2-1)*12+2)</f>
        <v>-29048.5300819048</v>
      </c>
      <c r="J17" s="34" t="n">
        <f aca="false">INDEX(Monthly!$C$47:$BJ$47,($R$2-1)*12+3)</f>
        <v>-26422.8193208</v>
      </c>
      <c r="K17" s="34" t="n">
        <f aca="false">INDEX(Monthly!$C$47:$BJ$47,($R$2-1)*12+4)</f>
        <v>-23953.9369196472</v>
      </c>
      <c r="L17" s="34" t="n">
        <f aca="false">INDEX(Monthly!$C$47:$BJ$47,($R$2-1)*12+5)</f>
        <v>-21632.4731768494</v>
      </c>
      <c r="M17" s="34" t="n">
        <f aca="false">INDEX(Monthly!$C$47:$BJ$47,($R$2-1)*12+6)</f>
        <v>-19449.5829729051</v>
      </c>
      <c r="N17" s="34" t="n">
        <f aca="false">INDEX(Monthly!$C$47:$BJ$47,($R$2-1)*12+7)</f>
        <v>-17396.9518954832</v>
      </c>
      <c r="O17" s="34" t="n">
        <f aca="false">INDEX(Monthly!$C$47:$BJ$47,($R$2-1)*12+8)</f>
        <v>-15466.7643969923</v>
      </c>
      <c r="P17" s="34" t="n">
        <f aca="false">INDEX(Monthly!$C$47:$BJ$47,($R$2-1)*12+9)</f>
        <v>-13651.6738626965</v>
      </c>
      <c r="Q17" s="34" t="n">
        <f aca="false">INDEX(Monthly!$C$47:$BJ$47,($R$2-1)*12+10)</f>
        <v>-11944.7744747443</v>
      </c>
      <c r="R17" s="34" t="n">
        <f aca="false">INDEX(Monthly!$C$47:$BJ$47,($R$2-1)*12+11)</f>
        <v>-10339.5747643549</v>
      </c>
      <c r="S17" s="34" t="n">
        <f aca="false">INDEX(Monthly!$C$47:$BJ$47,($R$2-1)*12+12)</f>
        <v>-8829.97275087452</v>
      </c>
    </row>
    <row r="18" customFormat="false" ht="15" hidden="false" customHeight="false" outlineLevel="0" collapsed="false">
      <c r="A18" s="57" t="s">
        <v>98</v>
      </c>
      <c r="B18" s="34" t="n">
        <f aca="false">'P&amp;L'!B23</f>
        <v>0</v>
      </c>
      <c r="C18" s="34" t="n">
        <f aca="false">'P&amp;L'!C23</f>
        <v>0</v>
      </c>
      <c r="D18" s="34" t="n">
        <f aca="false">'P&amp;L'!D23</f>
        <v>0</v>
      </c>
      <c r="E18" s="34" t="n">
        <f aca="false">'P&amp;L'!E23</f>
        <v>0</v>
      </c>
      <c r="F18" s="34" t="n">
        <f aca="false">'P&amp;L'!F23</f>
        <v>0</v>
      </c>
      <c r="H18" s="34" t="n">
        <f aca="false">INDEX(Monthly!$C$50:$BJ$50,($R$2-1)*12+1)</f>
        <v>-0</v>
      </c>
      <c r="I18" s="34" t="n">
        <f aca="false">INDEX(Monthly!$C$50:$BJ$50,($R$2-1)*12+2)</f>
        <v>-0</v>
      </c>
      <c r="J18" s="34" t="n">
        <f aca="false">INDEX(Monthly!$C$50:$BJ$50,($R$2-1)*12+3)</f>
        <v>-0</v>
      </c>
      <c r="K18" s="34" t="n">
        <f aca="false">INDEX(Monthly!$C$50:$BJ$50,($R$2-1)*12+4)</f>
        <v>-0</v>
      </c>
      <c r="L18" s="34" t="n">
        <f aca="false">INDEX(Monthly!$C$50:$BJ$50,($R$2-1)*12+5)</f>
        <v>-0</v>
      </c>
      <c r="M18" s="34" t="n">
        <f aca="false">INDEX(Monthly!$C$50:$BJ$50,($R$2-1)*12+6)</f>
        <v>-0</v>
      </c>
      <c r="N18" s="34" t="n">
        <f aca="false">INDEX(Monthly!$C$50:$BJ$50,($R$2-1)*12+7)</f>
        <v>-0</v>
      </c>
      <c r="O18" s="34" t="n">
        <f aca="false">INDEX(Monthly!$C$50:$BJ$50,($R$2-1)*12+8)</f>
        <v>-0</v>
      </c>
      <c r="P18" s="34" t="n">
        <f aca="false">INDEX(Monthly!$C$50:$BJ$50,($R$2-1)*12+9)</f>
        <v>-0</v>
      </c>
      <c r="Q18" s="34" t="n">
        <f aca="false">INDEX(Monthly!$C$50:$BJ$50,($R$2-1)*12+10)</f>
        <v>-0</v>
      </c>
      <c r="R18" s="34" t="n">
        <f aca="false">INDEX(Monthly!$C$50:$BJ$50,($R$2-1)*12+11)</f>
        <v>-0</v>
      </c>
      <c r="S18" s="34" t="n">
        <f aca="false">INDEX(Monthly!$C$50:$BJ$50,($R$2-1)*12+12)</f>
        <v>-0</v>
      </c>
    </row>
    <row r="19" customFormat="false" ht="15" hidden="false" customHeight="false" outlineLevel="0" collapsed="false">
      <c r="A19" s="39" t="s">
        <v>46</v>
      </c>
      <c r="B19" s="40" t="n">
        <f aca="false">'P&amp;L'!B24</f>
        <v>-229972.181760109</v>
      </c>
      <c r="C19" s="40" t="n">
        <f aca="false">'P&amp;L'!C24</f>
        <v>-5045.9467618408</v>
      </c>
      <c r="D19" s="40" t="n">
        <f aca="false">'P&amp;L'!D24</f>
        <v>36406.4998125715</v>
      </c>
      <c r="E19" s="40" t="n">
        <f aca="false">'P&amp;L'!E24</f>
        <v>45941.7233783774</v>
      </c>
      <c r="F19" s="40" t="n">
        <f aca="false">'P&amp;L'!F24</f>
        <v>55658.6550797285</v>
      </c>
      <c r="H19" s="40" t="n">
        <f aca="false">INDEX(Monthly!$C$51:$BJ$51,($R$2-1)*12+1)</f>
        <v>-31835.1271428571</v>
      </c>
      <c r="I19" s="40" t="n">
        <f aca="false">INDEX(Monthly!$C$51:$BJ$51,($R$2-1)*12+2)</f>
        <v>-29048.5300819048</v>
      </c>
      <c r="J19" s="40" t="n">
        <f aca="false">INDEX(Monthly!$C$51:$BJ$51,($R$2-1)*12+3)</f>
        <v>-26422.8193208</v>
      </c>
      <c r="K19" s="40" t="n">
        <f aca="false">INDEX(Monthly!$C$51:$BJ$51,($R$2-1)*12+4)</f>
        <v>-23953.9369196472</v>
      </c>
      <c r="L19" s="40" t="n">
        <f aca="false">INDEX(Monthly!$C$51:$BJ$51,($R$2-1)*12+5)</f>
        <v>-21632.4731768494</v>
      </c>
      <c r="M19" s="40" t="n">
        <f aca="false">INDEX(Monthly!$C$51:$BJ$51,($R$2-1)*12+6)</f>
        <v>-19449.5829729051</v>
      </c>
      <c r="N19" s="40" t="n">
        <f aca="false">INDEX(Monthly!$C$51:$BJ$51,($R$2-1)*12+7)</f>
        <v>-17396.9518954832</v>
      </c>
      <c r="O19" s="40" t="n">
        <f aca="false">INDEX(Monthly!$C$51:$BJ$51,($R$2-1)*12+8)</f>
        <v>-15466.7643969923</v>
      </c>
      <c r="P19" s="40" t="n">
        <f aca="false">INDEX(Monthly!$C$51:$BJ$51,($R$2-1)*12+9)</f>
        <v>-13651.6738626965</v>
      </c>
      <c r="Q19" s="40" t="n">
        <f aca="false">INDEX(Monthly!$C$51:$BJ$51,($R$2-1)*12+10)</f>
        <v>-11944.7744747443</v>
      </c>
      <c r="R19" s="40" t="n">
        <f aca="false">INDEX(Monthly!$C$51:$BJ$51,($R$2-1)*12+11)</f>
        <v>-10339.5747643549</v>
      </c>
      <c r="S19" s="40" t="n">
        <f aca="false">INDEX(Monthly!$C$51:$BJ$51,($R$2-1)*12+12)</f>
        <v>-8829.97275087452</v>
      </c>
    </row>
    <row r="20" customFormat="false" ht="15" hidden="false" customHeight="false" outlineLevel="0" collapsed="false">
      <c r="A20" s="37" t="s">
        <v>47</v>
      </c>
      <c r="B20" s="38" t="n">
        <f aca="false">'P&amp;L'!B25</f>
        <v>-0.585058609101463</v>
      </c>
      <c r="C20" s="38" t="n">
        <f aca="false">'P&amp;L'!C25</f>
        <v>-0.00760007416745596</v>
      </c>
      <c r="D20" s="38" t="n">
        <f aca="false">'P&amp;L'!D25</f>
        <v>0.0503799684495309</v>
      </c>
      <c r="E20" s="38" t="n">
        <f aca="false">'P&amp;L'!E25</f>
        <v>0.0617232836032158</v>
      </c>
      <c r="F20" s="38" t="n">
        <f aca="false">'P&amp;L'!F25</f>
        <v>0.0726001006270891</v>
      </c>
      <c r="H20" s="38" t="n">
        <f aca="false">IF(H7=0,0,H19/H7)</f>
        <v>-1.75661464122149</v>
      </c>
      <c r="I20" s="38" t="n">
        <f aca="false">IF(I7=0,0,I19/I7)</f>
        <v>-1.36061187080834</v>
      </c>
      <c r="J20" s="38" t="n">
        <f aca="false">IF(J7=0,0,J19/J7)</f>
        <v>-1.08367434840734</v>
      </c>
      <c r="K20" s="38" t="n">
        <f aca="false">IF(K7=0,0,K19/K7)</f>
        <v>-0.879571288198709</v>
      </c>
      <c r="L20" s="38" t="n">
        <f aca="false">IF(L7=0,0,L19/L7)</f>
        <v>-0.723164687620843</v>
      </c>
      <c r="M20" s="38" t="n">
        <f aca="false">IF(M7=0,0,M19/M7)</f>
        <v>-0.599688860318141</v>
      </c>
      <c r="N20" s="38" t="n">
        <f aca="false">IF(N7=0,0,N19/N7)</f>
        <v>-0.499900764278318</v>
      </c>
      <c r="O20" s="38" t="n">
        <f aca="false">IF(O7=0,0,O19/O7)</f>
        <v>-0.417718658806087</v>
      </c>
      <c r="P20" s="38" t="n">
        <f aca="false">IF(P7=0,0,P19/P7)</f>
        <v>-0.348976901552303</v>
      </c>
      <c r="Q20" s="38" t="n">
        <f aca="false">IF(Q7=0,0,Q19/Q7)</f>
        <v>-0.290726337185661</v>
      </c>
      <c r="R20" s="38" t="n">
        <f aca="false">IF(R7=0,0,R19/R7)</f>
        <v>-0.240820362651076</v>
      </c>
      <c r="S20" s="38" t="n">
        <f aca="false">IF(S7=0,0,S19/S7)</f>
        <v>-0.197659246994391</v>
      </c>
    </row>
    <row r="22" customFormat="false" ht="15.75" hidden="false" customHeight="true" outlineLevel="0" collapsed="false">
      <c r="A22" s="7" t="s">
        <v>99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2"/>
      <c r="B23" s="33" t="n">
        <v>1</v>
      </c>
      <c r="C23" s="33" t="n">
        <v>2</v>
      </c>
      <c r="D23" s="33" t="n">
        <v>3</v>
      </c>
      <c r="E23" s="33" t="n">
        <v>4</v>
      </c>
      <c r="F23" s="33" t="n">
        <v>5</v>
      </c>
      <c r="H23" s="56" t="n">
        <f aca="false">INDEX(Monthly!$C$4:$BJ$4,($R$2-1)*12+1)</f>
        <v>1</v>
      </c>
      <c r="I23" s="56" t="n">
        <f aca="false">INDEX(Monthly!$C$4:$BJ$4,($R$2-1)*12+2)</f>
        <v>2</v>
      </c>
      <c r="J23" s="56" t="n">
        <f aca="false">INDEX(Monthly!$C$4:$BJ$4,($R$2-1)*12+3)</f>
        <v>3</v>
      </c>
      <c r="K23" s="56" t="n">
        <f aca="false">INDEX(Monthly!$C$4:$BJ$4,($R$2-1)*12+4)</f>
        <v>4</v>
      </c>
      <c r="L23" s="56" t="n">
        <f aca="false">INDEX(Monthly!$C$4:$BJ$4,($R$2-1)*12+5)</f>
        <v>5</v>
      </c>
      <c r="M23" s="56" t="n">
        <f aca="false">INDEX(Monthly!$C$4:$BJ$4,($R$2-1)*12+6)</f>
        <v>6</v>
      </c>
      <c r="N23" s="56" t="n">
        <f aca="false">INDEX(Monthly!$C$4:$BJ$4,($R$2-1)*12+7)</f>
        <v>7</v>
      </c>
      <c r="O23" s="56" t="n">
        <f aca="false">INDEX(Monthly!$C$4:$BJ$4,($R$2-1)*12+8)</f>
        <v>8</v>
      </c>
      <c r="P23" s="56" t="n">
        <f aca="false">INDEX(Monthly!$C$4:$BJ$4,($R$2-1)*12+9)</f>
        <v>9</v>
      </c>
      <c r="Q23" s="56" t="n">
        <f aca="false">INDEX(Monthly!$C$4:$BJ$4,($R$2-1)*12+10)</f>
        <v>10</v>
      </c>
      <c r="R23" s="56" t="n">
        <f aca="false">INDEX(Monthly!$C$4:$BJ$4,($R$2-1)*12+11)</f>
        <v>11</v>
      </c>
      <c r="S23" s="56" t="n">
        <f aca="false">INDEX(Monthly!$C$4:$BJ$4,($R$2-1)*12+12)</f>
        <v>12</v>
      </c>
    </row>
    <row r="24" customFormat="false" ht="15" hidden="false" customHeight="false" outlineLevel="0" collapsed="false">
      <c r="A24" s="35" t="s">
        <v>48</v>
      </c>
      <c r="B24" s="36" t="n">
        <f aca="false">'Cash Flow'!B10</f>
        <v>-190250.259354596</v>
      </c>
      <c r="C24" s="36" t="n">
        <f aca="false">'Cash Flow'!C10</f>
        <v>31208.1522612175</v>
      </c>
      <c r="D24" s="36" t="n">
        <f aca="false">'Cash Flow'!D10</f>
        <v>72257.2090268572</v>
      </c>
      <c r="E24" s="36" t="n">
        <f aca="false">'Cash Flow'!E10</f>
        <v>81796.5252976631</v>
      </c>
      <c r="F24" s="36" t="n">
        <f aca="false">'Cash Flow'!F10</f>
        <v>91517.6724851642</v>
      </c>
      <c r="H24" s="36" t="n">
        <f aca="false">INDEX(Monthly!$C$75:$BJ$75,($R$2-1)*12+1)</f>
        <v>-25720.4866666667</v>
      </c>
      <c r="I24" s="36" t="n">
        <f aca="false">INDEX(Monthly!$C$75:$BJ$75,($R$2-1)*12+2)</f>
        <v>-25966.7066057143</v>
      </c>
      <c r="J24" s="36" t="n">
        <f aca="false">INDEX(Monthly!$C$75:$BJ$75,($R$2-1)*12+3)</f>
        <v>-23347.3338246095</v>
      </c>
      <c r="K24" s="36" t="n">
        <f aca="false">INDEX(Monthly!$C$75:$BJ$75,($R$2-1)*12+4)</f>
        <v>-20884.4091246568</v>
      </c>
      <c r="L24" s="36" t="n">
        <f aca="false">INDEX(Monthly!$C$75:$BJ$75,($R$2-1)*12+5)</f>
        <v>-18568.5456209869</v>
      </c>
      <c r="M24" s="36" t="n">
        <f aca="false">INDEX(Monthly!$C$75:$BJ$75,($R$2-1)*12+6)</f>
        <v>-16390.9196418229</v>
      </c>
      <c r="N24" s="36" t="n">
        <f aca="false">INDEX(Monthly!$C$75:$BJ$75,($R$2-1)*12+7)</f>
        <v>-14343.2369356945</v>
      </c>
      <c r="O24" s="36" t="n">
        <f aca="false">INDEX(Monthly!$C$75:$BJ$75,($R$2-1)*12+8)</f>
        <v>-12417.7009062195</v>
      </c>
      <c r="P24" s="36" t="n">
        <f aca="false">INDEX(Monthly!$C$75:$BJ$75,($R$2-1)*12+9)</f>
        <v>-10606.9827527987</v>
      </c>
      <c r="Q24" s="36" t="n">
        <f aca="false">INDEX(Monthly!$C$75:$BJ$75,($R$2-1)*12+10)</f>
        <v>-8904.19340286889</v>
      </c>
      <c r="R24" s="36" t="n">
        <f aca="false">INDEX(Monthly!$C$75:$BJ$75,($R$2-1)*12+11)</f>
        <v>-7302.85712822056</v>
      </c>
      <c r="S24" s="36" t="n">
        <f aca="false">INDEX(Monthly!$C$75:$BJ$75,($R$2-1)*12+12)</f>
        <v>-5796.88674433685</v>
      </c>
    </row>
    <row r="25" customFormat="false" ht="15" hidden="false" customHeight="false" outlineLevel="0" collapsed="false">
      <c r="A25" s="57" t="s">
        <v>100</v>
      </c>
      <c r="B25" s="34" t="n">
        <f aca="false">'Cash Flow'!B11</f>
        <v>-250000</v>
      </c>
      <c r="C25" s="34" t="n">
        <f aca="false">'Cash Flow'!C11</f>
        <v>0</v>
      </c>
      <c r="D25" s="34" t="n">
        <f aca="false">'Cash Flow'!D11</f>
        <v>0</v>
      </c>
      <c r="E25" s="34" t="n">
        <f aca="false">'Cash Flow'!E11</f>
        <v>0</v>
      </c>
      <c r="F25" s="34" t="n">
        <f aca="false">'Cash Flow'!F11</f>
        <v>0</v>
      </c>
      <c r="H25" s="34" t="n">
        <f aca="false">INDEX(Monthly!$C$76:$BJ$76,($R$2-1)*12+1)</f>
        <v>-250000</v>
      </c>
      <c r="I25" s="34" t="n">
        <f aca="false">INDEX(Monthly!$C$76:$BJ$76,($R$2-1)*12+2)</f>
        <v>-0</v>
      </c>
      <c r="J25" s="34" t="n">
        <f aca="false">INDEX(Monthly!$C$76:$BJ$76,($R$2-1)*12+3)</f>
        <v>-0</v>
      </c>
      <c r="K25" s="34" t="n">
        <f aca="false">INDEX(Monthly!$C$76:$BJ$76,($R$2-1)*12+4)</f>
        <v>-0</v>
      </c>
      <c r="L25" s="34" t="n">
        <f aca="false">INDEX(Monthly!$C$76:$BJ$76,($R$2-1)*12+5)</f>
        <v>-0</v>
      </c>
      <c r="M25" s="34" t="n">
        <f aca="false">INDEX(Monthly!$C$76:$BJ$76,($R$2-1)*12+6)</f>
        <v>-0</v>
      </c>
      <c r="N25" s="34" t="n">
        <f aca="false">INDEX(Monthly!$C$76:$BJ$76,($R$2-1)*12+7)</f>
        <v>-0</v>
      </c>
      <c r="O25" s="34" t="n">
        <f aca="false">INDEX(Monthly!$C$76:$BJ$76,($R$2-1)*12+8)</f>
        <v>-0</v>
      </c>
      <c r="P25" s="34" t="n">
        <f aca="false">INDEX(Monthly!$C$76:$BJ$76,($R$2-1)*12+9)</f>
        <v>-0</v>
      </c>
      <c r="Q25" s="34" t="n">
        <f aca="false">INDEX(Monthly!$C$76:$BJ$76,($R$2-1)*12+10)</f>
        <v>-0</v>
      </c>
      <c r="R25" s="34" t="n">
        <f aca="false">INDEX(Monthly!$C$76:$BJ$76,($R$2-1)*12+11)</f>
        <v>-0</v>
      </c>
      <c r="S25" s="34" t="n">
        <f aca="false">INDEX(Monthly!$C$76:$BJ$76,($R$2-1)*12+12)</f>
        <v>-0</v>
      </c>
    </row>
    <row r="26" customFormat="false" ht="15" hidden="false" customHeight="false" outlineLevel="0" collapsed="false">
      <c r="A26" s="57" t="s">
        <v>59</v>
      </c>
      <c r="B26" s="34" t="n">
        <f aca="false">'Cash Flow'!B12</f>
        <v>330000</v>
      </c>
      <c r="C26" s="34" t="n">
        <f aca="false">'Cash Flow'!C12</f>
        <v>0</v>
      </c>
      <c r="D26" s="34" t="n">
        <f aca="false">'Cash Flow'!D12</f>
        <v>0</v>
      </c>
      <c r="E26" s="34" t="n">
        <f aca="false">'Cash Flow'!E12</f>
        <v>0</v>
      </c>
      <c r="F26" s="34" t="n">
        <f aca="false">'Cash Flow'!F12</f>
        <v>0</v>
      </c>
      <c r="H26" s="34" t="n">
        <f aca="false">INDEX(Monthly!$C$77:$BJ$77,($R$2-1)*12+1)</f>
        <v>330000</v>
      </c>
      <c r="I26" s="34" t="n">
        <f aca="false">INDEX(Monthly!$C$77:$BJ$77,($R$2-1)*12+2)</f>
        <v>0</v>
      </c>
      <c r="J26" s="34" t="n">
        <f aca="false">INDEX(Monthly!$C$77:$BJ$77,($R$2-1)*12+3)</f>
        <v>0</v>
      </c>
      <c r="K26" s="34" t="n">
        <f aca="false">INDEX(Monthly!$C$77:$BJ$77,($R$2-1)*12+4)</f>
        <v>0</v>
      </c>
      <c r="L26" s="34" t="n">
        <f aca="false">INDEX(Monthly!$C$77:$BJ$77,($R$2-1)*12+5)</f>
        <v>0</v>
      </c>
      <c r="M26" s="34" t="n">
        <f aca="false">INDEX(Monthly!$C$77:$BJ$77,($R$2-1)*12+6)</f>
        <v>0</v>
      </c>
      <c r="N26" s="34" t="n">
        <f aca="false">INDEX(Monthly!$C$77:$BJ$77,($R$2-1)*12+7)</f>
        <v>0</v>
      </c>
      <c r="O26" s="34" t="n">
        <f aca="false">INDEX(Monthly!$C$77:$BJ$77,($R$2-1)*12+8)</f>
        <v>0</v>
      </c>
      <c r="P26" s="34" t="n">
        <f aca="false">INDEX(Monthly!$C$77:$BJ$77,($R$2-1)*12+9)</f>
        <v>0</v>
      </c>
      <c r="Q26" s="34" t="n">
        <f aca="false">INDEX(Monthly!$C$77:$BJ$77,($R$2-1)*12+10)</f>
        <v>0</v>
      </c>
      <c r="R26" s="34" t="n">
        <f aca="false">INDEX(Monthly!$C$77:$BJ$77,($R$2-1)*12+11)</f>
        <v>0</v>
      </c>
      <c r="S26" s="34" t="n">
        <f aca="false">INDEX(Monthly!$C$77:$BJ$77,($R$2-1)*12+12)</f>
        <v>0</v>
      </c>
    </row>
    <row r="27" customFormat="false" ht="15" hidden="false" customHeight="false" outlineLevel="0" collapsed="false">
      <c r="A27" s="57" t="s">
        <v>101</v>
      </c>
      <c r="B27" s="34" t="n">
        <f aca="false">'Cash Flow'!B13</f>
        <v>150000</v>
      </c>
      <c r="C27" s="34" t="n">
        <f aca="false">'Cash Flow'!C13</f>
        <v>0</v>
      </c>
      <c r="D27" s="34" t="n">
        <f aca="false">'Cash Flow'!D13</f>
        <v>0</v>
      </c>
      <c r="E27" s="34" t="n">
        <f aca="false">'Cash Flow'!E13</f>
        <v>0</v>
      </c>
      <c r="F27" s="34" t="n">
        <f aca="false">'Cash Flow'!F13</f>
        <v>0</v>
      </c>
      <c r="H27" s="34" t="n">
        <f aca="false">INDEX(Monthly!$C$62:$BJ$62,($R$2-1)*12+1)</f>
        <v>150000</v>
      </c>
      <c r="I27" s="34" t="n">
        <f aca="false">INDEX(Monthly!$C$62:$BJ$62,($R$2-1)*12+2)</f>
        <v>0</v>
      </c>
      <c r="J27" s="34" t="n">
        <f aca="false">INDEX(Monthly!$C$62:$BJ$62,($R$2-1)*12+3)</f>
        <v>0</v>
      </c>
      <c r="K27" s="34" t="n">
        <f aca="false">INDEX(Monthly!$C$62:$BJ$62,($R$2-1)*12+4)</f>
        <v>0</v>
      </c>
      <c r="L27" s="34" t="n">
        <f aca="false">INDEX(Monthly!$C$62:$BJ$62,($R$2-1)*12+5)</f>
        <v>0</v>
      </c>
      <c r="M27" s="34" t="n">
        <f aca="false">INDEX(Monthly!$C$62:$BJ$62,($R$2-1)*12+6)</f>
        <v>0</v>
      </c>
      <c r="N27" s="34" t="n">
        <f aca="false">INDEX(Monthly!$C$62:$BJ$62,($R$2-1)*12+7)</f>
        <v>0</v>
      </c>
      <c r="O27" s="34" t="n">
        <f aca="false">INDEX(Monthly!$C$62:$BJ$62,($R$2-1)*12+8)</f>
        <v>0</v>
      </c>
      <c r="P27" s="34" t="n">
        <f aca="false">INDEX(Monthly!$C$62:$BJ$62,($R$2-1)*12+9)</f>
        <v>0</v>
      </c>
      <c r="Q27" s="34" t="n">
        <f aca="false">INDEX(Monthly!$C$62:$BJ$62,($R$2-1)*12+10)</f>
        <v>0</v>
      </c>
      <c r="R27" s="34" t="n">
        <f aca="false">INDEX(Monthly!$C$62:$BJ$62,($R$2-1)*12+11)</f>
        <v>0</v>
      </c>
      <c r="S27" s="34" t="n">
        <f aca="false">INDEX(Monthly!$C$62:$BJ$62,($R$2-1)*12+12)</f>
        <v>0</v>
      </c>
    </row>
    <row r="28" customFormat="false" ht="15" hidden="false" customHeight="false" outlineLevel="0" collapsed="false">
      <c r="A28" s="57" t="s">
        <v>102</v>
      </c>
      <c r="B28" s="34" t="n">
        <f aca="false">'Cash Flow'!B14</f>
        <v>-19642.8571428571</v>
      </c>
      <c r="C28" s="34" t="n">
        <f aca="false">'Cash Flow'!C14</f>
        <v>-21428.5714285714</v>
      </c>
      <c r="D28" s="34" t="n">
        <f aca="false">'Cash Flow'!D14</f>
        <v>-21428.5714285714</v>
      </c>
      <c r="E28" s="34" t="n">
        <f aca="false">'Cash Flow'!E14</f>
        <v>-21428.5714285714</v>
      </c>
      <c r="F28" s="34" t="n">
        <f aca="false">'Cash Flow'!F14</f>
        <v>-21428.5714285714</v>
      </c>
      <c r="H28" s="34" t="n">
        <f aca="false">INDEX(Monthly!$C$63:$BJ$63,($R$2-1)*12+1)</f>
        <v>-0</v>
      </c>
      <c r="I28" s="34" t="n">
        <f aca="false">INDEX(Monthly!$C$63:$BJ$63,($R$2-1)*12+2)</f>
        <v>-1785.71428571429</v>
      </c>
      <c r="J28" s="34" t="n">
        <f aca="false">INDEX(Monthly!$C$63:$BJ$63,($R$2-1)*12+3)</f>
        <v>-1785.71428571429</v>
      </c>
      <c r="K28" s="34" t="n">
        <f aca="false">INDEX(Monthly!$C$63:$BJ$63,($R$2-1)*12+4)</f>
        <v>-1785.71428571429</v>
      </c>
      <c r="L28" s="34" t="n">
        <f aca="false">INDEX(Monthly!$C$63:$BJ$63,($R$2-1)*12+5)</f>
        <v>-1785.71428571429</v>
      </c>
      <c r="M28" s="34" t="n">
        <f aca="false">INDEX(Monthly!$C$63:$BJ$63,($R$2-1)*12+6)</f>
        <v>-1785.71428571429</v>
      </c>
      <c r="N28" s="34" t="n">
        <f aca="false">INDEX(Monthly!$C$63:$BJ$63,($R$2-1)*12+7)</f>
        <v>-1785.71428571429</v>
      </c>
      <c r="O28" s="34" t="n">
        <f aca="false">INDEX(Monthly!$C$63:$BJ$63,($R$2-1)*12+8)</f>
        <v>-1785.71428571429</v>
      </c>
      <c r="P28" s="34" t="n">
        <f aca="false">INDEX(Monthly!$C$63:$BJ$63,($R$2-1)*12+9)</f>
        <v>-1785.71428571429</v>
      </c>
      <c r="Q28" s="34" t="n">
        <f aca="false">INDEX(Monthly!$C$63:$BJ$63,($R$2-1)*12+10)</f>
        <v>-1785.71428571429</v>
      </c>
      <c r="R28" s="34" t="n">
        <f aca="false">INDEX(Monthly!$C$63:$BJ$63,($R$2-1)*12+11)</f>
        <v>-1785.71428571429</v>
      </c>
      <c r="S28" s="34" t="n">
        <f aca="false">INDEX(Monthly!$C$63:$BJ$63,($R$2-1)*12+12)</f>
        <v>-1785.71428571429</v>
      </c>
    </row>
    <row r="29" customFormat="false" ht="15" hidden="false" customHeight="false" outlineLevel="0" collapsed="false">
      <c r="A29" s="35" t="s">
        <v>50</v>
      </c>
      <c r="B29" s="36" t="n">
        <f aca="false">'Cash Flow'!B15</f>
        <v>460357.142857143</v>
      </c>
      <c r="C29" s="36" t="n">
        <f aca="false">'Cash Flow'!C15</f>
        <v>-21428.5714285714</v>
      </c>
      <c r="D29" s="36" t="n">
        <f aca="false">'Cash Flow'!D15</f>
        <v>-21428.5714285714</v>
      </c>
      <c r="E29" s="36" t="n">
        <f aca="false">'Cash Flow'!E15</f>
        <v>-21428.5714285714</v>
      </c>
      <c r="F29" s="36" t="n">
        <f aca="false">'Cash Flow'!F15</f>
        <v>-21428.5714285714</v>
      </c>
      <c r="H29" s="36" t="n">
        <f aca="false">INDEX(Monthly!$C$78:$BJ$78,($R$2-1)*12+1)</f>
        <v>480000</v>
      </c>
      <c r="I29" s="36" t="n">
        <f aca="false">INDEX(Monthly!$C$78:$BJ$78,($R$2-1)*12+2)</f>
        <v>-1785.71428571429</v>
      </c>
      <c r="J29" s="36" t="n">
        <f aca="false">INDEX(Monthly!$C$78:$BJ$78,($R$2-1)*12+3)</f>
        <v>-1785.71428571429</v>
      </c>
      <c r="K29" s="36" t="n">
        <f aca="false">INDEX(Monthly!$C$78:$BJ$78,($R$2-1)*12+4)</f>
        <v>-1785.71428571429</v>
      </c>
      <c r="L29" s="36" t="n">
        <f aca="false">INDEX(Monthly!$C$78:$BJ$78,($R$2-1)*12+5)</f>
        <v>-1785.71428571429</v>
      </c>
      <c r="M29" s="36" t="n">
        <f aca="false">INDEX(Monthly!$C$78:$BJ$78,($R$2-1)*12+6)</f>
        <v>-1785.71428571429</v>
      </c>
      <c r="N29" s="36" t="n">
        <f aca="false">INDEX(Monthly!$C$78:$BJ$78,($R$2-1)*12+7)</f>
        <v>-1785.71428571429</v>
      </c>
      <c r="O29" s="36" t="n">
        <f aca="false">INDEX(Monthly!$C$78:$BJ$78,($R$2-1)*12+8)</f>
        <v>-1785.71428571429</v>
      </c>
      <c r="P29" s="36" t="n">
        <f aca="false">INDEX(Monthly!$C$78:$BJ$78,($R$2-1)*12+9)</f>
        <v>-1785.71428571429</v>
      </c>
      <c r="Q29" s="36" t="n">
        <f aca="false">INDEX(Monthly!$C$78:$BJ$78,($R$2-1)*12+10)</f>
        <v>-1785.71428571429</v>
      </c>
      <c r="R29" s="36" t="n">
        <f aca="false">INDEX(Monthly!$C$78:$BJ$78,($R$2-1)*12+11)</f>
        <v>-1785.71428571429</v>
      </c>
      <c r="S29" s="36" t="n">
        <f aca="false">INDEX(Monthly!$C$78:$BJ$78,($R$2-1)*12+12)</f>
        <v>-1785.71428571429</v>
      </c>
    </row>
    <row r="30" customFormat="false" ht="15" hidden="false" customHeight="false" outlineLevel="0" collapsed="false">
      <c r="A30" s="35" t="s">
        <v>51</v>
      </c>
      <c r="B30" s="36" t="n">
        <f aca="false">'Cash Flow'!B16</f>
        <v>20106.8835025468</v>
      </c>
      <c r="C30" s="36" t="n">
        <f aca="false">'Cash Flow'!C16</f>
        <v>9779.58083264608</v>
      </c>
      <c r="D30" s="36" t="n">
        <f aca="false">'Cash Flow'!D16</f>
        <v>50828.6375982858</v>
      </c>
      <c r="E30" s="36" t="n">
        <f aca="false">'Cash Flow'!E16</f>
        <v>60367.9538690916</v>
      </c>
      <c r="F30" s="36" t="n">
        <f aca="false">'Cash Flow'!F16</f>
        <v>70089.1010565928</v>
      </c>
      <c r="H30" s="36" t="n">
        <f aca="false">INDEX(Monthly!$C$79:$BJ$79,($R$2-1)*12+1)</f>
        <v>204279.513333333</v>
      </c>
      <c r="I30" s="36" t="n">
        <f aca="false">INDEX(Monthly!$C$79:$BJ$79,($R$2-1)*12+2)</f>
        <v>-27752.4208914286</v>
      </c>
      <c r="J30" s="36" t="n">
        <f aca="false">INDEX(Monthly!$C$79:$BJ$79,($R$2-1)*12+3)</f>
        <v>-25133.0481103238</v>
      </c>
      <c r="K30" s="36" t="n">
        <f aca="false">INDEX(Monthly!$C$79:$BJ$79,($R$2-1)*12+4)</f>
        <v>-22670.1234103711</v>
      </c>
      <c r="L30" s="36" t="n">
        <f aca="false">INDEX(Monthly!$C$79:$BJ$79,($R$2-1)*12+5)</f>
        <v>-20354.2599067012</v>
      </c>
      <c r="M30" s="36" t="n">
        <f aca="false">INDEX(Monthly!$C$79:$BJ$79,($R$2-1)*12+6)</f>
        <v>-18176.6339275372</v>
      </c>
      <c r="N30" s="36" t="n">
        <f aca="false">INDEX(Monthly!$C$79:$BJ$79,($R$2-1)*12+7)</f>
        <v>-16128.9512214088</v>
      </c>
      <c r="O30" s="36" t="n">
        <f aca="false">INDEX(Monthly!$C$79:$BJ$79,($R$2-1)*12+8)</f>
        <v>-14203.4151919338</v>
      </c>
      <c r="P30" s="36" t="n">
        <f aca="false">INDEX(Monthly!$C$79:$BJ$79,($R$2-1)*12+9)</f>
        <v>-12392.697038513</v>
      </c>
      <c r="Q30" s="36" t="n">
        <f aca="false">INDEX(Monthly!$C$79:$BJ$79,($R$2-1)*12+10)</f>
        <v>-10689.9076885832</v>
      </c>
      <c r="R30" s="36" t="n">
        <f aca="false">INDEX(Monthly!$C$79:$BJ$79,($R$2-1)*12+11)</f>
        <v>-9088.57141393485</v>
      </c>
      <c r="S30" s="36" t="n">
        <f aca="false">INDEX(Monthly!$C$79:$BJ$79,($R$2-1)*12+12)</f>
        <v>-7582.60103005114</v>
      </c>
    </row>
    <row r="31" customFormat="false" ht="15" hidden="false" customHeight="false" outlineLevel="0" collapsed="false">
      <c r="A31" s="39" t="s">
        <v>103</v>
      </c>
      <c r="B31" s="40" t="n">
        <f aca="false">'Cash Flow'!B18</f>
        <v>20106.8835025468</v>
      </c>
      <c r="C31" s="40" t="n">
        <f aca="false">'Cash Flow'!C18</f>
        <v>29886.4643351928</v>
      </c>
      <c r="D31" s="40" t="n">
        <f aca="false">'Cash Flow'!D18</f>
        <v>80715.1019334786</v>
      </c>
      <c r="E31" s="40" t="n">
        <f aca="false">'Cash Flow'!E18</f>
        <v>141083.05580257</v>
      </c>
      <c r="F31" s="40" t="n">
        <f aca="false">'Cash Flow'!F18</f>
        <v>211172.156859163</v>
      </c>
      <c r="H31" s="40" t="n">
        <f aca="false">INDEX(Monthly!$C$81:$BJ$81,($R$2-1)*12+1)</f>
        <v>204279.513333333</v>
      </c>
      <c r="I31" s="40" t="n">
        <f aca="false">INDEX(Monthly!$C$81:$BJ$81,($R$2-1)*12+2)</f>
        <v>176527.092441905</v>
      </c>
      <c r="J31" s="40" t="n">
        <f aca="false">INDEX(Monthly!$C$81:$BJ$81,($R$2-1)*12+3)</f>
        <v>151394.044331581</v>
      </c>
      <c r="K31" s="40" t="n">
        <f aca="false">INDEX(Monthly!$C$81:$BJ$81,($R$2-1)*12+4)</f>
        <v>128723.92092121</v>
      </c>
      <c r="L31" s="40" t="n">
        <f aca="false">INDEX(Monthly!$C$81:$BJ$81,($R$2-1)*12+5)</f>
        <v>108369.661014509</v>
      </c>
      <c r="M31" s="40" t="n">
        <f aca="false">INDEX(Monthly!$C$81:$BJ$81,($R$2-1)*12+6)</f>
        <v>90193.0270869715</v>
      </c>
      <c r="N31" s="40" t="n">
        <f aca="false">INDEX(Monthly!$C$81:$BJ$81,($R$2-1)*12+7)</f>
        <v>74064.0758655627</v>
      </c>
      <c r="O31" s="40" t="n">
        <f aca="false">INDEX(Monthly!$C$81:$BJ$81,($R$2-1)*12+8)</f>
        <v>59860.6606736289</v>
      </c>
      <c r="P31" s="40" t="n">
        <f aca="false">INDEX(Monthly!$C$81:$BJ$81,($R$2-1)*12+9)</f>
        <v>47467.9636351159</v>
      </c>
      <c r="Q31" s="40" t="n">
        <f aca="false">INDEX(Monthly!$C$81:$BJ$81,($R$2-1)*12+10)</f>
        <v>36778.0559465327</v>
      </c>
      <c r="R31" s="40" t="n">
        <f aca="false">INDEX(Monthly!$C$81:$BJ$81,($R$2-1)*12+11)</f>
        <v>27689.4845325979</v>
      </c>
      <c r="S31" s="40" t="n">
        <f aca="false">INDEX(Monthly!$C$81:$BJ$81,($R$2-1)*12+12)</f>
        <v>20106.8835025468</v>
      </c>
    </row>
    <row r="39" customFormat="false" ht="15.75" hidden="false" customHeight="true" outlineLevel="0" collapsed="false">
      <c r="A39" s="7" t="s">
        <v>104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2"/>
      <c r="B40" s="33" t="n">
        <v>1</v>
      </c>
      <c r="C40" s="33" t="n">
        <v>2</v>
      </c>
      <c r="D40" s="33" t="n">
        <v>3</v>
      </c>
      <c r="E40" s="33" t="n">
        <v>4</v>
      </c>
      <c r="F40" s="33" t="n">
        <v>5</v>
      </c>
      <c r="H40" s="56" t="n">
        <f aca="false">INDEX(Monthly!$C$4:$BJ$4,($R$2-1)*12+1)</f>
        <v>1</v>
      </c>
      <c r="I40" s="56" t="n">
        <f aca="false">INDEX(Monthly!$C$4:$BJ$4,($R$2-1)*12+2)</f>
        <v>2</v>
      </c>
      <c r="J40" s="56" t="n">
        <f aca="false">INDEX(Monthly!$C$4:$BJ$4,($R$2-1)*12+3)</f>
        <v>3</v>
      </c>
      <c r="K40" s="56" t="n">
        <f aca="false">INDEX(Monthly!$C$4:$BJ$4,($R$2-1)*12+4)</f>
        <v>4</v>
      </c>
      <c r="L40" s="56" t="n">
        <f aca="false">INDEX(Monthly!$C$4:$BJ$4,($R$2-1)*12+5)</f>
        <v>5</v>
      </c>
      <c r="M40" s="56" t="n">
        <f aca="false">INDEX(Monthly!$C$4:$BJ$4,($R$2-1)*12+6)</f>
        <v>6</v>
      </c>
      <c r="N40" s="56" t="n">
        <f aca="false">INDEX(Monthly!$C$4:$BJ$4,($R$2-1)*12+7)</f>
        <v>7</v>
      </c>
      <c r="O40" s="56" t="n">
        <f aca="false">INDEX(Monthly!$C$4:$BJ$4,($R$2-1)*12+8)</f>
        <v>8</v>
      </c>
      <c r="P40" s="56" t="n">
        <f aca="false">INDEX(Monthly!$C$4:$BJ$4,($R$2-1)*12+9)</f>
        <v>9</v>
      </c>
      <c r="Q40" s="56" t="n">
        <f aca="false">INDEX(Monthly!$C$4:$BJ$4,($R$2-1)*12+10)</f>
        <v>10</v>
      </c>
      <c r="R40" s="56" t="n">
        <f aca="false">INDEX(Monthly!$C$4:$BJ$4,($R$2-1)*12+11)</f>
        <v>11</v>
      </c>
      <c r="S40" s="56" t="n">
        <f aca="false">INDEX(Monthly!$C$4:$BJ$4,($R$2-1)*12+12)</f>
        <v>12</v>
      </c>
    </row>
    <row r="41" customFormat="false" ht="15" hidden="false" customHeight="false" outlineLevel="0" collapsed="false">
      <c r="A41" s="57" t="s">
        <v>105</v>
      </c>
      <c r="B41" s="34" t="n">
        <f aca="false">'Balance Sheet'!B5</f>
        <v>20106.8835025468</v>
      </c>
      <c r="C41" s="34" t="n">
        <f aca="false">'Balance Sheet'!C5</f>
        <v>29886.4643351928</v>
      </c>
      <c r="D41" s="34" t="n">
        <f aca="false">'Balance Sheet'!D5</f>
        <v>80715.1019334786</v>
      </c>
      <c r="E41" s="34" t="n">
        <f aca="false">'Balance Sheet'!E5</f>
        <v>141083.05580257</v>
      </c>
      <c r="F41" s="34" t="n">
        <f aca="false">'Balance Sheet'!F5</f>
        <v>211172.156859163</v>
      </c>
      <c r="H41" s="34" t="n">
        <f aca="false">INDEX(Monthly!$C$81:$BJ$81,($R$2-1)*12+1)</f>
        <v>204279.513333333</v>
      </c>
      <c r="I41" s="34" t="n">
        <f aca="false">INDEX(Monthly!$C$81:$BJ$81,($R$2-1)*12+2)</f>
        <v>176527.092441905</v>
      </c>
      <c r="J41" s="34" t="n">
        <f aca="false">INDEX(Monthly!$C$81:$BJ$81,($R$2-1)*12+3)</f>
        <v>151394.044331581</v>
      </c>
      <c r="K41" s="34" t="n">
        <f aca="false">INDEX(Monthly!$C$81:$BJ$81,($R$2-1)*12+4)</f>
        <v>128723.92092121</v>
      </c>
      <c r="L41" s="34" t="n">
        <f aca="false">INDEX(Monthly!$C$81:$BJ$81,($R$2-1)*12+5)</f>
        <v>108369.661014509</v>
      </c>
      <c r="M41" s="34" t="n">
        <f aca="false">INDEX(Monthly!$C$81:$BJ$81,($R$2-1)*12+6)</f>
        <v>90193.0270869715</v>
      </c>
      <c r="N41" s="34" t="n">
        <f aca="false">INDEX(Monthly!$C$81:$BJ$81,($R$2-1)*12+7)</f>
        <v>74064.0758655627</v>
      </c>
      <c r="O41" s="34" t="n">
        <f aca="false">INDEX(Monthly!$C$81:$BJ$81,($R$2-1)*12+8)</f>
        <v>59860.6606736289</v>
      </c>
      <c r="P41" s="34" t="n">
        <f aca="false">INDEX(Monthly!$C$81:$BJ$81,($R$2-1)*12+9)</f>
        <v>47467.9636351159</v>
      </c>
      <c r="Q41" s="34" t="n">
        <f aca="false">INDEX(Monthly!$C$81:$BJ$81,($R$2-1)*12+10)</f>
        <v>36778.0559465327</v>
      </c>
      <c r="R41" s="34" t="n">
        <f aca="false">INDEX(Monthly!$C$81:$BJ$81,($R$2-1)*12+11)</f>
        <v>27689.4845325979</v>
      </c>
      <c r="S41" s="34" t="n">
        <f aca="false">INDEX(Monthly!$C$81:$BJ$81,($R$2-1)*12+12)</f>
        <v>20106.8835025468</v>
      </c>
    </row>
    <row r="42" customFormat="false" ht="15" hidden="false" customHeight="false" outlineLevel="0" collapsed="false">
      <c r="A42" s="57" t="s">
        <v>106</v>
      </c>
      <c r="B42" s="34" t="n">
        <f aca="false">'Balance Sheet'!B6</f>
        <v>0</v>
      </c>
      <c r="C42" s="34" t="n">
        <f aca="false">'Balance Sheet'!C6</f>
        <v>0</v>
      </c>
      <c r="D42" s="34" t="n">
        <f aca="false">'Balance Sheet'!D6</f>
        <v>0</v>
      </c>
      <c r="E42" s="34" t="n">
        <f aca="false">'Balance Sheet'!E6</f>
        <v>0</v>
      </c>
      <c r="F42" s="34" t="n">
        <f aca="false">'Balance Sheet'!F6</f>
        <v>0</v>
      </c>
      <c r="H42" s="34" t="n">
        <f aca="false">INDEX(Monthly!$C$67:$BJ$67,($R$2-1)*12+1)</f>
        <v>0</v>
      </c>
      <c r="I42" s="34" t="n">
        <f aca="false">INDEX(Monthly!$C$67:$BJ$67,($R$2-1)*12+2)</f>
        <v>0</v>
      </c>
      <c r="J42" s="34" t="n">
        <f aca="false">INDEX(Monthly!$C$67:$BJ$67,($R$2-1)*12+3)</f>
        <v>0</v>
      </c>
      <c r="K42" s="34" t="n">
        <f aca="false">INDEX(Monthly!$C$67:$BJ$67,($R$2-1)*12+4)</f>
        <v>0</v>
      </c>
      <c r="L42" s="34" t="n">
        <f aca="false">INDEX(Monthly!$C$67:$BJ$67,($R$2-1)*12+5)</f>
        <v>0</v>
      </c>
      <c r="M42" s="34" t="n">
        <f aca="false">INDEX(Monthly!$C$67:$BJ$67,($R$2-1)*12+6)</f>
        <v>0</v>
      </c>
      <c r="N42" s="34" t="n">
        <f aca="false">INDEX(Monthly!$C$67:$BJ$67,($R$2-1)*12+7)</f>
        <v>0</v>
      </c>
      <c r="O42" s="34" t="n">
        <f aca="false">INDEX(Monthly!$C$67:$BJ$67,($R$2-1)*12+8)</f>
        <v>0</v>
      </c>
      <c r="P42" s="34" t="n">
        <f aca="false">INDEX(Monthly!$C$67:$BJ$67,($R$2-1)*12+9)</f>
        <v>0</v>
      </c>
      <c r="Q42" s="34" t="n">
        <f aca="false">INDEX(Monthly!$C$67:$BJ$67,($R$2-1)*12+10)</f>
        <v>0</v>
      </c>
      <c r="R42" s="34" t="n">
        <f aca="false">INDEX(Monthly!$C$67:$BJ$67,($R$2-1)*12+11)</f>
        <v>0</v>
      </c>
      <c r="S42" s="34" t="n">
        <f aca="false">INDEX(Monthly!$C$67:$BJ$67,($R$2-1)*12+12)</f>
        <v>0</v>
      </c>
    </row>
    <row r="43" customFormat="false" ht="15" hidden="false" customHeight="false" outlineLevel="0" collapsed="false">
      <c r="A43" s="57" t="s">
        <v>107</v>
      </c>
      <c r="B43" s="34" t="n">
        <f aca="false">'Balance Sheet'!B7</f>
        <v>4007.63669122741</v>
      </c>
      <c r="C43" s="34" t="n">
        <f aca="false">'Balance Sheet'!C7</f>
        <v>4547.45</v>
      </c>
      <c r="D43" s="34" t="n">
        <f aca="false">'Balance Sheet'!D7</f>
        <v>4683.8735</v>
      </c>
      <c r="E43" s="34" t="n">
        <f aca="false">'Balance Sheet'!E7</f>
        <v>4824.389705</v>
      </c>
      <c r="F43" s="34" t="n">
        <f aca="false">'Balance Sheet'!F7</f>
        <v>4969.12139615</v>
      </c>
      <c r="H43" s="34" t="n">
        <f aca="false">INDEX(Monthly!$C$68:$BJ$68,($R$2-1)*12+1)</f>
        <v>3138.45</v>
      </c>
      <c r="I43" s="34" t="n">
        <f aca="false">INDEX(Monthly!$C$68:$BJ$68,($R$2-1)*12+2)</f>
        <v>3244.083</v>
      </c>
      <c r="J43" s="34" t="n">
        <f aca="false">INDEX(Monthly!$C$68:$BJ$68,($R$2-1)*12+3)</f>
        <v>3343.37802</v>
      </c>
      <c r="K43" s="34" t="n">
        <f aca="false">INDEX(Monthly!$C$68:$BJ$68,($R$2-1)*12+4)</f>
        <v>3436.7153388</v>
      </c>
      <c r="L43" s="34" t="n">
        <f aca="false">INDEX(Monthly!$C$68:$BJ$68,($R$2-1)*12+5)</f>
        <v>3524.452418472</v>
      </c>
      <c r="M43" s="34" t="n">
        <f aca="false">INDEX(Monthly!$C$68:$BJ$68,($R$2-1)*12+6)</f>
        <v>3606.92527336368</v>
      </c>
      <c r="N43" s="34" t="n">
        <f aca="false">INDEX(Monthly!$C$68:$BJ$68,($R$2-1)*12+7)</f>
        <v>3684.44975696186</v>
      </c>
      <c r="O43" s="34" t="n">
        <f aca="false">INDEX(Monthly!$C$68:$BJ$68,($R$2-1)*12+8)</f>
        <v>3757.32277154415</v>
      </c>
      <c r="P43" s="34" t="n">
        <f aca="false">INDEX(Monthly!$C$68:$BJ$68,($R$2-1)*12+9)</f>
        <v>3825.8234052515</v>
      </c>
      <c r="Q43" s="34" t="n">
        <f aca="false">INDEX(Monthly!$C$68:$BJ$68,($R$2-1)*12+10)</f>
        <v>3890.21400093641</v>
      </c>
      <c r="R43" s="34" t="n">
        <f aca="false">INDEX(Monthly!$C$68:$BJ$68,($R$2-1)*12+11)</f>
        <v>3950.74116088022</v>
      </c>
      <c r="S43" s="34" t="n">
        <f aca="false">INDEX(Monthly!$C$68:$BJ$68,($R$2-1)*12+12)</f>
        <v>4007.63669122741</v>
      </c>
    </row>
    <row r="44" customFormat="false" ht="15" hidden="false" customHeight="false" outlineLevel="0" collapsed="false">
      <c r="A44" s="57" t="s">
        <v>108</v>
      </c>
      <c r="B44" s="34" t="n">
        <f aca="false">'Balance Sheet'!B8</f>
        <v>214285.714285714</v>
      </c>
      <c r="C44" s="34" t="n">
        <f aca="false">'Balance Sheet'!C8</f>
        <v>178571.428571429</v>
      </c>
      <c r="D44" s="34" t="n">
        <f aca="false">'Balance Sheet'!D8</f>
        <v>142857.142857143</v>
      </c>
      <c r="E44" s="34" t="n">
        <f aca="false">'Balance Sheet'!E8</f>
        <v>107142.857142857</v>
      </c>
      <c r="F44" s="34" t="n">
        <f aca="false">'Balance Sheet'!F8</f>
        <v>71428.5714285715</v>
      </c>
      <c r="H44" s="34" t="n">
        <f aca="false">INDEX(Monthly!$C$58:$BJ$58,($R$2-1)*12+1)</f>
        <v>247023.80952381</v>
      </c>
      <c r="I44" s="34" t="n">
        <f aca="false">INDEX(Monthly!$C$58:$BJ$58,($R$2-1)*12+2)</f>
        <v>244047.619047619</v>
      </c>
      <c r="J44" s="34" t="n">
        <f aca="false">INDEX(Monthly!$C$58:$BJ$58,($R$2-1)*12+3)</f>
        <v>241071.428571429</v>
      </c>
      <c r="K44" s="34" t="n">
        <f aca="false">INDEX(Monthly!$C$58:$BJ$58,($R$2-1)*12+4)</f>
        <v>238095.238095238</v>
      </c>
      <c r="L44" s="34" t="n">
        <f aca="false">INDEX(Monthly!$C$58:$BJ$58,($R$2-1)*12+5)</f>
        <v>235119.047619048</v>
      </c>
      <c r="M44" s="34" t="n">
        <f aca="false">INDEX(Monthly!$C$58:$BJ$58,($R$2-1)*12+6)</f>
        <v>232142.857142857</v>
      </c>
      <c r="N44" s="34" t="n">
        <f aca="false">INDEX(Monthly!$C$58:$BJ$58,($R$2-1)*12+7)</f>
        <v>229166.666666667</v>
      </c>
      <c r="O44" s="34" t="n">
        <f aca="false">INDEX(Monthly!$C$58:$BJ$58,($R$2-1)*12+8)</f>
        <v>226190.476190476</v>
      </c>
      <c r="P44" s="34" t="n">
        <f aca="false">INDEX(Monthly!$C$58:$BJ$58,($R$2-1)*12+9)</f>
        <v>223214.285714286</v>
      </c>
      <c r="Q44" s="34" t="n">
        <f aca="false">INDEX(Monthly!$C$58:$BJ$58,($R$2-1)*12+10)</f>
        <v>220238.095238095</v>
      </c>
      <c r="R44" s="34" t="n">
        <f aca="false">INDEX(Monthly!$C$58:$BJ$58,($R$2-1)*12+11)</f>
        <v>217261.904761905</v>
      </c>
      <c r="S44" s="34" t="n">
        <f aca="false">INDEX(Monthly!$C$58:$BJ$58,($R$2-1)*12+12)</f>
        <v>214285.714285714</v>
      </c>
    </row>
    <row r="45" customFormat="false" ht="15" hidden="false" customHeight="false" outlineLevel="0" collapsed="false">
      <c r="A45" s="35" t="s">
        <v>109</v>
      </c>
      <c r="B45" s="36" t="n">
        <f aca="false">'Balance Sheet'!B9</f>
        <v>238400.234479488</v>
      </c>
      <c r="C45" s="36" t="n">
        <f aca="false">'Balance Sheet'!C9</f>
        <v>213005.342906621</v>
      </c>
      <c r="D45" s="36" t="n">
        <f aca="false">'Balance Sheet'!D9</f>
        <v>228256.118290622</v>
      </c>
      <c r="E45" s="36" t="n">
        <f aca="false">'Balance Sheet'!E9</f>
        <v>253050.302650427</v>
      </c>
      <c r="F45" s="36" t="n">
        <f aca="false">'Balance Sheet'!F9</f>
        <v>287569.849683885</v>
      </c>
      <c r="H45" s="36" t="n">
        <f aca="false">INDEX(Monthly!$C$95:$BJ$95,($R$2-1)*12+1)</f>
        <v>454441.772857143</v>
      </c>
      <c r="I45" s="36" t="n">
        <f aca="false">INDEX(Monthly!$C$95:$BJ$95,($R$2-1)*12+2)</f>
        <v>423818.794489524</v>
      </c>
      <c r="J45" s="36" t="n">
        <f aca="false">INDEX(Monthly!$C$95:$BJ$95,($R$2-1)*12+3)</f>
        <v>395808.85092301</v>
      </c>
      <c r="K45" s="36" t="n">
        <f aca="false">INDEX(Monthly!$C$95:$BJ$95,($R$2-1)*12+4)</f>
        <v>370255.874355248</v>
      </c>
      <c r="L45" s="36" t="n">
        <f aca="false">INDEX(Monthly!$C$95:$BJ$95,($R$2-1)*12+5)</f>
        <v>347013.161052028</v>
      </c>
      <c r="M45" s="36" t="n">
        <f aca="false">INDEX(Monthly!$C$95:$BJ$95,($R$2-1)*12+6)</f>
        <v>325942.809503192</v>
      </c>
      <c r="N45" s="36" t="n">
        <f aca="false">INDEX(Monthly!$C$95:$BJ$95,($R$2-1)*12+7)</f>
        <v>306915.192289191</v>
      </c>
      <c r="O45" s="36" t="n">
        <f aca="false">INDEX(Monthly!$C$95:$BJ$95,($R$2-1)*12+8)</f>
        <v>289808.459635649</v>
      </c>
      <c r="P45" s="36" t="n">
        <f aca="false">INDEX(Monthly!$C$95:$BJ$95,($R$2-1)*12+9)</f>
        <v>274508.072754653</v>
      </c>
      <c r="Q45" s="36" t="n">
        <f aca="false">INDEX(Monthly!$C$95:$BJ$95,($R$2-1)*12+10)</f>
        <v>260906.365185564</v>
      </c>
      <c r="R45" s="36" t="n">
        <f aca="false">INDEX(Monthly!$C$95:$BJ$95,($R$2-1)*12+11)</f>
        <v>248902.130455383</v>
      </c>
      <c r="S45" s="36" t="n">
        <f aca="false">INDEX(Monthly!$C$95:$BJ$95,($R$2-1)*12+12)</f>
        <v>238400.234479488</v>
      </c>
    </row>
    <row r="46" customFormat="false" ht="15" hidden="false" customHeight="false" outlineLevel="0" collapsed="false">
      <c r="A46" s="57" t="s">
        <v>110</v>
      </c>
      <c r="B46" s="34" t="n">
        <f aca="false">'Balance Sheet'!B10</f>
        <v>8015.27338245482</v>
      </c>
      <c r="C46" s="34" t="n">
        <f aca="false">'Balance Sheet'!C10</f>
        <v>9094.9</v>
      </c>
      <c r="D46" s="34" t="n">
        <f aca="false">'Balance Sheet'!D10</f>
        <v>9367.747</v>
      </c>
      <c r="E46" s="34" t="n">
        <f aca="false">'Balance Sheet'!E10</f>
        <v>9648.77941</v>
      </c>
      <c r="F46" s="34" t="n">
        <f aca="false">'Balance Sheet'!F10</f>
        <v>9938.2427923</v>
      </c>
      <c r="H46" s="34" t="n">
        <f aca="false">INDEX(Monthly!$C$69:$BJ$69,($R$2-1)*12+1)</f>
        <v>6276.9</v>
      </c>
      <c r="I46" s="34" t="n">
        <f aca="false">INDEX(Monthly!$C$69:$BJ$69,($R$2-1)*12+2)</f>
        <v>6488.166</v>
      </c>
      <c r="J46" s="34" t="n">
        <f aca="false">INDEX(Monthly!$C$69:$BJ$69,($R$2-1)*12+3)</f>
        <v>6686.75604</v>
      </c>
      <c r="K46" s="34" t="n">
        <f aca="false">INDEX(Monthly!$C$69:$BJ$69,($R$2-1)*12+4)</f>
        <v>6873.4306776</v>
      </c>
      <c r="L46" s="34" t="n">
        <f aca="false">INDEX(Monthly!$C$69:$BJ$69,($R$2-1)*12+5)</f>
        <v>7048.904836944</v>
      </c>
      <c r="M46" s="34" t="n">
        <f aca="false">INDEX(Monthly!$C$69:$BJ$69,($R$2-1)*12+6)</f>
        <v>7213.85054672736</v>
      </c>
      <c r="N46" s="34" t="n">
        <f aca="false">INDEX(Monthly!$C$69:$BJ$69,($R$2-1)*12+7)</f>
        <v>7368.89951392372</v>
      </c>
      <c r="O46" s="34" t="n">
        <f aca="false">INDEX(Monthly!$C$69:$BJ$69,($R$2-1)*12+8)</f>
        <v>7514.64554308829</v>
      </c>
      <c r="P46" s="34" t="n">
        <f aca="false">INDEX(Monthly!$C$69:$BJ$69,($R$2-1)*12+9)</f>
        <v>7651.646810503</v>
      </c>
      <c r="Q46" s="34" t="n">
        <f aca="false">INDEX(Monthly!$C$69:$BJ$69,($R$2-1)*12+10)</f>
        <v>7780.42800187282</v>
      </c>
      <c r="R46" s="34" t="n">
        <f aca="false">INDEX(Monthly!$C$69:$BJ$69,($R$2-1)*12+11)</f>
        <v>7901.48232176045</v>
      </c>
      <c r="S46" s="34" t="n">
        <f aca="false">INDEX(Monthly!$C$69:$BJ$69,($R$2-1)*12+12)</f>
        <v>8015.27338245482</v>
      </c>
    </row>
    <row r="47" customFormat="false" ht="15" hidden="false" customHeight="false" outlineLevel="0" collapsed="false">
      <c r="A47" s="57" t="s">
        <v>111</v>
      </c>
      <c r="B47" s="34" t="n">
        <f aca="false">'Balance Sheet'!B11</f>
        <v>130357.142857143</v>
      </c>
      <c r="C47" s="34" t="n">
        <f aca="false">'Balance Sheet'!C11</f>
        <v>108928.571428571</v>
      </c>
      <c r="D47" s="34" t="n">
        <f aca="false">'Balance Sheet'!D11</f>
        <v>87499.9999999999</v>
      </c>
      <c r="E47" s="34" t="n">
        <f aca="false">'Balance Sheet'!E11</f>
        <v>66071.4285714284</v>
      </c>
      <c r="F47" s="34" t="n">
        <f aca="false">'Balance Sheet'!F11</f>
        <v>44642.857142857</v>
      </c>
      <c r="H47" s="34" t="n">
        <f aca="false">INDEX(Monthly!$C$64:$BJ$64,($R$2-1)*12+1)</f>
        <v>150000</v>
      </c>
      <c r="I47" s="34" t="n">
        <f aca="false">INDEX(Monthly!$C$64:$BJ$64,($R$2-1)*12+2)</f>
        <v>148214.285714286</v>
      </c>
      <c r="J47" s="34" t="n">
        <f aca="false">INDEX(Monthly!$C$64:$BJ$64,($R$2-1)*12+3)</f>
        <v>146428.571428571</v>
      </c>
      <c r="K47" s="34" t="n">
        <f aca="false">INDEX(Monthly!$C$64:$BJ$64,($R$2-1)*12+4)</f>
        <v>144642.857142857</v>
      </c>
      <c r="L47" s="34" t="n">
        <f aca="false">INDEX(Monthly!$C$64:$BJ$64,($R$2-1)*12+5)</f>
        <v>142857.142857143</v>
      </c>
      <c r="M47" s="34" t="n">
        <f aca="false">INDEX(Monthly!$C$64:$BJ$64,($R$2-1)*12+6)</f>
        <v>141071.428571429</v>
      </c>
      <c r="N47" s="34" t="n">
        <f aca="false">INDEX(Monthly!$C$64:$BJ$64,($R$2-1)*12+7)</f>
        <v>139285.714285714</v>
      </c>
      <c r="O47" s="34" t="n">
        <f aca="false">INDEX(Monthly!$C$64:$BJ$64,($R$2-1)*12+8)</f>
        <v>137500</v>
      </c>
      <c r="P47" s="34" t="n">
        <f aca="false">INDEX(Monthly!$C$64:$BJ$64,($R$2-1)*12+9)</f>
        <v>135714.285714286</v>
      </c>
      <c r="Q47" s="34" t="n">
        <f aca="false">INDEX(Monthly!$C$64:$BJ$64,($R$2-1)*12+10)</f>
        <v>133928.571428571</v>
      </c>
      <c r="R47" s="34" t="n">
        <f aca="false">INDEX(Monthly!$C$64:$BJ$64,($R$2-1)*12+11)</f>
        <v>132142.857142857</v>
      </c>
      <c r="S47" s="34" t="n">
        <f aca="false">INDEX(Monthly!$C$64:$BJ$64,($R$2-1)*12+12)</f>
        <v>130357.142857143</v>
      </c>
    </row>
    <row r="48" customFormat="false" ht="15" hidden="false" customHeight="false" outlineLevel="0" collapsed="false">
      <c r="A48" s="35" t="s">
        <v>112</v>
      </c>
      <c r="B48" s="36" t="n">
        <f aca="false">'Balance Sheet'!B12</f>
        <v>138372.416239598</v>
      </c>
      <c r="C48" s="36" t="n">
        <f aca="false">'Balance Sheet'!C12</f>
        <v>118023.471428571</v>
      </c>
      <c r="D48" s="36" t="n">
        <f aca="false">'Balance Sheet'!D12</f>
        <v>96867.7469999999</v>
      </c>
      <c r="E48" s="36" t="n">
        <f aca="false">'Balance Sheet'!E12</f>
        <v>75720.2079814284</v>
      </c>
      <c r="F48" s="36" t="n">
        <f aca="false">'Balance Sheet'!F12</f>
        <v>54581.099935157</v>
      </c>
      <c r="H48" s="36" t="n">
        <f aca="false">INDEX(Monthly!$C$96:$BJ$96,($R$2-1)*12+1)</f>
        <v>156276.9</v>
      </c>
      <c r="I48" s="36" t="n">
        <f aca="false">INDEX(Monthly!$C$96:$BJ$96,($R$2-1)*12+2)</f>
        <v>154702.451714286</v>
      </c>
      <c r="J48" s="36" t="n">
        <f aca="false">INDEX(Monthly!$C$96:$BJ$96,($R$2-1)*12+3)</f>
        <v>153115.327468571</v>
      </c>
      <c r="K48" s="36" t="n">
        <f aca="false">INDEX(Monthly!$C$96:$BJ$96,($R$2-1)*12+4)</f>
        <v>151516.287820457</v>
      </c>
      <c r="L48" s="36" t="n">
        <f aca="false">INDEX(Monthly!$C$96:$BJ$96,($R$2-1)*12+5)</f>
        <v>149906.047694087</v>
      </c>
      <c r="M48" s="36" t="n">
        <f aca="false">INDEX(Monthly!$C$96:$BJ$96,($R$2-1)*12+6)</f>
        <v>148285.279118156</v>
      </c>
      <c r="N48" s="36" t="n">
        <f aca="false">INDEX(Monthly!$C$96:$BJ$96,($R$2-1)*12+7)</f>
        <v>146654.613799638</v>
      </c>
      <c r="O48" s="36" t="n">
        <f aca="false">INDEX(Monthly!$C$96:$BJ$96,($R$2-1)*12+8)</f>
        <v>145014.645543088</v>
      </c>
      <c r="P48" s="36" t="n">
        <f aca="false">INDEX(Monthly!$C$96:$BJ$96,($R$2-1)*12+9)</f>
        <v>143365.932524789</v>
      </c>
      <c r="Q48" s="36" t="n">
        <f aca="false">INDEX(Monthly!$C$96:$BJ$96,($R$2-1)*12+10)</f>
        <v>141708.999430444</v>
      </c>
      <c r="R48" s="36" t="n">
        <f aca="false">INDEX(Monthly!$C$96:$BJ$96,($R$2-1)*12+11)</f>
        <v>140044.339464618</v>
      </c>
      <c r="S48" s="36" t="n">
        <f aca="false">INDEX(Monthly!$C$96:$BJ$96,($R$2-1)*12+12)</f>
        <v>138372.416239598</v>
      </c>
    </row>
    <row r="49" customFormat="false" ht="15" hidden="false" customHeight="false" outlineLevel="0" collapsed="false">
      <c r="A49" s="57" t="s">
        <v>113</v>
      </c>
      <c r="B49" s="34" t="n">
        <f aca="false">'Balance Sheet'!B13</f>
        <v>330000</v>
      </c>
      <c r="C49" s="34" t="n">
        <f aca="false">'Balance Sheet'!C13</f>
        <v>330000</v>
      </c>
      <c r="D49" s="34" t="n">
        <f aca="false">'Balance Sheet'!D13</f>
        <v>330000</v>
      </c>
      <c r="E49" s="34" t="n">
        <f aca="false">'Balance Sheet'!E13</f>
        <v>330000</v>
      </c>
      <c r="F49" s="34" t="n">
        <f aca="false">'Balance Sheet'!F13</f>
        <v>330000</v>
      </c>
      <c r="H49" s="34" t="n">
        <f aca="false">INDEX(Monthly!$C$93:$BJ$93,($R$2-1)*12+1)</f>
        <v>330000</v>
      </c>
      <c r="I49" s="34" t="n">
        <f aca="false">INDEX(Monthly!$C$93:$BJ$93,($R$2-1)*12+2)</f>
        <v>330000</v>
      </c>
      <c r="J49" s="34" t="n">
        <f aca="false">INDEX(Monthly!$C$93:$BJ$93,($R$2-1)*12+3)</f>
        <v>330000</v>
      </c>
      <c r="K49" s="34" t="n">
        <f aca="false">INDEX(Monthly!$C$93:$BJ$93,($R$2-1)*12+4)</f>
        <v>330000</v>
      </c>
      <c r="L49" s="34" t="n">
        <f aca="false">INDEX(Monthly!$C$93:$BJ$93,($R$2-1)*12+5)</f>
        <v>330000</v>
      </c>
      <c r="M49" s="34" t="n">
        <f aca="false">INDEX(Monthly!$C$93:$BJ$93,($R$2-1)*12+6)</f>
        <v>330000</v>
      </c>
      <c r="N49" s="34" t="n">
        <f aca="false">INDEX(Monthly!$C$93:$BJ$93,($R$2-1)*12+7)</f>
        <v>330000</v>
      </c>
      <c r="O49" s="34" t="n">
        <f aca="false">INDEX(Monthly!$C$93:$BJ$93,($R$2-1)*12+8)</f>
        <v>330000</v>
      </c>
      <c r="P49" s="34" t="n">
        <f aca="false">INDEX(Monthly!$C$93:$BJ$93,($R$2-1)*12+9)</f>
        <v>330000</v>
      </c>
      <c r="Q49" s="34" t="n">
        <f aca="false">INDEX(Monthly!$C$93:$BJ$93,($R$2-1)*12+10)</f>
        <v>330000</v>
      </c>
      <c r="R49" s="34" t="n">
        <f aca="false">INDEX(Monthly!$C$93:$BJ$93,($R$2-1)*12+11)</f>
        <v>330000</v>
      </c>
      <c r="S49" s="34" t="n">
        <f aca="false">INDEX(Monthly!$C$93:$BJ$93,($R$2-1)*12+12)</f>
        <v>330000</v>
      </c>
    </row>
    <row r="50" customFormat="false" ht="15" hidden="false" customHeight="false" outlineLevel="0" collapsed="false">
      <c r="A50" s="57" t="s">
        <v>114</v>
      </c>
      <c r="B50" s="34" t="n">
        <f aca="false">'Balance Sheet'!B14</f>
        <v>-229972.181760109</v>
      </c>
      <c r="C50" s="34" t="n">
        <f aca="false">'Balance Sheet'!C14</f>
        <v>-235018.12852195</v>
      </c>
      <c r="D50" s="34" t="n">
        <f aca="false">'Balance Sheet'!D14</f>
        <v>-198611.628709379</v>
      </c>
      <c r="E50" s="34" t="n">
        <f aca="false">'Balance Sheet'!E14</f>
        <v>-152669.905331001</v>
      </c>
      <c r="F50" s="34" t="n">
        <f aca="false">'Balance Sheet'!F14</f>
        <v>-97011.2502512727</v>
      </c>
      <c r="H50" s="34" t="n">
        <f aca="false">INDEX(Monthly!$C$94:$BJ$94,($R$2-1)*12+1)</f>
        <v>-31835.1271428571</v>
      </c>
      <c r="I50" s="34" t="n">
        <f aca="false">INDEX(Monthly!$C$94:$BJ$94,($R$2-1)*12+2)</f>
        <v>-60883.6572247619</v>
      </c>
      <c r="J50" s="34" t="n">
        <f aca="false">INDEX(Monthly!$C$94:$BJ$94,($R$2-1)*12+3)</f>
        <v>-87306.4765455619</v>
      </c>
      <c r="K50" s="34" t="n">
        <f aca="false">INDEX(Monthly!$C$94:$BJ$94,($R$2-1)*12+4)</f>
        <v>-111260.413465209</v>
      </c>
      <c r="L50" s="34" t="n">
        <f aca="false">INDEX(Monthly!$C$94:$BJ$94,($R$2-1)*12+5)</f>
        <v>-132892.886642059</v>
      </c>
      <c r="M50" s="34" t="n">
        <f aca="false">INDEX(Monthly!$C$94:$BJ$94,($R$2-1)*12+6)</f>
        <v>-152342.469614964</v>
      </c>
      <c r="N50" s="34" t="n">
        <f aca="false">INDEX(Monthly!$C$94:$BJ$94,($R$2-1)*12+7)</f>
        <v>-169739.421510447</v>
      </c>
      <c r="O50" s="34" t="n">
        <f aca="false">INDEX(Monthly!$C$94:$BJ$94,($R$2-1)*12+8)</f>
        <v>-185206.185907439</v>
      </c>
      <c r="P50" s="34" t="n">
        <f aca="false">INDEX(Monthly!$C$94:$BJ$94,($R$2-1)*12+9)</f>
        <v>-198857.859770136</v>
      </c>
      <c r="Q50" s="34" t="n">
        <f aca="false">INDEX(Monthly!$C$94:$BJ$94,($R$2-1)*12+10)</f>
        <v>-210802.63424488</v>
      </c>
      <c r="R50" s="34" t="n">
        <f aca="false">INDEX(Monthly!$C$94:$BJ$94,($R$2-1)*12+11)</f>
        <v>-221142.209009235</v>
      </c>
      <c r="S50" s="34" t="n">
        <f aca="false">INDEX(Monthly!$C$94:$BJ$94,($R$2-1)*12+12)</f>
        <v>-229972.181760109</v>
      </c>
    </row>
    <row r="51" customFormat="false" ht="15" hidden="false" customHeight="false" outlineLevel="0" collapsed="false">
      <c r="A51" s="35" t="s">
        <v>115</v>
      </c>
      <c r="B51" s="36" t="n">
        <f aca="false">'Balance Sheet'!B15</f>
        <v>100027.818239891</v>
      </c>
      <c r="C51" s="36" t="n">
        <f aca="false">'Balance Sheet'!C15</f>
        <v>94981.87147805</v>
      </c>
      <c r="D51" s="36" t="n">
        <f aca="false">'Balance Sheet'!D15</f>
        <v>131388.371290621</v>
      </c>
      <c r="E51" s="36" t="n">
        <f aca="false">'Balance Sheet'!E15</f>
        <v>177330.094668999</v>
      </c>
      <c r="F51" s="36" t="n">
        <f aca="false">'Balance Sheet'!F15</f>
        <v>232988.749748727</v>
      </c>
      <c r="H51" s="36" t="n">
        <f aca="false">INDEX(Monthly!$C$97:$BJ$97,($R$2-1)*12+1)</f>
        <v>298164.872857143</v>
      </c>
      <c r="I51" s="36" t="n">
        <f aca="false">INDEX(Monthly!$C$97:$BJ$97,($R$2-1)*12+2)</f>
        <v>269116.342775238</v>
      </c>
      <c r="J51" s="36" t="n">
        <f aca="false">INDEX(Monthly!$C$97:$BJ$97,($R$2-1)*12+3)</f>
        <v>242693.523454438</v>
      </c>
      <c r="K51" s="36" t="n">
        <f aca="false">INDEX(Monthly!$C$97:$BJ$97,($R$2-1)*12+4)</f>
        <v>218739.586534791</v>
      </c>
      <c r="L51" s="36" t="n">
        <f aca="false">INDEX(Monthly!$C$97:$BJ$97,($R$2-1)*12+5)</f>
        <v>197107.113357941</v>
      </c>
      <c r="M51" s="36" t="n">
        <f aca="false">INDEX(Monthly!$C$97:$BJ$97,($R$2-1)*12+6)</f>
        <v>177657.530385036</v>
      </c>
      <c r="N51" s="36" t="n">
        <f aca="false">INDEX(Monthly!$C$97:$BJ$97,($R$2-1)*12+7)</f>
        <v>160260.578489553</v>
      </c>
      <c r="O51" s="36" t="n">
        <f aca="false">INDEX(Monthly!$C$97:$BJ$97,($R$2-1)*12+8)</f>
        <v>144793.814092561</v>
      </c>
      <c r="P51" s="36" t="n">
        <f aca="false">INDEX(Monthly!$C$97:$BJ$97,($R$2-1)*12+9)</f>
        <v>131142.140229864</v>
      </c>
      <c r="Q51" s="36" t="n">
        <f aca="false">INDEX(Monthly!$C$97:$BJ$97,($R$2-1)*12+10)</f>
        <v>119197.36575512</v>
      </c>
      <c r="R51" s="36" t="n">
        <f aca="false">INDEX(Monthly!$C$97:$BJ$97,($R$2-1)*12+11)</f>
        <v>108857.790990765</v>
      </c>
      <c r="S51" s="36" t="n">
        <f aca="false">INDEX(Monthly!$C$97:$BJ$97,($R$2-1)*12+12)</f>
        <v>100027.818239891</v>
      </c>
    </row>
    <row r="52" customFormat="false" ht="15" hidden="false" customHeight="false" outlineLevel="0" collapsed="false">
      <c r="A52" s="39" t="s">
        <v>116</v>
      </c>
      <c r="B52" s="40" t="n">
        <f aca="false">'Balance Sheet'!B16</f>
        <v>238400.234479488</v>
      </c>
      <c r="C52" s="40" t="n">
        <f aca="false">'Balance Sheet'!C16</f>
        <v>213005.342906621</v>
      </c>
      <c r="D52" s="40" t="n">
        <f aca="false">'Balance Sheet'!D16</f>
        <v>228256.118290621</v>
      </c>
      <c r="E52" s="40" t="n">
        <f aca="false">'Balance Sheet'!E16</f>
        <v>253050.302650427</v>
      </c>
      <c r="F52" s="40" t="n">
        <f aca="false">'Balance Sheet'!F16</f>
        <v>287569.849683884</v>
      </c>
      <c r="H52" s="40" t="n">
        <f aca="false">INDEX(Monthly!$C$98:$BJ$98,($R$2-1)*12+1)</f>
        <v>454441.772857143</v>
      </c>
      <c r="I52" s="40" t="n">
        <f aca="false">INDEX(Monthly!$C$98:$BJ$98,($R$2-1)*12+2)</f>
        <v>423818.794489524</v>
      </c>
      <c r="J52" s="40" t="n">
        <f aca="false">INDEX(Monthly!$C$98:$BJ$98,($R$2-1)*12+3)</f>
        <v>395808.85092301</v>
      </c>
      <c r="K52" s="40" t="n">
        <f aca="false">INDEX(Monthly!$C$98:$BJ$98,($R$2-1)*12+4)</f>
        <v>370255.874355248</v>
      </c>
      <c r="L52" s="40" t="n">
        <f aca="false">INDEX(Monthly!$C$98:$BJ$98,($R$2-1)*12+5)</f>
        <v>347013.161052028</v>
      </c>
      <c r="M52" s="40" t="n">
        <f aca="false">INDEX(Monthly!$C$98:$BJ$98,($R$2-1)*12+6)</f>
        <v>325942.809503192</v>
      </c>
      <c r="N52" s="40" t="n">
        <f aca="false">INDEX(Monthly!$C$98:$BJ$98,($R$2-1)*12+7)</f>
        <v>306915.192289191</v>
      </c>
      <c r="O52" s="40" t="n">
        <f aca="false">INDEX(Monthly!$C$98:$BJ$98,($R$2-1)*12+8)</f>
        <v>289808.459635649</v>
      </c>
      <c r="P52" s="40" t="n">
        <f aca="false">INDEX(Monthly!$C$98:$BJ$98,($R$2-1)*12+9)</f>
        <v>274508.072754653</v>
      </c>
      <c r="Q52" s="40" t="n">
        <f aca="false">INDEX(Monthly!$C$98:$BJ$98,($R$2-1)*12+10)</f>
        <v>260906.365185564</v>
      </c>
      <c r="R52" s="40" t="n">
        <f aca="false">INDEX(Monthly!$C$98:$BJ$98,($R$2-1)*12+11)</f>
        <v>248902.130455383</v>
      </c>
      <c r="S52" s="40" t="n">
        <f aca="false">INDEX(Monthly!$C$98:$BJ$98,($R$2-1)*12+12)</f>
        <v>238400.234479488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117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118</v>
      </c>
    </row>
    <row r="3" customFormat="false" ht="15" hidden="false" customHeight="false" outlineLevel="0" collapsed="false">
      <c r="A3" s="4" t="s">
        <v>119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120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121</v>
      </c>
      <c r="B6" s="58" t="n">
        <f aca="false">MATCH(MIN(Monthly!$C$81:$BJ$81),Monthly!$C$81:$BJ$81,0)</f>
        <v>16</v>
      </c>
    </row>
    <row r="7" customFormat="false" ht="15" hidden="false" customHeight="false" outlineLevel="0" collapsed="false">
      <c r="A7" s="6" t="s">
        <v>122</v>
      </c>
      <c r="B7" s="59" t="n">
        <f aca="false">SUMPRODUCT(--(Monthly!$C$4:$BJ$4&lt;=$B$6),Monthly!$C$54:$BJ$54)</f>
        <v>250000</v>
      </c>
    </row>
    <row r="8" customFormat="false" ht="15" hidden="false" customHeight="false" outlineLevel="0" collapsed="false">
      <c r="A8" s="6" t="s">
        <v>123</v>
      </c>
      <c r="B8" s="59" t="n">
        <f aca="false">-SUMPRODUCT(--(Monthly!$C$4:$BJ$4&lt;=$B$6),Monthly!$C$75:$BJ$75)</f>
        <v>195773.922127181</v>
      </c>
      <c r="D8" s="18" t="s">
        <v>124</v>
      </c>
    </row>
    <row r="9" customFormat="false" ht="15" hidden="false" customHeight="false" outlineLevel="0" collapsed="false">
      <c r="A9" s="6" t="s">
        <v>125</v>
      </c>
      <c r="B9" s="59" t="n">
        <f aca="false">-SUMPRODUCT(--(Monthly!$C$4:$BJ$4&lt;=$B$6),Monthly!$C$63:$BJ$63)</f>
        <v>26785.7142857143</v>
      </c>
    </row>
    <row r="10" customFormat="false" ht="15" hidden="false" customHeight="false" outlineLevel="0" collapsed="false">
      <c r="A10" s="4" t="s">
        <v>126</v>
      </c>
      <c r="B10" s="60" t="n">
        <f aca="false">B7+B8+B9</f>
        <v>472559.636412895</v>
      </c>
    </row>
    <row r="11" customFormat="false" ht="15" hidden="false" customHeight="false" outlineLevel="0" collapsed="false">
      <c r="A11" s="6" t="s">
        <v>127</v>
      </c>
      <c r="B11" s="61" t="n">
        <f aca="false">Inputs!$E$69</f>
        <v>111000</v>
      </c>
      <c r="D11" s="18" t="s">
        <v>128</v>
      </c>
    </row>
    <row r="12" customFormat="false" ht="15" hidden="false" customHeight="false" outlineLevel="0" collapsed="false">
      <c r="A12" s="4" t="s">
        <v>129</v>
      </c>
      <c r="B12" s="60" t="n">
        <f aca="false">B10+B11</f>
        <v>583559.636412895</v>
      </c>
    </row>
    <row r="14" customFormat="false" ht="15" hidden="false" customHeight="false" outlineLevel="0" collapsed="false">
      <c r="A14" s="6" t="s">
        <v>59</v>
      </c>
      <c r="B14" s="61" t="n">
        <f aca="false">Inputs!$E$54</f>
        <v>330000</v>
      </c>
    </row>
    <row r="15" customFormat="false" ht="15" hidden="false" customHeight="false" outlineLevel="0" collapsed="false">
      <c r="A15" s="6" t="s">
        <v>60</v>
      </c>
      <c r="B15" s="61" t="n">
        <f aca="false">Inputs!$E$55</f>
        <v>150000</v>
      </c>
    </row>
    <row r="16" customFormat="false" ht="15" hidden="false" customHeight="false" outlineLevel="0" collapsed="false">
      <c r="A16" s="4" t="s">
        <v>130</v>
      </c>
      <c r="B16" s="60" t="n">
        <f aca="false">B14+B15</f>
        <v>480000</v>
      </c>
    </row>
    <row r="17" customFormat="false" ht="15" hidden="false" customHeight="false" outlineLevel="0" collapsed="false">
      <c r="A17" s="62" t="s">
        <v>62</v>
      </c>
      <c r="B17" s="63" t="n">
        <f aca="false">B16-B12</f>
        <v>-103559.636412895</v>
      </c>
      <c r="D17" s="18" t="s">
        <v>131</v>
      </c>
    </row>
    <row r="18" customFormat="false" ht="15" hidden="false" customHeight="false" outlineLevel="0" collapsed="false">
      <c r="A18" s="6" t="s">
        <v>132</v>
      </c>
      <c r="B18" s="59" t="n">
        <f aca="false">MIN(Monthly!$C$81:$BJ$81)</f>
        <v>7440.36358710485</v>
      </c>
      <c r="D18" s="18" t="s">
        <v>133</v>
      </c>
    </row>
    <row r="20" customFormat="false" ht="15.75" hidden="false" customHeight="true" outlineLevel="0" collapsed="false">
      <c r="A20" s="7" t="s">
        <v>134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135</v>
      </c>
      <c r="B21" s="58" t="n">
        <f aca="false">IFERROR(MATCH(1,Monthly!$C$82:$BJ$82,0),"Not within horizon")</f>
        <v>15</v>
      </c>
    </row>
    <row r="22" customFormat="false" ht="15" hidden="false" customHeight="false" outlineLevel="0" collapsed="false">
      <c r="A22" s="6" t="s">
        <v>136</v>
      </c>
      <c r="B22" s="58" t="n">
        <f aca="false">IFERROR(MATCH(1,Monthly!$C$85:$BJ$85,0),"Not within horizon")</f>
        <v>18</v>
      </c>
    </row>
    <row r="23" customFormat="false" ht="15" hidden="false" customHeight="false" outlineLevel="0" collapsed="false">
      <c r="A23" s="6" t="s">
        <v>137</v>
      </c>
      <c r="B23" s="58" t="str">
        <f aca="false">IF(MIN(Monthly!$C$87:$BJ$87)&gt;=0,"No investment to pay back",IFERROR(MATCH(1,Monthly!$C$89:$BJ$89,0),"Not within horizon"))</f>
        <v>Not within horizon</v>
      </c>
      <c r="D23" s="18" t="s">
        <v>138</v>
      </c>
    </row>
    <row r="25" customFormat="false" ht="15.75" hidden="false" customHeight="true" outlineLevel="0" collapsed="false">
      <c r="A25" s="7" t="s">
        <v>139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47" t="s">
        <v>69</v>
      </c>
      <c r="B26" s="47" t="n">
        <v>1</v>
      </c>
      <c r="C26" s="47" t="n">
        <v>2</v>
      </c>
      <c r="D26" s="47" t="n">
        <v>3</v>
      </c>
      <c r="E26" s="47" t="n">
        <v>4</v>
      </c>
      <c r="F26" s="47" t="n">
        <v>5</v>
      </c>
    </row>
    <row r="27" customFormat="false" ht="15" hidden="false" customHeight="false" outlineLevel="0" collapsed="false">
      <c r="A27" s="32"/>
      <c r="B27" s="48" t="s">
        <v>70</v>
      </c>
      <c r="C27" s="48" t="s">
        <v>71</v>
      </c>
      <c r="D27" s="48" t="s">
        <v>72</v>
      </c>
      <c r="E27" s="48" t="s">
        <v>73</v>
      </c>
      <c r="F27" s="48" t="s">
        <v>74</v>
      </c>
    </row>
    <row r="28" customFormat="false" ht="15" hidden="false" customHeight="false" outlineLevel="0" collapsed="false">
      <c r="A28" s="4" t="s">
        <v>40</v>
      </c>
      <c r="B28" s="64" t="n">
        <f aca="false">SUMIF(Monthly!$C$5:$BJ$5,B$26,Monthly!$C$24:$BJ$24)</f>
        <v>393075.459761719</v>
      </c>
      <c r="C28" s="64" t="n">
        <f aca="false">SUMIF(Monthly!$C$5:$BJ$5,C$26,Monthly!$C$24:$BJ$24)</f>
        <v>663933.884151801</v>
      </c>
      <c r="D28" s="64" t="n">
        <f aca="false">SUMIF(Monthly!$C$5:$BJ$5,D$26,Monthly!$C$24:$BJ$24)</f>
        <v>722638.4004</v>
      </c>
      <c r="E28" s="64" t="n">
        <f aca="false">SUMIF(Monthly!$C$5:$BJ$5,E$26,Monthly!$C$24:$BJ$24)</f>
        <v>744317.552412</v>
      </c>
      <c r="F28" s="64" t="n">
        <f aca="false">SUMIF(Monthly!$C$5:$BJ$5,F$26,Monthly!$C$24:$BJ$24)</f>
        <v>766647.07898436</v>
      </c>
    </row>
    <row r="29" customFormat="false" ht="15" hidden="false" customHeight="false" outlineLevel="0" collapsed="false">
      <c r="A29" s="6" t="s">
        <v>41</v>
      </c>
      <c r="B29" s="59" t="n">
        <f aca="false">SUMIF(Monthly!$C$5:$BJ$5,B$26,Monthly!$C$31:$BJ$31)</f>
        <v>262844.884249407</v>
      </c>
      <c r="C29" s="59" t="n">
        <f aca="false">SUMIF(Monthly!$C$5:$BJ$5,C$26,Monthly!$C$31:$BJ$31)</f>
        <v>504280.122889946</v>
      </c>
      <c r="D29" s="59" t="n">
        <f aca="false">SUMIF(Monthly!$C$5:$BJ$5,D$26,Monthly!$C$31:$BJ$31)</f>
        <v>554018.9544</v>
      </c>
      <c r="E29" s="59" t="n">
        <f aca="false">SUMIF(Monthly!$C$5:$BJ$5,E$26,Monthly!$C$31:$BJ$31)</f>
        <v>570639.523032</v>
      </c>
      <c r="F29" s="59" t="n">
        <f aca="false">SUMIF(Monthly!$C$5:$BJ$5,F$26,Monthly!$C$31:$BJ$31)</f>
        <v>587758.70872296</v>
      </c>
    </row>
    <row r="30" customFormat="false" ht="15" hidden="false" customHeight="false" outlineLevel="0" collapsed="false">
      <c r="A30" s="37" t="s">
        <v>140</v>
      </c>
      <c r="B30" s="51" t="n">
        <f aca="false">IF(B28=0,0,B29/B28)</f>
        <v>0.668688104845678</v>
      </c>
      <c r="C30" s="51" t="n">
        <f aca="false">IF(C28=0,0,C29/C28)</f>
        <v>0.759533644730577</v>
      </c>
      <c r="D30" s="51" t="n">
        <f aca="false">IF(D28=0,0,D29/D28)</f>
        <v>0.766661381533746</v>
      </c>
      <c r="E30" s="51" t="n">
        <f aca="false">IF(E28=0,0,E29/E28)</f>
        <v>0.766661381533746</v>
      </c>
      <c r="F30" s="51" t="n">
        <f aca="false">IF(F28=0,0,F29/F28)</f>
        <v>0.766661381533746</v>
      </c>
    </row>
    <row r="31" customFormat="false" ht="15" hidden="false" customHeight="false" outlineLevel="0" collapsed="false">
      <c r="A31" s="6" t="s">
        <v>141</v>
      </c>
      <c r="B31" s="59" t="n">
        <f aca="false">-SUMIF(Monthly!$C$5:$BJ$5,B$26,Monthly!$C$41:$BJ$41)</f>
        <v>445823.018390469</v>
      </c>
      <c r="C31" s="59" t="n">
        <f aca="false">-SUMIF(Monthly!$C$5:$BJ$5,C$26,Monthly!$C$41:$BJ$41)</f>
        <v>464040.355366072</v>
      </c>
      <c r="D31" s="59" t="n">
        <f aca="false">-SUMIF(Monthly!$C$5:$BJ$5,D$26,Monthly!$C$41:$BJ$41)</f>
        <v>474041.026016</v>
      </c>
      <c r="E31" s="59" t="n">
        <f aca="false">-SUMIF(Monthly!$C$5:$BJ$5,E$26,Monthly!$C$41:$BJ$41)</f>
        <v>482840.65679648</v>
      </c>
      <c r="F31" s="59" t="n">
        <f aca="false">-SUMIF(Monthly!$C$5:$BJ$5,F$26,Monthly!$C$41:$BJ$41)</f>
        <v>491957.196500374</v>
      </c>
    </row>
    <row r="32" customFormat="false" ht="15" hidden="false" customHeight="false" outlineLevel="0" collapsed="false">
      <c r="A32" s="4" t="s">
        <v>142</v>
      </c>
      <c r="B32" s="64" t="n">
        <f aca="false">IF(B30&gt;0,B31/B30,"n/a")</f>
        <v>666712.949071163</v>
      </c>
      <c r="C32" s="64" t="n">
        <f aca="false">IF(C30&gt;0,C31/C30,"n/a")</f>
        <v>610954.312011652</v>
      </c>
      <c r="D32" s="64" t="n">
        <f aca="false">IF(D30&gt;0,D31/D30,"n/a")</f>
        <v>618318.644233334</v>
      </c>
      <c r="E32" s="64" t="n">
        <f aca="false">IF(E30&gt;0,E31/E30,"n/a")</f>
        <v>629796.502636578</v>
      </c>
      <c r="F32" s="64" t="n">
        <f aca="false">IF(F30&gt;0,F31/F30,"n/a")</f>
        <v>641687.723354721</v>
      </c>
    </row>
    <row r="33" customFormat="false" ht="15" hidden="false" customHeight="false" outlineLevel="0" collapsed="false">
      <c r="A33" s="37" t="s">
        <v>143</v>
      </c>
      <c r="B33" s="51" t="n">
        <f aca="false">IF(AND(ISNUMBER(B32),B28&gt;0),(B28-B32)/B28,"n/a")</f>
        <v>-0.69614493226141</v>
      </c>
      <c r="C33" s="51" t="n">
        <f aca="false">IF(AND(ISNUMBER(C32),C28&gt;0),(C28-C32)/C28,"n/a")</f>
        <v>0.0797964577569825</v>
      </c>
      <c r="D33" s="51" t="n">
        <f aca="false">IF(AND(ISNUMBER(D32),D28&gt;0),(D28-D32)/D28,"n/a")</f>
        <v>0.144359552590788</v>
      </c>
      <c r="E33" s="51" t="n">
        <f aca="false">IF(AND(ISNUMBER(E32),E28&gt;0),(E28-E32)/E28,"n/a")</f>
        <v>0.153860471789643</v>
      </c>
      <c r="F33" s="51" t="n">
        <f aca="false">IF(AND(ISNUMBER(F32),F28&gt;0),(F28-F32)/F28,"n/a")</f>
        <v>0.162994628239089</v>
      </c>
    </row>
    <row r="35" customFormat="false" ht="15" hidden="false" customHeight="false" outlineLevel="0" collapsed="false">
      <c r="A35" s="3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145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146</v>
      </c>
    </row>
    <row r="3" customFormat="false" ht="15" hidden="false" customHeight="false" outlineLevel="0" collapsed="false">
      <c r="A3" s="4" t="s">
        <v>119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147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7" t="s">
        <v>148</v>
      </c>
      <c r="B6" s="65" t="n">
        <f aca="false">Inputs!$E$72</f>
        <v>0.25</v>
      </c>
    </row>
    <row r="7" customFormat="false" ht="15" hidden="false" customHeight="false" outlineLevel="0" collapsed="false">
      <c r="A7" s="37" t="s">
        <v>149</v>
      </c>
      <c r="B7" s="65" t="n">
        <f aca="false">Inputs!$E$73</f>
        <v>0.02</v>
      </c>
    </row>
    <row r="8" customFormat="false" ht="15" hidden="false" customHeight="false" outlineLevel="0" collapsed="false">
      <c r="A8" s="6" t="s">
        <v>150</v>
      </c>
      <c r="B8" s="66" t="n">
        <f aca="false">Inputs!$E$74</f>
        <v>4</v>
      </c>
    </row>
    <row r="9" customFormat="false" ht="15" hidden="false" customHeight="false" outlineLevel="0" collapsed="false">
      <c r="A9" s="37" t="s">
        <v>151</v>
      </c>
      <c r="B9" s="65" t="n">
        <f aca="false">Inputs!$E$66</f>
        <v>0.21</v>
      </c>
    </row>
    <row r="10" customFormat="false" ht="15" hidden="false" customHeight="false" outlineLevel="0" collapsed="false">
      <c r="A10" s="37" t="s">
        <v>152</v>
      </c>
      <c r="B10" s="65" t="n">
        <f aca="false">Inputs!$E$75</f>
        <v>0.01</v>
      </c>
    </row>
    <row r="11" customFormat="false" ht="15" hidden="false" customHeight="false" outlineLevel="0" collapsed="false">
      <c r="A11" s="37" t="s">
        <v>153</v>
      </c>
      <c r="B11" s="65" t="n">
        <f aca="false">Inputs!$E$76</f>
        <v>0.005</v>
      </c>
    </row>
    <row r="13" customFormat="false" ht="15.75" hidden="false" customHeight="true" outlineLevel="0" collapsed="false">
      <c r="A13" s="7" t="s">
        <v>154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47" t="s">
        <v>69</v>
      </c>
      <c r="B14" s="47" t="n">
        <v>1</v>
      </c>
      <c r="C14" s="47" t="n">
        <v>2</v>
      </c>
      <c r="D14" s="47" t="n">
        <v>3</v>
      </c>
      <c r="E14" s="47" t="n">
        <v>4</v>
      </c>
      <c r="F14" s="47" t="n">
        <v>5</v>
      </c>
    </row>
    <row r="15" customFormat="false" ht="15" hidden="false" customHeight="false" outlineLevel="0" collapsed="false">
      <c r="A15" s="32"/>
      <c r="B15" s="48" t="s">
        <v>70</v>
      </c>
      <c r="C15" s="48" t="s">
        <v>71</v>
      </c>
      <c r="D15" s="48" t="s">
        <v>72</v>
      </c>
      <c r="E15" s="48" t="s">
        <v>73</v>
      </c>
      <c r="F15" s="48" t="s">
        <v>74</v>
      </c>
    </row>
    <row r="16" customFormat="false" ht="15" hidden="false" customHeight="false" outlineLevel="0" collapsed="false">
      <c r="A16" s="6" t="s">
        <v>44</v>
      </c>
      <c r="B16" s="59" t="n">
        <f aca="false">SUMIF(Monthly!$C$5:$BJ$5,B$14,Monthly!$C$42:$BJ$42)</f>
        <v>-182978.134141062</v>
      </c>
      <c r="C16" s="59" t="n">
        <f aca="false">SUMIF(Monthly!$C$5:$BJ$5,C$14,Monthly!$C$42:$BJ$42)</f>
        <v>40239.7675238735</v>
      </c>
      <c r="D16" s="59" t="n">
        <f aca="false">SUMIF(Monthly!$C$5:$BJ$5,D$14,Monthly!$C$42:$BJ$42)</f>
        <v>79977.9283840001</v>
      </c>
      <c r="E16" s="59" t="n">
        <f aca="false">SUMIF(Monthly!$C$5:$BJ$5,E$14,Monthly!$C$42:$BJ$42)</f>
        <v>87798.8662355202</v>
      </c>
      <c r="F16" s="59" t="n">
        <f aca="false">SUMIF(Monthly!$C$5:$BJ$5,F$14,Monthly!$C$42:$BJ$42)</f>
        <v>95801.5122225856</v>
      </c>
    </row>
    <row r="17" customFormat="false" ht="15" hidden="false" customHeight="false" outlineLevel="0" collapsed="false">
      <c r="A17" s="4" t="s">
        <v>155</v>
      </c>
      <c r="B17" s="64" t="n">
        <f aca="false">SUMIF(Monthly!$C$5:$BJ$5,B$14,Monthly!$C$90:$BJ$90)</f>
        <v>-431339.247449834</v>
      </c>
      <c r="C17" s="64" t="n">
        <f aca="false">SUMIF(Monthly!$C$5:$BJ$5,C$14,Monthly!$C$90:$BJ$90)</f>
        <v>38769.5808326461</v>
      </c>
      <c r="D17" s="64" t="n">
        <f aca="false">SUMIF(Monthly!$C$5:$BJ$5,D$14,Monthly!$C$90:$BJ$90)</f>
        <v>78464.3518840001</v>
      </c>
      <c r="E17" s="64" t="n">
        <f aca="false">SUMIF(Monthly!$C$5:$BJ$5,E$14,Monthly!$C$90:$BJ$90)</f>
        <v>86649.3824405202</v>
      </c>
      <c r="F17" s="64" t="n">
        <f aca="false">SUMIF(Monthly!$C$5:$BJ$5,F$14,Monthly!$C$90:$BJ$90)</f>
        <v>95016.2439137356</v>
      </c>
    </row>
    <row r="18" customFormat="false" ht="15" hidden="false" customHeight="false" outlineLevel="0" collapsed="false">
      <c r="A18" s="6" t="s">
        <v>156</v>
      </c>
      <c r="B18" s="67" t="n">
        <f aca="false">1/(1+Inputs!$E$72)^B$14</f>
        <v>0.8</v>
      </c>
      <c r="C18" s="67" t="n">
        <f aca="false">1/(1+Inputs!$E$72)^C$14</f>
        <v>0.64</v>
      </c>
      <c r="D18" s="67" t="n">
        <f aca="false">1/(1+Inputs!$E$72)^D$14</f>
        <v>0.512</v>
      </c>
      <c r="E18" s="67" t="n">
        <f aca="false">1/(1+Inputs!$E$72)^E$14</f>
        <v>0.4096</v>
      </c>
      <c r="F18" s="67" t="n">
        <f aca="false">1/(1+Inputs!$E$72)^F$14</f>
        <v>0.32768</v>
      </c>
    </row>
    <row r="19" customFormat="false" ht="15" hidden="false" customHeight="false" outlineLevel="0" collapsed="false">
      <c r="A19" s="6" t="s">
        <v>157</v>
      </c>
      <c r="B19" s="59" t="n">
        <f aca="false">B17*B18</f>
        <v>-345071.397959867</v>
      </c>
      <c r="C19" s="59" t="n">
        <f aca="false">C17*C18</f>
        <v>24812.5317328935</v>
      </c>
      <c r="D19" s="59" t="n">
        <f aca="false">D17*D18</f>
        <v>40173.748164608</v>
      </c>
      <c r="E19" s="59" t="n">
        <f aca="false">E17*E18</f>
        <v>35491.5870476371</v>
      </c>
      <c r="F19" s="59" t="n">
        <f aca="false">F17*F18</f>
        <v>31134.9228056529</v>
      </c>
    </row>
    <row r="21" customFormat="false" ht="15.75" hidden="false" customHeight="true" outlineLevel="0" collapsed="false">
      <c r="A21" s="7" t="s">
        <v>158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48" t="s">
        <v>159</v>
      </c>
      <c r="C22" s="48" t="s">
        <v>160</v>
      </c>
    </row>
    <row r="23" customFormat="false" ht="15" hidden="false" customHeight="false" outlineLevel="0" collapsed="false">
      <c r="A23" s="6" t="s">
        <v>161</v>
      </c>
      <c r="B23" s="59" t="n">
        <f aca="false">SUM($B$19:$F$19)</f>
        <v>-213458.608209076</v>
      </c>
      <c r="C23" s="59" t="n">
        <f aca="false">B23</f>
        <v>-213458.608209076</v>
      </c>
    </row>
    <row r="24" customFormat="false" ht="15" hidden="false" customHeight="false" outlineLevel="0" collapsed="false">
      <c r="A24" s="6" t="s">
        <v>162</v>
      </c>
      <c r="B24" s="59" t="n">
        <f aca="false">$F$17</f>
        <v>95016.2439137356</v>
      </c>
      <c r="C24" s="59" t="n">
        <f aca="false">$F$16</f>
        <v>95801.5122225856</v>
      </c>
    </row>
    <row r="25" customFormat="false" ht="15" hidden="false" customHeight="false" outlineLevel="0" collapsed="false">
      <c r="A25" s="6" t="s">
        <v>163</v>
      </c>
      <c r="B25" s="59" t="n">
        <f aca="false">IF($B$6&gt;$B$7,B24*(1+$B$7)/($B$6-$B$7),0)</f>
        <v>421376.386052219</v>
      </c>
      <c r="C25" s="59" t="n">
        <f aca="false">C24*$B$8</f>
        <v>383206.048890342</v>
      </c>
    </row>
    <row r="26" customFormat="false" ht="15" hidden="false" customHeight="false" outlineLevel="0" collapsed="false">
      <c r="A26" s="6" t="s">
        <v>164</v>
      </c>
      <c r="B26" s="59" t="n">
        <f aca="false">B25/(1+$B$6)^$F$14</f>
        <v>138076.614181591</v>
      </c>
      <c r="C26" s="59" t="n">
        <f aca="false">C25/(1+$B$6)^$F$14</f>
        <v>125568.958100387</v>
      </c>
    </row>
    <row r="27" customFormat="false" ht="15" hidden="false" customHeight="false" outlineLevel="0" collapsed="false">
      <c r="A27" s="4" t="s">
        <v>158</v>
      </c>
      <c r="B27" s="60" t="n">
        <f aca="false">B23+B26</f>
        <v>-75381.9940274848</v>
      </c>
      <c r="C27" s="60" t="n">
        <f aca="false">C23+C26</f>
        <v>-87889.6501086885</v>
      </c>
    </row>
    <row r="28" customFormat="false" ht="15" hidden="false" customHeight="false" outlineLevel="0" collapsed="false">
      <c r="A28" s="37" t="s">
        <v>165</v>
      </c>
      <c r="B28" s="51" t="n">
        <f aca="false">IF(B27&lt;&gt;0,B26/B27,0)</f>
        <v>-1.83169224909661</v>
      </c>
      <c r="C28" s="51" t="n">
        <f aca="false">IF(C27&lt;&gt;0,C26/C27,0)</f>
        <v>-1.42871154845995</v>
      </c>
    </row>
    <row r="29" customFormat="false" ht="15" hidden="false" customHeight="false" outlineLevel="0" collapsed="false">
      <c r="A29" s="6" t="s">
        <v>166</v>
      </c>
      <c r="B29" s="68" t="n">
        <f aca="false">IF(C24&gt;0,B25/C24,"n/a")</f>
        <v>4.39843146810868</v>
      </c>
      <c r="C29" s="51" t="n">
        <f aca="false">IF(C25+B24&lt;&gt;0,(C25*$B$6-B24)/(C25+B24),"n/a")</f>
        <v>0.00164205709492448</v>
      </c>
    </row>
    <row r="30" customFormat="false" ht="15" hidden="false" customHeight="false" outlineLevel="0" collapsed="false">
      <c r="A30" s="62" t="s">
        <v>167</v>
      </c>
      <c r="B30" s="63" t="n">
        <f aca="false">AVERAGE(B27,C27)</f>
        <v>-81635.8220680866</v>
      </c>
    </row>
    <row r="32" customFormat="false" ht="15.75" hidden="false" customHeight="true" outlineLevel="0" collapsed="false">
      <c r="A32" s="7" t="s">
        <v>168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2" t="s">
        <v>169</v>
      </c>
      <c r="B33" s="69" t="n">
        <f aca="false">$B$7+(-2)*$B$11</f>
        <v>0.01</v>
      </c>
      <c r="C33" s="69" t="n">
        <f aca="false">$B$7+(-1)*$B$11</f>
        <v>0.015</v>
      </c>
      <c r="D33" s="69" t="n">
        <f aca="false">$B$7+(0)*$B$11</f>
        <v>0.02</v>
      </c>
      <c r="E33" s="69" t="n">
        <f aca="false">$B$7+(1)*$B$11</f>
        <v>0.025</v>
      </c>
      <c r="F33" s="69" t="n">
        <f aca="false">$B$7+(2)*$B$11</f>
        <v>0.03</v>
      </c>
    </row>
    <row r="34" customFormat="false" ht="15" hidden="false" customHeight="false" outlineLevel="0" collapsed="false">
      <c r="A34" s="51" t="n">
        <f aca="false">$B$6+(-2)*$B$10</f>
        <v>0.23</v>
      </c>
      <c r="B34" s="59" t="n">
        <f aca="false">IF($A34&gt;B$33,SUMPRODUCT($B$17:$F$17/(1+$A34)^$B$14:$F$14)+$F$17*(1+B$33)/($A34-B$33)/(1+$A34)^$F$14,"n/a")</f>
        <v>-56341.3919360076</v>
      </c>
      <c r="C34" s="59" t="n">
        <f aca="false">IF($A34&gt;C$33,SUMPRODUCT($B$17:$F$17/(1+$A34)^$B$14:$F$14)+$F$17*(1+C$33)/($A34-C$33)/(1+$A34)^$F$14,"n/a")</f>
        <v>-51953.1933195081</v>
      </c>
      <c r="D34" s="59" t="n">
        <f aca="false">IF($A34&gt;D$33,SUMPRODUCT($B$17:$F$17/(1+$A34)^$B$14:$F$14)+$F$17*(1+D$33)/($A34-D$33)/(1+$A34)^$F$14,"n/a")</f>
        <v>-47356.0328641277</v>
      </c>
      <c r="E34" s="59" t="n">
        <f aca="false">IF($A34&gt;E$33,SUMPRODUCT($B$17:$F$17/(1+$A34)^$B$14:$F$14)+$F$17*(1+E$33)/($A34-E$33)/(1+$A34)^$F$14,"n/a")</f>
        <v>-42534.6206792166</v>
      </c>
      <c r="F34" s="59" t="n">
        <f aca="false">IF($A34&gt;F$33,SUMPRODUCT($B$17:$F$17/(1+$A34)^$B$14:$F$14)+$F$17*(1+F$33)/($A34-F$33)/(1+$A34)^$F$14,"n/a")</f>
        <v>-37472.1378850598</v>
      </c>
    </row>
    <row r="35" customFormat="false" ht="15" hidden="false" customHeight="false" outlineLevel="0" collapsed="false">
      <c r="A35" s="51" t="n">
        <f aca="false">$B$6+(-1)*$B$10</f>
        <v>0.24</v>
      </c>
      <c r="B35" s="59" t="n">
        <f aca="false">IF($A35&gt;B$33,SUMPRODUCT($B$17:$F$17/(1+$A35)^$B$14:$F$14)+$F$17*(1+B$33)/($A35-B$33)/(1+$A35)^$F$14,"n/a")</f>
        <v>-70099.5713230567</v>
      </c>
      <c r="C35" s="59" t="n">
        <f aca="false">IF($A35&gt;C$33,SUMPRODUCT($B$17:$F$17/(1+$A35)^$B$14:$F$14)+$F$17*(1+C$33)/($A35-C$33)/(1+$A35)^$F$14,"n/a")</f>
        <v>-66216.5411263215</v>
      </c>
      <c r="D35" s="59" t="n">
        <f aca="false">IF($A35&gt;D$33,SUMPRODUCT($B$17:$F$17/(1+$A35)^$B$14:$F$14)+$F$17*(1+D$33)/($A35-D$33)/(1+$A35)^$F$14,"n/a")</f>
        <v>-62157.0095570074</v>
      </c>
      <c r="E35" s="59" t="n">
        <f aca="false">IF($A35&gt;E$33,SUMPRODUCT($B$17:$F$17/(1+$A35)^$B$14:$F$14)+$F$17*(1+E$33)/($A35-E$33)/(1+$A35)^$F$14,"n/a")</f>
        <v>-57908.6625658647</v>
      </c>
      <c r="F35" s="59" t="n">
        <f aca="false">IF($A35&gt;F$33,SUMPRODUCT($B$17:$F$17/(1+$A35)^$B$14:$F$14)+$F$17*(1+F$33)/($A35-F$33)/(1+$A35)^$F$14,"n/a")</f>
        <v>-53458.0133370486</v>
      </c>
    </row>
    <row r="36" customFormat="false" ht="15" hidden="false" customHeight="false" outlineLevel="0" collapsed="false">
      <c r="A36" s="51" t="n">
        <f aca="false">$B$6+(0)*$B$10</f>
        <v>0.25</v>
      </c>
      <c r="B36" s="59" t="n">
        <f aca="false">IF($A36&gt;B$33,SUMPRODUCT($B$17:$F$17/(1+$A36)^$B$14:$F$14)+$F$17*(1+B$33)/($A36-B$33)/(1+$A36)^$F$14,"n/a")</f>
        <v>-82432.4747352866</v>
      </c>
      <c r="C36" s="59" t="n">
        <f aca="false">IF($A36&gt;C$33,SUMPRODUCT($B$17:$F$17/(1+$A36)^$B$14:$F$14)+$F$17*(1+C$33)/($A36-C$33)/(1+$A36)^$F$14,"n/a")</f>
        <v>-78982.2394952985</v>
      </c>
      <c r="D36" s="59" t="n">
        <f aca="false">IF($A36&gt;D$33,SUMPRODUCT($B$17:$F$17/(1+$A36)^$B$14:$F$14)+$F$17*(1+D$33)/($A36-D$33)/(1+$A36)^$F$14,"n/a")</f>
        <v>-75381.9940274848</v>
      </c>
      <c r="E36" s="59" t="n">
        <f aca="false">IF($A36&gt;E$33,SUMPRODUCT($B$17:$F$17/(1+$A36)^$B$14:$F$14)+$F$17*(1+E$33)/($A36-E$33)/(1+$A36)^$F$14,"n/a")</f>
        <v>-71621.7376499905</v>
      </c>
      <c r="F36" s="59" t="n">
        <f aca="false">IF($A36&gt;F$33,SUMPRODUCT($B$17:$F$17/(1+$A36)^$B$14:$F$14)+$F$17*(1+F$33)/($A36-F$33)/(1+$A36)^$F$14,"n/a")</f>
        <v>-67690.5605280646</v>
      </c>
    </row>
    <row r="37" customFormat="false" ht="15" hidden="false" customHeight="false" outlineLevel="0" collapsed="false">
      <c r="A37" s="51" t="n">
        <f aca="false">$B$6+(1)*$B$10</f>
        <v>0.26</v>
      </c>
      <c r="B37" s="59" t="n">
        <f aca="false">IF($A37&gt;B$33,SUMPRODUCT($B$17:$F$17/(1+$A37)^$B$14:$F$14)+$F$17*(1+B$33)/($A37-B$33)/(1+$A37)^$F$14,"n/a")</f>
        <v>-93518.3909462711</v>
      </c>
      <c r="C37" s="59" t="n">
        <f aca="false">IF($A37&gt;C$33,SUMPRODUCT($B$17:$F$17/(1+$A37)^$B$14:$F$14)+$F$17*(1+C$33)/($A37-C$33)/(1+$A37)^$F$14,"n/a")</f>
        <v>-90441.0218430154</v>
      </c>
      <c r="D37" s="59" t="n">
        <f aca="false">IF($A37&gt;D$33,SUMPRODUCT($B$17:$F$17/(1+$A37)^$B$14:$F$14)+$F$17*(1+D$33)/($A37-D$33)/(1+$A37)^$F$14,"n/a")</f>
        <v>-87235.4290271241</v>
      </c>
      <c r="E37" s="59" t="n">
        <f aca="false">IF($A37&gt;E$33,SUMPRODUCT($B$17:$F$17/(1+$A37)^$B$14:$F$14)+$F$17*(1+E$33)/($A37-E$33)/(1+$A37)^$F$14,"n/a")</f>
        <v>-83893.4280063012</v>
      </c>
      <c r="F37" s="59" t="n">
        <f aca="false">IF($A37&gt;F$33,SUMPRODUCT($B$17:$F$17/(1+$A37)^$B$14:$F$14)+$F$17*(1+F$33)/($A37-F$33)/(1+$A37)^$F$14,"n/a")</f>
        <v>-80406.1225932686</v>
      </c>
    </row>
    <row r="38" customFormat="false" ht="15" hidden="false" customHeight="false" outlineLevel="0" collapsed="false">
      <c r="A38" s="51" t="n">
        <f aca="false">$B$6+(2)*$B$10</f>
        <v>0.27</v>
      </c>
      <c r="B38" s="59" t="n">
        <f aca="false">IF($A38&gt;B$33,SUMPRODUCT($B$17:$F$17/(1+$A38)^$B$14:$F$14)+$F$17*(1+B$33)/($A38-B$33)/(1+$A38)^$F$14,"n/a")</f>
        <v>-103507.926375063</v>
      </c>
      <c r="C38" s="59" t="n">
        <f aca="false">IF($A38&gt;C$33,SUMPRODUCT($B$17:$F$17/(1+$A38)^$B$14:$F$14)+$F$17*(1+C$33)/($A38-C$33)/(1+$A38)^$F$14,"n/a")</f>
        <v>-100753.447471756</v>
      </c>
      <c r="D38" s="59" t="n">
        <f aca="false">IF($A38&gt;D$33,SUMPRODUCT($B$17:$F$17/(1+$A38)^$B$14:$F$14)+$F$17*(1+D$33)/($A38-D$33)/(1+$A38)^$F$14,"n/a")</f>
        <v>-97888.7894123162</v>
      </c>
      <c r="E38" s="59" t="n">
        <f aca="false">IF($A38&gt;E$33,SUMPRODUCT($B$17:$F$17/(1+$A38)^$B$14:$F$14)+$F$17*(1+E$33)/($A38-E$33)/(1+$A38)^$F$14,"n/a")</f>
        <v>-94907.206534124</v>
      </c>
      <c r="F38" s="59" t="n">
        <f aca="false">IF($A38&gt;F$33,SUMPRODUCT($B$17:$F$17/(1+$A38)^$B$14:$F$14)+$F$17*(1+F$33)/($A38-F$33)/(1+$A38)^$F$14,"n/a")</f>
        <v>-91801.3910360071</v>
      </c>
    </row>
    <row r="40" customFormat="false" ht="15" hidden="false" customHeight="false" outlineLevel="0" collapsed="false">
      <c r="A40" s="37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171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172</v>
      </c>
    </row>
    <row r="5" customFormat="false" ht="15" hidden="false" customHeight="false" outlineLevel="0" collapsed="false">
      <c r="A5" s="32" t="s">
        <v>173</v>
      </c>
      <c r="B5" s="48" t="s">
        <v>174</v>
      </c>
      <c r="C5" s="48" t="s">
        <v>175</v>
      </c>
      <c r="D5" s="48" t="s">
        <v>176</v>
      </c>
      <c r="E5" s="48" t="s">
        <v>177</v>
      </c>
      <c r="F5" s="32" t="s">
        <v>178</v>
      </c>
      <c r="G5" s="32" t="s">
        <v>179</v>
      </c>
    </row>
    <row r="6" customFormat="false" ht="15.75" hidden="false" customHeight="true" outlineLevel="0" collapsed="false">
      <c r="A6" s="7" t="s">
        <v>180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181</v>
      </c>
      <c r="B7" s="70" t="n">
        <v>80</v>
      </c>
      <c r="C7" s="70" t="n">
        <v>120</v>
      </c>
      <c r="D7" s="70" t="n">
        <v>160</v>
      </c>
      <c r="E7" s="71" t="n">
        <f aca="false">CHOOSE(Dashboard!$B$4,B7,C7,D7)</f>
        <v>120</v>
      </c>
      <c r="F7" s="37" t="s">
        <v>182</v>
      </c>
      <c r="G7" s="72" t="s">
        <v>183</v>
      </c>
    </row>
    <row r="8" customFormat="false" ht="15" hidden="false" customHeight="false" outlineLevel="0" collapsed="false">
      <c r="A8" s="6" t="s">
        <v>184</v>
      </c>
      <c r="B8" s="70" t="n">
        <v>450</v>
      </c>
      <c r="C8" s="70" t="n">
        <v>450</v>
      </c>
      <c r="D8" s="70" t="n">
        <v>450</v>
      </c>
      <c r="E8" s="71" t="n">
        <f aca="false">CHOOSE(Dashboard!$B$4,B8,C8,D8)</f>
        <v>450</v>
      </c>
      <c r="F8" s="37" t="s">
        <v>182</v>
      </c>
      <c r="G8" s="72"/>
    </row>
    <row r="9" customFormat="false" ht="15" hidden="false" customHeight="false" outlineLevel="0" collapsed="false">
      <c r="A9" s="6" t="s">
        <v>185</v>
      </c>
      <c r="B9" s="73" t="n">
        <v>12</v>
      </c>
      <c r="C9" s="73" t="n">
        <v>15</v>
      </c>
      <c r="D9" s="73" t="n">
        <v>18</v>
      </c>
      <c r="E9" s="74" t="n">
        <f aca="false">CHOOSE(Dashboard!$B$4,B9,C9,D9)</f>
        <v>15</v>
      </c>
      <c r="F9" s="37" t="s">
        <v>182</v>
      </c>
      <c r="G9" s="72" t="s">
        <v>183</v>
      </c>
    </row>
    <row r="10" customFormat="false" ht="15" hidden="false" customHeight="false" outlineLevel="0" collapsed="false">
      <c r="A10" s="6" t="s">
        <v>186</v>
      </c>
      <c r="B10" s="75" t="n">
        <v>0.05</v>
      </c>
      <c r="C10" s="75" t="n">
        <v>0.1</v>
      </c>
      <c r="D10" s="75" t="n">
        <v>0.15</v>
      </c>
      <c r="E10" s="76" t="n">
        <f aca="false">CHOOSE(Dashboard!$B$4,B10,C10,D10)</f>
        <v>0.1</v>
      </c>
      <c r="F10" s="37" t="s">
        <v>187</v>
      </c>
      <c r="G10" s="72" t="s">
        <v>183</v>
      </c>
    </row>
    <row r="11" customFormat="false" ht="15" hidden="false" customHeight="false" outlineLevel="0" collapsed="false">
      <c r="A11" s="6" t="s">
        <v>188</v>
      </c>
      <c r="B11" s="77" t="n">
        <v>4000</v>
      </c>
      <c r="C11" s="77" t="n">
        <v>4000</v>
      </c>
      <c r="D11" s="77" t="n">
        <v>4000</v>
      </c>
      <c r="E11" s="78" t="n">
        <f aca="false">CHOOSE(Dashboard!$B$4,B11,C11,D11)</f>
        <v>4000</v>
      </c>
      <c r="F11" s="37" t="s">
        <v>189</v>
      </c>
      <c r="G11" s="72"/>
    </row>
    <row r="12" customFormat="false" ht="15" hidden="false" customHeight="false" outlineLevel="0" collapsed="false">
      <c r="A12" s="6" t="s">
        <v>190</v>
      </c>
      <c r="B12" s="75" t="n">
        <v>0</v>
      </c>
      <c r="C12" s="75" t="n">
        <v>0.05</v>
      </c>
      <c r="D12" s="75" t="n">
        <v>0.1</v>
      </c>
      <c r="E12" s="76" t="n">
        <f aca="false">CHOOSE(Dashboard!$B$4,B12,C12,D12)</f>
        <v>0.05</v>
      </c>
      <c r="F12" s="37" t="s">
        <v>187</v>
      </c>
      <c r="G12" s="72" t="s">
        <v>183</v>
      </c>
    </row>
    <row r="13" customFormat="false" ht="15" hidden="false" customHeight="false" outlineLevel="0" collapsed="false">
      <c r="A13" s="6" t="s">
        <v>191</v>
      </c>
      <c r="B13" s="79" t="n">
        <v>28</v>
      </c>
      <c r="C13" s="79" t="n">
        <v>25</v>
      </c>
      <c r="D13" s="79" t="n">
        <v>22</v>
      </c>
      <c r="E13" s="80" t="n">
        <f aca="false">CHOOSE(Dashboard!$B$4,B13,C13,D13)</f>
        <v>25</v>
      </c>
      <c r="F13" s="37" t="s">
        <v>189</v>
      </c>
      <c r="G13" s="72" t="s">
        <v>192</v>
      </c>
    </row>
    <row r="14" customFormat="false" ht="15" hidden="false" customHeight="false" outlineLevel="0" collapsed="false">
      <c r="A14" s="6" t="s">
        <v>193</v>
      </c>
      <c r="B14" s="75" t="n">
        <v>0.11</v>
      </c>
      <c r="C14" s="75" t="n">
        <v>0.12</v>
      </c>
      <c r="D14" s="75" t="n">
        <v>0.13</v>
      </c>
      <c r="E14" s="76" t="n">
        <f aca="false">CHOOSE(Dashboard!$B$4,B14,C14,D14)</f>
        <v>0.12</v>
      </c>
      <c r="F14" s="37" t="s">
        <v>187</v>
      </c>
      <c r="G14" s="72" t="s">
        <v>183</v>
      </c>
    </row>
    <row r="15" customFormat="false" ht="15" hidden="false" customHeight="false" outlineLevel="0" collapsed="false">
      <c r="A15" s="6" t="s">
        <v>86</v>
      </c>
      <c r="B15" s="75" t="n">
        <v>0.07</v>
      </c>
      <c r="C15" s="75" t="n">
        <v>0.06</v>
      </c>
      <c r="D15" s="75" t="n">
        <v>0.05</v>
      </c>
      <c r="E15" s="76" t="n">
        <f aca="false">CHOOSE(Dashboard!$B$4,B15,C15,D15)</f>
        <v>0.06</v>
      </c>
      <c r="F15" s="37" t="s">
        <v>187</v>
      </c>
      <c r="G15" s="72" t="s">
        <v>192</v>
      </c>
    </row>
    <row r="17" customFormat="false" ht="15.75" hidden="false" customHeight="true" outlineLevel="0" collapsed="false">
      <c r="A17" s="7" t="s">
        <v>194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6" t="s">
        <v>195</v>
      </c>
      <c r="B18" s="79" t="n">
        <v>89</v>
      </c>
      <c r="C18" s="79" t="n">
        <v>99</v>
      </c>
      <c r="D18" s="79" t="n">
        <v>109</v>
      </c>
      <c r="E18" s="80" t="n">
        <f aca="false">CHOOSE(Dashboard!$B$4,B18,C18,D18)</f>
        <v>99</v>
      </c>
      <c r="F18" s="37" t="s">
        <v>189</v>
      </c>
      <c r="G18" s="72" t="s">
        <v>183</v>
      </c>
    </row>
    <row r="19" customFormat="false" ht="15" hidden="false" customHeight="false" outlineLevel="0" collapsed="false">
      <c r="A19" s="6" t="s">
        <v>196</v>
      </c>
      <c r="B19" s="75" t="n">
        <v>0.02</v>
      </c>
      <c r="C19" s="75" t="n">
        <v>0.03</v>
      </c>
      <c r="D19" s="75" t="n">
        <v>0.04</v>
      </c>
      <c r="E19" s="76" t="n">
        <f aca="false">CHOOSE(Dashboard!$B$4,B19,C19,D19)</f>
        <v>0.03</v>
      </c>
      <c r="F19" s="37" t="s">
        <v>187</v>
      </c>
      <c r="G19" s="72" t="s">
        <v>183</v>
      </c>
    </row>
    <row r="20" customFormat="false" ht="15" hidden="false" customHeight="false" outlineLevel="0" collapsed="false">
      <c r="A20" s="6" t="s">
        <v>197</v>
      </c>
      <c r="B20" s="79" t="n">
        <v>49</v>
      </c>
      <c r="C20" s="79" t="n">
        <v>49</v>
      </c>
      <c r="D20" s="79" t="n">
        <v>49</v>
      </c>
      <c r="E20" s="80" t="n">
        <f aca="false">CHOOSE(Dashboard!$B$4,B20,C20,D20)</f>
        <v>49</v>
      </c>
      <c r="F20" s="37" t="s">
        <v>189</v>
      </c>
      <c r="G20" s="72" t="s">
        <v>183</v>
      </c>
    </row>
    <row r="22" customFormat="false" ht="15.75" hidden="false" customHeight="true" outlineLevel="0" collapsed="false">
      <c r="A22" s="7" t="s">
        <v>198</v>
      </c>
      <c r="B22" s="7"/>
      <c r="C22" s="7"/>
      <c r="D22" s="7"/>
      <c r="E22" s="7"/>
      <c r="F22" s="7"/>
      <c r="G22" s="7"/>
    </row>
    <row r="23" customFormat="false" ht="15" hidden="false" customHeight="false" outlineLevel="0" collapsed="false">
      <c r="A23" s="6" t="s">
        <v>199</v>
      </c>
      <c r="B23" s="75" t="n">
        <v>0.07</v>
      </c>
      <c r="C23" s="75" t="n">
        <v>0.08</v>
      </c>
      <c r="D23" s="75" t="n">
        <v>0.09</v>
      </c>
      <c r="E23" s="76" t="n">
        <f aca="false">CHOOSE(Dashboard!$B$4,B23,C23,D23)</f>
        <v>0.08</v>
      </c>
      <c r="F23" s="37" t="s">
        <v>187</v>
      </c>
      <c r="G23" s="72" t="s">
        <v>183</v>
      </c>
    </row>
    <row r="24" customFormat="false" ht="15" hidden="false" customHeight="false" outlineLevel="0" collapsed="false">
      <c r="A24" s="6" t="s">
        <v>200</v>
      </c>
      <c r="B24" s="73" t="n">
        <v>4</v>
      </c>
      <c r="C24" s="73" t="n">
        <v>4</v>
      </c>
      <c r="D24" s="73" t="n">
        <v>4</v>
      </c>
      <c r="E24" s="74" t="n">
        <f aca="false">CHOOSE(Dashboard!$B$4,B24,C24,D24)</f>
        <v>4</v>
      </c>
      <c r="F24" s="37" t="s">
        <v>182</v>
      </c>
      <c r="G24" s="72" t="s">
        <v>183</v>
      </c>
    </row>
    <row r="25" customFormat="false" ht="15" hidden="false" customHeight="false" outlineLevel="0" collapsed="false">
      <c r="A25" s="6" t="s">
        <v>201</v>
      </c>
      <c r="B25" s="79" t="n">
        <v>55</v>
      </c>
      <c r="C25" s="79" t="n">
        <v>60</v>
      </c>
      <c r="D25" s="79" t="n">
        <v>65</v>
      </c>
      <c r="E25" s="80" t="n">
        <f aca="false">CHOOSE(Dashboard!$B$4,B25,C25,D25)</f>
        <v>60</v>
      </c>
      <c r="F25" s="37" t="s">
        <v>189</v>
      </c>
      <c r="G25" s="72" t="s">
        <v>183</v>
      </c>
    </row>
    <row r="26" customFormat="false" ht="15" hidden="false" customHeight="false" outlineLevel="0" collapsed="false">
      <c r="A26" s="6" t="s">
        <v>202</v>
      </c>
      <c r="B26" s="75" t="n">
        <v>0.55</v>
      </c>
      <c r="C26" s="75" t="n">
        <v>0.5</v>
      </c>
      <c r="D26" s="75" t="n">
        <v>0.45</v>
      </c>
      <c r="E26" s="76" t="n">
        <f aca="false">CHOOSE(Dashboard!$B$4,B26,C26,D26)</f>
        <v>0.5</v>
      </c>
      <c r="F26" s="37" t="s">
        <v>187</v>
      </c>
      <c r="G26" s="72" t="s">
        <v>192</v>
      </c>
    </row>
    <row r="27" customFormat="false" ht="15" hidden="false" customHeight="false" outlineLevel="0" collapsed="false">
      <c r="A27" s="6" t="s">
        <v>203</v>
      </c>
      <c r="B27" s="79" t="n">
        <v>4</v>
      </c>
      <c r="C27" s="79" t="n">
        <v>5</v>
      </c>
      <c r="D27" s="79" t="n">
        <v>6</v>
      </c>
      <c r="E27" s="80" t="n">
        <f aca="false">CHOOSE(Dashboard!$B$4,B27,C27,D27)</f>
        <v>5</v>
      </c>
      <c r="F27" s="37" t="s">
        <v>189</v>
      </c>
      <c r="G27" s="72" t="s">
        <v>183</v>
      </c>
    </row>
    <row r="28" customFormat="false" ht="15" hidden="false" customHeight="false" outlineLevel="0" collapsed="false">
      <c r="A28" s="6" t="s">
        <v>204</v>
      </c>
      <c r="B28" s="75" t="n">
        <v>0.55</v>
      </c>
      <c r="C28" s="75" t="n">
        <v>0.5</v>
      </c>
      <c r="D28" s="75" t="n">
        <v>0.45</v>
      </c>
      <c r="E28" s="76" t="n">
        <f aca="false">CHOOSE(Dashboard!$B$4,B28,C28,D28)</f>
        <v>0.5</v>
      </c>
      <c r="F28" s="37" t="s">
        <v>187</v>
      </c>
      <c r="G28" s="72" t="s">
        <v>192</v>
      </c>
    </row>
    <row r="30" customFormat="false" ht="15.75" hidden="false" customHeight="true" outlineLevel="0" collapsed="false">
      <c r="A30" s="7" t="s">
        <v>205</v>
      </c>
      <c r="B30" s="7"/>
      <c r="C30" s="7"/>
      <c r="D30" s="7"/>
      <c r="E30" s="7"/>
      <c r="F30" s="7"/>
      <c r="G30" s="7"/>
    </row>
    <row r="31" customFormat="false" ht="15" hidden="false" customHeight="false" outlineLevel="0" collapsed="false">
      <c r="A31" s="6" t="s">
        <v>206</v>
      </c>
      <c r="B31" s="73" t="n">
        <v>40</v>
      </c>
      <c r="C31" s="73" t="n">
        <v>40</v>
      </c>
      <c r="D31" s="73" t="n">
        <v>40</v>
      </c>
      <c r="E31" s="74" t="n">
        <f aca="false">CHOOSE(Dashboard!$B$4,B31,C31,D31)</f>
        <v>40</v>
      </c>
      <c r="F31" s="37" t="s">
        <v>182</v>
      </c>
      <c r="G31" s="72"/>
    </row>
    <row r="32" customFormat="false" ht="15" hidden="false" customHeight="false" outlineLevel="0" collapsed="false">
      <c r="A32" s="6" t="s">
        <v>207</v>
      </c>
      <c r="B32" s="79" t="n">
        <v>50</v>
      </c>
      <c r="C32" s="79" t="n">
        <v>45</v>
      </c>
      <c r="D32" s="79" t="n">
        <v>40</v>
      </c>
      <c r="E32" s="80" t="n">
        <f aca="false">CHOOSE(Dashboard!$B$4,B32,C32,D32)</f>
        <v>45</v>
      </c>
      <c r="F32" s="37" t="s">
        <v>189</v>
      </c>
      <c r="G32" s="72" t="s">
        <v>192</v>
      </c>
    </row>
    <row r="33" customFormat="false" ht="15" hidden="false" customHeight="false" outlineLevel="0" collapsed="false">
      <c r="A33" s="6" t="s">
        <v>208</v>
      </c>
      <c r="B33" s="77" t="n">
        <v>12000</v>
      </c>
      <c r="C33" s="77" t="n">
        <v>12000</v>
      </c>
      <c r="D33" s="77" t="n">
        <v>12000</v>
      </c>
      <c r="E33" s="78" t="n">
        <f aca="false">CHOOSE(Dashboard!$B$4,B33,C33,D33)</f>
        <v>12000</v>
      </c>
      <c r="F33" s="37" t="s">
        <v>189</v>
      </c>
      <c r="G33" s="72"/>
    </row>
    <row r="34" customFormat="false" ht="15" hidden="false" customHeight="false" outlineLevel="0" collapsed="false">
      <c r="A34" s="6" t="s">
        <v>209</v>
      </c>
      <c r="B34" s="77" t="n">
        <v>2200</v>
      </c>
      <c r="C34" s="77" t="n">
        <v>2200</v>
      </c>
      <c r="D34" s="77" t="n">
        <v>2200</v>
      </c>
      <c r="E34" s="78" t="n">
        <f aca="false">CHOOSE(Dashboard!$B$4,B34,C34,D34)</f>
        <v>2200</v>
      </c>
      <c r="F34" s="37" t="s">
        <v>189</v>
      </c>
      <c r="G34" s="72"/>
    </row>
    <row r="35" customFormat="false" ht="15" hidden="false" customHeight="false" outlineLevel="0" collapsed="false">
      <c r="A35" s="6" t="s">
        <v>210</v>
      </c>
      <c r="B35" s="77" t="n">
        <v>1800</v>
      </c>
      <c r="C35" s="77" t="n">
        <v>1800</v>
      </c>
      <c r="D35" s="77" t="n">
        <v>1800</v>
      </c>
      <c r="E35" s="78" t="n">
        <f aca="false">CHOOSE(Dashboard!$B$4,B35,C35,D35)</f>
        <v>1800</v>
      </c>
      <c r="F35" s="37" t="s">
        <v>189</v>
      </c>
      <c r="G35" s="72"/>
    </row>
    <row r="36" customFormat="false" ht="15" hidden="false" customHeight="false" outlineLevel="0" collapsed="false">
      <c r="A36" s="6" t="s">
        <v>211</v>
      </c>
      <c r="B36" s="75" t="n">
        <v>0.045</v>
      </c>
      <c r="C36" s="75" t="n">
        <v>0.04</v>
      </c>
      <c r="D36" s="75" t="n">
        <v>0.035</v>
      </c>
      <c r="E36" s="76" t="n">
        <f aca="false">CHOOSE(Dashboard!$B$4,B36,C36,D36)</f>
        <v>0.04</v>
      </c>
      <c r="F36" s="37" t="s">
        <v>187</v>
      </c>
      <c r="G36" s="72" t="s">
        <v>192</v>
      </c>
    </row>
    <row r="37" customFormat="false" ht="15" hidden="false" customHeight="false" outlineLevel="0" collapsed="false">
      <c r="A37" s="6" t="s">
        <v>212</v>
      </c>
      <c r="B37" s="77" t="n">
        <v>2000</v>
      </c>
      <c r="C37" s="77" t="n">
        <v>2000</v>
      </c>
      <c r="D37" s="77" t="n">
        <v>2000</v>
      </c>
      <c r="E37" s="78" t="n">
        <f aca="false">CHOOSE(Dashboard!$B$4,B37,C37,D37)</f>
        <v>2000</v>
      </c>
      <c r="F37" s="37" t="s">
        <v>189</v>
      </c>
      <c r="G37" s="72"/>
    </row>
    <row r="38" customFormat="false" ht="15" hidden="false" customHeight="false" outlineLevel="0" collapsed="false">
      <c r="A38" s="6" t="s">
        <v>213</v>
      </c>
      <c r="B38" s="70" t="n">
        <v>4000</v>
      </c>
      <c r="C38" s="70" t="n">
        <v>4000</v>
      </c>
      <c r="D38" s="70" t="n">
        <v>4000</v>
      </c>
      <c r="E38" s="71" t="n">
        <f aca="false">CHOOSE(Dashboard!$B$4,B38,C38,D38)</f>
        <v>4000</v>
      </c>
      <c r="F38" s="37" t="s">
        <v>214</v>
      </c>
      <c r="G38" s="72"/>
    </row>
    <row r="39" customFormat="false" ht="15" hidden="false" customHeight="false" outlineLevel="0" collapsed="false">
      <c r="A39" s="6" t="s">
        <v>215</v>
      </c>
      <c r="B39" s="77" t="n">
        <v>250000</v>
      </c>
      <c r="C39" s="77" t="n">
        <v>250000</v>
      </c>
      <c r="D39" s="77" t="n">
        <v>250000</v>
      </c>
      <c r="E39" s="78" t="n">
        <f aca="false">CHOOSE(Dashboard!$B$4,B39,C39,D39)</f>
        <v>250000</v>
      </c>
      <c r="F39" s="37" t="s">
        <v>189</v>
      </c>
      <c r="G39" s="72"/>
    </row>
    <row r="41" customFormat="false" ht="15.75" hidden="false" customHeight="true" outlineLevel="0" collapsed="false">
      <c r="A41" s="7" t="s">
        <v>216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217</v>
      </c>
      <c r="B42" s="73" t="n">
        <v>1</v>
      </c>
      <c r="C42" s="73" t="n">
        <v>1</v>
      </c>
      <c r="D42" s="73" t="n">
        <v>1</v>
      </c>
      <c r="E42" s="74" t="n">
        <f aca="false">CHOOSE(Dashboard!$B$4,B42,C42,D42)</f>
        <v>1</v>
      </c>
      <c r="F42" s="37" t="s">
        <v>218</v>
      </c>
      <c r="G42" s="72" t="s">
        <v>183</v>
      </c>
    </row>
    <row r="43" customFormat="false" ht="15" hidden="false" customHeight="false" outlineLevel="0" collapsed="false">
      <c r="A43" s="6" t="s">
        <v>219</v>
      </c>
      <c r="B43" s="77" t="n">
        <v>55000</v>
      </c>
      <c r="C43" s="77" t="n">
        <v>55000</v>
      </c>
      <c r="D43" s="77" t="n">
        <v>55000</v>
      </c>
      <c r="E43" s="78" t="n">
        <f aca="false">CHOOSE(Dashboard!$B$4,B43,C43,D43)</f>
        <v>55000</v>
      </c>
      <c r="F43" s="37" t="s">
        <v>189</v>
      </c>
      <c r="G43" s="72"/>
    </row>
    <row r="44" customFormat="false" ht="15" hidden="false" customHeight="false" outlineLevel="0" collapsed="false">
      <c r="A44" s="6" t="s">
        <v>220</v>
      </c>
      <c r="B44" s="75" t="n">
        <v>0</v>
      </c>
      <c r="C44" s="75" t="n">
        <v>0</v>
      </c>
      <c r="D44" s="75" t="n">
        <v>0</v>
      </c>
      <c r="E44" s="76" t="n">
        <f aca="false">CHOOSE(Dashboard!$B$4,B44,C44,D44)</f>
        <v>0</v>
      </c>
      <c r="F44" s="37" t="s">
        <v>187</v>
      </c>
      <c r="G44" s="72" t="s">
        <v>183</v>
      </c>
    </row>
    <row r="45" customFormat="false" ht="15" hidden="false" customHeight="false" outlineLevel="0" collapsed="false">
      <c r="A45" s="6" t="s">
        <v>221</v>
      </c>
      <c r="B45" s="70" t="n">
        <v>1</v>
      </c>
      <c r="C45" s="70" t="n">
        <v>1</v>
      </c>
      <c r="D45" s="70" t="n">
        <v>1</v>
      </c>
      <c r="E45" s="71" t="n">
        <f aca="false">CHOOSE(Dashboard!$B$4,B45,C45,D45)</f>
        <v>1</v>
      </c>
      <c r="F45" s="37" t="s">
        <v>222</v>
      </c>
      <c r="G45" s="72"/>
    </row>
    <row r="46" customFormat="false" ht="15" hidden="false" customHeight="false" outlineLevel="0" collapsed="false">
      <c r="A46" s="6" t="s">
        <v>223</v>
      </c>
      <c r="B46" s="73" t="n">
        <v>3</v>
      </c>
      <c r="C46" s="73" t="n">
        <v>3</v>
      </c>
      <c r="D46" s="73" t="n">
        <v>3</v>
      </c>
      <c r="E46" s="74" t="n">
        <f aca="false">CHOOSE(Dashboard!$B$4,B46,C46,D46)</f>
        <v>3</v>
      </c>
      <c r="F46" s="37" t="s">
        <v>218</v>
      </c>
      <c r="G46" s="72" t="s">
        <v>183</v>
      </c>
    </row>
    <row r="47" customFormat="false" ht="15" hidden="false" customHeight="false" outlineLevel="0" collapsed="false">
      <c r="A47" s="6" t="s">
        <v>224</v>
      </c>
      <c r="B47" s="77" t="n">
        <v>32000</v>
      </c>
      <c r="C47" s="77" t="n">
        <v>32000</v>
      </c>
      <c r="D47" s="77" t="n">
        <v>32000</v>
      </c>
      <c r="E47" s="78" t="n">
        <f aca="false">CHOOSE(Dashboard!$B$4,B47,C47,D47)</f>
        <v>32000</v>
      </c>
      <c r="F47" s="37" t="s">
        <v>189</v>
      </c>
      <c r="G47" s="72"/>
    </row>
    <row r="48" customFormat="false" ht="15" hidden="false" customHeight="false" outlineLevel="0" collapsed="false">
      <c r="A48" s="6" t="s">
        <v>225</v>
      </c>
      <c r="B48" s="75" t="n">
        <v>0</v>
      </c>
      <c r="C48" s="75" t="n">
        <v>0</v>
      </c>
      <c r="D48" s="75" t="n">
        <v>0</v>
      </c>
      <c r="E48" s="76" t="n">
        <f aca="false">CHOOSE(Dashboard!$B$4,B48,C48,D48)</f>
        <v>0</v>
      </c>
      <c r="F48" s="37" t="s">
        <v>187</v>
      </c>
      <c r="G48" s="72" t="s">
        <v>183</v>
      </c>
    </row>
    <row r="49" customFormat="false" ht="15" hidden="false" customHeight="false" outlineLevel="0" collapsed="false">
      <c r="A49" s="6" t="s">
        <v>226</v>
      </c>
      <c r="B49" s="70" t="n">
        <v>1</v>
      </c>
      <c r="C49" s="70" t="n">
        <v>1</v>
      </c>
      <c r="D49" s="70" t="n">
        <v>1</v>
      </c>
      <c r="E49" s="71" t="n">
        <f aca="false">CHOOSE(Dashboard!$B$4,B49,C49,D49)</f>
        <v>1</v>
      </c>
      <c r="F49" s="37" t="s">
        <v>222</v>
      </c>
      <c r="G49" s="72"/>
    </row>
    <row r="50" customFormat="false" ht="15" hidden="false" customHeight="false" outlineLevel="0" collapsed="false">
      <c r="A50" s="6" t="s">
        <v>227</v>
      </c>
      <c r="B50" s="75" t="n">
        <v>0.1</v>
      </c>
      <c r="C50" s="75" t="n">
        <v>0.1</v>
      </c>
      <c r="D50" s="75" t="n">
        <v>0.1</v>
      </c>
      <c r="E50" s="76" t="n">
        <f aca="false">CHOOSE(Dashboard!$B$4,B50,C50,D50)</f>
        <v>0.1</v>
      </c>
      <c r="F50" s="37" t="s">
        <v>187</v>
      </c>
      <c r="G50" s="72"/>
    </row>
    <row r="51" customFormat="false" ht="15" hidden="false" customHeight="false" outlineLevel="0" collapsed="false">
      <c r="A51" s="6" t="s">
        <v>228</v>
      </c>
      <c r="B51" s="75" t="n">
        <v>0.03</v>
      </c>
      <c r="C51" s="75" t="n">
        <v>0.03</v>
      </c>
      <c r="D51" s="75" t="n">
        <v>0.03</v>
      </c>
      <c r="E51" s="76" t="n">
        <f aca="false">CHOOSE(Dashboard!$B$4,B51,C51,D51)</f>
        <v>0.03</v>
      </c>
      <c r="F51" s="37" t="s">
        <v>187</v>
      </c>
      <c r="G51" s="72"/>
    </row>
    <row r="53" customFormat="false" ht="15.75" hidden="false" customHeight="true" outlineLevel="0" collapsed="false">
      <c r="A53" s="7" t="s">
        <v>229</v>
      </c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6" t="s">
        <v>230</v>
      </c>
      <c r="B54" s="77" t="n">
        <v>330000</v>
      </c>
      <c r="C54" s="77" t="n">
        <v>330000</v>
      </c>
      <c r="D54" s="77" t="n">
        <v>330000</v>
      </c>
      <c r="E54" s="78" t="n">
        <f aca="false">CHOOSE(Dashboard!$B$4,B54,C54,D54)</f>
        <v>330000</v>
      </c>
      <c r="F54" s="37" t="s">
        <v>189</v>
      </c>
      <c r="G54" s="72"/>
    </row>
    <row r="55" customFormat="false" ht="15" hidden="false" customHeight="false" outlineLevel="0" collapsed="false">
      <c r="A55" s="6" t="s">
        <v>231</v>
      </c>
      <c r="B55" s="77" t="n">
        <v>150000</v>
      </c>
      <c r="C55" s="77" t="n">
        <v>150000</v>
      </c>
      <c r="D55" s="77" t="n">
        <v>150000</v>
      </c>
      <c r="E55" s="78" t="n">
        <f aca="false">CHOOSE(Dashboard!$B$4,B55,C55,D55)</f>
        <v>150000</v>
      </c>
      <c r="F55" s="37" t="s">
        <v>189</v>
      </c>
      <c r="G55" s="72"/>
    </row>
    <row r="56" customFormat="false" ht="15" hidden="false" customHeight="false" outlineLevel="0" collapsed="false">
      <c r="A56" s="6" t="s">
        <v>232</v>
      </c>
      <c r="B56" s="75" t="n">
        <v>0.08</v>
      </c>
      <c r="C56" s="75" t="n">
        <v>0.08</v>
      </c>
      <c r="D56" s="75" t="n">
        <v>0.08</v>
      </c>
      <c r="E56" s="76" t="n">
        <f aca="false">CHOOSE(Dashboard!$B$4,B56,C56,D56)</f>
        <v>0.08</v>
      </c>
      <c r="F56" s="37" t="s">
        <v>187</v>
      </c>
      <c r="G56" s="72"/>
    </row>
    <row r="57" customFormat="false" ht="15" hidden="false" customHeight="false" outlineLevel="0" collapsed="false">
      <c r="A57" s="6" t="s">
        <v>233</v>
      </c>
      <c r="B57" s="70" t="n">
        <v>7</v>
      </c>
      <c r="C57" s="70" t="n">
        <v>7</v>
      </c>
      <c r="D57" s="70" t="n">
        <v>7</v>
      </c>
      <c r="E57" s="71" t="n">
        <f aca="false">CHOOSE(Dashboard!$B$4,B57,C57,D57)</f>
        <v>7</v>
      </c>
      <c r="F57" s="37" t="s">
        <v>234</v>
      </c>
      <c r="G57" s="72"/>
    </row>
    <row r="59" customFormat="false" ht="15.75" hidden="false" customHeight="true" outlineLevel="0" collapsed="false">
      <c r="A59" s="7" t="s">
        <v>235</v>
      </c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6" t="s">
        <v>236</v>
      </c>
      <c r="B60" s="70" t="n">
        <v>0</v>
      </c>
      <c r="C60" s="70" t="n">
        <v>0</v>
      </c>
      <c r="D60" s="70" t="n">
        <v>0</v>
      </c>
      <c r="E60" s="71" t="n">
        <f aca="false">CHOOSE(Dashboard!$B$4,B60,C60,D60)</f>
        <v>0</v>
      </c>
      <c r="F60" s="37" t="s">
        <v>237</v>
      </c>
      <c r="G60" s="72"/>
    </row>
    <row r="61" customFormat="false" ht="15" hidden="false" customHeight="false" outlineLevel="0" collapsed="false">
      <c r="A61" s="6" t="s">
        <v>238</v>
      </c>
      <c r="B61" s="70" t="n">
        <v>10</v>
      </c>
      <c r="C61" s="70" t="n">
        <v>10</v>
      </c>
      <c r="D61" s="70" t="n">
        <v>10</v>
      </c>
      <c r="E61" s="71" t="n">
        <f aca="false">CHOOSE(Dashboard!$B$4,B61,C61,D61)</f>
        <v>10</v>
      </c>
      <c r="F61" s="37" t="s">
        <v>237</v>
      </c>
      <c r="G61" s="72"/>
    </row>
    <row r="62" customFormat="false" ht="15" hidden="false" customHeight="false" outlineLevel="0" collapsed="false">
      <c r="A62" s="6" t="s">
        <v>239</v>
      </c>
      <c r="B62" s="70" t="n">
        <v>20</v>
      </c>
      <c r="C62" s="70" t="n">
        <v>20</v>
      </c>
      <c r="D62" s="70" t="n">
        <v>20</v>
      </c>
      <c r="E62" s="71" t="n">
        <f aca="false">CHOOSE(Dashboard!$B$4,B62,C62,D62)</f>
        <v>20</v>
      </c>
      <c r="F62" s="37" t="s">
        <v>237</v>
      </c>
      <c r="G62" s="72"/>
    </row>
    <row r="64" customFormat="false" ht="15.75" hidden="false" customHeight="true" outlineLevel="0" collapsed="false">
      <c r="A64" s="7" t="s">
        <v>240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241</v>
      </c>
      <c r="B65" s="70" t="n">
        <v>7</v>
      </c>
      <c r="C65" s="70" t="n">
        <v>7</v>
      </c>
      <c r="D65" s="70" t="n">
        <v>7</v>
      </c>
      <c r="E65" s="71" t="n">
        <f aca="false">CHOOSE(Dashboard!$B$4,B65,C65,D65)</f>
        <v>7</v>
      </c>
      <c r="F65" s="37" t="s">
        <v>234</v>
      </c>
      <c r="G65" s="72"/>
    </row>
    <row r="66" customFormat="false" ht="15" hidden="false" customHeight="false" outlineLevel="0" collapsed="false">
      <c r="A66" s="6" t="s">
        <v>242</v>
      </c>
      <c r="B66" s="75" t="n">
        <v>0.21</v>
      </c>
      <c r="C66" s="75" t="n">
        <v>0.21</v>
      </c>
      <c r="D66" s="75" t="n">
        <v>0.21</v>
      </c>
      <c r="E66" s="76" t="n">
        <f aca="false">CHOOSE(Dashboard!$B$4,B66,C66,D66)</f>
        <v>0.21</v>
      </c>
      <c r="F66" s="37" t="s">
        <v>187</v>
      </c>
      <c r="G66" s="72"/>
    </row>
    <row r="68" customFormat="false" ht="15.75" hidden="false" customHeight="true" outlineLevel="0" collapsed="false">
      <c r="A68" s="7" t="s">
        <v>243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127</v>
      </c>
      <c r="B69" s="77" t="n">
        <v>111000</v>
      </c>
      <c r="C69" s="77" t="n">
        <v>111000</v>
      </c>
      <c r="D69" s="77" t="n">
        <v>111000</v>
      </c>
      <c r="E69" s="78" t="n">
        <f aca="false">CHOOSE(Dashboard!$B$4,B69,C69,D69)</f>
        <v>111000</v>
      </c>
      <c r="F69" s="37" t="s">
        <v>189</v>
      </c>
      <c r="G69" s="72" t="s">
        <v>244</v>
      </c>
    </row>
    <row r="71" customFormat="false" ht="15.75" hidden="false" customHeight="true" outlineLevel="0" collapsed="false">
      <c r="A71" s="7" t="s">
        <v>245</v>
      </c>
      <c r="B71" s="7"/>
      <c r="C71" s="7"/>
      <c r="D71" s="7"/>
      <c r="E71" s="7"/>
      <c r="F71" s="7"/>
      <c r="G71" s="7"/>
    </row>
    <row r="72" customFormat="false" ht="15" hidden="false" customHeight="false" outlineLevel="0" collapsed="false">
      <c r="A72" s="6" t="s">
        <v>148</v>
      </c>
      <c r="B72" s="75" t="n">
        <v>0.3</v>
      </c>
      <c r="C72" s="75" t="n">
        <v>0.25</v>
      </c>
      <c r="D72" s="75" t="n">
        <v>0.2</v>
      </c>
      <c r="E72" s="76" t="n">
        <f aca="false">CHOOSE(Dashboard!$B$4,B72,C72,D72)</f>
        <v>0.25</v>
      </c>
      <c r="F72" s="37" t="s">
        <v>187</v>
      </c>
      <c r="G72" s="72" t="s">
        <v>192</v>
      </c>
    </row>
    <row r="73" customFormat="false" ht="15" hidden="false" customHeight="false" outlineLevel="0" collapsed="false">
      <c r="A73" s="6" t="s">
        <v>246</v>
      </c>
      <c r="B73" s="75" t="n">
        <v>0.01</v>
      </c>
      <c r="C73" s="75" t="n">
        <v>0.02</v>
      </c>
      <c r="D73" s="75" t="n">
        <v>0.03</v>
      </c>
      <c r="E73" s="76" t="n">
        <f aca="false">CHOOSE(Dashboard!$B$4,B73,C73,D73)</f>
        <v>0.02</v>
      </c>
      <c r="F73" s="37" t="s">
        <v>187</v>
      </c>
      <c r="G73" s="72" t="s">
        <v>183</v>
      </c>
    </row>
    <row r="74" customFormat="false" ht="15" hidden="false" customHeight="false" outlineLevel="0" collapsed="false">
      <c r="A74" s="6" t="s">
        <v>150</v>
      </c>
      <c r="B74" s="81" t="n">
        <v>3</v>
      </c>
      <c r="C74" s="81" t="n">
        <v>4</v>
      </c>
      <c r="D74" s="81" t="n">
        <v>5</v>
      </c>
      <c r="E74" s="82" t="n">
        <f aca="false">CHOOSE(Dashboard!$B$4,B74,C74,D74)</f>
        <v>4</v>
      </c>
      <c r="F74" s="37" t="s">
        <v>247</v>
      </c>
      <c r="G74" s="72" t="s">
        <v>183</v>
      </c>
    </row>
    <row r="75" customFormat="false" ht="15" hidden="false" customHeight="false" outlineLevel="0" collapsed="false">
      <c r="A75" s="6" t="s">
        <v>248</v>
      </c>
      <c r="B75" s="75" t="n">
        <v>0.01</v>
      </c>
      <c r="C75" s="75" t="n">
        <v>0.01</v>
      </c>
      <c r="D75" s="75" t="n">
        <v>0.01</v>
      </c>
      <c r="E75" s="76" t="n">
        <f aca="false">CHOOSE(Dashboard!$B$4,B75,C75,D75)</f>
        <v>0.01</v>
      </c>
      <c r="F75" s="37" t="s">
        <v>187</v>
      </c>
      <c r="G75" s="72"/>
    </row>
    <row r="76" customFormat="false" ht="15" hidden="false" customHeight="false" outlineLevel="0" collapsed="false">
      <c r="A76" s="6" t="s">
        <v>249</v>
      </c>
      <c r="B76" s="75" t="n">
        <v>0.005</v>
      </c>
      <c r="C76" s="75" t="n">
        <v>0.005</v>
      </c>
      <c r="D76" s="75" t="n">
        <v>0.005</v>
      </c>
      <c r="E76" s="76" t="n">
        <f aca="false">CHOOSE(Dashboard!$B$4,B76,C76,D76)</f>
        <v>0.005</v>
      </c>
      <c r="F76" s="37" t="s">
        <v>187</v>
      </c>
      <c r="G76" s="72"/>
    </row>
    <row r="78" customFormat="false" ht="15" hidden="false" customHeight="false" outlineLevel="0" collapsed="false">
      <c r="A78" s="21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17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251</v>
      </c>
    </row>
    <row r="3" customFormat="false" ht="15" hidden="false" customHeight="false" outlineLevel="0" collapsed="false">
      <c r="A3" s="47" t="s">
        <v>69</v>
      </c>
      <c r="B3" s="47" t="n">
        <v>1</v>
      </c>
      <c r="C3" s="47" t="n">
        <v>2</v>
      </c>
      <c r="D3" s="47" t="n">
        <v>3</v>
      </c>
      <c r="E3" s="47" t="n">
        <v>4</v>
      </c>
      <c r="F3" s="47" t="n">
        <v>5</v>
      </c>
    </row>
    <row r="4" customFormat="false" ht="15" hidden="false" customHeight="false" outlineLevel="0" collapsed="false">
      <c r="A4" s="32"/>
      <c r="B4" s="48" t="s">
        <v>70</v>
      </c>
      <c r="C4" s="48" t="s">
        <v>71</v>
      </c>
      <c r="D4" s="48" t="s">
        <v>72</v>
      </c>
      <c r="E4" s="48" t="s">
        <v>73</v>
      </c>
      <c r="F4" s="48" t="s">
        <v>74</v>
      </c>
    </row>
    <row r="5" customFormat="false" ht="15" hidden="false" customHeight="false" outlineLevel="0" collapsed="false">
      <c r="A5" s="4" t="s">
        <v>40</v>
      </c>
      <c r="B5" s="64" t="n">
        <f aca="false">SUMIF(Monthly!$C$5:$BJ$5,B$3,Monthly!$C$24:$BJ$24)</f>
        <v>393075.459761719</v>
      </c>
      <c r="C5" s="64" t="n">
        <f aca="false">SUMIF(Monthly!$C$5:$BJ$5,C$3,Monthly!$C$24:$BJ$24)</f>
        <v>663933.884151801</v>
      </c>
      <c r="D5" s="64" t="n">
        <f aca="false">SUMIF(Monthly!$C$5:$BJ$5,D$3,Monthly!$C$24:$BJ$24)</f>
        <v>722638.4004</v>
      </c>
      <c r="E5" s="64" t="n">
        <f aca="false">SUMIF(Monthly!$C$5:$BJ$5,E$3,Monthly!$C$24:$BJ$24)</f>
        <v>744317.552412</v>
      </c>
      <c r="F5" s="64" t="n">
        <f aca="false">SUMIF(Monthly!$C$5:$BJ$5,F$3,Monthly!$C$24:$BJ$24)</f>
        <v>766647.07898436</v>
      </c>
    </row>
    <row r="6" customFormat="false" ht="15" hidden="false" customHeight="false" outlineLevel="0" collapsed="false">
      <c r="A6" s="6" t="s">
        <v>92</v>
      </c>
      <c r="B6" s="59" t="n">
        <f aca="false">SUMIF(Monthly!$C$5:$BJ$5,B$3,Monthly!$C$30:$BJ$30)</f>
        <v>-130230.575512312</v>
      </c>
      <c r="C6" s="59" t="n">
        <f aca="false">SUMIF(Monthly!$C$5:$BJ$5,C$3,Monthly!$C$30:$BJ$30)</f>
        <v>-159653.761261855</v>
      </c>
      <c r="D6" s="59" t="n">
        <f aca="false">SUMIF(Monthly!$C$5:$BJ$5,D$3,Monthly!$C$30:$BJ$30)</f>
        <v>-168619.446</v>
      </c>
      <c r="E6" s="59" t="n">
        <f aca="false">SUMIF(Monthly!$C$5:$BJ$5,E$3,Monthly!$C$30:$BJ$30)</f>
        <v>-173678.02938</v>
      </c>
      <c r="F6" s="59" t="n">
        <f aca="false">SUMIF(Monthly!$C$5:$BJ$5,F$3,Monthly!$C$30:$BJ$30)</f>
        <v>-178888.3702614</v>
      </c>
    </row>
    <row r="7" customFormat="false" ht="15" hidden="false" customHeight="false" outlineLevel="0" collapsed="false">
      <c r="A7" s="83" t="s">
        <v>41</v>
      </c>
      <c r="B7" s="60" t="n">
        <f aca="false">SUMIF(Monthly!$C$5:$BJ$5,B$3,Monthly!$C$31:$BJ$31)</f>
        <v>262844.884249407</v>
      </c>
      <c r="C7" s="60" t="n">
        <f aca="false">SUMIF(Monthly!$C$5:$BJ$5,C$3,Monthly!$C$31:$BJ$31)</f>
        <v>504280.122889946</v>
      </c>
      <c r="D7" s="60" t="n">
        <f aca="false">SUMIF(Monthly!$C$5:$BJ$5,D$3,Monthly!$C$31:$BJ$31)</f>
        <v>554018.9544</v>
      </c>
      <c r="E7" s="60" t="n">
        <f aca="false">SUMIF(Monthly!$C$5:$BJ$5,E$3,Monthly!$C$31:$BJ$31)</f>
        <v>570639.523032</v>
      </c>
      <c r="F7" s="60" t="n">
        <f aca="false">SUMIF(Monthly!$C$5:$BJ$5,F$3,Monthly!$C$31:$BJ$31)</f>
        <v>587758.70872296</v>
      </c>
    </row>
    <row r="8" customFormat="false" ht="15" hidden="false" customHeight="false" outlineLevel="0" collapsed="false">
      <c r="A8" s="37" t="s">
        <v>42</v>
      </c>
      <c r="B8" s="51" t="n">
        <f aca="false">IF(B5=0,0,B7/B5)</f>
        <v>0.668688104845678</v>
      </c>
      <c r="C8" s="51" t="n">
        <f aca="false">IF(C5=0,0,C7/C5)</f>
        <v>0.759533644730577</v>
      </c>
      <c r="D8" s="51" t="n">
        <f aca="false">IF(D5=0,0,D7/D5)</f>
        <v>0.766661381533746</v>
      </c>
      <c r="E8" s="51" t="n">
        <f aca="false">IF(E5=0,0,E7/E5)</f>
        <v>0.766661381533746</v>
      </c>
      <c r="F8" s="51" t="n">
        <f aca="false">IF(F5=0,0,F7/F5)</f>
        <v>0.766661381533746</v>
      </c>
    </row>
    <row r="9" customFormat="false" ht="15" hidden="false" customHeight="false" outlineLevel="0" collapsed="false">
      <c r="A9" s="6" t="s">
        <v>252</v>
      </c>
      <c r="B9" s="59" t="n">
        <f aca="false">SUMIF(Monthly!$C$5:$BJ$5,B$3,Monthly!$C$34:$BJ$34)</f>
        <v>-166100</v>
      </c>
      <c r="C9" s="59" t="n">
        <f aca="false">SUMIF(Monthly!$C$5:$BJ$5,C$3,Monthly!$C$34:$BJ$34)</f>
        <v>-171083</v>
      </c>
      <c r="D9" s="59" t="n">
        <f aca="false">SUMIF(Monthly!$C$5:$BJ$5,D$3,Monthly!$C$34:$BJ$34)</f>
        <v>-176215.49</v>
      </c>
      <c r="E9" s="59" t="n">
        <f aca="false">SUMIF(Monthly!$C$5:$BJ$5,E$3,Monthly!$C$34:$BJ$34)</f>
        <v>-181501.9547</v>
      </c>
      <c r="F9" s="59" t="n">
        <f aca="false">SUMIF(Monthly!$C$5:$BJ$5,F$3,Monthly!$C$34:$BJ$34)</f>
        <v>-186947.013341</v>
      </c>
    </row>
    <row r="10" customFormat="false" ht="15" hidden="false" customHeight="false" outlineLevel="0" collapsed="false">
      <c r="A10" s="6" t="s">
        <v>253</v>
      </c>
      <c r="B10" s="59" t="n">
        <f aca="false">SUMIF(Monthly!$C$5:$BJ$5,B$3,Monthly!$C$35:$BJ$35)</f>
        <v>-48000</v>
      </c>
      <c r="C10" s="59" t="n">
        <f aca="false">SUMIF(Monthly!$C$5:$BJ$5,C$3,Monthly!$C$35:$BJ$35)</f>
        <v>-50400</v>
      </c>
      <c r="D10" s="59" t="n">
        <f aca="false">SUMIF(Monthly!$C$5:$BJ$5,D$3,Monthly!$C$35:$BJ$35)</f>
        <v>-52920</v>
      </c>
      <c r="E10" s="59" t="n">
        <f aca="false">SUMIF(Monthly!$C$5:$BJ$5,E$3,Monthly!$C$35:$BJ$35)</f>
        <v>-55566</v>
      </c>
      <c r="F10" s="59" t="n">
        <f aca="false">SUMIF(Monthly!$C$5:$BJ$5,F$3,Monthly!$C$35:$BJ$35)</f>
        <v>-58344.3</v>
      </c>
    </row>
    <row r="11" customFormat="false" ht="15" hidden="false" customHeight="false" outlineLevel="0" collapsed="false">
      <c r="A11" s="6" t="s">
        <v>254</v>
      </c>
      <c r="B11" s="59" t="n">
        <f aca="false">SUMIF(Monthly!$C$5:$BJ$5,B$3,Monthly!$C$36:$BJ$36)</f>
        <v>-144000</v>
      </c>
      <c r="C11" s="59" t="n">
        <f aca="false">SUMIF(Monthly!$C$5:$BJ$5,C$3,Monthly!$C$36:$BJ$36)</f>
        <v>-144000</v>
      </c>
      <c r="D11" s="59" t="n">
        <f aca="false">SUMIF(Monthly!$C$5:$BJ$5,D$3,Monthly!$C$36:$BJ$36)</f>
        <v>-144000</v>
      </c>
      <c r="E11" s="59" t="n">
        <f aca="false">SUMIF(Monthly!$C$5:$BJ$5,E$3,Monthly!$C$36:$BJ$36)</f>
        <v>-144000</v>
      </c>
      <c r="F11" s="59" t="n">
        <f aca="false">SUMIF(Monthly!$C$5:$BJ$5,F$3,Monthly!$C$36:$BJ$36)</f>
        <v>-144000</v>
      </c>
    </row>
    <row r="12" customFormat="false" ht="15" hidden="false" customHeight="false" outlineLevel="0" collapsed="false">
      <c r="A12" s="6" t="s">
        <v>255</v>
      </c>
      <c r="B12" s="59" t="n">
        <f aca="false">SUMIF(Monthly!$C$5:$BJ$5,B$3,Monthly!$C$37:$BJ$37)</f>
        <v>-26400</v>
      </c>
      <c r="C12" s="59" t="n">
        <f aca="false">SUMIF(Monthly!$C$5:$BJ$5,C$3,Monthly!$C$37:$BJ$37)</f>
        <v>-26400</v>
      </c>
      <c r="D12" s="59" t="n">
        <f aca="false">SUMIF(Monthly!$C$5:$BJ$5,D$3,Monthly!$C$37:$BJ$37)</f>
        <v>-26400</v>
      </c>
      <c r="E12" s="59" t="n">
        <f aca="false">SUMIF(Monthly!$C$5:$BJ$5,E$3,Monthly!$C$37:$BJ$37)</f>
        <v>-26400</v>
      </c>
      <c r="F12" s="59" t="n">
        <f aca="false">SUMIF(Monthly!$C$5:$BJ$5,F$3,Monthly!$C$37:$BJ$37)</f>
        <v>-26400</v>
      </c>
    </row>
    <row r="13" customFormat="false" ht="15" hidden="false" customHeight="false" outlineLevel="0" collapsed="false">
      <c r="A13" s="6" t="s">
        <v>256</v>
      </c>
      <c r="B13" s="59" t="n">
        <f aca="false">SUMIF(Monthly!$C$5:$BJ$5,B$3,Monthly!$C$38:$BJ$38)</f>
        <v>-21600</v>
      </c>
      <c r="C13" s="59" t="n">
        <f aca="false">SUMIF(Monthly!$C$5:$BJ$5,C$3,Monthly!$C$38:$BJ$38)</f>
        <v>-21600</v>
      </c>
      <c r="D13" s="59" t="n">
        <f aca="false">SUMIF(Monthly!$C$5:$BJ$5,D$3,Monthly!$C$38:$BJ$38)</f>
        <v>-21600</v>
      </c>
      <c r="E13" s="59" t="n">
        <f aca="false">SUMIF(Monthly!$C$5:$BJ$5,E$3,Monthly!$C$38:$BJ$38)</f>
        <v>-21600</v>
      </c>
      <c r="F13" s="59" t="n">
        <f aca="false">SUMIF(Monthly!$C$5:$BJ$5,F$3,Monthly!$C$38:$BJ$38)</f>
        <v>-21600</v>
      </c>
    </row>
    <row r="14" customFormat="false" ht="15" hidden="false" customHeight="false" outlineLevel="0" collapsed="false">
      <c r="A14" s="6" t="s">
        <v>257</v>
      </c>
      <c r="B14" s="59" t="n">
        <f aca="false">SUMIF(Monthly!$C$5:$BJ$5,B$3,Monthly!$C$39:$BJ$39)</f>
        <v>-15723.0183904688</v>
      </c>
      <c r="C14" s="59" t="n">
        <f aca="false">SUMIF(Monthly!$C$5:$BJ$5,C$3,Monthly!$C$39:$BJ$39)</f>
        <v>-26557.355366072</v>
      </c>
      <c r="D14" s="59" t="n">
        <f aca="false">SUMIF(Monthly!$C$5:$BJ$5,D$3,Monthly!$C$39:$BJ$39)</f>
        <v>-28905.536016</v>
      </c>
      <c r="E14" s="59" t="n">
        <f aca="false">SUMIF(Monthly!$C$5:$BJ$5,E$3,Monthly!$C$39:$BJ$39)</f>
        <v>-29772.70209648</v>
      </c>
      <c r="F14" s="59" t="n">
        <f aca="false">SUMIF(Monthly!$C$5:$BJ$5,F$3,Monthly!$C$39:$BJ$39)</f>
        <v>-30665.8831593744</v>
      </c>
    </row>
    <row r="15" customFormat="false" ht="15" hidden="false" customHeight="false" outlineLevel="0" collapsed="false">
      <c r="A15" s="6" t="s">
        <v>258</v>
      </c>
      <c r="B15" s="59" t="n">
        <f aca="false">SUMIF(Monthly!$C$5:$BJ$5,B$3,Monthly!$C$40:$BJ$40)</f>
        <v>-24000</v>
      </c>
      <c r="C15" s="59" t="n">
        <f aca="false">SUMIF(Monthly!$C$5:$BJ$5,C$3,Monthly!$C$40:$BJ$40)</f>
        <v>-24000</v>
      </c>
      <c r="D15" s="59" t="n">
        <f aca="false">SUMIF(Monthly!$C$5:$BJ$5,D$3,Monthly!$C$40:$BJ$40)</f>
        <v>-24000</v>
      </c>
      <c r="E15" s="59" t="n">
        <f aca="false">SUMIF(Monthly!$C$5:$BJ$5,E$3,Monthly!$C$40:$BJ$40)</f>
        <v>-24000</v>
      </c>
      <c r="F15" s="59" t="n">
        <f aca="false">SUMIF(Monthly!$C$5:$BJ$5,F$3,Monthly!$C$40:$BJ$40)</f>
        <v>-24000</v>
      </c>
    </row>
    <row r="16" customFormat="false" ht="15" hidden="false" customHeight="false" outlineLevel="0" collapsed="false">
      <c r="A16" s="83" t="s">
        <v>93</v>
      </c>
      <c r="B16" s="60" t="n">
        <f aca="false">SUMIF(Monthly!$C$5:$BJ$5,B$3,Monthly!$C$41:$BJ$41)</f>
        <v>-445823.018390469</v>
      </c>
      <c r="C16" s="60" t="n">
        <f aca="false">SUMIF(Monthly!$C$5:$BJ$5,C$3,Monthly!$C$41:$BJ$41)</f>
        <v>-464040.355366072</v>
      </c>
      <c r="D16" s="60" t="n">
        <f aca="false">SUMIF(Monthly!$C$5:$BJ$5,D$3,Monthly!$C$41:$BJ$41)</f>
        <v>-474041.026016</v>
      </c>
      <c r="E16" s="60" t="n">
        <f aca="false">SUMIF(Monthly!$C$5:$BJ$5,E$3,Monthly!$C$41:$BJ$41)</f>
        <v>-482840.65679648</v>
      </c>
      <c r="F16" s="60" t="n">
        <f aca="false">SUMIF(Monthly!$C$5:$BJ$5,F$3,Monthly!$C$41:$BJ$41)</f>
        <v>-491957.196500374</v>
      </c>
    </row>
    <row r="17" customFormat="false" ht="15" hidden="false" customHeight="false" outlineLevel="0" collapsed="false">
      <c r="A17" s="83" t="s">
        <v>44</v>
      </c>
      <c r="B17" s="60" t="n">
        <f aca="false">SUMIF(Monthly!$C$5:$BJ$5,B$3,Monthly!$C$42:$BJ$42)</f>
        <v>-182978.134141062</v>
      </c>
      <c r="C17" s="60" t="n">
        <f aca="false">SUMIF(Monthly!$C$5:$BJ$5,C$3,Monthly!$C$42:$BJ$42)</f>
        <v>40239.7675238735</v>
      </c>
      <c r="D17" s="60" t="n">
        <f aca="false">SUMIF(Monthly!$C$5:$BJ$5,D$3,Monthly!$C$42:$BJ$42)</f>
        <v>79977.9283840001</v>
      </c>
      <c r="E17" s="60" t="n">
        <f aca="false">SUMIF(Monthly!$C$5:$BJ$5,E$3,Monthly!$C$42:$BJ$42)</f>
        <v>87798.8662355202</v>
      </c>
      <c r="F17" s="60" t="n">
        <f aca="false">SUMIF(Monthly!$C$5:$BJ$5,F$3,Monthly!$C$42:$BJ$42)</f>
        <v>95801.5122225856</v>
      </c>
    </row>
    <row r="18" customFormat="false" ht="15" hidden="false" customHeight="false" outlineLevel="0" collapsed="false">
      <c r="A18" s="37" t="s">
        <v>45</v>
      </c>
      <c r="B18" s="51" t="n">
        <f aca="false">IF(B5=0,0,B17/B5)</f>
        <v>-0.465503835451804</v>
      </c>
      <c r="C18" s="51" t="n">
        <f aca="false">IF(C5=0,0,C17/C5)</f>
        <v>0.0606080943967504</v>
      </c>
      <c r="D18" s="51" t="n">
        <f aca="false">IF(D5=0,0,D17/D5)</f>
        <v>0.110674894026847</v>
      </c>
      <c r="E18" s="51" t="n">
        <f aca="false">IF(E5=0,0,E17/E5)</f>
        <v>0.117958881865681</v>
      </c>
      <c r="F18" s="51" t="n">
        <f aca="false">IF(F5=0,0,F17/F5)</f>
        <v>0.124961686868359</v>
      </c>
    </row>
    <row r="19" customFormat="false" ht="15" hidden="false" customHeight="false" outlineLevel="0" collapsed="false">
      <c r="A19" s="6" t="s">
        <v>94</v>
      </c>
      <c r="B19" s="59" t="n">
        <f aca="false">SUMIF(Monthly!$C$5:$BJ$5,B$3,Monthly!$C$56:$BJ$56)</f>
        <v>-35714.2857142857</v>
      </c>
      <c r="C19" s="59" t="n">
        <f aca="false">SUMIF(Monthly!$C$5:$BJ$5,C$3,Monthly!$C$56:$BJ$56)</f>
        <v>-35714.2857142857</v>
      </c>
      <c r="D19" s="59" t="n">
        <f aca="false">SUMIF(Monthly!$C$5:$BJ$5,D$3,Monthly!$C$56:$BJ$56)</f>
        <v>-35714.2857142857</v>
      </c>
      <c r="E19" s="59" t="n">
        <f aca="false">SUMIF(Monthly!$C$5:$BJ$5,E$3,Monthly!$C$56:$BJ$56)</f>
        <v>-35714.2857142857</v>
      </c>
      <c r="F19" s="59" t="n">
        <f aca="false">SUMIF(Monthly!$C$5:$BJ$5,F$3,Monthly!$C$56:$BJ$56)</f>
        <v>-35714.2857142857</v>
      </c>
    </row>
    <row r="20" customFormat="false" ht="15" hidden="false" customHeight="false" outlineLevel="0" collapsed="false">
      <c r="A20" s="4" t="s">
        <v>95</v>
      </c>
      <c r="B20" s="64" t="n">
        <f aca="false">SUMIF(Monthly!$C$5:$BJ$5,B$3,Monthly!$C$45:$BJ$45)</f>
        <v>-218692.419855347</v>
      </c>
      <c r="C20" s="64" t="n">
        <f aca="false">SUMIF(Monthly!$C$5:$BJ$5,C$3,Monthly!$C$45:$BJ$45)</f>
        <v>4525.48180958777</v>
      </c>
      <c r="D20" s="64" t="n">
        <f aca="false">SUMIF(Monthly!$C$5:$BJ$5,D$3,Monthly!$C$45:$BJ$45)</f>
        <v>44263.6426697144</v>
      </c>
      <c r="E20" s="64" t="n">
        <f aca="false">SUMIF(Monthly!$C$5:$BJ$5,E$3,Monthly!$C$45:$BJ$45)</f>
        <v>52084.5805212345</v>
      </c>
      <c r="F20" s="64" t="n">
        <f aca="false">SUMIF(Monthly!$C$5:$BJ$5,F$3,Monthly!$C$45:$BJ$45)</f>
        <v>60087.2265082999</v>
      </c>
    </row>
    <row r="21" customFormat="false" ht="15" hidden="false" customHeight="false" outlineLevel="0" collapsed="false">
      <c r="A21" s="6" t="s">
        <v>96</v>
      </c>
      <c r="B21" s="59" t="n">
        <f aca="false">SUMIF(Monthly!$C$5:$BJ$5,B$3,Monthly!$C$46:$BJ$46)</f>
        <v>-11279.7619047619</v>
      </c>
      <c r="C21" s="59" t="n">
        <f aca="false">SUMIF(Monthly!$C$5:$BJ$5,C$3,Monthly!$C$46:$BJ$46)</f>
        <v>-9571.42857142857</v>
      </c>
      <c r="D21" s="59" t="n">
        <f aca="false">SUMIF(Monthly!$C$5:$BJ$5,D$3,Monthly!$C$46:$BJ$46)</f>
        <v>-7857.14285714285</v>
      </c>
      <c r="E21" s="59" t="n">
        <f aca="false">SUMIF(Monthly!$C$5:$BJ$5,E$3,Monthly!$C$46:$BJ$46)</f>
        <v>-6142.85714285713</v>
      </c>
      <c r="F21" s="59" t="n">
        <f aca="false">SUMIF(Monthly!$C$5:$BJ$5,F$3,Monthly!$C$46:$BJ$46)</f>
        <v>-4428.57142857142</v>
      </c>
    </row>
    <row r="22" customFormat="false" ht="15" hidden="false" customHeight="false" outlineLevel="0" collapsed="false">
      <c r="A22" s="84" t="s">
        <v>97</v>
      </c>
      <c r="B22" s="85" t="n">
        <f aca="false">SUMIF(Monthly!$C$5:$BJ$5,B$3,Monthly!$C$47:$BJ$47)</f>
        <v>-229972.181760109</v>
      </c>
      <c r="C22" s="85" t="n">
        <f aca="false">SUMIF(Monthly!$C$5:$BJ$5,C$3,Monthly!$C$47:$BJ$47)</f>
        <v>-5045.9467618408</v>
      </c>
      <c r="D22" s="85" t="n">
        <f aca="false">SUMIF(Monthly!$C$5:$BJ$5,D$3,Monthly!$C$47:$BJ$47)</f>
        <v>36406.4998125715</v>
      </c>
      <c r="E22" s="85" t="n">
        <f aca="false">SUMIF(Monthly!$C$5:$BJ$5,E$3,Monthly!$C$47:$BJ$47)</f>
        <v>45941.7233783774</v>
      </c>
      <c r="F22" s="85" t="n">
        <f aca="false">SUMIF(Monthly!$C$5:$BJ$5,F$3,Monthly!$C$47:$BJ$47)</f>
        <v>55658.6550797285</v>
      </c>
    </row>
    <row r="23" customFormat="false" ht="15" hidden="false" customHeight="false" outlineLevel="0" collapsed="false">
      <c r="A23" s="6" t="s">
        <v>98</v>
      </c>
      <c r="B23" s="59" t="n">
        <f aca="false">SUMIF(Monthly!$C$5:$BJ$5,B$3,Monthly!$C$50:$BJ$50)</f>
        <v>0</v>
      </c>
      <c r="C23" s="59" t="n">
        <f aca="false">SUMIF(Monthly!$C$5:$BJ$5,C$3,Monthly!$C$50:$BJ$50)</f>
        <v>0</v>
      </c>
      <c r="D23" s="59" t="n">
        <f aca="false">SUMIF(Monthly!$C$5:$BJ$5,D$3,Monthly!$C$50:$BJ$50)</f>
        <v>0</v>
      </c>
      <c r="E23" s="59" t="n">
        <f aca="false">SUMIF(Monthly!$C$5:$BJ$5,E$3,Monthly!$C$50:$BJ$50)</f>
        <v>0</v>
      </c>
      <c r="F23" s="59" t="n">
        <f aca="false">SUMIF(Monthly!$C$5:$BJ$5,F$3,Monthly!$C$50:$BJ$50)</f>
        <v>0</v>
      </c>
    </row>
    <row r="24" customFormat="false" ht="15" hidden="false" customHeight="false" outlineLevel="0" collapsed="false">
      <c r="A24" s="62" t="s">
        <v>46</v>
      </c>
      <c r="B24" s="63" t="n">
        <f aca="false">SUMIF(Monthly!$C$5:$BJ$5,B$3,Monthly!$C$51:$BJ$51)</f>
        <v>-229972.181760109</v>
      </c>
      <c r="C24" s="63" t="n">
        <f aca="false">SUMIF(Monthly!$C$5:$BJ$5,C$3,Monthly!$C$51:$BJ$51)</f>
        <v>-5045.9467618408</v>
      </c>
      <c r="D24" s="63" t="n">
        <f aca="false">SUMIF(Monthly!$C$5:$BJ$5,D$3,Monthly!$C$51:$BJ$51)</f>
        <v>36406.4998125715</v>
      </c>
      <c r="E24" s="63" t="n">
        <f aca="false">SUMIF(Monthly!$C$5:$BJ$5,E$3,Monthly!$C$51:$BJ$51)</f>
        <v>45941.7233783774</v>
      </c>
      <c r="F24" s="63" t="n">
        <f aca="false">SUMIF(Monthly!$C$5:$BJ$5,F$3,Monthly!$C$51:$BJ$51)</f>
        <v>55658.6550797285</v>
      </c>
    </row>
    <row r="25" customFormat="false" ht="15" hidden="false" customHeight="false" outlineLevel="0" collapsed="false">
      <c r="A25" s="37" t="s">
        <v>47</v>
      </c>
      <c r="B25" s="51" t="n">
        <f aca="false">IF(B5=0,0,B24/B5)</f>
        <v>-0.585058609101463</v>
      </c>
      <c r="C25" s="51" t="n">
        <f aca="false">IF(C5=0,0,C24/C5)</f>
        <v>-0.00760007416745596</v>
      </c>
      <c r="D25" s="51" t="n">
        <f aca="false">IF(D5=0,0,D24/D5)</f>
        <v>0.0503799684495309</v>
      </c>
      <c r="E25" s="51" t="n">
        <f aca="false">IF(E5=0,0,E24/E5)</f>
        <v>0.0617232836032158</v>
      </c>
      <c r="F25" s="51" t="n">
        <f aca="false">IF(F5=0,0,F24/F5)</f>
        <v>0.0726001006270891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18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251</v>
      </c>
    </row>
    <row r="3" customFormat="false" ht="15" hidden="false" customHeight="false" outlineLevel="0" collapsed="false">
      <c r="A3" s="47" t="s">
        <v>69</v>
      </c>
      <c r="B3" s="47" t="n">
        <v>1</v>
      </c>
      <c r="C3" s="47" t="n">
        <v>2</v>
      </c>
      <c r="D3" s="47" t="n">
        <v>3</v>
      </c>
      <c r="E3" s="47" t="n">
        <v>4</v>
      </c>
      <c r="F3" s="47" t="n">
        <v>5</v>
      </c>
    </row>
    <row r="4" customFormat="false" ht="15" hidden="false" customHeight="false" outlineLevel="0" collapsed="false">
      <c r="A4" s="32"/>
      <c r="B4" s="48" t="s">
        <v>70</v>
      </c>
      <c r="C4" s="48" t="s">
        <v>71</v>
      </c>
      <c r="D4" s="48" t="s">
        <v>72</v>
      </c>
      <c r="E4" s="48" t="s">
        <v>73</v>
      </c>
      <c r="F4" s="48" t="s">
        <v>74</v>
      </c>
    </row>
    <row r="5" customFormat="false" ht="15" hidden="false" customHeight="false" outlineLevel="0" collapsed="false">
      <c r="A5" s="6" t="s">
        <v>46</v>
      </c>
      <c r="B5" s="59" t="n">
        <f aca="false">SUMIF(Monthly!$C$5:$BJ$5,B$3,Monthly!$C$51:$BJ$51)</f>
        <v>-229972.181760109</v>
      </c>
      <c r="C5" s="59" t="n">
        <f aca="false">SUMIF(Monthly!$C$5:$BJ$5,C$3,Monthly!$C$51:$BJ$51)</f>
        <v>-5045.9467618408</v>
      </c>
      <c r="D5" s="59" t="n">
        <f aca="false">SUMIF(Monthly!$C$5:$BJ$5,D$3,Monthly!$C$51:$BJ$51)</f>
        <v>36406.4998125715</v>
      </c>
      <c r="E5" s="59" t="n">
        <f aca="false">SUMIF(Monthly!$C$5:$BJ$5,E$3,Monthly!$C$51:$BJ$51)</f>
        <v>45941.7233783774</v>
      </c>
      <c r="F5" s="59" t="n">
        <f aca="false">SUMIF(Monthly!$C$5:$BJ$5,F$3,Monthly!$C$51:$BJ$51)</f>
        <v>55658.6550797285</v>
      </c>
    </row>
    <row r="6" customFormat="false" ht="15" hidden="false" customHeight="false" outlineLevel="0" collapsed="false">
      <c r="A6" s="6" t="s">
        <v>259</v>
      </c>
      <c r="B6" s="59" t="n">
        <f aca="false">-SUMIF(Monthly!$C$5:$BJ$5,B$3,Monthly!$C$56:$BJ$56)</f>
        <v>35714.2857142857</v>
      </c>
      <c r="C6" s="59" t="n">
        <f aca="false">-SUMIF(Monthly!$C$5:$BJ$5,C$3,Monthly!$C$56:$BJ$56)</f>
        <v>35714.2857142857</v>
      </c>
      <c r="D6" s="59" t="n">
        <f aca="false">-SUMIF(Monthly!$C$5:$BJ$5,D$3,Monthly!$C$56:$BJ$56)</f>
        <v>35714.2857142857</v>
      </c>
      <c r="E6" s="59" t="n">
        <f aca="false">-SUMIF(Monthly!$C$5:$BJ$5,E$3,Monthly!$C$56:$BJ$56)</f>
        <v>35714.2857142857</v>
      </c>
      <c r="F6" s="59" t="n">
        <f aca="false">-SUMIF(Monthly!$C$5:$BJ$5,F$3,Monthly!$C$56:$BJ$56)</f>
        <v>35714.2857142857</v>
      </c>
    </row>
    <row r="7" customFormat="false" ht="15" hidden="false" customHeight="false" outlineLevel="0" collapsed="false">
      <c r="A7" s="6" t="s">
        <v>260</v>
      </c>
      <c r="B7" s="59" t="n">
        <f aca="false">SUMIF(Monthly!$C$5:$BJ$5,B$3,Monthly!$C$70:$BJ$70)</f>
        <v>0</v>
      </c>
      <c r="C7" s="59" t="n">
        <f aca="false">SUMIF(Monthly!$C$5:$BJ$5,C$3,Monthly!$C$70:$BJ$70)</f>
        <v>0</v>
      </c>
      <c r="D7" s="59" t="n">
        <f aca="false">SUMIF(Monthly!$C$5:$BJ$5,D$3,Monthly!$C$70:$BJ$70)</f>
        <v>0</v>
      </c>
      <c r="E7" s="59" t="n">
        <f aca="false">SUMIF(Monthly!$C$5:$BJ$5,E$3,Monthly!$C$70:$BJ$70)</f>
        <v>0</v>
      </c>
      <c r="F7" s="59" t="n">
        <f aca="false">SUMIF(Monthly!$C$5:$BJ$5,F$3,Monthly!$C$70:$BJ$70)</f>
        <v>0</v>
      </c>
    </row>
    <row r="8" customFormat="false" ht="15" hidden="false" customHeight="false" outlineLevel="0" collapsed="false">
      <c r="A8" s="6" t="s">
        <v>261</v>
      </c>
      <c r="B8" s="59" t="n">
        <f aca="false">SUMIF(Monthly!$C$5:$BJ$5,B$3,Monthly!$C$71:$BJ$71)</f>
        <v>-4007.63669122741</v>
      </c>
      <c r="C8" s="59" t="n">
        <f aca="false">SUMIF(Monthly!$C$5:$BJ$5,C$3,Monthly!$C$71:$BJ$71)</f>
        <v>-539.81330877259</v>
      </c>
      <c r="D8" s="59" t="n">
        <f aca="false">SUMIF(Monthly!$C$5:$BJ$5,D$3,Monthly!$C$71:$BJ$71)</f>
        <v>-136.423500000001</v>
      </c>
      <c r="E8" s="59" t="n">
        <f aca="false">SUMIF(Monthly!$C$5:$BJ$5,E$3,Monthly!$C$71:$BJ$71)</f>
        <v>-140.516204999999</v>
      </c>
      <c r="F8" s="59" t="n">
        <f aca="false">SUMIF(Monthly!$C$5:$BJ$5,F$3,Monthly!$C$71:$BJ$71)</f>
        <v>-144.731691150002</v>
      </c>
    </row>
    <row r="9" customFormat="false" ht="15" hidden="false" customHeight="false" outlineLevel="0" collapsed="false">
      <c r="A9" s="6" t="s">
        <v>262</v>
      </c>
      <c r="B9" s="59" t="n">
        <f aca="false">SUMIF(Monthly!$C$5:$BJ$5,B$3,Monthly!$C$72:$BJ$72)</f>
        <v>8015.27338245482</v>
      </c>
      <c r="C9" s="59" t="n">
        <f aca="false">SUMIF(Monthly!$C$5:$BJ$5,C$3,Monthly!$C$72:$BJ$72)</f>
        <v>1079.62661754518</v>
      </c>
      <c r="D9" s="59" t="n">
        <f aca="false">SUMIF(Monthly!$C$5:$BJ$5,D$3,Monthly!$C$72:$BJ$72)</f>
        <v>272.847000000002</v>
      </c>
      <c r="E9" s="59" t="n">
        <f aca="false">SUMIF(Monthly!$C$5:$BJ$5,E$3,Monthly!$C$72:$BJ$72)</f>
        <v>281.032409999998</v>
      </c>
      <c r="F9" s="59" t="n">
        <f aca="false">SUMIF(Monthly!$C$5:$BJ$5,F$3,Monthly!$C$72:$BJ$72)</f>
        <v>289.463382300004</v>
      </c>
    </row>
    <row r="10" customFormat="false" ht="15" hidden="false" customHeight="false" outlineLevel="0" collapsed="false">
      <c r="A10" s="83" t="s">
        <v>48</v>
      </c>
      <c r="B10" s="60" t="n">
        <f aca="false">SUMIF(Monthly!$C$5:$BJ$5,B$3,Monthly!$C$75:$BJ$75)</f>
        <v>-190250.259354596</v>
      </c>
      <c r="C10" s="60" t="n">
        <f aca="false">SUMIF(Monthly!$C$5:$BJ$5,C$3,Monthly!$C$75:$BJ$75)</f>
        <v>31208.1522612175</v>
      </c>
      <c r="D10" s="60" t="n">
        <f aca="false">SUMIF(Monthly!$C$5:$BJ$5,D$3,Monthly!$C$75:$BJ$75)</f>
        <v>72257.2090268572</v>
      </c>
      <c r="E10" s="60" t="n">
        <f aca="false">SUMIF(Monthly!$C$5:$BJ$5,E$3,Monthly!$C$75:$BJ$75)</f>
        <v>81796.5252976631</v>
      </c>
      <c r="F10" s="60" t="n">
        <f aca="false">SUMIF(Monthly!$C$5:$BJ$5,F$3,Monthly!$C$75:$BJ$75)</f>
        <v>91517.6724851642</v>
      </c>
    </row>
    <row r="11" customFormat="false" ht="15" hidden="false" customHeight="false" outlineLevel="0" collapsed="false">
      <c r="A11" s="6" t="s">
        <v>100</v>
      </c>
      <c r="B11" s="59" t="n">
        <f aca="false">SUMIF(Monthly!$C$5:$BJ$5,B$3,Monthly!$C$76:$BJ$76)</f>
        <v>-250000</v>
      </c>
      <c r="C11" s="59" t="n">
        <f aca="false">SUMIF(Monthly!$C$5:$BJ$5,C$3,Monthly!$C$76:$BJ$76)</f>
        <v>0</v>
      </c>
      <c r="D11" s="59" t="n">
        <f aca="false">SUMIF(Monthly!$C$5:$BJ$5,D$3,Monthly!$C$76:$BJ$76)</f>
        <v>0</v>
      </c>
      <c r="E11" s="59" t="n">
        <f aca="false">SUMIF(Monthly!$C$5:$BJ$5,E$3,Monthly!$C$76:$BJ$76)</f>
        <v>0</v>
      </c>
      <c r="F11" s="59" t="n">
        <f aca="false">SUMIF(Monthly!$C$5:$BJ$5,F$3,Monthly!$C$76:$BJ$76)</f>
        <v>0</v>
      </c>
    </row>
    <row r="12" customFormat="false" ht="15" hidden="false" customHeight="false" outlineLevel="0" collapsed="false">
      <c r="A12" s="6" t="s">
        <v>59</v>
      </c>
      <c r="B12" s="59" t="n">
        <f aca="false">SUMIF(Monthly!$C$5:$BJ$5,B$3,Monthly!$C$77:$BJ$77)</f>
        <v>330000</v>
      </c>
      <c r="C12" s="59" t="n">
        <f aca="false">SUMIF(Monthly!$C$5:$BJ$5,C$3,Monthly!$C$77:$BJ$77)</f>
        <v>0</v>
      </c>
      <c r="D12" s="59" t="n">
        <f aca="false">SUMIF(Monthly!$C$5:$BJ$5,D$3,Monthly!$C$77:$BJ$77)</f>
        <v>0</v>
      </c>
      <c r="E12" s="59" t="n">
        <f aca="false">SUMIF(Monthly!$C$5:$BJ$5,E$3,Monthly!$C$77:$BJ$77)</f>
        <v>0</v>
      </c>
      <c r="F12" s="59" t="n">
        <f aca="false">SUMIF(Monthly!$C$5:$BJ$5,F$3,Monthly!$C$77:$BJ$77)</f>
        <v>0</v>
      </c>
    </row>
    <row r="13" customFormat="false" ht="15" hidden="false" customHeight="false" outlineLevel="0" collapsed="false">
      <c r="A13" s="6" t="s">
        <v>101</v>
      </c>
      <c r="B13" s="59" t="n">
        <f aca="false">SUMIF(Monthly!$C$5:$BJ$5,B$3,Monthly!$C$62:$BJ$62)</f>
        <v>150000</v>
      </c>
      <c r="C13" s="59" t="n">
        <f aca="false">SUMIF(Monthly!$C$5:$BJ$5,C$3,Monthly!$C$62:$BJ$62)</f>
        <v>0</v>
      </c>
      <c r="D13" s="59" t="n">
        <f aca="false">SUMIF(Monthly!$C$5:$BJ$5,D$3,Monthly!$C$62:$BJ$62)</f>
        <v>0</v>
      </c>
      <c r="E13" s="59" t="n">
        <f aca="false">SUMIF(Monthly!$C$5:$BJ$5,E$3,Monthly!$C$62:$BJ$62)</f>
        <v>0</v>
      </c>
      <c r="F13" s="59" t="n">
        <f aca="false">SUMIF(Monthly!$C$5:$BJ$5,F$3,Monthly!$C$62:$BJ$62)</f>
        <v>0</v>
      </c>
    </row>
    <row r="14" customFormat="false" ht="15" hidden="false" customHeight="false" outlineLevel="0" collapsed="false">
      <c r="A14" s="6" t="s">
        <v>102</v>
      </c>
      <c r="B14" s="59" t="n">
        <f aca="false">SUMIF(Monthly!$C$5:$BJ$5,B$3,Monthly!$C$63:$BJ$63)</f>
        <v>-19642.8571428571</v>
      </c>
      <c r="C14" s="59" t="n">
        <f aca="false">SUMIF(Monthly!$C$5:$BJ$5,C$3,Monthly!$C$63:$BJ$63)</f>
        <v>-21428.5714285714</v>
      </c>
      <c r="D14" s="59" t="n">
        <f aca="false">SUMIF(Monthly!$C$5:$BJ$5,D$3,Monthly!$C$63:$BJ$63)</f>
        <v>-21428.5714285714</v>
      </c>
      <c r="E14" s="59" t="n">
        <f aca="false">SUMIF(Monthly!$C$5:$BJ$5,E$3,Monthly!$C$63:$BJ$63)</f>
        <v>-21428.5714285714</v>
      </c>
      <c r="F14" s="59" t="n">
        <f aca="false">SUMIF(Monthly!$C$5:$BJ$5,F$3,Monthly!$C$63:$BJ$63)</f>
        <v>-21428.5714285714</v>
      </c>
    </row>
    <row r="15" customFormat="false" ht="15" hidden="false" customHeight="false" outlineLevel="0" collapsed="false">
      <c r="A15" s="83" t="s">
        <v>50</v>
      </c>
      <c r="B15" s="60" t="n">
        <f aca="false">SUMIF(Monthly!$C$5:$BJ$5,B$3,Monthly!$C$78:$BJ$78)</f>
        <v>460357.142857143</v>
      </c>
      <c r="C15" s="60" t="n">
        <f aca="false">SUMIF(Monthly!$C$5:$BJ$5,C$3,Monthly!$C$78:$BJ$78)</f>
        <v>-21428.5714285714</v>
      </c>
      <c r="D15" s="60" t="n">
        <f aca="false">SUMIF(Monthly!$C$5:$BJ$5,D$3,Monthly!$C$78:$BJ$78)</f>
        <v>-21428.5714285714</v>
      </c>
      <c r="E15" s="60" t="n">
        <f aca="false">SUMIF(Monthly!$C$5:$BJ$5,E$3,Monthly!$C$78:$BJ$78)</f>
        <v>-21428.5714285714</v>
      </c>
      <c r="F15" s="60" t="n">
        <f aca="false">SUMIF(Monthly!$C$5:$BJ$5,F$3,Monthly!$C$78:$BJ$78)</f>
        <v>-21428.5714285714</v>
      </c>
    </row>
    <row r="16" customFormat="false" ht="15" hidden="false" customHeight="false" outlineLevel="0" collapsed="false">
      <c r="A16" s="4" t="s">
        <v>51</v>
      </c>
      <c r="B16" s="64" t="n">
        <f aca="false">SUMIF(Monthly!$C$5:$BJ$5,B$3,Monthly!$C$79:$BJ$79)</f>
        <v>20106.8835025468</v>
      </c>
      <c r="C16" s="64" t="n">
        <f aca="false">SUMIF(Monthly!$C$5:$BJ$5,C$3,Monthly!$C$79:$BJ$79)</f>
        <v>9779.58083264608</v>
      </c>
      <c r="D16" s="64" t="n">
        <f aca="false">SUMIF(Monthly!$C$5:$BJ$5,D$3,Monthly!$C$79:$BJ$79)</f>
        <v>50828.6375982858</v>
      </c>
      <c r="E16" s="64" t="n">
        <f aca="false">SUMIF(Monthly!$C$5:$BJ$5,E$3,Monthly!$C$79:$BJ$79)</f>
        <v>60367.9538690916</v>
      </c>
      <c r="F16" s="64" t="n">
        <f aca="false">SUMIF(Monthly!$C$5:$BJ$5,F$3,Monthly!$C$79:$BJ$79)</f>
        <v>70089.1010565928</v>
      </c>
    </row>
    <row r="17" customFormat="false" ht="15" hidden="false" customHeight="false" outlineLevel="0" collapsed="false">
      <c r="A17" s="6" t="s">
        <v>263</v>
      </c>
      <c r="B17" s="59" t="n">
        <f aca="false">INDEX(Monthly!$C$80:$BJ$80,(B$3-1)*12+1)</f>
        <v>0</v>
      </c>
      <c r="C17" s="59" t="n">
        <f aca="false">INDEX(Monthly!$C$80:$BJ$80,(C$3-1)*12+1)</f>
        <v>20106.8835025468</v>
      </c>
      <c r="D17" s="59" t="n">
        <f aca="false">INDEX(Monthly!$C$80:$BJ$80,(D$3-1)*12+1)</f>
        <v>29886.4643351928</v>
      </c>
      <c r="E17" s="59" t="n">
        <f aca="false">INDEX(Monthly!$C$80:$BJ$80,(E$3-1)*12+1)</f>
        <v>80715.1019334786</v>
      </c>
      <c r="F17" s="59" t="n">
        <f aca="false">INDEX(Monthly!$C$80:$BJ$80,(F$3-1)*12+1)</f>
        <v>141083.05580257</v>
      </c>
    </row>
    <row r="18" customFormat="false" ht="15" hidden="false" customHeight="false" outlineLevel="0" collapsed="false">
      <c r="A18" s="62" t="s">
        <v>103</v>
      </c>
      <c r="B18" s="63" t="n">
        <f aca="false">INDEX(Monthly!$C$81:$BJ$81,B$3*12)</f>
        <v>20106.8835025468</v>
      </c>
      <c r="C18" s="63" t="n">
        <f aca="false">INDEX(Monthly!$C$81:$BJ$81,C$3*12)</f>
        <v>29886.4643351928</v>
      </c>
      <c r="D18" s="63" t="n">
        <f aca="false">INDEX(Monthly!$C$81:$BJ$81,D$3*12)</f>
        <v>80715.1019334786</v>
      </c>
      <c r="E18" s="63" t="n">
        <f aca="false">INDEX(Monthly!$C$81:$BJ$81,E$3*12)</f>
        <v>141083.05580257</v>
      </c>
      <c r="F18" s="63" t="n">
        <f aca="false">INDEX(Monthly!$C$81:$BJ$81,F$3*12)</f>
        <v>211172.156859163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19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251</v>
      </c>
    </row>
    <row r="3" customFormat="false" ht="15" hidden="false" customHeight="false" outlineLevel="0" collapsed="false">
      <c r="A3" s="47" t="s">
        <v>69</v>
      </c>
      <c r="B3" s="47" t="n">
        <v>1</v>
      </c>
      <c r="C3" s="47" t="n">
        <v>2</v>
      </c>
      <c r="D3" s="47" t="n">
        <v>3</v>
      </c>
      <c r="E3" s="47" t="n">
        <v>4</v>
      </c>
      <c r="F3" s="47" t="n">
        <v>5</v>
      </c>
    </row>
    <row r="4" customFormat="false" ht="15" hidden="false" customHeight="false" outlineLevel="0" collapsed="false">
      <c r="A4" s="32"/>
      <c r="B4" s="48" t="s">
        <v>70</v>
      </c>
      <c r="C4" s="48" t="s">
        <v>71</v>
      </c>
      <c r="D4" s="48" t="s">
        <v>72</v>
      </c>
      <c r="E4" s="48" t="s">
        <v>73</v>
      </c>
      <c r="F4" s="48" t="s">
        <v>74</v>
      </c>
    </row>
    <row r="5" customFormat="false" ht="15" hidden="false" customHeight="false" outlineLevel="0" collapsed="false">
      <c r="A5" s="6" t="s">
        <v>105</v>
      </c>
      <c r="B5" s="59" t="n">
        <f aca="false">INDEX(Monthly!$C$81:$BJ$81,B$3*12)</f>
        <v>20106.8835025468</v>
      </c>
      <c r="C5" s="59" t="n">
        <f aca="false">INDEX(Monthly!$C$81:$BJ$81,C$3*12)</f>
        <v>29886.4643351928</v>
      </c>
      <c r="D5" s="59" t="n">
        <f aca="false">INDEX(Monthly!$C$81:$BJ$81,D$3*12)</f>
        <v>80715.1019334786</v>
      </c>
      <c r="E5" s="59" t="n">
        <f aca="false">INDEX(Monthly!$C$81:$BJ$81,E$3*12)</f>
        <v>141083.05580257</v>
      </c>
      <c r="F5" s="59" t="n">
        <f aca="false">INDEX(Monthly!$C$81:$BJ$81,F$3*12)</f>
        <v>211172.156859163</v>
      </c>
    </row>
    <row r="6" customFormat="false" ht="15" hidden="false" customHeight="false" outlineLevel="0" collapsed="false">
      <c r="A6" s="6" t="s">
        <v>106</v>
      </c>
      <c r="B6" s="59" t="n">
        <f aca="false">INDEX(Monthly!$C$67:$BJ$67,B$3*12)</f>
        <v>0</v>
      </c>
      <c r="C6" s="59" t="n">
        <f aca="false">INDEX(Monthly!$C$67:$BJ$67,C$3*12)</f>
        <v>0</v>
      </c>
      <c r="D6" s="59" t="n">
        <f aca="false">INDEX(Monthly!$C$67:$BJ$67,D$3*12)</f>
        <v>0</v>
      </c>
      <c r="E6" s="59" t="n">
        <f aca="false">INDEX(Monthly!$C$67:$BJ$67,E$3*12)</f>
        <v>0</v>
      </c>
      <c r="F6" s="59" t="n">
        <f aca="false">INDEX(Monthly!$C$67:$BJ$67,F$3*12)</f>
        <v>0</v>
      </c>
    </row>
    <row r="7" customFormat="false" ht="15" hidden="false" customHeight="false" outlineLevel="0" collapsed="false">
      <c r="A7" s="6" t="s">
        <v>107</v>
      </c>
      <c r="B7" s="59" t="n">
        <f aca="false">INDEX(Monthly!$C$68:$BJ$68,B$3*12)</f>
        <v>4007.63669122741</v>
      </c>
      <c r="C7" s="59" t="n">
        <f aca="false">INDEX(Monthly!$C$68:$BJ$68,C$3*12)</f>
        <v>4547.45</v>
      </c>
      <c r="D7" s="59" t="n">
        <f aca="false">INDEX(Monthly!$C$68:$BJ$68,D$3*12)</f>
        <v>4683.8735</v>
      </c>
      <c r="E7" s="59" t="n">
        <f aca="false">INDEX(Monthly!$C$68:$BJ$68,E$3*12)</f>
        <v>4824.389705</v>
      </c>
      <c r="F7" s="59" t="n">
        <f aca="false">INDEX(Monthly!$C$68:$BJ$68,F$3*12)</f>
        <v>4969.12139615</v>
      </c>
    </row>
    <row r="8" customFormat="false" ht="15" hidden="false" customHeight="false" outlineLevel="0" collapsed="false">
      <c r="A8" s="6" t="s">
        <v>108</v>
      </c>
      <c r="B8" s="59" t="n">
        <f aca="false">INDEX(Monthly!$C$58:$BJ$58,B$3*12)</f>
        <v>214285.714285714</v>
      </c>
      <c r="C8" s="59" t="n">
        <f aca="false">INDEX(Monthly!$C$58:$BJ$58,C$3*12)</f>
        <v>178571.428571429</v>
      </c>
      <c r="D8" s="59" t="n">
        <f aca="false">INDEX(Monthly!$C$58:$BJ$58,D$3*12)</f>
        <v>142857.142857143</v>
      </c>
      <c r="E8" s="59" t="n">
        <f aca="false">INDEX(Monthly!$C$58:$BJ$58,E$3*12)</f>
        <v>107142.857142857</v>
      </c>
      <c r="F8" s="59" t="n">
        <f aca="false">INDEX(Monthly!$C$58:$BJ$58,F$3*12)</f>
        <v>71428.5714285715</v>
      </c>
    </row>
    <row r="9" customFormat="false" ht="15" hidden="false" customHeight="false" outlineLevel="0" collapsed="false">
      <c r="A9" s="83" t="s">
        <v>109</v>
      </c>
      <c r="B9" s="60" t="n">
        <f aca="false">INDEX(Monthly!$C$95:$BJ$95,B$3*12)</f>
        <v>238400.234479488</v>
      </c>
      <c r="C9" s="60" t="n">
        <f aca="false">INDEX(Monthly!$C$95:$BJ$95,C$3*12)</f>
        <v>213005.342906621</v>
      </c>
      <c r="D9" s="60" t="n">
        <f aca="false">INDEX(Monthly!$C$95:$BJ$95,D$3*12)</f>
        <v>228256.118290622</v>
      </c>
      <c r="E9" s="60" t="n">
        <f aca="false">INDEX(Monthly!$C$95:$BJ$95,E$3*12)</f>
        <v>253050.302650427</v>
      </c>
      <c r="F9" s="60" t="n">
        <f aca="false">INDEX(Monthly!$C$95:$BJ$95,F$3*12)</f>
        <v>287569.849683885</v>
      </c>
    </row>
    <row r="10" customFormat="false" ht="15" hidden="false" customHeight="false" outlineLevel="0" collapsed="false">
      <c r="A10" s="6" t="s">
        <v>110</v>
      </c>
      <c r="B10" s="59" t="n">
        <f aca="false">INDEX(Monthly!$C$69:$BJ$69,B$3*12)</f>
        <v>8015.27338245482</v>
      </c>
      <c r="C10" s="59" t="n">
        <f aca="false">INDEX(Monthly!$C$69:$BJ$69,C$3*12)</f>
        <v>9094.9</v>
      </c>
      <c r="D10" s="59" t="n">
        <f aca="false">INDEX(Monthly!$C$69:$BJ$69,D$3*12)</f>
        <v>9367.747</v>
      </c>
      <c r="E10" s="59" t="n">
        <f aca="false">INDEX(Monthly!$C$69:$BJ$69,E$3*12)</f>
        <v>9648.77941</v>
      </c>
      <c r="F10" s="59" t="n">
        <f aca="false">INDEX(Monthly!$C$69:$BJ$69,F$3*12)</f>
        <v>9938.2427923</v>
      </c>
    </row>
    <row r="11" customFormat="false" ht="15" hidden="false" customHeight="false" outlineLevel="0" collapsed="false">
      <c r="A11" s="6" t="s">
        <v>111</v>
      </c>
      <c r="B11" s="59" t="n">
        <f aca="false">INDEX(Monthly!$C$64:$BJ$64,B$3*12)</f>
        <v>130357.142857143</v>
      </c>
      <c r="C11" s="59" t="n">
        <f aca="false">INDEX(Monthly!$C$64:$BJ$64,C$3*12)</f>
        <v>108928.571428571</v>
      </c>
      <c r="D11" s="59" t="n">
        <f aca="false">INDEX(Monthly!$C$64:$BJ$64,D$3*12)</f>
        <v>87499.9999999999</v>
      </c>
      <c r="E11" s="59" t="n">
        <f aca="false">INDEX(Monthly!$C$64:$BJ$64,E$3*12)</f>
        <v>66071.4285714284</v>
      </c>
      <c r="F11" s="59" t="n">
        <f aca="false">INDEX(Monthly!$C$64:$BJ$64,F$3*12)</f>
        <v>44642.857142857</v>
      </c>
    </row>
    <row r="12" customFormat="false" ht="15" hidden="false" customHeight="false" outlineLevel="0" collapsed="false">
      <c r="A12" s="84" t="s">
        <v>112</v>
      </c>
      <c r="B12" s="85" t="n">
        <f aca="false">INDEX(Monthly!$C$96:$BJ$96,B$3*12)</f>
        <v>138372.416239598</v>
      </c>
      <c r="C12" s="85" t="n">
        <f aca="false">INDEX(Monthly!$C$96:$BJ$96,C$3*12)</f>
        <v>118023.471428571</v>
      </c>
      <c r="D12" s="85" t="n">
        <f aca="false">INDEX(Monthly!$C$96:$BJ$96,D$3*12)</f>
        <v>96867.7469999999</v>
      </c>
      <c r="E12" s="85" t="n">
        <f aca="false">INDEX(Monthly!$C$96:$BJ$96,E$3*12)</f>
        <v>75720.2079814284</v>
      </c>
      <c r="F12" s="85" t="n">
        <f aca="false">INDEX(Monthly!$C$96:$BJ$96,F$3*12)</f>
        <v>54581.099935157</v>
      </c>
    </row>
    <row r="13" customFormat="false" ht="15" hidden="false" customHeight="false" outlineLevel="0" collapsed="false">
      <c r="A13" s="6" t="s">
        <v>113</v>
      </c>
      <c r="B13" s="59" t="n">
        <f aca="false">INDEX(Monthly!$C$93:$BJ$93,B$3*12)</f>
        <v>330000</v>
      </c>
      <c r="C13" s="59" t="n">
        <f aca="false">INDEX(Monthly!$C$93:$BJ$93,C$3*12)</f>
        <v>330000</v>
      </c>
      <c r="D13" s="59" t="n">
        <f aca="false">INDEX(Monthly!$C$93:$BJ$93,D$3*12)</f>
        <v>330000</v>
      </c>
      <c r="E13" s="59" t="n">
        <f aca="false">INDEX(Monthly!$C$93:$BJ$93,E$3*12)</f>
        <v>330000</v>
      </c>
      <c r="F13" s="59" t="n">
        <f aca="false">INDEX(Monthly!$C$93:$BJ$93,F$3*12)</f>
        <v>330000</v>
      </c>
    </row>
    <row r="14" customFormat="false" ht="15" hidden="false" customHeight="false" outlineLevel="0" collapsed="false">
      <c r="A14" s="6" t="s">
        <v>114</v>
      </c>
      <c r="B14" s="59" t="n">
        <f aca="false">INDEX(Monthly!$C$94:$BJ$94,B$3*12)</f>
        <v>-229972.181760109</v>
      </c>
      <c r="C14" s="59" t="n">
        <f aca="false">INDEX(Monthly!$C$94:$BJ$94,C$3*12)</f>
        <v>-235018.12852195</v>
      </c>
      <c r="D14" s="59" t="n">
        <f aca="false">INDEX(Monthly!$C$94:$BJ$94,D$3*12)</f>
        <v>-198611.628709379</v>
      </c>
      <c r="E14" s="59" t="n">
        <f aca="false">INDEX(Monthly!$C$94:$BJ$94,E$3*12)</f>
        <v>-152669.905331001</v>
      </c>
      <c r="F14" s="59" t="n">
        <f aca="false">INDEX(Monthly!$C$94:$BJ$94,F$3*12)</f>
        <v>-97011.2502512727</v>
      </c>
    </row>
    <row r="15" customFormat="false" ht="15" hidden="false" customHeight="false" outlineLevel="0" collapsed="false">
      <c r="A15" s="84" t="s">
        <v>115</v>
      </c>
      <c r="B15" s="85" t="n">
        <f aca="false">INDEX(Monthly!$C$97:$BJ$97,B$3*12)</f>
        <v>100027.818239891</v>
      </c>
      <c r="C15" s="85" t="n">
        <f aca="false">INDEX(Monthly!$C$97:$BJ$97,C$3*12)</f>
        <v>94981.87147805</v>
      </c>
      <c r="D15" s="85" t="n">
        <f aca="false">INDEX(Monthly!$C$97:$BJ$97,D$3*12)</f>
        <v>131388.371290621</v>
      </c>
      <c r="E15" s="85" t="n">
        <f aca="false">INDEX(Monthly!$C$97:$BJ$97,E$3*12)</f>
        <v>177330.094668999</v>
      </c>
      <c r="F15" s="85" t="n">
        <f aca="false">INDEX(Monthly!$C$97:$BJ$97,F$3*12)</f>
        <v>232988.749748727</v>
      </c>
    </row>
    <row r="16" customFormat="false" ht="15" hidden="false" customHeight="false" outlineLevel="0" collapsed="false">
      <c r="A16" s="62" t="s">
        <v>116</v>
      </c>
      <c r="B16" s="63" t="n">
        <f aca="false">INDEX(Monthly!$C$98:$BJ$98,B$3*12)</f>
        <v>238400.234479488</v>
      </c>
      <c r="C16" s="63" t="n">
        <f aca="false">INDEX(Monthly!$C$98:$BJ$98,C$3*12)</f>
        <v>213005.342906621</v>
      </c>
      <c r="D16" s="63" t="n">
        <f aca="false">INDEX(Monthly!$C$98:$BJ$98,D$3*12)</f>
        <v>228256.118290621</v>
      </c>
      <c r="E16" s="63" t="n">
        <f aca="false">INDEX(Monthly!$C$98:$BJ$98,E$3*12)</f>
        <v>253050.302650427</v>
      </c>
      <c r="F16" s="63" t="n">
        <f aca="false">INDEX(Monthly!$C$98:$BJ$98,F$3*12)</f>
        <v>287569.849683884</v>
      </c>
    </row>
    <row r="17" customFormat="false" ht="15" hidden="false" customHeight="false" outlineLevel="0" collapsed="false">
      <c r="A17" s="6" t="s">
        <v>264</v>
      </c>
      <c r="B17" s="59" t="n">
        <f aca="false">INDEX(Monthly!$C$99:$BJ$99,B$3*12)</f>
        <v>0</v>
      </c>
      <c r="C17" s="59" t="n">
        <f aca="false">INDEX(Monthly!$C$99:$BJ$99,C$3*12)</f>
        <v>0</v>
      </c>
      <c r="D17" s="59" t="n">
        <f aca="false">INDEX(Monthly!$C$99:$BJ$99,D$3*12)</f>
        <v>0</v>
      </c>
      <c r="E17" s="59" t="n">
        <f aca="false">INDEX(Monthly!$C$99:$BJ$99,E$3*12)</f>
        <v>0</v>
      </c>
      <c r="F17" s="59" t="n">
        <f aca="false">INDEX(Monthly!$C$99:$BJ$99,F$3*12)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265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266</v>
      </c>
    </row>
    <row r="3" customFormat="false" ht="15" hidden="false" customHeight="false" outlineLevel="0" collapsed="false">
      <c r="A3" s="32" t="s">
        <v>267</v>
      </c>
      <c r="C3" s="48" t="s">
        <v>268</v>
      </c>
      <c r="D3" s="48" t="s">
        <v>269</v>
      </c>
      <c r="E3" s="48" t="s">
        <v>270</v>
      </c>
      <c r="F3" s="48" t="s">
        <v>271</v>
      </c>
      <c r="G3" s="48" t="s">
        <v>272</v>
      </c>
      <c r="H3" s="48" t="s">
        <v>273</v>
      </c>
      <c r="I3" s="48" t="s">
        <v>274</v>
      </c>
      <c r="J3" s="48" t="s">
        <v>275</v>
      </c>
      <c r="K3" s="48" t="s">
        <v>276</v>
      </c>
      <c r="L3" s="48" t="s">
        <v>277</v>
      </c>
      <c r="M3" s="48" t="s">
        <v>278</v>
      </c>
      <c r="N3" s="48" t="s">
        <v>279</v>
      </c>
      <c r="O3" s="48" t="s">
        <v>280</v>
      </c>
      <c r="P3" s="48" t="s">
        <v>281</v>
      </c>
      <c r="Q3" s="48" t="s">
        <v>282</v>
      </c>
      <c r="R3" s="48" t="s">
        <v>283</v>
      </c>
      <c r="S3" s="48" t="s">
        <v>284</v>
      </c>
      <c r="T3" s="48" t="s">
        <v>285</v>
      </c>
      <c r="U3" s="48" t="s">
        <v>286</v>
      </c>
      <c r="V3" s="48" t="s">
        <v>287</v>
      </c>
      <c r="W3" s="48" t="s">
        <v>288</v>
      </c>
      <c r="X3" s="48" t="s">
        <v>289</v>
      </c>
      <c r="Y3" s="48" t="s">
        <v>290</v>
      </c>
      <c r="Z3" s="48" t="s">
        <v>291</v>
      </c>
      <c r="AA3" s="48" t="s">
        <v>292</v>
      </c>
      <c r="AB3" s="48" t="s">
        <v>293</v>
      </c>
      <c r="AC3" s="48" t="s">
        <v>294</v>
      </c>
      <c r="AD3" s="48" t="s">
        <v>295</v>
      </c>
      <c r="AE3" s="48" t="s">
        <v>296</v>
      </c>
      <c r="AF3" s="48" t="s">
        <v>297</v>
      </c>
      <c r="AG3" s="48" t="s">
        <v>298</v>
      </c>
      <c r="AH3" s="48" t="s">
        <v>299</v>
      </c>
      <c r="AI3" s="48" t="s">
        <v>300</v>
      </c>
      <c r="AJ3" s="48" t="s">
        <v>301</v>
      </c>
      <c r="AK3" s="48" t="s">
        <v>302</v>
      </c>
      <c r="AL3" s="48" t="s">
        <v>303</v>
      </c>
      <c r="AM3" s="48" t="s">
        <v>304</v>
      </c>
      <c r="AN3" s="48" t="s">
        <v>305</v>
      </c>
      <c r="AO3" s="48" t="s">
        <v>306</v>
      </c>
      <c r="AP3" s="48" t="s">
        <v>307</v>
      </c>
      <c r="AQ3" s="48" t="s">
        <v>308</v>
      </c>
      <c r="AR3" s="48" t="s">
        <v>309</v>
      </c>
      <c r="AS3" s="48" t="s">
        <v>310</v>
      </c>
      <c r="AT3" s="48" t="s">
        <v>311</v>
      </c>
      <c r="AU3" s="48" t="s">
        <v>312</v>
      </c>
      <c r="AV3" s="48" t="s">
        <v>313</v>
      </c>
      <c r="AW3" s="48" t="s">
        <v>314</v>
      </c>
      <c r="AX3" s="48" t="s">
        <v>315</v>
      </c>
      <c r="AY3" s="48" t="s">
        <v>316</v>
      </c>
      <c r="AZ3" s="48" t="s">
        <v>317</v>
      </c>
      <c r="BA3" s="48" t="s">
        <v>318</v>
      </c>
      <c r="BB3" s="48" t="s">
        <v>319</v>
      </c>
      <c r="BC3" s="48" t="s">
        <v>320</v>
      </c>
      <c r="BD3" s="48" t="s">
        <v>321</v>
      </c>
      <c r="BE3" s="48" t="s">
        <v>322</v>
      </c>
      <c r="BF3" s="48" t="s">
        <v>323</v>
      </c>
      <c r="BG3" s="48" t="s">
        <v>324</v>
      </c>
      <c r="BH3" s="48" t="s">
        <v>325</v>
      </c>
      <c r="BI3" s="48" t="s">
        <v>326</v>
      </c>
      <c r="BJ3" s="48" t="s">
        <v>327</v>
      </c>
    </row>
    <row r="4" customFormat="false" ht="15" hidden="false" customHeight="false" outlineLevel="0" collapsed="false">
      <c r="A4" s="47" t="s">
        <v>328</v>
      </c>
      <c r="C4" s="47" t="n">
        <v>1</v>
      </c>
      <c r="D4" s="47" t="n">
        <v>2</v>
      </c>
      <c r="E4" s="47" t="n">
        <v>3</v>
      </c>
      <c r="F4" s="47" t="n">
        <v>4</v>
      </c>
      <c r="G4" s="47" t="n">
        <v>5</v>
      </c>
      <c r="H4" s="47" t="n">
        <v>6</v>
      </c>
      <c r="I4" s="47" t="n">
        <v>7</v>
      </c>
      <c r="J4" s="47" t="n">
        <v>8</v>
      </c>
      <c r="K4" s="47" t="n">
        <v>9</v>
      </c>
      <c r="L4" s="47" t="n">
        <v>10</v>
      </c>
      <c r="M4" s="47" t="n">
        <v>11</v>
      </c>
      <c r="N4" s="47" t="n">
        <v>12</v>
      </c>
      <c r="O4" s="47" t="n">
        <v>13</v>
      </c>
      <c r="P4" s="47" t="n">
        <v>14</v>
      </c>
      <c r="Q4" s="47" t="n">
        <v>15</v>
      </c>
      <c r="R4" s="47" t="n">
        <v>16</v>
      </c>
      <c r="S4" s="47" t="n">
        <v>17</v>
      </c>
      <c r="T4" s="47" t="n">
        <v>18</v>
      </c>
      <c r="U4" s="47" t="n">
        <v>19</v>
      </c>
      <c r="V4" s="47" t="n">
        <v>20</v>
      </c>
      <c r="W4" s="47" t="n">
        <v>21</v>
      </c>
      <c r="X4" s="47" t="n">
        <v>22</v>
      </c>
      <c r="Y4" s="47" t="n">
        <v>23</v>
      </c>
      <c r="Z4" s="47" t="n">
        <v>24</v>
      </c>
      <c r="AA4" s="47" t="n">
        <v>25</v>
      </c>
      <c r="AB4" s="47" t="n">
        <v>26</v>
      </c>
      <c r="AC4" s="47" t="n">
        <v>27</v>
      </c>
      <c r="AD4" s="47" t="n">
        <v>28</v>
      </c>
      <c r="AE4" s="47" t="n">
        <v>29</v>
      </c>
      <c r="AF4" s="47" t="n">
        <v>30</v>
      </c>
      <c r="AG4" s="47" t="n">
        <v>31</v>
      </c>
      <c r="AH4" s="47" t="n">
        <v>32</v>
      </c>
      <c r="AI4" s="47" t="n">
        <v>33</v>
      </c>
      <c r="AJ4" s="47" t="n">
        <v>34</v>
      </c>
      <c r="AK4" s="47" t="n">
        <v>35</v>
      </c>
      <c r="AL4" s="47" t="n">
        <v>36</v>
      </c>
      <c r="AM4" s="47" t="n">
        <v>37</v>
      </c>
      <c r="AN4" s="47" t="n">
        <v>38</v>
      </c>
      <c r="AO4" s="47" t="n">
        <v>39</v>
      </c>
      <c r="AP4" s="47" t="n">
        <v>40</v>
      </c>
      <c r="AQ4" s="47" t="n">
        <v>41</v>
      </c>
      <c r="AR4" s="47" t="n">
        <v>42</v>
      </c>
      <c r="AS4" s="47" t="n">
        <v>43</v>
      </c>
      <c r="AT4" s="47" t="n">
        <v>44</v>
      </c>
      <c r="AU4" s="47" t="n">
        <v>45</v>
      </c>
      <c r="AV4" s="47" t="n">
        <v>46</v>
      </c>
      <c r="AW4" s="47" t="n">
        <v>47</v>
      </c>
      <c r="AX4" s="47" t="n">
        <v>48</v>
      </c>
      <c r="AY4" s="47" t="n">
        <v>49</v>
      </c>
      <c r="AZ4" s="47" t="n">
        <v>50</v>
      </c>
      <c r="BA4" s="47" t="n">
        <v>51</v>
      </c>
      <c r="BB4" s="47" t="n">
        <v>52</v>
      </c>
      <c r="BC4" s="47" t="n">
        <v>53</v>
      </c>
      <c r="BD4" s="47" t="n">
        <v>54</v>
      </c>
      <c r="BE4" s="47" t="n">
        <v>55</v>
      </c>
      <c r="BF4" s="47" t="n">
        <v>56</v>
      </c>
      <c r="BG4" s="47" t="n">
        <v>57</v>
      </c>
      <c r="BH4" s="47" t="n">
        <v>58</v>
      </c>
      <c r="BI4" s="47" t="n">
        <v>59</v>
      </c>
      <c r="BJ4" s="47" t="n">
        <v>60</v>
      </c>
    </row>
    <row r="5" customFormat="false" ht="15" hidden="false" customHeight="false" outlineLevel="0" collapsed="false">
      <c r="A5" s="47" t="s">
        <v>69</v>
      </c>
      <c r="C5" s="47" t="n">
        <f aca="false">ROUNDUP(C4*1/12,0)</f>
        <v>1</v>
      </c>
      <c r="D5" s="47" t="n">
        <f aca="false">ROUNDUP(D4*1/12,0)</f>
        <v>1</v>
      </c>
      <c r="E5" s="47" t="n">
        <f aca="false">ROUNDUP(E4*1/12,0)</f>
        <v>1</v>
      </c>
      <c r="F5" s="47" t="n">
        <f aca="false">ROUNDUP(F4*1/12,0)</f>
        <v>1</v>
      </c>
      <c r="G5" s="47" t="n">
        <f aca="false">ROUNDUP(G4*1/12,0)</f>
        <v>1</v>
      </c>
      <c r="H5" s="47" t="n">
        <f aca="false">ROUNDUP(H4*1/12,0)</f>
        <v>1</v>
      </c>
      <c r="I5" s="47" t="n">
        <f aca="false">ROUNDUP(I4*1/12,0)</f>
        <v>1</v>
      </c>
      <c r="J5" s="47" t="n">
        <f aca="false">ROUNDUP(J4*1/12,0)</f>
        <v>1</v>
      </c>
      <c r="K5" s="47" t="n">
        <f aca="false">ROUNDUP(K4*1/12,0)</f>
        <v>1</v>
      </c>
      <c r="L5" s="47" t="n">
        <f aca="false">ROUNDUP(L4*1/12,0)</f>
        <v>1</v>
      </c>
      <c r="M5" s="47" t="n">
        <f aca="false">ROUNDUP(M4*1/12,0)</f>
        <v>1</v>
      </c>
      <c r="N5" s="47" t="n">
        <f aca="false">ROUNDUP(N4*1/12,0)</f>
        <v>1</v>
      </c>
      <c r="O5" s="47" t="n">
        <f aca="false">ROUNDUP(O4*1/12,0)</f>
        <v>2</v>
      </c>
      <c r="P5" s="47" t="n">
        <f aca="false">ROUNDUP(P4*1/12,0)</f>
        <v>2</v>
      </c>
      <c r="Q5" s="47" t="n">
        <f aca="false">ROUNDUP(Q4*1/12,0)</f>
        <v>2</v>
      </c>
      <c r="R5" s="47" t="n">
        <f aca="false">ROUNDUP(R4*1/12,0)</f>
        <v>2</v>
      </c>
      <c r="S5" s="47" t="n">
        <f aca="false">ROUNDUP(S4*1/12,0)</f>
        <v>2</v>
      </c>
      <c r="T5" s="47" t="n">
        <f aca="false">ROUNDUP(T4*1/12,0)</f>
        <v>2</v>
      </c>
      <c r="U5" s="47" t="n">
        <f aca="false">ROUNDUP(U4*1/12,0)</f>
        <v>2</v>
      </c>
      <c r="V5" s="47" t="n">
        <f aca="false">ROUNDUP(V4*1/12,0)</f>
        <v>2</v>
      </c>
      <c r="W5" s="47" t="n">
        <f aca="false">ROUNDUP(W4*1/12,0)</f>
        <v>2</v>
      </c>
      <c r="X5" s="47" t="n">
        <f aca="false">ROUNDUP(X4*1/12,0)</f>
        <v>2</v>
      </c>
      <c r="Y5" s="47" t="n">
        <f aca="false">ROUNDUP(Y4*1/12,0)</f>
        <v>2</v>
      </c>
      <c r="Z5" s="47" t="n">
        <f aca="false">ROUNDUP(Z4*1/12,0)</f>
        <v>2</v>
      </c>
      <c r="AA5" s="47" t="n">
        <f aca="false">ROUNDUP(AA4*1/12,0)</f>
        <v>3</v>
      </c>
      <c r="AB5" s="47" t="n">
        <f aca="false">ROUNDUP(AB4*1/12,0)</f>
        <v>3</v>
      </c>
      <c r="AC5" s="47" t="n">
        <f aca="false">ROUNDUP(AC4*1/12,0)</f>
        <v>3</v>
      </c>
      <c r="AD5" s="47" t="n">
        <f aca="false">ROUNDUP(AD4*1/12,0)</f>
        <v>3</v>
      </c>
      <c r="AE5" s="47" t="n">
        <f aca="false">ROUNDUP(AE4*1/12,0)</f>
        <v>3</v>
      </c>
      <c r="AF5" s="47" t="n">
        <f aca="false">ROUNDUP(AF4*1/12,0)</f>
        <v>3</v>
      </c>
      <c r="AG5" s="47" t="n">
        <f aca="false">ROUNDUP(AG4*1/12,0)</f>
        <v>3</v>
      </c>
      <c r="AH5" s="47" t="n">
        <f aca="false">ROUNDUP(AH4*1/12,0)</f>
        <v>3</v>
      </c>
      <c r="AI5" s="47" t="n">
        <f aca="false">ROUNDUP(AI4*1/12,0)</f>
        <v>3</v>
      </c>
      <c r="AJ5" s="47" t="n">
        <f aca="false">ROUNDUP(AJ4*1/12,0)</f>
        <v>3</v>
      </c>
      <c r="AK5" s="47" t="n">
        <f aca="false">ROUNDUP(AK4*1/12,0)</f>
        <v>3</v>
      </c>
      <c r="AL5" s="47" t="n">
        <f aca="false">ROUNDUP(AL4*1/12,0)</f>
        <v>3</v>
      </c>
      <c r="AM5" s="47" t="n">
        <f aca="false">ROUNDUP(AM4*1/12,0)</f>
        <v>4</v>
      </c>
      <c r="AN5" s="47" t="n">
        <f aca="false">ROUNDUP(AN4*1/12,0)</f>
        <v>4</v>
      </c>
      <c r="AO5" s="47" t="n">
        <f aca="false">ROUNDUP(AO4*1/12,0)</f>
        <v>4</v>
      </c>
      <c r="AP5" s="47" t="n">
        <f aca="false">ROUNDUP(AP4*1/12,0)</f>
        <v>4</v>
      </c>
      <c r="AQ5" s="47" t="n">
        <f aca="false">ROUNDUP(AQ4*1/12,0)</f>
        <v>4</v>
      </c>
      <c r="AR5" s="47" t="n">
        <f aca="false">ROUNDUP(AR4*1/12,0)</f>
        <v>4</v>
      </c>
      <c r="AS5" s="47" t="n">
        <f aca="false">ROUNDUP(AS4*1/12,0)</f>
        <v>4</v>
      </c>
      <c r="AT5" s="47" t="n">
        <f aca="false">ROUNDUP(AT4*1/12,0)</f>
        <v>4</v>
      </c>
      <c r="AU5" s="47" t="n">
        <f aca="false">ROUNDUP(AU4*1/12,0)</f>
        <v>4</v>
      </c>
      <c r="AV5" s="47" t="n">
        <f aca="false">ROUNDUP(AV4*1/12,0)</f>
        <v>4</v>
      </c>
      <c r="AW5" s="47" t="n">
        <f aca="false">ROUNDUP(AW4*1/12,0)</f>
        <v>4</v>
      </c>
      <c r="AX5" s="47" t="n">
        <f aca="false">ROUNDUP(AX4*1/12,0)</f>
        <v>4</v>
      </c>
      <c r="AY5" s="47" t="n">
        <f aca="false">ROUNDUP(AY4*1/12,0)</f>
        <v>5</v>
      </c>
      <c r="AZ5" s="47" t="n">
        <f aca="false">ROUNDUP(AZ4*1/12,0)</f>
        <v>5</v>
      </c>
      <c r="BA5" s="47" t="n">
        <f aca="false">ROUNDUP(BA4*1/12,0)</f>
        <v>5</v>
      </c>
      <c r="BB5" s="47" t="n">
        <f aca="false">ROUNDUP(BB4*1/12,0)</f>
        <v>5</v>
      </c>
      <c r="BC5" s="47" t="n">
        <f aca="false">ROUNDUP(BC4*1/12,0)</f>
        <v>5</v>
      </c>
      <c r="BD5" s="47" t="n">
        <f aca="false">ROUNDUP(BD4*1/12,0)</f>
        <v>5</v>
      </c>
      <c r="BE5" s="47" t="n">
        <f aca="false">ROUNDUP(BE4*1/12,0)</f>
        <v>5</v>
      </c>
      <c r="BF5" s="47" t="n">
        <f aca="false">ROUNDUP(BF4*1/12,0)</f>
        <v>5</v>
      </c>
      <c r="BG5" s="47" t="n">
        <f aca="false">ROUNDUP(BG4*1/12,0)</f>
        <v>5</v>
      </c>
      <c r="BH5" s="47" t="n">
        <f aca="false">ROUNDUP(BH4*1/12,0)</f>
        <v>5</v>
      </c>
      <c r="BI5" s="47" t="n">
        <f aca="false">ROUNDUP(BI4*1/12,0)</f>
        <v>5</v>
      </c>
      <c r="BJ5" s="47" t="n">
        <f aca="false">ROUNDUP(BJ4*1/12,0)</f>
        <v>5</v>
      </c>
    </row>
    <row r="7" customFormat="false" ht="15.75" hidden="false" customHeight="true" outlineLevel="0" collapsed="false">
      <c r="A7" s="7" t="s">
        <v>180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84</v>
      </c>
      <c r="C8" s="50" t="n">
        <f aca="false">-C35/MAX(1,Inputs!$E$13)*Inputs!$E$14</f>
        <v>19.2</v>
      </c>
      <c r="D8" s="50" t="n">
        <f aca="false">-D35/MAX(1,Inputs!$E$13)*Inputs!$E$14</f>
        <v>19.2</v>
      </c>
      <c r="E8" s="50" t="n">
        <f aca="false">-E35/MAX(1,Inputs!$E$13)*Inputs!$E$14</f>
        <v>19.2</v>
      </c>
      <c r="F8" s="50" t="n">
        <f aca="false">-F35/MAX(1,Inputs!$E$13)*Inputs!$E$14</f>
        <v>19.2</v>
      </c>
      <c r="G8" s="50" t="n">
        <f aca="false">-G35/MAX(1,Inputs!$E$13)*Inputs!$E$14</f>
        <v>19.2</v>
      </c>
      <c r="H8" s="50" t="n">
        <f aca="false">-H35/MAX(1,Inputs!$E$13)*Inputs!$E$14</f>
        <v>19.2</v>
      </c>
      <c r="I8" s="50" t="n">
        <f aca="false">-I35/MAX(1,Inputs!$E$13)*Inputs!$E$14</f>
        <v>19.2</v>
      </c>
      <c r="J8" s="50" t="n">
        <f aca="false">-J35/MAX(1,Inputs!$E$13)*Inputs!$E$14</f>
        <v>19.2</v>
      </c>
      <c r="K8" s="50" t="n">
        <f aca="false">-K35/MAX(1,Inputs!$E$13)*Inputs!$E$14</f>
        <v>19.2</v>
      </c>
      <c r="L8" s="50" t="n">
        <f aca="false">-L35/MAX(1,Inputs!$E$13)*Inputs!$E$14</f>
        <v>19.2</v>
      </c>
      <c r="M8" s="50" t="n">
        <f aca="false">-M35/MAX(1,Inputs!$E$13)*Inputs!$E$14</f>
        <v>19.2</v>
      </c>
      <c r="N8" s="50" t="n">
        <f aca="false">-N35/MAX(1,Inputs!$E$13)*Inputs!$E$14</f>
        <v>19.2</v>
      </c>
      <c r="O8" s="50" t="n">
        <f aca="false">-O35/MAX(1,Inputs!$E$13)*Inputs!$E$14</f>
        <v>20.16</v>
      </c>
      <c r="P8" s="50" t="n">
        <f aca="false">-P35/MAX(1,Inputs!$E$13)*Inputs!$E$14</f>
        <v>20.16</v>
      </c>
      <c r="Q8" s="50" t="n">
        <f aca="false">-Q35/MAX(1,Inputs!$E$13)*Inputs!$E$14</f>
        <v>20.16</v>
      </c>
      <c r="R8" s="50" t="n">
        <f aca="false">-R35/MAX(1,Inputs!$E$13)*Inputs!$E$14</f>
        <v>20.16</v>
      </c>
      <c r="S8" s="50" t="n">
        <f aca="false">-S35/MAX(1,Inputs!$E$13)*Inputs!$E$14</f>
        <v>20.16</v>
      </c>
      <c r="T8" s="50" t="n">
        <f aca="false">-T35/MAX(1,Inputs!$E$13)*Inputs!$E$14</f>
        <v>20.16</v>
      </c>
      <c r="U8" s="50" t="n">
        <f aca="false">-U35/MAX(1,Inputs!$E$13)*Inputs!$E$14</f>
        <v>20.16</v>
      </c>
      <c r="V8" s="50" t="n">
        <f aca="false">-V35/MAX(1,Inputs!$E$13)*Inputs!$E$14</f>
        <v>20.16</v>
      </c>
      <c r="W8" s="50" t="n">
        <f aca="false">-W35/MAX(1,Inputs!$E$13)*Inputs!$E$14</f>
        <v>20.16</v>
      </c>
      <c r="X8" s="50" t="n">
        <f aca="false">-X35/MAX(1,Inputs!$E$13)*Inputs!$E$14</f>
        <v>20.16</v>
      </c>
      <c r="Y8" s="50" t="n">
        <f aca="false">-Y35/MAX(1,Inputs!$E$13)*Inputs!$E$14</f>
        <v>20.16</v>
      </c>
      <c r="Z8" s="50" t="n">
        <f aca="false">-Z35/MAX(1,Inputs!$E$13)*Inputs!$E$14</f>
        <v>20.16</v>
      </c>
      <c r="AA8" s="50" t="n">
        <f aca="false">-AA35/MAX(1,Inputs!$E$13)*Inputs!$E$14</f>
        <v>21.168</v>
      </c>
      <c r="AB8" s="50" t="n">
        <f aca="false">-AB35/MAX(1,Inputs!$E$13)*Inputs!$E$14</f>
        <v>21.168</v>
      </c>
      <c r="AC8" s="50" t="n">
        <f aca="false">-AC35/MAX(1,Inputs!$E$13)*Inputs!$E$14</f>
        <v>21.168</v>
      </c>
      <c r="AD8" s="50" t="n">
        <f aca="false">-AD35/MAX(1,Inputs!$E$13)*Inputs!$E$14</f>
        <v>21.168</v>
      </c>
      <c r="AE8" s="50" t="n">
        <f aca="false">-AE35/MAX(1,Inputs!$E$13)*Inputs!$E$14</f>
        <v>21.168</v>
      </c>
      <c r="AF8" s="50" t="n">
        <f aca="false">-AF35/MAX(1,Inputs!$E$13)*Inputs!$E$14</f>
        <v>21.168</v>
      </c>
      <c r="AG8" s="50" t="n">
        <f aca="false">-AG35/MAX(1,Inputs!$E$13)*Inputs!$E$14</f>
        <v>21.168</v>
      </c>
      <c r="AH8" s="50" t="n">
        <f aca="false">-AH35/MAX(1,Inputs!$E$13)*Inputs!$E$14</f>
        <v>21.168</v>
      </c>
      <c r="AI8" s="50" t="n">
        <f aca="false">-AI35/MAX(1,Inputs!$E$13)*Inputs!$E$14</f>
        <v>21.168</v>
      </c>
      <c r="AJ8" s="50" t="n">
        <f aca="false">-AJ35/MAX(1,Inputs!$E$13)*Inputs!$E$14</f>
        <v>21.168</v>
      </c>
      <c r="AK8" s="50" t="n">
        <f aca="false">-AK35/MAX(1,Inputs!$E$13)*Inputs!$E$14</f>
        <v>21.168</v>
      </c>
      <c r="AL8" s="50" t="n">
        <f aca="false">-AL35/MAX(1,Inputs!$E$13)*Inputs!$E$14</f>
        <v>21.168</v>
      </c>
      <c r="AM8" s="50" t="n">
        <f aca="false">-AM35/MAX(1,Inputs!$E$13)*Inputs!$E$14</f>
        <v>22.2264</v>
      </c>
      <c r="AN8" s="50" t="n">
        <f aca="false">-AN35/MAX(1,Inputs!$E$13)*Inputs!$E$14</f>
        <v>22.2264</v>
      </c>
      <c r="AO8" s="50" t="n">
        <f aca="false">-AO35/MAX(1,Inputs!$E$13)*Inputs!$E$14</f>
        <v>22.2264</v>
      </c>
      <c r="AP8" s="50" t="n">
        <f aca="false">-AP35/MAX(1,Inputs!$E$13)*Inputs!$E$14</f>
        <v>22.2264</v>
      </c>
      <c r="AQ8" s="50" t="n">
        <f aca="false">-AQ35/MAX(1,Inputs!$E$13)*Inputs!$E$14</f>
        <v>22.2264</v>
      </c>
      <c r="AR8" s="50" t="n">
        <f aca="false">-AR35/MAX(1,Inputs!$E$13)*Inputs!$E$14</f>
        <v>22.2264</v>
      </c>
      <c r="AS8" s="50" t="n">
        <f aca="false">-AS35/MAX(1,Inputs!$E$13)*Inputs!$E$14</f>
        <v>22.2264</v>
      </c>
      <c r="AT8" s="50" t="n">
        <f aca="false">-AT35/MAX(1,Inputs!$E$13)*Inputs!$E$14</f>
        <v>22.2264</v>
      </c>
      <c r="AU8" s="50" t="n">
        <f aca="false">-AU35/MAX(1,Inputs!$E$13)*Inputs!$E$14</f>
        <v>22.2264</v>
      </c>
      <c r="AV8" s="50" t="n">
        <f aca="false">-AV35/MAX(1,Inputs!$E$13)*Inputs!$E$14</f>
        <v>22.2264</v>
      </c>
      <c r="AW8" s="50" t="n">
        <f aca="false">-AW35/MAX(1,Inputs!$E$13)*Inputs!$E$14</f>
        <v>22.2264</v>
      </c>
      <c r="AX8" s="50" t="n">
        <f aca="false">-AX35/MAX(1,Inputs!$E$13)*Inputs!$E$14</f>
        <v>22.2264</v>
      </c>
      <c r="AY8" s="50" t="n">
        <f aca="false">-AY35/MAX(1,Inputs!$E$13)*Inputs!$E$14</f>
        <v>23.33772</v>
      </c>
      <c r="AZ8" s="50" t="n">
        <f aca="false">-AZ35/MAX(1,Inputs!$E$13)*Inputs!$E$14</f>
        <v>23.33772</v>
      </c>
      <c r="BA8" s="50" t="n">
        <f aca="false">-BA35/MAX(1,Inputs!$E$13)*Inputs!$E$14</f>
        <v>23.33772</v>
      </c>
      <c r="BB8" s="50" t="n">
        <f aca="false">-BB35/MAX(1,Inputs!$E$13)*Inputs!$E$14</f>
        <v>23.33772</v>
      </c>
      <c r="BC8" s="50" t="n">
        <f aca="false">-BC35/MAX(1,Inputs!$E$13)*Inputs!$E$14</f>
        <v>23.33772</v>
      </c>
      <c r="BD8" s="50" t="n">
        <f aca="false">-BD35/MAX(1,Inputs!$E$13)*Inputs!$E$14</f>
        <v>23.33772</v>
      </c>
      <c r="BE8" s="50" t="n">
        <f aca="false">-BE35/MAX(1,Inputs!$E$13)*Inputs!$E$14</f>
        <v>23.33772</v>
      </c>
      <c r="BF8" s="50" t="n">
        <f aca="false">-BF35/MAX(1,Inputs!$E$13)*Inputs!$E$14</f>
        <v>23.33772</v>
      </c>
      <c r="BG8" s="50" t="n">
        <f aca="false">-BG35/MAX(1,Inputs!$E$13)*Inputs!$E$14</f>
        <v>23.33772</v>
      </c>
      <c r="BH8" s="50" t="n">
        <f aca="false">-BH35/MAX(1,Inputs!$E$13)*Inputs!$E$14</f>
        <v>23.33772</v>
      </c>
      <c r="BI8" s="50" t="n">
        <f aca="false">-BI35/MAX(1,Inputs!$E$13)*Inputs!$E$14</f>
        <v>23.33772</v>
      </c>
      <c r="BJ8" s="50" t="n">
        <f aca="false">-BJ35/MAX(1,Inputs!$E$13)*Inputs!$E$14</f>
        <v>23.33772</v>
      </c>
    </row>
    <row r="9" customFormat="false" ht="15" hidden="false" customHeight="false" outlineLevel="0" collapsed="false">
      <c r="A9" s="6" t="s">
        <v>329</v>
      </c>
      <c r="C9" s="50" t="n">
        <f aca="false">Inputs!$E$9*(1+Inputs!$E$10)^(C$5-1)*1</f>
        <v>15</v>
      </c>
      <c r="D9" s="50" t="n">
        <f aca="false">Inputs!$E$9*(1+Inputs!$E$10)^(D$5-1)*1</f>
        <v>15</v>
      </c>
      <c r="E9" s="50" t="n">
        <f aca="false">Inputs!$E$9*(1+Inputs!$E$10)^(E$5-1)*1</f>
        <v>15</v>
      </c>
      <c r="F9" s="50" t="n">
        <f aca="false">Inputs!$E$9*(1+Inputs!$E$10)^(F$5-1)*1</f>
        <v>15</v>
      </c>
      <c r="G9" s="50" t="n">
        <f aca="false">Inputs!$E$9*(1+Inputs!$E$10)^(G$5-1)*1</f>
        <v>15</v>
      </c>
      <c r="H9" s="50" t="n">
        <f aca="false">Inputs!$E$9*(1+Inputs!$E$10)^(H$5-1)*1</f>
        <v>15</v>
      </c>
      <c r="I9" s="50" t="n">
        <f aca="false">Inputs!$E$9*(1+Inputs!$E$10)^(I$5-1)*1</f>
        <v>15</v>
      </c>
      <c r="J9" s="50" t="n">
        <f aca="false">Inputs!$E$9*(1+Inputs!$E$10)^(J$5-1)*1</f>
        <v>15</v>
      </c>
      <c r="K9" s="50" t="n">
        <f aca="false">Inputs!$E$9*(1+Inputs!$E$10)^(K$5-1)*1</f>
        <v>15</v>
      </c>
      <c r="L9" s="50" t="n">
        <f aca="false">Inputs!$E$9*(1+Inputs!$E$10)^(L$5-1)*1</f>
        <v>15</v>
      </c>
      <c r="M9" s="50" t="n">
        <f aca="false">Inputs!$E$9*(1+Inputs!$E$10)^(M$5-1)*1</f>
        <v>15</v>
      </c>
      <c r="N9" s="50" t="n">
        <f aca="false">Inputs!$E$9*(1+Inputs!$E$10)^(N$5-1)*1</f>
        <v>15</v>
      </c>
      <c r="O9" s="50" t="n">
        <f aca="false">Inputs!$E$9*(1+Inputs!$E$10)^(O$5-1)*1</f>
        <v>16.5</v>
      </c>
      <c r="P9" s="50" t="n">
        <f aca="false">Inputs!$E$9*(1+Inputs!$E$10)^(P$5-1)*1</f>
        <v>16.5</v>
      </c>
      <c r="Q9" s="50" t="n">
        <f aca="false">Inputs!$E$9*(1+Inputs!$E$10)^(Q$5-1)*1</f>
        <v>16.5</v>
      </c>
      <c r="R9" s="50" t="n">
        <f aca="false">Inputs!$E$9*(1+Inputs!$E$10)^(R$5-1)*1</f>
        <v>16.5</v>
      </c>
      <c r="S9" s="50" t="n">
        <f aca="false">Inputs!$E$9*(1+Inputs!$E$10)^(S$5-1)*1</f>
        <v>16.5</v>
      </c>
      <c r="T9" s="50" t="n">
        <f aca="false">Inputs!$E$9*(1+Inputs!$E$10)^(T$5-1)*1</f>
        <v>16.5</v>
      </c>
      <c r="U9" s="50" t="n">
        <f aca="false">Inputs!$E$9*(1+Inputs!$E$10)^(U$5-1)*1</f>
        <v>16.5</v>
      </c>
      <c r="V9" s="50" t="n">
        <f aca="false">Inputs!$E$9*(1+Inputs!$E$10)^(V$5-1)*1</f>
        <v>16.5</v>
      </c>
      <c r="W9" s="50" t="n">
        <f aca="false">Inputs!$E$9*(1+Inputs!$E$10)^(W$5-1)*1</f>
        <v>16.5</v>
      </c>
      <c r="X9" s="50" t="n">
        <f aca="false">Inputs!$E$9*(1+Inputs!$E$10)^(X$5-1)*1</f>
        <v>16.5</v>
      </c>
      <c r="Y9" s="50" t="n">
        <f aca="false">Inputs!$E$9*(1+Inputs!$E$10)^(Y$5-1)*1</f>
        <v>16.5</v>
      </c>
      <c r="Z9" s="50" t="n">
        <f aca="false">Inputs!$E$9*(1+Inputs!$E$10)^(Z$5-1)*1</f>
        <v>16.5</v>
      </c>
      <c r="AA9" s="50" t="n">
        <f aca="false">Inputs!$E$9*(1+Inputs!$E$10)^(AA$5-1)*1</f>
        <v>18.15</v>
      </c>
      <c r="AB9" s="50" t="n">
        <f aca="false">Inputs!$E$9*(1+Inputs!$E$10)^(AB$5-1)*1</f>
        <v>18.15</v>
      </c>
      <c r="AC9" s="50" t="n">
        <f aca="false">Inputs!$E$9*(1+Inputs!$E$10)^(AC$5-1)*1</f>
        <v>18.15</v>
      </c>
      <c r="AD9" s="50" t="n">
        <f aca="false">Inputs!$E$9*(1+Inputs!$E$10)^(AD$5-1)*1</f>
        <v>18.15</v>
      </c>
      <c r="AE9" s="50" t="n">
        <f aca="false">Inputs!$E$9*(1+Inputs!$E$10)^(AE$5-1)*1</f>
        <v>18.15</v>
      </c>
      <c r="AF9" s="50" t="n">
        <f aca="false">Inputs!$E$9*(1+Inputs!$E$10)^(AF$5-1)*1</f>
        <v>18.15</v>
      </c>
      <c r="AG9" s="50" t="n">
        <f aca="false">Inputs!$E$9*(1+Inputs!$E$10)^(AG$5-1)*1</f>
        <v>18.15</v>
      </c>
      <c r="AH9" s="50" t="n">
        <f aca="false">Inputs!$E$9*(1+Inputs!$E$10)^(AH$5-1)*1</f>
        <v>18.15</v>
      </c>
      <c r="AI9" s="50" t="n">
        <f aca="false">Inputs!$E$9*(1+Inputs!$E$10)^(AI$5-1)*1</f>
        <v>18.15</v>
      </c>
      <c r="AJ9" s="50" t="n">
        <f aca="false">Inputs!$E$9*(1+Inputs!$E$10)^(AJ$5-1)*1</f>
        <v>18.15</v>
      </c>
      <c r="AK9" s="50" t="n">
        <f aca="false">Inputs!$E$9*(1+Inputs!$E$10)^(AK$5-1)*1</f>
        <v>18.15</v>
      </c>
      <c r="AL9" s="50" t="n">
        <f aca="false">Inputs!$E$9*(1+Inputs!$E$10)^(AL$5-1)*1</f>
        <v>18.15</v>
      </c>
      <c r="AM9" s="50" t="n">
        <f aca="false">Inputs!$E$9*(1+Inputs!$E$10)^(AM$5-1)*1</f>
        <v>19.965</v>
      </c>
      <c r="AN9" s="50" t="n">
        <f aca="false">Inputs!$E$9*(1+Inputs!$E$10)^(AN$5-1)*1</f>
        <v>19.965</v>
      </c>
      <c r="AO9" s="50" t="n">
        <f aca="false">Inputs!$E$9*(1+Inputs!$E$10)^(AO$5-1)*1</f>
        <v>19.965</v>
      </c>
      <c r="AP9" s="50" t="n">
        <f aca="false">Inputs!$E$9*(1+Inputs!$E$10)^(AP$5-1)*1</f>
        <v>19.965</v>
      </c>
      <c r="AQ9" s="50" t="n">
        <f aca="false">Inputs!$E$9*(1+Inputs!$E$10)^(AQ$5-1)*1</f>
        <v>19.965</v>
      </c>
      <c r="AR9" s="50" t="n">
        <f aca="false">Inputs!$E$9*(1+Inputs!$E$10)^(AR$5-1)*1</f>
        <v>19.965</v>
      </c>
      <c r="AS9" s="50" t="n">
        <f aca="false">Inputs!$E$9*(1+Inputs!$E$10)^(AS$5-1)*1</f>
        <v>19.965</v>
      </c>
      <c r="AT9" s="50" t="n">
        <f aca="false">Inputs!$E$9*(1+Inputs!$E$10)^(AT$5-1)*1</f>
        <v>19.965</v>
      </c>
      <c r="AU9" s="50" t="n">
        <f aca="false">Inputs!$E$9*(1+Inputs!$E$10)^(AU$5-1)*1</f>
        <v>19.965</v>
      </c>
      <c r="AV9" s="50" t="n">
        <f aca="false">Inputs!$E$9*(1+Inputs!$E$10)^(AV$5-1)*1</f>
        <v>19.965</v>
      </c>
      <c r="AW9" s="50" t="n">
        <f aca="false">Inputs!$E$9*(1+Inputs!$E$10)^(AW$5-1)*1</f>
        <v>19.965</v>
      </c>
      <c r="AX9" s="50" t="n">
        <f aca="false">Inputs!$E$9*(1+Inputs!$E$10)^(AX$5-1)*1</f>
        <v>19.965</v>
      </c>
      <c r="AY9" s="50" t="n">
        <f aca="false">Inputs!$E$9*(1+Inputs!$E$10)^(AY$5-1)*1</f>
        <v>21.9615</v>
      </c>
      <c r="AZ9" s="50" t="n">
        <f aca="false">Inputs!$E$9*(1+Inputs!$E$10)^(AZ$5-1)*1</f>
        <v>21.9615</v>
      </c>
      <c r="BA9" s="50" t="n">
        <f aca="false">Inputs!$E$9*(1+Inputs!$E$10)^(BA$5-1)*1</f>
        <v>21.9615</v>
      </c>
      <c r="BB9" s="50" t="n">
        <f aca="false">Inputs!$E$9*(1+Inputs!$E$10)^(BB$5-1)*1</f>
        <v>21.9615</v>
      </c>
      <c r="BC9" s="50" t="n">
        <f aca="false">Inputs!$E$9*(1+Inputs!$E$10)^(BC$5-1)*1</f>
        <v>21.9615</v>
      </c>
      <c r="BD9" s="50" t="n">
        <f aca="false">Inputs!$E$9*(1+Inputs!$E$10)^(BD$5-1)*1</f>
        <v>21.9615</v>
      </c>
      <c r="BE9" s="50" t="n">
        <f aca="false">Inputs!$E$9*(1+Inputs!$E$10)^(BE$5-1)*1</f>
        <v>21.9615</v>
      </c>
      <c r="BF9" s="50" t="n">
        <f aca="false">Inputs!$E$9*(1+Inputs!$E$10)^(BF$5-1)*1</f>
        <v>21.9615</v>
      </c>
      <c r="BG9" s="50" t="n">
        <f aca="false">Inputs!$E$9*(1+Inputs!$E$10)^(BG$5-1)*1</f>
        <v>21.9615</v>
      </c>
      <c r="BH9" s="50" t="n">
        <f aca="false">Inputs!$E$9*(1+Inputs!$E$10)^(BH$5-1)*1</f>
        <v>21.9615</v>
      </c>
      <c r="BI9" s="50" t="n">
        <f aca="false">Inputs!$E$9*(1+Inputs!$E$10)^(BI$5-1)*1</f>
        <v>21.9615</v>
      </c>
      <c r="BJ9" s="50" t="n">
        <f aca="false">Inputs!$E$9*(1+Inputs!$E$10)^(BJ$5-1)*1</f>
        <v>21.9615</v>
      </c>
    </row>
    <row r="10" customFormat="false" ht="15" hidden="false" customHeight="false" outlineLevel="0" collapsed="false">
      <c r="A10" s="4" t="s">
        <v>330</v>
      </c>
      <c r="C10" s="49" t="n">
        <f aca="false">C8+C9</f>
        <v>34.2</v>
      </c>
      <c r="D10" s="49" t="n">
        <f aca="false">D8+D9</f>
        <v>34.2</v>
      </c>
      <c r="E10" s="49" t="n">
        <f aca="false">E8+E9</f>
        <v>34.2</v>
      </c>
      <c r="F10" s="49" t="n">
        <f aca="false">F8+F9</f>
        <v>34.2</v>
      </c>
      <c r="G10" s="49" t="n">
        <f aca="false">G8+G9</f>
        <v>34.2</v>
      </c>
      <c r="H10" s="49" t="n">
        <f aca="false">H8+H9</f>
        <v>34.2</v>
      </c>
      <c r="I10" s="49" t="n">
        <f aca="false">I8+I9</f>
        <v>34.2</v>
      </c>
      <c r="J10" s="49" t="n">
        <f aca="false">J8+J9</f>
        <v>34.2</v>
      </c>
      <c r="K10" s="49" t="n">
        <f aca="false">K8+K9</f>
        <v>34.2</v>
      </c>
      <c r="L10" s="49" t="n">
        <f aca="false">L8+L9</f>
        <v>34.2</v>
      </c>
      <c r="M10" s="49" t="n">
        <f aca="false">M8+M9</f>
        <v>34.2</v>
      </c>
      <c r="N10" s="49" t="n">
        <f aca="false">N8+N9</f>
        <v>34.2</v>
      </c>
      <c r="O10" s="49" t="n">
        <f aca="false">O8+O9</f>
        <v>36.66</v>
      </c>
      <c r="P10" s="49" t="n">
        <f aca="false">P8+P9</f>
        <v>36.66</v>
      </c>
      <c r="Q10" s="49" t="n">
        <f aca="false">Q8+Q9</f>
        <v>36.66</v>
      </c>
      <c r="R10" s="49" t="n">
        <f aca="false">R8+R9</f>
        <v>36.66</v>
      </c>
      <c r="S10" s="49" t="n">
        <f aca="false">S8+S9</f>
        <v>36.66</v>
      </c>
      <c r="T10" s="49" t="n">
        <f aca="false">T8+T9</f>
        <v>36.66</v>
      </c>
      <c r="U10" s="49" t="n">
        <f aca="false">U8+U9</f>
        <v>36.66</v>
      </c>
      <c r="V10" s="49" t="n">
        <f aca="false">V8+V9</f>
        <v>36.66</v>
      </c>
      <c r="W10" s="49" t="n">
        <f aca="false">W8+W9</f>
        <v>36.66</v>
      </c>
      <c r="X10" s="49" t="n">
        <f aca="false">X8+X9</f>
        <v>36.66</v>
      </c>
      <c r="Y10" s="49" t="n">
        <f aca="false">Y8+Y9</f>
        <v>36.66</v>
      </c>
      <c r="Z10" s="49" t="n">
        <f aca="false">Z8+Z9</f>
        <v>36.66</v>
      </c>
      <c r="AA10" s="49" t="n">
        <f aca="false">AA8+AA9</f>
        <v>39.318</v>
      </c>
      <c r="AB10" s="49" t="n">
        <f aca="false">AB8+AB9</f>
        <v>39.318</v>
      </c>
      <c r="AC10" s="49" t="n">
        <f aca="false">AC8+AC9</f>
        <v>39.318</v>
      </c>
      <c r="AD10" s="49" t="n">
        <f aca="false">AD8+AD9</f>
        <v>39.318</v>
      </c>
      <c r="AE10" s="49" t="n">
        <f aca="false">AE8+AE9</f>
        <v>39.318</v>
      </c>
      <c r="AF10" s="49" t="n">
        <f aca="false">AF8+AF9</f>
        <v>39.318</v>
      </c>
      <c r="AG10" s="49" t="n">
        <f aca="false">AG8+AG9</f>
        <v>39.318</v>
      </c>
      <c r="AH10" s="49" t="n">
        <f aca="false">AH8+AH9</f>
        <v>39.318</v>
      </c>
      <c r="AI10" s="49" t="n">
        <f aca="false">AI8+AI9</f>
        <v>39.318</v>
      </c>
      <c r="AJ10" s="49" t="n">
        <f aca="false">AJ8+AJ9</f>
        <v>39.318</v>
      </c>
      <c r="AK10" s="49" t="n">
        <f aca="false">AK8+AK9</f>
        <v>39.318</v>
      </c>
      <c r="AL10" s="49" t="n">
        <f aca="false">AL8+AL9</f>
        <v>39.318</v>
      </c>
      <c r="AM10" s="49" t="n">
        <f aca="false">AM8+AM9</f>
        <v>42.1914</v>
      </c>
      <c r="AN10" s="49" t="n">
        <f aca="false">AN8+AN9</f>
        <v>42.1914</v>
      </c>
      <c r="AO10" s="49" t="n">
        <f aca="false">AO8+AO9</f>
        <v>42.1914</v>
      </c>
      <c r="AP10" s="49" t="n">
        <f aca="false">AP8+AP9</f>
        <v>42.1914</v>
      </c>
      <c r="AQ10" s="49" t="n">
        <f aca="false">AQ8+AQ9</f>
        <v>42.1914</v>
      </c>
      <c r="AR10" s="49" t="n">
        <f aca="false">AR8+AR9</f>
        <v>42.1914</v>
      </c>
      <c r="AS10" s="49" t="n">
        <f aca="false">AS8+AS9</f>
        <v>42.1914</v>
      </c>
      <c r="AT10" s="49" t="n">
        <f aca="false">AT8+AT9</f>
        <v>42.1914</v>
      </c>
      <c r="AU10" s="49" t="n">
        <f aca="false">AU8+AU9</f>
        <v>42.1914</v>
      </c>
      <c r="AV10" s="49" t="n">
        <f aca="false">AV8+AV9</f>
        <v>42.1914</v>
      </c>
      <c r="AW10" s="49" t="n">
        <f aca="false">AW8+AW9</f>
        <v>42.1914</v>
      </c>
      <c r="AX10" s="49" t="n">
        <f aca="false">AX8+AX9</f>
        <v>42.1914</v>
      </c>
      <c r="AY10" s="49" t="n">
        <f aca="false">AY8+AY9</f>
        <v>45.29922</v>
      </c>
      <c r="AZ10" s="49" t="n">
        <f aca="false">AZ8+AZ9</f>
        <v>45.29922</v>
      </c>
      <c r="BA10" s="49" t="n">
        <f aca="false">BA8+BA9</f>
        <v>45.29922</v>
      </c>
      <c r="BB10" s="49" t="n">
        <f aca="false">BB8+BB9</f>
        <v>45.29922</v>
      </c>
      <c r="BC10" s="49" t="n">
        <f aca="false">BC8+BC9</f>
        <v>45.29922</v>
      </c>
      <c r="BD10" s="49" t="n">
        <f aca="false">BD8+BD9</f>
        <v>45.29922</v>
      </c>
      <c r="BE10" s="49" t="n">
        <f aca="false">BE8+BE9</f>
        <v>45.29922</v>
      </c>
      <c r="BF10" s="49" t="n">
        <f aca="false">BF8+BF9</f>
        <v>45.29922</v>
      </c>
      <c r="BG10" s="49" t="n">
        <f aca="false">BG8+BG9</f>
        <v>45.29922</v>
      </c>
      <c r="BH10" s="49" t="n">
        <f aca="false">BH8+BH9</f>
        <v>45.29922</v>
      </c>
      <c r="BI10" s="49" t="n">
        <f aca="false">BI8+BI9</f>
        <v>45.29922</v>
      </c>
      <c r="BJ10" s="49" t="n">
        <f aca="false">BJ8+BJ9</f>
        <v>45.29922</v>
      </c>
    </row>
    <row r="11" customFormat="false" ht="15" hidden="false" customHeight="false" outlineLevel="0" collapsed="false">
      <c r="A11" s="6" t="s">
        <v>331</v>
      </c>
      <c r="C11" s="86" t="n">
        <f aca="false">Inputs!$E$7</f>
        <v>120</v>
      </c>
      <c r="D11" s="50" t="n">
        <f aca="false">C14</f>
        <v>147</v>
      </c>
      <c r="E11" s="50" t="n">
        <f aca="false">D14</f>
        <v>172.38</v>
      </c>
      <c r="F11" s="50" t="n">
        <f aca="false">E14</f>
        <v>196.2372</v>
      </c>
      <c r="G11" s="50" t="n">
        <f aca="false">F14</f>
        <v>218.662968</v>
      </c>
      <c r="H11" s="50" t="n">
        <f aca="false">G14</f>
        <v>239.74318992</v>
      </c>
      <c r="I11" s="50" t="n">
        <f aca="false">H14</f>
        <v>259.5585985248</v>
      </c>
      <c r="J11" s="50" t="n">
        <f aca="false">I14</f>
        <v>278.185082613312</v>
      </c>
      <c r="K11" s="50" t="n">
        <f aca="false">J14</f>
        <v>295.693977656513</v>
      </c>
      <c r="L11" s="50" t="n">
        <f aca="false">K14</f>
        <v>312.152338997122</v>
      </c>
      <c r="M11" s="50" t="n">
        <f aca="false">L14</f>
        <v>327.623198657295</v>
      </c>
      <c r="N11" s="50" t="n">
        <f aca="false">M14</f>
        <v>342.165806737857</v>
      </c>
      <c r="O11" s="50" t="n">
        <f aca="false">N14</f>
        <v>355.835858333586</v>
      </c>
      <c r="P11" s="50" t="n">
        <f aca="false">O14</f>
        <v>371.145706833571</v>
      </c>
      <c r="Q11" s="50" t="n">
        <f aca="false">P14</f>
        <v>385.536964423556</v>
      </c>
      <c r="R11" s="50" t="n">
        <f aca="false">Q14</f>
        <v>399.064746558143</v>
      </c>
      <c r="S11" s="50" t="n">
        <f aca="false">R14</f>
        <v>411.780861764654</v>
      </c>
      <c r="T11" s="50" t="n">
        <f aca="false">S14</f>
        <v>423.734010058775</v>
      </c>
      <c r="U11" s="50" t="n">
        <f aca="false">T14</f>
        <v>434.969969455249</v>
      </c>
      <c r="V11" s="50" t="n">
        <f aca="false">U14</f>
        <v>445.531771287934</v>
      </c>
      <c r="W11" s="50" t="n">
        <f aca="false">V14</f>
        <v>450</v>
      </c>
      <c r="X11" s="50" t="n">
        <f aca="false">W14</f>
        <v>450</v>
      </c>
      <c r="Y11" s="50" t="n">
        <f aca="false">X14</f>
        <v>450</v>
      </c>
      <c r="Z11" s="50" t="n">
        <f aca="false">Y14</f>
        <v>450</v>
      </c>
      <c r="AA11" s="50" t="n">
        <f aca="false">Z14</f>
        <v>450</v>
      </c>
      <c r="AB11" s="50" t="n">
        <f aca="false">AA14</f>
        <v>450</v>
      </c>
      <c r="AC11" s="50" t="n">
        <f aca="false">AB14</f>
        <v>450</v>
      </c>
      <c r="AD11" s="50" t="n">
        <f aca="false">AC14</f>
        <v>450</v>
      </c>
      <c r="AE11" s="50" t="n">
        <f aca="false">AD14</f>
        <v>450</v>
      </c>
      <c r="AF11" s="50" t="n">
        <f aca="false">AE14</f>
        <v>450</v>
      </c>
      <c r="AG11" s="50" t="n">
        <f aca="false">AF14</f>
        <v>450</v>
      </c>
      <c r="AH11" s="50" t="n">
        <f aca="false">AG14</f>
        <v>450</v>
      </c>
      <c r="AI11" s="50" t="n">
        <f aca="false">AH14</f>
        <v>450</v>
      </c>
      <c r="AJ11" s="50" t="n">
        <f aca="false">AI14</f>
        <v>450</v>
      </c>
      <c r="AK11" s="50" t="n">
        <f aca="false">AJ14</f>
        <v>450</v>
      </c>
      <c r="AL11" s="50" t="n">
        <f aca="false">AK14</f>
        <v>450</v>
      </c>
      <c r="AM11" s="50" t="n">
        <f aca="false">AL14</f>
        <v>450</v>
      </c>
      <c r="AN11" s="50" t="n">
        <f aca="false">AM14</f>
        <v>450</v>
      </c>
      <c r="AO11" s="50" t="n">
        <f aca="false">AN14</f>
        <v>450</v>
      </c>
      <c r="AP11" s="50" t="n">
        <f aca="false">AO14</f>
        <v>450</v>
      </c>
      <c r="AQ11" s="50" t="n">
        <f aca="false">AP14</f>
        <v>450</v>
      </c>
      <c r="AR11" s="50" t="n">
        <f aca="false">AQ14</f>
        <v>450</v>
      </c>
      <c r="AS11" s="50" t="n">
        <f aca="false">AR14</f>
        <v>450</v>
      </c>
      <c r="AT11" s="50" t="n">
        <f aca="false">AS14</f>
        <v>450</v>
      </c>
      <c r="AU11" s="50" t="n">
        <f aca="false">AT14</f>
        <v>450</v>
      </c>
      <c r="AV11" s="50" t="n">
        <f aca="false">AU14</f>
        <v>450</v>
      </c>
      <c r="AW11" s="50" t="n">
        <f aca="false">AV14</f>
        <v>450</v>
      </c>
      <c r="AX11" s="50" t="n">
        <f aca="false">AW14</f>
        <v>450</v>
      </c>
      <c r="AY11" s="50" t="n">
        <f aca="false">AX14</f>
        <v>450</v>
      </c>
      <c r="AZ11" s="50" t="n">
        <f aca="false">AY14</f>
        <v>450</v>
      </c>
      <c r="BA11" s="50" t="n">
        <f aca="false">AZ14</f>
        <v>450</v>
      </c>
      <c r="BB11" s="50" t="n">
        <f aca="false">BA14</f>
        <v>450</v>
      </c>
      <c r="BC11" s="50" t="n">
        <f aca="false">BB14</f>
        <v>450</v>
      </c>
      <c r="BD11" s="50" t="n">
        <f aca="false">BC14</f>
        <v>450</v>
      </c>
      <c r="BE11" s="50" t="n">
        <f aca="false">BD14</f>
        <v>450</v>
      </c>
      <c r="BF11" s="50" t="n">
        <f aca="false">BE14</f>
        <v>450</v>
      </c>
      <c r="BG11" s="50" t="n">
        <f aca="false">BF14</f>
        <v>450</v>
      </c>
      <c r="BH11" s="50" t="n">
        <f aca="false">BG14</f>
        <v>450</v>
      </c>
      <c r="BI11" s="50" t="n">
        <f aca="false">BH14</f>
        <v>450</v>
      </c>
      <c r="BJ11" s="50" t="n">
        <f aca="false">BI14</f>
        <v>450</v>
      </c>
    </row>
    <row r="12" customFormat="false" ht="15" hidden="false" customHeight="false" outlineLevel="0" collapsed="false">
      <c r="A12" s="6" t="s">
        <v>332</v>
      </c>
      <c r="C12" s="50" t="n">
        <f aca="false">-C11*Inputs!$E$15</f>
        <v>-7.2</v>
      </c>
      <c r="D12" s="50" t="n">
        <f aca="false">-D11*Inputs!$E$15</f>
        <v>-8.82</v>
      </c>
      <c r="E12" s="50" t="n">
        <f aca="false">-E11*Inputs!$E$15</f>
        <v>-10.3428</v>
      </c>
      <c r="F12" s="50" t="n">
        <f aca="false">-F11*Inputs!$E$15</f>
        <v>-11.774232</v>
      </c>
      <c r="G12" s="50" t="n">
        <f aca="false">-G11*Inputs!$E$15</f>
        <v>-13.11977808</v>
      </c>
      <c r="H12" s="50" t="n">
        <f aca="false">-H11*Inputs!$E$15</f>
        <v>-14.3845913952</v>
      </c>
      <c r="I12" s="50" t="n">
        <f aca="false">-I11*Inputs!$E$15</f>
        <v>-15.573515911488</v>
      </c>
      <c r="J12" s="50" t="n">
        <f aca="false">-J11*Inputs!$E$15</f>
        <v>-16.6911049567987</v>
      </c>
      <c r="K12" s="50" t="n">
        <f aca="false">-K11*Inputs!$E$15</f>
        <v>-17.7416386593908</v>
      </c>
      <c r="L12" s="50" t="n">
        <f aca="false">-L11*Inputs!$E$15</f>
        <v>-18.7291403398273</v>
      </c>
      <c r="M12" s="50" t="n">
        <f aca="false">-M11*Inputs!$E$15</f>
        <v>-19.6573919194377</v>
      </c>
      <c r="N12" s="50" t="n">
        <f aca="false">-N11*Inputs!$E$15</f>
        <v>-20.5299484042714</v>
      </c>
      <c r="O12" s="50" t="n">
        <f aca="false">-O11*Inputs!$E$15</f>
        <v>-21.3501515000151</v>
      </c>
      <c r="P12" s="50" t="n">
        <f aca="false">-P11*Inputs!$E$15</f>
        <v>-22.2687424100142</v>
      </c>
      <c r="Q12" s="50" t="n">
        <f aca="false">-Q11*Inputs!$E$15</f>
        <v>-23.1322178654134</v>
      </c>
      <c r="R12" s="50" t="n">
        <f aca="false">-R11*Inputs!$E$15</f>
        <v>-23.9438847934886</v>
      </c>
      <c r="S12" s="50" t="n">
        <f aca="false">-S11*Inputs!$E$15</f>
        <v>-24.7068517058793</v>
      </c>
      <c r="T12" s="50" t="n">
        <f aca="false">-T11*Inputs!$E$15</f>
        <v>-25.4240406035265</v>
      </c>
      <c r="U12" s="50" t="n">
        <f aca="false">-U11*Inputs!$E$15</f>
        <v>-26.0981981673149</v>
      </c>
      <c r="V12" s="50" t="n">
        <f aca="false">-V11*Inputs!$E$15</f>
        <v>-26.731906277276</v>
      </c>
      <c r="W12" s="50" t="n">
        <f aca="false">-W11*Inputs!$E$15</f>
        <v>-27</v>
      </c>
      <c r="X12" s="50" t="n">
        <f aca="false">-X11*Inputs!$E$15</f>
        <v>-27</v>
      </c>
      <c r="Y12" s="50" t="n">
        <f aca="false">-Y11*Inputs!$E$15</f>
        <v>-27</v>
      </c>
      <c r="Z12" s="50" t="n">
        <f aca="false">-Z11*Inputs!$E$15</f>
        <v>-27</v>
      </c>
      <c r="AA12" s="50" t="n">
        <f aca="false">-AA11*Inputs!$E$15</f>
        <v>-27</v>
      </c>
      <c r="AB12" s="50" t="n">
        <f aca="false">-AB11*Inputs!$E$15</f>
        <v>-27</v>
      </c>
      <c r="AC12" s="50" t="n">
        <f aca="false">-AC11*Inputs!$E$15</f>
        <v>-27</v>
      </c>
      <c r="AD12" s="50" t="n">
        <f aca="false">-AD11*Inputs!$E$15</f>
        <v>-27</v>
      </c>
      <c r="AE12" s="50" t="n">
        <f aca="false">-AE11*Inputs!$E$15</f>
        <v>-27</v>
      </c>
      <c r="AF12" s="50" t="n">
        <f aca="false">-AF11*Inputs!$E$15</f>
        <v>-27</v>
      </c>
      <c r="AG12" s="50" t="n">
        <f aca="false">-AG11*Inputs!$E$15</f>
        <v>-27</v>
      </c>
      <c r="AH12" s="50" t="n">
        <f aca="false">-AH11*Inputs!$E$15</f>
        <v>-27</v>
      </c>
      <c r="AI12" s="50" t="n">
        <f aca="false">-AI11*Inputs!$E$15</f>
        <v>-27</v>
      </c>
      <c r="AJ12" s="50" t="n">
        <f aca="false">-AJ11*Inputs!$E$15</f>
        <v>-27</v>
      </c>
      <c r="AK12" s="50" t="n">
        <f aca="false">-AK11*Inputs!$E$15</f>
        <v>-27</v>
      </c>
      <c r="AL12" s="50" t="n">
        <f aca="false">-AL11*Inputs!$E$15</f>
        <v>-27</v>
      </c>
      <c r="AM12" s="50" t="n">
        <f aca="false">-AM11*Inputs!$E$15</f>
        <v>-27</v>
      </c>
      <c r="AN12" s="50" t="n">
        <f aca="false">-AN11*Inputs!$E$15</f>
        <v>-27</v>
      </c>
      <c r="AO12" s="50" t="n">
        <f aca="false">-AO11*Inputs!$E$15</f>
        <v>-27</v>
      </c>
      <c r="AP12" s="50" t="n">
        <f aca="false">-AP11*Inputs!$E$15</f>
        <v>-27</v>
      </c>
      <c r="AQ12" s="50" t="n">
        <f aca="false">-AQ11*Inputs!$E$15</f>
        <v>-27</v>
      </c>
      <c r="AR12" s="50" t="n">
        <f aca="false">-AR11*Inputs!$E$15</f>
        <v>-27</v>
      </c>
      <c r="AS12" s="50" t="n">
        <f aca="false">-AS11*Inputs!$E$15</f>
        <v>-27</v>
      </c>
      <c r="AT12" s="50" t="n">
        <f aca="false">-AT11*Inputs!$E$15</f>
        <v>-27</v>
      </c>
      <c r="AU12" s="50" t="n">
        <f aca="false">-AU11*Inputs!$E$15</f>
        <v>-27</v>
      </c>
      <c r="AV12" s="50" t="n">
        <f aca="false">-AV11*Inputs!$E$15</f>
        <v>-27</v>
      </c>
      <c r="AW12" s="50" t="n">
        <f aca="false">-AW11*Inputs!$E$15</f>
        <v>-27</v>
      </c>
      <c r="AX12" s="50" t="n">
        <f aca="false">-AX11*Inputs!$E$15</f>
        <v>-27</v>
      </c>
      <c r="AY12" s="50" t="n">
        <f aca="false">-AY11*Inputs!$E$15</f>
        <v>-27</v>
      </c>
      <c r="AZ12" s="50" t="n">
        <f aca="false">-AZ11*Inputs!$E$15</f>
        <v>-27</v>
      </c>
      <c r="BA12" s="50" t="n">
        <f aca="false">-BA11*Inputs!$E$15</f>
        <v>-27</v>
      </c>
      <c r="BB12" s="50" t="n">
        <f aca="false">-BB11*Inputs!$E$15</f>
        <v>-27</v>
      </c>
      <c r="BC12" s="50" t="n">
        <f aca="false">-BC11*Inputs!$E$15</f>
        <v>-27</v>
      </c>
      <c r="BD12" s="50" t="n">
        <f aca="false">-BD11*Inputs!$E$15</f>
        <v>-27</v>
      </c>
      <c r="BE12" s="50" t="n">
        <f aca="false">-BE11*Inputs!$E$15</f>
        <v>-27</v>
      </c>
      <c r="BF12" s="50" t="n">
        <f aca="false">-BF11*Inputs!$E$15</f>
        <v>-27</v>
      </c>
      <c r="BG12" s="50" t="n">
        <f aca="false">-BG11*Inputs!$E$15</f>
        <v>-27</v>
      </c>
      <c r="BH12" s="50" t="n">
        <f aca="false">-BH11*Inputs!$E$15</f>
        <v>-27</v>
      </c>
      <c r="BI12" s="50" t="n">
        <f aca="false">-BI11*Inputs!$E$15</f>
        <v>-27</v>
      </c>
      <c r="BJ12" s="50" t="n">
        <f aca="false">-BJ11*Inputs!$E$15</f>
        <v>-27</v>
      </c>
    </row>
    <row r="13" customFormat="false" ht="15" hidden="false" customHeight="false" outlineLevel="0" collapsed="false">
      <c r="A13" s="87" t="s">
        <v>333</v>
      </c>
      <c r="C13" s="50" t="n">
        <f aca="false">C11*(1-Inputs!$E$15)+C10</f>
        <v>147</v>
      </c>
      <c r="D13" s="50" t="n">
        <f aca="false">D11*(1-Inputs!$E$15)+D10</f>
        <v>172.38</v>
      </c>
      <c r="E13" s="50" t="n">
        <f aca="false">E11*(1-Inputs!$E$15)+E10</f>
        <v>196.2372</v>
      </c>
      <c r="F13" s="50" t="n">
        <f aca="false">F11*(1-Inputs!$E$15)+F10</f>
        <v>218.662968</v>
      </c>
      <c r="G13" s="50" t="n">
        <f aca="false">G11*(1-Inputs!$E$15)+G10</f>
        <v>239.74318992</v>
      </c>
      <c r="H13" s="50" t="n">
        <f aca="false">H11*(1-Inputs!$E$15)+H10</f>
        <v>259.5585985248</v>
      </c>
      <c r="I13" s="50" t="n">
        <f aca="false">I11*(1-Inputs!$E$15)+I10</f>
        <v>278.185082613312</v>
      </c>
      <c r="J13" s="50" t="n">
        <f aca="false">J11*(1-Inputs!$E$15)+J10</f>
        <v>295.693977656513</v>
      </c>
      <c r="K13" s="50" t="n">
        <f aca="false">K11*(1-Inputs!$E$15)+K10</f>
        <v>312.152338997122</v>
      </c>
      <c r="L13" s="50" t="n">
        <f aca="false">L11*(1-Inputs!$E$15)+L10</f>
        <v>327.623198657295</v>
      </c>
      <c r="M13" s="50" t="n">
        <f aca="false">M11*(1-Inputs!$E$15)+M10</f>
        <v>342.165806737857</v>
      </c>
      <c r="N13" s="50" t="n">
        <f aca="false">N11*(1-Inputs!$E$15)+N10</f>
        <v>355.835858333586</v>
      </c>
      <c r="O13" s="50" t="n">
        <f aca="false">O11*(1-Inputs!$E$15)+O10</f>
        <v>371.145706833571</v>
      </c>
      <c r="P13" s="50" t="n">
        <f aca="false">P11*(1-Inputs!$E$15)+P10</f>
        <v>385.536964423556</v>
      </c>
      <c r="Q13" s="50" t="n">
        <f aca="false">Q11*(1-Inputs!$E$15)+Q10</f>
        <v>399.064746558143</v>
      </c>
      <c r="R13" s="50" t="n">
        <f aca="false">R11*(1-Inputs!$E$15)+R10</f>
        <v>411.780861764654</v>
      </c>
      <c r="S13" s="50" t="n">
        <f aca="false">S11*(1-Inputs!$E$15)+S10</f>
        <v>423.734010058775</v>
      </c>
      <c r="T13" s="50" t="n">
        <f aca="false">T11*(1-Inputs!$E$15)+T10</f>
        <v>434.969969455249</v>
      </c>
      <c r="U13" s="50" t="n">
        <f aca="false">U11*(1-Inputs!$E$15)+U10</f>
        <v>445.531771287934</v>
      </c>
      <c r="V13" s="50" t="n">
        <f aca="false">V11*(1-Inputs!$E$15)+V10</f>
        <v>455.459865010658</v>
      </c>
      <c r="W13" s="50" t="n">
        <f aca="false">W11*(1-Inputs!$E$15)+W10</f>
        <v>459.66</v>
      </c>
      <c r="X13" s="50" t="n">
        <f aca="false">X11*(1-Inputs!$E$15)+X10</f>
        <v>459.66</v>
      </c>
      <c r="Y13" s="50" t="n">
        <f aca="false">Y11*(1-Inputs!$E$15)+Y10</f>
        <v>459.66</v>
      </c>
      <c r="Z13" s="50" t="n">
        <f aca="false">Z11*(1-Inputs!$E$15)+Z10</f>
        <v>459.66</v>
      </c>
      <c r="AA13" s="50" t="n">
        <f aca="false">AA11*(1-Inputs!$E$15)+AA10</f>
        <v>462.318</v>
      </c>
      <c r="AB13" s="50" t="n">
        <f aca="false">AB11*(1-Inputs!$E$15)+AB10</f>
        <v>462.318</v>
      </c>
      <c r="AC13" s="50" t="n">
        <f aca="false">AC11*(1-Inputs!$E$15)+AC10</f>
        <v>462.318</v>
      </c>
      <c r="AD13" s="50" t="n">
        <f aca="false">AD11*(1-Inputs!$E$15)+AD10</f>
        <v>462.318</v>
      </c>
      <c r="AE13" s="50" t="n">
        <f aca="false">AE11*(1-Inputs!$E$15)+AE10</f>
        <v>462.318</v>
      </c>
      <c r="AF13" s="50" t="n">
        <f aca="false">AF11*(1-Inputs!$E$15)+AF10</f>
        <v>462.318</v>
      </c>
      <c r="AG13" s="50" t="n">
        <f aca="false">AG11*(1-Inputs!$E$15)+AG10</f>
        <v>462.318</v>
      </c>
      <c r="AH13" s="50" t="n">
        <f aca="false">AH11*(1-Inputs!$E$15)+AH10</f>
        <v>462.318</v>
      </c>
      <c r="AI13" s="50" t="n">
        <f aca="false">AI11*(1-Inputs!$E$15)+AI10</f>
        <v>462.318</v>
      </c>
      <c r="AJ13" s="50" t="n">
        <f aca="false">AJ11*(1-Inputs!$E$15)+AJ10</f>
        <v>462.318</v>
      </c>
      <c r="AK13" s="50" t="n">
        <f aca="false">AK11*(1-Inputs!$E$15)+AK10</f>
        <v>462.318</v>
      </c>
      <c r="AL13" s="50" t="n">
        <f aca="false">AL11*(1-Inputs!$E$15)+AL10</f>
        <v>462.318</v>
      </c>
      <c r="AM13" s="50" t="n">
        <f aca="false">AM11*(1-Inputs!$E$15)+AM10</f>
        <v>465.1914</v>
      </c>
      <c r="AN13" s="50" t="n">
        <f aca="false">AN11*(1-Inputs!$E$15)+AN10</f>
        <v>465.1914</v>
      </c>
      <c r="AO13" s="50" t="n">
        <f aca="false">AO11*(1-Inputs!$E$15)+AO10</f>
        <v>465.1914</v>
      </c>
      <c r="AP13" s="50" t="n">
        <f aca="false">AP11*(1-Inputs!$E$15)+AP10</f>
        <v>465.1914</v>
      </c>
      <c r="AQ13" s="50" t="n">
        <f aca="false">AQ11*(1-Inputs!$E$15)+AQ10</f>
        <v>465.1914</v>
      </c>
      <c r="AR13" s="50" t="n">
        <f aca="false">AR11*(1-Inputs!$E$15)+AR10</f>
        <v>465.1914</v>
      </c>
      <c r="AS13" s="50" t="n">
        <f aca="false">AS11*(1-Inputs!$E$15)+AS10</f>
        <v>465.1914</v>
      </c>
      <c r="AT13" s="50" t="n">
        <f aca="false">AT11*(1-Inputs!$E$15)+AT10</f>
        <v>465.1914</v>
      </c>
      <c r="AU13" s="50" t="n">
        <f aca="false">AU11*(1-Inputs!$E$15)+AU10</f>
        <v>465.1914</v>
      </c>
      <c r="AV13" s="50" t="n">
        <f aca="false">AV11*(1-Inputs!$E$15)+AV10</f>
        <v>465.1914</v>
      </c>
      <c r="AW13" s="50" t="n">
        <f aca="false">AW11*(1-Inputs!$E$15)+AW10</f>
        <v>465.1914</v>
      </c>
      <c r="AX13" s="50" t="n">
        <f aca="false">AX11*(1-Inputs!$E$15)+AX10</f>
        <v>465.1914</v>
      </c>
      <c r="AY13" s="50" t="n">
        <f aca="false">AY11*(1-Inputs!$E$15)+AY10</f>
        <v>468.29922</v>
      </c>
      <c r="AZ13" s="50" t="n">
        <f aca="false">AZ11*(1-Inputs!$E$15)+AZ10</f>
        <v>468.29922</v>
      </c>
      <c r="BA13" s="50" t="n">
        <f aca="false">BA11*(1-Inputs!$E$15)+BA10</f>
        <v>468.29922</v>
      </c>
      <c r="BB13" s="50" t="n">
        <f aca="false">BB11*(1-Inputs!$E$15)+BB10</f>
        <v>468.29922</v>
      </c>
      <c r="BC13" s="50" t="n">
        <f aca="false">BC11*(1-Inputs!$E$15)+BC10</f>
        <v>468.29922</v>
      </c>
      <c r="BD13" s="50" t="n">
        <f aca="false">BD11*(1-Inputs!$E$15)+BD10</f>
        <v>468.29922</v>
      </c>
      <c r="BE13" s="50" t="n">
        <f aca="false">BE11*(1-Inputs!$E$15)+BE10</f>
        <v>468.29922</v>
      </c>
      <c r="BF13" s="50" t="n">
        <f aca="false">BF11*(1-Inputs!$E$15)+BF10</f>
        <v>468.29922</v>
      </c>
      <c r="BG13" s="50" t="n">
        <f aca="false">BG11*(1-Inputs!$E$15)+BG10</f>
        <v>468.29922</v>
      </c>
      <c r="BH13" s="50" t="n">
        <f aca="false">BH11*(1-Inputs!$E$15)+BH10</f>
        <v>468.29922</v>
      </c>
      <c r="BI13" s="50" t="n">
        <f aca="false">BI11*(1-Inputs!$E$15)+BI10</f>
        <v>468.29922</v>
      </c>
      <c r="BJ13" s="50" t="n">
        <f aca="false">BJ11*(1-Inputs!$E$15)+BJ10</f>
        <v>468.29922</v>
      </c>
    </row>
    <row r="14" customFormat="false" ht="15" hidden="false" customHeight="false" outlineLevel="0" collapsed="false">
      <c r="A14" s="4" t="s">
        <v>334</v>
      </c>
      <c r="C14" s="49" t="n">
        <f aca="false">MIN(Inputs!$E$8,C13)</f>
        <v>147</v>
      </c>
      <c r="D14" s="49" t="n">
        <f aca="false">MIN(Inputs!$E$8,D13)</f>
        <v>172.38</v>
      </c>
      <c r="E14" s="49" t="n">
        <f aca="false">MIN(Inputs!$E$8,E13)</f>
        <v>196.2372</v>
      </c>
      <c r="F14" s="49" t="n">
        <f aca="false">MIN(Inputs!$E$8,F13)</f>
        <v>218.662968</v>
      </c>
      <c r="G14" s="49" t="n">
        <f aca="false">MIN(Inputs!$E$8,G13)</f>
        <v>239.74318992</v>
      </c>
      <c r="H14" s="49" t="n">
        <f aca="false">MIN(Inputs!$E$8,H13)</f>
        <v>259.5585985248</v>
      </c>
      <c r="I14" s="49" t="n">
        <f aca="false">MIN(Inputs!$E$8,I13)</f>
        <v>278.185082613312</v>
      </c>
      <c r="J14" s="49" t="n">
        <f aca="false">MIN(Inputs!$E$8,J13)</f>
        <v>295.693977656513</v>
      </c>
      <c r="K14" s="49" t="n">
        <f aca="false">MIN(Inputs!$E$8,K13)</f>
        <v>312.152338997122</v>
      </c>
      <c r="L14" s="49" t="n">
        <f aca="false">MIN(Inputs!$E$8,L13)</f>
        <v>327.623198657295</v>
      </c>
      <c r="M14" s="49" t="n">
        <f aca="false">MIN(Inputs!$E$8,M13)</f>
        <v>342.165806737857</v>
      </c>
      <c r="N14" s="49" t="n">
        <f aca="false">MIN(Inputs!$E$8,N13)</f>
        <v>355.835858333586</v>
      </c>
      <c r="O14" s="49" t="n">
        <f aca="false">MIN(Inputs!$E$8,O13)</f>
        <v>371.145706833571</v>
      </c>
      <c r="P14" s="49" t="n">
        <f aca="false">MIN(Inputs!$E$8,P13)</f>
        <v>385.536964423556</v>
      </c>
      <c r="Q14" s="49" t="n">
        <f aca="false">MIN(Inputs!$E$8,Q13)</f>
        <v>399.064746558143</v>
      </c>
      <c r="R14" s="49" t="n">
        <f aca="false">MIN(Inputs!$E$8,R13)</f>
        <v>411.780861764654</v>
      </c>
      <c r="S14" s="49" t="n">
        <f aca="false">MIN(Inputs!$E$8,S13)</f>
        <v>423.734010058775</v>
      </c>
      <c r="T14" s="49" t="n">
        <f aca="false">MIN(Inputs!$E$8,T13)</f>
        <v>434.969969455249</v>
      </c>
      <c r="U14" s="49" t="n">
        <f aca="false">MIN(Inputs!$E$8,U13)</f>
        <v>445.531771287934</v>
      </c>
      <c r="V14" s="49" t="n">
        <f aca="false">MIN(Inputs!$E$8,V13)</f>
        <v>450</v>
      </c>
      <c r="W14" s="49" t="n">
        <f aca="false">MIN(Inputs!$E$8,W13)</f>
        <v>450</v>
      </c>
      <c r="X14" s="49" t="n">
        <f aca="false">MIN(Inputs!$E$8,X13)</f>
        <v>450</v>
      </c>
      <c r="Y14" s="49" t="n">
        <f aca="false">MIN(Inputs!$E$8,Y13)</f>
        <v>450</v>
      </c>
      <c r="Z14" s="49" t="n">
        <f aca="false">MIN(Inputs!$E$8,Z13)</f>
        <v>450</v>
      </c>
      <c r="AA14" s="49" t="n">
        <f aca="false">MIN(Inputs!$E$8,AA13)</f>
        <v>450</v>
      </c>
      <c r="AB14" s="49" t="n">
        <f aca="false">MIN(Inputs!$E$8,AB13)</f>
        <v>450</v>
      </c>
      <c r="AC14" s="49" t="n">
        <f aca="false">MIN(Inputs!$E$8,AC13)</f>
        <v>450</v>
      </c>
      <c r="AD14" s="49" t="n">
        <f aca="false">MIN(Inputs!$E$8,AD13)</f>
        <v>450</v>
      </c>
      <c r="AE14" s="49" t="n">
        <f aca="false">MIN(Inputs!$E$8,AE13)</f>
        <v>450</v>
      </c>
      <c r="AF14" s="49" t="n">
        <f aca="false">MIN(Inputs!$E$8,AF13)</f>
        <v>450</v>
      </c>
      <c r="AG14" s="49" t="n">
        <f aca="false">MIN(Inputs!$E$8,AG13)</f>
        <v>450</v>
      </c>
      <c r="AH14" s="49" t="n">
        <f aca="false">MIN(Inputs!$E$8,AH13)</f>
        <v>450</v>
      </c>
      <c r="AI14" s="49" t="n">
        <f aca="false">MIN(Inputs!$E$8,AI13)</f>
        <v>450</v>
      </c>
      <c r="AJ14" s="49" t="n">
        <f aca="false">MIN(Inputs!$E$8,AJ13)</f>
        <v>450</v>
      </c>
      <c r="AK14" s="49" t="n">
        <f aca="false">MIN(Inputs!$E$8,AK13)</f>
        <v>450</v>
      </c>
      <c r="AL14" s="49" t="n">
        <f aca="false">MIN(Inputs!$E$8,AL13)</f>
        <v>450</v>
      </c>
      <c r="AM14" s="49" t="n">
        <f aca="false">MIN(Inputs!$E$8,AM13)</f>
        <v>450</v>
      </c>
      <c r="AN14" s="49" t="n">
        <f aca="false">MIN(Inputs!$E$8,AN13)</f>
        <v>450</v>
      </c>
      <c r="AO14" s="49" t="n">
        <f aca="false">MIN(Inputs!$E$8,AO13)</f>
        <v>450</v>
      </c>
      <c r="AP14" s="49" t="n">
        <f aca="false">MIN(Inputs!$E$8,AP13)</f>
        <v>450</v>
      </c>
      <c r="AQ14" s="49" t="n">
        <f aca="false">MIN(Inputs!$E$8,AQ13)</f>
        <v>450</v>
      </c>
      <c r="AR14" s="49" t="n">
        <f aca="false">MIN(Inputs!$E$8,AR13)</f>
        <v>450</v>
      </c>
      <c r="AS14" s="49" t="n">
        <f aca="false">MIN(Inputs!$E$8,AS13)</f>
        <v>450</v>
      </c>
      <c r="AT14" s="49" t="n">
        <f aca="false">MIN(Inputs!$E$8,AT13)</f>
        <v>450</v>
      </c>
      <c r="AU14" s="49" t="n">
        <f aca="false">MIN(Inputs!$E$8,AU13)</f>
        <v>450</v>
      </c>
      <c r="AV14" s="49" t="n">
        <f aca="false">MIN(Inputs!$E$8,AV13)</f>
        <v>450</v>
      </c>
      <c r="AW14" s="49" t="n">
        <f aca="false">MIN(Inputs!$E$8,AW13)</f>
        <v>450</v>
      </c>
      <c r="AX14" s="49" t="n">
        <f aca="false">MIN(Inputs!$E$8,AX13)</f>
        <v>450</v>
      </c>
      <c r="AY14" s="49" t="n">
        <f aca="false">MIN(Inputs!$E$8,AY13)</f>
        <v>450</v>
      </c>
      <c r="AZ14" s="49" t="n">
        <f aca="false">MIN(Inputs!$E$8,AZ13)</f>
        <v>450</v>
      </c>
      <c r="BA14" s="49" t="n">
        <f aca="false">MIN(Inputs!$E$8,BA13)</f>
        <v>450</v>
      </c>
      <c r="BB14" s="49" t="n">
        <f aca="false">MIN(Inputs!$E$8,BB13)</f>
        <v>450</v>
      </c>
      <c r="BC14" s="49" t="n">
        <f aca="false">MIN(Inputs!$E$8,BC13)</f>
        <v>450</v>
      </c>
      <c r="BD14" s="49" t="n">
        <f aca="false">MIN(Inputs!$E$8,BD13)</f>
        <v>450</v>
      </c>
      <c r="BE14" s="49" t="n">
        <f aca="false">MIN(Inputs!$E$8,BE13)</f>
        <v>450</v>
      </c>
      <c r="BF14" s="49" t="n">
        <f aca="false">MIN(Inputs!$E$8,BF13)</f>
        <v>450</v>
      </c>
      <c r="BG14" s="49" t="n">
        <f aca="false">MIN(Inputs!$E$8,BG13)</f>
        <v>450</v>
      </c>
      <c r="BH14" s="49" t="n">
        <f aca="false">MIN(Inputs!$E$8,BH13)</f>
        <v>450</v>
      </c>
      <c r="BI14" s="49" t="n">
        <f aca="false">MIN(Inputs!$E$8,BI13)</f>
        <v>450</v>
      </c>
      <c r="BJ14" s="49" t="n">
        <f aca="false">MIN(Inputs!$E$8,BJ13)</f>
        <v>450</v>
      </c>
    </row>
    <row r="15" customFormat="false" ht="15" hidden="false" customHeight="false" outlineLevel="0" collapsed="false">
      <c r="A15" s="6" t="s">
        <v>77</v>
      </c>
      <c r="C15" s="50" t="n">
        <f aca="false">C13-C14</f>
        <v>0</v>
      </c>
      <c r="D15" s="50" t="n">
        <f aca="false">D13-D14</f>
        <v>0</v>
      </c>
      <c r="E15" s="50" t="n">
        <f aca="false">E13-E14</f>
        <v>0</v>
      </c>
      <c r="F15" s="50" t="n">
        <f aca="false">F13-F14</f>
        <v>0</v>
      </c>
      <c r="G15" s="50" t="n">
        <f aca="false">G13-G14</f>
        <v>0</v>
      </c>
      <c r="H15" s="50" t="n">
        <f aca="false">H13-H14</f>
        <v>0</v>
      </c>
      <c r="I15" s="50" t="n">
        <f aca="false">I13-I14</f>
        <v>0</v>
      </c>
      <c r="J15" s="50" t="n">
        <f aca="false">J13-J14</f>
        <v>0</v>
      </c>
      <c r="K15" s="50" t="n">
        <f aca="false">K13-K14</f>
        <v>0</v>
      </c>
      <c r="L15" s="50" t="n">
        <f aca="false">L13-L14</f>
        <v>0</v>
      </c>
      <c r="M15" s="50" t="n">
        <f aca="false">M13-M14</f>
        <v>0</v>
      </c>
      <c r="N15" s="50" t="n">
        <f aca="false">N13-N14</f>
        <v>0</v>
      </c>
      <c r="O15" s="50" t="n">
        <f aca="false">O13-O14</f>
        <v>0</v>
      </c>
      <c r="P15" s="50" t="n">
        <f aca="false">P13-P14</f>
        <v>0</v>
      </c>
      <c r="Q15" s="50" t="n">
        <f aca="false">Q13-Q14</f>
        <v>0</v>
      </c>
      <c r="R15" s="50" t="n">
        <f aca="false">R13-R14</f>
        <v>0</v>
      </c>
      <c r="S15" s="50" t="n">
        <f aca="false">S13-S14</f>
        <v>0</v>
      </c>
      <c r="T15" s="50" t="n">
        <f aca="false">T13-T14</f>
        <v>0</v>
      </c>
      <c r="U15" s="50" t="n">
        <f aca="false">U13-U14</f>
        <v>0</v>
      </c>
      <c r="V15" s="50" t="n">
        <f aca="false">V13-V14</f>
        <v>5.45986501065761</v>
      </c>
      <c r="W15" s="50" t="n">
        <f aca="false">W13-W14</f>
        <v>9.65999999999997</v>
      </c>
      <c r="X15" s="50" t="n">
        <f aca="false">X13-X14</f>
        <v>9.65999999999997</v>
      </c>
      <c r="Y15" s="50" t="n">
        <f aca="false">Y13-Y14</f>
        <v>9.65999999999997</v>
      </c>
      <c r="Z15" s="50" t="n">
        <f aca="false">Z13-Z14</f>
        <v>9.65999999999997</v>
      </c>
      <c r="AA15" s="50" t="n">
        <f aca="false">AA13-AA14</f>
        <v>12.318</v>
      </c>
      <c r="AB15" s="50" t="n">
        <f aca="false">AB13-AB14</f>
        <v>12.318</v>
      </c>
      <c r="AC15" s="50" t="n">
        <f aca="false">AC13-AC14</f>
        <v>12.318</v>
      </c>
      <c r="AD15" s="50" t="n">
        <f aca="false">AD13-AD14</f>
        <v>12.318</v>
      </c>
      <c r="AE15" s="50" t="n">
        <f aca="false">AE13-AE14</f>
        <v>12.318</v>
      </c>
      <c r="AF15" s="50" t="n">
        <f aca="false">AF13-AF14</f>
        <v>12.318</v>
      </c>
      <c r="AG15" s="50" t="n">
        <f aca="false">AG13-AG14</f>
        <v>12.318</v>
      </c>
      <c r="AH15" s="50" t="n">
        <f aca="false">AH13-AH14</f>
        <v>12.318</v>
      </c>
      <c r="AI15" s="50" t="n">
        <f aca="false">AI13-AI14</f>
        <v>12.318</v>
      </c>
      <c r="AJ15" s="50" t="n">
        <f aca="false">AJ13-AJ14</f>
        <v>12.318</v>
      </c>
      <c r="AK15" s="50" t="n">
        <f aca="false">AK13-AK14</f>
        <v>12.318</v>
      </c>
      <c r="AL15" s="50" t="n">
        <f aca="false">AL13-AL14</f>
        <v>12.318</v>
      </c>
      <c r="AM15" s="50" t="n">
        <f aca="false">AM13-AM14</f>
        <v>15.1914</v>
      </c>
      <c r="AN15" s="50" t="n">
        <f aca="false">AN13-AN14</f>
        <v>15.1914</v>
      </c>
      <c r="AO15" s="50" t="n">
        <f aca="false">AO13-AO14</f>
        <v>15.1914</v>
      </c>
      <c r="AP15" s="50" t="n">
        <f aca="false">AP13-AP14</f>
        <v>15.1914</v>
      </c>
      <c r="AQ15" s="50" t="n">
        <f aca="false">AQ13-AQ14</f>
        <v>15.1914</v>
      </c>
      <c r="AR15" s="50" t="n">
        <f aca="false">AR13-AR14</f>
        <v>15.1914</v>
      </c>
      <c r="AS15" s="50" t="n">
        <f aca="false">AS13-AS14</f>
        <v>15.1914</v>
      </c>
      <c r="AT15" s="50" t="n">
        <f aca="false">AT13-AT14</f>
        <v>15.1914</v>
      </c>
      <c r="AU15" s="50" t="n">
        <f aca="false">AU13-AU14</f>
        <v>15.1914</v>
      </c>
      <c r="AV15" s="50" t="n">
        <f aca="false">AV13-AV14</f>
        <v>15.1914</v>
      </c>
      <c r="AW15" s="50" t="n">
        <f aca="false">AW13-AW14</f>
        <v>15.1914</v>
      </c>
      <c r="AX15" s="50" t="n">
        <f aca="false">AX13-AX14</f>
        <v>15.1914</v>
      </c>
      <c r="AY15" s="50" t="n">
        <f aca="false">AY13-AY14</f>
        <v>18.29922</v>
      </c>
      <c r="AZ15" s="50" t="n">
        <f aca="false">AZ13-AZ14</f>
        <v>18.29922</v>
      </c>
      <c r="BA15" s="50" t="n">
        <f aca="false">BA13-BA14</f>
        <v>18.29922</v>
      </c>
      <c r="BB15" s="50" t="n">
        <f aca="false">BB13-BB14</f>
        <v>18.29922</v>
      </c>
      <c r="BC15" s="50" t="n">
        <f aca="false">BC13-BC14</f>
        <v>18.29922</v>
      </c>
      <c r="BD15" s="50" t="n">
        <f aca="false">BD13-BD14</f>
        <v>18.29922</v>
      </c>
      <c r="BE15" s="50" t="n">
        <f aca="false">BE13-BE14</f>
        <v>18.29922</v>
      </c>
      <c r="BF15" s="50" t="n">
        <f aca="false">BF13-BF14</f>
        <v>18.29922</v>
      </c>
      <c r="BG15" s="50" t="n">
        <f aca="false">BG13-BG14</f>
        <v>18.29922</v>
      </c>
      <c r="BH15" s="50" t="n">
        <f aca="false">BH13-BH14</f>
        <v>18.29922</v>
      </c>
      <c r="BI15" s="50" t="n">
        <f aca="false">BI13-BI14</f>
        <v>18.29922</v>
      </c>
      <c r="BJ15" s="50" t="n">
        <f aca="false">BJ13-BJ14</f>
        <v>18.29922</v>
      </c>
    </row>
    <row r="16" customFormat="false" ht="15" hidden="false" customHeight="false" outlineLevel="0" collapsed="false">
      <c r="A16" s="6" t="s">
        <v>335</v>
      </c>
      <c r="C16" s="50" t="n">
        <f aca="false">(C11+C14)/2</f>
        <v>133.5</v>
      </c>
      <c r="D16" s="50" t="n">
        <f aca="false">(D11+D14)/2</f>
        <v>159.69</v>
      </c>
      <c r="E16" s="50" t="n">
        <f aca="false">(E11+E14)/2</f>
        <v>184.3086</v>
      </c>
      <c r="F16" s="50" t="n">
        <f aca="false">(F11+F14)/2</f>
        <v>207.450084</v>
      </c>
      <c r="G16" s="50" t="n">
        <f aca="false">(G11+G14)/2</f>
        <v>229.20307896</v>
      </c>
      <c r="H16" s="50" t="n">
        <f aca="false">(H11+H14)/2</f>
        <v>249.6508942224</v>
      </c>
      <c r="I16" s="50" t="n">
        <f aca="false">(I11+I14)/2</f>
        <v>268.871840569056</v>
      </c>
      <c r="J16" s="50" t="n">
        <f aca="false">(J11+J14)/2</f>
        <v>286.939530134913</v>
      </c>
      <c r="K16" s="50" t="n">
        <f aca="false">(K11+K14)/2</f>
        <v>303.923158326818</v>
      </c>
      <c r="L16" s="50" t="n">
        <f aca="false">(L11+L14)/2</f>
        <v>319.887768827209</v>
      </c>
      <c r="M16" s="50" t="n">
        <f aca="false">(M11+M14)/2</f>
        <v>334.894502697576</v>
      </c>
      <c r="N16" s="50" t="n">
        <f aca="false">(N11+N14)/2</f>
        <v>349.000832535722</v>
      </c>
      <c r="O16" s="50" t="n">
        <f aca="false">(O11+O14)/2</f>
        <v>363.490782583578</v>
      </c>
      <c r="P16" s="50" t="n">
        <f aca="false">(P11+P14)/2</f>
        <v>378.341335628564</v>
      </c>
      <c r="Q16" s="50" t="n">
        <f aca="false">(Q11+Q14)/2</f>
        <v>392.30085549085</v>
      </c>
      <c r="R16" s="50" t="n">
        <f aca="false">(R11+R14)/2</f>
        <v>405.422804161399</v>
      </c>
      <c r="S16" s="50" t="n">
        <f aca="false">(S11+S14)/2</f>
        <v>417.757435911715</v>
      </c>
      <c r="T16" s="50" t="n">
        <f aca="false">(T11+T14)/2</f>
        <v>429.351989757012</v>
      </c>
      <c r="U16" s="50" t="n">
        <f aca="false">(U11+U14)/2</f>
        <v>440.250870371591</v>
      </c>
      <c r="V16" s="50" t="n">
        <f aca="false">(V11+V14)/2</f>
        <v>447.765885643967</v>
      </c>
      <c r="W16" s="50" t="n">
        <f aca="false">(W11+W14)/2</f>
        <v>450</v>
      </c>
      <c r="X16" s="50" t="n">
        <f aca="false">(X11+X14)/2</f>
        <v>450</v>
      </c>
      <c r="Y16" s="50" t="n">
        <f aca="false">(Y11+Y14)/2</f>
        <v>450</v>
      </c>
      <c r="Z16" s="50" t="n">
        <f aca="false">(Z11+Z14)/2</f>
        <v>450</v>
      </c>
      <c r="AA16" s="50" t="n">
        <f aca="false">(AA11+AA14)/2</f>
        <v>450</v>
      </c>
      <c r="AB16" s="50" t="n">
        <f aca="false">(AB11+AB14)/2</f>
        <v>450</v>
      </c>
      <c r="AC16" s="50" t="n">
        <f aca="false">(AC11+AC14)/2</f>
        <v>450</v>
      </c>
      <c r="AD16" s="50" t="n">
        <f aca="false">(AD11+AD14)/2</f>
        <v>450</v>
      </c>
      <c r="AE16" s="50" t="n">
        <f aca="false">(AE11+AE14)/2</f>
        <v>450</v>
      </c>
      <c r="AF16" s="50" t="n">
        <f aca="false">(AF11+AF14)/2</f>
        <v>450</v>
      </c>
      <c r="AG16" s="50" t="n">
        <f aca="false">(AG11+AG14)/2</f>
        <v>450</v>
      </c>
      <c r="AH16" s="50" t="n">
        <f aca="false">(AH11+AH14)/2</f>
        <v>450</v>
      </c>
      <c r="AI16" s="50" t="n">
        <f aca="false">(AI11+AI14)/2</f>
        <v>450</v>
      </c>
      <c r="AJ16" s="50" t="n">
        <f aca="false">(AJ11+AJ14)/2</f>
        <v>450</v>
      </c>
      <c r="AK16" s="50" t="n">
        <f aca="false">(AK11+AK14)/2</f>
        <v>450</v>
      </c>
      <c r="AL16" s="50" t="n">
        <f aca="false">(AL11+AL14)/2</f>
        <v>450</v>
      </c>
      <c r="AM16" s="50" t="n">
        <f aca="false">(AM11+AM14)/2</f>
        <v>450</v>
      </c>
      <c r="AN16" s="50" t="n">
        <f aca="false">(AN11+AN14)/2</f>
        <v>450</v>
      </c>
      <c r="AO16" s="50" t="n">
        <f aca="false">(AO11+AO14)/2</f>
        <v>450</v>
      </c>
      <c r="AP16" s="50" t="n">
        <f aca="false">(AP11+AP14)/2</f>
        <v>450</v>
      </c>
      <c r="AQ16" s="50" t="n">
        <f aca="false">(AQ11+AQ14)/2</f>
        <v>450</v>
      </c>
      <c r="AR16" s="50" t="n">
        <f aca="false">(AR11+AR14)/2</f>
        <v>450</v>
      </c>
      <c r="AS16" s="50" t="n">
        <f aca="false">(AS11+AS14)/2</f>
        <v>450</v>
      </c>
      <c r="AT16" s="50" t="n">
        <f aca="false">(AT11+AT14)/2</f>
        <v>450</v>
      </c>
      <c r="AU16" s="50" t="n">
        <f aca="false">(AU11+AU14)/2</f>
        <v>450</v>
      </c>
      <c r="AV16" s="50" t="n">
        <f aca="false">(AV11+AV14)/2</f>
        <v>450</v>
      </c>
      <c r="AW16" s="50" t="n">
        <f aca="false">(AW11+AW14)/2</f>
        <v>450</v>
      </c>
      <c r="AX16" s="50" t="n">
        <f aca="false">(AX11+AX14)/2</f>
        <v>450</v>
      </c>
      <c r="AY16" s="50" t="n">
        <f aca="false">(AY11+AY14)/2</f>
        <v>450</v>
      </c>
      <c r="AZ16" s="50" t="n">
        <f aca="false">(AZ11+AZ14)/2</f>
        <v>450</v>
      </c>
      <c r="BA16" s="50" t="n">
        <f aca="false">(BA11+BA14)/2</f>
        <v>450</v>
      </c>
      <c r="BB16" s="50" t="n">
        <f aca="false">(BB11+BB14)/2</f>
        <v>450</v>
      </c>
      <c r="BC16" s="50" t="n">
        <f aca="false">(BC11+BC14)/2</f>
        <v>450</v>
      </c>
      <c r="BD16" s="50" t="n">
        <f aca="false">(BD11+BD14)/2</f>
        <v>450</v>
      </c>
      <c r="BE16" s="50" t="n">
        <f aca="false">(BE11+BE14)/2</f>
        <v>450</v>
      </c>
      <c r="BF16" s="50" t="n">
        <f aca="false">(BF11+BF14)/2</f>
        <v>450</v>
      </c>
      <c r="BG16" s="50" t="n">
        <f aca="false">(BG11+BG14)/2</f>
        <v>450</v>
      </c>
      <c r="BH16" s="50" t="n">
        <f aca="false">(BH11+BH14)/2</f>
        <v>450</v>
      </c>
      <c r="BI16" s="50" t="n">
        <f aca="false">(BI11+BI14)/2</f>
        <v>450</v>
      </c>
      <c r="BJ16" s="50" t="n">
        <f aca="false">(BJ11+BJ14)/2</f>
        <v>450</v>
      </c>
    </row>
    <row r="18" customFormat="false" ht="15.75" hidden="false" customHeight="true" outlineLevel="0" collapsed="false">
      <c r="A18" s="7" t="s">
        <v>40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80</v>
      </c>
      <c r="C19" s="53" t="n">
        <f aca="false">Inputs!$E$18*(1+Inputs!$E$19)^(C$5-1)</f>
        <v>99</v>
      </c>
      <c r="D19" s="53" t="n">
        <f aca="false">Inputs!$E$18*(1+Inputs!$E$19)^(D$5-1)</f>
        <v>99</v>
      </c>
      <c r="E19" s="53" t="n">
        <f aca="false">Inputs!$E$18*(1+Inputs!$E$19)^(E$5-1)</f>
        <v>99</v>
      </c>
      <c r="F19" s="53" t="n">
        <f aca="false">Inputs!$E$18*(1+Inputs!$E$19)^(F$5-1)</f>
        <v>99</v>
      </c>
      <c r="G19" s="53" t="n">
        <f aca="false">Inputs!$E$18*(1+Inputs!$E$19)^(G$5-1)</f>
        <v>99</v>
      </c>
      <c r="H19" s="53" t="n">
        <f aca="false">Inputs!$E$18*(1+Inputs!$E$19)^(H$5-1)</f>
        <v>99</v>
      </c>
      <c r="I19" s="53" t="n">
        <f aca="false">Inputs!$E$18*(1+Inputs!$E$19)^(I$5-1)</f>
        <v>99</v>
      </c>
      <c r="J19" s="53" t="n">
        <f aca="false">Inputs!$E$18*(1+Inputs!$E$19)^(J$5-1)</f>
        <v>99</v>
      </c>
      <c r="K19" s="53" t="n">
        <f aca="false">Inputs!$E$18*(1+Inputs!$E$19)^(K$5-1)</f>
        <v>99</v>
      </c>
      <c r="L19" s="53" t="n">
        <f aca="false">Inputs!$E$18*(1+Inputs!$E$19)^(L$5-1)</f>
        <v>99</v>
      </c>
      <c r="M19" s="53" t="n">
        <f aca="false">Inputs!$E$18*(1+Inputs!$E$19)^(M$5-1)</f>
        <v>99</v>
      </c>
      <c r="N19" s="53" t="n">
        <f aca="false">Inputs!$E$18*(1+Inputs!$E$19)^(N$5-1)</f>
        <v>99</v>
      </c>
      <c r="O19" s="53" t="n">
        <f aca="false">Inputs!$E$18*(1+Inputs!$E$19)^(O$5-1)</f>
        <v>101.97</v>
      </c>
      <c r="P19" s="53" t="n">
        <f aca="false">Inputs!$E$18*(1+Inputs!$E$19)^(P$5-1)</f>
        <v>101.97</v>
      </c>
      <c r="Q19" s="53" t="n">
        <f aca="false">Inputs!$E$18*(1+Inputs!$E$19)^(Q$5-1)</f>
        <v>101.97</v>
      </c>
      <c r="R19" s="53" t="n">
        <f aca="false">Inputs!$E$18*(1+Inputs!$E$19)^(R$5-1)</f>
        <v>101.97</v>
      </c>
      <c r="S19" s="53" t="n">
        <f aca="false">Inputs!$E$18*(1+Inputs!$E$19)^(S$5-1)</f>
        <v>101.97</v>
      </c>
      <c r="T19" s="53" t="n">
        <f aca="false">Inputs!$E$18*(1+Inputs!$E$19)^(T$5-1)</f>
        <v>101.97</v>
      </c>
      <c r="U19" s="53" t="n">
        <f aca="false">Inputs!$E$18*(1+Inputs!$E$19)^(U$5-1)</f>
        <v>101.97</v>
      </c>
      <c r="V19" s="53" t="n">
        <f aca="false">Inputs!$E$18*(1+Inputs!$E$19)^(V$5-1)</f>
        <v>101.97</v>
      </c>
      <c r="W19" s="53" t="n">
        <f aca="false">Inputs!$E$18*(1+Inputs!$E$19)^(W$5-1)</f>
        <v>101.97</v>
      </c>
      <c r="X19" s="53" t="n">
        <f aca="false">Inputs!$E$18*(1+Inputs!$E$19)^(X$5-1)</f>
        <v>101.97</v>
      </c>
      <c r="Y19" s="53" t="n">
        <f aca="false">Inputs!$E$18*(1+Inputs!$E$19)^(Y$5-1)</f>
        <v>101.97</v>
      </c>
      <c r="Z19" s="53" t="n">
        <f aca="false">Inputs!$E$18*(1+Inputs!$E$19)^(Z$5-1)</f>
        <v>101.97</v>
      </c>
      <c r="AA19" s="53" t="n">
        <f aca="false">Inputs!$E$18*(1+Inputs!$E$19)^(AA$5-1)</f>
        <v>105.0291</v>
      </c>
      <c r="AB19" s="53" t="n">
        <f aca="false">Inputs!$E$18*(1+Inputs!$E$19)^(AB$5-1)</f>
        <v>105.0291</v>
      </c>
      <c r="AC19" s="53" t="n">
        <f aca="false">Inputs!$E$18*(1+Inputs!$E$19)^(AC$5-1)</f>
        <v>105.0291</v>
      </c>
      <c r="AD19" s="53" t="n">
        <f aca="false">Inputs!$E$18*(1+Inputs!$E$19)^(AD$5-1)</f>
        <v>105.0291</v>
      </c>
      <c r="AE19" s="53" t="n">
        <f aca="false">Inputs!$E$18*(1+Inputs!$E$19)^(AE$5-1)</f>
        <v>105.0291</v>
      </c>
      <c r="AF19" s="53" t="n">
        <f aca="false">Inputs!$E$18*(1+Inputs!$E$19)^(AF$5-1)</f>
        <v>105.0291</v>
      </c>
      <c r="AG19" s="53" t="n">
        <f aca="false">Inputs!$E$18*(1+Inputs!$E$19)^(AG$5-1)</f>
        <v>105.0291</v>
      </c>
      <c r="AH19" s="53" t="n">
        <f aca="false">Inputs!$E$18*(1+Inputs!$E$19)^(AH$5-1)</f>
        <v>105.0291</v>
      </c>
      <c r="AI19" s="53" t="n">
        <f aca="false">Inputs!$E$18*(1+Inputs!$E$19)^(AI$5-1)</f>
        <v>105.0291</v>
      </c>
      <c r="AJ19" s="53" t="n">
        <f aca="false">Inputs!$E$18*(1+Inputs!$E$19)^(AJ$5-1)</f>
        <v>105.0291</v>
      </c>
      <c r="AK19" s="53" t="n">
        <f aca="false">Inputs!$E$18*(1+Inputs!$E$19)^(AK$5-1)</f>
        <v>105.0291</v>
      </c>
      <c r="AL19" s="53" t="n">
        <f aca="false">Inputs!$E$18*(1+Inputs!$E$19)^(AL$5-1)</f>
        <v>105.0291</v>
      </c>
      <c r="AM19" s="53" t="n">
        <f aca="false">Inputs!$E$18*(1+Inputs!$E$19)^(AM$5-1)</f>
        <v>108.179973</v>
      </c>
      <c r="AN19" s="53" t="n">
        <f aca="false">Inputs!$E$18*(1+Inputs!$E$19)^(AN$5-1)</f>
        <v>108.179973</v>
      </c>
      <c r="AO19" s="53" t="n">
        <f aca="false">Inputs!$E$18*(1+Inputs!$E$19)^(AO$5-1)</f>
        <v>108.179973</v>
      </c>
      <c r="AP19" s="53" t="n">
        <f aca="false">Inputs!$E$18*(1+Inputs!$E$19)^(AP$5-1)</f>
        <v>108.179973</v>
      </c>
      <c r="AQ19" s="53" t="n">
        <f aca="false">Inputs!$E$18*(1+Inputs!$E$19)^(AQ$5-1)</f>
        <v>108.179973</v>
      </c>
      <c r="AR19" s="53" t="n">
        <f aca="false">Inputs!$E$18*(1+Inputs!$E$19)^(AR$5-1)</f>
        <v>108.179973</v>
      </c>
      <c r="AS19" s="53" t="n">
        <f aca="false">Inputs!$E$18*(1+Inputs!$E$19)^(AS$5-1)</f>
        <v>108.179973</v>
      </c>
      <c r="AT19" s="53" t="n">
        <f aca="false">Inputs!$E$18*(1+Inputs!$E$19)^(AT$5-1)</f>
        <v>108.179973</v>
      </c>
      <c r="AU19" s="53" t="n">
        <f aca="false">Inputs!$E$18*(1+Inputs!$E$19)^(AU$5-1)</f>
        <v>108.179973</v>
      </c>
      <c r="AV19" s="53" t="n">
        <f aca="false">Inputs!$E$18*(1+Inputs!$E$19)^(AV$5-1)</f>
        <v>108.179973</v>
      </c>
      <c r="AW19" s="53" t="n">
        <f aca="false">Inputs!$E$18*(1+Inputs!$E$19)^(AW$5-1)</f>
        <v>108.179973</v>
      </c>
      <c r="AX19" s="53" t="n">
        <f aca="false">Inputs!$E$18*(1+Inputs!$E$19)^(AX$5-1)</f>
        <v>108.179973</v>
      </c>
      <c r="AY19" s="53" t="n">
        <f aca="false">Inputs!$E$18*(1+Inputs!$E$19)^(AY$5-1)</f>
        <v>111.42537219</v>
      </c>
      <c r="AZ19" s="53" t="n">
        <f aca="false">Inputs!$E$18*(1+Inputs!$E$19)^(AZ$5-1)</f>
        <v>111.42537219</v>
      </c>
      <c r="BA19" s="53" t="n">
        <f aca="false">Inputs!$E$18*(1+Inputs!$E$19)^(BA$5-1)</f>
        <v>111.42537219</v>
      </c>
      <c r="BB19" s="53" t="n">
        <f aca="false">Inputs!$E$18*(1+Inputs!$E$19)^(BB$5-1)</f>
        <v>111.42537219</v>
      </c>
      <c r="BC19" s="53" t="n">
        <f aca="false">Inputs!$E$18*(1+Inputs!$E$19)^(BC$5-1)</f>
        <v>111.42537219</v>
      </c>
      <c r="BD19" s="53" t="n">
        <f aca="false">Inputs!$E$18*(1+Inputs!$E$19)^(BD$5-1)</f>
        <v>111.42537219</v>
      </c>
      <c r="BE19" s="53" t="n">
        <f aca="false">Inputs!$E$18*(1+Inputs!$E$19)^(BE$5-1)</f>
        <v>111.42537219</v>
      </c>
      <c r="BF19" s="53" t="n">
        <f aca="false">Inputs!$E$18*(1+Inputs!$E$19)^(BF$5-1)</f>
        <v>111.42537219</v>
      </c>
      <c r="BG19" s="53" t="n">
        <f aca="false">Inputs!$E$18*(1+Inputs!$E$19)^(BG$5-1)</f>
        <v>111.42537219</v>
      </c>
      <c r="BH19" s="53" t="n">
        <f aca="false">Inputs!$E$18*(1+Inputs!$E$19)^(BH$5-1)</f>
        <v>111.42537219</v>
      </c>
      <c r="BI19" s="53" t="n">
        <f aca="false">Inputs!$E$18*(1+Inputs!$E$19)^(BI$5-1)</f>
        <v>111.42537219</v>
      </c>
      <c r="BJ19" s="53" t="n">
        <f aca="false">Inputs!$E$18*(1+Inputs!$E$19)^(BJ$5-1)</f>
        <v>111.42537219</v>
      </c>
    </row>
    <row r="20" customFormat="false" ht="15" hidden="false" customHeight="false" outlineLevel="0" collapsed="false">
      <c r="A20" s="6" t="s">
        <v>81</v>
      </c>
      <c r="C20" s="59" t="n">
        <f aca="false">C16*C19*1</f>
        <v>13216.5</v>
      </c>
      <c r="D20" s="59" t="n">
        <f aca="false">D16*D19*1</f>
        <v>15809.31</v>
      </c>
      <c r="E20" s="59" t="n">
        <f aca="false">E16*E19*1</f>
        <v>18246.5514</v>
      </c>
      <c r="F20" s="59" t="n">
        <f aca="false">F16*F19*1</f>
        <v>20537.558316</v>
      </c>
      <c r="G20" s="59" t="n">
        <f aca="false">G16*G19*1</f>
        <v>22691.10481704</v>
      </c>
      <c r="H20" s="59" t="n">
        <f aca="false">H16*H19*1</f>
        <v>24715.4385280176</v>
      </c>
      <c r="I20" s="59" t="n">
        <f aca="false">I16*I19*1</f>
        <v>26618.3122163365</v>
      </c>
      <c r="J20" s="59" t="n">
        <f aca="false">J16*J19*1</f>
        <v>28407.0134833563</v>
      </c>
      <c r="K20" s="59" t="n">
        <f aca="false">K16*K19*1</f>
        <v>30088.392674355</v>
      </c>
      <c r="L20" s="59" t="n">
        <f aca="false">L16*L19*1</f>
        <v>31668.8891138937</v>
      </c>
      <c r="M20" s="59" t="n">
        <f aca="false">M16*M19*1</f>
        <v>33154.55576706</v>
      </c>
      <c r="N20" s="59" t="n">
        <f aca="false">N16*N19*1</f>
        <v>34551.0824210364</v>
      </c>
      <c r="O20" s="59" t="n">
        <f aca="false">O16*O19*1</f>
        <v>37065.1551000475</v>
      </c>
      <c r="P20" s="59" t="n">
        <f aca="false">P16*P19*1</f>
        <v>38579.4659940446</v>
      </c>
      <c r="Q20" s="59" t="n">
        <f aca="false">Q16*Q19*1</f>
        <v>40002.9182344019</v>
      </c>
      <c r="R20" s="59" t="n">
        <f aca="false">R16*R19*1</f>
        <v>41340.9633403378</v>
      </c>
      <c r="S20" s="59" t="n">
        <f aca="false">S16*S19*1</f>
        <v>42598.7257399176</v>
      </c>
      <c r="T20" s="59" t="n">
        <f aca="false">T16*T19*1</f>
        <v>43781.0223955225</v>
      </c>
      <c r="U20" s="59" t="n">
        <f aca="false">U16*U19*1</f>
        <v>44892.3812517912</v>
      </c>
      <c r="V20" s="59" t="n">
        <f aca="false">V16*V19*1</f>
        <v>45658.6873591153</v>
      </c>
      <c r="W20" s="59" t="n">
        <f aca="false">W16*W19*1</f>
        <v>45886.5</v>
      </c>
      <c r="X20" s="59" t="n">
        <f aca="false">X16*X19*1</f>
        <v>45886.5</v>
      </c>
      <c r="Y20" s="59" t="n">
        <f aca="false">Y16*Y19*1</f>
        <v>45886.5</v>
      </c>
      <c r="Z20" s="59" t="n">
        <f aca="false">Z16*Z19*1</f>
        <v>45886.5</v>
      </c>
      <c r="AA20" s="59" t="n">
        <f aca="false">AA16*AA19*1</f>
        <v>47263.095</v>
      </c>
      <c r="AB20" s="59" t="n">
        <f aca="false">AB16*AB19*1</f>
        <v>47263.095</v>
      </c>
      <c r="AC20" s="59" t="n">
        <f aca="false">AC16*AC19*1</f>
        <v>47263.095</v>
      </c>
      <c r="AD20" s="59" t="n">
        <f aca="false">AD16*AD19*1</f>
        <v>47263.095</v>
      </c>
      <c r="AE20" s="59" t="n">
        <f aca="false">AE16*AE19*1</f>
        <v>47263.095</v>
      </c>
      <c r="AF20" s="59" t="n">
        <f aca="false">AF16*AF19*1</f>
        <v>47263.095</v>
      </c>
      <c r="AG20" s="59" t="n">
        <f aca="false">AG16*AG19*1</f>
        <v>47263.095</v>
      </c>
      <c r="AH20" s="59" t="n">
        <f aca="false">AH16*AH19*1</f>
        <v>47263.095</v>
      </c>
      <c r="AI20" s="59" t="n">
        <f aca="false">AI16*AI19*1</f>
        <v>47263.095</v>
      </c>
      <c r="AJ20" s="59" t="n">
        <f aca="false">AJ16*AJ19*1</f>
        <v>47263.095</v>
      </c>
      <c r="AK20" s="59" t="n">
        <f aca="false">AK16*AK19*1</f>
        <v>47263.095</v>
      </c>
      <c r="AL20" s="59" t="n">
        <f aca="false">AL16*AL19*1</f>
        <v>47263.095</v>
      </c>
      <c r="AM20" s="59" t="n">
        <f aca="false">AM16*AM19*1</f>
        <v>48680.98785</v>
      </c>
      <c r="AN20" s="59" t="n">
        <f aca="false">AN16*AN19*1</f>
        <v>48680.98785</v>
      </c>
      <c r="AO20" s="59" t="n">
        <f aca="false">AO16*AO19*1</f>
        <v>48680.98785</v>
      </c>
      <c r="AP20" s="59" t="n">
        <f aca="false">AP16*AP19*1</f>
        <v>48680.98785</v>
      </c>
      <c r="AQ20" s="59" t="n">
        <f aca="false">AQ16*AQ19*1</f>
        <v>48680.98785</v>
      </c>
      <c r="AR20" s="59" t="n">
        <f aca="false">AR16*AR19*1</f>
        <v>48680.98785</v>
      </c>
      <c r="AS20" s="59" t="n">
        <f aca="false">AS16*AS19*1</f>
        <v>48680.98785</v>
      </c>
      <c r="AT20" s="59" t="n">
        <f aca="false">AT16*AT19*1</f>
        <v>48680.98785</v>
      </c>
      <c r="AU20" s="59" t="n">
        <f aca="false">AU16*AU19*1</f>
        <v>48680.98785</v>
      </c>
      <c r="AV20" s="59" t="n">
        <f aca="false">AV16*AV19*1</f>
        <v>48680.98785</v>
      </c>
      <c r="AW20" s="59" t="n">
        <f aca="false">AW16*AW19*1</f>
        <v>48680.98785</v>
      </c>
      <c r="AX20" s="59" t="n">
        <f aca="false">AX16*AX19*1</f>
        <v>48680.98785</v>
      </c>
      <c r="AY20" s="59" t="n">
        <f aca="false">AY16*AY19*1</f>
        <v>50141.4174855</v>
      </c>
      <c r="AZ20" s="59" t="n">
        <f aca="false">AZ16*AZ19*1</f>
        <v>50141.4174855</v>
      </c>
      <c r="BA20" s="59" t="n">
        <f aca="false">BA16*BA19*1</f>
        <v>50141.4174855</v>
      </c>
      <c r="BB20" s="59" t="n">
        <f aca="false">BB16*BB19*1</f>
        <v>50141.4174855</v>
      </c>
      <c r="BC20" s="59" t="n">
        <f aca="false">BC16*BC19*1</f>
        <v>50141.4174855</v>
      </c>
      <c r="BD20" s="59" t="n">
        <f aca="false">BD16*BD19*1</f>
        <v>50141.4174855</v>
      </c>
      <c r="BE20" s="59" t="n">
        <f aca="false">BE16*BE19*1</f>
        <v>50141.4174855</v>
      </c>
      <c r="BF20" s="59" t="n">
        <f aca="false">BF16*BF19*1</f>
        <v>50141.4174855</v>
      </c>
      <c r="BG20" s="59" t="n">
        <f aca="false">BG16*BG19*1</f>
        <v>50141.4174855</v>
      </c>
      <c r="BH20" s="59" t="n">
        <f aca="false">BH16*BH19*1</f>
        <v>50141.4174855</v>
      </c>
      <c r="BI20" s="59" t="n">
        <f aca="false">BI16*BI19*1</f>
        <v>50141.4174855</v>
      </c>
      <c r="BJ20" s="59" t="n">
        <f aca="false">BJ16*BJ19*1</f>
        <v>50141.4174855</v>
      </c>
    </row>
    <row r="21" customFormat="false" ht="15" hidden="false" customHeight="false" outlineLevel="0" collapsed="false">
      <c r="A21" s="6" t="s">
        <v>336</v>
      </c>
      <c r="C21" s="59" t="n">
        <f aca="false">(C10-C15)*Inputs!$E$20*(1+Inputs!$E$19)^(C$5-1)</f>
        <v>1675.8</v>
      </c>
      <c r="D21" s="59" t="n">
        <f aca="false">(D10-D15)*Inputs!$E$20*(1+Inputs!$E$19)^(D$5-1)</f>
        <v>1675.8</v>
      </c>
      <c r="E21" s="59" t="n">
        <f aca="false">(E10-E15)*Inputs!$E$20*(1+Inputs!$E$19)^(E$5-1)</f>
        <v>1675.8</v>
      </c>
      <c r="F21" s="59" t="n">
        <f aca="false">(F10-F15)*Inputs!$E$20*(1+Inputs!$E$19)^(F$5-1)</f>
        <v>1675.8</v>
      </c>
      <c r="G21" s="59" t="n">
        <f aca="false">(G10-G15)*Inputs!$E$20*(1+Inputs!$E$19)^(G$5-1)</f>
        <v>1675.8</v>
      </c>
      <c r="H21" s="59" t="n">
        <f aca="false">(H10-H15)*Inputs!$E$20*(1+Inputs!$E$19)^(H$5-1)</f>
        <v>1675.8</v>
      </c>
      <c r="I21" s="59" t="n">
        <f aca="false">(I10-I15)*Inputs!$E$20*(1+Inputs!$E$19)^(I$5-1)</f>
        <v>1675.8</v>
      </c>
      <c r="J21" s="59" t="n">
        <f aca="false">(J10-J15)*Inputs!$E$20*(1+Inputs!$E$19)^(J$5-1)</f>
        <v>1675.8</v>
      </c>
      <c r="K21" s="59" t="n">
        <f aca="false">(K10-K15)*Inputs!$E$20*(1+Inputs!$E$19)^(K$5-1)</f>
        <v>1675.8</v>
      </c>
      <c r="L21" s="59" t="n">
        <f aca="false">(L10-L15)*Inputs!$E$20*(1+Inputs!$E$19)^(L$5-1)</f>
        <v>1675.8</v>
      </c>
      <c r="M21" s="59" t="n">
        <f aca="false">(M10-M15)*Inputs!$E$20*(1+Inputs!$E$19)^(M$5-1)</f>
        <v>1675.8</v>
      </c>
      <c r="N21" s="59" t="n">
        <f aca="false">(N10-N15)*Inputs!$E$20*(1+Inputs!$E$19)^(N$5-1)</f>
        <v>1675.8</v>
      </c>
      <c r="O21" s="59" t="n">
        <f aca="false">(O10-O15)*Inputs!$E$20*(1+Inputs!$E$19)^(O$5-1)</f>
        <v>1850.2302</v>
      </c>
      <c r="P21" s="59" t="n">
        <f aca="false">(P10-P15)*Inputs!$E$20*(1+Inputs!$E$19)^(P$5-1)</f>
        <v>1850.2302</v>
      </c>
      <c r="Q21" s="59" t="n">
        <f aca="false">(Q10-Q15)*Inputs!$E$20*(1+Inputs!$E$19)^(Q$5-1)</f>
        <v>1850.2302</v>
      </c>
      <c r="R21" s="59" t="n">
        <f aca="false">(R10-R15)*Inputs!$E$20*(1+Inputs!$E$19)^(R$5-1)</f>
        <v>1850.2302</v>
      </c>
      <c r="S21" s="59" t="n">
        <f aca="false">(S10-S15)*Inputs!$E$20*(1+Inputs!$E$19)^(S$5-1)</f>
        <v>1850.2302</v>
      </c>
      <c r="T21" s="59" t="n">
        <f aca="false">(T10-T15)*Inputs!$E$20*(1+Inputs!$E$19)^(T$5-1)</f>
        <v>1850.2302</v>
      </c>
      <c r="U21" s="59" t="n">
        <f aca="false">(U10-U15)*Inputs!$E$20*(1+Inputs!$E$19)^(U$5-1)</f>
        <v>1850.2302</v>
      </c>
      <c r="V21" s="59" t="n">
        <f aca="false">(V10-V15)*Inputs!$E$20*(1+Inputs!$E$19)^(V$5-1)</f>
        <v>1574.67081291211</v>
      </c>
      <c r="W21" s="59" t="n">
        <f aca="false">(W10-W15)*Inputs!$E$20*(1+Inputs!$E$19)^(W$5-1)</f>
        <v>1362.69</v>
      </c>
      <c r="X21" s="59" t="n">
        <f aca="false">(X10-X15)*Inputs!$E$20*(1+Inputs!$E$19)^(X$5-1)</f>
        <v>1362.69</v>
      </c>
      <c r="Y21" s="59" t="n">
        <f aca="false">(Y10-Y15)*Inputs!$E$20*(1+Inputs!$E$19)^(Y$5-1)</f>
        <v>1362.69</v>
      </c>
      <c r="Z21" s="59" t="n">
        <f aca="false">(Z10-Z15)*Inputs!$E$20*(1+Inputs!$E$19)^(Z$5-1)</f>
        <v>1362.69</v>
      </c>
      <c r="AA21" s="59" t="n">
        <f aca="false">(AA10-AA15)*Inputs!$E$20*(1+Inputs!$E$19)^(AA$5-1)</f>
        <v>1403.5707</v>
      </c>
      <c r="AB21" s="59" t="n">
        <f aca="false">(AB10-AB15)*Inputs!$E$20*(1+Inputs!$E$19)^(AB$5-1)</f>
        <v>1403.5707</v>
      </c>
      <c r="AC21" s="59" t="n">
        <f aca="false">(AC10-AC15)*Inputs!$E$20*(1+Inputs!$E$19)^(AC$5-1)</f>
        <v>1403.5707</v>
      </c>
      <c r="AD21" s="59" t="n">
        <f aca="false">(AD10-AD15)*Inputs!$E$20*(1+Inputs!$E$19)^(AD$5-1)</f>
        <v>1403.5707</v>
      </c>
      <c r="AE21" s="59" t="n">
        <f aca="false">(AE10-AE15)*Inputs!$E$20*(1+Inputs!$E$19)^(AE$5-1)</f>
        <v>1403.5707</v>
      </c>
      <c r="AF21" s="59" t="n">
        <f aca="false">(AF10-AF15)*Inputs!$E$20*(1+Inputs!$E$19)^(AF$5-1)</f>
        <v>1403.5707</v>
      </c>
      <c r="AG21" s="59" t="n">
        <f aca="false">(AG10-AG15)*Inputs!$E$20*(1+Inputs!$E$19)^(AG$5-1)</f>
        <v>1403.5707</v>
      </c>
      <c r="AH21" s="59" t="n">
        <f aca="false">(AH10-AH15)*Inputs!$E$20*(1+Inputs!$E$19)^(AH$5-1)</f>
        <v>1403.5707</v>
      </c>
      <c r="AI21" s="59" t="n">
        <f aca="false">(AI10-AI15)*Inputs!$E$20*(1+Inputs!$E$19)^(AI$5-1)</f>
        <v>1403.5707</v>
      </c>
      <c r="AJ21" s="59" t="n">
        <f aca="false">(AJ10-AJ15)*Inputs!$E$20*(1+Inputs!$E$19)^(AJ$5-1)</f>
        <v>1403.5707</v>
      </c>
      <c r="AK21" s="59" t="n">
        <f aca="false">(AK10-AK15)*Inputs!$E$20*(1+Inputs!$E$19)^(AK$5-1)</f>
        <v>1403.5707</v>
      </c>
      <c r="AL21" s="59" t="n">
        <f aca="false">(AL10-AL15)*Inputs!$E$20*(1+Inputs!$E$19)^(AL$5-1)</f>
        <v>1403.5707</v>
      </c>
      <c r="AM21" s="59" t="n">
        <f aca="false">(AM10-AM15)*Inputs!$E$20*(1+Inputs!$E$19)^(AM$5-1)</f>
        <v>1445.677821</v>
      </c>
      <c r="AN21" s="59" t="n">
        <f aca="false">(AN10-AN15)*Inputs!$E$20*(1+Inputs!$E$19)^(AN$5-1)</f>
        <v>1445.677821</v>
      </c>
      <c r="AO21" s="59" t="n">
        <f aca="false">(AO10-AO15)*Inputs!$E$20*(1+Inputs!$E$19)^(AO$5-1)</f>
        <v>1445.677821</v>
      </c>
      <c r="AP21" s="59" t="n">
        <f aca="false">(AP10-AP15)*Inputs!$E$20*(1+Inputs!$E$19)^(AP$5-1)</f>
        <v>1445.677821</v>
      </c>
      <c r="AQ21" s="59" t="n">
        <f aca="false">(AQ10-AQ15)*Inputs!$E$20*(1+Inputs!$E$19)^(AQ$5-1)</f>
        <v>1445.677821</v>
      </c>
      <c r="AR21" s="59" t="n">
        <f aca="false">(AR10-AR15)*Inputs!$E$20*(1+Inputs!$E$19)^(AR$5-1)</f>
        <v>1445.677821</v>
      </c>
      <c r="AS21" s="59" t="n">
        <f aca="false">(AS10-AS15)*Inputs!$E$20*(1+Inputs!$E$19)^(AS$5-1)</f>
        <v>1445.677821</v>
      </c>
      <c r="AT21" s="59" t="n">
        <f aca="false">(AT10-AT15)*Inputs!$E$20*(1+Inputs!$E$19)^(AT$5-1)</f>
        <v>1445.677821</v>
      </c>
      <c r="AU21" s="59" t="n">
        <f aca="false">(AU10-AU15)*Inputs!$E$20*(1+Inputs!$E$19)^(AU$5-1)</f>
        <v>1445.677821</v>
      </c>
      <c r="AV21" s="59" t="n">
        <f aca="false">(AV10-AV15)*Inputs!$E$20*(1+Inputs!$E$19)^(AV$5-1)</f>
        <v>1445.677821</v>
      </c>
      <c r="AW21" s="59" t="n">
        <f aca="false">(AW10-AW15)*Inputs!$E$20*(1+Inputs!$E$19)^(AW$5-1)</f>
        <v>1445.677821</v>
      </c>
      <c r="AX21" s="59" t="n">
        <f aca="false">(AX10-AX15)*Inputs!$E$20*(1+Inputs!$E$19)^(AX$5-1)</f>
        <v>1445.677821</v>
      </c>
      <c r="AY21" s="59" t="n">
        <f aca="false">(AY10-AY15)*Inputs!$E$20*(1+Inputs!$E$19)^(AY$5-1)</f>
        <v>1489.04815563</v>
      </c>
      <c r="AZ21" s="59" t="n">
        <f aca="false">(AZ10-AZ15)*Inputs!$E$20*(1+Inputs!$E$19)^(AZ$5-1)</f>
        <v>1489.04815563</v>
      </c>
      <c r="BA21" s="59" t="n">
        <f aca="false">(BA10-BA15)*Inputs!$E$20*(1+Inputs!$E$19)^(BA$5-1)</f>
        <v>1489.04815563</v>
      </c>
      <c r="BB21" s="59" t="n">
        <f aca="false">(BB10-BB15)*Inputs!$E$20*(1+Inputs!$E$19)^(BB$5-1)</f>
        <v>1489.04815563</v>
      </c>
      <c r="BC21" s="59" t="n">
        <f aca="false">(BC10-BC15)*Inputs!$E$20*(1+Inputs!$E$19)^(BC$5-1)</f>
        <v>1489.04815563</v>
      </c>
      <c r="BD21" s="59" t="n">
        <f aca="false">(BD10-BD15)*Inputs!$E$20*(1+Inputs!$E$19)^(BD$5-1)</f>
        <v>1489.04815563</v>
      </c>
      <c r="BE21" s="59" t="n">
        <f aca="false">(BE10-BE15)*Inputs!$E$20*(1+Inputs!$E$19)^(BE$5-1)</f>
        <v>1489.04815563</v>
      </c>
      <c r="BF21" s="59" t="n">
        <f aca="false">(BF10-BF15)*Inputs!$E$20*(1+Inputs!$E$19)^(BF$5-1)</f>
        <v>1489.04815563</v>
      </c>
      <c r="BG21" s="59" t="n">
        <f aca="false">(BG10-BG15)*Inputs!$E$20*(1+Inputs!$E$19)^(BG$5-1)</f>
        <v>1489.04815563</v>
      </c>
      <c r="BH21" s="59" t="n">
        <f aca="false">(BH10-BH15)*Inputs!$E$20*(1+Inputs!$E$19)^(BH$5-1)</f>
        <v>1489.04815563</v>
      </c>
      <c r="BI21" s="59" t="n">
        <f aca="false">(BI10-BI15)*Inputs!$E$20*(1+Inputs!$E$19)^(BI$5-1)</f>
        <v>1489.04815563</v>
      </c>
      <c r="BJ21" s="59" t="n">
        <f aca="false">(BJ10-BJ15)*Inputs!$E$20*(1+Inputs!$E$19)^(BJ$5-1)</f>
        <v>1489.04815563</v>
      </c>
    </row>
    <row r="22" customFormat="false" ht="15" hidden="false" customHeight="false" outlineLevel="0" collapsed="false">
      <c r="A22" s="6" t="s">
        <v>337</v>
      </c>
      <c r="C22" s="59" t="n">
        <f aca="false">C16*Inputs!$E$23*Inputs!$E$24*Inputs!$E$25*(1+Inputs!$E$19)^(C$5-1)*1</f>
        <v>2563.2</v>
      </c>
      <c r="D22" s="59" t="n">
        <f aca="false">D16*Inputs!$E$23*Inputs!$E$24*Inputs!$E$25*(1+Inputs!$E$19)^(D$5-1)*1</f>
        <v>3066.048</v>
      </c>
      <c r="E22" s="59" t="n">
        <f aca="false">E16*Inputs!$E$23*Inputs!$E$24*Inputs!$E$25*(1+Inputs!$E$19)^(E$5-1)*1</f>
        <v>3538.72512</v>
      </c>
      <c r="F22" s="59" t="n">
        <f aca="false">F16*Inputs!$E$23*Inputs!$E$24*Inputs!$E$25*(1+Inputs!$E$19)^(F$5-1)*1</f>
        <v>3983.0416128</v>
      </c>
      <c r="G22" s="59" t="n">
        <f aca="false">G16*Inputs!$E$23*Inputs!$E$24*Inputs!$E$25*(1+Inputs!$E$19)^(G$5-1)*1</f>
        <v>4400.699116032</v>
      </c>
      <c r="H22" s="59" t="n">
        <f aca="false">H16*Inputs!$E$23*Inputs!$E$24*Inputs!$E$25*(1+Inputs!$E$19)^(H$5-1)*1</f>
        <v>4793.29716907008</v>
      </c>
      <c r="I22" s="59" t="n">
        <f aca="false">I16*Inputs!$E$23*Inputs!$E$24*Inputs!$E$25*(1+Inputs!$E$19)^(I$5-1)*1</f>
        <v>5162.33933892587</v>
      </c>
      <c r="J22" s="59" t="n">
        <f aca="false">J16*Inputs!$E$23*Inputs!$E$24*Inputs!$E$25*(1+Inputs!$E$19)^(J$5-1)*1</f>
        <v>5509.23897859032</v>
      </c>
      <c r="K22" s="59" t="n">
        <f aca="false">K16*Inputs!$E$23*Inputs!$E$24*Inputs!$E$25*(1+Inputs!$E$19)^(K$5-1)*1</f>
        <v>5835.3246398749</v>
      </c>
      <c r="L22" s="59" t="n">
        <f aca="false">L16*Inputs!$E$23*Inputs!$E$24*Inputs!$E$25*(1+Inputs!$E$19)^(L$5-1)*1</f>
        <v>6141.84516148241</v>
      </c>
      <c r="M22" s="59" t="n">
        <f aca="false">M16*Inputs!$E$23*Inputs!$E$24*Inputs!$E$25*(1+Inputs!$E$19)^(M$5-1)*1</f>
        <v>6429.97445179346</v>
      </c>
      <c r="N22" s="59" t="n">
        <f aca="false">N16*Inputs!$E$23*Inputs!$E$24*Inputs!$E$25*(1+Inputs!$E$19)^(N$5-1)*1</f>
        <v>6700.81598468585</v>
      </c>
      <c r="O22" s="59" t="n">
        <f aca="false">O16*Inputs!$E$23*Inputs!$E$24*Inputs!$E$25*(1+Inputs!$E$19)^(O$5-1)*1</f>
        <v>7188.39371637284</v>
      </c>
      <c r="P22" s="59" t="n">
        <f aca="false">P16*Inputs!$E$23*Inputs!$E$24*Inputs!$E$25*(1+Inputs!$E$19)^(P$5-1)*1</f>
        <v>7482.07825339047</v>
      </c>
      <c r="Q22" s="59" t="n">
        <f aca="false">Q16*Inputs!$E$23*Inputs!$E$24*Inputs!$E$25*(1+Inputs!$E$19)^(Q$5-1)*1</f>
        <v>7758.14171818704</v>
      </c>
      <c r="R22" s="59" t="n">
        <f aca="false">R16*Inputs!$E$23*Inputs!$E$24*Inputs!$E$25*(1+Inputs!$E$19)^(R$5-1)*1</f>
        <v>8017.64137509582</v>
      </c>
      <c r="S22" s="59" t="n">
        <f aca="false">S16*Inputs!$E$23*Inputs!$E$24*Inputs!$E$25*(1+Inputs!$E$19)^(S$5-1)*1</f>
        <v>8261.57105259007</v>
      </c>
      <c r="T22" s="59" t="n">
        <f aca="false">T16*Inputs!$E$23*Inputs!$E$24*Inputs!$E$25*(1+Inputs!$E$19)^(T$5-1)*1</f>
        <v>8490.86494943467</v>
      </c>
      <c r="U22" s="59" t="n">
        <f aca="false">U16*Inputs!$E$23*Inputs!$E$24*Inputs!$E$25*(1+Inputs!$E$19)^(U$5-1)*1</f>
        <v>8706.40121246859</v>
      </c>
      <c r="V22" s="59" t="n">
        <f aca="false">V16*Inputs!$E$23*Inputs!$E$24*Inputs!$E$25*(1+Inputs!$E$19)^(V$5-1)*1</f>
        <v>8855.01815449509</v>
      </c>
      <c r="W22" s="59" t="n">
        <f aca="false">W16*Inputs!$E$23*Inputs!$E$24*Inputs!$E$25*(1+Inputs!$E$19)^(W$5-1)*1</f>
        <v>8899.2</v>
      </c>
      <c r="X22" s="59" t="n">
        <f aca="false">X16*Inputs!$E$23*Inputs!$E$24*Inputs!$E$25*(1+Inputs!$E$19)^(X$5-1)*1</f>
        <v>8899.2</v>
      </c>
      <c r="Y22" s="59" t="n">
        <f aca="false">Y16*Inputs!$E$23*Inputs!$E$24*Inputs!$E$25*(1+Inputs!$E$19)^(Y$5-1)*1</f>
        <v>8899.2</v>
      </c>
      <c r="Z22" s="59" t="n">
        <f aca="false">Z16*Inputs!$E$23*Inputs!$E$24*Inputs!$E$25*(1+Inputs!$E$19)^(Z$5-1)*1</f>
        <v>8899.2</v>
      </c>
      <c r="AA22" s="59" t="n">
        <f aca="false">AA16*Inputs!$E$23*Inputs!$E$24*Inputs!$E$25*(1+Inputs!$E$19)^(AA$5-1)*1</f>
        <v>9166.176</v>
      </c>
      <c r="AB22" s="59" t="n">
        <f aca="false">AB16*Inputs!$E$23*Inputs!$E$24*Inputs!$E$25*(1+Inputs!$E$19)^(AB$5-1)*1</f>
        <v>9166.176</v>
      </c>
      <c r="AC22" s="59" t="n">
        <f aca="false">AC16*Inputs!$E$23*Inputs!$E$24*Inputs!$E$25*(1+Inputs!$E$19)^(AC$5-1)*1</f>
        <v>9166.176</v>
      </c>
      <c r="AD22" s="59" t="n">
        <f aca="false">AD16*Inputs!$E$23*Inputs!$E$24*Inputs!$E$25*(1+Inputs!$E$19)^(AD$5-1)*1</f>
        <v>9166.176</v>
      </c>
      <c r="AE22" s="59" t="n">
        <f aca="false">AE16*Inputs!$E$23*Inputs!$E$24*Inputs!$E$25*(1+Inputs!$E$19)^(AE$5-1)*1</f>
        <v>9166.176</v>
      </c>
      <c r="AF22" s="59" t="n">
        <f aca="false">AF16*Inputs!$E$23*Inputs!$E$24*Inputs!$E$25*(1+Inputs!$E$19)^(AF$5-1)*1</f>
        <v>9166.176</v>
      </c>
      <c r="AG22" s="59" t="n">
        <f aca="false">AG16*Inputs!$E$23*Inputs!$E$24*Inputs!$E$25*(1+Inputs!$E$19)^(AG$5-1)*1</f>
        <v>9166.176</v>
      </c>
      <c r="AH22" s="59" t="n">
        <f aca="false">AH16*Inputs!$E$23*Inputs!$E$24*Inputs!$E$25*(1+Inputs!$E$19)^(AH$5-1)*1</f>
        <v>9166.176</v>
      </c>
      <c r="AI22" s="59" t="n">
        <f aca="false">AI16*Inputs!$E$23*Inputs!$E$24*Inputs!$E$25*(1+Inputs!$E$19)^(AI$5-1)*1</f>
        <v>9166.176</v>
      </c>
      <c r="AJ22" s="59" t="n">
        <f aca="false">AJ16*Inputs!$E$23*Inputs!$E$24*Inputs!$E$25*(1+Inputs!$E$19)^(AJ$5-1)*1</f>
        <v>9166.176</v>
      </c>
      <c r="AK22" s="59" t="n">
        <f aca="false">AK16*Inputs!$E$23*Inputs!$E$24*Inputs!$E$25*(1+Inputs!$E$19)^(AK$5-1)*1</f>
        <v>9166.176</v>
      </c>
      <c r="AL22" s="59" t="n">
        <f aca="false">AL16*Inputs!$E$23*Inputs!$E$24*Inputs!$E$25*(1+Inputs!$E$19)^(AL$5-1)*1</f>
        <v>9166.176</v>
      </c>
      <c r="AM22" s="59" t="n">
        <f aca="false">AM16*Inputs!$E$23*Inputs!$E$24*Inputs!$E$25*(1+Inputs!$E$19)^(AM$5-1)*1</f>
        <v>9441.16128</v>
      </c>
      <c r="AN22" s="59" t="n">
        <f aca="false">AN16*Inputs!$E$23*Inputs!$E$24*Inputs!$E$25*(1+Inputs!$E$19)^(AN$5-1)*1</f>
        <v>9441.16128</v>
      </c>
      <c r="AO22" s="59" t="n">
        <f aca="false">AO16*Inputs!$E$23*Inputs!$E$24*Inputs!$E$25*(1+Inputs!$E$19)^(AO$5-1)*1</f>
        <v>9441.16128</v>
      </c>
      <c r="AP22" s="59" t="n">
        <f aca="false">AP16*Inputs!$E$23*Inputs!$E$24*Inputs!$E$25*(1+Inputs!$E$19)^(AP$5-1)*1</f>
        <v>9441.16128</v>
      </c>
      <c r="AQ22" s="59" t="n">
        <f aca="false">AQ16*Inputs!$E$23*Inputs!$E$24*Inputs!$E$25*(1+Inputs!$E$19)^(AQ$5-1)*1</f>
        <v>9441.16128</v>
      </c>
      <c r="AR22" s="59" t="n">
        <f aca="false">AR16*Inputs!$E$23*Inputs!$E$24*Inputs!$E$25*(1+Inputs!$E$19)^(AR$5-1)*1</f>
        <v>9441.16128</v>
      </c>
      <c r="AS22" s="59" t="n">
        <f aca="false">AS16*Inputs!$E$23*Inputs!$E$24*Inputs!$E$25*(1+Inputs!$E$19)^(AS$5-1)*1</f>
        <v>9441.16128</v>
      </c>
      <c r="AT22" s="59" t="n">
        <f aca="false">AT16*Inputs!$E$23*Inputs!$E$24*Inputs!$E$25*(1+Inputs!$E$19)^(AT$5-1)*1</f>
        <v>9441.16128</v>
      </c>
      <c r="AU22" s="59" t="n">
        <f aca="false">AU16*Inputs!$E$23*Inputs!$E$24*Inputs!$E$25*(1+Inputs!$E$19)^(AU$5-1)*1</f>
        <v>9441.16128</v>
      </c>
      <c r="AV22" s="59" t="n">
        <f aca="false">AV16*Inputs!$E$23*Inputs!$E$24*Inputs!$E$25*(1+Inputs!$E$19)^(AV$5-1)*1</f>
        <v>9441.16128</v>
      </c>
      <c r="AW22" s="59" t="n">
        <f aca="false">AW16*Inputs!$E$23*Inputs!$E$24*Inputs!$E$25*(1+Inputs!$E$19)^(AW$5-1)*1</f>
        <v>9441.16128</v>
      </c>
      <c r="AX22" s="59" t="n">
        <f aca="false">AX16*Inputs!$E$23*Inputs!$E$24*Inputs!$E$25*(1+Inputs!$E$19)^(AX$5-1)*1</f>
        <v>9441.16128</v>
      </c>
      <c r="AY22" s="59" t="n">
        <f aca="false">AY16*Inputs!$E$23*Inputs!$E$24*Inputs!$E$25*(1+Inputs!$E$19)^(AY$5-1)*1</f>
        <v>9724.3961184</v>
      </c>
      <c r="AZ22" s="59" t="n">
        <f aca="false">AZ16*Inputs!$E$23*Inputs!$E$24*Inputs!$E$25*(1+Inputs!$E$19)^(AZ$5-1)*1</f>
        <v>9724.3961184</v>
      </c>
      <c r="BA22" s="59" t="n">
        <f aca="false">BA16*Inputs!$E$23*Inputs!$E$24*Inputs!$E$25*(1+Inputs!$E$19)^(BA$5-1)*1</f>
        <v>9724.3961184</v>
      </c>
      <c r="BB22" s="59" t="n">
        <f aca="false">BB16*Inputs!$E$23*Inputs!$E$24*Inputs!$E$25*(1+Inputs!$E$19)^(BB$5-1)*1</f>
        <v>9724.3961184</v>
      </c>
      <c r="BC22" s="59" t="n">
        <f aca="false">BC16*Inputs!$E$23*Inputs!$E$24*Inputs!$E$25*(1+Inputs!$E$19)^(BC$5-1)*1</f>
        <v>9724.3961184</v>
      </c>
      <c r="BD22" s="59" t="n">
        <f aca="false">BD16*Inputs!$E$23*Inputs!$E$24*Inputs!$E$25*(1+Inputs!$E$19)^(BD$5-1)*1</f>
        <v>9724.3961184</v>
      </c>
      <c r="BE22" s="59" t="n">
        <f aca="false">BE16*Inputs!$E$23*Inputs!$E$24*Inputs!$E$25*(1+Inputs!$E$19)^(BE$5-1)*1</f>
        <v>9724.3961184</v>
      </c>
      <c r="BF22" s="59" t="n">
        <f aca="false">BF16*Inputs!$E$23*Inputs!$E$24*Inputs!$E$25*(1+Inputs!$E$19)^(BF$5-1)*1</f>
        <v>9724.3961184</v>
      </c>
      <c r="BG22" s="59" t="n">
        <f aca="false">BG16*Inputs!$E$23*Inputs!$E$24*Inputs!$E$25*(1+Inputs!$E$19)^(BG$5-1)*1</f>
        <v>9724.3961184</v>
      </c>
      <c r="BH22" s="59" t="n">
        <f aca="false">BH16*Inputs!$E$23*Inputs!$E$24*Inputs!$E$25*(1+Inputs!$E$19)^(BH$5-1)*1</f>
        <v>9724.3961184</v>
      </c>
      <c r="BI22" s="59" t="n">
        <f aca="false">BI16*Inputs!$E$23*Inputs!$E$24*Inputs!$E$25*(1+Inputs!$E$19)^(BI$5-1)*1</f>
        <v>9724.3961184</v>
      </c>
      <c r="BJ22" s="59" t="n">
        <f aca="false">BJ16*Inputs!$E$23*Inputs!$E$24*Inputs!$E$25*(1+Inputs!$E$19)^(BJ$5-1)*1</f>
        <v>9724.3961184</v>
      </c>
    </row>
    <row r="23" customFormat="false" ht="15" hidden="false" customHeight="false" outlineLevel="0" collapsed="false">
      <c r="A23" s="6" t="s">
        <v>338</v>
      </c>
      <c r="C23" s="59" t="n">
        <f aca="false">C16*Inputs!$E$27*(1+Inputs!$E$19)^(C$5-1)*1</f>
        <v>667.5</v>
      </c>
      <c r="D23" s="59" t="n">
        <f aca="false">D16*Inputs!$E$27*(1+Inputs!$E$19)^(D$5-1)*1</f>
        <v>798.45</v>
      </c>
      <c r="E23" s="59" t="n">
        <f aca="false">E16*Inputs!$E$27*(1+Inputs!$E$19)^(E$5-1)*1</f>
        <v>921.543</v>
      </c>
      <c r="F23" s="59" t="n">
        <f aca="false">F16*Inputs!$E$27*(1+Inputs!$E$19)^(F$5-1)*1</f>
        <v>1037.25042</v>
      </c>
      <c r="G23" s="59" t="n">
        <f aca="false">G16*Inputs!$E$27*(1+Inputs!$E$19)^(G$5-1)*1</f>
        <v>1146.0153948</v>
      </c>
      <c r="H23" s="59" t="n">
        <f aca="false">H16*Inputs!$E$27*(1+Inputs!$E$19)^(H$5-1)*1</f>
        <v>1248.254471112</v>
      </c>
      <c r="I23" s="59" t="n">
        <f aca="false">I16*Inputs!$E$27*(1+Inputs!$E$19)^(I$5-1)*1</f>
        <v>1344.35920284528</v>
      </c>
      <c r="J23" s="59" t="n">
        <f aca="false">J16*Inputs!$E$27*(1+Inputs!$E$19)^(J$5-1)*1</f>
        <v>1434.69765067456</v>
      </c>
      <c r="K23" s="59" t="n">
        <f aca="false">K16*Inputs!$E$27*(1+Inputs!$E$19)^(K$5-1)*1</f>
        <v>1519.61579163409</v>
      </c>
      <c r="L23" s="59" t="n">
        <f aca="false">L16*Inputs!$E$27*(1+Inputs!$E$19)^(L$5-1)*1</f>
        <v>1599.43884413604</v>
      </c>
      <c r="M23" s="59" t="n">
        <f aca="false">M16*Inputs!$E$27*(1+Inputs!$E$19)^(M$5-1)*1</f>
        <v>1674.47251348788</v>
      </c>
      <c r="N23" s="59" t="n">
        <f aca="false">N16*Inputs!$E$27*(1+Inputs!$E$19)^(N$5-1)*1</f>
        <v>1745.00416267861</v>
      </c>
      <c r="O23" s="59" t="n">
        <f aca="false">O16*Inputs!$E$27*(1+Inputs!$E$19)^(O$5-1)*1</f>
        <v>1871.97753030543</v>
      </c>
      <c r="P23" s="59" t="n">
        <f aca="false">P16*Inputs!$E$27*(1+Inputs!$E$19)^(P$5-1)*1</f>
        <v>1948.4578784871</v>
      </c>
      <c r="Q23" s="59" t="n">
        <f aca="false">Q16*Inputs!$E$27*(1+Inputs!$E$19)^(Q$5-1)*1</f>
        <v>2020.34940577788</v>
      </c>
      <c r="R23" s="59" t="n">
        <f aca="false">R16*Inputs!$E$27*(1+Inputs!$E$19)^(R$5-1)*1</f>
        <v>2087.9274414312</v>
      </c>
      <c r="S23" s="59" t="n">
        <f aca="false">S16*Inputs!$E$27*(1+Inputs!$E$19)^(S$5-1)*1</f>
        <v>2151.45079494533</v>
      </c>
      <c r="T23" s="59" t="n">
        <f aca="false">T16*Inputs!$E$27*(1+Inputs!$E$19)^(T$5-1)*1</f>
        <v>2211.16274724861</v>
      </c>
      <c r="U23" s="59" t="n">
        <f aca="false">U16*Inputs!$E$27*(1+Inputs!$E$19)^(U$5-1)*1</f>
        <v>2267.29198241369</v>
      </c>
      <c r="V23" s="59" t="n">
        <f aca="false">V16*Inputs!$E$27*(1+Inputs!$E$19)^(V$5-1)*1</f>
        <v>2305.99431106643</v>
      </c>
      <c r="W23" s="59" t="n">
        <f aca="false">W16*Inputs!$E$27*(1+Inputs!$E$19)^(W$5-1)*1</f>
        <v>2317.5</v>
      </c>
      <c r="X23" s="59" t="n">
        <f aca="false">X16*Inputs!$E$27*(1+Inputs!$E$19)^(X$5-1)*1</f>
        <v>2317.5</v>
      </c>
      <c r="Y23" s="59" t="n">
        <f aca="false">Y16*Inputs!$E$27*(1+Inputs!$E$19)^(Y$5-1)*1</f>
        <v>2317.5</v>
      </c>
      <c r="Z23" s="59" t="n">
        <f aca="false">Z16*Inputs!$E$27*(1+Inputs!$E$19)^(Z$5-1)*1</f>
        <v>2317.5</v>
      </c>
      <c r="AA23" s="59" t="n">
        <f aca="false">AA16*Inputs!$E$27*(1+Inputs!$E$19)^(AA$5-1)*1</f>
        <v>2387.025</v>
      </c>
      <c r="AB23" s="59" t="n">
        <f aca="false">AB16*Inputs!$E$27*(1+Inputs!$E$19)^(AB$5-1)*1</f>
        <v>2387.025</v>
      </c>
      <c r="AC23" s="59" t="n">
        <f aca="false">AC16*Inputs!$E$27*(1+Inputs!$E$19)^(AC$5-1)*1</f>
        <v>2387.025</v>
      </c>
      <c r="AD23" s="59" t="n">
        <f aca="false">AD16*Inputs!$E$27*(1+Inputs!$E$19)^(AD$5-1)*1</f>
        <v>2387.025</v>
      </c>
      <c r="AE23" s="59" t="n">
        <f aca="false">AE16*Inputs!$E$27*(1+Inputs!$E$19)^(AE$5-1)*1</f>
        <v>2387.025</v>
      </c>
      <c r="AF23" s="59" t="n">
        <f aca="false">AF16*Inputs!$E$27*(1+Inputs!$E$19)^(AF$5-1)*1</f>
        <v>2387.025</v>
      </c>
      <c r="AG23" s="59" t="n">
        <f aca="false">AG16*Inputs!$E$27*(1+Inputs!$E$19)^(AG$5-1)*1</f>
        <v>2387.025</v>
      </c>
      <c r="AH23" s="59" t="n">
        <f aca="false">AH16*Inputs!$E$27*(1+Inputs!$E$19)^(AH$5-1)*1</f>
        <v>2387.025</v>
      </c>
      <c r="AI23" s="59" t="n">
        <f aca="false">AI16*Inputs!$E$27*(1+Inputs!$E$19)^(AI$5-1)*1</f>
        <v>2387.025</v>
      </c>
      <c r="AJ23" s="59" t="n">
        <f aca="false">AJ16*Inputs!$E$27*(1+Inputs!$E$19)^(AJ$5-1)*1</f>
        <v>2387.025</v>
      </c>
      <c r="AK23" s="59" t="n">
        <f aca="false">AK16*Inputs!$E$27*(1+Inputs!$E$19)^(AK$5-1)*1</f>
        <v>2387.025</v>
      </c>
      <c r="AL23" s="59" t="n">
        <f aca="false">AL16*Inputs!$E$27*(1+Inputs!$E$19)^(AL$5-1)*1</f>
        <v>2387.025</v>
      </c>
      <c r="AM23" s="59" t="n">
        <f aca="false">AM16*Inputs!$E$27*(1+Inputs!$E$19)^(AM$5-1)*1</f>
        <v>2458.63575</v>
      </c>
      <c r="AN23" s="59" t="n">
        <f aca="false">AN16*Inputs!$E$27*(1+Inputs!$E$19)^(AN$5-1)*1</f>
        <v>2458.63575</v>
      </c>
      <c r="AO23" s="59" t="n">
        <f aca="false">AO16*Inputs!$E$27*(1+Inputs!$E$19)^(AO$5-1)*1</f>
        <v>2458.63575</v>
      </c>
      <c r="AP23" s="59" t="n">
        <f aca="false">AP16*Inputs!$E$27*(1+Inputs!$E$19)^(AP$5-1)*1</f>
        <v>2458.63575</v>
      </c>
      <c r="AQ23" s="59" t="n">
        <f aca="false">AQ16*Inputs!$E$27*(1+Inputs!$E$19)^(AQ$5-1)*1</f>
        <v>2458.63575</v>
      </c>
      <c r="AR23" s="59" t="n">
        <f aca="false">AR16*Inputs!$E$27*(1+Inputs!$E$19)^(AR$5-1)*1</f>
        <v>2458.63575</v>
      </c>
      <c r="AS23" s="59" t="n">
        <f aca="false">AS16*Inputs!$E$27*(1+Inputs!$E$19)^(AS$5-1)*1</f>
        <v>2458.63575</v>
      </c>
      <c r="AT23" s="59" t="n">
        <f aca="false">AT16*Inputs!$E$27*(1+Inputs!$E$19)^(AT$5-1)*1</f>
        <v>2458.63575</v>
      </c>
      <c r="AU23" s="59" t="n">
        <f aca="false">AU16*Inputs!$E$27*(1+Inputs!$E$19)^(AU$5-1)*1</f>
        <v>2458.63575</v>
      </c>
      <c r="AV23" s="59" t="n">
        <f aca="false">AV16*Inputs!$E$27*(1+Inputs!$E$19)^(AV$5-1)*1</f>
        <v>2458.63575</v>
      </c>
      <c r="AW23" s="59" t="n">
        <f aca="false">AW16*Inputs!$E$27*(1+Inputs!$E$19)^(AW$5-1)*1</f>
        <v>2458.63575</v>
      </c>
      <c r="AX23" s="59" t="n">
        <f aca="false">AX16*Inputs!$E$27*(1+Inputs!$E$19)^(AX$5-1)*1</f>
        <v>2458.63575</v>
      </c>
      <c r="AY23" s="59" t="n">
        <f aca="false">AY16*Inputs!$E$27*(1+Inputs!$E$19)^(AY$5-1)*1</f>
        <v>2532.3948225</v>
      </c>
      <c r="AZ23" s="59" t="n">
        <f aca="false">AZ16*Inputs!$E$27*(1+Inputs!$E$19)^(AZ$5-1)*1</f>
        <v>2532.3948225</v>
      </c>
      <c r="BA23" s="59" t="n">
        <f aca="false">BA16*Inputs!$E$27*(1+Inputs!$E$19)^(BA$5-1)*1</f>
        <v>2532.3948225</v>
      </c>
      <c r="BB23" s="59" t="n">
        <f aca="false">BB16*Inputs!$E$27*(1+Inputs!$E$19)^(BB$5-1)*1</f>
        <v>2532.3948225</v>
      </c>
      <c r="BC23" s="59" t="n">
        <f aca="false">BC16*Inputs!$E$27*(1+Inputs!$E$19)^(BC$5-1)*1</f>
        <v>2532.3948225</v>
      </c>
      <c r="BD23" s="59" t="n">
        <f aca="false">BD16*Inputs!$E$27*(1+Inputs!$E$19)^(BD$5-1)*1</f>
        <v>2532.3948225</v>
      </c>
      <c r="BE23" s="59" t="n">
        <f aca="false">BE16*Inputs!$E$27*(1+Inputs!$E$19)^(BE$5-1)*1</f>
        <v>2532.3948225</v>
      </c>
      <c r="BF23" s="59" t="n">
        <f aca="false">BF16*Inputs!$E$27*(1+Inputs!$E$19)^(BF$5-1)*1</f>
        <v>2532.3948225</v>
      </c>
      <c r="BG23" s="59" t="n">
        <f aca="false">BG16*Inputs!$E$27*(1+Inputs!$E$19)^(BG$5-1)*1</f>
        <v>2532.3948225</v>
      </c>
      <c r="BH23" s="59" t="n">
        <f aca="false">BH16*Inputs!$E$27*(1+Inputs!$E$19)^(BH$5-1)*1</f>
        <v>2532.3948225</v>
      </c>
      <c r="BI23" s="59" t="n">
        <f aca="false">BI16*Inputs!$E$27*(1+Inputs!$E$19)^(BI$5-1)*1</f>
        <v>2532.3948225</v>
      </c>
      <c r="BJ23" s="59" t="n">
        <f aca="false">BJ16*Inputs!$E$27*(1+Inputs!$E$19)^(BJ$5-1)*1</f>
        <v>2532.3948225</v>
      </c>
    </row>
    <row r="24" customFormat="false" ht="15" hidden="false" customHeight="false" outlineLevel="0" collapsed="false">
      <c r="A24" s="83" t="s">
        <v>40</v>
      </c>
      <c r="C24" s="60" t="n">
        <f aca="false">C20+C21+C22+C23</f>
        <v>18123</v>
      </c>
      <c r="D24" s="60" t="n">
        <f aca="false">D20+D21+D22+D23</f>
        <v>21349.608</v>
      </c>
      <c r="E24" s="60" t="n">
        <f aca="false">E20+E21+E22+E23</f>
        <v>24382.61952</v>
      </c>
      <c r="F24" s="60" t="n">
        <f aca="false">F20+F21+F22+F23</f>
        <v>27233.6503488</v>
      </c>
      <c r="G24" s="60" t="n">
        <f aca="false">G20+G21+G22+G23</f>
        <v>29913.619327872</v>
      </c>
      <c r="H24" s="60" t="n">
        <f aca="false">H20+H21+H22+H23</f>
        <v>32432.7901681997</v>
      </c>
      <c r="I24" s="60" t="n">
        <f aca="false">I20+I21+I22+I23</f>
        <v>34800.8107581077</v>
      </c>
      <c r="J24" s="60" t="n">
        <f aca="false">J20+J21+J22+J23</f>
        <v>37026.7501126212</v>
      </c>
      <c r="K24" s="60" t="n">
        <f aca="false">K20+K21+K22+K23</f>
        <v>39119.133105864</v>
      </c>
      <c r="L24" s="60" t="n">
        <f aca="false">L20+L21+L22+L23</f>
        <v>41085.9731195121</v>
      </c>
      <c r="M24" s="60" t="n">
        <f aca="false">M20+M21+M22+M23</f>
        <v>42934.8027323414</v>
      </c>
      <c r="N24" s="60" t="n">
        <f aca="false">N20+N21+N22+N23</f>
        <v>44672.7025684009</v>
      </c>
      <c r="O24" s="60" t="n">
        <f aca="false">O20+O21+O22+O23</f>
        <v>47975.7565467257</v>
      </c>
      <c r="P24" s="60" t="n">
        <f aca="false">P20+P21+P22+P23</f>
        <v>49860.2323259222</v>
      </c>
      <c r="Q24" s="60" t="n">
        <f aca="false">Q20+Q21+Q22+Q23</f>
        <v>51631.6395583669</v>
      </c>
      <c r="R24" s="60" t="n">
        <f aca="false">R20+R21+R22+R23</f>
        <v>53296.7623568648</v>
      </c>
      <c r="S24" s="60" t="n">
        <f aca="false">S20+S21+S22+S23</f>
        <v>54861.977787453</v>
      </c>
      <c r="T24" s="60" t="n">
        <f aca="false">T20+T21+T22+T23</f>
        <v>56333.2802922058</v>
      </c>
      <c r="U24" s="60" t="n">
        <f aca="false">U20+U21+U22+U23</f>
        <v>57716.3046466734</v>
      </c>
      <c r="V24" s="60" t="n">
        <f aca="false">V20+V21+V22+V23</f>
        <v>58394.3706375889</v>
      </c>
      <c r="W24" s="60" t="n">
        <f aca="false">W20+W21+W22+W23</f>
        <v>58465.89</v>
      </c>
      <c r="X24" s="60" t="n">
        <f aca="false">X20+X21+X22+X23</f>
        <v>58465.89</v>
      </c>
      <c r="Y24" s="60" t="n">
        <f aca="false">Y20+Y21+Y22+Y23</f>
        <v>58465.89</v>
      </c>
      <c r="Z24" s="60" t="n">
        <f aca="false">Z20+Z21+Z22+Z23</f>
        <v>58465.89</v>
      </c>
      <c r="AA24" s="60" t="n">
        <f aca="false">AA20+AA21+AA22+AA23</f>
        <v>60219.8667</v>
      </c>
      <c r="AB24" s="60" t="n">
        <f aca="false">AB20+AB21+AB22+AB23</f>
        <v>60219.8667</v>
      </c>
      <c r="AC24" s="60" t="n">
        <f aca="false">AC20+AC21+AC22+AC23</f>
        <v>60219.8667</v>
      </c>
      <c r="AD24" s="60" t="n">
        <f aca="false">AD20+AD21+AD22+AD23</f>
        <v>60219.8667</v>
      </c>
      <c r="AE24" s="60" t="n">
        <f aca="false">AE20+AE21+AE22+AE23</f>
        <v>60219.8667</v>
      </c>
      <c r="AF24" s="60" t="n">
        <f aca="false">AF20+AF21+AF22+AF23</f>
        <v>60219.8667</v>
      </c>
      <c r="AG24" s="60" t="n">
        <f aca="false">AG20+AG21+AG22+AG23</f>
        <v>60219.8667</v>
      </c>
      <c r="AH24" s="60" t="n">
        <f aca="false">AH20+AH21+AH22+AH23</f>
        <v>60219.8667</v>
      </c>
      <c r="AI24" s="60" t="n">
        <f aca="false">AI20+AI21+AI22+AI23</f>
        <v>60219.8667</v>
      </c>
      <c r="AJ24" s="60" t="n">
        <f aca="false">AJ20+AJ21+AJ22+AJ23</f>
        <v>60219.8667</v>
      </c>
      <c r="AK24" s="60" t="n">
        <f aca="false">AK20+AK21+AK22+AK23</f>
        <v>60219.8667</v>
      </c>
      <c r="AL24" s="60" t="n">
        <f aca="false">AL20+AL21+AL22+AL23</f>
        <v>60219.8667</v>
      </c>
      <c r="AM24" s="60" t="n">
        <f aca="false">AM20+AM21+AM22+AM23</f>
        <v>62026.462701</v>
      </c>
      <c r="AN24" s="60" t="n">
        <f aca="false">AN20+AN21+AN22+AN23</f>
        <v>62026.462701</v>
      </c>
      <c r="AO24" s="60" t="n">
        <f aca="false">AO20+AO21+AO22+AO23</f>
        <v>62026.462701</v>
      </c>
      <c r="AP24" s="60" t="n">
        <f aca="false">AP20+AP21+AP22+AP23</f>
        <v>62026.462701</v>
      </c>
      <c r="AQ24" s="60" t="n">
        <f aca="false">AQ20+AQ21+AQ22+AQ23</f>
        <v>62026.462701</v>
      </c>
      <c r="AR24" s="60" t="n">
        <f aca="false">AR20+AR21+AR22+AR23</f>
        <v>62026.462701</v>
      </c>
      <c r="AS24" s="60" t="n">
        <f aca="false">AS20+AS21+AS22+AS23</f>
        <v>62026.462701</v>
      </c>
      <c r="AT24" s="60" t="n">
        <f aca="false">AT20+AT21+AT22+AT23</f>
        <v>62026.462701</v>
      </c>
      <c r="AU24" s="60" t="n">
        <f aca="false">AU20+AU21+AU22+AU23</f>
        <v>62026.462701</v>
      </c>
      <c r="AV24" s="60" t="n">
        <f aca="false">AV20+AV21+AV22+AV23</f>
        <v>62026.462701</v>
      </c>
      <c r="AW24" s="60" t="n">
        <f aca="false">AW20+AW21+AW22+AW23</f>
        <v>62026.462701</v>
      </c>
      <c r="AX24" s="60" t="n">
        <f aca="false">AX20+AX21+AX22+AX23</f>
        <v>62026.462701</v>
      </c>
      <c r="AY24" s="60" t="n">
        <f aca="false">AY20+AY21+AY22+AY23</f>
        <v>63887.25658203</v>
      </c>
      <c r="AZ24" s="60" t="n">
        <f aca="false">AZ20+AZ21+AZ22+AZ23</f>
        <v>63887.25658203</v>
      </c>
      <c r="BA24" s="60" t="n">
        <f aca="false">BA20+BA21+BA22+BA23</f>
        <v>63887.25658203</v>
      </c>
      <c r="BB24" s="60" t="n">
        <f aca="false">BB20+BB21+BB22+BB23</f>
        <v>63887.25658203</v>
      </c>
      <c r="BC24" s="60" t="n">
        <f aca="false">BC20+BC21+BC22+BC23</f>
        <v>63887.25658203</v>
      </c>
      <c r="BD24" s="60" t="n">
        <f aca="false">BD20+BD21+BD22+BD23</f>
        <v>63887.25658203</v>
      </c>
      <c r="BE24" s="60" t="n">
        <f aca="false">BE20+BE21+BE22+BE23</f>
        <v>63887.25658203</v>
      </c>
      <c r="BF24" s="60" t="n">
        <f aca="false">BF20+BF21+BF22+BF23</f>
        <v>63887.25658203</v>
      </c>
      <c r="BG24" s="60" t="n">
        <f aca="false">BG20+BG21+BG22+BG23</f>
        <v>63887.25658203</v>
      </c>
      <c r="BH24" s="60" t="n">
        <f aca="false">BH20+BH21+BH22+BH23</f>
        <v>63887.25658203</v>
      </c>
      <c r="BI24" s="60" t="n">
        <f aca="false">BI20+BI21+BI22+BI23</f>
        <v>63887.25658203</v>
      </c>
      <c r="BJ24" s="60" t="n">
        <f aca="false">BJ20+BJ21+BJ22+BJ23</f>
        <v>63887.25658203</v>
      </c>
    </row>
    <row r="26" customFormat="false" ht="15.75" hidden="false" customHeight="true" outlineLevel="0" collapsed="false">
      <c r="A26" s="7" t="s">
        <v>92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339</v>
      </c>
      <c r="C27" s="59" t="n">
        <f aca="false">-Inputs!$E$31*52/12*Inputs!$E$32*(1+Inputs!$E$51)^(C$5-1)*1</f>
        <v>-7800</v>
      </c>
      <c r="D27" s="59" t="n">
        <f aca="false">-Inputs!$E$31*52/12*Inputs!$E$32*(1+Inputs!$E$51)^(D$5-1)*1</f>
        <v>-7800</v>
      </c>
      <c r="E27" s="59" t="n">
        <f aca="false">-Inputs!$E$31*52/12*Inputs!$E$32*(1+Inputs!$E$51)^(E$5-1)*1</f>
        <v>-7800</v>
      </c>
      <c r="F27" s="59" t="n">
        <f aca="false">-Inputs!$E$31*52/12*Inputs!$E$32*(1+Inputs!$E$51)^(F$5-1)*1</f>
        <v>-7800</v>
      </c>
      <c r="G27" s="59" t="n">
        <f aca="false">-Inputs!$E$31*52/12*Inputs!$E$32*(1+Inputs!$E$51)^(G$5-1)*1</f>
        <v>-7800</v>
      </c>
      <c r="H27" s="59" t="n">
        <f aca="false">-Inputs!$E$31*52/12*Inputs!$E$32*(1+Inputs!$E$51)^(H$5-1)*1</f>
        <v>-7800</v>
      </c>
      <c r="I27" s="59" t="n">
        <f aca="false">-Inputs!$E$31*52/12*Inputs!$E$32*(1+Inputs!$E$51)^(I$5-1)*1</f>
        <v>-7800</v>
      </c>
      <c r="J27" s="59" t="n">
        <f aca="false">-Inputs!$E$31*52/12*Inputs!$E$32*(1+Inputs!$E$51)^(J$5-1)*1</f>
        <v>-7800</v>
      </c>
      <c r="K27" s="59" t="n">
        <f aca="false">-Inputs!$E$31*52/12*Inputs!$E$32*(1+Inputs!$E$51)^(K$5-1)*1</f>
        <v>-7800</v>
      </c>
      <c r="L27" s="59" t="n">
        <f aca="false">-Inputs!$E$31*52/12*Inputs!$E$32*(1+Inputs!$E$51)^(L$5-1)*1</f>
        <v>-7800</v>
      </c>
      <c r="M27" s="59" t="n">
        <f aca="false">-Inputs!$E$31*52/12*Inputs!$E$32*(1+Inputs!$E$51)^(M$5-1)*1</f>
        <v>-7800</v>
      </c>
      <c r="N27" s="59" t="n">
        <f aca="false">-Inputs!$E$31*52/12*Inputs!$E$32*(1+Inputs!$E$51)^(N$5-1)*1</f>
        <v>-7800</v>
      </c>
      <c r="O27" s="59" t="n">
        <f aca="false">-Inputs!$E$31*52/12*Inputs!$E$32*(1+Inputs!$E$51)^(O$5-1)*1</f>
        <v>-8034</v>
      </c>
      <c r="P27" s="59" t="n">
        <f aca="false">-Inputs!$E$31*52/12*Inputs!$E$32*(1+Inputs!$E$51)^(P$5-1)*1</f>
        <v>-8034</v>
      </c>
      <c r="Q27" s="59" t="n">
        <f aca="false">-Inputs!$E$31*52/12*Inputs!$E$32*(1+Inputs!$E$51)^(Q$5-1)*1</f>
        <v>-8034</v>
      </c>
      <c r="R27" s="59" t="n">
        <f aca="false">-Inputs!$E$31*52/12*Inputs!$E$32*(1+Inputs!$E$51)^(R$5-1)*1</f>
        <v>-8034</v>
      </c>
      <c r="S27" s="59" t="n">
        <f aca="false">-Inputs!$E$31*52/12*Inputs!$E$32*(1+Inputs!$E$51)^(S$5-1)*1</f>
        <v>-8034</v>
      </c>
      <c r="T27" s="59" t="n">
        <f aca="false">-Inputs!$E$31*52/12*Inputs!$E$32*(1+Inputs!$E$51)^(T$5-1)*1</f>
        <v>-8034</v>
      </c>
      <c r="U27" s="59" t="n">
        <f aca="false">-Inputs!$E$31*52/12*Inputs!$E$32*(1+Inputs!$E$51)^(U$5-1)*1</f>
        <v>-8034</v>
      </c>
      <c r="V27" s="59" t="n">
        <f aca="false">-Inputs!$E$31*52/12*Inputs!$E$32*(1+Inputs!$E$51)^(V$5-1)*1</f>
        <v>-8034</v>
      </c>
      <c r="W27" s="59" t="n">
        <f aca="false">-Inputs!$E$31*52/12*Inputs!$E$32*(1+Inputs!$E$51)^(W$5-1)*1</f>
        <v>-8034</v>
      </c>
      <c r="X27" s="59" t="n">
        <f aca="false">-Inputs!$E$31*52/12*Inputs!$E$32*(1+Inputs!$E$51)^(X$5-1)*1</f>
        <v>-8034</v>
      </c>
      <c r="Y27" s="59" t="n">
        <f aca="false">-Inputs!$E$31*52/12*Inputs!$E$32*(1+Inputs!$E$51)^(Y$5-1)*1</f>
        <v>-8034</v>
      </c>
      <c r="Z27" s="59" t="n">
        <f aca="false">-Inputs!$E$31*52/12*Inputs!$E$32*(1+Inputs!$E$51)^(Z$5-1)*1</f>
        <v>-8034</v>
      </c>
      <c r="AA27" s="59" t="n">
        <f aca="false">-Inputs!$E$31*52/12*Inputs!$E$32*(1+Inputs!$E$51)^(AA$5-1)*1</f>
        <v>-8275.02</v>
      </c>
      <c r="AB27" s="59" t="n">
        <f aca="false">-Inputs!$E$31*52/12*Inputs!$E$32*(1+Inputs!$E$51)^(AB$5-1)*1</f>
        <v>-8275.02</v>
      </c>
      <c r="AC27" s="59" t="n">
        <f aca="false">-Inputs!$E$31*52/12*Inputs!$E$32*(1+Inputs!$E$51)^(AC$5-1)*1</f>
        <v>-8275.02</v>
      </c>
      <c r="AD27" s="59" t="n">
        <f aca="false">-Inputs!$E$31*52/12*Inputs!$E$32*(1+Inputs!$E$51)^(AD$5-1)*1</f>
        <v>-8275.02</v>
      </c>
      <c r="AE27" s="59" t="n">
        <f aca="false">-Inputs!$E$31*52/12*Inputs!$E$32*(1+Inputs!$E$51)^(AE$5-1)*1</f>
        <v>-8275.02</v>
      </c>
      <c r="AF27" s="59" t="n">
        <f aca="false">-Inputs!$E$31*52/12*Inputs!$E$32*(1+Inputs!$E$51)^(AF$5-1)*1</f>
        <v>-8275.02</v>
      </c>
      <c r="AG27" s="59" t="n">
        <f aca="false">-Inputs!$E$31*52/12*Inputs!$E$32*(1+Inputs!$E$51)^(AG$5-1)*1</f>
        <v>-8275.02</v>
      </c>
      <c r="AH27" s="59" t="n">
        <f aca="false">-Inputs!$E$31*52/12*Inputs!$E$32*(1+Inputs!$E$51)^(AH$5-1)*1</f>
        <v>-8275.02</v>
      </c>
      <c r="AI27" s="59" t="n">
        <f aca="false">-Inputs!$E$31*52/12*Inputs!$E$32*(1+Inputs!$E$51)^(AI$5-1)*1</f>
        <v>-8275.02</v>
      </c>
      <c r="AJ27" s="59" t="n">
        <f aca="false">-Inputs!$E$31*52/12*Inputs!$E$32*(1+Inputs!$E$51)^(AJ$5-1)*1</f>
        <v>-8275.02</v>
      </c>
      <c r="AK27" s="59" t="n">
        <f aca="false">-Inputs!$E$31*52/12*Inputs!$E$32*(1+Inputs!$E$51)^(AK$5-1)*1</f>
        <v>-8275.02</v>
      </c>
      <c r="AL27" s="59" t="n">
        <f aca="false">-Inputs!$E$31*52/12*Inputs!$E$32*(1+Inputs!$E$51)^(AL$5-1)*1</f>
        <v>-8275.02</v>
      </c>
      <c r="AM27" s="59" t="n">
        <f aca="false">-Inputs!$E$31*52/12*Inputs!$E$32*(1+Inputs!$E$51)^(AM$5-1)*1</f>
        <v>-8523.2706</v>
      </c>
      <c r="AN27" s="59" t="n">
        <f aca="false">-Inputs!$E$31*52/12*Inputs!$E$32*(1+Inputs!$E$51)^(AN$5-1)*1</f>
        <v>-8523.2706</v>
      </c>
      <c r="AO27" s="59" t="n">
        <f aca="false">-Inputs!$E$31*52/12*Inputs!$E$32*(1+Inputs!$E$51)^(AO$5-1)*1</f>
        <v>-8523.2706</v>
      </c>
      <c r="AP27" s="59" t="n">
        <f aca="false">-Inputs!$E$31*52/12*Inputs!$E$32*(1+Inputs!$E$51)^(AP$5-1)*1</f>
        <v>-8523.2706</v>
      </c>
      <c r="AQ27" s="59" t="n">
        <f aca="false">-Inputs!$E$31*52/12*Inputs!$E$32*(1+Inputs!$E$51)^(AQ$5-1)*1</f>
        <v>-8523.2706</v>
      </c>
      <c r="AR27" s="59" t="n">
        <f aca="false">-Inputs!$E$31*52/12*Inputs!$E$32*(1+Inputs!$E$51)^(AR$5-1)*1</f>
        <v>-8523.2706</v>
      </c>
      <c r="AS27" s="59" t="n">
        <f aca="false">-Inputs!$E$31*52/12*Inputs!$E$32*(1+Inputs!$E$51)^(AS$5-1)*1</f>
        <v>-8523.2706</v>
      </c>
      <c r="AT27" s="59" t="n">
        <f aca="false">-Inputs!$E$31*52/12*Inputs!$E$32*(1+Inputs!$E$51)^(AT$5-1)*1</f>
        <v>-8523.2706</v>
      </c>
      <c r="AU27" s="59" t="n">
        <f aca="false">-Inputs!$E$31*52/12*Inputs!$E$32*(1+Inputs!$E$51)^(AU$5-1)*1</f>
        <v>-8523.2706</v>
      </c>
      <c r="AV27" s="59" t="n">
        <f aca="false">-Inputs!$E$31*52/12*Inputs!$E$32*(1+Inputs!$E$51)^(AV$5-1)*1</f>
        <v>-8523.2706</v>
      </c>
      <c r="AW27" s="59" t="n">
        <f aca="false">-Inputs!$E$31*52/12*Inputs!$E$32*(1+Inputs!$E$51)^(AW$5-1)*1</f>
        <v>-8523.2706</v>
      </c>
      <c r="AX27" s="59" t="n">
        <f aca="false">-Inputs!$E$31*52/12*Inputs!$E$32*(1+Inputs!$E$51)^(AX$5-1)*1</f>
        <v>-8523.2706</v>
      </c>
      <c r="AY27" s="59" t="n">
        <f aca="false">-Inputs!$E$31*52/12*Inputs!$E$32*(1+Inputs!$E$51)^(AY$5-1)*1</f>
        <v>-8778.968718</v>
      </c>
      <c r="AZ27" s="59" t="n">
        <f aca="false">-Inputs!$E$31*52/12*Inputs!$E$32*(1+Inputs!$E$51)^(AZ$5-1)*1</f>
        <v>-8778.968718</v>
      </c>
      <c r="BA27" s="59" t="n">
        <f aca="false">-Inputs!$E$31*52/12*Inputs!$E$32*(1+Inputs!$E$51)^(BA$5-1)*1</f>
        <v>-8778.968718</v>
      </c>
      <c r="BB27" s="59" t="n">
        <f aca="false">-Inputs!$E$31*52/12*Inputs!$E$32*(1+Inputs!$E$51)^(BB$5-1)*1</f>
        <v>-8778.968718</v>
      </c>
      <c r="BC27" s="59" t="n">
        <f aca="false">-Inputs!$E$31*52/12*Inputs!$E$32*(1+Inputs!$E$51)^(BC$5-1)*1</f>
        <v>-8778.968718</v>
      </c>
      <c r="BD27" s="59" t="n">
        <f aca="false">-Inputs!$E$31*52/12*Inputs!$E$32*(1+Inputs!$E$51)^(BD$5-1)*1</f>
        <v>-8778.968718</v>
      </c>
      <c r="BE27" s="59" t="n">
        <f aca="false">-Inputs!$E$31*52/12*Inputs!$E$32*(1+Inputs!$E$51)^(BE$5-1)*1</f>
        <v>-8778.968718</v>
      </c>
      <c r="BF27" s="59" t="n">
        <f aca="false">-Inputs!$E$31*52/12*Inputs!$E$32*(1+Inputs!$E$51)^(BF$5-1)*1</f>
        <v>-8778.968718</v>
      </c>
      <c r="BG27" s="59" t="n">
        <f aca="false">-Inputs!$E$31*52/12*Inputs!$E$32*(1+Inputs!$E$51)^(BG$5-1)*1</f>
        <v>-8778.968718</v>
      </c>
      <c r="BH27" s="59" t="n">
        <f aca="false">-Inputs!$E$31*52/12*Inputs!$E$32*(1+Inputs!$E$51)^(BH$5-1)*1</f>
        <v>-8778.968718</v>
      </c>
      <c r="BI27" s="59" t="n">
        <f aca="false">-Inputs!$E$31*52/12*Inputs!$E$32*(1+Inputs!$E$51)^(BI$5-1)*1</f>
        <v>-8778.968718</v>
      </c>
      <c r="BJ27" s="59" t="n">
        <f aca="false">-Inputs!$E$31*52/12*Inputs!$E$32*(1+Inputs!$E$51)^(BJ$5-1)*1</f>
        <v>-8778.968718</v>
      </c>
    </row>
    <row r="28" customFormat="false" ht="15" hidden="false" customHeight="false" outlineLevel="0" collapsed="false">
      <c r="A28" s="6" t="s">
        <v>340</v>
      </c>
      <c r="C28" s="59" t="n">
        <f aca="false">-C22*Inputs!$E$26</f>
        <v>-1281.6</v>
      </c>
      <c r="D28" s="59" t="n">
        <f aca="false">-D22*Inputs!$E$26</f>
        <v>-1533.024</v>
      </c>
      <c r="E28" s="59" t="n">
        <f aca="false">-E22*Inputs!$E$26</f>
        <v>-1769.36256</v>
      </c>
      <c r="F28" s="59" t="n">
        <f aca="false">-F22*Inputs!$E$26</f>
        <v>-1991.5208064</v>
      </c>
      <c r="G28" s="59" t="n">
        <f aca="false">-G22*Inputs!$E$26</f>
        <v>-2200.349558016</v>
      </c>
      <c r="H28" s="59" t="n">
        <f aca="false">-H22*Inputs!$E$26</f>
        <v>-2396.64858453504</v>
      </c>
      <c r="I28" s="59" t="n">
        <f aca="false">-I22*Inputs!$E$26</f>
        <v>-2581.16966946294</v>
      </c>
      <c r="J28" s="59" t="n">
        <f aca="false">-J22*Inputs!$E$26</f>
        <v>-2754.61948929516</v>
      </c>
      <c r="K28" s="59" t="n">
        <f aca="false">-K22*Inputs!$E$26</f>
        <v>-2917.66231993745</v>
      </c>
      <c r="L28" s="59" t="n">
        <f aca="false">-L22*Inputs!$E$26</f>
        <v>-3070.9225807412</v>
      </c>
      <c r="M28" s="59" t="n">
        <f aca="false">-M22*Inputs!$E$26</f>
        <v>-3214.98722589673</v>
      </c>
      <c r="N28" s="59" t="n">
        <f aca="false">-N22*Inputs!$E$26</f>
        <v>-3350.40799234293</v>
      </c>
      <c r="O28" s="59" t="n">
        <f aca="false">-O22*Inputs!$E$26</f>
        <v>-3594.19685818642</v>
      </c>
      <c r="P28" s="59" t="n">
        <f aca="false">-P22*Inputs!$E$26</f>
        <v>-3741.03912669524</v>
      </c>
      <c r="Q28" s="59" t="n">
        <f aca="false">-Q22*Inputs!$E$26</f>
        <v>-3879.07085909352</v>
      </c>
      <c r="R28" s="59" t="n">
        <f aca="false">-R22*Inputs!$E$26</f>
        <v>-4008.82068754791</v>
      </c>
      <c r="S28" s="59" t="n">
        <f aca="false">-S22*Inputs!$E$26</f>
        <v>-4130.78552629504</v>
      </c>
      <c r="T28" s="59" t="n">
        <f aca="false">-T22*Inputs!$E$26</f>
        <v>-4245.43247471733</v>
      </c>
      <c r="U28" s="59" t="n">
        <f aca="false">-U22*Inputs!$E$26</f>
        <v>-4353.20060623429</v>
      </c>
      <c r="V28" s="59" t="n">
        <f aca="false">-V22*Inputs!$E$26</f>
        <v>-4427.50907724754</v>
      </c>
      <c r="W28" s="59" t="n">
        <f aca="false">-W22*Inputs!$E$26</f>
        <v>-4449.6</v>
      </c>
      <c r="X28" s="59" t="n">
        <f aca="false">-X22*Inputs!$E$26</f>
        <v>-4449.6</v>
      </c>
      <c r="Y28" s="59" t="n">
        <f aca="false">-Y22*Inputs!$E$26</f>
        <v>-4449.6</v>
      </c>
      <c r="Z28" s="59" t="n">
        <f aca="false">-Z22*Inputs!$E$26</f>
        <v>-4449.6</v>
      </c>
      <c r="AA28" s="59" t="n">
        <f aca="false">-AA22*Inputs!$E$26</f>
        <v>-4583.088</v>
      </c>
      <c r="AB28" s="59" t="n">
        <f aca="false">-AB22*Inputs!$E$26</f>
        <v>-4583.088</v>
      </c>
      <c r="AC28" s="59" t="n">
        <f aca="false">-AC22*Inputs!$E$26</f>
        <v>-4583.088</v>
      </c>
      <c r="AD28" s="59" t="n">
        <f aca="false">-AD22*Inputs!$E$26</f>
        <v>-4583.088</v>
      </c>
      <c r="AE28" s="59" t="n">
        <f aca="false">-AE22*Inputs!$E$26</f>
        <v>-4583.088</v>
      </c>
      <c r="AF28" s="59" t="n">
        <f aca="false">-AF22*Inputs!$E$26</f>
        <v>-4583.088</v>
      </c>
      <c r="AG28" s="59" t="n">
        <f aca="false">-AG22*Inputs!$E$26</f>
        <v>-4583.088</v>
      </c>
      <c r="AH28" s="59" t="n">
        <f aca="false">-AH22*Inputs!$E$26</f>
        <v>-4583.088</v>
      </c>
      <c r="AI28" s="59" t="n">
        <f aca="false">-AI22*Inputs!$E$26</f>
        <v>-4583.088</v>
      </c>
      <c r="AJ28" s="59" t="n">
        <f aca="false">-AJ22*Inputs!$E$26</f>
        <v>-4583.088</v>
      </c>
      <c r="AK28" s="59" t="n">
        <f aca="false">-AK22*Inputs!$E$26</f>
        <v>-4583.088</v>
      </c>
      <c r="AL28" s="59" t="n">
        <f aca="false">-AL22*Inputs!$E$26</f>
        <v>-4583.088</v>
      </c>
      <c r="AM28" s="59" t="n">
        <f aca="false">-AM22*Inputs!$E$26</f>
        <v>-4720.58064</v>
      </c>
      <c r="AN28" s="59" t="n">
        <f aca="false">-AN22*Inputs!$E$26</f>
        <v>-4720.58064</v>
      </c>
      <c r="AO28" s="59" t="n">
        <f aca="false">-AO22*Inputs!$E$26</f>
        <v>-4720.58064</v>
      </c>
      <c r="AP28" s="59" t="n">
        <f aca="false">-AP22*Inputs!$E$26</f>
        <v>-4720.58064</v>
      </c>
      <c r="AQ28" s="59" t="n">
        <f aca="false">-AQ22*Inputs!$E$26</f>
        <v>-4720.58064</v>
      </c>
      <c r="AR28" s="59" t="n">
        <f aca="false">-AR22*Inputs!$E$26</f>
        <v>-4720.58064</v>
      </c>
      <c r="AS28" s="59" t="n">
        <f aca="false">-AS22*Inputs!$E$26</f>
        <v>-4720.58064</v>
      </c>
      <c r="AT28" s="59" t="n">
        <f aca="false">-AT22*Inputs!$E$26</f>
        <v>-4720.58064</v>
      </c>
      <c r="AU28" s="59" t="n">
        <f aca="false">-AU22*Inputs!$E$26</f>
        <v>-4720.58064</v>
      </c>
      <c r="AV28" s="59" t="n">
        <f aca="false">-AV22*Inputs!$E$26</f>
        <v>-4720.58064</v>
      </c>
      <c r="AW28" s="59" t="n">
        <f aca="false">-AW22*Inputs!$E$26</f>
        <v>-4720.58064</v>
      </c>
      <c r="AX28" s="59" t="n">
        <f aca="false">-AX22*Inputs!$E$26</f>
        <v>-4720.58064</v>
      </c>
      <c r="AY28" s="59" t="n">
        <f aca="false">-AY22*Inputs!$E$26</f>
        <v>-4862.1980592</v>
      </c>
      <c r="AZ28" s="59" t="n">
        <f aca="false">-AZ22*Inputs!$E$26</f>
        <v>-4862.1980592</v>
      </c>
      <c r="BA28" s="59" t="n">
        <f aca="false">-BA22*Inputs!$E$26</f>
        <v>-4862.1980592</v>
      </c>
      <c r="BB28" s="59" t="n">
        <f aca="false">-BB22*Inputs!$E$26</f>
        <v>-4862.1980592</v>
      </c>
      <c r="BC28" s="59" t="n">
        <f aca="false">-BC22*Inputs!$E$26</f>
        <v>-4862.1980592</v>
      </c>
      <c r="BD28" s="59" t="n">
        <f aca="false">-BD22*Inputs!$E$26</f>
        <v>-4862.1980592</v>
      </c>
      <c r="BE28" s="59" t="n">
        <f aca="false">-BE22*Inputs!$E$26</f>
        <v>-4862.1980592</v>
      </c>
      <c r="BF28" s="59" t="n">
        <f aca="false">-BF22*Inputs!$E$26</f>
        <v>-4862.1980592</v>
      </c>
      <c r="BG28" s="59" t="n">
        <f aca="false">-BG22*Inputs!$E$26</f>
        <v>-4862.1980592</v>
      </c>
      <c r="BH28" s="59" t="n">
        <f aca="false">-BH22*Inputs!$E$26</f>
        <v>-4862.1980592</v>
      </c>
      <c r="BI28" s="59" t="n">
        <f aca="false">-BI22*Inputs!$E$26</f>
        <v>-4862.1980592</v>
      </c>
      <c r="BJ28" s="59" t="n">
        <f aca="false">-BJ22*Inputs!$E$26</f>
        <v>-4862.1980592</v>
      </c>
    </row>
    <row r="29" customFormat="false" ht="15" hidden="false" customHeight="false" outlineLevel="0" collapsed="false">
      <c r="A29" s="6" t="s">
        <v>341</v>
      </c>
      <c r="C29" s="59" t="n">
        <f aca="false">-C23*Inputs!$E$28</f>
        <v>-333.75</v>
      </c>
      <c r="D29" s="59" t="n">
        <f aca="false">-D23*Inputs!$E$28</f>
        <v>-399.225</v>
      </c>
      <c r="E29" s="59" t="n">
        <f aca="false">-E23*Inputs!$E$28</f>
        <v>-460.7715</v>
      </c>
      <c r="F29" s="59" t="n">
        <f aca="false">-F23*Inputs!$E$28</f>
        <v>-518.62521</v>
      </c>
      <c r="G29" s="59" t="n">
        <f aca="false">-G23*Inputs!$E$28</f>
        <v>-573.0076974</v>
      </c>
      <c r="H29" s="59" t="n">
        <f aca="false">-H23*Inputs!$E$28</f>
        <v>-624.127235556</v>
      </c>
      <c r="I29" s="59" t="n">
        <f aca="false">-I23*Inputs!$E$28</f>
        <v>-672.17960142264</v>
      </c>
      <c r="J29" s="59" t="n">
        <f aca="false">-J23*Inputs!$E$28</f>
        <v>-717.348825337281</v>
      </c>
      <c r="K29" s="59" t="n">
        <f aca="false">-K23*Inputs!$E$28</f>
        <v>-759.807895817045</v>
      </c>
      <c r="L29" s="59" t="n">
        <f aca="false">-L23*Inputs!$E$28</f>
        <v>-799.719422068022</v>
      </c>
      <c r="M29" s="59" t="n">
        <f aca="false">-M23*Inputs!$E$28</f>
        <v>-837.23625674394</v>
      </c>
      <c r="N29" s="59" t="n">
        <f aca="false">-N23*Inputs!$E$28</f>
        <v>-872.502081339304</v>
      </c>
      <c r="O29" s="59" t="n">
        <f aca="false">-O23*Inputs!$E$28</f>
        <v>-935.988765152714</v>
      </c>
      <c r="P29" s="59" t="n">
        <f aca="false">-P23*Inputs!$E$28</f>
        <v>-974.228939243551</v>
      </c>
      <c r="Q29" s="59" t="n">
        <f aca="false">-Q23*Inputs!$E$28</f>
        <v>-1010.17470288894</v>
      </c>
      <c r="R29" s="59" t="n">
        <f aca="false">-R23*Inputs!$E$28</f>
        <v>-1043.9637207156</v>
      </c>
      <c r="S29" s="59" t="n">
        <f aca="false">-S23*Inputs!$E$28</f>
        <v>-1075.72539747267</v>
      </c>
      <c r="T29" s="59" t="n">
        <f aca="false">-T23*Inputs!$E$28</f>
        <v>-1105.58137362431</v>
      </c>
      <c r="U29" s="59" t="n">
        <f aca="false">-U23*Inputs!$E$28</f>
        <v>-1133.64599120685</v>
      </c>
      <c r="V29" s="59" t="n">
        <f aca="false">-V23*Inputs!$E$28</f>
        <v>-1152.99715553321</v>
      </c>
      <c r="W29" s="59" t="n">
        <f aca="false">-W23*Inputs!$E$28</f>
        <v>-1158.75</v>
      </c>
      <c r="X29" s="59" t="n">
        <f aca="false">-X23*Inputs!$E$28</f>
        <v>-1158.75</v>
      </c>
      <c r="Y29" s="59" t="n">
        <f aca="false">-Y23*Inputs!$E$28</f>
        <v>-1158.75</v>
      </c>
      <c r="Z29" s="59" t="n">
        <f aca="false">-Z23*Inputs!$E$28</f>
        <v>-1158.75</v>
      </c>
      <c r="AA29" s="59" t="n">
        <f aca="false">-AA23*Inputs!$E$28</f>
        <v>-1193.5125</v>
      </c>
      <c r="AB29" s="59" t="n">
        <f aca="false">-AB23*Inputs!$E$28</f>
        <v>-1193.5125</v>
      </c>
      <c r="AC29" s="59" t="n">
        <f aca="false">-AC23*Inputs!$E$28</f>
        <v>-1193.5125</v>
      </c>
      <c r="AD29" s="59" t="n">
        <f aca="false">-AD23*Inputs!$E$28</f>
        <v>-1193.5125</v>
      </c>
      <c r="AE29" s="59" t="n">
        <f aca="false">-AE23*Inputs!$E$28</f>
        <v>-1193.5125</v>
      </c>
      <c r="AF29" s="59" t="n">
        <f aca="false">-AF23*Inputs!$E$28</f>
        <v>-1193.5125</v>
      </c>
      <c r="AG29" s="59" t="n">
        <f aca="false">-AG23*Inputs!$E$28</f>
        <v>-1193.5125</v>
      </c>
      <c r="AH29" s="59" t="n">
        <f aca="false">-AH23*Inputs!$E$28</f>
        <v>-1193.5125</v>
      </c>
      <c r="AI29" s="59" t="n">
        <f aca="false">-AI23*Inputs!$E$28</f>
        <v>-1193.5125</v>
      </c>
      <c r="AJ29" s="59" t="n">
        <f aca="false">-AJ23*Inputs!$E$28</f>
        <v>-1193.5125</v>
      </c>
      <c r="AK29" s="59" t="n">
        <f aca="false">-AK23*Inputs!$E$28</f>
        <v>-1193.5125</v>
      </c>
      <c r="AL29" s="59" t="n">
        <f aca="false">-AL23*Inputs!$E$28</f>
        <v>-1193.5125</v>
      </c>
      <c r="AM29" s="59" t="n">
        <f aca="false">-AM23*Inputs!$E$28</f>
        <v>-1229.317875</v>
      </c>
      <c r="AN29" s="59" t="n">
        <f aca="false">-AN23*Inputs!$E$28</f>
        <v>-1229.317875</v>
      </c>
      <c r="AO29" s="59" t="n">
        <f aca="false">-AO23*Inputs!$E$28</f>
        <v>-1229.317875</v>
      </c>
      <c r="AP29" s="59" t="n">
        <f aca="false">-AP23*Inputs!$E$28</f>
        <v>-1229.317875</v>
      </c>
      <c r="AQ29" s="59" t="n">
        <f aca="false">-AQ23*Inputs!$E$28</f>
        <v>-1229.317875</v>
      </c>
      <c r="AR29" s="59" t="n">
        <f aca="false">-AR23*Inputs!$E$28</f>
        <v>-1229.317875</v>
      </c>
      <c r="AS29" s="59" t="n">
        <f aca="false">-AS23*Inputs!$E$28</f>
        <v>-1229.317875</v>
      </c>
      <c r="AT29" s="59" t="n">
        <f aca="false">-AT23*Inputs!$E$28</f>
        <v>-1229.317875</v>
      </c>
      <c r="AU29" s="59" t="n">
        <f aca="false">-AU23*Inputs!$E$28</f>
        <v>-1229.317875</v>
      </c>
      <c r="AV29" s="59" t="n">
        <f aca="false">-AV23*Inputs!$E$28</f>
        <v>-1229.317875</v>
      </c>
      <c r="AW29" s="59" t="n">
        <f aca="false">-AW23*Inputs!$E$28</f>
        <v>-1229.317875</v>
      </c>
      <c r="AX29" s="59" t="n">
        <f aca="false">-AX23*Inputs!$E$28</f>
        <v>-1229.317875</v>
      </c>
      <c r="AY29" s="59" t="n">
        <f aca="false">-AY23*Inputs!$E$28</f>
        <v>-1266.19741125</v>
      </c>
      <c r="AZ29" s="59" t="n">
        <f aca="false">-AZ23*Inputs!$E$28</f>
        <v>-1266.19741125</v>
      </c>
      <c r="BA29" s="59" t="n">
        <f aca="false">-BA23*Inputs!$E$28</f>
        <v>-1266.19741125</v>
      </c>
      <c r="BB29" s="59" t="n">
        <f aca="false">-BB23*Inputs!$E$28</f>
        <v>-1266.19741125</v>
      </c>
      <c r="BC29" s="59" t="n">
        <f aca="false">-BC23*Inputs!$E$28</f>
        <v>-1266.19741125</v>
      </c>
      <c r="BD29" s="59" t="n">
        <f aca="false">-BD23*Inputs!$E$28</f>
        <v>-1266.19741125</v>
      </c>
      <c r="BE29" s="59" t="n">
        <f aca="false">-BE23*Inputs!$E$28</f>
        <v>-1266.19741125</v>
      </c>
      <c r="BF29" s="59" t="n">
        <f aca="false">-BF23*Inputs!$E$28</f>
        <v>-1266.19741125</v>
      </c>
      <c r="BG29" s="59" t="n">
        <f aca="false">-BG23*Inputs!$E$28</f>
        <v>-1266.19741125</v>
      </c>
      <c r="BH29" s="59" t="n">
        <f aca="false">-BH23*Inputs!$E$28</f>
        <v>-1266.19741125</v>
      </c>
      <c r="BI29" s="59" t="n">
        <f aca="false">-BI23*Inputs!$E$28</f>
        <v>-1266.19741125</v>
      </c>
      <c r="BJ29" s="59" t="n">
        <f aca="false">-BJ23*Inputs!$E$28</f>
        <v>-1266.19741125</v>
      </c>
    </row>
    <row r="30" customFormat="false" ht="15" hidden="false" customHeight="false" outlineLevel="0" collapsed="false">
      <c r="A30" s="4" t="s">
        <v>92</v>
      </c>
      <c r="C30" s="64" t="n">
        <f aca="false">C27+C28+C29</f>
        <v>-9415.35</v>
      </c>
      <c r="D30" s="64" t="n">
        <f aca="false">D27+D28+D29</f>
        <v>-9732.249</v>
      </c>
      <c r="E30" s="64" t="n">
        <f aca="false">E27+E28+E29</f>
        <v>-10030.13406</v>
      </c>
      <c r="F30" s="64" t="n">
        <f aca="false">F27+F28+F29</f>
        <v>-10310.1460164</v>
      </c>
      <c r="G30" s="64" t="n">
        <f aca="false">G27+G28+G29</f>
        <v>-10573.357255416</v>
      </c>
      <c r="H30" s="64" t="n">
        <f aca="false">H27+H28+H29</f>
        <v>-10820.775820091</v>
      </c>
      <c r="I30" s="64" t="n">
        <f aca="false">I27+I28+I29</f>
        <v>-11053.3492708856</v>
      </c>
      <c r="J30" s="64" t="n">
        <f aca="false">J27+J28+J29</f>
        <v>-11271.9683146324</v>
      </c>
      <c r="K30" s="64" t="n">
        <f aca="false">K27+K28+K29</f>
        <v>-11477.4702157545</v>
      </c>
      <c r="L30" s="64" t="n">
        <f aca="false">L27+L28+L29</f>
        <v>-11670.6420028092</v>
      </c>
      <c r="M30" s="64" t="n">
        <f aca="false">M27+M28+M29</f>
        <v>-11852.2234826407</v>
      </c>
      <c r="N30" s="64" t="n">
        <f aca="false">N27+N28+N29</f>
        <v>-12022.9100736822</v>
      </c>
      <c r="O30" s="64" t="n">
        <f aca="false">O27+O28+O29</f>
        <v>-12564.1856233391</v>
      </c>
      <c r="P30" s="64" t="n">
        <f aca="false">P27+P28+P29</f>
        <v>-12749.2680659388</v>
      </c>
      <c r="Q30" s="64" t="n">
        <f aca="false">Q27+Q28+Q29</f>
        <v>-12923.2455619825</v>
      </c>
      <c r="R30" s="64" t="n">
        <f aca="false">R27+R28+R29</f>
        <v>-13086.7844082635</v>
      </c>
      <c r="S30" s="64" t="n">
        <f aca="false">S27+S28+S29</f>
        <v>-13240.5109237677</v>
      </c>
      <c r="T30" s="64" t="n">
        <f aca="false">T27+T28+T29</f>
        <v>-13385.0138483416</v>
      </c>
      <c r="U30" s="64" t="n">
        <f aca="false">U27+U28+U29</f>
        <v>-13520.8465974411</v>
      </c>
      <c r="V30" s="64" t="n">
        <f aca="false">V27+V28+V29</f>
        <v>-13614.5062327808</v>
      </c>
      <c r="W30" s="64" t="n">
        <f aca="false">W27+W28+W29</f>
        <v>-13642.35</v>
      </c>
      <c r="X30" s="64" t="n">
        <f aca="false">X27+X28+X29</f>
        <v>-13642.35</v>
      </c>
      <c r="Y30" s="64" t="n">
        <f aca="false">Y27+Y28+Y29</f>
        <v>-13642.35</v>
      </c>
      <c r="Z30" s="64" t="n">
        <f aca="false">Z27+Z28+Z29</f>
        <v>-13642.35</v>
      </c>
      <c r="AA30" s="64" t="n">
        <f aca="false">AA27+AA28+AA29</f>
        <v>-14051.6205</v>
      </c>
      <c r="AB30" s="64" t="n">
        <f aca="false">AB27+AB28+AB29</f>
        <v>-14051.6205</v>
      </c>
      <c r="AC30" s="64" t="n">
        <f aca="false">AC27+AC28+AC29</f>
        <v>-14051.6205</v>
      </c>
      <c r="AD30" s="64" t="n">
        <f aca="false">AD27+AD28+AD29</f>
        <v>-14051.6205</v>
      </c>
      <c r="AE30" s="64" t="n">
        <f aca="false">AE27+AE28+AE29</f>
        <v>-14051.6205</v>
      </c>
      <c r="AF30" s="64" t="n">
        <f aca="false">AF27+AF28+AF29</f>
        <v>-14051.6205</v>
      </c>
      <c r="AG30" s="64" t="n">
        <f aca="false">AG27+AG28+AG29</f>
        <v>-14051.6205</v>
      </c>
      <c r="AH30" s="64" t="n">
        <f aca="false">AH27+AH28+AH29</f>
        <v>-14051.6205</v>
      </c>
      <c r="AI30" s="64" t="n">
        <f aca="false">AI27+AI28+AI29</f>
        <v>-14051.6205</v>
      </c>
      <c r="AJ30" s="64" t="n">
        <f aca="false">AJ27+AJ28+AJ29</f>
        <v>-14051.6205</v>
      </c>
      <c r="AK30" s="64" t="n">
        <f aca="false">AK27+AK28+AK29</f>
        <v>-14051.6205</v>
      </c>
      <c r="AL30" s="64" t="n">
        <f aca="false">AL27+AL28+AL29</f>
        <v>-14051.6205</v>
      </c>
      <c r="AM30" s="64" t="n">
        <f aca="false">AM27+AM28+AM29</f>
        <v>-14473.169115</v>
      </c>
      <c r="AN30" s="64" t="n">
        <f aca="false">AN27+AN28+AN29</f>
        <v>-14473.169115</v>
      </c>
      <c r="AO30" s="64" t="n">
        <f aca="false">AO27+AO28+AO29</f>
        <v>-14473.169115</v>
      </c>
      <c r="AP30" s="64" t="n">
        <f aca="false">AP27+AP28+AP29</f>
        <v>-14473.169115</v>
      </c>
      <c r="AQ30" s="64" t="n">
        <f aca="false">AQ27+AQ28+AQ29</f>
        <v>-14473.169115</v>
      </c>
      <c r="AR30" s="64" t="n">
        <f aca="false">AR27+AR28+AR29</f>
        <v>-14473.169115</v>
      </c>
      <c r="AS30" s="64" t="n">
        <f aca="false">AS27+AS28+AS29</f>
        <v>-14473.169115</v>
      </c>
      <c r="AT30" s="64" t="n">
        <f aca="false">AT27+AT28+AT29</f>
        <v>-14473.169115</v>
      </c>
      <c r="AU30" s="64" t="n">
        <f aca="false">AU27+AU28+AU29</f>
        <v>-14473.169115</v>
      </c>
      <c r="AV30" s="64" t="n">
        <f aca="false">AV27+AV28+AV29</f>
        <v>-14473.169115</v>
      </c>
      <c r="AW30" s="64" t="n">
        <f aca="false">AW27+AW28+AW29</f>
        <v>-14473.169115</v>
      </c>
      <c r="AX30" s="64" t="n">
        <f aca="false">AX27+AX28+AX29</f>
        <v>-14473.169115</v>
      </c>
      <c r="AY30" s="64" t="n">
        <f aca="false">AY27+AY28+AY29</f>
        <v>-14907.36418845</v>
      </c>
      <c r="AZ30" s="64" t="n">
        <f aca="false">AZ27+AZ28+AZ29</f>
        <v>-14907.36418845</v>
      </c>
      <c r="BA30" s="64" t="n">
        <f aca="false">BA27+BA28+BA29</f>
        <v>-14907.36418845</v>
      </c>
      <c r="BB30" s="64" t="n">
        <f aca="false">BB27+BB28+BB29</f>
        <v>-14907.36418845</v>
      </c>
      <c r="BC30" s="64" t="n">
        <f aca="false">BC27+BC28+BC29</f>
        <v>-14907.36418845</v>
      </c>
      <c r="BD30" s="64" t="n">
        <f aca="false">BD27+BD28+BD29</f>
        <v>-14907.36418845</v>
      </c>
      <c r="BE30" s="64" t="n">
        <f aca="false">BE27+BE28+BE29</f>
        <v>-14907.36418845</v>
      </c>
      <c r="BF30" s="64" t="n">
        <f aca="false">BF27+BF28+BF29</f>
        <v>-14907.36418845</v>
      </c>
      <c r="BG30" s="64" t="n">
        <f aca="false">BG27+BG28+BG29</f>
        <v>-14907.36418845</v>
      </c>
      <c r="BH30" s="64" t="n">
        <f aca="false">BH27+BH28+BH29</f>
        <v>-14907.36418845</v>
      </c>
      <c r="BI30" s="64" t="n">
        <f aca="false">BI27+BI28+BI29</f>
        <v>-14907.36418845</v>
      </c>
      <c r="BJ30" s="64" t="n">
        <f aca="false">BJ27+BJ28+BJ29</f>
        <v>-14907.36418845</v>
      </c>
    </row>
    <row r="31" customFormat="false" ht="15" hidden="false" customHeight="false" outlineLevel="0" collapsed="false">
      <c r="A31" s="83" t="s">
        <v>41</v>
      </c>
      <c r="C31" s="60" t="n">
        <f aca="false">C24+C30</f>
        <v>8707.65</v>
      </c>
      <c r="D31" s="60" t="n">
        <f aca="false">D24+D30</f>
        <v>11617.359</v>
      </c>
      <c r="E31" s="60" t="n">
        <f aca="false">E24+E30</f>
        <v>14352.48546</v>
      </c>
      <c r="F31" s="60" t="n">
        <f aca="false">F24+F30</f>
        <v>16923.5043324</v>
      </c>
      <c r="G31" s="60" t="n">
        <f aca="false">G24+G30</f>
        <v>19340.262072456</v>
      </c>
      <c r="H31" s="60" t="n">
        <f aca="false">H24+H30</f>
        <v>21612.0143481086</v>
      </c>
      <c r="I31" s="60" t="n">
        <f aca="false">I24+I30</f>
        <v>23747.4614872221</v>
      </c>
      <c r="J31" s="60" t="n">
        <f aca="false">J24+J30</f>
        <v>25754.7817979888</v>
      </c>
      <c r="K31" s="60" t="n">
        <f aca="false">K24+K30</f>
        <v>27641.6628901095</v>
      </c>
      <c r="L31" s="60" t="n">
        <f aca="false">L24+L30</f>
        <v>29415.3311167029</v>
      </c>
      <c r="M31" s="60" t="n">
        <f aca="false">M24+M30</f>
        <v>31082.5792497007</v>
      </c>
      <c r="N31" s="60" t="n">
        <f aca="false">N24+N30</f>
        <v>32649.7924947187</v>
      </c>
      <c r="O31" s="60" t="n">
        <f aca="false">O24+O30</f>
        <v>35411.5709233866</v>
      </c>
      <c r="P31" s="60" t="n">
        <f aca="false">P24+P30</f>
        <v>37110.9642599834</v>
      </c>
      <c r="Q31" s="60" t="n">
        <f aca="false">Q24+Q30</f>
        <v>38708.3939963844</v>
      </c>
      <c r="R31" s="60" t="n">
        <f aca="false">R24+R30</f>
        <v>40209.9779486013</v>
      </c>
      <c r="S31" s="60" t="n">
        <f aca="false">S24+S30</f>
        <v>41621.4668636853</v>
      </c>
      <c r="T31" s="60" t="n">
        <f aca="false">T24+T30</f>
        <v>42948.2664438641</v>
      </c>
      <c r="U31" s="60" t="n">
        <f aca="false">U24+U30</f>
        <v>44195.4580492323</v>
      </c>
      <c r="V31" s="60" t="n">
        <f aca="false">V24+V30</f>
        <v>44779.8644048082</v>
      </c>
      <c r="W31" s="60" t="n">
        <f aca="false">W24+W30</f>
        <v>44823.54</v>
      </c>
      <c r="X31" s="60" t="n">
        <f aca="false">X24+X30</f>
        <v>44823.54</v>
      </c>
      <c r="Y31" s="60" t="n">
        <f aca="false">Y24+Y30</f>
        <v>44823.54</v>
      </c>
      <c r="Z31" s="60" t="n">
        <f aca="false">Z24+Z30</f>
        <v>44823.54</v>
      </c>
      <c r="AA31" s="60" t="n">
        <f aca="false">AA24+AA30</f>
        <v>46168.2462</v>
      </c>
      <c r="AB31" s="60" t="n">
        <f aca="false">AB24+AB30</f>
        <v>46168.2462</v>
      </c>
      <c r="AC31" s="60" t="n">
        <f aca="false">AC24+AC30</f>
        <v>46168.2462</v>
      </c>
      <c r="AD31" s="60" t="n">
        <f aca="false">AD24+AD30</f>
        <v>46168.2462</v>
      </c>
      <c r="AE31" s="60" t="n">
        <f aca="false">AE24+AE30</f>
        <v>46168.2462</v>
      </c>
      <c r="AF31" s="60" t="n">
        <f aca="false">AF24+AF30</f>
        <v>46168.2462</v>
      </c>
      <c r="AG31" s="60" t="n">
        <f aca="false">AG24+AG30</f>
        <v>46168.2462</v>
      </c>
      <c r="AH31" s="60" t="n">
        <f aca="false">AH24+AH30</f>
        <v>46168.2462</v>
      </c>
      <c r="AI31" s="60" t="n">
        <f aca="false">AI24+AI30</f>
        <v>46168.2462</v>
      </c>
      <c r="AJ31" s="60" t="n">
        <f aca="false">AJ24+AJ30</f>
        <v>46168.2462</v>
      </c>
      <c r="AK31" s="60" t="n">
        <f aca="false">AK24+AK30</f>
        <v>46168.2462</v>
      </c>
      <c r="AL31" s="60" t="n">
        <f aca="false">AL24+AL30</f>
        <v>46168.2462</v>
      </c>
      <c r="AM31" s="60" t="n">
        <f aca="false">AM24+AM30</f>
        <v>47553.293586</v>
      </c>
      <c r="AN31" s="60" t="n">
        <f aca="false">AN24+AN30</f>
        <v>47553.293586</v>
      </c>
      <c r="AO31" s="60" t="n">
        <f aca="false">AO24+AO30</f>
        <v>47553.293586</v>
      </c>
      <c r="AP31" s="60" t="n">
        <f aca="false">AP24+AP30</f>
        <v>47553.293586</v>
      </c>
      <c r="AQ31" s="60" t="n">
        <f aca="false">AQ24+AQ30</f>
        <v>47553.293586</v>
      </c>
      <c r="AR31" s="60" t="n">
        <f aca="false">AR24+AR30</f>
        <v>47553.293586</v>
      </c>
      <c r="AS31" s="60" t="n">
        <f aca="false">AS24+AS30</f>
        <v>47553.293586</v>
      </c>
      <c r="AT31" s="60" t="n">
        <f aca="false">AT24+AT30</f>
        <v>47553.293586</v>
      </c>
      <c r="AU31" s="60" t="n">
        <f aca="false">AU24+AU30</f>
        <v>47553.293586</v>
      </c>
      <c r="AV31" s="60" t="n">
        <f aca="false">AV24+AV30</f>
        <v>47553.293586</v>
      </c>
      <c r="AW31" s="60" t="n">
        <f aca="false">AW24+AW30</f>
        <v>47553.293586</v>
      </c>
      <c r="AX31" s="60" t="n">
        <f aca="false">AX24+AX30</f>
        <v>47553.293586</v>
      </c>
      <c r="AY31" s="60" t="n">
        <f aca="false">AY24+AY30</f>
        <v>48979.89239358</v>
      </c>
      <c r="AZ31" s="60" t="n">
        <f aca="false">AZ24+AZ30</f>
        <v>48979.89239358</v>
      </c>
      <c r="BA31" s="60" t="n">
        <f aca="false">BA24+BA30</f>
        <v>48979.89239358</v>
      </c>
      <c r="BB31" s="60" t="n">
        <f aca="false">BB24+BB30</f>
        <v>48979.89239358</v>
      </c>
      <c r="BC31" s="60" t="n">
        <f aca="false">BC24+BC30</f>
        <v>48979.89239358</v>
      </c>
      <c r="BD31" s="60" t="n">
        <f aca="false">BD24+BD30</f>
        <v>48979.89239358</v>
      </c>
      <c r="BE31" s="60" t="n">
        <f aca="false">BE24+BE30</f>
        <v>48979.89239358</v>
      </c>
      <c r="BF31" s="60" t="n">
        <f aca="false">BF24+BF30</f>
        <v>48979.89239358</v>
      </c>
      <c r="BG31" s="60" t="n">
        <f aca="false">BG24+BG30</f>
        <v>48979.89239358</v>
      </c>
      <c r="BH31" s="60" t="n">
        <f aca="false">BH24+BH30</f>
        <v>48979.89239358</v>
      </c>
      <c r="BI31" s="60" t="n">
        <f aca="false">BI24+BI30</f>
        <v>48979.89239358</v>
      </c>
      <c r="BJ31" s="60" t="n">
        <f aca="false">BJ24+BJ30</f>
        <v>48979.89239358</v>
      </c>
    </row>
    <row r="33" customFormat="false" ht="15.75" hidden="false" customHeight="true" outlineLevel="0" collapsed="false">
      <c r="A33" s="7" t="s">
        <v>43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252</v>
      </c>
      <c r="C34" s="61" t="n">
        <f aca="false">Headcount!C15</f>
        <v>-13841.6666666667</v>
      </c>
      <c r="D34" s="61" t="n">
        <f aca="false">Headcount!D15</f>
        <v>-13841.6666666667</v>
      </c>
      <c r="E34" s="61" t="n">
        <f aca="false">Headcount!E15</f>
        <v>-13841.6666666667</v>
      </c>
      <c r="F34" s="61" t="n">
        <f aca="false">Headcount!F15</f>
        <v>-13841.6666666667</v>
      </c>
      <c r="G34" s="61" t="n">
        <f aca="false">Headcount!G15</f>
        <v>-13841.6666666667</v>
      </c>
      <c r="H34" s="61" t="n">
        <f aca="false">Headcount!H15</f>
        <v>-13841.6666666667</v>
      </c>
      <c r="I34" s="61" t="n">
        <f aca="false">Headcount!I15</f>
        <v>-13841.6666666667</v>
      </c>
      <c r="J34" s="61" t="n">
        <f aca="false">Headcount!J15</f>
        <v>-13841.6666666667</v>
      </c>
      <c r="K34" s="61" t="n">
        <f aca="false">Headcount!K15</f>
        <v>-13841.6666666667</v>
      </c>
      <c r="L34" s="61" t="n">
        <f aca="false">Headcount!L15</f>
        <v>-13841.6666666667</v>
      </c>
      <c r="M34" s="61" t="n">
        <f aca="false">Headcount!M15</f>
        <v>-13841.6666666667</v>
      </c>
      <c r="N34" s="61" t="n">
        <f aca="false">Headcount!N15</f>
        <v>-13841.6666666667</v>
      </c>
      <c r="O34" s="61" t="n">
        <f aca="false">Headcount!O15</f>
        <v>-14256.9166666667</v>
      </c>
      <c r="P34" s="61" t="n">
        <f aca="false">Headcount!P15</f>
        <v>-14256.9166666667</v>
      </c>
      <c r="Q34" s="61" t="n">
        <f aca="false">Headcount!Q15</f>
        <v>-14256.9166666667</v>
      </c>
      <c r="R34" s="61" t="n">
        <f aca="false">Headcount!R15</f>
        <v>-14256.9166666667</v>
      </c>
      <c r="S34" s="61" t="n">
        <f aca="false">Headcount!S15</f>
        <v>-14256.9166666667</v>
      </c>
      <c r="T34" s="61" t="n">
        <f aca="false">Headcount!T15</f>
        <v>-14256.9166666667</v>
      </c>
      <c r="U34" s="61" t="n">
        <f aca="false">Headcount!U15</f>
        <v>-14256.9166666667</v>
      </c>
      <c r="V34" s="61" t="n">
        <f aca="false">Headcount!V15</f>
        <v>-14256.9166666667</v>
      </c>
      <c r="W34" s="61" t="n">
        <f aca="false">Headcount!W15</f>
        <v>-14256.9166666667</v>
      </c>
      <c r="X34" s="61" t="n">
        <f aca="false">Headcount!X15</f>
        <v>-14256.9166666667</v>
      </c>
      <c r="Y34" s="61" t="n">
        <f aca="false">Headcount!Y15</f>
        <v>-14256.9166666667</v>
      </c>
      <c r="Z34" s="61" t="n">
        <f aca="false">Headcount!Z15</f>
        <v>-14256.9166666667</v>
      </c>
      <c r="AA34" s="61" t="n">
        <f aca="false">Headcount!AA15</f>
        <v>-14684.6241666667</v>
      </c>
      <c r="AB34" s="61" t="n">
        <f aca="false">Headcount!AB15</f>
        <v>-14684.6241666667</v>
      </c>
      <c r="AC34" s="61" t="n">
        <f aca="false">Headcount!AC15</f>
        <v>-14684.6241666667</v>
      </c>
      <c r="AD34" s="61" t="n">
        <f aca="false">Headcount!AD15</f>
        <v>-14684.6241666667</v>
      </c>
      <c r="AE34" s="61" t="n">
        <f aca="false">Headcount!AE15</f>
        <v>-14684.6241666667</v>
      </c>
      <c r="AF34" s="61" t="n">
        <f aca="false">Headcount!AF15</f>
        <v>-14684.6241666667</v>
      </c>
      <c r="AG34" s="61" t="n">
        <f aca="false">Headcount!AG15</f>
        <v>-14684.6241666667</v>
      </c>
      <c r="AH34" s="61" t="n">
        <f aca="false">Headcount!AH15</f>
        <v>-14684.6241666667</v>
      </c>
      <c r="AI34" s="61" t="n">
        <f aca="false">Headcount!AI15</f>
        <v>-14684.6241666667</v>
      </c>
      <c r="AJ34" s="61" t="n">
        <f aca="false">Headcount!AJ15</f>
        <v>-14684.6241666667</v>
      </c>
      <c r="AK34" s="61" t="n">
        <f aca="false">Headcount!AK15</f>
        <v>-14684.6241666667</v>
      </c>
      <c r="AL34" s="61" t="n">
        <f aca="false">Headcount!AL15</f>
        <v>-14684.6241666667</v>
      </c>
      <c r="AM34" s="61" t="n">
        <f aca="false">Headcount!AM15</f>
        <v>-15125.1628916667</v>
      </c>
      <c r="AN34" s="61" t="n">
        <f aca="false">Headcount!AN15</f>
        <v>-15125.1628916667</v>
      </c>
      <c r="AO34" s="61" t="n">
        <f aca="false">Headcount!AO15</f>
        <v>-15125.1628916667</v>
      </c>
      <c r="AP34" s="61" t="n">
        <f aca="false">Headcount!AP15</f>
        <v>-15125.1628916667</v>
      </c>
      <c r="AQ34" s="61" t="n">
        <f aca="false">Headcount!AQ15</f>
        <v>-15125.1628916667</v>
      </c>
      <c r="AR34" s="61" t="n">
        <f aca="false">Headcount!AR15</f>
        <v>-15125.1628916667</v>
      </c>
      <c r="AS34" s="61" t="n">
        <f aca="false">Headcount!AS15</f>
        <v>-15125.1628916667</v>
      </c>
      <c r="AT34" s="61" t="n">
        <f aca="false">Headcount!AT15</f>
        <v>-15125.1628916667</v>
      </c>
      <c r="AU34" s="61" t="n">
        <f aca="false">Headcount!AU15</f>
        <v>-15125.1628916667</v>
      </c>
      <c r="AV34" s="61" t="n">
        <f aca="false">Headcount!AV15</f>
        <v>-15125.1628916667</v>
      </c>
      <c r="AW34" s="61" t="n">
        <f aca="false">Headcount!AW15</f>
        <v>-15125.1628916667</v>
      </c>
      <c r="AX34" s="61" t="n">
        <f aca="false">Headcount!AX15</f>
        <v>-15125.1628916667</v>
      </c>
      <c r="AY34" s="61" t="n">
        <f aca="false">Headcount!AY15</f>
        <v>-15578.9177784167</v>
      </c>
      <c r="AZ34" s="61" t="n">
        <f aca="false">Headcount!AZ15</f>
        <v>-15578.9177784167</v>
      </c>
      <c r="BA34" s="61" t="n">
        <f aca="false">Headcount!BA15</f>
        <v>-15578.9177784167</v>
      </c>
      <c r="BB34" s="61" t="n">
        <f aca="false">Headcount!BB15</f>
        <v>-15578.9177784167</v>
      </c>
      <c r="BC34" s="61" t="n">
        <f aca="false">Headcount!BC15</f>
        <v>-15578.9177784167</v>
      </c>
      <c r="BD34" s="61" t="n">
        <f aca="false">Headcount!BD15</f>
        <v>-15578.9177784167</v>
      </c>
      <c r="BE34" s="61" t="n">
        <f aca="false">Headcount!BE15</f>
        <v>-15578.9177784167</v>
      </c>
      <c r="BF34" s="61" t="n">
        <f aca="false">Headcount!BF15</f>
        <v>-15578.9177784167</v>
      </c>
      <c r="BG34" s="61" t="n">
        <f aca="false">Headcount!BG15</f>
        <v>-15578.9177784167</v>
      </c>
      <c r="BH34" s="61" t="n">
        <f aca="false">Headcount!BH15</f>
        <v>-15578.9177784167</v>
      </c>
      <c r="BI34" s="61" t="n">
        <f aca="false">Headcount!BI15</f>
        <v>-15578.9177784167</v>
      </c>
      <c r="BJ34" s="61" t="n">
        <f aca="false">Headcount!BJ15</f>
        <v>-15578.9177784167</v>
      </c>
    </row>
    <row r="35" customFormat="false" ht="15" hidden="false" customHeight="false" outlineLevel="0" collapsed="false">
      <c r="A35" s="6" t="s">
        <v>253</v>
      </c>
      <c r="C35" s="59" t="n">
        <f aca="false">-Inputs!$E$11*(1+Inputs!$E$12)^(C$5-1)*1</f>
        <v>-4000</v>
      </c>
      <c r="D35" s="59" t="n">
        <f aca="false">-Inputs!$E$11*(1+Inputs!$E$12)^(D$5-1)*1</f>
        <v>-4000</v>
      </c>
      <c r="E35" s="59" t="n">
        <f aca="false">-Inputs!$E$11*(1+Inputs!$E$12)^(E$5-1)*1</f>
        <v>-4000</v>
      </c>
      <c r="F35" s="59" t="n">
        <f aca="false">-Inputs!$E$11*(1+Inputs!$E$12)^(F$5-1)*1</f>
        <v>-4000</v>
      </c>
      <c r="G35" s="59" t="n">
        <f aca="false">-Inputs!$E$11*(1+Inputs!$E$12)^(G$5-1)*1</f>
        <v>-4000</v>
      </c>
      <c r="H35" s="59" t="n">
        <f aca="false">-Inputs!$E$11*(1+Inputs!$E$12)^(H$5-1)*1</f>
        <v>-4000</v>
      </c>
      <c r="I35" s="59" t="n">
        <f aca="false">-Inputs!$E$11*(1+Inputs!$E$12)^(I$5-1)*1</f>
        <v>-4000</v>
      </c>
      <c r="J35" s="59" t="n">
        <f aca="false">-Inputs!$E$11*(1+Inputs!$E$12)^(J$5-1)*1</f>
        <v>-4000</v>
      </c>
      <c r="K35" s="59" t="n">
        <f aca="false">-Inputs!$E$11*(1+Inputs!$E$12)^(K$5-1)*1</f>
        <v>-4000</v>
      </c>
      <c r="L35" s="59" t="n">
        <f aca="false">-Inputs!$E$11*(1+Inputs!$E$12)^(L$5-1)*1</f>
        <v>-4000</v>
      </c>
      <c r="M35" s="59" t="n">
        <f aca="false">-Inputs!$E$11*(1+Inputs!$E$12)^(M$5-1)*1</f>
        <v>-4000</v>
      </c>
      <c r="N35" s="59" t="n">
        <f aca="false">-Inputs!$E$11*(1+Inputs!$E$12)^(N$5-1)*1</f>
        <v>-4000</v>
      </c>
      <c r="O35" s="59" t="n">
        <f aca="false">-Inputs!$E$11*(1+Inputs!$E$12)^(O$5-1)*1</f>
        <v>-4200</v>
      </c>
      <c r="P35" s="59" t="n">
        <f aca="false">-Inputs!$E$11*(1+Inputs!$E$12)^(P$5-1)*1</f>
        <v>-4200</v>
      </c>
      <c r="Q35" s="59" t="n">
        <f aca="false">-Inputs!$E$11*(1+Inputs!$E$12)^(Q$5-1)*1</f>
        <v>-4200</v>
      </c>
      <c r="R35" s="59" t="n">
        <f aca="false">-Inputs!$E$11*(1+Inputs!$E$12)^(R$5-1)*1</f>
        <v>-4200</v>
      </c>
      <c r="S35" s="59" t="n">
        <f aca="false">-Inputs!$E$11*(1+Inputs!$E$12)^(S$5-1)*1</f>
        <v>-4200</v>
      </c>
      <c r="T35" s="59" t="n">
        <f aca="false">-Inputs!$E$11*(1+Inputs!$E$12)^(T$5-1)*1</f>
        <v>-4200</v>
      </c>
      <c r="U35" s="59" t="n">
        <f aca="false">-Inputs!$E$11*(1+Inputs!$E$12)^(U$5-1)*1</f>
        <v>-4200</v>
      </c>
      <c r="V35" s="59" t="n">
        <f aca="false">-Inputs!$E$11*(1+Inputs!$E$12)^(V$5-1)*1</f>
        <v>-4200</v>
      </c>
      <c r="W35" s="59" t="n">
        <f aca="false">-Inputs!$E$11*(1+Inputs!$E$12)^(W$5-1)*1</f>
        <v>-4200</v>
      </c>
      <c r="X35" s="59" t="n">
        <f aca="false">-Inputs!$E$11*(1+Inputs!$E$12)^(X$5-1)*1</f>
        <v>-4200</v>
      </c>
      <c r="Y35" s="59" t="n">
        <f aca="false">-Inputs!$E$11*(1+Inputs!$E$12)^(Y$5-1)*1</f>
        <v>-4200</v>
      </c>
      <c r="Z35" s="59" t="n">
        <f aca="false">-Inputs!$E$11*(1+Inputs!$E$12)^(Z$5-1)*1</f>
        <v>-4200</v>
      </c>
      <c r="AA35" s="59" t="n">
        <f aca="false">-Inputs!$E$11*(1+Inputs!$E$12)^(AA$5-1)*1</f>
        <v>-4410</v>
      </c>
      <c r="AB35" s="59" t="n">
        <f aca="false">-Inputs!$E$11*(1+Inputs!$E$12)^(AB$5-1)*1</f>
        <v>-4410</v>
      </c>
      <c r="AC35" s="59" t="n">
        <f aca="false">-Inputs!$E$11*(1+Inputs!$E$12)^(AC$5-1)*1</f>
        <v>-4410</v>
      </c>
      <c r="AD35" s="59" t="n">
        <f aca="false">-Inputs!$E$11*(1+Inputs!$E$12)^(AD$5-1)*1</f>
        <v>-4410</v>
      </c>
      <c r="AE35" s="59" t="n">
        <f aca="false">-Inputs!$E$11*(1+Inputs!$E$12)^(AE$5-1)*1</f>
        <v>-4410</v>
      </c>
      <c r="AF35" s="59" t="n">
        <f aca="false">-Inputs!$E$11*(1+Inputs!$E$12)^(AF$5-1)*1</f>
        <v>-4410</v>
      </c>
      <c r="AG35" s="59" t="n">
        <f aca="false">-Inputs!$E$11*(1+Inputs!$E$12)^(AG$5-1)*1</f>
        <v>-4410</v>
      </c>
      <c r="AH35" s="59" t="n">
        <f aca="false">-Inputs!$E$11*(1+Inputs!$E$12)^(AH$5-1)*1</f>
        <v>-4410</v>
      </c>
      <c r="AI35" s="59" t="n">
        <f aca="false">-Inputs!$E$11*(1+Inputs!$E$12)^(AI$5-1)*1</f>
        <v>-4410</v>
      </c>
      <c r="AJ35" s="59" t="n">
        <f aca="false">-Inputs!$E$11*(1+Inputs!$E$12)^(AJ$5-1)*1</f>
        <v>-4410</v>
      </c>
      <c r="AK35" s="59" t="n">
        <f aca="false">-Inputs!$E$11*(1+Inputs!$E$12)^(AK$5-1)*1</f>
        <v>-4410</v>
      </c>
      <c r="AL35" s="59" t="n">
        <f aca="false">-Inputs!$E$11*(1+Inputs!$E$12)^(AL$5-1)*1</f>
        <v>-4410</v>
      </c>
      <c r="AM35" s="59" t="n">
        <f aca="false">-Inputs!$E$11*(1+Inputs!$E$12)^(AM$5-1)*1</f>
        <v>-4630.5</v>
      </c>
      <c r="AN35" s="59" t="n">
        <f aca="false">-Inputs!$E$11*(1+Inputs!$E$12)^(AN$5-1)*1</f>
        <v>-4630.5</v>
      </c>
      <c r="AO35" s="59" t="n">
        <f aca="false">-Inputs!$E$11*(1+Inputs!$E$12)^(AO$5-1)*1</f>
        <v>-4630.5</v>
      </c>
      <c r="AP35" s="59" t="n">
        <f aca="false">-Inputs!$E$11*(1+Inputs!$E$12)^(AP$5-1)*1</f>
        <v>-4630.5</v>
      </c>
      <c r="AQ35" s="59" t="n">
        <f aca="false">-Inputs!$E$11*(1+Inputs!$E$12)^(AQ$5-1)*1</f>
        <v>-4630.5</v>
      </c>
      <c r="AR35" s="59" t="n">
        <f aca="false">-Inputs!$E$11*(1+Inputs!$E$12)^(AR$5-1)*1</f>
        <v>-4630.5</v>
      </c>
      <c r="AS35" s="59" t="n">
        <f aca="false">-Inputs!$E$11*(1+Inputs!$E$12)^(AS$5-1)*1</f>
        <v>-4630.5</v>
      </c>
      <c r="AT35" s="59" t="n">
        <f aca="false">-Inputs!$E$11*(1+Inputs!$E$12)^(AT$5-1)*1</f>
        <v>-4630.5</v>
      </c>
      <c r="AU35" s="59" t="n">
        <f aca="false">-Inputs!$E$11*(1+Inputs!$E$12)^(AU$5-1)*1</f>
        <v>-4630.5</v>
      </c>
      <c r="AV35" s="59" t="n">
        <f aca="false">-Inputs!$E$11*(1+Inputs!$E$12)^(AV$5-1)*1</f>
        <v>-4630.5</v>
      </c>
      <c r="AW35" s="59" t="n">
        <f aca="false">-Inputs!$E$11*(1+Inputs!$E$12)^(AW$5-1)*1</f>
        <v>-4630.5</v>
      </c>
      <c r="AX35" s="59" t="n">
        <f aca="false">-Inputs!$E$11*(1+Inputs!$E$12)^(AX$5-1)*1</f>
        <v>-4630.5</v>
      </c>
      <c r="AY35" s="59" t="n">
        <f aca="false">-Inputs!$E$11*(1+Inputs!$E$12)^(AY$5-1)*1</f>
        <v>-4862.025</v>
      </c>
      <c r="AZ35" s="59" t="n">
        <f aca="false">-Inputs!$E$11*(1+Inputs!$E$12)^(AZ$5-1)*1</f>
        <v>-4862.025</v>
      </c>
      <c r="BA35" s="59" t="n">
        <f aca="false">-Inputs!$E$11*(1+Inputs!$E$12)^(BA$5-1)*1</f>
        <v>-4862.025</v>
      </c>
      <c r="BB35" s="59" t="n">
        <f aca="false">-Inputs!$E$11*(1+Inputs!$E$12)^(BB$5-1)*1</f>
        <v>-4862.025</v>
      </c>
      <c r="BC35" s="59" t="n">
        <f aca="false">-Inputs!$E$11*(1+Inputs!$E$12)^(BC$5-1)*1</f>
        <v>-4862.025</v>
      </c>
      <c r="BD35" s="59" t="n">
        <f aca="false">-Inputs!$E$11*(1+Inputs!$E$12)^(BD$5-1)*1</f>
        <v>-4862.025</v>
      </c>
      <c r="BE35" s="59" t="n">
        <f aca="false">-Inputs!$E$11*(1+Inputs!$E$12)^(BE$5-1)*1</f>
        <v>-4862.025</v>
      </c>
      <c r="BF35" s="59" t="n">
        <f aca="false">-Inputs!$E$11*(1+Inputs!$E$12)^(BF$5-1)*1</f>
        <v>-4862.025</v>
      </c>
      <c r="BG35" s="59" t="n">
        <f aca="false">-Inputs!$E$11*(1+Inputs!$E$12)^(BG$5-1)*1</f>
        <v>-4862.025</v>
      </c>
      <c r="BH35" s="59" t="n">
        <f aca="false">-Inputs!$E$11*(1+Inputs!$E$12)^(BH$5-1)*1</f>
        <v>-4862.025</v>
      </c>
      <c r="BI35" s="59" t="n">
        <f aca="false">-Inputs!$E$11*(1+Inputs!$E$12)^(BI$5-1)*1</f>
        <v>-4862.025</v>
      </c>
      <c r="BJ35" s="59" t="n">
        <f aca="false">-Inputs!$E$11*(1+Inputs!$E$12)^(BJ$5-1)*1</f>
        <v>-4862.025</v>
      </c>
    </row>
    <row r="36" customFormat="false" ht="15" hidden="false" customHeight="false" outlineLevel="0" collapsed="false">
      <c r="A36" s="6" t="s">
        <v>254</v>
      </c>
      <c r="C36" s="59" t="n">
        <f aca="false">-Inputs!$E$33*1</f>
        <v>-12000</v>
      </c>
      <c r="D36" s="59" t="n">
        <f aca="false">-Inputs!$E$33*1</f>
        <v>-12000</v>
      </c>
      <c r="E36" s="59" t="n">
        <f aca="false">-Inputs!$E$33*1</f>
        <v>-12000</v>
      </c>
      <c r="F36" s="59" t="n">
        <f aca="false">-Inputs!$E$33*1</f>
        <v>-12000</v>
      </c>
      <c r="G36" s="59" t="n">
        <f aca="false">-Inputs!$E$33*1</f>
        <v>-12000</v>
      </c>
      <c r="H36" s="59" t="n">
        <f aca="false">-Inputs!$E$33*1</f>
        <v>-12000</v>
      </c>
      <c r="I36" s="59" t="n">
        <f aca="false">-Inputs!$E$33*1</f>
        <v>-12000</v>
      </c>
      <c r="J36" s="59" t="n">
        <f aca="false">-Inputs!$E$33*1</f>
        <v>-12000</v>
      </c>
      <c r="K36" s="59" t="n">
        <f aca="false">-Inputs!$E$33*1</f>
        <v>-12000</v>
      </c>
      <c r="L36" s="59" t="n">
        <f aca="false">-Inputs!$E$33*1</f>
        <v>-12000</v>
      </c>
      <c r="M36" s="59" t="n">
        <f aca="false">-Inputs!$E$33*1</f>
        <v>-12000</v>
      </c>
      <c r="N36" s="59" t="n">
        <f aca="false">-Inputs!$E$33*1</f>
        <v>-12000</v>
      </c>
      <c r="O36" s="59" t="n">
        <f aca="false">-Inputs!$E$33*1</f>
        <v>-12000</v>
      </c>
      <c r="P36" s="59" t="n">
        <f aca="false">-Inputs!$E$33*1</f>
        <v>-12000</v>
      </c>
      <c r="Q36" s="59" t="n">
        <f aca="false">-Inputs!$E$33*1</f>
        <v>-12000</v>
      </c>
      <c r="R36" s="59" t="n">
        <f aca="false">-Inputs!$E$33*1</f>
        <v>-12000</v>
      </c>
      <c r="S36" s="59" t="n">
        <f aca="false">-Inputs!$E$33*1</f>
        <v>-12000</v>
      </c>
      <c r="T36" s="59" t="n">
        <f aca="false">-Inputs!$E$33*1</f>
        <v>-12000</v>
      </c>
      <c r="U36" s="59" t="n">
        <f aca="false">-Inputs!$E$33*1</f>
        <v>-12000</v>
      </c>
      <c r="V36" s="59" t="n">
        <f aca="false">-Inputs!$E$33*1</f>
        <v>-12000</v>
      </c>
      <c r="W36" s="59" t="n">
        <f aca="false">-Inputs!$E$33*1</f>
        <v>-12000</v>
      </c>
      <c r="X36" s="59" t="n">
        <f aca="false">-Inputs!$E$33*1</f>
        <v>-12000</v>
      </c>
      <c r="Y36" s="59" t="n">
        <f aca="false">-Inputs!$E$33*1</f>
        <v>-12000</v>
      </c>
      <c r="Z36" s="59" t="n">
        <f aca="false">-Inputs!$E$33*1</f>
        <v>-12000</v>
      </c>
      <c r="AA36" s="59" t="n">
        <f aca="false">-Inputs!$E$33*1</f>
        <v>-12000</v>
      </c>
      <c r="AB36" s="59" t="n">
        <f aca="false">-Inputs!$E$33*1</f>
        <v>-12000</v>
      </c>
      <c r="AC36" s="59" t="n">
        <f aca="false">-Inputs!$E$33*1</f>
        <v>-12000</v>
      </c>
      <c r="AD36" s="59" t="n">
        <f aca="false">-Inputs!$E$33*1</f>
        <v>-12000</v>
      </c>
      <c r="AE36" s="59" t="n">
        <f aca="false">-Inputs!$E$33*1</f>
        <v>-12000</v>
      </c>
      <c r="AF36" s="59" t="n">
        <f aca="false">-Inputs!$E$33*1</f>
        <v>-12000</v>
      </c>
      <c r="AG36" s="59" t="n">
        <f aca="false">-Inputs!$E$33*1</f>
        <v>-12000</v>
      </c>
      <c r="AH36" s="59" t="n">
        <f aca="false">-Inputs!$E$33*1</f>
        <v>-12000</v>
      </c>
      <c r="AI36" s="59" t="n">
        <f aca="false">-Inputs!$E$33*1</f>
        <v>-12000</v>
      </c>
      <c r="AJ36" s="59" t="n">
        <f aca="false">-Inputs!$E$33*1</f>
        <v>-12000</v>
      </c>
      <c r="AK36" s="59" t="n">
        <f aca="false">-Inputs!$E$33*1</f>
        <v>-12000</v>
      </c>
      <c r="AL36" s="59" t="n">
        <f aca="false">-Inputs!$E$33*1</f>
        <v>-12000</v>
      </c>
      <c r="AM36" s="59" t="n">
        <f aca="false">-Inputs!$E$33*1</f>
        <v>-12000</v>
      </c>
      <c r="AN36" s="59" t="n">
        <f aca="false">-Inputs!$E$33*1</f>
        <v>-12000</v>
      </c>
      <c r="AO36" s="59" t="n">
        <f aca="false">-Inputs!$E$33*1</f>
        <v>-12000</v>
      </c>
      <c r="AP36" s="59" t="n">
        <f aca="false">-Inputs!$E$33*1</f>
        <v>-12000</v>
      </c>
      <c r="AQ36" s="59" t="n">
        <f aca="false">-Inputs!$E$33*1</f>
        <v>-12000</v>
      </c>
      <c r="AR36" s="59" t="n">
        <f aca="false">-Inputs!$E$33*1</f>
        <v>-12000</v>
      </c>
      <c r="AS36" s="59" t="n">
        <f aca="false">-Inputs!$E$33*1</f>
        <v>-12000</v>
      </c>
      <c r="AT36" s="59" t="n">
        <f aca="false">-Inputs!$E$33*1</f>
        <v>-12000</v>
      </c>
      <c r="AU36" s="59" t="n">
        <f aca="false">-Inputs!$E$33*1</f>
        <v>-12000</v>
      </c>
      <c r="AV36" s="59" t="n">
        <f aca="false">-Inputs!$E$33*1</f>
        <v>-12000</v>
      </c>
      <c r="AW36" s="59" t="n">
        <f aca="false">-Inputs!$E$33*1</f>
        <v>-12000</v>
      </c>
      <c r="AX36" s="59" t="n">
        <f aca="false">-Inputs!$E$33*1</f>
        <v>-12000</v>
      </c>
      <c r="AY36" s="59" t="n">
        <f aca="false">-Inputs!$E$33*1</f>
        <v>-12000</v>
      </c>
      <c r="AZ36" s="59" t="n">
        <f aca="false">-Inputs!$E$33*1</f>
        <v>-12000</v>
      </c>
      <c r="BA36" s="59" t="n">
        <f aca="false">-Inputs!$E$33*1</f>
        <v>-12000</v>
      </c>
      <c r="BB36" s="59" t="n">
        <f aca="false">-Inputs!$E$33*1</f>
        <v>-12000</v>
      </c>
      <c r="BC36" s="59" t="n">
        <f aca="false">-Inputs!$E$33*1</f>
        <v>-12000</v>
      </c>
      <c r="BD36" s="59" t="n">
        <f aca="false">-Inputs!$E$33*1</f>
        <v>-12000</v>
      </c>
      <c r="BE36" s="59" t="n">
        <f aca="false">-Inputs!$E$33*1</f>
        <v>-12000</v>
      </c>
      <c r="BF36" s="59" t="n">
        <f aca="false">-Inputs!$E$33*1</f>
        <v>-12000</v>
      </c>
      <c r="BG36" s="59" t="n">
        <f aca="false">-Inputs!$E$33*1</f>
        <v>-12000</v>
      </c>
      <c r="BH36" s="59" t="n">
        <f aca="false">-Inputs!$E$33*1</f>
        <v>-12000</v>
      </c>
      <c r="BI36" s="59" t="n">
        <f aca="false">-Inputs!$E$33*1</f>
        <v>-12000</v>
      </c>
      <c r="BJ36" s="59" t="n">
        <f aca="false">-Inputs!$E$33*1</f>
        <v>-12000</v>
      </c>
    </row>
    <row r="37" customFormat="false" ht="15" hidden="false" customHeight="false" outlineLevel="0" collapsed="false">
      <c r="A37" s="6" t="s">
        <v>255</v>
      </c>
      <c r="C37" s="59" t="n">
        <f aca="false">-Inputs!$E$34*1</f>
        <v>-2200</v>
      </c>
      <c r="D37" s="59" t="n">
        <f aca="false">-Inputs!$E$34*1</f>
        <v>-2200</v>
      </c>
      <c r="E37" s="59" t="n">
        <f aca="false">-Inputs!$E$34*1</f>
        <v>-2200</v>
      </c>
      <c r="F37" s="59" t="n">
        <f aca="false">-Inputs!$E$34*1</f>
        <v>-2200</v>
      </c>
      <c r="G37" s="59" t="n">
        <f aca="false">-Inputs!$E$34*1</f>
        <v>-2200</v>
      </c>
      <c r="H37" s="59" t="n">
        <f aca="false">-Inputs!$E$34*1</f>
        <v>-2200</v>
      </c>
      <c r="I37" s="59" t="n">
        <f aca="false">-Inputs!$E$34*1</f>
        <v>-2200</v>
      </c>
      <c r="J37" s="59" t="n">
        <f aca="false">-Inputs!$E$34*1</f>
        <v>-2200</v>
      </c>
      <c r="K37" s="59" t="n">
        <f aca="false">-Inputs!$E$34*1</f>
        <v>-2200</v>
      </c>
      <c r="L37" s="59" t="n">
        <f aca="false">-Inputs!$E$34*1</f>
        <v>-2200</v>
      </c>
      <c r="M37" s="59" t="n">
        <f aca="false">-Inputs!$E$34*1</f>
        <v>-2200</v>
      </c>
      <c r="N37" s="59" t="n">
        <f aca="false">-Inputs!$E$34*1</f>
        <v>-2200</v>
      </c>
      <c r="O37" s="59" t="n">
        <f aca="false">-Inputs!$E$34*1</f>
        <v>-2200</v>
      </c>
      <c r="P37" s="59" t="n">
        <f aca="false">-Inputs!$E$34*1</f>
        <v>-2200</v>
      </c>
      <c r="Q37" s="59" t="n">
        <f aca="false">-Inputs!$E$34*1</f>
        <v>-2200</v>
      </c>
      <c r="R37" s="59" t="n">
        <f aca="false">-Inputs!$E$34*1</f>
        <v>-2200</v>
      </c>
      <c r="S37" s="59" t="n">
        <f aca="false">-Inputs!$E$34*1</f>
        <v>-2200</v>
      </c>
      <c r="T37" s="59" t="n">
        <f aca="false">-Inputs!$E$34*1</f>
        <v>-2200</v>
      </c>
      <c r="U37" s="59" t="n">
        <f aca="false">-Inputs!$E$34*1</f>
        <v>-2200</v>
      </c>
      <c r="V37" s="59" t="n">
        <f aca="false">-Inputs!$E$34*1</f>
        <v>-2200</v>
      </c>
      <c r="W37" s="59" t="n">
        <f aca="false">-Inputs!$E$34*1</f>
        <v>-2200</v>
      </c>
      <c r="X37" s="59" t="n">
        <f aca="false">-Inputs!$E$34*1</f>
        <v>-2200</v>
      </c>
      <c r="Y37" s="59" t="n">
        <f aca="false">-Inputs!$E$34*1</f>
        <v>-2200</v>
      </c>
      <c r="Z37" s="59" t="n">
        <f aca="false">-Inputs!$E$34*1</f>
        <v>-2200</v>
      </c>
      <c r="AA37" s="59" t="n">
        <f aca="false">-Inputs!$E$34*1</f>
        <v>-2200</v>
      </c>
      <c r="AB37" s="59" t="n">
        <f aca="false">-Inputs!$E$34*1</f>
        <v>-2200</v>
      </c>
      <c r="AC37" s="59" t="n">
        <f aca="false">-Inputs!$E$34*1</f>
        <v>-2200</v>
      </c>
      <c r="AD37" s="59" t="n">
        <f aca="false">-Inputs!$E$34*1</f>
        <v>-2200</v>
      </c>
      <c r="AE37" s="59" t="n">
        <f aca="false">-Inputs!$E$34*1</f>
        <v>-2200</v>
      </c>
      <c r="AF37" s="59" t="n">
        <f aca="false">-Inputs!$E$34*1</f>
        <v>-2200</v>
      </c>
      <c r="AG37" s="59" t="n">
        <f aca="false">-Inputs!$E$34*1</f>
        <v>-2200</v>
      </c>
      <c r="AH37" s="59" t="n">
        <f aca="false">-Inputs!$E$34*1</f>
        <v>-2200</v>
      </c>
      <c r="AI37" s="59" t="n">
        <f aca="false">-Inputs!$E$34*1</f>
        <v>-2200</v>
      </c>
      <c r="AJ37" s="59" t="n">
        <f aca="false">-Inputs!$E$34*1</f>
        <v>-2200</v>
      </c>
      <c r="AK37" s="59" t="n">
        <f aca="false">-Inputs!$E$34*1</f>
        <v>-2200</v>
      </c>
      <c r="AL37" s="59" t="n">
        <f aca="false">-Inputs!$E$34*1</f>
        <v>-2200</v>
      </c>
      <c r="AM37" s="59" t="n">
        <f aca="false">-Inputs!$E$34*1</f>
        <v>-2200</v>
      </c>
      <c r="AN37" s="59" t="n">
        <f aca="false">-Inputs!$E$34*1</f>
        <v>-2200</v>
      </c>
      <c r="AO37" s="59" t="n">
        <f aca="false">-Inputs!$E$34*1</f>
        <v>-2200</v>
      </c>
      <c r="AP37" s="59" t="n">
        <f aca="false">-Inputs!$E$34*1</f>
        <v>-2200</v>
      </c>
      <c r="AQ37" s="59" t="n">
        <f aca="false">-Inputs!$E$34*1</f>
        <v>-2200</v>
      </c>
      <c r="AR37" s="59" t="n">
        <f aca="false">-Inputs!$E$34*1</f>
        <v>-2200</v>
      </c>
      <c r="AS37" s="59" t="n">
        <f aca="false">-Inputs!$E$34*1</f>
        <v>-2200</v>
      </c>
      <c r="AT37" s="59" t="n">
        <f aca="false">-Inputs!$E$34*1</f>
        <v>-2200</v>
      </c>
      <c r="AU37" s="59" t="n">
        <f aca="false">-Inputs!$E$34*1</f>
        <v>-2200</v>
      </c>
      <c r="AV37" s="59" t="n">
        <f aca="false">-Inputs!$E$34*1</f>
        <v>-2200</v>
      </c>
      <c r="AW37" s="59" t="n">
        <f aca="false">-Inputs!$E$34*1</f>
        <v>-2200</v>
      </c>
      <c r="AX37" s="59" t="n">
        <f aca="false">-Inputs!$E$34*1</f>
        <v>-2200</v>
      </c>
      <c r="AY37" s="59" t="n">
        <f aca="false">-Inputs!$E$34*1</f>
        <v>-2200</v>
      </c>
      <c r="AZ37" s="59" t="n">
        <f aca="false">-Inputs!$E$34*1</f>
        <v>-2200</v>
      </c>
      <c r="BA37" s="59" t="n">
        <f aca="false">-Inputs!$E$34*1</f>
        <v>-2200</v>
      </c>
      <c r="BB37" s="59" t="n">
        <f aca="false">-Inputs!$E$34*1</f>
        <v>-2200</v>
      </c>
      <c r="BC37" s="59" t="n">
        <f aca="false">-Inputs!$E$34*1</f>
        <v>-2200</v>
      </c>
      <c r="BD37" s="59" t="n">
        <f aca="false">-Inputs!$E$34*1</f>
        <v>-2200</v>
      </c>
      <c r="BE37" s="59" t="n">
        <f aca="false">-Inputs!$E$34*1</f>
        <v>-2200</v>
      </c>
      <c r="BF37" s="59" t="n">
        <f aca="false">-Inputs!$E$34*1</f>
        <v>-2200</v>
      </c>
      <c r="BG37" s="59" t="n">
        <f aca="false">-Inputs!$E$34*1</f>
        <v>-2200</v>
      </c>
      <c r="BH37" s="59" t="n">
        <f aca="false">-Inputs!$E$34*1</f>
        <v>-2200</v>
      </c>
      <c r="BI37" s="59" t="n">
        <f aca="false">-Inputs!$E$34*1</f>
        <v>-2200</v>
      </c>
      <c r="BJ37" s="59" t="n">
        <f aca="false">-Inputs!$E$34*1</f>
        <v>-2200</v>
      </c>
    </row>
    <row r="38" customFormat="false" ht="15" hidden="false" customHeight="false" outlineLevel="0" collapsed="false">
      <c r="A38" s="6" t="s">
        <v>256</v>
      </c>
      <c r="C38" s="59" t="n">
        <f aca="false">-Inputs!$E$35*1</f>
        <v>-1800</v>
      </c>
      <c r="D38" s="59" t="n">
        <f aca="false">-Inputs!$E$35*1</f>
        <v>-1800</v>
      </c>
      <c r="E38" s="59" t="n">
        <f aca="false">-Inputs!$E$35*1</f>
        <v>-1800</v>
      </c>
      <c r="F38" s="59" t="n">
        <f aca="false">-Inputs!$E$35*1</f>
        <v>-1800</v>
      </c>
      <c r="G38" s="59" t="n">
        <f aca="false">-Inputs!$E$35*1</f>
        <v>-1800</v>
      </c>
      <c r="H38" s="59" t="n">
        <f aca="false">-Inputs!$E$35*1</f>
        <v>-1800</v>
      </c>
      <c r="I38" s="59" t="n">
        <f aca="false">-Inputs!$E$35*1</f>
        <v>-1800</v>
      </c>
      <c r="J38" s="59" t="n">
        <f aca="false">-Inputs!$E$35*1</f>
        <v>-1800</v>
      </c>
      <c r="K38" s="59" t="n">
        <f aca="false">-Inputs!$E$35*1</f>
        <v>-1800</v>
      </c>
      <c r="L38" s="59" t="n">
        <f aca="false">-Inputs!$E$35*1</f>
        <v>-1800</v>
      </c>
      <c r="M38" s="59" t="n">
        <f aca="false">-Inputs!$E$35*1</f>
        <v>-1800</v>
      </c>
      <c r="N38" s="59" t="n">
        <f aca="false">-Inputs!$E$35*1</f>
        <v>-1800</v>
      </c>
      <c r="O38" s="59" t="n">
        <f aca="false">-Inputs!$E$35*1</f>
        <v>-1800</v>
      </c>
      <c r="P38" s="59" t="n">
        <f aca="false">-Inputs!$E$35*1</f>
        <v>-1800</v>
      </c>
      <c r="Q38" s="59" t="n">
        <f aca="false">-Inputs!$E$35*1</f>
        <v>-1800</v>
      </c>
      <c r="R38" s="59" t="n">
        <f aca="false">-Inputs!$E$35*1</f>
        <v>-1800</v>
      </c>
      <c r="S38" s="59" t="n">
        <f aca="false">-Inputs!$E$35*1</f>
        <v>-1800</v>
      </c>
      <c r="T38" s="59" t="n">
        <f aca="false">-Inputs!$E$35*1</f>
        <v>-1800</v>
      </c>
      <c r="U38" s="59" t="n">
        <f aca="false">-Inputs!$E$35*1</f>
        <v>-1800</v>
      </c>
      <c r="V38" s="59" t="n">
        <f aca="false">-Inputs!$E$35*1</f>
        <v>-1800</v>
      </c>
      <c r="W38" s="59" t="n">
        <f aca="false">-Inputs!$E$35*1</f>
        <v>-1800</v>
      </c>
      <c r="X38" s="59" t="n">
        <f aca="false">-Inputs!$E$35*1</f>
        <v>-1800</v>
      </c>
      <c r="Y38" s="59" t="n">
        <f aca="false">-Inputs!$E$35*1</f>
        <v>-1800</v>
      </c>
      <c r="Z38" s="59" t="n">
        <f aca="false">-Inputs!$E$35*1</f>
        <v>-1800</v>
      </c>
      <c r="AA38" s="59" t="n">
        <f aca="false">-Inputs!$E$35*1</f>
        <v>-1800</v>
      </c>
      <c r="AB38" s="59" t="n">
        <f aca="false">-Inputs!$E$35*1</f>
        <v>-1800</v>
      </c>
      <c r="AC38" s="59" t="n">
        <f aca="false">-Inputs!$E$35*1</f>
        <v>-1800</v>
      </c>
      <c r="AD38" s="59" t="n">
        <f aca="false">-Inputs!$E$35*1</f>
        <v>-1800</v>
      </c>
      <c r="AE38" s="59" t="n">
        <f aca="false">-Inputs!$E$35*1</f>
        <v>-1800</v>
      </c>
      <c r="AF38" s="59" t="n">
        <f aca="false">-Inputs!$E$35*1</f>
        <v>-1800</v>
      </c>
      <c r="AG38" s="59" t="n">
        <f aca="false">-Inputs!$E$35*1</f>
        <v>-1800</v>
      </c>
      <c r="AH38" s="59" t="n">
        <f aca="false">-Inputs!$E$35*1</f>
        <v>-1800</v>
      </c>
      <c r="AI38" s="59" t="n">
        <f aca="false">-Inputs!$E$35*1</f>
        <v>-1800</v>
      </c>
      <c r="AJ38" s="59" t="n">
        <f aca="false">-Inputs!$E$35*1</f>
        <v>-1800</v>
      </c>
      <c r="AK38" s="59" t="n">
        <f aca="false">-Inputs!$E$35*1</f>
        <v>-1800</v>
      </c>
      <c r="AL38" s="59" t="n">
        <f aca="false">-Inputs!$E$35*1</f>
        <v>-1800</v>
      </c>
      <c r="AM38" s="59" t="n">
        <f aca="false">-Inputs!$E$35*1</f>
        <v>-1800</v>
      </c>
      <c r="AN38" s="59" t="n">
        <f aca="false">-Inputs!$E$35*1</f>
        <v>-1800</v>
      </c>
      <c r="AO38" s="59" t="n">
        <f aca="false">-Inputs!$E$35*1</f>
        <v>-1800</v>
      </c>
      <c r="AP38" s="59" t="n">
        <f aca="false">-Inputs!$E$35*1</f>
        <v>-1800</v>
      </c>
      <c r="AQ38" s="59" t="n">
        <f aca="false">-Inputs!$E$35*1</f>
        <v>-1800</v>
      </c>
      <c r="AR38" s="59" t="n">
        <f aca="false">-Inputs!$E$35*1</f>
        <v>-1800</v>
      </c>
      <c r="AS38" s="59" t="n">
        <f aca="false">-Inputs!$E$35*1</f>
        <v>-1800</v>
      </c>
      <c r="AT38" s="59" t="n">
        <f aca="false">-Inputs!$E$35*1</f>
        <v>-1800</v>
      </c>
      <c r="AU38" s="59" t="n">
        <f aca="false">-Inputs!$E$35*1</f>
        <v>-1800</v>
      </c>
      <c r="AV38" s="59" t="n">
        <f aca="false">-Inputs!$E$35*1</f>
        <v>-1800</v>
      </c>
      <c r="AW38" s="59" t="n">
        <f aca="false">-Inputs!$E$35*1</f>
        <v>-1800</v>
      </c>
      <c r="AX38" s="59" t="n">
        <f aca="false">-Inputs!$E$35*1</f>
        <v>-1800</v>
      </c>
      <c r="AY38" s="59" t="n">
        <f aca="false">-Inputs!$E$35*1</f>
        <v>-1800</v>
      </c>
      <c r="AZ38" s="59" t="n">
        <f aca="false">-Inputs!$E$35*1</f>
        <v>-1800</v>
      </c>
      <c r="BA38" s="59" t="n">
        <f aca="false">-Inputs!$E$35*1</f>
        <v>-1800</v>
      </c>
      <c r="BB38" s="59" t="n">
        <f aca="false">-Inputs!$E$35*1</f>
        <v>-1800</v>
      </c>
      <c r="BC38" s="59" t="n">
        <f aca="false">-Inputs!$E$35*1</f>
        <v>-1800</v>
      </c>
      <c r="BD38" s="59" t="n">
        <f aca="false">-Inputs!$E$35*1</f>
        <v>-1800</v>
      </c>
      <c r="BE38" s="59" t="n">
        <f aca="false">-Inputs!$E$35*1</f>
        <v>-1800</v>
      </c>
      <c r="BF38" s="59" t="n">
        <f aca="false">-Inputs!$E$35*1</f>
        <v>-1800</v>
      </c>
      <c r="BG38" s="59" t="n">
        <f aca="false">-Inputs!$E$35*1</f>
        <v>-1800</v>
      </c>
      <c r="BH38" s="59" t="n">
        <f aca="false">-Inputs!$E$35*1</f>
        <v>-1800</v>
      </c>
      <c r="BI38" s="59" t="n">
        <f aca="false">-Inputs!$E$35*1</f>
        <v>-1800</v>
      </c>
      <c r="BJ38" s="59" t="n">
        <f aca="false">-Inputs!$E$35*1</f>
        <v>-1800</v>
      </c>
    </row>
    <row r="39" customFormat="false" ht="15" hidden="false" customHeight="false" outlineLevel="0" collapsed="false">
      <c r="A39" s="6" t="s">
        <v>257</v>
      </c>
      <c r="C39" s="59" t="n">
        <f aca="false">-C24*Inputs!$E$36</f>
        <v>-724.92</v>
      </c>
      <c r="D39" s="59" t="n">
        <f aca="false">-D24*Inputs!$E$36</f>
        <v>-853.98432</v>
      </c>
      <c r="E39" s="59" t="n">
        <f aca="false">-E24*Inputs!$E$36</f>
        <v>-975.3047808</v>
      </c>
      <c r="F39" s="59" t="n">
        <f aca="false">-F24*Inputs!$E$36</f>
        <v>-1089.346013952</v>
      </c>
      <c r="G39" s="59" t="n">
        <f aca="false">-G24*Inputs!$E$36</f>
        <v>-1196.54477311488</v>
      </c>
      <c r="H39" s="59" t="n">
        <f aca="false">-H24*Inputs!$E$36</f>
        <v>-1297.31160672799</v>
      </c>
      <c r="I39" s="59" t="n">
        <f aca="false">-I24*Inputs!$E$36</f>
        <v>-1392.03243032431</v>
      </c>
      <c r="J39" s="59" t="n">
        <f aca="false">-J24*Inputs!$E$36</f>
        <v>-1481.07000450485</v>
      </c>
      <c r="K39" s="59" t="n">
        <f aca="false">-K24*Inputs!$E$36</f>
        <v>-1564.76532423456</v>
      </c>
      <c r="L39" s="59" t="n">
        <f aca="false">-L24*Inputs!$E$36</f>
        <v>-1643.43892478048</v>
      </c>
      <c r="M39" s="59" t="n">
        <f aca="false">-M24*Inputs!$E$36</f>
        <v>-1717.39210929366</v>
      </c>
      <c r="N39" s="59" t="n">
        <f aca="false">-N24*Inputs!$E$36</f>
        <v>-1786.90810273604</v>
      </c>
      <c r="O39" s="59" t="n">
        <f aca="false">-O24*Inputs!$E$36</f>
        <v>-1919.03026186903</v>
      </c>
      <c r="P39" s="59" t="n">
        <f aca="false">-P24*Inputs!$E$36</f>
        <v>-1994.40929303689</v>
      </c>
      <c r="Q39" s="59" t="n">
        <f aca="false">-Q24*Inputs!$E$36</f>
        <v>-2065.26558233467</v>
      </c>
      <c r="R39" s="59" t="n">
        <f aca="false">-R24*Inputs!$E$36</f>
        <v>-2131.87049427459</v>
      </c>
      <c r="S39" s="59" t="n">
        <f aca="false">-S24*Inputs!$E$36</f>
        <v>-2194.47911149812</v>
      </c>
      <c r="T39" s="59" t="n">
        <f aca="false">-T24*Inputs!$E$36</f>
        <v>-2253.33121168823</v>
      </c>
      <c r="U39" s="59" t="n">
        <f aca="false">-U24*Inputs!$E$36</f>
        <v>-2308.65218586694</v>
      </c>
      <c r="V39" s="59" t="n">
        <f aca="false">-V24*Inputs!$E$36</f>
        <v>-2335.77482550356</v>
      </c>
      <c r="W39" s="59" t="n">
        <f aca="false">-W24*Inputs!$E$36</f>
        <v>-2338.6356</v>
      </c>
      <c r="X39" s="59" t="n">
        <f aca="false">-X24*Inputs!$E$36</f>
        <v>-2338.6356</v>
      </c>
      <c r="Y39" s="59" t="n">
        <f aca="false">-Y24*Inputs!$E$36</f>
        <v>-2338.6356</v>
      </c>
      <c r="Z39" s="59" t="n">
        <f aca="false">-Z24*Inputs!$E$36</f>
        <v>-2338.6356</v>
      </c>
      <c r="AA39" s="59" t="n">
        <f aca="false">-AA24*Inputs!$E$36</f>
        <v>-2408.794668</v>
      </c>
      <c r="AB39" s="59" t="n">
        <f aca="false">-AB24*Inputs!$E$36</f>
        <v>-2408.794668</v>
      </c>
      <c r="AC39" s="59" t="n">
        <f aca="false">-AC24*Inputs!$E$36</f>
        <v>-2408.794668</v>
      </c>
      <c r="AD39" s="59" t="n">
        <f aca="false">-AD24*Inputs!$E$36</f>
        <v>-2408.794668</v>
      </c>
      <c r="AE39" s="59" t="n">
        <f aca="false">-AE24*Inputs!$E$36</f>
        <v>-2408.794668</v>
      </c>
      <c r="AF39" s="59" t="n">
        <f aca="false">-AF24*Inputs!$E$36</f>
        <v>-2408.794668</v>
      </c>
      <c r="AG39" s="59" t="n">
        <f aca="false">-AG24*Inputs!$E$36</f>
        <v>-2408.794668</v>
      </c>
      <c r="AH39" s="59" t="n">
        <f aca="false">-AH24*Inputs!$E$36</f>
        <v>-2408.794668</v>
      </c>
      <c r="AI39" s="59" t="n">
        <f aca="false">-AI24*Inputs!$E$36</f>
        <v>-2408.794668</v>
      </c>
      <c r="AJ39" s="59" t="n">
        <f aca="false">-AJ24*Inputs!$E$36</f>
        <v>-2408.794668</v>
      </c>
      <c r="AK39" s="59" t="n">
        <f aca="false">-AK24*Inputs!$E$36</f>
        <v>-2408.794668</v>
      </c>
      <c r="AL39" s="59" t="n">
        <f aca="false">-AL24*Inputs!$E$36</f>
        <v>-2408.794668</v>
      </c>
      <c r="AM39" s="59" t="n">
        <f aca="false">-AM24*Inputs!$E$36</f>
        <v>-2481.05850804</v>
      </c>
      <c r="AN39" s="59" t="n">
        <f aca="false">-AN24*Inputs!$E$36</f>
        <v>-2481.05850804</v>
      </c>
      <c r="AO39" s="59" t="n">
        <f aca="false">-AO24*Inputs!$E$36</f>
        <v>-2481.05850804</v>
      </c>
      <c r="AP39" s="59" t="n">
        <f aca="false">-AP24*Inputs!$E$36</f>
        <v>-2481.05850804</v>
      </c>
      <c r="AQ39" s="59" t="n">
        <f aca="false">-AQ24*Inputs!$E$36</f>
        <v>-2481.05850804</v>
      </c>
      <c r="AR39" s="59" t="n">
        <f aca="false">-AR24*Inputs!$E$36</f>
        <v>-2481.05850804</v>
      </c>
      <c r="AS39" s="59" t="n">
        <f aca="false">-AS24*Inputs!$E$36</f>
        <v>-2481.05850804</v>
      </c>
      <c r="AT39" s="59" t="n">
        <f aca="false">-AT24*Inputs!$E$36</f>
        <v>-2481.05850804</v>
      </c>
      <c r="AU39" s="59" t="n">
        <f aca="false">-AU24*Inputs!$E$36</f>
        <v>-2481.05850804</v>
      </c>
      <c r="AV39" s="59" t="n">
        <f aca="false">-AV24*Inputs!$E$36</f>
        <v>-2481.05850804</v>
      </c>
      <c r="AW39" s="59" t="n">
        <f aca="false">-AW24*Inputs!$E$36</f>
        <v>-2481.05850804</v>
      </c>
      <c r="AX39" s="59" t="n">
        <f aca="false">-AX24*Inputs!$E$36</f>
        <v>-2481.05850804</v>
      </c>
      <c r="AY39" s="59" t="n">
        <f aca="false">-AY24*Inputs!$E$36</f>
        <v>-2555.4902632812</v>
      </c>
      <c r="AZ39" s="59" t="n">
        <f aca="false">-AZ24*Inputs!$E$36</f>
        <v>-2555.4902632812</v>
      </c>
      <c r="BA39" s="59" t="n">
        <f aca="false">-BA24*Inputs!$E$36</f>
        <v>-2555.4902632812</v>
      </c>
      <c r="BB39" s="59" t="n">
        <f aca="false">-BB24*Inputs!$E$36</f>
        <v>-2555.4902632812</v>
      </c>
      <c r="BC39" s="59" t="n">
        <f aca="false">-BC24*Inputs!$E$36</f>
        <v>-2555.4902632812</v>
      </c>
      <c r="BD39" s="59" t="n">
        <f aca="false">-BD24*Inputs!$E$36</f>
        <v>-2555.4902632812</v>
      </c>
      <c r="BE39" s="59" t="n">
        <f aca="false">-BE24*Inputs!$E$36</f>
        <v>-2555.4902632812</v>
      </c>
      <c r="BF39" s="59" t="n">
        <f aca="false">-BF24*Inputs!$E$36</f>
        <v>-2555.4902632812</v>
      </c>
      <c r="BG39" s="59" t="n">
        <f aca="false">-BG24*Inputs!$E$36</f>
        <v>-2555.4902632812</v>
      </c>
      <c r="BH39" s="59" t="n">
        <f aca="false">-BH24*Inputs!$E$36</f>
        <v>-2555.4902632812</v>
      </c>
      <c r="BI39" s="59" t="n">
        <f aca="false">-BI24*Inputs!$E$36</f>
        <v>-2555.4902632812</v>
      </c>
      <c r="BJ39" s="59" t="n">
        <f aca="false">-BJ24*Inputs!$E$36</f>
        <v>-2555.4902632812</v>
      </c>
    </row>
    <row r="40" customFormat="false" ht="15" hidden="false" customHeight="false" outlineLevel="0" collapsed="false">
      <c r="A40" s="6" t="s">
        <v>258</v>
      </c>
      <c r="C40" s="59" t="n">
        <f aca="false">-Inputs!$E$37*1</f>
        <v>-2000</v>
      </c>
      <c r="D40" s="59" t="n">
        <f aca="false">-Inputs!$E$37*1</f>
        <v>-2000</v>
      </c>
      <c r="E40" s="59" t="n">
        <f aca="false">-Inputs!$E$37*1</f>
        <v>-2000</v>
      </c>
      <c r="F40" s="59" t="n">
        <f aca="false">-Inputs!$E$37*1</f>
        <v>-2000</v>
      </c>
      <c r="G40" s="59" t="n">
        <f aca="false">-Inputs!$E$37*1</f>
        <v>-2000</v>
      </c>
      <c r="H40" s="59" t="n">
        <f aca="false">-Inputs!$E$37*1</f>
        <v>-2000</v>
      </c>
      <c r="I40" s="59" t="n">
        <f aca="false">-Inputs!$E$37*1</f>
        <v>-2000</v>
      </c>
      <c r="J40" s="59" t="n">
        <f aca="false">-Inputs!$E$37*1</f>
        <v>-2000</v>
      </c>
      <c r="K40" s="59" t="n">
        <f aca="false">-Inputs!$E$37*1</f>
        <v>-2000</v>
      </c>
      <c r="L40" s="59" t="n">
        <f aca="false">-Inputs!$E$37*1</f>
        <v>-2000</v>
      </c>
      <c r="M40" s="59" t="n">
        <f aca="false">-Inputs!$E$37*1</f>
        <v>-2000</v>
      </c>
      <c r="N40" s="59" t="n">
        <f aca="false">-Inputs!$E$37*1</f>
        <v>-2000</v>
      </c>
      <c r="O40" s="59" t="n">
        <f aca="false">-Inputs!$E$37*1</f>
        <v>-2000</v>
      </c>
      <c r="P40" s="59" t="n">
        <f aca="false">-Inputs!$E$37*1</f>
        <v>-2000</v>
      </c>
      <c r="Q40" s="59" t="n">
        <f aca="false">-Inputs!$E$37*1</f>
        <v>-2000</v>
      </c>
      <c r="R40" s="59" t="n">
        <f aca="false">-Inputs!$E$37*1</f>
        <v>-2000</v>
      </c>
      <c r="S40" s="59" t="n">
        <f aca="false">-Inputs!$E$37*1</f>
        <v>-2000</v>
      </c>
      <c r="T40" s="59" t="n">
        <f aca="false">-Inputs!$E$37*1</f>
        <v>-2000</v>
      </c>
      <c r="U40" s="59" t="n">
        <f aca="false">-Inputs!$E$37*1</f>
        <v>-2000</v>
      </c>
      <c r="V40" s="59" t="n">
        <f aca="false">-Inputs!$E$37*1</f>
        <v>-2000</v>
      </c>
      <c r="W40" s="59" t="n">
        <f aca="false">-Inputs!$E$37*1</f>
        <v>-2000</v>
      </c>
      <c r="X40" s="59" t="n">
        <f aca="false">-Inputs!$E$37*1</f>
        <v>-2000</v>
      </c>
      <c r="Y40" s="59" t="n">
        <f aca="false">-Inputs!$E$37*1</f>
        <v>-2000</v>
      </c>
      <c r="Z40" s="59" t="n">
        <f aca="false">-Inputs!$E$37*1</f>
        <v>-2000</v>
      </c>
      <c r="AA40" s="59" t="n">
        <f aca="false">-Inputs!$E$37*1</f>
        <v>-2000</v>
      </c>
      <c r="AB40" s="59" t="n">
        <f aca="false">-Inputs!$E$37*1</f>
        <v>-2000</v>
      </c>
      <c r="AC40" s="59" t="n">
        <f aca="false">-Inputs!$E$37*1</f>
        <v>-2000</v>
      </c>
      <c r="AD40" s="59" t="n">
        <f aca="false">-Inputs!$E$37*1</f>
        <v>-2000</v>
      </c>
      <c r="AE40" s="59" t="n">
        <f aca="false">-Inputs!$E$37*1</f>
        <v>-2000</v>
      </c>
      <c r="AF40" s="59" t="n">
        <f aca="false">-Inputs!$E$37*1</f>
        <v>-2000</v>
      </c>
      <c r="AG40" s="59" t="n">
        <f aca="false">-Inputs!$E$37*1</f>
        <v>-2000</v>
      </c>
      <c r="AH40" s="59" t="n">
        <f aca="false">-Inputs!$E$37*1</f>
        <v>-2000</v>
      </c>
      <c r="AI40" s="59" t="n">
        <f aca="false">-Inputs!$E$37*1</f>
        <v>-2000</v>
      </c>
      <c r="AJ40" s="59" t="n">
        <f aca="false">-Inputs!$E$37*1</f>
        <v>-2000</v>
      </c>
      <c r="AK40" s="59" t="n">
        <f aca="false">-Inputs!$E$37*1</f>
        <v>-2000</v>
      </c>
      <c r="AL40" s="59" t="n">
        <f aca="false">-Inputs!$E$37*1</f>
        <v>-2000</v>
      </c>
      <c r="AM40" s="59" t="n">
        <f aca="false">-Inputs!$E$37*1</f>
        <v>-2000</v>
      </c>
      <c r="AN40" s="59" t="n">
        <f aca="false">-Inputs!$E$37*1</f>
        <v>-2000</v>
      </c>
      <c r="AO40" s="59" t="n">
        <f aca="false">-Inputs!$E$37*1</f>
        <v>-2000</v>
      </c>
      <c r="AP40" s="59" t="n">
        <f aca="false">-Inputs!$E$37*1</f>
        <v>-2000</v>
      </c>
      <c r="AQ40" s="59" t="n">
        <f aca="false">-Inputs!$E$37*1</f>
        <v>-2000</v>
      </c>
      <c r="AR40" s="59" t="n">
        <f aca="false">-Inputs!$E$37*1</f>
        <v>-2000</v>
      </c>
      <c r="AS40" s="59" t="n">
        <f aca="false">-Inputs!$E$37*1</f>
        <v>-2000</v>
      </c>
      <c r="AT40" s="59" t="n">
        <f aca="false">-Inputs!$E$37*1</f>
        <v>-2000</v>
      </c>
      <c r="AU40" s="59" t="n">
        <f aca="false">-Inputs!$E$37*1</f>
        <v>-2000</v>
      </c>
      <c r="AV40" s="59" t="n">
        <f aca="false">-Inputs!$E$37*1</f>
        <v>-2000</v>
      </c>
      <c r="AW40" s="59" t="n">
        <f aca="false">-Inputs!$E$37*1</f>
        <v>-2000</v>
      </c>
      <c r="AX40" s="59" t="n">
        <f aca="false">-Inputs!$E$37*1</f>
        <v>-2000</v>
      </c>
      <c r="AY40" s="59" t="n">
        <f aca="false">-Inputs!$E$37*1</f>
        <v>-2000</v>
      </c>
      <c r="AZ40" s="59" t="n">
        <f aca="false">-Inputs!$E$37*1</f>
        <v>-2000</v>
      </c>
      <c r="BA40" s="59" t="n">
        <f aca="false">-Inputs!$E$37*1</f>
        <v>-2000</v>
      </c>
      <c r="BB40" s="59" t="n">
        <f aca="false">-Inputs!$E$37*1</f>
        <v>-2000</v>
      </c>
      <c r="BC40" s="59" t="n">
        <f aca="false">-Inputs!$E$37*1</f>
        <v>-2000</v>
      </c>
      <c r="BD40" s="59" t="n">
        <f aca="false">-Inputs!$E$37*1</f>
        <v>-2000</v>
      </c>
      <c r="BE40" s="59" t="n">
        <f aca="false">-Inputs!$E$37*1</f>
        <v>-2000</v>
      </c>
      <c r="BF40" s="59" t="n">
        <f aca="false">-Inputs!$E$37*1</f>
        <v>-2000</v>
      </c>
      <c r="BG40" s="59" t="n">
        <f aca="false">-Inputs!$E$37*1</f>
        <v>-2000</v>
      </c>
      <c r="BH40" s="59" t="n">
        <f aca="false">-Inputs!$E$37*1</f>
        <v>-2000</v>
      </c>
      <c r="BI40" s="59" t="n">
        <f aca="false">-Inputs!$E$37*1</f>
        <v>-2000</v>
      </c>
      <c r="BJ40" s="59" t="n">
        <f aca="false">-Inputs!$E$37*1</f>
        <v>-2000</v>
      </c>
    </row>
    <row r="41" customFormat="false" ht="15" hidden="false" customHeight="false" outlineLevel="0" collapsed="false">
      <c r="A41" s="83" t="s">
        <v>93</v>
      </c>
      <c r="C41" s="60" t="n">
        <f aca="false">C34+C35+C36+C37+C38+C39+C40</f>
        <v>-36566.5866666667</v>
      </c>
      <c r="D41" s="60" t="n">
        <f aca="false">D34+D35+D36+D37+D38+D39+D40</f>
        <v>-36695.6509866667</v>
      </c>
      <c r="E41" s="60" t="n">
        <f aca="false">E34+E35+E36+E37+E38+E39+E40</f>
        <v>-36816.9714474667</v>
      </c>
      <c r="F41" s="60" t="n">
        <f aca="false">F34+F35+F36+F37+F38+F39+F40</f>
        <v>-36931.0126806187</v>
      </c>
      <c r="G41" s="60" t="n">
        <f aca="false">G34+G35+G36+G37+G38+G39+G40</f>
        <v>-37038.2114397816</v>
      </c>
      <c r="H41" s="60" t="n">
        <f aca="false">H34+H35+H36+H37+H38+H39+H40</f>
        <v>-37138.9782733947</v>
      </c>
      <c r="I41" s="60" t="n">
        <f aca="false">I34+I35+I36+I37+I38+I39+I40</f>
        <v>-37233.699096991</v>
      </c>
      <c r="J41" s="60" t="n">
        <f aca="false">J34+J35+J36+J37+J38+J39+J40</f>
        <v>-37322.7366711715</v>
      </c>
      <c r="K41" s="60" t="n">
        <f aca="false">K34+K35+K36+K37+K38+K39+K40</f>
        <v>-37406.4319909012</v>
      </c>
      <c r="L41" s="60" t="n">
        <f aca="false">L34+L35+L36+L37+L38+L39+L40</f>
        <v>-37485.1055914472</v>
      </c>
      <c r="M41" s="60" t="n">
        <f aca="false">M34+M35+M36+M37+M38+M39+M40</f>
        <v>-37559.0587759603</v>
      </c>
      <c r="N41" s="60" t="n">
        <f aca="false">N34+N35+N36+N37+N38+N39+N40</f>
        <v>-37628.5747694027</v>
      </c>
      <c r="O41" s="60" t="n">
        <f aca="false">O34+O35+O36+O37+O38+O39+O40</f>
        <v>-38375.9469285357</v>
      </c>
      <c r="P41" s="60" t="n">
        <f aca="false">P34+P35+P36+P37+P38+P39+P40</f>
        <v>-38451.3259597036</v>
      </c>
      <c r="Q41" s="60" t="n">
        <f aca="false">Q34+Q35+Q36+Q37+Q38+Q39+Q40</f>
        <v>-38522.1822490013</v>
      </c>
      <c r="R41" s="60" t="n">
        <f aca="false">R34+R35+R36+R37+R38+R39+R40</f>
        <v>-38588.7871609413</v>
      </c>
      <c r="S41" s="60" t="n">
        <f aca="false">S34+S35+S36+S37+S38+S39+S40</f>
        <v>-38651.3957781648</v>
      </c>
      <c r="T41" s="60" t="n">
        <f aca="false">T34+T35+T36+T37+T38+T39+T40</f>
        <v>-38710.2478783549</v>
      </c>
      <c r="U41" s="60" t="n">
        <f aca="false">U34+U35+U36+U37+U38+U39+U40</f>
        <v>-38765.5688525336</v>
      </c>
      <c r="V41" s="60" t="n">
        <f aca="false">V34+V35+V36+V37+V38+V39+V40</f>
        <v>-38792.6914921702</v>
      </c>
      <c r="W41" s="60" t="n">
        <f aca="false">W34+W35+W36+W37+W38+W39+W40</f>
        <v>-38795.5522666667</v>
      </c>
      <c r="X41" s="60" t="n">
        <f aca="false">X34+X35+X36+X37+X38+X39+X40</f>
        <v>-38795.5522666667</v>
      </c>
      <c r="Y41" s="60" t="n">
        <f aca="false">Y34+Y35+Y36+Y37+Y38+Y39+Y40</f>
        <v>-38795.5522666667</v>
      </c>
      <c r="Z41" s="60" t="n">
        <f aca="false">Z34+Z35+Z36+Z37+Z38+Z39+Z40</f>
        <v>-38795.5522666667</v>
      </c>
      <c r="AA41" s="60" t="n">
        <f aca="false">AA34+AA35+AA36+AA37+AA38+AA39+AA40</f>
        <v>-39503.4188346667</v>
      </c>
      <c r="AB41" s="60" t="n">
        <f aca="false">AB34+AB35+AB36+AB37+AB38+AB39+AB40</f>
        <v>-39503.4188346667</v>
      </c>
      <c r="AC41" s="60" t="n">
        <f aca="false">AC34+AC35+AC36+AC37+AC38+AC39+AC40</f>
        <v>-39503.4188346667</v>
      </c>
      <c r="AD41" s="60" t="n">
        <f aca="false">AD34+AD35+AD36+AD37+AD38+AD39+AD40</f>
        <v>-39503.4188346667</v>
      </c>
      <c r="AE41" s="60" t="n">
        <f aca="false">AE34+AE35+AE36+AE37+AE38+AE39+AE40</f>
        <v>-39503.4188346667</v>
      </c>
      <c r="AF41" s="60" t="n">
        <f aca="false">AF34+AF35+AF36+AF37+AF38+AF39+AF40</f>
        <v>-39503.4188346667</v>
      </c>
      <c r="AG41" s="60" t="n">
        <f aca="false">AG34+AG35+AG36+AG37+AG38+AG39+AG40</f>
        <v>-39503.4188346667</v>
      </c>
      <c r="AH41" s="60" t="n">
        <f aca="false">AH34+AH35+AH36+AH37+AH38+AH39+AH40</f>
        <v>-39503.4188346667</v>
      </c>
      <c r="AI41" s="60" t="n">
        <f aca="false">AI34+AI35+AI36+AI37+AI38+AI39+AI40</f>
        <v>-39503.4188346667</v>
      </c>
      <c r="AJ41" s="60" t="n">
        <f aca="false">AJ34+AJ35+AJ36+AJ37+AJ38+AJ39+AJ40</f>
        <v>-39503.4188346667</v>
      </c>
      <c r="AK41" s="60" t="n">
        <f aca="false">AK34+AK35+AK36+AK37+AK38+AK39+AK40</f>
        <v>-39503.4188346667</v>
      </c>
      <c r="AL41" s="60" t="n">
        <f aca="false">AL34+AL35+AL36+AL37+AL38+AL39+AL40</f>
        <v>-39503.4188346667</v>
      </c>
      <c r="AM41" s="60" t="n">
        <f aca="false">AM34+AM35+AM36+AM37+AM38+AM39+AM40</f>
        <v>-40236.7213997067</v>
      </c>
      <c r="AN41" s="60" t="n">
        <f aca="false">AN34+AN35+AN36+AN37+AN38+AN39+AN40</f>
        <v>-40236.7213997067</v>
      </c>
      <c r="AO41" s="60" t="n">
        <f aca="false">AO34+AO35+AO36+AO37+AO38+AO39+AO40</f>
        <v>-40236.7213997067</v>
      </c>
      <c r="AP41" s="60" t="n">
        <f aca="false">AP34+AP35+AP36+AP37+AP38+AP39+AP40</f>
        <v>-40236.7213997067</v>
      </c>
      <c r="AQ41" s="60" t="n">
        <f aca="false">AQ34+AQ35+AQ36+AQ37+AQ38+AQ39+AQ40</f>
        <v>-40236.7213997067</v>
      </c>
      <c r="AR41" s="60" t="n">
        <f aca="false">AR34+AR35+AR36+AR37+AR38+AR39+AR40</f>
        <v>-40236.7213997067</v>
      </c>
      <c r="AS41" s="60" t="n">
        <f aca="false">AS34+AS35+AS36+AS37+AS38+AS39+AS40</f>
        <v>-40236.7213997067</v>
      </c>
      <c r="AT41" s="60" t="n">
        <f aca="false">AT34+AT35+AT36+AT37+AT38+AT39+AT40</f>
        <v>-40236.7213997067</v>
      </c>
      <c r="AU41" s="60" t="n">
        <f aca="false">AU34+AU35+AU36+AU37+AU38+AU39+AU40</f>
        <v>-40236.7213997067</v>
      </c>
      <c r="AV41" s="60" t="n">
        <f aca="false">AV34+AV35+AV36+AV37+AV38+AV39+AV40</f>
        <v>-40236.7213997067</v>
      </c>
      <c r="AW41" s="60" t="n">
        <f aca="false">AW34+AW35+AW36+AW37+AW38+AW39+AW40</f>
        <v>-40236.7213997067</v>
      </c>
      <c r="AX41" s="60" t="n">
        <f aca="false">AX34+AX35+AX36+AX37+AX38+AX39+AX40</f>
        <v>-40236.7213997067</v>
      </c>
      <c r="AY41" s="60" t="n">
        <f aca="false">AY34+AY35+AY36+AY37+AY38+AY39+AY40</f>
        <v>-40996.4330416979</v>
      </c>
      <c r="AZ41" s="60" t="n">
        <f aca="false">AZ34+AZ35+AZ36+AZ37+AZ38+AZ39+AZ40</f>
        <v>-40996.4330416979</v>
      </c>
      <c r="BA41" s="60" t="n">
        <f aca="false">BA34+BA35+BA36+BA37+BA38+BA39+BA40</f>
        <v>-40996.4330416979</v>
      </c>
      <c r="BB41" s="60" t="n">
        <f aca="false">BB34+BB35+BB36+BB37+BB38+BB39+BB40</f>
        <v>-40996.4330416979</v>
      </c>
      <c r="BC41" s="60" t="n">
        <f aca="false">BC34+BC35+BC36+BC37+BC38+BC39+BC40</f>
        <v>-40996.4330416979</v>
      </c>
      <c r="BD41" s="60" t="n">
        <f aca="false">BD34+BD35+BD36+BD37+BD38+BD39+BD40</f>
        <v>-40996.4330416979</v>
      </c>
      <c r="BE41" s="60" t="n">
        <f aca="false">BE34+BE35+BE36+BE37+BE38+BE39+BE40</f>
        <v>-40996.4330416979</v>
      </c>
      <c r="BF41" s="60" t="n">
        <f aca="false">BF34+BF35+BF36+BF37+BF38+BF39+BF40</f>
        <v>-40996.4330416979</v>
      </c>
      <c r="BG41" s="60" t="n">
        <f aca="false">BG34+BG35+BG36+BG37+BG38+BG39+BG40</f>
        <v>-40996.4330416979</v>
      </c>
      <c r="BH41" s="60" t="n">
        <f aca="false">BH34+BH35+BH36+BH37+BH38+BH39+BH40</f>
        <v>-40996.4330416979</v>
      </c>
      <c r="BI41" s="60" t="n">
        <f aca="false">BI34+BI35+BI36+BI37+BI38+BI39+BI40</f>
        <v>-40996.4330416979</v>
      </c>
      <c r="BJ41" s="60" t="n">
        <f aca="false">BJ34+BJ35+BJ36+BJ37+BJ38+BJ39+BJ40</f>
        <v>-40996.4330416979</v>
      </c>
    </row>
    <row r="42" customFormat="false" ht="15" hidden="false" customHeight="false" outlineLevel="0" collapsed="false">
      <c r="A42" s="83" t="s">
        <v>44</v>
      </c>
      <c r="C42" s="60" t="n">
        <f aca="false">C31+C41</f>
        <v>-27858.9366666667</v>
      </c>
      <c r="D42" s="60" t="n">
        <f aca="false">D31+D41</f>
        <v>-25078.2919866667</v>
      </c>
      <c r="E42" s="60" t="n">
        <f aca="false">E31+E41</f>
        <v>-22464.4859874667</v>
      </c>
      <c r="F42" s="60" t="n">
        <f aca="false">F31+F41</f>
        <v>-20007.5083482187</v>
      </c>
      <c r="G42" s="60" t="n">
        <f aca="false">G31+G41</f>
        <v>-17697.9493673256</v>
      </c>
      <c r="H42" s="60" t="n">
        <f aca="false">H31+H41</f>
        <v>-15526.963925286</v>
      </c>
      <c r="I42" s="60" t="n">
        <f aca="false">I31+I41</f>
        <v>-13486.2376097689</v>
      </c>
      <c r="J42" s="60" t="n">
        <f aca="false">J31+J41</f>
        <v>-11567.9548731827</v>
      </c>
      <c r="K42" s="60" t="n">
        <f aca="false">K31+K41</f>
        <v>-9764.76910079178</v>
      </c>
      <c r="L42" s="60" t="n">
        <f aca="false">L31+L41</f>
        <v>-8069.77447474427</v>
      </c>
      <c r="M42" s="60" t="n">
        <f aca="false">M31+M41</f>
        <v>-6476.47952625962</v>
      </c>
      <c r="N42" s="60" t="n">
        <f aca="false">N31+N41</f>
        <v>-4978.78227468404</v>
      </c>
      <c r="O42" s="60" t="n">
        <f aca="false">O31+O41</f>
        <v>-2964.3760051491</v>
      </c>
      <c r="P42" s="60" t="n">
        <f aca="false">P31+P41</f>
        <v>-1340.36169972015</v>
      </c>
      <c r="Q42" s="60" t="n">
        <f aca="false">Q31+Q41</f>
        <v>186.211747383044</v>
      </c>
      <c r="R42" s="60" t="n">
        <f aca="false">R31+R41</f>
        <v>1621.19078766005</v>
      </c>
      <c r="S42" s="60" t="n">
        <f aca="false">S31+S41</f>
        <v>2970.07108552046</v>
      </c>
      <c r="T42" s="60" t="n">
        <f aca="false">T31+T41</f>
        <v>4238.01856550924</v>
      </c>
      <c r="U42" s="60" t="n">
        <f aca="false">U31+U41</f>
        <v>5429.88919669868</v>
      </c>
      <c r="V42" s="60" t="n">
        <f aca="false">V31+V41</f>
        <v>5987.17291263794</v>
      </c>
      <c r="W42" s="60" t="n">
        <f aca="false">W31+W41</f>
        <v>6027.98773333333</v>
      </c>
      <c r="X42" s="60" t="n">
        <f aca="false">X31+X41</f>
        <v>6027.98773333333</v>
      </c>
      <c r="Y42" s="60" t="n">
        <f aca="false">Y31+Y41</f>
        <v>6027.98773333333</v>
      </c>
      <c r="Z42" s="60" t="n">
        <f aca="false">Z31+Z41</f>
        <v>6027.98773333333</v>
      </c>
      <c r="AA42" s="60" t="n">
        <f aca="false">AA31+AA41</f>
        <v>6664.82736533334</v>
      </c>
      <c r="AB42" s="60" t="n">
        <f aca="false">AB31+AB41</f>
        <v>6664.82736533334</v>
      </c>
      <c r="AC42" s="60" t="n">
        <f aca="false">AC31+AC41</f>
        <v>6664.82736533334</v>
      </c>
      <c r="AD42" s="60" t="n">
        <f aca="false">AD31+AD41</f>
        <v>6664.82736533334</v>
      </c>
      <c r="AE42" s="60" t="n">
        <f aca="false">AE31+AE41</f>
        <v>6664.82736533334</v>
      </c>
      <c r="AF42" s="60" t="n">
        <f aca="false">AF31+AF41</f>
        <v>6664.82736533334</v>
      </c>
      <c r="AG42" s="60" t="n">
        <f aca="false">AG31+AG41</f>
        <v>6664.82736533334</v>
      </c>
      <c r="AH42" s="60" t="n">
        <f aca="false">AH31+AH41</f>
        <v>6664.82736533334</v>
      </c>
      <c r="AI42" s="60" t="n">
        <f aca="false">AI31+AI41</f>
        <v>6664.82736533334</v>
      </c>
      <c r="AJ42" s="60" t="n">
        <f aca="false">AJ31+AJ41</f>
        <v>6664.82736533334</v>
      </c>
      <c r="AK42" s="60" t="n">
        <f aca="false">AK31+AK41</f>
        <v>6664.82736533334</v>
      </c>
      <c r="AL42" s="60" t="n">
        <f aca="false">AL31+AL41</f>
        <v>6664.82736533334</v>
      </c>
      <c r="AM42" s="60" t="n">
        <f aca="false">AM31+AM41</f>
        <v>7316.57218629335</v>
      </c>
      <c r="AN42" s="60" t="n">
        <f aca="false">AN31+AN41</f>
        <v>7316.57218629335</v>
      </c>
      <c r="AO42" s="60" t="n">
        <f aca="false">AO31+AO41</f>
        <v>7316.57218629335</v>
      </c>
      <c r="AP42" s="60" t="n">
        <f aca="false">AP31+AP41</f>
        <v>7316.57218629335</v>
      </c>
      <c r="AQ42" s="60" t="n">
        <f aca="false">AQ31+AQ41</f>
        <v>7316.57218629335</v>
      </c>
      <c r="AR42" s="60" t="n">
        <f aca="false">AR31+AR41</f>
        <v>7316.57218629335</v>
      </c>
      <c r="AS42" s="60" t="n">
        <f aca="false">AS31+AS41</f>
        <v>7316.57218629335</v>
      </c>
      <c r="AT42" s="60" t="n">
        <f aca="false">AT31+AT41</f>
        <v>7316.57218629335</v>
      </c>
      <c r="AU42" s="60" t="n">
        <f aca="false">AU31+AU41</f>
        <v>7316.57218629335</v>
      </c>
      <c r="AV42" s="60" t="n">
        <f aca="false">AV31+AV41</f>
        <v>7316.57218629335</v>
      </c>
      <c r="AW42" s="60" t="n">
        <f aca="false">AW31+AW41</f>
        <v>7316.57218629335</v>
      </c>
      <c r="AX42" s="60" t="n">
        <f aca="false">AX31+AX41</f>
        <v>7316.57218629335</v>
      </c>
      <c r="AY42" s="60" t="n">
        <f aca="false">AY31+AY41</f>
        <v>7983.45935188214</v>
      </c>
      <c r="AZ42" s="60" t="n">
        <f aca="false">AZ31+AZ41</f>
        <v>7983.45935188214</v>
      </c>
      <c r="BA42" s="60" t="n">
        <f aca="false">BA31+BA41</f>
        <v>7983.45935188214</v>
      </c>
      <c r="BB42" s="60" t="n">
        <f aca="false">BB31+BB41</f>
        <v>7983.45935188214</v>
      </c>
      <c r="BC42" s="60" t="n">
        <f aca="false">BC31+BC41</f>
        <v>7983.45935188214</v>
      </c>
      <c r="BD42" s="60" t="n">
        <f aca="false">BD31+BD41</f>
        <v>7983.45935188214</v>
      </c>
      <c r="BE42" s="60" t="n">
        <f aca="false">BE31+BE41</f>
        <v>7983.45935188214</v>
      </c>
      <c r="BF42" s="60" t="n">
        <f aca="false">BF31+BF41</f>
        <v>7983.45935188214</v>
      </c>
      <c r="BG42" s="60" t="n">
        <f aca="false">BG31+BG41</f>
        <v>7983.45935188214</v>
      </c>
      <c r="BH42" s="60" t="n">
        <f aca="false">BH31+BH41</f>
        <v>7983.45935188214</v>
      </c>
      <c r="BI42" s="60" t="n">
        <f aca="false">BI31+BI41</f>
        <v>7983.45935188214</v>
      </c>
      <c r="BJ42" s="60" t="n">
        <f aca="false">BJ31+BJ41</f>
        <v>7983.45935188214</v>
      </c>
    </row>
    <row r="44" customFormat="false" ht="15.75" hidden="false" customHeight="true" outlineLevel="0" collapsed="false">
      <c r="A44" s="7" t="s">
        <v>342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4" t="s">
        <v>95</v>
      </c>
      <c r="C45" s="64" t="n">
        <f aca="false">C42+C56</f>
        <v>-30835.1271428571</v>
      </c>
      <c r="D45" s="64" t="n">
        <f aca="false">D42+D56</f>
        <v>-28054.4824628572</v>
      </c>
      <c r="E45" s="64" t="n">
        <f aca="false">E42+E56</f>
        <v>-25440.6764636572</v>
      </c>
      <c r="F45" s="64" t="n">
        <f aca="false">F42+F56</f>
        <v>-22983.6988244092</v>
      </c>
      <c r="G45" s="64" t="n">
        <f aca="false">G42+G56</f>
        <v>-20674.139843516</v>
      </c>
      <c r="H45" s="64" t="n">
        <f aca="false">H42+H56</f>
        <v>-18503.1544014765</v>
      </c>
      <c r="I45" s="64" t="n">
        <f aca="false">I42+I56</f>
        <v>-16462.4280859593</v>
      </c>
      <c r="J45" s="64" t="n">
        <f aca="false">J42+J56</f>
        <v>-14544.1453493732</v>
      </c>
      <c r="K45" s="64" t="n">
        <f aca="false">K42+K56</f>
        <v>-12740.9595769823</v>
      </c>
      <c r="L45" s="64" t="n">
        <f aca="false">L42+L56</f>
        <v>-11045.9649509347</v>
      </c>
      <c r="M45" s="64" t="n">
        <f aca="false">M42+M56</f>
        <v>-9452.67000245009</v>
      </c>
      <c r="N45" s="64" t="n">
        <f aca="false">N42+N56</f>
        <v>-7954.97275087452</v>
      </c>
      <c r="O45" s="64" t="n">
        <f aca="false">O42+O56</f>
        <v>-5940.56648133957</v>
      </c>
      <c r="P45" s="64" t="n">
        <f aca="false">P42+P56</f>
        <v>-4316.55217591062</v>
      </c>
      <c r="Q45" s="64" t="n">
        <f aca="false">Q42+Q56</f>
        <v>-2789.97872880743</v>
      </c>
      <c r="R45" s="64" t="n">
        <f aca="false">R42+R56</f>
        <v>-1354.99968853042</v>
      </c>
      <c r="S45" s="64" t="n">
        <f aca="false">S42+S56</f>
        <v>-6.1193906700164</v>
      </c>
      <c r="T45" s="64" t="n">
        <f aca="false">T42+T56</f>
        <v>1261.82808931876</v>
      </c>
      <c r="U45" s="64" t="n">
        <f aca="false">U42+U56</f>
        <v>2453.6987205082</v>
      </c>
      <c r="V45" s="64" t="n">
        <f aca="false">V42+V56</f>
        <v>3010.98243644747</v>
      </c>
      <c r="W45" s="64" t="n">
        <f aca="false">W42+W56</f>
        <v>3051.79725714285</v>
      </c>
      <c r="X45" s="64" t="n">
        <f aca="false">X42+X56</f>
        <v>3051.79725714285</v>
      </c>
      <c r="Y45" s="64" t="n">
        <f aca="false">Y42+Y56</f>
        <v>3051.79725714285</v>
      </c>
      <c r="Z45" s="64" t="n">
        <f aca="false">Z42+Z56</f>
        <v>3051.79725714285</v>
      </c>
      <c r="AA45" s="64" t="n">
        <f aca="false">AA42+AA56</f>
        <v>3688.63688914286</v>
      </c>
      <c r="AB45" s="64" t="n">
        <f aca="false">AB42+AB56</f>
        <v>3688.63688914286</v>
      </c>
      <c r="AC45" s="64" t="n">
        <f aca="false">AC42+AC56</f>
        <v>3688.63688914286</v>
      </c>
      <c r="AD45" s="64" t="n">
        <f aca="false">AD42+AD56</f>
        <v>3688.63688914286</v>
      </c>
      <c r="AE45" s="64" t="n">
        <f aca="false">AE42+AE56</f>
        <v>3688.63688914286</v>
      </c>
      <c r="AF45" s="64" t="n">
        <f aca="false">AF42+AF56</f>
        <v>3688.63688914286</v>
      </c>
      <c r="AG45" s="64" t="n">
        <f aca="false">AG42+AG56</f>
        <v>3688.63688914286</v>
      </c>
      <c r="AH45" s="64" t="n">
        <f aca="false">AH42+AH56</f>
        <v>3688.63688914286</v>
      </c>
      <c r="AI45" s="64" t="n">
        <f aca="false">AI42+AI56</f>
        <v>3688.63688914286</v>
      </c>
      <c r="AJ45" s="64" t="n">
        <f aca="false">AJ42+AJ56</f>
        <v>3688.63688914286</v>
      </c>
      <c r="AK45" s="64" t="n">
        <f aca="false">AK42+AK56</f>
        <v>3688.63688914286</v>
      </c>
      <c r="AL45" s="64" t="n">
        <f aca="false">AL42+AL56</f>
        <v>3688.63688914286</v>
      </c>
      <c r="AM45" s="64" t="n">
        <f aca="false">AM42+AM56</f>
        <v>4340.38171010287</v>
      </c>
      <c r="AN45" s="64" t="n">
        <f aca="false">AN42+AN56</f>
        <v>4340.38171010287</v>
      </c>
      <c r="AO45" s="64" t="n">
        <f aca="false">AO42+AO56</f>
        <v>4340.38171010287</v>
      </c>
      <c r="AP45" s="64" t="n">
        <f aca="false">AP42+AP56</f>
        <v>4340.38171010287</v>
      </c>
      <c r="AQ45" s="64" t="n">
        <f aca="false">AQ42+AQ56</f>
        <v>4340.38171010287</v>
      </c>
      <c r="AR45" s="64" t="n">
        <f aca="false">AR42+AR56</f>
        <v>4340.38171010287</v>
      </c>
      <c r="AS45" s="64" t="n">
        <f aca="false">AS42+AS56</f>
        <v>4340.38171010287</v>
      </c>
      <c r="AT45" s="64" t="n">
        <f aca="false">AT42+AT56</f>
        <v>4340.38171010287</v>
      </c>
      <c r="AU45" s="64" t="n">
        <f aca="false">AU42+AU56</f>
        <v>4340.38171010287</v>
      </c>
      <c r="AV45" s="64" t="n">
        <f aca="false">AV42+AV56</f>
        <v>4340.38171010287</v>
      </c>
      <c r="AW45" s="64" t="n">
        <f aca="false">AW42+AW56</f>
        <v>4340.38171010287</v>
      </c>
      <c r="AX45" s="64" t="n">
        <f aca="false">AX42+AX56</f>
        <v>4340.38171010287</v>
      </c>
      <c r="AY45" s="64" t="n">
        <f aca="false">AY42+AY56</f>
        <v>5007.26887569166</v>
      </c>
      <c r="AZ45" s="64" t="n">
        <f aca="false">AZ42+AZ56</f>
        <v>5007.26887569166</v>
      </c>
      <c r="BA45" s="64" t="n">
        <f aca="false">BA42+BA56</f>
        <v>5007.26887569166</v>
      </c>
      <c r="BB45" s="64" t="n">
        <f aca="false">BB42+BB56</f>
        <v>5007.26887569166</v>
      </c>
      <c r="BC45" s="64" t="n">
        <f aca="false">BC42+BC56</f>
        <v>5007.26887569166</v>
      </c>
      <c r="BD45" s="64" t="n">
        <f aca="false">BD42+BD56</f>
        <v>5007.26887569166</v>
      </c>
      <c r="BE45" s="64" t="n">
        <f aca="false">BE42+BE56</f>
        <v>5007.26887569166</v>
      </c>
      <c r="BF45" s="64" t="n">
        <f aca="false">BF42+BF56</f>
        <v>5007.26887569166</v>
      </c>
      <c r="BG45" s="64" t="n">
        <f aca="false">BG42+BG56</f>
        <v>5007.26887569166</v>
      </c>
      <c r="BH45" s="64" t="n">
        <f aca="false">BH42+BH56</f>
        <v>5007.26887569166</v>
      </c>
      <c r="BI45" s="64" t="n">
        <f aca="false">BI42+BI56</f>
        <v>5007.26887569166</v>
      </c>
      <c r="BJ45" s="64" t="n">
        <f aca="false">BJ42+BJ56</f>
        <v>5007.26887569166</v>
      </c>
    </row>
    <row r="46" customFormat="false" ht="15" hidden="false" customHeight="false" outlineLevel="0" collapsed="false">
      <c r="A46" s="6" t="s">
        <v>343</v>
      </c>
      <c r="C46" s="59" t="n">
        <f aca="false">-(C61+C62+C64)/2*Inputs!$E$56/12</f>
        <v>-1000</v>
      </c>
      <c r="D46" s="59" t="n">
        <f aca="false">-(D61+D62+D64)/2*Inputs!$E$56/12</f>
        <v>-994.047619047619</v>
      </c>
      <c r="E46" s="59" t="n">
        <f aca="false">-(E61+E62+E64)/2*Inputs!$E$56/12</f>
        <v>-982.142857142857</v>
      </c>
      <c r="F46" s="59" t="n">
        <f aca="false">-(F61+F62+F64)/2*Inputs!$E$56/12</f>
        <v>-970.238095238095</v>
      </c>
      <c r="G46" s="59" t="n">
        <f aca="false">-(G61+G62+G64)/2*Inputs!$E$56/12</f>
        <v>-958.333333333333</v>
      </c>
      <c r="H46" s="59" t="n">
        <f aca="false">-(H61+H62+H64)/2*Inputs!$E$56/12</f>
        <v>-946.428571428571</v>
      </c>
      <c r="I46" s="59" t="n">
        <f aca="false">-(I61+I62+I64)/2*Inputs!$E$56/12</f>
        <v>-934.52380952381</v>
      </c>
      <c r="J46" s="59" t="n">
        <f aca="false">-(J61+J62+J64)/2*Inputs!$E$56/12</f>
        <v>-922.619047619047</v>
      </c>
      <c r="K46" s="59" t="n">
        <f aca="false">-(K61+K62+K64)/2*Inputs!$E$56/12</f>
        <v>-910.714285714286</v>
      </c>
      <c r="L46" s="59" t="n">
        <f aca="false">-(L61+L62+L64)/2*Inputs!$E$56/12</f>
        <v>-898.809523809524</v>
      </c>
      <c r="M46" s="59" t="n">
        <f aca="false">-(M61+M62+M64)/2*Inputs!$E$56/12</f>
        <v>-886.904761904762</v>
      </c>
      <c r="N46" s="59" t="n">
        <f aca="false">-(N61+N62+N64)/2*Inputs!$E$56/12</f>
        <v>-875</v>
      </c>
      <c r="O46" s="59" t="n">
        <f aca="false">-(O61+O62+O64)/2*Inputs!$E$56/12</f>
        <v>-863.095238095238</v>
      </c>
      <c r="P46" s="59" t="n">
        <f aca="false">-(P61+P62+P64)/2*Inputs!$E$56/12</f>
        <v>-851.190476190476</v>
      </c>
      <c r="Q46" s="59" t="n">
        <f aca="false">-(Q61+Q62+Q64)/2*Inputs!$E$56/12</f>
        <v>-839.285714285714</v>
      </c>
      <c r="R46" s="59" t="n">
        <f aca="false">-(R61+R62+R64)/2*Inputs!$E$56/12</f>
        <v>-827.380952380952</v>
      </c>
      <c r="S46" s="59" t="n">
        <f aca="false">-(S61+S62+S64)/2*Inputs!$E$56/12</f>
        <v>-815.47619047619</v>
      </c>
      <c r="T46" s="59" t="n">
        <f aca="false">-(T61+T62+T64)/2*Inputs!$E$56/12</f>
        <v>-803.571428571428</v>
      </c>
      <c r="U46" s="59" t="n">
        <f aca="false">-(U61+U62+U64)/2*Inputs!$E$56/12</f>
        <v>-791.666666666666</v>
      </c>
      <c r="V46" s="59" t="n">
        <f aca="false">-(V61+V62+V64)/2*Inputs!$E$56/12</f>
        <v>-779.761904761904</v>
      </c>
      <c r="W46" s="59" t="n">
        <f aca="false">-(W61+W62+W64)/2*Inputs!$E$56/12</f>
        <v>-767.857142857142</v>
      </c>
      <c r="X46" s="59" t="n">
        <f aca="false">-(X61+X62+X64)/2*Inputs!$E$56/12</f>
        <v>-755.95238095238</v>
      </c>
      <c r="Y46" s="59" t="n">
        <f aca="false">-(Y61+Y62+Y64)/2*Inputs!$E$56/12</f>
        <v>-744.047619047619</v>
      </c>
      <c r="Z46" s="59" t="n">
        <f aca="false">-(Z61+Z62+Z64)/2*Inputs!$E$56/12</f>
        <v>-732.142857142857</v>
      </c>
      <c r="AA46" s="59" t="n">
        <f aca="false">-(AA61+AA62+AA64)/2*Inputs!$E$56/12</f>
        <v>-720.238095238095</v>
      </c>
      <c r="AB46" s="59" t="n">
        <f aca="false">-(AB61+AB62+AB64)/2*Inputs!$E$56/12</f>
        <v>-708.333333333333</v>
      </c>
      <c r="AC46" s="59" t="n">
        <f aca="false">-(AC61+AC62+AC64)/2*Inputs!$E$56/12</f>
        <v>-696.428571428571</v>
      </c>
      <c r="AD46" s="59" t="n">
        <f aca="false">-(AD61+AD62+AD64)/2*Inputs!$E$56/12</f>
        <v>-684.523809523809</v>
      </c>
      <c r="AE46" s="59" t="n">
        <f aca="false">-(AE61+AE62+AE64)/2*Inputs!$E$56/12</f>
        <v>-672.619047619047</v>
      </c>
      <c r="AF46" s="59" t="n">
        <f aca="false">-(AF61+AF62+AF64)/2*Inputs!$E$56/12</f>
        <v>-660.714285714285</v>
      </c>
      <c r="AG46" s="59" t="n">
        <f aca="false">-(AG61+AG62+AG64)/2*Inputs!$E$56/12</f>
        <v>-648.809523809523</v>
      </c>
      <c r="AH46" s="59" t="n">
        <f aca="false">-(AH61+AH62+AH64)/2*Inputs!$E$56/12</f>
        <v>-636.904761904761</v>
      </c>
      <c r="AI46" s="59" t="n">
        <f aca="false">-(AI61+AI62+AI64)/2*Inputs!$E$56/12</f>
        <v>-624.999999999999</v>
      </c>
      <c r="AJ46" s="59" t="n">
        <f aca="false">-(AJ61+AJ62+AJ64)/2*Inputs!$E$56/12</f>
        <v>-613.095238095237</v>
      </c>
      <c r="AK46" s="59" t="n">
        <f aca="false">-(AK61+AK62+AK64)/2*Inputs!$E$56/12</f>
        <v>-601.190476190475</v>
      </c>
      <c r="AL46" s="59" t="n">
        <f aca="false">-(AL61+AL62+AL64)/2*Inputs!$E$56/12</f>
        <v>-589.285714285713</v>
      </c>
      <c r="AM46" s="59" t="n">
        <f aca="false">-(AM61+AM62+AM64)/2*Inputs!$E$56/12</f>
        <v>-577.380952380951</v>
      </c>
      <c r="AN46" s="59" t="n">
        <f aca="false">-(AN61+AN62+AN64)/2*Inputs!$E$56/12</f>
        <v>-565.47619047619</v>
      </c>
      <c r="AO46" s="59" t="n">
        <f aca="false">-(AO61+AO62+AO64)/2*Inputs!$E$56/12</f>
        <v>-553.571428571428</v>
      </c>
      <c r="AP46" s="59" t="n">
        <f aca="false">-(AP61+AP62+AP64)/2*Inputs!$E$56/12</f>
        <v>-541.666666666666</v>
      </c>
      <c r="AQ46" s="59" t="n">
        <f aca="false">-(AQ61+AQ62+AQ64)/2*Inputs!$E$56/12</f>
        <v>-529.761904761904</v>
      </c>
      <c r="AR46" s="59" t="n">
        <f aca="false">-(AR61+AR62+AR64)/2*Inputs!$E$56/12</f>
        <v>-517.857142857142</v>
      </c>
      <c r="AS46" s="59" t="n">
        <f aca="false">-(AS61+AS62+AS64)/2*Inputs!$E$56/12</f>
        <v>-505.95238095238</v>
      </c>
      <c r="AT46" s="59" t="n">
        <f aca="false">-(AT61+AT62+AT64)/2*Inputs!$E$56/12</f>
        <v>-494.047619047618</v>
      </c>
      <c r="AU46" s="59" t="n">
        <f aca="false">-(AU61+AU62+AU64)/2*Inputs!$E$56/12</f>
        <v>-482.142857142856</v>
      </c>
      <c r="AV46" s="59" t="n">
        <f aca="false">-(AV61+AV62+AV64)/2*Inputs!$E$56/12</f>
        <v>-470.238095238094</v>
      </c>
      <c r="AW46" s="59" t="n">
        <f aca="false">-(AW61+AW62+AW64)/2*Inputs!$E$56/12</f>
        <v>-458.333333333332</v>
      </c>
      <c r="AX46" s="59" t="n">
        <f aca="false">-(AX61+AX62+AX64)/2*Inputs!$E$56/12</f>
        <v>-446.42857142857</v>
      </c>
      <c r="AY46" s="59" t="n">
        <f aca="false">-(AY61+AY62+AY64)/2*Inputs!$E$56/12</f>
        <v>-434.523809523808</v>
      </c>
      <c r="AZ46" s="59" t="n">
        <f aca="false">-(AZ61+AZ62+AZ64)/2*Inputs!$E$56/12</f>
        <v>-422.619047619046</v>
      </c>
      <c r="BA46" s="59" t="n">
        <f aca="false">-(BA61+BA62+BA64)/2*Inputs!$E$56/12</f>
        <v>-410.714285714284</v>
      </c>
      <c r="BB46" s="59" t="n">
        <f aca="false">-(BB61+BB62+BB64)/2*Inputs!$E$56/12</f>
        <v>-398.809523809523</v>
      </c>
      <c r="BC46" s="59" t="n">
        <f aca="false">-(BC61+BC62+BC64)/2*Inputs!$E$56/12</f>
        <v>-386.904761904761</v>
      </c>
      <c r="BD46" s="59" t="n">
        <f aca="false">-(BD61+BD62+BD64)/2*Inputs!$E$56/12</f>
        <v>-374.999999999999</v>
      </c>
      <c r="BE46" s="59" t="n">
        <f aca="false">-(BE61+BE62+BE64)/2*Inputs!$E$56/12</f>
        <v>-363.095238095237</v>
      </c>
      <c r="BF46" s="59" t="n">
        <f aca="false">-(BF61+BF62+BF64)/2*Inputs!$E$56/12</f>
        <v>-351.190476190475</v>
      </c>
      <c r="BG46" s="59" t="n">
        <f aca="false">-(BG61+BG62+BG64)/2*Inputs!$E$56/12</f>
        <v>-339.285714285713</v>
      </c>
      <c r="BH46" s="59" t="n">
        <f aca="false">-(BH61+BH62+BH64)/2*Inputs!$E$56/12</f>
        <v>-327.380952380951</v>
      </c>
      <c r="BI46" s="59" t="n">
        <f aca="false">-(BI61+BI62+BI64)/2*Inputs!$E$56/12</f>
        <v>-315.476190476189</v>
      </c>
      <c r="BJ46" s="59" t="n">
        <f aca="false">-(BJ61+BJ62+BJ64)/2*Inputs!$E$56/12</f>
        <v>-303.571428571428</v>
      </c>
    </row>
    <row r="47" customFormat="false" ht="15" hidden="false" customHeight="false" outlineLevel="0" collapsed="false">
      <c r="A47" s="83" t="s">
        <v>97</v>
      </c>
      <c r="C47" s="60" t="n">
        <f aca="false">C45+C46</f>
        <v>-31835.1271428571</v>
      </c>
      <c r="D47" s="60" t="n">
        <f aca="false">D45+D46</f>
        <v>-29048.5300819048</v>
      </c>
      <c r="E47" s="60" t="n">
        <f aca="false">E45+E46</f>
        <v>-26422.8193208</v>
      </c>
      <c r="F47" s="60" t="n">
        <f aca="false">F45+F46</f>
        <v>-23953.9369196472</v>
      </c>
      <c r="G47" s="60" t="n">
        <f aca="false">G45+G46</f>
        <v>-21632.4731768494</v>
      </c>
      <c r="H47" s="60" t="n">
        <f aca="false">H45+H46</f>
        <v>-19449.5829729051</v>
      </c>
      <c r="I47" s="60" t="n">
        <f aca="false">I45+I46</f>
        <v>-17396.9518954832</v>
      </c>
      <c r="J47" s="60" t="n">
        <f aca="false">J45+J46</f>
        <v>-15466.7643969923</v>
      </c>
      <c r="K47" s="60" t="n">
        <f aca="false">K45+K46</f>
        <v>-13651.6738626965</v>
      </c>
      <c r="L47" s="60" t="n">
        <f aca="false">L45+L46</f>
        <v>-11944.7744747443</v>
      </c>
      <c r="M47" s="60" t="n">
        <f aca="false">M45+M46</f>
        <v>-10339.5747643549</v>
      </c>
      <c r="N47" s="60" t="n">
        <f aca="false">N45+N46</f>
        <v>-8829.97275087452</v>
      </c>
      <c r="O47" s="60" t="n">
        <f aca="false">O45+O46</f>
        <v>-6803.66171943481</v>
      </c>
      <c r="P47" s="60" t="n">
        <f aca="false">P45+P46</f>
        <v>-5167.7426521011</v>
      </c>
      <c r="Q47" s="60" t="n">
        <f aca="false">Q45+Q46</f>
        <v>-3629.26444309315</v>
      </c>
      <c r="R47" s="60" t="n">
        <f aca="false">R45+R46</f>
        <v>-2182.38064091138</v>
      </c>
      <c r="S47" s="60" t="n">
        <f aca="false">S45+S46</f>
        <v>-821.595581146206</v>
      </c>
      <c r="T47" s="60" t="n">
        <f aca="false">T45+T46</f>
        <v>458.256660747331</v>
      </c>
      <c r="U47" s="60" t="n">
        <f aca="false">U45+U46</f>
        <v>1662.03205384154</v>
      </c>
      <c r="V47" s="60" t="n">
        <f aca="false">V45+V46</f>
        <v>2231.22053168556</v>
      </c>
      <c r="W47" s="60" t="n">
        <f aca="false">W45+W46</f>
        <v>2283.94011428571</v>
      </c>
      <c r="X47" s="60" t="n">
        <f aca="false">X45+X46</f>
        <v>2295.84487619047</v>
      </c>
      <c r="Y47" s="60" t="n">
        <f aca="false">Y45+Y46</f>
        <v>2307.74963809523</v>
      </c>
      <c r="Z47" s="60" t="n">
        <f aca="false">Z45+Z46</f>
        <v>2319.6544</v>
      </c>
      <c r="AA47" s="60" t="n">
        <f aca="false">AA45+AA46</f>
        <v>2968.39879390477</v>
      </c>
      <c r="AB47" s="60" t="n">
        <f aca="false">AB45+AB46</f>
        <v>2980.30355580953</v>
      </c>
      <c r="AC47" s="60" t="n">
        <f aca="false">AC45+AC46</f>
        <v>2992.20831771429</v>
      </c>
      <c r="AD47" s="60" t="n">
        <f aca="false">AD45+AD46</f>
        <v>3004.11307961905</v>
      </c>
      <c r="AE47" s="60" t="n">
        <f aca="false">AE45+AE46</f>
        <v>3016.01784152382</v>
      </c>
      <c r="AF47" s="60" t="n">
        <f aca="false">AF45+AF46</f>
        <v>3027.92260342858</v>
      </c>
      <c r="AG47" s="60" t="n">
        <f aca="false">AG45+AG46</f>
        <v>3039.82736533334</v>
      </c>
      <c r="AH47" s="60" t="n">
        <f aca="false">AH45+AH46</f>
        <v>3051.7321272381</v>
      </c>
      <c r="AI47" s="60" t="n">
        <f aca="false">AI45+AI46</f>
        <v>3063.63688914286</v>
      </c>
      <c r="AJ47" s="60" t="n">
        <f aca="false">AJ45+AJ46</f>
        <v>3075.54165104763</v>
      </c>
      <c r="AK47" s="60" t="n">
        <f aca="false">AK45+AK46</f>
        <v>3087.44641295239</v>
      </c>
      <c r="AL47" s="60" t="n">
        <f aca="false">AL45+AL46</f>
        <v>3099.35117485715</v>
      </c>
      <c r="AM47" s="60" t="n">
        <f aca="false">AM45+AM46</f>
        <v>3763.00075772192</v>
      </c>
      <c r="AN47" s="60" t="n">
        <f aca="false">AN45+AN46</f>
        <v>3774.90551962668</v>
      </c>
      <c r="AO47" s="60" t="n">
        <f aca="false">AO45+AO46</f>
        <v>3786.81028153145</v>
      </c>
      <c r="AP47" s="60" t="n">
        <f aca="false">AP45+AP46</f>
        <v>3798.71504343621</v>
      </c>
      <c r="AQ47" s="60" t="n">
        <f aca="false">AQ45+AQ46</f>
        <v>3810.61980534097</v>
      </c>
      <c r="AR47" s="60" t="n">
        <f aca="false">AR45+AR46</f>
        <v>3822.52456724573</v>
      </c>
      <c r="AS47" s="60" t="n">
        <f aca="false">AS45+AS46</f>
        <v>3834.42932915049</v>
      </c>
      <c r="AT47" s="60" t="n">
        <f aca="false">AT45+AT46</f>
        <v>3846.33409105526</v>
      </c>
      <c r="AU47" s="60" t="n">
        <f aca="false">AU45+AU46</f>
        <v>3858.23885296002</v>
      </c>
      <c r="AV47" s="60" t="n">
        <f aca="false">AV45+AV46</f>
        <v>3870.14361486478</v>
      </c>
      <c r="AW47" s="60" t="n">
        <f aca="false">AW45+AW46</f>
        <v>3882.04837676954</v>
      </c>
      <c r="AX47" s="60" t="n">
        <f aca="false">AX45+AX46</f>
        <v>3893.9531386743</v>
      </c>
      <c r="AY47" s="60" t="n">
        <f aca="false">AY45+AY46</f>
        <v>4572.74506616785</v>
      </c>
      <c r="AZ47" s="60" t="n">
        <f aca="false">AZ45+AZ46</f>
        <v>4584.64982807261</v>
      </c>
      <c r="BA47" s="60" t="n">
        <f aca="false">BA45+BA46</f>
        <v>4596.55458997737</v>
      </c>
      <c r="BB47" s="60" t="n">
        <f aca="false">BB45+BB46</f>
        <v>4608.45935188214</v>
      </c>
      <c r="BC47" s="60" t="n">
        <f aca="false">BC45+BC46</f>
        <v>4620.3641137869</v>
      </c>
      <c r="BD47" s="60" t="n">
        <f aca="false">BD45+BD46</f>
        <v>4632.26887569166</v>
      </c>
      <c r="BE47" s="60" t="n">
        <f aca="false">BE45+BE46</f>
        <v>4644.17363759642</v>
      </c>
      <c r="BF47" s="60" t="n">
        <f aca="false">BF45+BF46</f>
        <v>4656.07839950118</v>
      </c>
      <c r="BG47" s="60" t="n">
        <f aca="false">BG45+BG46</f>
        <v>4667.98316140595</v>
      </c>
      <c r="BH47" s="60" t="n">
        <f aca="false">BH45+BH46</f>
        <v>4679.88792331071</v>
      </c>
      <c r="BI47" s="60" t="n">
        <f aca="false">BI45+BI46</f>
        <v>4691.79268521547</v>
      </c>
      <c r="BJ47" s="60" t="n">
        <f aca="false">BJ45+BJ46</f>
        <v>4703.69744712023</v>
      </c>
    </row>
    <row r="48" customFormat="false" ht="15" hidden="false" customHeight="false" outlineLevel="0" collapsed="false">
      <c r="A48" s="87" t="s">
        <v>344</v>
      </c>
      <c r="C48" s="59" t="n">
        <f aca="false">C47</f>
        <v>-31835.1271428571</v>
      </c>
      <c r="D48" s="59" t="n">
        <f aca="false">C48+D47</f>
        <v>-60883.6572247619</v>
      </c>
      <c r="E48" s="59" t="n">
        <f aca="false">D48+E47</f>
        <v>-87306.4765455619</v>
      </c>
      <c r="F48" s="59" t="n">
        <f aca="false">E48+F47</f>
        <v>-111260.413465209</v>
      </c>
      <c r="G48" s="59" t="n">
        <f aca="false">F48+G47</f>
        <v>-132892.886642059</v>
      </c>
      <c r="H48" s="59" t="n">
        <f aca="false">G48+H47</f>
        <v>-152342.469614964</v>
      </c>
      <c r="I48" s="59" t="n">
        <f aca="false">H48+I47</f>
        <v>-169739.421510447</v>
      </c>
      <c r="J48" s="59" t="n">
        <f aca="false">I48+J47</f>
        <v>-185206.185907439</v>
      </c>
      <c r="K48" s="59" t="n">
        <f aca="false">J48+K47</f>
        <v>-198857.859770136</v>
      </c>
      <c r="L48" s="59" t="n">
        <f aca="false">K48+L47</f>
        <v>-210802.63424488</v>
      </c>
      <c r="M48" s="59" t="n">
        <f aca="false">L48+M47</f>
        <v>-221142.209009235</v>
      </c>
      <c r="N48" s="59" t="n">
        <f aca="false">M48+N47</f>
        <v>-229972.181760109</v>
      </c>
      <c r="O48" s="59" t="n">
        <f aca="false">N48+O47</f>
        <v>-236775.843479544</v>
      </c>
      <c r="P48" s="59" t="n">
        <f aca="false">O48+P47</f>
        <v>-241943.586131645</v>
      </c>
      <c r="Q48" s="59" t="n">
        <f aca="false">P48+Q47</f>
        <v>-245572.850574738</v>
      </c>
      <c r="R48" s="59" t="n">
        <f aca="false">Q48+R47</f>
        <v>-247755.23121565</v>
      </c>
      <c r="S48" s="59" t="n">
        <f aca="false">R48+S47</f>
        <v>-248576.826796796</v>
      </c>
      <c r="T48" s="59" t="n">
        <f aca="false">S48+T47</f>
        <v>-248118.570136049</v>
      </c>
      <c r="U48" s="59" t="n">
        <f aca="false">T48+U47</f>
        <v>-246456.538082207</v>
      </c>
      <c r="V48" s="59" t="n">
        <f aca="false">U48+V47</f>
        <v>-244225.317550521</v>
      </c>
      <c r="W48" s="59" t="n">
        <f aca="false">V48+W47</f>
        <v>-241941.377436236</v>
      </c>
      <c r="X48" s="59" t="n">
        <f aca="false">W48+X47</f>
        <v>-239645.532560045</v>
      </c>
      <c r="Y48" s="59" t="n">
        <f aca="false">X48+Y47</f>
        <v>-237337.78292195</v>
      </c>
      <c r="Z48" s="59" t="n">
        <f aca="false">Y48+Z47</f>
        <v>-235018.12852195</v>
      </c>
      <c r="AA48" s="59" t="n">
        <f aca="false">Z48+AA47</f>
        <v>-232049.729728045</v>
      </c>
      <c r="AB48" s="59" t="n">
        <f aca="false">AA48+AB47</f>
        <v>-229069.426172236</v>
      </c>
      <c r="AC48" s="59" t="n">
        <f aca="false">AB48+AC47</f>
        <v>-226077.217854521</v>
      </c>
      <c r="AD48" s="59" t="n">
        <f aca="false">AC48+AD47</f>
        <v>-223073.104774902</v>
      </c>
      <c r="AE48" s="59" t="n">
        <f aca="false">AD48+AE47</f>
        <v>-220057.086933379</v>
      </c>
      <c r="AF48" s="59" t="n">
        <f aca="false">AE48+AF47</f>
        <v>-217029.16432995</v>
      </c>
      <c r="AG48" s="59" t="n">
        <f aca="false">AF48+AG47</f>
        <v>-213989.336964617</v>
      </c>
      <c r="AH48" s="59" t="n">
        <f aca="false">AG48+AH47</f>
        <v>-210937.604837379</v>
      </c>
      <c r="AI48" s="59" t="n">
        <f aca="false">AH48+AI47</f>
        <v>-207873.967948236</v>
      </c>
      <c r="AJ48" s="59" t="n">
        <f aca="false">AI48+AJ47</f>
        <v>-204798.426297188</v>
      </c>
      <c r="AK48" s="59" t="n">
        <f aca="false">AJ48+AK47</f>
        <v>-201710.979884236</v>
      </c>
      <c r="AL48" s="59" t="n">
        <f aca="false">AK48+AL47</f>
        <v>-198611.628709379</v>
      </c>
      <c r="AM48" s="59" t="n">
        <f aca="false">AL48+AM47</f>
        <v>-194848.627951657</v>
      </c>
      <c r="AN48" s="59" t="n">
        <f aca="false">AM48+AN47</f>
        <v>-191073.72243203</v>
      </c>
      <c r="AO48" s="59" t="n">
        <f aca="false">AN48+AO47</f>
        <v>-187286.912150499</v>
      </c>
      <c r="AP48" s="59" t="n">
        <f aca="false">AO48+AP47</f>
        <v>-183488.197107062</v>
      </c>
      <c r="AQ48" s="59" t="n">
        <f aca="false">AP48+AQ47</f>
        <v>-179677.577301721</v>
      </c>
      <c r="AR48" s="59" t="n">
        <f aca="false">AQ48+AR47</f>
        <v>-175855.052734476</v>
      </c>
      <c r="AS48" s="59" t="n">
        <f aca="false">AR48+AS47</f>
        <v>-172020.623405325</v>
      </c>
      <c r="AT48" s="59" t="n">
        <f aca="false">AS48+AT47</f>
        <v>-168174.28931427</v>
      </c>
      <c r="AU48" s="59" t="n">
        <f aca="false">AT48+AU47</f>
        <v>-164316.05046131</v>
      </c>
      <c r="AV48" s="59" t="n">
        <f aca="false">AU48+AV47</f>
        <v>-160445.906846445</v>
      </c>
      <c r="AW48" s="59" t="n">
        <f aca="false">AV48+AW47</f>
        <v>-156563.858469675</v>
      </c>
      <c r="AX48" s="59" t="n">
        <f aca="false">AW48+AX47</f>
        <v>-152669.905331001</v>
      </c>
      <c r="AY48" s="59" t="n">
        <f aca="false">AX48+AY47</f>
        <v>-148097.160264833</v>
      </c>
      <c r="AZ48" s="59" t="n">
        <f aca="false">AY48+AZ47</f>
        <v>-143512.510436761</v>
      </c>
      <c r="BA48" s="59" t="n">
        <f aca="false">AZ48+BA47</f>
        <v>-138915.955846783</v>
      </c>
      <c r="BB48" s="59" t="n">
        <f aca="false">BA48+BB47</f>
        <v>-134307.496494901</v>
      </c>
      <c r="BC48" s="59" t="n">
        <f aca="false">BB48+BC47</f>
        <v>-129687.132381114</v>
      </c>
      <c r="BD48" s="59" t="n">
        <f aca="false">BC48+BD47</f>
        <v>-125054.863505423</v>
      </c>
      <c r="BE48" s="59" t="n">
        <f aca="false">BD48+BE47</f>
        <v>-120410.689867826</v>
      </c>
      <c r="BF48" s="59" t="n">
        <f aca="false">BE48+BF47</f>
        <v>-115754.611468325</v>
      </c>
      <c r="BG48" s="59" t="n">
        <f aca="false">BF48+BG47</f>
        <v>-111086.628306919</v>
      </c>
      <c r="BH48" s="59" t="n">
        <f aca="false">BG48+BH47</f>
        <v>-106406.740383608</v>
      </c>
      <c r="BI48" s="59" t="n">
        <f aca="false">BH48+BI47</f>
        <v>-101714.947698393</v>
      </c>
      <c r="BJ48" s="59" t="n">
        <f aca="false">BI48+BJ47</f>
        <v>-97011.2502512727</v>
      </c>
    </row>
    <row r="49" customFormat="false" ht="15" hidden="false" customHeight="false" outlineLevel="0" collapsed="false">
      <c r="A49" s="87" t="s">
        <v>345</v>
      </c>
      <c r="C49" s="59" t="n">
        <f aca="false">MAX(0,C48)</f>
        <v>0</v>
      </c>
      <c r="D49" s="59" t="n">
        <f aca="false">MAX(C49,D48)</f>
        <v>0</v>
      </c>
      <c r="E49" s="59" t="n">
        <f aca="false">MAX(D49,E48)</f>
        <v>0</v>
      </c>
      <c r="F49" s="59" t="n">
        <f aca="false">MAX(E49,F48)</f>
        <v>0</v>
      </c>
      <c r="G49" s="59" t="n">
        <f aca="false">MAX(F49,G48)</f>
        <v>0</v>
      </c>
      <c r="H49" s="59" t="n">
        <f aca="false">MAX(G49,H48)</f>
        <v>0</v>
      </c>
      <c r="I49" s="59" t="n">
        <f aca="false">MAX(H49,I48)</f>
        <v>0</v>
      </c>
      <c r="J49" s="59" t="n">
        <f aca="false">MAX(I49,J48)</f>
        <v>0</v>
      </c>
      <c r="K49" s="59" t="n">
        <f aca="false">MAX(J49,K48)</f>
        <v>0</v>
      </c>
      <c r="L49" s="59" t="n">
        <f aca="false">MAX(K49,L48)</f>
        <v>0</v>
      </c>
      <c r="M49" s="59" t="n">
        <f aca="false">MAX(L49,M48)</f>
        <v>0</v>
      </c>
      <c r="N49" s="59" t="n">
        <f aca="false">MAX(M49,N48)</f>
        <v>0</v>
      </c>
      <c r="O49" s="59" t="n">
        <f aca="false">MAX(N49,O48)</f>
        <v>0</v>
      </c>
      <c r="P49" s="59" t="n">
        <f aca="false">MAX(O49,P48)</f>
        <v>0</v>
      </c>
      <c r="Q49" s="59" t="n">
        <f aca="false">MAX(P49,Q48)</f>
        <v>0</v>
      </c>
      <c r="R49" s="59" t="n">
        <f aca="false">MAX(Q49,R48)</f>
        <v>0</v>
      </c>
      <c r="S49" s="59" t="n">
        <f aca="false">MAX(R49,S48)</f>
        <v>0</v>
      </c>
      <c r="T49" s="59" t="n">
        <f aca="false">MAX(S49,T48)</f>
        <v>0</v>
      </c>
      <c r="U49" s="59" t="n">
        <f aca="false">MAX(T49,U48)</f>
        <v>0</v>
      </c>
      <c r="V49" s="59" t="n">
        <f aca="false">MAX(U49,V48)</f>
        <v>0</v>
      </c>
      <c r="W49" s="59" t="n">
        <f aca="false">MAX(V49,W48)</f>
        <v>0</v>
      </c>
      <c r="X49" s="59" t="n">
        <f aca="false">MAX(W49,X48)</f>
        <v>0</v>
      </c>
      <c r="Y49" s="59" t="n">
        <f aca="false">MAX(X49,Y48)</f>
        <v>0</v>
      </c>
      <c r="Z49" s="59" t="n">
        <f aca="false">MAX(Y49,Z48)</f>
        <v>0</v>
      </c>
      <c r="AA49" s="59" t="n">
        <f aca="false">MAX(Z49,AA48)</f>
        <v>0</v>
      </c>
      <c r="AB49" s="59" t="n">
        <f aca="false">MAX(AA49,AB48)</f>
        <v>0</v>
      </c>
      <c r="AC49" s="59" t="n">
        <f aca="false">MAX(AB49,AC48)</f>
        <v>0</v>
      </c>
      <c r="AD49" s="59" t="n">
        <f aca="false">MAX(AC49,AD48)</f>
        <v>0</v>
      </c>
      <c r="AE49" s="59" t="n">
        <f aca="false">MAX(AD49,AE48)</f>
        <v>0</v>
      </c>
      <c r="AF49" s="59" t="n">
        <f aca="false">MAX(AE49,AF48)</f>
        <v>0</v>
      </c>
      <c r="AG49" s="59" t="n">
        <f aca="false">MAX(AF49,AG48)</f>
        <v>0</v>
      </c>
      <c r="AH49" s="59" t="n">
        <f aca="false">MAX(AG49,AH48)</f>
        <v>0</v>
      </c>
      <c r="AI49" s="59" t="n">
        <f aca="false">MAX(AH49,AI48)</f>
        <v>0</v>
      </c>
      <c r="AJ49" s="59" t="n">
        <f aca="false">MAX(AI49,AJ48)</f>
        <v>0</v>
      </c>
      <c r="AK49" s="59" t="n">
        <f aca="false">MAX(AJ49,AK48)</f>
        <v>0</v>
      </c>
      <c r="AL49" s="59" t="n">
        <f aca="false">MAX(AK49,AL48)</f>
        <v>0</v>
      </c>
      <c r="AM49" s="59" t="n">
        <f aca="false">MAX(AL49,AM48)</f>
        <v>0</v>
      </c>
      <c r="AN49" s="59" t="n">
        <f aca="false">MAX(AM49,AN48)</f>
        <v>0</v>
      </c>
      <c r="AO49" s="59" t="n">
        <f aca="false">MAX(AN49,AO48)</f>
        <v>0</v>
      </c>
      <c r="AP49" s="59" t="n">
        <f aca="false">MAX(AO49,AP48)</f>
        <v>0</v>
      </c>
      <c r="AQ49" s="59" t="n">
        <f aca="false">MAX(AP49,AQ48)</f>
        <v>0</v>
      </c>
      <c r="AR49" s="59" t="n">
        <f aca="false">MAX(AQ49,AR48)</f>
        <v>0</v>
      </c>
      <c r="AS49" s="59" t="n">
        <f aca="false">MAX(AR49,AS48)</f>
        <v>0</v>
      </c>
      <c r="AT49" s="59" t="n">
        <f aca="false">MAX(AS49,AT48)</f>
        <v>0</v>
      </c>
      <c r="AU49" s="59" t="n">
        <f aca="false">MAX(AT49,AU48)</f>
        <v>0</v>
      </c>
      <c r="AV49" s="59" t="n">
        <f aca="false">MAX(AU49,AV48)</f>
        <v>0</v>
      </c>
      <c r="AW49" s="59" t="n">
        <f aca="false">MAX(AV49,AW48)</f>
        <v>0</v>
      </c>
      <c r="AX49" s="59" t="n">
        <f aca="false">MAX(AW49,AX48)</f>
        <v>0</v>
      </c>
      <c r="AY49" s="59" t="n">
        <f aca="false">MAX(AX49,AY48)</f>
        <v>0</v>
      </c>
      <c r="AZ49" s="59" t="n">
        <f aca="false">MAX(AY49,AZ48)</f>
        <v>0</v>
      </c>
      <c r="BA49" s="59" t="n">
        <f aca="false">MAX(AZ49,BA48)</f>
        <v>0</v>
      </c>
      <c r="BB49" s="59" t="n">
        <f aca="false">MAX(BA49,BB48)</f>
        <v>0</v>
      </c>
      <c r="BC49" s="59" t="n">
        <f aca="false">MAX(BB49,BC48)</f>
        <v>0</v>
      </c>
      <c r="BD49" s="59" t="n">
        <f aca="false">MAX(BC49,BD48)</f>
        <v>0</v>
      </c>
      <c r="BE49" s="59" t="n">
        <f aca="false">MAX(BD49,BE48)</f>
        <v>0</v>
      </c>
      <c r="BF49" s="59" t="n">
        <f aca="false">MAX(BE49,BF48)</f>
        <v>0</v>
      </c>
      <c r="BG49" s="59" t="n">
        <f aca="false">MAX(BF49,BG48)</f>
        <v>0</v>
      </c>
      <c r="BH49" s="59" t="n">
        <f aca="false">MAX(BG49,BH48)</f>
        <v>0</v>
      </c>
      <c r="BI49" s="59" t="n">
        <f aca="false">MAX(BH49,BI48)</f>
        <v>0</v>
      </c>
      <c r="BJ49" s="59" t="n">
        <f aca="false">MAX(BI49,BJ48)</f>
        <v>0</v>
      </c>
    </row>
    <row r="50" customFormat="false" ht="15" hidden="false" customHeight="false" outlineLevel="0" collapsed="false">
      <c r="A50" s="6" t="s">
        <v>98</v>
      </c>
      <c r="C50" s="59" t="n">
        <f aca="false">-C49*Inputs!$E$66</f>
        <v>-0</v>
      </c>
      <c r="D50" s="59" t="n">
        <f aca="false">-(D49-C49)*Inputs!$E$66</f>
        <v>-0</v>
      </c>
      <c r="E50" s="59" t="n">
        <f aca="false">-(E49-D49)*Inputs!$E$66</f>
        <v>-0</v>
      </c>
      <c r="F50" s="59" t="n">
        <f aca="false">-(F49-E49)*Inputs!$E$66</f>
        <v>-0</v>
      </c>
      <c r="G50" s="59" t="n">
        <f aca="false">-(G49-F49)*Inputs!$E$66</f>
        <v>-0</v>
      </c>
      <c r="H50" s="59" t="n">
        <f aca="false">-(H49-G49)*Inputs!$E$66</f>
        <v>-0</v>
      </c>
      <c r="I50" s="59" t="n">
        <f aca="false">-(I49-H49)*Inputs!$E$66</f>
        <v>-0</v>
      </c>
      <c r="J50" s="59" t="n">
        <f aca="false">-(J49-I49)*Inputs!$E$66</f>
        <v>-0</v>
      </c>
      <c r="K50" s="59" t="n">
        <f aca="false">-(K49-J49)*Inputs!$E$66</f>
        <v>-0</v>
      </c>
      <c r="L50" s="59" t="n">
        <f aca="false">-(L49-K49)*Inputs!$E$66</f>
        <v>-0</v>
      </c>
      <c r="M50" s="59" t="n">
        <f aca="false">-(M49-L49)*Inputs!$E$66</f>
        <v>-0</v>
      </c>
      <c r="N50" s="59" t="n">
        <f aca="false">-(N49-M49)*Inputs!$E$66</f>
        <v>-0</v>
      </c>
      <c r="O50" s="59" t="n">
        <f aca="false">-(O49-N49)*Inputs!$E$66</f>
        <v>-0</v>
      </c>
      <c r="P50" s="59" t="n">
        <f aca="false">-(P49-O49)*Inputs!$E$66</f>
        <v>-0</v>
      </c>
      <c r="Q50" s="59" t="n">
        <f aca="false">-(Q49-P49)*Inputs!$E$66</f>
        <v>-0</v>
      </c>
      <c r="R50" s="59" t="n">
        <f aca="false">-(R49-Q49)*Inputs!$E$66</f>
        <v>-0</v>
      </c>
      <c r="S50" s="59" t="n">
        <f aca="false">-(S49-R49)*Inputs!$E$66</f>
        <v>-0</v>
      </c>
      <c r="T50" s="59" t="n">
        <f aca="false">-(T49-S49)*Inputs!$E$66</f>
        <v>-0</v>
      </c>
      <c r="U50" s="59" t="n">
        <f aca="false">-(U49-T49)*Inputs!$E$66</f>
        <v>-0</v>
      </c>
      <c r="V50" s="59" t="n">
        <f aca="false">-(V49-U49)*Inputs!$E$66</f>
        <v>-0</v>
      </c>
      <c r="W50" s="59" t="n">
        <f aca="false">-(W49-V49)*Inputs!$E$66</f>
        <v>-0</v>
      </c>
      <c r="X50" s="59" t="n">
        <f aca="false">-(X49-W49)*Inputs!$E$66</f>
        <v>-0</v>
      </c>
      <c r="Y50" s="59" t="n">
        <f aca="false">-(Y49-X49)*Inputs!$E$66</f>
        <v>-0</v>
      </c>
      <c r="Z50" s="59" t="n">
        <f aca="false">-(Z49-Y49)*Inputs!$E$66</f>
        <v>-0</v>
      </c>
      <c r="AA50" s="59" t="n">
        <f aca="false">-(AA49-Z49)*Inputs!$E$66</f>
        <v>-0</v>
      </c>
      <c r="AB50" s="59" t="n">
        <f aca="false">-(AB49-AA49)*Inputs!$E$66</f>
        <v>-0</v>
      </c>
      <c r="AC50" s="59" t="n">
        <f aca="false">-(AC49-AB49)*Inputs!$E$66</f>
        <v>-0</v>
      </c>
      <c r="AD50" s="59" t="n">
        <f aca="false">-(AD49-AC49)*Inputs!$E$66</f>
        <v>-0</v>
      </c>
      <c r="AE50" s="59" t="n">
        <f aca="false">-(AE49-AD49)*Inputs!$E$66</f>
        <v>-0</v>
      </c>
      <c r="AF50" s="59" t="n">
        <f aca="false">-(AF49-AE49)*Inputs!$E$66</f>
        <v>-0</v>
      </c>
      <c r="AG50" s="59" t="n">
        <f aca="false">-(AG49-AF49)*Inputs!$E$66</f>
        <v>-0</v>
      </c>
      <c r="AH50" s="59" t="n">
        <f aca="false">-(AH49-AG49)*Inputs!$E$66</f>
        <v>-0</v>
      </c>
      <c r="AI50" s="59" t="n">
        <f aca="false">-(AI49-AH49)*Inputs!$E$66</f>
        <v>-0</v>
      </c>
      <c r="AJ50" s="59" t="n">
        <f aca="false">-(AJ49-AI49)*Inputs!$E$66</f>
        <v>-0</v>
      </c>
      <c r="AK50" s="59" t="n">
        <f aca="false">-(AK49-AJ49)*Inputs!$E$66</f>
        <v>-0</v>
      </c>
      <c r="AL50" s="59" t="n">
        <f aca="false">-(AL49-AK49)*Inputs!$E$66</f>
        <v>-0</v>
      </c>
      <c r="AM50" s="59" t="n">
        <f aca="false">-(AM49-AL49)*Inputs!$E$66</f>
        <v>-0</v>
      </c>
      <c r="AN50" s="59" t="n">
        <f aca="false">-(AN49-AM49)*Inputs!$E$66</f>
        <v>-0</v>
      </c>
      <c r="AO50" s="59" t="n">
        <f aca="false">-(AO49-AN49)*Inputs!$E$66</f>
        <v>-0</v>
      </c>
      <c r="AP50" s="59" t="n">
        <f aca="false">-(AP49-AO49)*Inputs!$E$66</f>
        <v>-0</v>
      </c>
      <c r="AQ50" s="59" t="n">
        <f aca="false">-(AQ49-AP49)*Inputs!$E$66</f>
        <v>-0</v>
      </c>
      <c r="AR50" s="59" t="n">
        <f aca="false">-(AR49-AQ49)*Inputs!$E$66</f>
        <v>-0</v>
      </c>
      <c r="AS50" s="59" t="n">
        <f aca="false">-(AS49-AR49)*Inputs!$E$66</f>
        <v>-0</v>
      </c>
      <c r="AT50" s="59" t="n">
        <f aca="false">-(AT49-AS49)*Inputs!$E$66</f>
        <v>-0</v>
      </c>
      <c r="AU50" s="59" t="n">
        <f aca="false">-(AU49-AT49)*Inputs!$E$66</f>
        <v>-0</v>
      </c>
      <c r="AV50" s="59" t="n">
        <f aca="false">-(AV49-AU49)*Inputs!$E$66</f>
        <v>-0</v>
      </c>
      <c r="AW50" s="59" t="n">
        <f aca="false">-(AW49-AV49)*Inputs!$E$66</f>
        <v>-0</v>
      </c>
      <c r="AX50" s="59" t="n">
        <f aca="false">-(AX49-AW49)*Inputs!$E$66</f>
        <v>-0</v>
      </c>
      <c r="AY50" s="59" t="n">
        <f aca="false">-(AY49-AX49)*Inputs!$E$66</f>
        <v>-0</v>
      </c>
      <c r="AZ50" s="59" t="n">
        <f aca="false">-(AZ49-AY49)*Inputs!$E$66</f>
        <v>-0</v>
      </c>
      <c r="BA50" s="59" t="n">
        <f aca="false">-(BA49-AZ49)*Inputs!$E$66</f>
        <v>-0</v>
      </c>
      <c r="BB50" s="59" t="n">
        <f aca="false">-(BB49-BA49)*Inputs!$E$66</f>
        <v>-0</v>
      </c>
      <c r="BC50" s="59" t="n">
        <f aca="false">-(BC49-BB49)*Inputs!$E$66</f>
        <v>-0</v>
      </c>
      <c r="BD50" s="59" t="n">
        <f aca="false">-(BD49-BC49)*Inputs!$E$66</f>
        <v>-0</v>
      </c>
      <c r="BE50" s="59" t="n">
        <f aca="false">-(BE49-BD49)*Inputs!$E$66</f>
        <v>-0</v>
      </c>
      <c r="BF50" s="59" t="n">
        <f aca="false">-(BF49-BE49)*Inputs!$E$66</f>
        <v>-0</v>
      </c>
      <c r="BG50" s="59" t="n">
        <f aca="false">-(BG49-BF49)*Inputs!$E$66</f>
        <v>-0</v>
      </c>
      <c r="BH50" s="59" t="n">
        <f aca="false">-(BH49-BG49)*Inputs!$E$66</f>
        <v>-0</v>
      </c>
      <c r="BI50" s="59" t="n">
        <f aca="false">-(BI49-BH49)*Inputs!$E$66</f>
        <v>-0</v>
      </c>
      <c r="BJ50" s="59" t="n">
        <f aca="false">-(BJ49-BI49)*Inputs!$E$66</f>
        <v>-0</v>
      </c>
    </row>
    <row r="51" customFormat="false" ht="15" hidden="false" customHeight="false" outlineLevel="0" collapsed="false">
      <c r="A51" s="83" t="s">
        <v>46</v>
      </c>
      <c r="C51" s="60" t="n">
        <f aca="false">C47+C50</f>
        <v>-31835.1271428571</v>
      </c>
      <c r="D51" s="60" t="n">
        <f aca="false">D47+D50</f>
        <v>-29048.5300819048</v>
      </c>
      <c r="E51" s="60" t="n">
        <f aca="false">E47+E50</f>
        <v>-26422.8193208</v>
      </c>
      <c r="F51" s="60" t="n">
        <f aca="false">F47+F50</f>
        <v>-23953.9369196472</v>
      </c>
      <c r="G51" s="60" t="n">
        <f aca="false">G47+G50</f>
        <v>-21632.4731768494</v>
      </c>
      <c r="H51" s="60" t="n">
        <f aca="false">H47+H50</f>
        <v>-19449.5829729051</v>
      </c>
      <c r="I51" s="60" t="n">
        <f aca="false">I47+I50</f>
        <v>-17396.9518954832</v>
      </c>
      <c r="J51" s="60" t="n">
        <f aca="false">J47+J50</f>
        <v>-15466.7643969923</v>
      </c>
      <c r="K51" s="60" t="n">
        <f aca="false">K47+K50</f>
        <v>-13651.6738626965</v>
      </c>
      <c r="L51" s="60" t="n">
        <f aca="false">L47+L50</f>
        <v>-11944.7744747443</v>
      </c>
      <c r="M51" s="60" t="n">
        <f aca="false">M47+M50</f>
        <v>-10339.5747643549</v>
      </c>
      <c r="N51" s="60" t="n">
        <f aca="false">N47+N50</f>
        <v>-8829.97275087452</v>
      </c>
      <c r="O51" s="60" t="n">
        <f aca="false">O47+O50</f>
        <v>-6803.66171943481</v>
      </c>
      <c r="P51" s="60" t="n">
        <f aca="false">P47+P50</f>
        <v>-5167.7426521011</v>
      </c>
      <c r="Q51" s="60" t="n">
        <f aca="false">Q47+Q50</f>
        <v>-3629.26444309315</v>
      </c>
      <c r="R51" s="60" t="n">
        <f aca="false">R47+R50</f>
        <v>-2182.38064091138</v>
      </c>
      <c r="S51" s="60" t="n">
        <f aca="false">S47+S50</f>
        <v>-821.595581146206</v>
      </c>
      <c r="T51" s="60" t="n">
        <f aca="false">T47+T50</f>
        <v>458.256660747331</v>
      </c>
      <c r="U51" s="60" t="n">
        <f aca="false">U47+U50</f>
        <v>1662.03205384154</v>
      </c>
      <c r="V51" s="60" t="n">
        <f aca="false">V47+V50</f>
        <v>2231.22053168556</v>
      </c>
      <c r="W51" s="60" t="n">
        <f aca="false">W47+W50</f>
        <v>2283.94011428571</v>
      </c>
      <c r="X51" s="60" t="n">
        <f aca="false">X47+X50</f>
        <v>2295.84487619047</v>
      </c>
      <c r="Y51" s="60" t="n">
        <f aca="false">Y47+Y50</f>
        <v>2307.74963809523</v>
      </c>
      <c r="Z51" s="60" t="n">
        <f aca="false">Z47+Z50</f>
        <v>2319.6544</v>
      </c>
      <c r="AA51" s="60" t="n">
        <f aca="false">AA47+AA50</f>
        <v>2968.39879390477</v>
      </c>
      <c r="AB51" s="60" t="n">
        <f aca="false">AB47+AB50</f>
        <v>2980.30355580953</v>
      </c>
      <c r="AC51" s="60" t="n">
        <f aca="false">AC47+AC50</f>
        <v>2992.20831771429</v>
      </c>
      <c r="AD51" s="60" t="n">
        <f aca="false">AD47+AD50</f>
        <v>3004.11307961905</v>
      </c>
      <c r="AE51" s="60" t="n">
        <f aca="false">AE47+AE50</f>
        <v>3016.01784152382</v>
      </c>
      <c r="AF51" s="60" t="n">
        <f aca="false">AF47+AF50</f>
        <v>3027.92260342858</v>
      </c>
      <c r="AG51" s="60" t="n">
        <f aca="false">AG47+AG50</f>
        <v>3039.82736533334</v>
      </c>
      <c r="AH51" s="60" t="n">
        <f aca="false">AH47+AH50</f>
        <v>3051.7321272381</v>
      </c>
      <c r="AI51" s="60" t="n">
        <f aca="false">AI47+AI50</f>
        <v>3063.63688914286</v>
      </c>
      <c r="AJ51" s="60" t="n">
        <f aca="false">AJ47+AJ50</f>
        <v>3075.54165104763</v>
      </c>
      <c r="AK51" s="60" t="n">
        <f aca="false">AK47+AK50</f>
        <v>3087.44641295239</v>
      </c>
      <c r="AL51" s="60" t="n">
        <f aca="false">AL47+AL50</f>
        <v>3099.35117485715</v>
      </c>
      <c r="AM51" s="60" t="n">
        <f aca="false">AM47+AM50</f>
        <v>3763.00075772192</v>
      </c>
      <c r="AN51" s="60" t="n">
        <f aca="false">AN47+AN50</f>
        <v>3774.90551962668</v>
      </c>
      <c r="AO51" s="60" t="n">
        <f aca="false">AO47+AO50</f>
        <v>3786.81028153145</v>
      </c>
      <c r="AP51" s="60" t="n">
        <f aca="false">AP47+AP50</f>
        <v>3798.71504343621</v>
      </c>
      <c r="AQ51" s="60" t="n">
        <f aca="false">AQ47+AQ50</f>
        <v>3810.61980534097</v>
      </c>
      <c r="AR51" s="60" t="n">
        <f aca="false">AR47+AR50</f>
        <v>3822.52456724573</v>
      </c>
      <c r="AS51" s="60" t="n">
        <f aca="false">AS47+AS50</f>
        <v>3834.42932915049</v>
      </c>
      <c r="AT51" s="60" t="n">
        <f aca="false">AT47+AT50</f>
        <v>3846.33409105526</v>
      </c>
      <c r="AU51" s="60" t="n">
        <f aca="false">AU47+AU50</f>
        <v>3858.23885296002</v>
      </c>
      <c r="AV51" s="60" t="n">
        <f aca="false">AV47+AV50</f>
        <v>3870.14361486478</v>
      </c>
      <c r="AW51" s="60" t="n">
        <f aca="false">AW47+AW50</f>
        <v>3882.04837676954</v>
      </c>
      <c r="AX51" s="60" t="n">
        <f aca="false">AX47+AX50</f>
        <v>3893.9531386743</v>
      </c>
      <c r="AY51" s="60" t="n">
        <f aca="false">AY47+AY50</f>
        <v>4572.74506616785</v>
      </c>
      <c r="AZ51" s="60" t="n">
        <f aca="false">AZ47+AZ50</f>
        <v>4584.64982807261</v>
      </c>
      <c r="BA51" s="60" t="n">
        <f aca="false">BA47+BA50</f>
        <v>4596.55458997737</v>
      </c>
      <c r="BB51" s="60" t="n">
        <f aca="false">BB47+BB50</f>
        <v>4608.45935188214</v>
      </c>
      <c r="BC51" s="60" t="n">
        <f aca="false">BC47+BC50</f>
        <v>4620.3641137869</v>
      </c>
      <c r="BD51" s="60" t="n">
        <f aca="false">BD47+BD50</f>
        <v>4632.26887569166</v>
      </c>
      <c r="BE51" s="60" t="n">
        <f aca="false">BE47+BE50</f>
        <v>4644.17363759642</v>
      </c>
      <c r="BF51" s="60" t="n">
        <f aca="false">BF47+BF50</f>
        <v>4656.07839950118</v>
      </c>
      <c r="BG51" s="60" t="n">
        <f aca="false">BG47+BG50</f>
        <v>4667.98316140595</v>
      </c>
      <c r="BH51" s="60" t="n">
        <f aca="false">BH47+BH50</f>
        <v>4679.88792331071</v>
      </c>
      <c r="BI51" s="60" t="n">
        <f aca="false">BI47+BI50</f>
        <v>4691.79268521547</v>
      </c>
      <c r="BJ51" s="60" t="n">
        <f aca="false">BJ47+BJ50</f>
        <v>4703.69744712023</v>
      </c>
    </row>
    <row r="53" customFormat="false" ht="15.75" hidden="false" customHeight="true" outlineLevel="0" collapsed="false">
      <c r="A53" s="7" t="s">
        <v>346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6" t="s">
        <v>347</v>
      </c>
      <c r="C54" s="59" t="n">
        <f aca="false">IF(C$4=1,Inputs!$E$39,0)</f>
        <v>250000</v>
      </c>
      <c r="D54" s="59" t="n">
        <f aca="false">IF(D$4=1,Inputs!$E$39,0)</f>
        <v>0</v>
      </c>
      <c r="E54" s="59" t="n">
        <f aca="false">IF(E$4=1,Inputs!$E$39,0)</f>
        <v>0</v>
      </c>
      <c r="F54" s="59" t="n">
        <f aca="false">IF(F$4=1,Inputs!$E$39,0)</f>
        <v>0</v>
      </c>
      <c r="G54" s="59" t="n">
        <f aca="false">IF(G$4=1,Inputs!$E$39,0)</f>
        <v>0</v>
      </c>
      <c r="H54" s="59" t="n">
        <f aca="false">IF(H$4=1,Inputs!$E$39,0)</f>
        <v>0</v>
      </c>
      <c r="I54" s="59" t="n">
        <f aca="false">IF(I$4=1,Inputs!$E$39,0)</f>
        <v>0</v>
      </c>
      <c r="J54" s="59" t="n">
        <f aca="false">IF(J$4=1,Inputs!$E$39,0)</f>
        <v>0</v>
      </c>
      <c r="K54" s="59" t="n">
        <f aca="false">IF(K$4=1,Inputs!$E$39,0)</f>
        <v>0</v>
      </c>
      <c r="L54" s="59" t="n">
        <f aca="false">IF(L$4=1,Inputs!$E$39,0)</f>
        <v>0</v>
      </c>
      <c r="M54" s="59" t="n">
        <f aca="false">IF(M$4=1,Inputs!$E$39,0)</f>
        <v>0</v>
      </c>
      <c r="N54" s="59" t="n">
        <f aca="false">IF(N$4=1,Inputs!$E$39,0)</f>
        <v>0</v>
      </c>
      <c r="O54" s="59" t="n">
        <f aca="false">IF(O$4=1,Inputs!$E$39,0)</f>
        <v>0</v>
      </c>
      <c r="P54" s="59" t="n">
        <f aca="false">IF(P$4=1,Inputs!$E$39,0)</f>
        <v>0</v>
      </c>
      <c r="Q54" s="59" t="n">
        <f aca="false">IF(Q$4=1,Inputs!$E$39,0)</f>
        <v>0</v>
      </c>
      <c r="R54" s="59" t="n">
        <f aca="false">IF(R$4=1,Inputs!$E$39,0)</f>
        <v>0</v>
      </c>
      <c r="S54" s="59" t="n">
        <f aca="false">IF(S$4=1,Inputs!$E$39,0)</f>
        <v>0</v>
      </c>
      <c r="T54" s="59" t="n">
        <f aca="false">IF(T$4=1,Inputs!$E$39,0)</f>
        <v>0</v>
      </c>
      <c r="U54" s="59" t="n">
        <f aca="false">IF(U$4=1,Inputs!$E$39,0)</f>
        <v>0</v>
      </c>
      <c r="V54" s="59" t="n">
        <f aca="false">IF(V$4=1,Inputs!$E$39,0)</f>
        <v>0</v>
      </c>
      <c r="W54" s="59" t="n">
        <f aca="false">IF(W$4=1,Inputs!$E$39,0)</f>
        <v>0</v>
      </c>
      <c r="X54" s="59" t="n">
        <f aca="false">IF(X$4=1,Inputs!$E$39,0)</f>
        <v>0</v>
      </c>
      <c r="Y54" s="59" t="n">
        <f aca="false">IF(Y$4=1,Inputs!$E$39,0)</f>
        <v>0</v>
      </c>
      <c r="Z54" s="59" t="n">
        <f aca="false">IF(Z$4=1,Inputs!$E$39,0)</f>
        <v>0</v>
      </c>
      <c r="AA54" s="59" t="n">
        <f aca="false">IF(AA$4=1,Inputs!$E$39,0)</f>
        <v>0</v>
      </c>
      <c r="AB54" s="59" t="n">
        <f aca="false">IF(AB$4=1,Inputs!$E$39,0)</f>
        <v>0</v>
      </c>
      <c r="AC54" s="59" t="n">
        <f aca="false">IF(AC$4=1,Inputs!$E$39,0)</f>
        <v>0</v>
      </c>
      <c r="AD54" s="59" t="n">
        <f aca="false">IF(AD$4=1,Inputs!$E$39,0)</f>
        <v>0</v>
      </c>
      <c r="AE54" s="59" t="n">
        <f aca="false">IF(AE$4=1,Inputs!$E$39,0)</f>
        <v>0</v>
      </c>
      <c r="AF54" s="59" t="n">
        <f aca="false">IF(AF$4=1,Inputs!$E$39,0)</f>
        <v>0</v>
      </c>
      <c r="AG54" s="59" t="n">
        <f aca="false">IF(AG$4=1,Inputs!$E$39,0)</f>
        <v>0</v>
      </c>
      <c r="AH54" s="59" t="n">
        <f aca="false">IF(AH$4=1,Inputs!$E$39,0)</f>
        <v>0</v>
      </c>
      <c r="AI54" s="59" t="n">
        <f aca="false">IF(AI$4=1,Inputs!$E$39,0)</f>
        <v>0</v>
      </c>
      <c r="AJ54" s="59" t="n">
        <f aca="false">IF(AJ$4=1,Inputs!$E$39,0)</f>
        <v>0</v>
      </c>
      <c r="AK54" s="59" t="n">
        <f aca="false">IF(AK$4=1,Inputs!$E$39,0)</f>
        <v>0</v>
      </c>
      <c r="AL54" s="59" t="n">
        <f aca="false">IF(AL$4=1,Inputs!$E$39,0)</f>
        <v>0</v>
      </c>
      <c r="AM54" s="59" t="n">
        <f aca="false">IF(AM$4=1,Inputs!$E$39,0)</f>
        <v>0</v>
      </c>
      <c r="AN54" s="59" t="n">
        <f aca="false">IF(AN$4=1,Inputs!$E$39,0)</f>
        <v>0</v>
      </c>
      <c r="AO54" s="59" t="n">
        <f aca="false">IF(AO$4=1,Inputs!$E$39,0)</f>
        <v>0</v>
      </c>
      <c r="AP54" s="59" t="n">
        <f aca="false">IF(AP$4=1,Inputs!$E$39,0)</f>
        <v>0</v>
      </c>
      <c r="AQ54" s="59" t="n">
        <f aca="false">IF(AQ$4=1,Inputs!$E$39,0)</f>
        <v>0</v>
      </c>
      <c r="AR54" s="59" t="n">
        <f aca="false">IF(AR$4=1,Inputs!$E$39,0)</f>
        <v>0</v>
      </c>
      <c r="AS54" s="59" t="n">
        <f aca="false">IF(AS$4=1,Inputs!$E$39,0)</f>
        <v>0</v>
      </c>
      <c r="AT54" s="59" t="n">
        <f aca="false">IF(AT$4=1,Inputs!$E$39,0)</f>
        <v>0</v>
      </c>
      <c r="AU54" s="59" t="n">
        <f aca="false">IF(AU$4=1,Inputs!$E$39,0)</f>
        <v>0</v>
      </c>
      <c r="AV54" s="59" t="n">
        <f aca="false">IF(AV$4=1,Inputs!$E$39,0)</f>
        <v>0</v>
      </c>
      <c r="AW54" s="59" t="n">
        <f aca="false">IF(AW$4=1,Inputs!$E$39,0)</f>
        <v>0</v>
      </c>
      <c r="AX54" s="59" t="n">
        <f aca="false">IF(AX$4=1,Inputs!$E$39,0)</f>
        <v>0</v>
      </c>
      <c r="AY54" s="59" t="n">
        <f aca="false">IF(AY$4=1,Inputs!$E$39,0)</f>
        <v>0</v>
      </c>
      <c r="AZ54" s="59" t="n">
        <f aca="false">IF(AZ$4=1,Inputs!$E$39,0)</f>
        <v>0</v>
      </c>
      <c r="BA54" s="59" t="n">
        <f aca="false">IF(BA$4=1,Inputs!$E$39,0)</f>
        <v>0</v>
      </c>
      <c r="BB54" s="59" t="n">
        <f aca="false">IF(BB$4=1,Inputs!$E$39,0)</f>
        <v>0</v>
      </c>
      <c r="BC54" s="59" t="n">
        <f aca="false">IF(BC$4=1,Inputs!$E$39,0)</f>
        <v>0</v>
      </c>
      <c r="BD54" s="59" t="n">
        <f aca="false">IF(BD$4=1,Inputs!$E$39,0)</f>
        <v>0</v>
      </c>
      <c r="BE54" s="59" t="n">
        <f aca="false">IF(BE$4=1,Inputs!$E$39,0)</f>
        <v>0</v>
      </c>
      <c r="BF54" s="59" t="n">
        <f aca="false">IF(BF$4=1,Inputs!$E$39,0)</f>
        <v>0</v>
      </c>
      <c r="BG54" s="59" t="n">
        <f aca="false">IF(BG$4=1,Inputs!$E$39,0)</f>
        <v>0</v>
      </c>
      <c r="BH54" s="59" t="n">
        <f aca="false">IF(BH$4=1,Inputs!$E$39,0)</f>
        <v>0</v>
      </c>
      <c r="BI54" s="59" t="n">
        <f aca="false">IF(BI$4=1,Inputs!$E$39,0)</f>
        <v>0</v>
      </c>
      <c r="BJ54" s="59" t="n">
        <f aca="false">IF(BJ$4=1,Inputs!$E$39,0)</f>
        <v>0</v>
      </c>
    </row>
    <row r="55" customFormat="false" ht="15" hidden="false" customHeight="false" outlineLevel="0" collapsed="false">
      <c r="A55" s="6" t="s">
        <v>348</v>
      </c>
      <c r="C55" s="59" t="n">
        <f aca="false">C54</f>
        <v>250000</v>
      </c>
      <c r="D55" s="59" t="n">
        <f aca="false">C55+D54</f>
        <v>250000</v>
      </c>
      <c r="E55" s="59" t="n">
        <f aca="false">D55+E54</f>
        <v>250000</v>
      </c>
      <c r="F55" s="59" t="n">
        <f aca="false">E55+F54</f>
        <v>250000</v>
      </c>
      <c r="G55" s="59" t="n">
        <f aca="false">F55+G54</f>
        <v>250000</v>
      </c>
      <c r="H55" s="59" t="n">
        <f aca="false">G55+H54</f>
        <v>250000</v>
      </c>
      <c r="I55" s="59" t="n">
        <f aca="false">H55+I54</f>
        <v>250000</v>
      </c>
      <c r="J55" s="59" t="n">
        <f aca="false">I55+J54</f>
        <v>250000</v>
      </c>
      <c r="K55" s="59" t="n">
        <f aca="false">J55+K54</f>
        <v>250000</v>
      </c>
      <c r="L55" s="59" t="n">
        <f aca="false">K55+L54</f>
        <v>250000</v>
      </c>
      <c r="M55" s="59" t="n">
        <f aca="false">L55+M54</f>
        <v>250000</v>
      </c>
      <c r="N55" s="59" t="n">
        <f aca="false">M55+N54</f>
        <v>250000</v>
      </c>
      <c r="O55" s="59" t="n">
        <f aca="false">N55+O54</f>
        <v>250000</v>
      </c>
      <c r="P55" s="59" t="n">
        <f aca="false">O55+P54</f>
        <v>250000</v>
      </c>
      <c r="Q55" s="59" t="n">
        <f aca="false">P55+Q54</f>
        <v>250000</v>
      </c>
      <c r="R55" s="59" t="n">
        <f aca="false">Q55+R54</f>
        <v>250000</v>
      </c>
      <c r="S55" s="59" t="n">
        <f aca="false">R55+S54</f>
        <v>250000</v>
      </c>
      <c r="T55" s="59" t="n">
        <f aca="false">S55+T54</f>
        <v>250000</v>
      </c>
      <c r="U55" s="59" t="n">
        <f aca="false">T55+U54</f>
        <v>250000</v>
      </c>
      <c r="V55" s="59" t="n">
        <f aca="false">U55+V54</f>
        <v>250000</v>
      </c>
      <c r="W55" s="59" t="n">
        <f aca="false">V55+W54</f>
        <v>250000</v>
      </c>
      <c r="X55" s="59" t="n">
        <f aca="false">W55+X54</f>
        <v>250000</v>
      </c>
      <c r="Y55" s="59" t="n">
        <f aca="false">X55+Y54</f>
        <v>250000</v>
      </c>
      <c r="Z55" s="59" t="n">
        <f aca="false">Y55+Z54</f>
        <v>250000</v>
      </c>
      <c r="AA55" s="59" t="n">
        <f aca="false">Z55+AA54</f>
        <v>250000</v>
      </c>
      <c r="AB55" s="59" t="n">
        <f aca="false">AA55+AB54</f>
        <v>250000</v>
      </c>
      <c r="AC55" s="59" t="n">
        <f aca="false">AB55+AC54</f>
        <v>250000</v>
      </c>
      <c r="AD55" s="59" t="n">
        <f aca="false">AC55+AD54</f>
        <v>250000</v>
      </c>
      <c r="AE55" s="59" t="n">
        <f aca="false">AD55+AE54</f>
        <v>250000</v>
      </c>
      <c r="AF55" s="59" t="n">
        <f aca="false">AE55+AF54</f>
        <v>250000</v>
      </c>
      <c r="AG55" s="59" t="n">
        <f aca="false">AF55+AG54</f>
        <v>250000</v>
      </c>
      <c r="AH55" s="59" t="n">
        <f aca="false">AG55+AH54</f>
        <v>250000</v>
      </c>
      <c r="AI55" s="59" t="n">
        <f aca="false">AH55+AI54</f>
        <v>250000</v>
      </c>
      <c r="AJ55" s="59" t="n">
        <f aca="false">AI55+AJ54</f>
        <v>250000</v>
      </c>
      <c r="AK55" s="59" t="n">
        <f aca="false">AJ55+AK54</f>
        <v>250000</v>
      </c>
      <c r="AL55" s="59" t="n">
        <f aca="false">AK55+AL54</f>
        <v>250000</v>
      </c>
      <c r="AM55" s="59" t="n">
        <f aca="false">AL55+AM54</f>
        <v>250000</v>
      </c>
      <c r="AN55" s="59" t="n">
        <f aca="false">AM55+AN54</f>
        <v>250000</v>
      </c>
      <c r="AO55" s="59" t="n">
        <f aca="false">AN55+AO54</f>
        <v>250000</v>
      </c>
      <c r="AP55" s="59" t="n">
        <f aca="false">AO55+AP54</f>
        <v>250000</v>
      </c>
      <c r="AQ55" s="59" t="n">
        <f aca="false">AP55+AQ54</f>
        <v>250000</v>
      </c>
      <c r="AR55" s="59" t="n">
        <f aca="false">AQ55+AR54</f>
        <v>250000</v>
      </c>
      <c r="AS55" s="59" t="n">
        <f aca="false">AR55+AS54</f>
        <v>250000</v>
      </c>
      <c r="AT55" s="59" t="n">
        <f aca="false">AS55+AT54</f>
        <v>250000</v>
      </c>
      <c r="AU55" s="59" t="n">
        <f aca="false">AT55+AU54</f>
        <v>250000</v>
      </c>
      <c r="AV55" s="59" t="n">
        <f aca="false">AU55+AV54</f>
        <v>250000</v>
      </c>
      <c r="AW55" s="59" t="n">
        <f aca="false">AV55+AW54</f>
        <v>250000</v>
      </c>
      <c r="AX55" s="59" t="n">
        <f aca="false">AW55+AX54</f>
        <v>250000</v>
      </c>
      <c r="AY55" s="59" t="n">
        <f aca="false">AX55+AY54</f>
        <v>250000</v>
      </c>
      <c r="AZ55" s="59" t="n">
        <f aca="false">AY55+AZ54</f>
        <v>250000</v>
      </c>
      <c r="BA55" s="59" t="n">
        <f aca="false">AZ55+BA54</f>
        <v>250000</v>
      </c>
      <c r="BB55" s="59" t="n">
        <f aca="false">BA55+BB54</f>
        <v>250000</v>
      </c>
      <c r="BC55" s="59" t="n">
        <f aca="false">BB55+BC54</f>
        <v>250000</v>
      </c>
      <c r="BD55" s="59" t="n">
        <f aca="false">BC55+BD54</f>
        <v>250000</v>
      </c>
      <c r="BE55" s="59" t="n">
        <f aca="false">BD55+BE54</f>
        <v>250000</v>
      </c>
      <c r="BF55" s="59" t="n">
        <f aca="false">BE55+BF54</f>
        <v>250000</v>
      </c>
      <c r="BG55" s="59" t="n">
        <f aca="false">BF55+BG54</f>
        <v>250000</v>
      </c>
      <c r="BH55" s="59" t="n">
        <f aca="false">BG55+BH54</f>
        <v>250000</v>
      </c>
      <c r="BI55" s="59" t="n">
        <f aca="false">BH55+BI54</f>
        <v>250000</v>
      </c>
      <c r="BJ55" s="59" t="n">
        <f aca="false">BI55+BJ54</f>
        <v>250000</v>
      </c>
    </row>
    <row r="56" customFormat="false" ht="15" hidden="false" customHeight="false" outlineLevel="0" collapsed="false">
      <c r="A56" s="6" t="s">
        <v>94</v>
      </c>
      <c r="C56" s="59" t="n">
        <f aca="false">-MIN(C55/MAX(1,Inputs!$E$65*12),C54)</f>
        <v>-2976.19047619048</v>
      </c>
      <c r="D56" s="59" t="n">
        <f aca="false">-MIN(D55/MAX(1,Inputs!$E$65*12),C58+D54)</f>
        <v>-2976.19047619048</v>
      </c>
      <c r="E56" s="59" t="n">
        <f aca="false">-MIN(E55/MAX(1,Inputs!$E$65*12),D58+E54)</f>
        <v>-2976.19047619048</v>
      </c>
      <c r="F56" s="59" t="n">
        <f aca="false">-MIN(F55/MAX(1,Inputs!$E$65*12),E58+F54)</f>
        <v>-2976.19047619048</v>
      </c>
      <c r="G56" s="59" t="n">
        <f aca="false">-MIN(G55/MAX(1,Inputs!$E$65*12),F58+G54)</f>
        <v>-2976.19047619048</v>
      </c>
      <c r="H56" s="59" t="n">
        <f aca="false">-MIN(H55/MAX(1,Inputs!$E$65*12),G58+H54)</f>
        <v>-2976.19047619048</v>
      </c>
      <c r="I56" s="59" t="n">
        <f aca="false">-MIN(I55/MAX(1,Inputs!$E$65*12),H58+I54)</f>
        <v>-2976.19047619048</v>
      </c>
      <c r="J56" s="59" t="n">
        <f aca="false">-MIN(J55/MAX(1,Inputs!$E$65*12),I58+J54)</f>
        <v>-2976.19047619048</v>
      </c>
      <c r="K56" s="59" t="n">
        <f aca="false">-MIN(K55/MAX(1,Inputs!$E$65*12),J58+K54)</f>
        <v>-2976.19047619048</v>
      </c>
      <c r="L56" s="59" t="n">
        <f aca="false">-MIN(L55/MAX(1,Inputs!$E$65*12),K58+L54)</f>
        <v>-2976.19047619048</v>
      </c>
      <c r="M56" s="59" t="n">
        <f aca="false">-MIN(M55/MAX(1,Inputs!$E$65*12),L58+M54)</f>
        <v>-2976.19047619048</v>
      </c>
      <c r="N56" s="59" t="n">
        <f aca="false">-MIN(N55/MAX(1,Inputs!$E$65*12),M58+N54)</f>
        <v>-2976.19047619048</v>
      </c>
      <c r="O56" s="59" t="n">
        <f aca="false">-MIN(O55/MAX(1,Inputs!$E$65*12),N58+O54)</f>
        <v>-2976.19047619048</v>
      </c>
      <c r="P56" s="59" t="n">
        <f aca="false">-MIN(P55/MAX(1,Inputs!$E$65*12),O58+P54)</f>
        <v>-2976.19047619048</v>
      </c>
      <c r="Q56" s="59" t="n">
        <f aca="false">-MIN(Q55/MAX(1,Inputs!$E$65*12),P58+Q54)</f>
        <v>-2976.19047619048</v>
      </c>
      <c r="R56" s="59" t="n">
        <f aca="false">-MIN(R55/MAX(1,Inputs!$E$65*12),Q58+R54)</f>
        <v>-2976.19047619048</v>
      </c>
      <c r="S56" s="59" t="n">
        <f aca="false">-MIN(S55/MAX(1,Inputs!$E$65*12),R58+S54)</f>
        <v>-2976.19047619048</v>
      </c>
      <c r="T56" s="59" t="n">
        <f aca="false">-MIN(T55/MAX(1,Inputs!$E$65*12),S58+T54)</f>
        <v>-2976.19047619048</v>
      </c>
      <c r="U56" s="59" t="n">
        <f aca="false">-MIN(U55/MAX(1,Inputs!$E$65*12),T58+U54)</f>
        <v>-2976.19047619048</v>
      </c>
      <c r="V56" s="59" t="n">
        <f aca="false">-MIN(V55/MAX(1,Inputs!$E$65*12),U58+V54)</f>
        <v>-2976.19047619048</v>
      </c>
      <c r="W56" s="59" t="n">
        <f aca="false">-MIN(W55/MAX(1,Inputs!$E$65*12),V58+W54)</f>
        <v>-2976.19047619048</v>
      </c>
      <c r="X56" s="59" t="n">
        <f aca="false">-MIN(X55/MAX(1,Inputs!$E$65*12),W58+X54)</f>
        <v>-2976.19047619048</v>
      </c>
      <c r="Y56" s="59" t="n">
        <f aca="false">-MIN(Y55/MAX(1,Inputs!$E$65*12),X58+Y54)</f>
        <v>-2976.19047619048</v>
      </c>
      <c r="Z56" s="59" t="n">
        <f aca="false">-MIN(Z55/MAX(1,Inputs!$E$65*12),Y58+Z54)</f>
        <v>-2976.19047619048</v>
      </c>
      <c r="AA56" s="59" t="n">
        <f aca="false">-MIN(AA55/MAX(1,Inputs!$E$65*12),Z58+AA54)</f>
        <v>-2976.19047619048</v>
      </c>
      <c r="AB56" s="59" t="n">
        <f aca="false">-MIN(AB55/MAX(1,Inputs!$E$65*12),AA58+AB54)</f>
        <v>-2976.19047619048</v>
      </c>
      <c r="AC56" s="59" t="n">
        <f aca="false">-MIN(AC55/MAX(1,Inputs!$E$65*12),AB58+AC54)</f>
        <v>-2976.19047619048</v>
      </c>
      <c r="AD56" s="59" t="n">
        <f aca="false">-MIN(AD55/MAX(1,Inputs!$E$65*12),AC58+AD54)</f>
        <v>-2976.19047619048</v>
      </c>
      <c r="AE56" s="59" t="n">
        <f aca="false">-MIN(AE55/MAX(1,Inputs!$E$65*12),AD58+AE54)</f>
        <v>-2976.19047619048</v>
      </c>
      <c r="AF56" s="59" t="n">
        <f aca="false">-MIN(AF55/MAX(1,Inputs!$E$65*12),AE58+AF54)</f>
        <v>-2976.19047619048</v>
      </c>
      <c r="AG56" s="59" t="n">
        <f aca="false">-MIN(AG55/MAX(1,Inputs!$E$65*12),AF58+AG54)</f>
        <v>-2976.19047619048</v>
      </c>
      <c r="AH56" s="59" t="n">
        <f aca="false">-MIN(AH55/MAX(1,Inputs!$E$65*12),AG58+AH54)</f>
        <v>-2976.19047619048</v>
      </c>
      <c r="AI56" s="59" t="n">
        <f aca="false">-MIN(AI55/MAX(1,Inputs!$E$65*12),AH58+AI54)</f>
        <v>-2976.19047619048</v>
      </c>
      <c r="AJ56" s="59" t="n">
        <f aca="false">-MIN(AJ55/MAX(1,Inputs!$E$65*12),AI58+AJ54)</f>
        <v>-2976.19047619048</v>
      </c>
      <c r="AK56" s="59" t="n">
        <f aca="false">-MIN(AK55/MAX(1,Inputs!$E$65*12),AJ58+AK54)</f>
        <v>-2976.19047619048</v>
      </c>
      <c r="AL56" s="59" t="n">
        <f aca="false">-MIN(AL55/MAX(1,Inputs!$E$65*12),AK58+AL54)</f>
        <v>-2976.19047619048</v>
      </c>
      <c r="AM56" s="59" t="n">
        <f aca="false">-MIN(AM55/MAX(1,Inputs!$E$65*12),AL58+AM54)</f>
        <v>-2976.19047619048</v>
      </c>
      <c r="AN56" s="59" t="n">
        <f aca="false">-MIN(AN55/MAX(1,Inputs!$E$65*12),AM58+AN54)</f>
        <v>-2976.19047619048</v>
      </c>
      <c r="AO56" s="59" t="n">
        <f aca="false">-MIN(AO55/MAX(1,Inputs!$E$65*12),AN58+AO54)</f>
        <v>-2976.19047619048</v>
      </c>
      <c r="AP56" s="59" t="n">
        <f aca="false">-MIN(AP55/MAX(1,Inputs!$E$65*12),AO58+AP54)</f>
        <v>-2976.19047619048</v>
      </c>
      <c r="AQ56" s="59" t="n">
        <f aca="false">-MIN(AQ55/MAX(1,Inputs!$E$65*12),AP58+AQ54)</f>
        <v>-2976.19047619048</v>
      </c>
      <c r="AR56" s="59" t="n">
        <f aca="false">-MIN(AR55/MAX(1,Inputs!$E$65*12),AQ58+AR54)</f>
        <v>-2976.19047619048</v>
      </c>
      <c r="AS56" s="59" t="n">
        <f aca="false">-MIN(AS55/MAX(1,Inputs!$E$65*12),AR58+AS54)</f>
        <v>-2976.19047619048</v>
      </c>
      <c r="AT56" s="59" t="n">
        <f aca="false">-MIN(AT55/MAX(1,Inputs!$E$65*12),AS58+AT54)</f>
        <v>-2976.19047619048</v>
      </c>
      <c r="AU56" s="59" t="n">
        <f aca="false">-MIN(AU55/MAX(1,Inputs!$E$65*12),AT58+AU54)</f>
        <v>-2976.19047619048</v>
      </c>
      <c r="AV56" s="59" t="n">
        <f aca="false">-MIN(AV55/MAX(1,Inputs!$E$65*12),AU58+AV54)</f>
        <v>-2976.19047619048</v>
      </c>
      <c r="AW56" s="59" t="n">
        <f aca="false">-MIN(AW55/MAX(1,Inputs!$E$65*12),AV58+AW54)</f>
        <v>-2976.19047619048</v>
      </c>
      <c r="AX56" s="59" t="n">
        <f aca="false">-MIN(AX55/MAX(1,Inputs!$E$65*12),AW58+AX54)</f>
        <v>-2976.19047619048</v>
      </c>
      <c r="AY56" s="59" t="n">
        <f aca="false">-MIN(AY55/MAX(1,Inputs!$E$65*12),AX58+AY54)</f>
        <v>-2976.19047619048</v>
      </c>
      <c r="AZ56" s="59" t="n">
        <f aca="false">-MIN(AZ55/MAX(1,Inputs!$E$65*12),AY58+AZ54)</f>
        <v>-2976.19047619048</v>
      </c>
      <c r="BA56" s="59" t="n">
        <f aca="false">-MIN(BA55/MAX(1,Inputs!$E$65*12),AZ58+BA54)</f>
        <v>-2976.19047619048</v>
      </c>
      <c r="BB56" s="59" t="n">
        <f aca="false">-MIN(BB55/MAX(1,Inputs!$E$65*12),BA58+BB54)</f>
        <v>-2976.19047619048</v>
      </c>
      <c r="BC56" s="59" t="n">
        <f aca="false">-MIN(BC55/MAX(1,Inputs!$E$65*12),BB58+BC54)</f>
        <v>-2976.19047619048</v>
      </c>
      <c r="BD56" s="59" t="n">
        <f aca="false">-MIN(BD55/MAX(1,Inputs!$E$65*12),BC58+BD54)</f>
        <v>-2976.19047619048</v>
      </c>
      <c r="BE56" s="59" t="n">
        <f aca="false">-MIN(BE55/MAX(1,Inputs!$E$65*12),BD58+BE54)</f>
        <v>-2976.19047619048</v>
      </c>
      <c r="BF56" s="59" t="n">
        <f aca="false">-MIN(BF55/MAX(1,Inputs!$E$65*12),BE58+BF54)</f>
        <v>-2976.19047619048</v>
      </c>
      <c r="BG56" s="59" t="n">
        <f aca="false">-MIN(BG55/MAX(1,Inputs!$E$65*12),BF58+BG54)</f>
        <v>-2976.19047619048</v>
      </c>
      <c r="BH56" s="59" t="n">
        <f aca="false">-MIN(BH55/MAX(1,Inputs!$E$65*12),BG58+BH54)</f>
        <v>-2976.19047619048</v>
      </c>
      <c r="BI56" s="59" t="n">
        <f aca="false">-MIN(BI55/MAX(1,Inputs!$E$65*12),BH58+BI54)</f>
        <v>-2976.19047619048</v>
      </c>
      <c r="BJ56" s="59" t="n">
        <f aca="false">-MIN(BJ55/MAX(1,Inputs!$E$65*12),BI58+BJ54)</f>
        <v>-2976.19047619048</v>
      </c>
    </row>
    <row r="57" customFormat="false" ht="15" hidden="false" customHeight="false" outlineLevel="0" collapsed="false">
      <c r="A57" s="6" t="s">
        <v>349</v>
      </c>
      <c r="C57" s="59" t="n">
        <f aca="false">C56</f>
        <v>-2976.19047619048</v>
      </c>
      <c r="D57" s="59" t="n">
        <f aca="false">C57+D56</f>
        <v>-5952.38095238095</v>
      </c>
      <c r="E57" s="59" t="n">
        <f aca="false">D57+E56</f>
        <v>-8928.57142857143</v>
      </c>
      <c r="F57" s="59" t="n">
        <f aca="false">E57+F56</f>
        <v>-11904.7619047619</v>
      </c>
      <c r="G57" s="59" t="n">
        <f aca="false">F57+G56</f>
        <v>-14880.9523809524</v>
      </c>
      <c r="H57" s="59" t="n">
        <f aca="false">G57+H56</f>
        <v>-17857.1428571429</v>
      </c>
      <c r="I57" s="59" t="n">
        <f aca="false">H57+I56</f>
        <v>-20833.3333333333</v>
      </c>
      <c r="J57" s="59" t="n">
        <f aca="false">I57+J56</f>
        <v>-23809.5238095238</v>
      </c>
      <c r="K57" s="59" t="n">
        <f aca="false">J57+K56</f>
        <v>-26785.7142857143</v>
      </c>
      <c r="L57" s="59" t="n">
        <f aca="false">K57+L56</f>
        <v>-29761.9047619048</v>
      </c>
      <c r="M57" s="59" t="n">
        <f aca="false">L57+M56</f>
        <v>-32738.0952380952</v>
      </c>
      <c r="N57" s="59" t="n">
        <f aca="false">M57+N56</f>
        <v>-35714.2857142857</v>
      </c>
      <c r="O57" s="59" t="n">
        <f aca="false">N57+O56</f>
        <v>-38690.4761904762</v>
      </c>
      <c r="P57" s="59" t="n">
        <f aca="false">O57+P56</f>
        <v>-41666.6666666667</v>
      </c>
      <c r="Q57" s="59" t="n">
        <f aca="false">P57+Q56</f>
        <v>-44642.8571428571</v>
      </c>
      <c r="R57" s="59" t="n">
        <f aca="false">Q57+R56</f>
        <v>-47619.0476190476</v>
      </c>
      <c r="S57" s="59" t="n">
        <f aca="false">R57+S56</f>
        <v>-50595.2380952381</v>
      </c>
      <c r="T57" s="59" t="n">
        <f aca="false">S57+T56</f>
        <v>-53571.4285714286</v>
      </c>
      <c r="U57" s="59" t="n">
        <f aca="false">T57+U56</f>
        <v>-56547.619047619</v>
      </c>
      <c r="V57" s="59" t="n">
        <f aca="false">U57+V56</f>
        <v>-59523.8095238095</v>
      </c>
      <c r="W57" s="59" t="n">
        <f aca="false">V57+W56</f>
        <v>-62500</v>
      </c>
      <c r="X57" s="59" t="n">
        <f aca="false">W57+X56</f>
        <v>-65476.1904761905</v>
      </c>
      <c r="Y57" s="59" t="n">
        <f aca="false">X57+Y56</f>
        <v>-68452.3809523809</v>
      </c>
      <c r="Z57" s="59" t="n">
        <f aca="false">Y57+Z56</f>
        <v>-71428.5714285714</v>
      </c>
      <c r="AA57" s="59" t="n">
        <f aca="false">Z57+AA56</f>
        <v>-74404.7619047619</v>
      </c>
      <c r="AB57" s="59" t="n">
        <f aca="false">AA57+AB56</f>
        <v>-77380.9523809524</v>
      </c>
      <c r="AC57" s="59" t="n">
        <f aca="false">AB57+AC56</f>
        <v>-80357.1428571428</v>
      </c>
      <c r="AD57" s="59" t="n">
        <f aca="false">AC57+AD56</f>
        <v>-83333.3333333333</v>
      </c>
      <c r="AE57" s="59" t="n">
        <f aca="false">AD57+AE56</f>
        <v>-86309.5238095238</v>
      </c>
      <c r="AF57" s="59" t="n">
        <f aca="false">AE57+AF56</f>
        <v>-89285.7142857143</v>
      </c>
      <c r="AG57" s="59" t="n">
        <f aca="false">AF57+AG56</f>
        <v>-92261.9047619047</v>
      </c>
      <c r="AH57" s="59" t="n">
        <f aca="false">AG57+AH56</f>
        <v>-95238.0952380952</v>
      </c>
      <c r="AI57" s="59" t="n">
        <f aca="false">AH57+AI56</f>
        <v>-98214.2857142857</v>
      </c>
      <c r="AJ57" s="59" t="n">
        <f aca="false">AI57+AJ56</f>
        <v>-101190.476190476</v>
      </c>
      <c r="AK57" s="59" t="n">
        <f aca="false">AJ57+AK56</f>
        <v>-104166.666666667</v>
      </c>
      <c r="AL57" s="59" t="n">
        <f aca="false">AK57+AL56</f>
        <v>-107142.857142857</v>
      </c>
      <c r="AM57" s="59" t="n">
        <f aca="false">AL57+AM56</f>
        <v>-110119.047619048</v>
      </c>
      <c r="AN57" s="59" t="n">
        <f aca="false">AM57+AN56</f>
        <v>-113095.238095238</v>
      </c>
      <c r="AO57" s="59" t="n">
        <f aca="false">AN57+AO56</f>
        <v>-116071.428571429</v>
      </c>
      <c r="AP57" s="59" t="n">
        <f aca="false">AO57+AP56</f>
        <v>-119047.619047619</v>
      </c>
      <c r="AQ57" s="59" t="n">
        <f aca="false">AP57+AQ56</f>
        <v>-122023.809523809</v>
      </c>
      <c r="AR57" s="59" t="n">
        <f aca="false">AQ57+AR56</f>
        <v>-125000</v>
      </c>
      <c r="AS57" s="59" t="n">
        <f aca="false">AR57+AS56</f>
        <v>-127976.19047619</v>
      </c>
      <c r="AT57" s="59" t="n">
        <f aca="false">AS57+AT56</f>
        <v>-130952.380952381</v>
      </c>
      <c r="AU57" s="59" t="n">
        <f aca="false">AT57+AU56</f>
        <v>-133928.571428571</v>
      </c>
      <c r="AV57" s="59" t="n">
        <f aca="false">AU57+AV56</f>
        <v>-136904.761904762</v>
      </c>
      <c r="AW57" s="59" t="n">
        <f aca="false">AV57+AW56</f>
        <v>-139880.952380952</v>
      </c>
      <c r="AX57" s="59" t="n">
        <f aca="false">AW57+AX56</f>
        <v>-142857.142857143</v>
      </c>
      <c r="AY57" s="59" t="n">
        <f aca="false">AX57+AY56</f>
        <v>-145833.333333333</v>
      </c>
      <c r="AZ57" s="59" t="n">
        <f aca="false">AY57+AZ56</f>
        <v>-148809.523809524</v>
      </c>
      <c r="BA57" s="59" t="n">
        <f aca="false">AZ57+BA56</f>
        <v>-151785.714285714</v>
      </c>
      <c r="BB57" s="59" t="n">
        <f aca="false">BA57+BB56</f>
        <v>-154761.904761905</v>
      </c>
      <c r="BC57" s="59" t="n">
        <f aca="false">BB57+BC56</f>
        <v>-157738.095238095</v>
      </c>
      <c r="BD57" s="59" t="n">
        <f aca="false">BC57+BD56</f>
        <v>-160714.285714286</v>
      </c>
      <c r="BE57" s="59" t="n">
        <f aca="false">BD57+BE56</f>
        <v>-163690.476190476</v>
      </c>
      <c r="BF57" s="59" t="n">
        <f aca="false">BE57+BF56</f>
        <v>-166666.666666667</v>
      </c>
      <c r="BG57" s="59" t="n">
        <f aca="false">BF57+BG56</f>
        <v>-169642.857142857</v>
      </c>
      <c r="BH57" s="59" t="n">
        <f aca="false">BG57+BH56</f>
        <v>-172619.047619048</v>
      </c>
      <c r="BI57" s="59" t="n">
        <f aca="false">BH57+BI56</f>
        <v>-175595.238095238</v>
      </c>
      <c r="BJ57" s="59" t="n">
        <f aca="false">BI57+BJ56</f>
        <v>-178571.428571428</v>
      </c>
    </row>
    <row r="58" customFormat="false" ht="15" hidden="false" customHeight="false" outlineLevel="0" collapsed="false">
      <c r="A58" s="4" t="s">
        <v>108</v>
      </c>
      <c r="C58" s="64" t="n">
        <f aca="false">C55+C57</f>
        <v>247023.80952381</v>
      </c>
      <c r="D58" s="64" t="n">
        <f aca="false">D55+D57</f>
        <v>244047.619047619</v>
      </c>
      <c r="E58" s="64" t="n">
        <f aca="false">E55+E57</f>
        <v>241071.428571429</v>
      </c>
      <c r="F58" s="64" t="n">
        <f aca="false">F55+F57</f>
        <v>238095.238095238</v>
      </c>
      <c r="G58" s="64" t="n">
        <f aca="false">G55+G57</f>
        <v>235119.047619048</v>
      </c>
      <c r="H58" s="64" t="n">
        <f aca="false">H55+H57</f>
        <v>232142.857142857</v>
      </c>
      <c r="I58" s="64" t="n">
        <f aca="false">I55+I57</f>
        <v>229166.666666667</v>
      </c>
      <c r="J58" s="64" t="n">
        <f aca="false">J55+J57</f>
        <v>226190.476190476</v>
      </c>
      <c r="K58" s="64" t="n">
        <f aca="false">K55+K57</f>
        <v>223214.285714286</v>
      </c>
      <c r="L58" s="64" t="n">
        <f aca="false">L55+L57</f>
        <v>220238.095238095</v>
      </c>
      <c r="M58" s="64" t="n">
        <f aca="false">M55+M57</f>
        <v>217261.904761905</v>
      </c>
      <c r="N58" s="64" t="n">
        <f aca="false">N55+N57</f>
        <v>214285.714285714</v>
      </c>
      <c r="O58" s="64" t="n">
        <f aca="false">O55+O57</f>
        <v>211309.523809524</v>
      </c>
      <c r="P58" s="64" t="n">
        <f aca="false">P55+P57</f>
        <v>208333.333333333</v>
      </c>
      <c r="Q58" s="64" t="n">
        <f aca="false">Q55+Q57</f>
        <v>205357.142857143</v>
      </c>
      <c r="R58" s="64" t="n">
        <f aca="false">R55+R57</f>
        <v>202380.952380952</v>
      </c>
      <c r="S58" s="64" t="n">
        <f aca="false">S55+S57</f>
        <v>199404.761904762</v>
      </c>
      <c r="T58" s="64" t="n">
        <f aca="false">T55+T57</f>
        <v>196428.571428571</v>
      </c>
      <c r="U58" s="64" t="n">
        <f aca="false">U55+U57</f>
        <v>193452.380952381</v>
      </c>
      <c r="V58" s="64" t="n">
        <f aca="false">V55+V57</f>
        <v>190476.190476191</v>
      </c>
      <c r="W58" s="64" t="n">
        <f aca="false">W55+W57</f>
        <v>187500</v>
      </c>
      <c r="X58" s="64" t="n">
        <f aca="false">X55+X57</f>
        <v>184523.80952381</v>
      </c>
      <c r="Y58" s="64" t="n">
        <f aca="false">Y55+Y57</f>
        <v>181547.619047619</v>
      </c>
      <c r="Z58" s="64" t="n">
        <f aca="false">Z55+Z57</f>
        <v>178571.428571429</v>
      </c>
      <c r="AA58" s="64" t="n">
        <f aca="false">AA55+AA57</f>
        <v>175595.238095238</v>
      </c>
      <c r="AB58" s="64" t="n">
        <f aca="false">AB55+AB57</f>
        <v>172619.047619048</v>
      </c>
      <c r="AC58" s="64" t="n">
        <f aca="false">AC55+AC57</f>
        <v>169642.857142857</v>
      </c>
      <c r="AD58" s="64" t="n">
        <f aca="false">AD55+AD57</f>
        <v>166666.666666667</v>
      </c>
      <c r="AE58" s="64" t="n">
        <f aca="false">AE55+AE57</f>
        <v>163690.476190476</v>
      </c>
      <c r="AF58" s="64" t="n">
        <f aca="false">AF55+AF57</f>
        <v>160714.285714286</v>
      </c>
      <c r="AG58" s="64" t="n">
        <f aca="false">AG55+AG57</f>
        <v>157738.095238095</v>
      </c>
      <c r="AH58" s="64" t="n">
        <f aca="false">AH55+AH57</f>
        <v>154761.904761905</v>
      </c>
      <c r="AI58" s="64" t="n">
        <f aca="false">AI55+AI57</f>
        <v>151785.714285714</v>
      </c>
      <c r="AJ58" s="64" t="n">
        <f aca="false">AJ55+AJ57</f>
        <v>148809.523809524</v>
      </c>
      <c r="AK58" s="64" t="n">
        <f aca="false">AK55+AK57</f>
        <v>145833.333333333</v>
      </c>
      <c r="AL58" s="64" t="n">
        <f aca="false">AL55+AL57</f>
        <v>142857.142857143</v>
      </c>
      <c r="AM58" s="64" t="n">
        <f aca="false">AM55+AM57</f>
        <v>139880.952380952</v>
      </c>
      <c r="AN58" s="64" t="n">
        <f aca="false">AN55+AN57</f>
        <v>136904.761904762</v>
      </c>
      <c r="AO58" s="64" t="n">
        <f aca="false">AO55+AO57</f>
        <v>133928.571428571</v>
      </c>
      <c r="AP58" s="64" t="n">
        <f aca="false">AP55+AP57</f>
        <v>130952.380952381</v>
      </c>
      <c r="AQ58" s="64" t="n">
        <f aca="false">AQ55+AQ57</f>
        <v>127976.190476191</v>
      </c>
      <c r="AR58" s="64" t="n">
        <f aca="false">AR55+AR57</f>
        <v>125000</v>
      </c>
      <c r="AS58" s="64" t="n">
        <f aca="false">AS55+AS57</f>
        <v>122023.80952381</v>
      </c>
      <c r="AT58" s="64" t="n">
        <f aca="false">AT55+AT57</f>
        <v>119047.619047619</v>
      </c>
      <c r="AU58" s="64" t="n">
        <f aca="false">AU55+AU57</f>
        <v>116071.428571429</v>
      </c>
      <c r="AV58" s="64" t="n">
        <f aca="false">AV55+AV57</f>
        <v>113095.238095238</v>
      </c>
      <c r="AW58" s="64" t="n">
        <f aca="false">AW55+AW57</f>
        <v>110119.047619048</v>
      </c>
      <c r="AX58" s="64" t="n">
        <f aca="false">AX55+AX57</f>
        <v>107142.857142857</v>
      </c>
      <c r="AY58" s="64" t="n">
        <f aca="false">AY55+AY57</f>
        <v>104166.666666667</v>
      </c>
      <c r="AZ58" s="64" t="n">
        <f aca="false">AZ55+AZ57</f>
        <v>101190.476190476</v>
      </c>
      <c r="BA58" s="64" t="n">
        <f aca="false">BA55+BA57</f>
        <v>98214.2857142858</v>
      </c>
      <c r="BB58" s="64" t="n">
        <f aca="false">BB55+BB57</f>
        <v>95238.0952380953</v>
      </c>
      <c r="BC58" s="64" t="n">
        <f aca="false">BC55+BC57</f>
        <v>92261.9047619049</v>
      </c>
      <c r="BD58" s="64" t="n">
        <f aca="false">BD55+BD57</f>
        <v>89285.7142857144</v>
      </c>
      <c r="BE58" s="64" t="n">
        <f aca="false">BE55+BE57</f>
        <v>86309.5238095239</v>
      </c>
      <c r="BF58" s="64" t="n">
        <f aca="false">BF55+BF57</f>
        <v>83333.3333333334</v>
      </c>
      <c r="BG58" s="64" t="n">
        <f aca="false">BG55+BG57</f>
        <v>80357.142857143</v>
      </c>
      <c r="BH58" s="64" t="n">
        <f aca="false">BH55+BH57</f>
        <v>77380.9523809525</v>
      </c>
      <c r="BI58" s="64" t="n">
        <f aca="false">BI55+BI57</f>
        <v>74404.761904762</v>
      </c>
      <c r="BJ58" s="64" t="n">
        <f aca="false">BJ55+BJ57</f>
        <v>71428.5714285715</v>
      </c>
    </row>
    <row r="60" customFormat="false" ht="15.75" hidden="false" customHeight="true" outlineLevel="0" collapsed="false">
      <c r="A60" s="7" t="s">
        <v>350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customFormat="false" ht="15" hidden="false" customHeight="false" outlineLevel="0" collapsed="false">
      <c r="A61" s="6" t="s">
        <v>351</v>
      </c>
      <c r="C61" s="59" t="n">
        <f aca="false">0</f>
        <v>0</v>
      </c>
      <c r="D61" s="59" t="n">
        <f aca="false">C64</f>
        <v>150000</v>
      </c>
      <c r="E61" s="59" t="n">
        <f aca="false">D64</f>
        <v>148214.285714286</v>
      </c>
      <c r="F61" s="59" t="n">
        <f aca="false">E64</f>
        <v>146428.571428571</v>
      </c>
      <c r="G61" s="59" t="n">
        <f aca="false">F64</f>
        <v>144642.857142857</v>
      </c>
      <c r="H61" s="59" t="n">
        <f aca="false">G64</f>
        <v>142857.142857143</v>
      </c>
      <c r="I61" s="59" t="n">
        <f aca="false">H64</f>
        <v>141071.428571429</v>
      </c>
      <c r="J61" s="59" t="n">
        <f aca="false">I64</f>
        <v>139285.714285714</v>
      </c>
      <c r="K61" s="59" t="n">
        <f aca="false">J64</f>
        <v>137500</v>
      </c>
      <c r="L61" s="59" t="n">
        <f aca="false">K64</f>
        <v>135714.285714286</v>
      </c>
      <c r="M61" s="59" t="n">
        <f aca="false">L64</f>
        <v>133928.571428571</v>
      </c>
      <c r="N61" s="59" t="n">
        <f aca="false">M64</f>
        <v>132142.857142857</v>
      </c>
      <c r="O61" s="59" t="n">
        <f aca="false">N64</f>
        <v>130357.142857143</v>
      </c>
      <c r="P61" s="59" t="n">
        <f aca="false">O64</f>
        <v>128571.428571429</v>
      </c>
      <c r="Q61" s="59" t="n">
        <f aca="false">P64</f>
        <v>126785.714285714</v>
      </c>
      <c r="R61" s="59" t="n">
        <f aca="false">Q64</f>
        <v>125000</v>
      </c>
      <c r="S61" s="59" t="n">
        <f aca="false">R64</f>
        <v>123214.285714286</v>
      </c>
      <c r="T61" s="59" t="n">
        <f aca="false">S64</f>
        <v>121428.571428571</v>
      </c>
      <c r="U61" s="59" t="n">
        <f aca="false">T64</f>
        <v>119642.857142857</v>
      </c>
      <c r="V61" s="59" t="n">
        <f aca="false">U64</f>
        <v>117857.142857143</v>
      </c>
      <c r="W61" s="59" t="n">
        <f aca="false">V64</f>
        <v>116071.428571428</v>
      </c>
      <c r="X61" s="59" t="n">
        <f aca="false">W64</f>
        <v>114285.714285714</v>
      </c>
      <c r="Y61" s="59" t="n">
        <f aca="false">X64</f>
        <v>112500</v>
      </c>
      <c r="Z61" s="59" t="n">
        <f aca="false">Y64</f>
        <v>110714.285714286</v>
      </c>
      <c r="AA61" s="59" t="n">
        <f aca="false">Z64</f>
        <v>108928.571428571</v>
      </c>
      <c r="AB61" s="59" t="n">
        <f aca="false">AA64</f>
        <v>107142.857142857</v>
      </c>
      <c r="AC61" s="59" t="n">
        <f aca="false">AB64</f>
        <v>105357.142857143</v>
      </c>
      <c r="AD61" s="59" t="n">
        <f aca="false">AC64</f>
        <v>103571.428571428</v>
      </c>
      <c r="AE61" s="59" t="n">
        <f aca="false">AD64</f>
        <v>101785.714285714</v>
      </c>
      <c r="AF61" s="59" t="n">
        <f aca="false">AE64</f>
        <v>99999.9999999999</v>
      </c>
      <c r="AG61" s="59" t="n">
        <f aca="false">AF64</f>
        <v>98214.2857142856</v>
      </c>
      <c r="AH61" s="59" t="n">
        <f aca="false">AG64</f>
        <v>96428.5714285713</v>
      </c>
      <c r="AI61" s="59" t="n">
        <f aca="false">AH64</f>
        <v>94642.857142857</v>
      </c>
      <c r="AJ61" s="59" t="n">
        <f aca="false">AI64</f>
        <v>92857.1428571427</v>
      </c>
      <c r="AK61" s="59" t="n">
        <f aca="false">AJ64</f>
        <v>91071.4285714284</v>
      </c>
      <c r="AL61" s="59" t="n">
        <f aca="false">AK64</f>
        <v>89285.7142857141</v>
      </c>
      <c r="AM61" s="59" t="n">
        <f aca="false">AL64</f>
        <v>87499.9999999999</v>
      </c>
      <c r="AN61" s="59" t="n">
        <f aca="false">AM64</f>
        <v>85714.2857142856</v>
      </c>
      <c r="AO61" s="59" t="n">
        <f aca="false">AN64</f>
        <v>83928.5714285713</v>
      </c>
      <c r="AP61" s="59" t="n">
        <f aca="false">AO64</f>
        <v>82142.857142857</v>
      </c>
      <c r="AQ61" s="59" t="n">
        <f aca="false">AP64</f>
        <v>80357.1428571427</v>
      </c>
      <c r="AR61" s="59" t="n">
        <f aca="false">AQ64</f>
        <v>78571.4285714284</v>
      </c>
      <c r="AS61" s="59" t="n">
        <f aca="false">AR64</f>
        <v>76785.7142857141</v>
      </c>
      <c r="AT61" s="59" t="n">
        <f aca="false">AS64</f>
        <v>74999.9999999998</v>
      </c>
      <c r="AU61" s="59" t="n">
        <f aca="false">AT64</f>
        <v>73214.2857142855</v>
      </c>
      <c r="AV61" s="59" t="n">
        <f aca="false">AU64</f>
        <v>71428.5714285713</v>
      </c>
      <c r="AW61" s="59" t="n">
        <f aca="false">AV64</f>
        <v>69642.857142857</v>
      </c>
      <c r="AX61" s="59" t="n">
        <f aca="false">AW64</f>
        <v>67857.1428571427</v>
      </c>
      <c r="AY61" s="59" t="n">
        <f aca="false">AX64</f>
        <v>66071.4285714284</v>
      </c>
      <c r="AZ61" s="59" t="n">
        <f aca="false">AY64</f>
        <v>64285.7142857141</v>
      </c>
      <c r="BA61" s="59" t="n">
        <f aca="false">AZ64</f>
        <v>62499.9999999998</v>
      </c>
      <c r="BB61" s="59" t="n">
        <f aca="false">BA64</f>
        <v>60714.2857142855</v>
      </c>
      <c r="BC61" s="59" t="n">
        <f aca="false">BB64</f>
        <v>58928.5714285712</v>
      </c>
      <c r="BD61" s="59" t="n">
        <f aca="false">BC64</f>
        <v>57142.857142857</v>
      </c>
      <c r="BE61" s="59" t="n">
        <f aca="false">BD64</f>
        <v>55357.1428571427</v>
      </c>
      <c r="BF61" s="59" t="n">
        <f aca="false">BE64</f>
        <v>53571.4285714284</v>
      </c>
      <c r="BG61" s="59" t="n">
        <f aca="false">BF64</f>
        <v>51785.7142857141</v>
      </c>
      <c r="BH61" s="59" t="n">
        <f aca="false">BG64</f>
        <v>49999.9999999998</v>
      </c>
      <c r="BI61" s="59" t="n">
        <f aca="false">BH64</f>
        <v>48214.2857142856</v>
      </c>
      <c r="BJ61" s="59" t="n">
        <f aca="false">BI64</f>
        <v>46428.5714285713</v>
      </c>
    </row>
    <row r="62" customFormat="false" ht="15" hidden="false" customHeight="false" outlineLevel="0" collapsed="false">
      <c r="A62" s="6" t="s">
        <v>101</v>
      </c>
      <c r="C62" s="59" t="n">
        <f aca="false">IF(C$4=1,Inputs!$E$55,0)</f>
        <v>150000</v>
      </c>
      <c r="D62" s="59" t="n">
        <f aca="false">IF(D$4=1,Inputs!$E$55,0)</f>
        <v>0</v>
      </c>
      <c r="E62" s="59" t="n">
        <f aca="false">IF(E$4=1,Inputs!$E$55,0)</f>
        <v>0</v>
      </c>
      <c r="F62" s="59" t="n">
        <f aca="false">IF(F$4=1,Inputs!$E$55,0)</f>
        <v>0</v>
      </c>
      <c r="G62" s="59" t="n">
        <f aca="false">IF(G$4=1,Inputs!$E$55,0)</f>
        <v>0</v>
      </c>
      <c r="H62" s="59" t="n">
        <f aca="false">IF(H$4=1,Inputs!$E$55,0)</f>
        <v>0</v>
      </c>
      <c r="I62" s="59" t="n">
        <f aca="false">IF(I$4=1,Inputs!$E$55,0)</f>
        <v>0</v>
      </c>
      <c r="J62" s="59" t="n">
        <f aca="false">IF(J$4=1,Inputs!$E$55,0)</f>
        <v>0</v>
      </c>
      <c r="K62" s="59" t="n">
        <f aca="false">IF(K$4=1,Inputs!$E$55,0)</f>
        <v>0</v>
      </c>
      <c r="L62" s="59" t="n">
        <f aca="false">IF(L$4=1,Inputs!$E$55,0)</f>
        <v>0</v>
      </c>
      <c r="M62" s="59" t="n">
        <f aca="false">IF(M$4=1,Inputs!$E$55,0)</f>
        <v>0</v>
      </c>
      <c r="N62" s="59" t="n">
        <f aca="false">IF(N$4=1,Inputs!$E$55,0)</f>
        <v>0</v>
      </c>
      <c r="O62" s="59" t="n">
        <f aca="false">IF(O$4=1,Inputs!$E$55,0)</f>
        <v>0</v>
      </c>
      <c r="P62" s="59" t="n">
        <f aca="false">IF(P$4=1,Inputs!$E$55,0)</f>
        <v>0</v>
      </c>
      <c r="Q62" s="59" t="n">
        <f aca="false">IF(Q$4=1,Inputs!$E$55,0)</f>
        <v>0</v>
      </c>
      <c r="R62" s="59" t="n">
        <f aca="false">IF(R$4=1,Inputs!$E$55,0)</f>
        <v>0</v>
      </c>
      <c r="S62" s="59" t="n">
        <f aca="false">IF(S$4=1,Inputs!$E$55,0)</f>
        <v>0</v>
      </c>
      <c r="T62" s="59" t="n">
        <f aca="false">IF(T$4=1,Inputs!$E$55,0)</f>
        <v>0</v>
      </c>
      <c r="U62" s="59" t="n">
        <f aca="false">IF(U$4=1,Inputs!$E$55,0)</f>
        <v>0</v>
      </c>
      <c r="V62" s="59" t="n">
        <f aca="false">IF(V$4=1,Inputs!$E$55,0)</f>
        <v>0</v>
      </c>
      <c r="W62" s="59" t="n">
        <f aca="false">IF(W$4=1,Inputs!$E$55,0)</f>
        <v>0</v>
      </c>
      <c r="X62" s="59" t="n">
        <f aca="false">IF(X$4=1,Inputs!$E$55,0)</f>
        <v>0</v>
      </c>
      <c r="Y62" s="59" t="n">
        <f aca="false">IF(Y$4=1,Inputs!$E$55,0)</f>
        <v>0</v>
      </c>
      <c r="Z62" s="59" t="n">
        <f aca="false">IF(Z$4=1,Inputs!$E$55,0)</f>
        <v>0</v>
      </c>
      <c r="AA62" s="59" t="n">
        <f aca="false">IF(AA$4=1,Inputs!$E$55,0)</f>
        <v>0</v>
      </c>
      <c r="AB62" s="59" t="n">
        <f aca="false">IF(AB$4=1,Inputs!$E$55,0)</f>
        <v>0</v>
      </c>
      <c r="AC62" s="59" t="n">
        <f aca="false">IF(AC$4=1,Inputs!$E$55,0)</f>
        <v>0</v>
      </c>
      <c r="AD62" s="59" t="n">
        <f aca="false">IF(AD$4=1,Inputs!$E$55,0)</f>
        <v>0</v>
      </c>
      <c r="AE62" s="59" t="n">
        <f aca="false">IF(AE$4=1,Inputs!$E$55,0)</f>
        <v>0</v>
      </c>
      <c r="AF62" s="59" t="n">
        <f aca="false">IF(AF$4=1,Inputs!$E$55,0)</f>
        <v>0</v>
      </c>
      <c r="AG62" s="59" t="n">
        <f aca="false">IF(AG$4=1,Inputs!$E$55,0)</f>
        <v>0</v>
      </c>
      <c r="AH62" s="59" t="n">
        <f aca="false">IF(AH$4=1,Inputs!$E$55,0)</f>
        <v>0</v>
      </c>
      <c r="AI62" s="59" t="n">
        <f aca="false">IF(AI$4=1,Inputs!$E$55,0)</f>
        <v>0</v>
      </c>
      <c r="AJ62" s="59" t="n">
        <f aca="false">IF(AJ$4=1,Inputs!$E$55,0)</f>
        <v>0</v>
      </c>
      <c r="AK62" s="59" t="n">
        <f aca="false">IF(AK$4=1,Inputs!$E$55,0)</f>
        <v>0</v>
      </c>
      <c r="AL62" s="59" t="n">
        <f aca="false">IF(AL$4=1,Inputs!$E$55,0)</f>
        <v>0</v>
      </c>
      <c r="AM62" s="59" t="n">
        <f aca="false">IF(AM$4=1,Inputs!$E$55,0)</f>
        <v>0</v>
      </c>
      <c r="AN62" s="59" t="n">
        <f aca="false">IF(AN$4=1,Inputs!$E$55,0)</f>
        <v>0</v>
      </c>
      <c r="AO62" s="59" t="n">
        <f aca="false">IF(AO$4=1,Inputs!$E$55,0)</f>
        <v>0</v>
      </c>
      <c r="AP62" s="59" t="n">
        <f aca="false">IF(AP$4=1,Inputs!$E$55,0)</f>
        <v>0</v>
      </c>
      <c r="AQ62" s="59" t="n">
        <f aca="false">IF(AQ$4=1,Inputs!$E$55,0)</f>
        <v>0</v>
      </c>
      <c r="AR62" s="59" t="n">
        <f aca="false">IF(AR$4=1,Inputs!$E$55,0)</f>
        <v>0</v>
      </c>
      <c r="AS62" s="59" t="n">
        <f aca="false">IF(AS$4=1,Inputs!$E$55,0)</f>
        <v>0</v>
      </c>
      <c r="AT62" s="59" t="n">
        <f aca="false">IF(AT$4=1,Inputs!$E$55,0)</f>
        <v>0</v>
      </c>
      <c r="AU62" s="59" t="n">
        <f aca="false">IF(AU$4=1,Inputs!$E$55,0)</f>
        <v>0</v>
      </c>
      <c r="AV62" s="59" t="n">
        <f aca="false">IF(AV$4=1,Inputs!$E$55,0)</f>
        <v>0</v>
      </c>
      <c r="AW62" s="59" t="n">
        <f aca="false">IF(AW$4=1,Inputs!$E$55,0)</f>
        <v>0</v>
      </c>
      <c r="AX62" s="59" t="n">
        <f aca="false">IF(AX$4=1,Inputs!$E$55,0)</f>
        <v>0</v>
      </c>
      <c r="AY62" s="59" t="n">
        <f aca="false">IF(AY$4=1,Inputs!$E$55,0)</f>
        <v>0</v>
      </c>
      <c r="AZ62" s="59" t="n">
        <f aca="false">IF(AZ$4=1,Inputs!$E$55,0)</f>
        <v>0</v>
      </c>
      <c r="BA62" s="59" t="n">
        <f aca="false">IF(BA$4=1,Inputs!$E$55,0)</f>
        <v>0</v>
      </c>
      <c r="BB62" s="59" t="n">
        <f aca="false">IF(BB$4=1,Inputs!$E$55,0)</f>
        <v>0</v>
      </c>
      <c r="BC62" s="59" t="n">
        <f aca="false">IF(BC$4=1,Inputs!$E$55,0)</f>
        <v>0</v>
      </c>
      <c r="BD62" s="59" t="n">
        <f aca="false">IF(BD$4=1,Inputs!$E$55,0)</f>
        <v>0</v>
      </c>
      <c r="BE62" s="59" t="n">
        <f aca="false">IF(BE$4=1,Inputs!$E$55,0)</f>
        <v>0</v>
      </c>
      <c r="BF62" s="59" t="n">
        <f aca="false">IF(BF$4=1,Inputs!$E$55,0)</f>
        <v>0</v>
      </c>
      <c r="BG62" s="59" t="n">
        <f aca="false">IF(BG$4=1,Inputs!$E$55,0)</f>
        <v>0</v>
      </c>
      <c r="BH62" s="59" t="n">
        <f aca="false">IF(BH$4=1,Inputs!$E$55,0)</f>
        <v>0</v>
      </c>
      <c r="BI62" s="59" t="n">
        <f aca="false">IF(BI$4=1,Inputs!$E$55,0)</f>
        <v>0</v>
      </c>
      <c r="BJ62" s="59" t="n">
        <f aca="false">IF(BJ$4=1,Inputs!$E$55,0)</f>
        <v>0</v>
      </c>
    </row>
    <row r="63" customFormat="false" ht="15" hidden="false" customHeight="false" outlineLevel="0" collapsed="false">
      <c r="A63" s="6" t="s">
        <v>102</v>
      </c>
      <c r="C63" s="59" t="n">
        <f aca="false">-MIN(C61,Inputs!$E$55/MAX(1,Inputs!$E$57*12))</f>
        <v>-0</v>
      </c>
      <c r="D63" s="59" t="n">
        <f aca="false">-MIN(D61,Inputs!$E$55/MAX(1,Inputs!$E$57*12))</f>
        <v>-1785.71428571429</v>
      </c>
      <c r="E63" s="59" t="n">
        <f aca="false">-MIN(E61,Inputs!$E$55/MAX(1,Inputs!$E$57*12))</f>
        <v>-1785.71428571429</v>
      </c>
      <c r="F63" s="59" t="n">
        <f aca="false">-MIN(F61,Inputs!$E$55/MAX(1,Inputs!$E$57*12))</f>
        <v>-1785.71428571429</v>
      </c>
      <c r="G63" s="59" t="n">
        <f aca="false">-MIN(G61,Inputs!$E$55/MAX(1,Inputs!$E$57*12))</f>
        <v>-1785.71428571429</v>
      </c>
      <c r="H63" s="59" t="n">
        <f aca="false">-MIN(H61,Inputs!$E$55/MAX(1,Inputs!$E$57*12))</f>
        <v>-1785.71428571429</v>
      </c>
      <c r="I63" s="59" t="n">
        <f aca="false">-MIN(I61,Inputs!$E$55/MAX(1,Inputs!$E$57*12))</f>
        <v>-1785.71428571429</v>
      </c>
      <c r="J63" s="59" t="n">
        <f aca="false">-MIN(J61,Inputs!$E$55/MAX(1,Inputs!$E$57*12))</f>
        <v>-1785.71428571429</v>
      </c>
      <c r="K63" s="59" t="n">
        <f aca="false">-MIN(K61,Inputs!$E$55/MAX(1,Inputs!$E$57*12))</f>
        <v>-1785.71428571429</v>
      </c>
      <c r="L63" s="59" t="n">
        <f aca="false">-MIN(L61,Inputs!$E$55/MAX(1,Inputs!$E$57*12))</f>
        <v>-1785.71428571429</v>
      </c>
      <c r="M63" s="59" t="n">
        <f aca="false">-MIN(M61,Inputs!$E$55/MAX(1,Inputs!$E$57*12))</f>
        <v>-1785.71428571429</v>
      </c>
      <c r="N63" s="59" t="n">
        <f aca="false">-MIN(N61,Inputs!$E$55/MAX(1,Inputs!$E$57*12))</f>
        <v>-1785.71428571429</v>
      </c>
      <c r="O63" s="59" t="n">
        <f aca="false">-MIN(O61,Inputs!$E$55/MAX(1,Inputs!$E$57*12))</f>
        <v>-1785.71428571429</v>
      </c>
      <c r="P63" s="59" t="n">
        <f aca="false">-MIN(P61,Inputs!$E$55/MAX(1,Inputs!$E$57*12))</f>
        <v>-1785.71428571429</v>
      </c>
      <c r="Q63" s="59" t="n">
        <f aca="false">-MIN(Q61,Inputs!$E$55/MAX(1,Inputs!$E$57*12))</f>
        <v>-1785.71428571429</v>
      </c>
      <c r="R63" s="59" t="n">
        <f aca="false">-MIN(R61,Inputs!$E$55/MAX(1,Inputs!$E$57*12))</f>
        <v>-1785.71428571429</v>
      </c>
      <c r="S63" s="59" t="n">
        <f aca="false">-MIN(S61,Inputs!$E$55/MAX(1,Inputs!$E$57*12))</f>
        <v>-1785.71428571429</v>
      </c>
      <c r="T63" s="59" t="n">
        <f aca="false">-MIN(T61,Inputs!$E$55/MAX(1,Inputs!$E$57*12))</f>
        <v>-1785.71428571429</v>
      </c>
      <c r="U63" s="59" t="n">
        <f aca="false">-MIN(U61,Inputs!$E$55/MAX(1,Inputs!$E$57*12))</f>
        <v>-1785.71428571429</v>
      </c>
      <c r="V63" s="59" t="n">
        <f aca="false">-MIN(V61,Inputs!$E$55/MAX(1,Inputs!$E$57*12))</f>
        <v>-1785.71428571429</v>
      </c>
      <c r="W63" s="59" t="n">
        <f aca="false">-MIN(W61,Inputs!$E$55/MAX(1,Inputs!$E$57*12))</f>
        <v>-1785.71428571429</v>
      </c>
      <c r="X63" s="59" t="n">
        <f aca="false">-MIN(X61,Inputs!$E$55/MAX(1,Inputs!$E$57*12))</f>
        <v>-1785.71428571429</v>
      </c>
      <c r="Y63" s="59" t="n">
        <f aca="false">-MIN(Y61,Inputs!$E$55/MAX(1,Inputs!$E$57*12))</f>
        <v>-1785.71428571429</v>
      </c>
      <c r="Z63" s="59" t="n">
        <f aca="false">-MIN(Z61,Inputs!$E$55/MAX(1,Inputs!$E$57*12))</f>
        <v>-1785.71428571429</v>
      </c>
      <c r="AA63" s="59" t="n">
        <f aca="false">-MIN(AA61,Inputs!$E$55/MAX(1,Inputs!$E$57*12))</f>
        <v>-1785.71428571429</v>
      </c>
      <c r="AB63" s="59" t="n">
        <f aca="false">-MIN(AB61,Inputs!$E$55/MAX(1,Inputs!$E$57*12))</f>
        <v>-1785.71428571429</v>
      </c>
      <c r="AC63" s="59" t="n">
        <f aca="false">-MIN(AC61,Inputs!$E$55/MAX(1,Inputs!$E$57*12))</f>
        <v>-1785.71428571429</v>
      </c>
      <c r="AD63" s="59" t="n">
        <f aca="false">-MIN(AD61,Inputs!$E$55/MAX(1,Inputs!$E$57*12))</f>
        <v>-1785.71428571429</v>
      </c>
      <c r="AE63" s="59" t="n">
        <f aca="false">-MIN(AE61,Inputs!$E$55/MAX(1,Inputs!$E$57*12))</f>
        <v>-1785.71428571429</v>
      </c>
      <c r="AF63" s="59" t="n">
        <f aca="false">-MIN(AF61,Inputs!$E$55/MAX(1,Inputs!$E$57*12))</f>
        <v>-1785.71428571429</v>
      </c>
      <c r="AG63" s="59" t="n">
        <f aca="false">-MIN(AG61,Inputs!$E$55/MAX(1,Inputs!$E$57*12))</f>
        <v>-1785.71428571429</v>
      </c>
      <c r="AH63" s="59" t="n">
        <f aca="false">-MIN(AH61,Inputs!$E$55/MAX(1,Inputs!$E$57*12))</f>
        <v>-1785.71428571429</v>
      </c>
      <c r="AI63" s="59" t="n">
        <f aca="false">-MIN(AI61,Inputs!$E$55/MAX(1,Inputs!$E$57*12))</f>
        <v>-1785.71428571429</v>
      </c>
      <c r="AJ63" s="59" t="n">
        <f aca="false">-MIN(AJ61,Inputs!$E$55/MAX(1,Inputs!$E$57*12))</f>
        <v>-1785.71428571429</v>
      </c>
      <c r="AK63" s="59" t="n">
        <f aca="false">-MIN(AK61,Inputs!$E$55/MAX(1,Inputs!$E$57*12))</f>
        <v>-1785.71428571429</v>
      </c>
      <c r="AL63" s="59" t="n">
        <f aca="false">-MIN(AL61,Inputs!$E$55/MAX(1,Inputs!$E$57*12))</f>
        <v>-1785.71428571429</v>
      </c>
      <c r="AM63" s="59" t="n">
        <f aca="false">-MIN(AM61,Inputs!$E$55/MAX(1,Inputs!$E$57*12))</f>
        <v>-1785.71428571429</v>
      </c>
      <c r="AN63" s="59" t="n">
        <f aca="false">-MIN(AN61,Inputs!$E$55/MAX(1,Inputs!$E$57*12))</f>
        <v>-1785.71428571429</v>
      </c>
      <c r="AO63" s="59" t="n">
        <f aca="false">-MIN(AO61,Inputs!$E$55/MAX(1,Inputs!$E$57*12))</f>
        <v>-1785.71428571429</v>
      </c>
      <c r="AP63" s="59" t="n">
        <f aca="false">-MIN(AP61,Inputs!$E$55/MAX(1,Inputs!$E$57*12))</f>
        <v>-1785.71428571429</v>
      </c>
      <c r="AQ63" s="59" t="n">
        <f aca="false">-MIN(AQ61,Inputs!$E$55/MAX(1,Inputs!$E$57*12))</f>
        <v>-1785.71428571429</v>
      </c>
      <c r="AR63" s="59" t="n">
        <f aca="false">-MIN(AR61,Inputs!$E$55/MAX(1,Inputs!$E$57*12))</f>
        <v>-1785.71428571429</v>
      </c>
      <c r="AS63" s="59" t="n">
        <f aca="false">-MIN(AS61,Inputs!$E$55/MAX(1,Inputs!$E$57*12))</f>
        <v>-1785.71428571429</v>
      </c>
      <c r="AT63" s="59" t="n">
        <f aca="false">-MIN(AT61,Inputs!$E$55/MAX(1,Inputs!$E$57*12))</f>
        <v>-1785.71428571429</v>
      </c>
      <c r="AU63" s="59" t="n">
        <f aca="false">-MIN(AU61,Inputs!$E$55/MAX(1,Inputs!$E$57*12))</f>
        <v>-1785.71428571429</v>
      </c>
      <c r="AV63" s="59" t="n">
        <f aca="false">-MIN(AV61,Inputs!$E$55/MAX(1,Inputs!$E$57*12))</f>
        <v>-1785.71428571429</v>
      </c>
      <c r="AW63" s="59" t="n">
        <f aca="false">-MIN(AW61,Inputs!$E$55/MAX(1,Inputs!$E$57*12))</f>
        <v>-1785.71428571429</v>
      </c>
      <c r="AX63" s="59" t="n">
        <f aca="false">-MIN(AX61,Inputs!$E$55/MAX(1,Inputs!$E$57*12))</f>
        <v>-1785.71428571429</v>
      </c>
      <c r="AY63" s="59" t="n">
        <f aca="false">-MIN(AY61,Inputs!$E$55/MAX(1,Inputs!$E$57*12))</f>
        <v>-1785.71428571429</v>
      </c>
      <c r="AZ63" s="59" t="n">
        <f aca="false">-MIN(AZ61,Inputs!$E$55/MAX(1,Inputs!$E$57*12))</f>
        <v>-1785.71428571429</v>
      </c>
      <c r="BA63" s="59" t="n">
        <f aca="false">-MIN(BA61,Inputs!$E$55/MAX(1,Inputs!$E$57*12))</f>
        <v>-1785.71428571429</v>
      </c>
      <c r="BB63" s="59" t="n">
        <f aca="false">-MIN(BB61,Inputs!$E$55/MAX(1,Inputs!$E$57*12))</f>
        <v>-1785.71428571429</v>
      </c>
      <c r="BC63" s="59" t="n">
        <f aca="false">-MIN(BC61,Inputs!$E$55/MAX(1,Inputs!$E$57*12))</f>
        <v>-1785.71428571429</v>
      </c>
      <c r="BD63" s="59" t="n">
        <f aca="false">-MIN(BD61,Inputs!$E$55/MAX(1,Inputs!$E$57*12))</f>
        <v>-1785.71428571429</v>
      </c>
      <c r="BE63" s="59" t="n">
        <f aca="false">-MIN(BE61,Inputs!$E$55/MAX(1,Inputs!$E$57*12))</f>
        <v>-1785.71428571429</v>
      </c>
      <c r="BF63" s="59" t="n">
        <f aca="false">-MIN(BF61,Inputs!$E$55/MAX(1,Inputs!$E$57*12))</f>
        <v>-1785.71428571429</v>
      </c>
      <c r="BG63" s="59" t="n">
        <f aca="false">-MIN(BG61,Inputs!$E$55/MAX(1,Inputs!$E$57*12))</f>
        <v>-1785.71428571429</v>
      </c>
      <c r="BH63" s="59" t="n">
        <f aca="false">-MIN(BH61,Inputs!$E$55/MAX(1,Inputs!$E$57*12))</f>
        <v>-1785.71428571429</v>
      </c>
      <c r="BI63" s="59" t="n">
        <f aca="false">-MIN(BI61,Inputs!$E$55/MAX(1,Inputs!$E$57*12))</f>
        <v>-1785.71428571429</v>
      </c>
      <c r="BJ63" s="59" t="n">
        <f aca="false">-MIN(BJ61,Inputs!$E$55/MAX(1,Inputs!$E$57*12))</f>
        <v>-1785.71428571429</v>
      </c>
    </row>
    <row r="64" customFormat="false" ht="15" hidden="false" customHeight="false" outlineLevel="0" collapsed="false">
      <c r="A64" s="4" t="s">
        <v>352</v>
      </c>
      <c r="C64" s="64" t="n">
        <f aca="false">C61+C62+C63</f>
        <v>150000</v>
      </c>
      <c r="D64" s="64" t="n">
        <f aca="false">D61+D62+D63</f>
        <v>148214.285714286</v>
      </c>
      <c r="E64" s="64" t="n">
        <f aca="false">E61+E62+E63</f>
        <v>146428.571428571</v>
      </c>
      <c r="F64" s="64" t="n">
        <f aca="false">F61+F62+F63</f>
        <v>144642.857142857</v>
      </c>
      <c r="G64" s="64" t="n">
        <f aca="false">G61+G62+G63</f>
        <v>142857.142857143</v>
      </c>
      <c r="H64" s="64" t="n">
        <f aca="false">H61+H62+H63</f>
        <v>141071.428571429</v>
      </c>
      <c r="I64" s="64" t="n">
        <f aca="false">I61+I62+I63</f>
        <v>139285.714285714</v>
      </c>
      <c r="J64" s="64" t="n">
        <f aca="false">J61+J62+J63</f>
        <v>137500</v>
      </c>
      <c r="K64" s="64" t="n">
        <f aca="false">K61+K62+K63</f>
        <v>135714.285714286</v>
      </c>
      <c r="L64" s="64" t="n">
        <f aca="false">L61+L62+L63</f>
        <v>133928.571428571</v>
      </c>
      <c r="M64" s="64" t="n">
        <f aca="false">M61+M62+M63</f>
        <v>132142.857142857</v>
      </c>
      <c r="N64" s="64" t="n">
        <f aca="false">N61+N62+N63</f>
        <v>130357.142857143</v>
      </c>
      <c r="O64" s="64" t="n">
        <f aca="false">O61+O62+O63</f>
        <v>128571.428571429</v>
      </c>
      <c r="P64" s="64" t="n">
        <f aca="false">P61+P62+P63</f>
        <v>126785.714285714</v>
      </c>
      <c r="Q64" s="64" t="n">
        <f aca="false">Q61+Q62+Q63</f>
        <v>125000</v>
      </c>
      <c r="R64" s="64" t="n">
        <f aca="false">R61+R62+R63</f>
        <v>123214.285714286</v>
      </c>
      <c r="S64" s="64" t="n">
        <f aca="false">S61+S62+S63</f>
        <v>121428.571428571</v>
      </c>
      <c r="T64" s="64" t="n">
        <f aca="false">T61+T62+T63</f>
        <v>119642.857142857</v>
      </c>
      <c r="U64" s="64" t="n">
        <f aca="false">U61+U62+U63</f>
        <v>117857.142857143</v>
      </c>
      <c r="V64" s="64" t="n">
        <f aca="false">V61+V62+V63</f>
        <v>116071.428571428</v>
      </c>
      <c r="W64" s="64" t="n">
        <f aca="false">W61+W62+W63</f>
        <v>114285.714285714</v>
      </c>
      <c r="X64" s="64" t="n">
        <f aca="false">X61+X62+X63</f>
        <v>112500</v>
      </c>
      <c r="Y64" s="64" t="n">
        <f aca="false">Y61+Y62+Y63</f>
        <v>110714.285714286</v>
      </c>
      <c r="Z64" s="64" t="n">
        <f aca="false">Z61+Z62+Z63</f>
        <v>108928.571428571</v>
      </c>
      <c r="AA64" s="64" t="n">
        <f aca="false">AA61+AA62+AA63</f>
        <v>107142.857142857</v>
      </c>
      <c r="AB64" s="64" t="n">
        <f aca="false">AB61+AB62+AB63</f>
        <v>105357.142857143</v>
      </c>
      <c r="AC64" s="64" t="n">
        <f aca="false">AC61+AC62+AC63</f>
        <v>103571.428571428</v>
      </c>
      <c r="AD64" s="64" t="n">
        <f aca="false">AD61+AD62+AD63</f>
        <v>101785.714285714</v>
      </c>
      <c r="AE64" s="64" t="n">
        <f aca="false">AE61+AE62+AE63</f>
        <v>99999.9999999999</v>
      </c>
      <c r="AF64" s="64" t="n">
        <f aca="false">AF61+AF62+AF63</f>
        <v>98214.2857142856</v>
      </c>
      <c r="AG64" s="64" t="n">
        <f aca="false">AG61+AG62+AG63</f>
        <v>96428.5714285713</v>
      </c>
      <c r="AH64" s="64" t="n">
        <f aca="false">AH61+AH62+AH63</f>
        <v>94642.857142857</v>
      </c>
      <c r="AI64" s="64" t="n">
        <f aca="false">AI61+AI62+AI63</f>
        <v>92857.1428571427</v>
      </c>
      <c r="AJ64" s="64" t="n">
        <f aca="false">AJ61+AJ62+AJ63</f>
        <v>91071.4285714284</v>
      </c>
      <c r="AK64" s="64" t="n">
        <f aca="false">AK61+AK62+AK63</f>
        <v>89285.7142857141</v>
      </c>
      <c r="AL64" s="64" t="n">
        <f aca="false">AL61+AL62+AL63</f>
        <v>87499.9999999999</v>
      </c>
      <c r="AM64" s="64" t="n">
        <f aca="false">AM61+AM62+AM63</f>
        <v>85714.2857142856</v>
      </c>
      <c r="AN64" s="64" t="n">
        <f aca="false">AN61+AN62+AN63</f>
        <v>83928.5714285713</v>
      </c>
      <c r="AO64" s="64" t="n">
        <f aca="false">AO61+AO62+AO63</f>
        <v>82142.857142857</v>
      </c>
      <c r="AP64" s="64" t="n">
        <f aca="false">AP61+AP62+AP63</f>
        <v>80357.1428571427</v>
      </c>
      <c r="AQ64" s="64" t="n">
        <f aca="false">AQ61+AQ62+AQ63</f>
        <v>78571.4285714284</v>
      </c>
      <c r="AR64" s="64" t="n">
        <f aca="false">AR61+AR62+AR63</f>
        <v>76785.7142857141</v>
      </c>
      <c r="AS64" s="64" t="n">
        <f aca="false">AS61+AS62+AS63</f>
        <v>74999.9999999998</v>
      </c>
      <c r="AT64" s="64" t="n">
        <f aca="false">AT61+AT62+AT63</f>
        <v>73214.2857142855</v>
      </c>
      <c r="AU64" s="64" t="n">
        <f aca="false">AU61+AU62+AU63</f>
        <v>71428.5714285713</v>
      </c>
      <c r="AV64" s="64" t="n">
        <f aca="false">AV61+AV62+AV63</f>
        <v>69642.857142857</v>
      </c>
      <c r="AW64" s="64" t="n">
        <f aca="false">AW61+AW62+AW63</f>
        <v>67857.1428571427</v>
      </c>
      <c r="AX64" s="64" t="n">
        <f aca="false">AX61+AX62+AX63</f>
        <v>66071.4285714284</v>
      </c>
      <c r="AY64" s="64" t="n">
        <f aca="false">AY61+AY62+AY63</f>
        <v>64285.7142857141</v>
      </c>
      <c r="AZ64" s="64" t="n">
        <f aca="false">AZ61+AZ62+AZ63</f>
        <v>62499.9999999998</v>
      </c>
      <c r="BA64" s="64" t="n">
        <f aca="false">BA61+BA62+BA63</f>
        <v>60714.2857142855</v>
      </c>
      <c r="BB64" s="64" t="n">
        <f aca="false">BB61+BB62+BB63</f>
        <v>58928.5714285712</v>
      </c>
      <c r="BC64" s="64" t="n">
        <f aca="false">BC61+BC62+BC63</f>
        <v>57142.857142857</v>
      </c>
      <c r="BD64" s="64" t="n">
        <f aca="false">BD61+BD62+BD63</f>
        <v>55357.1428571427</v>
      </c>
      <c r="BE64" s="64" t="n">
        <f aca="false">BE61+BE62+BE63</f>
        <v>53571.4285714284</v>
      </c>
      <c r="BF64" s="64" t="n">
        <f aca="false">BF61+BF62+BF63</f>
        <v>51785.7142857141</v>
      </c>
      <c r="BG64" s="64" t="n">
        <f aca="false">BG61+BG62+BG63</f>
        <v>49999.9999999998</v>
      </c>
      <c r="BH64" s="64" t="n">
        <f aca="false">BH61+BH62+BH63</f>
        <v>48214.2857142856</v>
      </c>
      <c r="BI64" s="64" t="n">
        <f aca="false">BI61+BI62+BI63</f>
        <v>46428.5714285713</v>
      </c>
      <c r="BJ64" s="64" t="n">
        <f aca="false">BJ61+BJ62+BJ63</f>
        <v>44642.857142857</v>
      </c>
    </row>
    <row r="66" customFormat="false" ht="15.75" hidden="false" customHeight="true" outlineLevel="0" collapsed="false">
      <c r="A66" s="7" t="s">
        <v>235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customFormat="false" ht="15" hidden="false" customHeight="false" outlineLevel="0" collapsed="false">
      <c r="A67" s="6" t="s">
        <v>106</v>
      </c>
      <c r="C67" s="59" t="n">
        <f aca="false">C24*Inputs!$E$60/30</f>
        <v>0</v>
      </c>
      <c r="D67" s="59" t="n">
        <f aca="false">D24*Inputs!$E$60/30</f>
        <v>0</v>
      </c>
      <c r="E67" s="59" t="n">
        <f aca="false">E24*Inputs!$E$60/30</f>
        <v>0</v>
      </c>
      <c r="F67" s="59" t="n">
        <f aca="false">F24*Inputs!$E$60/30</f>
        <v>0</v>
      </c>
      <c r="G67" s="59" t="n">
        <f aca="false">G24*Inputs!$E$60/30</f>
        <v>0</v>
      </c>
      <c r="H67" s="59" t="n">
        <f aca="false">H24*Inputs!$E$60/30</f>
        <v>0</v>
      </c>
      <c r="I67" s="59" t="n">
        <f aca="false">I24*Inputs!$E$60/30</f>
        <v>0</v>
      </c>
      <c r="J67" s="59" t="n">
        <f aca="false">J24*Inputs!$E$60/30</f>
        <v>0</v>
      </c>
      <c r="K67" s="59" t="n">
        <f aca="false">K24*Inputs!$E$60/30</f>
        <v>0</v>
      </c>
      <c r="L67" s="59" t="n">
        <f aca="false">L24*Inputs!$E$60/30</f>
        <v>0</v>
      </c>
      <c r="M67" s="59" t="n">
        <f aca="false">M24*Inputs!$E$60/30</f>
        <v>0</v>
      </c>
      <c r="N67" s="59" t="n">
        <f aca="false">N24*Inputs!$E$60/30</f>
        <v>0</v>
      </c>
      <c r="O67" s="59" t="n">
        <f aca="false">O24*Inputs!$E$60/30</f>
        <v>0</v>
      </c>
      <c r="P67" s="59" t="n">
        <f aca="false">P24*Inputs!$E$60/30</f>
        <v>0</v>
      </c>
      <c r="Q67" s="59" t="n">
        <f aca="false">Q24*Inputs!$E$60/30</f>
        <v>0</v>
      </c>
      <c r="R67" s="59" t="n">
        <f aca="false">R24*Inputs!$E$60/30</f>
        <v>0</v>
      </c>
      <c r="S67" s="59" t="n">
        <f aca="false">S24*Inputs!$E$60/30</f>
        <v>0</v>
      </c>
      <c r="T67" s="59" t="n">
        <f aca="false">T24*Inputs!$E$60/30</f>
        <v>0</v>
      </c>
      <c r="U67" s="59" t="n">
        <f aca="false">U24*Inputs!$E$60/30</f>
        <v>0</v>
      </c>
      <c r="V67" s="59" t="n">
        <f aca="false">V24*Inputs!$E$60/30</f>
        <v>0</v>
      </c>
      <c r="W67" s="59" t="n">
        <f aca="false">W24*Inputs!$E$60/30</f>
        <v>0</v>
      </c>
      <c r="X67" s="59" t="n">
        <f aca="false">X24*Inputs!$E$60/30</f>
        <v>0</v>
      </c>
      <c r="Y67" s="59" t="n">
        <f aca="false">Y24*Inputs!$E$60/30</f>
        <v>0</v>
      </c>
      <c r="Z67" s="59" t="n">
        <f aca="false">Z24*Inputs!$E$60/30</f>
        <v>0</v>
      </c>
      <c r="AA67" s="59" t="n">
        <f aca="false">AA24*Inputs!$E$60/30</f>
        <v>0</v>
      </c>
      <c r="AB67" s="59" t="n">
        <f aca="false">AB24*Inputs!$E$60/30</f>
        <v>0</v>
      </c>
      <c r="AC67" s="59" t="n">
        <f aca="false">AC24*Inputs!$E$60/30</f>
        <v>0</v>
      </c>
      <c r="AD67" s="59" t="n">
        <f aca="false">AD24*Inputs!$E$60/30</f>
        <v>0</v>
      </c>
      <c r="AE67" s="59" t="n">
        <f aca="false">AE24*Inputs!$E$60/30</f>
        <v>0</v>
      </c>
      <c r="AF67" s="59" t="n">
        <f aca="false">AF24*Inputs!$E$60/30</f>
        <v>0</v>
      </c>
      <c r="AG67" s="59" t="n">
        <f aca="false">AG24*Inputs!$E$60/30</f>
        <v>0</v>
      </c>
      <c r="AH67" s="59" t="n">
        <f aca="false">AH24*Inputs!$E$60/30</f>
        <v>0</v>
      </c>
      <c r="AI67" s="59" t="n">
        <f aca="false">AI24*Inputs!$E$60/30</f>
        <v>0</v>
      </c>
      <c r="AJ67" s="59" t="n">
        <f aca="false">AJ24*Inputs!$E$60/30</f>
        <v>0</v>
      </c>
      <c r="AK67" s="59" t="n">
        <f aca="false">AK24*Inputs!$E$60/30</f>
        <v>0</v>
      </c>
      <c r="AL67" s="59" t="n">
        <f aca="false">AL24*Inputs!$E$60/30</f>
        <v>0</v>
      </c>
      <c r="AM67" s="59" t="n">
        <f aca="false">AM24*Inputs!$E$60/30</f>
        <v>0</v>
      </c>
      <c r="AN67" s="59" t="n">
        <f aca="false">AN24*Inputs!$E$60/30</f>
        <v>0</v>
      </c>
      <c r="AO67" s="59" t="n">
        <f aca="false">AO24*Inputs!$E$60/30</f>
        <v>0</v>
      </c>
      <c r="AP67" s="59" t="n">
        <f aca="false">AP24*Inputs!$E$60/30</f>
        <v>0</v>
      </c>
      <c r="AQ67" s="59" t="n">
        <f aca="false">AQ24*Inputs!$E$60/30</f>
        <v>0</v>
      </c>
      <c r="AR67" s="59" t="n">
        <f aca="false">AR24*Inputs!$E$60/30</f>
        <v>0</v>
      </c>
      <c r="AS67" s="59" t="n">
        <f aca="false">AS24*Inputs!$E$60/30</f>
        <v>0</v>
      </c>
      <c r="AT67" s="59" t="n">
        <f aca="false">AT24*Inputs!$E$60/30</f>
        <v>0</v>
      </c>
      <c r="AU67" s="59" t="n">
        <f aca="false">AU24*Inputs!$E$60/30</f>
        <v>0</v>
      </c>
      <c r="AV67" s="59" t="n">
        <f aca="false">AV24*Inputs!$E$60/30</f>
        <v>0</v>
      </c>
      <c r="AW67" s="59" t="n">
        <f aca="false">AW24*Inputs!$E$60/30</f>
        <v>0</v>
      </c>
      <c r="AX67" s="59" t="n">
        <f aca="false">AX24*Inputs!$E$60/30</f>
        <v>0</v>
      </c>
      <c r="AY67" s="59" t="n">
        <f aca="false">AY24*Inputs!$E$60/30</f>
        <v>0</v>
      </c>
      <c r="AZ67" s="59" t="n">
        <f aca="false">AZ24*Inputs!$E$60/30</f>
        <v>0</v>
      </c>
      <c r="BA67" s="59" t="n">
        <f aca="false">BA24*Inputs!$E$60/30</f>
        <v>0</v>
      </c>
      <c r="BB67" s="59" t="n">
        <f aca="false">BB24*Inputs!$E$60/30</f>
        <v>0</v>
      </c>
      <c r="BC67" s="59" t="n">
        <f aca="false">BC24*Inputs!$E$60/30</f>
        <v>0</v>
      </c>
      <c r="BD67" s="59" t="n">
        <f aca="false">BD24*Inputs!$E$60/30</f>
        <v>0</v>
      </c>
      <c r="BE67" s="59" t="n">
        <f aca="false">BE24*Inputs!$E$60/30</f>
        <v>0</v>
      </c>
      <c r="BF67" s="59" t="n">
        <f aca="false">BF24*Inputs!$E$60/30</f>
        <v>0</v>
      </c>
      <c r="BG67" s="59" t="n">
        <f aca="false">BG24*Inputs!$E$60/30</f>
        <v>0</v>
      </c>
      <c r="BH67" s="59" t="n">
        <f aca="false">BH24*Inputs!$E$60/30</f>
        <v>0</v>
      </c>
      <c r="BI67" s="59" t="n">
        <f aca="false">BI24*Inputs!$E$60/30</f>
        <v>0</v>
      </c>
      <c r="BJ67" s="59" t="n">
        <f aca="false">BJ24*Inputs!$E$60/30</f>
        <v>0</v>
      </c>
    </row>
    <row r="68" customFormat="false" ht="15" hidden="false" customHeight="false" outlineLevel="0" collapsed="false">
      <c r="A68" s="6" t="s">
        <v>107</v>
      </c>
      <c r="C68" s="59" t="n">
        <f aca="false">-C30*Inputs!$E$61/30</f>
        <v>3138.45</v>
      </c>
      <c r="D68" s="59" t="n">
        <f aca="false">-D30*Inputs!$E$61/30</f>
        <v>3244.083</v>
      </c>
      <c r="E68" s="59" t="n">
        <f aca="false">-E30*Inputs!$E$61/30</f>
        <v>3343.37802</v>
      </c>
      <c r="F68" s="59" t="n">
        <f aca="false">-F30*Inputs!$E$61/30</f>
        <v>3436.7153388</v>
      </c>
      <c r="G68" s="59" t="n">
        <f aca="false">-G30*Inputs!$E$61/30</f>
        <v>3524.452418472</v>
      </c>
      <c r="H68" s="59" t="n">
        <f aca="false">-H30*Inputs!$E$61/30</f>
        <v>3606.92527336368</v>
      </c>
      <c r="I68" s="59" t="n">
        <f aca="false">-I30*Inputs!$E$61/30</f>
        <v>3684.44975696186</v>
      </c>
      <c r="J68" s="59" t="n">
        <f aca="false">-J30*Inputs!$E$61/30</f>
        <v>3757.32277154415</v>
      </c>
      <c r="K68" s="59" t="n">
        <f aca="false">-K30*Inputs!$E$61/30</f>
        <v>3825.8234052515</v>
      </c>
      <c r="L68" s="59" t="n">
        <f aca="false">-L30*Inputs!$E$61/30</f>
        <v>3890.21400093641</v>
      </c>
      <c r="M68" s="59" t="n">
        <f aca="false">-M30*Inputs!$E$61/30</f>
        <v>3950.74116088022</v>
      </c>
      <c r="N68" s="59" t="n">
        <f aca="false">-N30*Inputs!$E$61/30</f>
        <v>4007.63669122741</v>
      </c>
      <c r="O68" s="59" t="n">
        <f aca="false">-O30*Inputs!$E$61/30</f>
        <v>4188.06187444638</v>
      </c>
      <c r="P68" s="59" t="n">
        <f aca="false">-P30*Inputs!$E$61/30</f>
        <v>4249.7560219796</v>
      </c>
      <c r="Q68" s="59" t="n">
        <f aca="false">-Q30*Inputs!$E$61/30</f>
        <v>4307.74852066082</v>
      </c>
      <c r="R68" s="59" t="n">
        <f aca="false">-R30*Inputs!$E$61/30</f>
        <v>4362.26146942117</v>
      </c>
      <c r="S68" s="59" t="n">
        <f aca="false">-S30*Inputs!$E$61/30</f>
        <v>4413.5036412559</v>
      </c>
      <c r="T68" s="59" t="n">
        <f aca="false">-T30*Inputs!$E$61/30</f>
        <v>4461.67128278055</v>
      </c>
      <c r="U68" s="59" t="n">
        <f aca="false">-U30*Inputs!$E$61/30</f>
        <v>4506.94886581371</v>
      </c>
      <c r="V68" s="59" t="n">
        <f aca="false">-V30*Inputs!$E$61/30</f>
        <v>4538.16874426025</v>
      </c>
      <c r="W68" s="59" t="n">
        <f aca="false">-W30*Inputs!$E$61/30</f>
        <v>4547.45</v>
      </c>
      <c r="X68" s="59" t="n">
        <f aca="false">-X30*Inputs!$E$61/30</f>
        <v>4547.45</v>
      </c>
      <c r="Y68" s="59" t="n">
        <f aca="false">-Y30*Inputs!$E$61/30</f>
        <v>4547.45</v>
      </c>
      <c r="Z68" s="59" t="n">
        <f aca="false">-Z30*Inputs!$E$61/30</f>
        <v>4547.45</v>
      </c>
      <c r="AA68" s="59" t="n">
        <f aca="false">-AA30*Inputs!$E$61/30</f>
        <v>4683.8735</v>
      </c>
      <c r="AB68" s="59" t="n">
        <f aca="false">-AB30*Inputs!$E$61/30</f>
        <v>4683.8735</v>
      </c>
      <c r="AC68" s="59" t="n">
        <f aca="false">-AC30*Inputs!$E$61/30</f>
        <v>4683.8735</v>
      </c>
      <c r="AD68" s="59" t="n">
        <f aca="false">-AD30*Inputs!$E$61/30</f>
        <v>4683.8735</v>
      </c>
      <c r="AE68" s="59" t="n">
        <f aca="false">-AE30*Inputs!$E$61/30</f>
        <v>4683.8735</v>
      </c>
      <c r="AF68" s="59" t="n">
        <f aca="false">-AF30*Inputs!$E$61/30</f>
        <v>4683.8735</v>
      </c>
      <c r="AG68" s="59" t="n">
        <f aca="false">-AG30*Inputs!$E$61/30</f>
        <v>4683.8735</v>
      </c>
      <c r="AH68" s="59" t="n">
        <f aca="false">-AH30*Inputs!$E$61/30</f>
        <v>4683.8735</v>
      </c>
      <c r="AI68" s="59" t="n">
        <f aca="false">-AI30*Inputs!$E$61/30</f>
        <v>4683.8735</v>
      </c>
      <c r="AJ68" s="59" t="n">
        <f aca="false">-AJ30*Inputs!$E$61/30</f>
        <v>4683.8735</v>
      </c>
      <c r="AK68" s="59" t="n">
        <f aca="false">-AK30*Inputs!$E$61/30</f>
        <v>4683.8735</v>
      </c>
      <c r="AL68" s="59" t="n">
        <f aca="false">-AL30*Inputs!$E$61/30</f>
        <v>4683.8735</v>
      </c>
      <c r="AM68" s="59" t="n">
        <f aca="false">-AM30*Inputs!$E$61/30</f>
        <v>4824.389705</v>
      </c>
      <c r="AN68" s="59" t="n">
        <f aca="false">-AN30*Inputs!$E$61/30</f>
        <v>4824.389705</v>
      </c>
      <c r="AO68" s="59" t="n">
        <f aca="false">-AO30*Inputs!$E$61/30</f>
        <v>4824.389705</v>
      </c>
      <c r="AP68" s="59" t="n">
        <f aca="false">-AP30*Inputs!$E$61/30</f>
        <v>4824.389705</v>
      </c>
      <c r="AQ68" s="59" t="n">
        <f aca="false">-AQ30*Inputs!$E$61/30</f>
        <v>4824.389705</v>
      </c>
      <c r="AR68" s="59" t="n">
        <f aca="false">-AR30*Inputs!$E$61/30</f>
        <v>4824.389705</v>
      </c>
      <c r="AS68" s="59" t="n">
        <f aca="false">-AS30*Inputs!$E$61/30</f>
        <v>4824.389705</v>
      </c>
      <c r="AT68" s="59" t="n">
        <f aca="false">-AT30*Inputs!$E$61/30</f>
        <v>4824.389705</v>
      </c>
      <c r="AU68" s="59" t="n">
        <f aca="false">-AU30*Inputs!$E$61/30</f>
        <v>4824.389705</v>
      </c>
      <c r="AV68" s="59" t="n">
        <f aca="false">-AV30*Inputs!$E$61/30</f>
        <v>4824.389705</v>
      </c>
      <c r="AW68" s="59" t="n">
        <f aca="false">-AW30*Inputs!$E$61/30</f>
        <v>4824.389705</v>
      </c>
      <c r="AX68" s="59" t="n">
        <f aca="false">-AX30*Inputs!$E$61/30</f>
        <v>4824.389705</v>
      </c>
      <c r="AY68" s="59" t="n">
        <f aca="false">-AY30*Inputs!$E$61/30</f>
        <v>4969.12139615</v>
      </c>
      <c r="AZ68" s="59" t="n">
        <f aca="false">-AZ30*Inputs!$E$61/30</f>
        <v>4969.12139615</v>
      </c>
      <c r="BA68" s="59" t="n">
        <f aca="false">-BA30*Inputs!$E$61/30</f>
        <v>4969.12139615</v>
      </c>
      <c r="BB68" s="59" t="n">
        <f aca="false">-BB30*Inputs!$E$61/30</f>
        <v>4969.12139615</v>
      </c>
      <c r="BC68" s="59" t="n">
        <f aca="false">-BC30*Inputs!$E$61/30</f>
        <v>4969.12139615</v>
      </c>
      <c r="BD68" s="59" t="n">
        <f aca="false">-BD30*Inputs!$E$61/30</f>
        <v>4969.12139615</v>
      </c>
      <c r="BE68" s="59" t="n">
        <f aca="false">-BE30*Inputs!$E$61/30</f>
        <v>4969.12139615</v>
      </c>
      <c r="BF68" s="59" t="n">
        <f aca="false">-BF30*Inputs!$E$61/30</f>
        <v>4969.12139615</v>
      </c>
      <c r="BG68" s="59" t="n">
        <f aca="false">-BG30*Inputs!$E$61/30</f>
        <v>4969.12139615</v>
      </c>
      <c r="BH68" s="59" t="n">
        <f aca="false">-BH30*Inputs!$E$61/30</f>
        <v>4969.12139615</v>
      </c>
      <c r="BI68" s="59" t="n">
        <f aca="false">-BI30*Inputs!$E$61/30</f>
        <v>4969.12139615</v>
      </c>
      <c r="BJ68" s="59" t="n">
        <f aca="false">-BJ30*Inputs!$E$61/30</f>
        <v>4969.12139615</v>
      </c>
    </row>
    <row r="69" customFormat="false" ht="15" hidden="false" customHeight="false" outlineLevel="0" collapsed="false">
      <c r="A69" s="6" t="s">
        <v>110</v>
      </c>
      <c r="C69" s="59" t="n">
        <f aca="false">-C30*Inputs!$E$62/30</f>
        <v>6276.9</v>
      </c>
      <c r="D69" s="59" t="n">
        <f aca="false">-D30*Inputs!$E$62/30</f>
        <v>6488.166</v>
      </c>
      <c r="E69" s="59" t="n">
        <f aca="false">-E30*Inputs!$E$62/30</f>
        <v>6686.75604</v>
      </c>
      <c r="F69" s="59" t="n">
        <f aca="false">-F30*Inputs!$E$62/30</f>
        <v>6873.4306776</v>
      </c>
      <c r="G69" s="59" t="n">
        <f aca="false">-G30*Inputs!$E$62/30</f>
        <v>7048.904836944</v>
      </c>
      <c r="H69" s="59" t="n">
        <f aca="false">-H30*Inputs!$E$62/30</f>
        <v>7213.85054672736</v>
      </c>
      <c r="I69" s="59" t="n">
        <f aca="false">-I30*Inputs!$E$62/30</f>
        <v>7368.89951392372</v>
      </c>
      <c r="J69" s="59" t="n">
        <f aca="false">-J30*Inputs!$E$62/30</f>
        <v>7514.64554308829</v>
      </c>
      <c r="K69" s="59" t="n">
        <f aca="false">-K30*Inputs!$E$62/30</f>
        <v>7651.646810503</v>
      </c>
      <c r="L69" s="59" t="n">
        <f aca="false">-L30*Inputs!$E$62/30</f>
        <v>7780.42800187282</v>
      </c>
      <c r="M69" s="59" t="n">
        <f aca="false">-M30*Inputs!$E$62/30</f>
        <v>7901.48232176045</v>
      </c>
      <c r="N69" s="59" t="n">
        <f aca="false">-N30*Inputs!$E$62/30</f>
        <v>8015.27338245482</v>
      </c>
      <c r="O69" s="59" t="n">
        <f aca="false">-O30*Inputs!$E$62/30</f>
        <v>8376.12374889276</v>
      </c>
      <c r="P69" s="59" t="n">
        <f aca="false">-P30*Inputs!$E$62/30</f>
        <v>8499.51204395919</v>
      </c>
      <c r="Q69" s="59" t="n">
        <f aca="false">-Q30*Inputs!$E$62/30</f>
        <v>8615.49704132164</v>
      </c>
      <c r="R69" s="59" t="n">
        <f aca="false">-R30*Inputs!$E$62/30</f>
        <v>8724.52293884234</v>
      </c>
      <c r="S69" s="59" t="n">
        <f aca="false">-S30*Inputs!$E$62/30</f>
        <v>8827.0072825118</v>
      </c>
      <c r="T69" s="59" t="n">
        <f aca="false">-T30*Inputs!$E$62/30</f>
        <v>8923.34256556109</v>
      </c>
      <c r="U69" s="59" t="n">
        <f aca="false">-U30*Inputs!$E$62/30</f>
        <v>9013.89773162743</v>
      </c>
      <c r="V69" s="59" t="n">
        <f aca="false">-V30*Inputs!$E$62/30</f>
        <v>9076.33748852051</v>
      </c>
      <c r="W69" s="59" t="n">
        <f aca="false">-W30*Inputs!$E$62/30</f>
        <v>9094.9</v>
      </c>
      <c r="X69" s="59" t="n">
        <f aca="false">-X30*Inputs!$E$62/30</f>
        <v>9094.9</v>
      </c>
      <c r="Y69" s="59" t="n">
        <f aca="false">-Y30*Inputs!$E$62/30</f>
        <v>9094.9</v>
      </c>
      <c r="Z69" s="59" t="n">
        <f aca="false">-Z30*Inputs!$E$62/30</f>
        <v>9094.9</v>
      </c>
      <c r="AA69" s="59" t="n">
        <f aca="false">-AA30*Inputs!$E$62/30</f>
        <v>9367.747</v>
      </c>
      <c r="AB69" s="59" t="n">
        <f aca="false">-AB30*Inputs!$E$62/30</f>
        <v>9367.747</v>
      </c>
      <c r="AC69" s="59" t="n">
        <f aca="false">-AC30*Inputs!$E$62/30</f>
        <v>9367.747</v>
      </c>
      <c r="AD69" s="59" t="n">
        <f aca="false">-AD30*Inputs!$E$62/30</f>
        <v>9367.747</v>
      </c>
      <c r="AE69" s="59" t="n">
        <f aca="false">-AE30*Inputs!$E$62/30</f>
        <v>9367.747</v>
      </c>
      <c r="AF69" s="59" t="n">
        <f aca="false">-AF30*Inputs!$E$62/30</f>
        <v>9367.747</v>
      </c>
      <c r="AG69" s="59" t="n">
        <f aca="false">-AG30*Inputs!$E$62/30</f>
        <v>9367.747</v>
      </c>
      <c r="AH69" s="59" t="n">
        <f aca="false">-AH30*Inputs!$E$62/30</f>
        <v>9367.747</v>
      </c>
      <c r="AI69" s="59" t="n">
        <f aca="false">-AI30*Inputs!$E$62/30</f>
        <v>9367.747</v>
      </c>
      <c r="AJ69" s="59" t="n">
        <f aca="false">-AJ30*Inputs!$E$62/30</f>
        <v>9367.747</v>
      </c>
      <c r="AK69" s="59" t="n">
        <f aca="false">-AK30*Inputs!$E$62/30</f>
        <v>9367.747</v>
      </c>
      <c r="AL69" s="59" t="n">
        <f aca="false">-AL30*Inputs!$E$62/30</f>
        <v>9367.747</v>
      </c>
      <c r="AM69" s="59" t="n">
        <f aca="false">-AM30*Inputs!$E$62/30</f>
        <v>9648.77941</v>
      </c>
      <c r="AN69" s="59" t="n">
        <f aca="false">-AN30*Inputs!$E$62/30</f>
        <v>9648.77941</v>
      </c>
      <c r="AO69" s="59" t="n">
        <f aca="false">-AO30*Inputs!$E$62/30</f>
        <v>9648.77941</v>
      </c>
      <c r="AP69" s="59" t="n">
        <f aca="false">-AP30*Inputs!$E$62/30</f>
        <v>9648.77941</v>
      </c>
      <c r="AQ69" s="59" t="n">
        <f aca="false">-AQ30*Inputs!$E$62/30</f>
        <v>9648.77941</v>
      </c>
      <c r="AR69" s="59" t="n">
        <f aca="false">-AR30*Inputs!$E$62/30</f>
        <v>9648.77941</v>
      </c>
      <c r="AS69" s="59" t="n">
        <f aca="false">-AS30*Inputs!$E$62/30</f>
        <v>9648.77941</v>
      </c>
      <c r="AT69" s="59" t="n">
        <f aca="false">-AT30*Inputs!$E$62/30</f>
        <v>9648.77941</v>
      </c>
      <c r="AU69" s="59" t="n">
        <f aca="false">-AU30*Inputs!$E$62/30</f>
        <v>9648.77941</v>
      </c>
      <c r="AV69" s="59" t="n">
        <f aca="false">-AV30*Inputs!$E$62/30</f>
        <v>9648.77941</v>
      </c>
      <c r="AW69" s="59" t="n">
        <f aca="false">-AW30*Inputs!$E$62/30</f>
        <v>9648.77941</v>
      </c>
      <c r="AX69" s="59" t="n">
        <f aca="false">-AX30*Inputs!$E$62/30</f>
        <v>9648.77941</v>
      </c>
      <c r="AY69" s="59" t="n">
        <f aca="false">-AY30*Inputs!$E$62/30</f>
        <v>9938.2427923</v>
      </c>
      <c r="AZ69" s="59" t="n">
        <f aca="false">-AZ30*Inputs!$E$62/30</f>
        <v>9938.2427923</v>
      </c>
      <c r="BA69" s="59" t="n">
        <f aca="false">-BA30*Inputs!$E$62/30</f>
        <v>9938.2427923</v>
      </c>
      <c r="BB69" s="59" t="n">
        <f aca="false">-BB30*Inputs!$E$62/30</f>
        <v>9938.2427923</v>
      </c>
      <c r="BC69" s="59" t="n">
        <f aca="false">-BC30*Inputs!$E$62/30</f>
        <v>9938.2427923</v>
      </c>
      <c r="BD69" s="59" t="n">
        <f aca="false">-BD30*Inputs!$E$62/30</f>
        <v>9938.2427923</v>
      </c>
      <c r="BE69" s="59" t="n">
        <f aca="false">-BE30*Inputs!$E$62/30</f>
        <v>9938.2427923</v>
      </c>
      <c r="BF69" s="59" t="n">
        <f aca="false">-BF30*Inputs!$E$62/30</f>
        <v>9938.2427923</v>
      </c>
      <c r="BG69" s="59" t="n">
        <f aca="false">-BG30*Inputs!$E$62/30</f>
        <v>9938.2427923</v>
      </c>
      <c r="BH69" s="59" t="n">
        <f aca="false">-BH30*Inputs!$E$62/30</f>
        <v>9938.2427923</v>
      </c>
      <c r="BI69" s="59" t="n">
        <f aca="false">-BI30*Inputs!$E$62/30</f>
        <v>9938.2427923</v>
      </c>
      <c r="BJ69" s="59" t="n">
        <f aca="false">-BJ30*Inputs!$E$62/30</f>
        <v>9938.2427923</v>
      </c>
    </row>
    <row r="70" customFormat="false" ht="15" hidden="false" customHeight="false" outlineLevel="0" collapsed="false">
      <c r="A70" s="6" t="s">
        <v>260</v>
      </c>
      <c r="C70" s="59" t="n">
        <f aca="false">-C67</f>
        <v>-0</v>
      </c>
      <c r="D70" s="59" t="n">
        <f aca="false">C67-D67</f>
        <v>0</v>
      </c>
      <c r="E70" s="59" t="n">
        <f aca="false">D67-E67</f>
        <v>0</v>
      </c>
      <c r="F70" s="59" t="n">
        <f aca="false">E67-F67</f>
        <v>0</v>
      </c>
      <c r="G70" s="59" t="n">
        <f aca="false">F67-G67</f>
        <v>0</v>
      </c>
      <c r="H70" s="59" t="n">
        <f aca="false">G67-H67</f>
        <v>0</v>
      </c>
      <c r="I70" s="59" t="n">
        <f aca="false">H67-I67</f>
        <v>0</v>
      </c>
      <c r="J70" s="59" t="n">
        <f aca="false">I67-J67</f>
        <v>0</v>
      </c>
      <c r="K70" s="59" t="n">
        <f aca="false">J67-K67</f>
        <v>0</v>
      </c>
      <c r="L70" s="59" t="n">
        <f aca="false">K67-L67</f>
        <v>0</v>
      </c>
      <c r="M70" s="59" t="n">
        <f aca="false">L67-M67</f>
        <v>0</v>
      </c>
      <c r="N70" s="59" t="n">
        <f aca="false">M67-N67</f>
        <v>0</v>
      </c>
      <c r="O70" s="59" t="n">
        <f aca="false">N67-O67</f>
        <v>0</v>
      </c>
      <c r="P70" s="59" t="n">
        <f aca="false">O67-P67</f>
        <v>0</v>
      </c>
      <c r="Q70" s="59" t="n">
        <f aca="false">P67-Q67</f>
        <v>0</v>
      </c>
      <c r="R70" s="59" t="n">
        <f aca="false">Q67-R67</f>
        <v>0</v>
      </c>
      <c r="S70" s="59" t="n">
        <f aca="false">R67-S67</f>
        <v>0</v>
      </c>
      <c r="T70" s="59" t="n">
        <f aca="false">S67-T67</f>
        <v>0</v>
      </c>
      <c r="U70" s="59" t="n">
        <f aca="false">T67-U67</f>
        <v>0</v>
      </c>
      <c r="V70" s="59" t="n">
        <f aca="false">U67-V67</f>
        <v>0</v>
      </c>
      <c r="W70" s="59" t="n">
        <f aca="false">V67-W67</f>
        <v>0</v>
      </c>
      <c r="X70" s="59" t="n">
        <f aca="false">W67-X67</f>
        <v>0</v>
      </c>
      <c r="Y70" s="59" t="n">
        <f aca="false">X67-Y67</f>
        <v>0</v>
      </c>
      <c r="Z70" s="59" t="n">
        <f aca="false">Y67-Z67</f>
        <v>0</v>
      </c>
      <c r="AA70" s="59" t="n">
        <f aca="false">Z67-AA67</f>
        <v>0</v>
      </c>
      <c r="AB70" s="59" t="n">
        <f aca="false">AA67-AB67</f>
        <v>0</v>
      </c>
      <c r="AC70" s="59" t="n">
        <f aca="false">AB67-AC67</f>
        <v>0</v>
      </c>
      <c r="AD70" s="59" t="n">
        <f aca="false">AC67-AD67</f>
        <v>0</v>
      </c>
      <c r="AE70" s="59" t="n">
        <f aca="false">AD67-AE67</f>
        <v>0</v>
      </c>
      <c r="AF70" s="59" t="n">
        <f aca="false">AE67-AF67</f>
        <v>0</v>
      </c>
      <c r="AG70" s="59" t="n">
        <f aca="false">AF67-AG67</f>
        <v>0</v>
      </c>
      <c r="AH70" s="59" t="n">
        <f aca="false">AG67-AH67</f>
        <v>0</v>
      </c>
      <c r="AI70" s="59" t="n">
        <f aca="false">AH67-AI67</f>
        <v>0</v>
      </c>
      <c r="AJ70" s="59" t="n">
        <f aca="false">AI67-AJ67</f>
        <v>0</v>
      </c>
      <c r="AK70" s="59" t="n">
        <f aca="false">AJ67-AK67</f>
        <v>0</v>
      </c>
      <c r="AL70" s="59" t="n">
        <f aca="false">AK67-AL67</f>
        <v>0</v>
      </c>
      <c r="AM70" s="59" t="n">
        <f aca="false">AL67-AM67</f>
        <v>0</v>
      </c>
      <c r="AN70" s="59" t="n">
        <f aca="false">AM67-AN67</f>
        <v>0</v>
      </c>
      <c r="AO70" s="59" t="n">
        <f aca="false">AN67-AO67</f>
        <v>0</v>
      </c>
      <c r="AP70" s="59" t="n">
        <f aca="false">AO67-AP67</f>
        <v>0</v>
      </c>
      <c r="AQ70" s="59" t="n">
        <f aca="false">AP67-AQ67</f>
        <v>0</v>
      </c>
      <c r="AR70" s="59" t="n">
        <f aca="false">AQ67-AR67</f>
        <v>0</v>
      </c>
      <c r="AS70" s="59" t="n">
        <f aca="false">AR67-AS67</f>
        <v>0</v>
      </c>
      <c r="AT70" s="59" t="n">
        <f aca="false">AS67-AT67</f>
        <v>0</v>
      </c>
      <c r="AU70" s="59" t="n">
        <f aca="false">AT67-AU67</f>
        <v>0</v>
      </c>
      <c r="AV70" s="59" t="n">
        <f aca="false">AU67-AV67</f>
        <v>0</v>
      </c>
      <c r="AW70" s="59" t="n">
        <f aca="false">AV67-AW67</f>
        <v>0</v>
      </c>
      <c r="AX70" s="59" t="n">
        <f aca="false">AW67-AX67</f>
        <v>0</v>
      </c>
      <c r="AY70" s="59" t="n">
        <f aca="false">AX67-AY67</f>
        <v>0</v>
      </c>
      <c r="AZ70" s="59" t="n">
        <f aca="false">AY67-AZ67</f>
        <v>0</v>
      </c>
      <c r="BA70" s="59" t="n">
        <f aca="false">AZ67-BA67</f>
        <v>0</v>
      </c>
      <c r="BB70" s="59" t="n">
        <f aca="false">BA67-BB67</f>
        <v>0</v>
      </c>
      <c r="BC70" s="59" t="n">
        <f aca="false">BB67-BC67</f>
        <v>0</v>
      </c>
      <c r="BD70" s="59" t="n">
        <f aca="false">BC67-BD67</f>
        <v>0</v>
      </c>
      <c r="BE70" s="59" t="n">
        <f aca="false">BD67-BE67</f>
        <v>0</v>
      </c>
      <c r="BF70" s="59" t="n">
        <f aca="false">BE67-BF67</f>
        <v>0</v>
      </c>
      <c r="BG70" s="59" t="n">
        <f aca="false">BF67-BG67</f>
        <v>0</v>
      </c>
      <c r="BH70" s="59" t="n">
        <f aca="false">BG67-BH67</f>
        <v>0</v>
      </c>
      <c r="BI70" s="59" t="n">
        <f aca="false">BH67-BI67</f>
        <v>0</v>
      </c>
      <c r="BJ70" s="59" t="n">
        <f aca="false">BI67-BJ67</f>
        <v>0</v>
      </c>
    </row>
    <row r="71" customFormat="false" ht="15" hidden="false" customHeight="false" outlineLevel="0" collapsed="false">
      <c r="A71" s="6" t="s">
        <v>261</v>
      </c>
      <c r="C71" s="59" t="n">
        <f aca="false">-C68</f>
        <v>-3138.45</v>
      </c>
      <c r="D71" s="59" t="n">
        <f aca="false">C68-D68</f>
        <v>-105.633</v>
      </c>
      <c r="E71" s="59" t="n">
        <f aca="false">D68-E68</f>
        <v>-99.29502</v>
      </c>
      <c r="F71" s="59" t="n">
        <f aca="false">E68-F68</f>
        <v>-93.3373188000005</v>
      </c>
      <c r="G71" s="59" t="n">
        <f aca="false">F68-G68</f>
        <v>-87.7370796719997</v>
      </c>
      <c r="H71" s="59" t="n">
        <f aca="false">G68-H68</f>
        <v>-82.4728548916801</v>
      </c>
      <c r="I71" s="59" t="n">
        <f aca="false">H68-I68</f>
        <v>-77.5244835981794</v>
      </c>
      <c r="J71" s="59" t="n">
        <f aca="false">I68-J68</f>
        <v>-72.8730145822879</v>
      </c>
      <c r="K71" s="59" t="n">
        <f aca="false">J68-K68</f>
        <v>-68.5006337073514</v>
      </c>
      <c r="L71" s="59" t="n">
        <f aca="false">K68-L68</f>
        <v>-64.3905956849098</v>
      </c>
      <c r="M71" s="59" t="n">
        <f aca="false">L68-M68</f>
        <v>-60.5271599438152</v>
      </c>
      <c r="N71" s="59" t="n">
        <f aca="false">M68-N68</f>
        <v>-56.8955303471867</v>
      </c>
      <c r="O71" s="59" t="n">
        <f aca="false">N68-O68</f>
        <v>-180.425183218968</v>
      </c>
      <c r="P71" s="59" t="n">
        <f aca="false">O68-P68</f>
        <v>-61.6941475332169</v>
      </c>
      <c r="Q71" s="59" t="n">
        <f aca="false">P68-Q68</f>
        <v>-57.9924986812248</v>
      </c>
      <c r="R71" s="59" t="n">
        <f aca="false">Q68-R68</f>
        <v>-54.5129487603508</v>
      </c>
      <c r="S71" s="59" t="n">
        <f aca="false">R68-S68</f>
        <v>-51.2421718347296</v>
      </c>
      <c r="T71" s="59" t="n">
        <f aca="false">S68-T68</f>
        <v>-48.1676415246466</v>
      </c>
      <c r="U71" s="59" t="n">
        <f aca="false">T68-U68</f>
        <v>-45.2775830331666</v>
      </c>
      <c r="V71" s="59" t="n">
        <f aca="false">U68-V68</f>
        <v>-31.21987844654</v>
      </c>
      <c r="W71" s="59" t="n">
        <f aca="false">V68-W68</f>
        <v>-9.28125573974648</v>
      </c>
      <c r="X71" s="59" t="n">
        <f aca="false">W68-X68</f>
        <v>0</v>
      </c>
      <c r="Y71" s="59" t="n">
        <f aca="false">X68-Y68</f>
        <v>0</v>
      </c>
      <c r="Z71" s="59" t="n">
        <f aca="false">Y68-Z68</f>
        <v>0</v>
      </c>
      <c r="AA71" s="59" t="n">
        <f aca="false">Z68-AA68</f>
        <v>-136.423500000001</v>
      </c>
      <c r="AB71" s="59" t="n">
        <f aca="false">AA68-AB68</f>
        <v>0</v>
      </c>
      <c r="AC71" s="59" t="n">
        <f aca="false">AB68-AC68</f>
        <v>0</v>
      </c>
      <c r="AD71" s="59" t="n">
        <f aca="false">AC68-AD68</f>
        <v>0</v>
      </c>
      <c r="AE71" s="59" t="n">
        <f aca="false">AD68-AE68</f>
        <v>0</v>
      </c>
      <c r="AF71" s="59" t="n">
        <f aca="false">AE68-AF68</f>
        <v>0</v>
      </c>
      <c r="AG71" s="59" t="n">
        <f aca="false">AF68-AG68</f>
        <v>0</v>
      </c>
      <c r="AH71" s="59" t="n">
        <f aca="false">AG68-AH68</f>
        <v>0</v>
      </c>
      <c r="AI71" s="59" t="n">
        <f aca="false">AH68-AI68</f>
        <v>0</v>
      </c>
      <c r="AJ71" s="59" t="n">
        <f aca="false">AI68-AJ68</f>
        <v>0</v>
      </c>
      <c r="AK71" s="59" t="n">
        <f aca="false">AJ68-AK68</f>
        <v>0</v>
      </c>
      <c r="AL71" s="59" t="n">
        <f aca="false">AK68-AL68</f>
        <v>0</v>
      </c>
      <c r="AM71" s="59" t="n">
        <f aca="false">AL68-AM68</f>
        <v>-140.516204999999</v>
      </c>
      <c r="AN71" s="59" t="n">
        <f aca="false">AM68-AN68</f>
        <v>0</v>
      </c>
      <c r="AO71" s="59" t="n">
        <f aca="false">AN68-AO68</f>
        <v>0</v>
      </c>
      <c r="AP71" s="59" t="n">
        <f aca="false">AO68-AP68</f>
        <v>0</v>
      </c>
      <c r="AQ71" s="59" t="n">
        <f aca="false">AP68-AQ68</f>
        <v>0</v>
      </c>
      <c r="AR71" s="59" t="n">
        <f aca="false">AQ68-AR68</f>
        <v>0</v>
      </c>
      <c r="AS71" s="59" t="n">
        <f aca="false">AR68-AS68</f>
        <v>0</v>
      </c>
      <c r="AT71" s="59" t="n">
        <f aca="false">AS68-AT68</f>
        <v>0</v>
      </c>
      <c r="AU71" s="59" t="n">
        <f aca="false">AT68-AU68</f>
        <v>0</v>
      </c>
      <c r="AV71" s="59" t="n">
        <f aca="false">AU68-AV68</f>
        <v>0</v>
      </c>
      <c r="AW71" s="59" t="n">
        <f aca="false">AV68-AW68</f>
        <v>0</v>
      </c>
      <c r="AX71" s="59" t="n">
        <f aca="false">AW68-AX68</f>
        <v>0</v>
      </c>
      <c r="AY71" s="59" t="n">
        <f aca="false">AX68-AY68</f>
        <v>-144.731691150002</v>
      </c>
      <c r="AZ71" s="59" t="n">
        <f aca="false">AY68-AZ68</f>
        <v>0</v>
      </c>
      <c r="BA71" s="59" t="n">
        <f aca="false">AZ68-BA68</f>
        <v>0</v>
      </c>
      <c r="BB71" s="59" t="n">
        <f aca="false">BA68-BB68</f>
        <v>0</v>
      </c>
      <c r="BC71" s="59" t="n">
        <f aca="false">BB68-BC68</f>
        <v>0</v>
      </c>
      <c r="BD71" s="59" t="n">
        <f aca="false">BC68-BD68</f>
        <v>0</v>
      </c>
      <c r="BE71" s="59" t="n">
        <f aca="false">BD68-BE68</f>
        <v>0</v>
      </c>
      <c r="BF71" s="59" t="n">
        <f aca="false">BE68-BF68</f>
        <v>0</v>
      </c>
      <c r="BG71" s="59" t="n">
        <f aca="false">BF68-BG68</f>
        <v>0</v>
      </c>
      <c r="BH71" s="59" t="n">
        <f aca="false">BG68-BH68</f>
        <v>0</v>
      </c>
      <c r="BI71" s="59" t="n">
        <f aca="false">BH68-BI68</f>
        <v>0</v>
      </c>
      <c r="BJ71" s="59" t="n">
        <f aca="false">BI68-BJ68</f>
        <v>0</v>
      </c>
    </row>
    <row r="72" customFormat="false" ht="15" hidden="false" customHeight="false" outlineLevel="0" collapsed="false">
      <c r="A72" s="6" t="s">
        <v>262</v>
      </c>
      <c r="C72" s="59" t="n">
        <f aca="false">C69</f>
        <v>6276.9</v>
      </c>
      <c r="D72" s="59" t="n">
        <f aca="false">D69-C69</f>
        <v>211.266</v>
      </c>
      <c r="E72" s="59" t="n">
        <f aca="false">E69-D69</f>
        <v>198.59004</v>
      </c>
      <c r="F72" s="59" t="n">
        <f aca="false">F69-E69</f>
        <v>186.674637600001</v>
      </c>
      <c r="G72" s="59" t="n">
        <f aca="false">G69-F69</f>
        <v>175.474159343999</v>
      </c>
      <c r="H72" s="59" t="n">
        <f aca="false">H69-G69</f>
        <v>164.94570978336</v>
      </c>
      <c r="I72" s="59" t="n">
        <f aca="false">I69-H69</f>
        <v>155.048967196359</v>
      </c>
      <c r="J72" s="59" t="n">
        <f aca="false">J69-I69</f>
        <v>145.746029164576</v>
      </c>
      <c r="K72" s="59" t="n">
        <f aca="false">K69-J69</f>
        <v>137.001267414703</v>
      </c>
      <c r="L72" s="59" t="n">
        <f aca="false">L69-K69</f>
        <v>128.78119136982</v>
      </c>
      <c r="M72" s="59" t="n">
        <f aca="false">M69-L69</f>
        <v>121.05431988763</v>
      </c>
      <c r="N72" s="59" t="n">
        <f aca="false">N69-M69</f>
        <v>113.791060694373</v>
      </c>
      <c r="O72" s="59" t="n">
        <f aca="false">O69-N69</f>
        <v>360.850366437936</v>
      </c>
      <c r="P72" s="59" t="n">
        <f aca="false">P69-O69</f>
        <v>123.388295066434</v>
      </c>
      <c r="Q72" s="59" t="n">
        <f aca="false">Q69-P69</f>
        <v>115.98499736245</v>
      </c>
      <c r="R72" s="59" t="n">
        <f aca="false">R69-Q69</f>
        <v>109.025897520702</v>
      </c>
      <c r="S72" s="59" t="n">
        <f aca="false">S69-R69</f>
        <v>102.484343669459</v>
      </c>
      <c r="T72" s="59" t="n">
        <f aca="false">T69-S69</f>
        <v>96.3352830492931</v>
      </c>
      <c r="U72" s="59" t="n">
        <f aca="false">U69-T69</f>
        <v>90.5551660663332</v>
      </c>
      <c r="V72" s="59" t="n">
        <f aca="false">V69-U69</f>
        <v>62.4397568930799</v>
      </c>
      <c r="W72" s="59" t="n">
        <f aca="false">W69-V69</f>
        <v>18.562511479493</v>
      </c>
      <c r="X72" s="59" t="n">
        <f aca="false">X69-W69</f>
        <v>0</v>
      </c>
      <c r="Y72" s="59" t="n">
        <f aca="false">Y69-X69</f>
        <v>0</v>
      </c>
      <c r="Z72" s="59" t="n">
        <f aca="false">Z69-Y69</f>
        <v>0</v>
      </c>
      <c r="AA72" s="59" t="n">
        <f aca="false">AA69-Z69</f>
        <v>272.847000000002</v>
      </c>
      <c r="AB72" s="59" t="n">
        <f aca="false">AB69-AA69</f>
        <v>0</v>
      </c>
      <c r="AC72" s="59" t="n">
        <f aca="false">AC69-AB69</f>
        <v>0</v>
      </c>
      <c r="AD72" s="59" t="n">
        <f aca="false">AD69-AC69</f>
        <v>0</v>
      </c>
      <c r="AE72" s="59" t="n">
        <f aca="false">AE69-AD69</f>
        <v>0</v>
      </c>
      <c r="AF72" s="59" t="n">
        <f aca="false">AF69-AE69</f>
        <v>0</v>
      </c>
      <c r="AG72" s="59" t="n">
        <f aca="false">AG69-AF69</f>
        <v>0</v>
      </c>
      <c r="AH72" s="59" t="n">
        <f aca="false">AH69-AG69</f>
        <v>0</v>
      </c>
      <c r="AI72" s="59" t="n">
        <f aca="false">AI69-AH69</f>
        <v>0</v>
      </c>
      <c r="AJ72" s="59" t="n">
        <f aca="false">AJ69-AI69</f>
        <v>0</v>
      </c>
      <c r="AK72" s="59" t="n">
        <f aca="false">AK69-AJ69</f>
        <v>0</v>
      </c>
      <c r="AL72" s="59" t="n">
        <f aca="false">AL69-AK69</f>
        <v>0</v>
      </c>
      <c r="AM72" s="59" t="n">
        <f aca="false">AM69-AL69</f>
        <v>281.032409999998</v>
      </c>
      <c r="AN72" s="59" t="n">
        <f aca="false">AN69-AM69</f>
        <v>0</v>
      </c>
      <c r="AO72" s="59" t="n">
        <f aca="false">AO69-AN69</f>
        <v>0</v>
      </c>
      <c r="AP72" s="59" t="n">
        <f aca="false">AP69-AO69</f>
        <v>0</v>
      </c>
      <c r="AQ72" s="59" t="n">
        <f aca="false">AQ69-AP69</f>
        <v>0</v>
      </c>
      <c r="AR72" s="59" t="n">
        <f aca="false">AR69-AQ69</f>
        <v>0</v>
      </c>
      <c r="AS72" s="59" t="n">
        <f aca="false">AS69-AR69</f>
        <v>0</v>
      </c>
      <c r="AT72" s="59" t="n">
        <f aca="false">AT69-AS69</f>
        <v>0</v>
      </c>
      <c r="AU72" s="59" t="n">
        <f aca="false">AU69-AT69</f>
        <v>0</v>
      </c>
      <c r="AV72" s="59" t="n">
        <f aca="false">AV69-AU69</f>
        <v>0</v>
      </c>
      <c r="AW72" s="59" t="n">
        <f aca="false">AW69-AV69</f>
        <v>0</v>
      </c>
      <c r="AX72" s="59" t="n">
        <f aca="false">AX69-AW69</f>
        <v>0</v>
      </c>
      <c r="AY72" s="59" t="n">
        <f aca="false">AY69-AX69</f>
        <v>289.463382300004</v>
      </c>
      <c r="AZ72" s="59" t="n">
        <f aca="false">AZ69-AY69</f>
        <v>0</v>
      </c>
      <c r="BA72" s="59" t="n">
        <f aca="false">BA69-AZ69</f>
        <v>0</v>
      </c>
      <c r="BB72" s="59" t="n">
        <f aca="false">BB69-BA69</f>
        <v>0</v>
      </c>
      <c r="BC72" s="59" t="n">
        <f aca="false">BC69-BB69</f>
        <v>0</v>
      </c>
      <c r="BD72" s="59" t="n">
        <f aca="false">BD69-BC69</f>
        <v>0</v>
      </c>
      <c r="BE72" s="59" t="n">
        <f aca="false">BE69-BD69</f>
        <v>0</v>
      </c>
      <c r="BF72" s="59" t="n">
        <f aca="false">BF69-BE69</f>
        <v>0</v>
      </c>
      <c r="BG72" s="59" t="n">
        <f aca="false">BG69-BF69</f>
        <v>0</v>
      </c>
      <c r="BH72" s="59" t="n">
        <f aca="false">BH69-BG69</f>
        <v>0</v>
      </c>
      <c r="BI72" s="59" t="n">
        <f aca="false">BI69-BH69</f>
        <v>0</v>
      </c>
      <c r="BJ72" s="59" t="n">
        <f aca="false">BJ69-BI69</f>
        <v>0</v>
      </c>
    </row>
    <row r="74" customFormat="false" ht="15.75" hidden="false" customHeight="true" outlineLevel="0" collapsed="false">
      <c r="A74" s="7" t="s">
        <v>353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4" t="s">
        <v>48</v>
      </c>
      <c r="C75" s="64" t="n">
        <f aca="false">C51-C56+C70+C71+C72</f>
        <v>-25720.4866666667</v>
      </c>
      <c r="D75" s="64" t="n">
        <f aca="false">D51-D56+D70+D71+D72</f>
        <v>-25966.7066057143</v>
      </c>
      <c r="E75" s="64" t="n">
        <f aca="false">E51-E56+E70+E71+E72</f>
        <v>-23347.3338246095</v>
      </c>
      <c r="F75" s="64" t="n">
        <f aca="false">F51-F56+F70+F71+F72</f>
        <v>-20884.4091246568</v>
      </c>
      <c r="G75" s="64" t="n">
        <f aca="false">G51-G56+G70+G71+G72</f>
        <v>-18568.5456209869</v>
      </c>
      <c r="H75" s="64" t="n">
        <f aca="false">H51-H56+H70+H71+H72</f>
        <v>-16390.9196418229</v>
      </c>
      <c r="I75" s="64" t="n">
        <f aca="false">I51-I56+I70+I71+I72</f>
        <v>-14343.2369356945</v>
      </c>
      <c r="J75" s="64" t="n">
        <f aca="false">J51-J56+J70+J71+J72</f>
        <v>-12417.7009062195</v>
      </c>
      <c r="K75" s="64" t="n">
        <f aca="false">K51-K56+K70+K71+K72</f>
        <v>-10606.9827527987</v>
      </c>
      <c r="L75" s="64" t="n">
        <f aca="false">L51-L56+L70+L71+L72</f>
        <v>-8904.19340286889</v>
      </c>
      <c r="M75" s="64" t="n">
        <f aca="false">M51-M56+M70+M71+M72</f>
        <v>-7302.85712822056</v>
      </c>
      <c r="N75" s="64" t="n">
        <f aca="false">N51-N56+N70+N71+N72</f>
        <v>-5796.88674433685</v>
      </c>
      <c r="O75" s="64" t="n">
        <f aca="false">O51-O56+O70+O71+O72</f>
        <v>-3647.04606002537</v>
      </c>
      <c r="P75" s="64" t="n">
        <f aca="false">P51-P56+P70+P71+P72</f>
        <v>-2129.85802837741</v>
      </c>
      <c r="Q75" s="64" t="n">
        <f aca="false">Q51-Q56+Q70+Q71+Q72</f>
        <v>-595.081468221445</v>
      </c>
      <c r="R75" s="64" t="n">
        <f aca="false">R51-R56+R70+R71+R72</f>
        <v>848.322784039452</v>
      </c>
      <c r="S75" s="64" t="n">
        <f aca="false">S51-S56+S70+S71+S72</f>
        <v>2205.837066879</v>
      </c>
      <c r="T75" s="64" t="n">
        <f aca="false">T51-T56+T70+T71+T72</f>
        <v>3482.61477846245</v>
      </c>
      <c r="U75" s="64" t="n">
        <f aca="false">U51-U56+U70+U71+U72</f>
        <v>4683.50011306518</v>
      </c>
      <c r="V75" s="64" t="n">
        <f aca="false">V51-V56+V70+V71+V72</f>
        <v>5238.63088632258</v>
      </c>
      <c r="W75" s="64" t="n">
        <f aca="false">W51-W56+W70+W71+W72</f>
        <v>5269.41184621593</v>
      </c>
      <c r="X75" s="64" t="n">
        <f aca="false">X51-X56+X70+X71+X72</f>
        <v>5272.03535238095</v>
      </c>
      <c r="Y75" s="64" t="n">
        <f aca="false">Y51-Y56+Y70+Y71+Y72</f>
        <v>5283.94011428571</v>
      </c>
      <c r="Z75" s="64" t="n">
        <f aca="false">Z51-Z56+Z70+Z71+Z72</f>
        <v>5295.84487619047</v>
      </c>
      <c r="AA75" s="64" t="n">
        <f aca="false">AA51-AA56+AA70+AA71+AA72</f>
        <v>6081.01277009524</v>
      </c>
      <c r="AB75" s="64" t="n">
        <f aca="false">AB51-AB56+AB70+AB71+AB72</f>
        <v>5956.49403200001</v>
      </c>
      <c r="AC75" s="64" t="n">
        <f aca="false">AC51-AC56+AC70+AC71+AC72</f>
        <v>5968.39879390477</v>
      </c>
      <c r="AD75" s="64" t="n">
        <f aca="false">AD51-AD56+AD70+AD71+AD72</f>
        <v>5980.30355580953</v>
      </c>
      <c r="AE75" s="64" t="n">
        <f aca="false">AE51-AE56+AE70+AE71+AE72</f>
        <v>5992.20831771429</v>
      </c>
      <c r="AF75" s="64" t="n">
        <f aca="false">AF51-AF56+AF70+AF71+AF72</f>
        <v>6004.11307961905</v>
      </c>
      <c r="AG75" s="64" t="n">
        <f aca="false">AG51-AG56+AG70+AG71+AG72</f>
        <v>6016.01784152382</v>
      </c>
      <c r="AH75" s="64" t="n">
        <f aca="false">AH51-AH56+AH70+AH71+AH72</f>
        <v>6027.92260342858</v>
      </c>
      <c r="AI75" s="64" t="n">
        <f aca="false">AI51-AI56+AI70+AI71+AI72</f>
        <v>6039.82736533334</v>
      </c>
      <c r="AJ75" s="64" t="n">
        <f aca="false">AJ51-AJ56+AJ70+AJ71+AJ72</f>
        <v>6051.7321272381</v>
      </c>
      <c r="AK75" s="64" t="n">
        <f aca="false">AK51-AK56+AK70+AK71+AK72</f>
        <v>6063.63688914286</v>
      </c>
      <c r="AL75" s="64" t="n">
        <f aca="false">AL51-AL56+AL70+AL71+AL72</f>
        <v>6075.54165104762</v>
      </c>
      <c r="AM75" s="64" t="n">
        <f aca="false">AM51-AM56+AM70+AM71+AM72</f>
        <v>6879.7074389124</v>
      </c>
      <c r="AN75" s="64" t="n">
        <f aca="false">AN51-AN56+AN70+AN71+AN72</f>
        <v>6751.09599581716</v>
      </c>
      <c r="AO75" s="64" t="n">
        <f aca="false">AO51-AO56+AO70+AO71+AO72</f>
        <v>6763.00075772192</v>
      </c>
      <c r="AP75" s="64" t="n">
        <f aca="false">AP51-AP56+AP70+AP71+AP72</f>
        <v>6774.90551962668</v>
      </c>
      <c r="AQ75" s="64" t="n">
        <f aca="false">AQ51-AQ56+AQ70+AQ71+AQ72</f>
        <v>6786.81028153145</v>
      </c>
      <c r="AR75" s="64" t="n">
        <f aca="false">AR51-AR56+AR70+AR71+AR72</f>
        <v>6798.71504343621</v>
      </c>
      <c r="AS75" s="64" t="n">
        <f aca="false">AS51-AS56+AS70+AS71+AS72</f>
        <v>6810.61980534097</v>
      </c>
      <c r="AT75" s="64" t="n">
        <f aca="false">AT51-AT56+AT70+AT71+AT72</f>
        <v>6822.52456724573</v>
      </c>
      <c r="AU75" s="64" t="n">
        <f aca="false">AU51-AU56+AU70+AU71+AU72</f>
        <v>6834.42932915049</v>
      </c>
      <c r="AV75" s="64" t="n">
        <f aca="false">AV51-AV56+AV70+AV71+AV72</f>
        <v>6846.33409105526</v>
      </c>
      <c r="AW75" s="64" t="n">
        <f aca="false">AW51-AW56+AW70+AW71+AW72</f>
        <v>6858.23885296002</v>
      </c>
      <c r="AX75" s="64" t="n">
        <f aca="false">AX51-AX56+AX70+AX71+AX72</f>
        <v>6870.14361486478</v>
      </c>
      <c r="AY75" s="64" t="n">
        <f aca="false">AY51-AY56+AY70+AY71+AY72</f>
        <v>7693.66723350833</v>
      </c>
      <c r="AZ75" s="64" t="n">
        <f aca="false">AZ51-AZ56+AZ70+AZ71+AZ72</f>
        <v>7560.84030426309</v>
      </c>
      <c r="BA75" s="64" t="n">
        <f aca="false">BA51-BA56+BA70+BA71+BA72</f>
        <v>7572.74506616785</v>
      </c>
      <c r="BB75" s="64" t="n">
        <f aca="false">BB51-BB56+BB70+BB71+BB72</f>
        <v>7584.64982807261</v>
      </c>
      <c r="BC75" s="64" t="n">
        <f aca="false">BC51-BC56+BC70+BC71+BC72</f>
        <v>7596.55458997737</v>
      </c>
      <c r="BD75" s="64" t="n">
        <f aca="false">BD51-BD56+BD70+BD71+BD72</f>
        <v>7608.45935188214</v>
      </c>
      <c r="BE75" s="64" t="n">
        <f aca="false">BE51-BE56+BE70+BE71+BE72</f>
        <v>7620.3641137869</v>
      </c>
      <c r="BF75" s="64" t="n">
        <f aca="false">BF51-BF56+BF70+BF71+BF72</f>
        <v>7632.26887569166</v>
      </c>
      <c r="BG75" s="64" t="n">
        <f aca="false">BG51-BG56+BG70+BG71+BG72</f>
        <v>7644.17363759642</v>
      </c>
      <c r="BH75" s="64" t="n">
        <f aca="false">BH51-BH56+BH70+BH71+BH72</f>
        <v>7656.07839950118</v>
      </c>
      <c r="BI75" s="64" t="n">
        <f aca="false">BI51-BI56+BI70+BI71+BI72</f>
        <v>7667.98316140595</v>
      </c>
      <c r="BJ75" s="64" t="n">
        <f aca="false">BJ51-BJ56+BJ70+BJ71+BJ72</f>
        <v>7679.88792331071</v>
      </c>
    </row>
    <row r="76" customFormat="false" ht="15" hidden="false" customHeight="false" outlineLevel="0" collapsed="false">
      <c r="A76" s="6" t="s">
        <v>354</v>
      </c>
      <c r="C76" s="59" t="n">
        <f aca="false">-C54</f>
        <v>-250000</v>
      </c>
      <c r="D76" s="59" t="n">
        <f aca="false">-D54</f>
        <v>-0</v>
      </c>
      <c r="E76" s="59" t="n">
        <f aca="false">-E54</f>
        <v>-0</v>
      </c>
      <c r="F76" s="59" t="n">
        <f aca="false">-F54</f>
        <v>-0</v>
      </c>
      <c r="G76" s="59" t="n">
        <f aca="false">-G54</f>
        <v>-0</v>
      </c>
      <c r="H76" s="59" t="n">
        <f aca="false">-H54</f>
        <v>-0</v>
      </c>
      <c r="I76" s="59" t="n">
        <f aca="false">-I54</f>
        <v>-0</v>
      </c>
      <c r="J76" s="59" t="n">
        <f aca="false">-J54</f>
        <v>-0</v>
      </c>
      <c r="K76" s="59" t="n">
        <f aca="false">-K54</f>
        <v>-0</v>
      </c>
      <c r="L76" s="59" t="n">
        <f aca="false">-L54</f>
        <v>-0</v>
      </c>
      <c r="M76" s="59" t="n">
        <f aca="false">-M54</f>
        <v>-0</v>
      </c>
      <c r="N76" s="59" t="n">
        <f aca="false">-N54</f>
        <v>-0</v>
      </c>
      <c r="O76" s="59" t="n">
        <f aca="false">-O54</f>
        <v>-0</v>
      </c>
      <c r="P76" s="59" t="n">
        <f aca="false">-P54</f>
        <v>-0</v>
      </c>
      <c r="Q76" s="59" t="n">
        <f aca="false">-Q54</f>
        <v>-0</v>
      </c>
      <c r="R76" s="59" t="n">
        <f aca="false">-R54</f>
        <v>-0</v>
      </c>
      <c r="S76" s="59" t="n">
        <f aca="false">-S54</f>
        <v>-0</v>
      </c>
      <c r="T76" s="59" t="n">
        <f aca="false">-T54</f>
        <v>-0</v>
      </c>
      <c r="U76" s="59" t="n">
        <f aca="false">-U54</f>
        <v>-0</v>
      </c>
      <c r="V76" s="59" t="n">
        <f aca="false">-V54</f>
        <v>-0</v>
      </c>
      <c r="W76" s="59" t="n">
        <f aca="false">-W54</f>
        <v>-0</v>
      </c>
      <c r="X76" s="59" t="n">
        <f aca="false">-X54</f>
        <v>-0</v>
      </c>
      <c r="Y76" s="59" t="n">
        <f aca="false">-Y54</f>
        <v>-0</v>
      </c>
      <c r="Z76" s="59" t="n">
        <f aca="false">-Z54</f>
        <v>-0</v>
      </c>
      <c r="AA76" s="59" t="n">
        <f aca="false">-AA54</f>
        <v>-0</v>
      </c>
      <c r="AB76" s="59" t="n">
        <f aca="false">-AB54</f>
        <v>-0</v>
      </c>
      <c r="AC76" s="59" t="n">
        <f aca="false">-AC54</f>
        <v>-0</v>
      </c>
      <c r="AD76" s="59" t="n">
        <f aca="false">-AD54</f>
        <v>-0</v>
      </c>
      <c r="AE76" s="59" t="n">
        <f aca="false">-AE54</f>
        <v>-0</v>
      </c>
      <c r="AF76" s="59" t="n">
        <f aca="false">-AF54</f>
        <v>-0</v>
      </c>
      <c r="AG76" s="59" t="n">
        <f aca="false">-AG54</f>
        <v>-0</v>
      </c>
      <c r="AH76" s="59" t="n">
        <f aca="false">-AH54</f>
        <v>-0</v>
      </c>
      <c r="AI76" s="59" t="n">
        <f aca="false">-AI54</f>
        <v>-0</v>
      </c>
      <c r="AJ76" s="59" t="n">
        <f aca="false">-AJ54</f>
        <v>-0</v>
      </c>
      <c r="AK76" s="59" t="n">
        <f aca="false">-AK54</f>
        <v>-0</v>
      </c>
      <c r="AL76" s="59" t="n">
        <f aca="false">-AL54</f>
        <v>-0</v>
      </c>
      <c r="AM76" s="59" t="n">
        <f aca="false">-AM54</f>
        <v>-0</v>
      </c>
      <c r="AN76" s="59" t="n">
        <f aca="false">-AN54</f>
        <v>-0</v>
      </c>
      <c r="AO76" s="59" t="n">
        <f aca="false">-AO54</f>
        <v>-0</v>
      </c>
      <c r="AP76" s="59" t="n">
        <f aca="false">-AP54</f>
        <v>-0</v>
      </c>
      <c r="AQ76" s="59" t="n">
        <f aca="false">-AQ54</f>
        <v>-0</v>
      </c>
      <c r="AR76" s="59" t="n">
        <f aca="false">-AR54</f>
        <v>-0</v>
      </c>
      <c r="AS76" s="59" t="n">
        <f aca="false">-AS54</f>
        <v>-0</v>
      </c>
      <c r="AT76" s="59" t="n">
        <f aca="false">-AT54</f>
        <v>-0</v>
      </c>
      <c r="AU76" s="59" t="n">
        <f aca="false">-AU54</f>
        <v>-0</v>
      </c>
      <c r="AV76" s="59" t="n">
        <f aca="false">-AV54</f>
        <v>-0</v>
      </c>
      <c r="AW76" s="59" t="n">
        <f aca="false">-AW54</f>
        <v>-0</v>
      </c>
      <c r="AX76" s="59" t="n">
        <f aca="false">-AX54</f>
        <v>-0</v>
      </c>
      <c r="AY76" s="59" t="n">
        <f aca="false">-AY54</f>
        <v>-0</v>
      </c>
      <c r="AZ76" s="59" t="n">
        <f aca="false">-AZ54</f>
        <v>-0</v>
      </c>
      <c r="BA76" s="59" t="n">
        <f aca="false">-BA54</f>
        <v>-0</v>
      </c>
      <c r="BB76" s="59" t="n">
        <f aca="false">-BB54</f>
        <v>-0</v>
      </c>
      <c r="BC76" s="59" t="n">
        <f aca="false">-BC54</f>
        <v>-0</v>
      </c>
      <c r="BD76" s="59" t="n">
        <f aca="false">-BD54</f>
        <v>-0</v>
      </c>
      <c r="BE76" s="59" t="n">
        <f aca="false">-BE54</f>
        <v>-0</v>
      </c>
      <c r="BF76" s="59" t="n">
        <f aca="false">-BF54</f>
        <v>-0</v>
      </c>
      <c r="BG76" s="59" t="n">
        <f aca="false">-BG54</f>
        <v>-0</v>
      </c>
      <c r="BH76" s="59" t="n">
        <f aca="false">-BH54</f>
        <v>-0</v>
      </c>
      <c r="BI76" s="59" t="n">
        <f aca="false">-BI54</f>
        <v>-0</v>
      </c>
      <c r="BJ76" s="59" t="n">
        <f aca="false">-BJ54</f>
        <v>-0</v>
      </c>
    </row>
    <row r="77" customFormat="false" ht="15" hidden="false" customHeight="false" outlineLevel="0" collapsed="false">
      <c r="A77" s="6" t="s">
        <v>59</v>
      </c>
      <c r="C77" s="59" t="n">
        <f aca="false">IF(C$4=1,Inputs!$E$54,0)</f>
        <v>330000</v>
      </c>
      <c r="D77" s="59" t="n">
        <f aca="false">IF(D$4=1,Inputs!$E$54,0)</f>
        <v>0</v>
      </c>
      <c r="E77" s="59" t="n">
        <f aca="false">IF(E$4=1,Inputs!$E$54,0)</f>
        <v>0</v>
      </c>
      <c r="F77" s="59" t="n">
        <f aca="false">IF(F$4=1,Inputs!$E$54,0)</f>
        <v>0</v>
      </c>
      <c r="G77" s="59" t="n">
        <f aca="false">IF(G$4=1,Inputs!$E$54,0)</f>
        <v>0</v>
      </c>
      <c r="H77" s="59" t="n">
        <f aca="false">IF(H$4=1,Inputs!$E$54,0)</f>
        <v>0</v>
      </c>
      <c r="I77" s="59" t="n">
        <f aca="false">IF(I$4=1,Inputs!$E$54,0)</f>
        <v>0</v>
      </c>
      <c r="J77" s="59" t="n">
        <f aca="false">IF(J$4=1,Inputs!$E$54,0)</f>
        <v>0</v>
      </c>
      <c r="K77" s="59" t="n">
        <f aca="false">IF(K$4=1,Inputs!$E$54,0)</f>
        <v>0</v>
      </c>
      <c r="L77" s="59" t="n">
        <f aca="false">IF(L$4=1,Inputs!$E$54,0)</f>
        <v>0</v>
      </c>
      <c r="M77" s="59" t="n">
        <f aca="false">IF(M$4=1,Inputs!$E$54,0)</f>
        <v>0</v>
      </c>
      <c r="N77" s="59" t="n">
        <f aca="false">IF(N$4=1,Inputs!$E$54,0)</f>
        <v>0</v>
      </c>
      <c r="O77" s="59" t="n">
        <f aca="false">IF(O$4=1,Inputs!$E$54,0)</f>
        <v>0</v>
      </c>
      <c r="P77" s="59" t="n">
        <f aca="false">IF(P$4=1,Inputs!$E$54,0)</f>
        <v>0</v>
      </c>
      <c r="Q77" s="59" t="n">
        <f aca="false">IF(Q$4=1,Inputs!$E$54,0)</f>
        <v>0</v>
      </c>
      <c r="R77" s="59" t="n">
        <f aca="false">IF(R$4=1,Inputs!$E$54,0)</f>
        <v>0</v>
      </c>
      <c r="S77" s="59" t="n">
        <f aca="false">IF(S$4=1,Inputs!$E$54,0)</f>
        <v>0</v>
      </c>
      <c r="T77" s="59" t="n">
        <f aca="false">IF(T$4=1,Inputs!$E$54,0)</f>
        <v>0</v>
      </c>
      <c r="U77" s="59" t="n">
        <f aca="false">IF(U$4=1,Inputs!$E$54,0)</f>
        <v>0</v>
      </c>
      <c r="V77" s="59" t="n">
        <f aca="false">IF(V$4=1,Inputs!$E$54,0)</f>
        <v>0</v>
      </c>
      <c r="W77" s="59" t="n">
        <f aca="false">IF(W$4=1,Inputs!$E$54,0)</f>
        <v>0</v>
      </c>
      <c r="X77" s="59" t="n">
        <f aca="false">IF(X$4=1,Inputs!$E$54,0)</f>
        <v>0</v>
      </c>
      <c r="Y77" s="59" t="n">
        <f aca="false">IF(Y$4=1,Inputs!$E$54,0)</f>
        <v>0</v>
      </c>
      <c r="Z77" s="59" t="n">
        <f aca="false">IF(Z$4=1,Inputs!$E$54,0)</f>
        <v>0</v>
      </c>
      <c r="AA77" s="59" t="n">
        <f aca="false">IF(AA$4=1,Inputs!$E$54,0)</f>
        <v>0</v>
      </c>
      <c r="AB77" s="59" t="n">
        <f aca="false">IF(AB$4=1,Inputs!$E$54,0)</f>
        <v>0</v>
      </c>
      <c r="AC77" s="59" t="n">
        <f aca="false">IF(AC$4=1,Inputs!$E$54,0)</f>
        <v>0</v>
      </c>
      <c r="AD77" s="59" t="n">
        <f aca="false">IF(AD$4=1,Inputs!$E$54,0)</f>
        <v>0</v>
      </c>
      <c r="AE77" s="59" t="n">
        <f aca="false">IF(AE$4=1,Inputs!$E$54,0)</f>
        <v>0</v>
      </c>
      <c r="AF77" s="59" t="n">
        <f aca="false">IF(AF$4=1,Inputs!$E$54,0)</f>
        <v>0</v>
      </c>
      <c r="AG77" s="59" t="n">
        <f aca="false">IF(AG$4=1,Inputs!$E$54,0)</f>
        <v>0</v>
      </c>
      <c r="AH77" s="59" t="n">
        <f aca="false">IF(AH$4=1,Inputs!$E$54,0)</f>
        <v>0</v>
      </c>
      <c r="AI77" s="59" t="n">
        <f aca="false">IF(AI$4=1,Inputs!$E$54,0)</f>
        <v>0</v>
      </c>
      <c r="AJ77" s="59" t="n">
        <f aca="false">IF(AJ$4=1,Inputs!$E$54,0)</f>
        <v>0</v>
      </c>
      <c r="AK77" s="59" t="n">
        <f aca="false">IF(AK$4=1,Inputs!$E$54,0)</f>
        <v>0</v>
      </c>
      <c r="AL77" s="59" t="n">
        <f aca="false">IF(AL$4=1,Inputs!$E$54,0)</f>
        <v>0</v>
      </c>
      <c r="AM77" s="59" t="n">
        <f aca="false">IF(AM$4=1,Inputs!$E$54,0)</f>
        <v>0</v>
      </c>
      <c r="AN77" s="59" t="n">
        <f aca="false">IF(AN$4=1,Inputs!$E$54,0)</f>
        <v>0</v>
      </c>
      <c r="AO77" s="59" t="n">
        <f aca="false">IF(AO$4=1,Inputs!$E$54,0)</f>
        <v>0</v>
      </c>
      <c r="AP77" s="59" t="n">
        <f aca="false">IF(AP$4=1,Inputs!$E$54,0)</f>
        <v>0</v>
      </c>
      <c r="AQ77" s="59" t="n">
        <f aca="false">IF(AQ$4=1,Inputs!$E$54,0)</f>
        <v>0</v>
      </c>
      <c r="AR77" s="59" t="n">
        <f aca="false">IF(AR$4=1,Inputs!$E$54,0)</f>
        <v>0</v>
      </c>
      <c r="AS77" s="59" t="n">
        <f aca="false">IF(AS$4=1,Inputs!$E$54,0)</f>
        <v>0</v>
      </c>
      <c r="AT77" s="59" t="n">
        <f aca="false">IF(AT$4=1,Inputs!$E$54,0)</f>
        <v>0</v>
      </c>
      <c r="AU77" s="59" t="n">
        <f aca="false">IF(AU$4=1,Inputs!$E$54,0)</f>
        <v>0</v>
      </c>
      <c r="AV77" s="59" t="n">
        <f aca="false">IF(AV$4=1,Inputs!$E$54,0)</f>
        <v>0</v>
      </c>
      <c r="AW77" s="59" t="n">
        <f aca="false">IF(AW$4=1,Inputs!$E$54,0)</f>
        <v>0</v>
      </c>
      <c r="AX77" s="59" t="n">
        <f aca="false">IF(AX$4=1,Inputs!$E$54,0)</f>
        <v>0</v>
      </c>
      <c r="AY77" s="59" t="n">
        <f aca="false">IF(AY$4=1,Inputs!$E$54,0)</f>
        <v>0</v>
      </c>
      <c r="AZ77" s="59" t="n">
        <f aca="false">IF(AZ$4=1,Inputs!$E$54,0)</f>
        <v>0</v>
      </c>
      <c r="BA77" s="59" t="n">
        <f aca="false">IF(BA$4=1,Inputs!$E$54,0)</f>
        <v>0</v>
      </c>
      <c r="BB77" s="59" t="n">
        <f aca="false">IF(BB$4=1,Inputs!$E$54,0)</f>
        <v>0</v>
      </c>
      <c r="BC77" s="59" t="n">
        <f aca="false">IF(BC$4=1,Inputs!$E$54,0)</f>
        <v>0</v>
      </c>
      <c r="BD77" s="59" t="n">
        <f aca="false">IF(BD$4=1,Inputs!$E$54,0)</f>
        <v>0</v>
      </c>
      <c r="BE77" s="59" t="n">
        <f aca="false">IF(BE$4=1,Inputs!$E$54,0)</f>
        <v>0</v>
      </c>
      <c r="BF77" s="59" t="n">
        <f aca="false">IF(BF$4=1,Inputs!$E$54,0)</f>
        <v>0</v>
      </c>
      <c r="BG77" s="59" t="n">
        <f aca="false">IF(BG$4=1,Inputs!$E$54,0)</f>
        <v>0</v>
      </c>
      <c r="BH77" s="59" t="n">
        <f aca="false">IF(BH$4=1,Inputs!$E$54,0)</f>
        <v>0</v>
      </c>
      <c r="BI77" s="59" t="n">
        <f aca="false">IF(BI$4=1,Inputs!$E$54,0)</f>
        <v>0</v>
      </c>
      <c r="BJ77" s="59" t="n">
        <f aca="false">IF(BJ$4=1,Inputs!$E$54,0)</f>
        <v>0</v>
      </c>
    </row>
    <row r="78" customFormat="false" ht="15" hidden="false" customHeight="false" outlineLevel="0" collapsed="false">
      <c r="A78" s="6" t="s">
        <v>50</v>
      </c>
      <c r="C78" s="59" t="n">
        <f aca="false">C77+C62+C63</f>
        <v>480000</v>
      </c>
      <c r="D78" s="59" t="n">
        <f aca="false">D77+D62+D63</f>
        <v>-1785.71428571429</v>
      </c>
      <c r="E78" s="59" t="n">
        <f aca="false">E77+E62+E63</f>
        <v>-1785.71428571429</v>
      </c>
      <c r="F78" s="59" t="n">
        <f aca="false">F77+F62+F63</f>
        <v>-1785.71428571429</v>
      </c>
      <c r="G78" s="59" t="n">
        <f aca="false">G77+G62+G63</f>
        <v>-1785.71428571429</v>
      </c>
      <c r="H78" s="59" t="n">
        <f aca="false">H77+H62+H63</f>
        <v>-1785.71428571429</v>
      </c>
      <c r="I78" s="59" t="n">
        <f aca="false">I77+I62+I63</f>
        <v>-1785.71428571429</v>
      </c>
      <c r="J78" s="59" t="n">
        <f aca="false">J77+J62+J63</f>
        <v>-1785.71428571429</v>
      </c>
      <c r="K78" s="59" t="n">
        <f aca="false">K77+K62+K63</f>
        <v>-1785.71428571429</v>
      </c>
      <c r="L78" s="59" t="n">
        <f aca="false">L77+L62+L63</f>
        <v>-1785.71428571429</v>
      </c>
      <c r="M78" s="59" t="n">
        <f aca="false">M77+M62+M63</f>
        <v>-1785.71428571429</v>
      </c>
      <c r="N78" s="59" t="n">
        <f aca="false">N77+N62+N63</f>
        <v>-1785.71428571429</v>
      </c>
      <c r="O78" s="59" t="n">
        <f aca="false">O77+O62+O63</f>
        <v>-1785.71428571429</v>
      </c>
      <c r="P78" s="59" t="n">
        <f aca="false">P77+P62+P63</f>
        <v>-1785.71428571429</v>
      </c>
      <c r="Q78" s="59" t="n">
        <f aca="false">Q77+Q62+Q63</f>
        <v>-1785.71428571429</v>
      </c>
      <c r="R78" s="59" t="n">
        <f aca="false">R77+R62+R63</f>
        <v>-1785.71428571429</v>
      </c>
      <c r="S78" s="59" t="n">
        <f aca="false">S77+S62+S63</f>
        <v>-1785.71428571429</v>
      </c>
      <c r="T78" s="59" t="n">
        <f aca="false">T77+T62+T63</f>
        <v>-1785.71428571429</v>
      </c>
      <c r="U78" s="59" t="n">
        <f aca="false">U77+U62+U63</f>
        <v>-1785.71428571429</v>
      </c>
      <c r="V78" s="59" t="n">
        <f aca="false">V77+V62+V63</f>
        <v>-1785.71428571429</v>
      </c>
      <c r="W78" s="59" t="n">
        <f aca="false">W77+W62+W63</f>
        <v>-1785.71428571429</v>
      </c>
      <c r="X78" s="59" t="n">
        <f aca="false">X77+X62+X63</f>
        <v>-1785.71428571429</v>
      </c>
      <c r="Y78" s="59" t="n">
        <f aca="false">Y77+Y62+Y63</f>
        <v>-1785.71428571429</v>
      </c>
      <c r="Z78" s="59" t="n">
        <f aca="false">Z77+Z62+Z63</f>
        <v>-1785.71428571429</v>
      </c>
      <c r="AA78" s="59" t="n">
        <f aca="false">AA77+AA62+AA63</f>
        <v>-1785.71428571429</v>
      </c>
      <c r="AB78" s="59" t="n">
        <f aca="false">AB77+AB62+AB63</f>
        <v>-1785.71428571429</v>
      </c>
      <c r="AC78" s="59" t="n">
        <f aca="false">AC77+AC62+AC63</f>
        <v>-1785.71428571429</v>
      </c>
      <c r="AD78" s="59" t="n">
        <f aca="false">AD77+AD62+AD63</f>
        <v>-1785.71428571429</v>
      </c>
      <c r="AE78" s="59" t="n">
        <f aca="false">AE77+AE62+AE63</f>
        <v>-1785.71428571429</v>
      </c>
      <c r="AF78" s="59" t="n">
        <f aca="false">AF77+AF62+AF63</f>
        <v>-1785.71428571429</v>
      </c>
      <c r="AG78" s="59" t="n">
        <f aca="false">AG77+AG62+AG63</f>
        <v>-1785.71428571429</v>
      </c>
      <c r="AH78" s="59" t="n">
        <f aca="false">AH77+AH62+AH63</f>
        <v>-1785.71428571429</v>
      </c>
      <c r="AI78" s="59" t="n">
        <f aca="false">AI77+AI62+AI63</f>
        <v>-1785.71428571429</v>
      </c>
      <c r="AJ78" s="59" t="n">
        <f aca="false">AJ77+AJ62+AJ63</f>
        <v>-1785.71428571429</v>
      </c>
      <c r="AK78" s="59" t="n">
        <f aca="false">AK77+AK62+AK63</f>
        <v>-1785.71428571429</v>
      </c>
      <c r="AL78" s="59" t="n">
        <f aca="false">AL77+AL62+AL63</f>
        <v>-1785.71428571429</v>
      </c>
      <c r="AM78" s="59" t="n">
        <f aca="false">AM77+AM62+AM63</f>
        <v>-1785.71428571429</v>
      </c>
      <c r="AN78" s="59" t="n">
        <f aca="false">AN77+AN62+AN63</f>
        <v>-1785.71428571429</v>
      </c>
      <c r="AO78" s="59" t="n">
        <f aca="false">AO77+AO62+AO63</f>
        <v>-1785.71428571429</v>
      </c>
      <c r="AP78" s="59" t="n">
        <f aca="false">AP77+AP62+AP63</f>
        <v>-1785.71428571429</v>
      </c>
      <c r="AQ78" s="59" t="n">
        <f aca="false">AQ77+AQ62+AQ63</f>
        <v>-1785.71428571429</v>
      </c>
      <c r="AR78" s="59" t="n">
        <f aca="false">AR77+AR62+AR63</f>
        <v>-1785.71428571429</v>
      </c>
      <c r="AS78" s="59" t="n">
        <f aca="false">AS77+AS62+AS63</f>
        <v>-1785.71428571429</v>
      </c>
      <c r="AT78" s="59" t="n">
        <f aca="false">AT77+AT62+AT63</f>
        <v>-1785.71428571429</v>
      </c>
      <c r="AU78" s="59" t="n">
        <f aca="false">AU77+AU62+AU63</f>
        <v>-1785.71428571429</v>
      </c>
      <c r="AV78" s="59" t="n">
        <f aca="false">AV77+AV62+AV63</f>
        <v>-1785.71428571429</v>
      </c>
      <c r="AW78" s="59" t="n">
        <f aca="false">AW77+AW62+AW63</f>
        <v>-1785.71428571429</v>
      </c>
      <c r="AX78" s="59" t="n">
        <f aca="false">AX77+AX62+AX63</f>
        <v>-1785.71428571429</v>
      </c>
      <c r="AY78" s="59" t="n">
        <f aca="false">AY77+AY62+AY63</f>
        <v>-1785.71428571429</v>
      </c>
      <c r="AZ78" s="59" t="n">
        <f aca="false">AZ77+AZ62+AZ63</f>
        <v>-1785.71428571429</v>
      </c>
      <c r="BA78" s="59" t="n">
        <f aca="false">BA77+BA62+BA63</f>
        <v>-1785.71428571429</v>
      </c>
      <c r="BB78" s="59" t="n">
        <f aca="false">BB77+BB62+BB63</f>
        <v>-1785.71428571429</v>
      </c>
      <c r="BC78" s="59" t="n">
        <f aca="false">BC77+BC62+BC63</f>
        <v>-1785.71428571429</v>
      </c>
      <c r="BD78" s="59" t="n">
        <f aca="false">BD77+BD62+BD63</f>
        <v>-1785.71428571429</v>
      </c>
      <c r="BE78" s="59" t="n">
        <f aca="false">BE77+BE62+BE63</f>
        <v>-1785.71428571429</v>
      </c>
      <c r="BF78" s="59" t="n">
        <f aca="false">BF77+BF62+BF63</f>
        <v>-1785.71428571429</v>
      </c>
      <c r="BG78" s="59" t="n">
        <f aca="false">BG77+BG62+BG63</f>
        <v>-1785.71428571429</v>
      </c>
      <c r="BH78" s="59" t="n">
        <f aca="false">BH77+BH62+BH63</f>
        <v>-1785.71428571429</v>
      </c>
      <c r="BI78" s="59" t="n">
        <f aca="false">BI77+BI62+BI63</f>
        <v>-1785.71428571429</v>
      </c>
      <c r="BJ78" s="59" t="n">
        <f aca="false">BJ77+BJ62+BJ63</f>
        <v>-1785.71428571429</v>
      </c>
    </row>
    <row r="79" customFormat="false" ht="15" hidden="false" customHeight="false" outlineLevel="0" collapsed="false">
      <c r="A79" s="83" t="s">
        <v>355</v>
      </c>
      <c r="C79" s="60" t="n">
        <f aca="false">C75+C76+C78</f>
        <v>204279.513333333</v>
      </c>
      <c r="D79" s="60" t="n">
        <f aca="false">D75+D76+D78</f>
        <v>-27752.4208914286</v>
      </c>
      <c r="E79" s="60" t="n">
        <f aca="false">E75+E76+E78</f>
        <v>-25133.0481103238</v>
      </c>
      <c r="F79" s="60" t="n">
        <f aca="false">F75+F76+F78</f>
        <v>-22670.1234103711</v>
      </c>
      <c r="G79" s="60" t="n">
        <f aca="false">G75+G76+G78</f>
        <v>-20354.2599067012</v>
      </c>
      <c r="H79" s="60" t="n">
        <f aca="false">H75+H76+H78</f>
        <v>-18176.6339275372</v>
      </c>
      <c r="I79" s="60" t="n">
        <f aca="false">I75+I76+I78</f>
        <v>-16128.9512214088</v>
      </c>
      <c r="J79" s="60" t="n">
        <f aca="false">J75+J76+J78</f>
        <v>-14203.4151919338</v>
      </c>
      <c r="K79" s="60" t="n">
        <f aca="false">K75+K76+K78</f>
        <v>-12392.697038513</v>
      </c>
      <c r="L79" s="60" t="n">
        <f aca="false">L75+L76+L78</f>
        <v>-10689.9076885832</v>
      </c>
      <c r="M79" s="60" t="n">
        <f aca="false">M75+M76+M78</f>
        <v>-9088.57141393485</v>
      </c>
      <c r="N79" s="60" t="n">
        <f aca="false">N75+N76+N78</f>
        <v>-7582.60103005114</v>
      </c>
      <c r="O79" s="60" t="n">
        <f aca="false">O75+O76+O78</f>
        <v>-5432.76034573965</v>
      </c>
      <c r="P79" s="60" t="n">
        <f aca="false">P75+P76+P78</f>
        <v>-3915.57231409169</v>
      </c>
      <c r="Q79" s="60" t="n">
        <f aca="false">Q75+Q76+Q78</f>
        <v>-2380.79575393573</v>
      </c>
      <c r="R79" s="60" t="n">
        <f aca="false">R75+R76+R78</f>
        <v>-937.391501674834</v>
      </c>
      <c r="S79" s="60" t="n">
        <f aca="false">S75+S76+S78</f>
        <v>420.122781164714</v>
      </c>
      <c r="T79" s="60" t="n">
        <f aca="false">T75+T76+T78</f>
        <v>1696.90049274817</v>
      </c>
      <c r="U79" s="60" t="n">
        <f aca="false">U75+U76+U78</f>
        <v>2897.78582735089</v>
      </c>
      <c r="V79" s="60" t="n">
        <f aca="false">V75+V76+V78</f>
        <v>3452.91660060829</v>
      </c>
      <c r="W79" s="60" t="n">
        <f aca="false">W75+W76+W78</f>
        <v>3483.69756050165</v>
      </c>
      <c r="X79" s="60" t="n">
        <f aca="false">X75+X76+X78</f>
        <v>3486.32106666666</v>
      </c>
      <c r="Y79" s="60" t="n">
        <f aca="false">Y75+Y76+Y78</f>
        <v>3498.22582857142</v>
      </c>
      <c r="Z79" s="60" t="n">
        <f aca="false">Z75+Z76+Z78</f>
        <v>3510.13059047619</v>
      </c>
      <c r="AA79" s="60" t="n">
        <f aca="false">AA75+AA76+AA78</f>
        <v>4295.29848438096</v>
      </c>
      <c r="AB79" s="60" t="n">
        <f aca="false">AB75+AB76+AB78</f>
        <v>4170.77974628572</v>
      </c>
      <c r="AC79" s="60" t="n">
        <f aca="false">AC75+AC76+AC78</f>
        <v>4182.68450819048</v>
      </c>
      <c r="AD79" s="60" t="n">
        <f aca="false">AD75+AD76+AD78</f>
        <v>4194.58927009524</v>
      </c>
      <c r="AE79" s="60" t="n">
        <f aca="false">AE75+AE76+AE78</f>
        <v>4206.49403200001</v>
      </c>
      <c r="AF79" s="60" t="n">
        <f aca="false">AF75+AF76+AF78</f>
        <v>4218.39879390477</v>
      </c>
      <c r="AG79" s="60" t="n">
        <f aca="false">AG75+AG76+AG78</f>
        <v>4230.30355580953</v>
      </c>
      <c r="AH79" s="60" t="n">
        <f aca="false">AH75+AH76+AH78</f>
        <v>4242.20831771429</v>
      </c>
      <c r="AI79" s="60" t="n">
        <f aca="false">AI75+AI76+AI78</f>
        <v>4254.11307961905</v>
      </c>
      <c r="AJ79" s="60" t="n">
        <f aca="false">AJ75+AJ76+AJ78</f>
        <v>4266.01784152382</v>
      </c>
      <c r="AK79" s="60" t="n">
        <f aca="false">AK75+AK76+AK78</f>
        <v>4277.92260342858</v>
      </c>
      <c r="AL79" s="60" t="n">
        <f aca="false">AL75+AL76+AL78</f>
        <v>4289.82736533334</v>
      </c>
      <c r="AM79" s="60" t="n">
        <f aca="false">AM75+AM76+AM78</f>
        <v>5093.99315319811</v>
      </c>
      <c r="AN79" s="60" t="n">
        <f aca="false">AN75+AN76+AN78</f>
        <v>4965.38171010287</v>
      </c>
      <c r="AO79" s="60" t="n">
        <f aca="false">AO75+AO76+AO78</f>
        <v>4977.28647200764</v>
      </c>
      <c r="AP79" s="60" t="n">
        <f aca="false">AP75+AP76+AP78</f>
        <v>4989.1912339124</v>
      </c>
      <c r="AQ79" s="60" t="n">
        <f aca="false">AQ75+AQ76+AQ78</f>
        <v>5001.09599581716</v>
      </c>
      <c r="AR79" s="60" t="n">
        <f aca="false">AR75+AR76+AR78</f>
        <v>5013.00075772192</v>
      </c>
      <c r="AS79" s="60" t="n">
        <f aca="false">AS75+AS76+AS78</f>
        <v>5024.90551962668</v>
      </c>
      <c r="AT79" s="60" t="n">
        <f aca="false">AT75+AT76+AT78</f>
        <v>5036.81028153145</v>
      </c>
      <c r="AU79" s="60" t="n">
        <f aca="false">AU75+AU76+AU78</f>
        <v>5048.71504343621</v>
      </c>
      <c r="AV79" s="60" t="n">
        <f aca="false">AV75+AV76+AV78</f>
        <v>5060.61980534097</v>
      </c>
      <c r="AW79" s="60" t="n">
        <f aca="false">AW75+AW76+AW78</f>
        <v>5072.52456724573</v>
      </c>
      <c r="AX79" s="60" t="n">
        <f aca="false">AX75+AX76+AX78</f>
        <v>5084.42932915049</v>
      </c>
      <c r="AY79" s="60" t="n">
        <f aca="false">AY75+AY76+AY78</f>
        <v>5907.95294779404</v>
      </c>
      <c r="AZ79" s="60" t="n">
        <f aca="false">AZ75+AZ76+AZ78</f>
        <v>5775.1260185488</v>
      </c>
      <c r="BA79" s="60" t="n">
        <f aca="false">BA75+BA76+BA78</f>
        <v>5787.03078045356</v>
      </c>
      <c r="BB79" s="60" t="n">
        <f aca="false">BB75+BB76+BB78</f>
        <v>5798.93554235833</v>
      </c>
      <c r="BC79" s="60" t="n">
        <f aca="false">BC75+BC76+BC78</f>
        <v>5810.84030426309</v>
      </c>
      <c r="BD79" s="60" t="n">
        <f aca="false">BD75+BD76+BD78</f>
        <v>5822.74506616785</v>
      </c>
      <c r="BE79" s="60" t="n">
        <f aca="false">BE75+BE76+BE78</f>
        <v>5834.64982807261</v>
      </c>
      <c r="BF79" s="60" t="n">
        <f aca="false">BF75+BF76+BF78</f>
        <v>5846.55458997737</v>
      </c>
      <c r="BG79" s="60" t="n">
        <f aca="false">BG75+BG76+BG78</f>
        <v>5858.45935188214</v>
      </c>
      <c r="BH79" s="60" t="n">
        <f aca="false">BH75+BH76+BH78</f>
        <v>5870.3641137869</v>
      </c>
      <c r="BI79" s="60" t="n">
        <f aca="false">BI75+BI76+BI78</f>
        <v>5882.26887569166</v>
      </c>
      <c r="BJ79" s="60" t="n">
        <f aca="false">BJ75+BJ76+BJ78</f>
        <v>5894.17363759642</v>
      </c>
    </row>
    <row r="80" customFormat="false" ht="15" hidden="false" customHeight="false" outlineLevel="0" collapsed="false">
      <c r="A80" s="6" t="s">
        <v>263</v>
      </c>
      <c r="C80" s="59" t="n">
        <f aca="false">0</f>
        <v>0</v>
      </c>
      <c r="D80" s="59" t="n">
        <f aca="false">C81</f>
        <v>204279.513333333</v>
      </c>
      <c r="E80" s="59" t="n">
        <f aca="false">D81</f>
        <v>176527.092441905</v>
      </c>
      <c r="F80" s="59" t="n">
        <f aca="false">E81</f>
        <v>151394.044331581</v>
      </c>
      <c r="G80" s="59" t="n">
        <f aca="false">F81</f>
        <v>128723.92092121</v>
      </c>
      <c r="H80" s="59" t="n">
        <f aca="false">G81</f>
        <v>108369.661014509</v>
      </c>
      <c r="I80" s="59" t="n">
        <f aca="false">H81</f>
        <v>90193.0270869715</v>
      </c>
      <c r="J80" s="59" t="n">
        <f aca="false">I81</f>
        <v>74064.0758655627</v>
      </c>
      <c r="K80" s="59" t="n">
        <f aca="false">J81</f>
        <v>59860.6606736289</v>
      </c>
      <c r="L80" s="59" t="n">
        <f aca="false">K81</f>
        <v>47467.9636351159</v>
      </c>
      <c r="M80" s="59" t="n">
        <f aca="false">L81</f>
        <v>36778.0559465327</v>
      </c>
      <c r="N80" s="59" t="n">
        <f aca="false">M81</f>
        <v>27689.4845325979</v>
      </c>
      <c r="O80" s="59" t="n">
        <f aca="false">N81</f>
        <v>20106.8835025468</v>
      </c>
      <c r="P80" s="59" t="n">
        <f aca="false">O81</f>
        <v>14674.1231568071</v>
      </c>
      <c r="Q80" s="59" t="n">
        <f aca="false">P81</f>
        <v>10758.5508427154</v>
      </c>
      <c r="R80" s="59" t="n">
        <f aca="false">Q81</f>
        <v>8377.75508877968</v>
      </c>
      <c r="S80" s="59" t="n">
        <f aca="false">R81</f>
        <v>7440.36358710485</v>
      </c>
      <c r="T80" s="59" t="n">
        <f aca="false">S81</f>
        <v>7860.48636826956</v>
      </c>
      <c r="U80" s="59" t="n">
        <f aca="false">T81</f>
        <v>9557.38686101773</v>
      </c>
      <c r="V80" s="59" t="n">
        <f aca="false">U81</f>
        <v>12455.1726883686</v>
      </c>
      <c r="W80" s="59" t="n">
        <f aca="false">V81</f>
        <v>15908.0892889769</v>
      </c>
      <c r="X80" s="59" t="n">
        <f aca="false">W81</f>
        <v>19391.7868494786</v>
      </c>
      <c r="Y80" s="59" t="n">
        <f aca="false">X81</f>
        <v>22878.1079161452</v>
      </c>
      <c r="Z80" s="59" t="n">
        <f aca="false">Y81</f>
        <v>26376.3337447166</v>
      </c>
      <c r="AA80" s="59" t="n">
        <f aca="false">Z81</f>
        <v>29886.4643351928</v>
      </c>
      <c r="AB80" s="59" t="n">
        <f aca="false">AA81</f>
        <v>34181.7628195738</v>
      </c>
      <c r="AC80" s="59" t="n">
        <f aca="false">AB81</f>
        <v>38352.5425658595</v>
      </c>
      <c r="AD80" s="59" t="n">
        <f aca="false">AC81</f>
        <v>42535.22707405</v>
      </c>
      <c r="AE80" s="59" t="n">
        <f aca="false">AD81</f>
        <v>46729.8163441452</v>
      </c>
      <c r="AF80" s="59" t="n">
        <f aca="false">AE81</f>
        <v>50936.3103761452</v>
      </c>
      <c r="AG80" s="59" t="n">
        <f aca="false">AF81</f>
        <v>55154.70917005</v>
      </c>
      <c r="AH80" s="59" t="n">
        <f aca="false">AG81</f>
        <v>59385.0127258595</v>
      </c>
      <c r="AI80" s="59" t="n">
        <f aca="false">AH81</f>
        <v>63627.2210435738</v>
      </c>
      <c r="AJ80" s="59" t="n">
        <f aca="false">AI81</f>
        <v>67881.3341231929</v>
      </c>
      <c r="AK80" s="59" t="n">
        <f aca="false">AJ81</f>
        <v>72147.3519647167</v>
      </c>
      <c r="AL80" s="59" t="n">
        <f aca="false">AK81</f>
        <v>76425.2745681453</v>
      </c>
      <c r="AM80" s="59" t="n">
        <f aca="false">AL81</f>
        <v>80715.1019334786</v>
      </c>
      <c r="AN80" s="59" t="n">
        <f aca="false">AM81</f>
        <v>85809.0950866767</v>
      </c>
      <c r="AO80" s="59" t="n">
        <f aca="false">AN81</f>
        <v>90774.4767967796</v>
      </c>
      <c r="AP80" s="59" t="n">
        <f aca="false">AO81</f>
        <v>95751.7632687872</v>
      </c>
      <c r="AQ80" s="59" t="n">
        <f aca="false">AP81</f>
        <v>100740.9545027</v>
      </c>
      <c r="AR80" s="59" t="n">
        <f aca="false">AQ81</f>
        <v>105742.050498517</v>
      </c>
      <c r="AS80" s="59" t="n">
        <f aca="false">AR81</f>
        <v>110755.051256239</v>
      </c>
      <c r="AT80" s="59" t="n">
        <f aca="false">AS81</f>
        <v>115779.956775865</v>
      </c>
      <c r="AU80" s="59" t="n">
        <f aca="false">AT81</f>
        <v>120816.767057397</v>
      </c>
      <c r="AV80" s="59" t="n">
        <f aca="false">AU81</f>
        <v>125865.482100833</v>
      </c>
      <c r="AW80" s="59" t="n">
        <f aca="false">AV81</f>
        <v>130926.101906174</v>
      </c>
      <c r="AX80" s="59" t="n">
        <f aca="false">AW81</f>
        <v>135998.62647342</v>
      </c>
      <c r="AY80" s="59" t="n">
        <f aca="false">AX81</f>
        <v>141083.05580257</v>
      </c>
      <c r="AZ80" s="59" t="n">
        <f aca="false">AY81</f>
        <v>146991.008750364</v>
      </c>
      <c r="BA80" s="59" t="n">
        <f aca="false">AZ81</f>
        <v>152766.134768913</v>
      </c>
      <c r="BB80" s="59" t="n">
        <f aca="false">BA81</f>
        <v>158553.165549367</v>
      </c>
      <c r="BC80" s="59" t="n">
        <f aca="false">BB81</f>
        <v>164352.101091725</v>
      </c>
      <c r="BD80" s="59" t="n">
        <f aca="false">BC81</f>
        <v>170162.941395988</v>
      </c>
      <c r="BE80" s="59" t="n">
        <f aca="false">BD81</f>
        <v>175985.686462156</v>
      </c>
      <c r="BF80" s="59" t="n">
        <f aca="false">BE81</f>
        <v>181820.336290229</v>
      </c>
      <c r="BG80" s="59" t="n">
        <f aca="false">BF81</f>
        <v>187666.890880206</v>
      </c>
      <c r="BH80" s="59" t="n">
        <f aca="false">BG81</f>
        <v>193525.350232088</v>
      </c>
      <c r="BI80" s="59" t="n">
        <f aca="false">BH81</f>
        <v>199395.714345875</v>
      </c>
      <c r="BJ80" s="59" t="n">
        <f aca="false">BI81</f>
        <v>205277.983221567</v>
      </c>
    </row>
    <row r="81" customFormat="false" ht="15" hidden="false" customHeight="false" outlineLevel="0" collapsed="false">
      <c r="A81" s="83" t="s">
        <v>103</v>
      </c>
      <c r="C81" s="60" t="n">
        <f aca="false">C80+C79</f>
        <v>204279.513333333</v>
      </c>
      <c r="D81" s="60" t="n">
        <f aca="false">D80+D79</f>
        <v>176527.092441905</v>
      </c>
      <c r="E81" s="60" t="n">
        <f aca="false">E80+E79</f>
        <v>151394.044331581</v>
      </c>
      <c r="F81" s="60" t="n">
        <f aca="false">F80+F79</f>
        <v>128723.92092121</v>
      </c>
      <c r="G81" s="60" t="n">
        <f aca="false">G80+G79</f>
        <v>108369.661014509</v>
      </c>
      <c r="H81" s="60" t="n">
        <f aca="false">H80+H79</f>
        <v>90193.0270869715</v>
      </c>
      <c r="I81" s="60" t="n">
        <f aca="false">I80+I79</f>
        <v>74064.0758655627</v>
      </c>
      <c r="J81" s="60" t="n">
        <f aca="false">J80+J79</f>
        <v>59860.6606736289</v>
      </c>
      <c r="K81" s="60" t="n">
        <f aca="false">K80+K79</f>
        <v>47467.9636351159</v>
      </c>
      <c r="L81" s="60" t="n">
        <f aca="false">L80+L79</f>
        <v>36778.0559465327</v>
      </c>
      <c r="M81" s="60" t="n">
        <f aca="false">M80+M79</f>
        <v>27689.4845325979</v>
      </c>
      <c r="N81" s="60" t="n">
        <f aca="false">N80+N79</f>
        <v>20106.8835025468</v>
      </c>
      <c r="O81" s="60" t="n">
        <f aca="false">O80+O79</f>
        <v>14674.1231568071</v>
      </c>
      <c r="P81" s="60" t="n">
        <f aca="false">P80+P79</f>
        <v>10758.5508427154</v>
      </c>
      <c r="Q81" s="60" t="n">
        <f aca="false">Q80+Q79</f>
        <v>8377.75508877968</v>
      </c>
      <c r="R81" s="60" t="n">
        <f aca="false">R80+R79</f>
        <v>7440.36358710485</v>
      </c>
      <c r="S81" s="60" t="n">
        <f aca="false">S80+S79</f>
        <v>7860.48636826956</v>
      </c>
      <c r="T81" s="60" t="n">
        <f aca="false">T80+T79</f>
        <v>9557.38686101773</v>
      </c>
      <c r="U81" s="60" t="n">
        <f aca="false">U80+U79</f>
        <v>12455.1726883686</v>
      </c>
      <c r="V81" s="60" t="n">
        <f aca="false">V80+V79</f>
        <v>15908.0892889769</v>
      </c>
      <c r="W81" s="60" t="n">
        <f aca="false">W80+W79</f>
        <v>19391.7868494786</v>
      </c>
      <c r="X81" s="60" t="n">
        <f aca="false">X80+X79</f>
        <v>22878.1079161452</v>
      </c>
      <c r="Y81" s="60" t="n">
        <f aca="false">Y80+Y79</f>
        <v>26376.3337447166</v>
      </c>
      <c r="Z81" s="60" t="n">
        <f aca="false">Z80+Z79</f>
        <v>29886.4643351928</v>
      </c>
      <c r="AA81" s="60" t="n">
        <f aca="false">AA80+AA79</f>
        <v>34181.7628195738</v>
      </c>
      <c r="AB81" s="60" t="n">
        <f aca="false">AB80+AB79</f>
        <v>38352.5425658595</v>
      </c>
      <c r="AC81" s="60" t="n">
        <f aca="false">AC80+AC79</f>
        <v>42535.22707405</v>
      </c>
      <c r="AD81" s="60" t="n">
        <f aca="false">AD80+AD79</f>
        <v>46729.8163441452</v>
      </c>
      <c r="AE81" s="60" t="n">
        <f aca="false">AE80+AE79</f>
        <v>50936.3103761452</v>
      </c>
      <c r="AF81" s="60" t="n">
        <f aca="false">AF80+AF79</f>
        <v>55154.70917005</v>
      </c>
      <c r="AG81" s="60" t="n">
        <f aca="false">AG80+AG79</f>
        <v>59385.0127258595</v>
      </c>
      <c r="AH81" s="60" t="n">
        <f aca="false">AH80+AH79</f>
        <v>63627.2210435738</v>
      </c>
      <c r="AI81" s="60" t="n">
        <f aca="false">AI80+AI79</f>
        <v>67881.3341231929</v>
      </c>
      <c r="AJ81" s="60" t="n">
        <f aca="false">AJ80+AJ79</f>
        <v>72147.3519647167</v>
      </c>
      <c r="AK81" s="60" t="n">
        <f aca="false">AK80+AK79</f>
        <v>76425.2745681453</v>
      </c>
      <c r="AL81" s="60" t="n">
        <f aca="false">AL80+AL79</f>
        <v>80715.1019334786</v>
      </c>
      <c r="AM81" s="60" t="n">
        <f aca="false">AM80+AM79</f>
        <v>85809.0950866767</v>
      </c>
      <c r="AN81" s="60" t="n">
        <f aca="false">AN80+AN79</f>
        <v>90774.4767967796</v>
      </c>
      <c r="AO81" s="60" t="n">
        <f aca="false">AO80+AO79</f>
        <v>95751.7632687872</v>
      </c>
      <c r="AP81" s="60" t="n">
        <f aca="false">AP80+AP79</f>
        <v>100740.9545027</v>
      </c>
      <c r="AQ81" s="60" t="n">
        <f aca="false">AQ80+AQ79</f>
        <v>105742.050498517</v>
      </c>
      <c r="AR81" s="60" t="n">
        <f aca="false">AR80+AR79</f>
        <v>110755.051256239</v>
      </c>
      <c r="AS81" s="60" t="n">
        <f aca="false">AS80+AS79</f>
        <v>115779.956775865</v>
      </c>
      <c r="AT81" s="60" t="n">
        <f aca="false">AT80+AT79</f>
        <v>120816.767057397</v>
      </c>
      <c r="AU81" s="60" t="n">
        <f aca="false">AU80+AU79</f>
        <v>125865.482100833</v>
      </c>
      <c r="AV81" s="60" t="n">
        <f aca="false">AV80+AV79</f>
        <v>130926.101906174</v>
      </c>
      <c r="AW81" s="60" t="n">
        <f aca="false">AW80+AW79</f>
        <v>135998.62647342</v>
      </c>
      <c r="AX81" s="60" t="n">
        <f aca="false">AX80+AX79</f>
        <v>141083.05580257</v>
      </c>
      <c r="AY81" s="60" t="n">
        <f aca="false">AY80+AY79</f>
        <v>146991.008750364</v>
      </c>
      <c r="AZ81" s="60" t="n">
        <f aca="false">AZ80+AZ79</f>
        <v>152766.134768913</v>
      </c>
      <c r="BA81" s="60" t="n">
        <f aca="false">BA80+BA79</f>
        <v>158553.165549367</v>
      </c>
      <c r="BB81" s="60" t="n">
        <f aca="false">BB80+BB79</f>
        <v>164352.101091725</v>
      </c>
      <c r="BC81" s="60" t="n">
        <f aca="false">BC80+BC79</f>
        <v>170162.941395988</v>
      </c>
      <c r="BD81" s="60" t="n">
        <f aca="false">BD80+BD79</f>
        <v>175985.686462156</v>
      </c>
      <c r="BE81" s="60" t="n">
        <f aca="false">BE80+BE79</f>
        <v>181820.336290229</v>
      </c>
      <c r="BF81" s="60" t="n">
        <f aca="false">BF80+BF79</f>
        <v>187666.890880206</v>
      </c>
      <c r="BG81" s="60" t="n">
        <f aca="false">BG80+BG79</f>
        <v>193525.350232088</v>
      </c>
      <c r="BH81" s="60" t="n">
        <f aca="false">BH80+BH79</f>
        <v>199395.714345875</v>
      </c>
      <c r="BI81" s="60" t="n">
        <f aca="false">BI80+BI79</f>
        <v>205277.983221567</v>
      </c>
      <c r="BJ81" s="60" t="n">
        <f aca="false">BJ80+BJ79</f>
        <v>211172.156859163</v>
      </c>
    </row>
    <row r="82" customFormat="false" ht="15" hidden="false" customHeight="false" outlineLevel="0" collapsed="false">
      <c r="A82" s="87" t="s">
        <v>356</v>
      </c>
      <c r="C82" s="88" t="n">
        <f aca="false">IF(C42&gt;0,1,0)</f>
        <v>0</v>
      </c>
      <c r="D82" s="88" t="n">
        <f aca="false">IF(D42&gt;0,1,0)</f>
        <v>0</v>
      </c>
      <c r="E82" s="88" t="n">
        <f aca="false">IF(E42&gt;0,1,0)</f>
        <v>0</v>
      </c>
      <c r="F82" s="88" t="n">
        <f aca="false">IF(F42&gt;0,1,0)</f>
        <v>0</v>
      </c>
      <c r="G82" s="88" t="n">
        <f aca="false">IF(G42&gt;0,1,0)</f>
        <v>0</v>
      </c>
      <c r="H82" s="88" t="n">
        <f aca="false">IF(H42&gt;0,1,0)</f>
        <v>0</v>
      </c>
      <c r="I82" s="88" t="n">
        <f aca="false">IF(I42&gt;0,1,0)</f>
        <v>0</v>
      </c>
      <c r="J82" s="88" t="n">
        <f aca="false">IF(J42&gt;0,1,0)</f>
        <v>0</v>
      </c>
      <c r="K82" s="88" t="n">
        <f aca="false">IF(K42&gt;0,1,0)</f>
        <v>0</v>
      </c>
      <c r="L82" s="88" t="n">
        <f aca="false">IF(L42&gt;0,1,0)</f>
        <v>0</v>
      </c>
      <c r="M82" s="88" t="n">
        <f aca="false">IF(M42&gt;0,1,0)</f>
        <v>0</v>
      </c>
      <c r="N82" s="88" t="n">
        <f aca="false">IF(N42&gt;0,1,0)</f>
        <v>0</v>
      </c>
      <c r="O82" s="88" t="n">
        <f aca="false">IF(O42&gt;0,1,0)</f>
        <v>0</v>
      </c>
      <c r="P82" s="88" t="n">
        <f aca="false">IF(P42&gt;0,1,0)</f>
        <v>0</v>
      </c>
      <c r="Q82" s="88" t="n">
        <f aca="false">IF(Q42&gt;0,1,0)</f>
        <v>1</v>
      </c>
      <c r="R82" s="88" t="n">
        <f aca="false">IF(R42&gt;0,1,0)</f>
        <v>1</v>
      </c>
      <c r="S82" s="88" t="n">
        <f aca="false">IF(S42&gt;0,1,0)</f>
        <v>1</v>
      </c>
      <c r="T82" s="88" t="n">
        <f aca="false">IF(T42&gt;0,1,0)</f>
        <v>1</v>
      </c>
      <c r="U82" s="88" t="n">
        <f aca="false">IF(U42&gt;0,1,0)</f>
        <v>1</v>
      </c>
      <c r="V82" s="88" t="n">
        <f aca="false">IF(V42&gt;0,1,0)</f>
        <v>1</v>
      </c>
      <c r="W82" s="88" t="n">
        <f aca="false">IF(W42&gt;0,1,0)</f>
        <v>1</v>
      </c>
      <c r="X82" s="88" t="n">
        <f aca="false">IF(X42&gt;0,1,0)</f>
        <v>1</v>
      </c>
      <c r="Y82" s="88" t="n">
        <f aca="false">IF(Y42&gt;0,1,0)</f>
        <v>1</v>
      </c>
      <c r="Z82" s="88" t="n">
        <f aca="false">IF(Z42&gt;0,1,0)</f>
        <v>1</v>
      </c>
      <c r="AA82" s="88" t="n">
        <f aca="false">IF(AA42&gt;0,1,0)</f>
        <v>1</v>
      </c>
      <c r="AB82" s="88" t="n">
        <f aca="false">IF(AB42&gt;0,1,0)</f>
        <v>1</v>
      </c>
      <c r="AC82" s="88" t="n">
        <f aca="false">IF(AC42&gt;0,1,0)</f>
        <v>1</v>
      </c>
      <c r="AD82" s="88" t="n">
        <f aca="false">IF(AD42&gt;0,1,0)</f>
        <v>1</v>
      </c>
      <c r="AE82" s="88" t="n">
        <f aca="false">IF(AE42&gt;0,1,0)</f>
        <v>1</v>
      </c>
      <c r="AF82" s="88" t="n">
        <f aca="false">IF(AF42&gt;0,1,0)</f>
        <v>1</v>
      </c>
      <c r="AG82" s="88" t="n">
        <f aca="false">IF(AG42&gt;0,1,0)</f>
        <v>1</v>
      </c>
      <c r="AH82" s="88" t="n">
        <f aca="false">IF(AH42&gt;0,1,0)</f>
        <v>1</v>
      </c>
      <c r="AI82" s="88" t="n">
        <f aca="false">IF(AI42&gt;0,1,0)</f>
        <v>1</v>
      </c>
      <c r="AJ82" s="88" t="n">
        <f aca="false">IF(AJ42&gt;0,1,0)</f>
        <v>1</v>
      </c>
      <c r="AK82" s="88" t="n">
        <f aca="false">IF(AK42&gt;0,1,0)</f>
        <v>1</v>
      </c>
      <c r="AL82" s="88" t="n">
        <f aca="false">IF(AL42&gt;0,1,0)</f>
        <v>1</v>
      </c>
      <c r="AM82" s="88" t="n">
        <f aca="false">IF(AM42&gt;0,1,0)</f>
        <v>1</v>
      </c>
      <c r="AN82" s="88" t="n">
        <f aca="false">IF(AN42&gt;0,1,0)</f>
        <v>1</v>
      </c>
      <c r="AO82" s="88" t="n">
        <f aca="false">IF(AO42&gt;0,1,0)</f>
        <v>1</v>
      </c>
      <c r="AP82" s="88" t="n">
        <f aca="false">IF(AP42&gt;0,1,0)</f>
        <v>1</v>
      </c>
      <c r="AQ82" s="88" t="n">
        <f aca="false">IF(AQ42&gt;0,1,0)</f>
        <v>1</v>
      </c>
      <c r="AR82" s="88" t="n">
        <f aca="false">IF(AR42&gt;0,1,0)</f>
        <v>1</v>
      </c>
      <c r="AS82" s="88" t="n">
        <f aca="false">IF(AS42&gt;0,1,0)</f>
        <v>1</v>
      </c>
      <c r="AT82" s="88" t="n">
        <f aca="false">IF(AT42&gt;0,1,0)</f>
        <v>1</v>
      </c>
      <c r="AU82" s="88" t="n">
        <f aca="false">IF(AU42&gt;0,1,0)</f>
        <v>1</v>
      </c>
      <c r="AV82" s="88" t="n">
        <f aca="false">IF(AV42&gt;0,1,0)</f>
        <v>1</v>
      </c>
      <c r="AW82" s="88" t="n">
        <f aca="false">IF(AW42&gt;0,1,0)</f>
        <v>1</v>
      </c>
      <c r="AX82" s="88" t="n">
        <f aca="false">IF(AX42&gt;0,1,0)</f>
        <v>1</v>
      </c>
      <c r="AY82" s="88" t="n">
        <f aca="false">IF(AY42&gt;0,1,0)</f>
        <v>1</v>
      </c>
      <c r="AZ82" s="88" t="n">
        <f aca="false">IF(AZ42&gt;0,1,0)</f>
        <v>1</v>
      </c>
      <c r="BA82" s="88" t="n">
        <f aca="false">IF(BA42&gt;0,1,0)</f>
        <v>1</v>
      </c>
      <c r="BB82" s="88" t="n">
        <f aca="false">IF(BB42&gt;0,1,0)</f>
        <v>1</v>
      </c>
      <c r="BC82" s="88" t="n">
        <f aca="false">IF(BC42&gt;0,1,0)</f>
        <v>1</v>
      </c>
      <c r="BD82" s="88" t="n">
        <f aca="false">IF(BD42&gt;0,1,0)</f>
        <v>1</v>
      </c>
      <c r="BE82" s="88" t="n">
        <f aca="false">IF(BE42&gt;0,1,0)</f>
        <v>1</v>
      </c>
      <c r="BF82" s="88" t="n">
        <f aca="false">IF(BF42&gt;0,1,0)</f>
        <v>1</v>
      </c>
      <c r="BG82" s="88" t="n">
        <f aca="false">IF(BG42&gt;0,1,0)</f>
        <v>1</v>
      </c>
      <c r="BH82" s="88" t="n">
        <f aca="false">IF(BH42&gt;0,1,0)</f>
        <v>1</v>
      </c>
      <c r="BI82" s="88" t="n">
        <f aca="false">IF(BI42&gt;0,1,0)</f>
        <v>1</v>
      </c>
      <c r="BJ82" s="88" t="n">
        <f aca="false">IF(BJ42&gt;0,1,0)</f>
        <v>1</v>
      </c>
    </row>
    <row r="84" customFormat="false" ht="15.75" hidden="false" customHeight="true" outlineLevel="0" collapsed="false">
      <c r="A84" s="7" t="s">
        <v>357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87" t="s">
        <v>358</v>
      </c>
      <c r="C85" s="88" t="n">
        <f aca="false">IF(C51&gt;0,1,0)</f>
        <v>0</v>
      </c>
      <c r="D85" s="88" t="n">
        <f aca="false">IF(D51&gt;0,1,0)</f>
        <v>0</v>
      </c>
      <c r="E85" s="88" t="n">
        <f aca="false">IF(E51&gt;0,1,0)</f>
        <v>0</v>
      </c>
      <c r="F85" s="88" t="n">
        <f aca="false">IF(F51&gt;0,1,0)</f>
        <v>0</v>
      </c>
      <c r="G85" s="88" t="n">
        <f aca="false">IF(G51&gt;0,1,0)</f>
        <v>0</v>
      </c>
      <c r="H85" s="88" t="n">
        <f aca="false">IF(H51&gt;0,1,0)</f>
        <v>0</v>
      </c>
      <c r="I85" s="88" t="n">
        <f aca="false">IF(I51&gt;0,1,0)</f>
        <v>0</v>
      </c>
      <c r="J85" s="88" t="n">
        <f aca="false">IF(J51&gt;0,1,0)</f>
        <v>0</v>
      </c>
      <c r="K85" s="88" t="n">
        <f aca="false">IF(K51&gt;0,1,0)</f>
        <v>0</v>
      </c>
      <c r="L85" s="88" t="n">
        <f aca="false">IF(L51&gt;0,1,0)</f>
        <v>0</v>
      </c>
      <c r="M85" s="88" t="n">
        <f aca="false">IF(M51&gt;0,1,0)</f>
        <v>0</v>
      </c>
      <c r="N85" s="88" t="n">
        <f aca="false">IF(N51&gt;0,1,0)</f>
        <v>0</v>
      </c>
      <c r="O85" s="88" t="n">
        <f aca="false">IF(O51&gt;0,1,0)</f>
        <v>0</v>
      </c>
      <c r="P85" s="88" t="n">
        <f aca="false">IF(P51&gt;0,1,0)</f>
        <v>0</v>
      </c>
      <c r="Q85" s="88" t="n">
        <f aca="false">IF(Q51&gt;0,1,0)</f>
        <v>0</v>
      </c>
      <c r="R85" s="88" t="n">
        <f aca="false">IF(R51&gt;0,1,0)</f>
        <v>0</v>
      </c>
      <c r="S85" s="88" t="n">
        <f aca="false">IF(S51&gt;0,1,0)</f>
        <v>0</v>
      </c>
      <c r="T85" s="88" t="n">
        <f aca="false">IF(T51&gt;0,1,0)</f>
        <v>1</v>
      </c>
      <c r="U85" s="88" t="n">
        <f aca="false">IF(U51&gt;0,1,0)</f>
        <v>1</v>
      </c>
      <c r="V85" s="88" t="n">
        <f aca="false">IF(V51&gt;0,1,0)</f>
        <v>1</v>
      </c>
      <c r="W85" s="88" t="n">
        <f aca="false">IF(W51&gt;0,1,0)</f>
        <v>1</v>
      </c>
      <c r="X85" s="88" t="n">
        <f aca="false">IF(X51&gt;0,1,0)</f>
        <v>1</v>
      </c>
      <c r="Y85" s="88" t="n">
        <f aca="false">IF(Y51&gt;0,1,0)</f>
        <v>1</v>
      </c>
      <c r="Z85" s="88" t="n">
        <f aca="false">IF(Z51&gt;0,1,0)</f>
        <v>1</v>
      </c>
      <c r="AA85" s="88" t="n">
        <f aca="false">IF(AA51&gt;0,1,0)</f>
        <v>1</v>
      </c>
      <c r="AB85" s="88" t="n">
        <f aca="false">IF(AB51&gt;0,1,0)</f>
        <v>1</v>
      </c>
      <c r="AC85" s="88" t="n">
        <f aca="false">IF(AC51&gt;0,1,0)</f>
        <v>1</v>
      </c>
      <c r="AD85" s="88" t="n">
        <f aca="false">IF(AD51&gt;0,1,0)</f>
        <v>1</v>
      </c>
      <c r="AE85" s="88" t="n">
        <f aca="false">IF(AE51&gt;0,1,0)</f>
        <v>1</v>
      </c>
      <c r="AF85" s="88" t="n">
        <f aca="false">IF(AF51&gt;0,1,0)</f>
        <v>1</v>
      </c>
      <c r="AG85" s="88" t="n">
        <f aca="false">IF(AG51&gt;0,1,0)</f>
        <v>1</v>
      </c>
      <c r="AH85" s="88" t="n">
        <f aca="false">IF(AH51&gt;0,1,0)</f>
        <v>1</v>
      </c>
      <c r="AI85" s="88" t="n">
        <f aca="false">IF(AI51&gt;0,1,0)</f>
        <v>1</v>
      </c>
      <c r="AJ85" s="88" t="n">
        <f aca="false">IF(AJ51&gt;0,1,0)</f>
        <v>1</v>
      </c>
      <c r="AK85" s="88" t="n">
        <f aca="false">IF(AK51&gt;0,1,0)</f>
        <v>1</v>
      </c>
      <c r="AL85" s="88" t="n">
        <f aca="false">IF(AL51&gt;0,1,0)</f>
        <v>1</v>
      </c>
      <c r="AM85" s="88" t="n">
        <f aca="false">IF(AM51&gt;0,1,0)</f>
        <v>1</v>
      </c>
      <c r="AN85" s="88" t="n">
        <f aca="false">IF(AN51&gt;0,1,0)</f>
        <v>1</v>
      </c>
      <c r="AO85" s="88" t="n">
        <f aca="false">IF(AO51&gt;0,1,0)</f>
        <v>1</v>
      </c>
      <c r="AP85" s="88" t="n">
        <f aca="false">IF(AP51&gt;0,1,0)</f>
        <v>1</v>
      </c>
      <c r="AQ85" s="88" t="n">
        <f aca="false">IF(AQ51&gt;0,1,0)</f>
        <v>1</v>
      </c>
      <c r="AR85" s="88" t="n">
        <f aca="false">IF(AR51&gt;0,1,0)</f>
        <v>1</v>
      </c>
      <c r="AS85" s="88" t="n">
        <f aca="false">IF(AS51&gt;0,1,0)</f>
        <v>1</v>
      </c>
      <c r="AT85" s="88" t="n">
        <f aca="false">IF(AT51&gt;0,1,0)</f>
        <v>1</v>
      </c>
      <c r="AU85" s="88" t="n">
        <f aca="false">IF(AU51&gt;0,1,0)</f>
        <v>1</v>
      </c>
      <c r="AV85" s="88" t="n">
        <f aca="false">IF(AV51&gt;0,1,0)</f>
        <v>1</v>
      </c>
      <c r="AW85" s="88" t="n">
        <f aca="false">IF(AW51&gt;0,1,0)</f>
        <v>1</v>
      </c>
      <c r="AX85" s="88" t="n">
        <f aca="false">IF(AX51&gt;0,1,0)</f>
        <v>1</v>
      </c>
      <c r="AY85" s="88" t="n">
        <f aca="false">IF(AY51&gt;0,1,0)</f>
        <v>1</v>
      </c>
      <c r="AZ85" s="88" t="n">
        <f aca="false">IF(AZ51&gt;0,1,0)</f>
        <v>1</v>
      </c>
      <c r="BA85" s="88" t="n">
        <f aca="false">IF(BA51&gt;0,1,0)</f>
        <v>1</v>
      </c>
      <c r="BB85" s="88" t="n">
        <f aca="false">IF(BB51&gt;0,1,0)</f>
        <v>1</v>
      </c>
      <c r="BC85" s="88" t="n">
        <f aca="false">IF(BC51&gt;0,1,0)</f>
        <v>1</v>
      </c>
      <c r="BD85" s="88" t="n">
        <f aca="false">IF(BD51&gt;0,1,0)</f>
        <v>1</v>
      </c>
      <c r="BE85" s="88" t="n">
        <f aca="false">IF(BE51&gt;0,1,0)</f>
        <v>1</v>
      </c>
      <c r="BF85" s="88" t="n">
        <f aca="false">IF(BF51&gt;0,1,0)</f>
        <v>1</v>
      </c>
      <c r="BG85" s="88" t="n">
        <f aca="false">IF(BG51&gt;0,1,0)</f>
        <v>1</v>
      </c>
      <c r="BH85" s="88" t="n">
        <f aca="false">IF(BH51&gt;0,1,0)</f>
        <v>1</v>
      </c>
      <c r="BI85" s="88" t="n">
        <f aca="false">IF(BI51&gt;0,1,0)</f>
        <v>1</v>
      </c>
      <c r="BJ85" s="88" t="n">
        <f aca="false">IF(BJ51&gt;0,1,0)</f>
        <v>1</v>
      </c>
    </row>
    <row r="86" customFormat="false" ht="15" hidden="false" customHeight="false" outlineLevel="0" collapsed="false">
      <c r="A86" s="6" t="s">
        <v>359</v>
      </c>
      <c r="C86" s="59" t="n">
        <f aca="false">C75+C76</f>
        <v>-275720.486666667</v>
      </c>
      <c r="D86" s="59" t="n">
        <f aca="false">D75+D76</f>
        <v>-25966.7066057143</v>
      </c>
      <c r="E86" s="59" t="n">
        <f aca="false">E75+E76</f>
        <v>-23347.3338246095</v>
      </c>
      <c r="F86" s="59" t="n">
        <f aca="false">F75+F76</f>
        <v>-20884.4091246568</v>
      </c>
      <c r="G86" s="59" t="n">
        <f aca="false">G75+G76</f>
        <v>-18568.5456209869</v>
      </c>
      <c r="H86" s="59" t="n">
        <f aca="false">H75+H76</f>
        <v>-16390.9196418229</v>
      </c>
      <c r="I86" s="59" t="n">
        <f aca="false">I75+I76</f>
        <v>-14343.2369356945</v>
      </c>
      <c r="J86" s="59" t="n">
        <f aca="false">J75+J76</f>
        <v>-12417.7009062195</v>
      </c>
      <c r="K86" s="59" t="n">
        <f aca="false">K75+K76</f>
        <v>-10606.9827527987</v>
      </c>
      <c r="L86" s="59" t="n">
        <f aca="false">L75+L76</f>
        <v>-8904.19340286889</v>
      </c>
      <c r="M86" s="59" t="n">
        <f aca="false">M75+M76</f>
        <v>-7302.85712822056</v>
      </c>
      <c r="N86" s="59" t="n">
        <f aca="false">N75+N76</f>
        <v>-5796.88674433685</v>
      </c>
      <c r="O86" s="59" t="n">
        <f aca="false">O75+O76</f>
        <v>-3647.04606002537</v>
      </c>
      <c r="P86" s="59" t="n">
        <f aca="false">P75+P76</f>
        <v>-2129.85802837741</v>
      </c>
      <c r="Q86" s="59" t="n">
        <f aca="false">Q75+Q76</f>
        <v>-595.081468221445</v>
      </c>
      <c r="R86" s="59" t="n">
        <f aca="false">R75+R76</f>
        <v>848.322784039452</v>
      </c>
      <c r="S86" s="59" t="n">
        <f aca="false">S75+S76</f>
        <v>2205.837066879</v>
      </c>
      <c r="T86" s="59" t="n">
        <f aca="false">T75+T76</f>
        <v>3482.61477846245</v>
      </c>
      <c r="U86" s="59" t="n">
        <f aca="false">U75+U76</f>
        <v>4683.50011306518</v>
      </c>
      <c r="V86" s="59" t="n">
        <f aca="false">V75+V76</f>
        <v>5238.63088632258</v>
      </c>
      <c r="W86" s="59" t="n">
        <f aca="false">W75+W76</f>
        <v>5269.41184621593</v>
      </c>
      <c r="X86" s="59" t="n">
        <f aca="false">X75+X76</f>
        <v>5272.03535238095</v>
      </c>
      <c r="Y86" s="59" t="n">
        <f aca="false">Y75+Y76</f>
        <v>5283.94011428571</v>
      </c>
      <c r="Z86" s="59" t="n">
        <f aca="false">Z75+Z76</f>
        <v>5295.84487619047</v>
      </c>
      <c r="AA86" s="59" t="n">
        <f aca="false">AA75+AA76</f>
        <v>6081.01277009524</v>
      </c>
      <c r="AB86" s="59" t="n">
        <f aca="false">AB75+AB76</f>
        <v>5956.49403200001</v>
      </c>
      <c r="AC86" s="59" t="n">
        <f aca="false">AC75+AC76</f>
        <v>5968.39879390477</v>
      </c>
      <c r="AD86" s="59" t="n">
        <f aca="false">AD75+AD76</f>
        <v>5980.30355580953</v>
      </c>
      <c r="AE86" s="59" t="n">
        <f aca="false">AE75+AE76</f>
        <v>5992.20831771429</v>
      </c>
      <c r="AF86" s="59" t="n">
        <f aca="false">AF75+AF76</f>
        <v>6004.11307961905</v>
      </c>
      <c r="AG86" s="59" t="n">
        <f aca="false">AG75+AG76</f>
        <v>6016.01784152382</v>
      </c>
      <c r="AH86" s="59" t="n">
        <f aca="false">AH75+AH76</f>
        <v>6027.92260342858</v>
      </c>
      <c r="AI86" s="59" t="n">
        <f aca="false">AI75+AI76</f>
        <v>6039.82736533334</v>
      </c>
      <c r="AJ86" s="59" t="n">
        <f aca="false">AJ75+AJ76</f>
        <v>6051.7321272381</v>
      </c>
      <c r="AK86" s="59" t="n">
        <f aca="false">AK75+AK76</f>
        <v>6063.63688914286</v>
      </c>
      <c r="AL86" s="59" t="n">
        <f aca="false">AL75+AL76</f>
        <v>6075.54165104762</v>
      </c>
      <c r="AM86" s="59" t="n">
        <f aca="false">AM75+AM76</f>
        <v>6879.7074389124</v>
      </c>
      <c r="AN86" s="59" t="n">
        <f aca="false">AN75+AN76</f>
        <v>6751.09599581716</v>
      </c>
      <c r="AO86" s="59" t="n">
        <f aca="false">AO75+AO76</f>
        <v>6763.00075772192</v>
      </c>
      <c r="AP86" s="59" t="n">
        <f aca="false">AP75+AP76</f>
        <v>6774.90551962668</v>
      </c>
      <c r="AQ86" s="59" t="n">
        <f aca="false">AQ75+AQ76</f>
        <v>6786.81028153145</v>
      </c>
      <c r="AR86" s="59" t="n">
        <f aca="false">AR75+AR76</f>
        <v>6798.71504343621</v>
      </c>
      <c r="AS86" s="59" t="n">
        <f aca="false">AS75+AS76</f>
        <v>6810.61980534097</v>
      </c>
      <c r="AT86" s="59" t="n">
        <f aca="false">AT75+AT76</f>
        <v>6822.52456724573</v>
      </c>
      <c r="AU86" s="59" t="n">
        <f aca="false">AU75+AU76</f>
        <v>6834.42932915049</v>
      </c>
      <c r="AV86" s="59" t="n">
        <f aca="false">AV75+AV76</f>
        <v>6846.33409105526</v>
      </c>
      <c r="AW86" s="59" t="n">
        <f aca="false">AW75+AW76</f>
        <v>6858.23885296002</v>
      </c>
      <c r="AX86" s="59" t="n">
        <f aca="false">AX75+AX76</f>
        <v>6870.14361486478</v>
      </c>
      <c r="AY86" s="59" t="n">
        <f aca="false">AY75+AY76</f>
        <v>7693.66723350833</v>
      </c>
      <c r="AZ86" s="59" t="n">
        <f aca="false">AZ75+AZ76</f>
        <v>7560.84030426309</v>
      </c>
      <c r="BA86" s="59" t="n">
        <f aca="false">BA75+BA76</f>
        <v>7572.74506616785</v>
      </c>
      <c r="BB86" s="59" t="n">
        <f aca="false">BB75+BB76</f>
        <v>7584.64982807261</v>
      </c>
      <c r="BC86" s="59" t="n">
        <f aca="false">BC75+BC76</f>
        <v>7596.55458997737</v>
      </c>
      <c r="BD86" s="59" t="n">
        <f aca="false">BD75+BD76</f>
        <v>7608.45935188214</v>
      </c>
      <c r="BE86" s="59" t="n">
        <f aca="false">BE75+BE76</f>
        <v>7620.3641137869</v>
      </c>
      <c r="BF86" s="59" t="n">
        <f aca="false">BF75+BF76</f>
        <v>7632.26887569166</v>
      </c>
      <c r="BG86" s="59" t="n">
        <f aca="false">BG75+BG76</f>
        <v>7644.17363759642</v>
      </c>
      <c r="BH86" s="59" t="n">
        <f aca="false">BH75+BH76</f>
        <v>7656.07839950118</v>
      </c>
      <c r="BI86" s="59" t="n">
        <f aca="false">BI75+BI76</f>
        <v>7667.98316140595</v>
      </c>
      <c r="BJ86" s="59" t="n">
        <f aca="false">BJ75+BJ76</f>
        <v>7679.88792331071</v>
      </c>
    </row>
    <row r="87" customFormat="false" ht="15" hidden="false" customHeight="false" outlineLevel="0" collapsed="false">
      <c r="A87" s="6" t="s">
        <v>360</v>
      </c>
      <c r="C87" s="59" t="n">
        <f aca="false">C86</f>
        <v>-275720.486666667</v>
      </c>
      <c r="D87" s="59" t="n">
        <f aca="false">C87+D86</f>
        <v>-301687.193272381</v>
      </c>
      <c r="E87" s="59" t="n">
        <f aca="false">D87+E86</f>
        <v>-325034.527096991</v>
      </c>
      <c r="F87" s="59" t="n">
        <f aca="false">E87+F86</f>
        <v>-345918.936221647</v>
      </c>
      <c r="G87" s="59" t="n">
        <f aca="false">F87+G86</f>
        <v>-364487.481842634</v>
      </c>
      <c r="H87" s="59" t="n">
        <f aca="false">G87+H86</f>
        <v>-380878.401484457</v>
      </c>
      <c r="I87" s="59" t="n">
        <f aca="false">H87+I86</f>
        <v>-395221.638420152</v>
      </c>
      <c r="J87" s="59" t="n">
        <f aca="false">I87+J86</f>
        <v>-407639.339326371</v>
      </c>
      <c r="K87" s="59" t="n">
        <f aca="false">J87+K86</f>
        <v>-418246.32207917</v>
      </c>
      <c r="L87" s="59" t="n">
        <f aca="false">K87+L86</f>
        <v>-427150.515482039</v>
      </c>
      <c r="M87" s="59" t="n">
        <f aca="false">L87+M86</f>
        <v>-434453.372610259</v>
      </c>
      <c r="N87" s="59" t="n">
        <f aca="false">M87+N86</f>
        <v>-440250.259354596</v>
      </c>
      <c r="O87" s="59" t="n">
        <f aca="false">N87+O86</f>
        <v>-443897.305414621</v>
      </c>
      <c r="P87" s="59" t="n">
        <f aca="false">O87+P86</f>
        <v>-446027.163442999</v>
      </c>
      <c r="Q87" s="59" t="n">
        <f aca="false">P87+Q86</f>
        <v>-446622.24491122</v>
      </c>
      <c r="R87" s="59" t="n">
        <f aca="false">Q87+R86</f>
        <v>-445773.922127181</v>
      </c>
      <c r="S87" s="59" t="n">
        <f aca="false">R87+S86</f>
        <v>-443568.085060302</v>
      </c>
      <c r="T87" s="59" t="n">
        <f aca="false">S87+T86</f>
        <v>-440085.470281839</v>
      </c>
      <c r="U87" s="59" t="n">
        <f aca="false">T87+U86</f>
        <v>-435401.970168774</v>
      </c>
      <c r="V87" s="59" t="n">
        <f aca="false">U87+V86</f>
        <v>-430163.339282452</v>
      </c>
      <c r="W87" s="59" t="n">
        <f aca="false">V87+W86</f>
        <v>-424893.927436236</v>
      </c>
      <c r="X87" s="59" t="n">
        <f aca="false">W87+X86</f>
        <v>-419621.892083855</v>
      </c>
      <c r="Y87" s="59" t="n">
        <f aca="false">X87+Y86</f>
        <v>-414337.951969569</v>
      </c>
      <c r="Z87" s="59" t="n">
        <f aca="false">Y87+Z86</f>
        <v>-409042.107093379</v>
      </c>
      <c r="AA87" s="59" t="n">
        <f aca="false">Z87+AA86</f>
        <v>-402961.094323283</v>
      </c>
      <c r="AB87" s="59" t="n">
        <f aca="false">AA87+AB86</f>
        <v>-397004.600291283</v>
      </c>
      <c r="AC87" s="59" t="n">
        <f aca="false">AB87+AC86</f>
        <v>-391036.201497378</v>
      </c>
      <c r="AD87" s="59" t="n">
        <f aca="false">AC87+AD86</f>
        <v>-385055.897941569</v>
      </c>
      <c r="AE87" s="59" t="n">
        <f aca="false">AD87+AE86</f>
        <v>-379063.689623855</v>
      </c>
      <c r="AF87" s="59" t="n">
        <f aca="false">AE87+AF86</f>
        <v>-373059.576544236</v>
      </c>
      <c r="AG87" s="59" t="n">
        <f aca="false">AF87+AG86</f>
        <v>-367043.558702712</v>
      </c>
      <c r="AH87" s="59" t="n">
        <f aca="false">AG87+AH86</f>
        <v>-361015.636099283</v>
      </c>
      <c r="AI87" s="59" t="n">
        <f aca="false">AH87+AI86</f>
        <v>-354975.80873395</v>
      </c>
      <c r="AJ87" s="59" t="n">
        <f aca="false">AI87+AJ86</f>
        <v>-348924.076606712</v>
      </c>
      <c r="AK87" s="59" t="n">
        <f aca="false">AJ87+AK86</f>
        <v>-342860.439717569</v>
      </c>
      <c r="AL87" s="59" t="n">
        <f aca="false">AK87+AL86</f>
        <v>-336784.898066521</v>
      </c>
      <c r="AM87" s="59" t="n">
        <f aca="false">AL87+AM86</f>
        <v>-329905.190627609</v>
      </c>
      <c r="AN87" s="59" t="n">
        <f aca="false">AM87+AN86</f>
        <v>-323154.094631792</v>
      </c>
      <c r="AO87" s="59" t="n">
        <f aca="false">AN87+AO86</f>
        <v>-316391.09387407</v>
      </c>
      <c r="AP87" s="59" t="n">
        <f aca="false">AO87+AP86</f>
        <v>-309616.188354443</v>
      </c>
      <c r="AQ87" s="59" t="n">
        <f aca="false">AP87+AQ86</f>
        <v>-302829.378072912</v>
      </c>
      <c r="AR87" s="59" t="n">
        <f aca="false">AQ87+AR86</f>
        <v>-296030.663029475</v>
      </c>
      <c r="AS87" s="59" t="n">
        <f aca="false">AR87+AS86</f>
        <v>-289220.043224135</v>
      </c>
      <c r="AT87" s="59" t="n">
        <f aca="false">AS87+AT86</f>
        <v>-282397.518656889</v>
      </c>
      <c r="AU87" s="59" t="n">
        <f aca="false">AT87+AU86</f>
        <v>-275563.089327738</v>
      </c>
      <c r="AV87" s="59" t="n">
        <f aca="false">AU87+AV86</f>
        <v>-268716.755236683</v>
      </c>
      <c r="AW87" s="59" t="n">
        <f aca="false">AV87+AW86</f>
        <v>-261858.516383723</v>
      </c>
      <c r="AX87" s="59" t="n">
        <f aca="false">AW87+AX86</f>
        <v>-254988.372768858</v>
      </c>
      <c r="AY87" s="59" t="n">
        <f aca="false">AX87+AY86</f>
        <v>-247294.70553535</v>
      </c>
      <c r="AZ87" s="59" t="n">
        <f aca="false">AY87+AZ86</f>
        <v>-239733.865231087</v>
      </c>
      <c r="BA87" s="59" t="n">
        <f aca="false">AZ87+BA86</f>
        <v>-232161.120164919</v>
      </c>
      <c r="BB87" s="59" t="n">
        <f aca="false">BA87+BB86</f>
        <v>-224576.470336846</v>
      </c>
      <c r="BC87" s="59" t="n">
        <f aca="false">BB87+BC86</f>
        <v>-216979.915746869</v>
      </c>
      <c r="BD87" s="59" t="n">
        <f aca="false">BC87+BD86</f>
        <v>-209371.456394987</v>
      </c>
      <c r="BE87" s="59" t="n">
        <f aca="false">BD87+BE86</f>
        <v>-201751.0922812</v>
      </c>
      <c r="BF87" s="59" t="n">
        <f aca="false">BE87+BF86</f>
        <v>-194118.823405508</v>
      </c>
      <c r="BG87" s="59" t="n">
        <f aca="false">BF87+BG86</f>
        <v>-186474.649767912</v>
      </c>
      <c r="BH87" s="59" t="n">
        <f aca="false">BG87+BH86</f>
        <v>-178818.571368411</v>
      </c>
      <c r="BI87" s="59" t="n">
        <f aca="false">BH87+BI86</f>
        <v>-171150.588207005</v>
      </c>
      <c r="BJ87" s="59" t="n">
        <f aca="false">BI87+BJ86</f>
        <v>-163470.700283694</v>
      </c>
    </row>
    <row r="88" customFormat="false" ht="15" hidden="false" customHeight="false" outlineLevel="0" collapsed="false">
      <c r="A88" s="87" t="s">
        <v>361</v>
      </c>
      <c r="C88" s="59" t="n">
        <f aca="false">C87</f>
        <v>-275720.486666667</v>
      </c>
      <c r="D88" s="59" t="n">
        <f aca="false">MIN(C88,D87)</f>
        <v>-301687.193272381</v>
      </c>
      <c r="E88" s="59" t="n">
        <f aca="false">MIN(D88,E87)</f>
        <v>-325034.527096991</v>
      </c>
      <c r="F88" s="59" t="n">
        <f aca="false">MIN(E88,F87)</f>
        <v>-345918.936221647</v>
      </c>
      <c r="G88" s="59" t="n">
        <f aca="false">MIN(F88,G87)</f>
        <v>-364487.481842634</v>
      </c>
      <c r="H88" s="59" t="n">
        <f aca="false">MIN(G88,H87)</f>
        <v>-380878.401484457</v>
      </c>
      <c r="I88" s="59" t="n">
        <f aca="false">MIN(H88,I87)</f>
        <v>-395221.638420152</v>
      </c>
      <c r="J88" s="59" t="n">
        <f aca="false">MIN(I88,J87)</f>
        <v>-407639.339326371</v>
      </c>
      <c r="K88" s="59" t="n">
        <f aca="false">MIN(J88,K87)</f>
        <v>-418246.32207917</v>
      </c>
      <c r="L88" s="59" t="n">
        <f aca="false">MIN(K88,L87)</f>
        <v>-427150.515482039</v>
      </c>
      <c r="M88" s="59" t="n">
        <f aca="false">MIN(L88,M87)</f>
        <v>-434453.372610259</v>
      </c>
      <c r="N88" s="59" t="n">
        <f aca="false">MIN(M88,N87)</f>
        <v>-440250.259354596</v>
      </c>
      <c r="O88" s="59" t="n">
        <f aca="false">MIN(N88,O87)</f>
        <v>-443897.305414621</v>
      </c>
      <c r="P88" s="59" t="n">
        <f aca="false">MIN(O88,P87)</f>
        <v>-446027.163442999</v>
      </c>
      <c r="Q88" s="59" t="n">
        <f aca="false">MIN(P88,Q87)</f>
        <v>-446622.24491122</v>
      </c>
      <c r="R88" s="59" t="n">
        <f aca="false">MIN(Q88,R87)</f>
        <v>-446622.24491122</v>
      </c>
      <c r="S88" s="59" t="n">
        <f aca="false">MIN(R88,S87)</f>
        <v>-446622.24491122</v>
      </c>
      <c r="T88" s="59" t="n">
        <f aca="false">MIN(S88,T87)</f>
        <v>-446622.24491122</v>
      </c>
      <c r="U88" s="59" t="n">
        <f aca="false">MIN(T88,U87)</f>
        <v>-446622.24491122</v>
      </c>
      <c r="V88" s="59" t="n">
        <f aca="false">MIN(U88,V87)</f>
        <v>-446622.24491122</v>
      </c>
      <c r="W88" s="59" t="n">
        <f aca="false">MIN(V88,W87)</f>
        <v>-446622.24491122</v>
      </c>
      <c r="X88" s="59" t="n">
        <f aca="false">MIN(W88,X87)</f>
        <v>-446622.24491122</v>
      </c>
      <c r="Y88" s="59" t="n">
        <f aca="false">MIN(X88,Y87)</f>
        <v>-446622.24491122</v>
      </c>
      <c r="Z88" s="59" t="n">
        <f aca="false">MIN(Y88,Z87)</f>
        <v>-446622.24491122</v>
      </c>
      <c r="AA88" s="59" t="n">
        <f aca="false">MIN(Z88,AA87)</f>
        <v>-446622.24491122</v>
      </c>
      <c r="AB88" s="59" t="n">
        <f aca="false">MIN(AA88,AB87)</f>
        <v>-446622.24491122</v>
      </c>
      <c r="AC88" s="59" t="n">
        <f aca="false">MIN(AB88,AC87)</f>
        <v>-446622.24491122</v>
      </c>
      <c r="AD88" s="59" t="n">
        <f aca="false">MIN(AC88,AD87)</f>
        <v>-446622.24491122</v>
      </c>
      <c r="AE88" s="59" t="n">
        <f aca="false">MIN(AD88,AE87)</f>
        <v>-446622.24491122</v>
      </c>
      <c r="AF88" s="59" t="n">
        <f aca="false">MIN(AE88,AF87)</f>
        <v>-446622.24491122</v>
      </c>
      <c r="AG88" s="59" t="n">
        <f aca="false">MIN(AF88,AG87)</f>
        <v>-446622.24491122</v>
      </c>
      <c r="AH88" s="59" t="n">
        <f aca="false">MIN(AG88,AH87)</f>
        <v>-446622.24491122</v>
      </c>
      <c r="AI88" s="59" t="n">
        <f aca="false">MIN(AH88,AI87)</f>
        <v>-446622.24491122</v>
      </c>
      <c r="AJ88" s="59" t="n">
        <f aca="false">MIN(AI88,AJ87)</f>
        <v>-446622.24491122</v>
      </c>
      <c r="AK88" s="59" t="n">
        <f aca="false">MIN(AJ88,AK87)</f>
        <v>-446622.24491122</v>
      </c>
      <c r="AL88" s="59" t="n">
        <f aca="false">MIN(AK88,AL87)</f>
        <v>-446622.24491122</v>
      </c>
      <c r="AM88" s="59" t="n">
        <f aca="false">MIN(AL88,AM87)</f>
        <v>-446622.24491122</v>
      </c>
      <c r="AN88" s="59" t="n">
        <f aca="false">MIN(AM88,AN87)</f>
        <v>-446622.24491122</v>
      </c>
      <c r="AO88" s="59" t="n">
        <f aca="false">MIN(AN88,AO87)</f>
        <v>-446622.24491122</v>
      </c>
      <c r="AP88" s="59" t="n">
        <f aca="false">MIN(AO88,AP87)</f>
        <v>-446622.24491122</v>
      </c>
      <c r="AQ88" s="59" t="n">
        <f aca="false">MIN(AP88,AQ87)</f>
        <v>-446622.24491122</v>
      </c>
      <c r="AR88" s="59" t="n">
        <f aca="false">MIN(AQ88,AR87)</f>
        <v>-446622.24491122</v>
      </c>
      <c r="AS88" s="59" t="n">
        <f aca="false">MIN(AR88,AS87)</f>
        <v>-446622.24491122</v>
      </c>
      <c r="AT88" s="59" t="n">
        <f aca="false">MIN(AS88,AT87)</f>
        <v>-446622.24491122</v>
      </c>
      <c r="AU88" s="59" t="n">
        <f aca="false">MIN(AT88,AU87)</f>
        <v>-446622.24491122</v>
      </c>
      <c r="AV88" s="59" t="n">
        <f aca="false">MIN(AU88,AV87)</f>
        <v>-446622.24491122</v>
      </c>
      <c r="AW88" s="59" t="n">
        <f aca="false">MIN(AV88,AW87)</f>
        <v>-446622.24491122</v>
      </c>
      <c r="AX88" s="59" t="n">
        <f aca="false">MIN(AW88,AX87)</f>
        <v>-446622.24491122</v>
      </c>
      <c r="AY88" s="59" t="n">
        <f aca="false">MIN(AX88,AY87)</f>
        <v>-446622.24491122</v>
      </c>
      <c r="AZ88" s="59" t="n">
        <f aca="false">MIN(AY88,AZ87)</f>
        <v>-446622.24491122</v>
      </c>
      <c r="BA88" s="59" t="n">
        <f aca="false">MIN(AZ88,BA87)</f>
        <v>-446622.24491122</v>
      </c>
      <c r="BB88" s="59" t="n">
        <f aca="false">MIN(BA88,BB87)</f>
        <v>-446622.24491122</v>
      </c>
      <c r="BC88" s="59" t="n">
        <f aca="false">MIN(BB88,BC87)</f>
        <v>-446622.24491122</v>
      </c>
      <c r="BD88" s="59" t="n">
        <f aca="false">MIN(BC88,BD87)</f>
        <v>-446622.24491122</v>
      </c>
      <c r="BE88" s="59" t="n">
        <f aca="false">MIN(BD88,BE87)</f>
        <v>-446622.24491122</v>
      </c>
      <c r="BF88" s="59" t="n">
        <f aca="false">MIN(BE88,BF87)</f>
        <v>-446622.24491122</v>
      </c>
      <c r="BG88" s="59" t="n">
        <f aca="false">MIN(BF88,BG87)</f>
        <v>-446622.24491122</v>
      </c>
      <c r="BH88" s="59" t="n">
        <f aca="false">MIN(BG88,BH87)</f>
        <v>-446622.24491122</v>
      </c>
      <c r="BI88" s="59" t="n">
        <f aca="false">MIN(BH88,BI87)</f>
        <v>-446622.24491122</v>
      </c>
      <c r="BJ88" s="59" t="n">
        <f aca="false">MIN(BI88,BJ87)</f>
        <v>-446622.24491122</v>
      </c>
    </row>
    <row r="89" customFormat="false" ht="15" hidden="false" customHeight="false" outlineLevel="0" collapsed="false">
      <c r="A89" s="87" t="s">
        <v>362</v>
      </c>
      <c r="C89" s="88" t="n">
        <f aca="false">IF(AND(C87&gt;=0,C88&lt;0),1,0)</f>
        <v>0</v>
      </c>
      <c r="D89" s="88" t="n">
        <f aca="false">IF(AND(D87&gt;=0,D88&lt;0),1,0)</f>
        <v>0</v>
      </c>
      <c r="E89" s="88" t="n">
        <f aca="false">IF(AND(E87&gt;=0,E88&lt;0),1,0)</f>
        <v>0</v>
      </c>
      <c r="F89" s="88" t="n">
        <f aca="false">IF(AND(F87&gt;=0,F88&lt;0),1,0)</f>
        <v>0</v>
      </c>
      <c r="G89" s="88" t="n">
        <f aca="false">IF(AND(G87&gt;=0,G88&lt;0),1,0)</f>
        <v>0</v>
      </c>
      <c r="H89" s="88" t="n">
        <f aca="false">IF(AND(H87&gt;=0,H88&lt;0),1,0)</f>
        <v>0</v>
      </c>
      <c r="I89" s="88" t="n">
        <f aca="false">IF(AND(I87&gt;=0,I88&lt;0),1,0)</f>
        <v>0</v>
      </c>
      <c r="J89" s="88" t="n">
        <f aca="false">IF(AND(J87&gt;=0,J88&lt;0),1,0)</f>
        <v>0</v>
      </c>
      <c r="K89" s="88" t="n">
        <f aca="false">IF(AND(K87&gt;=0,K88&lt;0),1,0)</f>
        <v>0</v>
      </c>
      <c r="L89" s="88" t="n">
        <f aca="false">IF(AND(L87&gt;=0,L88&lt;0),1,0)</f>
        <v>0</v>
      </c>
      <c r="M89" s="88" t="n">
        <f aca="false">IF(AND(M87&gt;=0,M88&lt;0),1,0)</f>
        <v>0</v>
      </c>
      <c r="N89" s="88" t="n">
        <f aca="false">IF(AND(N87&gt;=0,N88&lt;0),1,0)</f>
        <v>0</v>
      </c>
      <c r="O89" s="88" t="n">
        <f aca="false">IF(AND(O87&gt;=0,O88&lt;0),1,0)</f>
        <v>0</v>
      </c>
      <c r="P89" s="88" t="n">
        <f aca="false">IF(AND(P87&gt;=0,P88&lt;0),1,0)</f>
        <v>0</v>
      </c>
      <c r="Q89" s="88" t="n">
        <f aca="false">IF(AND(Q87&gt;=0,Q88&lt;0),1,0)</f>
        <v>0</v>
      </c>
      <c r="R89" s="88" t="n">
        <f aca="false">IF(AND(R87&gt;=0,R88&lt;0),1,0)</f>
        <v>0</v>
      </c>
      <c r="S89" s="88" t="n">
        <f aca="false">IF(AND(S87&gt;=0,S88&lt;0),1,0)</f>
        <v>0</v>
      </c>
      <c r="T89" s="88" t="n">
        <f aca="false">IF(AND(T87&gt;=0,T88&lt;0),1,0)</f>
        <v>0</v>
      </c>
      <c r="U89" s="88" t="n">
        <f aca="false">IF(AND(U87&gt;=0,U88&lt;0),1,0)</f>
        <v>0</v>
      </c>
      <c r="V89" s="88" t="n">
        <f aca="false">IF(AND(V87&gt;=0,V88&lt;0),1,0)</f>
        <v>0</v>
      </c>
      <c r="W89" s="88" t="n">
        <f aca="false">IF(AND(W87&gt;=0,W88&lt;0),1,0)</f>
        <v>0</v>
      </c>
      <c r="X89" s="88" t="n">
        <f aca="false">IF(AND(X87&gt;=0,X88&lt;0),1,0)</f>
        <v>0</v>
      </c>
      <c r="Y89" s="88" t="n">
        <f aca="false">IF(AND(Y87&gt;=0,Y88&lt;0),1,0)</f>
        <v>0</v>
      </c>
      <c r="Z89" s="88" t="n">
        <f aca="false">IF(AND(Z87&gt;=0,Z88&lt;0),1,0)</f>
        <v>0</v>
      </c>
      <c r="AA89" s="88" t="n">
        <f aca="false">IF(AND(AA87&gt;=0,AA88&lt;0),1,0)</f>
        <v>0</v>
      </c>
      <c r="AB89" s="88" t="n">
        <f aca="false">IF(AND(AB87&gt;=0,AB88&lt;0),1,0)</f>
        <v>0</v>
      </c>
      <c r="AC89" s="88" t="n">
        <f aca="false">IF(AND(AC87&gt;=0,AC88&lt;0),1,0)</f>
        <v>0</v>
      </c>
      <c r="AD89" s="88" t="n">
        <f aca="false">IF(AND(AD87&gt;=0,AD88&lt;0),1,0)</f>
        <v>0</v>
      </c>
      <c r="AE89" s="88" t="n">
        <f aca="false">IF(AND(AE87&gt;=0,AE88&lt;0),1,0)</f>
        <v>0</v>
      </c>
      <c r="AF89" s="88" t="n">
        <f aca="false">IF(AND(AF87&gt;=0,AF88&lt;0),1,0)</f>
        <v>0</v>
      </c>
      <c r="AG89" s="88" t="n">
        <f aca="false">IF(AND(AG87&gt;=0,AG88&lt;0),1,0)</f>
        <v>0</v>
      </c>
      <c r="AH89" s="88" t="n">
        <f aca="false">IF(AND(AH87&gt;=0,AH88&lt;0),1,0)</f>
        <v>0</v>
      </c>
      <c r="AI89" s="88" t="n">
        <f aca="false">IF(AND(AI87&gt;=0,AI88&lt;0),1,0)</f>
        <v>0</v>
      </c>
      <c r="AJ89" s="88" t="n">
        <f aca="false">IF(AND(AJ87&gt;=0,AJ88&lt;0),1,0)</f>
        <v>0</v>
      </c>
      <c r="AK89" s="88" t="n">
        <f aca="false">IF(AND(AK87&gt;=0,AK88&lt;0),1,0)</f>
        <v>0</v>
      </c>
      <c r="AL89" s="88" t="n">
        <f aca="false">IF(AND(AL87&gt;=0,AL88&lt;0),1,0)</f>
        <v>0</v>
      </c>
      <c r="AM89" s="88" t="n">
        <f aca="false">IF(AND(AM87&gt;=0,AM88&lt;0),1,0)</f>
        <v>0</v>
      </c>
      <c r="AN89" s="88" t="n">
        <f aca="false">IF(AND(AN87&gt;=0,AN88&lt;0),1,0)</f>
        <v>0</v>
      </c>
      <c r="AO89" s="88" t="n">
        <f aca="false">IF(AND(AO87&gt;=0,AO88&lt;0),1,0)</f>
        <v>0</v>
      </c>
      <c r="AP89" s="88" t="n">
        <f aca="false">IF(AND(AP87&gt;=0,AP88&lt;0),1,0)</f>
        <v>0</v>
      </c>
      <c r="AQ89" s="88" t="n">
        <f aca="false">IF(AND(AQ87&gt;=0,AQ88&lt;0),1,0)</f>
        <v>0</v>
      </c>
      <c r="AR89" s="88" t="n">
        <f aca="false">IF(AND(AR87&gt;=0,AR88&lt;0),1,0)</f>
        <v>0</v>
      </c>
      <c r="AS89" s="88" t="n">
        <f aca="false">IF(AND(AS87&gt;=0,AS88&lt;0),1,0)</f>
        <v>0</v>
      </c>
      <c r="AT89" s="88" t="n">
        <f aca="false">IF(AND(AT87&gt;=0,AT88&lt;0),1,0)</f>
        <v>0</v>
      </c>
      <c r="AU89" s="88" t="n">
        <f aca="false">IF(AND(AU87&gt;=0,AU88&lt;0),1,0)</f>
        <v>0</v>
      </c>
      <c r="AV89" s="88" t="n">
        <f aca="false">IF(AND(AV87&gt;=0,AV88&lt;0),1,0)</f>
        <v>0</v>
      </c>
      <c r="AW89" s="88" t="n">
        <f aca="false">IF(AND(AW87&gt;=0,AW88&lt;0),1,0)</f>
        <v>0</v>
      </c>
      <c r="AX89" s="88" t="n">
        <f aca="false">IF(AND(AX87&gt;=0,AX88&lt;0),1,0)</f>
        <v>0</v>
      </c>
      <c r="AY89" s="88" t="n">
        <f aca="false">IF(AND(AY87&gt;=0,AY88&lt;0),1,0)</f>
        <v>0</v>
      </c>
      <c r="AZ89" s="88" t="n">
        <f aca="false">IF(AND(AZ87&gt;=0,AZ88&lt;0),1,0)</f>
        <v>0</v>
      </c>
      <c r="BA89" s="88" t="n">
        <f aca="false">IF(AND(BA87&gt;=0,BA88&lt;0),1,0)</f>
        <v>0</v>
      </c>
      <c r="BB89" s="88" t="n">
        <f aca="false">IF(AND(BB87&gt;=0,BB88&lt;0),1,0)</f>
        <v>0</v>
      </c>
      <c r="BC89" s="88" t="n">
        <f aca="false">IF(AND(BC87&gt;=0,BC88&lt;0),1,0)</f>
        <v>0</v>
      </c>
      <c r="BD89" s="88" t="n">
        <f aca="false">IF(AND(BD87&gt;=0,BD88&lt;0),1,0)</f>
        <v>0</v>
      </c>
      <c r="BE89" s="88" t="n">
        <f aca="false">IF(AND(BE87&gt;=0,BE88&lt;0),1,0)</f>
        <v>0</v>
      </c>
      <c r="BF89" s="88" t="n">
        <f aca="false">IF(AND(BF87&gt;=0,BF88&lt;0),1,0)</f>
        <v>0</v>
      </c>
      <c r="BG89" s="88" t="n">
        <f aca="false">IF(AND(BG87&gt;=0,BG88&lt;0),1,0)</f>
        <v>0</v>
      </c>
      <c r="BH89" s="88" t="n">
        <f aca="false">IF(AND(BH87&gt;=0,BH88&lt;0),1,0)</f>
        <v>0</v>
      </c>
      <c r="BI89" s="88" t="n">
        <f aca="false">IF(AND(BI87&gt;=0,BI88&lt;0),1,0)</f>
        <v>0</v>
      </c>
      <c r="BJ89" s="88" t="n">
        <f aca="false">IF(AND(BJ87&gt;=0,BJ88&lt;0),1,0)</f>
        <v>0</v>
      </c>
    </row>
    <row r="90" customFormat="false" ht="15" hidden="false" customHeight="false" outlineLevel="0" collapsed="false">
      <c r="A90" s="6" t="s">
        <v>363</v>
      </c>
      <c r="C90" s="59" t="n">
        <f aca="false">C75-C46*(1-Inputs!$E$66)+C76</f>
        <v>-274930.486666667</v>
      </c>
      <c r="D90" s="59" t="n">
        <f aca="false">D75-D46*(1-Inputs!$E$66)+D76</f>
        <v>-25181.4089866667</v>
      </c>
      <c r="E90" s="59" t="n">
        <f aca="false">E75-E46*(1-Inputs!$E$66)+E76</f>
        <v>-22571.4409674667</v>
      </c>
      <c r="F90" s="59" t="n">
        <f aca="false">F75-F46*(1-Inputs!$E$66)+F76</f>
        <v>-20117.9210294187</v>
      </c>
      <c r="G90" s="59" t="n">
        <f aca="false">G75-G46*(1-Inputs!$E$66)+G76</f>
        <v>-17811.4622876536</v>
      </c>
      <c r="H90" s="59" t="n">
        <f aca="false">H75-H46*(1-Inputs!$E$66)+H76</f>
        <v>-15643.2410703943</v>
      </c>
      <c r="I90" s="59" t="n">
        <f aca="false">I75-I46*(1-Inputs!$E$66)+I76</f>
        <v>-13604.9631261707</v>
      </c>
      <c r="J90" s="59" t="n">
        <f aca="false">J75-J46*(1-Inputs!$E$66)+J76</f>
        <v>-11688.8318586005</v>
      </c>
      <c r="K90" s="59" t="n">
        <f aca="false">K75-K46*(1-Inputs!$E$66)+K76</f>
        <v>-9887.51846708443</v>
      </c>
      <c r="L90" s="59" t="n">
        <f aca="false">L75-L46*(1-Inputs!$E$66)+L76</f>
        <v>-8194.13387905936</v>
      </c>
      <c r="M90" s="59" t="n">
        <f aca="false">M75-M46*(1-Inputs!$E$66)+M76</f>
        <v>-6602.2023663158</v>
      </c>
      <c r="N90" s="59" t="n">
        <f aca="false">N75-N46*(1-Inputs!$E$66)+N76</f>
        <v>-5105.63674433685</v>
      </c>
      <c r="O90" s="59" t="n">
        <f aca="false">O75-O46*(1-Inputs!$E$66)+O76</f>
        <v>-2965.20082193013</v>
      </c>
      <c r="P90" s="59" t="n">
        <f aca="false">P75-P46*(1-Inputs!$E$66)+P76</f>
        <v>-1457.41755218693</v>
      </c>
      <c r="Q90" s="59" t="n">
        <f aca="false">Q75-Q46*(1-Inputs!$E$66)+Q76</f>
        <v>67.954246064269</v>
      </c>
      <c r="R90" s="59" t="n">
        <f aca="false">R75-R46*(1-Inputs!$E$66)+R76</f>
        <v>1501.9537364204</v>
      </c>
      <c r="S90" s="59" t="n">
        <f aca="false">S75-S46*(1-Inputs!$E$66)+S76</f>
        <v>2850.06325735519</v>
      </c>
      <c r="T90" s="59" t="n">
        <f aca="false">T75-T46*(1-Inputs!$E$66)+T76</f>
        <v>4117.43620703388</v>
      </c>
      <c r="U90" s="59" t="n">
        <f aca="false">U75-U46*(1-Inputs!$E$66)+U76</f>
        <v>5308.91677973184</v>
      </c>
      <c r="V90" s="59" t="n">
        <f aca="false">V75-V46*(1-Inputs!$E$66)+V76</f>
        <v>5854.64279108448</v>
      </c>
      <c r="W90" s="59" t="n">
        <f aca="false">W75-W46*(1-Inputs!$E$66)+W76</f>
        <v>5876.01898907307</v>
      </c>
      <c r="X90" s="59" t="n">
        <f aca="false">X75-X46*(1-Inputs!$E$66)+X76</f>
        <v>5869.23773333333</v>
      </c>
      <c r="Y90" s="59" t="n">
        <f aca="false">Y75-Y46*(1-Inputs!$E$66)+Y76</f>
        <v>5871.73773333333</v>
      </c>
      <c r="Z90" s="59" t="n">
        <f aca="false">Z75-Z46*(1-Inputs!$E$66)+Z76</f>
        <v>5874.23773333333</v>
      </c>
      <c r="AA90" s="59" t="n">
        <f aca="false">AA75-AA46*(1-Inputs!$E$66)+AA76</f>
        <v>6650.00086533334</v>
      </c>
      <c r="AB90" s="59" t="n">
        <f aca="false">AB75-AB46*(1-Inputs!$E$66)+AB76</f>
        <v>6516.07736533334</v>
      </c>
      <c r="AC90" s="59" t="n">
        <f aca="false">AC75-AC46*(1-Inputs!$E$66)+AC76</f>
        <v>6518.57736533334</v>
      </c>
      <c r="AD90" s="59" t="n">
        <f aca="false">AD75-AD46*(1-Inputs!$E$66)+AD76</f>
        <v>6521.07736533334</v>
      </c>
      <c r="AE90" s="59" t="n">
        <f aca="false">AE75-AE46*(1-Inputs!$E$66)+AE76</f>
        <v>6523.57736533334</v>
      </c>
      <c r="AF90" s="59" t="n">
        <f aca="false">AF75-AF46*(1-Inputs!$E$66)+AF76</f>
        <v>6526.07736533334</v>
      </c>
      <c r="AG90" s="59" t="n">
        <f aca="false">AG75-AG46*(1-Inputs!$E$66)+AG76</f>
        <v>6528.57736533334</v>
      </c>
      <c r="AH90" s="59" t="n">
        <f aca="false">AH75-AH46*(1-Inputs!$E$66)+AH76</f>
        <v>6531.07736533334</v>
      </c>
      <c r="AI90" s="59" t="n">
        <f aca="false">AI75-AI46*(1-Inputs!$E$66)+AI76</f>
        <v>6533.57736533334</v>
      </c>
      <c r="AJ90" s="59" t="n">
        <f aca="false">AJ75-AJ46*(1-Inputs!$E$66)+AJ76</f>
        <v>6536.07736533334</v>
      </c>
      <c r="AK90" s="59" t="n">
        <f aca="false">AK75-AK46*(1-Inputs!$E$66)+AK76</f>
        <v>6538.57736533334</v>
      </c>
      <c r="AL90" s="59" t="n">
        <f aca="false">AL75-AL46*(1-Inputs!$E$66)+AL76</f>
        <v>6541.07736533334</v>
      </c>
      <c r="AM90" s="59" t="n">
        <f aca="false">AM75-AM46*(1-Inputs!$E$66)+AM76</f>
        <v>7335.83839129335</v>
      </c>
      <c r="AN90" s="59" t="n">
        <f aca="false">AN75-AN46*(1-Inputs!$E$66)+AN76</f>
        <v>7197.82218629335</v>
      </c>
      <c r="AO90" s="59" t="n">
        <f aca="false">AO75-AO46*(1-Inputs!$E$66)+AO76</f>
        <v>7200.32218629335</v>
      </c>
      <c r="AP90" s="59" t="n">
        <f aca="false">AP75-AP46*(1-Inputs!$E$66)+AP76</f>
        <v>7202.82218629335</v>
      </c>
      <c r="AQ90" s="59" t="n">
        <f aca="false">AQ75-AQ46*(1-Inputs!$E$66)+AQ76</f>
        <v>7205.32218629335</v>
      </c>
      <c r="AR90" s="59" t="n">
        <f aca="false">AR75-AR46*(1-Inputs!$E$66)+AR76</f>
        <v>7207.82218629335</v>
      </c>
      <c r="AS90" s="59" t="n">
        <f aca="false">AS75-AS46*(1-Inputs!$E$66)+AS76</f>
        <v>7210.32218629335</v>
      </c>
      <c r="AT90" s="59" t="n">
        <f aca="false">AT75-AT46*(1-Inputs!$E$66)+AT76</f>
        <v>7212.82218629335</v>
      </c>
      <c r="AU90" s="59" t="n">
        <f aca="false">AU75-AU46*(1-Inputs!$E$66)+AU76</f>
        <v>7215.32218629335</v>
      </c>
      <c r="AV90" s="59" t="n">
        <f aca="false">AV75-AV46*(1-Inputs!$E$66)+AV76</f>
        <v>7217.82218629335</v>
      </c>
      <c r="AW90" s="59" t="n">
        <f aca="false">AW75-AW46*(1-Inputs!$E$66)+AW76</f>
        <v>7220.32218629335</v>
      </c>
      <c r="AX90" s="59" t="n">
        <f aca="false">AX75-AX46*(1-Inputs!$E$66)+AX76</f>
        <v>7222.82218629335</v>
      </c>
      <c r="AY90" s="59" t="n">
        <f aca="false">AY75-AY46*(1-Inputs!$E$66)+AY76</f>
        <v>8036.94104303214</v>
      </c>
      <c r="AZ90" s="59" t="n">
        <f aca="false">AZ75-AZ46*(1-Inputs!$E$66)+AZ76</f>
        <v>7894.70935188214</v>
      </c>
      <c r="BA90" s="59" t="n">
        <f aca="false">BA75-BA46*(1-Inputs!$E$66)+BA76</f>
        <v>7897.20935188214</v>
      </c>
      <c r="BB90" s="59" t="n">
        <f aca="false">BB75-BB46*(1-Inputs!$E$66)+BB76</f>
        <v>7899.70935188214</v>
      </c>
      <c r="BC90" s="59" t="n">
        <f aca="false">BC75-BC46*(1-Inputs!$E$66)+BC76</f>
        <v>7902.20935188214</v>
      </c>
      <c r="BD90" s="59" t="n">
        <f aca="false">BD75-BD46*(1-Inputs!$E$66)+BD76</f>
        <v>7904.70935188214</v>
      </c>
      <c r="BE90" s="59" t="n">
        <f aca="false">BE75-BE46*(1-Inputs!$E$66)+BE76</f>
        <v>7907.20935188214</v>
      </c>
      <c r="BF90" s="59" t="n">
        <f aca="false">BF75-BF46*(1-Inputs!$E$66)+BF76</f>
        <v>7909.70935188214</v>
      </c>
      <c r="BG90" s="59" t="n">
        <f aca="false">BG75-BG46*(1-Inputs!$E$66)+BG76</f>
        <v>7912.20935188214</v>
      </c>
      <c r="BH90" s="59" t="n">
        <f aca="false">BH75-BH46*(1-Inputs!$E$66)+BH76</f>
        <v>7914.70935188214</v>
      </c>
      <c r="BI90" s="59" t="n">
        <f aca="false">BI75-BI46*(1-Inputs!$E$66)+BI76</f>
        <v>7917.20935188214</v>
      </c>
      <c r="BJ90" s="59" t="n">
        <f aca="false">BJ75-BJ46*(1-Inputs!$E$66)+BJ76</f>
        <v>7919.70935188214</v>
      </c>
    </row>
    <row r="92" customFormat="false" ht="15.75" hidden="false" customHeight="true" outlineLevel="0" collapsed="false">
      <c r="A92" s="7" t="s">
        <v>364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customFormat="false" ht="15" hidden="false" customHeight="false" outlineLevel="0" collapsed="false">
      <c r="A93" s="6" t="s">
        <v>113</v>
      </c>
      <c r="C93" s="59" t="n">
        <f aca="false">C77</f>
        <v>330000</v>
      </c>
      <c r="D93" s="59" t="n">
        <f aca="false">C93+D77</f>
        <v>330000</v>
      </c>
      <c r="E93" s="59" t="n">
        <f aca="false">D93+E77</f>
        <v>330000</v>
      </c>
      <c r="F93" s="59" t="n">
        <f aca="false">E93+F77</f>
        <v>330000</v>
      </c>
      <c r="G93" s="59" t="n">
        <f aca="false">F93+G77</f>
        <v>330000</v>
      </c>
      <c r="H93" s="59" t="n">
        <f aca="false">G93+H77</f>
        <v>330000</v>
      </c>
      <c r="I93" s="59" t="n">
        <f aca="false">H93+I77</f>
        <v>330000</v>
      </c>
      <c r="J93" s="59" t="n">
        <f aca="false">I93+J77</f>
        <v>330000</v>
      </c>
      <c r="K93" s="59" t="n">
        <f aca="false">J93+K77</f>
        <v>330000</v>
      </c>
      <c r="L93" s="59" t="n">
        <f aca="false">K93+L77</f>
        <v>330000</v>
      </c>
      <c r="M93" s="59" t="n">
        <f aca="false">L93+M77</f>
        <v>330000</v>
      </c>
      <c r="N93" s="59" t="n">
        <f aca="false">M93+N77</f>
        <v>330000</v>
      </c>
      <c r="O93" s="59" t="n">
        <f aca="false">N93+O77</f>
        <v>330000</v>
      </c>
      <c r="P93" s="59" t="n">
        <f aca="false">O93+P77</f>
        <v>330000</v>
      </c>
      <c r="Q93" s="59" t="n">
        <f aca="false">P93+Q77</f>
        <v>330000</v>
      </c>
      <c r="R93" s="59" t="n">
        <f aca="false">Q93+R77</f>
        <v>330000</v>
      </c>
      <c r="S93" s="59" t="n">
        <f aca="false">R93+S77</f>
        <v>330000</v>
      </c>
      <c r="T93" s="59" t="n">
        <f aca="false">S93+T77</f>
        <v>330000</v>
      </c>
      <c r="U93" s="59" t="n">
        <f aca="false">T93+U77</f>
        <v>330000</v>
      </c>
      <c r="V93" s="59" t="n">
        <f aca="false">U93+V77</f>
        <v>330000</v>
      </c>
      <c r="W93" s="59" t="n">
        <f aca="false">V93+W77</f>
        <v>330000</v>
      </c>
      <c r="X93" s="59" t="n">
        <f aca="false">W93+X77</f>
        <v>330000</v>
      </c>
      <c r="Y93" s="59" t="n">
        <f aca="false">X93+Y77</f>
        <v>330000</v>
      </c>
      <c r="Z93" s="59" t="n">
        <f aca="false">Y93+Z77</f>
        <v>330000</v>
      </c>
      <c r="AA93" s="59" t="n">
        <f aca="false">Z93+AA77</f>
        <v>330000</v>
      </c>
      <c r="AB93" s="59" t="n">
        <f aca="false">AA93+AB77</f>
        <v>330000</v>
      </c>
      <c r="AC93" s="59" t="n">
        <f aca="false">AB93+AC77</f>
        <v>330000</v>
      </c>
      <c r="AD93" s="59" t="n">
        <f aca="false">AC93+AD77</f>
        <v>330000</v>
      </c>
      <c r="AE93" s="59" t="n">
        <f aca="false">AD93+AE77</f>
        <v>330000</v>
      </c>
      <c r="AF93" s="59" t="n">
        <f aca="false">AE93+AF77</f>
        <v>330000</v>
      </c>
      <c r="AG93" s="59" t="n">
        <f aca="false">AF93+AG77</f>
        <v>330000</v>
      </c>
      <c r="AH93" s="59" t="n">
        <f aca="false">AG93+AH77</f>
        <v>330000</v>
      </c>
      <c r="AI93" s="59" t="n">
        <f aca="false">AH93+AI77</f>
        <v>330000</v>
      </c>
      <c r="AJ93" s="59" t="n">
        <f aca="false">AI93+AJ77</f>
        <v>330000</v>
      </c>
      <c r="AK93" s="59" t="n">
        <f aca="false">AJ93+AK77</f>
        <v>330000</v>
      </c>
      <c r="AL93" s="59" t="n">
        <f aca="false">AK93+AL77</f>
        <v>330000</v>
      </c>
      <c r="AM93" s="59" t="n">
        <f aca="false">AL93+AM77</f>
        <v>330000</v>
      </c>
      <c r="AN93" s="59" t="n">
        <f aca="false">AM93+AN77</f>
        <v>330000</v>
      </c>
      <c r="AO93" s="59" t="n">
        <f aca="false">AN93+AO77</f>
        <v>330000</v>
      </c>
      <c r="AP93" s="59" t="n">
        <f aca="false">AO93+AP77</f>
        <v>330000</v>
      </c>
      <c r="AQ93" s="59" t="n">
        <f aca="false">AP93+AQ77</f>
        <v>330000</v>
      </c>
      <c r="AR93" s="59" t="n">
        <f aca="false">AQ93+AR77</f>
        <v>330000</v>
      </c>
      <c r="AS93" s="59" t="n">
        <f aca="false">AR93+AS77</f>
        <v>330000</v>
      </c>
      <c r="AT93" s="59" t="n">
        <f aca="false">AS93+AT77</f>
        <v>330000</v>
      </c>
      <c r="AU93" s="59" t="n">
        <f aca="false">AT93+AU77</f>
        <v>330000</v>
      </c>
      <c r="AV93" s="59" t="n">
        <f aca="false">AU93+AV77</f>
        <v>330000</v>
      </c>
      <c r="AW93" s="59" t="n">
        <f aca="false">AV93+AW77</f>
        <v>330000</v>
      </c>
      <c r="AX93" s="59" t="n">
        <f aca="false">AW93+AX77</f>
        <v>330000</v>
      </c>
      <c r="AY93" s="59" t="n">
        <f aca="false">AX93+AY77</f>
        <v>330000</v>
      </c>
      <c r="AZ93" s="59" t="n">
        <f aca="false">AY93+AZ77</f>
        <v>330000</v>
      </c>
      <c r="BA93" s="59" t="n">
        <f aca="false">AZ93+BA77</f>
        <v>330000</v>
      </c>
      <c r="BB93" s="59" t="n">
        <f aca="false">BA93+BB77</f>
        <v>330000</v>
      </c>
      <c r="BC93" s="59" t="n">
        <f aca="false">BB93+BC77</f>
        <v>330000</v>
      </c>
      <c r="BD93" s="59" t="n">
        <f aca="false">BC93+BD77</f>
        <v>330000</v>
      </c>
      <c r="BE93" s="59" t="n">
        <f aca="false">BD93+BE77</f>
        <v>330000</v>
      </c>
      <c r="BF93" s="59" t="n">
        <f aca="false">BE93+BF77</f>
        <v>330000</v>
      </c>
      <c r="BG93" s="59" t="n">
        <f aca="false">BF93+BG77</f>
        <v>330000</v>
      </c>
      <c r="BH93" s="59" t="n">
        <f aca="false">BG93+BH77</f>
        <v>330000</v>
      </c>
      <c r="BI93" s="59" t="n">
        <f aca="false">BH93+BI77</f>
        <v>330000</v>
      </c>
      <c r="BJ93" s="59" t="n">
        <f aca="false">BI93+BJ77</f>
        <v>330000</v>
      </c>
    </row>
    <row r="94" customFormat="false" ht="15" hidden="false" customHeight="false" outlineLevel="0" collapsed="false">
      <c r="A94" s="6" t="s">
        <v>114</v>
      </c>
      <c r="C94" s="59" t="n">
        <f aca="false">C51</f>
        <v>-31835.1271428571</v>
      </c>
      <c r="D94" s="59" t="n">
        <f aca="false">C94+D51</f>
        <v>-60883.6572247619</v>
      </c>
      <c r="E94" s="59" t="n">
        <f aca="false">D94+E51</f>
        <v>-87306.4765455619</v>
      </c>
      <c r="F94" s="59" t="n">
        <f aca="false">E94+F51</f>
        <v>-111260.413465209</v>
      </c>
      <c r="G94" s="59" t="n">
        <f aca="false">F94+G51</f>
        <v>-132892.886642059</v>
      </c>
      <c r="H94" s="59" t="n">
        <f aca="false">G94+H51</f>
        <v>-152342.469614964</v>
      </c>
      <c r="I94" s="59" t="n">
        <f aca="false">H94+I51</f>
        <v>-169739.421510447</v>
      </c>
      <c r="J94" s="59" t="n">
        <f aca="false">I94+J51</f>
        <v>-185206.185907439</v>
      </c>
      <c r="K94" s="59" t="n">
        <f aca="false">J94+K51</f>
        <v>-198857.859770136</v>
      </c>
      <c r="L94" s="59" t="n">
        <f aca="false">K94+L51</f>
        <v>-210802.63424488</v>
      </c>
      <c r="M94" s="59" t="n">
        <f aca="false">L94+M51</f>
        <v>-221142.209009235</v>
      </c>
      <c r="N94" s="59" t="n">
        <f aca="false">M94+N51</f>
        <v>-229972.181760109</v>
      </c>
      <c r="O94" s="59" t="n">
        <f aca="false">N94+O51</f>
        <v>-236775.843479544</v>
      </c>
      <c r="P94" s="59" t="n">
        <f aca="false">O94+P51</f>
        <v>-241943.586131645</v>
      </c>
      <c r="Q94" s="59" t="n">
        <f aca="false">P94+Q51</f>
        <v>-245572.850574738</v>
      </c>
      <c r="R94" s="59" t="n">
        <f aca="false">Q94+R51</f>
        <v>-247755.23121565</v>
      </c>
      <c r="S94" s="59" t="n">
        <f aca="false">R94+S51</f>
        <v>-248576.826796796</v>
      </c>
      <c r="T94" s="59" t="n">
        <f aca="false">S94+T51</f>
        <v>-248118.570136049</v>
      </c>
      <c r="U94" s="59" t="n">
        <f aca="false">T94+U51</f>
        <v>-246456.538082207</v>
      </c>
      <c r="V94" s="59" t="n">
        <f aca="false">U94+V51</f>
        <v>-244225.317550521</v>
      </c>
      <c r="W94" s="59" t="n">
        <f aca="false">V94+W51</f>
        <v>-241941.377436236</v>
      </c>
      <c r="X94" s="59" t="n">
        <f aca="false">W94+X51</f>
        <v>-239645.532560045</v>
      </c>
      <c r="Y94" s="59" t="n">
        <f aca="false">X94+Y51</f>
        <v>-237337.78292195</v>
      </c>
      <c r="Z94" s="59" t="n">
        <f aca="false">Y94+Z51</f>
        <v>-235018.12852195</v>
      </c>
      <c r="AA94" s="59" t="n">
        <f aca="false">Z94+AA51</f>
        <v>-232049.729728045</v>
      </c>
      <c r="AB94" s="59" t="n">
        <f aca="false">AA94+AB51</f>
        <v>-229069.426172236</v>
      </c>
      <c r="AC94" s="59" t="n">
        <f aca="false">AB94+AC51</f>
        <v>-226077.217854521</v>
      </c>
      <c r="AD94" s="59" t="n">
        <f aca="false">AC94+AD51</f>
        <v>-223073.104774902</v>
      </c>
      <c r="AE94" s="59" t="n">
        <f aca="false">AD94+AE51</f>
        <v>-220057.086933379</v>
      </c>
      <c r="AF94" s="59" t="n">
        <f aca="false">AE94+AF51</f>
        <v>-217029.16432995</v>
      </c>
      <c r="AG94" s="59" t="n">
        <f aca="false">AF94+AG51</f>
        <v>-213989.336964617</v>
      </c>
      <c r="AH94" s="59" t="n">
        <f aca="false">AG94+AH51</f>
        <v>-210937.604837379</v>
      </c>
      <c r="AI94" s="59" t="n">
        <f aca="false">AH94+AI51</f>
        <v>-207873.967948236</v>
      </c>
      <c r="AJ94" s="59" t="n">
        <f aca="false">AI94+AJ51</f>
        <v>-204798.426297188</v>
      </c>
      <c r="AK94" s="59" t="n">
        <f aca="false">AJ94+AK51</f>
        <v>-201710.979884236</v>
      </c>
      <c r="AL94" s="59" t="n">
        <f aca="false">AK94+AL51</f>
        <v>-198611.628709379</v>
      </c>
      <c r="AM94" s="59" t="n">
        <f aca="false">AL94+AM51</f>
        <v>-194848.627951657</v>
      </c>
      <c r="AN94" s="59" t="n">
        <f aca="false">AM94+AN51</f>
        <v>-191073.72243203</v>
      </c>
      <c r="AO94" s="59" t="n">
        <f aca="false">AN94+AO51</f>
        <v>-187286.912150499</v>
      </c>
      <c r="AP94" s="59" t="n">
        <f aca="false">AO94+AP51</f>
        <v>-183488.197107062</v>
      </c>
      <c r="AQ94" s="59" t="n">
        <f aca="false">AP94+AQ51</f>
        <v>-179677.577301721</v>
      </c>
      <c r="AR94" s="59" t="n">
        <f aca="false">AQ94+AR51</f>
        <v>-175855.052734476</v>
      </c>
      <c r="AS94" s="59" t="n">
        <f aca="false">AR94+AS51</f>
        <v>-172020.623405325</v>
      </c>
      <c r="AT94" s="59" t="n">
        <f aca="false">AS94+AT51</f>
        <v>-168174.28931427</v>
      </c>
      <c r="AU94" s="59" t="n">
        <f aca="false">AT94+AU51</f>
        <v>-164316.05046131</v>
      </c>
      <c r="AV94" s="59" t="n">
        <f aca="false">AU94+AV51</f>
        <v>-160445.906846445</v>
      </c>
      <c r="AW94" s="59" t="n">
        <f aca="false">AV94+AW51</f>
        <v>-156563.858469675</v>
      </c>
      <c r="AX94" s="59" t="n">
        <f aca="false">AW94+AX51</f>
        <v>-152669.905331001</v>
      </c>
      <c r="AY94" s="59" t="n">
        <f aca="false">AX94+AY51</f>
        <v>-148097.160264833</v>
      </c>
      <c r="AZ94" s="59" t="n">
        <f aca="false">AY94+AZ51</f>
        <v>-143512.510436761</v>
      </c>
      <c r="BA94" s="59" t="n">
        <f aca="false">AZ94+BA51</f>
        <v>-138915.955846783</v>
      </c>
      <c r="BB94" s="59" t="n">
        <f aca="false">BA94+BB51</f>
        <v>-134307.496494901</v>
      </c>
      <c r="BC94" s="59" t="n">
        <f aca="false">BB94+BC51</f>
        <v>-129687.132381114</v>
      </c>
      <c r="BD94" s="59" t="n">
        <f aca="false">BC94+BD51</f>
        <v>-125054.863505423</v>
      </c>
      <c r="BE94" s="59" t="n">
        <f aca="false">BD94+BE51</f>
        <v>-120410.689867826</v>
      </c>
      <c r="BF94" s="59" t="n">
        <f aca="false">BE94+BF51</f>
        <v>-115754.611468325</v>
      </c>
      <c r="BG94" s="59" t="n">
        <f aca="false">BF94+BG51</f>
        <v>-111086.628306919</v>
      </c>
      <c r="BH94" s="59" t="n">
        <f aca="false">BG94+BH51</f>
        <v>-106406.740383608</v>
      </c>
      <c r="BI94" s="59" t="n">
        <f aca="false">BH94+BI51</f>
        <v>-101714.947698393</v>
      </c>
      <c r="BJ94" s="59" t="n">
        <f aca="false">BI94+BJ51</f>
        <v>-97011.2502512727</v>
      </c>
    </row>
    <row r="95" customFormat="false" ht="15" hidden="false" customHeight="false" outlineLevel="0" collapsed="false">
      <c r="A95" s="4" t="s">
        <v>109</v>
      </c>
      <c r="C95" s="64" t="n">
        <f aca="false">C81+C67+C68+C58</f>
        <v>454441.772857143</v>
      </c>
      <c r="D95" s="64" t="n">
        <f aca="false">D81+D67+D68+D58</f>
        <v>423818.794489524</v>
      </c>
      <c r="E95" s="64" t="n">
        <f aca="false">E81+E67+E68+E58</f>
        <v>395808.85092301</v>
      </c>
      <c r="F95" s="64" t="n">
        <f aca="false">F81+F67+F68+F58</f>
        <v>370255.874355248</v>
      </c>
      <c r="G95" s="64" t="n">
        <f aca="false">G81+G67+G68+G58</f>
        <v>347013.161052028</v>
      </c>
      <c r="H95" s="64" t="n">
        <f aca="false">H81+H67+H68+H58</f>
        <v>325942.809503192</v>
      </c>
      <c r="I95" s="64" t="n">
        <f aca="false">I81+I67+I68+I58</f>
        <v>306915.192289191</v>
      </c>
      <c r="J95" s="64" t="n">
        <f aca="false">J81+J67+J68+J58</f>
        <v>289808.459635649</v>
      </c>
      <c r="K95" s="64" t="n">
        <f aca="false">K81+K67+K68+K58</f>
        <v>274508.072754653</v>
      </c>
      <c r="L95" s="64" t="n">
        <f aca="false">L81+L67+L68+L58</f>
        <v>260906.365185564</v>
      </c>
      <c r="M95" s="64" t="n">
        <f aca="false">M81+M67+M68+M58</f>
        <v>248902.130455383</v>
      </c>
      <c r="N95" s="64" t="n">
        <f aca="false">N81+N67+N68+N58</f>
        <v>238400.234479488</v>
      </c>
      <c r="O95" s="64" t="n">
        <f aca="false">O81+O67+O68+O58</f>
        <v>230171.708840777</v>
      </c>
      <c r="P95" s="64" t="n">
        <f aca="false">P81+P67+P68+P58</f>
        <v>223341.640198028</v>
      </c>
      <c r="Q95" s="64" t="n">
        <f aca="false">Q81+Q67+Q68+Q58</f>
        <v>218042.646466583</v>
      </c>
      <c r="R95" s="64" t="n">
        <f aca="false">R81+R67+R68+R58</f>
        <v>214183.577437478</v>
      </c>
      <c r="S95" s="64" t="n">
        <f aca="false">S81+S67+S68+S58</f>
        <v>211678.751914287</v>
      </c>
      <c r="T95" s="64" t="n">
        <f aca="false">T81+T67+T68+T58</f>
        <v>210447.62957237</v>
      </c>
      <c r="U95" s="64" t="n">
        <f aca="false">U81+U67+U68+U58</f>
        <v>210414.502506563</v>
      </c>
      <c r="V95" s="64" t="n">
        <f aca="false">V81+V67+V68+V58</f>
        <v>210922.448509428</v>
      </c>
      <c r="W95" s="64" t="n">
        <f aca="false">W81+W67+W68+W58</f>
        <v>211439.236849479</v>
      </c>
      <c r="X95" s="64" t="n">
        <f aca="false">X81+X67+X68+X58</f>
        <v>211949.367439955</v>
      </c>
      <c r="Y95" s="64" t="n">
        <f aca="false">Y81+Y67+Y68+Y58</f>
        <v>212471.402792336</v>
      </c>
      <c r="Z95" s="64" t="n">
        <f aca="false">Z81+Z67+Z68+Z58</f>
        <v>213005.342906621</v>
      </c>
      <c r="AA95" s="64" t="n">
        <f aca="false">AA81+AA67+AA68+AA58</f>
        <v>214460.874414812</v>
      </c>
      <c r="AB95" s="64" t="n">
        <f aca="false">AB81+AB67+AB68+AB58</f>
        <v>215655.463684907</v>
      </c>
      <c r="AC95" s="64" t="n">
        <f aca="false">AC81+AC67+AC68+AC58</f>
        <v>216861.957716907</v>
      </c>
      <c r="AD95" s="64" t="n">
        <f aca="false">AD81+AD67+AD68+AD58</f>
        <v>218080.356510812</v>
      </c>
      <c r="AE95" s="64" t="n">
        <f aca="false">AE81+AE67+AE68+AE58</f>
        <v>219310.660066621</v>
      </c>
      <c r="AF95" s="64" t="n">
        <f aca="false">AF81+AF67+AF68+AF58</f>
        <v>220552.868384336</v>
      </c>
      <c r="AG95" s="64" t="n">
        <f aca="false">AG81+AG67+AG68+AG58</f>
        <v>221806.981463955</v>
      </c>
      <c r="AH95" s="64" t="n">
        <f aca="false">AH81+AH67+AH68+AH58</f>
        <v>223072.999305479</v>
      </c>
      <c r="AI95" s="64" t="n">
        <f aca="false">AI81+AI67+AI68+AI58</f>
        <v>224350.921908907</v>
      </c>
      <c r="AJ95" s="64" t="n">
        <f aca="false">AJ81+AJ67+AJ68+AJ58</f>
        <v>225640.749274241</v>
      </c>
      <c r="AK95" s="64" t="n">
        <f aca="false">AK81+AK67+AK68+AK58</f>
        <v>226942.481401479</v>
      </c>
      <c r="AL95" s="64" t="n">
        <f aca="false">AL81+AL67+AL68+AL58</f>
        <v>228256.118290622</v>
      </c>
      <c r="AM95" s="64" t="n">
        <f aca="false">AM81+AM67+AM68+AM58</f>
        <v>230514.437172629</v>
      </c>
      <c r="AN95" s="64" t="n">
        <f aca="false">AN81+AN67+AN68+AN58</f>
        <v>232503.628406542</v>
      </c>
      <c r="AO95" s="64" t="n">
        <f aca="false">AO81+AO67+AO68+AO58</f>
        <v>234504.724402359</v>
      </c>
      <c r="AP95" s="64" t="n">
        <f aca="false">AP81+AP67+AP68+AP58</f>
        <v>236517.725160081</v>
      </c>
      <c r="AQ95" s="64" t="n">
        <f aca="false">AQ81+AQ67+AQ68+AQ58</f>
        <v>238542.630679707</v>
      </c>
      <c r="AR95" s="64" t="n">
        <f aca="false">AR81+AR67+AR68+AR58</f>
        <v>240579.440961239</v>
      </c>
      <c r="AS95" s="64" t="n">
        <f aca="false">AS81+AS67+AS68+AS58</f>
        <v>242628.156004675</v>
      </c>
      <c r="AT95" s="64" t="n">
        <f aca="false">AT81+AT67+AT68+AT58</f>
        <v>244688.775810016</v>
      </c>
      <c r="AU95" s="64" t="n">
        <f aca="false">AU81+AU67+AU68+AU58</f>
        <v>246761.300377262</v>
      </c>
      <c r="AV95" s="64" t="n">
        <f aca="false">AV81+AV67+AV68+AV58</f>
        <v>248845.729706412</v>
      </c>
      <c r="AW95" s="64" t="n">
        <f aca="false">AW81+AW67+AW68+AW58</f>
        <v>250942.063797467</v>
      </c>
      <c r="AX95" s="64" t="n">
        <f aca="false">AX81+AX67+AX68+AX58</f>
        <v>253050.302650427</v>
      </c>
      <c r="AY95" s="64" t="n">
        <f aca="false">AY81+AY67+AY68+AY58</f>
        <v>256126.796813181</v>
      </c>
      <c r="AZ95" s="64" t="n">
        <f aca="false">AZ81+AZ67+AZ68+AZ58</f>
        <v>258925.732355539</v>
      </c>
      <c r="BA95" s="64" t="n">
        <f aca="false">BA81+BA67+BA68+BA58</f>
        <v>261736.572659802</v>
      </c>
      <c r="BB95" s="64" t="n">
        <f aca="false">BB81+BB67+BB68+BB58</f>
        <v>264559.31772597</v>
      </c>
      <c r="BC95" s="64" t="n">
        <f aca="false">BC81+BC67+BC68+BC58</f>
        <v>267393.967554043</v>
      </c>
      <c r="BD95" s="64" t="n">
        <f aca="false">BD81+BD67+BD68+BD58</f>
        <v>270240.52214402</v>
      </c>
      <c r="BE95" s="64" t="n">
        <f aca="false">BE81+BE67+BE68+BE58</f>
        <v>273098.981495902</v>
      </c>
      <c r="BF95" s="64" t="n">
        <f aca="false">BF81+BF67+BF68+BF58</f>
        <v>275969.345609689</v>
      </c>
      <c r="BG95" s="64" t="n">
        <f aca="false">BG81+BG67+BG68+BG58</f>
        <v>278851.614485381</v>
      </c>
      <c r="BH95" s="64" t="n">
        <f aca="false">BH81+BH67+BH68+BH58</f>
        <v>281745.788122977</v>
      </c>
      <c r="BI95" s="64" t="n">
        <f aca="false">BI81+BI67+BI68+BI58</f>
        <v>284651.866522479</v>
      </c>
      <c r="BJ95" s="64" t="n">
        <f aca="false">BJ81+BJ67+BJ68+BJ58</f>
        <v>287569.849683885</v>
      </c>
    </row>
    <row r="96" customFormat="false" ht="15" hidden="false" customHeight="false" outlineLevel="0" collapsed="false">
      <c r="A96" s="6" t="s">
        <v>112</v>
      </c>
      <c r="C96" s="59" t="n">
        <f aca="false">C69+C64</f>
        <v>156276.9</v>
      </c>
      <c r="D96" s="59" t="n">
        <f aca="false">D69+D64</f>
        <v>154702.451714286</v>
      </c>
      <c r="E96" s="59" t="n">
        <f aca="false">E69+E64</f>
        <v>153115.327468571</v>
      </c>
      <c r="F96" s="59" t="n">
        <f aca="false">F69+F64</f>
        <v>151516.287820457</v>
      </c>
      <c r="G96" s="59" t="n">
        <f aca="false">G69+G64</f>
        <v>149906.047694087</v>
      </c>
      <c r="H96" s="59" t="n">
        <f aca="false">H69+H64</f>
        <v>148285.279118156</v>
      </c>
      <c r="I96" s="59" t="n">
        <f aca="false">I69+I64</f>
        <v>146654.613799638</v>
      </c>
      <c r="J96" s="59" t="n">
        <f aca="false">J69+J64</f>
        <v>145014.645543088</v>
      </c>
      <c r="K96" s="59" t="n">
        <f aca="false">K69+K64</f>
        <v>143365.932524789</v>
      </c>
      <c r="L96" s="59" t="n">
        <f aca="false">L69+L64</f>
        <v>141708.999430444</v>
      </c>
      <c r="M96" s="59" t="n">
        <f aca="false">M69+M64</f>
        <v>140044.339464618</v>
      </c>
      <c r="N96" s="59" t="n">
        <f aca="false">N69+N64</f>
        <v>138372.416239598</v>
      </c>
      <c r="O96" s="59" t="n">
        <f aca="false">O69+O64</f>
        <v>136947.552320321</v>
      </c>
      <c r="P96" s="59" t="n">
        <f aca="false">P69+P64</f>
        <v>135285.226329673</v>
      </c>
      <c r="Q96" s="59" t="n">
        <f aca="false">Q69+Q64</f>
        <v>133615.497041322</v>
      </c>
      <c r="R96" s="59" t="n">
        <f aca="false">R69+R64</f>
        <v>131938.808653128</v>
      </c>
      <c r="S96" s="59" t="n">
        <f aca="false">S69+S64</f>
        <v>130255.578711083</v>
      </c>
      <c r="T96" s="59" t="n">
        <f aca="false">T69+T64</f>
        <v>128566.199708418</v>
      </c>
      <c r="U96" s="59" t="n">
        <f aca="false">U69+U64</f>
        <v>126871.04058877</v>
      </c>
      <c r="V96" s="59" t="n">
        <f aca="false">V69+V64</f>
        <v>125147.766059949</v>
      </c>
      <c r="W96" s="59" t="n">
        <f aca="false">W69+W64</f>
        <v>123380.614285714</v>
      </c>
      <c r="X96" s="59" t="n">
        <f aca="false">X69+X64</f>
        <v>121594.9</v>
      </c>
      <c r="Y96" s="59" t="n">
        <f aca="false">Y69+Y64</f>
        <v>119809.185714286</v>
      </c>
      <c r="Z96" s="59" t="n">
        <f aca="false">Z69+Z64</f>
        <v>118023.471428571</v>
      </c>
      <c r="AA96" s="59" t="n">
        <f aca="false">AA69+AA64</f>
        <v>116510.604142857</v>
      </c>
      <c r="AB96" s="59" t="n">
        <f aca="false">AB69+AB64</f>
        <v>114724.889857143</v>
      </c>
      <c r="AC96" s="59" t="n">
        <f aca="false">AC69+AC64</f>
        <v>112939.175571428</v>
      </c>
      <c r="AD96" s="59" t="n">
        <f aca="false">AD69+AD64</f>
        <v>111153.461285714</v>
      </c>
      <c r="AE96" s="59" t="n">
        <f aca="false">AE69+AE64</f>
        <v>109367.747</v>
      </c>
      <c r="AF96" s="59" t="n">
        <f aca="false">AF69+AF64</f>
        <v>107582.032714286</v>
      </c>
      <c r="AG96" s="59" t="n">
        <f aca="false">AG69+AG64</f>
        <v>105796.318428571</v>
      </c>
      <c r="AH96" s="59" t="n">
        <f aca="false">AH69+AH64</f>
        <v>104010.604142857</v>
      </c>
      <c r="AI96" s="59" t="n">
        <f aca="false">AI69+AI64</f>
        <v>102224.889857143</v>
      </c>
      <c r="AJ96" s="59" t="n">
        <f aca="false">AJ69+AJ64</f>
        <v>100439.175571428</v>
      </c>
      <c r="AK96" s="59" t="n">
        <f aca="false">AK69+AK64</f>
        <v>98653.4612857142</v>
      </c>
      <c r="AL96" s="59" t="n">
        <f aca="false">AL69+AL64</f>
        <v>96867.7469999999</v>
      </c>
      <c r="AM96" s="59" t="n">
        <f aca="false">AM69+AM64</f>
        <v>95363.0651242856</v>
      </c>
      <c r="AN96" s="59" t="n">
        <f aca="false">AN69+AN64</f>
        <v>93577.3508385713</v>
      </c>
      <c r="AO96" s="59" t="n">
        <f aca="false">AO69+AO64</f>
        <v>91791.636552857</v>
      </c>
      <c r="AP96" s="59" t="n">
        <f aca="false">AP69+AP64</f>
        <v>90005.9222671427</v>
      </c>
      <c r="AQ96" s="59" t="n">
        <f aca="false">AQ69+AQ64</f>
        <v>88220.2079814284</v>
      </c>
      <c r="AR96" s="59" t="n">
        <f aca="false">AR69+AR64</f>
        <v>86434.4936957141</v>
      </c>
      <c r="AS96" s="59" t="n">
        <f aca="false">AS69+AS64</f>
        <v>84648.7794099998</v>
      </c>
      <c r="AT96" s="59" t="n">
        <f aca="false">AT69+AT64</f>
        <v>82863.0651242855</v>
      </c>
      <c r="AU96" s="59" t="n">
        <f aca="false">AU69+AU64</f>
        <v>81077.3508385713</v>
      </c>
      <c r="AV96" s="59" t="n">
        <f aca="false">AV69+AV64</f>
        <v>79291.636552857</v>
      </c>
      <c r="AW96" s="59" t="n">
        <f aca="false">AW69+AW64</f>
        <v>77505.9222671427</v>
      </c>
      <c r="AX96" s="59" t="n">
        <f aca="false">AX69+AX64</f>
        <v>75720.2079814284</v>
      </c>
      <c r="AY96" s="59" t="n">
        <f aca="false">AY69+AY64</f>
        <v>74223.9570780141</v>
      </c>
      <c r="AZ96" s="59" t="n">
        <f aca="false">AZ69+AZ64</f>
        <v>72438.2427922998</v>
      </c>
      <c r="BA96" s="59" t="n">
        <f aca="false">BA69+BA64</f>
        <v>70652.5285065855</v>
      </c>
      <c r="BB96" s="59" t="n">
        <f aca="false">BB69+BB64</f>
        <v>68866.8142208713</v>
      </c>
      <c r="BC96" s="59" t="n">
        <f aca="false">BC69+BC64</f>
        <v>67081.099935157</v>
      </c>
      <c r="BD96" s="59" t="n">
        <f aca="false">BD69+BD64</f>
        <v>65295.3856494427</v>
      </c>
      <c r="BE96" s="59" t="n">
        <f aca="false">BE69+BE64</f>
        <v>63509.6713637284</v>
      </c>
      <c r="BF96" s="59" t="n">
        <f aca="false">BF69+BF64</f>
        <v>61723.9570780141</v>
      </c>
      <c r="BG96" s="59" t="n">
        <f aca="false">BG69+BG64</f>
        <v>59938.2427922998</v>
      </c>
      <c r="BH96" s="59" t="n">
        <f aca="false">BH69+BH64</f>
        <v>58152.5285065856</v>
      </c>
      <c r="BI96" s="59" t="n">
        <f aca="false">BI69+BI64</f>
        <v>56366.8142208713</v>
      </c>
      <c r="BJ96" s="59" t="n">
        <f aca="false">BJ69+BJ64</f>
        <v>54581.099935157</v>
      </c>
    </row>
    <row r="97" customFormat="false" ht="15" hidden="false" customHeight="false" outlineLevel="0" collapsed="false">
      <c r="A97" s="6" t="s">
        <v>115</v>
      </c>
      <c r="C97" s="59" t="n">
        <f aca="false">C93+C94</f>
        <v>298164.872857143</v>
      </c>
      <c r="D97" s="59" t="n">
        <f aca="false">D93+D94</f>
        <v>269116.342775238</v>
      </c>
      <c r="E97" s="59" t="n">
        <f aca="false">E93+E94</f>
        <v>242693.523454438</v>
      </c>
      <c r="F97" s="59" t="n">
        <f aca="false">F93+F94</f>
        <v>218739.586534791</v>
      </c>
      <c r="G97" s="59" t="n">
        <f aca="false">G93+G94</f>
        <v>197107.113357941</v>
      </c>
      <c r="H97" s="59" t="n">
        <f aca="false">H93+H94</f>
        <v>177657.530385036</v>
      </c>
      <c r="I97" s="59" t="n">
        <f aca="false">I93+I94</f>
        <v>160260.578489553</v>
      </c>
      <c r="J97" s="59" t="n">
        <f aca="false">J93+J94</f>
        <v>144793.814092561</v>
      </c>
      <c r="K97" s="59" t="n">
        <f aca="false">K93+K94</f>
        <v>131142.140229864</v>
      </c>
      <c r="L97" s="59" t="n">
        <f aca="false">L93+L94</f>
        <v>119197.36575512</v>
      </c>
      <c r="M97" s="59" t="n">
        <f aca="false">M93+M94</f>
        <v>108857.790990765</v>
      </c>
      <c r="N97" s="59" t="n">
        <f aca="false">N93+N94</f>
        <v>100027.818239891</v>
      </c>
      <c r="O97" s="59" t="n">
        <f aca="false">O93+O94</f>
        <v>93224.156520456</v>
      </c>
      <c r="P97" s="59" t="n">
        <f aca="false">P93+P94</f>
        <v>88056.4138683549</v>
      </c>
      <c r="Q97" s="59" t="n">
        <f aca="false">Q93+Q94</f>
        <v>84427.1494252617</v>
      </c>
      <c r="R97" s="59" t="n">
        <f aca="false">R93+R94</f>
        <v>82244.7687843503</v>
      </c>
      <c r="S97" s="59" t="n">
        <f aca="false">S93+S94</f>
        <v>81423.1732032041</v>
      </c>
      <c r="T97" s="59" t="n">
        <f aca="false">T93+T94</f>
        <v>81881.4298639515</v>
      </c>
      <c r="U97" s="59" t="n">
        <f aca="false">U93+U94</f>
        <v>83543.461917793</v>
      </c>
      <c r="V97" s="59" t="n">
        <f aca="false">V93+V94</f>
        <v>85774.6824494786</v>
      </c>
      <c r="W97" s="59" t="n">
        <f aca="false">W93+W94</f>
        <v>88058.6225637643</v>
      </c>
      <c r="X97" s="59" t="n">
        <f aca="false">X93+X94</f>
        <v>90354.4674399548</v>
      </c>
      <c r="Y97" s="59" t="n">
        <f aca="false">Y93+Y94</f>
        <v>92662.21707805</v>
      </c>
      <c r="Z97" s="59" t="n">
        <f aca="false">Z93+Z94</f>
        <v>94981.87147805</v>
      </c>
      <c r="AA97" s="59" t="n">
        <f aca="false">AA93+AA94</f>
        <v>97950.2702719548</v>
      </c>
      <c r="AB97" s="59" t="n">
        <f aca="false">AB93+AB94</f>
        <v>100930.573827764</v>
      </c>
      <c r="AC97" s="59" t="n">
        <f aca="false">AC93+AC94</f>
        <v>103922.782145479</v>
      </c>
      <c r="AD97" s="59" t="n">
        <f aca="false">AD93+AD94</f>
        <v>106926.895225098</v>
      </c>
      <c r="AE97" s="59" t="n">
        <f aca="false">AE93+AE94</f>
        <v>109942.913066621</v>
      </c>
      <c r="AF97" s="59" t="n">
        <f aca="false">AF93+AF94</f>
        <v>112970.83567005</v>
      </c>
      <c r="AG97" s="59" t="n">
        <f aca="false">AG93+AG94</f>
        <v>116010.663035383</v>
      </c>
      <c r="AH97" s="59" t="n">
        <f aca="false">AH93+AH94</f>
        <v>119062.395162621</v>
      </c>
      <c r="AI97" s="59" t="n">
        <f aca="false">AI93+AI94</f>
        <v>122126.032051764</v>
      </c>
      <c r="AJ97" s="59" t="n">
        <f aca="false">AJ93+AJ94</f>
        <v>125201.573702812</v>
      </c>
      <c r="AK97" s="59" t="n">
        <f aca="false">AK93+AK94</f>
        <v>128289.020115764</v>
      </c>
      <c r="AL97" s="59" t="n">
        <f aca="false">AL93+AL94</f>
        <v>131388.371290621</v>
      </c>
      <c r="AM97" s="59" t="n">
        <f aca="false">AM93+AM94</f>
        <v>135151.372048343</v>
      </c>
      <c r="AN97" s="59" t="n">
        <f aca="false">AN93+AN94</f>
        <v>138926.27756797</v>
      </c>
      <c r="AO97" s="59" t="n">
        <f aca="false">AO93+AO94</f>
        <v>142713.087849502</v>
      </c>
      <c r="AP97" s="59" t="n">
        <f aca="false">AP93+AP94</f>
        <v>146511.802892938</v>
      </c>
      <c r="AQ97" s="59" t="n">
        <f aca="false">AQ93+AQ94</f>
        <v>150322.422698279</v>
      </c>
      <c r="AR97" s="59" t="n">
        <f aca="false">AR93+AR94</f>
        <v>154144.947265524</v>
      </c>
      <c r="AS97" s="59" t="n">
        <f aca="false">AS93+AS94</f>
        <v>157979.376594675</v>
      </c>
      <c r="AT97" s="59" t="n">
        <f aca="false">AT93+AT94</f>
        <v>161825.71068573</v>
      </c>
      <c r="AU97" s="59" t="n">
        <f aca="false">AU93+AU94</f>
        <v>165683.94953869</v>
      </c>
      <c r="AV97" s="59" t="n">
        <f aca="false">AV93+AV94</f>
        <v>169554.093153555</v>
      </c>
      <c r="AW97" s="59" t="n">
        <f aca="false">AW93+AW94</f>
        <v>173436.141530325</v>
      </c>
      <c r="AX97" s="59" t="n">
        <f aca="false">AX93+AX94</f>
        <v>177330.094668999</v>
      </c>
      <c r="AY97" s="59" t="n">
        <f aca="false">AY93+AY94</f>
        <v>181902.839735167</v>
      </c>
      <c r="AZ97" s="59" t="n">
        <f aca="false">AZ93+AZ94</f>
        <v>186487.489563239</v>
      </c>
      <c r="BA97" s="59" t="n">
        <f aca="false">BA93+BA94</f>
        <v>191084.044153217</v>
      </c>
      <c r="BB97" s="59" t="n">
        <f aca="false">BB93+BB94</f>
        <v>195692.503505099</v>
      </c>
      <c r="BC97" s="59" t="n">
        <f aca="false">BC93+BC94</f>
        <v>200312.867618886</v>
      </c>
      <c r="BD97" s="59" t="n">
        <f aca="false">BD93+BD94</f>
        <v>204945.136494577</v>
      </c>
      <c r="BE97" s="59" t="n">
        <f aca="false">BE93+BE94</f>
        <v>209589.310132174</v>
      </c>
      <c r="BF97" s="59" t="n">
        <f aca="false">BF93+BF94</f>
        <v>214245.388531675</v>
      </c>
      <c r="BG97" s="59" t="n">
        <f aca="false">BG93+BG94</f>
        <v>218913.371693081</v>
      </c>
      <c r="BH97" s="59" t="n">
        <f aca="false">BH93+BH94</f>
        <v>223593.259616392</v>
      </c>
      <c r="BI97" s="59" t="n">
        <f aca="false">BI93+BI94</f>
        <v>228285.052301607</v>
      </c>
      <c r="BJ97" s="59" t="n">
        <f aca="false">BJ93+BJ94</f>
        <v>232988.749748727</v>
      </c>
    </row>
    <row r="98" customFormat="false" ht="15" hidden="false" customHeight="false" outlineLevel="0" collapsed="false">
      <c r="A98" s="4" t="s">
        <v>116</v>
      </c>
      <c r="C98" s="64" t="n">
        <f aca="false">C96+C97</f>
        <v>454441.772857143</v>
      </c>
      <c r="D98" s="64" t="n">
        <f aca="false">D96+D97</f>
        <v>423818.794489524</v>
      </c>
      <c r="E98" s="64" t="n">
        <f aca="false">E96+E97</f>
        <v>395808.85092301</v>
      </c>
      <c r="F98" s="64" t="n">
        <f aca="false">F96+F97</f>
        <v>370255.874355248</v>
      </c>
      <c r="G98" s="64" t="n">
        <f aca="false">G96+G97</f>
        <v>347013.161052028</v>
      </c>
      <c r="H98" s="64" t="n">
        <f aca="false">H96+H97</f>
        <v>325942.809503192</v>
      </c>
      <c r="I98" s="64" t="n">
        <f aca="false">I96+I97</f>
        <v>306915.192289191</v>
      </c>
      <c r="J98" s="64" t="n">
        <f aca="false">J96+J97</f>
        <v>289808.459635649</v>
      </c>
      <c r="K98" s="64" t="n">
        <f aca="false">K96+K97</f>
        <v>274508.072754653</v>
      </c>
      <c r="L98" s="64" t="n">
        <f aca="false">L96+L97</f>
        <v>260906.365185564</v>
      </c>
      <c r="M98" s="64" t="n">
        <f aca="false">M96+M97</f>
        <v>248902.130455383</v>
      </c>
      <c r="N98" s="64" t="n">
        <f aca="false">N96+N97</f>
        <v>238400.234479488</v>
      </c>
      <c r="O98" s="64" t="n">
        <f aca="false">O96+O97</f>
        <v>230171.708840777</v>
      </c>
      <c r="P98" s="64" t="n">
        <f aca="false">P96+P97</f>
        <v>223341.640198028</v>
      </c>
      <c r="Q98" s="64" t="n">
        <f aca="false">Q96+Q97</f>
        <v>218042.646466583</v>
      </c>
      <c r="R98" s="64" t="n">
        <f aca="false">R96+R97</f>
        <v>214183.577437478</v>
      </c>
      <c r="S98" s="64" t="n">
        <f aca="false">S96+S97</f>
        <v>211678.751914287</v>
      </c>
      <c r="T98" s="64" t="n">
        <f aca="false">T96+T97</f>
        <v>210447.62957237</v>
      </c>
      <c r="U98" s="64" t="n">
        <f aca="false">U96+U97</f>
        <v>210414.502506563</v>
      </c>
      <c r="V98" s="64" t="n">
        <f aca="false">V96+V97</f>
        <v>210922.448509428</v>
      </c>
      <c r="W98" s="64" t="n">
        <f aca="false">W96+W97</f>
        <v>211439.236849478</v>
      </c>
      <c r="X98" s="64" t="n">
        <f aca="false">X96+X97</f>
        <v>211949.367439955</v>
      </c>
      <c r="Y98" s="64" t="n">
        <f aca="false">Y96+Y97</f>
        <v>212471.402792336</v>
      </c>
      <c r="Z98" s="64" t="n">
        <f aca="false">Z96+Z97</f>
        <v>213005.342906621</v>
      </c>
      <c r="AA98" s="64" t="n">
        <f aca="false">AA96+AA97</f>
        <v>214460.874414812</v>
      </c>
      <c r="AB98" s="64" t="n">
        <f aca="false">AB96+AB97</f>
        <v>215655.463684907</v>
      </c>
      <c r="AC98" s="64" t="n">
        <f aca="false">AC96+AC97</f>
        <v>216861.957716907</v>
      </c>
      <c r="AD98" s="64" t="n">
        <f aca="false">AD96+AD97</f>
        <v>218080.356510812</v>
      </c>
      <c r="AE98" s="64" t="n">
        <f aca="false">AE96+AE97</f>
        <v>219310.660066621</v>
      </c>
      <c r="AF98" s="64" t="n">
        <f aca="false">AF96+AF97</f>
        <v>220552.868384336</v>
      </c>
      <c r="AG98" s="64" t="n">
        <f aca="false">AG96+AG97</f>
        <v>221806.981463955</v>
      </c>
      <c r="AH98" s="64" t="n">
        <f aca="false">AH96+AH97</f>
        <v>223072.999305478</v>
      </c>
      <c r="AI98" s="64" t="n">
        <f aca="false">AI96+AI97</f>
        <v>224350.921908907</v>
      </c>
      <c r="AJ98" s="64" t="n">
        <f aca="false">AJ96+AJ97</f>
        <v>225640.74927424</v>
      </c>
      <c r="AK98" s="64" t="n">
        <f aca="false">AK96+AK97</f>
        <v>226942.481401478</v>
      </c>
      <c r="AL98" s="64" t="n">
        <f aca="false">AL96+AL97</f>
        <v>228256.118290621</v>
      </c>
      <c r="AM98" s="64" t="n">
        <f aca="false">AM96+AM97</f>
        <v>230514.437172629</v>
      </c>
      <c r="AN98" s="64" t="n">
        <f aca="false">AN96+AN97</f>
        <v>232503.628406541</v>
      </c>
      <c r="AO98" s="64" t="n">
        <f aca="false">AO96+AO97</f>
        <v>234504.724402358</v>
      </c>
      <c r="AP98" s="64" t="n">
        <f aca="false">AP96+AP97</f>
        <v>236517.72516008</v>
      </c>
      <c r="AQ98" s="64" t="n">
        <f aca="false">AQ96+AQ97</f>
        <v>238542.630679707</v>
      </c>
      <c r="AR98" s="64" t="n">
        <f aca="false">AR96+AR97</f>
        <v>240579.440961239</v>
      </c>
      <c r="AS98" s="64" t="n">
        <f aca="false">AS96+AS97</f>
        <v>242628.156004675</v>
      </c>
      <c r="AT98" s="64" t="n">
        <f aca="false">AT96+AT97</f>
        <v>244688.775810016</v>
      </c>
      <c r="AU98" s="64" t="n">
        <f aca="false">AU96+AU97</f>
        <v>246761.300377261</v>
      </c>
      <c r="AV98" s="64" t="n">
        <f aca="false">AV96+AV97</f>
        <v>248845.729706412</v>
      </c>
      <c r="AW98" s="64" t="n">
        <f aca="false">AW96+AW97</f>
        <v>250942.063797467</v>
      </c>
      <c r="AX98" s="64" t="n">
        <f aca="false">AX96+AX97</f>
        <v>253050.302650427</v>
      </c>
      <c r="AY98" s="64" t="n">
        <f aca="false">AY96+AY97</f>
        <v>256126.796813181</v>
      </c>
      <c r="AZ98" s="64" t="n">
        <f aca="false">AZ96+AZ97</f>
        <v>258925.732355539</v>
      </c>
      <c r="BA98" s="64" t="n">
        <f aca="false">BA96+BA97</f>
        <v>261736.572659802</v>
      </c>
      <c r="BB98" s="64" t="n">
        <f aca="false">BB96+BB97</f>
        <v>264559.31772597</v>
      </c>
      <c r="BC98" s="64" t="n">
        <f aca="false">BC96+BC97</f>
        <v>267393.967554043</v>
      </c>
      <c r="BD98" s="64" t="n">
        <f aca="false">BD96+BD97</f>
        <v>270240.52214402</v>
      </c>
      <c r="BE98" s="64" t="n">
        <f aca="false">BE96+BE97</f>
        <v>273098.981495902</v>
      </c>
      <c r="BF98" s="64" t="n">
        <f aca="false">BF96+BF97</f>
        <v>275969.345609689</v>
      </c>
      <c r="BG98" s="64" t="n">
        <f aca="false">BG96+BG97</f>
        <v>278851.614485381</v>
      </c>
      <c r="BH98" s="64" t="n">
        <f aca="false">BH96+BH97</f>
        <v>281745.788122977</v>
      </c>
      <c r="BI98" s="64" t="n">
        <f aca="false">BI96+BI97</f>
        <v>284651.866522478</v>
      </c>
      <c r="BJ98" s="64" t="n">
        <f aca="false">BJ96+BJ97</f>
        <v>287569.849683884</v>
      </c>
    </row>
    <row r="99" customFormat="false" ht="15" hidden="false" customHeight="false" outlineLevel="0" collapsed="false">
      <c r="A99" s="6" t="s">
        <v>365</v>
      </c>
      <c r="C99" s="59" t="n">
        <f aca="false">C95-C98</f>
        <v>0</v>
      </c>
      <c r="D99" s="59" t="n">
        <f aca="false">D95-D98</f>
        <v>0</v>
      </c>
      <c r="E99" s="59" t="n">
        <f aca="false">E95-E98</f>
        <v>0</v>
      </c>
      <c r="F99" s="59" t="n">
        <f aca="false">F95-F98</f>
        <v>0</v>
      </c>
      <c r="G99" s="59" t="n">
        <f aca="false">G95-G98</f>
        <v>0</v>
      </c>
      <c r="H99" s="59" t="n">
        <f aca="false">H95-H98</f>
        <v>0</v>
      </c>
      <c r="I99" s="59" t="n">
        <f aca="false">I95-I98</f>
        <v>0</v>
      </c>
      <c r="J99" s="59" t="n">
        <f aca="false">J95-J98</f>
        <v>0</v>
      </c>
      <c r="K99" s="59" t="n">
        <f aca="false">K95-K98</f>
        <v>0</v>
      </c>
      <c r="L99" s="59" t="n">
        <f aca="false">L95-L98</f>
        <v>0</v>
      </c>
      <c r="M99" s="59" t="n">
        <f aca="false">M95-M98</f>
        <v>0</v>
      </c>
      <c r="N99" s="59" t="n">
        <f aca="false">N95-N98</f>
        <v>0</v>
      </c>
      <c r="O99" s="59" t="n">
        <f aca="false">O95-O98</f>
        <v>0</v>
      </c>
      <c r="P99" s="59" t="n">
        <f aca="false">P95-P98</f>
        <v>0</v>
      </c>
      <c r="Q99" s="59" t="n">
        <f aca="false">Q95-Q98</f>
        <v>0</v>
      </c>
      <c r="R99" s="59" t="n">
        <f aca="false">R95-R98</f>
        <v>0</v>
      </c>
      <c r="S99" s="59" t="n">
        <f aca="false">S95-S98</f>
        <v>0</v>
      </c>
      <c r="T99" s="59" t="n">
        <f aca="false">T95-T98</f>
        <v>0</v>
      </c>
      <c r="U99" s="59" t="n">
        <f aca="false">U95-U98</f>
        <v>0</v>
      </c>
      <c r="V99" s="59" t="n">
        <f aca="false">V95-V98</f>
        <v>0</v>
      </c>
      <c r="W99" s="59" t="n">
        <f aca="false">W95-W98</f>
        <v>0</v>
      </c>
      <c r="X99" s="59" t="n">
        <f aca="false">X95-X98</f>
        <v>0</v>
      </c>
      <c r="Y99" s="59" t="n">
        <f aca="false">Y95-Y98</f>
        <v>0</v>
      </c>
      <c r="Z99" s="59" t="n">
        <f aca="false">Z95-Z98</f>
        <v>0</v>
      </c>
      <c r="AA99" s="59" t="n">
        <f aca="false">AA95-AA98</f>
        <v>0</v>
      </c>
      <c r="AB99" s="59" t="n">
        <f aca="false">AB95-AB98</f>
        <v>0</v>
      </c>
      <c r="AC99" s="59" t="n">
        <f aca="false">AC95-AC98</f>
        <v>0</v>
      </c>
      <c r="AD99" s="59" t="n">
        <f aca="false">AD95-AD98</f>
        <v>0</v>
      </c>
      <c r="AE99" s="59" t="n">
        <f aca="false">AE95-AE98</f>
        <v>0</v>
      </c>
      <c r="AF99" s="59" t="n">
        <f aca="false">AF95-AF98</f>
        <v>0</v>
      </c>
      <c r="AG99" s="59" t="n">
        <f aca="false">AG95-AG98</f>
        <v>0</v>
      </c>
      <c r="AH99" s="59" t="n">
        <f aca="false">AH95-AH98</f>
        <v>0</v>
      </c>
      <c r="AI99" s="59" t="n">
        <f aca="false">AI95-AI98</f>
        <v>0</v>
      </c>
      <c r="AJ99" s="59" t="n">
        <f aca="false">AJ95-AJ98</f>
        <v>0</v>
      </c>
      <c r="AK99" s="59" t="n">
        <f aca="false">AK95-AK98</f>
        <v>0</v>
      </c>
      <c r="AL99" s="59" t="n">
        <f aca="false">AL95-AL98</f>
        <v>0</v>
      </c>
      <c r="AM99" s="59" t="n">
        <f aca="false">AM95-AM98</f>
        <v>0</v>
      </c>
      <c r="AN99" s="59" t="n">
        <f aca="false">AN95-AN98</f>
        <v>0</v>
      </c>
      <c r="AO99" s="59" t="n">
        <f aca="false">AO95-AO98</f>
        <v>0</v>
      </c>
      <c r="AP99" s="59" t="n">
        <f aca="false">AP95-AP98</f>
        <v>0</v>
      </c>
      <c r="AQ99" s="59" t="n">
        <f aca="false">AQ95-AQ98</f>
        <v>0</v>
      </c>
      <c r="AR99" s="59" t="n">
        <f aca="false">AR95-AR98</f>
        <v>0</v>
      </c>
      <c r="AS99" s="59" t="n">
        <f aca="false">AS95-AS98</f>
        <v>0</v>
      </c>
      <c r="AT99" s="59" t="n">
        <f aca="false">AT95-AT98</f>
        <v>0</v>
      </c>
      <c r="AU99" s="59" t="n">
        <f aca="false">AU95-AU98</f>
        <v>0</v>
      </c>
      <c r="AV99" s="59" t="n">
        <f aca="false">AV95-AV98</f>
        <v>0</v>
      </c>
      <c r="AW99" s="59" t="n">
        <f aca="false">AW95-AW98</f>
        <v>0</v>
      </c>
      <c r="AX99" s="59" t="n">
        <f aca="false">AX95-AX98</f>
        <v>0</v>
      </c>
      <c r="AY99" s="59" t="n">
        <f aca="false">AY95-AY98</f>
        <v>0</v>
      </c>
      <c r="AZ99" s="59" t="n">
        <f aca="false">AZ95-AZ98</f>
        <v>0</v>
      </c>
      <c r="BA99" s="59" t="n">
        <f aca="false">BA95-BA98</f>
        <v>0</v>
      </c>
      <c r="BB99" s="59" t="n">
        <f aca="false">BB95-BB98</f>
        <v>0</v>
      </c>
      <c r="BC99" s="59" t="n">
        <f aca="false">BC95-BC98</f>
        <v>0</v>
      </c>
      <c r="BD99" s="59" t="n">
        <f aca="false">BD95-BD98</f>
        <v>0</v>
      </c>
      <c r="BE99" s="59" t="n">
        <f aca="false">BE95-BE98</f>
        <v>0</v>
      </c>
      <c r="BF99" s="59" t="n">
        <f aca="false">BF95-BF98</f>
        <v>0</v>
      </c>
      <c r="BG99" s="59" t="n">
        <f aca="false">BG95-BG98</f>
        <v>0</v>
      </c>
      <c r="BH99" s="59" t="n">
        <f aca="false">BH95-BH98</f>
        <v>0</v>
      </c>
      <c r="BI99" s="59" t="n">
        <f aca="false">BI95-BI98</f>
        <v>0</v>
      </c>
      <c r="BJ99" s="59" t="n">
        <f aca="false">BJ95-BJ98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366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266</v>
      </c>
    </row>
    <row r="3" customFormat="false" ht="15" hidden="false" customHeight="false" outlineLevel="0" collapsed="false">
      <c r="A3" s="32" t="s">
        <v>267</v>
      </c>
      <c r="C3" s="48" t="s">
        <v>268</v>
      </c>
      <c r="D3" s="48" t="s">
        <v>269</v>
      </c>
      <c r="E3" s="48" t="s">
        <v>270</v>
      </c>
      <c r="F3" s="48" t="s">
        <v>271</v>
      </c>
      <c r="G3" s="48" t="s">
        <v>272</v>
      </c>
      <c r="H3" s="48" t="s">
        <v>273</v>
      </c>
      <c r="I3" s="48" t="s">
        <v>274</v>
      </c>
      <c r="J3" s="48" t="s">
        <v>275</v>
      </c>
      <c r="K3" s="48" t="s">
        <v>276</v>
      </c>
      <c r="L3" s="48" t="s">
        <v>277</v>
      </c>
      <c r="M3" s="48" t="s">
        <v>278</v>
      </c>
      <c r="N3" s="48" t="s">
        <v>279</v>
      </c>
      <c r="O3" s="48" t="s">
        <v>280</v>
      </c>
      <c r="P3" s="48" t="s">
        <v>281</v>
      </c>
      <c r="Q3" s="48" t="s">
        <v>282</v>
      </c>
      <c r="R3" s="48" t="s">
        <v>283</v>
      </c>
      <c r="S3" s="48" t="s">
        <v>284</v>
      </c>
      <c r="T3" s="48" t="s">
        <v>285</v>
      </c>
      <c r="U3" s="48" t="s">
        <v>286</v>
      </c>
      <c r="V3" s="48" t="s">
        <v>287</v>
      </c>
      <c r="W3" s="48" t="s">
        <v>288</v>
      </c>
      <c r="X3" s="48" t="s">
        <v>289</v>
      </c>
      <c r="Y3" s="48" t="s">
        <v>290</v>
      </c>
      <c r="Z3" s="48" t="s">
        <v>291</v>
      </c>
      <c r="AA3" s="48" t="s">
        <v>292</v>
      </c>
      <c r="AB3" s="48" t="s">
        <v>293</v>
      </c>
      <c r="AC3" s="48" t="s">
        <v>294</v>
      </c>
      <c r="AD3" s="48" t="s">
        <v>295</v>
      </c>
      <c r="AE3" s="48" t="s">
        <v>296</v>
      </c>
      <c r="AF3" s="48" t="s">
        <v>297</v>
      </c>
      <c r="AG3" s="48" t="s">
        <v>298</v>
      </c>
      <c r="AH3" s="48" t="s">
        <v>299</v>
      </c>
      <c r="AI3" s="48" t="s">
        <v>300</v>
      </c>
      <c r="AJ3" s="48" t="s">
        <v>301</v>
      </c>
      <c r="AK3" s="48" t="s">
        <v>302</v>
      </c>
      <c r="AL3" s="48" t="s">
        <v>303</v>
      </c>
      <c r="AM3" s="48" t="s">
        <v>304</v>
      </c>
      <c r="AN3" s="48" t="s">
        <v>305</v>
      </c>
      <c r="AO3" s="48" t="s">
        <v>306</v>
      </c>
      <c r="AP3" s="48" t="s">
        <v>307</v>
      </c>
      <c r="AQ3" s="48" t="s">
        <v>308</v>
      </c>
      <c r="AR3" s="48" t="s">
        <v>309</v>
      </c>
      <c r="AS3" s="48" t="s">
        <v>310</v>
      </c>
      <c r="AT3" s="48" t="s">
        <v>311</v>
      </c>
      <c r="AU3" s="48" t="s">
        <v>312</v>
      </c>
      <c r="AV3" s="48" t="s">
        <v>313</v>
      </c>
      <c r="AW3" s="48" t="s">
        <v>314</v>
      </c>
      <c r="AX3" s="48" t="s">
        <v>315</v>
      </c>
      <c r="AY3" s="48" t="s">
        <v>316</v>
      </c>
      <c r="AZ3" s="48" t="s">
        <v>317</v>
      </c>
      <c r="BA3" s="48" t="s">
        <v>318</v>
      </c>
      <c r="BB3" s="48" t="s">
        <v>319</v>
      </c>
      <c r="BC3" s="48" t="s">
        <v>320</v>
      </c>
      <c r="BD3" s="48" t="s">
        <v>321</v>
      </c>
      <c r="BE3" s="48" t="s">
        <v>322</v>
      </c>
      <c r="BF3" s="48" t="s">
        <v>323</v>
      </c>
      <c r="BG3" s="48" t="s">
        <v>324</v>
      </c>
      <c r="BH3" s="48" t="s">
        <v>325</v>
      </c>
      <c r="BI3" s="48" t="s">
        <v>326</v>
      </c>
      <c r="BJ3" s="48" t="s">
        <v>327</v>
      </c>
    </row>
    <row r="4" customFormat="false" ht="15" hidden="false" customHeight="false" outlineLevel="0" collapsed="false">
      <c r="A4" s="47" t="s">
        <v>328</v>
      </c>
      <c r="C4" s="47" t="n">
        <v>1</v>
      </c>
      <c r="D4" s="47" t="n">
        <v>2</v>
      </c>
      <c r="E4" s="47" t="n">
        <v>3</v>
      </c>
      <c r="F4" s="47" t="n">
        <v>4</v>
      </c>
      <c r="G4" s="47" t="n">
        <v>5</v>
      </c>
      <c r="H4" s="47" t="n">
        <v>6</v>
      </c>
      <c r="I4" s="47" t="n">
        <v>7</v>
      </c>
      <c r="J4" s="47" t="n">
        <v>8</v>
      </c>
      <c r="K4" s="47" t="n">
        <v>9</v>
      </c>
      <c r="L4" s="47" t="n">
        <v>10</v>
      </c>
      <c r="M4" s="47" t="n">
        <v>11</v>
      </c>
      <c r="N4" s="47" t="n">
        <v>12</v>
      </c>
      <c r="O4" s="47" t="n">
        <v>13</v>
      </c>
      <c r="P4" s="47" t="n">
        <v>14</v>
      </c>
      <c r="Q4" s="47" t="n">
        <v>15</v>
      </c>
      <c r="R4" s="47" t="n">
        <v>16</v>
      </c>
      <c r="S4" s="47" t="n">
        <v>17</v>
      </c>
      <c r="T4" s="47" t="n">
        <v>18</v>
      </c>
      <c r="U4" s="47" t="n">
        <v>19</v>
      </c>
      <c r="V4" s="47" t="n">
        <v>20</v>
      </c>
      <c r="W4" s="47" t="n">
        <v>21</v>
      </c>
      <c r="X4" s="47" t="n">
        <v>22</v>
      </c>
      <c r="Y4" s="47" t="n">
        <v>23</v>
      </c>
      <c r="Z4" s="47" t="n">
        <v>24</v>
      </c>
      <c r="AA4" s="47" t="n">
        <v>25</v>
      </c>
      <c r="AB4" s="47" t="n">
        <v>26</v>
      </c>
      <c r="AC4" s="47" t="n">
        <v>27</v>
      </c>
      <c r="AD4" s="47" t="n">
        <v>28</v>
      </c>
      <c r="AE4" s="47" t="n">
        <v>29</v>
      </c>
      <c r="AF4" s="47" t="n">
        <v>30</v>
      </c>
      <c r="AG4" s="47" t="n">
        <v>31</v>
      </c>
      <c r="AH4" s="47" t="n">
        <v>32</v>
      </c>
      <c r="AI4" s="47" t="n">
        <v>33</v>
      </c>
      <c r="AJ4" s="47" t="n">
        <v>34</v>
      </c>
      <c r="AK4" s="47" t="n">
        <v>35</v>
      </c>
      <c r="AL4" s="47" t="n">
        <v>36</v>
      </c>
      <c r="AM4" s="47" t="n">
        <v>37</v>
      </c>
      <c r="AN4" s="47" t="n">
        <v>38</v>
      </c>
      <c r="AO4" s="47" t="n">
        <v>39</v>
      </c>
      <c r="AP4" s="47" t="n">
        <v>40</v>
      </c>
      <c r="AQ4" s="47" t="n">
        <v>41</v>
      </c>
      <c r="AR4" s="47" t="n">
        <v>42</v>
      </c>
      <c r="AS4" s="47" t="n">
        <v>43</v>
      </c>
      <c r="AT4" s="47" t="n">
        <v>44</v>
      </c>
      <c r="AU4" s="47" t="n">
        <v>45</v>
      </c>
      <c r="AV4" s="47" t="n">
        <v>46</v>
      </c>
      <c r="AW4" s="47" t="n">
        <v>47</v>
      </c>
      <c r="AX4" s="47" t="n">
        <v>48</v>
      </c>
      <c r="AY4" s="47" t="n">
        <v>49</v>
      </c>
      <c r="AZ4" s="47" t="n">
        <v>50</v>
      </c>
      <c r="BA4" s="47" t="n">
        <v>51</v>
      </c>
      <c r="BB4" s="47" t="n">
        <v>52</v>
      </c>
      <c r="BC4" s="47" t="n">
        <v>53</v>
      </c>
      <c r="BD4" s="47" t="n">
        <v>54</v>
      </c>
      <c r="BE4" s="47" t="n">
        <v>55</v>
      </c>
      <c r="BF4" s="47" t="n">
        <v>56</v>
      </c>
      <c r="BG4" s="47" t="n">
        <v>57</v>
      </c>
      <c r="BH4" s="47" t="n">
        <v>58</v>
      </c>
      <c r="BI4" s="47" t="n">
        <v>59</v>
      </c>
      <c r="BJ4" s="47" t="n">
        <v>60</v>
      </c>
    </row>
    <row r="5" customFormat="false" ht="15" hidden="false" customHeight="false" outlineLevel="0" collapsed="false">
      <c r="A5" s="47" t="s">
        <v>69</v>
      </c>
      <c r="C5" s="47" t="n">
        <f aca="false">ROUNDUP(C4*1/12,0)</f>
        <v>1</v>
      </c>
      <c r="D5" s="47" t="n">
        <f aca="false">ROUNDUP(D4*1/12,0)</f>
        <v>1</v>
      </c>
      <c r="E5" s="47" t="n">
        <f aca="false">ROUNDUP(E4*1/12,0)</f>
        <v>1</v>
      </c>
      <c r="F5" s="47" t="n">
        <f aca="false">ROUNDUP(F4*1/12,0)</f>
        <v>1</v>
      </c>
      <c r="G5" s="47" t="n">
        <f aca="false">ROUNDUP(G4*1/12,0)</f>
        <v>1</v>
      </c>
      <c r="H5" s="47" t="n">
        <f aca="false">ROUNDUP(H4*1/12,0)</f>
        <v>1</v>
      </c>
      <c r="I5" s="47" t="n">
        <f aca="false">ROUNDUP(I4*1/12,0)</f>
        <v>1</v>
      </c>
      <c r="J5" s="47" t="n">
        <f aca="false">ROUNDUP(J4*1/12,0)</f>
        <v>1</v>
      </c>
      <c r="K5" s="47" t="n">
        <f aca="false">ROUNDUP(K4*1/12,0)</f>
        <v>1</v>
      </c>
      <c r="L5" s="47" t="n">
        <f aca="false">ROUNDUP(L4*1/12,0)</f>
        <v>1</v>
      </c>
      <c r="M5" s="47" t="n">
        <f aca="false">ROUNDUP(M4*1/12,0)</f>
        <v>1</v>
      </c>
      <c r="N5" s="47" t="n">
        <f aca="false">ROUNDUP(N4*1/12,0)</f>
        <v>1</v>
      </c>
      <c r="O5" s="47" t="n">
        <f aca="false">ROUNDUP(O4*1/12,0)</f>
        <v>2</v>
      </c>
      <c r="P5" s="47" t="n">
        <f aca="false">ROUNDUP(P4*1/12,0)</f>
        <v>2</v>
      </c>
      <c r="Q5" s="47" t="n">
        <f aca="false">ROUNDUP(Q4*1/12,0)</f>
        <v>2</v>
      </c>
      <c r="R5" s="47" t="n">
        <f aca="false">ROUNDUP(R4*1/12,0)</f>
        <v>2</v>
      </c>
      <c r="S5" s="47" t="n">
        <f aca="false">ROUNDUP(S4*1/12,0)</f>
        <v>2</v>
      </c>
      <c r="T5" s="47" t="n">
        <f aca="false">ROUNDUP(T4*1/12,0)</f>
        <v>2</v>
      </c>
      <c r="U5" s="47" t="n">
        <f aca="false">ROUNDUP(U4*1/12,0)</f>
        <v>2</v>
      </c>
      <c r="V5" s="47" t="n">
        <f aca="false">ROUNDUP(V4*1/12,0)</f>
        <v>2</v>
      </c>
      <c r="W5" s="47" t="n">
        <f aca="false">ROUNDUP(W4*1/12,0)</f>
        <v>2</v>
      </c>
      <c r="X5" s="47" t="n">
        <f aca="false">ROUNDUP(X4*1/12,0)</f>
        <v>2</v>
      </c>
      <c r="Y5" s="47" t="n">
        <f aca="false">ROUNDUP(Y4*1/12,0)</f>
        <v>2</v>
      </c>
      <c r="Z5" s="47" t="n">
        <f aca="false">ROUNDUP(Z4*1/12,0)</f>
        <v>2</v>
      </c>
      <c r="AA5" s="47" t="n">
        <f aca="false">ROUNDUP(AA4*1/12,0)</f>
        <v>3</v>
      </c>
      <c r="AB5" s="47" t="n">
        <f aca="false">ROUNDUP(AB4*1/12,0)</f>
        <v>3</v>
      </c>
      <c r="AC5" s="47" t="n">
        <f aca="false">ROUNDUP(AC4*1/12,0)</f>
        <v>3</v>
      </c>
      <c r="AD5" s="47" t="n">
        <f aca="false">ROUNDUP(AD4*1/12,0)</f>
        <v>3</v>
      </c>
      <c r="AE5" s="47" t="n">
        <f aca="false">ROUNDUP(AE4*1/12,0)</f>
        <v>3</v>
      </c>
      <c r="AF5" s="47" t="n">
        <f aca="false">ROUNDUP(AF4*1/12,0)</f>
        <v>3</v>
      </c>
      <c r="AG5" s="47" t="n">
        <f aca="false">ROUNDUP(AG4*1/12,0)</f>
        <v>3</v>
      </c>
      <c r="AH5" s="47" t="n">
        <f aca="false">ROUNDUP(AH4*1/12,0)</f>
        <v>3</v>
      </c>
      <c r="AI5" s="47" t="n">
        <f aca="false">ROUNDUP(AI4*1/12,0)</f>
        <v>3</v>
      </c>
      <c r="AJ5" s="47" t="n">
        <f aca="false">ROUNDUP(AJ4*1/12,0)</f>
        <v>3</v>
      </c>
      <c r="AK5" s="47" t="n">
        <f aca="false">ROUNDUP(AK4*1/12,0)</f>
        <v>3</v>
      </c>
      <c r="AL5" s="47" t="n">
        <f aca="false">ROUNDUP(AL4*1/12,0)</f>
        <v>3</v>
      </c>
      <c r="AM5" s="47" t="n">
        <f aca="false">ROUNDUP(AM4*1/12,0)</f>
        <v>4</v>
      </c>
      <c r="AN5" s="47" t="n">
        <f aca="false">ROUNDUP(AN4*1/12,0)</f>
        <v>4</v>
      </c>
      <c r="AO5" s="47" t="n">
        <f aca="false">ROUNDUP(AO4*1/12,0)</f>
        <v>4</v>
      </c>
      <c r="AP5" s="47" t="n">
        <f aca="false">ROUNDUP(AP4*1/12,0)</f>
        <v>4</v>
      </c>
      <c r="AQ5" s="47" t="n">
        <f aca="false">ROUNDUP(AQ4*1/12,0)</f>
        <v>4</v>
      </c>
      <c r="AR5" s="47" t="n">
        <f aca="false">ROUNDUP(AR4*1/12,0)</f>
        <v>4</v>
      </c>
      <c r="AS5" s="47" t="n">
        <f aca="false">ROUNDUP(AS4*1/12,0)</f>
        <v>4</v>
      </c>
      <c r="AT5" s="47" t="n">
        <f aca="false">ROUNDUP(AT4*1/12,0)</f>
        <v>4</v>
      </c>
      <c r="AU5" s="47" t="n">
        <f aca="false">ROUNDUP(AU4*1/12,0)</f>
        <v>4</v>
      </c>
      <c r="AV5" s="47" t="n">
        <f aca="false">ROUNDUP(AV4*1/12,0)</f>
        <v>4</v>
      </c>
      <c r="AW5" s="47" t="n">
        <f aca="false">ROUNDUP(AW4*1/12,0)</f>
        <v>4</v>
      </c>
      <c r="AX5" s="47" t="n">
        <f aca="false">ROUNDUP(AX4*1/12,0)</f>
        <v>4</v>
      </c>
      <c r="AY5" s="47" t="n">
        <f aca="false">ROUNDUP(AY4*1/12,0)</f>
        <v>5</v>
      </c>
      <c r="AZ5" s="47" t="n">
        <f aca="false">ROUNDUP(AZ4*1/12,0)</f>
        <v>5</v>
      </c>
      <c r="BA5" s="47" t="n">
        <f aca="false">ROUNDUP(BA4*1/12,0)</f>
        <v>5</v>
      </c>
      <c r="BB5" s="47" t="n">
        <f aca="false">ROUNDUP(BB4*1/12,0)</f>
        <v>5</v>
      </c>
      <c r="BC5" s="47" t="n">
        <f aca="false">ROUNDUP(BC4*1/12,0)</f>
        <v>5</v>
      </c>
      <c r="BD5" s="47" t="n">
        <f aca="false">ROUNDUP(BD4*1/12,0)</f>
        <v>5</v>
      </c>
      <c r="BE5" s="47" t="n">
        <f aca="false">ROUNDUP(BE4*1/12,0)</f>
        <v>5</v>
      </c>
      <c r="BF5" s="47" t="n">
        <f aca="false">ROUNDUP(BF4*1/12,0)</f>
        <v>5</v>
      </c>
      <c r="BG5" s="47" t="n">
        <f aca="false">ROUNDUP(BG4*1/12,0)</f>
        <v>5</v>
      </c>
      <c r="BH5" s="47" t="n">
        <f aca="false">ROUNDUP(BH4*1/12,0)</f>
        <v>5</v>
      </c>
      <c r="BI5" s="47" t="n">
        <f aca="false">ROUNDUP(BI4*1/12,0)</f>
        <v>5</v>
      </c>
      <c r="BJ5" s="47" t="n">
        <f aca="false">ROUNDUP(BJ4*1/12,0)</f>
        <v>5</v>
      </c>
    </row>
    <row r="7" customFormat="false" ht="15.75" hidden="false" customHeight="true" outlineLevel="0" collapsed="false">
      <c r="A7" s="7" t="s">
        <v>367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368</v>
      </c>
      <c r="C8" s="50" t="n">
        <f aca="false">Inputs!$E$42*(1+Inputs!$E$44)^(C$5-1)*MAX(0,MIN(1,C$4*1-Inputs!$E$45+1))/1</f>
        <v>1</v>
      </c>
      <c r="D8" s="50" t="n">
        <f aca="false">Inputs!$E$42*(1+Inputs!$E$44)^(D$5-1)*MAX(0,MIN(1,D$4*1-Inputs!$E$45+1))/1</f>
        <v>1</v>
      </c>
      <c r="E8" s="50" t="n">
        <f aca="false">Inputs!$E$42*(1+Inputs!$E$44)^(E$5-1)*MAX(0,MIN(1,E$4*1-Inputs!$E$45+1))/1</f>
        <v>1</v>
      </c>
      <c r="F8" s="50" t="n">
        <f aca="false">Inputs!$E$42*(1+Inputs!$E$44)^(F$5-1)*MAX(0,MIN(1,F$4*1-Inputs!$E$45+1))/1</f>
        <v>1</v>
      </c>
      <c r="G8" s="50" t="n">
        <f aca="false">Inputs!$E$42*(1+Inputs!$E$44)^(G$5-1)*MAX(0,MIN(1,G$4*1-Inputs!$E$45+1))/1</f>
        <v>1</v>
      </c>
      <c r="H8" s="50" t="n">
        <f aca="false">Inputs!$E$42*(1+Inputs!$E$44)^(H$5-1)*MAX(0,MIN(1,H$4*1-Inputs!$E$45+1))/1</f>
        <v>1</v>
      </c>
      <c r="I8" s="50" t="n">
        <f aca="false">Inputs!$E$42*(1+Inputs!$E$44)^(I$5-1)*MAX(0,MIN(1,I$4*1-Inputs!$E$45+1))/1</f>
        <v>1</v>
      </c>
      <c r="J8" s="50" t="n">
        <f aca="false">Inputs!$E$42*(1+Inputs!$E$44)^(J$5-1)*MAX(0,MIN(1,J$4*1-Inputs!$E$45+1))/1</f>
        <v>1</v>
      </c>
      <c r="K8" s="50" t="n">
        <f aca="false">Inputs!$E$42*(1+Inputs!$E$44)^(K$5-1)*MAX(0,MIN(1,K$4*1-Inputs!$E$45+1))/1</f>
        <v>1</v>
      </c>
      <c r="L8" s="50" t="n">
        <f aca="false">Inputs!$E$42*(1+Inputs!$E$44)^(L$5-1)*MAX(0,MIN(1,L$4*1-Inputs!$E$45+1))/1</f>
        <v>1</v>
      </c>
      <c r="M8" s="50" t="n">
        <f aca="false">Inputs!$E$42*(1+Inputs!$E$44)^(M$5-1)*MAX(0,MIN(1,M$4*1-Inputs!$E$45+1))/1</f>
        <v>1</v>
      </c>
      <c r="N8" s="50" t="n">
        <f aca="false">Inputs!$E$42*(1+Inputs!$E$44)^(N$5-1)*MAX(0,MIN(1,N$4*1-Inputs!$E$45+1))/1</f>
        <v>1</v>
      </c>
      <c r="O8" s="50" t="n">
        <f aca="false">Inputs!$E$42*(1+Inputs!$E$44)^(O$5-1)*MAX(0,MIN(1,O$4*1-Inputs!$E$45+1))/1</f>
        <v>1</v>
      </c>
      <c r="P8" s="50" t="n">
        <f aca="false">Inputs!$E$42*(1+Inputs!$E$44)^(P$5-1)*MAX(0,MIN(1,P$4*1-Inputs!$E$45+1))/1</f>
        <v>1</v>
      </c>
      <c r="Q8" s="50" t="n">
        <f aca="false">Inputs!$E$42*(1+Inputs!$E$44)^(Q$5-1)*MAX(0,MIN(1,Q$4*1-Inputs!$E$45+1))/1</f>
        <v>1</v>
      </c>
      <c r="R8" s="50" t="n">
        <f aca="false">Inputs!$E$42*(1+Inputs!$E$44)^(R$5-1)*MAX(0,MIN(1,R$4*1-Inputs!$E$45+1))/1</f>
        <v>1</v>
      </c>
      <c r="S8" s="50" t="n">
        <f aca="false">Inputs!$E$42*(1+Inputs!$E$44)^(S$5-1)*MAX(0,MIN(1,S$4*1-Inputs!$E$45+1))/1</f>
        <v>1</v>
      </c>
      <c r="T8" s="50" t="n">
        <f aca="false">Inputs!$E$42*(1+Inputs!$E$44)^(T$5-1)*MAX(0,MIN(1,T$4*1-Inputs!$E$45+1))/1</f>
        <v>1</v>
      </c>
      <c r="U8" s="50" t="n">
        <f aca="false">Inputs!$E$42*(1+Inputs!$E$44)^(U$5-1)*MAX(0,MIN(1,U$4*1-Inputs!$E$45+1))/1</f>
        <v>1</v>
      </c>
      <c r="V8" s="50" t="n">
        <f aca="false">Inputs!$E$42*(1+Inputs!$E$44)^(V$5-1)*MAX(0,MIN(1,V$4*1-Inputs!$E$45+1))/1</f>
        <v>1</v>
      </c>
      <c r="W8" s="50" t="n">
        <f aca="false">Inputs!$E$42*(1+Inputs!$E$44)^(W$5-1)*MAX(0,MIN(1,W$4*1-Inputs!$E$45+1))/1</f>
        <v>1</v>
      </c>
      <c r="X8" s="50" t="n">
        <f aca="false">Inputs!$E$42*(1+Inputs!$E$44)^(X$5-1)*MAX(0,MIN(1,X$4*1-Inputs!$E$45+1))/1</f>
        <v>1</v>
      </c>
      <c r="Y8" s="50" t="n">
        <f aca="false">Inputs!$E$42*(1+Inputs!$E$44)^(Y$5-1)*MAX(0,MIN(1,Y$4*1-Inputs!$E$45+1))/1</f>
        <v>1</v>
      </c>
      <c r="Z8" s="50" t="n">
        <f aca="false">Inputs!$E$42*(1+Inputs!$E$44)^(Z$5-1)*MAX(0,MIN(1,Z$4*1-Inputs!$E$45+1))/1</f>
        <v>1</v>
      </c>
      <c r="AA8" s="50" t="n">
        <f aca="false">Inputs!$E$42*(1+Inputs!$E$44)^(AA$5-1)*MAX(0,MIN(1,AA$4*1-Inputs!$E$45+1))/1</f>
        <v>1</v>
      </c>
      <c r="AB8" s="50" t="n">
        <f aca="false">Inputs!$E$42*(1+Inputs!$E$44)^(AB$5-1)*MAX(0,MIN(1,AB$4*1-Inputs!$E$45+1))/1</f>
        <v>1</v>
      </c>
      <c r="AC8" s="50" t="n">
        <f aca="false">Inputs!$E$42*(1+Inputs!$E$44)^(AC$5-1)*MAX(0,MIN(1,AC$4*1-Inputs!$E$45+1))/1</f>
        <v>1</v>
      </c>
      <c r="AD8" s="50" t="n">
        <f aca="false">Inputs!$E$42*(1+Inputs!$E$44)^(AD$5-1)*MAX(0,MIN(1,AD$4*1-Inputs!$E$45+1))/1</f>
        <v>1</v>
      </c>
      <c r="AE8" s="50" t="n">
        <f aca="false">Inputs!$E$42*(1+Inputs!$E$44)^(AE$5-1)*MAX(0,MIN(1,AE$4*1-Inputs!$E$45+1))/1</f>
        <v>1</v>
      </c>
      <c r="AF8" s="50" t="n">
        <f aca="false">Inputs!$E$42*(1+Inputs!$E$44)^(AF$5-1)*MAX(0,MIN(1,AF$4*1-Inputs!$E$45+1))/1</f>
        <v>1</v>
      </c>
      <c r="AG8" s="50" t="n">
        <f aca="false">Inputs!$E$42*(1+Inputs!$E$44)^(AG$5-1)*MAX(0,MIN(1,AG$4*1-Inputs!$E$45+1))/1</f>
        <v>1</v>
      </c>
      <c r="AH8" s="50" t="n">
        <f aca="false">Inputs!$E$42*(1+Inputs!$E$44)^(AH$5-1)*MAX(0,MIN(1,AH$4*1-Inputs!$E$45+1))/1</f>
        <v>1</v>
      </c>
      <c r="AI8" s="50" t="n">
        <f aca="false">Inputs!$E$42*(1+Inputs!$E$44)^(AI$5-1)*MAX(0,MIN(1,AI$4*1-Inputs!$E$45+1))/1</f>
        <v>1</v>
      </c>
      <c r="AJ8" s="50" t="n">
        <f aca="false">Inputs!$E$42*(1+Inputs!$E$44)^(AJ$5-1)*MAX(0,MIN(1,AJ$4*1-Inputs!$E$45+1))/1</f>
        <v>1</v>
      </c>
      <c r="AK8" s="50" t="n">
        <f aca="false">Inputs!$E$42*(1+Inputs!$E$44)^(AK$5-1)*MAX(0,MIN(1,AK$4*1-Inputs!$E$45+1))/1</f>
        <v>1</v>
      </c>
      <c r="AL8" s="50" t="n">
        <f aca="false">Inputs!$E$42*(1+Inputs!$E$44)^(AL$5-1)*MAX(0,MIN(1,AL$4*1-Inputs!$E$45+1))/1</f>
        <v>1</v>
      </c>
      <c r="AM8" s="50" t="n">
        <f aca="false">Inputs!$E$42*(1+Inputs!$E$44)^(AM$5-1)*MAX(0,MIN(1,AM$4*1-Inputs!$E$45+1))/1</f>
        <v>1</v>
      </c>
      <c r="AN8" s="50" t="n">
        <f aca="false">Inputs!$E$42*(1+Inputs!$E$44)^(AN$5-1)*MAX(0,MIN(1,AN$4*1-Inputs!$E$45+1))/1</f>
        <v>1</v>
      </c>
      <c r="AO8" s="50" t="n">
        <f aca="false">Inputs!$E$42*(1+Inputs!$E$44)^(AO$5-1)*MAX(0,MIN(1,AO$4*1-Inputs!$E$45+1))/1</f>
        <v>1</v>
      </c>
      <c r="AP8" s="50" t="n">
        <f aca="false">Inputs!$E$42*(1+Inputs!$E$44)^(AP$5-1)*MAX(0,MIN(1,AP$4*1-Inputs!$E$45+1))/1</f>
        <v>1</v>
      </c>
      <c r="AQ8" s="50" t="n">
        <f aca="false">Inputs!$E$42*(1+Inputs!$E$44)^(AQ$5-1)*MAX(0,MIN(1,AQ$4*1-Inputs!$E$45+1))/1</f>
        <v>1</v>
      </c>
      <c r="AR8" s="50" t="n">
        <f aca="false">Inputs!$E$42*(1+Inputs!$E$44)^(AR$5-1)*MAX(0,MIN(1,AR$4*1-Inputs!$E$45+1))/1</f>
        <v>1</v>
      </c>
      <c r="AS8" s="50" t="n">
        <f aca="false">Inputs!$E$42*(1+Inputs!$E$44)^(AS$5-1)*MAX(0,MIN(1,AS$4*1-Inputs!$E$45+1))/1</f>
        <v>1</v>
      </c>
      <c r="AT8" s="50" t="n">
        <f aca="false">Inputs!$E$42*(1+Inputs!$E$44)^(AT$5-1)*MAX(0,MIN(1,AT$4*1-Inputs!$E$45+1))/1</f>
        <v>1</v>
      </c>
      <c r="AU8" s="50" t="n">
        <f aca="false">Inputs!$E$42*(1+Inputs!$E$44)^(AU$5-1)*MAX(0,MIN(1,AU$4*1-Inputs!$E$45+1))/1</f>
        <v>1</v>
      </c>
      <c r="AV8" s="50" t="n">
        <f aca="false">Inputs!$E$42*(1+Inputs!$E$44)^(AV$5-1)*MAX(0,MIN(1,AV$4*1-Inputs!$E$45+1))/1</f>
        <v>1</v>
      </c>
      <c r="AW8" s="50" t="n">
        <f aca="false">Inputs!$E$42*(1+Inputs!$E$44)^(AW$5-1)*MAX(0,MIN(1,AW$4*1-Inputs!$E$45+1))/1</f>
        <v>1</v>
      </c>
      <c r="AX8" s="50" t="n">
        <f aca="false">Inputs!$E$42*(1+Inputs!$E$44)^(AX$5-1)*MAX(0,MIN(1,AX$4*1-Inputs!$E$45+1))/1</f>
        <v>1</v>
      </c>
      <c r="AY8" s="50" t="n">
        <f aca="false">Inputs!$E$42*(1+Inputs!$E$44)^(AY$5-1)*MAX(0,MIN(1,AY$4*1-Inputs!$E$45+1))/1</f>
        <v>1</v>
      </c>
      <c r="AZ8" s="50" t="n">
        <f aca="false">Inputs!$E$42*(1+Inputs!$E$44)^(AZ$5-1)*MAX(0,MIN(1,AZ$4*1-Inputs!$E$45+1))/1</f>
        <v>1</v>
      </c>
      <c r="BA8" s="50" t="n">
        <f aca="false">Inputs!$E$42*(1+Inputs!$E$44)^(BA$5-1)*MAX(0,MIN(1,BA$4*1-Inputs!$E$45+1))/1</f>
        <v>1</v>
      </c>
      <c r="BB8" s="50" t="n">
        <f aca="false">Inputs!$E$42*(1+Inputs!$E$44)^(BB$5-1)*MAX(0,MIN(1,BB$4*1-Inputs!$E$45+1))/1</f>
        <v>1</v>
      </c>
      <c r="BC8" s="50" t="n">
        <f aca="false">Inputs!$E$42*(1+Inputs!$E$44)^(BC$5-1)*MAX(0,MIN(1,BC$4*1-Inputs!$E$45+1))/1</f>
        <v>1</v>
      </c>
      <c r="BD8" s="50" t="n">
        <f aca="false">Inputs!$E$42*(1+Inputs!$E$44)^(BD$5-1)*MAX(0,MIN(1,BD$4*1-Inputs!$E$45+1))/1</f>
        <v>1</v>
      </c>
      <c r="BE8" s="50" t="n">
        <f aca="false">Inputs!$E$42*(1+Inputs!$E$44)^(BE$5-1)*MAX(0,MIN(1,BE$4*1-Inputs!$E$45+1))/1</f>
        <v>1</v>
      </c>
      <c r="BF8" s="50" t="n">
        <f aca="false">Inputs!$E$42*(1+Inputs!$E$44)^(BF$5-1)*MAX(0,MIN(1,BF$4*1-Inputs!$E$45+1))/1</f>
        <v>1</v>
      </c>
      <c r="BG8" s="50" t="n">
        <f aca="false">Inputs!$E$42*(1+Inputs!$E$44)^(BG$5-1)*MAX(0,MIN(1,BG$4*1-Inputs!$E$45+1))/1</f>
        <v>1</v>
      </c>
      <c r="BH8" s="50" t="n">
        <f aca="false">Inputs!$E$42*(1+Inputs!$E$44)^(BH$5-1)*MAX(0,MIN(1,BH$4*1-Inputs!$E$45+1))/1</f>
        <v>1</v>
      </c>
      <c r="BI8" s="50" t="n">
        <f aca="false">Inputs!$E$42*(1+Inputs!$E$44)^(BI$5-1)*MAX(0,MIN(1,BI$4*1-Inputs!$E$45+1))/1</f>
        <v>1</v>
      </c>
      <c r="BJ8" s="50" t="n">
        <f aca="false">Inputs!$E$42*(1+Inputs!$E$44)^(BJ$5-1)*MAX(0,MIN(1,BJ$4*1-Inputs!$E$45+1))/1</f>
        <v>1</v>
      </c>
    </row>
    <row r="9" customFormat="false" ht="15" hidden="false" customHeight="false" outlineLevel="0" collapsed="false">
      <c r="A9" s="6" t="s">
        <v>369</v>
      </c>
      <c r="C9" s="50" t="n">
        <f aca="false">Inputs!$E$46*(1+Inputs!$E$48)^(C$5-1)*MAX(0,MIN(1,C$4*1-Inputs!$E$49+1))/1</f>
        <v>3</v>
      </c>
      <c r="D9" s="50" t="n">
        <f aca="false">Inputs!$E$46*(1+Inputs!$E$48)^(D$5-1)*MAX(0,MIN(1,D$4*1-Inputs!$E$49+1))/1</f>
        <v>3</v>
      </c>
      <c r="E9" s="50" t="n">
        <f aca="false">Inputs!$E$46*(1+Inputs!$E$48)^(E$5-1)*MAX(0,MIN(1,E$4*1-Inputs!$E$49+1))/1</f>
        <v>3</v>
      </c>
      <c r="F9" s="50" t="n">
        <f aca="false">Inputs!$E$46*(1+Inputs!$E$48)^(F$5-1)*MAX(0,MIN(1,F$4*1-Inputs!$E$49+1))/1</f>
        <v>3</v>
      </c>
      <c r="G9" s="50" t="n">
        <f aca="false">Inputs!$E$46*(1+Inputs!$E$48)^(G$5-1)*MAX(0,MIN(1,G$4*1-Inputs!$E$49+1))/1</f>
        <v>3</v>
      </c>
      <c r="H9" s="50" t="n">
        <f aca="false">Inputs!$E$46*(1+Inputs!$E$48)^(H$5-1)*MAX(0,MIN(1,H$4*1-Inputs!$E$49+1))/1</f>
        <v>3</v>
      </c>
      <c r="I9" s="50" t="n">
        <f aca="false">Inputs!$E$46*(1+Inputs!$E$48)^(I$5-1)*MAX(0,MIN(1,I$4*1-Inputs!$E$49+1))/1</f>
        <v>3</v>
      </c>
      <c r="J9" s="50" t="n">
        <f aca="false">Inputs!$E$46*(1+Inputs!$E$48)^(J$5-1)*MAX(0,MIN(1,J$4*1-Inputs!$E$49+1))/1</f>
        <v>3</v>
      </c>
      <c r="K9" s="50" t="n">
        <f aca="false">Inputs!$E$46*(1+Inputs!$E$48)^(K$5-1)*MAX(0,MIN(1,K$4*1-Inputs!$E$49+1))/1</f>
        <v>3</v>
      </c>
      <c r="L9" s="50" t="n">
        <f aca="false">Inputs!$E$46*(1+Inputs!$E$48)^(L$5-1)*MAX(0,MIN(1,L$4*1-Inputs!$E$49+1))/1</f>
        <v>3</v>
      </c>
      <c r="M9" s="50" t="n">
        <f aca="false">Inputs!$E$46*(1+Inputs!$E$48)^(M$5-1)*MAX(0,MIN(1,M$4*1-Inputs!$E$49+1))/1</f>
        <v>3</v>
      </c>
      <c r="N9" s="50" t="n">
        <f aca="false">Inputs!$E$46*(1+Inputs!$E$48)^(N$5-1)*MAX(0,MIN(1,N$4*1-Inputs!$E$49+1))/1</f>
        <v>3</v>
      </c>
      <c r="O9" s="50" t="n">
        <f aca="false">Inputs!$E$46*(1+Inputs!$E$48)^(O$5-1)*MAX(0,MIN(1,O$4*1-Inputs!$E$49+1))/1</f>
        <v>3</v>
      </c>
      <c r="P9" s="50" t="n">
        <f aca="false">Inputs!$E$46*(1+Inputs!$E$48)^(P$5-1)*MAX(0,MIN(1,P$4*1-Inputs!$E$49+1))/1</f>
        <v>3</v>
      </c>
      <c r="Q9" s="50" t="n">
        <f aca="false">Inputs!$E$46*(1+Inputs!$E$48)^(Q$5-1)*MAX(0,MIN(1,Q$4*1-Inputs!$E$49+1))/1</f>
        <v>3</v>
      </c>
      <c r="R9" s="50" t="n">
        <f aca="false">Inputs!$E$46*(1+Inputs!$E$48)^(R$5-1)*MAX(0,MIN(1,R$4*1-Inputs!$E$49+1))/1</f>
        <v>3</v>
      </c>
      <c r="S9" s="50" t="n">
        <f aca="false">Inputs!$E$46*(1+Inputs!$E$48)^(S$5-1)*MAX(0,MIN(1,S$4*1-Inputs!$E$49+1))/1</f>
        <v>3</v>
      </c>
      <c r="T9" s="50" t="n">
        <f aca="false">Inputs!$E$46*(1+Inputs!$E$48)^(T$5-1)*MAX(0,MIN(1,T$4*1-Inputs!$E$49+1))/1</f>
        <v>3</v>
      </c>
      <c r="U9" s="50" t="n">
        <f aca="false">Inputs!$E$46*(1+Inputs!$E$48)^(U$5-1)*MAX(0,MIN(1,U$4*1-Inputs!$E$49+1))/1</f>
        <v>3</v>
      </c>
      <c r="V9" s="50" t="n">
        <f aca="false">Inputs!$E$46*(1+Inputs!$E$48)^(V$5-1)*MAX(0,MIN(1,V$4*1-Inputs!$E$49+1))/1</f>
        <v>3</v>
      </c>
      <c r="W9" s="50" t="n">
        <f aca="false">Inputs!$E$46*(1+Inputs!$E$48)^(W$5-1)*MAX(0,MIN(1,W$4*1-Inputs!$E$49+1))/1</f>
        <v>3</v>
      </c>
      <c r="X9" s="50" t="n">
        <f aca="false">Inputs!$E$46*(1+Inputs!$E$48)^(X$5-1)*MAX(0,MIN(1,X$4*1-Inputs!$E$49+1))/1</f>
        <v>3</v>
      </c>
      <c r="Y9" s="50" t="n">
        <f aca="false">Inputs!$E$46*(1+Inputs!$E$48)^(Y$5-1)*MAX(0,MIN(1,Y$4*1-Inputs!$E$49+1))/1</f>
        <v>3</v>
      </c>
      <c r="Z9" s="50" t="n">
        <f aca="false">Inputs!$E$46*(1+Inputs!$E$48)^(Z$5-1)*MAX(0,MIN(1,Z$4*1-Inputs!$E$49+1))/1</f>
        <v>3</v>
      </c>
      <c r="AA9" s="50" t="n">
        <f aca="false">Inputs!$E$46*(1+Inputs!$E$48)^(AA$5-1)*MAX(0,MIN(1,AA$4*1-Inputs!$E$49+1))/1</f>
        <v>3</v>
      </c>
      <c r="AB9" s="50" t="n">
        <f aca="false">Inputs!$E$46*(1+Inputs!$E$48)^(AB$5-1)*MAX(0,MIN(1,AB$4*1-Inputs!$E$49+1))/1</f>
        <v>3</v>
      </c>
      <c r="AC9" s="50" t="n">
        <f aca="false">Inputs!$E$46*(1+Inputs!$E$48)^(AC$5-1)*MAX(0,MIN(1,AC$4*1-Inputs!$E$49+1))/1</f>
        <v>3</v>
      </c>
      <c r="AD9" s="50" t="n">
        <f aca="false">Inputs!$E$46*(1+Inputs!$E$48)^(AD$5-1)*MAX(0,MIN(1,AD$4*1-Inputs!$E$49+1))/1</f>
        <v>3</v>
      </c>
      <c r="AE9" s="50" t="n">
        <f aca="false">Inputs!$E$46*(1+Inputs!$E$48)^(AE$5-1)*MAX(0,MIN(1,AE$4*1-Inputs!$E$49+1))/1</f>
        <v>3</v>
      </c>
      <c r="AF9" s="50" t="n">
        <f aca="false">Inputs!$E$46*(1+Inputs!$E$48)^(AF$5-1)*MAX(0,MIN(1,AF$4*1-Inputs!$E$49+1))/1</f>
        <v>3</v>
      </c>
      <c r="AG9" s="50" t="n">
        <f aca="false">Inputs!$E$46*(1+Inputs!$E$48)^(AG$5-1)*MAX(0,MIN(1,AG$4*1-Inputs!$E$49+1))/1</f>
        <v>3</v>
      </c>
      <c r="AH9" s="50" t="n">
        <f aca="false">Inputs!$E$46*(1+Inputs!$E$48)^(AH$5-1)*MAX(0,MIN(1,AH$4*1-Inputs!$E$49+1))/1</f>
        <v>3</v>
      </c>
      <c r="AI9" s="50" t="n">
        <f aca="false">Inputs!$E$46*(1+Inputs!$E$48)^(AI$5-1)*MAX(0,MIN(1,AI$4*1-Inputs!$E$49+1))/1</f>
        <v>3</v>
      </c>
      <c r="AJ9" s="50" t="n">
        <f aca="false">Inputs!$E$46*(1+Inputs!$E$48)^(AJ$5-1)*MAX(0,MIN(1,AJ$4*1-Inputs!$E$49+1))/1</f>
        <v>3</v>
      </c>
      <c r="AK9" s="50" t="n">
        <f aca="false">Inputs!$E$46*(1+Inputs!$E$48)^(AK$5-1)*MAX(0,MIN(1,AK$4*1-Inputs!$E$49+1))/1</f>
        <v>3</v>
      </c>
      <c r="AL9" s="50" t="n">
        <f aca="false">Inputs!$E$46*(1+Inputs!$E$48)^(AL$5-1)*MAX(0,MIN(1,AL$4*1-Inputs!$E$49+1))/1</f>
        <v>3</v>
      </c>
      <c r="AM9" s="50" t="n">
        <f aca="false">Inputs!$E$46*(1+Inputs!$E$48)^(AM$5-1)*MAX(0,MIN(1,AM$4*1-Inputs!$E$49+1))/1</f>
        <v>3</v>
      </c>
      <c r="AN9" s="50" t="n">
        <f aca="false">Inputs!$E$46*(1+Inputs!$E$48)^(AN$5-1)*MAX(0,MIN(1,AN$4*1-Inputs!$E$49+1))/1</f>
        <v>3</v>
      </c>
      <c r="AO9" s="50" t="n">
        <f aca="false">Inputs!$E$46*(1+Inputs!$E$48)^(AO$5-1)*MAX(0,MIN(1,AO$4*1-Inputs!$E$49+1))/1</f>
        <v>3</v>
      </c>
      <c r="AP9" s="50" t="n">
        <f aca="false">Inputs!$E$46*(1+Inputs!$E$48)^(AP$5-1)*MAX(0,MIN(1,AP$4*1-Inputs!$E$49+1))/1</f>
        <v>3</v>
      </c>
      <c r="AQ9" s="50" t="n">
        <f aca="false">Inputs!$E$46*(1+Inputs!$E$48)^(AQ$5-1)*MAX(0,MIN(1,AQ$4*1-Inputs!$E$49+1))/1</f>
        <v>3</v>
      </c>
      <c r="AR9" s="50" t="n">
        <f aca="false">Inputs!$E$46*(1+Inputs!$E$48)^(AR$5-1)*MAX(0,MIN(1,AR$4*1-Inputs!$E$49+1))/1</f>
        <v>3</v>
      </c>
      <c r="AS9" s="50" t="n">
        <f aca="false">Inputs!$E$46*(1+Inputs!$E$48)^(AS$5-1)*MAX(0,MIN(1,AS$4*1-Inputs!$E$49+1))/1</f>
        <v>3</v>
      </c>
      <c r="AT9" s="50" t="n">
        <f aca="false">Inputs!$E$46*(1+Inputs!$E$48)^(AT$5-1)*MAX(0,MIN(1,AT$4*1-Inputs!$E$49+1))/1</f>
        <v>3</v>
      </c>
      <c r="AU9" s="50" t="n">
        <f aca="false">Inputs!$E$46*(1+Inputs!$E$48)^(AU$5-1)*MAX(0,MIN(1,AU$4*1-Inputs!$E$49+1))/1</f>
        <v>3</v>
      </c>
      <c r="AV9" s="50" t="n">
        <f aca="false">Inputs!$E$46*(1+Inputs!$E$48)^(AV$5-1)*MAX(0,MIN(1,AV$4*1-Inputs!$E$49+1))/1</f>
        <v>3</v>
      </c>
      <c r="AW9" s="50" t="n">
        <f aca="false">Inputs!$E$46*(1+Inputs!$E$48)^(AW$5-1)*MAX(0,MIN(1,AW$4*1-Inputs!$E$49+1))/1</f>
        <v>3</v>
      </c>
      <c r="AX9" s="50" t="n">
        <f aca="false">Inputs!$E$46*(1+Inputs!$E$48)^(AX$5-1)*MAX(0,MIN(1,AX$4*1-Inputs!$E$49+1))/1</f>
        <v>3</v>
      </c>
      <c r="AY9" s="50" t="n">
        <f aca="false">Inputs!$E$46*(1+Inputs!$E$48)^(AY$5-1)*MAX(0,MIN(1,AY$4*1-Inputs!$E$49+1))/1</f>
        <v>3</v>
      </c>
      <c r="AZ9" s="50" t="n">
        <f aca="false">Inputs!$E$46*(1+Inputs!$E$48)^(AZ$5-1)*MAX(0,MIN(1,AZ$4*1-Inputs!$E$49+1))/1</f>
        <v>3</v>
      </c>
      <c r="BA9" s="50" t="n">
        <f aca="false">Inputs!$E$46*(1+Inputs!$E$48)^(BA$5-1)*MAX(0,MIN(1,BA$4*1-Inputs!$E$49+1))/1</f>
        <v>3</v>
      </c>
      <c r="BB9" s="50" t="n">
        <f aca="false">Inputs!$E$46*(1+Inputs!$E$48)^(BB$5-1)*MAX(0,MIN(1,BB$4*1-Inputs!$E$49+1))/1</f>
        <v>3</v>
      </c>
      <c r="BC9" s="50" t="n">
        <f aca="false">Inputs!$E$46*(1+Inputs!$E$48)^(BC$5-1)*MAX(0,MIN(1,BC$4*1-Inputs!$E$49+1))/1</f>
        <v>3</v>
      </c>
      <c r="BD9" s="50" t="n">
        <f aca="false">Inputs!$E$46*(1+Inputs!$E$48)^(BD$5-1)*MAX(0,MIN(1,BD$4*1-Inputs!$E$49+1))/1</f>
        <v>3</v>
      </c>
      <c r="BE9" s="50" t="n">
        <f aca="false">Inputs!$E$46*(1+Inputs!$E$48)^(BE$5-1)*MAX(0,MIN(1,BE$4*1-Inputs!$E$49+1))/1</f>
        <v>3</v>
      </c>
      <c r="BF9" s="50" t="n">
        <f aca="false">Inputs!$E$46*(1+Inputs!$E$48)^(BF$5-1)*MAX(0,MIN(1,BF$4*1-Inputs!$E$49+1))/1</f>
        <v>3</v>
      </c>
      <c r="BG9" s="50" t="n">
        <f aca="false">Inputs!$E$46*(1+Inputs!$E$48)^(BG$5-1)*MAX(0,MIN(1,BG$4*1-Inputs!$E$49+1))/1</f>
        <v>3</v>
      </c>
      <c r="BH9" s="50" t="n">
        <f aca="false">Inputs!$E$46*(1+Inputs!$E$48)^(BH$5-1)*MAX(0,MIN(1,BH$4*1-Inputs!$E$49+1))/1</f>
        <v>3</v>
      </c>
      <c r="BI9" s="50" t="n">
        <f aca="false">Inputs!$E$46*(1+Inputs!$E$48)^(BI$5-1)*MAX(0,MIN(1,BI$4*1-Inputs!$E$49+1))/1</f>
        <v>3</v>
      </c>
      <c r="BJ9" s="50" t="n">
        <f aca="false">Inputs!$E$46*(1+Inputs!$E$48)^(BJ$5-1)*MAX(0,MIN(1,BJ$4*1-Inputs!$E$49+1))/1</f>
        <v>3</v>
      </c>
    </row>
    <row r="10" customFormat="false" ht="15" hidden="false" customHeight="false" outlineLevel="0" collapsed="false">
      <c r="A10" s="83" t="s">
        <v>370</v>
      </c>
      <c r="C10" s="89" t="n">
        <f aca="false">C8+C9</f>
        <v>4</v>
      </c>
      <c r="D10" s="89" t="n">
        <f aca="false">D8+D9</f>
        <v>4</v>
      </c>
      <c r="E10" s="89" t="n">
        <f aca="false">E8+E9</f>
        <v>4</v>
      </c>
      <c r="F10" s="89" t="n">
        <f aca="false">F8+F9</f>
        <v>4</v>
      </c>
      <c r="G10" s="89" t="n">
        <f aca="false">G8+G9</f>
        <v>4</v>
      </c>
      <c r="H10" s="89" t="n">
        <f aca="false">H8+H9</f>
        <v>4</v>
      </c>
      <c r="I10" s="89" t="n">
        <f aca="false">I8+I9</f>
        <v>4</v>
      </c>
      <c r="J10" s="89" t="n">
        <f aca="false">J8+J9</f>
        <v>4</v>
      </c>
      <c r="K10" s="89" t="n">
        <f aca="false">K8+K9</f>
        <v>4</v>
      </c>
      <c r="L10" s="89" t="n">
        <f aca="false">L8+L9</f>
        <v>4</v>
      </c>
      <c r="M10" s="89" t="n">
        <f aca="false">M8+M9</f>
        <v>4</v>
      </c>
      <c r="N10" s="89" t="n">
        <f aca="false">N8+N9</f>
        <v>4</v>
      </c>
      <c r="O10" s="89" t="n">
        <f aca="false">O8+O9</f>
        <v>4</v>
      </c>
      <c r="P10" s="89" t="n">
        <f aca="false">P8+P9</f>
        <v>4</v>
      </c>
      <c r="Q10" s="89" t="n">
        <f aca="false">Q8+Q9</f>
        <v>4</v>
      </c>
      <c r="R10" s="89" t="n">
        <f aca="false">R8+R9</f>
        <v>4</v>
      </c>
      <c r="S10" s="89" t="n">
        <f aca="false">S8+S9</f>
        <v>4</v>
      </c>
      <c r="T10" s="89" t="n">
        <f aca="false">T8+T9</f>
        <v>4</v>
      </c>
      <c r="U10" s="89" t="n">
        <f aca="false">U8+U9</f>
        <v>4</v>
      </c>
      <c r="V10" s="89" t="n">
        <f aca="false">V8+V9</f>
        <v>4</v>
      </c>
      <c r="W10" s="89" t="n">
        <f aca="false">W8+W9</f>
        <v>4</v>
      </c>
      <c r="X10" s="89" t="n">
        <f aca="false">X8+X9</f>
        <v>4</v>
      </c>
      <c r="Y10" s="89" t="n">
        <f aca="false">Y8+Y9</f>
        <v>4</v>
      </c>
      <c r="Z10" s="89" t="n">
        <f aca="false">Z8+Z9</f>
        <v>4</v>
      </c>
      <c r="AA10" s="89" t="n">
        <f aca="false">AA8+AA9</f>
        <v>4</v>
      </c>
      <c r="AB10" s="89" t="n">
        <f aca="false">AB8+AB9</f>
        <v>4</v>
      </c>
      <c r="AC10" s="89" t="n">
        <f aca="false">AC8+AC9</f>
        <v>4</v>
      </c>
      <c r="AD10" s="89" t="n">
        <f aca="false">AD8+AD9</f>
        <v>4</v>
      </c>
      <c r="AE10" s="89" t="n">
        <f aca="false">AE8+AE9</f>
        <v>4</v>
      </c>
      <c r="AF10" s="89" t="n">
        <f aca="false">AF8+AF9</f>
        <v>4</v>
      </c>
      <c r="AG10" s="89" t="n">
        <f aca="false">AG8+AG9</f>
        <v>4</v>
      </c>
      <c r="AH10" s="89" t="n">
        <f aca="false">AH8+AH9</f>
        <v>4</v>
      </c>
      <c r="AI10" s="89" t="n">
        <f aca="false">AI8+AI9</f>
        <v>4</v>
      </c>
      <c r="AJ10" s="89" t="n">
        <f aca="false">AJ8+AJ9</f>
        <v>4</v>
      </c>
      <c r="AK10" s="89" t="n">
        <f aca="false">AK8+AK9</f>
        <v>4</v>
      </c>
      <c r="AL10" s="89" t="n">
        <f aca="false">AL8+AL9</f>
        <v>4</v>
      </c>
      <c r="AM10" s="89" t="n">
        <f aca="false">AM8+AM9</f>
        <v>4</v>
      </c>
      <c r="AN10" s="89" t="n">
        <f aca="false">AN8+AN9</f>
        <v>4</v>
      </c>
      <c r="AO10" s="89" t="n">
        <f aca="false">AO8+AO9</f>
        <v>4</v>
      </c>
      <c r="AP10" s="89" t="n">
        <f aca="false">AP8+AP9</f>
        <v>4</v>
      </c>
      <c r="AQ10" s="89" t="n">
        <f aca="false">AQ8+AQ9</f>
        <v>4</v>
      </c>
      <c r="AR10" s="89" t="n">
        <f aca="false">AR8+AR9</f>
        <v>4</v>
      </c>
      <c r="AS10" s="89" t="n">
        <f aca="false">AS8+AS9</f>
        <v>4</v>
      </c>
      <c r="AT10" s="89" t="n">
        <f aca="false">AT8+AT9</f>
        <v>4</v>
      </c>
      <c r="AU10" s="89" t="n">
        <f aca="false">AU8+AU9</f>
        <v>4</v>
      </c>
      <c r="AV10" s="89" t="n">
        <f aca="false">AV8+AV9</f>
        <v>4</v>
      </c>
      <c r="AW10" s="89" t="n">
        <f aca="false">AW8+AW9</f>
        <v>4</v>
      </c>
      <c r="AX10" s="89" t="n">
        <f aca="false">AX8+AX9</f>
        <v>4</v>
      </c>
      <c r="AY10" s="89" t="n">
        <f aca="false">AY8+AY9</f>
        <v>4</v>
      </c>
      <c r="AZ10" s="89" t="n">
        <f aca="false">AZ8+AZ9</f>
        <v>4</v>
      </c>
      <c r="BA10" s="89" t="n">
        <f aca="false">BA8+BA9</f>
        <v>4</v>
      </c>
      <c r="BB10" s="89" t="n">
        <f aca="false">BB8+BB9</f>
        <v>4</v>
      </c>
      <c r="BC10" s="89" t="n">
        <f aca="false">BC8+BC9</f>
        <v>4</v>
      </c>
      <c r="BD10" s="89" t="n">
        <f aca="false">BD8+BD9</f>
        <v>4</v>
      </c>
      <c r="BE10" s="89" t="n">
        <f aca="false">BE8+BE9</f>
        <v>4</v>
      </c>
      <c r="BF10" s="89" t="n">
        <f aca="false">BF8+BF9</f>
        <v>4</v>
      </c>
      <c r="BG10" s="89" t="n">
        <f aca="false">BG8+BG9</f>
        <v>4</v>
      </c>
      <c r="BH10" s="89" t="n">
        <f aca="false">BH8+BH9</f>
        <v>4</v>
      </c>
      <c r="BI10" s="89" t="n">
        <f aca="false">BI8+BI9</f>
        <v>4</v>
      </c>
      <c r="BJ10" s="89" t="n">
        <f aca="false">BJ8+BJ9</f>
        <v>4</v>
      </c>
    </row>
    <row r="12" customFormat="false" ht="15.75" hidden="false" customHeight="true" outlineLevel="0" collapsed="false">
      <c r="A12" s="7" t="s">
        <v>371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372</v>
      </c>
      <c r="C13" s="59" t="n">
        <f aca="false">-C8*Inputs!$E$43/12*1*(1+Inputs!$E$50)*(1+Inputs!$E$51)^(C$5-1)</f>
        <v>-5041.66666666667</v>
      </c>
      <c r="D13" s="59" t="n">
        <f aca="false">-D8*Inputs!$E$43/12*1*(1+Inputs!$E$50)*(1+Inputs!$E$51)^(D$5-1)</f>
        <v>-5041.66666666667</v>
      </c>
      <c r="E13" s="59" t="n">
        <f aca="false">-E8*Inputs!$E$43/12*1*(1+Inputs!$E$50)*(1+Inputs!$E$51)^(E$5-1)</f>
        <v>-5041.66666666667</v>
      </c>
      <c r="F13" s="59" t="n">
        <f aca="false">-F8*Inputs!$E$43/12*1*(1+Inputs!$E$50)*(1+Inputs!$E$51)^(F$5-1)</f>
        <v>-5041.66666666667</v>
      </c>
      <c r="G13" s="59" t="n">
        <f aca="false">-G8*Inputs!$E$43/12*1*(1+Inputs!$E$50)*(1+Inputs!$E$51)^(G$5-1)</f>
        <v>-5041.66666666667</v>
      </c>
      <c r="H13" s="59" t="n">
        <f aca="false">-H8*Inputs!$E$43/12*1*(1+Inputs!$E$50)*(1+Inputs!$E$51)^(H$5-1)</f>
        <v>-5041.66666666667</v>
      </c>
      <c r="I13" s="59" t="n">
        <f aca="false">-I8*Inputs!$E$43/12*1*(1+Inputs!$E$50)*(1+Inputs!$E$51)^(I$5-1)</f>
        <v>-5041.66666666667</v>
      </c>
      <c r="J13" s="59" t="n">
        <f aca="false">-J8*Inputs!$E$43/12*1*(1+Inputs!$E$50)*(1+Inputs!$E$51)^(J$5-1)</f>
        <v>-5041.66666666667</v>
      </c>
      <c r="K13" s="59" t="n">
        <f aca="false">-K8*Inputs!$E$43/12*1*(1+Inputs!$E$50)*(1+Inputs!$E$51)^(K$5-1)</f>
        <v>-5041.66666666667</v>
      </c>
      <c r="L13" s="59" t="n">
        <f aca="false">-L8*Inputs!$E$43/12*1*(1+Inputs!$E$50)*(1+Inputs!$E$51)^(L$5-1)</f>
        <v>-5041.66666666667</v>
      </c>
      <c r="M13" s="59" t="n">
        <f aca="false">-M8*Inputs!$E$43/12*1*(1+Inputs!$E$50)*(1+Inputs!$E$51)^(M$5-1)</f>
        <v>-5041.66666666667</v>
      </c>
      <c r="N13" s="59" t="n">
        <f aca="false">-N8*Inputs!$E$43/12*1*(1+Inputs!$E$50)*(1+Inputs!$E$51)^(N$5-1)</f>
        <v>-5041.66666666667</v>
      </c>
      <c r="O13" s="59" t="n">
        <f aca="false">-O8*Inputs!$E$43/12*1*(1+Inputs!$E$50)*(1+Inputs!$E$51)^(O$5-1)</f>
        <v>-5192.91666666667</v>
      </c>
      <c r="P13" s="59" t="n">
        <f aca="false">-P8*Inputs!$E$43/12*1*(1+Inputs!$E$50)*(1+Inputs!$E$51)^(P$5-1)</f>
        <v>-5192.91666666667</v>
      </c>
      <c r="Q13" s="59" t="n">
        <f aca="false">-Q8*Inputs!$E$43/12*1*(1+Inputs!$E$50)*(1+Inputs!$E$51)^(Q$5-1)</f>
        <v>-5192.91666666667</v>
      </c>
      <c r="R13" s="59" t="n">
        <f aca="false">-R8*Inputs!$E$43/12*1*(1+Inputs!$E$50)*(1+Inputs!$E$51)^(R$5-1)</f>
        <v>-5192.91666666667</v>
      </c>
      <c r="S13" s="59" t="n">
        <f aca="false">-S8*Inputs!$E$43/12*1*(1+Inputs!$E$50)*(1+Inputs!$E$51)^(S$5-1)</f>
        <v>-5192.91666666667</v>
      </c>
      <c r="T13" s="59" t="n">
        <f aca="false">-T8*Inputs!$E$43/12*1*(1+Inputs!$E$50)*(1+Inputs!$E$51)^(T$5-1)</f>
        <v>-5192.91666666667</v>
      </c>
      <c r="U13" s="59" t="n">
        <f aca="false">-U8*Inputs!$E$43/12*1*(1+Inputs!$E$50)*(1+Inputs!$E$51)^(U$5-1)</f>
        <v>-5192.91666666667</v>
      </c>
      <c r="V13" s="59" t="n">
        <f aca="false">-V8*Inputs!$E$43/12*1*(1+Inputs!$E$50)*(1+Inputs!$E$51)^(V$5-1)</f>
        <v>-5192.91666666667</v>
      </c>
      <c r="W13" s="59" t="n">
        <f aca="false">-W8*Inputs!$E$43/12*1*(1+Inputs!$E$50)*(1+Inputs!$E$51)^(W$5-1)</f>
        <v>-5192.91666666667</v>
      </c>
      <c r="X13" s="59" t="n">
        <f aca="false">-X8*Inputs!$E$43/12*1*(1+Inputs!$E$50)*(1+Inputs!$E$51)^(X$5-1)</f>
        <v>-5192.91666666667</v>
      </c>
      <c r="Y13" s="59" t="n">
        <f aca="false">-Y8*Inputs!$E$43/12*1*(1+Inputs!$E$50)*(1+Inputs!$E$51)^(Y$5-1)</f>
        <v>-5192.91666666667</v>
      </c>
      <c r="Z13" s="59" t="n">
        <f aca="false">-Z8*Inputs!$E$43/12*1*(1+Inputs!$E$50)*(1+Inputs!$E$51)^(Z$5-1)</f>
        <v>-5192.91666666667</v>
      </c>
      <c r="AA13" s="59" t="n">
        <f aca="false">-AA8*Inputs!$E$43/12*1*(1+Inputs!$E$50)*(1+Inputs!$E$51)^(AA$5-1)</f>
        <v>-5348.70416666667</v>
      </c>
      <c r="AB13" s="59" t="n">
        <f aca="false">-AB8*Inputs!$E$43/12*1*(1+Inputs!$E$50)*(1+Inputs!$E$51)^(AB$5-1)</f>
        <v>-5348.70416666667</v>
      </c>
      <c r="AC13" s="59" t="n">
        <f aca="false">-AC8*Inputs!$E$43/12*1*(1+Inputs!$E$50)*(1+Inputs!$E$51)^(AC$5-1)</f>
        <v>-5348.70416666667</v>
      </c>
      <c r="AD13" s="59" t="n">
        <f aca="false">-AD8*Inputs!$E$43/12*1*(1+Inputs!$E$50)*(1+Inputs!$E$51)^(AD$5-1)</f>
        <v>-5348.70416666667</v>
      </c>
      <c r="AE13" s="59" t="n">
        <f aca="false">-AE8*Inputs!$E$43/12*1*(1+Inputs!$E$50)*(1+Inputs!$E$51)^(AE$5-1)</f>
        <v>-5348.70416666667</v>
      </c>
      <c r="AF13" s="59" t="n">
        <f aca="false">-AF8*Inputs!$E$43/12*1*(1+Inputs!$E$50)*(1+Inputs!$E$51)^(AF$5-1)</f>
        <v>-5348.70416666667</v>
      </c>
      <c r="AG13" s="59" t="n">
        <f aca="false">-AG8*Inputs!$E$43/12*1*(1+Inputs!$E$50)*(1+Inputs!$E$51)^(AG$5-1)</f>
        <v>-5348.70416666667</v>
      </c>
      <c r="AH13" s="59" t="n">
        <f aca="false">-AH8*Inputs!$E$43/12*1*(1+Inputs!$E$50)*(1+Inputs!$E$51)^(AH$5-1)</f>
        <v>-5348.70416666667</v>
      </c>
      <c r="AI13" s="59" t="n">
        <f aca="false">-AI8*Inputs!$E$43/12*1*(1+Inputs!$E$50)*(1+Inputs!$E$51)^(AI$5-1)</f>
        <v>-5348.70416666667</v>
      </c>
      <c r="AJ13" s="59" t="n">
        <f aca="false">-AJ8*Inputs!$E$43/12*1*(1+Inputs!$E$50)*(1+Inputs!$E$51)^(AJ$5-1)</f>
        <v>-5348.70416666667</v>
      </c>
      <c r="AK13" s="59" t="n">
        <f aca="false">-AK8*Inputs!$E$43/12*1*(1+Inputs!$E$50)*(1+Inputs!$E$51)^(AK$5-1)</f>
        <v>-5348.70416666667</v>
      </c>
      <c r="AL13" s="59" t="n">
        <f aca="false">-AL8*Inputs!$E$43/12*1*(1+Inputs!$E$50)*(1+Inputs!$E$51)^(AL$5-1)</f>
        <v>-5348.70416666667</v>
      </c>
      <c r="AM13" s="59" t="n">
        <f aca="false">-AM8*Inputs!$E$43/12*1*(1+Inputs!$E$50)*(1+Inputs!$E$51)^(AM$5-1)</f>
        <v>-5509.16529166667</v>
      </c>
      <c r="AN13" s="59" t="n">
        <f aca="false">-AN8*Inputs!$E$43/12*1*(1+Inputs!$E$50)*(1+Inputs!$E$51)^(AN$5-1)</f>
        <v>-5509.16529166667</v>
      </c>
      <c r="AO13" s="59" t="n">
        <f aca="false">-AO8*Inputs!$E$43/12*1*(1+Inputs!$E$50)*(1+Inputs!$E$51)^(AO$5-1)</f>
        <v>-5509.16529166667</v>
      </c>
      <c r="AP13" s="59" t="n">
        <f aca="false">-AP8*Inputs!$E$43/12*1*(1+Inputs!$E$50)*(1+Inputs!$E$51)^(AP$5-1)</f>
        <v>-5509.16529166667</v>
      </c>
      <c r="AQ13" s="59" t="n">
        <f aca="false">-AQ8*Inputs!$E$43/12*1*(1+Inputs!$E$50)*(1+Inputs!$E$51)^(AQ$5-1)</f>
        <v>-5509.16529166667</v>
      </c>
      <c r="AR13" s="59" t="n">
        <f aca="false">-AR8*Inputs!$E$43/12*1*(1+Inputs!$E$50)*(1+Inputs!$E$51)^(AR$5-1)</f>
        <v>-5509.16529166667</v>
      </c>
      <c r="AS13" s="59" t="n">
        <f aca="false">-AS8*Inputs!$E$43/12*1*(1+Inputs!$E$50)*(1+Inputs!$E$51)^(AS$5-1)</f>
        <v>-5509.16529166667</v>
      </c>
      <c r="AT13" s="59" t="n">
        <f aca="false">-AT8*Inputs!$E$43/12*1*(1+Inputs!$E$50)*(1+Inputs!$E$51)^(AT$5-1)</f>
        <v>-5509.16529166667</v>
      </c>
      <c r="AU13" s="59" t="n">
        <f aca="false">-AU8*Inputs!$E$43/12*1*(1+Inputs!$E$50)*(1+Inputs!$E$51)^(AU$5-1)</f>
        <v>-5509.16529166667</v>
      </c>
      <c r="AV13" s="59" t="n">
        <f aca="false">-AV8*Inputs!$E$43/12*1*(1+Inputs!$E$50)*(1+Inputs!$E$51)^(AV$5-1)</f>
        <v>-5509.16529166667</v>
      </c>
      <c r="AW13" s="59" t="n">
        <f aca="false">-AW8*Inputs!$E$43/12*1*(1+Inputs!$E$50)*(1+Inputs!$E$51)^(AW$5-1)</f>
        <v>-5509.16529166667</v>
      </c>
      <c r="AX13" s="59" t="n">
        <f aca="false">-AX8*Inputs!$E$43/12*1*(1+Inputs!$E$50)*(1+Inputs!$E$51)^(AX$5-1)</f>
        <v>-5509.16529166667</v>
      </c>
      <c r="AY13" s="59" t="n">
        <f aca="false">-AY8*Inputs!$E$43/12*1*(1+Inputs!$E$50)*(1+Inputs!$E$51)^(AY$5-1)</f>
        <v>-5674.44025041667</v>
      </c>
      <c r="AZ13" s="59" t="n">
        <f aca="false">-AZ8*Inputs!$E$43/12*1*(1+Inputs!$E$50)*(1+Inputs!$E$51)^(AZ$5-1)</f>
        <v>-5674.44025041667</v>
      </c>
      <c r="BA13" s="59" t="n">
        <f aca="false">-BA8*Inputs!$E$43/12*1*(1+Inputs!$E$50)*(1+Inputs!$E$51)^(BA$5-1)</f>
        <v>-5674.44025041667</v>
      </c>
      <c r="BB13" s="59" t="n">
        <f aca="false">-BB8*Inputs!$E$43/12*1*(1+Inputs!$E$50)*(1+Inputs!$E$51)^(BB$5-1)</f>
        <v>-5674.44025041667</v>
      </c>
      <c r="BC13" s="59" t="n">
        <f aca="false">-BC8*Inputs!$E$43/12*1*(1+Inputs!$E$50)*(1+Inputs!$E$51)^(BC$5-1)</f>
        <v>-5674.44025041667</v>
      </c>
      <c r="BD13" s="59" t="n">
        <f aca="false">-BD8*Inputs!$E$43/12*1*(1+Inputs!$E$50)*(1+Inputs!$E$51)^(BD$5-1)</f>
        <v>-5674.44025041667</v>
      </c>
      <c r="BE13" s="59" t="n">
        <f aca="false">-BE8*Inputs!$E$43/12*1*(1+Inputs!$E$50)*(1+Inputs!$E$51)^(BE$5-1)</f>
        <v>-5674.44025041667</v>
      </c>
      <c r="BF13" s="59" t="n">
        <f aca="false">-BF8*Inputs!$E$43/12*1*(1+Inputs!$E$50)*(1+Inputs!$E$51)^(BF$5-1)</f>
        <v>-5674.44025041667</v>
      </c>
      <c r="BG13" s="59" t="n">
        <f aca="false">-BG8*Inputs!$E$43/12*1*(1+Inputs!$E$50)*(1+Inputs!$E$51)^(BG$5-1)</f>
        <v>-5674.44025041667</v>
      </c>
      <c r="BH13" s="59" t="n">
        <f aca="false">-BH8*Inputs!$E$43/12*1*(1+Inputs!$E$50)*(1+Inputs!$E$51)^(BH$5-1)</f>
        <v>-5674.44025041667</v>
      </c>
      <c r="BI13" s="59" t="n">
        <f aca="false">-BI8*Inputs!$E$43/12*1*(1+Inputs!$E$50)*(1+Inputs!$E$51)^(BI$5-1)</f>
        <v>-5674.44025041667</v>
      </c>
      <c r="BJ13" s="59" t="n">
        <f aca="false">-BJ8*Inputs!$E$43/12*1*(1+Inputs!$E$50)*(1+Inputs!$E$51)^(BJ$5-1)</f>
        <v>-5674.44025041667</v>
      </c>
    </row>
    <row r="14" customFormat="false" ht="15" hidden="false" customHeight="false" outlineLevel="0" collapsed="false">
      <c r="A14" s="6" t="s">
        <v>373</v>
      </c>
      <c r="C14" s="59" t="n">
        <f aca="false">-C9*Inputs!$E$47/12*1*(1+Inputs!$E$50)*(1+Inputs!$E$51)^(C$5-1)</f>
        <v>-8800</v>
      </c>
      <c r="D14" s="59" t="n">
        <f aca="false">-D9*Inputs!$E$47/12*1*(1+Inputs!$E$50)*(1+Inputs!$E$51)^(D$5-1)</f>
        <v>-8800</v>
      </c>
      <c r="E14" s="59" t="n">
        <f aca="false">-E9*Inputs!$E$47/12*1*(1+Inputs!$E$50)*(1+Inputs!$E$51)^(E$5-1)</f>
        <v>-8800</v>
      </c>
      <c r="F14" s="59" t="n">
        <f aca="false">-F9*Inputs!$E$47/12*1*(1+Inputs!$E$50)*(1+Inputs!$E$51)^(F$5-1)</f>
        <v>-8800</v>
      </c>
      <c r="G14" s="59" t="n">
        <f aca="false">-G9*Inputs!$E$47/12*1*(1+Inputs!$E$50)*(1+Inputs!$E$51)^(G$5-1)</f>
        <v>-8800</v>
      </c>
      <c r="H14" s="59" t="n">
        <f aca="false">-H9*Inputs!$E$47/12*1*(1+Inputs!$E$50)*(1+Inputs!$E$51)^(H$5-1)</f>
        <v>-8800</v>
      </c>
      <c r="I14" s="59" t="n">
        <f aca="false">-I9*Inputs!$E$47/12*1*(1+Inputs!$E$50)*(1+Inputs!$E$51)^(I$5-1)</f>
        <v>-8800</v>
      </c>
      <c r="J14" s="59" t="n">
        <f aca="false">-J9*Inputs!$E$47/12*1*(1+Inputs!$E$50)*(1+Inputs!$E$51)^(J$5-1)</f>
        <v>-8800</v>
      </c>
      <c r="K14" s="59" t="n">
        <f aca="false">-K9*Inputs!$E$47/12*1*(1+Inputs!$E$50)*(1+Inputs!$E$51)^(K$5-1)</f>
        <v>-8800</v>
      </c>
      <c r="L14" s="59" t="n">
        <f aca="false">-L9*Inputs!$E$47/12*1*(1+Inputs!$E$50)*(1+Inputs!$E$51)^(L$5-1)</f>
        <v>-8800</v>
      </c>
      <c r="M14" s="59" t="n">
        <f aca="false">-M9*Inputs!$E$47/12*1*(1+Inputs!$E$50)*(1+Inputs!$E$51)^(M$5-1)</f>
        <v>-8800</v>
      </c>
      <c r="N14" s="59" t="n">
        <f aca="false">-N9*Inputs!$E$47/12*1*(1+Inputs!$E$50)*(1+Inputs!$E$51)^(N$5-1)</f>
        <v>-8800</v>
      </c>
      <c r="O14" s="59" t="n">
        <f aca="false">-O9*Inputs!$E$47/12*1*(1+Inputs!$E$50)*(1+Inputs!$E$51)^(O$5-1)</f>
        <v>-9064</v>
      </c>
      <c r="P14" s="59" t="n">
        <f aca="false">-P9*Inputs!$E$47/12*1*(1+Inputs!$E$50)*(1+Inputs!$E$51)^(P$5-1)</f>
        <v>-9064</v>
      </c>
      <c r="Q14" s="59" t="n">
        <f aca="false">-Q9*Inputs!$E$47/12*1*(1+Inputs!$E$50)*(1+Inputs!$E$51)^(Q$5-1)</f>
        <v>-9064</v>
      </c>
      <c r="R14" s="59" t="n">
        <f aca="false">-R9*Inputs!$E$47/12*1*(1+Inputs!$E$50)*(1+Inputs!$E$51)^(R$5-1)</f>
        <v>-9064</v>
      </c>
      <c r="S14" s="59" t="n">
        <f aca="false">-S9*Inputs!$E$47/12*1*(1+Inputs!$E$50)*(1+Inputs!$E$51)^(S$5-1)</f>
        <v>-9064</v>
      </c>
      <c r="T14" s="59" t="n">
        <f aca="false">-T9*Inputs!$E$47/12*1*(1+Inputs!$E$50)*(1+Inputs!$E$51)^(T$5-1)</f>
        <v>-9064</v>
      </c>
      <c r="U14" s="59" t="n">
        <f aca="false">-U9*Inputs!$E$47/12*1*(1+Inputs!$E$50)*(1+Inputs!$E$51)^(U$5-1)</f>
        <v>-9064</v>
      </c>
      <c r="V14" s="59" t="n">
        <f aca="false">-V9*Inputs!$E$47/12*1*(1+Inputs!$E$50)*(1+Inputs!$E$51)^(V$5-1)</f>
        <v>-9064</v>
      </c>
      <c r="W14" s="59" t="n">
        <f aca="false">-W9*Inputs!$E$47/12*1*(1+Inputs!$E$50)*(1+Inputs!$E$51)^(W$5-1)</f>
        <v>-9064</v>
      </c>
      <c r="X14" s="59" t="n">
        <f aca="false">-X9*Inputs!$E$47/12*1*(1+Inputs!$E$50)*(1+Inputs!$E$51)^(X$5-1)</f>
        <v>-9064</v>
      </c>
      <c r="Y14" s="59" t="n">
        <f aca="false">-Y9*Inputs!$E$47/12*1*(1+Inputs!$E$50)*(1+Inputs!$E$51)^(Y$5-1)</f>
        <v>-9064</v>
      </c>
      <c r="Z14" s="59" t="n">
        <f aca="false">-Z9*Inputs!$E$47/12*1*(1+Inputs!$E$50)*(1+Inputs!$E$51)^(Z$5-1)</f>
        <v>-9064</v>
      </c>
      <c r="AA14" s="59" t="n">
        <f aca="false">-AA9*Inputs!$E$47/12*1*(1+Inputs!$E$50)*(1+Inputs!$E$51)^(AA$5-1)</f>
        <v>-9335.92</v>
      </c>
      <c r="AB14" s="59" t="n">
        <f aca="false">-AB9*Inputs!$E$47/12*1*(1+Inputs!$E$50)*(1+Inputs!$E$51)^(AB$5-1)</f>
        <v>-9335.92</v>
      </c>
      <c r="AC14" s="59" t="n">
        <f aca="false">-AC9*Inputs!$E$47/12*1*(1+Inputs!$E$50)*(1+Inputs!$E$51)^(AC$5-1)</f>
        <v>-9335.92</v>
      </c>
      <c r="AD14" s="59" t="n">
        <f aca="false">-AD9*Inputs!$E$47/12*1*(1+Inputs!$E$50)*(1+Inputs!$E$51)^(AD$5-1)</f>
        <v>-9335.92</v>
      </c>
      <c r="AE14" s="59" t="n">
        <f aca="false">-AE9*Inputs!$E$47/12*1*(1+Inputs!$E$50)*(1+Inputs!$E$51)^(AE$5-1)</f>
        <v>-9335.92</v>
      </c>
      <c r="AF14" s="59" t="n">
        <f aca="false">-AF9*Inputs!$E$47/12*1*(1+Inputs!$E$50)*(1+Inputs!$E$51)^(AF$5-1)</f>
        <v>-9335.92</v>
      </c>
      <c r="AG14" s="59" t="n">
        <f aca="false">-AG9*Inputs!$E$47/12*1*(1+Inputs!$E$50)*(1+Inputs!$E$51)^(AG$5-1)</f>
        <v>-9335.92</v>
      </c>
      <c r="AH14" s="59" t="n">
        <f aca="false">-AH9*Inputs!$E$47/12*1*(1+Inputs!$E$50)*(1+Inputs!$E$51)^(AH$5-1)</f>
        <v>-9335.92</v>
      </c>
      <c r="AI14" s="59" t="n">
        <f aca="false">-AI9*Inputs!$E$47/12*1*(1+Inputs!$E$50)*(1+Inputs!$E$51)^(AI$5-1)</f>
        <v>-9335.92</v>
      </c>
      <c r="AJ14" s="59" t="n">
        <f aca="false">-AJ9*Inputs!$E$47/12*1*(1+Inputs!$E$50)*(1+Inputs!$E$51)^(AJ$5-1)</f>
        <v>-9335.92</v>
      </c>
      <c r="AK14" s="59" t="n">
        <f aca="false">-AK9*Inputs!$E$47/12*1*(1+Inputs!$E$50)*(1+Inputs!$E$51)^(AK$5-1)</f>
        <v>-9335.92</v>
      </c>
      <c r="AL14" s="59" t="n">
        <f aca="false">-AL9*Inputs!$E$47/12*1*(1+Inputs!$E$50)*(1+Inputs!$E$51)^(AL$5-1)</f>
        <v>-9335.92</v>
      </c>
      <c r="AM14" s="59" t="n">
        <f aca="false">-AM9*Inputs!$E$47/12*1*(1+Inputs!$E$50)*(1+Inputs!$E$51)^(AM$5-1)</f>
        <v>-9615.9976</v>
      </c>
      <c r="AN14" s="59" t="n">
        <f aca="false">-AN9*Inputs!$E$47/12*1*(1+Inputs!$E$50)*(1+Inputs!$E$51)^(AN$5-1)</f>
        <v>-9615.9976</v>
      </c>
      <c r="AO14" s="59" t="n">
        <f aca="false">-AO9*Inputs!$E$47/12*1*(1+Inputs!$E$50)*(1+Inputs!$E$51)^(AO$5-1)</f>
        <v>-9615.9976</v>
      </c>
      <c r="AP14" s="59" t="n">
        <f aca="false">-AP9*Inputs!$E$47/12*1*(1+Inputs!$E$50)*(1+Inputs!$E$51)^(AP$5-1)</f>
        <v>-9615.9976</v>
      </c>
      <c r="AQ14" s="59" t="n">
        <f aca="false">-AQ9*Inputs!$E$47/12*1*(1+Inputs!$E$50)*(1+Inputs!$E$51)^(AQ$5-1)</f>
        <v>-9615.9976</v>
      </c>
      <c r="AR14" s="59" t="n">
        <f aca="false">-AR9*Inputs!$E$47/12*1*(1+Inputs!$E$50)*(1+Inputs!$E$51)^(AR$5-1)</f>
        <v>-9615.9976</v>
      </c>
      <c r="AS14" s="59" t="n">
        <f aca="false">-AS9*Inputs!$E$47/12*1*(1+Inputs!$E$50)*(1+Inputs!$E$51)^(AS$5-1)</f>
        <v>-9615.9976</v>
      </c>
      <c r="AT14" s="59" t="n">
        <f aca="false">-AT9*Inputs!$E$47/12*1*(1+Inputs!$E$50)*(1+Inputs!$E$51)^(AT$5-1)</f>
        <v>-9615.9976</v>
      </c>
      <c r="AU14" s="59" t="n">
        <f aca="false">-AU9*Inputs!$E$47/12*1*(1+Inputs!$E$50)*(1+Inputs!$E$51)^(AU$5-1)</f>
        <v>-9615.9976</v>
      </c>
      <c r="AV14" s="59" t="n">
        <f aca="false">-AV9*Inputs!$E$47/12*1*(1+Inputs!$E$50)*(1+Inputs!$E$51)^(AV$5-1)</f>
        <v>-9615.9976</v>
      </c>
      <c r="AW14" s="59" t="n">
        <f aca="false">-AW9*Inputs!$E$47/12*1*(1+Inputs!$E$50)*(1+Inputs!$E$51)^(AW$5-1)</f>
        <v>-9615.9976</v>
      </c>
      <c r="AX14" s="59" t="n">
        <f aca="false">-AX9*Inputs!$E$47/12*1*(1+Inputs!$E$50)*(1+Inputs!$E$51)^(AX$5-1)</f>
        <v>-9615.9976</v>
      </c>
      <c r="AY14" s="59" t="n">
        <f aca="false">-AY9*Inputs!$E$47/12*1*(1+Inputs!$E$50)*(1+Inputs!$E$51)^(AY$5-1)</f>
        <v>-9904.477528</v>
      </c>
      <c r="AZ14" s="59" t="n">
        <f aca="false">-AZ9*Inputs!$E$47/12*1*(1+Inputs!$E$50)*(1+Inputs!$E$51)^(AZ$5-1)</f>
        <v>-9904.477528</v>
      </c>
      <c r="BA14" s="59" t="n">
        <f aca="false">-BA9*Inputs!$E$47/12*1*(1+Inputs!$E$50)*(1+Inputs!$E$51)^(BA$5-1)</f>
        <v>-9904.477528</v>
      </c>
      <c r="BB14" s="59" t="n">
        <f aca="false">-BB9*Inputs!$E$47/12*1*(1+Inputs!$E$50)*(1+Inputs!$E$51)^(BB$5-1)</f>
        <v>-9904.477528</v>
      </c>
      <c r="BC14" s="59" t="n">
        <f aca="false">-BC9*Inputs!$E$47/12*1*(1+Inputs!$E$50)*(1+Inputs!$E$51)^(BC$5-1)</f>
        <v>-9904.477528</v>
      </c>
      <c r="BD14" s="59" t="n">
        <f aca="false">-BD9*Inputs!$E$47/12*1*(1+Inputs!$E$50)*(1+Inputs!$E$51)^(BD$5-1)</f>
        <v>-9904.477528</v>
      </c>
      <c r="BE14" s="59" t="n">
        <f aca="false">-BE9*Inputs!$E$47/12*1*(1+Inputs!$E$50)*(1+Inputs!$E$51)^(BE$5-1)</f>
        <v>-9904.477528</v>
      </c>
      <c r="BF14" s="59" t="n">
        <f aca="false">-BF9*Inputs!$E$47/12*1*(1+Inputs!$E$50)*(1+Inputs!$E$51)^(BF$5-1)</f>
        <v>-9904.477528</v>
      </c>
      <c r="BG14" s="59" t="n">
        <f aca="false">-BG9*Inputs!$E$47/12*1*(1+Inputs!$E$50)*(1+Inputs!$E$51)^(BG$5-1)</f>
        <v>-9904.477528</v>
      </c>
      <c r="BH14" s="59" t="n">
        <f aca="false">-BH9*Inputs!$E$47/12*1*(1+Inputs!$E$50)*(1+Inputs!$E$51)^(BH$5-1)</f>
        <v>-9904.477528</v>
      </c>
      <c r="BI14" s="59" t="n">
        <f aca="false">-BI9*Inputs!$E$47/12*1*(1+Inputs!$E$50)*(1+Inputs!$E$51)^(BI$5-1)</f>
        <v>-9904.477528</v>
      </c>
      <c r="BJ14" s="59" t="n">
        <f aca="false">-BJ9*Inputs!$E$47/12*1*(1+Inputs!$E$50)*(1+Inputs!$E$51)^(BJ$5-1)</f>
        <v>-9904.477528</v>
      </c>
    </row>
    <row r="15" customFormat="false" ht="15" hidden="false" customHeight="false" outlineLevel="0" collapsed="false">
      <c r="A15" s="83" t="s">
        <v>374</v>
      </c>
      <c r="C15" s="60" t="n">
        <f aca="false">C13+C14</f>
        <v>-13841.6666666667</v>
      </c>
      <c r="D15" s="60" t="n">
        <f aca="false">D13+D14</f>
        <v>-13841.6666666667</v>
      </c>
      <c r="E15" s="60" t="n">
        <f aca="false">E13+E14</f>
        <v>-13841.6666666667</v>
      </c>
      <c r="F15" s="60" t="n">
        <f aca="false">F13+F14</f>
        <v>-13841.6666666667</v>
      </c>
      <c r="G15" s="60" t="n">
        <f aca="false">G13+G14</f>
        <v>-13841.6666666667</v>
      </c>
      <c r="H15" s="60" t="n">
        <f aca="false">H13+H14</f>
        <v>-13841.6666666667</v>
      </c>
      <c r="I15" s="60" t="n">
        <f aca="false">I13+I14</f>
        <v>-13841.6666666667</v>
      </c>
      <c r="J15" s="60" t="n">
        <f aca="false">J13+J14</f>
        <v>-13841.6666666667</v>
      </c>
      <c r="K15" s="60" t="n">
        <f aca="false">K13+K14</f>
        <v>-13841.6666666667</v>
      </c>
      <c r="L15" s="60" t="n">
        <f aca="false">L13+L14</f>
        <v>-13841.6666666667</v>
      </c>
      <c r="M15" s="60" t="n">
        <f aca="false">M13+M14</f>
        <v>-13841.6666666667</v>
      </c>
      <c r="N15" s="60" t="n">
        <f aca="false">N13+N14</f>
        <v>-13841.6666666667</v>
      </c>
      <c r="O15" s="60" t="n">
        <f aca="false">O13+O14</f>
        <v>-14256.9166666667</v>
      </c>
      <c r="P15" s="60" t="n">
        <f aca="false">P13+P14</f>
        <v>-14256.9166666667</v>
      </c>
      <c r="Q15" s="60" t="n">
        <f aca="false">Q13+Q14</f>
        <v>-14256.9166666667</v>
      </c>
      <c r="R15" s="60" t="n">
        <f aca="false">R13+R14</f>
        <v>-14256.9166666667</v>
      </c>
      <c r="S15" s="60" t="n">
        <f aca="false">S13+S14</f>
        <v>-14256.9166666667</v>
      </c>
      <c r="T15" s="60" t="n">
        <f aca="false">T13+T14</f>
        <v>-14256.9166666667</v>
      </c>
      <c r="U15" s="60" t="n">
        <f aca="false">U13+U14</f>
        <v>-14256.9166666667</v>
      </c>
      <c r="V15" s="60" t="n">
        <f aca="false">V13+V14</f>
        <v>-14256.9166666667</v>
      </c>
      <c r="W15" s="60" t="n">
        <f aca="false">W13+W14</f>
        <v>-14256.9166666667</v>
      </c>
      <c r="X15" s="60" t="n">
        <f aca="false">X13+X14</f>
        <v>-14256.9166666667</v>
      </c>
      <c r="Y15" s="60" t="n">
        <f aca="false">Y13+Y14</f>
        <v>-14256.9166666667</v>
      </c>
      <c r="Z15" s="60" t="n">
        <f aca="false">Z13+Z14</f>
        <v>-14256.9166666667</v>
      </c>
      <c r="AA15" s="60" t="n">
        <f aca="false">AA13+AA14</f>
        <v>-14684.6241666667</v>
      </c>
      <c r="AB15" s="60" t="n">
        <f aca="false">AB13+AB14</f>
        <v>-14684.6241666667</v>
      </c>
      <c r="AC15" s="60" t="n">
        <f aca="false">AC13+AC14</f>
        <v>-14684.6241666667</v>
      </c>
      <c r="AD15" s="60" t="n">
        <f aca="false">AD13+AD14</f>
        <v>-14684.6241666667</v>
      </c>
      <c r="AE15" s="60" t="n">
        <f aca="false">AE13+AE14</f>
        <v>-14684.6241666667</v>
      </c>
      <c r="AF15" s="60" t="n">
        <f aca="false">AF13+AF14</f>
        <v>-14684.6241666667</v>
      </c>
      <c r="AG15" s="60" t="n">
        <f aca="false">AG13+AG14</f>
        <v>-14684.6241666667</v>
      </c>
      <c r="AH15" s="60" t="n">
        <f aca="false">AH13+AH14</f>
        <v>-14684.6241666667</v>
      </c>
      <c r="AI15" s="60" t="n">
        <f aca="false">AI13+AI14</f>
        <v>-14684.6241666667</v>
      </c>
      <c r="AJ15" s="60" t="n">
        <f aca="false">AJ13+AJ14</f>
        <v>-14684.6241666667</v>
      </c>
      <c r="AK15" s="60" t="n">
        <f aca="false">AK13+AK14</f>
        <v>-14684.6241666667</v>
      </c>
      <c r="AL15" s="60" t="n">
        <f aca="false">AL13+AL14</f>
        <v>-14684.6241666667</v>
      </c>
      <c r="AM15" s="60" t="n">
        <f aca="false">AM13+AM14</f>
        <v>-15125.1628916667</v>
      </c>
      <c r="AN15" s="60" t="n">
        <f aca="false">AN13+AN14</f>
        <v>-15125.1628916667</v>
      </c>
      <c r="AO15" s="60" t="n">
        <f aca="false">AO13+AO14</f>
        <v>-15125.1628916667</v>
      </c>
      <c r="AP15" s="60" t="n">
        <f aca="false">AP13+AP14</f>
        <v>-15125.1628916667</v>
      </c>
      <c r="AQ15" s="60" t="n">
        <f aca="false">AQ13+AQ14</f>
        <v>-15125.1628916667</v>
      </c>
      <c r="AR15" s="60" t="n">
        <f aca="false">AR13+AR14</f>
        <v>-15125.1628916667</v>
      </c>
      <c r="AS15" s="60" t="n">
        <f aca="false">AS13+AS14</f>
        <v>-15125.1628916667</v>
      </c>
      <c r="AT15" s="60" t="n">
        <f aca="false">AT13+AT14</f>
        <v>-15125.1628916667</v>
      </c>
      <c r="AU15" s="60" t="n">
        <f aca="false">AU13+AU14</f>
        <v>-15125.1628916667</v>
      </c>
      <c r="AV15" s="60" t="n">
        <f aca="false">AV13+AV14</f>
        <v>-15125.1628916667</v>
      </c>
      <c r="AW15" s="60" t="n">
        <f aca="false">AW13+AW14</f>
        <v>-15125.1628916667</v>
      </c>
      <c r="AX15" s="60" t="n">
        <f aca="false">AX13+AX14</f>
        <v>-15125.1628916667</v>
      </c>
      <c r="AY15" s="60" t="n">
        <f aca="false">AY13+AY14</f>
        <v>-15578.9177784167</v>
      </c>
      <c r="AZ15" s="60" t="n">
        <f aca="false">AZ13+AZ14</f>
        <v>-15578.9177784167</v>
      </c>
      <c r="BA15" s="60" t="n">
        <f aca="false">BA13+BA14</f>
        <v>-15578.9177784167</v>
      </c>
      <c r="BB15" s="60" t="n">
        <f aca="false">BB13+BB14</f>
        <v>-15578.9177784167</v>
      </c>
      <c r="BC15" s="60" t="n">
        <f aca="false">BC13+BC14</f>
        <v>-15578.9177784167</v>
      </c>
      <c r="BD15" s="60" t="n">
        <f aca="false">BD13+BD14</f>
        <v>-15578.9177784167</v>
      </c>
      <c r="BE15" s="60" t="n">
        <f aca="false">BE13+BE14</f>
        <v>-15578.9177784167</v>
      </c>
      <c r="BF15" s="60" t="n">
        <f aca="false">BF13+BF14</f>
        <v>-15578.9177784167</v>
      </c>
      <c r="BG15" s="60" t="n">
        <f aca="false">BG13+BG14</f>
        <v>-15578.9177784167</v>
      </c>
      <c r="BH15" s="60" t="n">
        <f aca="false">BH13+BH14</f>
        <v>-15578.9177784167</v>
      </c>
      <c r="BI15" s="60" t="n">
        <f aca="false">BI13+BI14</f>
        <v>-15578.9177784167</v>
      </c>
      <c r="BJ15" s="60" t="n">
        <f aca="false">BJ13+BJ14</f>
        <v>-15578.9177784167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375</v>
      </c>
    </row>
    <row r="3" customFormat="false" ht="15" hidden="false" customHeight="false" outlineLevel="0" collapsed="false">
      <c r="A3" s="32" t="s">
        <v>376</v>
      </c>
      <c r="B3" s="32" t="s">
        <v>377</v>
      </c>
      <c r="C3" s="32" t="s">
        <v>378</v>
      </c>
    </row>
    <row r="4" customFormat="false" ht="15" hidden="false" customHeight="false" outlineLevel="0" collapsed="false">
      <c r="A4" s="6" t="s">
        <v>379</v>
      </c>
      <c r="B4" s="4" t="str">
        <f aca="false">IF(ABS(SUM('P&amp;L'!$B$5:$F$5)-SUM(Monthly!$C$24:$BJ$24))&lt;0.5,"PASS","FAIL")</f>
        <v>PASS</v>
      </c>
      <c r="C4" s="18" t="s">
        <v>380</v>
      </c>
    </row>
    <row r="5" customFormat="false" ht="15" hidden="false" customHeight="false" outlineLevel="0" collapsed="false">
      <c r="A5" s="6" t="s">
        <v>381</v>
      </c>
      <c r="B5" s="4" t="str">
        <f aca="false">IF(ABS(SUM('P&amp;L'!$B$24:$F$24)-SUM(Monthly!$C$51:$BJ$51))&lt;0.5,"PASS","FAIL")</f>
        <v>PASS</v>
      </c>
      <c r="C5" s="18" t="s">
        <v>382</v>
      </c>
    </row>
    <row r="6" customFormat="false" ht="15" hidden="false" customHeight="false" outlineLevel="0" collapsed="false">
      <c r="A6" s="6" t="s">
        <v>383</v>
      </c>
      <c r="B6" s="4" t="str">
        <f aca="false">IF(ABS(SUM(Monthly!$C$42:$BJ$42)-SUM(Monthly!$C$31:$BJ$31)-SUM(Monthly!$C$41:$BJ$41))&lt;0.5,"PASS","FAIL")</f>
        <v>PASS</v>
      </c>
      <c r="C6" s="18" t="s">
        <v>384</v>
      </c>
    </row>
    <row r="7" customFormat="false" ht="15" hidden="false" customHeight="false" outlineLevel="0" collapsed="false">
      <c r="A7" s="6" t="s">
        <v>385</v>
      </c>
      <c r="B7" s="4" t="str">
        <f aca="false">IF(ABS(INDEX(Monthly!$C$81:$BJ$81,60)-SUM(Monthly!$C$79:$BJ$79))&lt;0.5,"PASS","FAIL")</f>
        <v>PASS</v>
      </c>
      <c r="C7" s="18" t="s">
        <v>386</v>
      </c>
    </row>
    <row r="8" customFormat="false" ht="15" hidden="false" customHeight="false" outlineLevel="0" collapsed="false">
      <c r="A8" s="6" t="s">
        <v>387</v>
      </c>
      <c r="B8" s="4" t="str">
        <f aca="false">IF(AND(ISNUMBER(Dashboard!B4),Dashboard!B4&gt;=1,Dashboard!B4&lt;=3,INT(Dashboard!B4)=Dashboard!B4),"PASS","FAIL")</f>
        <v>PASS</v>
      </c>
      <c r="C8" s="18" t="s">
        <v>388</v>
      </c>
    </row>
    <row r="9" customFormat="false" ht="15" hidden="false" customHeight="false" outlineLevel="0" collapsed="false">
      <c r="A9" s="6" t="s">
        <v>389</v>
      </c>
      <c r="B9" s="4" t="str">
        <f aca="false">IF(AND(Inputs!$B$7&lt;=Inputs!$C$7,Inputs!$C$7&lt;=Inputs!$D$7,Inputs!$B$9&lt;=Inputs!$C$9,Inputs!$C$9&lt;=Inputs!$D$9,Inputs!$B$10&lt;=Inputs!$C$10,Inputs!$C$10&lt;=Inputs!$D$10,Inputs!$B$12&lt;=Inputs!$C$12,Inputs!$C$12&lt;=Inputs!$D$12,Inputs!$B$13&gt;=Inputs!$C$13,Inputs!$C$13&gt;=Inputs!$D$13,Inputs!$B$14&lt;=Inputs!$C$14,Inputs!$C$14&lt;=Inputs!$D$14,Inputs!$B$15&gt;=Inputs!$C$15,Inputs!$C$15&gt;=Inputs!$D$15,Inputs!$B$18&lt;=Inputs!$C$18,Inputs!$C$18&lt;=Inputs!$D$18,Inputs!$B$19&lt;=Inputs!$C$19,Inputs!$C$19&lt;=Inputs!$D$19,Inputs!$B$20&lt;=Inputs!$C$20,Inputs!$C$20&lt;=Inputs!$D$20,Inputs!$B$23&lt;=Inputs!$C$23,Inputs!$C$23&lt;=Inputs!$D$23,Inputs!$B$24&lt;=Inputs!$C$24,Inputs!$C$24&lt;=Inputs!$D$24,Inputs!$B$25&lt;=Inputs!$C$25,Inputs!$C$25&lt;=Inputs!$D$25,Inputs!$B$26&gt;=Inputs!$C$26,Inputs!$C$26&gt;=Inputs!$D$26,Inputs!$B$27&lt;=Inputs!$C$27,Inputs!$C$27&lt;=Inputs!$D$27,Inputs!$B$28&gt;=Inputs!$C$28,Inputs!$C$28&gt;=Inputs!$D$28,Inputs!$B$32&gt;=Inputs!$C$32,Inputs!$C$32&gt;=Inputs!$D$32,Inputs!$B$36&gt;=Inputs!$C$36,Inputs!$C$36&gt;=Inputs!$D$36,Inputs!$B$42&lt;=Inputs!$C$42,Inputs!$C$42&lt;=Inputs!$D$42,Inputs!$B$44&lt;=Inputs!$C$44,Inputs!$C$44&lt;=Inputs!$D$44,Inputs!$B$46&lt;=Inputs!$C$46,Inputs!$C$46&lt;=Inputs!$D$46,Inputs!$B$48&lt;=Inputs!$C$48,Inputs!$C$48&lt;=Inputs!$D$48,Inputs!$B$72&gt;=Inputs!$C$72,Inputs!$C$72&gt;=Inputs!$D$72,Inputs!$B$73&lt;=Inputs!$C$73,Inputs!$C$73&lt;=Inputs!$D$73,Inputs!$B$74&lt;=Inputs!$C$74,Inputs!$C$74&lt;=Inputs!$D$74),"PASS","FAIL")</f>
        <v>PASS</v>
      </c>
      <c r="C9" s="18" t="s">
        <v>390</v>
      </c>
    </row>
    <row r="10" customFormat="false" ht="15" hidden="false" customHeight="false" outlineLevel="0" collapsed="false">
      <c r="A10" s="6" t="s">
        <v>391</v>
      </c>
      <c r="B10" s="4" t="str">
        <f aca="false">IF(AND(MIN('P&amp;L'!$B$8:$F$8)&gt;=0,MAX('P&amp;L'!$B$8:$F$8)&lt;=1),"PASS","FAIL")</f>
        <v>PASS</v>
      </c>
      <c r="C10" s="18" t="s">
        <v>392</v>
      </c>
    </row>
    <row r="11" customFormat="false" ht="15" hidden="false" customHeight="false" outlineLevel="0" collapsed="false">
      <c r="A11" s="6" t="s">
        <v>393</v>
      </c>
      <c r="B11" s="4" t="str">
        <f aca="false">IF(MIN(Monthly!$C$64:$BJ$64)&gt;=-0.5,"PASS","FAIL")</f>
        <v>PASS</v>
      </c>
      <c r="C11" s="18" t="s">
        <v>394</v>
      </c>
    </row>
    <row r="12" customFormat="false" ht="15" hidden="false" customHeight="false" outlineLevel="0" collapsed="false">
      <c r="A12" s="6" t="s">
        <v>395</v>
      </c>
      <c r="B12" s="4" t="str">
        <f aca="false">IF(ABS('Break-even'!B18-('Break-even'!B16-'Break-even'!B10))&lt;0.5,"PASS","FAIL")</f>
        <v>PASS</v>
      </c>
      <c r="C12" s="18" t="s">
        <v>396</v>
      </c>
    </row>
    <row r="13" customFormat="false" ht="15" hidden="false" customHeight="false" outlineLevel="0" collapsed="false">
      <c r="A13" s="6" t="s">
        <v>397</v>
      </c>
      <c r="B13" s="4" t="str">
        <f aca="false">IF(ABS(Valuation!B23-NPV(Valuation!B6,Valuation!$B$17:$F$17))&lt;0.5,"PASS","FAIL")</f>
        <v>PASS</v>
      </c>
      <c r="C13" s="18" t="s">
        <v>398</v>
      </c>
    </row>
    <row r="14" customFormat="false" ht="15" hidden="false" customHeight="false" outlineLevel="0" collapsed="false">
      <c r="A14" s="6" t="s">
        <v>399</v>
      </c>
      <c r="B14" s="4" t="str">
        <f aca="false">IF(Valuation!B6&gt;Valuation!B7,"PASS","FAIL")</f>
        <v>PASS</v>
      </c>
      <c r="C14" s="18" t="s">
        <v>400</v>
      </c>
    </row>
    <row r="15" customFormat="false" ht="15" hidden="false" customHeight="false" outlineLevel="0" collapsed="false">
      <c r="A15" s="6" t="s">
        <v>401</v>
      </c>
      <c r="B15" s="4" t="str">
        <f aca="false">IF(ABS(Valuation!D36-Valuation!B27)&lt;0.5,"PASS","FAIL")</f>
        <v>PASS</v>
      </c>
      <c r="C15" s="18" t="s">
        <v>402</v>
      </c>
    </row>
    <row r="16" customFormat="false" ht="15" hidden="false" customHeight="false" outlineLevel="0" collapsed="false">
      <c r="A16" s="6" t="s">
        <v>403</v>
      </c>
      <c r="B16" s="4" t="str">
        <f aca="false">IF(Valuation!$F$17&gt;0,"PASS","WARN")</f>
        <v>PASS</v>
      </c>
      <c r="C16" s="18" t="s">
        <v>404</v>
      </c>
    </row>
    <row r="17" customFormat="false" ht="15" hidden="false" customHeight="false" outlineLevel="0" collapsed="false">
      <c r="A17" s="6" t="s">
        <v>405</v>
      </c>
      <c r="B17" s="4" t="str">
        <f aca="false">IF(SUMPRODUCT(--ISERROR(Monthly!$C$4:$BJ$99))+SUMPRODUCT(--ISERROR(Headcount!$C$4:$BJ$15))+SUMPRODUCT(--ISERROR('P&amp;L'!$B$3:$F$25))+SUMPRODUCT(--ISERROR('Cash Flow'!$B$3:$F$18))+SUMPRODUCT(--ISERROR('Balance Sheet'!$B$3:$F$17))+SUMPRODUCT(--ISERROR(Dashboard!$B$47:$F$68))+SUMPRODUCT(--ISERROR('Break-even'!$B$26:$F$33))+SUMPRODUCT(--ISERROR(Valuation!$B$14:$F$19))+SUMPRODUCT(--ISERROR('Break-even'!$B$3:$F$35))+SUMPRODUCT(--ISERROR(Valuation!$A$3:$F$40))+SUMPRODUCT(--ISERROR(Dashboard!$A$6:$W$43))+SUMPRODUCT(--ISERROR(Summary!$A$5:$S$52))=0,"PASS","FAIL")</f>
        <v>PASS</v>
      </c>
      <c r="C17" s="18" t="s">
        <v>406</v>
      </c>
    </row>
    <row r="18" customFormat="false" ht="15" hidden="false" customHeight="false" outlineLevel="0" collapsed="false">
      <c r="A18" s="6" t="s">
        <v>407</v>
      </c>
      <c r="B18" s="4" t="str">
        <f aca="false">IF(IFERROR(AND(SUMPRODUCT(--(ABS(Summary!$B$7:$F$7-'P&amp;L'!$B$5:$F$5)&gt;0.5))=0,SUMPRODUCT(--(ABS(Summary!$B$19:$F$19-'P&amp;L'!$B$24:$F$24)&gt;0.5))=0,SUMPRODUCT(--(ABS(Summary!$B$31:$F$31-'Cash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8" s="18" t="s">
        <v>408</v>
      </c>
    </row>
    <row r="19" customFormat="false" ht="15" hidden="false" customHeight="false" outlineLevel="0" collapsed="false">
      <c r="A19" s="6" t="s">
        <v>409</v>
      </c>
      <c r="B19" s="4" t="str">
        <f aca="false">IF(SUMPRODUCT(--(ABS(Monthly!$C$99:$BJ$99)&gt;0.5))=0,"PASS","FAIL")</f>
        <v>PASS</v>
      </c>
      <c r="C19" s="18" t="s">
        <v>410</v>
      </c>
    </row>
    <row r="20" customFormat="false" ht="15" hidden="false" customHeight="false" outlineLevel="0" collapsed="false">
      <c r="A20" s="6" t="s">
        <v>411</v>
      </c>
      <c r="B20" s="4" t="str">
        <f aca="false">IF(MIN(Monthly!$C$81:$BJ$81)&gt;=0,"PASS","WARN")</f>
        <v>PASS</v>
      </c>
      <c r="C20" s="18" t="s">
        <v>412</v>
      </c>
    </row>
    <row r="22" customFormat="false" ht="15" hidden="false" customHeight="false" outlineLevel="0" collapsed="false">
      <c r="A22" s="62" t="s">
        <v>413</v>
      </c>
      <c r="B22" s="62" t="str">
        <f aca="false">IF(COUNTIF(B4:B20,"FAIL")&gt;0,"FAIL",IF(COUNTIF(B4:B20,"WARN")&gt;0,"PASS WITH WARNINGS","PASS"))</f>
        <v>PASS</v>
      </c>
      <c r="C22" s="90"/>
    </row>
  </sheetData>
  <conditionalFormatting sqref="B4:B22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2026-10-20T22:24:51Z</dcterms:created>
  <dc:creator/>
  <dc:description/>
  <dc:language>en-US</dc:language>
  <cp:lastModifiedBy/>
  <dcterms:modified xsi:type="dcterms:W3CDTF">2026-10-20T22:24:51Z</dcterms:modified>
  <cp:revision>0</cp:revision>
  <dc:subject/>
  <dc:title>Fitness studio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