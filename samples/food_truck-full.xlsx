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7.xml.rels" ContentType="application/vnd.openxmlformats-package.relationships+xml"/>
  <Override PartName="/xl/worksheets/_rels/sheet8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3.xml" ContentType="application/vnd.openxmlformats-officedocument.drawingml.chart+xml"/>
  <Override PartName="/xl/charts/chart8.xml" ContentType="application/vnd.openxmlformats-officedocument.drawingml.chart+xml"/>
  <Override PartName="/xl/charts/chart12.xml" ContentType="application/vnd.openxmlformats-officedocument.drawingml.chart+xml"/>
  <Override PartName="/xl/charts/chart17.xml" ContentType="application/vnd.openxmlformats-officedocument.drawingml.chart+xml"/>
  <Override PartName="/xl/charts/chart16.xml" ContentType="application/vnd.openxmlformats-officedocument.drawingml.chart+xml"/>
  <Override PartName="/xl/charts/chart15.xml" ContentType="application/vnd.openxmlformats-officedocument.drawingml.chart+xml"/>
  <Override PartName="/xl/charts/chart14.xml" ContentType="application/vnd.openxmlformats-officedocument.drawingml.char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xl/charts/chart7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3"/>
    <sheet name="Dashboard" sheetId="2" state="visible" r:id="rId4"/>
    <sheet name="Summary" sheetId="3" state="visible" r:id="rId5"/>
    <sheet name="Scenarios" sheetId="4" state="visible" r:id="rId6"/>
    <sheet name="Break-even" sheetId="5" state="visible" r:id="rId7"/>
    <sheet name="Valuation" sheetId="6" state="visible" r:id="rId8"/>
    <sheet name="Sources &amp; Uses" sheetId="7" state="visible" r:id="rId9"/>
    <sheet name="KPIs" sheetId="8" state="visible" r:id="rId10"/>
    <sheet name="Inputs" sheetId="9" state="visible" r:id="rId11"/>
    <sheet name="P&amp;L" sheetId="10" state="visible" r:id="rId12"/>
    <sheet name="Cash Flow" sheetId="11" state="visible" r:id="rId13"/>
    <sheet name="Balance Sheet" sheetId="12" state="visible" r:id="rId14"/>
    <sheet name="Monthly" sheetId="13" state="visible" r:id="rId15"/>
    <sheet name="Headcount" sheetId="14" state="visible" r:id="rId16"/>
    <sheet name="Scenario calc" sheetId="15" state="visible" r:id="rId17"/>
    <sheet name="Checks" sheetId="16" state="visible" r:id="rId1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<sst xmlns="http://schemas.openxmlformats.org/spreadsheetml/2006/main" count="1213" uniqueCount="490">
  <si>
    <t xml:space="preserve">Food truck financial model (planning)</t>
  </si>
  <si>
    <t xml:space="preserve">3-year financial model · monthly detail · Low / Base / High scenarios · US dollars · Full plan</t>
  </si>
  <si>
    <t xml:space="preserve">Purpose</t>
  </si>
  <si>
    <t xml:space="preserve">Revenue and profit plan</t>
  </si>
  <si>
    <t xml:space="preserve">Active scenario</t>
  </si>
  <si>
    <t xml:space="preserve">Model checks</t>
  </si>
  <si>
    <t xml:space="preserve">Prepared</t>
  </si>
  <si>
    <t xml:space="preserve">22 October 2026</t>
  </si>
  <si>
    <t xml:space="preserve">Contents</t>
  </si>
  <si>
    <t xml:space="preserve">PRESENTATION</t>
  </si>
  <si>
    <t xml:space="preserve">Scenario switch, key numbers, core financials</t>
  </si>
  <si>
    <t xml:space="preserve">Income statement, cash flow and balance sheet — every year and any year by month</t>
  </si>
  <si>
    <t xml:space="preserve">Low / Base / High side by side: drivers, outputs, charts</t>
  </si>
  <si>
    <t xml:space="preserve">Startup costs, funding need, break-even timing and revenue</t>
  </si>
  <si>
    <t xml:space="preserve">Free cash flow, DCF (perpetual growth and exit multiple), WACC × growth sensitivity</t>
  </si>
  <si>
    <t xml:space="preserve">Funding structure, sources and uses of cash for the first months</t>
  </si>
  <si>
    <t xml:space="preserve">Financial ratios, DuPont analysis, industry metrics</t>
  </si>
  <si>
    <t xml:space="preserve">INPUTS</t>
  </si>
  <si>
    <t xml:space="preserve">Every assumption, Low / Base / High, with units and comments</t>
  </si>
  <si>
    <t xml:space="preserve">STATEMENTS</t>
  </si>
  <si>
    <t xml:space="preserve">Annual profit &amp; loss</t>
  </si>
  <si>
    <t xml:space="preserve">Annual cash flow statement</t>
  </si>
  <si>
    <t xml:space="preserve">Balance sheet at year end</t>
  </si>
  <si>
    <t xml:space="preserve">CALCULATIONS</t>
  </si>
  <si>
    <t xml:space="preserve">Month-by-month engine of the model</t>
  </si>
  <si>
    <t xml:space="preserve">Team and payroll</t>
  </si>
  <si>
    <t xml:space="preserve">Low, Base and High calculated side by side for the Scenarios sheet</t>
  </si>
  <si>
    <t xml:space="preserve">CONTROL</t>
  </si>
  <si>
    <t xml:space="preserve">Live integrity checks and the overall verdict</t>
  </si>
  <si>
    <t xml:space="preserve">How to read this file</t>
  </si>
  <si>
    <t xml:space="preserve">Input you can change — yellow cell with a blue figure (Inputs sheet and the view switches)</t>
  </si>
  <si>
    <t xml:space="preserve">Formula — calculated, do not overwrite</t>
  </si>
  <si>
    <t xml:space="preserve">Link to another sheet</t>
  </si>
  <si>
    <t xml:space="preserve">Active value the model uses (follows the scenario)</t>
  </si>
  <si>
    <t xml:space="preserve">Dashboard</t>
  </si>
  <si>
    <t xml:space="preserve">1 = Low · 2 = Base · 3 = High — every sheet follows this cell</t>
  </si>
  <si>
    <t xml:space="preserve">REVENUE · YEAR 3</t>
  </si>
  <si>
    <t xml:space="preserve">EBITDA MARGIN · YEAR 3</t>
  </si>
  <si>
    <t xml:space="preserve">NET INCOME · YEAR 3</t>
  </si>
  <si>
    <t xml:space="preserve">LOWEST CASH BALANCE</t>
  </si>
  <si>
    <t xml:space="preserve">FUNDING REQUIRED</t>
  </si>
  <si>
    <t xml:space="preserve">ENTERPRISE VALUE (DCF)</t>
  </si>
  <si>
    <t xml:space="preserve">Average of 2 methods</t>
  </si>
  <si>
    <t xml:space="preserve">Core financials ($'000) — active scenario</t>
  </si>
  <si>
    <t xml:space="preserve">Revenue</t>
  </si>
  <si>
    <t xml:space="preserve">Gross profit</t>
  </si>
  <si>
    <t xml:space="preserve">Gross margin</t>
  </si>
  <si>
    <t xml:space="preserve">Operating expenses</t>
  </si>
  <si>
    <t xml:space="preserve">EBITDA</t>
  </si>
  <si>
    <t xml:space="preserve">EBITDA margin</t>
  </si>
  <si>
    <t xml:space="preserve">Net income</t>
  </si>
  <si>
    <t xml:space="preserve">Net margin</t>
  </si>
  <si>
    <t xml:space="preserve">Operating cash flow</t>
  </si>
  <si>
    <t xml:space="preserve">Investing cash flow</t>
  </si>
  <si>
    <t xml:space="preserve">Financing cash flow</t>
  </si>
  <si>
    <t xml:space="preserve">Net change in cash</t>
  </si>
  <si>
    <t xml:space="preserve">Year-end cash</t>
  </si>
  <si>
    <t xml:space="preserve">Food truck metrics</t>
  </si>
  <si>
    <t xml:space="preserve">Meals served</t>
  </si>
  <si>
    <t xml:space="preserve">Revenue per service day</t>
  </si>
  <si>
    <t xml:space="preserve">Events &amp; catering, % of revenue</t>
  </si>
  <si>
    <t xml:space="preserve">Prime cost (food, packaging, payroll), % of revenue</t>
  </si>
  <si>
    <t xml:space="preserve">Team (FTE, year end)</t>
  </si>
  <si>
    <t xml:space="preserve">Funding &amp; valuation ($'000) — active scenario</t>
  </si>
  <si>
    <t xml:space="preserve">Equity raised</t>
  </si>
  <si>
    <t xml:space="preserve">Loan drawn</t>
  </si>
  <si>
    <t xml:space="preserve">Funding required (incl. cash buffer)</t>
  </si>
  <si>
    <t xml:space="preserve">Funding surplus / (shortfall)</t>
  </si>
  <si>
    <t xml:space="preserve">First month with positive EBITDA</t>
  </si>
  <si>
    <t xml:space="preserve">Cash invested paid back</t>
  </si>
  <si>
    <t xml:space="preserve">Enterprise value — perpetual growth</t>
  </si>
  <si>
    <t xml:space="preserve">Enterprise value — exit multiple</t>
  </si>
  <si>
    <t xml:space="preserve">Enterprise value — average</t>
  </si>
  <si>
    <t xml:space="preserve">Financial statements summary</t>
  </si>
  <si>
    <t xml:space="preserve">Select detailed year:</t>
  </si>
  <si>
    <t xml:space="preserve">Income statement ($'000) — by year</t>
  </si>
  <si>
    <t xml:space="preserve">Cost of sales</t>
  </si>
  <si>
    <t xml:space="preserve">Total operating expenses</t>
  </si>
  <si>
    <t xml:space="preserve">Depreciation</t>
  </si>
  <si>
    <t xml:space="preserve">EBIT</t>
  </si>
  <si>
    <t xml:space="preserve">Interest</t>
  </si>
  <si>
    <t xml:space="preserve">Pre-tax income</t>
  </si>
  <si>
    <t xml:space="preserve">Income tax</t>
  </si>
  <si>
    <t xml:space="preserve">Cash flow ($'000) — by year</t>
  </si>
  <si>
    <t xml:space="preserve">Capital spending</t>
  </si>
  <si>
    <t xml:space="preserve">Loan drawdown</t>
  </si>
  <si>
    <t xml:space="preserve">Loan repayment</t>
  </si>
  <si>
    <t xml:space="preserve">Closing cash</t>
  </si>
  <si>
    <t xml:space="preserve">Balance sheet at year end ($'000)</t>
  </si>
  <si>
    <t xml:space="preserve">Cash</t>
  </si>
  <si>
    <t xml:space="preserve">Accounts receivable</t>
  </si>
  <si>
    <t xml:space="preserve">Inventory</t>
  </si>
  <si>
    <t xml:space="preserve">Net fixed assets</t>
  </si>
  <si>
    <t xml:space="preserve">Total assets</t>
  </si>
  <si>
    <t xml:space="preserve">Accounts payable</t>
  </si>
  <si>
    <t xml:space="preserve">Loan</t>
  </si>
  <si>
    <t xml:space="preserve">Total liabilities</t>
  </si>
  <si>
    <t xml:space="preserve">Paid-in capital</t>
  </si>
  <si>
    <t xml:space="preserve">Retained earnings</t>
  </si>
  <si>
    <t xml:space="preserve">Total equity</t>
  </si>
  <si>
    <t xml:space="preserve">Total liabilities &amp; equity</t>
  </si>
  <si>
    <t xml:space="preserve">Scenarios — Low / Base / High</t>
  </si>
  <si>
    <t xml:space="preserve">All three scenarios calculated side by side, live: change any input and every column updates. Active = the scenario chosen on the Dashboard.</t>
  </si>
  <si>
    <t xml:space="preserve">Key drivers</t>
  </si>
  <si>
    <t xml:space="preserve">Driver</t>
  </si>
  <si>
    <t xml:space="preserve">Low</t>
  </si>
  <si>
    <t xml:space="preserve">Base</t>
  </si>
  <si>
    <t xml:space="preserve">High</t>
  </si>
  <si>
    <t xml:space="preserve">Active</t>
  </si>
  <si>
    <t xml:space="preserve">Street service days per truck per month (year average) (days)</t>
  </si>
  <si>
    <t xml:space="preserve">Meals per street service day at maturity (year 1) (meals)</t>
  </si>
  <si>
    <t xml:space="preserve">Average ticket per meal (year 1) ($)</t>
  </si>
  <si>
    <t xml:space="preserve">Event and catering days per truck per month (year 1) (days)</t>
  </si>
  <si>
    <t xml:space="preserve">Food cost, % of sales (%)</t>
  </si>
  <si>
    <t xml:space="preserve">Truck purchase, each ($)</t>
  </si>
  <si>
    <t xml:space="preserve">Equity raised at start ($)</t>
  </si>
  <si>
    <t xml:space="preserve">Results by scenario ($'000)</t>
  </si>
  <si>
    <t xml:space="preserve">Output</t>
  </si>
  <si>
    <t xml:space="preserve">Revenue — final year</t>
  </si>
  <si>
    <t xml:space="preserve">Revenue — whole plan</t>
  </si>
  <si>
    <t xml:space="preserve">EBITDA — final year</t>
  </si>
  <si>
    <t xml:space="preserve">EBITDA margin — final year</t>
  </si>
  <si>
    <t xml:space="preserve">Net income — final year</t>
  </si>
  <si>
    <t xml:space="preserve">Net income — whole plan</t>
  </si>
  <si>
    <t xml:space="preserve">Cash at the end of the plan</t>
  </si>
  <si>
    <t xml:space="preserve">Lowest cash balance</t>
  </si>
  <si>
    <t xml:space="preserve">Lowest cash point (month #)</t>
  </si>
  <si>
    <t xml:space="preserve">Revenue by year ($'000)</t>
  </si>
  <si>
    <t xml:space="preserve">Scenario</t>
  </si>
  <si>
    <t xml:space="preserve">EBITDA by year ($'000)</t>
  </si>
  <si>
    <t xml:space="preserve">Net income by year ($'000)</t>
  </si>
  <si>
    <t xml:space="preserve">Cash at year end by year ($'000)</t>
  </si>
  <si>
    <t xml:space="preserve">Startup costs, funding need and break-even</t>
  </si>
  <si>
    <t xml:space="preserve">Live for the selected scenario. Periods are counted in months from the start of the plan.</t>
  </si>
  <si>
    <t xml:space="preserve">Scenario shown</t>
  </si>
  <si>
    <t xml:space="preserve">Startup costs &amp; funding need (up to the lowest cash point)</t>
  </si>
  <si>
    <t xml:space="preserve">Capital spending up to the lowest cash point</t>
  </si>
  <si>
    <t xml:space="preserve">Operating cash burn up to the lowest cash point</t>
  </si>
  <si>
    <t xml:space="preserve">Losses and working capital before the business funds itself</t>
  </si>
  <si>
    <t xml:space="preserve">Loan repayments up to the lowest cash point</t>
  </si>
  <si>
    <t xml:space="preserve">Total uses of funds</t>
  </si>
  <si>
    <t xml:space="preserve">Minimum cash buffer to keep</t>
  </si>
  <si>
    <t xml:space="preserve">Input on the Inputs sheet</t>
  </si>
  <si>
    <t xml:space="preserve">Funding required (uses + buffer)</t>
  </si>
  <si>
    <t xml:space="preserve">Total sources of funds</t>
  </si>
  <si>
    <t xml:space="preserve">Negative = raise at least this much more</t>
  </si>
  <si>
    <t xml:space="preserve">Lowest cash balance in the plan</t>
  </si>
  <si>
    <t xml:space="preserve">Equals sources minus uses</t>
  </si>
  <si>
    <t xml:space="preserve">Break-even timing</t>
  </si>
  <si>
    <t xml:space="preserve">First month with positive EBITDA (month #)</t>
  </si>
  <si>
    <t xml:space="preserve">First month with positive net income (month #)</t>
  </si>
  <si>
    <t xml:space="preserve">Cash invested paid back (month #)</t>
  </si>
  <si>
    <t xml:space="preserve">Cumulative operating + investing cash flow back to zero</t>
  </si>
  <si>
    <t xml:space="preserve">Annual break-even revenue</t>
  </si>
  <si>
    <t xml:space="preserve">Year #</t>
  </si>
  <si>
    <t xml:space="preserve">Year 1</t>
  </si>
  <si>
    <t xml:space="preserve">Year 2</t>
  </si>
  <si>
    <t xml:space="preserve">Year 3</t>
  </si>
  <si>
    <t xml:space="preserve">Gross margin (contribution)</t>
  </si>
  <si>
    <t xml:space="preserve">Operating expenses (treated as fixed)</t>
  </si>
  <si>
    <t xml:space="preserve">Break-even revenue (EBITDA = 0)</t>
  </si>
  <si>
    <t xml:space="preserve">Margin of safety (revenue above break-even)</t>
  </si>
  <si>
    <t xml:space="preserve">Simplification: cost of sales is treated as variable and operating expenses as fixed, so break-even revenue = operating expenses ÷ gross margin.</t>
  </si>
  <si>
    <t xml:space="preserve">Discounted cash flow valuation</t>
  </si>
  <si>
    <t xml:space="preserve">Enterprise value at the start of the plan, before the funding raised in period 1. Year-end discounting.</t>
  </si>
  <si>
    <t xml:space="preserve">Assumptions (active scenario, from the Inputs sheet)</t>
  </si>
  <si>
    <t xml:space="preserve">Discount rate (WACC)</t>
  </si>
  <si>
    <t xml:space="preserve">Terminal growth rate</t>
  </si>
  <si>
    <t xml:space="preserve">Exit multiple (EV ÷ final-year EBITDA)</t>
  </si>
  <si>
    <t xml:space="preserve">Tax rate (for the interest tax shield)</t>
  </si>
  <si>
    <t xml:space="preserve">Sensitivity step: WACC</t>
  </si>
  <si>
    <t xml:space="preserve">Sensitivity step: terminal growth</t>
  </si>
  <si>
    <t xml:space="preserve">Free cash flow by year</t>
  </si>
  <si>
    <t xml:space="preserve">Unlevered free cash flow</t>
  </si>
  <si>
    <t xml:space="preserve">Discount factor</t>
  </si>
  <si>
    <t xml:space="preserve">Present value of free cash flow</t>
  </si>
  <si>
    <t xml:space="preserve">Enterprise value</t>
  </si>
  <si>
    <t xml:space="preserve">Perpetual growth</t>
  </si>
  <si>
    <t xml:space="preserve">Exit multiple</t>
  </si>
  <si>
    <t xml:space="preserve">Present value of the plan's free cash flows</t>
  </si>
  <si>
    <t xml:space="preserve">Final-year free cash flow | final-year EBITDA</t>
  </si>
  <si>
    <t xml:space="preserve">Terminal value at the end of year 3</t>
  </si>
  <si>
    <t xml:space="preserve">Present value of the terminal value</t>
  </si>
  <si>
    <t xml:space="preserve">Terminal value share of enterprise value</t>
  </si>
  <si>
    <t xml:space="preserve">Cross-check: implied exit multiple | implied perpetual growth</t>
  </si>
  <si>
    <t xml:space="preserve">Enterprise value — average of the two methods</t>
  </si>
  <si>
    <t xml:space="preserve">Sensitivity: enterprise value (perpetual growth) by WACC and terminal growth</t>
  </si>
  <si>
    <t xml:space="preserve">WACC ↓ · terminal growth →</t>
  </si>
  <si>
    <t xml:space="preserve">Free cash flow = operating cash flow + interest × (1 − tax rate) − capital spending. Cells marked n/a: WACC not above growth.</t>
  </si>
  <si>
    <t xml:space="preserve">Sources and uses of funds</t>
  </si>
  <si>
    <t xml:space="preserve">Live for the selected scenario. Where the money comes from and where it goes in the period set below.</t>
  </si>
  <si>
    <t xml:space="preserve">Funding structure ($'000) — raised at the start of the plan</t>
  </si>
  <si>
    <t xml:space="preserve">Amount</t>
  </si>
  <si>
    <t xml:space="preserve">Share</t>
  </si>
  <si>
    <t xml:space="preserve">Equity</t>
  </si>
  <si>
    <t xml:space="preserve">Debt (loan)</t>
  </si>
  <si>
    <t xml:space="preserve">Total funding</t>
  </si>
  <si>
    <t xml:space="preserve">Gearing (debt ÷ equity)</t>
  </si>
  <si>
    <t xml:space="preserve">n/a: debt without positive equity</t>
  </si>
  <si>
    <t xml:space="preserve">Funding required by the plan (Break-even sheet)</t>
  </si>
  <si>
    <t xml:space="preserve">Period covered (months from the start)</t>
  </si>
  <si>
    <t xml:space="preserve">1 to 36 (capped)</t>
  </si>
  <si>
    <t xml:space="preserve">Months used</t>
  </si>
  <si>
    <t xml:space="preserve">Sources</t>
  </si>
  <si>
    <t xml:space="preserve">Loan drawdowns</t>
  </si>
  <si>
    <t xml:space="preserve">Cash generated by operations</t>
  </si>
  <si>
    <t xml:space="preserve">Total sources</t>
  </si>
  <si>
    <t xml:space="preserve">Uses</t>
  </si>
  <si>
    <t xml:space="preserve">Cash used by operations</t>
  </si>
  <si>
    <t xml:space="preserve">Loan repayments</t>
  </si>
  <si>
    <t xml:space="preserve">Cash at the end of the period</t>
  </si>
  <si>
    <t xml:space="preserve">Total uses</t>
  </si>
  <si>
    <t xml:space="preserve">Sources − uses (must be 0; opening cash is 0)</t>
  </si>
  <si>
    <t xml:space="preserve">KPIs &amp; ratios</t>
  </si>
  <si>
    <t xml:space="preserve">Food truck financial model (planning) — industry metrics and financial ratios for the active scenario</t>
  </si>
  <si>
    <t xml:space="preserve">Financial ratios</t>
  </si>
  <si>
    <t xml:space="preserve">Target</t>
  </si>
  <si>
    <t xml:space="preserve">Revenue growth</t>
  </si>
  <si>
    <t xml:space="preserve">Payroll, % of revenue</t>
  </si>
  <si>
    <t xml:space="preserve">Marketing, % of revenue</t>
  </si>
  <si>
    <t xml:space="preserve">Operating expenses, % of revenue</t>
  </si>
  <si>
    <t xml:space="preserve">Current ratio (current assets ÷ current liabilities)</t>
  </si>
  <si>
    <t xml:space="preserve">Debt ÷ equity (loan ÷ total equity)</t>
  </si>
  <si>
    <t xml:space="preserve">Return on assets (net income ÷ year-end assets)</t>
  </si>
  <si>
    <t xml:space="preserve">Return on equity (net income ÷ year-end equity)</t>
  </si>
  <si>
    <t xml:space="preserve">DuPont analysis — return on equity = net margin × asset turnover × equity multiplier</t>
  </si>
  <si>
    <t xml:space="preserve">× Asset turnover (revenue ÷ assets)</t>
  </si>
  <si>
    <t xml:space="preserve">× Equity multiplier (assets ÷ equity)</t>
  </si>
  <si>
    <t xml:space="preserve">Return on equity (product of the three)</t>
  </si>
  <si>
    <t xml:space="preserve">Check: product − return on equity (must be 0)</t>
  </si>
  <si>
    <t xml:space="preserve">Food truck metrics ($'000; per-unit rows in $)</t>
  </si>
  <si>
    <t xml:space="preserve">Trucks in operation (year end)</t>
  </si>
  <si>
    <t xml:space="preserve">Service days (street and events)</t>
  </si>
  <si>
    <t xml:space="preserve">Meals per service day</t>
  </si>
  <si>
    <t xml:space="preserve">Street sales</t>
  </si>
  <si>
    <t xml:space="preserve">Events &amp; catering</t>
  </si>
  <si>
    <t xml:space="preserve">Revenue per meal ($)</t>
  </si>
  <si>
    <t xml:space="preserve">Revenue per service day ($)</t>
  </si>
  <si>
    <t xml:space="preserve">Revenue per truck (year-end fleet)</t>
  </si>
  <si>
    <t xml:space="preserve">Food &amp; packaging</t>
  </si>
  <si>
    <t xml:space="preserve">Food &amp; packaging, % of revenue</t>
  </si>
  <si>
    <t xml:space="preserve">Payroll</t>
  </si>
  <si>
    <t xml:space="preserve">Inputs — Low / Base / High</t>
  </si>
  <si>
    <t xml:space="preserve">Illustrative assumptions - replace them with your own numbers.</t>
  </si>
  <si>
    <t xml:space="preserve">Unit</t>
  </si>
  <si>
    <t xml:space="preserve">Source / comment</t>
  </si>
  <si>
    <t xml:space="preserve">Fleet &amp; service days</t>
  </si>
  <si>
    <t xml:space="preserve">Food trucks in operation at start</t>
  </si>
  <si>
    <t xml:space="preserve">#</t>
  </si>
  <si>
    <t xml:space="preserve">Trucks added each year (from year 2; raise headcount to match)</t>
  </si>
  <si>
    <t xml:space="preserve">Street service days per truck per month (year average)</t>
  </si>
  <si>
    <t xml:space="preserve">days</t>
  </si>
  <si>
    <t xml:space="preserve">Low ≤ Base ≤ High</t>
  </si>
  <si>
    <t xml:space="preserve">Winter dip in street service days, December-February (monthly models)</t>
  </si>
  <si>
    <t xml:space="preserve">%</t>
  </si>
  <si>
    <t xml:space="preserve">Low ≥ Base ≥ High (lower is better)</t>
  </si>
  <si>
    <t xml:space="preserve">Ramp-up</t>
  </si>
  <si>
    <t xml:space="preserve">Months to reach mature volume (0 = already mature)</t>
  </si>
  <si>
    <t xml:space="preserve">months</t>
  </si>
  <si>
    <t xml:space="preserve">Volume in month 1, % of mature</t>
  </si>
  <si>
    <t xml:space="preserve">Meals per street service day at maturity (year 1)</t>
  </si>
  <si>
    <t xml:space="preserve">meals</t>
  </si>
  <si>
    <t xml:space="preserve">Meals per day growth per year</t>
  </si>
  <si>
    <t xml:space="preserve">Average ticket per meal (year 1)</t>
  </si>
  <si>
    <t xml:space="preserve">$</t>
  </si>
  <si>
    <t xml:space="preserve">Price increase per year</t>
  </si>
  <si>
    <t xml:space="preserve">Event and catering days per truck per month (year 1)</t>
  </si>
  <si>
    <t xml:space="preserve">Event days growth per year</t>
  </si>
  <si>
    <t xml:space="preserve">Revenue per event or catering day (year 1)</t>
  </si>
  <si>
    <t xml:space="preserve">Meals served per event or catering day</t>
  </si>
  <si>
    <t xml:space="preserve">Food cost, % of sales</t>
  </si>
  <si>
    <t xml:space="preserve">Packaging &amp; disposables per meal (year 1)</t>
  </si>
  <si>
    <t xml:space="preserve">Card &amp; POS processing fees, % of revenue</t>
  </si>
  <si>
    <t xml:space="preserve">Event &amp; festival fees, % of event revenue</t>
  </si>
  <si>
    <t xml:space="preserve">Event booth or vendor fee per event day (year 1)</t>
  </si>
  <si>
    <t xml:space="preserve">Cost increase per year (packaging, fuel, fixed costs)</t>
  </si>
  <si>
    <t xml:space="preserve">Operating costs</t>
  </si>
  <si>
    <t xml:space="preserve">Commissary kitchen rent per truck per month</t>
  </si>
  <si>
    <t xml:space="preserve">Permits &amp; licences per truck per month (annual fees ÷ 12)</t>
  </si>
  <si>
    <t xml:space="preserve">Insurance per truck per month</t>
  </si>
  <si>
    <t xml:space="preserve">Fuel, propane &amp; generator per service day</t>
  </si>
  <si>
    <t xml:space="preserve">Truck maintenance &amp; repairs per truck per month</t>
  </si>
  <si>
    <t xml:space="preserve">POS &amp; ordering software per month</t>
  </si>
  <si>
    <t xml:space="preserve">Marketing budget per month (year 1)</t>
  </si>
  <si>
    <t xml:space="preserve">Marketing budget growth per year</t>
  </si>
  <si>
    <t xml:space="preserve">Accounting, bank fees &amp; other G&amp;A per month</t>
  </si>
  <si>
    <t xml:space="preserve">Trucks to buy and build out in month 1</t>
  </si>
  <si>
    <t xml:space="preserve">Truck purchase, each</t>
  </si>
  <si>
    <t xml:space="preserve">Kitchen build-out, equipment &amp; wrap, per truck</t>
  </si>
  <si>
    <t xml:space="preserve">POS hardware &amp; smallwares (month 1)</t>
  </si>
  <si>
    <t xml:space="preserve">Equipment refresh per truck per year (from year 2)</t>
  </si>
  <si>
    <t xml:space="preserve">Headcount</t>
  </si>
  <si>
    <t xml:space="preserve">Owner-operator (salary optional): headcount (FTE)</t>
  </si>
  <si>
    <t xml:space="preserve">FTE</t>
  </si>
  <si>
    <t xml:space="preserve">Owner-operator (salary optional): salary per FTE per year</t>
  </si>
  <si>
    <t xml:space="preserve">Owner-operator (salary optional): headcount growth per year</t>
  </si>
  <si>
    <t xml:space="preserve">Owner-operator (salary optional): first month on payroll</t>
  </si>
  <si>
    <t xml:space="preserve">month #</t>
  </si>
  <si>
    <t xml:space="preserve">Cooks: headcount (FTE)</t>
  </si>
  <si>
    <t xml:space="preserve">Cooks: salary per FTE per year</t>
  </si>
  <si>
    <t xml:space="preserve">Cooks: headcount growth per year</t>
  </si>
  <si>
    <t xml:space="preserve">Cooks: first month on payroll</t>
  </si>
  <si>
    <t xml:space="preserve">Cashiers &amp; service staff: headcount (FTE)</t>
  </si>
  <si>
    <t xml:space="preserve">Cashiers &amp; service staff: salary per FTE per year</t>
  </si>
  <si>
    <t xml:space="preserve">Cashiers &amp; service staff: headcount growth per year</t>
  </si>
  <si>
    <t xml:space="preserve">Cashiers &amp; service staff: first month on payroll</t>
  </si>
  <si>
    <t xml:space="preserve">Payroll taxes &amp; benefits, % of salary</t>
  </si>
  <si>
    <t xml:space="preserve">Wage growth per year</t>
  </si>
  <si>
    <t xml:space="preserve">Funding</t>
  </si>
  <si>
    <t xml:space="preserve">Equity raised at start</t>
  </si>
  <si>
    <t xml:space="preserve">Loan drawn at start</t>
  </si>
  <si>
    <t xml:space="preserve">Loan interest rate per year</t>
  </si>
  <si>
    <t xml:space="preserve">Loan repayment term</t>
  </si>
  <si>
    <t xml:space="preserve">years</t>
  </si>
  <si>
    <t xml:space="preserve">Working capital</t>
  </si>
  <si>
    <t xml:space="preserve">Customer payment terms (receivable days)</t>
  </si>
  <si>
    <t xml:space="preserve">Inventory held (days of COGS)</t>
  </si>
  <si>
    <t xml:space="preserve">Supplier payment terms (payable days)</t>
  </si>
  <si>
    <t xml:space="preserve">Tax &amp; depreciation</t>
  </si>
  <si>
    <t xml:space="preserve">Depreciation period for capex</t>
  </si>
  <si>
    <t xml:space="preserve">Income tax rate</t>
  </si>
  <si>
    <t xml:space="preserve">Break-even &amp; funding</t>
  </si>
  <si>
    <t xml:space="preserve">About 3 months of costs</t>
  </si>
  <si>
    <t xml:space="preserve">Valuation</t>
  </si>
  <si>
    <t xml:space="preserve">Terminal growth rate (perpetuity)</t>
  </si>
  <si>
    <t xml:space="preserve">x</t>
  </si>
  <si>
    <t xml:space="preserve">Sensitivity table: WACC step</t>
  </si>
  <si>
    <t xml:space="preserve">Sensitivity table: growth step</t>
  </si>
  <si>
    <t xml:space="preserve">Legend: yellow cell with blue figure = input you can change · black = formula · green = link to another sheet · grey = active value (column E follows the scenario on the Dashboard).</t>
  </si>
  <si>
    <t xml:space="preserve">Rolled up from the period detail (SUMIF on the year row; balances at year end).</t>
  </si>
  <si>
    <t xml:space="preserve">Payroll (owner-operator, cooks, cashiers)</t>
  </si>
  <si>
    <t xml:space="preserve">Commissary kitchen</t>
  </si>
  <si>
    <t xml:space="preserve">Permits &amp; licences</t>
  </si>
  <si>
    <t xml:space="preserve">Insurance</t>
  </si>
  <si>
    <t xml:space="preserve">Fuel, propane &amp; generator</t>
  </si>
  <si>
    <t xml:space="preserve">Truck maintenance &amp; repairs</t>
  </si>
  <si>
    <t xml:space="preserve">POS &amp; ordering software</t>
  </si>
  <si>
    <t xml:space="preserve">Marketing</t>
  </si>
  <si>
    <t xml:space="preserve">Accounting, bank fees &amp; other G&amp;A</t>
  </si>
  <si>
    <t xml:space="preserve">Add back depreciation</t>
  </si>
  <si>
    <t xml:space="preserve">(Increase) / decrease in receivables</t>
  </si>
  <si>
    <t xml:space="preserve">(Increase) / decrease in inventory</t>
  </si>
  <si>
    <t xml:space="preserve">Increase / (decrease) in payables</t>
  </si>
  <si>
    <t xml:space="preserve">Opening cash</t>
  </si>
  <si>
    <t xml:space="preserve">Check: assets − liabilities − equity (must be 0)</t>
  </si>
  <si>
    <t xml:space="preserve">Monthly projection</t>
  </si>
  <si>
    <t xml:space="preserve">$ unless stated; costs shown as negatives. Every period uses the same formula.</t>
  </si>
  <si>
    <t xml:space="preserve">Month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</si>
  <si>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</si>
  <si>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</si>
  <si>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</si>
  <si>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</si>
  <si>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</si>
  <si>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</si>
  <si>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</si>
  <si>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</si>
  <si>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</si>
  <si>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</si>
  <si>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</si>
  <si>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</si>
  <si>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M13</t>
  </si>
  <si>
    <t xml:space="preserve">M14</t>
  </si>
  <si>
    <t xml:space="preserve">M15</t>
  </si>
  <si>
    <t xml:space="preserve">M16</t>
  </si>
  <si>
    <t xml:space="preserve">M17</t>
  </si>
  <si>
    <t xml:space="preserve">M18</t>
  </si>
  <si>
    <t xml:space="preserve">M19</t>
  </si>
  <si>
    <t xml:space="preserve">M20</t>
  </si>
  <si>
    <t xml:space="preserve">M21</t>
  </si>
  <si>
    <t xml:space="preserve">M22</t>
  </si>
  <si>
    <t xml:space="preserve">M23</t>
  </si>
  <si>
    <t xml:space="preserve">M24</t>
  </si>
  <si>
    <t xml:space="preserve">M25</t>
  </si>
  <si>
    <t xml:space="preserve">M26</t>
  </si>
  <si>
    <t xml:space="preserve">M27</t>
  </si>
  <si>
    <t xml:space="preserve">M28</t>
  </si>
  <si>
    <t xml:space="preserve">M29</t>
  </si>
  <si>
    <t xml:space="preserve">M30</t>
  </si>
  <si>
    <t xml:space="preserve">M31</t>
  </si>
  <si>
    <t xml:space="preserve">M32</t>
  </si>
  <si>
    <t xml:space="preserve">M33</t>
  </si>
  <si>
    <t xml:space="preserve">M34</t>
  </si>
  <si>
    <t xml:space="preserve">M35</t>
  </si>
  <si>
    <t xml:space="preserve">M36</t>
  </si>
  <si>
    <t xml:space="preserve">Period #</t>
  </si>
  <si>
    <t xml:space="preserve">Fleet &amp; volume</t>
  </si>
  <si>
    <t xml:space="preserve">Trucks in operation</t>
  </si>
  <si>
    <t xml:space="preserve">Helper: months of the period still on the ramp-up</t>
  </si>
  <si>
    <t xml:space="preserve">Ramp-up factor (share of mature volume)</t>
  </si>
  <si>
    <t xml:space="preserve">Season factor (winter dip in street days)</t>
  </si>
  <si>
    <t xml:space="preserve">Street service days</t>
  </si>
  <si>
    <t xml:space="preserve">Event and catering days</t>
  </si>
  <si>
    <t xml:space="preserve">Service days - total</t>
  </si>
  <si>
    <t xml:space="preserve">Meals sold on the street</t>
  </si>
  <si>
    <t xml:space="preserve">Meals served at events</t>
  </si>
  <si>
    <t xml:space="preserve">Meals - total</t>
  </si>
  <si>
    <t xml:space="preserve">Average ticket per street meal</t>
  </si>
  <si>
    <t xml:space="preserve">Revenue per event day</t>
  </si>
  <si>
    <t xml:space="preserve">Food cost</t>
  </si>
  <si>
    <t xml:space="preserve">Packaging &amp; disposables</t>
  </si>
  <si>
    <t xml:space="preserve">Card &amp; POS processing fees</t>
  </si>
  <si>
    <t xml:space="preserve">Event &amp; festival fees</t>
  </si>
  <si>
    <t xml:space="preserve">Profit after depreciation, interest, tax</t>
  </si>
  <si>
    <t xml:space="preserve">Interest on loan (average balance after drawdown)</t>
  </si>
  <si>
    <t xml:space="preserve">Helper: cumulative pre-tax income</t>
  </si>
  <si>
    <t xml:space="preserve">Helper: cumulative taxable income (losses carried forward)</t>
  </si>
  <si>
    <t xml:space="preserve">Fixed assets &amp; capital spending</t>
  </si>
  <si>
    <t xml:space="preserve">Truck purchase (month 1; trucks added from year 2)</t>
  </si>
  <si>
    <t xml:space="preserve">Kitchen build-out, equipment &amp; wrap</t>
  </si>
  <si>
    <t xml:space="preserve">POS hardware &amp; smallwares</t>
  </si>
  <si>
    <t xml:space="preserve">Equipment refresh (first period of each year from year 2)</t>
  </si>
  <si>
    <t xml:space="preserve">Fixed assets at cost</t>
  </si>
  <si>
    <t xml:space="preserve">Accumulated depreciation</t>
  </si>
  <si>
    <t xml:space="preserve">Debt</t>
  </si>
  <si>
    <t xml:space="preserve">Loan — opening balance</t>
  </si>
  <si>
    <t xml:space="preserve">Loan — closing balance</t>
  </si>
  <si>
    <t xml:space="preserve">Cash flow</t>
  </si>
  <si>
    <t xml:space="preserve">Investing cash flow (capex)</t>
  </si>
  <si>
    <t xml:space="preserve">Net cash flow</t>
  </si>
  <si>
    <t xml:space="preserve">Helper: EBITDA positive (1/0)</t>
  </si>
  <si>
    <t xml:space="preserve">Goal modules</t>
  </si>
  <si>
    <t xml:space="preserve">Helper: net income positive (1/0)</t>
  </si>
  <si>
    <t xml:space="preserve">Cash flow before financing (operating + investing)</t>
  </si>
  <si>
    <t xml:space="preserve">Cumulative cash flow before financing</t>
  </si>
  <si>
    <t xml:space="preserve">Helper: lowest cumulative cash flow so far</t>
  </si>
  <si>
    <t xml:space="preserve">Helper: investment paid back (1/0)</t>
  </si>
  <si>
    <t xml:space="preserve">Unlevered free cash flow (operating + after-tax interest − capex)</t>
  </si>
  <si>
    <t xml:space="preserve">Balance sheet</t>
  </si>
  <si>
    <t xml:space="preserve">Check: assets − liabilities − equity</t>
  </si>
  <si>
    <t xml:space="preserve">Headcount &amp; payroll</t>
  </si>
  <si>
    <t xml:space="preserve">Headcount (FTE)</t>
  </si>
  <si>
    <t xml:space="preserve">Owner-operator (salary optional) — FTE</t>
  </si>
  <si>
    <t xml:space="preserve">Cooks — FTE</t>
  </si>
  <si>
    <t xml:space="preserve">Cashiers &amp; service staff — FTE</t>
  </si>
  <si>
    <t xml:space="preserve">Total FTE</t>
  </si>
  <si>
    <t xml:space="preserve">Payroll cost (salary + taxes &amp; benefits)</t>
  </si>
  <si>
    <t xml:space="preserve">Owner-operator (salary optional) — payroll cost</t>
  </si>
  <si>
    <t xml:space="preserve">Cooks — payroll cost</t>
  </si>
  <si>
    <t xml:space="preserve">Cashiers &amp; service staff — payroll cost</t>
  </si>
  <si>
    <t xml:space="preserve">Total payroll</t>
  </si>
  <si>
    <t xml:space="preserve">Scenario calculation — Low, Base and High side by side</t>
  </si>
  <si>
    <t xml:space="preserve">The model's period calculation, copied three times; each copy reads its own Inputs column. Feeds the Scenarios sheet only.</t>
  </si>
  <si>
    <t xml:space="preserve">Low scenario — reads Inputs column B</t>
  </si>
  <si>
    <t xml:space="preserve">Base scenario — reads Inputs column C</t>
  </si>
  <si>
    <t xml:space="preserve">High scenario — reads Inputs column D</t>
  </si>
  <si>
    <t xml:space="preserve">Live formulas: they re-run every time an input changes.</t>
  </si>
  <si>
    <t xml:space="preserve">Check</t>
  </si>
  <si>
    <t xml:space="preserve">Result</t>
  </si>
  <si>
    <t xml:space="preserve">What it tests</t>
  </si>
  <si>
    <t xml:space="preserve">Annual revenue ties to period detail</t>
  </si>
  <si>
    <t xml:space="preserve">Sum of annual revenue equals the sum of every period</t>
  </si>
  <si>
    <t xml:space="preserve">Annual net income ties to period detail</t>
  </si>
  <si>
    <t xml:space="preserve">Sum of annual net income equals the sum of every period</t>
  </si>
  <si>
    <t xml:space="preserve">EBITDA reconciliation</t>
  </si>
  <si>
    <t xml:space="preserve">EBITDA = gross profit + operating expenses (costs are negative)</t>
  </si>
  <si>
    <t xml:space="preserve">Cash roll-forward</t>
  </si>
  <si>
    <t xml:space="preserve">Closing cash = all net cash flows since the start (opening cash is zero)</t>
  </si>
  <si>
    <t xml:space="preserve">Scenario selector valid</t>
  </si>
  <si>
    <t xml:space="preserve">Dashboard!B4 is 1, 2 or 3</t>
  </si>
  <si>
    <t xml:space="preserve">Scenario ordering of drivers</t>
  </si>
  <si>
    <t xml:space="preserve">Low / Base / High ordered the right way for every growth and cost driver</t>
  </si>
  <si>
    <t xml:space="preserve">Gross margin within 0–100%</t>
  </si>
  <si>
    <t xml:space="preserve">Gross margin never negative or above 100%</t>
  </si>
  <si>
    <t xml:space="preserve">Loan balance never negative</t>
  </si>
  <si>
    <t xml:space="preserve">Repayments never exceed the loan</t>
  </si>
  <si>
    <t xml:space="preserve">Funding table ties to the cash flow</t>
  </si>
  <si>
    <t xml:space="preserve">Lowest cash balance = sources of funds − uses of funds up to that point</t>
  </si>
  <si>
    <t xml:space="preserve">Valuation: discounting ties to NPV()</t>
  </si>
  <si>
    <t xml:space="preserve">Sum of discounted free cash flows equals Excel's NPV of the same flows</t>
  </si>
  <si>
    <t xml:space="preserve">Valuation: WACC above terminal growth</t>
  </si>
  <si>
    <t xml:space="preserve">The perpetual-growth formula needs WACC &gt; g</t>
  </si>
  <si>
    <t xml:space="preserve">Valuation: sensitivity centre = enterprise value</t>
  </si>
  <si>
    <t xml:space="preserve">The middle of the WACC × growth table reproduces the headline value</t>
  </si>
  <si>
    <t xml:space="preserve">Valuation: final-year cash flow positive</t>
  </si>
  <si>
    <t xml:space="preserve">Business warning: a negative final-year cash flow gives a negative terminal value (often a 1-year plan still carrying start-up spending)</t>
  </si>
  <si>
    <t xml:space="preserve">Sources &amp; uses balance</t>
  </si>
  <si>
    <t xml:space="preserve">Sources of funds = uses of funds (incl. cash at the end) for the Sources &amp; Uses period</t>
  </si>
  <si>
    <t xml:space="preserve">No error values</t>
  </si>
  <si>
    <t xml:space="preserve">No error values (divide-by-zero, broken references) on any calculation sheet</t>
  </si>
  <si>
    <t xml:space="preserve">Summary ties to statements</t>
  </si>
  <si>
    <t xml:space="preserve">Summary revenue, net income and closing cash equal the statements every year; the detailed year adds up to its annual figure</t>
  </si>
  <si>
    <t xml:space="preserve">DuPont ties to return on equity</t>
  </si>
  <si>
    <t xml:space="preserve">Net margin × asset turnover × equity multiplier equals return on equity every year; n/a = no year where both are defined (a one-sided n/a is a FAIL)</t>
  </si>
  <si>
    <t xml:space="preserve">Scenarios: Active = selected scenario</t>
  </si>
  <si>
    <t xml:space="preserve">On the Scenarios sheet the live model (Active) equals the Low / Base / High column chosen on the Dashboard for every output</t>
  </si>
  <si>
    <t xml:space="preserve">Balance sheet balances every period</t>
  </si>
  <si>
    <t xml:space="preserve">Assets = liabilities + equity in every period</t>
  </si>
  <si>
    <t xml:space="preserve">Funding sufficient (cash ≥ 0)</t>
  </si>
  <si>
    <t xml:space="preserve">Business warning, not an error: cash dips below zero in this scenario</t>
  </si>
  <si>
    <t xml:space="preserve">Overall verdict</t>
  </si>
</sst>
</file>

<file path=xl/styles.xml><?xml version="1.0" encoding="utf-8"?>
<styleSheet xmlns="http://schemas.openxmlformats.org/spreadsheetml/2006/main">
  <numFmts count="29">
    <numFmt numFmtId="164" formatCode="General"/>
    <numFmt numFmtId="165" formatCode="#,##0"/>
    <numFmt numFmtId="166" formatCode="\$#,##0.0,,\M;&quot;($&quot;#,##0.0,,&quot;M)&quot;;\-"/>
    <numFmt numFmtId="167" formatCode="0.0%;\(0.0%\);\-"/>
    <numFmt numFmtId="168" formatCode="&quot;CAGR &quot;0%;&quot;CAGR -&quot;0%;&quot;CAGR &quot;0%"/>
    <numFmt numFmtId="169" formatCode="&quot;EBITDA $&quot;#,##0.0,,\M;&quot;EBITDA -$&quot;#,##0.0,,\M;&quot;EBITDA $&quot;0.0\M"/>
    <numFmt numFmtId="170" formatCode="&quot;Net margin &quot;0%;&quot;Net margin -&quot;0%;&quot;Net margin &quot;0%"/>
    <numFmt numFmtId="171" formatCode="&quot;in month &quot;0"/>
    <numFmt numFmtId="172" formatCode="&quot;Shortfall $&quot;#,##0.0,,\M"/>
    <numFmt numFmtId="173" formatCode="&quot;Year &quot;0"/>
    <numFmt numFmtId="174" formatCode="\$#,##0,;&quot;($&quot;#,##0,\);\-"/>
    <numFmt numFmtId="175" formatCode="#,##0;\(#,##0\);\-"/>
    <numFmt numFmtId="176" formatCode="\$#,##0.00;&quot;($&quot;#,##0.00\);\-"/>
    <numFmt numFmtId="177" formatCode="#,##0.0;\(#,##0.0\);\-"/>
    <numFmt numFmtId="178" formatCode="&quot;Month &quot;0"/>
    <numFmt numFmtId="179" formatCode="\$#,##0.0,,\M"/>
    <numFmt numFmtId="180" formatCode="0%"/>
    <numFmt numFmtId="181" formatCode="\M0"/>
    <numFmt numFmtId="182" formatCode="\$#,##0,\K"/>
    <numFmt numFmtId="183" formatCode="#,##0.0;\(#,##0.0\);\-"/>
    <numFmt numFmtId="184" formatCode="\$#,##0.00;&quot;($&quot;#,##0.00\);\-"/>
    <numFmt numFmtId="185" formatCode="0.0%;\(0.0%\);\-"/>
    <numFmt numFmtId="186" formatCode="\$#,##0;&quot;($&quot;#,##0\);\-"/>
    <numFmt numFmtId="187" formatCode="0"/>
    <numFmt numFmtId="188" formatCode="0.0\x"/>
    <numFmt numFmtId="189" formatCode="0.000"/>
    <numFmt numFmtId="190" formatCode="0.0\x;\(0.0&quot;x)&quot;;\-"/>
    <numFmt numFmtId="191" formatCode="#,##0;\(#,##0\);\-"/>
    <numFmt numFmtId="192" formatCode="[&gt;=1000000]\$#,##0.0,,\M;[&gt;=1000]\$#,##0,\k;\$#,##0"/>
  </numFmts>
  <fonts count="3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B2A2F"/>
      <name val="Arial"/>
      <family val="0"/>
      <charset val="1"/>
    </font>
    <font>
      <sz val="10"/>
      <color rgb="FF6B7280"/>
      <name val="Arial"/>
      <family val="0"/>
      <charset val="1"/>
    </font>
    <font>
      <b val="true"/>
      <sz val="9"/>
      <color rgb="FF1B2A2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9"/>
      <color rgb="FF0F6E56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8"/>
      <color rgb="FF0F6E56"/>
      <name val="Arial"/>
      <family val="0"/>
      <charset val="1"/>
    </font>
    <font>
      <sz val="9"/>
      <color rgb="FF6B7280"/>
      <name val="Arial"/>
      <family val="0"/>
      <charset val="1"/>
    </font>
    <font>
      <b val="true"/>
      <u val="single"/>
      <sz val="9"/>
      <color rgb="FF0F6E56"/>
      <name val="Arial"/>
      <family val="0"/>
      <charset val="1"/>
    </font>
    <font>
      <sz val="9"/>
      <color rgb="FF0000FF"/>
      <name val="Arial"/>
      <family val="0"/>
      <charset val="1"/>
    </font>
    <font>
      <sz val="9"/>
      <color rgb="FF008000"/>
      <name val="Arial"/>
      <family val="0"/>
      <charset val="1"/>
    </font>
    <font>
      <b val="true"/>
      <sz val="14"/>
      <color rgb="FF1B2A2F"/>
      <name val="Arial"/>
      <family val="0"/>
      <charset val="1"/>
    </font>
    <font>
      <u val="single"/>
      <sz val="8"/>
      <color rgb="FF0F6E56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1"/>
      <color rgb="FF0F6E56"/>
      <name val="Arial"/>
      <family val="0"/>
      <charset val="1"/>
    </font>
    <font>
      <i val="true"/>
      <sz val="8"/>
      <color rgb="FF6B7280"/>
      <name val="Arial"/>
      <family val="0"/>
      <charset val="1"/>
    </font>
    <font>
      <b val="true"/>
      <sz val="7"/>
      <color rgb="FF6B7280"/>
      <name val="Arial"/>
      <family val="0"/>
      <charset val="1"/>
    </font>
    <font>
      <b val="true"/>
      <sz val="18"/>
      <color rgb="FF1B2A2F"/>
      <name val="Arial"/>
      <family val="0"/>
      <charset val="1"/>
    </font>
    <font>
      <sz val="8"/>
      <color rgb="FF0F6E56"/>
      <name val="Arial"/>
      <family val="0"/>
      <charset val="1"/>
    </font>
    <font>
      <sz val="9"/>
      <color rgb="FF1B2A2F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0"/>
      <color rgb="FF1B2A2F"/>
      <name val="Arial"/>
      <family val="2"/>
    </font>
    <font>
      <sz val="8"/>
      <color rgb="FF6B7280"/>
      <name val="Arial"/>
      <family val="2"/>
    </font>
    <font>
      <sz val="8"/>
      <color rgb="FF1B2A2F"/>
      <name val="Arial"/>
      <family val="2"/>
    </font>
    <font>
      <sz val="7"/>
      <color rgb="FFA3ABA8"/>
      <name val="Arial"/>
      <family val="0"/>
      <charset val="1"/>
    </font>
    <font>
      <i val="true"/>
      <sz val="9"/>
      <color rgb="FF008000"/>
      <name val="Arial"/>
      <family val="0"/>
      <charset val="1"/>
    </font>
    <font>
      <b val="true"/>
      <i val="true"/>
      <sz val="9"/>
      <color rgb="FF6B7280"/>
      <name val="Arial"/>
      <family val="0"/>
      <charset val="1"/>
    </font>
    <font>
      <sz val="8"/>
      <color rgb="FFFFFFFF"/>
      <name val="Arial"/>
      <family val="2"/>
    </font>
    <font>
      <sz val="8"/>
      <color rgb="FF6B728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F6E56"/>
        <bgColor rgb="FF008080"/>
      </patternFill>
    </fill>
    <fill>
      <patternFill patternType="solid">
        <fgColor rgb="FFFFF2CC"/>
        <bgColor rgb="FFFBEFCF"/>
      </patternFill>
    </fill>
    <fill>
      <patternFill patternType="solid">
        <fgColor rgb="FFF1F3EE"/>
        <bgColor rgb="FFF7F8F3"/>
      </patternFill>
    </fill>
    <fill>
      <patternFill patternType="solid">
        <fgColor rgb="FFFFE08A"/>
        <bgColor rgb="FFFBEFCF"/>
      </patternFill>
    </fill>
    <fill>
      <patternFill patternType="solid">
        <fgColor rgb="FFF7F8F3"/>
        <bgColor rgb="FFF1F3EE"/>
      </patternFill>
    </fill>
  </fills>
  <borders count="9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9CEC9"/>
      </bottom>
      <diagonal/>
    </border>
    <border diagonalUp="false" diagonalDown="false">
      <left style="thin">
        <color rgb="FFC9CEC9"/>
      </left>
      <right style="thin">
        <color rgb="FFC9CEC9"/>
      </right>
      <top style="thin">
        <color rgb="FFC9CEC9"/>
      </top>
      <bottom style="thin">
        <color rgb="FFC9CEC9"/>
      </bottom>
      <diagonal/>
    </border>
    <border diagonalUp="false" diagonalDown="false">
      <left style="medium">
        <color rgb="FF1B2A2F"/>
      </left>
      <right style="medium">
        <color rgb="FF1B2A2F"/>
      </right>
      <top style="medium">
        <color rgb="FF1B2A2F"/>
      </top>
      <bottom style="medium">
        <color rgb="FF1B2A2F"/>
      </bottom>
      <diagonal/>
    </border>
    <border diagonalUp="false" diagonalDown="false">
      <left style="thin">
        <color rgb="FFFFFFFF"/>
      </left>
      <right style="thin">
        <color rgb="FFFFFFFF"/>
      </right>
      <top style="thick">
        <color rgb="FF0F6E56"/>
      </top>
      <bottom/>
      <diagonal/>
    </border>
    <border diagonalUp="false" diagonalDown="false">
      <left style="thin">
        <color rgb="FFFFFFFF"/>
      </left>
      <right style="thin">
        <color rgb="FFFFFFFF"/>
      </right>
      <top/>
      <bottom/>
      <diagonal/>
    </border>
    <border diagonalUp="false" diagonalDown="false">
      <left/>
      <right/>
      <top/>
      <bottom style="medium">
        <color rgb="FF1B2A2F"/>
      </bottom>
      <diagonal/>
    </border>
    <border diagonalUp="false" diagonalDown="false">
      <left/>
      <right/>
      <top style="thin">
        <color rgb="FF1B2A2F"/>
      </top>
      <bottom/>
      <diagonal/>
    </border>
    <border diagonalUp="false" diagonalDown="false">
      <left/>
      <right/>
      <top style="thin">
        <color rgb="FF1B2A2F"/>
      </top>
      <bottom style="double">
        <color rgb="FF1B2A2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2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2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6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6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7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2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8" fontId="2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18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6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7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6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6" fontId="7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6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31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7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90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90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6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91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91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91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3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3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5" fontId="2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5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4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4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91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1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6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8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6" fontId="9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7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B8322A"/>
        <sz val="9"/>
      </font>
      <fill>
        <patternFill>
          <bgColor rgb="FFF6D5D2"/>
        </patternFill>
      </fill>
    </dxf>
    <dxf>
      <font>
        <name val="Arial"/>
        <charset val="1"/>
        <family val="0"/>
        <b val="1"/>
        <color rgb="FF8A6100"/>
        <sz val="9"/>
      </font>
      <fill>
        <patternFill>
          <bgColor rgb="FFFBEFCF"/>
        </patternFill>
      </fill>
    </dxf>
    <dxf>
      <font>
        <name val="Arial"/>
        <charset val="1"/>
        <family val="0"/>
        <b val="1"/>
        <color rgb="FF0F6E56"/>
        <sz val="9"/>
      </font>
      <fill>
        <patternFill>
          <bgColor rgb="FFDCEFE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100"/>
      <rgbColor rgb="FF800080"/>
      <rgbColor rgb="FF0F6E56"/>
      <rgbColor rgb="FFC9CEC9"/>
      <rgbColor rgb="FF4F81BD"/>
      <rgbColor rgb="FFA3ABA8"/>
      <rgbColor rgb="FF993366"/>
      <rgbColor rgb="FFFFF2CC"/>
      <rgbColor rgb="FFDCEFE8"/>
      <rgbColor rgb="FF660066"/>
      <rgbColor rgb="FFFF8080"/>
      <rgbColor rgb="FF0066CC"/>
      <rgbColor rgb="FFF6D5D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3EE"/>
      <rgbColor rgb="FFE3E6E1"/>
      <rgbColor rgb="FFFBEFCF"/>
      <rgbColor rgb="FF7FB5A3"/>
      <rgbColor rgb="FFF7F8F3"/>
      <rgbColor rgb="FFCC99FF"/>
      <rgbColor rgb="FFFFE08A"/>
      <rgbColor rgb="FF3366FF"/>
      <rgbColor rgb="FF33CCCC"/>
      <rgbColor rgb="FF99CC00"/>
      <rgbColor rgb="FFE0B43C"/>
      <rgbColor rgb="FFD9A21B"/>
      <rgbColor rgb="FFFF6600"/>
      <rgbColor rgb="FF6B7280"/>
      <rgbColor rgb="FF9AA3A0"/>
      <rgbColor rgb="FF003366"/>
      <rgbColor rgb="FF339966"/>
      <rgbColor rgb="FF003300"/>
      <rgbColor rgb="FF333300"/>
      <rgbColor rgb="FFB8322A"/>
      <rgbColor rgb="FF993366"/>
      <rgbColor rgb="FF333399"/>
      <rgbColor rgb="FF1B2A2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Revenue &amp; EBITDA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Dashboard!$A$12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Dashboard!$B$11:$D$11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Dashboard!$B$12:$D$12</c:f>
              <c:numCache>
                <c:formatCode>\$#,##0,;"($"#,##0,\);\-</c:formatCode>
                <c:ptCount val="3"/>
                <c:pt idx="0">
                  <c:v>273896</c:v>
                </c:pt>
                <c:pt idx="1">
                  <c:v>336825.8208</c:v>
                </c:pt>
                <c:pt idx="2">
                  <c:v>358461.36984672</c:v>
                </c:pt>
              </c:numCache>
            </c:numRef>
          </c:val>
        </c:ser>
        <c:ser>
          <c:idx val="1"/>
          <c:order val="1"/>
          <c:tx>
            <c:strRef>
              <c:f>Dashboard!$A$16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Dashboard!$B$11:$D$11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Dashboard!$B$16:$D$16</c:f>
              <c:numCache>
                <c:formatCode>\$#,##0,;"($"#,##0,\);\-</c:formatCode>
                <c:ptCount val="3"/>
                <c:pt idx="0">
                  <c:v>-7305.96400000003</c:v>
                </c:pt>
                <c:pt idx="1">
                  <c:v>24630.4908928</c:v>
                </c:pt>
                <c:pt idx="2">
                  <c:v>32253.0103955315</c:v>
                </c:pt>
              </c:numCache>
            </c:numRef>
          </c:val>
        </c:ser>
        <c:gapWidth val="60"/>
        <c:overlap val="0"/>
        <c:axId val="24901763"/>
        <c:axId val="12114387"/>
      </c:barChart>
      <c:lineChart>
        <c:grouping val="standard"/>
        <c:varyColors val="0"/>
        <c:ser>
          <c:idx val="2"/>
          <c:order val="2"/>
          <c:tx>
            <c:strRef>
              <c:f>Dashboard!$A$17</c:f>
              <c:strCache>
                <c:ptCount val="1"/>
                <c:pt idx="0">
                  <c:v>EBITDA margin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Dashboard!$B$11:$D$11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Dashboard!$B$17:$D$17</c:f>
              <c:numCache>
                <c:formatCode>0.0%;\(0.0%\);\-</c:formatCode>
                <c:ptCount val="3"/>
                <c:pt idx="0">
                  <c:v>-0.0266742267137893</c:v>
                </c:pt>
                <c:pt idx="1">
                  <c:v>0.0731253050443096</c:v>
                </c:pt>
                <c:pt idx="2">
                  <c:v>0.0899762515813714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5210530"/>
        <c:axId val="28002566"/>
      </c:lineChart>
      <c:catAx>
        <c:axId val="24901763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12114387"/>
        <c:crosses val="autoZero"/>
        <c:auto val="1"/>
        <c:lblAlgn val="ctr"/>
        <c:lblOffset val="100"/>
        <c:noMultiLvlLbl val="0"/>
      </c:catAx>
      <c:valAx>
        <c:axId val="12114387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24901763"/>
        <c:crosses val="autoZero"/>
        <c:crossBetween val="between"/>
      </c:valAx>
      <c:catAx>
        <c:axId val="85210530"/>
        <c:scaling>
          <c:orientation val="minMax"/>
        </c:scaling>
        <c:delete val="0"/>
        <c:axPos val="t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28002566"/>
        <c:crosses val="autoZero"/>
        <c:auto val="1"/>
        <c:lblAlgn val="ctr"/>
        <c:lblOffset val="100"/>
        <c:noMultiLvlLbl val="0"/>
      </c:catAx>
      <c:valAx>
        <c:axId val="28002566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85210530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Cash flow by activity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Dashboard!$A$20</c:f>
              <c:strCache>
                <c:ptCount val="1"/>
                <c:pt idx="0">
                  <c:v>Operating cash flow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Dashboard!$B$11:$D$11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Dashboard!$B$20:$D$20</c:f>
              <c:numCache>
                <c:formatCode>\$#,##0,;"($"#,##0,\);\-</c:formatCode>
                <c:ptCount val="3"/>
                <c:pt idx="0">
                  <c:v>-15659.7006</c:v>
                </c:pt>
                <c:pt idx="1">
                  <c:v>18765.73393536</c:v>
                </c:pt>
                <c:pt idx="2">
                  <c:v>28004.3816109994</c:v>
                </c:pt>
              </c:numCache>
            </c:numRef>
          </c:val>
        </c:ser>
        <c:ser>
          <c:idx val="1"/>
          <c:order val="1"/>
          <c:tx>
            <c:strRef>
              <c:f>Dashboard!$A$21</c:f>
              <c:strCache>
                <c:ptCount val="1"/>
                <c:pt idx="0">
                  <c:v>Investing cash flow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Dashboard!$B$11:$D$11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Dashboard!$B$21:$D$21</c:f>
              <c:numCache>
                <c:formatCode>\$#,##0,;"($"#,##0,\);\-</c:formatCode>
                <c:ptCount val="3"/>
                <c:pt idx="0">
                  <c:v>-138000</c:v>
                </c:pt>
                <c:pt idx="1">
                  <c:v>-2500</c:v>
                </c:pt>
                <c:pt idx="2">
                  <c:v>-2500</c:v>
                </c:pt>
              </c:numCache>
            </c:numRef>
          </c:val>
        </c:ser>
        <c:ser>
          <c:idx val="2"/>
          <c:order val="2"/>
          <c:tx>
            <c:strRef>
              <c:f>Dashboard!$A$22</c:f>
              <c:strCache>
                <c:ptCount val="1"/>
                <c:pt idx="0">
                  <c:v>Financing cash flow</c:v>
                </c:pt>
              </c:strCache>
            </c:strRef>
          </c:tx>
          <c:spPr>
            <a:solidFill>
              <a:srgbClr val="d9a21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Dashboard!$B$11:$D$11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Dashboard!$B$22:$D$22</c:f>
              <c:numCache>
                <c:formatCode>\$#,##0,;"($"#,##0,\);\-</c:formatCode>
                <c:ptCount val="3"/>
                <c:pt idx="0">
                  <c:v>173500</c:v>
                </c:pt>
                <c:pt idx="1">
                  <c:v>-18000</c:v>
                </c:pt>
                <c:pt idx="2">
                  <c:v>-18000</c:v>
                </c:pt>
              </c:numCache>
            </c:numRef>
          </c:val>
        </c:ser>
        <c:gapWidth val="60"/>
        <c:overlap val="0"/>
        <c:axId val="97150171"/>
        <c:axId val="69545460"/>
      </c:barChart>
      <c:catAx>
        <c:axId val="97150171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69545460"/>
        <c:crosses val="autoZero"/>
        <c:auto val="1"/>
        <c:lblAlgn val="ctr"/>
        <c:lblOffset val="100"/>
        <c:noMultiLvlLbl val="0"/>
      </c:catAx>
      <c:valAx>
        <c:axId val="69545460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9715017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Year-end cash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Dashboard!$A$24</c:f>
              <c:strCache>
                <c:ptCount val="1"/>
                <c:pt idx="0">
                  <c:v>Year-end cash</c:v>
                </c:pt>
              </c:strCache>
            </c:strRef>
          </c:tx>
          <c:spPr>
            <a:solidFill>
              <a:srgbClr val="1b2a2f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800" spc="-1" strike="noStrike">
                    <a:solidFill>
                      <a:srgbClr val="1b2a2f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Dashboard!$B$11:$D$11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Dashboard!$B$24:$D$24</c:f>
              <c:numCache>
                <c:formatCode>\$#,##0,;"($"#,##0,\);\-</c:formatCode>
                <c:ptCount val="3"/>
                <c:pt idx="0">
                  <c:v>19840.2994</c:v>
                </c:pt>
                <c:pt idx="1">
                  <c:v>18106.0333353599</c:v>
                </c:pt>
                <c:pt idx="2">
                  <c:v>25610.4149463593</c:v>
                </c:pt>
              </c:numCache>
            </c:numRef>
          </c:val>
        </c:ser>
        <c:gapWidth val="60"/>
        <c:overlap val="0"/>
        <c:axId val="3721516"/>
        <c:axId val="84012169"/>
      </c:barChart>
      <c:catAx>
        <c:axId val="3721516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84012169"/>
        <c:crosses val="autoZero"/>
        <c:auto val="1"/>
        <c:lblAlgn val="ctr"/>
        <c:lblOffset val="100"/>
        <c:noMultiLvlLbl val="0"/>
      </c:catAx>
      <c:valAx>
        <c:axId val="84012169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372151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Meals served &amp; prime cost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Dashboard!$A$28</c:f>
              <c:strCache>
                <c:ptCount val="1"/>
                <c:pt idx="0">
                  <c:v>Meals served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Dashboard!$B$11:$D$11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Dashboard!$B$28:$D$28</c:f>
              <c:numCache>
                <c:formatCode>#,##0;\(#,##0\);\-</c:formatCode>
                <c:ptCount val="3"/>
                <c:pt idx="0">
                  <c:v>19564</c:v>
                </c:pt>
                <c:pt idx="1">
                  <c:v>23358.24</c:v>
                </c:pt>
                <c:pt idx="2">
                  <c:v>24134.5872</c:v>
                </c:pt>
              </c:numCache>
            </c:numRef>
          </c:val>
        </c:ser>
        <c:gapWidth val="60"/>
        <c:overlap val="0"/>
        <c:axId val="69660058"/>
        <c:axId val="13851035"/>
      </c:barChart>
      <c:lineChart>
        <c:grouping val="standard"/>
        <c:varyColors val="0"/>
        <c:ser>
          <c:idx val="1"/>
          <c:order val="1"/>
          <c:tx>
            <c:strRef>
              <c:f>Dashboard!$A$31</c:f>
              <c:strCache>
                <c:ptCount val="1"/>
                <c:pt idx="0">
                  <c:v>Prime cost (food, packaging, payroll), % of revenue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Dashboard!$B$11:$D$11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Dashboard!$B$31:$D$31</c:f>
              <c:numCache>
                <c:formatCode>0.0%;\(0.0%\);\-</c:formatCode>
                <c:ptCount val="3"/>
                <c:pt idx="0">
                  <c:v>0.794774220872156</c:v>
                </c:pt>
                <c:pt idx="1">
                  <c:v>0.724498925065783</c:v>
                </c:pt>
                <c:pt idx="2">
                  <c:v>0.71284286828703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37488117"/>
        <c:axId val="49891721"/>
      </c:lineChart>
      <c:catAx>
        <c:axId val="69660058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13851035"/>
        <c:crosses val="autoZero"/>
        <c:auto val="1"/>
        <c:lblAlgn val="ctr"/>
        <c:lblOffset val="100"/>
        <c:noMultiLvlLbl val="0"/>
      </c:catAx>
      <c:valAx>
        <c:axId val="13851035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69660058"/>
        <c:crosses val="autoZero"/>
        <c:crossBetween val="between"/>
      </c:valAx>
      <c:catAx>
        <c:axId val="37488117"/>
        <c:scaling>
          <c:orientation val="minMax"/>
        </c:scaling>
        <c:delete val="0"/>
        <c:axPos val="t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49891721"/>
        <c:crosses val="autoZero"/>
        <c:auto val="1"/>
        <c:lblAlgn val="ctr"/>
        <c:lblOffset val="100"/>
        <c:noMultiLvlLbl val="0"/>
      </c:catAx>
      <c:valAx>
        <c:axId val="49891721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37488117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Income statement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Summary!$A$7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Summary!$H$6:$S$6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Summary!$H$7:$S$7</c:f>
              <c:numCache>
                <c:formatCode>\$#,##0,;"($"#,##0,\);\-</c:formatCode>
                <c:ptCount val="12"/>
                <c:pt idx="0">
                  <c:v>10416</c:v>
                </c:pt>
                <c:pt idx="1">
                  <c:v>12152</c:v>
                </c:pt>
                <c:pt idx="2">
                  <c:v>18816</c:v>
                </c:pt>
                <c:pt idx="3">
                  <c:v>21168</c:v>
                </c:pt>
                <c:pt idx="4">
                  <c:v>23520</c:v>
                </c:pt>
                <c:pt idx="5">
                  <c:v>25872</c:v>
                </c:pt>
                <c:pt idx="6">
                  <c:v>28224</c:v>
                </c:pt>
                <c:pt idx="7">
                  <c:v>28224</c:v>
                </c:pt>
                <c:pt idx="8">
                  <c:v>28224</c:v>
                </c:pt>
                <c:pt idx="9">
                  <c:v>28224</c:v>
                </c:pt>
                <c:pt idx="10">
                  <c:v>28224</c:v>
                </c:pt>
                <c:pt idx="11">
                  <c:v>20832</c:v>
                </c:pt>
              </c:numCache>
            </c:numRef>
          </c:val>
        </c:ser>
        <c:gapWidth val="60"/>
        <c:overlap val="0"/>
        <c:axId val="15810723"/>
        <c:axId val="510022"/>
      </c:barChart>
      <c:lineChart>
        <c:grouping val="standard"/>
        <c:varyColors val="0"/>
        <c:ser>
          <c:idx val="1"/>
          <c:order val="1"/>
          <c:tx>
            <c:strRef>
              <c:f>Summary!$A$12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Summary!$H$6:$S$6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Summary!$H$12:$S$12</c:f>
              <c:numCache>
                <c:formatCode>\$#,##0,;"($"#,##0,\);\-</c:formatCode>
                <c:ptCount val="12"/>
                <c:pt idx="0">
                  <c:v>-7786.81066666667</c:v>
                </c:pt>
                <c:pt idx="1">
                  <c:v>-6778.33466666667</c:v>
                </c:pt>
                <c:pt idx="2">
                  <c:v>-2997.41066666667</c:v>
                </c:pt>
                <c:pt idx="3">
                  <c:v>-1613.87866666667</c:v>
                </c:pt>
                <c:pt idx="4">
                  <c:v>-230.34666666667</c:v>
                </c:pt>
                <c:pt idx="5">
                  <c:v>1153.18533333333</c:v>
                </c:pt>
                <c:pt idx="6">
                  <c:v>2536.71733333333</c:v>
                </c:pt>
                <c:pt idx="7">
                  <c:v>2536.71733333333</c:v>
                </c:pt>
                <c:pt idx="8">
                  <c:v>2536.71733333333</c:v>
                </c:pt>
                <c:pt idx="9">
                  <c:v>2536.71733333333</c:v>
                </c:pt>
                <c:pt idx="10">
                  <c:v>2536.71733333333</c:v>
                </c:pt>
                <c:pt idx="11">
                  <c:v>-1735.95466666667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Summary!$A$19</c:f>
              <c:strCache>
                <c:ptCount val="1"/>
                <c:pt idx="0">
                  <c:v>Net income</c:v>
                </c:pt>
              </c:strCache>
            </c:strRef>
          </c:tx>
          <c:spPr>
            <a:solidFill>
              <a:srgbClr val="1b2a2f"/>
            </a:solidFill>
            <a:ln w="28080">
              <a:solidFill>
                <a:srgbClr val="1b2a2f"/>
              </a:solidFill>
              <a:round/>
            </a:ln>
          </c:spPr>
          <c:marker>
            <c:symbol val="circle"/>
            <c:size val="6"/>
            <c:spPr>
              <a:solidFill>
                <a:srgbClr val="1b2a2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Summary!$H$6:$S$6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Summary!$H$19:$S$19</c:f>
              <c:numCache>
                <c:formatCode>\$#,##0,;"($"#,##0,\);\-</c:formatCode>
                <c:ptCount val="12"/>
                <c:pt idx="0">
                  <c:v>-10104.6678095238</c:v>
                </c:pt>
                <c:pt idx="1">
                  <c:v>-9090.56680952381</c:v>
                </c:pt>
                <c:pt idx="2">
                  <c:v>-5298.39280952381</c:v>
                </c:pt>
                <c:pt idx="3">
                  <c:v>-3903.61080952381</c:v>
                </c:pt>
                <c:pt idx="4">
                  <c:v>-2508.82880952381</c:v>
                </c:pt>
                <c:pt idx="5">
                  <c:v>-1114.04680952381</c:v>
                </c:pt>
                <c:pt idx="6">
                  <c:v>280.735190476187</c:v>
                </c:pt>
                <c:pt idx="7">
                  <c:v>291.985190476187</c:v>
                </c:pt>
                <c:pt idx="8">
                  <c:v>303.235190476187</c:v>
                </c:pt>
                <c:pt idx="9">
                  <c:v>314.485190476187</c:v>
                </c:pt>
                <c:pt idx="10">
                  <c:v>325.735190476187</c:v>
                </c:pt>
                <c:pt idx="11">
                  <c:v>-3935.68680952381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5810723"/>
        <c:axId val="510022"/>
      </c:lineChart>
      <c:catAx>
        <c:axId val="15810723"/>
        <c:scaling>
          <c:orientation val="minMax"/>
        </c:scaling>
        <c:delete val="0"/>
        <c:axPos val="b"/>
        <c:numFmt formatCode="\M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510022"/>
        <c:crosses val="autoZero"/>
        <c:auto val="1"/>
        <c:lblAlgn val="ctr"/>
        <c:lblOffset val="100"/>
        <c:noMultiLvlLbl val="0"/>
      </c:catAx>
      <c:valAx>
        <c:axId val="510022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,\K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1581072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Cash flow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Summary!$A$24</c:f>
              <c:strCache>
                <c:ptCount val="1"/>
                <c:pt idx="0">
                  <c:v>Operating cash flow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Summary!$H$23:$S$23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Summary!$H$24:$S$24</c:f>
              <c:numCache>
                <c:formatCode>\$#,##0,;"($"#,##0,\);\-</c:formatCode>
                <c:ptCount val="12"/>
                <c:pt idx="0">
                  <c:v>-8928.99146666667</c:v>
                </c:pt>
                <c:pt idx="1">
                  <c:v>-7525.57313333333</c:v>
                </c:pt>
                <c:pt idx="2">
                  <c:v>-3969.1922</c:v>
                </c:pt>
                <c:pt idx="3">
                  <c:v>-2368.09126666667</c:v>
                </c:pt>
                <c:pt idx="4">
                  <c:v>-973.30926666667</c:v>
                </c:pt>
                <c:pt idx="5">
                  <c:v>421.472733333329</c:v>
                </c:pt>
                <c:pt idx="6">
                  <c:v>1816.25473333333</c:v>
                </c:pt>
                <c:pt idx="7">
                  <c:v>1934.84233333333</c:v>
                </c:pt>
                <c:pt idx="8">
                  <c:v>1946.09233333333</c:v>
                </c:pt>
                <c:pt idx="9">
                  <c:v>1957.34233333333</c:v>
                </c:pt>
                <c:pt idx="10">
                  <c:v>1968.59233333333</c:v>
                </c:pt>
                <c:pt idx="11">
                  <c:v>-1939.14006666667</c:v>
                </c:pt>
              </c:numCache>
            </c:numRef>
          </c:val>
        </c:ser>
        <c:ser>
          <c:idx val="1"/>
          <c:order val="1"/>
          <c:tx>
            <c:strRef>
              <c:f>Summary!$A$25</c:f>
              <c:strCache>
                <c:ptCount val="1"/>
                <c:pt idx="0">
                  <c:v>Capital spending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Summary!$H$23:$S$23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Summary!$H$25:$S$25</c:f>
              <c:numCache>
                <c:formatCode>\$#,##0,;"($"#,##0,\);\-</c:formatCode>
                <c:ptCount val="12"/>
                <c:pt idx="0">
                  <c:v>-138000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  <c:pt idx="11">
                  <c:v>-0</c:v>
                </c:pt>
              </c:numCache>
            </c:numRef>
          </c:val>
        </c:ser>
        <c:ser>
          <c:idx val="2"/>
          <c:order val="2"/>
          <c:tx>
            <c:strRef>
              <c:f>Summary!$A$29</c:f>
              <c:strCache>
                <c:ptCount val="1"/>
                <c:pt idx="0">
                  <c:v>Financing cash flow</c:v>
                </c:pt>
              </c:strCache>
            </c:strRef>
          </c:tx>
          <c:spPr>
            <a:solidFill>
              <a:srgbClr val="d9a21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Summary!$H$23:$S$23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Summary!$H$29:$S$29</c:f>
              <c:numCache>
                <c:formatCode>\$#,##0,;"($"#,##0,\);\-</c:formatCode>
                <c:ptCount val="12"/>
                <c:pt idx="0">
                  <c:v>190000</c:v>
                </c:pt>
                <c:pt idx="1">
                  <c:v>-1500</c:v>
                </c:pt>
                <c:pt idx="2">
                  <c:v>-1500</c:v>
                </c:pt>
                <c:pt idx="3">
                  <c:v>-1500</c:v>
                </c:pt>
                <c:pt idx="4">
                  <c:v>-1500</c:v>
                </c:pt>
                <c:pt idx="5">
                  <c:v>-1500</c:v>
                </c:pt>
                <c:pt idx="6">
                  <c:v>-1500</c:v>
                </c:pt>
                <c:pt idx="7">
                  <c:v>-1500</c:v>
                </c:pt>
                <c:pt idx="8">
                  <c:v>-1500</c:v>
                </c:pt>
                <c:pt idx="9">
                  <c:v>-1500</c:v>
                </c:pt>
                <c:pt idx="10">
                  <c:v>-1500</c:v>
                </c:pt>
                <c:pt idx="11">
                  <c:v>-1500</c:v>
                </c:pt>
              </c:numCache>
            </c:numRef>
          </c:val>
        </c:ser>
        <c:gapWidth val="60"/>
        <c:overlap val="0"/>
        <c:axId val="22176326"/>
        <c:axId val="45180766"/>
      </c:barChart>
      <c:lineChart>
        <c:grouping val="standard"/>
        <c:varyColors val="0"/>
        <c:ser>
          <c:idx val="3"/>
          <c:order val="3"/>
          <c:tx>
            <c:strRef>
              <c:f>Summary!$A$31</c:f>
              <c:strCache>
                <c:ptCount val="1"/>
                <c:pt idx="0">
                  <c:v>Closing cash</c:v>
                </c:pt>
              </c:strCache>
            </c:strRef>
          </c:tx>
          <c:spPr>
            <a:solidFill>
              <a:srgbClr val="1b2a2f"/>
            </a:solidFill>
            <a:ln w="28080">
              <a:solidFill>
                <a:srgbClr val="1b2a2f"/>
              </a:solidFill>
              <a:round/>
            </a:ln>
          </c:spPr>
          <c:marker>
            <c:symbol val="circle"/>
            <c:size val="6"/>
            <c:spPr>
              <a:solidFill>
                <a:srgbClr val="1b2a2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Summary!$H$23:$S$23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Summary!$H$31:$S$31</c:f>
              <c:numCache>
                <c:formatCode>\$#,##0,;"($"#,##0,\);\-</c:formatCode>
                <c:ptCount val="12"/>
                <c:pt idx="0">
                  <c:v>43071.0085333333</c:v>
                </c:pt>
                <c:pt idx="1">
                  <c:v>34045.4354</c:v>
                </c:pt>
                <c:pt idx="2">
                  <c:v>28576.2432</c:v>
                </c:pt>
                <c:pt idx="3">
                  <c:v>24708.1519333333</c:v>
                </c:pt>
                <c:pt idx="4">
                  <c:v>22234.8426666667</c:v>
                </c:pt>
                <c:pt idx="5">
                  <c:v>21156.3154</c:v>
                </c:pt>
                <c:pt idx="6">
                  <c:v>21472.5701333333</c:v>
                </c:pt>
                <c:pt idx="7">
                  <c:v>21907.4124666667</c:v>
                </c:pt>
                <c:pt idx="8">
                  <c:v>22353.5048</c:v>
                </c:pt>
                <c:pt idx="9">
                  <c:v>22810.8471333333</c:v>
                </c:pt>
                <c:pt idx="10">
                  <c:v>23279.4394666666</c:v>
                </c:pt>
                <c:pt idx="11">
                  <c:v>19840.2994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98429998"/>
        <c:axId val="48705814"/>
      </c:lineChart>
      <c:catAx>
        <c:axId val="22176326"/>
        <c:scaling>
          <c:orientation val="minMax"/>
        </c:scaling>
        <c:delete val="0"/>
        <c:axPos val="b"/>
        <c:numFmt formatCode="\M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45180766"/>
        <c:crosses val="autoZero"/>
        <c:auto val="1"/>
        <c:lblAlgn val="ctr"/>
        <c:lblOffset val="100"/>
        <c:noMultiLvlLbl val="0"/>
      </c:catAx>
      <c:valAx>
        <c:axId val="45180766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,\K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22176326"/>
        <c:crosses val="autoZero"/>
        <c:crossBetween val="between"/>
      </c:valAx>
      <c:catAx>
        <c:axId val="98429998"/>
        <c:scaling>
          <c:orientation val="minMax"/>
        </c:scaling>
        <c:delete val="0"/>
        <c:axPos val="t"/>
        <c:numFmt formatCode="\M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48705814"/>
        <c:crosses val="autoZero"/>
        <c:auto val="1"/>
        <c:lblAlgn val="ctr"/>
        <c:lblOffset val="100"/>
        <c:noMultiLvlLbl val="0"/>
      </c:catAx>
      <c:valAx>
        <c:axId val="48705814"/>
        <c:scaling>
          <c:orientation val="minMax"/>
        </c:scaling>
        <c:delete val="0"/>
        <c:axPos val="r"/>
        <c:numFmt formatCode="\$#,##0,\K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98429998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Assets and equity at month 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Summary!$A$41</c:f>
              <c:strCache>
                <c:ptCount val="1"/>
                <c:pt idx="0">
                  <c:v>Cash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Summary!$H$40:$S$40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Summary!$H$41:$S$41</c:f>
              <c:numCache>
                <c:formatCode>\$#,##0,;"($"#,##0,\);\-</c:formatCode>
                <c:ptCount val="12"/>
                <c:pt idx="0">
                  <c:v>43071.0085333333</c:v>
                </c:pt>
                <c:pt idx="1">
                  <c:v>34045.4354</c:v>
                </c:pt>
                <c:pt idx="2">
                  <c:v>28576.2432</c:v>
                </c:pt>
                <c:pt idx="3">
                  <c:v>24708.1519333333</c:v>
                </c:pt>
                <c:pt idx="4">
                  <c:v>22234.8426666667</c:v>
                </c:pt>
                <c:pt idx="5">
                  <c:v>21156.3154</c:v>
                </c:pt>
                <c:pt idx="6">
                  <c:v>21472.5701333333</c:v>
                </c:pt>
                <c:pt idx="7">
                  <c:v>21907.4124666667</c:v>
                </c:pt>
                <c:pt idx="8">
                  <c:v>22353.5048</c:v>
                </c:pt>
                <c:pt idx="9">
                  <c:v>22810.8471333333</c:v>
                </c:pt>
                <c:pt idx="10">
                  <c:v>23279.4394666666</c:v>
                </c:pt>
                <c:pt idx="11">
                  <c:v>19840.2994</c:v>
                </c:pt>
              </c:numCache>
            </c:numRef>
          </c:val>
        </c:ser>
        <c:ser>
          <c:idx val="1"/>
          <c:order val="1"/>
          <c:tx>
            <c:strRef>
              <c:f>Summary!$A$42</c:f>
              <c:strCache>
                <c:ptCount val="1"/>
                <c:pt idx="0">
                  <c:v>Accounts receivable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Summary!$H$40:$S$40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Summary!$H$42:$S$42</c:f>
              <c:numCache>
                <c:formatCode>\$#,##0,;"($"#,##0,\);\-</c:formatCode>
                <c:ptCount val="12"/>
                <c:pt idx="0">
                  <c:v>1041.6</c:v>
                </c:pt>
                <c:pt idx="1">
                  <c:v>1215.2</c:v>
                </c:pt>
                <c:pt idx="2">
                  <c:v>1881.6</c:v>
                </c:pt>
                <c:pt idx="3">
                  <c:v>2116.8</c:v>
                </c:pt>
                <c:pt idx="4">
                  <c:v>2352</c:v>
                </c:pt>
                <c:pt idx="5">
                  <c:v>2587.2</c:v>
                </c:pt>
                <c:pt idx="6">
                  <c:v>2822.4</c:v>
                </c:pt>
                <c:pt idx="7">
                  <c:v>2822.4</c:v>
                </c:pt>
                <c:pt idx="8">
                  <c:v>2822.4</c:v>
                </c:pt>
                <c:pt idx="9">
                  <c:v>2822.4</c:v>
                </c:pt>
                <c:pt idx="10">
                  <c:v>2822.4</c:v>
                </c:pt>
                <c:pt idx="11">
                  <c:v>2083.2</c:v>
                </c:pt>
              </c:numCache>
            </c:numRef>
          </c:val>
        </c:ser>
        <c:ser>
          <c:idx val="2"/>
          <c:order val="2"/>
          <c:tx>
            <c:strRef>
              <c:f>Summary!$A$44</c:f>
              <c:strCache>
                <c:ptCount val="1"/>
                <c:pt idx="0">
                  <c:v>Net fixed assets</c:v>
                </c:pt>
              </c:strCache>
            </c:strRef>
          </c:tx>
          <c:spPr>
            <a:solidFill>
              <a:srgbClr val="d9a21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Summary!$H$40:$S$40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Summary!$H$44:$S$44</c:f>
              <c:numCache>
                <c:formatCode>\$#,##0,;"($"#,##0,\);\-</c:formatCode>
                <c:ptCount val="12"/>
                <c:pt idx="0">
                  <c:v>136357.142857143</c:v>
                </c:pt>
                <c:pt idx="1">
                  <c:v>134714.285714286</c:v>
                </c:pt>
                <c:pt idx="2">
                  <c:v>133071.428571429</c:v>
                </c:pt>
                <c:pt idx="3">
                  <c:v>131428.571428571</c:v>
                </c:pt>
                <c:pt idx="4">
                  <c:v>129785.714285714</c:v>
                </c:pt>
                <c:pt idx="5">
                  <c:v>128142.857142857</c:v>
                </c:pt>
                <c:pt idx="6">
                  <c:v>126500</c:v>
                </c:pt>
                <c:pt idx="7">
                  <c:v>124857.142857143</c:v>
                </c:pt>
                <c:pt idx="8">
                  <c:v>123214.285714286</c:v>
                </c:pt>
                <c:pt idx="9">
                  <c:v>121571.428571429</c:v>
                </c:pt>
                <c:pt idx="10">
                  <c:v>119928.571428571</c:v>
                </c:pt>
                <c:pt idx="11">
                  <c:v>118285.714285714</c:v>
                </c:pt>
              </c:numCache>
            </c:numRef>
          </c:val>
        </c:ser>
        <c:gapWidth val="60"/>
        <c:overlap val="100"/>
        <c:axId val="9780687"/>
        <c:axId val="73711831"/>
      </c:barChart>
      <c:lineChart>
        <c:grouping val="stacked"/>
        <c:varyColors val="0"/>
        <c:ser>
          <c:idx val="3"/>
          <c:order val="3"/>
          <c:tx>
            <c:strRef>
              <c:f>Summary!$A$51</c:f>
              <c:strCache>
                <c:ptCount val="1"/>
                <c:pt idx="0">
                  <c:v>Total equity</c:v>
                </c:pt>
              </c:strCache>
            </c:strRef>
          </c:tx>
          <c:spPr>
            <a:solidFill>
              <a:srgbClr val="1b2a2f"/>
            </a:solidFill>
            <a:ln w="28080">
              <a:solidFill>
                <a:srgbClr val="1b2a2f"/>
              </a:solidFill>
              <a:round/>
            </a:ln>
          </c:spPr>
          <c:marker>
            <c:symbol val="circle"/>
            <c:size val="6"/>
            <c:spPr>
              <a:solidFill>
                <a:srgbClr val="1b2a2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Summary!$H$40:$S$40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Summary!$H$51:$S$51</c:f>
              <c:numCache>
                <c:formatCode>\$#,##0,;"($"#,##0,\);\-</c:formatCode>
                <c:ptCount val="12"/>
                <c:pt idx="0">
                  <c:v>89895.3321904762</c:v>
                </c:pt>
                <c:pt idx="1">
                  <c:v>80804.7653809524</c:v>
                </c:pt>
                <c:pt idx="2">
                  <c:v>75506.3725714286</c:v>
                </c:pt>
                <c:pt idx="3">
                  <c:v>71602.7617619048</c:v>
                </c:pt>
                <c:pt idx="4">
                  <c:v>69093.9329523809</c:v>
                </c:pt>
                <c:pt idx="5">
                  <c:v>67979.8861428571</c:v>
                </c:pt>
                <c:pt idx="6">
                  <c:v>68260.6213333333</c:v>
                </c:pt>
                <c:pt idx="7">
                  <c:v>68552.6065238095</c:v>
                </c:pt>
                <c:pt idx="8">
                  <c:v>68855.8417142857</c:v>
                </c:pt>
                <c:pt idx="9">
                  <c:v>69170.3269047619</c:v>
                </c:pt>
                <c:pt idx="10">
                  <c:v>69496.0620952381</c:v>
                </c:pt>
                <c:pt idx="11">
                  <c:v>65560.3752857143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9780687"/>
        <c:axId val="73711831"/>
      </c:lineChart>
      <c:catAx>
        <c:axId val="9780687"/>
        <c:scaling>
          <c:orientation val="minMax"/>
        </c:scaling>
        <c:delete val="0"/>
        <c:axPos val="b"/>
        <c:numFmt formatCode="\M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73711831"/>
        <c:crosses val="autoZero"/>
        <c:auto val="1"/>
        <c:lblAlgn val="ctr"/>
        <c:lblOffset val="100"/>
        <c:noMultiLvlLbl val="0"/>
      </c:catAx>
      <c:valAx>
        <c:axId val="73711831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,\K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978068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Revenue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Scenarios!$A$30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Scenarios!$B$29:$D$29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Scenarios!$B$30:$D$30</c:f>
              <c:numCache>
                <c:formatCode>\$#,##0,;"($"#,##0,\);\-</c:formatCode>
                <c:ptCount val="3"/>
                <c:pt idx="0">
                  <c:v>181039.673333333</c:v>
                </c:pt>
                <c:pt idx="1">
                  <c:v>249243.12</c:v>
                </c:pt>
                <c:pt idx="2">
                  <c:v>254227.9824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Scenarios!$A$31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rgbClr val="0f6e56"/>
            </a:solidFill>
            <a:ln w="28080">
              <a:solidFill>
                <a:srgbClr val="0f6e56"/>
              </a:solidFill>
              <a:round/>
            </a:ln>
          </c:spPr>
          <c:marker>
            <c:symbol val="circle"/>
            <c:size val="6"/>
            <c:spPr>
              <a:solidFill>
                <a:srgbClr val="0f6e5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Scenarios!$B$29:$D$29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Scenarios!$B$31:$D$31</c:f>
              <c:numCache>
                <c:formatCode>\$#,##0,;"($"#,##0,\);\-</c:formatCode>
                <c:ptCount val="3"/>
                <c:pt idx="0">
                  <c:v>273896</c:v>
                </c:pt>
                <c:pt idx="1">
                  <c:v>336825.8208</c:v>
                </c:pt>
                <c:pt idx="2">
                  <c:v>358461.36984672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Scenarios!$A$32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rgbClr val="7fb5a3"/>
            </a:solidFill>
            <a:ln w="28080">
              <a:solidFill>
                <a:srgbClr val="7fb5a3"/>
              </a:solidFill>
              <a:round/>
            </a:ln>
          </c:spPr>
          <c:marker>
            <c:symbol val="circle"/>
            <c:size val="6"/>
            <c:spPr>
              <a:solidFill>
                <a:srgbClr val="7fb5a3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Scenarios!$B$29:$D$29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Scenarios!$B$32:$D$32</c:f>
              <c:numCache>
                <c:formatCode>\$#,##0,;"($"#,##0,\);\-</c:formatCode>
                <c:ptCount val="3"/>
                <c:pt idx="0">
                  <c:v>370256.6</c:v>
                </c:pt>
                <c:pt idx="1">
                  <c:v>440469.12</c:v>
                </c:pt>
                <c:pt idx="2">
                  <c:v>484864.94784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8442755"/>
        <c:axId val="79664313"/>
      </c:lineChart>
      <c:catAx>
        <c:axId val="88442755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79664313"/>
        <c:crosses val="autoZero"/>
        <c:auto val="1"/>
        <c:lblAlgn val="ctr"/>
        <c:lblOffset val="100"/>
        <c:noMultiLvlLbl val="0"/>
      </c:catAx>
      <c:valAx>
        <c:axId val="79664313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8844275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EBITDA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Scenarios!$A$36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Scenarios!$B$35:$D$35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Scenarios!$B$36:$D$36</c:f>
              <c:numCache>
                <c:formatCode>\$#,##0,;"($"#,##0,\);\-</c:formatCode>
                <c:ptCount val="3"/>
                <c:pt idx="0">
                  <c:v>-70979.5630066667</c:v>
                </c:pt>
                <c:pt idx="1">
                  <c:v>-38601.11312</c:v>
                </c:pt>
                <c:pt idx="2">
                  <c:v>-41612.9529824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Scenarios!$A$37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rgbClr val="0f6e56"/>
            </a:solidFill>
            <a:ln w="28080">
              <a:solidFill>
                <a:srgbClr val="0f6e56"/>
              </a:solidFill>
              <a:round/>
            </a:ln>
          </c:spPr>
          <c:marker>
            <c:symbol val="circle"/>
            <c:size val="6"/>
            <c:spPr>
              <a:solidFill>
                <a:srgbClr val="0f6e5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Scenarios!$B$35:$D$35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Scenarios!$B$37:$D$37</c:f>
              <c:numCache>
                <c:formatCode>\$#,##0,;"($"#,##0,\);\-</c:formatCode>
                <c:ptCount val="3"/>
                <c:pt idx="0">
                  <c:v>-7305.96400000003</c:v>
                </c:pt>
                <c:pt idx="1">
                  <c:v>24630.4908928</c:v>
                </c:pt>
                <c:pt idx="2">
                  <c:v>32253.0103955315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Scenarios!$A$38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rgbClr val="7fb5a3"/>
            </a:solidFill>
            <a:ln w="28080">
              <a:solidFill>
                <a:srgbClr val="7fb5a3"/>
              </a:solidFill>
              <a:round/>
            </a:ln>
          </c:spPr>
          <c:marker>
            <c:symbol val="circle"/>
            <c:size val="6"/>
            <c:spPr>
              <a:solidFill>
                <a:srgbClr val="7fb5a3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Scenarios!$B$35:$D$35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Scenarios!$B$38:$D$38</c:f>
              <c:numCache>
                <c:formatCode>\$#,##0,;"($"#,##0,\);\-</c:formatCode>
                <c:ptCount val="3"/>
                <c:pt idx="0">
                  <c:v>63466.4168</c:v>
                </c:pt>
                <c:pt idx="1">
                  <c:v>101989.39696</c:v>
                </c:pt>
                <c:pt idx="2">
                  <c:v>124559.55665572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0960986"/>
        <c:axId val="32266352"/>
      </c:lineChart>
      <c:catAx>
        <c:axId val="20960986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32266352"/>
        <c:crosses val="autoZero"/>
        <c:auto val="1"/>
        <c:lblAlgn val="ctr"/>
        <c:lblOffset val="100"/>
        <c:noMultiLvlLbl val="0"/>
      </c:catAx>
      <c:valAx>
        <c:axId val="32266352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2096098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Net income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Scenarios!$A$42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Scenarios!$B$41:$D$41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Scenarios!$B$42:$D$42</c:f>
              <c:numCache>
                <c:formatCode>\$#,##0,;"($"#,##0,\);\-</c:formatCode>
                <c:ptCount val="3"/>
                <c:pt idx="0">
                  <c:v>-98113.2237209524</c:v>
                </c:pt>
                <c:pt idx="1">
                  <c:v>-64477.5416914286</c:v>
                </c:pt>
                <c:pt idx="2">
                  <c:v>-66226.5244109714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Scenarios!$A$43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rgbClr val="0f6e56"/>
            </a:solidFill>
            <a:ln w="28080">
              <a:solidFill>
                <a:srgbClr val="0f6e56"/>
              </a:solidFill>
              <a:round/>
            </a:ln>
          </c:spPr>
          <c:marker>
            <c:symbol val="circle"/>
            <c:size val="6"/>
            <c:spPr>
              <a:solidFill>
                <a:srgbClr val="0f6e5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Scenarios!$B$41:$D$41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Scenarios!$B$43:$D$43</c:f>
              <c:numCache>
                <c:formatCode>\$#,##0,;"($"#,##0,\);\-</c:formatCode>
                <c:ptCount val="3"/>
                <c:pt idx="0">
                  <c:v>-34439.6247142858</c:v>
                </c:pt>
                <c:pt idx="1">
                  <c:v>-1245.9376786286</c:v>
                </c:pt>
                <c:pt idx="2">
                  <c:v>7639.43896696008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Scenarios!$A$44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rgbClr val="7fb5a3"/>
            </a:solidFill>
            <a:ln w="28080">
              <a:solidFill>
                <a:srgbClr val="7fb5a3"/>
              </a:solidFill>
              <a:round/>
            </a:ln>
          </c:spPr>
          <c:marker>
            <c:symbol val="circle"/>
            <c:size val="6"/>
            <c:spPr>
              <a:solidFill>
                <a:srgbClr val="7fb5a3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Scenarios!$B$41:$D$41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Scenarios!$B$44:$D$44</c:f>
              <c:numCache>
                <c:formatCode>\$#,##0,;"($"#,##0,\);\-</c:formatCode>
                <c:ptCount val="3"/>
                <c:pt idx="0">
                  <c:v>28702.8773077143</c:v>
                </c:pt>
                <c:pt idx="1">
                  <c:v>60129.2450269715</c:v>
                </c:pt>
                <c:pt idx="2">
                  <c:v>78957.3283294474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0097062"/>
        <c:axId val="54950305"/>
      </c:lineChart>
      <c:catAx>
        <c:axId val="50097062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54950305"/>
        <c:crosses val="autoZero"/>
        <c:auto val="1"/>
        <c:lblAlgn val="ctr"/>
        <c:lblOffset val="100"/>
        <c:noMultiLvlLbl val="0"/>
      </c:catAx>
      <c:valAx>
        <c:axId val="54950305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5009706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Cash at year 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Scenarios!$A$48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Scenarios!$B$47:$D$47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Scenarios!$B$48:$D$48</c:f>
              <c:numCache>
                <c:formatCode>\$#,##0,;"($"#,##0,\);\-</c:formatCode>
                <c:ptCount val="3"/>
                <c:pt idx="0">
                  <c:v>-43517.11246</c:v>
                </c:pt>
                <c:pt idx="1">
                  <c:v>-108433.218135733</c:v>
                </c:pt>
                <c:pt idx="2">
                  <c:v>-174741.268687648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Scenarios!$A$49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rgbClr val="0f6e56"/>
            </a:solidFill>
            <a:ln w="28080">
              <a:solidFill>
                <a:srgbClr val="0f6e56"/>
              </a:solidFill>
              <a:round/>
            </a:ln>
          </c:spPr>
          <c:marker>
            <c:symbol val="circle"/>
            <c:size val="6"/>
            <c:spPr>
              <a:solidFill>
                <a:srgbClr val="0f6e5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Scenarios!$B$47:$D$47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Scenarios!$B$49:$D$49</c:f>
              <c:numCache>
                <c:formatCode>\$#,##0,;"($"#,##0,\);\-</c:formatCode>
                <c:ptCount val="3"/>
                <c:pt idx="0">
                  <c:v>19840.2994</c:v>
                </c:pt>
                <c:pt idx="1">
                  <c:v>18106.0333353599</c:v>
                </c:pt>
                <c:pt idx="2">
                  <c:v>25610.4149463593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Scenarios!$A$50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rgbClr val="7fb5a3"/>
            </a:solidFill>
            <a:ln w="28080">
              <a:solidFill>
                <a:srgbClr val="7fb5a3"/>
              </a:solidFill>
              <a:round/>
            </a:ln>
          </c:spPr>
          <c:marker>
            <c:symbol val="circle"/>
            <c:size val="6"/>
            <c:spPr>
              <a:solidFill>
                <a:srgbClr val="7fb5a3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Scenarios!$B$47:$D$47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Scenarios!$B$50:$D$50</c:f>
              <c:numCache>
                <c:formatCode>\$#,##0,;"($"#,##0,\);\-</c:formatCode>
                <c:ptCount val="3"/>
                <c:pt idx="0">
                  <c:v>82563.6747553334</c:v>
                </c:pt>
                <c:pt idx="1">
                  <c:v>142126.3463292</c:v>
                </c:pt>
                <c:pt idx="2">
                  <c:v>220859.658568589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148367"/>
        <c:axId val="43632779"/>
      </c:lineChart>
      <c:catAx>
        <c:axId val="2148367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43632779"/>
        <c:crosses val="autoZero"/>
        <c:auto val="1"/>
        <c:lblAlgn val="ctr"/>
        <c:lblOffset val="100"/>
        <c:noMultiLvlLbl val="0"/>
      </c:catAx>
      <c:valAx>
        <c:axId val="43632779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214836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Funding structure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"Funding"</c:f>
              <c:strCache>
                <c:ptCount val="1"/>
                <c:pt idx="0">
                  <c:v>Funding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f6e5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7fb5a3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800" spc="-1" strike="noStrike">
                      <a:solidFill>
                        <a:srgbClr val="ffffff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800" spc="-1" strike="noStrike">
                      <a:solidFill>
                        <a:srgbClr val="ffffff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800" spc="-1" strike="noStrike">
                    <a:solidFill>
                      <a:srgbClr val="ffffff"/>
                    </a:solidFill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eparator>
</c:separator>
            <c:showLeaderLines val="0"/>
          </c:dLbls>
          <c:cat>
            <c:strRef>
              <c:f>'Sources &amp; Uses'!$A$7:$A$8</c:f>
              <c:strCache>
                <c:ptCount val="2"/>
                <c:pt idx="0">
                  <c:v>Equity</c:v>
                </c:pt>
                <c:pt idx="1">
                  <c:v>Debt (loan)</c:v>
                </c:pt>
              </c:strCache>
            </c:strRef>
          </c:cat>
          <c:val>
            <c:numRef>
              <c:f>'Sources &amp; Uses'!$B$7:$B$8</c:f>
              <c:numCache>
                <c:formatCode>\$#,##0,;"($"#,##0,\);\-</c:formatCode>
                <c:ptCount val="2"/>
                <c:pt idx="0">
                  <c:v>100000</c:v>
                </c:pt>
                <c:pt idx="1">
                  <c:v>90000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Uses of funds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"Uses"</c:f>
              <c:strCache>
                <c:ptCount val="1"/>
                <c:pt idx="0">
                  <c:v>Uses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800" spc="-1" strike="noStrike">
                    <a:solidFill>
                      <a:srgbClr val="1b2a2f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'Sources &amp; Uses'!$A$24:$A$27</c:f>
              <c:strCache>
                <c:ptCount val="4"/>
                <c:pt idx="0">
                  <c:v>Cash used by operations</c:v>
                </c:pt>
                <c:pt idx="1">
                  <c:v>Capital spending</c:v>
                </c:pt>
                <c:pt idx="2">
                  <c:v>Loan repayments</c:v>
                </c:pt>
                <c:pt idx="3">
                  <c:v>Cash at the end of the period</c:v>
                </c:pt>
              </c:strCache>
            </c:strRef>
          </c:cat>
          <c:val>
            <c:numRef>
              <c:f>'Sources &amp; Uses'!$B$24:$B$27</c:f>
              <c:numCache>
                <c:formatCode>\$#,##0,;"($"#,##0,\);\-</c:formatCode>
                <c:ptCount val="4"/>
                <c:pt idx="0">
                  <c:v>15659.7006</c:v>
                </c:pt>
                <c:pt idx="1">
                  <c:v>138000</c:v>
                </c:pt>
                <c:pt idx="2">
                  <c:v>16500</c:v>
                </c:pt>
                <c:pt idx="3">
                  <c:v>19840.2994</c:v>
                </c:pt>
              </c:numCache>
            </c:numRef>
          </c:val>
        </c:ser>
        <c:gapWidth val="60"/>
        <c:overlap val="0"/>
        <c:axId val="34255969"/>
        <c:axId val="88653812"/>
      </c:barChart>
      <c:catAx>
        <c:axId val="34255969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88653812"/>
        <c:crosses val="autoZero"/>
        <c:auto val="1"/>
        <c:lblAlgn val="ctr"/>
        <c:lblOffset val="100"/>
        <c:noMultiLvlLbl val="0"/>
      </c:catAx>
      <c:valAx>
        <c:axId val="88653812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34255969"/>
        <c:crosses val="max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Margins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KPIs!$A$7</c:f>
              <c:strCache>
                <c:ptCount val="1"/>
                <c:pt idx="0">
                  <c:v>Gross margin</c:v>
                </c:pt>
              </c:strCache>
            </c:strRef>
          </c:tx>
          <c:spPr>
            <a:solidFill>
              <a:srgbClr val="0f6e56"/>
            </a:solidFill>
            <a:ln w="28080">
              <a:solidFill>
                <a:srgbClr val="0f6e56"/>
              </a:solidFill>
              <a:round/>
            </a:ln>
          </c:spPr>
          <c:marker>
            <c:symbol val="circle"/>
            <c:size val="6"/>
            <c:spPr>
              <a:solidFill>
                <a:srgbClr val="0f6e5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KPIs!$B$5:$D$5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KPIs!$B$7:$D$7</c:f>
              <c:numCache>
                <c:formatCode>0.0%;\(0.0%\);\-</c:formatCode>
                <c:ptCount val="3"/>
                <c:pt idx="0">
                  <c:v>0.59134319595759</c:v>
                </c:pt>
                <c:pt idx="1">
                  <c:v>0.590824962350392</c:v>
                </c:pt>
                <c:pt idx="2">
                  <c:v>0.590532404325879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KPIs!$A$8</c:f>
              <c:strCache>
                <c:ptCount val="1"/>
                <c:pt idx="0">
                  <c:v>EBITDA margin</c:v>
                </c:pt>
              </c:strCache>
            </c:strRef>
          </c:tx>
          <c:spPr>
            <a:solidFill>
              <a:srgbClr val="7fb5a3"/>
            </a:solidFill>
            <a:ln w="28080">
              <a:solidFill>
                <a:srgbClr val="7fb5a3"/>
              </a:solidFill>
              <a:round/>
            </a:ln>
          </c:spPr>
          <c:marker>
            <c:symbol val="circle"/>
            <c:size val="6"/>
            <c:spPr>
              <a:solidFill>
                <a:srgbClr val="7fb5a3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KPIs!$B$5:$D$5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KPIs!$B$8:$D$8</c:f>
              <c:numCache>
                <c:formatCode>0.0%;\(0.0%\);\-</c:formatCode>
                <c:ptCount val="3"/>
                <c:pt idx="0">
                  <c:v>-0.0266742267137893</c:v>
                </c:pt>
                <c:pt idx="1">
                  <c:v>0.0731253050443096</c:v>
                </c:pt>
                <c:pt idx="2">
                  <c:v>0.0899762515813714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KPIs!$A$9</c:f>
              <c:strCache>
                <c:ptCount val="1"/>
                <c:pt idx="0">
                  <c:v>Net margin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KPIs!$B$5:$D$5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KPIs!$B$9:$D$9</c:f>
              <c:numCache>
                <c:formatCode>0.0%;\(0.0%\);\-</c:formatCode>
                <c:ptCount val="3"/>
                <c:pt idx="0">
                  <c:v>-0.125739787051603</c:v>
                </c:pt>
                <c:pt idx="1">
                  <c:v>-0.00369905631245655</c:v>
                </c:pt>
                <c:pt idx="2">
                  <c:v>0.02131174963212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8712985"/>
        <c:axId val="3069820"/>
      </c:lineChart>
      <c:catAx>
        <c:axId val="88712985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3069820"/>
        <c:crosses val="autoZero"/>
        <c:auto val="1"/>
        <c:lblAlgn val="ctr"/>
        <c:lblOffset val="100"/>
        <c:noMultiLvlLbl val="0"/>
      </c:catAx>
      <c:valAx>
        <c:axId val="3069820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8871298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Return on assets and return on equity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KPIs!$A$15</c:f>
              <c:strCache>
                <c:ptCount val="1"/>
                <c:pt idx="0">
                  <c:v>Return on assets (net income ÷ year-end assets)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KPIs!$B$5:$D$5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KPIs!$B$15:$D$15</c:f>
              <c:numCache>
                <c:formatCode>0.0%;\(0.0%\);\-</c:formatCode>
                <c:ptCount val="3"/>
                <c:pt idx="0">
                  <c:v>-0.244129999562265</c:v>
                </c:pt>
                <c:pt idx="1">
                  <c:v>-0.0102161638232156</c:v>
                </c:pt>
                <c:pt idx="2">
                  <c:v>0.0683689596911855</c:v>
                </c:pt>
              </c:numCache>
            </c:numRef>
          </c:val>
        </c:ser>
        <c:ser>
          <c:idx val="1"/>
          <c:order val="1"/>
          <c:tx>
            <c:strRef>
              <c:f>KPIs!$A$16</c:f>
              <c:strCache>
                <c:ptCount val="1"/>
                <c:pt idx="0">
                  <c:v>Return on equity (net income ÷ year-end equity)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KPIs!$B$5:$D$5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KPIs!$B$16:$D$16</c:f>
              <c:numCache>
                <c:formatCode>0.0%;\(0.0%\);\-</c:formatCode>
                <c:ptCount val="3"/>
                <c:pt idx="0">
                  <c:v>-0.52531158591141</c:v>
                </c:pt>
                <c:pt idx="1">
                  <c:v>-0.0193725969624483</c:v>
                </c:pt>
                <c:pt idx="2">
                  <c:v>0.10617133267446</c:v>
                </c:pt>
              </c:numCache>
            </c:numRef>
          </c:val>
        </c:ser>
        <c:gapWidth val="60"/>
        <c:overlap val="0"/>
        <c:axId val="97831686"/>
        <c:axId val="8111868"/>
      </c:barChart>
      <c:catAx>
        <c:axId val="97831686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8111868"/>
        <c:crosses val="autoZero"/>
        <c:auto val="1"/>
        <c:lblAlgn val="ctr"/>
        <c:lblOffset val="100"/>
        <c:noMultiLvlLbl val="0"/>
      </c:catAx>
      <c:valAx>
        <c:axId val="8111868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9783168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Meals served and prime cost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KPIs!$A$31</c:f>
              <c:strCache>
                <c:ptCount val="1"/>
                <c:pt idx="0">
                  <c:v>Meals served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KPIs!$B$5:$D$5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KPIs!$B$31:$D$31</c:f>
              <c:numCache>
                <c:formatCode>#,##0;\(#,##0\);\-</c:formatCode>
                <c:ptCount val="3"/>
                <c:pt idx="0">
                  <c:v>19564</c:v>
                </c:pt>
                <c:pt idx="1">
                  <c:v>23358.24</c:v>
                </c:pt>
                <c:pt idx="2">
                  <c:v>24134.5872</c:v>
                </c:pt>
              </c:numCache>
            </c:numRef>
          </c:val>
        </c:ser>
        <c:gapWidth val="60"/>
        <c:overlap val="0"/>
        <c:axId val="98651654"/>
        <c:axId val="59938932"/>
      </c:barChart>
      <c:lineChart>
        <c:grouping val="standard"/>
        <c:varyColors val="0"/>
        <c:ser>
          <c:idx val="1"/>
          <c:order val="1"/>
          <c:tx>
            <c:strRef>
              <c:f>KPIs!$A$43</c:f>
              <c:strCache>
                <c:ptCount val="1"/>
                <c:pt idx="0">
                  <c:v>Prime cost (food, packaging, payroll), % of revenue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KPIs!$B$5:$D$5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KPIs!$B$43:$D$43</c:f>
              <c:numCache>
                <c:formatCode>0.0%;\(0.0%\);\-</c:formatCode>
                <c:ptCount val="3"/>
                <c:pt idx="0">
                  <c:v>0.794774220872156</c:v>
                </c:pt>
                <c:pt idx="1">
                  <c:v>0.724498925065783</c:v>
                </c:pt>
                <c:pt idx="2">
                  <c:v>0.71284286828703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8645212"/>
        <c:axId val="72590915"/>
      </c:lineChart>
      <c:catAx>
        <c:axId val="98651654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59938932"/>
        <c:crosses val="autoZero"/>
        <c:auto val="1"/>
        <c:lblAlgn val="ctr"/>
        <c:lblOffset val="100"/>
        <c:noMultiLvlLbl val="0"/>
      </c:catAx>
      <c:valAx>
        <c:axId val="59938932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98651654"/>
        <c:crosses val="autoZero"/>
        <c:crossBetween val="between"/>
      </c:valAx>
      <c:catAx>
        <c:axId val="88645212"/>
        <c:scaling>
          <c:orientation val="minMax"/>
        </c:scaling>
        <c:delete val="0"/>
        <c:axPos val="t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72590915"/>
        <c:crosses val="autoZero"/>
        <c:auto val="1"/>
        <c:lblAlgn val="ctr"/>
        <c:lblOffset val="100"/>
        <c:noMultiLvlLbl val="0"/>
      </c:catAx>
      <c:valAx>
        <c:axId val="72590915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88645212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Revenue by source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KPIs!$A$34</c:f>
              <c:strCache>
                <c:ptCount val="1"/>
                <c:pt idx="0">
                  <c:v>Street sales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KPIs!$B$5:$D$5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KPIs!$B$34:$D$34</c:f>
              <c:numCache>
                <c:formatCode>\$#,##0,;"($"#,##0,\);\-</c:formatCode>
                <c:ptCount val="3"/>
                <c:pt idx="0">
                  <c:v>230846</c:v>
                </c:pt>
                <c:pt idx="1">
                  <c:v>282318.2208</c:v>
                </c:pt>
                <c:pt idx="2">
                  <c:v>299511.40044672</c:v>
                </c:pt>
              </c:numCache>
            </c:numRef>
          </c:val>
        </c:ser>
        <c:ser>
          <c:idx val="1"/>
          <c:order val="1"/>
          <c:tx>
            <c:strRef>
              <c:f>KPIs!$A$35</c:f>
              <c:strCache>
                <c:ptCount val="1"/>
                <c:pt idx="0">
                  <c:v>Events &amp; catering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KPIs!$B$5:$D$5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KPIs!$B$35:$D$35</c:f>
              <c:numCache>
                <c:formatCode>\$#,##0,;"($"#,##0,\);\-</c:formatCode>
                <c:ptCount val="3"/>
                <c:pt idx="0">
                  <c:v>43050</c:v>
                </c:pt>
                <c:pt idx="1">
                  <c:v>54507.6</c:v>
                </c:pt>
                <c:pt idx="2">
                  <c:v>58949.9694</c:v>
                </c:pt>
              </c:numCache>
            </c:numRef>
          </c:val>
        </c:ser>
        <c:gapWidth val="60"/>
        <c:overlap val="100"/>
        <c:axId val="70733905"/>
        <c:axId val="54040814"/>
      </c:barChart>
      <c:catAx>
        <c:axId val="70733905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54040814"/>
        <c:crosses val="autoZero"/>
        <c:auto val="1"/>
        <c:lblAlgn val="ctr"/>
        <c:lblOffset val="100"/>
        <c:noMultiLvlLbl val="0"/>
      </c:catAx>
      <c:valAx>
        <c:axId val="54040814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[&gt;=1000000]\$#,##0.0,,\M;[&gt;=1000]\$#,##0,\k;\$#,##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7073390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<Relationship Id="rId3" Type="http://schemas.openxmlformats.org/officeDocument/2006/relationships/chart" Target="../charts/chart10.xml"/><Relationship Id="rId4" Type="http://schemas.openxmlformats.org/officeDocument/2006/relationships/chart" Target="../charts/chart11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12.xml"/><Relationship Id="rId2" Type="http://schemas.openxmlformats.org/officeDocument/2006/relationships/chart" Target="../charts/chart13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14.xml"/><Relationship Id="rId2" Type="http://schemas.openxmlformats.org/officeDocument/2006/relationships/chart" Target="../charts/chart15.xml"/><Relationship Id="rId3" Type="http://schemas.openxmlformats.org/officeDocument/2006/relationships/chart" Target="../charts/chart16.xml"/><Relationship Id="rId4" Type="http://schemas.openxmlformats.org/officeDocument/2006/relationships/chart" Target="../charts/chart17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9</xdr:row>
      <xdr:rowOff>0</xdr:rowOff>
    </xdr:from>
    <xdr:to>
      <xdr:col>15</xdr:col>
      <xdr:colOff>36720</xdr:colOff>
      <xdr:row>24</xdr:row>
      <xdr:rowOff>120600</xdr:rowOff>
    </xdr:to>
    <xdr:graphicFrame>
      <xdr:nvGraphicFramePr>
        <xdr:cNvPr id="0" name="Chart 1"/>
        <xdr:cNvGraphicFramePr/>
      </xdr:nvGraphicFramePr>
      <xdr:xfrm>
        <a:off x="5314320" y="205740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0</xdr:colOff>
      <xdr:row>9</xdr:row>
      <xdr:rowOff>0</xdr:rowOff>
    </xdr:from>
    <xdr:to>
      <xdr:col>23</xdr:col>
      <xdr:colOff>36720</xdr:colOff>
      <xdr:row>24</xdr:row>
      <xdr:rowOff>120600</xdr:rowOff>
    </xdr:to>
    <xdr:graphicFrame>
      <xdr:nvGraphicFramePr>
        <xdr:cNvPr id="1" name="Chart 2"/>
        <xdr:cNvGraphicFramePr/>
      </xdr:nvGraphicFramePr>
      <xdr:xfrm>
        <a:off x="10389240" y="205740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26</xdr:row>
      <xdr:rowOff>0</xdr:rowOff>
    </xdr:from>
    <xdr:to>
      <xdr:col>15</xdr:col>
      <xdr:colOff>36720</xdr:colOff>
      <xdr:row>41</xdr:row>
      <xdr:rowOff>120600</xdr:rowOff>
    </xdr:to>
    <xdr:graphicFrame>
      <xdr:nvGraphicFramePr>
        <xdr:cNvPr id="2" name="Chart 3"/>
        <xdr:cNvGraphicFramePr/>
      </xdr:nvGraphicFramePr>
      <xdr:xfrm>
        <a:off x="5314320" y="53150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15</xdr:col>
      <xdr:colOff>0</xdr:colOff>
      <xdr:row>26</xdr:row>
      <xdr:rowOff>0</xdr:rowOff>
    </xdr:from>
    <xdr:to>
      <xdr:col>23</xdr:col>
      <xdr:colOff>36720</xdr:colOff>
      <xdr:row>41</xdr:row>
      <xdr:rowOff>120600</xdr:rowOff>
    </xdr:to>
    <xdr:graphicFrame>
      <xdr:nvGraphicFramePr>
        <xdr:cNvPr id="3" name="Chart 4"/>
        <xdr:cNvGraphicFramePr/>
      </xdr:nvGraphicFramePr>
      <xdr:xfrm>
        <a:off x="10389240" y="53150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20</xdr:col>
      <xdr:colOff>0</xdr:colOff>
      <xdr:row>4</xdr:row>
      <xdr:rowOff>0</xdr:rowOff>
    </xdr:from>
    <xdr:to>
      <xdr:col>28</xdr:col>
      <xdr:colOff>36720</xdr:colOff>
      <xdr:row>19</xdr:row>
      <xdr:rowOff>120600</xdr:rowOff>
    </xdr:to>
    <xdr:graphicFrame>
      <xdr:nvGraphicFramePr>
        <xdr:cNvPr id="4" name="Chart 1"/>
        <xdr:cNvGraphicFramePr/>
      </xdr:nvGraphicFramePr>
      <xdr:xfrm>
        <a:off x="14231160" y="9050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20</xdr:col>
      <xdr:colOff>0</xdr:colOff>
      <xdr:row>21</xdr:row>
      <xdr:rowOff>0</xdr:rowOff>
    </xdr:from>
    <xdr:to>
      <xdr:col>28</xdr:col>
      <xdr:colOff>36720</xdr:colOff>
      <xdr:row>36</xdr:row>
      <xdr:rowOff>120600</xdr:rowOff>
    </xdr:to>
    <xdr:graphicFrame>
      <xdr:nvGraphicFramePr>
        <xdr:cNvPr id="5" name="Chart 2"/>
        <xdr:cNvGraphicFramePr/>
      </xdr:nvGraphicFramePr>
      <xdr:xfrm>
        <a:off x="14231160" y="415296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20</xdr:col>
      <xdr:colOff>0</xdr:colOff>
      <xdr:row>38</xdr:row>
      <xdr:rowOff>0</xdr:rowOff>
    </xdr:from>
    <xdr:to>
      <xdr:col>28</xdr:col>
      <xdr:colOff>36720</xdr:colOff>
      <xdr:row>53</xdr:row>
      <xdr:rowOff>120600</xdr:rowOff>
    </xdr:to>
    <xdr:graphicFrame>
      <xdr:nvGraphicFramePr>
        <xdr:cNvPr id="6" name="Chart 3"/>
        <xdr:cNvGraphicFramePr/>
      </xdr:nvGraphicFramePr>
      <xdr:xfrm>
        <a:off x="14231160" y="740088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4</xdr:row>
      <xdr:rowOff>0</xdr:rowOff>
    </xdr:from>
    <xdr:to>
      <xdr:col>15</xdr:col>
      <xdr:colOff>219600</xdr:colOff>
      <xdr:row>19</xdr:row>
      <xdr:rowOff>111240</xdr:rowOff>
    </xdr:to>
    <xdr:graphicFrame>
      <xdr:nvGraphicFramePr>
        <xdr:cNvPr id="7" name="Chart 1"/>
        <xdr:cNvGraphicFramePr/>
      </xdr:nvGraphicFramePr>
      <xdr:xfrm>
        <a:off x="7189560" y="84780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0</xdr:colOff>
      <xdr:row>4</xdr:row>
      <xdr:rowOff>0</xdr:rowOff>
    </xdr:from>
    <xdr:to>
      <xdr:col>23</xdr:col>
      <xdr:colOff>219600</xdr:colOff>
      <xdr:row>19</xdr:row>
      <xdr:rowOff>111240</xdr:rowOff>
    </xdr:to>
    <xdr:graphicFrame>
      <xdr:nvGraphicFramePr>
        <xdr:cNvPr id="8" name="Chart 2"/>
        <xdr:cNvGraphicFramePr/>
      </xdr:nvGraphicFramePr>
      <xdr:xfrm>
        <a:off x="12081600" y="84780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21</xdr:row>
      <xdr:rowOff>0</xdr:rowOff>
    </xdr:from>
    <xdr:to>
      <xdr:col>15</xdr:col>
      <xdr:colOff>219600</xdr:colOff>
      <xdr:row>36</xdr:row>
      <xdr:rowOff>111240</xdr:rowOff>
    </xdr:to>
    <xdr:graphicFrame>
      <xdr:nvGraphicFramePr>
        <xdr:cNvPr id="9" name="Chart 3"/>
        <xdr:cNvGraphicFramePr/>
      </xdr:nvGraphicFramePr>
      <xdr:xfrm>
        <a:off x="7189560" y="41054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15</xdr:col>
      <xdr:colOff>0</xdr:colOff>
      <xdr:row>21</xdr:row>
      <xdr:rowOff>0</xdr:rowOff>
    </xdr:from>
    <xdr:to>
      <xdr:col>23</xdr:col>
      <xdr:colOff>219600</xdr:colOff>
      <xdr:row>36</xdr:row>
      <xdr:rowOff>111240</xdr:rowOff>
    </xdr:to>
    <xdr:graphicFrame>
      <xdr:nvGraphicFramePr>
        <xdr:cNvPr id="10" name="Chart 4"/>
        <xdr:cNvGraphicFramePr/>
      </xdr:nvGraphicFramePr>
      <xdr:xfrm>
        <a:off x="12081600" y="41054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4</xdr:row>
      <xdr:rowOff>0</xdr:rowOff>
    </xdr:from>
    <xdr:to>
      <xdr:col>13</xdr:col>
      <xdr:colOff>219600</xdr:colOff>
      <xdr:row>19</xdr:row>
      <xdr:rowOff>111240</xdr:rowOff>
    </xdr:to>
    <xdr:graphicFrame>
      <xdr:nvGraphicFramePr>
        <xdr:cNvPr id="11" name="Chart 1"/>
        <xdr:cNvGraphicFramePr/>
      </xdr:nvGraphicFramePr>
      <xdr:xfrm>
        <a:off x="7189560" y="84780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0</xdr:colOff>
      <xdr:row>4</xdr:row>
      <xdr:rowOff>0</xdr:rowOff>
    </xdr:from>
    <xdr:to>
      <xdr:col>22</xdr:col>
      <xdr:colOff>219600</xdr:colOff>
      <xdr:row>19</xdr:row>
      <xdr:rowOff>111240</xdr:rowOff>
    </xdr:to>
    <xdr:graphicFrame>
      <xdr:nvGraphicFramePr>
        <xdr:cNvPr id="12" name="Chart 2"/>
        <xdr:cNvGraphicFramePr/>
      </xdr:nvGraphicFramePr>
      <xdr:xfrm>
        <a:off x="12692880" y="84780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3</xdr:row>
      <xdr:rowOff>0</xdr:rowOff>
    </xdr:from>
    <xdr:to>
      <xdr:col>14</xdr:col>
      <xdr:colOff>36720</xdr:colOff>
      <xdr:row>18</xdr:row>
      <xdr:rowOff>111240</xdr:rowOff>
    </xdr:to>
    <xdr:graphicFrame>
      <xdr:nvGraphicFramePr>
        <xdr:cNvPr id="13" name="Chart 1"/>
        <xdr:cNvGraphicFramePr/>
      </xdr:nvGraphicFramePr>
      <xdr:xfrm>
        <a:off x="6626880" y="65736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0</xdr:colOff>
      <xdr:row>3</xdr:row>
      <xdr:rowOff>0</xdr:rowOff>
    </xdr:from>
    <xdr:to>
      <xdr:col>22</xdr:col>
      <xdr:colOff>36720</xdr:colOff>
      <xdr:row>18</xdr:row>
      <xdr:rowOff>111240</xdr:rowOff>
    </xdr:to>
    <xdr:graphicFrame>
      <xdr:nvGraphicFramePr>
        <xdr:cNvPr id="14" name="Chart 2"/>
        <xdr:cNvGraphicFramePr/>
      </xdr:nvGraphicFramePr>
      <xdr:xfrm>
        <a:off x="11701800" y="65736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0</xdr:colOff>
      <xdr:row>20</xdr:row>
      <xdr:rowOff>0</xdr:rowOff>
    </xdr:from>
    <xdr:to>
      <xdr:col>14</xdr:col>
      <xdr:colOff>36720</xdr:colOff>
      <xdr:row>35</xdr:row>
      <xdr:rowOff>120600</xdr:rowOff>
    </xdr:to>
    <xdr:graphicFrame>
      <xdr:nvGraphicFramePr>
        <xdr:cNvPr id="15" name="Chart 3"/>
        <xdr:cNvGraphicFramePr/>
      </xdr:nvGraphicFramePr>
      <xdr:xfrm>
        <a:off x="6626880" y="39146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14</xdr:col>
      <xdr:colOff>0</xdr:colOff>
      <xdr:row>20</xdr:row>
      <xdr:rowOff>0</xdr:rowOff>
    </xdr:from>
    <xdr:to>
      <xdr:col>22</xdr:col>
      <xdr:colOff>36720</xdr:colOff>
      <xdr:row>35</xdr:row>
      <xdr:rowOff>120600</xdr:rowOff>
    </xdr:to>
    <xdr:graphicFrame>
      <xdr:nvGraphicFramePr>
        <xdr:cNvPr id="16" name="Chart 4"/>
        <xdr:cNvGraphicFramePr/>
      </xdr:nvGraphicFramePr>
      <xdr:xfrm>
        <a:off x="11701800" y="39146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B2:D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"/>
    <col collapsed="false" customWidth="true" hidden="false" outlineLevel="0" max="3" min="3" style="0" width="24"/>
    <col collapsed="false" customWidth="true" hidden="false" outlineLevel="0" max="4" min="4" style="0" width="72"/>
  </cols>
  <sheetData>
    <row r="2" customFormat="false" ht="24.4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D5" s="4" t="s">
        <v>3</v>
      </c>
    </row>
    <row r="6" customFormat="false" ht="15" hidden="false" customHeight="false" outlineLevel="0" collapsed="false">
      <c r="B6" s="3" t="s">
        <v>4</v>
      </c>
      <c r="D6" s="5" t="str">
        <f aca="false">Dashboard!C4&amp;"  (change it on the Dashboard, cell B4)"</f>
        <v>Base  (change it on the Dashboard, cell B4)</v>
      </c>
    </row>
    <row r="7" customFormat="false" ht="15" hidden="false" customHeight="false" outlineLevel="0" collapsed="false">
      <c r="B7" s="3" t="s">
        <v>5</v>
      </c>
      <c r="D7" s="3" t="str">
        <f aca="false">Checks!B25</f>
        <v>PASS</v>
      </c>
    </row>
    <row r="8" customFormat="false" ht="15" hidden="false" customHeight="false" outlineLevel="0" collapsed="false">
      <c r="B8" s="3" t="s">
        <v>6</v>
      </c>
      <c r="D8" s="6" t="s">
        <v>7</v>
      </c>
    </row>
    <row r="10" customFormat="false" ht="15.75" hidden="false" customHeight="true" outlineLevel="0" collapsed="false">
      <c r="B10" s="7" t="s">
        <v>8</v>
      </c>
      <c r="C10" s="7"/>
      <c r="D10" s="7"/>
    </row>
    <row r="11" customFormat="false" ht="15" hidden="false" customHeight="false" outlineLevel="0" collapsed="false">
      <c r="C11" s="8" t="s">
        <v>9</v>
      </c>
    </row>
    <row r="12" customFormat="false" ht="15" hidden="false" customHeight="false" outlineLevel="0" collapsed="false">
      <c r="B12" s="9" t="n">
        <v>1</v>
      </c>
      <c r="C12" s="10" t="str">
        <f aca="false">HYPERLINK("#Dashboard!A1","Dashboard")</f>
        <v>Dashboard</v>
      </c>
      <c r="D12" s="11" t="s">
        <v>10</v>
      </c>
    </row>
    <row r="13" customFormat="false" ht="15" hidden="false" customHeight="false" outlineLevel="0" collapsed="false">
      <c r="B13" s="9" t="n">
        <v>2</v>
      </c>
      <c r="C13" s="10" t="str">
        <f aca="false">HYPERLINK("#Summary!A1","Summary")</f>
        <v>Summary</v>
      </c>
      <c r="D13" s="11" t="s">
        <v>11</v>
      </c>
    </row>
    <row r="14" customFormat="false" ht="15" hidden="false" customHeight="false" outlineLevel="0" collapsed="false">
      <c r="B14" s="9" t="n">
        <v>3</v>
      </c>
      <c r="C14" s="10" t="str">
        <f aca="false">HYPERLINK("#Scenarios!A1","Scenarios")</f>
        <v>Scenarios</v>
      </c>
      <c r="D14" s="11" t="s">
        <v>12</v>
      </c>
    </row>
    <row r="15" customFormat="false" ht="15" hidden="false" customHeight="false" outlineLevel="0" collapsed="false">
      <c r="B15" s="9" t="n">
        <v>4</v>
      </c>
      <c r="C15" s="10" t="str">
        <f aca="false">HYPERLINK("#'Break-even'!A1","Break-even")</f>
        <v>Break-even</v>
      </c>
      <c r="D15" s="11" t="s">
        <v>13</v>
      </c>
    </row>
    <row r="16" customFormat="false" ht="15" hidden="false" customHeight="false" outlineLevel="0" collapsed="false">
      <c r="B16" s="9" t="n">
        <v>5</v>
      </c>
      <c r="C16" s="10" t="str">
        <f aca="false">HYPERLINK("#Valuation!A1","Valuation")</f>
        <v>Valuation</v>
      </c>
      <c r="D16" s="11" t="s">
        <v>14</v>
      </c>
    </row>
    <row r="17" customFormat="false" ht="15" hidden="false" customHeight="false" outlineLevel="0" collapsed="false">
      <c r="B17" s="9" t="n">
        <v>6</v>
      </c>
      <c r="C17" s="10" t="str">
        <f aca="false">HYPERLINK("#'Sources &amp; Uses'!A1","Sources &amp; Uses")</f>
        <v>Sources &amp; Uses</v>
      </c>
      <c r="D17" s="11" t="s">
        <v>15</v>
      </c>
    </row>
    <row r="18" customFormat="false" ht="15" hidden="false" customHeight="false" outlineLevel="0" collapsed="false">
      <c r="B18" s="9" t="n">
        <v>7</v>
      </c>
      <c r="C18" s="10" t="str">
        <f aca="false">HYPERLINK("#KPIs!A1","KPIs")</f>
        <v>KPIs</v>
      </c>
      <c r="D18" s="11" t="s">
        <v>16</v>
      </c>
    </row>
    <row r="19" customFormat="false" ht="15" hidden="false" customHeight="false" outlineLevel="0" collapsed="false">
      <c r="C19" s="8" t="s">
        <v>17</v>
      </c>
    </row>
    <row r="20" customFormat="false" ht="15" hidden="false" customHeight="false" outlineLevel="0" collapsed="false">
      <c r="B20" s="9" t="n">
        <v>8</v>
      </c>
      <c r="C20" s="10" t="str">
        <f aca="false">HYPERLINK("#Inputs!A1","Inputs")</f>
        <v>Inputs</v>
      </c>
      <c r="D20" s="11" t="s">
        <v>18</v>
      </c>
    </row>
    <row r="21" customFormat="false" ht="15" hidden="false" customHeight="false" outlineLevel="0" collapsed="false">
      <c r="C21" s="8" t="s">
        <v>19</v>
      </c>
    </row>
    <row r="22" customFormat="false" ht="15" hidden="false" customHeight="false" outlineLevel="0" collapsed="false">
      <c r="B22" s="9" t="n">
        <v>9</v>
      </c>
      <c r="C22" s="10" t="str">
        <f aca="false">HYPERLINK("#'P&amp;L'!A1","P&amp;L")</f>
        <v>P&amp;L</v>
      </c>
      <c r="D22" s="11" t="s">
        <v>20</v>
      </c>
    </row>
    <row r="23" customFormat="false" ht="15" hidden="false" customHeight="false" outlineLevel="0" collapsed="false">
      <c r="B23" s="9" t="n">
        <v>10</v>
      </c>
      <c r="C23" s="10" t="str">
        <f aca="false">HYPERLINK("#'Cash Flow'!A1","Cash Flow")</f>
        <v>Cash Flow</v>
      </c>
      <c r="D23" s="11" t="s">
        <v>21</v>
      </c>
    </row>
    <row r="24" customFormat="false" ht="15" hidden="false" customHeight="false" outlineLevel="0" collapsed="false">
      <c r="B24" s="9" t="n">
        <v>11</v>
      </c>
      <c r="C24" s="10" t="str">
        <f aca="false">HYPERLINK("#'Balance Sheet'!A1","Balance Sheet")</f>
        <v>Balance Sheet</v>
      </c>
      <c r="D24" s="11" t="s">
        <v>22</v>
      </c>
    </row>
    <row r="25" customFormat="false" ht="15" hidden="false" customHeight="false" outlineLevel="0" collapsed="false">
      <c r="C25" s="8" t="s">
        <v>23</v>
      </c>
    </row>
    <row r="26" customFormat="false" ht="15" hidden="false" customHeight="false" outlineLevel="0" collapsed="false">
      <c r="B26" s="9" t="n">
        <v>12</v>
      </c>
      <c r="C26" s="10" t="str">
        <f aca="false">HYPERLINK("#Monthly!A1","Monthly")</f>
        <v>Monthly</v>
      </c>
      <c r="D26" s="11" t="s">
        <v>24</v>
      </c>
    </row>
    <row r="27" customFormat="false" ht="15" hidden="false" customHeight="false" outlineLevel="0" collapsed="false">
      <c r="B27" s="9" t="n">
        <v>13</v>
      </c>
      <c r="C27" s="10" t="str">
        <f aca="false">HYPERLINK("#Headcount!A1","Headcount")</f>
        <v>Headcount</v>
      </c>
      <c r="D27" s="11" t="s">
        <v>25</v>
      </c>
    </row>
    <row r="28" customFormat="false" ht="15" hidden="false" customHeight="false" outlineLevel="0" collapsed="false">
      <c r="B28" s="9" t="n">
        <v>14</v>
      </c>
      <c r="C28" s="10" t="str">
        <f aca="false">HYPERLINK("#'Scenario calc'!A1","Scenario calc")</f>
        <v>Scenario calc</v>
      </c>
      <c r="D28" s="11" t="s">
        <v>26</v>
      </c>
    </row>
    <row r="29" customFormat="false" ht="15" hidden="false" customHeight="false" outlineLevel="0" collapsed="false">
      <c r="C29" s="8" t="s">
        <v>27</v>
      </c>
    </row>
    <row r="30" customFormat="false" ht="15" hidden="false" customHeight="false" outlineLevel="0" collapsed="false">
      <c r="B30" s="9" t="n">
        <v>15</v>
      </c>
      <c r="C30" s="10" t="str">
        <f aca="false">HYPERLINK("#Checks!A1","Checks")</f>
        <v>Checks</v>
      </c>
      <c r="D30" s="11" t="s">
        <v>28</v>
      </c>
    </row>
    <row r="32" customFormat="false" ht="15" hidden="false" customHeight="false" outlineLevel="0" collapsed="false">
      <c r="B32" s="3" t="s">
        <v>29</v>
      </c>
    </row>
    <row r="33" customFormat="false" ht="15" hidden="false" customHeight="false" outlineLevel="0" collapsed="false">
      <c r="C33" s="12" t="n">
        <v>1000</v>
      </c>
      <c r="D33" s="6" t="s">
        <v>30</v>
      </c>
    </row>
    <row r="34" customFormat="false" ht="15" hidden="false" customHeight="false" outlineLevel="0" collapsed="false">
      <c r="C34" s="13" t="n">
        <v>1000</v>
      </c>
      <c r="D34" s="6" t="s">
        <v>31</v>
      </c>
    </row>
    <row r="35" customFormat="false" ht="15" hidden="false" customHeight="false" outlineLevel="0" collapsed="false">
      <c r="C35" s="14" t="n">
        <v>1000</v>
      </c>
      <c r="D35" s="6" t="s">
        <v>32</v>
      </c>
    </row>
    <row r="36" customFormat="false" ht="15" hidden="false" customHeight="false" outlineLevel="0" collapsed="false">
      <c r="C36" s="15" t="n">
        <v>1000</v>
      </c>
      <c r="D36" s="6" t="s">
        <v>33</v>
      </c>
    </row>
  </sheetData>
  <conditionalFormatting sqref="D7">
    <cfRule type="expression" priority="2" aboveAverage="0" equalAverage="0" bottom="0" percent="0" rank="0" text="" dxfId="0">
      <formula>ISNUMBER(SEARCH("FAIL",D7))</formula>
    </cfRule>
    <cfRule type="expression" priority="3" aboveAverage="0" equalAverage="0" bottom="0" percent="0" rank="0" text="" dxfId="1">
      <formula>ISNUMBER(SEARCH("WARN",D7))</formula>
    </cfRule>
    <cfRule type="expression" priority="4" aboveAverage="0" equalAverage="0" bottom="0" percent="0" rank="0" text="" dxfId="2">
      <formula>D7="PASS"</formula>
    </cfRule>
  </conditionalFormatting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W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.4"/>
    <col collapsed="false" customWidth="true" hidden="false" outlineLevel="0" max="6" min="2" style="0" width="9"/>
    <col collapsed="false" customWidth="true" hidden="false" outlineLevel="0" max="7" min="7" style="0" width="2"/>
    <col collapsed="false" customWidth="true" hidden="false" outlineLevel="0" max="23" min="8" style="0" width="9"/>
  </cols>
  <sheetData>
    <row r="1" customFormat="false" ht="21.75" hidden="false" customHeight="true" outlineLevel="0" collapsed="false">
      <c r="A1" s="16" t="s">
        <v>34</v>
      </c>
      <c r="W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0</v>
      </c>
    </row>
    <row r="4" customFormat="false" ht="19.5" hidden="false" customHeight="true" outlineLevel="0" collapsed="false">
      <c r="A4" s="3" t="s">
        <v>4</v>
      </c>
      <c r="B4" s="19" t="n">
        <v>2</v>
      </c>
      <c r="C4" s="20" t="str">
        <f aca="false">CHOOSE(B4,"Low","Base","High")</f>
        <v>Base</v>
      </c>
      <c r="D4" s="21" t="s">
        <v>35</v>
      </c>
      <c r="S4" s="22" t="s">
        <v>5</v>
      </c>
      <c r="T4" s="23" t="str">
        <f aca="false">Checks!B25</f>
        <v>PASS</v>
      </c>
      <c r="U4" s="23"/>
      <c r="V4" s="23"/>
      <c r="W4" s="23"/>
    </row>
    <row r="6" customFormat="false" ht="15.75" hidden="false" customHeight="true" outlineLevel="0" collapsed="false">
      <c r="A6" s="24" t="s">
        <v>36</v>
      </c>
      <c r="B6" s="24"/>
      <c r="C6" s="24" t="s">
        <v>37</v>
      </c>
      <c r="D6" s="24"/>
      <c r="E6" s="24"/>
      <c r="F6" s="24"/>
      <c r="H6" s="24" t="s">
        <v>38</v>
      </c>
      <c r="I6" s="24"/>
      <c r="J6" s="24"/>
      <c r="K6" s="24"/>
      <c r="L6" s="24" t="s">
        <v>39</v>
      </c>
      <c r="M6" s="24"/>
      <c r="N6" s="24"/>
      <c r="O6" s="24"/>
      <c r="P6" s="24" t="s">
        <v>40</v>
      </c>
      <c r="Q6" s="24"/>
      <c r="R6" s="24"/>
      <c r="S6" s="24"/>
      <c r="T6" s="24" t="s">
        <v>41</v>
      </c>
      <c r="U6" s="24"/>
      <c r="V6" s="24"/>
      <c r="W6" s="24"/>
    </row>
    <row r="7" customFormat="false" ht="30" hidden="false" customHeight="true" outlineLevel="0" collapsed="false">
      <c r="A7" s="25" t="n">
        <f aca="false">D12</f>
        <v>358461.36984672</v>
      </c>
      <c r="B7" s="25"/>
      <c r="C7" s="26" t="n">
        <f aca="false">D17</f>
        <v>0.0899762515813714</v>
      </c>
      <c r="D7" s="26"/>
      <c r="E7" s="26"/>
      <c r="F7" s="26"/>
      <c r="H7" s="25" t="n">
        <f aca="false">D18</f>
        <v>7639.43896696008</v>
      </c>
      <c r="I7" s="25"/>
      <c r="J7" s="25"/>
      <c r="K7" s="25"/>
      <c r="L7" s="25" t="n">
        <f aca="false">F39</f>
        <v>9872.41510303594</v>
      </c>
      <c r="M7" s="25"/>
      <c r="N7" s="25"/>
      <c r="O7" s="25"/>
      <c r="P7" s="25" t="n">
        <f aca="false">F37</f>
        <v>222127.584896964</v>
      </c>
      <c r="Q7" s="25"/>
      <c r="R7" s="25"/>
      <c r="S7" s="25"/>
      <c r="T7" s="25" t="n">
        <f aca="false">F44</f>
        <v>-24406.8411303651</v>
      </c>
      <c r="U7" s="25"/>
      <c r="V7" s="25"/>
      <c r="W7" s="25"/>
    </row>
    <row r="8" customFormat="false" ht="15" hidden="false" customHeight="true" outlineLevel="0" collapsed="false">
      <c r="A8" s="27" t="n">
        <f aca="false">IF(AND(B12&gt;0,D12&gt;=0),(D12/B12)^(1/2)-1,"CAGR n/a")</f>
        <v>0.144006086705816</v>
      </c>
      <c r="B8" s="27"/>
      <c r="C8" s="28" t="n">
        <f aca="false">D16</f>
        <v>32253.0103955315</v>
      </c>
      <c r="D8" s="28"/>
      <c r="E8" s="28"/>
      <c r="F8" s="28"/>
      <c r="H8" s="29" t="n">
        <f aca="false">D19</f>
        <v>0.02131174963212</v>
      </c>
      <c r="I8" s="29"/>
      <c r="J8" s="29"/>
      <c r="K8" s="29"/>
      <c r="L8" s="30" t="n">
        <f aca="false">'Break-even'!B6</f>
        <v>26</v>
      </c>
      <c r="M8" s="30"/>
      <c r="N8" s="30"/>
      <c r="O8" s="30"/>
      <c r="P8" s="31" t="n">
        <f aca="false">IF(F38&gt;=0,"Covered by funding raised",-F38)</f>
        <v>32127.5848969641</v>
      </c>
      <c r="Q8" s="31"/>
      <c r="R8" s="31"/>
      <c r="S8" s="31"/>
      <c r="T8" s="32" t="s">
        <v>42</v>
      </c>
      <c r="U8" s="32"/>
      <c r="V8" s="32"/>
      <c r="W8" s="32"/>
    </row>
    <row r="10" customFormat="false" ht="15.75" hidden="false" customHeight="true" outlineLevel="0" collapsed="false">
      <c r="A10" s="7" t="s">
        <v>43</v>
      </c>
      <c r="B10" s="7"/>
      <c r="C10" s="7"/>
      <c r="D10" s="7"/>
      <c r="E10" s="7"/>
      <c r="F10" s="7"/>
    </row>
    <row r="11" customFormat="false" ht="15" hidden="false" customHeight="false" outlineLevel="0" collapsed="false">
      <c r="A11" s="33"/>
      <c r="B11" s="34" t="n">
        <v>1</v>
      </c>
      <c r="C11" s="34" t="n">
        <v>2</v>
      </c>
      <c r="D11" s="34" t="n">
        <v>3</v>
      </c>
      <c r="E11" s="35"/>
      <c r="F11" s="35"/>
    </row>
    <row r="12" customFormat="false" ht="15" hidden="false" customHeight="false" outlineLevel="0" collapsed="false">
      <c r="A12" s="6" t="s">
        <v>44</v>
      </c>
      <c r="B12" s="36" t="n">
        <f aca="false">SUMIF(Monthly!$C$5:$AL$5,B$11,Monthly!$C$24:$AL$24)</f>
        <v>273896</v>
      </c>
      <c r="C12" s="36" t="n">
        <f aca="false">SUMIF(Monthly!$C$5:$AL$5,C$11,Monthly!$C$24:$AL$24)</f>
        <v>336825.8208</v>
      </c>
      <c r="D12" s="36" t="n">
        <f aca="false">SUMIF(Monthly!$C$5:$AL$5,D$11,Monthly!$C$24:$AL$24)</f>
        <v>358461.36984672</v>
      </c>
    </row>
    <row r="13" customFormat="false" ht="15" hidden="false" customHeight="false" outlineLevel="0" collapsed="false">
      <c r="A13" s="37" t="s">
        <v>45</v>
      </c>
      <c r="B13" s="38" t="n">
        <f aca="false">SUMIF(Monthly!$C$5:$AL$5,B$11,Monthly!$C$33:$AL$33)</f>
        <v>161966.536</v>
      </c>
      <c r="C13" s="38" t="n">
        <f aca="false">SUMIF(Monthly!$C$5:$AL$5,C$11,Monthly!$C$33:$AL$33)</f>
        <v>199005.1028928</v>
      </c>
      <c r="D13" s="38" t="n">
        <f aca="false">SUMIF(Monthly!$C$5:$AL$5,D$11,Monthly!$C$33:$AL$33)</f>
        <v>211683.054593532</v>
      </c>
      <c r="E13" s="37"/>
      <c r="F13" s="37"/>
    </row>
    <row r="14" customFormat="false" ht="15" hidden="false" customHeight="false" outlineLevel="0" collapsed="false">
      <c r="A14" s="39" t="s">
        <v>46</v>
      </c>
      <c r="B14" s="40" t="n">
        <f aca="false">IF(B12=0,0,B13/B12)</f>
        <v>0.59134319595759</v>
      </c>
      <c r="C14" s="40" t="n">
        <f aca="false">IF(C12=0,0,C13/C12)</f>
        <v>0.590824962350392</v>
      </c>
      <c r="D14" s="40" t="n">
        <f aca="false">IF(D12=0,0,D13/D12)</f>
        <v>0.590532404325879</v>
      </c>
    </row>
    <row r="15" customFormat="false" ht="15" hidden="false" customHeight="false" outlineLevel="0" collapsed="false">
      <c r="A15" s="6" t="s">
        <v>47</v>
      </c>
      <c r="B15" s="36" t="n">
        <f aca="false">SUMIF(Monthly!$C$5:$AL$5,B$11,Monthly!$C$45:$AL$45)</f>
        <v>-169272.5</v>
      </c>
      <c r="C15" s="36" t="n">
        <f aca="false">SUMIF(Monthly!$C$5:$AL$5,C$11,Monthly!$C$45:$AL$45)</f>
        <v>-174374.612</v>
      </c>
      <c r="D15" s="36" t="n">
        <f aca="false">SUMIF(Monthly!$C$5:$AL$5,D$11,Monthly!$C$45:$AL$45)</f>
        <v>-179430.044198</v>
      </c>
    </row>
    <row r="16" customFormat="false" ht="15" hidden="false" customHeight="false" outlineLevel="0" collapsed="false">
      <c r="A16" s="37" t="s">
        <v>48</v>
      </c>
      <c r="B16" s="38" t="n">
        <f aca="false">SUMIF(Monthly!$C$5:$AL$5,B$11,Monthly!$C$46:$AL$46)</f>
        <v>-7305.96400000003</v>
      </c>
      <c r="C16" s="38" t="n">
        <f aca="false">SUMIF(Monthly!$C$5:$AL$5,C$11,Monthly!$C$46:$AL$46)</f>
        <v>24630.4908928</v>
      </c>
      <c r="D16" s="38" t="n">
        <f aca="false">SUMIF(Monthly!$C$5:$AL$5,D$11,Monthly!$C$46:$AL$46)</f>
        <v>32253.0103955315</v>
      </c>
      <c r="E16" s="37"/>
      <c r="F16" s="37"/>
    </row>
    <row r="17" customFormat="false" ht="15" hidden="false" customHeight="false" outlineLevel="0" collapsed="false">
      <c r="A17" s="39" t="s">
        <v>49</v>
      </c>
      <c r="B17" s="40" t="n">
        <f aca="false">IF(B12=0,0,B16/B12)</f>
        <v>-0.0266742267137893</v>
      </c>
      <c r="C17" s="40" t="n">
        <f aca="false">IF(C12=0,0,C16/C12)</f>
        <v>0.0731253050443096</v>
      </c>
      <c r="D17" s="40" t="n">
        <f aca="false">IF(D12=0,0,D16/D12)</f>
        <v>0.0899762515813714</v>
      </c>
    </row>
    <row r="18" customFormat="false" ht="15" hidden="false" customHeight="false" outlineLevel="0" collapsed="false">
      <c r="A18" s="41" t="s">
        <v>50</v>
      </c>
      <c r="B18" s="42" t="n">
        <f aca="false">SUMIF(Monthly!$C$5:$AL$5,B$11,Monthly!$C$55:$AL$55)</f>
        <v>-34439.6247142858</v>
      </c>
      <c r="C18" s="42" t="n">
        <f aca="false">SUMIF(Monthly!$C$5:$AL$5,C$11,Monthly!$C$55:$AL$55)</f>
        <v>-1245.9376786286</v>
      </c>
      <c r="D18" s="42" t="n">
        <f aca="false">SUMIF(Monthly!$C$5:$AL$5,D$11,Monthly!$C$55:$AL$55)</f>
        <v>7639.43896696008</v>
      </c>
      <c r="E18" s="41"/>
      <c r="F18" s="41"/>
    </row>
    <row r="19" customFormat="false" ht="15" hidden="false" customHeight="false" outlineLevel="0" collapsed="false">
      <c r="A19" s="39" t="s">
        <v>51</v>
      </c>
      <c r="B19" s="40" t="n">
        <f aca="false">IF(B12=0,0,B18/B12)</f>
        <v>-0.125739787051603</v>
      </c>
      <c r="C19" s="40" t="n">
        <f aca="false">IF(C12=0,0,C18/C12)</f>
        <v>-0.00369905631245655</v>
      </c>
      <c r="D19" s="40" t="n">
        <f aca="false">IF(D12=0,0,D18/D12)</f>
        <v>0.02131174963212</v>
      </c>
    </row>
    <row r="20" customFormat="false" ht="15" hidden="false" customHeight="false" outlineLevel="0" collapsed="false">
      <c r="A20" s="6" t="s">
        <v>52</v>
      </c>
      <c r="B20" s="36" t="n">
        <f aca="false">SUMIF(Monthly!$C$5:$AL$5,B$11,Monthly!$C$83:$AL$83)</f>
        <v>-15659.7006</v>
      </c>
      <c r="C20" s="36" t="n">
        <f aca="false">SUMIF(Monthly!$C$5:$AL$5,C$11,Monthly!$C$83:$AL$83)</f>
        <v>18765.73393536</v>
      </c>
      <c r="D20" s="36" t="n">
        <f aca="false">SUMIF(Monthly!$C$5:$AL$5,D$11,Monthly!$C$83:$AL$83)</f>
        <v>28004.3816109994</v>
      </c>
    </row>
    <row r="21" customFormat="false" ht="15" hidden="false" customHeight="false" outlineLevel="0" collapsed="false">
      <c r="A21" s="6" t="s">
        <v>53</v>
      </c>
      <c r="B21" s="36" t="n">
        <f aca="false">SUMIF(Monthly!$C$5:$AL$5,B$11,Monthly!$C$84:$AL$84)</f>
        <v>-138000</v>
      </c>
      <c r="C21" s="36" t="n">
        <f aca="false">SUMIF(Monthly!$C$5:$AL$5,C$11,Monthly!$C$84:$AL$84)</f>
        <v>-2500</v>
      </c>
      <c r="D21" s="36" t="n">
        <f aca="false">SUMIF(Monthly!$C$5:$AL$5,D$11,Monthly!$C$84:$AL$84)</f>
        <v>-2500</v>
      </c>
    </row>
    <row r="22" customFormat="false" ht="15" hidden="false" customHeight="false" outlineLevel="0" collapsed="false">
      <c r="A22" s="6" t="s">
        <v>54</v>
      </c>
      <c r="B22" s="36" t="n">
        <f aca="false">SUMIF(Monthly!$C$5:$AL$5,B$11,Monthly!$C$86:$AL$86)</f>
        <v>173500</v>
      </c>
      <c r="C22" s="36" t="n">
        <f aca="false">SUMIF(Monthly!$C$5:$AL$5,C$11,Monthly!$C$86:$AL$86)</f>
        <v>-18000</v>
      </c>
      <c r="D22" s="36" t="n">
        <f aca="false">SUMIF(Monthly!$C$5:$AL$5,D$11,Monthly!$C$86:$AL$86)</f>
        <v>-18000</v>
      </c>
    </row>
    <row r="23" customFormat="false" ht="15" hidden="false" customHeight="false" outlineLevel="0" collapsed="false">
      <c r="A23" s="37" t="s">
        <v>55</v>
      </c>
      <c r="B23" s="38" t="n">
        <f aca="false">SUMIF(Monthly!$C$5:$AL$5,B$11,Monthly!$C$87:$AL$87)</f>
        <v>19840.2994</v>
      </c>
      <c r="C23" s="38" t="n">
        <f aca="false">SUMIF(Monthly!$C$5:$AL$5,C$11,Monthly!$C$87:$AL$87)</f>
        <v>-1734.26606464003</v>
      </c>
      <c r="D23" s="38" t="n">
        <f aca="false">SUMIF(Monthly!$C$5:$AL$5,D$11,Monthly!$C$87:$AL$87)</f>
        <v>7504.38161099941</v>
      </c>
      <c r="E23" s="37"/>
      <c r="F23" s="37"/>
    </row>
    <row r="24" customFormat="false" ht="15" hidden="false" customHeight="false" outlineLevel="0" collapsed="false">
      <c r="A24" s="41" t="s">
        <v>56</v>
      </c>
      <c r="B24" s="42" t="n">
        <f aca="false">INDEX(Monthly!$C$89:$AL$89,B$11*12)</f>
        <v>19840.2994</v>
      </c>
      <c r="C24" s="42" t="n">
        <f aca="false">INDEX(Monthly!$C$89:$AL$89,C$11*12)</f>
        <v>18106.0333353599</v>
      </c>
      <c r="D24" s="42" t="n">
        <f aca="false">INDEX(Monthly!$C$89:$AL$89,D$11*12)</f>
        <v>25610.4149463593</v>
      </c>
      <c r="E24" s="41"/>
      <c r="F24" s="41"/>
    </row>
    <row r="26" customFormat="false" ht="15.75" hidden="false" customHeight="true" outlineLevel="0" collapsed="false">
      <c r="A26" s="7" t="s">
        <v>57</v>
      </c>
      <c r="B26" s="7"/>
      <c r="C26" s="7"/>
      <c r="D26" s="7"/>
      <c r="E26" s="7"/>
      <c r="F26" s="7"/>
    </row>
    <row r="27" customFormat="false" ht="15" hidden="false" customHeight="false" outlineLevel="0" collapsed="false">
      <c r="A27" s="33"/>
      <c r="B27" s="34" t="n">
        <v>1</v>
      </c>
      <c r="C27" s="34" t="n">
        <v>2</v>
      </c>
      <c r="D27" s="34" t="n">
        <v>3</v>
      </c>
      <c r="E27" s="35"/>
      <c r="F27" s="35"/>
    </row>
    <row r="28" customFormat="false" ht="15" hidden="false" customHeight="false" outlineLevel="0" collapsed="false">
      <c r="A28" s="6" t="s">
        <v>58</v>
      </c>
      <c r="B28" s="43" t="n">
        <f aca="false">KPIs!B31</f>
        <v>19564</v>
      </c>
      <c r="C28" s="43" t="n">
        <f aca="false">KPIs!C31</f>
        <v>23358.24</v>
      </c>
      <c r="D28" s="43" t="n">
        <f aca="false">KPIs!D31</f>
        <v>24134.5872</v>
      </c>
    </row>
    <row r="29" customFormat="false" ht="15" hidden="false" customHeight="false" outlineLevel="0" collapsed="false">
      <c r="A29" s="6" t="s">
        <v>59</v>
      </c>
      <c r="B29" s="44" t="n">
        <f aca="false">KPIs!B38</f>
        <v>1110.01418439716</v>
      </c>
      <c r="C29" s="44" t="n">
        <f aca="false">KPIs!C38</f>
        <v>1327.13089361702</v>
      </c>
      <c r="D29" s="44" t="n">
        <f aca="false">KPIs!D38</f>
        <v>1401.93738451531</v>
      </c>
    </row>
    <row r="30" customFormat="false" ht="15" hidden="false" customHeight="false" outlineLevel="0" collapsed="false">
      <c r="A30" s="6" t="s">
        <v>60</v>
      </c>
      <c r="B30" s="45" t="n">
        <f aca="false">KPIs!B36</f>
        <v>0.157176446534451</v>
      </c>
      <c r="C30" s="45" t="n">
        <f aca="false">KPIs!C36</f>
        <v>0.161827260958017</v>
      </c>
      <c r="D30" s="45" t="n">
        <f aca="false">KPIs!D36</f>
        <v>0.164452781690834</v>
      </c>
    </row>
    <row r="31" customFormat="false" ht="15" hidden="false" customHeight="false" outlineLevel="0" collapsed="false">
      <c r="A31" s="6" t="s">
        <v>61</v>
      </c>
      <c r="B31" s="45" t="n">
        <f aca="false">KPIs!B43</f>
        <v>0.794774220872156</v>
      </c>
      <c r="C31" s="45" t="n">
        <f aca="false">KPIs!C43</f>
        <v>0.724498925065783</v>
      </c>
      <c r="D31" s="45" t="n">
        <f aca="false">KPIs!D43</f>
        <v>0.71284286828703</v>
      </c>
    </row>
    <row r="32" customFormat="false" ht="15" hidden="false" customHeight="false" outlineLevel="0" collapsed="false">
      <c r="A32" s="6" t="s">
        <v>62</v>
      </c>
      <c r="B32" s="46" t="n">
        <f aca="false">INDEX(Headcount!$C$11:$AL$11,B$27*12)</f>
        <v>3.2</v>
      </c>
      <c r="C32" s="46" t="n">
        <f aca="false">INDEX(Headcount!$C$11:$AL$11,C$27*12)</f>
        <v>3.2</v>
      </c>
      <c r="D32" s="46" t="n">
        <f aca="false">INDEX(Headcount!$C$11:$AL$11,D$27*12)</f>
        <v>3.2</v>
      </c>
    </row>
    <row r="34" customFormat="false" ht="15.75" hidden="false" customHeight="true" outlineLevel="0" collapsed="false">
      <c r="A34" s="7" t="s">
        <v>63</v>
      </c>
      <c r="B34" s="7"/>
      <c r="C34" s="7"/>
      <c r="D34" s="7"/>
      <c r="E34" s="7"/>
      <c r="F34" s="7"/>
    </row>
    <row r="35" customFormat="false" ht="15" hidden="false" customHeight="false" outlineLevel="0" collapsed="false">
      <c r="A35" s="6" t="s">
        <v>64</v>
      </c>
      <c r="B35" s="47"/>
      <c r="C35" s="47"/>
      <c r="D35" s="47"/>
      <c r="E35" s="47"/>
      <c r="F35" s="48" t="n">
        <f aca="false">Inputs!$E$71</f>
        <v>100000</v>
      </c>
    </row>
    <row r="36" customFormat="false" ht="15" hidden="false" customHeight="false" outlineLevel="0" collapsed="false">
      <c r="A36" s="6" t="s">
        <v>65</v>
      </c>
      <c r="B36" s="47"/>
      <c r="C36" s="47"/>
      <c r="D36" s="47"/>
      <c r="E36" s="47"/>
      <c r="F36" s="48" t="n">
        <f aca="false">Inputs!$E$72</f>
        <v>90000</v>
      </c>
    </row>
    <row r="37" customFormat="false" ht="15" hidden="false" customHeight="false" outlineLevel="0" collapsed="false">
      <c r="A37" s="6" t="s">
        <v>66</v>
      </c>
      <c r="B37" s="47"/>
      <c r="C37" s="47"/>
      <c r="D37" s="47"/>
      <c r="E37" s="47"/>
      <c r="F37" s="48" t="n">
        <f aca="false">'Break-even'!B12</f>
        <v>222127.584896964</v>
      </c>
    </row>
    <row r="38" customFormat="false" ht="15" hidden="false" customHeight="false" outlineLevel="0" collapsed="false">
      <c r="A38" s="37" t="s">
        <v>67</v>
      </c>
      <c r="B38" s="37"/>
      <c r="C38" s="37"/>
      <c r="D38" s="37"/>
      <c r="E38" s="37"/>
      <c r="F38" s="38" t="n">
        <f aca="false">'Break-even'!B17</f>
        <v>-32127.5848969641</v>
      </c>
    </row>
    <row r="39" customFormat="false" ht="15" hidden="false" customHeight="false" outlineLevel="0" collapsed="false">
      <c r="A39" s="6" t="str">
        <f aca="false">"Lowest cash balance (month "&amp;'Break-even'!B6&amp;")"</f>
        <v>Lowest cash balance (month 26)</v>
      </c>
      <c r="B39" s="47"/>
      <c r="C39" s="47"/>
      <c r="D39" s="47"/>
      <c r="E39" s="47"/>
      <c r="F39" s="48" t="n">
        <f aca="false">'Break-even'!B18</f>
        <v>9872.41510303594</v>
      </c>
    </row>
    <row r="40" customFormat="false" ht="15" hidden="false" customHeight="false" outlineLevel="0" collapsed="false">
      <c r="A40" s="6" t="s">
        <v>68</v>
      </c>
      <c r="B40" s="47"/>
      <c r="C40" s="47"/>
      <c r="D40" s="47"/>
      <c r="E40" s="47"/>
      <c r="F40" s="49" t="n">
        <f aca="false">'Break-even'!B21</f>
        <v>6</v>
      </c>
    </row>
    <row r="41" customFormat="false" ht="15" hidden="false" customHeight="false" outlineLevel="0" collapsed="false">
      <c r="A41" s="6" t="s">
        <v>69</v>
      </c>
      <c r="B41" s="47"/>
      <c r="C41" s="47"/>
      <c r="D41" s="47"/>
      <c r="E41" s="47"/>
      <c r="F41" s="49" t="str">
        <f aca="false">'Break-even'!B23</f>
        <v>Not within horizon</v>
      </c>
    </row>
    <row r="42" customFormat="false" ht="15" hidden="false" customHeight="false" outlineLevel="0" collapsed="false">
      <c r="A42" s="6" t="s">
        <v>70</v>
      </c>
      <c r="B42" s="47"/>
      <c r="C42" s="47"/>
      <c r="D42" s="47"/>
      <c r="E42" s="47"/>
      <c r="F42" s="48" t="n">
        <f aca="false">Valuation!B27</f>
        <v>-24725.2019742408</v>
      </c>
    </row>
    <row r="43" customFormat="false" ht="15" hidden="false" customHeight="false" outlineLevel="0" collapsed="false">
      <c r="A43" s="6" t="s">
        <v>71</v>
      </c>
      <c r="B43" s="47"/>
      <c r="C43" s="47"/>
      <c r="D43" s="47"/>
      <c r="E43" s="47"/>
      <c r="F43" s="48" t="n">
        <f aca="false">Valuation!C27</f>
        <v>-24088.4802864894</v>
      </c>
    </row>
    <row r="44" customFormat="false" ht="15" hidden="false" customHeight="false" outlineLevel="0" collapsed="false">
      <c r="A44" s="41" t="s">
        <v>72</v>
      </c>
      <c r="B44" s="41"/>
      <c r="C44" s="41"/>
      <c r="D44" s="41"/>
      <c r="E44" s="41"/>
      <c r="F44" s="42" t="n">
        <f aca="false">Valuation!B30</f>
        <v>-24406.8411303651</v>
      </c>
    </row>
  </sheetData>
  <mergeCells count="19">
    <mergeCell ref="T4:W4"/>
    <mergeCell ref="A6:B6"/>
    <mergeCell ref="C6:F6"/>
    <mergeCell ref="H6:K6"/>
    <mergeCell ref="L6:O6"/>
    <mergeCell ref="P6:S6"/>
    <mergeCell ref="T6:W6"/>
    <mergeCell ref="A7:B7"/>
    <mergeCell ref="C7:F7"/>
    <mergeCell ref="H7:K7"/>
    <mergeCell ref="L7:O7"/>
    <mergeCell ref="P7:S7"/>
    <mergeCell ref="T7:W7"/>
    <mergeCell ref="A8:B8"/>
    <mergeCell ref="C8:F8"/>
    <mergeCell ref="H8:K8"/>
    <mergeCell ref="L8:O8"/>
    <mergeCell ref="P8:S8"/>
    <mergeCell ref="T8:W8"/>
  </mergeCells>
  <conditionalFormatting sqref="T4:W4">
    <cfRule type="expression" priority="2" aboveAverage="0" equalAverage="0" bottom="0" percent="0" rank="0" text="" dxfId="0">
      <formula>ISNUMBER(SEARCH("FAIL",$T$4))</formula>
    </cfRule>
    <cfRule type="expression" priority="3" aboveAverage="0" equalAverage="0" bottom="0" percent="0" rank="0" text="" dxfId="1">
      <formula>ISNUMBER(SEARCH("WARN",$T$4))</formula>
    </cfRule>
    <cfRule type="expression" priority="4" aboveAverage="0" equalAverage="0" bottom="0" percent="0" rank="0" text="" dxfId="2">
      <formula>$T$4="PASS"</formula>
    </cfRule>
  </conditionalFormatting>
  <dataValidations count="1">
    <dataValidation allowBlank="false" error="Enter 1, 2 or 3" errorStyle="stop" errorTitle="Scenario" operator="between" prompt="1 = Low, 2 = Base, 3 = High. Every sheet recalculates." promptTitle="Scenario" showDropDown="false" showErrorMessage="true" showInputMessage="true" sqref="B4" type="list">
      <formula1>"1,2,3"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U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6" min="2" style="0" width="11.5"/>
    <col collapsed="false" customWidth="true" hidden="false" outlineLevel="0" max="7" min="7" style="0" width="2"/>
    <col collapsed="false" customWidth="true" hidden="false" outlineLevel="0" max="19" min="8" style="0" width="9.2"/>
    <col collapsed="false" customWidth="true" hidden="false" outlineLevel="0" max="20" min="20" style="0" width="2"/>
    <col collapsed="false" customWidth="true" hidden="false" outlineLevel="0" max="36" min="21" style="0" width="9"/>
  </cols>
  <sheetData>
    <row r="1" customFormat="false" ht="21.75" hidden="false" customHeight="true" outlineLevel="0" collapsed="false">
      <c r="A1" s="16" t="s">
        <v>73</v>
      </c>
      <c r="U1" s="17" t="str">
        <f aca="false">HYPERLINK("#'Cover'!A1","◂ Contents")</f>
        <v>◂ Contents</v>
      </c>
    </row>
    <row r="2" customFormat="false" ht="19.5" hidden="false" customHeight="true" outlineLevel="0" collapsed="false">
      <c r="A2" s="18" t="s">
        <v>0</v>
      </c>
      <c r="P2" s="22" t="s">
        <v>74</v>
      </c>
      <c r="R2" s="50" t="n">
        <v>1</v>
      </c>
      <c r="S2" s="50"/>
    </row>
    <row r="5" customFormat="false" ht="15.75" hidden="false" customHeight="true" outlineLevel="0" collapsed="false">
      <c r="A5" s="7" t="s">
        <v>75</v>
      </c>
      <c r="B5" s="7"/>
      <c r="C5" s="7"/>
      <c r="D5" s="7"/>
      <c r="E5" s="7"/>
      <c r="F5" s="7"/>
      <c r="H5" s="7" t="str">
        <f aca="false">"Income statement ($'000) — Year "&amp;$R$2&amp;", by month"</f>
        <v>Income statement ($'000) — Year 1, by month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</row>
    <row r="6" customFormat="false" ht="15" hidden="false" customHeight="false" outlineLevel="0" collapsed="false">
      <c r="A6" s="33"/>
      <c r="B6" s="34" t="n">
        <v>1</v>
      </c>
      <c r="C6" s="34" t="n">
        <v>2</v>
      </c>
      <c r="D6" s="34" t="n">
        <v>3</v>
      </c>
      <c r="E6" s="35"/>
      <c r="F6" s="35"/>
      <c r="H6" s="51" t="n">
        <f aca="false">INDEX(Monthly!$C$4:$AL$4,($R$2-1)*12+1)</f>
        <v>1</v>
      </c>
      <c r="I6" s="51" t="n">
        <f aca="false">INDEX(Monthly!$C$4:$AL$4,($R$2-1)*12+2)</f>
        <v>2</v>
      </c>
      <c r="J6" s="51" t="n">
        <f aca="false">INDEX(Monthly!$C$4:$AL$4,($R$2-1)*12+3)</f>
        <v>3</v>
      </c>
      <c r="K6" s="51" t="n">
        <f aca="false">INDEX(Monthly!$C$4:$AL$4,($R$2-1)*12+4)</f>
        <v>4</v>
      </c>
      <c r="L6" s="51" t="n">
        <f aca="false">INDEX(Monthly!$C$4:$AL$4,($R$2-1)*12+5)</f>
        <v>5</v>
      </c>
      <c r="M6" s="51" t="n">
        <f aca="false">INDEX(Monthly!$C$4:$AL$4,($R$2-1)*12+6)</f>
        <v>6</v>
      </c>
      <c r="N6" s="51" t="n">
        <f aca="false">INDEX(Monthly!$C$4:$AL$4,($R$2-1)*12+7)</f>
        <v>7</v>
      </c>
      <c r="O6" s="51" t="n">
        <f aca="false">INDEX(Monthly!$C$4:$AL$4,($R$2-1)*12+8)</f>
        <v>8</v>
      </c>
      <c r="P6" s="51" t="n">
        <f aca="false">INDEX(Monthly!$C$4:$AL$4,($R$2-1)*12+9)</f>
        <v>9</v>
      </c>
      <c r="Q6" s="51" t="n">
        <f aca="false">INDEX(Monthly!$C$4:$AL$4,($R$2-1)*12+10)</f>
        <v>10</v>
      </c>
      <c r="R6" s="51" t="n">
        <f aca="false">INDEX(Monthly!$C$4:$AL$4,($R$2-1)*12+11)</f>
        <v>11</v>
      </c>
      <c r="S6" s="51" t="n">
        <f aca="false">INDEX(Monthly!$C$4:$AL$4,($R$2-1)*12+12)</f>
        <v>12</v>
      </c>
    </row>
    <row r="7" customFormat="false" ht="15" hidden="false" customHeight="false" outlineLevel="0" collapsed="false">
      <c r="A7" s="52" t="s">
        <v>44</v>
      </c>
      <c r="B7" s="36" t="n">
        <f aca="false">'P&amp;L'!B5</f>
        <v>273896</v>
      </c>
      <c r="C7" s="36" t="n">
        <f aca="false">'P&amp;L'!C5</f>
        <v>336825.8208</v>
      </c>
      <c r="D7" s="36" t="n">
        <f aca="false">'P&amp;L'!D5</f>
        <v>358461.36984672</v>
      </c>
      <c r="H7" s="36" t="n">
        <f aca="false">INDEX(Monthly!$C$24:$AL$24,($R$2-1)*12+1)</f>
        <v>10416</v>
      </c>
      <c r="I7" s="36" t="n">
        <f aca="false">INDEX(Monthly!$C$24:$AL$24,($R$2-1)*12+2)</f>
        <v>12152</v>
      </c>
      <c r="J7" s="36" t="n">
        <f aca="false">INDEX(Monthly!$C$24:$AL$24,($R$2-1)*12+3)</f>
        <v>18816</v>
      </c>
      <c r="K7" s="36" t="n">
        <f aca="false">INDEX(Monthly!$C$24:$AL$24,($R$2-1)*12+4)</f>
        <v>21168</v>
      </c>
      <c r="L7" s="36" t="n">
        <f aca="false">INDEX(Monthly!$C$24:$AL$24,($R$2-1)*12+5)</f>
        <v>23520</v>
      </c>
      <c r="M7" s="36" t="n">
        <f aca="false">INDEX(Monthly!$C$24:$AL$24,($R$2-1)*12+6)</f>
        <v>25872</v>
      </c>
      <c r="N7" s="36" t="n">
        <f aca="false">INDEX(Monthly!$C$24:$AL$24,($R$2-1)*12+7)</f>
        <v>28224</v>
      </c>
      <c r="O7" s="36" t="n">
        <f aca="false">INDEX(Monthly!$C$24:$AL$24,($R$2-1)*12+8)</f>
        <v>28224</v>
      </c>
      <c r="P7" s="36" t="n">
        <f aca="false">INDEX(Monthly!$C$24:$AL$24,($R$2-1)*12+9)</f>
        <v>28224</v>
      </c>
      <c r="Q7" s="36" t="n">
        <f aca="false">INDEX(Monthly!$C$24:$AL$24,($R$2-1)*12+10)</f>
        <v>28224</v>
      </c>
      <c r="R7" s="36" t="n">
        <f aca="false">INDEX(Monthly!$C$24:$AL$24,($R$2-1)*12+11)</f>
        <v>28224</v>
      </c>
      <c r="S7" s="36" t="n">
        <f aca="false">INDEX(Monthly!$C$24:$AL$24,($R$2-1)*12+12)</f>
        <v>20832</v>
      </c>
    </row>
    <row r="8" customFormat="false" ht="15" hidden="false" customHeight="false" outlineLevel="0" collapsed="false">
      <c r="A8" s="52" t="s">
        <v>76</v>
      </c>
      <c r="B8" s="36" t="n">
        <f aca="false">'P&amp;L'!B6</f>
        <v>-111929.464</v>
      </c>
      <c r="C8" s="36" t="n">
        <f aca="false">'P&amp;L'!C6</f>
        <v>-137820.7179072</v>
      </c>
      <c r="D8" s="36" t="n">
        <f aca="false">'P&amp;L'!D6</f>
        <v>-146778.315253188</v>
      </c>
      <c r="H8" s="36" t="n">
        <f aca="false">INDEX(Monthly!$C$32:$AL$32,($R$2-1)*12+1)</f>
        <v>-4308.144</v>
      </c>
      <c r="I8" s="36" t="n">
        <f aca="false">INDEX(Monthly!$C$32:$AL$32,($R$2-1)*12+2)</f>
        <v>-5026.168</v>
      </c>
      <c r="J8" s="36" t="n">
        <f aca="false">INDEX(Monthly!$C$32:$AL$32,($R$2-1)*12+3)</f>
        <v>-7671.744</v>
      </c>
      <c r="K8" s="36" t="n">
        <f aca="false">INDEX(Monthly!$C$32:$AL$32,($R$2-1)*12+4)</f>
        <v>-8630.712</v>
      </c>
      <c r="L8" s="36" t="n">
        <f aca="false">INDEX(Monthly!$C$32:$AL$32,($R$2-1)*12+5)</f>
        <v>-9589.68</v>
      </c>
      <c r="M8" s="36" t="n">
        <f aca="false">INDEX(Monthly!$C$32:$AL$32,($R$2-1)*12+6)</f>
        <v>-10548.648</v>
      </c>
      <c r="N8" s="36" t="n">
        <f aca="false">INDEX(Monthly!$C$32:$AL$32,($R$2-1)*12+7)</f>
        <v>-11507.616</v>
      </c>
      <c r="O8" s="36" t="n">
        <f aca="false">INDEX(Monthly!$C$32:$AL$32,($R$2-1)*12+8)</f>
        <v>-11507.616</v>
      </c>
      <c r="P8" s="36" t="n">
        <f aca="false">INDEX(Monthly!$C$32:$AL$32,($R$2-1)*12+9)</f>
        <v>-11507.616</v>
      </c>
      <c r="Q8" s="36" t="n">
        <f aca="false">INDEX(Monthly!$C$32:$AL$32,($R$2-1)*12+10)</f>
        <v>-11507.616</v>
      </c>
      <c r="R8" s="36" t="n">
        <f aca="false">INDEX(Monthly!$C$32:$AL$32,($R$2-1)*12+11)</f>
        <v>-11507.616</v>
      </c>
      <c r="S8" s="36" t="n">
        <f aca="false">INDEX(Monthly!$C$32:$AL$32,($R$2-1)*12+12)</f>
        <v>-8616.288</v>
      </c>
    </row>
    <row r="9" customFormat="false" ht="15" hidden="false" customHeight="false" outlineLevel="0" collapsed="false">
      <c r="A9" s="37" t="s">
        <v>45</v>
      </c>
      <c r="B9" s="38" t="n">
        <f aca="false">'P&amp;L'!B7</f>
        <v>161966.536</v>
      </c>
      <c r="C9" s="38" t="n">
        <f aca="false">'P&amp;L'!C7</f>
        <v>199005.1028928</v>
      </c>
      <c r="D9" s="38" t="n">
        <f aca="false">'P&amp;L'!D7</f>
        <v>211683.054593532</v>
      </c>
      <c r="E9" s="37"/>
      <c r="F9" s="37"/>
      <c r="H9" s="38" t="n">
        <f aca="false">INDEX(Monthly!$C$33:$AL$33,($R$2-1)*12+1)</f>
        <v>6107.856</v>
      </c>
      <c r="I9" s="38" t="n">
        <f aca="false">INDEX(Monthly!$C$33:$AL$33,($R$2-1)*12+2)</f>
        <v>7125.832</v>
      </c>
      <c r="J9" s="38" t="n">
        <f aca="false">INDEX(Monthly!$C$33:$AL$33,($R$2-1)*12+3)</f>
        <v>11144.256</v>
      </c>
      <c r="K9" s="38" t="n">
        <f aca="false">INDEX(Monthly!$C$33:$AL$33,($R$2-1)*12+4)</f>
        <v>12537.288</v>
      </c>
      <c r="L9" s="38" t="n">
        <f aca="false">INDEX(Monthly!$C$33:$AL$33,($R$2-1)*12+5)</f>
        <v>13930.32</v>
      </c>
      <c r="M9" s="38" t="n">
        <f aca="false">INDEX(Monthly!$C$33:$AL$33,($R$2-1)*12+6)</f>
        <v>15323.352</v>
      </c>
      <c r="N9" s="38" t="n">
        <f aca="false">INDEX(Monthly!$C$33:$AL$33,($R$2-1)*12+7)</f>
        <v>16716.384</v>
      </c>
      <c r="O9" s="38" t="n">
        <f aca="false">INDEX(Monthly!$C$33:$AL$33,($R$2-1)*12+8)</f>
        <v>16716.384</v>
      </c>
      <c r="P9" s="38" t="n">
        <f aca="false">INDEX(Monthly!$C$33:$AL$33,($R$2-1)*12+9)</f>
        <v>16716.384</v>
      </c>
      <c r="Q9" s="38" t="n">
        <f aca="false">INDEX(Monthly!$C$33:$AL$33,($R$2-1)*12+10)</f>
        <v>16716.384</v>
      </c>
      <c r="R9" s="38" t="n">
        <f aca="false">INDEX(Monthly!$C$33:$AL$33,($R$2-1)*12+11)</f>
        <v>16716.384</v>
      </c>
      <c r="S9" s="38" t="n">
        <f aca="false">INDEX(Monthly!$C$33:$AL$33,($R$2-1)*12+12)</f>
        <v>12215.712</v>
      </c>
    </row>
    <row r="10" customFormat="false" ht="15" hidden="false" customHeight="false" outlineLevel="0" collapsed="false">
      <c r="A10" s="39" t="s">
        <v>46</v>
      </c>
      <c r="B10" s="40" t="n">
        <f aca="false">'P&amp;L'!B8</f>
        <v>0.59134319595759</v>
      </c>
      <c r="C10" s="40" t="n">
        <f aca="false">'P&amp;L'!C8</f>
        <v>0.590824962350392</v>
      </c>
      <c r="D10" s="40" t="n">
        <f aca="false">'P&amp;L'!D8</f>
        <v>0.590532404325879</v>
      </c>
      <c r="H10" s="40" t="n">
        <f aca="false">IF(H7=0,0,H9/H7)</f>
        <v>0.586391705069124</v>
      </c>
      <c r="I10" s="40" t="n">
        <f aca="false">IF(I7=0,0,I9/I7)</f>
        <v>0.586391705069124</v>
      </c>
      <c r="J10" s="40" t="n">
        <f aca="false">IF(J7=0,0,J9/J7)</f>
        <v>0.592275510204082</v>
      </c>
      <c r="K10" s="40" t="n">
        <f aca="false">IF(K7=0,0,K9/K7)</f>
        <v>0.592275510204082</v>
      </c>
      <c r="L10" s="40" t="n">
        <f aca="false">IF(L7=0,0,L9/L7)</f>
        <v>0.592275510204082</v>
      </c>
      <c r="M10" s="40" t="n">
        <f aca="false">IF(M7=0,0,M9/M7)</f>
        <v>0.592275510204082</v>
      </c>
      <c r="N10" s="40" t="n">
        <f aca="false">IF(N7=0,0,N9/N7)</f>
        <v>0.592275510204082</v>
      </c>
      <c r="O10" s="40" t="n">
        <f aca="false">IF(O7=0,0,O9/O7)</f>
        <v>0.592275510204082</v>
      </c>
      <c r="P10" s="40" t="n">
        <f aca="false">IF(P7=0,0,P9/P7)</f>
        <v>0.592275510204082</v>
      </c>
      <c r="Q10" s="40" t="n">
        <f aca="false">IF(Q7=0,0,Q9/Q7)</f>
        <v>0.592275510204082</v>
      </c>
      <c r="R10" s="40" t="n">
        <f aca="false">IF(R7=0,0,R9/R7)</f>
        <v>0.592275510204082</v>
      </c>
      <c r="S10" s="40" t="n">
        <f aca="false">IF(S7=0,0,S9/S7)</f>
        <v>0.586391705069124</v>
      </c>
    </row>
    <row r="11" customFormat="false" ht="15" hidden="false" customHeight="false" outlineLevel="0" collapsed="false">
      <c r="A11" s="52" t="s">
        <v>77</v>
      </c>
      <c r="B11" s="36" t="n">
        <f aca="false">'P&amp;L'!B18</f>
        <v>-169272.5</v>
      </c>
      <c r="C11" s="36" t="n">
        <f aca="false">'P&amp;L'!C18</f>
        <v>-174374.612</v>
      </c>
      <c r="D11" s="36" t="n">
        <f aca="false">'P&amp;L'!D18</f>
        <v>-179430.044198</v>
      </c>
      <c r="H11" s="36" t="n">
        <f aca="false">INDEX(Monthly!$C$45:$AL$45,($R$2-1)*12+1)</f>
        <v>-13894.6666666667</v>
      </c>
      <c r="I11" s="36" t="n">
        <f aca="false">INDEX(Monthly!$C$45:$AL$45,($R$2-1)*12+2)</f>
        <v>-13904.1666666667</v>
      </c>
      <c r="J11" s="36" t="n">
        <f aca="false">INDEX(Monthly!$C$45:$AL$45,($R$2-1)*12+3)</f>
        <v>-14141.6666666667</v>
      </c>
      <c r="K11" s="36" t="n">
        <f aca="false">INDEX(Monthly!$C$45:$AL$45,($R$2-1)*12+4)</f>
        <v>-14151.1666666667</v>
      </c>
      <c r="L11" s="36" t="n">
        <f aca="false">INDEX(Monthly!$C$45:$AL$45,($R$2-1)*12+5)</f>
        <v>-14160.6666666667</v>
      </c>
      <c r="M11" s="36" t="n">
        <f aca="false">INDEX(Monthly!$C$45:$AL$45,($R$2-1)*12+6)</f>
        <v>-14170.1666666667</v>
      </c>
      <c r="N11" s="36" t="n">
        <f aca="false">INDEX(Monthly!$C$45:$AL$45,($R$2-1)*12+7)</f>
        <v>-14179.6666666667</v>
      </c>
      <c r="O11" s="36" t="n">
        <f aca="false">INDEX(Monthly!$C$45:$AL$45,($R$2-1)*12+8)</f>
        <v>-14179.6666666667</v>
      </c>
      <c r="P11" s="36" t="n">
        <f aca="false">INDEX(Monthly!$C$45:$AL$45,($R$2-1)*12+9)</f>
        <v>-14179.6666666667</v>
      </c>
      <c r="Q11" s="36" t="n">
        <f aca="false">INDEX(Monthly!$C$45:$AL$45,($R$2-1)*12+10)</f>
        <v>-14179.6666666667</v>
      </c>
      <c r="R11" s="36" t="n">
        <f aca="false">INDEX(Monthly!$C$45:$AL$45,($R$2-1)*12+11)</f>
        <v>-14179.6666666667</v>
      </c>
      <c r="S11" s="36" t="n">
        <f aca="false">INDEX(Monthly!$C$45:$AL$45,($R$2-1)*12+12)</f>
        <v>-13951.6666666667</v>
      </c>
    </row>
    <row r="12" customFormat="false" ht="15" hidden="false" customHeight="false" outlineLevel="0" collapsed="false">
      <c r="A12" s="37" t="s">
        <v>48</v>
      </c>
      <c r="B12" s="38" t="n">
        <f aca="false">'P&amp;L'!B19</f>
        <v>-7305.96400000003</v>
      </c>
      <c r="C12" s="38" t="n">
        <f aca="false">'P&amp;L'!C19</f>
        <v>24630.4908928</v>
      </c>
      <c r="D12" s="38" t="n">
        <f aca="false">'P&amp;L'!D19</f>
        <v>32253.0103955315</v>
      </c>
      <c r="E12" s="37"/>
      <c r="F12" s="37"/>
      <c r="H12" s="38" t="n">
        <f aca="false">INDEX(Monthly!$C$46:$AL$46,($R$2-1)*12+1)</f>
        <v>-7786.81066666667</v>
      </c>
      <c r="I12" s="38" t="n">
        <f aca="false">INDEX(Monthly!$C$46:$AL$46,($R$2-1)*12+2)</f>
        <v>-6778.33466666667</v>
      </c>
      <c r="J12" s="38" t="n">
        <f aca="false">INDEX(Monthly!$C$46:$AL$46,($R$2-1)*12+3)</f>
        <v>-2997.41066666667</v>
      </c>
      <c r="K12" s="38" t="n">
        <f aca="false">INDEX(Monthly!$C$46:$AL$46,($R$2-1)*12+4)</f>
        <v>-1613.87866666667</v>
      </c>
      <c r="L12" s="38" t="n">
        <f aca="false">INDEX(Monthly!$C$46:$AL$46,($R$2-1)*12+5)</f>
        <v>-230.34666666667</v>
      </c>
      <c r="M12" s="38" t="n">
        <f aca="false">INDEX(Monthly!$C$46:$AL$46,($R$2-1)*12+6)</f>
        <v>1153.18533333333</v>
      </c>
      <c r="N12" s="38" t="n">
        <f aca="false">INDEX(Monthly!$C$46:$AL$46,($R$2-1)*12+7)</f>
        <v>2536.71733333333</v>
      </c>
      <c r="O12" s="38" t="n">
        <f aca="false">INDEX(Monthly!$C$46:$AL$46,($R$2-1)*12+8)</f>
        <v>2536.71733333333</v>
      </c>
      <c r="P12" s="38" t="n">
        <f aca="false">INDEX(Monthly!$C$46:$AL$46,($R$2-1)*12+9)</f>
        <v>2536.71733333333</v>
      </c>
      <c r="Q12" s="38" t="n">
        <f aca="false">INDEX(Monthly!$C$46:$AL$46,($R$2-1)*12+10)</f>
        <v>2536.71733333333</v>
      </c>
      <c r="R12" s="38" t="n">
        <f aca="false">INDEX(Monthly!$C$46:$AL$46,($R$2-1)*12+11)</f>
        <v>2536.71733333333</v>
      </c>
      <c r="S12" s="38" t="n">
        <f aca="false">INDEX(Monthly!$C$46:$AL$46,($R$2-1)*12+12)</f>
        <v>-1735.95466666667</v>
      </c>
    </row>
    <row r="13" customFormat="false" ht="15" hidden="false" customHeight="false" outlineLevel="0" collapsed="false">
      <c r="A13" s="39" t="s">
        <v>49</v>
      </c>
      <c r="B13" s="40" t="n">
        <f aca="false">'P&amp;L'!B20</f>
        <v>-0.0266742267137893</v>
      </c>
      <c r="C13" s="40" t="n">
        <f aca="false">'P&amp;L'!C20</f>
        <v>0.0731253050443096</v>
      </c>
      <c r="D13" s="40" t="n">
        <f aca="false">'P&amp;L'!D20</f>
        <v>0.0899762515813714</v>
      </c>
      <c r="H13" s="40" t="n">
        <f aca="false">IF(H7=0,0,H12/H7)</f>
        <v>-0.747581669226831</v>
      </c>
      <c r="I13" s="40" t="n">
        <f aca="false">IF(I7=0,0,I12/I7)</f>
        <v>-0.557795808646039</v>
      </c>
      <c r="J13" s="40" t="n">
        <f aca="false">IF(J7=0,0,J12/J7)</f>
        <v>-0.159301162131519</v>
      </c>
      <c r="K13" s="40" t="n">
        <f aca="false">IF(K7=0,0,K12/K7)</f>
        <v>-0.0762414336104813</v>
      </c>
      <c r="L13" s="40" t="n">
        <f aca="false">IF(L7=0,0,L12/L7)</f>
        <v>-0.00979365079365094</v>
      </c>
      <c r="M13" s="40" t="n">
        <f aca="false">IF(M7=0,0,M12/M7)</f>
        <v>0.044572716965574</v>
      </c>
      <c r="N13" s="40" t="n">
        <f aca="false">IF(N7=0,0,N12/N7)</f>
        <v>0.0898780234315948</v>
      </c>
      <c r="O13" s="40" t="n">
        <f aca="false">IF(O7=0,0,O12/O7)</f>
        <v>0.0898780234315948</v>
      </c>
      <c r="P13" s="40" t="n">
        <f aca="false">IF(P7=0,0,P12/P7)</f>
        <v>0.0898780234315948</v>
      </c>
      <c r="Q13" s="40" t="n">
        <f aca="false">IF(Q7=0,0,Q12/Q7)</f>
        <v>0.0898780234315948</v>
      </c>
      <c r="R13" s="40" t="n">
        <f aca="false">IF(R7=0,0,R12/R7)</f>
        <v>0.0898780234315948</v>
      </c>
      <c r="S13" s="40" t="n">
        <f aca="false">IF(S7=0,0,S12/S7)</f>
        <v>-0.0833311571940605</v>
      </c>
    </row>
    <row r="14" customFormat="false" ht="15" hidden="false" customHeight="false" outlineLevel="0" collapsed="false">
      <c r="A14" s="52" t="s">
        <v>78</v>
      </c>
      <c r="B14" s="36" t="n">
        <f aca="false">'P&amp;L'!B21</f>
        <v>-19714.2857142857</v>
      </c>
      <c r="C14" s="36" t="n">
        <f aca="false">'P&amp;L'!C21</f>
        <v>-20071.4285714286</v>
      </c>
      <c r="D14" s="36" t="n">
        <f aca="false">'P&amp;L'!D21</f>
        <v>-20428.5714285714</v>
      </c>
      <c r="H14" s="36" t="n">
        <f aca="false">INDEX(Monthly!$C$64:$AL$64,($R$2-1)*12+1)</f>
        <v>-1642.85714285714</v>
      </c>
      <c r="I14" s="36" t="n">
        <f aca="false">INDEX(Monthly!$C$64:$AL$64,($R$2-1)*12+2)</f>
        <v>-1642.85714285714</v>
      </c>
      <c r="J14" s="36" t="n">
        <f aca="false">INDEX(Monthly!$C$64:$AL$64,($R$2-1)*12+3)</f>
        <v>-1642.85714285714</v>
      </c>
      <c r="K14" s="36" t="n">
        <f aca="false">INDEX(Monthly!$C$64:$AL$64,($R$2-1)*12+4)</f>
        <v>-1642.85714285714</v>
      </c>
      <c r="L14" s="36" t="n">
        <f aca="false">INDEX(Monthly!$C$64:$AL$64,($R$2-1)*12+5)</f>
        <v>-1642.85714285714</v>
      </c>
      <c r="M14" s="36" t="n">
        <f aca="false">INDEX(Monthly!$C$64:$AL$64,($R$2-1)*12+6)</f>
        <v>-1642.85714285714</v>
      </c>
      <c r="N14" s="36" t="n">
        <f aca="false">INDEX(Monthly!$C$64:$AL$64,($R$2-1)*12+7)</f>
        <v>-1642.85714285714</v>
      </c>
      <c r="O14" s="36" t="n">
        <f aca="false">INDEX(Monthly!$C$64:$AL$64,($R$2-1)*12+8)</f>
        <v>-1642.85714285714</v>
      </c>
      <c r="P14" s="36" t="n">
        <f aca="false">INDEX(Monthly!$C$64:$AL$64,($R$2-1)*12+9)</f>
        <v>-1642.85714285714</v>
      </c>
      <c r="Q14" s="36" t="n">
        <f aca="false">INDEX(Monthly!$C$64:$AL$64,($R$2-1)*12+10)</f>
        <v>-1642.85714285714</v>
      </c>
      <c r="R14" s="36" t="n">
        <f aca="false">INDEX(Monthly!$C$64:$AL$64,($R$2-1)*12+11)</f>
        <v>-1642.85714285714</v>
      </c>
      <c r="S14" s="36" t="n">
        <f aca="false">INDEX(Monthly!$C$64:$AL$64,($R$2-1)*12+12)</f>
        <v>-1642.85714285714</v>
      </c>
    </row>
    <row r="15" customFormat="false" ht="15" hidden="false" customHeight="false" outlineLevel="0" collapsed="false">
      <c r="A15" s="37" t="s">
        <v>79</v>
      </c>
      <c r="B15" s="38" t="n">
        <f aca="false">'P&amp;L'!B22</f>
        <v>-27020.2497142857</v>
      </c>
      <c r="C15" s="38" t="n">
        <f aca="false">'P&amp;L'!C22</f>
        <v>4559.0623213714</v>
      </c>
      <c r="D15" s="38" t="n">
        <f aca="false">'P&amp;L'!D22</f>
        <v>11824.4389669601</v>
      </c>
      <c r="E15" s="37"/>
      <c r="F15" s="37"/>
      <c r="H15" s="38" t="n">
        <f aca="false">INDEX(Monthly!$C$49:$AL$49,($R$2-1)*12+1)</f>
        <v>-9429.66780952381</v>
      </c>
      <c r="I15" s="38" t="n">
        <f aca="false">INDEX(Monthly!$C$49:$AL$49,($R$2-1)*12+2)</f>
        <v>-8421.19180952381</v>
      </c>
      <c r="J15" s="38" t="n">
        <f aca="false">INDEX(Monthly!$C$49:$AL$49,($R$2-1)*12+3)</f>
        <v>-4640.26780952381</v>
      </c>
      <c r="K15" s="38" t="n">
        <f aca="false">INDEX(Monthly!$C$49:$AL$49,($R$2-1)*12+4)</f>
        <v>-3256.73580952381</v>
      </c>
      <c r="L15" s="38" t="n">
        <f aca="false">INDEX(Monthly!$C$49:$AL$49,($R$2-1)*12+5)</f>
        <v>-1873.20380952381</v>
      </c>
      <c r="M15" s="38" t="n">
        <f aca="false">INDEX(Monthly!$C$49:$AL$49,($R$2-1)*12+6)</f>
        <v>-489.671809523814</v>
      </c>
      <c r="N15" s="38" t="n">
        <f aca="false">INDEX(Monthly!$C$49:$AL$49,($R$2-1)*12+7)</f>
        <v>893.860190476187</v>
      </c>
      <c r="O15" s="38" t="n">
        <f aca="false">INDEX(Monthly!$C$49:$AL$49,($R$2-1)*12+8)</f>
        <v>893.860190476187</v>
      </c>
      <c r="P15" s="38" t="n">
        <f aca="false">INDEX(Monthly!$C$49:$AL$49,($R$2-1)*12+9)</f>
        <v>893.860190476187</v>
      </c>
      <c r="Q15" s="38" t="n">
        <f aca="false">INDEX(Monthly!$C$49:$AL$49,($R$2-1)*12+10)</f>
        <v>893.860190476187</v>
      </c>
      <c r="R15" s="38" t="n">
        <f aca="false">INDEX(Monthly!$C$49:$AL$49,($R$2-1)*12+11)</f>
        <v>893.860190476187</v>
      </c>
      <c r="S15" s="38" t="n">
        <f aca="false">INDEX(Monthly!$C$49:$AL$49,($R$2-1)*12+12)</f>
        <v>-3378.81180952381</v>
      </c>
    </row>
    <row r="16" customFormat="false" ht="15" hidden="false" customHeight="false" outlineLevel="0" collapsed="false">
      <c r="A16" s="52" t="s">
        <v>80</v>
      </c>
      <c r="B16" s="36" t="n">
        <f aca="false">'P&amp;L'!B23</f>
        <v>-7419.375</v>
      </c>
      <c r="C16" s="36" t="n">
        <f aca="false">'P&amp;L'!C23</f>
        <v>-5805</v>
      </c>
      <c r="D16" s="36" t="n">
        <f aca="false">'P&amp;L'!D23</f>
        <v>-4185</v>
      </c>
      <c r="H16" s="36" t="n">
        <f aca="false">INDEX(Monthly!$C$50:$AL$50,($R$2-1)*12+1)</f>
        <v>-675</v>
      </c>
      <c r="I16" s="36" t="n">
        <f aca="false">INDEX(Monthly!$C$50:$AL$50,($R$2-1)*12+2)</f>
        <v>-669.375</v>
      </c>
      <c r="J16" s="36" t="n">
        <f aca="false">INDEX(Monthly!$C$50:$AL$50,($R$2-1)*12+3)</f>
        <v>-658.125</v>
      </c>
      <c r="K16" s="36" t="n">
        <f aca="false">INDEX(Monthly!$C$50:$AL$50,($R$2-1)*12+4)</f>
        <v>-646.875</v>
      </c>
      <c r="L16" s="36" t="n">
        <f aca="false">INDEX(Monthly!$C$50:$AL$50,($R$2-1)*12+5)</f>
        <v>-635.625</v>
      </c>
      <c r="M16" s="36" t="n">
        <f aca="false">INDEX(Monthly!$C$50:$AL$50,($R$2-1)*12+6)</f>
        <v>-624.375</v>
      </c>
      <c r="N16" s="36" t="n">
        <f aca="false">INDEX(Monthly!$C$50:$AL$50,($R$2-1)*12+7)</f>
        <v>-613.125</v>
      </c>
      <c r="O16" s="36" t="n">
        <f aca="false">INDEX(Monthly!$C$50:$AL$50,($R$2-1)*12+8)</f>
        <v>-601.875</v>
      </c>
      <c r="P16" s="36" t="n">
        <f aca="false">INDEX(Monthly!$C$50:$AL$50,($R$2-1)*12+9)</f>
        <v>-590.625</v>
      </c>
      <c r="Q16" s="36" t="n">
        <f aca="false">INDEX(Monthly!$C$50:$AL$50,($R$2-1)*12+10)</f>
        <v>-579.375</v>
      </c>
      <c r="R16" s="36" t="n">
        <f aca="false">INDEX(Monthly!$C$50:$AL$50,($R$2-1)*12+11)</f>
        <v>-568.125</v>
      </c>
      <c r="S16" s="36" t="n">
        <f aca="false">INDEX(Monthly!$C$50:$AL$50,($R$2-1)*12+12)</f>
        <v>-556.875</v>
      </c>
    </row>
    <row r="17" customFormat="false" ht="15" hidden="false" customHeight="false" outlineLevel="0" collapsed="false">
      <c r="A17" s="52" t="s">
        <v>81</v>
      </c>
      <c r="B17" s="36" t="n">
        <f aca="false">'P&amp;L'!B24</f>
        <v>-34439.6247142858</v>
      </c>
      <c r="C17" s="36" t="n">
        <f aca="false">'P&amp;L'!C24</f>
        <v>-1245.9376786286</v>
      </c>
      <c r="D17" s="36" t="n">
        <f aca="false">'P&amp;L'!D24</f>
        <v>7639.43896696008</v>
      </c>
      <c r="H17" s="36" t="n">
        <f aca="false">INDEX(Monthly!$C$51:$AL$51,($R$2-1)*12+1)</f>
        <v>-10104.6678095238</v>
      </c>
      <c r="I17" s="36" t="n">
        <f aca="false">INDEX(Monthly!$C$51:$AL$51,($R$2-1)*12+2)</f>
        <v>-9090.56680952381</v>
      </c>
      <c r="J17" s="36" t="n">
        <f aca="false">INDEX(Monthly!$C$51:$AL$51,($R$2-1)*12+3)</f>
        <v>-5298.39280952381</v>
      </c>
      <c r="K17" s="36" t="n">
        <f aca="false">INDEX(Monthly!$C$51:$AL$51,($R$2-1)*12+4)</f>
        <v>-3903.61080952381</v>
      </c>
      <c r="L17" s="36" t="n">
        <f aca="false">INDEX(Monthly!$C$51:$AL$51,($R$2-1)*12+5)</f>
        <v>-2508.82880952381</v>
      </c>
      <c r="M17" s="36" t="n">
        <f aca="false">INDEX(Monthly!$C$51:$AL$51,($R$2-1)*12+6)</f>
        <v>-1114.04680952381</v>
      </c>
      <c r="N17" s="36" t="n">
        <f aca="false">INDEX(Monthly!$C$51:$AL$51,($R$2-1)*12+7)</f>
        <v>280.735190476187</v>
      </c>
      <c r="O17" s="36" t="n">
        <f aca="false">INDEX(Monthly!$C$51:$AL$51,($R$2-1)*12+8)</f>
        <v>291.985190476187</v>
      </c>
      <c r="P17" s="36" t="n">
        <f aca="false">INDEX(Monthly!$C$51:$AL$51,($R$2-1)*12+9)</f>
        <v>303.235190476187</v>
      </c>
      <c r="Q17" s="36" t="n">
        <f aca="false">INDEX(Monthly!$C$51:$AL$51,($R$2-1)*12+10)</f>
        <v>314.485190476187</v>
      </c>
      <c r="R17" s="36" t="n">
        <f aca="false">INDEX(Monthly!$C$51:$AL$51,($R$2-1)*12+11)</f>
        <v>325.735190476187</v>
      </c>
      <c r="S17" s="36" t="n">
        <f aca="false">INDEX(Monthly!$C$51:$AL$51,($R$2-1)*12+12)</f>
        <v>-3935.68680952381</v>
      </c>
    </row>
    <row r="18" customFormat="false" ht="15" hidden="false" customHeight="false" outlineLevel="0" collapsed="false">
      <c r="A18" s="52" t="s">
        <v>82</v>
      </c>
      <c r="B18" s="36" t="n">
        <f aca="false">'P&amp;L'!B25</f>
        <v>0</v>
      </c>
      <c r="C18" s="36" t="n">
        <f aca="false">'P&amp;L'!C25</f>
        <v>0</v>
      </c>
      <c r="D18" s="36" t="n">
        <f aca="false">'P&amp;L'!D25</f>
        <v>0</v>
      </c>
      <c r="H18" s="36" t="n">
        <f aca="false">INDEX(Monthly!$C$54:$AL$54,($R$2-1)*12+1)</f>
        <v>-0</v>
      </c>
      <c r="I18" s="36" t="n">
        <f aca="false">INDEX(Monthly!$C$54:$AL$54,($R$2-1)*12+2)</f>
        <v>-0</v>
      </c>
      <c r="J18" s="36" t="n">
        <f aca="false">INDEX(Monthly!$C$54:$AL$54,($R$2-1)*12+3)</f>
        <v>-0</v>
      </c>
      <c r="K18" s="36" t="n">
        <f aca="false">INDEX(Monthly!$C$54:$AL$54,($R$2-1)*12+4)</f>
        <v>-0</v>
      </c>
      <c r="L18" s="36" t="n">
        <f aca="false">INDEX(Monthly!$C$54:$AL$54,($R$2-1)*12+5)</f>
        <v>-0</v>
      </c>
      <c r="M18" s="36" t="n">
        <f aca="false">INDEX(Monthly!$C$54:$AL$54,($R$2-1)*12+6)</f>
        <v>-0</v>
      </c>
      <c r="N18" s="36" t="n">
        <f aca="false">INDEX(Monthly!$C$54:$AL$54,($R$2-1)*12+7)</f>
        <v>-0</v>
      </c>
      <c r="O18" s="36" t="n">
        <f aca="false">INDEX(Monthly!$C$54:$AL$54,($R$2-1)*12+8)</f>
        <v>-0</v>
      </c>
      <c r="P18" s="36" t="n">
        <f aca="false">INDEX(Monthly!$C$54:$AL$54,($R$2-1)*12+9)</f>
        <v>-0</v>
      </c>
      <c r="Q18" s="36" t="n">
        <f aca="false">INDEX(Monthly!$C$54:$AL$54,($R$2-1)*12+10)</f>
        <v>-0</v>
      </c>
      <c r="R18" s="36" t="n">
        <f aca="false">INDEX(Monthly!$C$54:$AL$54,($R$2-1)*12+11)</f>
        <v>-0</v>
      </c>
      <c r="S18" s="36" t="n">
        <f aca="false">INDEX(Monthly!$C$54:$AL$54,($R$2-1)*12+12)</f>
        <v>-0</v>
      </c>
    </row>
    <row r="19" customFormat="false" ht="15" hidden="false" customHeight="false" outlineLevel="0" collapsed="false">
      <c r="A19" s="41" t="s">
        <v>50</v>
      </c>
      <c r="B19" s="42" t="n">
        <f aca="false">'P&amp;L'!B26</f>
        <v>-34439.6247142858</v>
      </c>
      <c r="C19" s="42" t="n">
        <f aca="false">'P&amp;L'!C26</f>
        <v>-1245.9376786286</v>
      </c>
      <c r="D19" s="42" t="n">
        <f aca="false">'P&amp;L'!D26</f>
        <v>7639.43896696008</v>
      </c>
      <c r="E19" s="41"/>
      <c r="F19" s="41"/>
      <c r="H19" s="42" t="n">
        <f aca="false">INDEX(Monthly!$C$55:$AL$55,($R$2-1)*12+1)</f>
        <v>-10104.6678095238</v>
      </c>
      <c r="I19" s="42" t="n">
        <f aca="false">INDEX(Monthly!$C$55:$AL$55,($R$2-1)*12+2)</f>
        <v>-9090.56680952381</v>
      </c>
      <c r="J19" s="42" t="n">
        <f aca="false">INDEX(Monthly!$C$55:$AL$55,($R$2-1)*12+3)</f>
        <v>-5298.39280952381</v>
      </c>
      <c r="K19" s="42" t="n">
        <f aca="false">INDEX(Monthly!$C$55:$AL$55,($R$2-1)*12+4)</f>
        <v>-3903.61080952381</v>
      </c>
      <c r="L19" s="42" t="n">
        <f aca="false">INDEX(Monthly!$C$55:$AL$55,($R$2-1)*12+5)</f>
        <v>-2508.82880952381</v>
      </c>
      <c r="M19" s="42" t="n">
        <f aca="false">INDEX(Monthly!$C$55:$AL$55,($R$2-1)*12+6)</f>
        <v>-1114.04680952381</v>
      </c>
      <c r="N19" s="42" t="n">
        <f aca="false">INDEX(Monthly!$C$55:$AL$55,($R$2-1)*12+7)</f>
        <v>280.735190476187</v>
      </c>
      <c r="O19" s="42" t="n">
        <f aca="false">INDEX(Monthly!$C$55:$AL$55,($R$2-1)*12+8)</f>
        <v>291.985190476187</v>
      </c>
      <c r="P19" s="42" t="n">
        <f aca="false">INDEX(Monthly!$C$55:$AL$55,($R$2-1)*12+9)</f>
        <v>303.235190476187</v>
      </c>
      <c r="Q19" s="42" t="n">
        <f aca="false">INDEX(Monthly!$C$55:$AL$55,($R$2-1)*12+10)</f>
        <v>314.485190476187</v>
      </c>
      <c r="R19" s="42" t="n">
        <f aca="false">INDEX(Monthly!$C$55:$AL$55,($R$2-1)*12+11)</f>
        <v>325.735190476187</v>
      </c>
      <c r="S19" s="42" t="n">
        <f aca="false">INDEX(Monthly!$C$55:$AL$55,($R$2-1)*12+12)</f>
        <v>-3935.68680952381</v>
      </c>
    </row>
    <row r="20" customFormat="false" ht="15" hidden="false" customHeight="false" outlineLevel="0" collapsed="false">
      <c r="A20" s="39" t="s">
        <v>51</v>
      </c>
      <c r="B20" s="40" t="n">
        <f aca="false">'P&amp;L'!B27</f>
        <v>-0.125739787051603</v>
      </c>
      <c r="C20" s="40" t="n">
        <f aca="false">'P&amp;L'!C27</f>
        <v>-0.00369905631245655</v>
      </c>
      <c r="D20" s="40" t="n">
        <f aca="false">'P&amp;L'!D27</f>
        <v>0.02131174963212</v>
      </c>
      <c r="H20" s="40" t="n">
        <f aca="false">IF(H7=0,0,H19/H7)</f>
        <v>-0.970110196766879</v>
      </c>
      <c r="I20" s="40" t="n">
        <f aca="false">IF(I7=0,0,I19/I7)</f>
        <v>-0.748071659769898</v>
      </c>
      <c r="J20" s="40" t="n">
        <f aca="false">IF(J7=0,0,J19/J7)</f>
        <v>-0.281589753907516</v>
      </c>
      <c r="K20" s="40" t="n">
        <f aca="false">IF(K7=0,0,K19/K7)</f>
        <v>-0.184410941492999</v>
      </c>
      <c r="L20" s="40" t="n">
        <f aca="false">IF(L7=0,0,L19/L7)</f>
        <v>-0.106667891561387</v>
      </c>
      <c r="M20" s="40" t="n">
        <f aca="false">IF(M7=0,0,M19/M7)</f>
        <v>-0.0430599416173397</v>
      </c>
      <c r="N20" s="40" t="n">
        <f aca="false">IF(N7=0,0,N19/N7)</f>
        <v>0.00994668333603272</v>
      </c>
      <c r="O20" s="40" t="n">
        <f aca="false">IF(O7=0,0,O19/O7)</f>
        <v>0.0103452802748082</v>
      </c>
      <c r="P20" s="40" t="n">
        <f aca="false">IF(P7=0,0,P19/P7)</f>
        <v>0.0107438772135837</v>
      </c>
      <c r="Q20" s="40" t="n">
        <f aca="false">IF(Q7=0,0,Q19/Q7)</f>
        <v>0.0111424741523592</v>
      </c>
      <c r="R20" s="40" t="n">
        <f aca="false">IF(R7=0,0,R19/R7)</f>
        <v>0.0115410710911348</v>
      </c>
      <c r="S20" s="40" t="n">
        <f aca="false">IF(S7=0,0,S19/S7)</f>
        <v>-0.188925058060859</v>
      </c>
    </row>
    <row r="22" customFormat="false" ht="15.75" hidden="false" customHeight="true" outlineLevel="0" collapsed="false">
      <c r="A22" s="7" t="s">
        <v>83</v>
      </c>
      <c r="B22" s="7"/>
      <c r="C22" s="7"/>
      <c r="D22" s="7"/>
      <c r="E22" s="7"/>
      <c r="F22" s="7"/>
      <c r="H22" s="7" t="str">
        <f aca="false">"Cash flow ($'000) — Year "&amp;$R$2&amp;", by month"</f>
        <v>Cash flow ($'000) — Year 1, by month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</row>
    <row r="23" customFormat="false" ht="15" hidden="false" customHeight="false" outlineLevel="0" collapsed="false">
      <c r="A23" s="33"/>
      <c r="B23" s="34" t="n">
        <v>1</v>
      </c>
      <c r="C23" s="34" t="n">
        <v>2</v>
      </c>
      <c r="D23" s="34" t="n">
        <v>3</v>
      </c>
      <c r="E23" s="35"/>
      <c r="F23" s="35"/>
      <c r="H23" s="51" t="n">
        <f aca="false">INDEX(Monthly!$C$4:$AL$4,($R$2-1)*12+1)</f>
        <v>1</v>
      </c>
      <c r="I23" s="51" t="n">
        <f aca="false">INDEX(Monthly!$C$4:$AL$4,($R$2-1)*12+2)</f>
        <v>2</v>
      </c>
      <c r="J23" s="51" t="n">
        <f aca="false">INDEX(Monthly!$C$4:$AL$4,($R$2-1)*12+3)</f>
        <v>3</v>
      </c>
      <c r="K23" s="51" t="n">
        <f aca="false">INDEX(Monthly!$C$4:$AL$4,($R$2-1)*12+4)</f>
        <v>4</v>
      </c>
      <c r="L23" s="51" t="n">
        <f aca="false">INDEX(Monthly!$C$4:$AL$4,($R$2-1)*12+5)</f>
        <v>5</v>
      </c>
      <c r="M23" s="51" t="n">
        <f aca="false">INDEX(Monthly!$C$4:$AL$4,($R$2-1)*12+6)</f>
        <v>6</v>
      </c>
      <c r="N23" s="51" t="n">
        <f aca="false">INDEX(Monthly!$C$4:$AL$4,($R$2-1)*12+7)</f>
        <v>7</v>
      </c>
      <c r="O23" s="51" t="n">
        <f aca="false">INDEX(Monthly!$C$4:$AL$4,($R$2-1)*12+8)</f>
        <v>8</v>
      </c>
      <c r="P23" s="51" t="n">
        <f aca="false">INDEX(Monthly!$C$4:$AL$4,($R$2-1)*12+9)</f>
        <v>9</v>
      </c>
      <c r="Q23" s="51" t="n">
        <f aca="false">INDEX(Monthly!$C$4:$AL$4,($R$2-1)*12+10)</f>
        <v>10</v>
      </c>
      <c r="R23" s="51" t="n">
        <f aca="false">INDEX(Monthly!$C$4:$AL$4,($R$2-1)*12+11)</f>
        <v>11</v>
      </c>
      <c r="S23" s="51" t="n">
        <f aca="false">INDEX(Monthly!$C$4:$AL$4,($R$2-1)*12+12)</f>
        <v>12</v>
      </c>
    </row>
    <row r="24" customFormat="false" ht="15" hidden="false" customHeight="false" outlineLevel="0" collapsed="false">
      <c r="A24" s="37" t="s">
        <v>52</v>
      </c>
      <c r="B24" s="38" t="n">
        <f aca="false">'Cash Flow'!B10</f>
        <v>-15659.7006</v>
      </c>
      <c r="C24" s="38" t="n">
        <f aca="false">'Cash Flow'!C10</f>
        <v>18765.73393536</v>
      </c>
      <c r="D24" s="38" t="n">
        <f aca="false">'Cash Flow'!D10</f>
        <v>28004.3816109994</v>
      </c>
      <c r="E24" s="37"/>
      <c r="F24" s="37"/>
      <c r="H24" s="38" t="n">
        <f aca="false">INDEX(Monthly!$C$83:$AL$83,($R$2-1)*12+1)</f>
        <v>-8928.99146666667</v>
      </c>
      <c r="I24" s="38" t="n">
        <f aca="false">INDEX(Monthly!$C$83:$AL$83,($R$2-1)*12+2)</f>
        <v>-7525.57313333333</v>
      </c>
      <c r="J24" s="38" t="n">
        <f aca="false">INDEX(Monthly!$C$83:$AL$83,($R$2-1)*12+3)</f>
        <v>-3969.1922</v>
      </c>
      <c r="K24" s="38" t="n">
        <f aca="false">INDEX(Monthly!$C$83:$AL$83,($R$2-1)*12+4)</f>
        <v>-2368.09126666667</v>
      </c>
      <c r="L24" s="38" t="n">
        <f aca="false">INDEX(Monthly!$C$83:$AL$83,($R$2-1)*12+5)</f>
        <v>-973.30926666667</v>
      </c>
      <c r="M24" s="38" t="n">
        <f aca="false">INDEX(Monthly!$C$83:$AL$83,($R$2-1)*12+6)</f>
        <v>421.472733333329</v>
      </c>
      <c r="N24" s="38" t="n">
        <f aca="false">INDEX(Monthly!$C$83:$AL$83,($R$2-1)*12+7)</f>
        <v>1816.25473333333</v>
      </c>
      <c r="O24" s="38" t="n">
        <f aca="false">INDEX(Monthly!$C$83:$AL$83,($R$2-1)*12+8)</f>
        <v>1934.84233333333</v>
      </c>
      <c r="P24" s="38" t="n">
        <f aca="false">INDEX(Monthly!$C$83:$AL$83,($R$2-1)*12+9)</f>
        <v>1946.09233333333</v>
      </c>
      <c r="Q24" s="38" t="n">
        <f aca="false">INDEX(Monthly!$C$83:$AL$83,($R$2-1)*12+10)</f>
        <v>1957.34233333333</v>
      </c>
      <c r="R24" s="38" t="n">
        <f aca="false">INDEX(Monthly!$C$83:$AL$83,($R$2-1)*12+11)</f>
        <v>1968.59233333333</v>
      </c>
      <c r="S24" s="38" t="n">
        <f aca="false">INDEX(Monthly!$C$83:$AL$83,($R$2-1)*12+12)</f>
        <v>-1939.14006666667</v>
      </c>
    </row>
    <row r="25" customFormat="false" ht="15" hidden="false" customHeight="false" outlineLevel="0" collapsed="false">
      <c r="A25" s="52" t="s">
        <v>84</v>
      </c>
      <c r="B25" s="36" t="n">
        <f aca="false">'Cash Flow'!B11</f>
        <v>-138000</v>
      </c>
      <c r="C25" s="36" t="n">
        <f aca="false">'Cash Flow'!C11</f>
        <v>-2500</v>
      </c>
      <c r="D25" s="36" t="n">
        <f aca="false">'Cash Flow'!D11</f>
        <v>-2500</v>
      </c>
      <c r="H25" s="36" t="n">
        <f aca="false">INDEX(Monthly!$C$84:$AL$84,($R$2-1)*12+1)</f>
        <v>-138000</v>
      </c>
      <c r="I25" s="36" t="n">
        <f aca="false">INDEX(Monthly!$C$84:$AL$84,($R$2-1)*12+2)</f>
        <v>-0</v>
      </c>
      <c r="J25" s="36" t="n">
        <f aca="false">INDEX(Monthly!$C$84:$AL$84,($R$2-1)*12+3)</f>
        <v>-0</v>
      </c>
      <c r="K25" s="36" t="n">
        <f aca="false">INDEX(Monthly!$C$84:$AL$84,($R$2-1)*12+4)</f>
        <v>-0</v>
      </c>
      <c r="L25" s="36" t="n">
        <f aca="false">INDEX(Monthly!$C$84:$AL$84,($R$2-1)*12+5)</f>
        <v>-0</v>
      </c>
      <c r="M25" s="36" t="n">
        <f aca="false">INDEX(Monthly!$C$84:$AL$84,($R$2-1)*12+6)</f>
        <v>-0</v>
      </c>
      <c r="N25" s="36" t="n">
        <f aca="false">INDEX(Monthly!$C$84:$AL$84,($R$2-1)*12+7)</f>
        <v>-0</v>
      </c>
      <c r="O25" s="36" t="n">
        <f aca="false">INDEX(Monthly!$C$84:$AL$84,($R$2-1)*12+8)</f>
        <v>-0</v>
      </c>
      <c r="P25" s="36" t="n">
        <f aca="false">INDEX(Monthly!$C$84:$AL$84,($R$2-1)*12+9)</f>
        <v>-0</v>
      </c>
      <c r="Q25" s="36" t="n">
        <f aca="false">INDEX(Monthly!$C$84:$AL$84,($R$2-1)*12+10)</f>
        <v>-0</v>
      </c>
      <c r="R25" s="36" t="n">
        <f aca="false">INDEX(Monthly!$C$84:$AL$84,($R$2-1)*12+11)</f>
        <v>-0</v>
      </c>
      <c r="S25" s="36" t="n">
        <f aca="false">INDEX(Monthly!$C$84:$AL$84,($R$2-1)*12+12)</f>
        <v>-0</v>
      </c>
    </row>
    <row r="26" customFormat="false" ht="15" hidden="false" customHeight="false" outlineLevel="0" collapsed="false">
      <c r="A26" s="52" t="s">
        <v>64</v>
      </c>
      <c r="B26" s="36" t="n">
        <f aca="false">'Cash Flow'!B12</f>
        <v>100000</v>
      </c>
      <c r="C26" s="36" t="n">
        <f aca="false">'Cash Flow'!C12</f>
        <v>0</v>
      </c>
      <c r="D26" s="36" t="n">
        <f aca="false">'Cash Flow'!D12</f>
        <v>0</v>
      </c>
      <c r="H26" s="36" t="n">
        <f aca="false">INDEX(Monthly!$C$85:$AL$85,($R$2-1)*12+1)</f>
        <v>100000</v>
      </c>
      <c r="I26" s="36" t="n">
        <f aca="false">INDEX(Monthly!$C$85:$AL$85,($R$2-1)*12+2)</f>
        <v>0</v>
      </c>
      <c r="J26" s="36" t="n">
        <f aca="false">INDEX(Monthly!$C$85:$AL$85,($R$2-1)*12+3)</f>
        <v>0</v>
      </c>
      <c r="K26" s="36" t="n">
        <f aca="false">INDEX(Monthly!$C$85:$AL$85,($R$2-1)*12+4)</f>
        <v>0</v>
      </c>
      <c r="L26" s="36" t="n">
        <f aca="false">INDEX(Monthly!$C$85:$AL$85,($R$2-1)*12+5)</f>
        <v>0</v>
      </c>
      <c r="M26" s="36" t="n">
        <f aca="false">INDEX(Monthly!$C$85:$AL$85,($R$2-1)*12+6)</f>
        <v>0</v>
      </c>
      <c r="N26" s="36" t="n">
        <f aca="false">INDEX(Monthly!$C$85:$AL$85,($R$2-1)*12+7)</f>
        <v>0</v>
      </c>
      <c r="O26" s="36" t="n">
        <f aca="false">INDEX(Monthly!$C$85:$AL$85,($R$2-1)*12+8)</f>
        <v>0</v>
      </c>
      <c r="P26" s="36" t="n">
        <f aca="false">INDEX(Monthly!$C$85:$AL$85,($R$2-1)*12+9)</f>
        <v>0</v>
      </c>
      <c r="Q26" s="36" t="n">
        <f aca="false">INDEX(Monthly!$C$85:$AL$85,($R$2-1)*12+10)</f>
        <v>0</v>
      </c>
      <c r="R26" s="36" t="n">
        <f aca="false">INDEX(Monthly!$C$85:$AL$85,($R$2-1)*12+11)</f>
        <v>0</v>
      </c>
      <c r="S26" s="36" t="n">
        <f aca="false">INDEX(Monthly!$C$85:$AL$85,($R$2-1)*12+12)</f>
        <v>0</v>
      </c>
    </row>
    <row r="27" customFormat="false" ht="15" hidden="false" customHeight="false" outlineLevel="0" collapsed="false">
      <c r="A27" s="52" t="s">
        <v>85</v>
      </c>
      <c r="B27" s="36" t="n">
        <f aca="false">'Cash Flow'!B13</f>
        <v>90000</v>
      </c>
      <c r="C27" s="36" t="n">
        <f aca="false">'Cash Flow'!C13</f>
        <v>0</v>
      </c>
      <c r="D27" s="36" t="n">
        <f aca="false">'Cash Flow'!D13</f>
        <v>0</v>
      </c>
      <c r="H27" s="36" t="n">
        <f aca="false">INDEX(Monthly!$C$70:$AL$70,($R$2-1)*12+1)</f>
        <v>90000</v>
      </c>
      <c r="I27" s="36" t="n">
        <f aca="false">INDEX(Monthly!$C$70:$AL$70,($R$2-1)*12+2)</f>
        <v>0</v>
      </c>
      <c r="J27" s="36" t="n">
        <f aca="false">INDEX(Monthly!$C$70:$AL$70,($R$2-1)*12+3)</f>
        <v>0</v>
      </c>
      <c r="K27" s="36" t="n">
        <f aca="false">INDEX(Monthly!$C$70:$AL$70,($R$2-1)*12+4)</f>
        <v>0</v>
      </c>
      <c r="L27" s="36" t="n">
        <f aca="false">INDEX(Monthly!$C$70:$AL$70,($R$2-1)*12+5)</f>
        <v>0</v>
      </c>
      <c r="M27" s="36" t="n">
        <f aca="false">INDEX(Monthly!$C$70:$AL$70,($R$2-1)*12+6)</f>
        <v>0</v>
      </c>
      <c r="N27" s="36" t="n">
        <f aca="false">INDEX(Monthly!$C$70:$AL$70,($R$2-1)*12+7)</f>
        <v>0</v>
      </c>
      <c r="O27" s="36" t="n">
        <f aca="false">INDEX(Monthly!$C$70:$AL$70,($R$2-1)*12+8)</f>
        <v>0</v>
      </c>
      <c r="P27" s="36" t="n">
        <f aca="false">INDEX(Monthly!$C$70:$AL$70,($R$2-1)*12+9)</f>
        <v>0</v>
      </c>
      <c r="Q27" s="36" t="n">
        <f aca="false">INDEX(Monthly!$C$70:$AL$70,($R$2-1)*12+10)</f>
        <v>0</v>
      </c>
      <c r="R27" s="36" t="n">
        <f aca="false">INDEX(Monthly!$C$70:$AL$70,($R$2-1)*12+11)</f>
        <v>0</v>
      </c>
      <c r="S27" s="36" t="n">
        <f aca="false">INDEX(Monthly!$C$70:$AL$70,($R$2-1)*12+12)</f>
        <v>0</v>
      </c>
    </row>
    <row r="28" customFormat="false" ht="15" hidden="false" customHeight="false" outlineLevel="0" collapsed="false">
      <c r="A28" s="52" t="s">
        <v>86</v>
      </c>
      <c r="B28" s="36" t="n">
        <f aca="false">'Cash Flow'!B14</f>
        <v>-16500</v>
      </c>
      <c r="C28" s="36" t="n">
        <f aca="false">'Cash Flow'!C14</f>
        <v>-18000</v>
      </c>
      <c r="D28" s="36" t="n">
        <f aca="false">'Cash Flow'!D14</f>
        <v>-18000</v>
      </c>
      <c r="H28" s="36" t="n">
        <f aca="false">INDEX(Monthly!$C$71:$AL$71,($R$2-1)*12+1)</f>
        <v>-0</v>
      </c>
      <c r="I28" s="36" t="n">
        <f aca="false">INDEX(Monthly!$C$71:$AL$71,($R$2-1)*12+2)</f>
        <v>-1500</v>
      </c>
      <c r="J28" s="36" t="n">
        <f aca="false">INDEX(Monthly!$C$71:$AL$71,($R$2-1)*12+3)</f>
        <v>-1500</v>
      </c>
      <c r="K28" s="36" t="n">
        <f aca="false">INDEX(Monthly!$C$71:$AL$71,($R$2-1)*12+4)</f>
        <v>-1500</v>
      </c>
      <c r="L28" s="36" t="n">
        <f aca="false">INDEX(Monthly!$C$71:$AL$71,($R$2-1)*12+5)</f>
        <v>-1500</v>
      </c>
      <c r="M28" s="36" t="n">
        <f aca="false">INDEX(Monthly!$C$71:$AL$71,($R$2-1)*12+6)</f>
        <v>-1500</v>
      </c>
      <c r="N28" s="36" t="n">
        <f aca="false">INDEX(Monthly!$C$71:$AL$71,($R$2-1)*12+7)</f>
        <v>-1500</v>
      </c>
      <c r="O28" s="36" t="n">
        <f aca="false">INDEX(Monthly!$C$71:$AL$71,($R$2-1)*12+8)</f>
        <v>-1500</v>
      </c>
      <c r="P28" s="36" t="n">
        <f aca="false">INDEX(Monthly!$C$71:$AL$71,($R$2-1)*12+9)</f>
        <v>-1500</v>
      </c>
      <c r="Q28" s="36" t="n">
        <f aca="false">INDEX(Monthly!$C$71:$AL$71,($R$2-1)*12+10)</f>
        <v>-1500</v>
      </c>
      <c r="R28" s="36" t="n">
        <f aca="false">INDEX(Monthly!$C$71:$AL$71,($R$2-1)*12+11)</f>
        <v>-1500</v>
      </c>
      <c r="S28" s="36" t="n">
        <f aca="false">INDEX(Monthly!$C$71:$AL$71,($R$2-1)*12+12)</f>
        <v>-1500</v>
      </c>
    </row>
    <row r="29" customFormat="false" ht="15" hidden="false" customHeight="false" outlineLevel="0" collapsed="false">
      <c r="A29" s="37" t="s">
        <v>54</v>
      </c>
      <c r="B29" s="38" t="n">
        <f aca="false">'Cash Flow'!B15</f>
        <v>173500</v>
      </c>
      <c r="C29" s="38" t="n">
        <f aca="false">'Cash Flow'!C15</f>
        <v>-18000</v>
      </c>
      <c r="D29" s="38" t="n">
        <f aca="false">'Cash Flow'!D15</f>
        <v>-18000</v>
      </c>
      <c r="E29" s="37"/>
      <c r="F29" s="37"/>
      <c r="H29" s="38" t="n">
        <f aca="false">INDEX(Monthly!$C$86:$AL$86,($R$2-1)*12+1)</f>
        <v>190000</v>
      </c>
      <c r="I29" s="38" t="n">
        <f aca="false">INDEX(Monthly!$C$86:$AL$86,($R$2-1)*12+2)</f>
        <v>-1500</v>
      </c>
      <c r="J29" s="38" t="n">
        <f aca="false">INDEX(Monthly!$C$86:$AL$86,($R$2-1)*12+3)</f>
        <v>-1500</v>
      </c>
      <c r="K29" s="38" t="n">
        <f aca="false">INDEX(Monthly!$C$86:$AL$86,($R$2-1)*12+4)</f>
        <v>-1500</v>
      </c>
      <c r="L29" s="38" t="n">
        <f aca="false">INDEX(Monthly!$C$86:$AL$86,($R$2-1)*12+5)</f>
        <v>-1500</v>
      </c>
      <c r="M29" s="38" t="n">
        <f aca="false">INDEX(Monthly!$C$86:$AL$86,($R$2-1)*12+6)</f>
        <v>-1500</v>
      </c>
      <c r="N29" s="38" t="n">
        <f aca="false">INDEX(Monthly!$C$86:$AL$86,($R$2-1)*12+7)</f>
        <v>-1500</v>
      </c>
      <c r="O29" s="38" t="n">
        <f aca="false">INDEX(Monthly!$C$86:$AL$86,($R$2-1)*12+8)</f>
        <v>-1500</v>
      </c>
      <c r="P29" s="38" t="n">
        <f aca="false">INDEX(Monthly!$C$86:$AL$86,($R$2-1)*12+9)</f>
        <v>-1500</v>
      </c>
      <c r="Q29" s="38" t="n">
        <f aca="false">INDEX(Monthly!$C$86:$AL$86,($R$2-1)*12+10)</f>
        <v>-1500</v>
      </c>
      <c r="R29" s="38" t="n">
        <f aca="false">INDEX(Monthly!$C$86:$AL$86,($R$2-1)*12+11)</f>
        <v>-1500</v>
      </c>
      <c r="S29" s="38" t="n">
        <f aca="false">INDEX(Monthly!$C$86:$AL$86,($R$2-1)*12+12)</f>
        <v>-1500</v>
      </c>
    </row>
    <row r="30" customFormat="false" ht="15" hidden="false" customHeight="false" outlineLevel="0" collapsed="false">
      <c r="A30" s="37" t="s">
        <v>55</v>
      </c>
      <c r="B30" s="38" t="n">
        <f aca="false">'Cash Flow'!B16</f>
        <v>19840.2994</v>
      </c>
      <c r="C30" s="38" t="n">
        <f aca="false">'Cash Flow'!C16</f>
        <v>-1734.26606464003</v>
      </c>
      <c r="D30" s="38" t="n">
        <f aca="false">'Cash Flow'!D16</f>
        <v>7504.38161099941</v>
      </c>
      <c r="E30" s="37"/>
      <c r="F30" s="37"/>
      <c r="H30" s="38" t="n">
        <f aca="false">INDEX(Monthly!$C$87:$AL$87,($R$2-1)*12+1)</f>
        <v>43071.0085333333</v>
      </c>
      <c r="I30" s="38" t="n">
        <f aca="false">INDEX(Monthly!$C$87:$AL$87,($R$2-1)*12+2)</f>
        <v>-9025.57313333333</v>
      </c>
      <c r="J30" s="38" t="n">
        <f aca="false">INDEX(Monthly!$C$87:$AL$87,($R$2-1)*12+3)</f>
        <v>-5469.1922</v>
      </c>
      <c r="K30" s="38" t="n">
        <f aca="false">INDEX(Monthly!$C$87:$AL$87,($R$2-1)*12+4)</f>
        <v>-3868.09126666667</v>
      </c>
      <c r="L30" s="38" t="n">
        <f aca="false">INDEX(Monthly!$C$87:$AL$87,($R$2-1)*12+5)</f>
        <v>-2473.30926666667</v>
      </c>
      <c r="M30" s="38" t="n">
        <f aca="false">INDEX(Monthly!$C$87:$AL$87,($R$2-1)*12+6)</f>
        <v>-1078.52726666667</v>
      </c>
      <c r="N30" s="38" t="n">
        <f aca="false">INDEX(Monthly!$C$87:$AL$87,($R$2-1)*12+7)</f>
        <v>316.25473333333</v>
      </c>
      <c r="O30" s="38" t="n">
        <f aca="false">INDEX(Monthly!$C$87:$AL$87,($R$2-1)*12+8)</f>
        <v>434.84233333333</v>
      </c>
      <c r="P30" s="38" t="n">
        <f aca="false">INDEX(Monthly!$C$87:$AL$87,($R$2-1)*12+9)</f>
        <v>446.09233333333</v>
      </c>
      <c r="Q30" s="38" t="n">
        <f aca="false">INDEX(Monthly!$C$87:$AL$87,($R$2-1)*12+10)</f>
        <v>457.34233333333</v>
      </c>
      <c r="R30" s="38" t="n">
        <f aca="false">INDEX(Monthly!$C$87:$AL$87,($R$2-1)*12+11)</f>
        <v>468.59233333333</v>
      </c>
      <c r="S30" s="38" t="n">
        <f aca="false">INDEX(Monthly!$C$87:$AL$87,($R$2-1)*12+12)</f>
        <v>-3439.14006666667</v>
      </c>
    </row>
    <row r="31" customFormat="false" ht="15" hidden="false" customHeight="false" outlineLevel="0" collapsed="false">
      <c r="A31" s="41" t="s">
        <v>87</v>
      </c>
      <c r="B31" s="42" t="n">
        <f aca="false">'Cash Flow'!B18</f>
        <v>19840.2994</v>
      </c>
      <c r="C31" s="42" t="n">
        <f aca="false">'Cash Flow'!C18</f>
        <v>18106.0333353599</v>
      </c>
      <c r="D31" s="42" t="n">
        <f aca="false">'Cash Flow'!D18</f>
        <v>25610.4149463593</v>
      </c>
      <c r="E31" s="41"/>
      <c r="F31" s="41"/>
      <c r="H31" s="42" t="n">
        <f aca="false">INDEX(Monthly!$C$89:$AL$89,($R$2-1)*12+1)</f>
        <v>43071.0085333333</v>
      </c>
      <c r="I31" s="42" t="n">
        <f aca="false">INDEX(Monthly!$C$89:$AL$89,($R$2-1)*12+2)</f>
        <v>34045.4354</v>
      </c>
      <c r="J31" s="42" t="n">
        <f aca="false">INDEX(Monthly!$C$89:$AL$89,($R$2-1)*12+3)</f>
        <v>28576.2432</v>
      </c>
      <c r="K31" s="42" t="n">
        <f aca="false">INDEX(Monthly!$C$89:$AL$89,($R$2-1)*12+4)</f>
        <v>24708.1519333333</v>
      </c>
      <c r="L31" s="42" t="n">
        <f aca="false">INDEX(Monthly!$C$89:$AL$89,($R$2-1)*12+5)</f>
        <v>22234.8426666667</v>
      </c>
      <c r="M31" s="42" t="n">
        <f aca="false">INDEX(Monthly!$C$89:$AL$89,($R$2-1)*12+6)</f>
        <v>21156.3154</v>
      </c>
      <c r="N31" s="42" t="n">
        <f aca="false">INDEX(Monthly!$C$89:$AL$89,($R$2-1)*12+7)</f>
        <v>21472.5701333333</v>
      </c>
      <c r="O31" s="42" t="n">
        <f aca="false">INDEX(Monthly!$C$89:$AL$89,($R$2-1)*12+8)</f>
        <v>21907.4124666667</v>
      </c>
      <c r="P31" s="42" t="n">
        <f aca="false">INDEX(Monthly!$C$89:$AL$89,($R$2-1)*12+9)</f>
        <v>22353.5048</v>
      </c>
      <c r="Q31" s="42" t="n">
        <f aca="false">INDEX(Monthly!$C$89:$AL$89,($R$2-1)*12+10)</f>
        <v>22810.8471333333</v>
      </c>
      <c r="R31" s="42" t="n">
        <f aca="false">INDEX(Monthly!$C$89:$AL$89,($R$2-1)*12+11)</f>
        <v>23279.4394666666</v>
      </c>
      <c r="S31" s="42" t="n">
        <f aca="false">INDEX(Monthly!$C$89:$AL$89,($R$2-1)*12+12)</f>
        <v>19840.2994</v>
      </c>
    </row>
    <row r="39" customFormat="false" ht="15.75" hidden="false" customHeight="true" outlineLevel="0" collapsed="false">
      <c r="A39" s="7" t="s">
        <v>88</v>
      </c>
      <c r="B39" s="7"/>
      <c r="C39" s="7"/>
      <c r="D39" s="7"/>
      <c r="E39" s="7"/>
      <c r="F39" s="7"/>
      <c r="H39" s="7" t="str">
        <f aca="false">"Balance sheet at month end ($'000) — Year "&amp;$R$2</f>
        <v>Balance sheet at month end ($'000) — Year 1</v>
      </c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</row>
    <row r="40" customFormat="false" ht="15" hidden="false" customHeight="false" outlineLevel="0" collapsed="false">
      <c r="A40" s="33"/>
      <c r="B40" s="34" t="n">
        <v>1</v>
      </c>
      <c r="C40" s="34" t="n">
        <v>2</v>
      </c>
      <c r="D40" s="34" t="n">
        <v>3</v>
      </c>
      <c r="E40" s="35"/>
      <c r="F40" s="35"/>
      <c r="H40" s="51" t="n">
        <f aca="false">INDEX(Monthly!$C$4:$AL$4,($R$2-1)*12+1)</f>
        <v>1</v>
      </c>
      <c r="I40" s="51" t="n">
        <f aca="false">INDEX(Monthly!$C$4:$AL$4,($R$2-1)*12+2)</f>
        <v>2</v>
      </c>
      <c r="J40" s="51" t="n">
        <f aca="false">INDEX(Monthly!$C$4:$AL$4,($R$2-1)*12+3)</f>
        <v>3</v>
      </c>
      <c r="K40" s="51" t="n">
        <f aca="false">INDEX(Monthly!$C$4:$AL$4,($R$2-1)*12+4)</f>
        <v>4</v>
      </c>
      <c r="L40" s="51" t="n">
        <f aca="false">INDEX(Monthly!$C$4:$AL$4,($R$2-1)*12+5)</f>
        <v>5</v>
      </c>
      <c r="M40" s="51" t="n">
        <f aca="false">INDEX(Monthly!$C$4:$AL$4,($R$2-1)*12+6)</f>
        <v>6</v>
      </c>
      <c r="N40" s="51" t="n">
        <f aca="false">INDEX(Monthly!$C$4:$AL$4,($R$2-1)*12+7)</f>
        <v>7</v>
      </c>
      <c r="O40" s="51" t="n">
        <f aca="false">INDEX(Monthly!$C$4:$AL$4,($R$2-1)*12+8)</f>
        <v>8</v>
      </c>
      <c r="P40" s="51" t="n">
        <f aca="false">INDEX(Monthly!$C$4:$AL$4,($R$2-1)*12+9)</f>
        <v>9</v>
      </c>
      <c r="Q40" s="51" t="n">
        <f aca="false">INDEX(Monthly!$C$4:$AL$4,($R$2-1)*12+10)</f>
        <v>10</v>
      </c>
      <c r="R40" s="51" t="n">
        <f aca="false">INDEX(Monthly!$C$4:$AL$4,($R$2-1)*12+11)</f>
        <v>11</v>
      </c>
      <c r="S40" s="51" t="n">
        <f aca="false">INDEX(Monthly!$C$4:$AL$4,($R$2-1)*12+12)</f>
        <v>12</v>
      </c>
    </row>
    <row r="41" customFormat="false" ht="15" hidden="false" customHeight="false" outlineLevel="0" collapsed="false">
      <c r="A41" s="52" t="s">
        <v>89</v>
      </c>
      <c r="B41" s="36" t="n">
        <f aca="false">'Balance Sheet'!B5</f>
        <v>19840.2994</v>
      </c>
      <c r="C41" s="36" t="n">
        <f aca="false">'Balance Sheet'!C5</f>
        <v>18106.0333353599</v>
      </c>
      <c r="D41" s="36" t="n">
        <f aca="false">'Balance Sheet'!D5</f>
        <v>25610.4149463593</v>
      </c>
      <c r="H41" s="36" t="n">
        <f aca="false">INDEX(Monthly!$C$89:$AL$89,($R$2-1)*12+1)</f>
        <v>43071.0085333333</v>
      </c>
      <c r="I41" s="36" t="n">
        <f aca="false">INDEX(Monthly!$C$89:$AL$89,($R$2-1)*12+2)</f>
        <v>34045.4354</v>
      </c>
      <c r="J41" s="36" t="n">
        <f aca="false">INDEX(Monthly!$C$89:$AL$89,($R$2-1)*12+3)</f>
        <v>28576.2432</v>
      </c>
      <c r="K41" s="36" t="n">
        <f aca="false">INDEX(Monthly!$C$89:$AL$89,($R$2-1)*12+4)</f>
        <v>24708.1519333333</v>
      </c>
      <c r="L41" s="36" t="n">
        <f aca="false">INDEX(Monthly!$C$89:$AL$89,($R$2-1)*12+5)</f>
        <v>22234.8426666667</v>
      </c>
      <c r="M41" s="36" t="n">
        <f aca="false">INDEX(Monthly!$C$89:$AL$89,($R$2-1)*12+6)</f>
        <v>21156.3154</v>
      </c>
      <c r="N41" s="36" t="n">
        <f aca="false">INDEX(Monthly!$C$89:$AL$89,($R$2-1)*12+7)</f>
        <v>21472.5701333333</v>
      </c>
      <c r="O41" s="36" t="n">
        <f aca="false">INDEX(Monthly!$C$89:$AL$89,($R$2-1)*12+8)</f>
        <v>21907.4124666667</v>
      </c>
      <c r="P41" s="36" t="n">
        <f aca="false">INDEX(Monthly!$C$89:$AL$89,($R$2-1)*12+9)</f>
        <v>22353.5048</v>
      </c>
      <c r="Q41" s="36" t="n">
        <f aca="false">INDEX(Monthly!$C$89:$AL$89,($R$2-1)*12+10)</f>
        <v>22810.8471333333</v>
      </c>
      <c r="R41" s="36" t="n">
        <f aca="false">INDEX(Monthly!$C$89:$AL$89,($R$2-1)*12+11)</f>
        <v>23279.4394666666</v>
      </c>
      <c r="S41" s="36" t="n">
        <f aca="false">INDEX(Monthly!$C$89:$AL$89,($R$2-1)*12+12)</f>
        <v>19840.2994</v>
      </c>
    </row>
    <row r="42" customFormat="false" ht="15" hidden="false" customHeight="false" outlineLevel="0" collapsed="false">
      <c r="A42" s="52" t="s">
        <v>90</v>
      </c>
      <c r="B42" s="36" t="n">
        <f aca="false">'Balance Sheet'!B6</f>
        <v>2083.2</v>
      </c>
      <c r="C42" s="36" t="n">
        <f aca="false">'Balance Sheet'!C6</f>
        <v>2218.71888</v>
      </c>
      <c r="D42" s="36" t="n">
        <f aca="false">'Balance Sheet'!D6</f>
        <v>2363.195997792</v>
      </c>
      <c r="H42" s="36" t="n">
        <f aca="false">INDEX(Monthly!$C$75:$AL$75,($R$2-1)*12+1)</f>
        <v>1041.6</v>
      </c>
      <c r="I42" s="36" t="n">
        <f aca="false">INDEX(Monthly!$C$75:$AL$75,($R$2-1)*12+2)</f>
        <v>1215.2</v>
      </c>
      <c r="J42" s="36" t="n">
        <f aca="false">INDEX(Monthly!$C$75:$AL$75,($R$2-1)*12+3)</f>
        <v>1881.6</v>
      </c>
      <c r="K42" s="36" t="n">
        <f aca="false">INDEX(Monthly!$C$75:$AL$75,($R$2-1)*12+4)</f>
        <v>2116.8</v>
      </c>
      <c r="L42" s="36" t="n">
        <f aca="false">INDEX(Monthly!$C$75:$AL$75,($R$2-1)*12+5)</f>
        <v>2352</v>
      </c>
      <c r="M42" s="36" t="n">
        <f aca="false">INDEX(Monthly!$C$75:$AL$75,($R$2-1)*12+6)</f>
        <v>2587.2</v>
      </c>
      <c r="N42" s="36" t="n">
        <f aca="false">INDEX(Monthly!$C$75:$AL$75,($R$2-1)*12+7)</f>
        <v>2822.4</v>
      </c>
      <c r="O42" s="36" t="n">
        <f aca="false">INDEX(Monthly!$C$75:$AL$75,($R$2-1)*12+8)</f>
        <v>2822.4</v>
      </c>
      <c r="P42" s="36" t="n">
        <f aca="false">INDEX(Monthly!$C$75:$AL$75,($R$2-1)*12+9)</f>
        <v>2822.4</v>
      </c>
      <c r="Q42" s="36" t="n">
        <f aca="false">INDEX(Monthly!$C$75:$AL$75,($R$2-1)*12+10)</f>
        <v>2822.4</v>
      </c>
      <c r="R42" s="36" t="n">
        <f aca="false">INDEX(Monthly!$C$75:$AL$75,($R$2-1)*12+11)</f>
        <v>2822.4</v>
      </c>
      <c r="S42" s="36" t="n">
        <f aca="false">INDEX(Monthly!$C$75:$AL$75,($R$2-1)*12+12)</f>
        <v>2083.2</v>
      </c>
    </row>
    <row r="43" customFormat="false" ht="15" hidden="false" customHeight="false" outlineLevel="0" collapsed="false">
      <c r="A43" s="52" t="s">
        <v>91</v>
      </c>
      <c r="B43" s="36" t="n">
        <f aca="false">'Balance Sheet'!B7</f>
        <v>861.6288</v>
      </c>
      <c r="C43" s="36" t="n">
        <f aca="false">'Balance Sheet'!C7</f>
        <v>918.45024192</v>
      </c>
      <c r="D43" s="36" t="n">
        <f aca="false">'Balance Sheet'!D7</f>
        <v>979.086491864928</v>
      </c>
      <c r="H43" s="36" t="n">
        <f aca="false">INDEX(Monthly!$C$76:$AL$76,($R$2-1)*12+1)</f>
        <v>430.8144</v>
      </c>
      <c r="I43" s="36" t="n">
        <f aca="false">INDEX(Monthly!$C$76:$AL$76,($R$2-1)*12+2)</f>
        <v>502.6168</v>
      </c>
      <c r="J43" s="36" t="n">
        <f aca="false">INDEX(Monthly!$C$76:$AL$76,($R$2-1)*12+3)</f>
        <v>767.1744</v>
      </c>
      <c r="K43" s="36" t="n">
        <f aca="false">INDEX(Monthly!$C$76:$AL$76,($R$2-1)*12+4)</f>
        <v>863.0712</v>
      </c>
      <c r="L43" s="36" t="n">
        <f aca="false">INDEX(Monthly!$C$76:$AL$76,($R$2-1)*12+5)</f>
        <v>958.968</v>
      </c>
      <c r="M43" s="36" t="n">
        <f aca="false">INDEX(Monthly!$C$76:$AL$76,($R$2-1)*12+6)</f>
        <v>1054.8648</v>
      </c>
      <c r="N43" s="36" t="n">
        <f aca="false">INDEX(Monthly!$C$76:$AL$76,($R$2-1)*12+7)</f>
        <v>1150.7616</v>
      </c>
      <c r="O43" s="36" t="n">
        <f aca="false">INDEX(Monthly!$C$76:$AL$76,($R$2-1)*12+8)</f>
        <v>1150.7616</v>
      </c>
      <c r="P43" s="36" t="n">
        <f aca="false">INDEX(Monthly!$C$76:$AL$76,($R$2-1)*12+9)</f>
        <v>1150.7616</v>
      </c>
      <c r="Q43" s="36" t="n">
        <f aca="false">INDEX(Monthly!$C$76:$AL$76,($R$2-1)*12+10)</f>
        <v>1150.7616</v>
      </c>
      <c r="R43" s="36" t="n">
        <f aca="false">INDEX(Monthly!$C$76:$AL$76,($R$2-1)*12+11)</f>
        <v>1150.7616</v>
      </c>
      <c r="S43" s="36" t="n">
        <f aca="false">INDEX(Monthly!$C$76:$AL$76,($R$2-1)*12+12)</f>
        <v>861.6288</v>
      </c>
    </row>
    <row r="44" customFormat="false" ht="15" hidden="false" customHeight="false" outlineLevel="0" collapsed="false">
      <c r="A44" s="52" t="s">
        <v>92</v>
      </c>
      <c r="B44" s="36" t="n">
        <f aca="false">'Balance Sheet'!B8</f>
        <v>118285.714285714</v>
      </c>
      <c r="C44" s="36" t="n">
        <f aca="false">'Balance Sheet'!C8</f>
        <v>100714.285714286</v>
      </c>
      <c r="D44" s="36" t="n">
        <f aca="false">'Balance Sheet'!D8</f>
        <v>82785.7142857143</v>
      </c>
      <c r="H44" s="36" t="n">
        <f aca="false">INDEX(Monthly!$C$66:$AL$66,($R$2-1)*12+1)</f>
        <v>136357.142857143</v>
      </c>
      <c r="I44" s="36" t="n">
        <f aca="false">INDEX(Monthly!$C$66:$AL$66,($R$2-1)*12+2)</f>
        <v>134714.285714286</v>
      </c>
      <c r="J44" s="36" t="n">
        <f aca="false">INDEX(Monthly!$C$66:$AL$66,($R$2-1)*12+3)</f>
        <v>133071.428571429</v>
      </c>
      <c r="K44" s="36" t="n">
        <f aca="false">INDEX(Monthly!$C$66:$AL$66,($R$2-1)*12+4)</f>
        <v>131428.571428571</v>
      </c>
      <c r="L44" s="36" t="n">
        <f aca="false">INDEX(Monthly!$C$66:$AL$66,($R$2-1)*12+5)</f>
        <v>129785.714285714</v>
      </c>
      <c r="M44" s="36" t="n">
        <f aca="false">INDEX(Monthly!$C$66:$AL$66,($R$2-1)*12+6)</f>
        <v>128142.857142857</v>
      </c>
      <c r="N44" s="36" t="n">
        <f aca="false">INDEX(Monthly!$C$66:$AL$66,($R$2-1)*12+7)</f>
        <v>126500</v>
      </c>
      <c r="O44" s="36" t="n">
        <f aca="false">INDEX(Monthly!$C$66:$AL$66,($R$2-1)*12+8)</f>
        <v>124857.142857143</v>
      </c>
      <c r="P44" s="36" t="n">
        <f aca="false">INDEX(Monthly!$C$66:$AL$66,($R$2-1)*12+9)</f>
        <v>123214.285714286</v>
      </c>
      <c r="Q44" s="36" t="n">
        <f aca="false">INDEX(Monthly!$C$66:$AL$66,($R$2-1)*12+10)</f>
        <v>121571.428571429</v>
      </c>
      <c r="R44" s="36" t="n">
        <f aca="false">INDEX(Monthly!$C$66:$AL$66,($R$2-1)*12+11)</f>
        <v>119928.571428571</v>
      </c>
      <c r="S44" s="36" t="n">
        <f aca="false">INDEX(Monthly!$C$66:$AL$66,($R$2-1)*12+12)</f>
        <v>118285.714285714</v>
      </c>
    </row>
    <row r="45" customFormat="false" ht="15" hidden="false" customHeight="false" outlineLevel="0" collapsed="false">
      <c r="A45" s="37" t="s">
        <v>93</v>
      </c>
      <c r="B45" s="38" t="n">
        <f aca="false">'Balance Sheet'!B9</f>
        <v>141070.842485714</v>
      </c>
      <c r="C45" s="38" t="n">
        <f aca="false">'Balance Sheet'!C9</f>
        <v>121957.488171566</v>
      </c>
      <c r="D45" s="38" t="n">
        <f aca="false">'Balance Sheet'!D9</f>
        <v>111738.411721731</v>
      </c>
      <c r="E45" s="37"/>
      <c r="F45" s="37"/>
      <c r="H45" s="38" t="n">
        <f aca="false">INDEX(Monthly!$C$103:$AL$103,($R$2-1)*12+1)</f>
        <v>180900.565790476</v>
      </c>
      <c r="I45" s="38" t="n">
        <f aca="false">INDEX(Monthly!$C$103:$AL$103,($R$2-1)*12+2)</f>
        <v>170477.537914286</v>
      </c>
      <c r="J45" s="38" t="n">
        <f aca="false">INDEX(Monthly!$C$103:$AL$103,($R$2-1)*12+3)</f>
        <v>164296.446171429</v>
      </c>
      <c r="K45" s="38" t="n">
        <f aca="false">INDEX(Monthly!$C$103:$AL$103,($R$2-1)*12+4)</f>
        <v>159116.594561905</v>
      </c>
      <c r="L45" s="38" t="n">
        <f aca="false">INDEX(Monthly!$C$103:$AL$103,($R$2-1)*12+5)</f>
        <v>155331.524952381</v>
      </c>
      <c r="M45" s="38" t="n">
        <f aca="false">INDEX(Monthly!$C$103:$AL$103,($R$2-1)*12+6)</f>
        <v>152941.237342857</v>
      </c>
      <c r="N45" s="38" t="n">
        <f aca="false">INDEX(Monthly!$C$103:$AL$103,($R$2-1)*12+7)</f>
        <v>151945.731733333</v>
      </c>
      <c r="O45" s="38" t="n">
        <f aca="false">INDEX(Monthly!$C$103:$AL$103,($R$2-1)*12+8)</f>
        <v>150737.71692381</v>
      </c>
      <c r="P45" s="38" t="n">
        <f aca="false">INDEX(Monthly!$C$103:$AL$103,($R$2-1)*12+9)</f>
        <v>149540.952114286</v>
      </c>
      <c r="Q45" s="38" t="n">
        <f aca="false">INDEX(Monthly!$C$103:$AL$103,($R$2-1)*12+10)</f>
        <v>148355.437304762</v>
      </c>
      <c r="R45" s="38" t="n">
        <f aca="false">INDEX(Monthly!$C$103:$AL$103,($R$2-1)*12+11)</f>
        <v>147181.172495238</v>
      </c>
      <c r="S45" s="38" t="n">
        <f aca="false">INDEX(Monthly!$C$103:$AL$103,($R$2-1)*12+12)</f>
        <v>141070.842485714</v>
      </c>
    </row>
    <row r="46" customFormat="false" ht="15" hidden="false" customHeight="false" outlineLevel="0" collapsed="false">
      <c r="A46" s="52" t="s">
        <v>94</v>
      </c>
      <c r="B46" s="36" t="n">
        <f aca="false">'Balance Sheet'!B10</f>
        <v>2010.4672</v>
      </c>
      <c r="C46" s="36" t="n">
        <f aca="false">'Balance Sheet'!C10</f>
        <v>2143.05056448</v>
      </c>
      <c r="D46" s="36" t="n">
        <f aca="false">'Balance Sheet'!D10</f>
        <v>2284.53514768483</v>
      </c>
      <c r="H46" s="36" t="n">
        <f aca="false">INDEX(Monthly!$C$77:$AL$77,($R$2-1)*12+1)</f>
        <v>1005.2336</v>
      </c>
      <c r="I46" s="36" t="n">
        <f aca="false">INDEX(Monthly!$C$77:$AL$77,($R$2-1)*12+2)</f>
        <v>1172.77253333333</v>
      </c>
      <c r="J46" s="36" t="n">
        <f aca="false">INDEX(Monthly!$C$77:$AL$77,($R$2-1)*12+3)</f>
        <v>1790.0736</v>
      </c>
      <c r="K46" s="36" t="n">
        <f aca="false">INDEX(Monthly!$C$77:$AL$77,($R$2-1)*12+4)</f>
        <v>2013.8328</v>
      </c>
      <c r="L46" s="36" t="n">
        <f aca="false">INDEX(Monthly!$C$77:$AL$77,($R$2-1)*12+5)</f>
        <v>2237.592</v>
      </c>
      <c r="M46" s="36" t="n">
        <f aca="false">INDEX(Monthly!$C$77:$AL$77,($R$2-1)*12+6)</f>
        <v>2461.3512</v>
      </c>
      <c r="N46" s="36" t="n">
        <f aca="false">INDEX(Monthly!$C$77:$AL$77,($R$2-1)*12+7)</f>
        <v>2685.1104</v>
      </c>
      <c r="O46" s="36" t="n">
        <f aca="false">INDEX(Monthly!$C$77:$AL$77,($R$2-1)*12+8)</f>
        <v>2685.1104</v>
      </c>
      <c r="P46" s="36" t="n">
        <f aca="false">INDEX(Monthly!$C$77:$AL$77,($R$2-1)*12+9)</f>
        <v>2685.1104</v>
      </c>
      <c r="Q46" s="36" t="n">
        <f aca="false">INDEX(Monthly!$C$77:$AL$77,($R$2-1)*12+10)</f>
        <v>2685.1104</v>
      </c>
      <c r="R46" s="36" t="n">
        <f aca="false">INDEX(Monthly!$C$77:$AL$77,($R$2-1)*12+11)</f>
        <v>2685.1104</v>
      </c>
      <c r="S46" s="36" t="n">
        <f aca="false">INDEX(Monthly!$C$77:$AL$77,($R$2-1)*12+12)</f>
        <v>2010.4672</v>
      </c>
    </row>
    <row r="47" customFormat="false" ht="15" hidden="false" customHeight="false" outlineLevel="0" collapsed="false">
      <c r="A47" s="52" t="s">
        <v>95</v>
      </c>
      <c r="B47" s="36" t="n">
        <f aca="false">'Balance Sheet'!B11</f>
        <v>73500</v>
      </c>
      <c r="C47" s="36" t="n">
        <f aca="false">'Balance Sheet'!C11</f>
        <v>55500</v>
      </c>
      <c r="D47" s="36" t="n">
        <f aca="false">'Balance Sheet'!D11</f>
        <v>37500</v>
      </c>
      <c r="H47" s="36" t="n">
        <f aca="false">INDEX(Monthly!$C$72:$AL$72,($R$2-1)*12+1)</f>
        <v>90000</v>
      </c>
      <c r="I47" s="36" t="n">
        <f aca="false">INDEX(Monthly!$C$72:$AL$72,($R$2-1)*12+2)</f>
        <v>88500</v>
      </c>
      <c r="J47" s="36" t="n">
        <f aca="false">INDEX(Monthly!$C$72:$AL$72,($R$2-1)*12+3)</f>
        <v>87000</v>
      </c>
      <c r="K47" s="36" t="n">
        <f aca="false">INDEX(Monthly!$C$72:$AL$72,($R$2-1)*12+4)</f>
        <v>85500</v>
      </c>
      <c r="L47" s="36" t="n">
        <f aca="false">INDEX(Monthly!$C$72:$AL$72,($R$2-1)*12+5)</f>
        <v>84000</v>
      </c>
      <c r="M47" s="36" t="n">
        <f aca="false">INDEX(Monthly!$C$72:$AL$72,($R$2-1)*12+6)</f>
        <v>82500</v>
      </c>
      <c r="N47" s="36" t="n">
        <f aca="false">INDEX(Monthly!$C$72:$AL$72,($R$2-1)*12+7)</f>
        <v>81000</v>
      </c>
      <c r="O47" s="36" t="n">
        <f aca="false">INDEX(Monthly!$C$72:$AL$72,($R$2-1)*12+8)</f>
        <v>79500</v>
      </c>
      <c r="P47" s="36" t="n">
        <f aca="false">INDEX(Monthly!$C$72:$AL$72,($R$2-1)*12+9)</f>
        <v>78000</v>
      </c>
      <c r="Q47" s="36" t="n">
        <f aca="false">INDEX(Monthly!$C$72:$AL$72,($R$2-1)*12+10)</f>
        <v>76500</v>
      </c>
      <c r="R47" s="36" t="n">
        <f aca="false">INDEX(Monthly!$C$72:$AL$72,($R$2-1)*12+11)</f>
        <v>75000</v>
      </c>
      <c r="S47" s="36" t="n">
        <f aca="false">INDEX(Monthly!$C$72:$AL$72,($R$2-1)*12+12)</f>
        <v>73500</v>
      </c>
    </row>
    <row r="48" customFormat="false" ht="15" hidden="false" customHeight="false" outlineLevel="0" collapsed="false">
      <c r="A48" s="37" t="s">
        <v>96</v>
      </c>
      <c r="B48" s="38" t="n">
        <f aca="false">'Balance Sheet'!B12</f>
        <v>75510.4672</v>
      </c>
      <c r="C48" s="38" t="n">
        <f aca="false">'Balance Sheet'!C12</f>
        <v>57643.05056448</v>
      </c>
      <c r="D48" s="38" t="n">
        <f aca="false">'Balance Sheet'!D12</f>
        <v>39784.5351476848</v>
      </c>
      <c r="E48" s="37"/>
      <c r="F48" s="37"/>
      <c r="H48" s="38" t="n">
        <f aca="false">INDEX(Monthly!$C$104:$AL$104,($R$2-1)*12+1)</f>
        <v>91005.2336</v>
      </c>
      <c r="I48" s="38" t="n">
        <f aca="false">INDEX(Monthly!$C$104:$AL$104,($R$2-1)*12+2)</f>
        <v>89672.7725333333</v>
      </c>
      <c r="J48" s="38" t="n">
        <f aca="false">INDEX(Monthly!$C$104:$AL$104,($R$2-1)*12+3)</f>
        <v>88790.0736</v>
      </c>
      <c r="K48" s="38" t="n">
        <f aca="false">INDEX(Monthly!$C$104:$AL$104,($R$2-1)*12+4)</f>
        <v>87513.8328</v>
      </c>
      <c r="L48" s="38" t="n">
        <f aca="false">INDEX(Monthly!$C$104:$AL$104,($R$2-1)*12+5)</f>
        <v>86237.592</v>
      </c>
      <c r="M48" s="38" t="n">
        <f aca="false">INDEX(Monthly!$C$104:$AL$104,($R$2-1)*12+6)</f>
        <v>84961.3512</v>
      </c>
      <c r="N48" s="38" t="n">
        <f aca="false">INDEX(Monthly!$C$104:$AL$104,($R$2-1)*12+7)</f>
        <v>83685.1104</v>
      </c>
      <c r="O48" s="38" t="n">
        <f aca="false">INDEX(Monthly!$C$104:$AL$104,($R$2-1)*12+8)</f>
        <v>82185.1104</v>
      </c>
      <c r="P48" s="38" t="n">
        <f aca="false">INDEX(Monthly!$C$104:$AL$104,($R$2-1)*12+9)</f>
        <v>80685.1104</v>
      </c>
      <c r="Q48" s="38" t="n">
        <f aca="false">INDEX(Monthly!$C$104:$AL$104,($R$2-1)*12+10)</f>
        <v>79185.1104</v>
      </c>
      <c r="R48" s="38" t="n">
        <f aca="false">INDEX(Monthly!$C$104:$AL$104,($R$2-1)*12+11)</f>
        <v>77685.1104</v>
      </c>
      <c r="S48" s="38" t="n">
        <f aca="false">INDEX(Monthly!$C$104:$AL$104,($R$2-1)*12+12)</f>
        <v>75510.4672</v>
      </c>
    </row>
    <row r="49" customFormat="false" ht="15" hidden="false" customHeight="false" outlineLevel="0" collapsed="false">
      <c r="A49" s="52" t="s">
        <v>97</v>
      </c>
      <c r="B49" s="36" t="n">
        <f aca="false">'Balance Sheet'!B13</f>
        <v>100000</v>
      </c>
      <c r="C49" s="36" t="n">
        <f aca="false">'Balance Sheet'!C13</f>
        <v>100000</v>
      </c>
      <c r="D49" s="36" t="n">
        <f aca="false">'Balance Sheet'!D13</f>
        <v>100000</v>
      </c>
      <c r="H49" s="36" t="n">
        <f aca="false">INDEX(Monthly!$C$101:$AL$101,($R$2-1)*12+1)</f>
        <v>100000</v>
      </c>
      <c r="I49" s="36" t="n">
        <f aca="false">INDEX(Monthly!$C$101:$AL$101,($R$2-1)*12+2)</f>
        <v>100000</v>
      </c>
      <c r="J49" s="36" t="n">
        <f aca="false">INDEX(Monthly!$C$101:$AL$101,($R$2-1)*12+3)</f>
        <v>100000</v>
      </c>
      <c r="K49" s="36" t="n">
        <f aca="false">INDEX(Monthly!$C$101:$AL$101,($R$2-1)*12+4)</f>
        <v>100000</v>
      </c>
      <c r="L49" s="36" t="n">
        <f aca="false">INDEX(Monthly!$C$101:$AL$101,($R$2-1)*12+5)</f>
        <v>100000</v>
      </c>
      <c r="M49" s="36" t="n">
        <f aca="false">INDEX(Monthly!$C$101:$AL$101,($R$2-1)*12+6)</f>
        <v>100000</v>
      </c>
      <c r="N49" s="36" t="n">
        <f aca="false">INDEX(Monthly!$C$101:$AL$101,($R$2-1)*12+7)</f>
        <v>100000</v>
      </c>
      <c r="O49" s="36" t="n">
        <f aca="false">INDEX(Monthly!$C$101:$AL$101,($R$2-1)*12+8)</f>
        <v>100000</v>
      </c>
      <c r="P49" s="36" t="n">
        <f aca="false">INDEX(Monthly!$C$101:$AL$101,($R$2-1)*12+9)</f>
        <v>100000</v>
      </c>
      <c r="Q49" s="36" t="n">
        <f aca="false">INDEX(Monthly!$C$101:$AL$101,($R$2-1)*12+10)</f>
        <v>100000</v>
      </c>
      <c r="R49" s="36" t="n">
        <f aca="false">INDEX(Monthly!$C$101:$AL$101,($R$2-1)*12+11)</f>
        <v>100000</v>
      </c>
      <c r="S49" s="36" t="n">
        <f aca="false">INDEX(Monthly!$C$101:$AL$101,($R$2-1)*12+12)</f>
        <v>100000</v>
      </c>
    </row>
    <row r="50" customFormat="false" ht="15" hidden="false" customHeight="false" outlineLevel="0" collapsed="false">
      <c r="A50" s="52" t="s">
        <v>98</v>
      </c>
      <c r="B50" s="36" t="n">
        <f aca="false">'Balance Sheet'!B14</f>
        <v>-34439.6247142857</v>
      </c>
      <c r="C50" s="36" t="n">
        <f aca="false">'Balance Sheet'!C14</f>
        <v>-35685.5623929143</v>
      </c>
      <c r="D50" s="36" t="n">
        <f aca="false">'Balance Sheet'!D14</f>
        <v>-28046.1234259542</v>
      </c>
      <c r="H50" s="36" t="n">
        <f aca="false">INDEX(Monthly!$C$102:$AL$102,($R$2-1)*12+1)</f>
        <v>-10104.6678095238</v>
      </c>
      <c r="I50" s="36" t="n">
        <f aca="false">INDEX(Monthly!$C$102:$AL$102,($R$2-1)*12+2)</f>
        <v>-19195.2346190476</v>
      </c>
      <c r="J50" s="36" t="n">
        <f aca="false">INDEX(Monthly!$C$102:$AL$102,($R$2-1)*12+3)</f>
        <v>-24493.6274285714</v>
      </c>
      <c r="K50" s="36" t="n">
        <f aca="false">INDEX(Monthly!$C$102:$AL$102,($R$2-1)*12+4)</f>
        <v>-28397.2382380952</v>
      </c>
      <c r="L50" s="36" t="n">
        <f aca="false">INDEX(Monthly!$C$102:$AL$102,($R$2-1)*12+5)</f>
        <v>-30906.0670476191</v>
      </c>
      <c r="M50" s="36" t="n">
        <f aca="false">INDEX(Monthly!$C$102:$AL$102,($R$2-1)*12+6)</f>
        <v>-32020.1138571429</v>
      </c>
      <c r="N50" s="36" t="n">
        <f aca="false">INDEX(Monthly!$C$102:$AL$102,($R$2-1)*12+7)</f>
        <v>-31739.3786666667</v>
      </c>
      <c r="O50" s="36" t="n">
        <f aca="false">INDEX(Monthly!$C$102:$AL$102,($R$2-1)*12+8)</f>
        <v>-31447.3934761905</v>
      </c>
      <c r="P50" s="36" t="n">
        <f aca="false">INDEX(Monthly!$C$102:$AL$102,($R$2-1)*12+9)</f>
        <v>-31144.1582857143</v>
      </c>
      <c r="Q50" s="36" t="n">
        <f aca="false">INDEX(Monthly!$C$102:$AL$102,($R$2-1)*12+10)</f>
        <v>-30829.6730952381</v>
      </c>
      <c r="R50" s="36" t="n">
        <f aca="false">INDEX(Monthly!$C$102:$AL$102,($R$2-1)*12+11)</f>
        <v>-30503.9379047619</v>
      </c>
      <c r="S50" s="36" t="n">
        <f aca="false">INDEX(Monthly!$C$102:$AL$102,($R$2-1)*12+12)</f>
        <v>-34439.6247142857</v>
      </c>
    </row>
    <row r="51" customFormat="false" ht="15" hidden="false" customHeight="false" outlineLevel="0" collapsed="false">
      <c r="A51" s="37" t="s">
        <v>99</v>
      </c>
      <c r="B51" s="38" t="n">
        <f aca="false">'Balance Sheet'!B15</f>
        <v>65560.3752857143</v>
      </c>
      <c r="C51" s="38" t="n">
        <f aca="false">'Balance Sheet'!C15</f>
        <v>64314.4376070857</v>
      </c>
      <c r="D51" s="38" t="n">
        <f aca="false">'Balance Sheet'!D15</f>
        <v>71953.8765740458</v>
      </c>
      <c r="E51" s="37"/>
      <c r="F51" s="37"/>
      <c r="H51" s="38" t="n">
        <f aca="false">INDEX(Monthly!$C$105:$AL$105,($R$2-1)*12+1)</f>
        <v>89895.3321904762</v>
      </c>
      <c r="I51" s="38" t="n">
        <f aca="false">INDEX(Monthly!$C$105:$AL$105,($R$2-1)*12+2)</f>
        <v>80804.7653809524</v>
      </c>
      <c r="J51" s="38" t="n">
        <f aca="false">INDEX(Monthly!$C$105:$AL$105,($R$2-1)*12+3)</f>
        <v>75506.3725714286</v>
      </c>
      <c r="K51" s="38" t="n">
        <f aca="false">INDEX(Monthly!$C$105:$AL$105,($R$2-1)*12+4)</f>
        <v>71602.7617619048</v>
      </c>
      <c r="L51" s="38" t="n">
        <f aca="false">INDEX(Monthly!$C$105:$AL$105,($R$2-1)*12+5)</f>
        <v>69093.9329523809</v>
      </c>
      <c r="M51" s="38" t="n">
        <f aca="false">INDEX(Monthly!$C$105:$AL$105,($R$2-1)*12+6)</f>
        <v>67979.8861428571</v>
      </c>
      <c r="N51" s="38" t="n">
        <f aca="false">INDEX(Monthly!$C$105:$AL$105,($R$2-1)*12+7)</f>
        <v>68260.6213333333</v>
      </c>
      <c r="O51" s="38" t="n">
        <f aca="false">INDEX(Monthly!$C$105:$AL$105,($R$2-1)*12+8)</f>
        <v>68552.6065238095</v>
      </c>
      <c r="P51" s="38" t="n">
        <f aca="false">INDEX(Monthly!$C$105:$AL$105,($R$2-1)*12+9)</f>
        <v>68855.8417142857</v>
      </c>
      <c r="Q51" s="38" t="n">
        <f aca="false">INDEX(Monthly!$C$105:$AL$105,($R$2-1)*12+10)</f>
        <v>69170.3269047619</v>
      </c>
      <c r="R51" s="38" t="n">
        <f aca="false">INDEX(Monthly!$C$105:$AL$105,($R$2-1)*12+11)</f>
        <v>69496.0620952381</v>
      </c>
      <c r="S51" s="38" t="n">
        <f aca="false">INDEX(Monthly!$C$105:$AL$105,($R$2-1)*12+12)</f>
        <v>65560.3752857143</v>
      </c>
    </row>
    <row r="52" customFormat="false" ht="15" hidden="false" customHeight="false" outlineLevel="0" collapsed="false">
      <c r="A52" s="41" t="s">
        <v>100</v>
      </c>
      <c r="B52" s="42" t="n">
        <f aca="false">'Balance Sheet'!B16</f>
        <v>141070.842485714</v>
      </c>
      <c r="C52" s="42" t="n">
        <f aca="false">'Balance Sheet'!C16</f>
        <v>121957.488171566</v>
      </c>
      <c r="D52" s="42" t="n">
        <f aca="false">'Balance Sheet'!D16</f>
        <v>111738.411721731</v>
      </c>
      <c r="E52" s="41"/>
      <c r="F52" s="41"/>
      <c r="H52" s="42" t="n">
        <f aca="false">INDEX(Monthly!$C$106:$AL$106,($R$2-1)*12+1)</f>
        <v>180900.565790476</v>
      </c>
      <c r="I52" s="42" t="n">
        <f aca="false">INDEX(Monthly!$C$106:$AL$106,($R$2-1)*12+2)</f>
        <v>170477.537914286</v>
      </c>
      <c r="J52" s="42" t="n">
        <f aca="false">INDEX(Monthly!$C$106:$AL$106,($R$2-1)*12+3)</f>
        <v>164296.446171429</v>
      </c>
      <c r="K52" s="42" t="n">
        <f aca="false">INDEX(Monthly!$C$106:$AL$106,($R$2-1)*12+4)</f>
        <v>159116.594561905</v>
      </c>
      <c r="L52" s="42" t="n">
        <f aca="false">INDEX(Monthly!$C$106:$AL$106,($R$2-1)*12+5)</f>
        <v>155331.524952381</v>
      </c>
      <c r="M52" s="42" t="n">
        <f aca="false">INDEX(Monthly!$C$106:$AL$106,($R$2-1)*12+6)</f>
        <v>152941.237342857</v>
      </c>
      <c r="N52" s="42" t="n">
        <f aca="false">INDEX(Monthly!$C$106:$AL$106,($R$2-1)*12+7)</f>
        <v>151945.731733333</v>
      </c>
      <c r="O52" s="42" t="n">
        <f aca="false">INDEX(Monthly!$C$106:$AL$106,($R$2-1)*12+8)</f>
        <v>150737.71692381</v>
      </c>
      <c r="P52" s="42" t="n">
        <f aca="false">INDEX(Monthly!$C$106:$AL$106,($R$2-1)*12+9)</f>
        <v>149540.952114286</v>
      </c>
      <c r="Q52" s="42" t="n">
        <f aca="false">INDEX(Monthly!$C$106:$AL$106,($R$2-1)*12+10)</f>
        <v>148355.437304762</v>
      </c>
      <c r="R52" s="42" t="n">
        <f aca="false">INDEX(Monthly!$C$106:$AL$106,($R$2-1)*12+11)</f>
        <v>147181.172495238</v>
      </c>
      <c r="S52" s="42" t="n">
        <f aca="false">INDEX(Monthly!$C$106:$AL$106,($R$2-1)*12+12)</f>
        <v>141070.842485714</v>
      </c>
    </row>
  </sheetData>
  <mergeCells count="1">
    <mergeCell ref="R2:S2"/>
  </mergeCells>
  <dataValidations count="1">
    <dataValidation allowBlank="false" error="Enter a year from 1 to 3" errorStyle="stop" errorTitle="Detailed year" operator="between" prompt="Pick the year shown month by month on the right" promptTitle="Detailed year" showDropDown="false" showErrorMessage="true" showInputMessage="true" sqref="R2" type="list">
      <formula1>"1,2,3"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H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6" min="2" style="0" width="12"/>
    <col collapsed="false" customWidth="true" hidden="false" outlineLevel="0" max="7" min="7" style="0" width="2"/>
  </cols>
  <sheetData>
    <row r="1" customFormat="false" ht="21.75" hidden="false" customHeight="true" outlineLevel="0" collapsed="false">
      <c r="A1" s="16" t="s">
        <v>101</v>
      </c>
      <c r="H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102</v>
      </c>
    </row>
    <row r="5" customFormat="false" ht="15.75" hidden="false" customHeight="true" outlineLevel="0" collapsed="false">
      <c r="A5" s="7" t="s">
        <v>103</v>
      </c>
      <c r="B5" s="7"/>
      <c r="C5" s="7"/>
      <c r="D5" s="7"/>
      <c r="E5" s="7"/>
    </row>
    <row r="6" customFormat="false" ht="15" hidden="false" customHeight="false" outlineLevel="0" collapsed="false">
      <c r="A6" s="33" t="s">
        <v>104</v>
      </c>
      <c r="B6" s="35" t="s">
        <v>105</v>
      </c>
      <c r="C6" s="35" t="s">
        <v>106</v>
      </c>
      <c r="D6" s="35" t="s">
        <v>107</v>
      </c>
      <c r="E6" s="35" t="s">
        <v>108</v>
      </c>
    </row>
    <row r="7" customFormat="false" ht="15" hidden="false" customHeight="false" outlineLevel="0" collapsed="false">
      <c r="A7" s="6" t="s">
        <v>109</v>
      </c>
      <c r="B7" s="53" t="n">
        <f aca="false">Inputs!$B$9</f>
        <v>17</v>
      </c>
      <c r="C7" s="53" t="n">
        <f aca="false">Inputs!$C$9</f>
        <v>18</v>
      </c>
      <c r="D7" s="53" t="n">
        <f aca="false">Inputs!$D$9</f>
        <v>19</v>
      </c>
      <c r="E7" s="54" t="n">
        <f aca="false">Inputs!$E$9</f>
        <v>18</v>
      </c>
    </row>
    <row r="8" customFormat="false" ht="15" hidden="false" customHeight="false" outlineLevel="0" collapsed="false">
      <c r="A8" s="6" t="s">
        <v>110</v>
      </c>
      <c r="B8" s="53" t="n">
        <f aca="false">Inputs!$B$17</f>
        <v>78</v>
      </c>
      <c r="C8" s="53" t="n">
        <f aca="false">Inputs!$C$17</f>
        <v>88</v>
      </c>
      <c r="D8" s="53" t="n">
        <f aca="false">Inputs!$D$17</f>
        <v>98</v>
      </c>
      <c r="E8" s="54" t="n">
        <f aca="false">Inputs!$E$17</f>
        <v>88</v>
      </c>
    </row>
    <row r="9" customFormat="false" ht="15" hidden="false" customHeight="false" outlineLevel="0" collapsed="false">
      <c r="A9" s="6" t="s">
        <v>111</v>
      </c>
      <c r="B9" s="55" t="n">
        <f aca="false">Inputs!$B$19</f>
        <v>13</v>
      </c>
      <c r="C9" s="55" t="n">
        <f aca="false">Inputs!$C$19</f>
        <v>14</v>
      </c>
      <c r="D9" s="55" t="n">
        <f aca="false">Inputs!$D$19</f>
        <v>15</v>
      </c>
      <c r="E9" s="56" t="n">
        <f aca="false">Inputs!$E$19</f>
        <v>14</v>
      </c>
    </row>
    <row r="10" customFormat="false" ht="15" hidden="false" customHeight="false" outlineLevel="0" collapsed="false">
      <c r="A10" s="6" t="s">
        <v>112</v>
      </c>
      <c r="B10" s="53" t="n">
        <f aca="false">Inputs!$B$23</f>
        <v>2.5</v>
      </c>
      <c r="C10" s="53" t="n">
        <f aca="false">Inputs!$C$23</f>
        <v>3</v>
      </c>
      <c r="D10" s="53" t="n">
        <f aca="false">Inputs!$D$23</f>
        <v>3.5</v>
      </c>
      <c r="E10" s="54" t="n">
        <f aca="false">Inputs!$E$23</f>
        <v>3</v>
      </c>
    </row>
    <row r="11" customFormat="false" ht="15" hidden="false" customHeight="false" outlineLevel="0" collapsed="false">
      <c r="A11" s="6" t="s">
        <v>113</v>
      </c>
      <c r="B11" s="57" t="n">
        <f aca="false">Inputs!$B$29</f>
        <v>0.345</v>
      </c>
      <c r="C11" s="57" t="n">
        <f aca="false">Inputs!$C$29</f>
        <v>0.33</v>
      </c>
      <c r="D11" s="57" t="n">
        <f aca="false">Inputs!$D$29</f>
        <v>0.315</v>
      </c>
      <c r="E11" s="58" t="n">
        <f aca="false">Inputs!$E$29</f>
        <v>0.33</v>
      </c>
    </row>
    <row r="12" customFormat="false" ht="15" hidden="false" customHeight="false" outlineLevel="0" collapsed="false">
      <c r="A12" s="6" t="s">
        <v>114</v>
      </c>
      <c r="B12" s="59" t="n">
        <f aca="false">Inputs!$B$49</f>
        <v>95000</v>
      </c>
      <c r="C12" s="59" t="n">
        <f aca="false">Inputs!$C$49</f>
        <v>95000</v>
      </c>
      <c r="D12" s="59" t="n">
        <f aca="false">Inputs!$D$49</f>
        <v>95000</v>
      </c>
      <c r="E12" s="60" t="n">
        <f aca="false">Inputs!$E$49</f>
        <v>95000</v>
      </c>
    </row>
    <row r="13" customFormat="false" ht="15" hidden="false" customHeight="false" outlineLevel="0" collapsed="false">
      <c r="A13" s="6" t="s">
        <v>115</v>
      </c>
      <c r="B13" s="59" t="n">
        <f aca="false">Inputs!$B$71</f>
        <v>100000</v>
      </c>
      <c r="C13" s="59" t="n">
        <f aca="false">Inputs!$C$71</f>
        <v>100000</v>
      </c>
      <c r="D13" s="59" t="n">
        <f aca="false">Inputs!$D$71</f>
        <v>100000</v>
      </c>
      <c r="E13" s="60" t="n">
        <f aca="false">Inputs!$E$71</f>
        <v>100000</v>
      </c>
    </row>
    <row r="15" customFormat="false" ht="15.75" hidden="false" customHeight="true" outlineLevel="0" collapsed="false">
      <c r="A15" s="7" t="s">
        <v>116</v>
      </c>
      <c r="B15" s="7"/>
      <c r="C15" s="7"/>
      <c r="D15" s="7"/>
      <c r="E15" s="7"/>
    </row>
    <row r="16" customFormat="false" ht="15" hidden="false" customHeight="false" outlineLevel="0" collapsed="false">
      <c r="A16" s="33" t="s">
        <v>117</v>
      </c>
      <c r="B16" s="35" t="s">
        <v>105</v>
      </c>
      <c r="C16" s="35" t="s">
        <v>106</v>
      </c>
      <c r="D16" s="35" t="s">
        <v>107</v>
      </c>
      <c r="E16" s="35" t="s">
        <v>108</v>
      </c>
    </row>
    <row r="17" customFormat="false" ht="15" hidden="false" customHeight="false" outlineLevel="0" collapsed="false">
      <c r="A17" s="6" t="s">
        <v>118</v>
      </c>
      <c r="B17" s="61" t="n">
        <f aca="false">D30</f>
        <v>254227.9824</v>
      </c>
      <c r="C17" s="61" t="n">
        <f aca="false">D31</f>
        <v>358461.36984672</v>
      </c>
      <c r="D17" s="61" t="n">
        <f aca="false">D32</f>
        <v>484864.94784</v>
      </c>
      <c r="E17" s="62" t="n">
        <f aca="false">'P&amp;L'!D5</f>
        <v>358461.36984672</v>
      </c>
    </row>
    <row r="18" customFormat="false" ht="15" hidden="false" customHeight="false" outlineLevel="0" collapsed="false">
      <c r="A18" s="6" t="s">
        <v>119</v>
      </c>
      <c r="B18" s="61" t="n">
        <f aca="false">SUM(B30:D30)</f>
        <v>684510.775733333</v>
      </c>
      <c r="C18" s="61" t="n">
        <f aca="false">SUM(B31:D31)</f>
        <v>969183.19064672</v>
      </c>
      <c r="D18" s="61" t="n">
        <f aca="false">SUM(B32:D32)</f>
        <v>1295590.66784</v>
      </c>
      <c r="E18" s="62" t="n">
        <f aca="false">SUM('P&amp;L'!$B$5:$D$5)</f>
        <v>969183.19064672</v>
      </c>
    </row>
    <row r="19" customFormat="false" ht="15" hidden="false" customHeight="false" outlineLevel="0" collapsed="false">
      <c r="A19" s="6" t="s">
        <v>120</v>
      </c>
      <c r="B19" s="61" t="n">
        <f aca="false">D36</f>
        <v>-41612.9529824</v>
      </c>
      <c r="C19" s="61" t="n">
        <f aca="false">D37</f>
        <v>32253.0103955315</v>
      </c>
      <c r="D19" s="61" t="n">
        <f aca="false">D38</f>
        <v>124559.55665572</v>
      </c>
      <c r="E19" s="62" t="n">
        <f aca="false">'P&amp;L'!D19</f>
        <v>32253.0103955315</v>
      </c>
    </row>
    <row r="20" customFormat="false" ht="15" hidden="false" customHeight="false" outlineLevel="0" collapsed="false">
      <c r="A20" s="6" t="s">
        <v>121</v>
      </c>
      <c r="B20" s="63" t="n">
        <f aca="false">IF(B17=0,0,B19/B17)</f>
        <v>-0.163683606303127</v>
      </c>
      <c r="C20" s="63" t="n">
        <f aca="false">IF(C17=0,0,C19/C17)</f>
        <v>0.0899762515813714</v>
      </c>
      <c r="D20" s="63" t="n">
        <f aca="false">IF(D17=0,0,D19/D17)</f>
        <v>0.256895362740932</v>
      </c>
      <c r="E20" s="64" t="n">
        <f aca="false">IF(E17=0,0,E19/E17)</f>
        <v>0.0899762515813714</v>
      </c>
    </row>
    <row r="21" customFormat="false" ht="15" hidden="false" customHeight="false" outlineLevel="0" collapsed="false">
      <c r="A21" s="6" t="s">
        <v>122</v>
      </c>
      <c r="B21" s="61" t="n">
        <f aca="false">D42</f>
        <v>-66226.5244109714</v>
      </c>
      <c r="C21" s="61" t="n">
        <f aca="false">D43</f>
        <v>7639.43896696008</v>
      </c>
      <c r="D21" s="61" t="n">
        <f aca="false">D44</f>
        <v>78957.3283294474</v>
      </c>
      <c r="E21" s="62" t="n">
        <f aca="false">'P&amp;L'!D26</f>
        <v>7639.43896696008</v>
      </c>
    </row>
    <row r="22" customFormat="false" ht="15" hidden="false" customHeight="false" outlineLevel="0" collapsed="false">
      <c r="A22" s="6" t="s">
        <v>123</v>
      </c>
      <c r="B22" s="61" t="n">
        <f aca="false">SUM(B42:D42)</f>
        <v>-228817.289823352</v>
      </c>
      <c r="C22" s="61" t="n">
        <f aca="false">SUM(B43:D43)</f>
        <v>-28046.1234259543</v>
      </c>
      <c r="D22" s="61" t="n">
        <f aca="false">SUM(B44:D44)</f>
        <v>167789.450664133</v>
      </c>
      <c r="E22" s="62" t="n">
        <f aca="false">SUM('P&amp;L'!$B$26:$D$26)</f>
        <v>-28046.1234259543</v>
      </c>
    </row>
    <row r="23" customFormat="false" ht="15" hidden="false" customHeight="false" outlineLevel="0" collapsed="false">
      <c r="A23" s="6" t="s">
        <v>124</v>
      </c>
      <c r="B23" s="61" t="n">
        <f aca="false">D48</f>
        <v>-174741.268687648</v>
      </c>
      <c r="C23" s="61" t="n">
        <f aca="false">D49</f>
        <v>25610.4149463593</v>
      </c>
      <c r="D23" s="61" t="n">
        <f aca="false">D50</f>
        <v>220859.658568589</v>
      </c>
      <c r="E23" s="62" t="n">
        <f aca="false">'Balance Sheet'!D5</f>
        <v>25610.4149463593</v>
      </c>
    </row>
    <row r="24" customFormat="false" ht="15" hidden="false" customHeight="false" outlineLevel="0" collapsed="false">
      <c r="A24" s="6" t="s">
        <v>125</v>
      </c>
      <c r="B24" s="61" t="n">
        <f aca="false">MIN('Scenario calc'!$C$91:$AL$91)</f>
        <v>-174741.268687648</v>
      </c>
      <c r="C24" s="61" t="n">
        <f aca="false">MIN('Scenario calc'!$C$211:$AL$211)</f>
        <v>9872.41510303594</v>
      </c>
      <c r="D24" s="61" t="n">
        <f aca="false">MIN('Scenario calc'!$C$331:$AL$331)</f>
        <v>43192.08548</v>
      </c>
      <c r="E24" s="62" t="n">
        <f aca="false">'Break-even'!B18</f>
        <v>9872.41510303594</v>
      </c>
    </row>
    <row r="25" customFormat="false" ht="15" hidden="false" customHeight="false" outlineLevel="0" collapsed="false">
      <c r="A25" s="6" t="s">
        <v>126</v>
      </c>
      <c r="B25" s="65" t="n">
        <f aca="false">MATCH(MIN('Scenario calc'!$C$91:$AL$91),'Scenario calc'!$C$91:$AL$91,0)</f>
        <v>36</v>
      </c>
      <c r="C25" s="65" t="n">
        <f aca="false">MATCH(MIN('Scenario calc'!$C$211:$AL$211),'Scenario calc'!$C$211:$AL$211,0)</f>
        <v>26</v>
      </c>
      <c r="D25" s="65" t="n">
        <f aca="false">MATCH(MIN('Scenario calc'!$C$331:$AL$331),'Scenario calc'!$C$331:$AL$331,0)</f>
        <v>2</v>
      </c>
      <c r="E25" s="66" t="n">
        <f aca="false">'Break-even'!B6</f>
        <v>26</v>
      </c>
    </row>
    <row r="26" customFormat="false" ht="15" hidden="false" customHeight="false" outlineLevel="0" collapsed="false">
      <c r="A26" s="4" t="s">
        <v>66</v>
      </c>
      <c r="B26" s="61" t="n">
        <f aca="false">SUMPRODUCT(--('Scenario calc'!$C$6:$AL$6&lt;=B25),'Scenario calc'!$C$64:$AL$64)-SUMPRODUCT(--('Scenario calc'!$C$6:$AL$6&lt;=B25),'Scenario calc'!$C$85:$AL$85)-SUMPRODUCT(--('Scenario calc'!$C$6:$AL$6&lt;=B25),'Scenario calc'!$C$73:$AL$73)+Inputs!$B$86</f>
        <v>406741.268687648</v>
      </c>
      <c r="C26" s="61" t="n">
        <f aca="false">SUMPRODUCT(--('Scenario calc'!$C$126:$AL$126&lt;=C25),'Scenario calc'!$C$184:$AL$184)-SUMPRODUCT(--('Scenario calc'!$C$126:$AL$126&lt;=C25),'Scenario calc'!$C$205:$AL$205)-SUMPRODUCT(--('Scenario calc'!$C$126:$AL$126&lt;=C25),'Scenario calc'!$C$193:$AL$193)+Inputs!$C$86</f>
        <v>222127.584896964</v>
      </c>
      <c r="D26" s="61" t="n">
        <f aca="false">SUMPRODUCT(--('Scenario calc'!$C$246:$AL$246&lt;=D25),'Scenario calc'!$C$304:$AL$304)-SUMPRODUCT(--('Scenario calc'!$C$246:$AL$246&lt;=D25),'Scenario calc'!$C$325:$AL$325)-SUMPRODUCT(--('Scenario calc'!$C$246:$AL$246&lt;=D25),'Scenario calc'!$C$313:$AL$313)+Inputs!$D$86</f>
        <v>188807.91452</v>
      </c>
      <c r="E26" s="62" t="n">
        <f aca="false">'Break-even'!B12</f>
        <v>222127.584896964</v>
      </c>
    </row>
    <row r="28" customFormat="false" ht="15.75" hidden="false" customHeight="true" outlineLevel="0" collapsed="false">
      <c r="A28" s="7" t="s">
        <v>127</v>
      </c>
      <c r="B28" s="7"/>
      <c r="C28" s="7"/>
      <c r="D28" s="7"/>
      <c r="E28" s="7"/>
    </row>
    <row r="29" customFormat="false" ht="15" hidden="false" customHeight="false" outlineLevel="0" collapsed="false">
      <c r="A29" s="33" t="s">
        <v>128</v>
      </c>
      <c r="B29" s="34" t="n">
        <v>1</v>
      </c>
      <c r="C29" s="34" t="n">
        <v>2</v>
      </c>
      <c r="D29" s="34" t="n">
        <v>3</v>
      </c>
    </row>
    <row r="30" customFormat="false" ht="15" hidden="false" customHeight="false" outlineLevel="0" collapsed="false">
      <c r="A30" s="6" t="s">
        <v>105</v>
      </c>
      <c r="B30" s="61" t="n">
        <f aca="false">SUMIF('Scenario calc'!$C$7:$AL$7,B$29,'Scenario calc'!$C$26:$AL$26)</f>
        <v>181039.673333333</v>
      </c>
      <c r="C30" s="61" t="n">
        <f aca="false">SUMIF('Scenario calc'!$C$7:$AL$7,C$29,'Scenario calc'!$C$26:$AL$26)</f>
        <v>249243.12</v>
      </c>
      <c r="D30" s="61" t="n">
        <f aca="false">SUMIF('Scenario calc'!$C$7:$AL$7,D$29,'Scenario calc'!$C$26:$AL$26)</f>
        <v>254227.9824</v>
      </c>
    </row>
    <row r="31" customFormat="false" ht="15" hidden="false" customHeight="false" outlineLevel="0" collapsed="false">
      <c r="A31" s="6" t="s">
        <v>106</v>
      </c>
      <c r="B31" s="61" t="n">
        <f aca="false">SUMIF('Scenario calc'!$C$127:$AL$127,B$29,'Scenario calc'!$C$146:$AL$146)</f>
        <v>273896</v>
      </c>
      <c r="C31" s="61" t="n">
        <f aca="false">SUMIF('Scenario calc'!$C$127:$AL$127,C$29,'Scenario calc'!$C$146:$AL$146)</f>
        <v>336825.8208</v>
      </c>
      <c r="D31" s="61" t="n">
        <f aca="false">SUMIF('Scenario calc'!$C$127:$AL$127,D$29,'Scenario calc'!$C$146:$AL$146)</f>
        <v>358461.36984672</v>
      </c>
    </row>
    <row r="32" customFormat="false" ht="15" hidden="false" customHeight="false" outlineLevel="0" collapsed="false">
      <c r="A32" s="6" t="s">
        <v>107</v>
      </c>
      <c r="B32" s="61" t="n">
        <f aca="false">SUMIF('Scenario calc'!$C$247:$AL$247,B$29,'Scenario calc'!$C$266:$AL$266)</f>
        <v>370256.6</v>
      </c>
      <c r="C32" s="61" t="n">
        <f aca="false">SUMIF('Scenario calc'!$C$247:$AL$247,C$29,'Scenario calc'!$C$266:$AL$266)</f>
        <v>440469.12</v>
      </c>
      <c r="D32" s="61" t="n">
        <f aca="false">SUMIF('Scenario calc'!$C$247:$AL$247,D$29,'Scenario calc'!$C$266:$AL$266)</f>
        <v>484864.94784</v>
      </c>
    </row>
    <row r="34" customFormat="false" ht="15.75" hidden="false" customHeight="true" outlineLevel="0" collapsed="false">
      <c r="A34" s="7" t="s">
        <v>129</v>
      </c>
      <c r="B34" s="7"/>
      <c r="C34" s="7"/>
      <c r="D34" s="7"/>
      <c r="E34" s="7"/>
    </row>
    <row r="35" customFormat="false" ht="15" hidden="false" customHeight="false" outlineLevel="0" collapsed="false">
      <c r="A35" s="33" t="s">
        <v>128</v>
      </c>
      <c r="B35" s="34" t="n">
        <v>1</v>
      </c>
      <c r="C35" s="34" t="n">
        <v>2</v>
      </c>
      <c r="D35" s="34" t="n">
        <v>3</v>
      </c>
    </row>
    <row r="36" customFormat="false" ht="15" hidden="false" customHeight="false" outlineLevel="0" collapsed="false">
      <c r="A36" s="6" t="s">
        <v>105</v>
      </c>
      <c r="B36" s="61" t="n">
        <f aca="false">SUMIF('Scenario calc'!$C$7:$AL$7,B$35,'Scenario calc'!$C$48:$AL$48)</f>
        <v>-70979.5630066667</v>
      </c>
      <c r="C36" s="61" t="n">
        <f aca="false">SUMIF('Scenario calc'!$C$7:$AL$7,C$35,'Scenario calc'!$C$48:$AL$48)</f>
        <v>-38601.11312</v>
      </c>
      <c r="D36" s="61" t="n">
        <f aca="false">SUMIF('Scenario calc'!$C$7:$AL$7,D$35,'Scenario calc'!$C$48:$AL$48)</f>
        <v>-41612.9529824</v>
      </c>
    </row>
    <row r="37" customFormat="false" ht="15" hidden="false" customHeight="false" outlineLevel="0" collapsed="false">
      <c r="A37" s="6" t="s">
        <v>106</v>
      </c>
      <c r="B37" s="61" t="n">
        <f aca="false">SUMIF('Scenario calc'!$C$127:$AL$127,B$35,'Scenario calc'!$C$168:$AL$168)</f>
        <v>-7305.96400000003</v>
      </c>
      <c r="C37" s="61" t="n">
        <f aca="false">SUMIF('Scenario calc'!$C$127:$AL$127,C$35,'Scenario calc'!$C$168:$AL$168)</f>
        <v>24630.4908928</v>
      </c>
      <c r="D37" s="61" t="n">
        <f aca="false">SUMIF('Scenario calc'!$C$127:$AL$127,D$35,'Scenario calc'!$C$168:$AL$168)</f>
        <v>32253.0103955315</v>
      </c>
    </row>
    <row r="38" customFormat="false" ht="15" hidden="false" customHeight="false" outlineLevel="0" collapsed="false">
      <c r="A38" s="6" t="s">
        <v>107</v>
      </c>
      <c r="B38" s="61" t="n">
        <f aca="false">SUMIF('Scenario calc'!$C$247:$AL$247,B$35,'Scenario calc'!$C$288:$AL$288)</f>
        <v>63466.4168</v>
      </c>
      <c r="C38" s="61" t="n">
        <f aca="false">SUMIF('Scenario calc'!$C$247:$AL$247,C$35,'Scenario calc'!$C$288:$AL$288)</f>
        <v>101989.39696</v>
      </c>
      <c r="D38" s="61" t="n">
        <f aca="false">SUMIF('Scenario calc'!$C$247:$AL$247,D$35,'Scenario calc'!$C$288:$AL$288)</f>
        <v>124559.55665572</v>
      </c>
    </row>
    <row r="40" customFormat="false" ht="15.75" hidden="false" customHeight="true" outlineLevel="0" collapsed="false">
      <c r="A40" s="7" t="s">
        <v>130</v>
      </c>
      <c r="B40" s="7"/>
      <c r="C40" s="7"/>
      <c r="D40" s="7"/>
      <c r="E40" s="7"/>
    </row>
    <row r="41" customFormat="false" ht="15" hidden="false" customHeight="false" outlineLevel="0" collapsed="false">
      <c r="A41" s="33" t="s">
        <v>128</v>
      </c>
      <c r="B41" s="34" t="n">
        <v>1</v>
      </c>
      <c r="C41" s="34" t="n">
        <v>2</v>
      </c>
      <c r="D41" s="34" t="n">
        <v>3</v>
      </c>
    </row>
    <row r="42" customFormat="false" ht="15" hidden="false" customHeight="false" outlineLevel="0" collapsed="false">
      <c r="A42" s="6" t="s">
        <v>105</v>
      </c>
      <c r="B42" s="61" t="n">
        <f aca="false">SUMIF('Scenario calc'!$C$7:$AL$7,B$41,'Scenario calc'!$C$57:$AL$57)</f>
        <v>-98113.2237209524</v>
      </c>
      <c r="C42" s="61" t="n">
        <f aca="false">SUMIF('Scenario calc'!$C$7:$AL$7,C$41,'Scenario calc'!$C$57:$AL$57)</f>
        <v>-64477.5416914286</v>
      </c>
      <c r="D42" s="61" t="n">
        <f aca="false">SUMIF('Scenario calc'!$C$7:$AL$7,D$41,'Scenario calc'!$C$57:$AL$57)</f>
        <v>-66226.5244109714</v>
      </c>
    </row>
    <row r="43" customFormat="false" ht="15" hidden="false" customHeight="false" outlineLevel="0" collapsed="false">
      <c r="A43" s="6" t="s">
        <v>106</v>
      </c>
      <c r="B43" s="61" t="n">
        <f aca="false">SUMIF('Scenario calc'!$C$127:$AL$127,B$41,'Scenario calc'!$C$177:$AL$177)</f>
        <v>-34439.6247142858</v>
      </c>
      <c r="C43" s="61" t="n">
        <f aca="false">SUMIF('Scenario calc'!$C$127:$AL$127,C$41,'Scenario calc'!$C$177:$AL$177)</f>
        <v>-1245.9376786286</v>
      </c>
      <c r="D43" s="61" t="n">
        <f aca="false">SUMIF('Scenario calc'!$C$127:$AL$127,D$41,'Scenario calc'!$C$177:$AL$177)</f>
        <v>7639.43896696008</v>
      </c>
    </row>
    <row r="44" customFormat="false" ht="15" hidden="false" customHeight="false" outlineLevel="0" collapsed="false">
      <c r="A44" s="6" t="s">
        <v>107</v>
      </c>
      <c r="B44" s="61" t="n">
        <f aca="false">SUMIF('Scenario calc'!$C$247:$AL$247,B$41,'Scenario calc'!$C$297:$AL$297)</f>
        <v>28702.8773077143</v>
      </c>
      <c r="C44" s="61" t="n">
        <f aca="false">SUMIF('Scenario calc'!$C$247:$AL$247,C$41,'Scenario calc'!$C$297:$AL$297)</f>
        <v>60129.2450269715</v>
      </c>
      <c r="D44" s="61" t="n">
        <f aca="false">SUMIF('Scenario calc'!$C$247:$AL$247,D$41,'Scenario calc'!$C$297:$AL$297)</f>
        <v>78957.3283294474</v>
      </c>
    </row>
    <row r="46" customFormat="false" ht="15.75" hidden="false" customHeight="true" outlineLevel="0" collapsed="false">
      <c r="A46" s="7" t="s">
        <v>131</v>
      </c>
      <c r="B46" s="7"/>
      <c r="C46" s="7"/>
      <c r="D46" s="7"/>
      <c r="E46" s="7"/>
    </row>
    <row r="47" customFormat="false" ht="15" hidden="false" customHeight="false" outlineLevel="0" collapsed="false">
      <c r="A47" s="33" t="s">
        <v>128</v>
      </c>
      <c r="B47" s="34" t="n">
        <v>1</v>
      </c>
      <c r="C47" s="34" t="n">
        <v>2</v>
      </c>
      <c r="D47" s="34" t="n">
        <v>3</v>
      </c>
    </row>
    <row r="48" customFormat="false" ht="15" hidden="false" customHeight="false" outlineLevel="0" collapsed="false">
      <c r="A48" s="6" t="s">
        <v>105</v>
      </c>
      <c r="B48" s="61" t="n">
        <f aca="false">INDEX('Scenario calc'!$C$91:$AL$91,B$47*12)</f>
        <v>-43517.11246</v>
      </c>
      <c r="C48" s="61" t="n">
        <f aca="false">INDEX('Scenario calc'!$C$91:$AL$91,C$47*12)</f>
        <v>-108433.218135733</v>
      </c>
      <c r="D48" s="61" t="n">
        <f aca="false">INDEX('Scenario calc'!$C$91:$AL$91,D$47*12)</f>
        <v>-174741.268687648</v>
      </c>
    </row>
    <row r="49" customFormat="false" ht="15" hidden="false" customHeight="false" outlineLevel="0" collapsed="false">
      <c r="A49" s="6" t="s">
        <v>106</v>
      </c>
      <c r="B49" s="61" t="n">
        <f aca="false">INDEX('Scenario calc'!$C$211:$AL$211,B$47*12)</f>
        <v>19840.2994</v>
      </c>
      <c r="C49" s="61" t="n">
        <f aca="false">INDEX('Scenario calc'!$C$211:$AL$211,C$47*12)</f>
        <v>18106.0333353599</v>
      </c>
      <c r="D49" s="61" t="n">
        <f aca="false">INDEX('Scenario calc'!$C$211:$AL$211,D$47*12)</f>
        <v>25610.4149463593</v>
      </c>
    </row>
    <row r="50" customFormat="false" ht="15" hidden="false" customHeight="false" outlineLevel="0" collapsed="false">
      <c r="A50" s="6" t="s">
        <v>107</v>
      </c>
      <c r="B50" s="61" t="n">
        <f aca="false">INDEX('Scenario calc'!$C$331:$AL$331,B$47*12)</f>
        <v>82563.6747553334</v>
      </c>
      <c r="C50" s="61" t="n">
        <f aca="false">INDEX('Scenario calc'!$C$331:$AL$331,C$47*12)</f>
        <v>142126.3463292</v>
      </c>
      <c r="D50" s="61" t="n">
        <f aca="false">INDEX('Scenario calc'!$C$331:$AL$331,D$47*12)</f>
        <v>220859.658568589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F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5" min="2" style="0" width="16"/>
  </cols>
  <sheetData>
    <row r="1" customFormat="false" ht="21.75" hidden="false" customHeight="true" outlineLevel="0" collapsed="false">
      <c r="A1" s="16" t="s">
        <v>132</v>
      </c>
      <c r="F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133</v>
      </c>
    </row>
    <row r="3" customFormat="false" ht="15" hidden="false" customHeight="false" outlineLevel="0" collapsed="false">
      <c r="A3" s="4" t="s">
        <v>134</v>
      </c>
      <c r="B3" s="5" t="str">
        <f aca="false">CHOOSE(Dashboard!$B$4,"Low","Base","High")</f>
        <v>Base</v>
      </c>
    </row>
    <row r="5" customFormat="false" ht="15.75" hidden="false" customHeight="true" outlineLevel="0" collapsed="false">
      <c r="A5" s="7" t="s">
        <v>135</v>
      </c>
      <c r="B5" s="7"/>
      <c r="C5" s="7"/>
      <c r="D5" s="7"/>
    </row>
    <row r="6" customFormat="false" ht="15" hidden="false" customHeight="false" outlineLevel="0" collapsed="false">
      <c r="A6" s="6" t="s">
        <v>126</v>
      </c>
      <c r="B6" s="65" t="n">
        <f aca="false">MATCH(MIN(Monthly!$C$89:$AL$89),Monthly!$C$89:$AL$89,0)</f>
        <v>26</v>
      </c>
    </row>
    <row r="7" customFormat="false" ht="15" hidden="false" customHeight="false" outlineLevel="0" collapsed="false">
      <c r="A7" s="6" t="s">
        <v>136</v>
      </c>
      <c r="B7" s="67" t="n">
        <f aca="false">SUMPRODUCT(--(Monthly!$C$4:$AL$4&lt;=$B$6),Monthly!$C$62:$AL$62)</f>
        <v>143000</v>
      </c>
    </row>
    <row r="8" customFormat="false" ht="15" hidden="false" customHeight="false" outlineLevel="0" collapsed="false">
      <c r="A8" s="6" t="s">
        <v>137</v>
      </c>
      <c r="B8" s="67" t="n">
        <f aca="false">-SUMPRODUCT(--(Monthly!$C$4:$AL$4&lt;=$B$6),Monthly!$C$83:$AL$83)</f>
        <v>-372.415103035946</v>
      </c>
      <c r="D8" s="18" t="s">
        <v>138</v>
      </c>
    </row>
    <row r="9" customFormat="false" ht="15" hidden="false" customHeight="false" outlineLevel="0" collapsed="false">
      <c r="A9" s="6" t="s">
        <v>139</v>
      </c>
      <c r="B9" s="67" t="n">
        <f aca="false">-SUMPRODUCT(--(Monthly!$C$4:$AL$4&lt;=$B$6),Monthly!$C$71:$AL$71)</f>
        <v>37500</v>
      </c>
    </row>
    <row r="10" customFormat="false" ht="15" hidden="false" customHeight="false" outlineLevel="0" collapsed="false">
      <c r="A10" s="4" t="s">
        <v>140</v>
      </c>
      <c r="B10" s="68" t="n">
        <f aca="false">B7+B8+B9</f>
        <v>180127.584896964</v>
      </c>
    </row>
    <row r="11" customFormat="false" ht="15" hidden="false" customHeight="false" outlineLevel="0" collapsed="false">
      <c r="A11" s="6" t="s">
        <v>141</v>
      </c>
      <c r="B11" s="69" t="n">
        <f aca="false">Inputs!$E$86</f>
        <v>42000</v>
      </c>
      <c r="D11" s="18" t="s">
        <v>142</v>
      </c>
    </row>
    <row r="12" customFormat="false" ht="15" hidden="false" customHeight="false" outlineLevel="0" collapsed="false">
      <c r="A12" s="4" t="s">
        <v>143</v>
      </c>
      <c r="B12" s="68" t="n">
        <f aca="false">B10+B11</f>
        <v>222127.584896964</v>
      </c>
    </row>
    <row r="14" customFormat="false" ht="15" hidden="false" customHeight="false" outlineLevel="0" collapsed="false">
      <c r="A14" s="6" t="s">
        <v>64</v>
      </c>
      <c r="B14" s="69" t="n">
        <f aca="false">Inputs!$E$71</f>
        <v>100000</v>
      </c>
    </row>
    <row r="15" customFormat="false" ht="15" hidden="false" customHeight="false" outlineLevel="0" collapsed="false">
      <c r="A15" s="6" t="s">
        <v>65</v>
      </c>
      <c r="B15" s="69" t="n">
        <f aca="false">Inputs!$E$72</f>
        <v>90000</v>
      </c>
    </row>
    <row r="16" customFormat="false" ht="15" hidden="false" customHeight="false" outlineLevel="0" collapsed="false">
      <c r="A16" s="4" t="s">
        <v>144</v>
      </c>
      <c r="B16" s="68" t="n">
        <f aca="false">B14+B15</f>
        <v>190000</v>
      </c>
    </row>
    <row r="17" customFormat="false" ht="15" hidden="false" customHeight="false" outlineLevel="0" collapsed="false">
      <c r="A17" s="70" t="s">
        <v>67</v>
      </c>
      <c r="B17" s="71" t="n">
        <f aca="false">B16-B12</f>
        <v>-32127.5848969641</v>
      </c>
      <c r="D17" s="18" t="s">
        <v>145</v>
      </c>
    </row>
    <row r="18" customFormat="false" ht="15" hidden="false" customHeight="false" outlineLevel="0" collapsed="false">
      <c r="A18" s="6" t="s">
        <v>146</v>
      </c>
      <c r="B18" s="67" t="n">
        <f aca="false">MIN(Monthly!$C$89:$AL$89)</f>
        <v>9872.41510303594</v>
      </c>
      <c r="D18" s="18" t="s">
        <v>147</v>
      </c>
    </row>
    <row r="20" customFormat="false" ht="15.75" hidden="false" customHeight="true" outlineLevel="0" collapsed="false">
      <c r="A20" s="7" t="s">
        <v>148</v>
      </c>
      <c r="B20" s="7"/>
      <c r="C20" s="7"/>
      <c r="D20" s="7"/>
    </row>
    <row r="21" customFormat="false" ht="15" hidden="false" customHeight="false" outlineLevel="0" collapsed="false">
      <c r="A21" s="6" t="s">
        <v>149</v>
      </c>
      <c r="B21" s="65" t="n">
        <f aca="false">IFERROR(MATCH(1,Monthly!$C$90:$AL$90,0),"Not within horizon")</f>
        <v>6</v>
      </c>
    </row>
    <row r="22" customFormat="false" ht="15" hidden="false" customHeight="false" outlineLevel="0" collapsed="false">
      <c r="A22" s="6" t="s">
        <v>150</v>
      </c>
      <c r="B22" s="65" t="n">
        <f aca="false">IFERROR(MATCH(1,Monthly!$C$93:$AL$93,0),"Not within horizon")</f>
        <v>7</v>
      </c>
    </row>
    <row r="23" customFormat="false" ht="15" hidden="false" customHeight="false" outlineLevel="0" collapsed="false">
      <c r="A23" s="6" t="s">
        <v>151</v>
      </c>
      <c r="B23" s="65" t="str">
        <f aca="false">IF(MIN(Monthly!$C$95:$AL$95)&gt;=0,"No investment to pay back",IFERROR(MATCH(1,Monthly!$C$97:$AL$97,0),"Not within horizon"))</f>
        <v>Not within horizon</v>
      </c>
      <c r="D23" s="18" t="s">
        <v>152</v>
      </c>
    </row>
    <row r="25" customFormat="false" ht="15.75" hidden="false" customHeight="true" outlineLevel="0" collapsed="false">
      <c r="A25" s="7" t="s">
        <v>153</v>
      </c>
      <c r="B25" s="7"/>
      <c r="C25" s="7"/>
      <c r="D25" s="7"/>
    </row>
    <row r="26" customFormat="false" ht="15" hidden="false" customHeight="false" outlineLevel="0" collapsed="false">
      <c r="A26" s="72" t="s">
        <v>154</v>
      </c>
      <c r="B26" s="72" t="n">
        <v>1</v>
      </c>
      <c r="C26" s="72" t="n">
        <v>2</v>
      </c>
      <c r="D26" s="72" t="n">
        <v>3</v>
      </c>
    </row>
    <row r="27" customFormat="false" ht="15" hidden="false" customHeight="false" outlineLevel="0" collapsed="false">
      <c r="A27" s="33"/>
      <c r="B27" s="35" t="s">
        <v>155</v>
      </c>
      <c r="C27" s="35" t="s">
        <v>156</v>
      </c>
      <c r="D27" s="35" t="s">
        <v>157</v>
      </c>
    </row>
    <row r="28" customFormat="false" ht="15" hidden="false" customHeight="false" outlineLevel="0" collapsed="false">
      <c r="A28" s="4" t="s">
        <v>44</v>
      </c>
      <c r="B28" s="73" t="n">
        <f aca="false">SUMIF(Monthly!$C$5:$AL$5,B$26,Monthly!$C$24:$AL$24)</f>
        <v>273896</v>
      </c>
      <c r="C28" s="73" t="n">
        <f aca="false">SUMIF(Monthly!$C$5:$AL$5,C$26,Monthly!$C$24:$AL$24)</f>
        <v>336825.8208</v>
      </c>
      <c r="D28" s="73" t="n">
        <f aca="false">SUMIF(Monthly!$C$5:$AL$5,D$26,Monthly!$C$24:$AL$24)</f>
        <v>358461.36984672</v>
      </c>
    </row>
    <row r="29" customFormat="false" ht="15" hidden="false" customHeight="false" outlineLevel="0" collapsed="false">
      <c r="A29" s="6" t="s">
        <v>45</v>
      </c>
      <c r="B29" s="67" t="n">
        <f aca="false">SUMIF(Monthly!$C$5:$AL$5,B$26,Monthly!$C$33:$AL$33)</f>
        <v>161966.536</v>
      </c>
      <c r="C29" s="67" t="n">
        <f aca="false">SUMIF(Monthly!$C$5:$AL$5,C$26,Monthly!$C$33:$AL$33)</f>
        <v>199005.1028928</v>
      </c>
      <c r="D29" s="67" t="n">
        <f aca="false">SUMIF(Monthly!$C$5:$AL$5,D$26,Monthly!$C$33:$AL$33)</f>
        <v>211683.054593532</v>
      </c>
    </row>
    <row r="30" customFormat="false" ht="15" hidden="false" customHeight="false" outlineLevel="0" collapsed="false">
      <c r="A30" s="39" t="s">
        <v>158</v>
      </c>
      <c r="B30" s="74" t="n">
        <f aca="false">IF(B28=0,0,B29/B28)</f>
        <v>0.59134319595759</v>
      </c>
      <c r="C30" s="74" t="n">
        <f aca="false">IF(C28=0,0,C29/C28)</f>
        <v>0.590824962350392</v>
      </c>
      <c r="D30" s="74" t="n">
        <f aca="false">IF(D28=0,0,D29/D28)</f>
        <v>0.590532404325879</v>
      </c>
    </row>
    <row r="31" customFormat="false" ht="15" hidden="false" customHeight="false" outlineLevel="0" collapsed="false">
      <c r="A31" s="6" t="s">
        <v>159</v>
      </c>
      <c r="B31" s="67" t="n">
        <f aca="false">-SUMIF(Monthly!$C$5:$AL$5,B$26,Monthly!$C$45:$AL$45)</f>
        <v>169272.5</v>
      </c>
      <c r="C31" s="67" t="n">
        <f aca="false">-SUMIF(Monthly!$C$5:$AL$5,C$26,Monthly!$C$45:$AL$45)</f>
        <v>174374.612</v>
      </c>
      <c r="D31" s="67" t="n">
        <f aca="false">-SUMIF(Monthly!$C$5:$AL$5,D$26,Monthly!$C$45:$AL$45)</f>
        <v>179430.044198</v>
      </c>
    </row>
    <row r="32" customFormat="false" ht="15" hidden="false" customHeight="false" outlineLevel="0" collapsed="false">
      <c r="A32" s="4" t="s">
        <v>160</v>
      </c>
      <c r="B32" s="73" t="n">
        <f aca="false">IF(B30&gt;0,B31/B30,"n/a")</f>
        <v>286250.862709072</v>
      </c>
      <c r="C32" s="73" t="n">
        <f aca="false">IF(C30&gt;0,C31/C30,"n/a")</f>
        <v>295137.516374242</v>
      </c>
      <c r="D32" s="73" t="n">
        <f aca="false">IF(D30&gt;0,D31/D30,"n/a")</f>
        <v>303844.535682725</v>
      </c>
    </row>
    <row r="33" customFormat="false" ht="15" hidden="false" customHeight="false" outlineLevel="0" collapsed="false">
      <c r="A33" s="39" t="s">
        <v>161</v>
      </c>
      <c r="B33" s="74" t="n">
        <f aca="false">IF(AND(ISNUMBER(B32),B28&gt;0),(B28-B32)/B28,"n/a")</f>
        <v>-0.0451078610460622</v>
      </c>
      <c r="C33" s="74" t="n">
        <f aca="false">IF(AND(ISNUMBER(C32),C28&gt;0),(C28-C32)/C28,"n/a")</f>
        <v>0.12376813727268</v>
      </c>
      <c r="D33" s="74" t="n">
        <f aca="false">IF(AND(ISNUMBER(D32),D28&gt;0),(D28-D32)/D28,"n/a")</f>
        <v>0.152364630496583</v>
      </c>
    </row>
    <row r="35" customFormat="false" ht="15" hidden="false" customHeight="false" outlineLevel="0" collapsed="false">
      <c r="A35" s="39" t="s">
        <v>162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H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7" min="2" style="0" width="16"/>
  </cols>
  <sheetData>
    <row r="1" customFormat="false" ht="21.75" hidden="false" customHeight="true" outlineLevel="0" collapsed="false">
      <c r="A1" s="16" t="s">
        <v>163</v>
      </c>
      <c r="H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164</v>
      </c>
    </row>
    <row r="3" customFormat="false" ht="15" hidden="false" customHeight="false" outlineLevel="0" collapsed="false">
      <c r="A3" s="4" t="s">
        <v>134</v>
      </c>
      <c r="B3" s="5" t="str">
        <f aca="false">CHOOSE(Dashboard!$B$4,"Low","Base","High")</f>
        <v>Base</v>
      </c>
    </row>
    <row r="5" customFormat="false" ht="15.75" hidden="false" customHeight="true" outlineLevel="0" collapsed="false">
      <c r="A5" s="7" t="s">
        <v>165</v>
      </c>
      <c r="B5" s="7"/>
      <c r="C5" s="7"/>
      <c r="D5" s="7"/>
      <c r="E5" s="7"/>
      <c r="F5" s="7"/>
    </row>
    <row r="6" customFormat="false" ht="15" hidden="false" customHeight="false" outlineLevel="0" collapsed="false">
      <c r="A6" s="39" t="s">
        <v>166</v>
      </c>
      <c r="B6" s="75" t="n">
        <f aca="false">Inputs!$E$89</f>
        <v>0.25</v>
      </c>
    </row>
    <row r="7" customFormat="false" ht="15" hidden="false" customHeight="false" outlineLevel="0" collapsed="false">
      <c r="A7" s="39" t="s">
        <v>167</v>
      </c>
      <c r="B7" s="75" t="n">
        <f aca="false">Inputs!$E$90</f>
        <v>0.02</v>
      </c>
    </row>
    <row r="8" customFormat="false" ht="15" hidden="false" customHeight="false" outlineLevel="0" collapsed="false">
      <c r="A8" s="6" t="s">
        <v>168</v>
      </c>
      <c r="B8" s="76" t="n">
        <f aca="false">Inputs!$E$91</f>
        <v>4</v>
      </c>
    </row>
    <row r="9" customFormat="false" ht="15" hidden="false" customHeight="false" outlineLevel="0" collapsed="false">
      <c r="A9" s="39" t="s">
        <v>169</v>
      </c>
      <c r="B9" s="75" t="n">
        <f aca="false">Inputs!$E$83</f>
        <v>0.21</v>
      </c>
    </row>
    <row r="10" customFormat="false" ht="15" hidden="false" customHeight="false" outlineLevel="0" collapsed="false">
      <c r="A10" s="39" t="s">
        <v>170</v>
      </c>
      <c r="B10" s="75" t="n">
        <f aca="false">Inputs!$E$92</f>
        <v>0.01</v>
      </c>
    </row>
    <row r="11" customFormat="false" ht="15" hidden="false" customHeight="false" outlineLevel="0" collapsed="false">
      <c r="A11" s="39" t="s">
        <v>171</v>
      </c>
      <c r="B11" s="75" t="n">
        <f aca="false">Inputs!$E$93</f>
        <v>0.005</v>
      </c>
    </row>
    <row r="13" customFormat="false" ht="15.75" hidden="false" customHeight="true" outlineLevel="0" collapsed="false">
      <c r="A13" s="7" t="s">
        <v>172</v>
      </c>
      <c r="B13" s="7"/>
      <c r="C13" s="7"/>
      <c r="D13" s="7"/>
    </row>
    <row r="14" customFormat="false" ht="15" hidden="false" customHeight="false" outlineLevel="0" collapsed="false">
      <c r="A14" s="72" t="s">
        <v>154</v>
      </c>
      <c r="B14" s="72" t="n">
        <v>1</v>
      </c>
      <c r="C14" s="72" t="n">
        <v>2</v>
      </c>
      <c r="D14" s="72" t="n">
        <v>3</v>
      </c>
    </row>
    <row r="15" customFormat="false" ht="15" hidden="false" customHeight="false" outlineLevel="0" collapsed="false">
      <c r="A15" s="33"/>
      <c r="B15" s="35" t="s">
        <v>155</v>
      </c>
      <c r="C15" s="35" t="s">
        <v>156</v>
      </c>
      <c r="D15" s="35" t="s">
        <v>157</v>
      </c>
    </row>
    <row r="16" customFormat="false" ht="15" hidden="false" customHeight="false" outlineLevel="0" collapsed="false">
      <c r="A16" s="6" t="s">
        <v>48</v>
      </c>
      <c r="B16" s="67" t="n">
        <f aca="false">SUMIF(Monthly!$C$5:$AL$5,B$14,Monthly!$C$46:$AL$46)</f>
        <v>-7305.96400000003</v>
      </c>
      <c r="C16" s="67" t="n">
        <f aca="false">SUMIF(Monthly!$C$5:$AL$5,C$14,Monthly!$C$46:$AL$46)</f>
        <v>24630.4908928</v>
      </c>
      <c r="D16" s="67" t="n">
        <f aca="false">SUMIF(Monthly!$C$5:$AL$5,D$14,Monthly!$C$46:$AL$46)</f>
        <v>32253.0103955315</v>
      </c>
    </row>
    <row r="17" customFormat="false" ht="15" hidden="false" customHeight="false" outlineLevel="0" collapsed="false">
      <c r="A17" s="4" t="s">
        <v>173</v>
      </c>
      <c r="B17" s="73" t="n">
        <f aca="false">SUMIF(Monthly!$C$5:$AL$5,B$14,Monthly!$C$98:$AL$98)</f>
        <v>-147798.39435</v>
      </c>
      <c r="C17" s="73" t="n">
        <f aca="false">SUMIF(Monthly!$C$5:$AL$5,C$14,Monthly!$C$98:$AL$98)</f>
        <v>20851.68393536</v>
      </c>
      <c r="D17" s="73" t="n">
        <f aca="false">SUMIF(Monthly!$C$5:$AL$5,D$14,Monthly!$C$98:$AL$98)</f>
        <v>28810.5316109994</v>
      </c>
    </row>
    <row r="18" customFormat="false" ht="15" hidden="false" customHeight="false" outlineLevel="0" collapsed="false">
      <c r="A18" s="6" t="s">
        <v>174</v>
      </c>
      <c r="B18" s="77" t="n">
        <f aca="false">1/(1+Inputs!$E$89)^B$14</f>
        <v>0.8</v>
      </c>
      <c r="C18" s="77" t="n">
        <f aca="false">1/(1+Inputs!$E$89)^C$14</f>
        <v>0.64</v>
      </c>
      <c r="D18" s="77" t="n">
        <f aca="false">1/(1+Inputs!$E$89)^D$14</f>
        <v>0.512</v>
      </c>
    </row>
    <row r="19" customFormat="false" ht="15" hidden="false" customHeight="false" outlineLevel="0" collapsed="false">
      <c r="A19" s="6" t="s">
        <v>175</v>
      </c>
      <c r="B19" s="67" t="n">
        <f aca="false">B17*B18</f>
        <v>-118238.71548</v>
      </c>
      <c r="C19" s="67" t="n">
        <f aca="false">C17*C18</f>
        <v>13345.0777186304</v>
      </c>
      <c r="D19" s="67" t="n">
        <f aca="false">D17*D18</f>
        <v>14750.9921848317</v>
      </c>
    </row>
    <row r="21" customFormat="false" ht="15.75" hidden="false" customHeight="true" outlineLevel="0" collapsed="false">
      <c r="A21" s="7" t="s">
        <v>176</v>
      </c>
      <c r="B21" s="7"/>
      <c r="C21" s="7"/>
      <c r="D21" s="7"/>
      <c r="E21" s="7"/>
      <c r="F21" s="7"/>
    </row>
    <row r="22" customFormat="false" ht="15" hidden="false" customHeight="false" outlineLevel="0" collapsed="false">
      <c r="B22" s="35" t="s">
        <v>177</v>
      </c>
      <c r="C22" s="35" t="s">
        <v>178</v>
      </c>
    </row>
    <row r="23" customFormat="false" ht="15" hidden="false" customHeight="false" outlineLevel="0" collapsed="false">
      <c r="A23" s="6" t="s">
        <v>179</v>
      </c>
      <c r="B23" s="67" t="n">
        <f aca="false">SUM($B$19:$D$19)</f>
        <v>-90142.6455765379</v>
      </c>
      <c r="C23" s="67" t="n">
        <f aca="false">B23</f>
        <v>-90142.6455765379</v>
      </c>
    </row>
    <row r="24" customFormat="false" ht="15" hidden="false" customHeight="false" outlineLevel="0" collapsed="false">
      <c r="A24" s="6" t="s">
        <v>180</v>
      </c>
      <c r="B24" s="67" t="n">
        <f aca="false">$D$17</f>
        <v>28810.5316109994</v>
      </c>
      <c r="C24" s="67" t="n">
        <f aca="false">$D$16</f>
        <v>32253.0103955315</v>
      </c>
    </row>
    <row r="25" customFormat="false" ht="15" hidden="false" customHeight="false" outlineLevel="0" collapsed="false">
      <c r="A25" s="6" t="s">
        <v>181</v>
      </c>
      <c r="B25" s="67" t="n">
        <f aca="false">IF($B$6&gt;$B$7,B24*(1+$B$7)/($B$6-$B$7),0)</f>
        <v>127768.444535737</v>
      </c>
      <c r="C25" s="67" t="n">
        <f aca="false">C24*$B$8</f>
        <v>129012.041582126</v>
      </c>
    </row>
    <row r="26" customFormat="false" ht="15" hidden="false" customHeight="false" outlineLevel="0" collapsed="false">
      <c r="A26" s="6" t="s">
        <v>182</v>
      </c>
      <c r="B26" s="67" t="n">
        <f aca="false">B25/(1+$B$6)^$D$14</f>
        <v>65417.4436022971</v>
      </c>
      <c r="C26" s="67" t="n">
        <f aca="false">C25/(1+$B$6)^$D$14</f>
        <v>66054.1652900485</v>
      </c>
    </row>
    <row r="27" customFormat="false" ht="15" hidden="false" customHeight="false" outlineLevel="0" collapsed="false">
      <c r="A27" s="4" t="s">
        <v>176</v>
      </c>
      <c r="B27" s="68" t="n">
        <f aca="false">B23+B26</f>
        <v>-24725.2019742408</v>
      </c>
      <c r="C27" s="68" t="n">
        <f aca="false">C23+C26</f>
        <v>-24088.4802864894</v>
      </c>
    </row>
    <row r="28" customFormat="false" ht="15" hidden="false" customHeight="false" outlineLevel="0" collapsed="false">
      <c r="A28" s="39" t="s">
        <v>183</v>
      </c>
      <c r="B28" s="74" t="n">
        <f aca="false">IF(B27&lt;&gt;0,B26/B27,0)</f>
        <v>-2.64577994834785</v>
      </c>
      <c r="C28" s="74" t="n">
        <f aca="false">IF(C27&lt;&gt;0,C26/C27,0)</f>
        <v>-2.74214747067695</v>
      </c>
    </row>
    <row r="29" customFormat="false" ht="15" hidden="false" customHeight="false" outlineLevel="0" collapsed="false">
      <c r="A29" s="6" t="s">
        <v>184</v>
      </c>
      <c r="B29" s="78" t="n">
        <f aca="false">IF(C24&gt;0,B25/C24,"n/a")</f>
        <v>3.96144245045226</v>
      </c>
      <c r="C29" s="74" t="n">
        <f aca="false">IF(C25+B24&lt;&gt;0,(C25*$B$6-B24)/(C25+B24),"n/a")</f>
        <v>0.0218123346672315</v>
      </c>
    </row>
    <row r="30" customFormat="false" ht="15" hidden="false" customHeight="false" outlineLevel="0" collapsed="false">
      <c r="A30" s="70" t="s">
        <v>185</v>
      </c>
      <c r="B30" s="71" t="n">
        <f aca="false">AVERAGE(B27,C27)</f>
        <v>-24406.8411303651</v>
      </c>
    </row>
    <row r="32" customFormat="false" ht="15.75" hidden="false" customHeight="true" outlineLevel="0" collapsed="false">
      <c r="A32" s="7" t="s">
        <v>186</v>
      </c>
      <c r="B32" s="7"/>
      <c r="C32" s="7"/>
      <c r="D32" s="7"/>
      <c r="E32" s="7"/>
      <c r="F32" s="7"/>
    </row>
    <row r="33" customFormat="false" ht="15" hidden="false" customHeight="false" outlineLevel="0" collapsed="false">
      <c r="A33" s="33" t="s">
        <v>187</v>
      </c>
      <c r="B33" s="79" t="n">
        <f aca="false">$B$7+(-2)*$B$11</f>
        <v>0.01</v>
      </c>
      <c r="C33" s="79" t="n">
        <f aca="false">$B$7+(-1)*$B$11</f>
        <v>0.015</v>
      </c>
      <c r="D33" s="79" t="n">
        <f aca="false">$B$7+(0)*$B$11</f>
        <v>0.02</v>
      </c>
      <c r="E33" s="79" t="n">
        <f aca="false">$B$7+(1)*$B$11</f>
        <v>0.025</v>
      </c>
      <c r="F33" s="79" t="n">
        <f aca="false">$B$7+(2)*$B$11</f>
        <v>0.03</v>
      </c>
    </row>
    <row r="34" customFormat="false" ht="15" hidden="false" customHeight="false" outlineLevel="0" collapsed="false">
      <c r="A34" s="74" t="n">
        <f aca="false">$B$6+(-2)*$B$10</f>
        <v>0.23</v>
      </c>
      <c r="B34" s="67" t="n">
        <f aca="false">IF($A34&gt;B$33,SUMPRODUCT($B$17:$D$17/(1+$A34)^$B$14:$D$14)+$D$17*(1+B$33)/($A34-B$33)/(1+$A34)^$D$14,"n/a")</f>
        <v>-19818.4805651139</v>
      </c>
      <c r="C34" s="67" t="n">
        <f aca="false">IF($A34&gt;C$33,SUMPRODUCT($B$17:$D$17/(1+$A34)^$B$14:$D$14)+$D$17*(1+C$33)/($A34-C$33)/(1+$A34)^$D$14,"n/a")</f>
        <v>-17805.4521156986</v>
      </c>
      <c r="D34" s="67" t="n">
        <f aca="false">IF($A34&gt;D$33,SUMPRODUCT($B$17:$D$17/(1+$A34)^$B$14:$D$14)+$D$17*(1+D$33)/($A34-D$33)/(1+$A34)^$D$14,"n/a")</f>
        <v>-15696.5651686921</v>
      </c>
      <c r="E34" s="67" t="n">
        <f aca="false">IF($A34&gt;E$33,SUMPRODUCT($B$17:$D$17/(1+$A34)^$B$14:$D$14)+$D$17*(1+E$33)/($A34-E$33)/(1+$A34)^$D$14,"n/a")</f>
        <v>-13484.8056876853</v>
      </c>
      <c r="F34" s="67" t="n">
        <f aca="false">IF($A34&gt;F$33,SUMPRODUCT($B$17:$D$17/(1+$A34)^$B$14:$D$14)+$D$17*(1+F$33)/($A34-F$33)/(1+$A34)^$D$14,"n/a")</f>
        <v>-11162.4582326281</v>
      </c>
    </row>
    <row r="35" customFormat="false" ht="15" hidden="false" customHeight="false" outlineLevel="0" collapsed="false">
      <c r="A35" s="74" t="n">
        <f aca="false">$B$6+(-1)*$B$10</f>
        <v>0.24</v>
      </c>
      <c r="B35" s="67" t="n">
        <f aca="false">IF($A35&gt;B$33,SUMPRODUCT($B$17:$D$17/(1+$A35)^$B$14:$D$14)+$D$17*(1+B$33)/($A35-B$33)/(1+$A35)^$D$14,"n/a")</f>
        <v>-24164.375742229</v>
      </c>
      <c r="C35" s="67" t="n">
        <f aca="false">IF($A35&gt;C$33,SUMPRODUCT($B$17:$D$17/(1+$A35)^$B$14:$D$14)+$D$17*(1+C$33)/($A35-C$33)/(1+$A35)^$D$14,"n/a")</f>
        <v>-22354.0048768488</v>
      </c>
      <c r="D35" s="67" t="n">
        <f aca="false">IF($A35&gt;D$33,SUMPRODUCT($B$17:$D$17/(1+$A35)^$B$14:$D$14)+$D$17*(1+D$33)/($A35-D$33)/(1+$A35)^$D$14,"n/a")</f>
        <v>-20461.3444266785</v>
      </c>
      <c r="E35" s="67" t="n">
        <f aca="false">IF($A35&gt;E$33,SUMPRODUCT($B$17:$D$17/(1+$A35)^$B$14:$D$14)+$D$17*(1+E$33)/($A35-E$33)/(1+$A35)^$D$14,"n/a")</f>
        <v>-18480.6532578957</v>
      </c>
      <c r="F35" s="67" t="n">
        <f aca="false">IF($A35&gt;F$33,SUMPRODUCT($B$17:$D$17/(1+$A35)^$B$14:$D$14)+$D$17*(1+F$33)/($A35-F$33)/(1+$A35)^$D$14,"n/a")</f>
        <v>-16405.643462028</v>
      </c>
    </row>
    <row r="36" customFormat="false" ht="15" hidden="false" customHeight="false" outlineLevel="0" collapsed="false">
      <c r="A36" s="74" t="n">
        <f aca="false">$B$6+(0)*$B$10</f>
        <v>0.25</v>
      </c>
      <c r="B36" s="67" t="n">
        <f aca="false">IF($A36&gt;B$33,SUMPRODUCT($B$17:$D$17/(1+$A36)^$B$14:$D$14)+$D$17*(1+B$33)/($A36-B$33)/(1+$A36)^$D$14,"n/a")</f>
        <v>-28065.5534653712</v>
      </c>
      <c r="C36" s="67" t="n">
        <f aca="false">IF($A36&gt;C$33,SUMPRODUCT($B$17:$D$17/(1+$A36)^$B$14:$D$14)+$D$17*(1+C$33)/($A36-C$33)/(1+$A36)^$D$14,"n/a")</f>
        <v>-26430.913373967</v>
      </c>
      <c r="D36" s="67" t="n">
        <f aca="false">IF($A36&gt;D$33,SUMPRODUCT($B$17:$D$17/(1+$A36)^$B$14:$D$14)+$D$17*(1+D$33)/($A36-D$33)/(1+$A36)^$D$14,"n/a")</f>
        <v>-24725.2019742408</v>
      </c>
      <c r="E36" s="67" t="n">
        <f aca="false">IF($A36&gt;E$33,SUMPRODUCT($B$17:$D$17/(1+$A36)^$B$14:$D$14)+$D$17*(1+E$33)/($A36-E$33)/(1+$A36)^$D$14,"n/a")</f>
        <v>-22943.6811789713</v>
      </c>
      <c r="F36" s="67" t="n">
        <f aca="false">IF($A36&gt;F$33,SUMPRODUCT($B$17:$D$17/(1+$A36)^$B$14:$D$14)+$D$17*(1+F$33)/($A36-F$33)/(1+$A36)^$D$14,"n/a")</f>
        <v>-21081.182165735</v>
      </c>
    </row>
    <row r="37" customFormat="false" ht="15" hidden="false" customHeight="false" outlineLevel="0" collapsed="false">
      <c r="A37" s="74" t="n">
        <f aca="false">$B$6+(1)*$B$10</f>
        <v>0.26</v>
      </c>
      <c r="B37" s="67" t="n">
        <f aca="false">IF($A37&gt;B$33,SUMPRODUCT($B$17:$D$17/(1+$A37)^$B$14:$D$14)+$D$17*(1+B$33)/($A37-B$33)/(1+$A37)^$D$14,"n/a")</f>
        <v>-31577.3283583034</v>
      </c>
      <c r="C37" s="67" t="n">
        <f aca="false">IF($A37&gt;C$33,SUMPRODUCT($B$17:$D$17/(1+$A37)^$B$14:$D$14)+$D$17*(1+C$33)/($A37-C$33)/(1+$A37)^$D$14,"n/a")</f>
        <v>-30095.9223797759</v>
      </c>
      <c r="D37" s="67" t="n">
        <f aca="false">IF($A37&gt;D$33,SUMPRODUCT($B$17:$D$17/(1+$A37)^$B$14:$D$14)+$D$17*(1+D$33)/($A37-D$33)/(1+$A37)^$D$14,"n/a")</f>
        <v>-28552.7911521432</v>
      </c>
      <c r="E37" s="67" t="n">
        <f aca="false">IF($A37&gt;E$33,SUMPRODUCT($B$17:$D$17/(1+$A37)^$B$14:$D$14)+$D$17*(1+E$33)/($A37-E$33)/(1+$A37)^$D$14,"n/a")</f>
        <v>-26943.9947658878</v>
      </c>
      <c r="F37" s="67" t="n">
        <f aca="false">IF($A37&gt;F$33,SUMPRODUCT($B$17:$D$17/(1+$A37)^$B$14:$D$14)+$D$17*(1+F$33)/($A37-F$33)/(1+$A37)^$D$14,"n/a")</f>
        <v>-25265.2507106647</v>
      </c>
    </row>
    <row r="38" customFormat="false" ht="15" hidden="false" customHeight="false" outlineLevel="0" collapsed="false">
      <c r="A38" s="74" t="n">
        <f aca="false">$B$6+(2)*$B$10</f>
        <v>0.27</v>
      </c>
      <c r="B38" s="67" t="n">
        <f aca="false">IF($A38&gt;B$33,SUMPRODUCT($B$17:$D$17/(1+$A38)^$B$14:$D$14)+$D$17*(1+B$33)/($A38-B$33)/(1+$A38)^$D$14,"n/a")</f>
        <v>-34746.4442456183</v>
      </c>
      <c r="C38" s="67" t="n">
        <f aca="false">IF($A38&gt;C$33,SUMPRODUCT($B$17:$D$17/(1+$A38)^$B$14:$D$14)+$D$17*(1+C$33)/($A38-C$33)/(1+$A38)^$D$14,"n/a")</f>
        <v>-33399.3427883068</v>
      </c>
      <c r="D38" s="67" t="n">
        <f aca="false">IF($A38&gt;D$33,SUMPRODUCT($B$17:$D$17/(1+$A38)^$B$14:$D$14)+$D$17*(1+D$33)/($A38-D$33)/(1+$A38)^$D$14,"n/a")</f>
        <v>-31998.3572727028</v>
      </c>
      <c r="E38" s="67" t="n">
        <f aca="false">IF($A38&gt;E$33,SUMPRODUCT($B$17:$D$17/(1+$A38)^$B$14:$D$14)+$D$17*(1+E$33)/($A38-E$33)/(1+$A38)^$D$14,"n/a")</f>
        <v>-30540.1886748294</v>
      </c>
      <c r="F38" s="67" t="n">
        <f aca="false">IF($A38&gt;F$33,SUMPRODUCT($B$17:$D$17/(1+$A38)^$B$14:$D$14)+$D$17*(1+F$33)/($A38-F$33)/(1+$A38)^$D$14,"n/a")</f>
        <v>-29021.2630520445</v>
      </c>
    </row>
    <row r="40" customFormat="false" ht="15" hidden="false" customHeight="false" outlineLevel="0" collapsed="false">
      <c r="A40" s="39" t="s">
        <v>188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E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4" min="2" style="0" width="16"/>
    <col collapsed="false" customWidth="true" hidden="false" outlineLevel="0" max="5" min="5" style="0" width="2"/>
  </cols>
  <sheetData>
    <row r="1" customFormat="false" ht="21.75" hidden="false" customHeight="true" outlineLevel="0" collapsed="false">
      <c r="A1" s="16" t="s">
        <v>189</v>
      </c>
      <c r="E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190</v>
      </c>
    </row>
    <row r="3" customFormat="false" ht="15" hidden="false" customHeight="false" outlineLevel="0" collapsed="false">
      <c r="A3" s="4" t="s">
        <v>134</v>
      </c>
      <c r="B3" s="5" t="str">
        <f aca="false">CHOOSE(Dashboard!$B$4,"Low","Base","High")</f>
        <v>Base</v>
      </c>
    </row>
    <row r="5" customFormat="false" ht="15.75" hidden="false" customHeight="true" outlineLevel="0" collapsed="false">
      <c r="A5" s="7" t="s">
        <v>191</v>
      </c>
      <c r="B5" s="7"/>
      <c r="C5" s="7"/>
    </row>
    <row r="6" customFormat="false" ht="15" hidden="false" customHeight="false" outlineLevel="0" collapsed="false">
      <c r="B6" s="35" t="s">
        <v>192</v>
      </c>
      <c r="C6" s="35" t="s">
        <v>193</v>
      </c>
    </row>
    <row r="7" customFormat="false" ht="15" hidden="false" customHeight="false" outlineLevel="0" collapsed="false">
      <c r="A7" s="6" t="s">
        <v>194</v>
      </c>
      <c r="B7" s="80" t="n">
        <f aca="false">Inputs!$E$71</f>
        <v>100000</v>
      </c>
      <c r="C7" s="74" t="n">
        <f aca="false">IF($B$9=0,0,B7/$B$9)</f>
        <v>0.526315789473684</v>
      </c>
    </row>
    <row r="8" customFormat="false" ht="15" hidden="false" customHeight="false" outlineLevel="0" collapsed="false">
      <c r="A8" s="6" t="s">
        <v>195</v>
      </c>
      <c r="B8" s="80" t="n">
        <f aca="false">Inputs!$E$72</f>
        <v>90000</v>
      </c>
      <c r="C8" s="74" t="n">
        <f aca="false">IF($B$9=0,0,B8/$B$9)</f>
        <v>0.473684210526316</v>
      </c>
    </row>
    <row r="9" customFormat="false" ht="15" hidden="false" customHeight="false" outlineLevel="0" collapsed="false">
      <c r="A9" s="4" t="s">
        <v>196</v>
      </c>
      <c r="B9" s="81" t="n">
        <f aca="false">B7+B8</f>
        <v>190000</v>
      </c>
      <c r="C9" s="82" t="n">
        <f aca="false">IF(B9=0,0,1)</f>
        <v>1</v>
      </c>
    </row>
    <row r="10" customFormat="false" ht="15" hidden="false" customHeight="false" outlineLevel="0" collapsed="false">
      <c r="A10" s="6" t="s">
        <v>197</v>
      </c>
      <c r="B10" s="78" t="n">
        <f aca="false">IF(B7&lt;=0,IF(B8&gt;0,"n/a",0),B8/B7)</f>
        <v>0.9</v>
      </c>
      <c r="D10" s="18" t="s">
        <v>198</v>
      </c>
    </row>
    <row r="11" customFormat="false" ht="15" hidden="false" customHeight="false" outlineLevel="0" collapsed="false">
      <c r="A11" s="6" t="s">
        <v>199</v>
      </c>
      <c r="B11" s="80" t="n">
        <f aca="false">'Break-even'!B12</f>
        <v>222127.584896964</v>
      </c>
    </row>
    <row r="12" customFormat="false" ht="15" hidden="false" customHeight="false" outlineLevel="0" collapsed="false">
      <c r="A12" s="70" t="s">
        <v>67</v>
      </c>
      <c r="B12" s="83" t="n">
        <f aca="false">'Break-even'!B17</f>
        <v>-32127.5848969641</v>
      </c>
    </row>
    <row r="14" customFormat="false" ht="15.75" hidden="false" customHeight="true" outlineLevel="0" collapsed="false">
      <c r="A14" s="7" t="str">
        <f aca="false">"Sources and uses of cash in the first "&amp;$B$16&amp;IF($B$16=1," month"," months")&amp;" ($'000)"</f>
        <v>Sources and uses of cash in the first 12 months ($'000)</v>
      </c>
      <c r="B14" s="7"/>
      <c r="C14" s="7"/>
    </row>
    <row r="15" customFormat="false" ht="15" hidden="false" customHeight="false" outlineLevel="0" collapsed="false">
      <c r="A15" s="6" t="s">
        <v>200</v>
      </c>
      <c r="B15" s="84" t="n">
        <v>12</v>
      </c>
      <c r="D15" s="18" t="s">
        <v>201</v>
      </c>
    </row>
    <row r="16" customFormat="false" ht="15" hidden="false" customHeight="false" outlineLevel="0" collapsed="false">
      <c r="A16" s="6" t="s">
        <v>202</v>
      </c>
      <c r="B16" s="65" t="n">
        <f aca="false">MIN(36,MAX(1,ROUND(B15,0)))</f>
        <v>12</v>
      </c>
    </row>
    <row r="17" customFormat="false" ht="15" hidden="false" customHeight="false" outlineLevel="0" collapsed="false">
      <c r="A17" s="33" t="s">
        <v>203</v>
      </c>
      <c r="B17" s="35" t="s">
        <v>192</v>
      </c>
      <c r="C17" s="35" t="s">
        <v>193</v>
      </c>
    </row>
    <row r="18" customFormat="false" ht="15" hidden="false" customHeight="false" outlineLevel="0" collapsed="false">
      <c r="A18" s="6" t="s">
        <v>64</v>
      </c>
      <c r="B18" s="61" t="n">
        <f aca="false">SUMPRODUCT(--(Monthly!$C$4:$AL$4&lt;=$B$16),Monthly!$C$85:$AL$85)</f>
        <v>100000</v>
      </c>
      <c r="C18" s="74" t="n">
        <f aca="false">IF($B$21=0,0,B18/$B$21)</f>
        <v>0.526315789473684</v>
      </c>
    </row>
    <row r="19" customFormat="false" ht="15" hidden="false" customHeight="false" outlineLevel="0" collapsed="false">
      <c r="A19" s="6" t="s">
        <v>204</v>
      </c>
      <c r="B19" s="61" t="n">
        <f aca="false">SUMPRODUCT(--(Monthly!$C$4:$AL$4&lt;=$B$16),Monthly!$C$70:$AL$70)</f>
        <v>90000</v>
      </c>
      <c r="C19" s="74" t="n">
        <f aca="false">IF($B$21=0,0,B19/$B$21)</f>
        <v>0.473684210526316</v>
      </c>
    </row>
    <row r="20" customFormat="false" ht="15" hidden="false" customHeight="false" outlineLevel="0" collapsed="false">
      <c r="A20" s="6" t="s">
        <v>205</v>
      </c>
      <c r="B20" s="61" t="n">
        <f aca="false">MAX(0,SUMPRODUCT(--(Monthly!$C$4:$AL$4&lt;=$B$16),Monthly!$C$83:$AL$83))</f>
        <v>0</v>
      </c>
      <c r="C20" s="74" t="n">
        <f aca="false">IF($B$21=0,0,B20/$B$21)</f>
        <v>0</v>
      </c>
    </row>
    <row r="21" customFormat="false" ht="15" hidden="false" customHeight="false" outlineLevel="0" collapsed="false">
      <c r="A21" s="4" t="s">
        <v>206</v>
      </c>
      <c r="B21" s="81" t="n">
        <f aca="false">SUM(B18:B20)</f>
        <v>190000</v>
      </c>
      <c r="C21" s="82" t="n">
        <f aca="false">IF(B21=0,0,1)</f>
        <v>1</v>
      </c>
    </row>
    <row r="23" customFormat="false" ht="15" hidden="false" customHeight="false" outlineLevel="0" collapsed="false">
      <c r="A23" s="33" t="s">
        <v>207</v>
      </c>
      <c r="B23" s="35" t="s">
        <v>192</v>
      </c>
      <c r="C23" s="35" t="s">
        <v>193</v>
      </c>
    </row>
    <row r="24" customFormat="false" ht="15" hidden="false" customHeight="false" outlineLevel="0" collapsed="false">
      <c r="A24" s="6" t="s">
        <v>208</v>
      </c>
      <c r="B24" s="61" t="n">
        <f aca="false">MAX(0,-SUMPRODUCT(--(Monthly!$C$4:$AL$4&lt;=$B$16),Monthly!$C$83:$AL$83))</f>
        <v>15659.7006</v>
      </c>
      <c r="C24" s="74" t="n">
        <f aca="false">IF($B$28=0,0,B24/$B$28)</f>
        <v>0.0824194768421054</v>
      </c>
    </row>
    <row r="25" customFormat="false" ht="15" hidden="false" customHeight="false" outlineLevel="0" collapsed="false">
      <c r="A25" s="6" t="s">
        <v>84</v>
      </c>
      <c r="B25" s="61" t="n">
        <f aca="false">-SUMPRODUCT(--(Monthly!$C$4:$AL$4&lt;=$B$16),Monthly!$C$84:$AL$84)</f>
        <v>138000</v>
      </c>
      <c r="C25" s="74" t="n">
        <f aca="false">IF($B$28=0,0,B25/$B$28)</f>
        <v>0.726315789473684</v>
      </c>
    </row>
    <row r="26" customFormat="false" ht="15" hidden="false" customHeight="false" outlineLevel="0" collapsed="false">
      <c r="A26" s="6" t="s">
        <v>209</v>
      </c>
      <c r="B26" s="61" t="n">
        <f aca="false">-SUMPRODUCT(--(Monthly!$C$4:$AL$4&lt;=$B$16),Monthly!$C$71:$AL$71)</f>
        <v>16500</v>
      </c>
      <c r="C26" s="74" t="n">
        <f aca="false">IF($B$28=0,0,B26/$B$28)</f>
        <v>0.0868421052631579</v>
      </c>
    </row>
    <row r="27" customFormat="false" ht="15" hidden="false" customHeight="false" outlineLevel="0" collapsed="false">
      <c r="A27" s="6" t="s">
        <v>210</v>
      </c>
      <c r="B27" s="61" t="n">
        <f aca="false">INDEX(Monthly!$C$89:$AL$89,$B$16)</f>
        <v>19840.2994</v>
      </c>
      <c r="C27" s="74" t="n">
        <f aca="false">IF($B$28=0,0,B27/$B$28)</f>
        <v>0.104422628421053</v>
      </c>
    </row>
    <row r="28" customFormat="false" ht="15" hidden="false" customHeight="false" outlineLevel="0" collapsed="false">
      <c r="A28" s="4" t="s">
        <v>211</v>
      </c>
      <c r="B28" s="81" t="n">
        <f aca="false">SUM(B24:B27)</f>
        <v>190000</v>
      </c>
      <c r="C28" s="82" t="n">
        <f aca="false">IF(B28=0,0,1)</f>
        <v>1</v>
      </c>
    </row>
    <row r="29" customFormat="false" ht="15" hidden="false" customHeight="false" outlineLevel="0" collapsed="false">
      <c r="A29" s="6" t="s">
        <v>212</v>
      </c>
      <c r="B29" s="61" t="n">
        <f aca="false">B21-B28</f>
        <v>0</v>
      </c>
    </row>
  </sheetData>
  <dataValidations count="1">
    <dataValidation allowBlank="false" errorStyle="stop" operator="between" prompt="A whole number from 1 to 36" promptTitle="Period" showDropDown="false" showErrorMessage="false" showInputMessage="true" sqref="B15" type="whole">
      <formula1>1</formula1>
      <formula2>36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G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5" min="2" style="0" width="11.5"/>
    <col collapsed="false" customWidth="true" hidden="false" outlineLevel="0" max="6" min="6" style="0" width="2"/>
    <col collapsed="false" customWidth="true" hidden="false" outlineLevel="0" max="22" min="7" style="0" width="9"/>
  </cols>
  <sheetData>
    <row r="1" customFormat="false" ht="21.75" hidden="false" customHeight="true" outlineLevel="0" collapsed="false">
      <c r="A1" s="16" t="s">
        <v>213</v>
      </c>
      <c r="G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214</v>
      </c>
    </row>
    <row r="4" customFormat="false" ht="15.75" hidden="false" customHeight="true" outlineLevel="0" collapsed="false">
      <c r="A4" s="7" t="s">
        <v>215</v>
      </c>
      <c r="B4" s="7"/>
      <c r="C4" s="7"/>
      <c r="D4" s="7"/>
      <c r="E4" s="7"/>
    </row>
    <row r="5" customFormat="false" ht="15" hidden="false" customHeight="false" outlineLevel="0" collapsed="false">
      <c r="A5" s="33"/>
      <c r="B5" s="34" t="n">
        <v>1</v>
      </c>
      <c r="C5" s="34" t="n">
        <v>2</v>
      </c>
      <c r="D5" s="34" t="n">
        <v>3</v>
      </c>
      <c r="E5" s="35" t="s">
        <v>216</v>
      </c>
    </row>
    <row r="6" customFormat="false" ht="15" hidden="false" customHeight="false" outlineLevel="0" collapsed="false">
      <c r="A6" s="39" t="s">
        <v>217</v>
      </c>
      <c r="B6" s="40" t="str">
        <f aca="false">IF(N('P&amp;L'!A5)&lt;=0,"n/a",'P&amp;L'!B5/'P&amp;L'!A5-1)</f>
        <v>n/a</v>
      </c>
      <c r="C6" s="40" t="n">
        <f aca="false">IF(N('P&amp;L'!B5)&lt;=0,"n/a",'P&amp;L'!C5/'P&amp;L'!B5-1)</f>
        <v>0.229758086280924</v>
      </c>
      <c r="D6" s="40" t="n">
        <f aca="false">IF(N('P&amp;L'!C5)&lt;=0,"n/a",'P&amp;L'!D5/'P&amp;L'!C5-1)</f>
        <v>0.064233641575735</v>
      </c>
      <c r="E6" s="85"/>
    </row>
    <row r="7" customFormat="false" ht="15" hidden="false" customHeight="false" outlineLevel="0" collapsed="false">
      <c r="A7" s="39" t="s">
        <v>46</v>
      </c>
      <c r="B7" s="40" t="n">
        <f aca="false">IF('P&amp;L'!B5&lt;=0,"n/a",'P&amp;L'!B7/'P&amp;L'!B5)</f>
        <v>0.59134319595759</v>
      </c>
      <c r="C7" s="40" t="n">
        <f aca="false">IF('P&amp;L'!C5&lt;=0,"n/a",'P&amp;L'!C7/'P&amp;L'!C5)</f>
        <v>0.590824962350392</v>
      </c>
      <c r="D7" s="40" t="n">
        <f aca="false">IF('P&amp;L'!D5&lt;=0,"n/a",'P&amp;L'!D7/'P&amp;L'!D5)</f>
        <v>0.590532404325879</v>
      </c>
      <c r="E7" s="85"/>
    </row>
    <row r="8" customFormat="false" ht="15" hidden="false" customHeight="false" outlineLevel="0" collapsed="false">
      <c r="A8" s="39" t="s">
        <v>49</v>
      </c>
      <c r="B8" s="40" t="n">
        <f aca="false">IF('P&amp;L'!B5&lt;=0,"n/a",'P&amp;L'!B19/'P&amp;L'!B5)</f>
        <v>-0.0266742267137893</v>
      </c>
      <c r="C8" s="40" t="n">
        <f aca="false">IF('P&amp;L'!C5&lt;=0,"n/a",'P&amp;L'!C19/'P&amp;L'!C5)</f>
        <v>0.0731253050443096</v>
      </c>
      <c r="D8" s="40" t="n">
        <f aca="false">IF('P&amp;L'!D5&lt;=0,"n/a",'P&amp;L'!D19/'P&amp;L'!D5)</f>
        <v>0.0899762515813714</v>
      </c>
      <c r="E8" s="85"/>
    </row>
    <row r="9" customFormat="false" ht="15" hidden="false" customHeight="false" outlineLevel="0" collapsed="false">
      <c r="A9" s="39" t="s">
        <v>51</v>
      </c>
      <c r="B9" s="40" t="n">
        <f aca="false">IF('P&amp;L'!B5&lt;=0,"n/a",'P&amp;L'!B26/'P&amp;L'!B5)</f>
        <v>-0.125739787051603</v>
      </c>
      <c r="C9" s="40" t="n">
        <f aca="false">IF('P&amp;L'!C5&lt;=0,"n/a",'P&amp;L'!C26/'P&amp;L'!C5)</f>
        <v>-0.00369905631245655</v>
      </c>
      <c r="D9" s="40" t="n">
        <f aca="false">IF('P&amp;L'!D5&lt;=0,"n/a",'P&amp;L'!D26/'P&amp;L'!D5)</f>
        <v>0.02131174963212</v>
      </c>
      <c r="E9" s="85"/>
    </row>
    <row r="10" customFormat="false" ht="15" hidden="false" customHeight="false" outlineLevel="0" collapsed="false">
      <c r="A10" s="39" t="s">
        <v>218</v>
      </c>
      <c r="B10" s="40" t="n">
        <f aca="false">IF('P&amp;L'!B5&lt;=0,"n/a",-SUMIF(Headcount!$C$5:$AL$5,B$5,Headcount!$C$17:$AL$17)/'P&amp;L'!B5)</f>
        <v>0.432631363729299</v>
      </c>
      <c r="C10" s="40" t="n">
        <f aca="false">IF('P&amp;L'!C5&lt;=0,"n/a",-SUMIF(Headcount!$C$5:$AL$5,C$5,Headcount!$C$17:$AL$17)/'P&amp;L'!C5)</f>
        <v>0.362356067922926</v>
      </c>
      <c r="D10" s="40" t="n">
        <f aca="false">IF('P&amp;L'!D5&lt;=0,"n/a",-SUMIF(Headcount!$C$5:$AL$5,D$5,Headcount!$C$17:$AL$17)/'P&amp;L'!D5)</f>
        <v>0.350700011144172</v>
      </c>
      <c r="E10" s="85"/>
    </row>
    <row r="11" customFormat="false" ht="15" hidden="false" customHeight="false" outlineLevel="0" collapsed="false">
      <c r="A11" s="39" t="s">
        <v>219</v>
      </c>
      <c r="B11" s="40" t="n">
        <f aca="false">IF('P&amp;L'!B5&lt;=0,"n/a",-'P&amp;L'!B16/'P&amp;L'!B5)</f>
        <v>0.0306685749335514</v>
      </c>
      <c r="C11" s="40" t="n">
        <f aca="false">IF('P&amp;L'!C5&lt;=0,"n/a",-'P&amp;L'!C16/'P&amp;L'!C5)</f>
        <v>0.0249387056492553</v>
      </c>
      <c r="D11" s="40" t="n">
        <f aca="false">IF('P&amp;L'!D5&lt;=0,"n/a",-'P&amp;L'!D16/'P&amp;L'!D5)</f>
        <v>0.0234334874176034</v>
      </c>
      <c r="E11" s="85"/>
    </row>
    <row r="12" customFormat="false" ht="15" hidden="false" customHeight="false" outlineLevel="0" collapsed="false">
      <c r="A12" s="39" t="s">
        <v>220</v>
      </c>
      <c r="B12" s="40" t="n">
        <f aca="false">IF('P&amp;L'!B5&lt;=0,"n/a",-'P&amp;L'!B18/'P&amp;L'!B5)</f>
        <v>0.618017422671379</v>
      </c>
      <c r="C12" s="40" t="n">
        <f aca="false">IF('P&amp;L'!C5&lt;=0,"n/a",-'P&amp;L'!C18/'P&amp;L'!C5)</f>
        <v>0.517699657306083</v>
      </c>
      <c r="D12" s="40" t="n">
        <f aca="false">IF('P&amp;L'!D5&lt;=0,"n/a",-'P&amp;L'!D18/'P&amp;L'!D5)</f>
        <v>0.500556152744507</v>
      </c>
      <c r="E12" s="85"/>
    </row>
    <row r="13" customFormat="false" ht="15" hidden="false" customHeight="false" outlineLevel="0" collapsed="false">
      <c r="A13" s="6" t="s">
        <v>221</v>
      </c>
      <c r="B13" s="86" t="n">
        <f aca="false">IF(('Balance Sheet'!B12-'Balance Sheet'!B11)&lt;=0,"n/a",('Balance Sheet'!B5+'Balance Sheet'!B6+'Balance Sheet'!B7)/('Balance Sheet'!B12-'Balance Sheet'!B11))</f>
        <v>11.3332504007029</v>
      </c>
      <c r="C13" s="86" t="n">
        <f aca="false">IF(('Balance Sheet'!C12-'Balance Sheet'!C11)&lt;=0,"n/a",('Balance Sheet'!C5+'Balance Sheet'!C6+'Balance Sheet'!C7)/('Balance Sheet'!C12-'Balance Sheet'!C11))</f>
        <v>9.91259973487116</v>
      </c>
      <c r="D13" s="86" t="n">
        <f aca="false">IF(('Balance Sheet'!D12-'Balance Sheet'!D11)&lt;=0,"n/a",('Balance Sheet'!D5+'Balance Sheet'!D6+'Balance Sheet'!D7)/('Balance Sheet'!D12-'Balance Sheet'!D11))</f>
        <v>12.6733429622903</v>
      </c>
      <c r="E13" s="87"/>
    </row>
    <row r="14" customFormat="false" ht="15" hidden="false" customHeight="false" outlineLevel="0" collapsed="false">
      <c r="A14" s="6" t="s">
        <v>222</v>
      </c>
      <c r="B14" s="86" t="n">
        <f aca="false">IF('Balance Sheet'!B15&lt;=0,"n/a",'Balance Sheet'!B11/'Balance Sheet'!B15)</f>
        <v>1.12110401564489</v>
      </c>
      <c r="C14" s="86" t="n">
        <f aca="false">IF('Balance Sheet'!C15&lt;=0,"n/a",'Balance Sheet'!C11/'Balance Sheet'!C15)</f>
        <v>0.86294776204162</v>
      </c>
      <c r="D14" s="86" t="n">
        <f aca="false">IF('Balance Sheet'!D15&lt;=0,"n/a",'Balance Sheet'!D11/'Balance Sheet'!D15)</f>
        <v>0.521167194673796</v>
      </c>
      <c r="E14" s="87"/>
    </row>
    <row r="15" customFormat="false" ht="15" hidden="false" customHeight="false" outlineLevel="0" collapsed="false">
      <c r="A15" s="39" t="s">
        <v>223</v>
      </c>
      <c r="B15" s="40" t="n">
        <f aca="false">IF('Balance Sheet'!B9&lt;=0,"n/a",'P&amp;L'!B26/'Balance Sheet'!B9)</f>
        <v>-0.244129999562265</v>
      </c>
      <c r="C15" s="40" t="n">
        <f aca="false">IF('Balance Sheet'!C9&lt;=0,"n/a",'P&amp;L'!C26/'Balance Sheet'!C9)</f>
        <v>-0.0102161638232156</v>
      </c>
      <c r="D15" s="40" t="n">
        <f aca="false">IF('Balance Sheet'!D9&lt;=0,"n/a",'P&amp;L'!D26/'Balance Sheet'!D9)</f>
        <v>0.0683689596911855</v>
      </c>
      <c r="E15" s="85"/>
    </row>
    <row r="16" customFormat="false" ht="15" hidden="false" customHeight="false" outlineLevel="0" collapsed="false">
      <c r="A16" s="39" t="s">
        <v>224</v>
      </c>
      <c r="B16" s="40" t="n">
        <f aca="false">IF('Balance Sheet'!B15&lt;=0,"n/a",'P&amp;L'!B26/'Balance Sheet'!B15)</f>
        <v>-0.52531158591141</v>
      </c>
      <c r="C16" s="40" t="n">
        <f aca="false">IF('Balance Sheet'!C15&lt;=0,"n/a",'P&amp;L'!C26/'Balance Sheet'!C15)</f>
        <v>-0.0193725969624483</v>
      </c>
      <c r="D16" s="40" t="n">
        <f aca="false">IF('Balance Sheet'!D15&lt;=0,"n/a",'P&amp;L'!D26/'Balance Sheet'!D15)</f>
        <v>0.10617133267446</v>
      </c>
      <c r="E16" s="85"/>
    </row>
    <row r="18" customFormat="false" ht="15.75" hidden="false" customHeight="true" outlineLevel="0" collapsed="false">
      <c r="A18" s="7" t="s">
        <v>225</v>
      </c>
      <c r="B18" s="7"/>
      <c r="C18" s="7"/>
      <c r="D18" s="7"/>
    </row>
    <row r="19" customFormat="false" ht="15" hidden="false" customHeight="false" outlineLevel="0" collapsed="false">
      <c r="A19" s="33"/>
      <c r="B19" s="34" t="n">
        <v>1</v>
      </c>
      <c r="C19" s="34" t="n">
        <v>2</v>
      </c>
      <c r="D19" s="34" t="n">
        <v>3</v>
      </c>
    </row>
    <row r="20" customFormat="false" ht="15" hidden="false" customHeight="false" outlineLevel="0" collapsed="false">
      <c r="A20" s="52" t="s">
        <v>51</v>
      </c>
      <c r="B20" s="40" t="n">
        <f aca="false">IF('P&amp;L'!B5&lt;=0,"n/a",'P&amp;L'!B26/'P&amp;L'!B5)</f>
        <v>-0.125739787051603</v>
      </c>
      <c r="C20" s="40" t="n">
        <f aca="false">IF('P&amp;L'!C5&lt;=0,"n/a",'P&amp;L'!C26/'P&amp;L'!C5)</f>
        <v>-0.00369905631245655</v>
      </c>
      <c r="D20" s="40" t="n">
        <f aca="false">IF('P&amp;L'!D5&lt;=0,"n/a",'P&amp;L'!D26/'P&amp;L'!D5)</f>
        <v>0.02131174963212</v>
      </c>
    </row>
    <row r="21" customFormat="false" ht="15" hidden="false" customHeight="false" outlineLevel="0" collapsed="false">
      <c r="A21" s="52" t="s">
        <v>226</v>
      </c>
      <c r="B21" s="86" t="n">
        <f aca="false">IF('Balance Sheet'!B9&lt;=0,"n/a",'P&amp;L'!B5/'Balance Sheet'!B9)</f>
        <v>1.94154933205093</v>
      </c>
      <c r="C21" s="86" t="n">
        <f aca="false">IF('Balance Sheet'!C9&lt;=0,"n/a",'P&amp;L'!C5/'Balance Sheet'!C9)</f>
        <v>2.76182976420574</v>
      </c>
      <c r="D21" s="86" t="n">
        <f aca="false">IF('Balance Sheet'!D9&lt;=0,"n/a",'P&amp;L'!D5/'Balance Sheet'!D9)</f>
        <v>3.20804067574738</v>
      </c>
    </row>
    <row r="22" customFormat="false" ht="15" hidden="false" customHeight="false" outlineLevel="0" collapsed="false">
      <c r="A22" s="52" t="s">
        <v>227</v>
      </c>
      <c r="B22" s="86" t="n">
        <f aca="false">IF('Balance Sheet'!B15&lt;=0,"n/a",'Balance Sheet'!B9/'Balance Sheet'!B15)</f>
        <v>2.15176990477743</v>
      </c>
      <c r="C22" s="86" t="n">
        <f aca="false">IF('Balance Sheet'!C15&lt;=0,"n/a",'Balance Sheet'!C9/'Balance Sheet'!C15)</f>
        <v>1.89626921588955</v>
      </c>
      <c r="D22" s="86" t="n">
        <f aca="false">IF('Balance Sheet'!D15&lt;=0,"n/a",'Balance Sheet'!D9/'Balance Sheet'!D15)</f>
        <v>1.55291718864853</v>
      </c>
    </row>
    <row r="23" customFormat="false" ht="15" hidden="false" customHeight="false" outlineLevel="0" collapsed="false">
      <c r="A23" s="41" t="s">
        <v>228</v>
      </c>
      <c r="B23" s="88" t="n">
        <f aca="false">IF(AND(ISNUMBER(B20),ISNUMBER(B21),ISNUMBER(B22)),B20*B21*B22,"n/a")</f>
        <v>-0.52531158591141</v>
      </c>
      <c r="C23" s="88" t="n">
        <f aca="false">IF(AND(ISNUMBER(C20),ISNUMBER(C21),ISNUMBER(C22)),C20*C21*C22,"n/a")</f>
        <v>-0.0193725969624483</v>
      </c>
      <c r="D23" s="88" t="n">
        <f aca="false">IF(AND(ISNUMBER(D20),ISNUMBER(D21),ISNUMBER(D22)),D20*D21*D22,"n/a")</f>
        <v>0.10617133267446</v>
      </c>
    </row>
    <row r="24" customFormat="false" ht="15" hidden="false" customHeight="false" outlineLevel="0" collapsed="false">
      <c r="A24" s="21" t="s">
        <v>229</v>
      </c>
      <c r="B24" s="40" t="n">
        <f aca="false">IF(AND(ISNUMBER(B23),ISNUMBER(B16)),B23-B16,IF(ISNUMBER(B23),1,IF(AND(ISNUMBER(B16),ISNUMBER(B20),ISNUMBER(B21)),1,0)))</f>
        <v>0</v>
      </c>
      <c r="C24" s="40" t="n">
        <f aca="false">IF(AND(ISNUMBER(C23),ISNUMBER(C16)),C23-C16,IF(ISNUMBER(C23),1,IF(AND(ISNUMBER(C16),ISNUMBER(C20),ISNUMBER(C21)),1,0)))</f>
        <v>0</v>
      </c>
      <c r="D24" s="40" t="n">
        <f aca="false">IF(AND(ISNUMBER(D23),ISNUMBER(D16)),D23-D16,IF(ISNUMBER(D23),1,IF(AND(ISNUMBER(D16),ISNUMBER(D20),ISNUMBER(D21)),1,0)))</f>
        <v>0</v>
      </c>
    </row>
    <row r="26" customFormat="false" ht="15.75" hidden="false" customHeight="true" outlineLevel="0" collapsed="false">
      <c r="A26" s="7" t="s">
        <v>230</v>
      </c>
      <c r="B26" s="7"/>
      <c r="C26" s="7"/>
      <c r="D26" s="7"/>
      <c r="E26" s="7"/>
    </row>
    <row r="27" customFormat="false" ht="15" hidden="false" customHeight="false" outlineLevel="0" collapsed="false">
      <c r="A27" s="72" t="s">
        <v>154</v>
      </c>
      <c r="B27" s="72" t="n">
        <v>1</v>
      </c>
      <c r="C27" s="72" t="n">
        <v>2</v>
      </c>
      <c r="D27" s="72" t="n">
        <v>3</v>
      </c>
    </row>
    <row r="28" customFormat="false" ht="15" hidden="false" customHeight="false" outlineLevel="0" collapsed="false">
      <c r="A28" s="33"/>
      <c r="B28" s="35" t="s">
        <v>155</v>
      </c>
      <c r="C28" s="35" t="s">
        <v>156</v>
      </c>
      <c r="D28" s="35" t="s">
        <v>157</v>
      </c>
      <c r="E28" s="35" t="s">
        <v>216</v>
      </c>
    </row>
    <row r="29" customFormat="false" ht="15" hidden="false" customHeight="false" outlineLevel="0" collapsed="false">
      <c r="A29" s="4" t="s">
        <v>231</v>
      </c>
      <c r="B29" s="89" t="n">
        <f aca="false">INDEX(Monthly!$C$8:$AL$8,B$27*12)</f>
        <v>1</v>
      </c>
      <c r="C29" s="89" t="n">
        <f aca="false">INDEX(Monthly!$C$8:$AL$8,C$27*12)</f>
        <v>1</v>
      </c>
      <c r="D29" s="89" t="n">
        <f aca="false">INDEX(Monthly!$C$8:$AL$8,D$27*12)</f>
        <v>1</v>
      </c>
      <c r="E29" s="90"/>
    </row>
    <row r="30" customFormat="false" ht="15" hidden="false" customHeight="false" outlineLevel="0" collapsed="false">
      <c r="A30" s="6" t="s">
        <v>232</v>
      </c>
      <c r="B30" s="91" t="n">
        <f aca="false">SUMIF(Monthly!$C$5:$AL$5,B$27,Monthly!$C$14:$AL$14)</f>
        <v>246.75</v>
      </c>
      <c r="C30" s="91" t="n">
        <f aca="false">SUMIF(Monthly!$C$5:$AL$5,C$27,Monthly!$C$14:$AL$14)</f>
        <v>253.8</v>
      </c>
      <c r="D30" s="91" t="n">
        <f aca="false">SUMIF(Monthly!$C$5:$AL$5,D$27,Monthly!$C$14:$AL$14)</f>
        <v>255.69</v>
      </c>
      <c r="E30" s="90"/>
    </row>
    <row r="31" customFormat="false" ht="15" hidden="false" customHeight="false" outlineLevel="0" collapsed="false">
      <c r="A31" s="4" t="s">
        <v>58</v>
      </c>
      <c r="B31" s="89" t="n">
        <f aca="false">SUMIF(Monthly!$C$5:$AL$5,B$27,Monthly!$C$17:$AL$17)</f>
        <v>19564</v>
      </c>
      <c r="C31" s="89" t="n">
        <f aca="false">SUMIF(Monthly!$C$5:$AL$5,C$27,Monthly!$C$17:$AL$17)</f>
        <v>23358.24</v>
      </c>
      <c r="D31" s="89" t="n">
        <f aca="false">SUMIF(Monthly!$C$5:$AL$5,D$27,Monthly!$C$17:$AL$17)</f>
        <v>24134.5872</v>
      </c>
      <c r="E31" s="90"/>
    </row>
    <row r="32" customFormat="false" ht="15" hidden="false" customHeight="false" outlineLevel="0" collapsed="false">
      <c r="A32" s="6" t="s">
        <v>233</v>
      </c>
      <c r="B32" s="92" t="n">
        <f aca="false">IF(B30=0,0,B31/B30)</f>
        <v>79.2867274569402</v>
      </c>
      <c r="C32" s="92" t="n">
        <f aca="false">IF(C30=0,0,C31/C30)</f>
        <v>92.0340425531915</v>
      </c>
      <c r="D32" s="92" t="n">
        <f aca="false">IF(D30=0,0,D31/D30)</f>
        <v>94.3900316789863</v>
      </c>
      <c r="E32" s="93"/>
    </row>
    <row r="33" customFormat="false" ht="15" hidden="false" customHeight="false" outlineLevel="0" collapsed="false">
      <c r="A33" s="4" t="s">
        <v>44</v>
      </c>
      <c r="B33" s="94" t="n">
        <f aca="false">SUMIF(Monthly!$C$5:$AL$5,B$27,Monthly!$C$24:$AL$24)</f>
        <v>273896</v>
      </c>
      <c r="C33" s="94" t="n">
        <f aca="false">SUMIF(Monthly!$C$5:$AL$5,C$27,Monthly!$C$24:$AL$24)</f>
        <v>336825.8208</v>
      </c>
      <c r="D33" s="94" t="n">
        <f aca="false">SUMIF(Monthly!$C$5:$AL$5,D$27,Monthly!$C$24:$AL$24)</f>
        <v>358461.36984672</v>
      </c>
      <c r="E33" s="95"/>
    </row>
    <row r="34" customFormat="false" ht="15" hidden="false" customHeight="false" outlineLevel="0" collapsed="false">
      <c r="A34" s="6" t="s">
        <v>234</v>
      </c>
      <c r="B34" s="36" t="n">
        <f aca="false">SUMIF(Monthly!$C$5:$AL$5,B$27,Monthly!$C$22:$AL$22)</f>
        <v>230846</v>
      </c>
      <c r="C34" s="36" t="n">
        <f aca="false">SUMIF(Monthly!$C$5:$AL$5,C$27,Monthly!$C$22:$AL$22)</f>
        <v>282318.2208</v>
      </c>
      <c r="D34" s="36" t="n">
        <f aca="false">SUMIF(Monthly!$C$5:$AL$5,D$27,Monthly!$C$22:$AL$22)</f>
        <v>299511.40044672</v>
      </c>
      <c r="E34" s="95"/>
    </row>
    <row r="35" customFormat="false" ht="15" hidden="false" customHeight="false" outlineLevel="0" collapsed="false">
      <c r="A35" s="6" t="s">
        <v>235</v>
      </c>
      <c r="B35" s="36" t="n">
        <f aca="false">SUMIF(Monthly!$C$5:$AL$5,B$27,Monthly!$C$23:$AL$23)</f>
        <v>43050</v>
      </c>
      <c r="C35" s="36" t="n">
        <f aca="false">SUMIF(Monthly!$C$5:$AL$5,C$27,Monthly!$C$23:$AL$23)</f>
        <v>54507.6</v>
      </c>
      <c r="D35" s="36" t="n">
        <f aca="false">SUMIF(Monthly!$C$5:$AL$5,D$27,Monthly!$C$23:$AL$23)</f>
        <v>58949.9694</v>
      </c>
      <c r="E35" s="95"/>
    </row>
    <row r="36" customFormat="false" ht="15" hidden="false" customHeight="false" outlineLevel="0" collapsed="false">
      <c r="A36" s="39" t="s">
        <v>60</v>
      </c>
      <c r="B36" s="96" t="n">
        <f aca="false">IF(B33=0,0,B35/B33)</f>
        <v>0.157176446534451</v>
      </c>
      <c r="C36" s="96" t="n">
        <f aca="false">IF(C33=0,0,C35/C33)</f>
        <v>0.161827260958017</v>
      </c>
      <c r="D36" s="96" t="n">
        <f aca="false">IF(D33=0,0,D35/D33)</f>
        <v>0.164452781690834</v>
      </c>
      <c r="E36" s="97"/>
    </row>
    <row r="37" customFormat="false" ht="15" hidden="false" customHeight="false" outlineLevel="0" collapsed="false">
      <c r="A37" s="6" t="s">
        <v>236</v>
      </c>
      <c r="B37" s="98" t="n">
        <f aca="false">IF(B31=0,0,B33/B31)</f>
        <v>14</v>
      </c>
      <c r="C37" s="98" t="n">
        <f aca="false">IF(C31=0,0,C33/C31)</f>
        <v>14.42</v>
      </c>
      <c r="D37" s="98" t="n">
        <f aca="false">IF(D31=0,0,D33/D31)</f>
        <v>14.8526</v>
      </c>
      <c r="E37" s="99"/>
    </row>
    <row r="38" customFormat="false" ht="15" hidden="false" customHeight="false" outlineLevel="0" collapsed="false">
      <c r="A38" s="6" t="s">
        <v>237</v>
      </c>
      <c r="B38" s="98" t="n">
        <f aca="false">IF(B30=0,0,B33/B30)</f>
        <v>1110.01418439716</v>
      </c>
      <c r="C38" s="98" t="n">
        <f aca="false">IF(C30=0,0,C33/C30)</f>
        <v>1327.13089361702</v>
      </c>
      <c r="D38" s="98" t="n">
        <f aca="false">IF(D30=0,0,D33/D30)</f>
        <v>1401.93738451531</v>
      </c>
      <c r="E38" s="99"/>
    </row>
    <row r="39" customFormat="false" ht="15" hidden="false" customHeight="false" outlineLevel="0" collapsed="false">
      <c r="A39" s="6" t="s">
        <v>238</v>
      </c>
      <c r="B39" s="36" t="n">
        <f aca="false">IF(B29=0,0,B33/B29)</f>
        <v>273896</v>
      </c>
      <c r="C39" s="36" t="n">
        <f aca="false">IF(C29=0,0,C33/C29)</f>
        <v>336825.8208</v>
      </c>
      <c r="D39" s="36" t="n">
        <f aca="false">IF(D29=0,0,D33/D29)</f>
        <v>358461.36984672</v>
      </c>
      <c r="E39" s="95"/>
    </row>
    <row r="40" customFormat="false" ht="15" hidden="false" customHeight="false" outlineLevel="0" collapsed="false">
      <c r="A40" s="6" t="s">
        <v>239</v>
      </c>
      <c r="B40" s="36" t="n">
        <f aca="false">SUMIF(Monthly!$C$5:$AL$5,B$27,Monthly!$C$29:$AL$29)</f>
        <v>-99189.48</v>
      </c>
      <c r="C40" s="36" t="n">
        <f aca="false">SUMIF(Monthly!$C$5:$AL$5,C$27,Monthly!$C$29:$AL$29)</f>
        <v>-121979.065104</v>
      </c>
      <c r="D40" s="36" t="n">
        <f aca="false">SUMIF(Monthly!$C$5:$AL$5,D$27,Monthly!$C$29:$AL$29)</f>
        <v>-129814.224651634</v>
      </c>
      <c r="E40" s="95"/>
    </row>
    <row r="41" customFormat="false" ht="15" hidden="false" customHeight="false" outlineLevel="0" collapsed="false">
      <c r="A41" s="39" t="s">
        <v>240</v>
      </c>
      <c r="B41" s="96" t="n">
        <f aca="false">IF(B33=0,0,-B40/B33)</f>
        <v>0.362142857142857</v>
      </c>
      <c r="C41" s="96" t="n">
        <f aca="false">IF(C33=0,0,-C40/C33)</f>
        <v>0.362142857142857</v>
      </c>
      <c r="D41" s="96" t="n">
        <f aca="false">IF(D33=0,0,-D40/D33)</f>
        <v>0.362142857142857</v>
      </c>
      <c r="E41" s="97"/>
    </row>
    <row r="42" customFormat="false" ht="15" hidden="false" customHeight="false" outlineLevel="0" collapsed="false">
      <c r="A42" s="6" t="s">
        <v>241</v>
      </c>
      <c r="B42" s="36" t="n">
        <f aca="false">SUMIF(Headcount!$C$5:$AL$5,B$27,Headcount!$C$17:$AL$17)</f>
        <v>-118496</v>
      </c>
      <c r="C42" s="36" t="n">
        <f aca="false">SUMIF(Headcount!$C$5:$AL$5,C$27,Headcount!$C$17:$AL$17)</f>
        <v>-122050.88</v>
      </c>
      <c r="D42" s="36" t="n">
        <f aca="false">SUMIF(Headcount!$C$5:$AL$5,D$27,Headcount!$C$17:$AL$17)</f>
        <v>-125712.4064</v>
      </c>
      <c r="E42" s="95"/>
    </row>
    <row r="43" customFormat="false" ht="15" hidden="false" customHeight="false" outlineLevel="0" collapsed="false">
      <c r="A43" s="39" t="s">
        <v>61</v>
      </c>
      <c r="B43" s="96" t="n">
        <f aca="false">IF(B33=0,0,-(B40+B42)/B33)</f>
        <v>0.794774220872156</v>
      </c>
      <c r="C43" s="96" t="n">
        <f aca="false">IF(C33=0,0,-(C40+C42)/C33)</f>
        <v>0.724498925065783</v>
      </c>
      <c r="D43" s="96" t="n">
        <f aca="false">IF(D33=0,0,-(D40+D42)/D33)</f>
        <v>0.71284286828703</v>
      </c>
      <c r="E43" s="97"/>
    </row>
    <row r="44" customFormat="false" ht="15" hidden="false" customHeight="false" outlineLevel="0" collapsed="false">
      <c r="A44" s="6" t="s">
        <v>45</v>
      </c>
      <c r="B44" s="36" t="n">
        <f aca="false">SUMIF(Monthly!$C$5:$AL$5,B$27,Monthly!$C$33:$AL$33)</f>
        <v>161966.536</v>
      </c>
      <c r="C44" s="36" t="n">
        <f aca="false">SUMIF(Monthly!$C$5:$AL$5,C$27,Monthly!$C$33:$AL$33)</f>
        <v>199005.1028928</v>
      </c>
      <c r="D44" s="36" t="n">
        <f aca="false">SUMIF(Monthly!$C$5:$AL$5,D$27,Monthly!$C$33:$AL$33)</f>
        <v>211683.054593532</v>
      </c>
      <c r="E44" s="95"/>
    </row>
    <row r="45" customFormat="false" ht="15" hidden="false" customHeight="false" outlineLevel="0" collapsed="false">
      <c r="A45" s="39" t="s">
        <v>46</v>
      </c>
      <c r="B45" s="96" t="n">
        <f aca="false">IF(B33=0,0,B44/B33)</f>
        <v>0.59134319595759</v>
      </c>
      <c r="C45" s="96" t="n">
        <f aca="false">IF(C33=0,0,C44/C33)</f>
        <v>0.590824962350392</v>
      </c>
      <c r="D45" s="96" t="n">
        <f aca="false">IF(D33=0,0,D44/D33)</f>
        <v>0.590532404325879</v>
      </c>
      <c r="E45" s="97"/>
    </row>
    <row r="46" customFormat="false" ht="15" hidden="false" customHeight="false" outlineLevel="0" collapsed="false">
      <c r="A46" s="6" t="s">
        <v>48</v>
      </c>
      <c r="B46" s="36" t="n">
        <f aca="false">SUMIF(Monthly!$C$5:$AL$5,B$27,Monthly!$C$46:$AL$46)</f>
        <v>-7305.96400000003</v>
      </c>
      <c r="C46" s="36" t="n">
        <f aca="false">SUMIF(Monthly!$C$5:$AL$5,C$27,Monthly!$C$46:$AL$46)</f>
        <v>24630.4908928</v>
      </c>
      <c r="D46" s="36" t="n">
        <f aca="false">SUMIF(Monthly!$C$5:$AL$5,D$27,Monthly!$C$46:$AL$46)</f>
        <v>32253.0103955315</v>
      </c>
      <c r="E46" s="95"/>
    </row>
    <row r="47" customFormat="false" ht="15" hidden="false" customHeight="false" outlineLevel="0" collapsed="false">
      <c r="A47" s="39" t="s">
        <v>49</v>
      </c>
      <c r="B47" s="96" t="n">
        <f aca="false">IF(B33=0,0,B46/B33)</f>
        <v>-0.0266742267137893</v>
      </c>
      <c r="C47" s="96" t="n">
        <f aca="false">IF(C33=0,0,C46/C33)</f>
        <v>0.0731253050443096</v>
      </c>
      <c r="D47" s="96" t="n">
        <f aca="false">IF(D33=0,0,D46/D33)</f>
        <v>0.0899762515813714</v>
      </c>
      <c r="E47" s="97"/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0B43C"/>
    <pageSetUpPr fitToPage="true"/>
  </sheetPr>
  <dimension ref="A1:I9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6" min="2" style="0" width="12"/>
    <col collapsed="false" customWidth="true" hidden="false" outlineLevel="0" max="7" min="7" style="0" width="34"/>
  </cols>
  <sheetData>
    <row r="1" customFormat="false" ht="21.75" hidden="false" customHeight="true" outlineLevel="0" collapsed="false">
      <c r="A1" s="16" t="s">
        <v>242</v>
      </c>
      <c r="I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243</v>
      </c>
    </row>
    <row r="5" customFormat="false" ht="15" hidden="false" customHeight="false" outlineLevel="0" collapsed="false">
      <c r="A5" s="33" t="s">
        <v>104</v>
      </c>
      <c r="B5" s="35" t="s">
        <v>105</v>
      </c>
      <c r="C5" s="35" t="s">
        <v>106</v>
      </c>
      <c r="D5" s="35" t="s">
        <v>107</v>
      </c>
      <c r="E5" s="35" t="s">
        <v>108</v>
      </c>
      <c r="F5" s="33" t="s">
        <v>244</v>
      </c>
      <c r="G5" s="33" t="s">
        <v>245</v>
      </c>
    </row>
    <row r="6" customFormat="false" ht="15.75" hidden="false" customHeight="true" outlineLevel="0" collapsed="false">
      <c r="A6" s="7" t="s">
        <v>246</v>
      </c>
      <c r="B6" s="7"/>
      <c r="C6" s="7"/>
      <c r="D6" s="7"/>
      <c r="E6" s="7"/>
      <c r="F6" s="7"/>
      <c r="G6" s="7"/>
    </row>
    <row r="7" customFormat="false" ht="15" hidden="false" customHeight="false" outlineLevel="0" collapsed="false">
      <c r="A7" s="6" t="s">
        <v>247</v>
      </c>
      <c r="B7" s="100" t="n">
        <v>1</v>
      </c>
      <c r="C7" s="100" t="n">
        <v>1</v>
      </c>
      <c r="D7" s="100" t="n">
        <v>1</v>
      </c>
      <c r="E7" s="101" t="n">
        <f aca="false">CHOOSE(Dashboard!$B$4,B7,C7,D7)</f>
        <v>1</v>
      </c>
      <c r="F7" s="39" t="s">
        <v>248</v>
      </c>
      <c r="G7" s="102"/>
    </row>
    <row r="8" customFormat="false" ht="15" hidden="false" customHeight="false" outlineLevel="0" collapsed="false">
      <c r="A8" s="6" t="s">
        <v>249</v>
      </c>
      <c r="B8" s="100" t="n">
        <v>0</v>
      </c>
      <c r="C8" s="100" t="n">
        <v>0</v>
      </c>
      <c r="D8" s="100" t="n">
        <v>0</v>
      </c>
      <c r="E8" s="101" t="n">
        <f aca="false">CHOOSE(Dashboard!$B$4,B8,C8,D8)</f>
        <v>0</v>
      </c>
      <c r="F8" s="39" t="s">
        <v>248</v>
      </c>
      <c r="G8" s="102"/>
    </row>
    <row r="9" customFormat="false" ht="15" hidden="false" customHeight="false" outlineLevel="0" collapsed="false">
      <c r="A9" s="6" t="s">
        <v>250</v>
      </c>
      <c r="B9" s="103" t="n">
        <v>17</v>
      </c>
      <c r="C9" s="103" t="n">
        <v>18</v>
      </c>
      <c r="D9" s="103" t="n">
        <v>19</v>
      </c>
      <c r="E9" s="104" t="n">
        <f aca="false">CHOOSE(Dashboard!$B$4,B9,C9,D9)</f>
        <v>18</v>
      </c>
      <c r="F9" s="39" t="s">
        <v>251</v>
      </c>
      <c r="G9" s="102" t="s">
        <v>252</v>
      </c>
    </row>
    <row r="10" customFormat="false" ht="15" hidden="false" customHeight="false" outlineLevel="0" collapsed="false">
      <c r="A10" s="6" t="s">
        <v>253</v>
      </c>
      <c r="B10" s="105" t="n">
        <v>0.3</v>
      </c>
      <c r="C10" s="105" t="n">
        <v>0.25</v>
      </c>
      <c r="D10" s="105" t="n">
        <v>0.2</v>
      </c>
      <c r="E10" s="106" t="n">
        <f aca="false">CHOOSE(Dashboard!$B$4,B10,C10,D10)</f>
        <v>0.25</v>
      </c>
      <c r="F10" s="39" t="s">
        <v>254</v>
      </c>
      <c r="G10" s="102" t="s">
        <v>255</v>
      </c>
    </row>
    <row r="12" customFormat="false" ht="15.75" hidden="false" customHeight="true" outlineLevel="0" collapsed="false">
      <c r="A12" s="7" t="s">
        <v>256</v>
      </c>
      <c r="B12" s="7"/>
      <c r="C12" s="7"/>
      <c r="D12" s="7"/>
      <c r="E12" s="7"/>
      <c r="F12" s="7"/>
      <c r="G12" s="7"/>
    </row>
    <row r="13" customFormat="false" ht="15" hidden="false" customHeight="false" outlineLevel="0" collapsed="false">
      <c r="A13" s="6" t="s">
        <v>257</v>
      </c>
      <c r="B13" s="100" t="n">
        <v>9</v>
      </c>
      <c r="C13" s="100" t="n">
        <v>6</v>
      </c>
      <c r="D13" s="100" t="n">
        <v>4</v>
      </c>
      <c r="E13" s="101" t="n">
        <f aca="false">CHOOSE(Dashboard!$B$4,B13,C13,D13)</f>
        <v>6</v>
      </c>
      <c r="F13" s="39" t="s">
        <v>258</v>
      </c>
      <c r="G13" s="102" t="s">
        <v>255</v>
      </c>
    </row>
    <row r="14" customFormat="false" ht="15" hidden="false" customHeight="false" outlineLevel="0" collapsed="false">
      <c r="A14" s="6" t="s">
        <v>259</v>
      </c>
      <c r="B14" s="105" t="n">
        <v>0.35</v>
      </c>
      <c r="C14" s="105" t="n">
        <v>0.5</v>
      </c>
      <c r="D14" s="105" t="n">
        <v>0.6</v>
      </c>
      <c r="E14" s="106" t="n">
        <f aca="false">CHOOSE(Dashboard!$B$4,B14,C14,D14)</f>
        <v>0.5</v>
      </c>
      <c r="F14" s="39" t="s">
        <v>254</v>
      </c>
      <c r="G14" s="102" t="s">
        <v>252</v>
      </c>
    </row>
    <row r="16" customFormat="false" ht="15.75" hidden="false" customHeight="true" outlineLevel="0" collapsed="false">
      <c r="A16" s="7" t="s">
        <v>234</v>
      </c>
      <c r="B16" s="7"/>
      <c r="C16" s="7"/>
      <c r="D16" s="7"/>
      <c r="E16" s="7"/>
      <c r="F16" s="7"/>
      <c r="G16" s="7"/>
    </row>
    <row r="17" customFormat="false" ht="15" hidden="false" customHeight="false" outlineLevel="0" collapsed="false">
      <c r="A17" s="6" t="s">
        <v>260</v>
      </c>
      <c r="B17" s="103" t="n">
        <v>78</v>
      </c>
      <c r="C17" s="103" t="n">
        <v>88</v>
      </c>
      <c r="D17" s="103" t="n">
        <v>98</v>
      </c>
      <c r="E17" s="104" t="n">
        <f aca="false">CHOOSE(Dashboard!$B$4,B17,C17,D17)</f>
        <v>88</v>
      </c>
      <c r="F17" s="39" t="s">
        <v>261</v>
      </c>
      <c r="G17" s="102" t="s">
        <v>252</v>
      </c>
    </row>
    <row r="18" customFormat="false" ht="15" hidden="false" customHeight="false" outlineLevel="0" collapsed="false">
      <c r="A18" s="6" t="s">
        <v>262</v>
      </c>
      <c r="B18" s="105" t="n">
        <v>0</v>
      </c>
      <c r="C18" s="105" t="n">
        <v>0.03</v>
      </c>
      <c r="D18" s="105" t="n">
        <v>0.05</v>
      </c>
      <c r="E18" s="106" t="n">
        <f aca="false">CHOOSE(Dashboard!$B$4,B18,C18,D18)</f>
        <v>0.03</v>
      </c>
      <c r="F18" s="39" t="s">
        <v>254</v>
      </c>
      <c r="G18" s="102" t="s">
        <v>252</v>
      </c>
    </row>
    <row r="19" customFormat="false" ht="15" hidden="false" customHeight="false" outlineLevel="0" collapsed="false">
      <c r="A19" s="6" t="s">
        <v>263</v>
      </c>
      <c r="B19" s="107" t="n">
        <v>13</v>
      </c>
      <c r="C19" s="107" t="n">
        <v>14</v>
      </c>
      <c r="D19" s="107" t="n">
        <v>15</v>
      </c>
      <c r="E19" s="108" t="n">
        <f aca="false">CHOOSE(Dashboard!$B$4,B19,C19,D19)</f>
        <v>14</v>
      </c>
      <c r="F19" s="39" t="s">
        <v>264</v>
      </c>
      <c r="G19" s="102" t="s">
        <v>252</v>
      </c>
    </row>
    <row r="20" customFormat="false" ht="15" hidden="false" customHeight="false" outlineLevel="0" collapsed="false">
      <c r="A20" s="6" t="s">
        <v>265</v>
      </c>
      <c r="B20" s="105" t="n">
        <v>0.02</v>
      </c>
      <c r="C20" s="105" t="n">
        <v>0.03</v>
      </c>
      <c r="D20" s="105" t="n">
        <v>0.04</v>
      </c>
      <c r="E20" s="106" t="n">
        <f aca="false">CHOOSE(Dashboard!$B$4,B20,C20,D20)</f>
        <v>0.03</v>
      </c>
      <c r="F20" s="39" t="s">
        <v>254</v>
      </c>
      <c r="G20" s="102" t="s">
        <v>252</v>
      </c>
    </row>
    <row r="22" customFormat="false" ht="15.75" hidden="false" customHeight="true" outlineLevel="0" collapsed="false">
      <c r="A22" s="7" t="s">
        <v>235</v>
      </c>
      <c r="B22" s="7"/>
      <c r="C22" s="7"/>
      <c r="D22" s="7"/>
      <c r="E22" s="7"/>
      <c r="F22" s="7"/>
      <c r="G22" s="7"/>
    </row>
    <row r="23" customFormat="false" ht="15" hidden="false" customHeight="false" outlineLevel="0" collapsed="false">
      <c r="A23" s="6" t="s">
        <v>266</v>
      </c>
      <c r="B23" s="103" t="n">
        <v>2.5</v>
      </c>
      <c r="C23" s="103" t="n">
        <v>3</v>
      </c>
      <c r="D23" s="103" t="n">
        <v>3.5</v>
      </c>
      <c r="E23" s="104" t="n">
        <f aca="false">CHOOSE(Dashboard!$B$4,B23,C23,D23)</f>
        <v>3</v>
      </c>
      <c r="F23" s="39" t="s">
        <v>251</v>
      </c>
      <c r="G23" s="102" t="s">
        <v>252</v>
      </c>
    </row>
    <row r="24" customFormat="false" ht="15" hidden="false" customHeight="false" outlineLevel="0" collapsed="false">
      <c r="A24" s="6" t="s">
        <v>267</v>
      </c>
      <c r="B24" s="105" t="n">
        <v>0</v>
      </c>
      <c r="C24" s="105" t="n">
        <v>0.05</v>
      </c>
      <c r="D24" s="105" t="n">
        <v>0.1</v>
      </c>
      <c r="E24" s="106" t="n">
        <f aca="false">CHOOSE(Dashboard!$B$4,B24,C24,D24)</f>
        <v>0.05</v>
      </c>
      <c r="F24" s="39" t="s">
        <v>254</v>
      </c>
      <c r="G24" s="102" t="s">
        <v>252</v>
      </c>
    </row>
    <row r="25" customFormat="false" ht="15" hidden="false" customHeight="false" outlineLevel="0" collapsed="false">
      <c r="A25" s="6" t="s">
        <v>268</v>
      </c>
      <c r="B25" s="109" t="n">
        <v>1250</v>
      </c>
      <c r="C25" s="109" t="n">
        <v>1400</v>
      </c>
      <c r="D25" s="109" t="n">
        <v>1550</v>
      </c>
      <c r="E25" s="110" t="n">
        <f aca="false">CHOOSE(Dashboard!$B$4,B25,C25,D25)</f>
        <v>1400</v>
      </c>
      <c r="F25" s="39" t="s">
        <v>264</v>
      </c>
      <c r="G25" s="102" t="s">
        <v>252</v>
      </c>
    </row>
    <row r="26" customFormat="false" ht="15" hidden="false" customHeight="false" outlineLevel="0" collapsed="false">
      <c r="A26" s="6" t="s">
        <v>269</v>
      </c>
      <c r="B26" s="103" t="n">
        <v>100</v>
      </c>
      <c r="C26" s="103" t="n">
        <v>100</v>
      </c>
      <c r="D26" s="103" t="n">
        <v>100</v>
      </c>
      <c r="E26" s="104" t="n">
        <f aca="false">CHOOSE(Dashboard!$B$4,B26,C26,D26)</f>
        <v>100</v>
      </c>
      <c r="F26" s="39" t="s">
        <v>261</v>
      </c>
      <c r="G26" s="102"/>
    </row>
    <row r="28" customFormat="false" ht="15.75" hidden="false" customHeight="true" outlineLevel="0" collapsed="false">
      <c r="A28" s="7" t="s">
        <v>76</v>
      </c>
      <c r="B28" s="7"/>
      <c r="C28" s="7"/>
      <c r="D28" s="7"/>
      <c r="E28" s="7"/>
      <c r="F28" s="7"/>
      <c r="G28" s="7"/>
    </row>
    <row r="29" customFormat="false" ht="15" hidden="false" customHeight="false" outlineLevel="0" collapsed="false">
      <c r="A29" s="6" t="s">
        <v>270</v>
      </c>
      <c r="B29" s="105" t="n">
        <v>0.345</v>
      </c>
      <c r="C29" s="105" t="n">
        <v>0.33</v>
      </c>
      <c r="D29" s="105" t="n">
        <v>0.315</v>
      </c>
      <c r="E29" s="106" t="n">
        <f aca="false">CHOOSE(Dashboard!$B$4,B29,C29,D29)</f>
        <v>0.33</v>
      </c>
      <c r="F29" s="39" t="s">
        <v>254</v>
      </c>
      <c r="G29" s="102" t="s">
        <v>255</v>
      </c>
    </row>
    <row r="30" customFormat="false" ht="15" hidden="false" customHeight="false" outlineLevel="0" collapsed="false">
      <c r="A30" s="6" t="s">
        <v>271</v>
      </c>
      <c r="B30" s="107" t="n">
        <v>0.5</v>
      </c>
      <c r="C30" s="107" t="n">
        <v>0.45</v>
      </c>
      <c r="D30" s="107" t="n">
        <v>0.4</v>
      </c>
      <c r="E30" s="108" t="n">
        <f aca="false">CHOOSE(Dashboard!$B$4,B30,C30,D30)</f>
        <v>0.45</v>
      </c>
      <c r="F30" s="39" t="s">
        <v>264</v>
      </c>
      <c r="G30" s="102" t="s">
        <v>255</v>
      </c>
    </row>
    <row r="31" customFormat="false" ht="15" hidden="false" customHeight="false" outlineLevel="0" collapsed="false">
      <c r="A31" s="6" t="s">
        <v>272</v>
      </c>
      <c r="B31" s="105" t="n">
        <v>0.031</v>
      </c>
      <c r="C31" s="105" t="n">
        <v>0.029</v>
      </c>
      <c r="D31" s="105" t="n">
        <v>0.027</v>
      </c>
      <c r="E31" s="106" t="n">
        <f aca="false">CHOOSE(Dashboard!$B$4,B31,C31,D31)</f>
        <v>0.029</v>
      </c>
      <c r="F31" s="39" t="s">
        <v>254</v>
      </c>
      <c r="G31" s="102" t="s">
        <v>255</v>
      </c>
    </row>
    <row r="32" customFormat="false" ht="15" hidden="false" customHeight="false" outlineLevel="0" collapsed="false">
      <c r="A32" s="6" t="s">
        <v>273</v>
      </c>
      <c r="B32" s="105" t="n">
        <v>0.05</v>
      </c>
      <c r="C32" s="105" t="n">
        <v>0.04</v>
      </c>
      <c r="D32" s="105" t="n">
        <v>0.03</v>
      </c>
      <c r="E32" s="106" t="n">
        <f aca="false">CHOOSE(Dashboard!$B$4,B32,C32,D32)</f>
        <v>0.04</v>
      </c>
      <c r="F32" s="39" t="s">
        <v>254</v>
      </c>
      <c r="G32" s="102" t="s">
        <v>255</v>
      </c>
    </row>
    <row r="33" customFormat="false" ht="15" hidden="false" customHeight="false" outlineLevel="0" collapsed="false">
      <c r="A33" s="6" t="s">
        <v>274</v>
      </c>
      <c r="B33" s="109" t="n">
        <v>120</v>
      </c>
      <c r="C33" s="109" t="n">
        <v>100</v>
      </c>
      <c r="D33" s="109" t="n">
        <v>80</v>
      </c>
      <c r="E33" s="110" t="n">
        <f aca="false">CHOOSE(Dashboard!$B$4,B33,C33,D33)</f>
        <v>100</v>
      </c>
      <c r="F33" s="39" t="s">
        <v>264</v>
      </c>
      <c r="G33" s="102" t="s">
        <v>255</v>
      </c>
    </row>
    <row r="34" customFormat="false" ht="15" hidden="false" customHeight="false" outlineLevel="0" collapsed="false">
      <c r="A34" s="6" t="s">
        <v>275</v>
      </c>
      <c r="B34" s="105" t="n">
        <v>0.04</v>
      </c>
      <c r="C34" s="105" t="n">
        <v>0.03</v>
      </c>
      <c r="D34" s="105" t="n">
        <v>0.025</v>
      </c>
      <c r="E34" s="106" t="n">
        <f aca="false">CHOOSE(Dashboard!$B$4,B34,C34,D34)</f>
        <v>0.03</v>
      </c>
      <c r="F34" s="39" t="s">
        <v>254</v>
      </c>
      <c r="G34" s="102" t="s">
        <v>255</v>
      </c>
    </row>
    <row r="36" customFormat="false" ht="15.75" hidden="false" customHeight="true" outlineLevel="0" collapsed="false">
      <c r="A36" s="7" t="s">
        <v>276</v>
      </c>
      <c r="B36" s="7"/>
      <c r="C36" s="7"/>
      <c r="D36" s="7"/>
      <c r="E36" s="7"/>
      <c r="F36" s="7"/>
      <c r="G36" s="7"/>
    </row>
    <row r="37" customFormat="false" ht="15" hidden="false" customHeight="false" outlineLevel="0" collapsed="false">
      <c r="A37" s="6" t="s">
        <v>277</v>
      </c>
      <c r="B37" s="109" t="n">
        <v>1050</v>
      </c>
      <c r="C37" s="109" t="n">
        <v>950</v>
      </c>
      <c r="D37" s="109" t="n">
        <v>850</v>
      </c>
      <c r="E37" s="110" t="n">
        <f aca="false">CHOOSE(Dashboard!$B$4,B37,C37,D37)</f>
        <v>950</v>
      </c>
      <c r="F37" s="39" t="s">
        <v>264</v>
      </c>
      <c r="G37" s="102"/>
    </row>
    <row r="38" customFormat="false" ht="15" hidden="false" customHeight="false" outlineLevel="0" collapsed="false">
      <c r="A38" s="6" t="s">
        <v>278</v>
      </c>
      <c r="B38" s="109" t="n">
        <v>400</v>
      </c>
      <c r="C38" s="109" t="n">
        <v>380</v>
      </c>
      <c r="D38" s="109" t="n">
        <v>360</v>
      </c>
      <c r="E38" s="110" t="n">
        <f aca="false">CHOOSE(Dashboard!$B$4,B38,C38,D38)</f>
        <v>380</v>
      </c>
      <c r="F38" s="39" t="s">
        <v>264</v>
      </c>
      <c r="G38" s="102"/>
    </row>
    <row r="39" customFormat="false" ht="15" hidden="false" customHeight="false" outlineLevel="0" collapsed="false">
      <c r="A39" s="6" t="s">
        <v>279</v>
      </c>
      <c r="B39" s="109" t="n">
        <v>480</v>
      </c>
      <c r="C39" s="109" t="n">
        <v>450</v>
      </c>
      <c r="D39" s="109" t="n">
        <v>420</v>
      </c>
      <c r="E39" s="110" t="n">
        <f aca="false">CHOOSE(Dashboard!$B$4,B39,C39,D39)</f>
        <v>450</v>
      </c>
      <c r="F39" s="39" t="s">
        <v>264</v>
      </c>
      <c r="G39" s="102"/>
    </row>
    <row r="40" customFormat="false" ht="15" hidden="false" customHeight="false" outlineLevel="0" collapsed="false">
      <c r="A40" s="6" t="s">
        <v>280</v>
      </c>
      <c r="B40" s="107" t="n">
        <v>40</v>
      </c>
      <c r="C40" s="107" t="n">
        <v>38</v>
      </c>
      <c r="D40" s="107" t="n">
        <v>36</v>
      </c>
      <c r="E40" s="108" t="n">
        <f aca="false">CHOOSE(Dashboard!$B$4,B40,C40,D40)</f>
        <v>38</v>
      </c>
      <c r="F40" s="39" t="s">
        <v>264</v>
      </c>
      <c r="G40" s="102"/>
    </row>
    <row r="41" customFormat="false" ht="15" hidden="false" customHeight="false" outlineLevel="0" collapsed="false">
      <c r="A41" s="6" t="s">
        <v>281</v>
      </c>
      <c r="B41" s="109" t="n">
        <v>550</v>
      </c>
      <c r="C41" s="109" t="n">
        <v>500</v>
      </c>
      <c r="D41" s="109" t="n">
        <v>450</v>
      </c>
      <c r="E41" s="110" t="n">
        <f aca="false">CHOOSE(Dashboard!$B$4,B41,C41,D41)</f>
        <v>500</v>
      </c>
      <c r="F41" s="39" t="s">
        <v>264</v>
      </c>
      <c r="G41" s="102"/>
    </row>
    <row r="42" customFormat="false" ht="15" hidden="false" customHeight="false" outlineLevel="0" collapsed="false">
      <c r="A42" s="6" t="s">
        <v>282</v>
      </c>
      <c r="B42" s="109" t="n">
        <v>125</v>
      </c>
      <c r="C42" s="109" t="n">
        <v>120</v>
      </c>
      <c r="D42" s="109" t="n">
        <v>115</v>
      </c>
      <c r="E42" s="110" t="n">
        <f aca="false">CHOOSE(Dashboard!$B$4,B42,C42,D42)</f>
        <v>120</v>
      </c>
      <c r="F42" s="39" t="s">
        <v>264</v>
      </c>
      <c r="G42" s="102"/>
    </row>
    <row r="43" customFormat="false" ht="15" hidden="false" customHeight="false" outlineLevel="0" collapsed="false">
      <c r="A43" s="6" t="s">
        <v>283</v>
      </c>
      <c r="B43" s="109" t="n">
        <v>800</v>
      </c>
      <c r="C43" s="109" t="n">
        <v>700</v>
      </c>
      <c r="D43" s="109" t="n">
        <v>600</v>
      </c>
      <c r="E43" s="110" t="n">
        <f aca="false">CHOOSE(Dashboard!$B$4,B43,C43,D43)</f>
        <v>700</v>
      </c>
      <c r="F43" s="39" t="s">
        <v>264</v>
      </c>
      <c r="G43" s="102"/>
    </row>
    <row r="44" customFormat="false" ht="15" hidden="false" customHeight="false" outlineLevel="0" collapsed="false">
      <c r="A44" s="6" t="s">
        <v>284</v>
      </c>
      <c r="B44" s="105" t="n">
        <v>0</v>
      </c>
      <c r="C44" s="105" t="n">
        <v>0</v>
      </c>
      <c r="D44" s="105" t="n">
        <v>0</v>
      </c>
      <c r="E44" s="106" t="n">
        <f aca="false">CHOOSE(Dashboard!$B$4,B44,C44,D44)</f>
        <v>0</v>
      </c>
      <c r="F44" s="39" t="s">
        <v>254</v>
      </c>
      <c r="G44" s="102"/>
    </row>
    <row r="45" customFormat="false" ht="15" hidden="false" customHeight="false" outlineLevel="0" collapsed="false">
      <c r="A45" s="6" t="s">
        <v>285</v>
      </c>
      <c r="B45" s="109" t="n">
        <v>380</v>
      </c>
      <c r="C45" s="109" t="n">
        <v>350</v>
      </c>
      <c r="D45" s="109" t="n">
        <v>320</v>
      </c>
      <c r="E45" s="110" t="n">
        <f aca="false">CHOOSE(Dashboard!$B$4,B45,C45,D45)</f>
        <v>350</v>
      </c>
      <c r="F45" s="39" t="s">
        <v>264</v>
      </c>
      <c r="G45" s="102"/>
    </row>
    <row r="47" customFormat="false" ht="15.75" hidden="false" customHeight="true" outlineLevel="0" collapsed="false">
      <c r="A47" s="7" t="s">
        <v>84</v>
      </c>
      <c r="B47" s="7"/>
      <c r="C47" s="7"/>
      <c r="D47" s="7"/>
      <c r="E47" s="7"/>
      <c r="F47" s="7"/>
      <c r="G47" s="7"/>
    </row>
    <row r="48" customFormat="false" ht="15" hidden="false" customHeight="false" outlineLevel="0" collapsed="false">
      <c r="A48" s="6" t="s">
        <v>286</v>
      </c>
      <c r="B48" s="100" t="n">
        <v>1</v>
      </c>
      <c r="C48" s="100" t="n">
        <v>1</v>
      </c>
      <c r="D48" s="100" t="n">
        <v>1</v>
      </c>
      <c r="E48" s="101" t="n">
        <f aca="false">CHOOSE(Dashboard!$B$4,B48,C48,D48)</f>
        <v>1</v>
      </c>
      <c r="F48" s="39" t="s">
        <v>248</v>
      </c>
      <c r="G48" s="102"/>
    </row>
    <row r="49" customFormat="false" ht="15" hidden="false" customHeight="false" outlineLevel="0" collapsed="false">
      <c r="A49" s="6" t="s">
        <v>287</v>
      </c>
      <c r="B49" s="109" t="n">
        <v>95000</v>
      </c>
      <c r="C49" s="109" t="n">
        <v>95000</v>
      </c>
      <c r="D49" s="109" t="n">
        <v>95000</v>
      </c>
      <c r="E49" s="110" t="n">
        <f aca="false">CHOOSE(Dashboard!$B$4,B49,C49,D49)</f>
        <v>95000</v>
      </c>
      <c r="F49" s="39" t="s">
        <v>264</v>
      </c>
      <c r="G49" s="102"/>
    </row>
    <row r="50" customFormat="false" ht="15" hidden="false" customHeight="false" outlineLevel="0" collapsed="false">
      <c r="A50" s="6" t="s">
        <v>288</v>
      </c>
      <c r="B50" s="109" t="n">
        <v>40000</v>
      </c>
      <c r="C50" s="109" t="n">
        <v>40000</v>
      </c>
      <c r="D50" s="109" t="n">
        <v>40000</v>
      </c>
      <c r="E50" s="110" t="n">
        <f aca="false">CHOOSE(Dashboard!$B$4,B50,C50,D50)</f>
        <v>40000</v>
      </c>
      <c r="F50" s="39" t="s">
        <v>264</v>
      </c>
      <c r="G50" s="102"/>
    </row>
    <row r="51" customFormat="false" ht="15" hidden="false" customHeight="false" outlineLevel="0" collapsed="false">
      <c r="A51" s="6" t="s">
        <v>289</v>
      </c>
      <c r="B51" s="109" t="n">
        <v>3000</v>
      </c>
      <c r="C51" s="109" t="n">
        <v>3000</v>
      </c>
      <c r="D51" s="109" t="n">
        <v>3000</v>
      </c>
      <c r="E51" s="110" t="n">
        <f aca="false">CHOOSE(Dashboard!$B$4,B51,C51,D51)</f>
        <v>3000</v>
      </c>
      <c r="F51" s="39" t="s">
        <v>264</v>
      </c>
      <c r="G51" s="102"/>
    </row>
    <row r="52" customFormat="false" ht="15" hidden="false" customHeight="false" outlineLevel="0" collapsed="false">
      <c r="A52" s="6" t="s">
        <v>290</v>
      </c>
      <c r="B52" s="109" t="n">
        <v>2500</v>
      </c>
      <c r="C52" s="109" t="n">
        <v>2500</v>
      </c>
      <c r="D52" s="109" t="n">
        <v>2500</v>
      </c>
      <c r="E52" s="110" t="n">
        <f aca="false">CHOOSE(Dashboard!$B$4,B52,C52,D52)</f>
        <v>2500</v>
      </c>
      <c r="F52" s="39" t="s">
        <v>264</v>
      </c>
      <c r="G52" s="102"/>
    </row>
    <row r="54" customFormat="false" ht="15.75" hidden="false" customHeight="true" outlineLevel="0" collapsed="false">
      <c r="A54" s="7" t="s">
        <v>291</v>
      </c>
      <c r="B54" s="7"/>
      <c r="C54" s="7"/>
      <c r="D54" s="7"/>
      <c r="E54" s="7"/>
      <c r="F54" s="7"/>
      <c r="G54" s="7"/>
    </row>
    <row r="55" customFormat="false" ht="15" hidden="false" customHeight="false" outlineLevel="0" collapsed="false">
      <c r="A55" s="6" t="s">
        <v>292</v>
      </c>
      <c r="B55" s="103" t="n">
        <v>1</v>
      </c>
      <c r="C55" s="103" t="n">
        <v>1</v>
      </c>
      <c r="D55" s="103" t="n">
        <v>1</v>
      </c>
      <c r="E55" s="104" t="n">
        <f aca="false">CHOOSE(Dashboard!$B$4,B55,C55,D55)</f>
        <v>1</v>
      </c>
      <c r="F55" s="39" t="s">
        <v>293</v>
      </c>
      <c r="G55" s="102" t="s">
        <v>252</v>
      </c>
    </row>
    <row r="56" customFormat="false" ht="15" hidden="false" customHeight="false" outlineLevel="0" collapsed="false">
      <c r="A56" s="6" t="s">
        <v>294</v>
      </c>
      <c r="B56" s="109" t="n">
        <v>36000</v>
      </c>
      <c r="C56" s="109" t="n">
        <v>36000</v>
      </c>
      <c r="D56" s="109" t="n">
        <v>36000</v>
      </c>
      <c r="E56" s="110" t="n">
        <f aca="false">CHOOSE(Dashboard!$B$4,B56,C56,D56)</f>
        <v>36000</v>
      </c>
      <c r="F56" s="39" t="s">
        <v>264</v>
      </c>
      <c r="G56" s="102"/>
    </row>
    <row r="57" customFormat="false" ht="15" hidden="false" customHeight="false" outlineLevel="0" collapsed="false">
      <c r="A57" s="6" t="s">
        <v>295</v>
      </c>
      <c r="B57" s="105" t="n">
        <v>0</v>
      </c>
      <c r="C57" s="105" t="n">
        <v>0</v>
      </c>
      <c r="D57" s="105" t="n">
        <v>0</v>
      </c>
      <c r="E57" s="106" t="n">
        <f aca="false">CHOOSE(Dashboard!$B$4,B57,C57,D57)</f>
        <v>0</v>
      </c>
      <c r="F57" s="39" t="s">
        <v>254</v>
      </c>
      <c r="G57" s="102" t="s">
        <v>252</v>
      </c>
    </row>
    <row r="58" customFormat="false" ht="15" hidden="false" customHeight="false" outlineLevel="0" collapsed="false">
      <c r="A58" s="6" t="s">
        <v>296</v>
      </c>
      <c r="B58" s="100" t="n">
        <v>1</v>
      </c>
      <c r="C58" s="100" t="n">
        <v>1</v>
      </c>
      <c r="D58" s="100" t="n">
        <v>1</v>
      </c>
      <c r="E58" s="101" t="n">
        <f aca="false">CHOOSE(Dashboard!$B$4,B58,C58,D58)</f>
        <v>1</v>
      </c>
      <c r="F58" s="39" t="s">
        <v>297</v>
      </c>
      <c r="G58" s="102"/>
    </row>
    <row r="59" customFormat="false" ht="15" hidden="false" customHeight="false" outlineLevel="0" collapsed="false">
      <c r="A59" s="6" t="s">
        <v>298</v>
      </c>
      <c r="B59" s="103" t="n">
        <v>1.2</v>
      </c>
      <c r="C59" s="103" t="n">
        <v>1.2</v>
      </c>
      <c r="D59" s="103" t="n">
        <v>1.2</v>
      </c>
      <c r="E59" s="104" t="n">
        <f aca="false">CHOOSE(Dashboard!$B$4,B59,C59,D59)</f>
        <v>1.2</v>
      </c>
      <c r="F59" s="39" t="s">
        <v>293</v>
      </c>
      <c r="G59" s="102" t="s">
        <v>252</v>
      </c>
    </row>
    <row r="60" customFormat="false" ht="15" hidden="false" customHeight="false" outlineLevel="0" collapsed="false">
      <c r="A60" s="6" t="s">
        <v>299</v>
      </c>
      <c r="B60" s="109" t="n">
        <v>34000</v>
      </c>
      <c r="C60" s="109" t="n">
        <v>34000</v>
      </c>
      <c r="D60" s="109" t="n">
        <v>34000</v>
      </c>
      <c r="E60" s="110" t="n">
        <f aca="false">CHOOSE(Dashboard!$B$4,B60,C60,D60)</f>
        <v>34000</v>
      </c>
      <c r="F60" s="39" t="s">
        <v>264</v>
      </c>
      <c r="G60" s="102"/>
    </row>
    <row r="61" customFormat="false" ht="15" hidden="false" customHeight="false" outlineLevel="0" collapsed="false">
      <c r="A61" s="6" t="s">
        <v>300</v>
      </c>
      <c r="B61" s="105" t="n">
        <v>0</v>
      </c>
      <c r="C61" s="105" t="n">
        <v>0</v>
      </c>
      <c r="D61" s="105" t="n">
        <v>0</v>
      </c>
      <c r="E61" s="106" t="n">
        <f aca="false">CHOOSE(Dashboard!$B$4,B61,C61,D61)</f>
        <v>0</v>
      </c>
      <c r="F61" s="39" t="s">
        <v>254</v>
      </c>
      <c r="G61" s="102" t="s">
        <v>252</v>
      </c>
    </row>
    <row r="62" customFormat="false" ht="15" hidden="false" customHeight="false" outlineLevel="0" collapsed="false">
      <c r="A62" s="6" t="s">
        <v>301</v>
      </c>
      <c r="B62" s="100" t="n">
        <v>1</v>
      </c>
      <c r="C62" s="100" t="n">
        <v>1</v>
      </c>
      <c r="D62" s="100" t="n">
        <v>1</v>
      </c>
      <c r="E62" s="101" t="n">
        <f aca="false">CHOOSE(Dashboard!$B$4,B62,C62,D62)</f>
        <v>1</v>
      </c>
      <c r="F62" s="39" t="s">
        <v>297</v>
      </c>
      <c r="G62" s="102"/>
    </row>
    <row r="63" customFormat="false" ht="15" hidden="false" customHeight="false" outlineLevel="0" collapsed="false">
      <c r="A63" s="6" t="s">
        <v>302</v>
      </c>
      <c r="B63" s="103" t="n">
        <v>1</v>
      </c>
      <c r="C63" s="103" t="n">
        <v>1</v>
      </c>
      <c r="D63" s="103" t="n">
        <v>1</v>
      </c>
      <c r="E63" s="104" t="n">
        <f aca="false">CHOOSE(Dashboard!$B$4,B63,C63,D63)</f>
        <v>1</v>
      </c>
      <c r="F63" s="39" t="s">
        <v>293</v>
      </c>
      <c r="G63" s="102" t="s">
        <v>252</v>
      </c>
    </row>
    <row r="64" customFormat="false" ht="15" hidden="false" customHeight="false" outlineLevel="0" collapsed="false">
      <c r="A64" s="6" t="s">
        <v>303</v>
      </c>
      <c r="B64" s="109" t="n">
        <v>29000</v>
      </c>
      <c r="C64" s="109" t="n">
        <v>29000</v>
      </c>
      <c r="D64" s="109" t="n">
        <v>29000</v>
      </c>
      <c r="E64" s="110" t="n">
        <f aca="false">CHOOSE(Dashboard!$B$4,B64,C64,D64)</f>
        <v>29000</v>
      </c>
      <c r="F64" s="39" t="s">
        <v>264</v>
      </c>
      <c r="G64" s="102"/>
    </row>
    <row r="65" customFormat="false" ht="15" hidden="false" customHeight="false" outlineLevel="0" collapsed="false">
      <c r="A65" s="6" t="s">
        <v>304</v>
      </c>
      <c r="B65" s="105" t="n">
        <v>0</v>
      </c>
      <c r="C65" s="105" t="n">
        <v>0</v>
      </c>
      <c r="D65" s="105" t="n">
        <v>0</v>
      </c>
      <c r="E65" s="106" t="n">
        <f aca="false">CHOOSE(Dashboard!$B$4,B65,C65,D65)</f>
        <v>0</v>
      </c>
      <c r="F65" s="39" t="s">
        <v>254</v>
      </c>
      <c r="G65" s="102" t="s">
        <v>252</v>
      </c>
    </row>
    <row r="66" customFormat="false" ht="15" hidden="false" customHeight="false" outlineLevel="0" collapsed="false">
      <c r="A66" s="6" t="s">
        <v>305</v>
      </c>
      <c r="B66" s="100" t="n">
        <v>1</v>
      </c>
      <c r="C66" s="100" t="n">
        <v>1</v>
      </c>
      <c r="D66" s="100" t="n">
        <v>1</v>
      </c>
      <c r="E66" s="101" t="n">
        <f aca="false">CHOOSE(Dashboard!$B$4,B66,C66,D66)</f>
        <v>1</v>
      </c>
      <c r="F66" s="39" t="s">
        <v>297</v>
      </c>
      <c r="G66" s="102"/>
    </row>
    <row r="67" customFormat="false" ht="15" hidden="false" customHeight="false" outlineLevel="0" collapsed="false">
      <c r="A67" s="6" t="s">
        <v>306</v>
      </c>
      <c r="B67" s="105" t="n">
        <v>0.12</v>
      </c>
      <c r="C67" s="105" t="n">
        <v>0.12</v>
      </c>
      <c r="D67" s="105" t="n">
        <v>0.12</v>
      </c>
      <c r="E67" s="106" t="n">
        <f aca="false">CHOOSE(Dashboard!$B$4,B67,C67,D67)</f>
        <v>0.12</v>
      </c>
      <c r="F67" s="39" t="s">
        <v>254</v>
      </c>
      <c r="G67" s="102"/>
    </row>
    <row r="68" customFormat="false" ht="15" hidden="false" customHeight="false" outlineLevel="0" collapsed="false">
      <c r="A68" s="6" t="s">
        <v>307</v>
      </c>
      <c r="B68" s="105" t="n">
        <v>0.03</v>
      </c>
      <c r="C68" s="105" t="n">
        <v>0.03</v>
      </c>
      <c r="D68" s="105" t="n">
        <v>0.03</v>
      </c>
      <c r="E68" s="106" t="n">
        <f aca="false">CHOOSE(Dashboard!$B$4,B68,C68,D68)</f>
        <v>0.03</v>
      </c>
      <c r="F68" s="39" t="s">
        <v>254</v>
      </c>
      <c r="G68" s="102"/>
    </row>
    <row r="70" customFormat="false" ht="15.75" hidden="false" customHeight="true" outlineLevel="0" collapsed="false">
      <c r="A70" s="7" t="s">
        <v>308</v>
      </c>
      <c r="B70" s="7"/>
      <c r="C70" s="7"/>
      <c r="D70" s="7"/>
      <c r="E70" s="7"/>
      <c r="F70" s="7"/>
      <c r="G70" s="7"/>
    </row>
    <row r="71" customFormat="false" ht="15" hidden="false" customHeight="false" outlineLevel="0" collapsed="false">
      <c r="A71" s="6" t="s">
        <v>309</v>
      </c>
      <c r="B71" s="109" t="n">
        <v>100000</v>
      </c>
      <c r="C71" s="109" t="n">
        <v>100000</v>
      </c>
      <c r="D71" s="109" t="n">
        <v>100000</v>
      </c>
      <c r="E71" s="110" t="n">
        <f aca="false">CHOOSE(Dashboard!$B$4,B71,C71,D71)</f>
        <v>100000</v>
      </c>
      <c r="F71" s="39" t="s">
        <v>264</v>
      </c>
      <c r="G71" s="102"/>
    </row>
    <row r="72" customFormat="false" ht="15" hidden="false" customHeight="false" outlineLevel="0" collapsed="false">
      <c r="A72" s="6" t="s">
        <v>310</v>
      </c>
      <c r="B72" s="109" t="n">
        <v>90000</v>
      </c>
      <c r="C72" s="109" t="n">
        <v>90000</v>
      </c>
      <c r="D72" s="109" t="n">
        <v>90000</v>
      </c>
      <c r="E72" s="110" t="n">
        <f aca="false">CHOOSE(Dashboard!$B$4,B72,C72,D72)</f>
        <v>90000</v>
      </c>
      <c r="F72" s="39" t="s">
        <v>264</v>
      </c>
      <c r="G72" s="102"/>
    </row>
    <row r="73" customFormat="false" ht="15" hidden="false" customHeight="false" outlineLevel="0" collapsed="false">
      <c r="A73" s="6" t="s">
        <v>311</v>
      </c>
      <c r="B73" s="105" t="n">
        <v>0.09</v>
      </c>
      <c r="C73" s="105" t="n">
        <v>0.09</v>
      </c>
      <c r="D73" s="105" t="n">
        <v>0.09</v>
      </c>
      <c r="E73" s="106" t="n">
        <f aca="false">CHOOSE(Dashboard!$B$4,B73,C73,D73)</f>
        <v>0.09</v>
      </c>
      <c r="F73" s="39" t="s">
        <v>254</v>
      </c>
      <c r="G73" s="102"/>
    </row>
    <row r="74" customFormat="false" ht="15" hidden="false" customHeight="false" outlineLevel="0" collapsed="false">
      <c r="A74" s="6" t="s">
        <v>312</v>
      </c>
      <c r="B74" s="100" t="n">
        <v>5</v>
      </c>
      <c r="C74" s="100" t="n">
        <v>5</v>
      </c>
      <c r="D74" s="100" t="n">
        <v>5</v>
      </c>
      <c r="E74" s="101" t="n">
        <f aca="false">CHOOSE(Dashboard!$B$4,B74,C74,D74)</f>
        <v>5</v>
      </c>
      <c r="F74" s="39" t="s">
        <v>313</v>
      </c>
      <c r="G74" s="102"/>
    </row>
    <row r="76" customFormat="false" ht="15.75" hidden="false" customHeight="true" outlineLevel="0" collapsed="false">
      <c r="A76" s="7" t="s">
        <v>314</v>
      </c>
      <c r="B76" s="7"/>
      <c r="C76" s="7"/>
      <c r="D76" s="7"/>
      <c r="E76" s="7"/>
      <c r="F76" s="7"/>
      <c r="G76" s="7"/>
    </row>
    <row r="77" customFormat="false" ht="15" hidden="false" customHeight="false" outlineLevel="0" collapsed="false">
      <c r="A77" s="6" t="s">
        <v>315</v>
      </c>
      <c r="B77" s="100" t="n">
        <v>3</v>
      </c>
      <c r="C77" s="100" t="n">
        <v>3</v>
      </c>
      <c r="D77" s="100" t="n">
        <v>3</v>
      </c>
      <c r="E77" s="101" t="n">
        <f aca="false">CHOOSE(Dashboard!$B$4,B77,C77,D77)</f>
        <v>3</v>
      </c>
      <c r="F77" s="39" t="s">
        <v>251</v>
      </c>
      <c r="G77" s="102"/>
    </row>
    <row r="78" customFormat="false" ht="15" hidden="false" customHeight="false" outlineLevel="0" collapsed="false">
      <c r="A78" s="6" t="s">
        <v>316</v>
      </c>
      <c r="B78" s="100" t="n">
        <v>3</v>
      </c>
      <c r="C78" s="100" t="n">
        <v>3</v>
      </c>
      <c r="D78" s="100" t="n">
        <v>3</v>
      </c>
      <c r="E78" s="101" t="n">
        <f aca="false">CHOOSE(Dashboard!$B$4,B78,C78,D78)</f>
        <v>3</v>
      </c>
      <c r="F78" s="39" t="s">
        <v>251</v>
      </c>
      <c r="G78" s="102"/>
    </row>
    <row r="79" customFormat="false" ht="15" hidden="false" customHeight="false" outlineLevel="0" collapsed="false">
      <c r="A79" s="6" t="s">
        <v>317</v>
      </c>
      <c r="B79" s="100" t="n">
        <v>7</v>
      </c>
      <c r="C79" s="100" t="n">
        <v>7</v>
      </c>
      <c r="D79" s="100" t="n">
        <v>7</v>
      </c>
      <c r="E79" s="101" t="n">
        <f aca="false">CHOOSE(Dashboard!$B$4,B79,C79,D79)</f>
        <v>7</v>
      </c>
      <c r="F79" s="39" t="s">
        <v>251</v>
      </c>
      <c r="G79" s="102"/>
    </row>
    <row r="81" customFormat="false" ht="15.75" hidden="false" customHeight="true" outlineLevel="0" collapsed="false">
      <c r="A81" s="7" t="s">
        <v>318</v>
      </c>
      <c r="B81" s="7"/>
      <c r="C81" s="7"/>
      <c r="D81" s="7"/>
      <c r="E81" s="7"/>
      <c r="F81" s="7"/>
      <c r="G81" s="7"/>
    </row>
    <row r="82" customFormat="false" ht="15" hidden="false" customHeight="false" outlineLevel="0" collapsed="false">
      <c r="A82" s="6" t="s">
        <v>319</v>
      </c>
      <c r="B82" s="100" t="n">
        <v>7</v>
      </c>
      <c r="C82" s="100" t="n">
        <v>7</v>
      </c>
      <c r="D82" s="100" t="n">
        <v>7</v>
      </c>
      <c r="E82" s="101" t="n">
        <f aca="false">CHOOSE(Dashboard!$B$4,B82,C82,D82)</f>
        <v>7</v>
      </c>
      <c r="F82" s="39" t="s">
        <v>313</v>
      </c>
      <c r="G82" s="102"/>
    </row>
    <row r="83" customFormat="false" ht="15" hidden="false" customHeight="false" outlineLevel="0" collapsed="false">
      <c r="A83" s="6" t="s">
        <v>320</v>
      </c>
      <c r="B83" s="105" t="n">
        <v>0.21</v>
      </c>
      <c r="C83" s="105" t="n">
        <v>0.21</v>
      </c>
      <c r="D83" s="105" t="n">
        <v>0.21</v>
      </c>
      <c r="E83" s="106" t="n">
        <f aca="false">CHOOSE(Dashboard!$B$4,B83,C83,D83)</f>
        <v>0.21</v>
      </c>
      <c r="F83" s="39" t="s">
        <v>254</v>
      </c>
      <c r="G83" s="102"/>
    </row>
    <row r="85" customFormat="false" ht="15.75" hidden="false" customHeight="true" outlineLevel="0" collapsed="false">
      <c r="A85" s="7" t="s">
        <v>321</v>
      </c>
      <c r="B85" s="7"/>
      <c r="C85" s="7"/>
      <c r="D85" s="7"/>
      <c r="E85" s="7"/>
      <c r="F85" s="7"/>
      <c r="G85" s="7"/>
    </row>
    <row r="86" customFormat="false" ht="15" hidden="false" customHeight="false" outlineLevel="0" collapsed="false">
      <c r="A86" s="6" t="s">
        <v>141</v>
      </c>
      <c r="B86" s="109" t="n">
        <v>42000</v>
      </c>
      <c r="C86" s="109" t="n">
        <v>42000</v>
      </c>
      <c r="D86" s="109" t="n">
        <v>42000</v>
      </c>
      <c r="E86" s="110" t="n">
        <f aca="false">CHOOSE(Dashboard!$B$4,B86,C86,D86)</f>
        <v>42000</v>
      </c>
      <c r="F86" s="39" t="s">
        <v>264</v>
      </c>
      <c r="G86" s="102" t="s">
        <v>322</v>
      </c>
    </row>
    <row r="88" customFormat="false" ht="15.75" hidden="false" customHeight="true" outlineLevel="0" collapsed="false">
      <c r="A88" s="7" t="s">
        <v>323</v>
      </c>
      <c r="B88" s="7"/>
      <c r="C88" s="7"/>
      <c r="D88" s="7"/>
      <c r="E88" s="7"/>
      <c r="F88" s="7"/>
      <c r="G88" s="7"/>
    </row>
    <row r="89" customFormat="false" ht="15" hidden="false" customHeight="false" outlineLevel="0" collapsed="false">
      <c r="A89" s="6" t="s">
        <v>166</v>
      </c>
      <c r="B89" s="105" t="n">
        <v>0.3</v>
      </c>
      <c r="C89" s="105" t="n">
        <v>0.25</v>
      </c>
      <c r="D89" s="105" t="n">
        <v>0.2</v>
      </c>
      <c r="E89" s="106" t="n">
        <f aca="false">CHOOSE(Dashboard!$B$4,B89,C89,D89)</f>
        <v>0.25</v>
      </c>
      <c r="F89" s="39" t="s">
        <v>254</v>
      </c>
      <c r="G89" s="102" t="s">
        <v>255</v>
      </c>
    </row>
    <row r="90" customFormat="false" ht="15" hidden="false" customHeight="false" outlineLevel="0" collapsed="false">
      <c r="A90" s="6" t="s">
        <v>324</v>
      </c>
      <c r="B90" s="105" t="n">
        <v>0.01</v>
      </c>
      <c r="C90" s="105" t="n">
        <v>0.02</v>
      </c>
      <c r="D90" s="105" t="n">
        <v>0.03</v>
      </c>
      <c r="E90" s="106" t="n">
        <f aca="false">CHOOSE(Dashboard!$B$4,B90,C90,D90)</f>
        <v>0.02</v>
      </c>
      <c r="F90" s="39" t="s">
        <v>254</v>
      </c>
      <c r="G90" s="102" t="s">
        <v>252</v>
      </c>
    </row>
    <row r="91" customFormat="false" ht="15" hidden="false" customHeight="false" outlineLevel="0" collapsed="false">
      <c r="A91" s="6" t="s">
        <v>168</v>
      </c>
      <c r="B91" s="111" t="n">
        <v>3</v>
      </c>
      <c r="C91" s="111" t="n">
        <v>4</v>
      </c>
      <c r="D91" s="111" t="n">
        <v>5</v>
      </c>
      <c r="E91" s="112" t="n">
        <f aca="false">CHOOSE(Dashboard!$B$4,B91,C91,D91)</f>
        <v>4</v>
      </c>
      <c r="F91" s="39" t="s">
        <v>325</v>
      </c>
      <c r="G91" s="102" t="s">
        <v>252</v>
      </c>
    </row>
    <row r="92" customFormat="false" ht="15" hidden="false" customHeight="false" outlineLevel="0" collapsed="false">
      <c r="A92" s="6" t="s">
        <v>326</v>
      </c>
      <c r="B92" s="105" t="n">
        <v>0.01</v>
      </c>
      <c r="C92" s="105" t="n">
        <v>0.01</v>
      </c>
      <c r="D92" s="105" t="n">
        <v>0.01</v>
      </c>
      <c r="E92" s="106" t="n">
        <f aca="false">CHOOSE(Dashboard!$B$4,B92,C92,D92)</f>
        <v>0.01</v>
      </c>
      <c r="F92" s="39" t="s">
        <v>254</v>
      </c>
      <c r="G92" s="102"/>
    </row>
    <row r="93" customFormat="false" ht="15" hidden="false" customHeight="false" outlineLevel="0" collapsed="false">
      <c r="A93" s="6" t="s">
        <v>327</v>
      </c>
      <c r="B93" s="105" t="n">
        <v>0.005</v>
      </c>
      <c r="C93" s="105" t="n">
        <v>0.005</v>
      </c>
      <c r="D93" s="105" t="n">
        <v>0.005</v>
      </c>
      <c r="E93" s="106" t="n">
        <f aca="false">CHOOSE(Dashboard!$B$4,B93,C93,D93)</f>
        <v>0.005</v>
      </c>
      <c r="F93" s="39" t="s">
        <v>254</v>
      </c>
      <c r="G93" s="102"/>
    </row>
    <row r="95" customFormat="false" ht="15" hidden="false" customHeight="false" outlineLevel="0" collapsed="false">
      <c r="A95" s="21" t="s">
        <v>328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2F"/>
    <pageSetUpPr fitToPage="true"/>
  </sheetPr>
  <dimension ref="A1:F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4"/>
  </cols>
  <sheetData>
    <row r="1" customFormat="false" ht="21.75" hidden="false" customHeight="true" outlineLevel="0" collapsed="false">
      <c r="A1" s="16" t="s">
        <v>20</v>
      </c>
      <c r="F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329</v>
      </c>
    </row>
    <row r="3" customFormat="false" ht="15" hidden="false" customHeight="false" outlineLevel="0" collapsed="false">
      <c r="A3" s="72" t="s">
        <v>154</v>
      </c>
      <c r="B3" s="72" t="n">
        <v>1</v>
      </c>
      <c r="C3" s="72" t="n">
        <v>2</v>
      </c>
      <c r="D3" s="72" t="n">
        <v>3</v>
      </c>
    </row>
    <row r="4" customFormat="false" ht="15" hidden="false" customHeight="false" outlineLevel="0" collapsed="false">
      <c r="A4" s="33"/>
      <c r="B4" s="35" t="s">
        <v>155</v>
      </c>
      <c r="C4" s="35" t="s">
        <v>156</v>
      </c>
      <c r="D4" s="35" t="s">
        <v>157</v>
      </c>
    </row>
    <row r="5" customFormat="false" ht="15" hidden="false" customHeight="false" outlineLevel="0" collapsed="false">
      <c r="A5" s="4" t="s">
        <v>44</v>
      </c>
      <c r="B5" s="73" t="n">
        <f aca="false">SUMIF(Monthly!$C$5:$AL$5,B$3,Monthly!$C$24:$AL$24)</f>
        <v>273896</v>
      </c>
      <c r="C5" s="73" t="n">
        <f aca="false">SUMIF(Monthly!$C$5:$AL$5,C$3,Monthly!$C$24:$AL$24)</f>
        <v>336825.8208</v>
      </c>
      <c r="D5" s="73" t="n">
        <f aca="false">SUMIF(Monthly!$C$5:$AL$5,D$3,Monthly!$C$24:$AL$24)</f>
        <v>358461.36984672</v>
      </c>
    </row>
    <row r="6" customFormat="false" ht="15" hidden="false" customHeight="false" outlineLevel="0" collapsed="false">
      <c r="A6" s="6" t="s">
        <v>76</v>
      </c>
      <c r="B6" s="67" t="n">
        <f aca="false">SUMIF(Monthly!$C$5:$AL$5,B$3,Monthly!$C$32:$AL$32)</f>
        <v>-111929.464</v>
      </c>
      <c r="C6" s="67" t="n">
        <f aca="false">SUMIF(Monthly!$C$5:$AL$5,C$3,Monthly!$C$32:$AL$32)</f>
        <v>-137820.7179072</v>
      </c>
      <c r="D6" s="67" t="n">
        <f aca="false">SUMIF(Monthly!$C$5:$AL$5,D$3,Monthly!$C$32:$AL$32)</f>
        <v>-146778.315253188</v>
      </c>
    </row>
    <row r="7" customFormat="false" ht="15" hidden="false" customHeight="false" outlineLevel="0" collapsed="false">
      <c r="A7" s="113" t="s">
        <v>45</v>
      </c>
      <c r="B7" s="68" t="n">
        <f aca="false">SUMIF(Monthly!$C$5:$AL$5,B$3,Monthly!$C$33:$AL$33)</f>
        <v>161966.536</v>
      </c>
      <c r="C7" s="68" t="n">
        <f aca="false">SUMIF(Monthly!$C$5:$AL$5,C$3,Monthly!$C$33:$AL$33)</f>
        <v>199005.1028928</v>
      </c>
      <c r="D7" s="68" t="n">
        <f aca="false">SUMIF(Monthly!$C$5:$AL$5,D$3,Monthly!$C$33:$AL$33)</f>
        <v>211683.054593532</v>
      </c>
    </row>
    <row r="8" customFormat="false" ht="15" hidden="false" customHeight="false" outlineLevel="0" collapsed="false">
      <c r="A8" s="39" t="s">
        <v>46</v>
      </c>
      <c r="B8" s="74" t="n">
        <f aca="false">IF(B5=0,0,B7/B5)</f>
        <v>0.59134319595759</v>
      </c>
      <c r="C8" s="74" t="n">
        <f aca="false">IF(C5=0,0,C7/C5)</f>
        <v>0.590824962350392</v>
      </c>
      <c r="D8" s="74" t="n">
        <f aca="false">IF(D5=0,0,D7/D5)</f>
        <v>0.590532404325879</v>
      </c>
    </row>
    <row r="9" customFormat="false" ht="15" hidden="false" customHeight="false" outlineLevel="0" collapsed="false">
      <c r="A9" s="6" t="s">
        <v>330</v>
      </c>
      <c r="B9" s="67" t="n">
        <f aca="false">SUMIF(Monthly!$C$5:$AL$5,B$3,Monthly!$C$36:$AL$36)</f>
        <v>-118496</v>
      </c>
      <c r="C9" s="67" t="n">
        <f aca="false">SUMIF(Monthly!$C$5:$AL$5,C$3,Monthly!$C$36:$AL$36)</f>
        <v>-122050.88</v>
      </c>
      <c r="D9" s="67" t="n">
        <f aca="false">SUMIF(Monthly!$C$5:$AL$5,D$3,Monthly!$C$36:$AL$36)</f>
        <v>-125712.4064</v>
      </c>
    </row>
    <row r="10" customFormat="false" ht="15" hidden="false" customHeight="false" outlineLevel="0" collapsed="false">
      <c r="A10" s="6" t="s">
        <v>331</v>
      </c>
      <c r="B10" s="67" t="n">
        <f aca="false">SUMIF(Monthly!$C$5:$AL$5,B$3,Monthly!$C$37:$AL$37)</f>
        <v>-11400</v>
      </c>
      <c r="C10" s="67" t="n">
        <f aca="false">SUMIF(Monthly!$C$5:$AL$5,C$3,Monthly!$C$37:$AL$37)</f>
        <v>-11742</v>
      </c>
      <c r="D10" s="67" t="n">
        <f aca="false">SUMIF(Monthly!$C$5:$AL$5,D$3,Monthly!$C$37:$AL$37)</f>
        <v>-12094.26</v>
      </c>
    </row>
    <row r="11" customFormat="false" ht="15" hidden="false" customHeight="false" outlineLevel="0" collapsed="false">
      <c r="A11" s="6" t="s">
        <v>332</v>
      </c>
      <c r="B11" s="67" t="n">
        <f aca="false">SUMIF(Monthly!$C$5:$AL$5,B$3,Monthly!$C$38:$AL$38)</f>
        <v>-4560</v>
      </c>
      <c r="C11" s="67" t="n">
        <f aca="false">SUMIF(Monthly!$C$5:$AL$5,C$3,Monthly!$C$38:$AL$38)</f>
        <v>-4696.8</v>
      </c>
      <c r="D11" s="67" t="n">
        <f aca="false">SUMIF(Monthly!$C$5:$AL$5,D$3,Monthly!$C$38:$AL$38)</f>
        <v>-4837.704</v>
      </c>
    </row>
    <row r="12" customFormat="false" ht="15" hidden="false" customHeight="false" outlineLevel="0" collapsed="false">
      <c r="A12" s="6" t="s">
        <v>333</v>
      </c>
      <c r="B12" s="67" t="n">
        <f aca="false">SUMIF(Monthly!$C$5:$AL$5,B$3,Monthly!$C$39:$AL$39)</f>
        <v>-5400</v>
      </c>
      <c r="C12" s="67" t="n">
        <f aca="false">SUMIF(Monthly!$C$5:$AL$5,C$3,Monthly!$C$39:$AL$39)</f>
        <v>-5562</v>
      </c>
      <c r="D12" s="67" t="n">
        <f aca="false">SUMIF(Monthly!$C$5:$AL$5,D$3,Monthly!$C$39:$AL$39)</f>
        <v>-5728.86</v>
      </c>
    </row>
    <row r="13" customFormat="false" ht="15" hidden="false" customHeight="false" outlineLevel="0" collapsed="false">
      <c r="A13" s="6" t="s">
        <v>334</v>
      </c>
      <c r="B13" s="67" t="n">
        <f aca="false">SUMIF(Monthly!$C$5:$AL$5,B$3,Monthly!$C$40:$AL$40)</f>
        <v>-9376.5</v>
      </c>
      <c r="C13" s="67" t="n">
        <f aca="false">SUMIF(Monthly!$C$5:$AL$5,C$3,Monthly!$C$40:$AL$40)</f>
        <v>-9933.732</v>
      </c>
      <c r="D13" s="67" t="n">
        <f aca="false">SUMIF(Monthly!$C$5:$AL$5,D$3,Monthly!$C$40:$AL$40)</f>
        <v>-10307.937798</v>
      </c>
    </row>
    <row r="14" customFormat="false" ht="15" hidden="false" customHeight="false" outlineLevel="0" collapsed="false">
      <c r="A14" s="6" t="s">
        <v>335</v>
      </c>
      <c r="B14" s="67" t="n">
        <f aca="false">SUMIF(Monthly!$C$5:$AL$5,B$3,Monthly!$C$41:$AL$41)</f>
        <v>-6000</v>
      </c>
      <c r="C14" s="67" t="n">
        <f aca="false">SUMIF(Monthly!$C$5:$AL$5,C$3,Monthly!$C$41:$AL$41)</f>
        <v>-6180</v>
      </c>
      <c r="D14" s="67" t="n">
        <f aca="false">SUMIF(Monthly!$C$5:$AL$5,D$3,Monthly!$C$41:$AL$41)</f>
        <v>-6365.4</v>
      </c>
    </row>
    <row r="15" customFormat="false" ht="15" hidden="false" customHeight="false" outlineLevel="0" collapsed="false">
      <c r="A15" s="6" t="s">
        <v>336</v>
      </c>
      <c r="B15" s="67" t="n">
        <f aca="false">SUMIF(Monthly!$C$5:$AL$5,B$3,Monthly!$C$42:$AL$42)</f>
        <v>-1440</v>
      </c>
      <c r="C15" s="67" t="n">
        <f aca="false">SUMIF(Monthly!$C$5:$AL$5,C$3,Monthly!$C$42:$AL$42)</f>
        <v>-1483.2</v>
      </c>
      <c r="D15" s="67" t="n">
        <f aca="false">SUMIF(Monthly!$C$5:$AL$5,D$3,Monthly!$C$42:$AL$42)</f>
        <v>-1527.696</v>
      </c>
    </row>
    <row r="16" customFormat="false" ht="15" hidden="false" customHeight="false" outlineLevel="0" collapsed="false">
      <c r="A16" s="6" t="s">
        <v>337</v>
      </c>
      <c r="B16" s="67" t="n">
        <f aca="false">SUMIF(Monthly!$C$5:$AL$5,B$3,Monthly!$C$43:$AL$43)</f>
        <v>-8400</v>
      </c>
      <c r="C16" s="67" t="n">
        <f aca="false">SUMIF(Monthly!$C$5:$AL$5,C$3,Monthly!$C$43:$AL$43)</f>
        <v>-8400</v>
      </c>
      <c r="D16" s="67" t="n">
        <f aca="false">SUMIF(Monthly!$C$5:$AL$5,D$3,Monthly!$C$43:$AL$43)</f>
        <v>-8400</v>
      </c>
    </row>
    <row r="17" customFormat="false" ht="15" hidden="false" customHeight="false" outlineLevel="0" collapsed="false">
      <c r="A17" s="6" t="s">
        <v>338</v>
      </c>
      <c r="B17" s="67" t="n">
        <f aca="false">SUMIF(Monthly!$C$5:$AL$5,B$3,Monthly!$C$44:$AL$44)</f>
        <v>-4200</v>
      </c>
      <c r="C17" s="67" t="n">
        <f aca="false">SUMIF(Monthly!$C$5:$AL$5,C$3,Monthly!$C$44:$AL$44)</f>
        <v>-4326</v>
      </c>
      <c r="D17" s="67" t="n">
        <f aca="false">SUMIF(Monthly!$C$5:$AL$5,D$3,Monthly!$C$44:$AL$44)</f>
        <v>-4455.78</v>
      </c>
    </row>
    <row r="18" customFormat="false" ht="15" hidden="false" customHeight="false" outlineLevel="0" collapsed="false">
      <c r="A18" s="113" t="s">
        <v>77</v>
      </c>
      <c r="B18" s="68" t="n">
        <f aca="false">SUMIF(Monthly!$C$5:$AL$5,B$3,Monthly!$C$45:$AL$45)</f>
        <v>-169272.5</v>
      </c>
      <c r="C18" s="68" t="n">
        <f aca="false">SUMIF(Monthly!$C$5:$AL$5,C$3,Monthly!$C$45:$AL$45)</f>
        <v>-174374.612</v>
      </c>
      <c r="D18" s="68" t="n">
        <f aca="false">SUMIF(Monthly!$C$5:$AL$5,D$3,Monthly!$C$45:$AL$45)</f>
        <v>-179430.044198</v>
      </c>
    </row>
    <row r="19" customFormat="false" ht="15" hidden="false" customHeight="false" outlineLevel="0" collapsed="false">
      <c r="A19" s="113" t="s">
        <v>48</v>
      </c>
      <c r="B19" s="68" t="n">
        <f aca="false">SUMIF(Monthly!$C$5:$AL$5,B$3,Monthly!$C$46:$AL$46)</f>
        <v>-7305.96400000003</v>
      </c>
      <c r="C19" s="68" t="n">
        <f aca="false">SUMIF(Monthly!$C$5:$AL$5,C$3,Monthly!$C$46:$AL$46)</f>
        <v>24630.4908928</v>
      </c>
      <c r="D19" s="68" t="n">
        <f aca="false">SUMIF(Monthly!$C$5:$AL$5,D$3,Monthly!$C$46:$AL$46)</f>
        <v>32253.0103955315</v>
      </c>
    </row>
    <row r="20" customFormat="false" ht="15" hidden="false" customHeight="false" outlineLevel="0" collapsed="false">
      <c r="A20" s="39" t="s">
        <v>49</v>
      </c>
      <c r="B20" s="74" t="n">
        <f aca="false">IF(B5=0,0,B19/B5)</f>
        <v>-0.0266742267137893</v>
      </c>
      <c r="C20" s="74" t="n">
        <f aca="false">IF(C5=0,0,C19/C5)</f>
        <v>0.0731253050443096</v>
      </c>
      <c r="D20" s="74" t="n">
        <f aca="false">IF(D5=0,0,D19/D5)</f>
        <v>0.0899762515813714</v>
      </c>
    </row>
    <row r="21" customFormat="false" ht="15" hidden="false" customHeight="false" outlineLevel="0" collapsed="false">
      <c r="A21" s="6" t="s">
        <v>78</v>
      </c>
      <c r="B21" s="67" t="n">
        <f aca="false">SUMIF(Monthly!$C$5:$AL$5,B$3,Monthly!$C$64:$AL$64)</f>
        <v>-19714.2857142857</v>
      </c>
      <c r="C21" s="67" t="n">
        <f aca="false">SUMIF(Monthly!$C$5:$AL$5,C$3,Monthly!$C$64:$AL$64)</f>
        <v>-20071.4285714286</v>
      </c>
      <c r="D21" s="67" t="n">
        <f aca="false">SUMIF(Monthly!$C$5:$AL$5,D$3,Monthly!$C$64:$AL$64)</f>
        <v>-20428.5714285714</v>
      </c>
    </row>
    <row r="22" customFormat="false" ht="15" hidden="false" customHeight="false" outlineLevel="0" collapsed="false">
      <c r="A22" s="4" t="s">
        <v>79</v>
      </c>
      <c r="B22" s="73" t="n">
        <f aca="false">SUMIF(Monthly!$C$5:$AL$5,B$3,Monthly!$C$49:$AL$49)</f>
        <v>-27020.2497142857</v>
      </c>
      <c r="C22" s="73" t="n">
        <f aca="false">SUMIF(Monthly!$C$5:$AL$5,C$3,Monthly!$C$49:$AL$49)</f>
        <v>4559.0623213714</v>
      </c>
      <c r="D22" s="73" t="n">
        <f aca="false">SUMIF(Monthly!$C$5:$AL$5,D$3,Monthly!$C$49:$AL$49)</f>
        <v>11824.4389669601</v>
      </c>
    </row>
    <row r="23" customFormat="false" ht="15" hidden="false" customHeight="false" outlineLevel="0" collapsed="false">
      <c r="A23" s="6" t="s">
        <v>80</v>
      </c>
      <c r="B23" s="67" t="n">
        <f aca="false">SUMIF(Monthly!$C$5:$AL$5,B$3,Monthly!$C$50:$AL$50)</f>
        <v>-7419.375</v>
      </c>
      <c r="C23" s="67" t="n">
        <f aca="false">SUMIF(Monthly!$C$5:$AL$5,C$3,Monthly!$C$50:$AL$50)</f>
        <v>-5805</v>
      </c>
      <c r="D23" s="67" t="n">
        <f aca="false">SUMIF(Monthly!$C$5:$AL$5,D$3,Monthly!$C$50:$AL$50)</f>
        <v>-4185</v>
      </c>
    </row>
    <row r="24" customFormat="false" ht="15" hidden="false" customHeight="false" outlineLevel="0" collapsed="false">
      <c r="A24" s="114" t="s">
        <v>81</v>
      </c>
      <c r="B24" s="115" t="n">
        <f aca="false">SUMIF(Monthly!$C$5:$AL$5,B$3,Monthly!$C$51:$AL$51)</f>
        <v>-34439.6247142858</v>
      </c>
      <c r="C24" s="115" t="n">
        <f aca="false">SUMIF(Monthly!$C$5:$AL$5,C$3,Monthly!$C$51:$AL$51)</f>
        <v>-1245.9376786286</v>
      </c>
      <c r="D24" s="115" t="n">
        <f aca="false">SUMIF(Monthly!$C$5:$AL$5,D$3,Monthly!$C$51:$AL$51)</f>
        <v>7639.43896696008</v>
      </c>
    </row>
    <row r="25" customFormat="false" ht="15" hidden="false" customHeight="false" outlineLevel="0" collapsed="false">
      <c r="A25" s="6" t="s">
        <v>82</v>
      </c>
      <c r="B25" s="67" t="n">
        <f aca="false">SUMIF(Monthly!$C$5:$AL$5,B$3,Monthly!$C$54:$AL$54)</f>
        <v>0</v>
      </c>
      <c r="C25" s="67" t="n">
        <f aca="false">SUMIF(Monthly!$C$5:$AL$5,C$3,Monthly!$C$54:$AL$54)</f>
        <v>0</v>
      </c>
      <c r="D25" s="67" t="n">
        <f aca="false">SUMIF(Monthly!$C$5:$AL$5,D$3,Monthly!$C$54:$AL$54)</f>
        <v>0</v>
      </c>
    </row>
    <row r="26" customFormat="false" ht="15" hidden="false" customHeight="false" outlineLevel="0" collapsed="false">
      <c r="A26" s="70" t="s">
        <v>50</v>
      </c>
      <c r="B26" s="71" t="n">
        <f aca="false">SUMIF(Monthly!$C$5:$AL$5,B$3,Monthly!$C$55:$AL$55)</f>
        <v>-34439.6247142858</v>
      </c>
      <c r="C26" s="71" t="n">
        <f aca="false">SUMIF(Monthly!$C$5:$AL$5,C$3,Monthly!$C$55:$AL$55)</f>
        <v>-1245.9376786286</v>
      </c>
      <c r="D26" s="71" t="n">
        <f aca="false">SUMIF(Monthly!$C$5:$AL$5,D$3,Monthly!$C$55:$AL$55)</f>
        <v>7639.43896696008</v>
      </c>
    </row>
    <row r="27" customFormat="false" ht="15" hidden="false" customHeight="false" outlineLevel="0" collapsed="false">
      <c r="A27" s="39" t="s">
        <v>51</v>
      </c>
      <c r="B27" s="74" t="n">
        <f aca="false">IF(B5=0,0,B26/B5)</f>
        <v>-0.125739787051603</v>
      </c>
      <c r="C27" s="74" t="n">
        <f aca="false">IF(C5=0,0,C26/C5)</f>
        <v>-0.00369905631245655</v>
      </c>
      <c r="D27" s="74" t="n">
        <f aca="false">IF(D5=0,0,D26/D5)</f>
        <v>0.02131174963212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2F"/>
    <pageSetUpPr fitToPage="true"/>
  </sheetPr>
  <dimension ref="A1:F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4"/>
  </cols>
  <sheetData>
    <row r="1" customFormat="false" ht="21.75" hidden="false" customHeight="true" outlineLevel="0" collapsed="false">
      <c r="A1" s="16" t="s">
        <v>21</v>
      </c>
      <c r="F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329</v>
      </c>
    </row>
    <row r="3" customFormat="false" ht="15" hidden="false" customHeight="false" outlineLevel="0" collapsed="false">
      <c r="A3" s="72" t="s">
        <v>154</v>
      </c>
      <c r="B3" s="72" t="n">
        <v>1</v>
      </c>
      <c r="C3" s="72" t="n">
        <v>2</v>
      </c>
      <c r="D3" s="72" t="n">
        <v>3</v>
      </c>
    </row>
    <row r="4" customFormat="false" ht="15" hidden="false" customHeight="false" outlineLevel="0" collapsed="false">
      <c r="A4" s="33"/>
      <c r="B4" s="35" t="s">
        <v>155</v>
      </c>
      <c r="C4" s="35" t="s">
        <v>156</v>
      </c>
      <c r="D4" s="35" t="s">
        <v>157</v>
      </c>
    </row>
    <row r="5" customFormat="false" ht="15" hidden="false" customHeight="false" outlineLevel="0" collapsed="false">
      <c r="A5" s="6" t="s">
        <v>50</v>
      </c>
      <c r="B5" s="67" t="n">
        <f aca="false">SUMIF(Monthly!$C$5:$AL$5,B$3,Monthly!$C$55:$AL$55)</f>
        <v>-34439.6247142858</v>
      </c>
      <c r="C5" s="67" t="n">
        <f aca="false">SUMIF(Monthly!$C$5:$AL$5,C$3,Monthly!$C$55:$AL$55)</f>
        <v>-1245.9376786286</v>
      </c>
      <c r="D5" s="67" t="n">
        <f aca="false">SUMIF(Monthly!$C$5:$AL$5,D$3,Monthly!$C$55:$AL$55)</f>
        <v>7639.43896696008</v>
      </c>
    </row>
    <row r="6" customFormat="false" ht="15" hidden="false" customHeight="false" outlineLevel="0" collapsed="false">
      <c r="A6" s="6" t="s">
        <v>339</v>
      </c>
      <c r="B6" s="67" t="n">
        <f aca="false">-SUMIF(Monthly!$C$5:$AL$5,B$3,Monthly!$C$64:$AL$64)</f>
        <v>19714.2857142857</v>
      </c>
      <c r="C6" s="67" t="n">
        <f aca="false">-SUMIF(Monthly!$C$5:$AL$5,C$3,Monthly!$C$64:$AL$64)</f>
        <v>20071.4285714286</v>
      </c>
      <c r="D6" s="67" t="n">
        <f aca="false">-SUMIF(Monthly!$C$5:$AL$5,D$3,Monthly!$C$64:$AL$64)</f>
        <v>20428.5714285714</v>
      </c>
    </row>
    <row r="7" customFormat="false" ht="15" hidden="false" customHeight="false" outlineLevel="0" collapsed="false">
      <c r="A7" s="6" t="s">
        <v>340</v>
      </c>
      <c r="B7" s="67" t="n">
        <f aca="false">SUMIF(Monthly!$C$5:$AL$5,B$3,Monthly!$C$78:$AL$78)</f>
        <v>-2083.2</v>
      </c>
      <c r="C7" s="67" t="n">
        <f aca="false">SUMIF(Monthly!$C$5:$AL$5,C$3,Monthly!$C$78:$AL$78)</f>
        <v>-135.51888</v>
      </c>
      <c r="D7" s="67" t="n">
        <f aca="false">SUMIF(Monthly!$C$5:$AL$5,D$3,Monthly!$C$78:$AL$78)</f>
        <v>-144.477117792</v>
      </c>
    </row>
    <row r="8" customFormat="false" ht="15" hidden="false" customHeight="false" outlineLevel="0" collapsed="false">
      <c r="A8" s="6" t="s">
        <v>341</v>
      </c>
      <c r="B8" s="67" t="n">
        <f aca="false">SUMIF(Monthly!$C$5:$AL$5,B$3,Monthly!$C$79:$AL$79)</f>
        <v>-861.6288</v>
      </c>
      <c r="C8" s="67" t="n">
        <f aca="false">SUMIF(Monthly!$C$5:$AL$5,C$3,Monthly!$C$79:$AL$79)</f>
        <v>-56.82144192</v>
      </c>
      <c r="D8" s="67" t="n">
        <f aca="false">SUMIF(Monthly!$C$5:$AL$5,D$3,Monthly!$C$79:$AL$79)</f>
        <v>-60.6362499449278</v>
      </c>
    </row>
    <row r="9" customFormat="false" ht="15" hidden="false" customHeight="false" outlineLevel="0" collapsed="false">
      <c r="A9" s="6" t="s">
        <v>342</v>
      </c>
      <c r="B9" s="67" t="n">
        <f aca="false">SUMIF(Monthly!$C$5:$AL$5,B$3,Monthly!$C$80:$AL$80)</f>
        <v>2010.4672</v>
      </c>
      <c r="C9" s="67" t="n">
        <f aca="false">SUMIF(Monthly!$C$5:$AL$5,C$3,Monthly!$C$80:$AL$80)</f>
        <v>132.58336448</v>
      </c>
      <c r="D9" s="67" t="n">
        <f aca="false">SUMIF(Monthly!$C$5:$AL$5,D$3,Monthly!$C$80:$AL$80)</f>
        <v>141.484583204831</v>
      </c>
    </row>
    <row r="10" customFormat="false" ht="15" hidden="false" customHeight="false" outlineLevel="0" collapsed="false">
      <c r="A10" s="113" t="s">
        <v>52</v>
      </c>
      <c r="B10" s="68" t="n">
        <f aca="false">SUMIF(Monthly!$C$5:$AL$5,B$3,Monthly!$C$83:$AL$83)</f>
        <v>-15659.7006</v>
      </c>
      <c r="C10" s="68" t="n">
        <f aca="false">SUMIF(Monthly!$C$5:$AL$5,C$3,Monthly!$C$83:$AL$83)</f>
        <v>18765.73393536</v>
      </c>
      <c r="D10" s="68" t="n">
        <f aca="false">SUMIF(Monthly!$C$5:$AL$5,D$3,Monthly!$C$83:$AL$83)</f>
        <v>28004.3816109994</v>
      </c>
    </row>
    <row r="11" customFormat="false" ht="15" hidden="false" customHeight="false" outlineLevel="0" collapsed="false">
      <c r="A11" s="6" t="s">
        <v>84</v>
      </c>
      <c r="B11" s="67" t="n">
        <f aca="false">SUMIF(Monthly!$C$5:$AL$5,B$3,Monthly!$C$84:$AL$84)</f>
        <v>-138000</v>
      </c>
      <c r="C11" s="67" t="n">
        <f aca="false">SUMIF(Monthly!$C$5:$AL$5,C$3,Monthly!$C$84:$AL$84)</f>
        <v>-2500</v>
      </c>
      <c r="D11" s="67" t="n">
        <f aca="false">SUMIF(Monthly!$C$5:$AL$5,D$3,Monthly!$C$84:$AL$84)</f>
        <v>-2500</v>
      </c>
    </row>
    <row r="12" customFormat="false" ht="15" hidden="false" customHeight="false" outlineLevel="0" collapsed="false">
      <c r="A12" s="6" t="s">
        <v>64</v>
      </c>
      <c r="B12" s="67" t="n">
        <f aca="false">SUMIF(Monthly!$C$5:$AL$5,B$3,Monthly!$C$85:$AL$85)</f>
        <v>100000</v>
      </c>
      <c r="C12" s="67" t="n">
        <f aca="false">SUMIF(Monthly!$C$5:$AL$5,C$3,Monthly!$C$85:$AL$85)</f>
        <v>0</v>
      </c>
      <c r="D12" s="67" t="n">
        <f aca="false">SUMIF(Monthly!$C$5:$AL$5,D$3,Monthly!$C$85:$AL$85)</f>
        <v>0</v>
      </c>
    </row>
    <row r="13" customFormat="false" ht="15" hidden="false" customHeight="false" outlineLevel="0" collapsed="false">
      <c r="A13" s="6" t="s">
        <v>85</v>
      </c>
      <c r="B13" s="67" t="n">
        <f aca="false">SUMIF(Monthly!$C$5:$AL$5,B$3,Monthly!$C$70:$AL$70)</f>
        <v>90000</v>
      </c>
      <c r="C13" s="67" t="n">
        <f aca="false">SUMIF(Monthly!$C$5:$AL$5,C$3,Monthly!$C$70:$AL$70)</f>
        <v>0</v>
      </c>
      <c r="D13" s="67" t="n">
        <f aca="false">SUMIF(Monthly!$C$5:$AL$5,D$3,Monthly!$C$70:$AL$70)</f>
        <v>0</v>
      </c>
    </row>
    <row r="14" customFormat="false" ht="15" hidden="false" customHeight="false" outlineLevel="0" collapsed="false">
      <c r="A14" s="6" t="s">
        <v>86</v>
      </c>
      <c r="B14" s="67" t="n">
        <f aca="false">SUMIF(Monthly!$C$5:$AL$5,B$3,Monthly!$C$71:$AL$71)</f>
        <v>-16500</v>
      </c>
      <c r="C14" s="67" t="n">
        <f aca="false">SUMIF(Monthly!$C$5:$AL$5,C$3,Monthly!$C$71:$AL$71)</f>
        <v>-18000</v>
      </c>
      <c r="D14" s="67" t="n">
        <f aca="false">SUMIF(Monthly!$C$5:$AL$5,D$3,Monthly!$C$71:$AL$71)</f>
        <v>-18000</v>
      </c>
    </row>
    <row r="15" customFormat="false" ht="15" hidden="false" customHeight="false" outlineLevel="0" collapsed="false">
      <c r="A15" s="113" t="s">
        <v>54</v>
      </c>
      <c r="B15" s="68" t="n">
        <f aca="false">SUMIF(Monthly!$C$5:$AL$5,B$3,Monthly!$C$86:$AL$86)</f>
        <v>173500</v>
      </c>
      <c r="C15" s="68" t="n">
        <f aca="false">SUMIF(Monthly!$C$5:$AL$5,C$3,Monthly!$C$86:$AL$86)</f>
        <v>-18000</v>
      </c>
      <c r="D15" s="68" t="n">
        <f aca="false">SUMIF(Monthly!$C$5:$AL$5,D$3,Monthly!$C$86:$AL$86)</f>
        <v>-18000</v>
      </c>
    </row>
    <row r="16" customFormat="false" ht="15" hidden="false" customHeight="false" outlineLevel="0" collapsed="false">
      <c r="A16" s="4" t="s">
        <v>55</v>
      </c>
      <c r="B16" s="73" t="n">
        <f aca="false">SUMIF(Monthly!$C$5:$AL$5,B$3,Monthly!$C$87:$AL$87)</f>
        <v>19840.2994</v>
      </c>
      <c r="C16" s="73" t="n">
        <f aca="false">SUMIF(Monthly!$C$5:$AL$5,C$3,Monthly!$C$87:$AL$87)</f>
        <v>-1734.26606464003</v>
      </c>
      <c r="D16" s="73" t="n">
        <f aca="false">SUMIF(Monthly!$C$5:$AL$5,D$3,Monthly!$C$87:$AL$87)</f>
        <v>7504.38161099941</v>
      </c>
    </row>
    <row r="17" customFormat="false" ht="15" hidden="false" customHeight="false" outlineLevel="0" collapsed="false">
      <c r="A17" s="6" t="s">
        <v>343</v>
      </c>
      <c r="B17" s="67" t="n">
        <f aca="false">INDEX(Monthly!$C$88:$AL$88,(B$3-1)*12+1)</f>
        <v>0</v>
      </c>
      <c r="C17" s="67" t="n">
        <f aca="false">INDEX(Monthly!$C$88:$AL$88,(C$3-1)*12+1)</f>
        <v>19840.2994</v>
      </c>
      <c r="D17" s="67" t="n">
        <f aca="false">INDEX(Monthly!$C$88:$AL$88,(D$3-1)*12+1)</f>
        <v>18106.0333353599</v>
      </c>
    </row>
    <row r="18" customFormat="false" ht="15" hidden="false" customHeight="false" outlineLevel="0" collapsed="false">
      <c r="A18" s="70" t="s">
        <v>87</v>
      </c>
      <c r="B18" s="71" t="n">
        <f aca="false">INDEX(Monthly!$C$89:$AL$89,B$3*12)</f>
        <v>19840.2994</v>
      </c>
      <c r="C18" s="71" t="n">
        <f aca="false">INDEX(Monthly!$C$89:$AL$89,C$3*12)</f>
        <v>18106.0333353599</v>
      </c>
      <c r="D18" s="71" t="n">
        <f aca="false">INDEX(Monthly!$C$89:$AL$89,D$3*12)</f>
        <v>25610.4149463593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2F"/>
    <pageSetUpPr fitToPage="true"/>
  </sheetPr>
  <dimension ref="A1:F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4"/>
  </cols>
  <sheetData>
    <row r="1" customFormat="false" ht="21.75" hidden="false" customHeight="true" outlineLevel="0" collapsed="false">
      <c r="A1" s="16" t="s">
        <v>22</v>
      </c>
      <c r="F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329</v>
      </c>
    </row>
    <row r="3" customFormat="false" ht="15" hidden="false" customHeight="false" outlineLevel="0" collapsed="false">
      <c r="A3" s="72" t="s">
        <v>154</v>
      </c>
      <c r="B3" s="72" t="n">
        <v>1</v>
      </c>
      <c r="C3" s="72" t="n">
        <v>2</v>
      </c>
      <c r="D3" s="72" t="n">
        <v>3</v>
      </c>
    </row>
    <row r="4" customFormat="false" ht="15" hidden="false" customHeight="false" outlineLevel="0" collapsed="false">
      <c r="A4" s="33"/>
      <c r="B4" s="35" t="s">
        <v>155</v>
      </c>
      <c r="C4" s="35" t="s">
        <v>156</v>
      </c>
      <c r="D4" s="35" t="s">
        <v>157</v>
      </c>
    </row>
    <row r="5" customFormat="false" ht="15" hidden="false" customHeight="false" outlineLevel="0" collapsed="false">
      <c r="A5" s="6" t="s">
        <v>89</v>
      </c>
      <c r="B5" s="67" t="n">
        <f aca="false">INDEX(Monthly!$C$89:$AL$89,B$3*12)</f>
        <v>19840.2994</v>
      </c>
      <c r="C5" s="67" t="n">
        <f aca="false">INDEX(Monthly!$C$89:$AL$89,C$3*12)</f>
        <v>18106.0333353599</v>
      </c>
      <c r="D5" s="67" t="n">
        <f aca="false">INDEX(Monthly!$C$89:$AL$89,D$3*12)</f>
        <v>25610.4149463593</v>
      </c>
    </row>
    <row r="6" customFormat="false" ht="15" hidden="false" customHeight="false" outlineLevel="0" collapsed="false">
      <c r="A6" s="6" t="s">
        <v>90</v>
      </c>
      <c r="B6" s="67" t="n">
        <f aca="false">INDEX(Monthly!$C$75:$AL$75,B$3*12)</f>
        <v>2083.2</v>
      </c>
      <c r="C6" s="67" t="n">
        <f aca="false">INDEX(Monthly!$C$75:$AL$75,C$3*12)</f>
        <v>2218.71888</v>
      </c>
      <c r="D6" s="67" t="n">
        <f aca="false">INDEX(Monthly!$C$75:$AL$75,D$3*12)</f>
        <v>2363.195997792</v>
      </c>
    </row>
    <row r="7" customFormat="false" ht="15" hidden="false" customHeight="false" outlineLevel="0" collapsed="false">
      <c r="A7" s="6" t="s">
        <v>91</v>
      </c>
      <c r="B7" s="67" t="n">
        <f aca="false">INDEX(Monthly!$C$76:$AL$76,B$3*12)</f>
        <v>861.6288</v>
      </c>
      <c r="C7" s="67" t="n">
        <f aca="false">INDEX(Monthly!$C$76:$AL$76,C$3*12)</f>
        <v>918.45024192</v>
      </c>
      <c r="D7" s="67" t="n">
        <f aca="false">INDEX(Monthly!$C$76:$AL$76,D$3*12)</f>
        <v>979.086491864928</v>
      </c>
    </row>
    <row r="8" customFormat="false" ht="15" hidden="false" customHeight="false" outlineLevel="0" collapsed="false">
      <c r="A8" s="6" t="s">
        <v>92</v>
      </c>
      <c r="B8" s="67" t="n">
        <f aca="false">INDEX(Monthly!$C$66:$AL$66,B$3*12)</f>
        <v>118285.714285714</v>
      </c>
      <c r="C8" s="67" t="n">
        <f aca="false">INDEX(Monthly!$C$66:$AL$66,C$3*12)</f>
        <v>100714.285714286</v>
      </c>
      <c r="D8" s="67" t="n">
        <f aca="false">INDEX(Monthly!$C$66:$AL$66,D$3*12)</f>
        <v>82785.7142857143</v>
      </c>
    </row>
    <row r="9" customFormat="false" ht="15" hidden="false" customHeight="false" outlineLevel="0" collapsed="false">
      <c r="A9" s="113" t="s">
        <v>93</v>
      </c>
      <c r="B9" s="68" t="n">
        <f aca="false">INDEX(Monthly!$C$103:$AL$103,B$3*12)</f>
        <v>141070.842485714</v>
      </c>
      <c r="C9" s="68" t="n">
        <f aca="false">INDEX(Monthly!$C$103:$AL$103,C$3*12)</f>
        <v>121957.488171566</v>
      </c>
      <c r="D9" s="68" t="n">
        <f aca="false">INDEX(Monthly!$C$103:$AL$103,D$3*12)</f>
        <v>111738.411721731</v>
      </c>
    </row>
    <row r="10" customFormat="false" ht="15" hidden="false" customHeight="false" outlineLevel="0" collapsed="false">
      <c r="A10" s="6" t="s">
        <v>94</v>
      </c>
      <c r="B10" s="67" t="n">
        <f aca="false">INDEX(Monthly!$C$77:$AL$77,B$3*12)</f>
        <v>2010.4672</v>
      </c>
      <c r="C10" s="67" t="n">
        <f aca="false">INDEX(Monthly!$C$77:$AL$77,C$3*12)</f>
        <v>2143.05056448</v>
      </c>
      <c r="D10" s="67" t="n">
        <f aca="false">INDEX(Monthly!$C$77:$AL$77,D$3*12)</f>
        <v>2284.53514768483</v>
      </c>
    </row>
    <row r="11" customFormat="false" ht="15" hidden="false" customHeight="false" outlineLevel="0" collapsed="false">
      <c r="A11" s="6" t="s">
        <v>95</v>
      </c>
      <c r="B11" s="67" t="n">
        <f aca="false">INDEX(Monthly!$C$72:$AL$72,B$3*12)</f>
        <v>73500</v>
      </c>
      <c r="C11" s="67" t="n">
        <f aca="false">INDEX(Monthly!$C$72:$AL$72,C$3*12)</f>
        <v>55500</v>
      </c>
      <c r="D11" s="67" t="n">
        <f aca="false">INDEX(Monthly!$C$72:$AL$72,D$3*12)</f>
        <v>37500</v>
      </c>
    </row>
    <row r="12" customFormat="false" ht="15" hidden="false" customHeight="false" outlineLevel="0" collapsed="false">
      <c r="A12" s="114" t="s">
        <v>96</v>
      </c>
      <c r="B12" s="115" t="n">
        <f aca="false">INDEX(Monthly!$C$104:$AL$104,B$3*12)</f>
        <v>75510.4672</v>
      </c>
      <c r="C12" s="115" t="n">
        <f aca="false">INDEX(Monthly!$C$104:$AL$104,C$3*12)</f>
        <v>57643.05056448</v>
      </c>
      <c r="D12" s="115" t="n">
        <f aca="false">INDEX(Monthly!$C$104:$AL$104,D$3*12)</f>
        <v>39784.5351476848</v>
      </c>
    </row>
    <row r="13" customFormat="false" ht="15" hidden="false" customHeight="false" outlineLevel="0" collapsed="false">
      <c r="A13" s="6" t="s">
        <v>97</v>
      </c>
      <c r="B13" s="67" t="n">
        <f aca="false">INDEX(Monthly!$C$101:$AL$101,B$3*12)</f>
        <v>100000</v>
      </c>
      <c r="C13" s="67" t="n">
        <f aca="false">INDEX(Monthly!$C$101:$AL$101,C$3*12)</f>
        <v>100000</v>
      </c>
      <c r="D13" s="67" t="n">
        <f aca="false">INDEX(Monthly!$C$101:$AL$101,D$3*12)</f>
        <v>100000</v>
      </c>
    </row>
    <row r="14" customFormat="false" ht="15" hidden="false" customHeight="false" outlineLevel="0" collapsed="false">
      <c r="A14" s="6" t="s">
        <v>98</v>
      </c>
      <c r="B14" s="67" t="n">
        <f aca="false">INDEX(Monthly!$C$102:$AL$102,B$3*12)</f>
        <v>-34439.6247142857</v>
      </c>
      <c r="C14" s="67" t="n">
        <f aca="false">INDEX(Monthly!$C$102:$AL$102,C$3*12)</f>
        <v>-35685.5623929143</v>
      </c>
      <c r="D14" s="67" t="n">
        <f aca="false">INDEX(Monthly!$C$102:$AL$102,D$3*12)</f>
        <v>-28046.1234259542</v>
      </c>
    </row>
    <row r="15" customFormat="false" ht="15" hidden="false" customHeight="false" outlineLevel="0" collapsed="false">
      <c r="A15" s="114" t="s">
        <v>99</v>
      </c>
      <c r="B15" s="115" t="n">
        <f aca="false">INDEX(Monthly!$C$105:$AL$105,B$3*12)</f>
        <v>65560.3752857143</v>
      </c>
      <c r="C15" s="115" t="n">
        <f aca="false">INDEX(Monthly!$C$105:$AL$105,C$3*12)</f>
        <v>64314.4376070857</v>
      </c>
      <c r="D15" s="115" t="n">
        <f aca="false">INDEX(Monthly!$C$105:$AL$105,D$3*12)</f>
        <v>71953.8765740458</v>
      </c>
    </row>
    <row r="16" customFormat="false" ht="15" hidden="false" customHeight="false" outlineLevel="0" collapsed="false">
      <c r="A16" s="70" t="s">
        <v>100</v>
      </c>
      <c r="B16" s="71" t="n">
        <f aca="false">INDEX(Monthly!$C$106:$AL$106,B$3*12)</f>
        <v>141070.842485714</v>
      </c>
      <c r="C16" s="71" t="n">
        <f aca="false">INDEX(Monthly!$C$106:$AL$106,C$3*12)</f>
        <v>121957.488171566</v>
      </c>
      <c r="D16" s="71" t="n">
        <f aca="false">INDEX(Monthly!$C$106:$AL$106,D$3*12)</f>
        <v>111738.411721731</v>
      </c>
    </row>
    <row r="17" customFormat="false" ht="15" hidden="false" customHeight="false" outlineLevel="0" collapsed="false">
      <c r="A17" s="6" t="s">
        <v>344</v>
      </c>
      <c r="B17" s="67" t="n">
        <f aca="false">INDEX(Monthly!$C$107:$AL$107,B$3*12)</f>
        <v>0</v>
      </c>
      <c r="C17" s="67" t="n">
        <f aca="false">INDEX(Monthly!$C$107:$AL$107,C$3*12)</f>
        <v>0</v>
      </c>
      <c r="D17" s="67" t="n">
        <f aca="false">INDEX(Monthly!$C$107:$AL$107,D$3*12)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3ABA8"/>
    <pageSetUpPr fitToPage="true"/>
  </sheetPr>
  <dimension ref="A1:AL107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"/>
    <col collapsed="false" customWidth="true" hidden="false" outlineLevel="0" max="38" min="3" style="0" width="11"/>
  </cols>
  <sheetData>
    <row r="1" customFormat="false" ht="21.75" hidden="false" customHeight="true" outlineLevel="0" collapsed="false">
      <c r="A1" s="16" t="s">
        <v>345</v>
      </c>
      <c r="D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346</v>
      </c>
    </row>
    <row r="3" customFormat="false" ht="15" hidden="false" customHeight="false" outlineLevel="0" collapsed="false">
      <c r="A3" s="33" t="s">
        <v>347</v>
      </c>
      <c r="C3" s="35" t="s">
        <v>348</v>
      </c>
      <c r="D3" s="35" t="s">
        <v>349</v>
      </c>
      <c r="E3" s="35" t="s">
        <v>350</v>
      </c>
      <c r="F3" s="35" t="s">
        <v>351</v>
      </c>
      <c r="G3" s="35" t="s">
        <v>352</v>
      </c>
      <c r="H3" s="35" t="s">
        <v>353</v>
      </c>
      <c r="I3" s="35" t="s">
        <v>354</v>
      </c>
      <c r="J3" s="35" t="s">
        <v>355</v>
      </c>
      <c r="K3" s="35" t="s">
        <v>356</v>
      </c>
      <c r="L3" s="35" t="s">
        <v>357</v>
      </c>
      <c r="M3" s="35" t="s">
        <v>358</v>
      </c>
      <c r="N3" s="35" t="s">
        <v>359</v>
      </c>
      <c r="O3" s="35" t="s">
        <v>360</v>
      </c>
      <c r="P3" s="35" t="s">
        <v>361</v>
      </c>
      <c r="Q3" s="35" t="s">
        <v>362</v>
      </c>
      <c r="R3" s="35" t="s">
        <v>363</v>
      </c>
      <c r="S3" s="35" t="s">
        <v>364</v>
      </c>
      <c r="T3" s="35" t="s">
        <v>365</v>
      </c>
      <c r="U3" s="35" t="s">
        <v>366</v>
      </c>
      <c r="V3" s="35" t="s">
        <v>367</v>
      </c>
      <c r="W3" s="35" t="s">
        <v>368</v>
      </c>
      <c r="X3" s="35" t="s">
        <v>369</v>
      </c>
      <c r="Y3" s="35" t="s">
        <v>370</v>
      </c>
      <c r="Z3" s="35" t="s">
        <v>371</v>
      </c>
      <c r="AA3" s="35" t="s">
        <v>372</v>
      </c>
      <c r="AB3" s="35" t="s">
        <v>373</v>
      </c>
      <c r="AC3" s="35" t="s">
        <v>374</v>
      </c>
      <c r="AD3" s="35" t="s">
        <v>375</v>
      </c>
      <c r="AE3" s="35" t="s">
        <v>376</v>
      </c>
      <c r="AF3" s="35" t="s">
        <v>377</v>
      </c>
      <c r="AG3" s="35" t="s">
        <v>378</v>
      </c>
      <c r="AH3" s="35" t="s">
        <v>379</v>
      </c>
      <c r="AI3" s="35" t="s">
        <v>380</v>
      </c>
      <c r="AJ3" s="35" t="s">
        <v>381</v>
      </c>
      <c r="AK3" s="35" t="s">
        <v>382</v>
      </c>
      <c r="AL3" s="35" t="s">
        <v>383</v>
      </c>
    </row>
    <row r="4" customFormat="false" ht="15" hidden="false" customHeight="false" outlineLevel="0" collapsed="false">
      <c r="A4" s="72" t="s">
        <v>384</v>
      </c>
      <c r="C4" s="72" t="n">
        <v>1</v>
      </c>
      <c r="D4" s="72" t="n">
        <v>2</v>
      </c>
      <c r="E4" s="72" t="n">
        <v>3</v>
      </c>
      <c r="F4" s="72" t="n">
        <v>4</v>
      </c>
      <c r="G4" s="72" t="n">
        <v>5</v>
      </c>
      <c r="H4" s="72" t="n">
        <v>6</v>
      </c>
      <c r="I4" s="72" t="n">
        <v>7</v>
      </c>
      <c r="J4" s="72" t="n">
        <v>8</v>
      </c>
      <c r="K4" s="72" t="n">
        <v>9</v>
      </c>
      <c r="L4" s="72" t="n">
        <v>10</v>
      </c>
      <c r="M4" s="72" t="n">
        <v>11</v>
      </c>
      <c r="N4" s="72" t="n">
        <v>12</v>
      </c>
      <c r="O4" s="72" t="n">
        <v>13</v>
      </c>
      <c r="P4" s="72" t="n">
        <v>14</v>
      </c>
      <c r="Q4" s="72" t="n">
        <v>15</v>
      </c>
      <c r="R4" s="72" t="n">
        <v>16</v>
      </c>
      <c r="S4" s="72" t="n">
        <v>17</v>
      </c>
      <c r="T4" s="72" t="n">
        <v>18</v>
      </c>
      <c r="U4" s="72" t="n">
        <v>19</v>
      </c>
      <c r="V4" s="72" t="n">
        <v>20</v>
      </c>
      <c r="W4" s="72" t="n">
        <v>21</v>
      </c>
      <c r="X4" s="72" t="n">
        <v>22</v>
      </c>
      <c r="Y4" s="72" t="n">
        <v>23</v>
      </c>
      <c r="Z4" s="72" t="n">
        <v>24</v>
      </c>
      <c r="AA4" s="72" t="n">
        <v>25</v>
      </c>
      <c r="AB4" s="72" t="n">
        <v>26</v>
      </c>
      <c r="AC4" s="72" t="n">
        <v>27</v>
      </c>
      <c r="AD4" s="72" t="n">
        <v>28</v>
      </c>
      <c r="AE4" s="72" t="n">
        <v>29</v>
      </c>
      <c r="AF4" s="72" t="n">
        <v>30</v>
      </c>
      <c r="AG4" s="72" t="n">
        <v>31</v>
      </c>
      <c r="AH4" s="72" t="n">
        <v>32</v>
      </c>
      <c r="AI4" s="72" t="n">
        <v>33</v>
      </c>
      <c r="AJ4" s="72" t="n">
        <v>34</v>
      </c>
      <c r="AK4" s="72" t="n">
        <v>35</v>
      </c>
      <c r="AL4" s="72" t="n">
        <v>36</v>
      </c>
    </row>
    <row r="5" customFormat="false" ht="15" hidden="false" customHeight="false" outlineLevel="0" collapsed="false">
      <c r="A5" s="72" t="s">
        <v>154</v>
      </c>
      <c r="C5" s="72" t="n">
        <f aca="false">ROUNDUP(C4*1/12,0)</f>
        <v>1</v>
      </c>
      <c r="D5" s="72" t="n">
        <f aca="false">ROUNDUP(D4*1/12,0)</f>
        <v>1</v>
      </c>
      <c r="E5" s="72" t="n">
        <f aca="false">ROUNDUP(E4*1/12,0)</f>
        <v>1</v>
      </c>
      <c r="F5" s="72" t="n">
        <f aca="false">ROUNDUP(F4*1/12,0)</f>
        <v>1</v>
      </c>
      <c r="G5" s="72" t="n">
        <f aca="false">ROUNDUP(G4*1/12,0)</f>
        <v>1</v>
      </c>
      <c r="H5" s="72" t="n">
        <f aca="false">ROUNDUP(H4*1/12,0)</f>
        <v>1</v>
      </c>
      <c r="I5" s="72" t="n">
        <f aca="false">ROUNDUP(I4*1/12,0)</f>
        <v>1</v>
      </c>
      <c r="J5" s="72" t="n">
        <f aca="false">ROUNDUP(J4*1/12,0)</f>
        <v>1</v>
      </c>
      <c r="K5" s="72" t="n">
        <f aca="false">ROUNDUP(K4*1/12,0)</f>
        <v>1</v>
      </c>
      <c r="L5" s="72" t="n">
        <f aca="false">ROUNDUP(L4*1/12,0)</f>
        <v>1</v>
      </c>
      <c r="M5" s="72" t="n">
        <f aca="false">ROUNDUP(M4*1/12,0)</f>
        <v>1</v>
      </c>
      <c r="N5" s="72" t="n">
        <f aca="false">ROUNDUP(N4*1/12,0)</f>
        <v>1</v>
      </c>
      <c r="O5" s="72" t="n">
        <f aca="false">ROUNDUP(O4*1/12,0)</f>
        <v>2</v>
      </c>
      <c r="P5" s="72" t="n">
        <f aca="false">ROUNDUP(P4*1/12,0)</f>
        <v>2</v>
      </c>
      <c r="Q5" s="72" t="n">
        <f aca="false">ROUNDUP(Q4*1/12,0)</f>
        <v>2</v>
      </c>
      <c r="R5" s="72" t="n">
        <f aca="false">ROUNDUP(R4*1/12,0)</f>
        <v>2</v>
      </c>
      <c r="S5" s="72" t="n">
        <f aca="false">ROUNDUP(S4*1/12,0)</f>
        <v>2</v>
      </c>
      <c r="T5" s="72" t="n">
        <f aca="false">ROUNDUP(T4*1/12,0)</f>
        <v>2</v>
      </c>
      <c r="U5" s="72" t="n">
        <f aca="false">ROUNDUP(U4*1/12,0)</f>
        <v>2</v>
      </c>
      <c r="V5" s="72" t="n">
        <f aca="false">ROUNDUP(V4*1/12,0)</f>
        <v>2</v>
      </c>
      <c r="W5" s="72" t="n">
        <f aca="false">ROUNDUP(W4*1/12,0)</f>
        <v>2</v>
      </c>
      <c r="X5" s="72" t="n">
        <f aca="false">ROUNDUP(X4*1/12,0)</f>
        <v>2</v>
      </c>
      <c r="Y5" s="72" t="n">
        <f aca="false">ROUNDUP(Y4*1/12,0)</f>
        <v>2</v>
      </c>
      <c r="Z5" s="72" t="n">
        <f aca="false">ROUNDUP(Z4*1/12,0)</f>
        <v>2</v>
      </c>
      <c r="AA5" s="72" t="n">
        <f aca="false">ROUNDUP(AA4*1/12,0)</f>
        <v>3</v>
      </c>
      <c r="AB5" s="72" t="n">
        <f aca="false">ROUNDUP(AB4*1/12,0)</f>
        <v>3</v>
      </c>
      <c r="AC5" s="72" t="n">
        <f aca="false">ROUNDUP(AC4*1/12,0)</f>
        <v>3</v>
      </c>
      <c r="AD5" s="72" t="n">
        <f aca="false">ROUNDUP(AD4*1/12,0)</f>
        <v>3</v>
      </c>
      <c r="AE5" s="72" t="n">
        <f aca="false">ROUNDUP(AE4*1/12,0)</f>
        <v>3</v>
      </c>
      <c r="AF5" s="72" t="n">
        <f aca="false">ROUNDUP(AF4*1/12,0)</f>
        <v>3</v>
      </c>
      <c r="AG5" s="72" t="n">
        <f aca="false">ROUNDUP(AG4*1/12,0)</f>
        <v>3</v>
      </c>
      <c r="AH5" s="72" t="n">
        <f aca="false">ROUNDUP(AH4*1/12,0)</f>
        <v>3</v>
      </c>
      <c r="AI5" s="72" t="n">
        <f aca="false">ROUNDUP(AI4*1/12,0)</f>
        <v>3</v>
      </c>
      <c r="AJ5" s="72" t="n">
        <f aca="false">ROUNDUP(AJ4*1/12,0)</f>
        <v>3</v>
      </c>
      <c r="AK5" s="72" t="n">
        <f aca="false">ROUNDUP(AK4*1/12,0)</f>
        <v>3</v>
      </c>
      <c r="AL5" s="72" t="n">
        <f aca="false">ROUNDUP(AL4*1/12,0)</f>
        <v>3</v>
      </c>
    </row>
    <row r="7" customFormat="false" ht="15.75" hidden="false" customHeight="true" outlineLevel="0" collapsed="false">
      <c r="A7" s="7" t="s">
        <v>385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customFormat="false" ht="15" hidden="false" customHeight="false" outlineLevel="0" collapsed="false">
      <c r="A8" s="6" t="s">
        <v>386</v>
      </c>
      <c r="C8" s="116" t="n">
        <f aca="false">Inputs!$E$7+Inputs!$E$8*(C$5-1)</f>
        <v>1</v>
      </c>
      <c r="D8" s="116" t="n">
        <f aca="false">Inputs!$E$7+Inputs!$E$8*(D$5-1)</f>
        <v>1</v>
      </c>
      <c r="E8" s="116" t="n">
        <f aca="false">Inputs!$E$7+Inputs!$E$8*(E$5-1)</f>
        <v>1</v>
      </c>
      <c r="F8" s="116" t="n">
        <f aca="false">Inputs!$E$7+Inputs!$E$8*(F$5-1)</f>
        <v>1</v>
      </c>
      <c r="G8" s="116" t="n">
        <f aca="false">Inputs!$E$7+Inputs!$E$8*(G$5-1)</f>
        <v>1</v>
      </c>
      <c r="H8" s="116" t="n">
        <f aca="false">Inputs!$E$7+Inputs!$E$8*(H$5-1)</f>
        <v>1</v>
      </c>
      <c r="I8" s="116" t="n">
        <f aca="false">Inputs!$E$7+Inputs!$E$8*(I$5-1)</f>
        <v>1</v>
      </c>
      <c r="J8" s="116" t="n">
        <f aca="false">Inputs!$E$7+Inputs!$E$8*(J$5-1)</f>
        <v>1</v>
      </c>
      <c r="K8" s="116" t="n">
        <f aca="false">Inputs!$E$7+Inputs!$E$8*(K$5-1)</f>
        <v>1</v>
      </c>
      <c r="L8" s="116" t="n">
        <f aca="false">Inputs!$E$7+Inputs!$E$8*(L$5-1)</f>
        <v>1</v>
      </c>
      <c r="M8" s="116" t="n">
        <f aca="false">Inputs!$E$7+Inputs!$E$8*(M$5-1)</f>
        <v>1</v>
      </c>
      <c r="N8" s="116" t="n">
        <f aca="false">Inputs!$E$7+Inputs!$E$8*(N$5-1)</f>
        <v>1</v>
      </c>
      <c r="O8" s="116" t="n">
        <f aca="false">Inputs!$E$7+Inputs!$E$8*(O$5-1)</f>
        <v>1</v>
      </c>
      <c r="P8" s="116" t="n">
        <f aca="false">Inputs!$E$7+Inputs!$E$8*(P$5-1)</f>
        <v>1</v>
      </c>
      <c r="Q8" s="116" t="n">
        <f aca="false">Inputs!$E$7+Inputs!$E$8*(Q$5-1)</f>
        <v>1</v>
      </c>
      <c r="R8" s="116" t="n">
        <f aca="false">Inputs!$E$7+Inputs!$E$8*(R$5-1)</f>
        <v>1</v>
      </c>
      <c r="S8" s="116" t="n">
        <f aca="false">Inputs!$E$7+Inputs!$E$8*(S$5-1)</f>
        <v>1</v>
      </c>
      <c r="T8" s="116" t="n">
        <f aca="false">Inputs!$E$7+Inputs!$E$8*(T$5-1)</f>
        <v>1</v>
      </c>
      <c r="U8" s="116" t="n">
        <f aca="false">Inputs!$E$7+Inputs!$E$8*(U$5-1)</f>
        <v>1</v>
      </c>
      <c r="V8" s="116" t="n">
        <f aca="false">Inputs!$E$7+Inputs!$E$8*(V$5-1)</f>
        <v>1</v>
      </c>
      <c r="W8" s="116" t="n">
        <f aca="false">Inputs!$E$7+Inputs!$E$8*(W$5-1)</f>
        <v>1</v>
      </c>
      <c r="X8" s="116" t="n">
        <f aca="false">Inputs!$E$7+Inputs!$E$8*(X$5-1)</f>
        <v>1</v>
      </c>
      <c r="Y8" s="116" t="n">
        <f aca="false">Inputs!$E$7+Inputs!$E$8*(Y$5-1)</f>
        <v>1</v>
      </c>
      <c r="Z8" s="116" t="n">
        <f aca="false">Inputs!$E$7+Inputs!$E$8*(Z$5-1)</f>
        <v>1</v>
      </c>
      <c r="AA8" s="116" t="n">
        <f aca="false">Inputs!$E$7+Inputs!$E$8*(AA$5-1)</f>
        <v>1</v>
      </c>
      <c r="AB8" s="116" t="n">
        <f aca="false">Inputs!$E$7+Inputs!$E$8*(AB$5-1)</f>
        <v>1</v>
      </c>
      <c r="AC8" s="116" t="n">
        <f aca="false">Inputs!$E$7+Inputs!$E$8*(AC$5-1)</f>
        <v>1</v>
      </c>
      <c r="AD8" s="116" t="n">
        <f aca="false">Inputs!$E$7+Inputs!$E$8*(AD$5-1)</f>
        <v>1</v>
      </c>
      <c r="AE8" s="116" t="n">
        <f aca="false">Inputs!$E$7+Inputs!$E$8*(AE$5-1)</f>
        <v>1</v>
      </c>
      <c r="AF8" s="116" t="n">
        <f aca="false">Inputs!$E$7+Inputs!$E$8*(AF$5-1)</f>
        <v>1</v>
      </c>
      <c r="AG8" s="116" t="n">
        <f aca="false">Inputs!$E$7+Inputs!$E$8*(AG$5-1)</f>
        <v>1</v>
      </c>
      <c r="AH8" s="116" t="n">
        <f aca="false">Inputs!$E$7+Inputs!$E$8*(AH$5-1)</f>
        <v>1</v>
      </c>
      <c r="AI8" s="116" t="n">
        <f aca="false">Inputs!$E$7+Inputs!$E$8*(AI$5-1)</f>
        <v>1</v>
      </c>
      <c r="AJ8" s="116" t="n">
        <f aca="false">Inputs!$E$7+Inputs!$E$8*(AJ$5-1)</f>
        <v>1</v>
      </c>
      <c r="AK8" s="116" t="n">
        <f aca="false">Inputs!$E$7+Inputs!$E$8*(AK$5-1)</f>
        <v>1</v>
      </c>
      <c r="AL8" s="116" t="n">
        <f aca="false">Inputs!$E$7+Inputs!$E$8*(AL$5-1)</f>
        <v>1</v>
      </c>
    </row>
    <row r="9" customFormat="false" ht="15" hidden="false" customHeight="false" outlineLevel="0" collapsed="false">
      <c r="A9" s="117" t="s">
        <v>387</v>
      </c>
      <c r="C9" s="118" t="n">
        <f aca="false">MAX(0,MIN(1,Inputs!$E$13-(C$4-1)*1))</f>
        <v>1</v>
      </c>
      <c r="D9" s="118" t="n">
        <f aca="false">MAX(0,MIN(1,Inputs!$E$13-(D$4-1)*1))</f>
        <v>1</v>
      </c>
      <c r="E9" s="118" t="n">
        <f aca="false">MAX(0,MIN(1,Inputs!$E$13-(E$4-1)*1))</f>
        <v>1</v>
      </c>
      <c r="F9" s="118" t="n">
        <f aca="false">MAX(0,MIN(1,Inputs!$E$13-(F$4-1)*1))</f>
        <v>1</v>
      </c>
      <c r="G9" s="118" t="n">
        <f aca="false">MAX(0,MIN(1,Inputs!$E$13-(G$4-1)*1))</f>
        <v>1</v>
      </c>
      <c r="H9" s="118" t="n">
        <f aca="false">MAX(0,MIN(1,Inputs!$E$13-(H$4-1)*1))</f>
        <v>1</v>
      </c>
      <c r="I9" s="118" t="n">
        <f aca="false">MAX(0,MIN(1,Inputs!$E$13-(I$4-1)*1))</f>
        <v>0</v>
      </c>
      <c r="J9" s="118" t="n">
        <f aca="false">MAX(0,MIN(1,Inputs!$E$13-(J$4-1)*1))</f>
        <v>0</v>
      </c>
      <c r="K9" s="118" t="n">
        <f aca="false">MAX(0,MIN(1,Inputs!$E$13-(K$4-1)*1))</f>
        <v>0</v>
      </c>
      <c r="L9" s="118" t="n">
        <f aca="false">MAX(0,MIN(1,Inputs!$E$13-(L$4-1)*1))</f>
        <v>0</v>
      </c>
      <c r="M9" s="118" t="n">
        <f aca="false">MAX(0,MIN(1,Inputs!$E$13-(M$4-1)*1))</f>
        <v>0</v>
      </c>
      <c r="N9" s="118" t="n">
        <f aca="false">MAX(0,MIN(1,Inputs!$E$13-(N$4-1)*1))</f>
        <v>0</v>
      </c>
      <c r="O9" s="118" t="n">
        <f aca="false">MAX(0,MIN(1,Inputs!$E$13-(O$4-1)*1))</f>
        <v>0</v>
      </c>
      <c r="P9" s="118" t="n">
        <f aca="false">MAX(0,MIN(1,Inputs!$E$13-(P$4-1)*1))</f>
        <v>0</v>
      </c>
      <c r="Q9" s="118" t="n">
        <f aca="false">MAX(0,MIN(1,Inputs!$E$13-(Q$4-1)*1))</f>
        <v>0</v>
      </c>
      <c r="R9" s="118" t="n">
        <f aca="false">MAX(0,MIN(1,Inputs!$E$13-(R$4-1)*1))</f>
        <v>0</v>
      </c>
      <c r="S9" s="118" t="n">
        <f aca="false">MAX(0,MIN(1,Inputs!$E$13-(S$4-1)*1))</f>
        <v>0</v>
      </c>
      <c r="T9" s="118" t="n">
        <f aca="false">MAX(0,MIN(1,Inputs!$E$13-(T$4-1)*1))</f>
        <v>0</v>
      </c>
      <c r="U9" s="118" t="n">
        <f aca="false">MAX(0,MIN(1,Inputs!$E$13-(U$4-1)*1))</f>
        <v>0</v>
      </c>
      <c r="V9" s="118" t="n">
        <f aca="false">MAX(0,MIN(1,Inputs!$E$13-(V$4-1)*1))</f>
        <v>0</v>
      </c>
      <c r="W9" s="118" t="n">
        <f aca="false">MAX(0,MIN(1,Inputs!$E$13-(W$4-1)*1))</f>
        <v>0</v>
      </c>
      <c r="X9" s="118" t="n">
        <f aca="false">MAX(0,MIN(1,Inputs!$E$13-(X$4-1)*1))</f>
        <v>0</v>
      </c>
      <c r="Y9" s="118" t="n">
        <f aca="false">MAX(0,MIN(1,Inputs!$E$13-(Y$4-1)*1))</f>
        <v>0</v>
      </c>
      <c r="Z9" s="118" t="n">
        <f aca="false">MAX(0,MIN(1,Inputs!$E$13-(Z$4-1)*1))</f>
        <v>0</v>
      </c>
      <c r="AA9" s="118" t="n">
        <f aca="false">MAX(0,MIN(1,Inputs!$E$13-(AA$4-1)*1))</f>
        <v>0</v>
      </c>
      <c r="AB9" s="118" t="n">
        <f aca="false">MAX(0,MIN(1,Inputs!$E$13-(AB$4-1)*1))</f>
        <v>0</v>
      </c>
      <c r="AC9" s="118" t="n">
        <f aca="false">MAX(0,MIN(1,Inputs!$E$13-(AC$4-1)*1))</f>
        <v>0</v>
      </c>
      <c r="AD9" s="118" t="n">
        <f aca="false">MAX(0,MIN(1,Inputs!$E$13-(AD$4-1)*1))</f>
        <v>0</v>
      </c>
      <c r="AE9" s="118" t="n">
        <f aca="false">MAX(0,MIN(1,Inputs!$E$13-(AE$4-1)*1))</f>
        <v>0</v>
      </c>
      <c r="AF9" s="118" t="n">
        <f aca="false">MAX(0,MIN(1,Inputs!$E$13-(AF$4-1)*1))</f>
        <v>0</v>
      </c>
      <c r="AG9" s="118" t="n">
        <f aca="false">MAX(0,MIN(1,Inputs!$E$13-(AG$4-1)*1))</f>
        <v>0</v>
      </c>
      <c r="AH9" s="118" t="n">
        <f aca="false">MAX(0,MIN(1,Inputs!$E$13-(AH$4-1)*1))</f>
        <v>0</v>
      </c>
      <c r="AI9" s="118" t="n">
        <f aca="false">MAX(0,MIN(1,Inputs!$E$13-(AI$4-1)*1))</f>
        <v>0</v>
      </c>
      <c r="AJ9" s="118" t="n">
        <f aca="false">MAX(0,MIN(1,Inputs!$E$13-(AJ$4-1)*1))</f>
        <v>0</v>
      </c>
      <c r="AK9" s="118" t="n">
        <f aca="false">MAX(0,MIN(1,Inputs!$E$13-(AK$4-1)*1))</f>
        <v>0</v>
      </c>
      <c r="AL9" s="118" t="n">
        <f aca="false">MAX(0,MIN(1,Inputs!$E$13-(AL$4-1)*1))</f>
        <v>0</v>
      </c>
    </row>
    <row r="10" customFormat="false" ht="15" hidden="false" customHeight="false" outlineLevel="0" collapsed="false">
      <c r="A10" s="39" t="s">
        <v>388</v>
      </c>
      <c r="C10" s="74" t="n">
        <f aca="false">IF(Inputs!$E$13&lt;=0,1,(C9*Inputs!$E$14+(1-Inputs!$E$14)/MAX(1,Inputs!$E$13)*(C9*(C$4-1)*1+C9*(C9-1)/2)+1-C9)/1)</f>
        <v>0.5</v>
      </c>
      <c r="D10" s="74" t="n">
        <f aca="false">IF(Inputs!$E$13&lt;=0,1,(D9*Inputs!$E$14+(1-Inputs!$E$14)/MAX(1,Inputs!$E$13)*(D9*(D$4-1)*1+D9*(D9-1)/2)+1-D9)/1)</f>
        <v>0.583333333333334</v>
      </c>
      <c r="E10" s="74" t="n">
        <f aca="false">IF(Inputs!$E$13&lt;=0,1,(E9*Inputs!$E$14+(1-Inputs!$E$14)/MAX(1,Inputs!$E$13)*(E9*(E$4-1)*1+E9*(E9-1)/2)+1-E9)/1)</f>
        <v>0.666666666666667</v>
      </c>
      <c r="F10" s="74" t="n">
        <f aca="false">IF(Inputs!$E$13&lt;=0,1,(F9*Inputs!$E$14+(1-Inputs!$E$14)/MAX(1,Inputs!$E$13)*(F9*(F$4-1)*1+F9*(F9-1)/2)+1-F9)/1)</f>
        <v>0.75</v>
      </c>
      <c r="G10" s="74" t="n">
        <f aca="false">IF(Inputs!$E$13&lt;=0,1,(G9*Inputs!$E$14+(1-Inputs!$E$14)/MAX(1,Inputs!$E$13)*(G9*(G$4-1)*1+G9*(G9-1)/2)+1-G9)/1)</f>
        <v>0.833333333333333</v>
      </c>
      <c r="H10" s="74" t="n">
        <f aca="false">IF(Inputs!$E$13&lt;=0,1,(H9*Inputs!$E$14+(1-Inputs!$E$14)/MAX(1,Inputs!$E$13)*(H9*(H$4-1)*1+H9*(H9-1)/2)+1-H9)/1)</f>
        <v>0.916666666666667</v>
      </c>
      <c r="I10" s="74" t="n">
        <f aca="false">IF(Inputs!$E$13&lt;=0,1,(I9*Inputs!$E$14+(1-Inputs!$E$14)/MAX(1,Inputs!$E$13)*(I9*(I$4-1)*1+I9*(I9-1)/2)+1-I9)/1)</f>
        <v>1</v>
      </c>
      <c r="J10" s="74" t="n">
        <f aca="false">IF(Inputs!$E$13&lt;=0,1,(J9*Inputs!$E$14+(1-Inputs!$E$14)/MAX(1,Inputs!$E$13)*(J9*(J$4-1)*1+J9*(J9-1)/2)+1-J9)/1)</f>
        <v>1</v>
      </c>
      <c r="K10" s="74" t="n">
        <f aca="false">IF(Inputs!$E$13&lt;=0,1,(K9*Inputs!$E$14+(1-Inputs!$E$14)/MAX(1,Inputs!$E$13)*(K9*(K$4-1)*1+K9*(K9-1)/2)+1-K9)/1)</f>
        <v>1</v>
      </c>
      <c r="L10" s="74" t="n">
        <f aca="false">IF(Inputs!$E$13&lt;=0,1,(L9*Inputs!$E$14+(1-Inputs!$E$14)/MAX(1,Inputs!$E$13)*(L9*(L$4-1)*1+L9*(L9-1)/2)+1-L9)/1)</f>
        <v>1</v>
      </c>
      <c r="M10" s="74" t="n">
        <f aca="false">IF(Inputs!$E$13&lt;=0,1,(M9*Inputs!$E$14+(1-Inputs!$E$14)/MAX(1,Inputs!$E$13)*(M9*(M$4-1)*1+M9*(M9-1)/2)+1-M9)/1)</f>
        <v>1</v>
      </c>
      <c r="N10" s="74" t="n">
        <f aca="false">IF(Inputs!$E$13&lt;=0,1,(N9*Inputs!$E$14+(1-Inputs!$E$14)/MAX(1,Inputs!$E$13)*(N9*(N$4-1)*1+N9*(N9-1)/2)+1-N9)/1)</f>
        <v>1</v>
      </c>
      <c r="O10" s="74" t="n">
        <f aca="false">IF(Inputs!$E$13&lt;=0,1,(O9*Inputs!$E$14+(1-Inputs!$E$14)/MAX(1,Inputs!$E$13)*(O9*(O$4-1)*1+O9*(O9-1)/2)+1-O9)/1)</f>
        <v>1</v>
      </c>
      <c r="P10" s="74" t="n">
        <f aca="false">IF(Inputs!$E$13&lt;=0,1,(P9*Inputs!$E$14+(1-Inputs!$E$14)/MAX(1,Inputs!$E$13)*(P9*(P$4-1)*1+P9*(P9-1)/2)+1-P9)/1)</f>
        <v>1</v>
      </c>
      <c r="Q10" s="74" t="n">
        <f aca="false">IF(Inputs!$E$13&lt;=0,1,(Q9*Inputs!$E$14+(1-Inputs!$E$14)/MAX(1,Inputs!$E$13)*(Q9*(Q$4-1)*1+Q9*(Q9-1)/2)+1-Q9)/1)</f>
        <v>1</v>
      </c>
      <c r="R10" s="74" t="n">
        <f aca="false">IF(Inputs!$E$13&lt;=0,1,(R9*Inputs!$E$14+(1-Inputs!$E$14)/MAX(1,Inputs!$E$13)*(R9*(R$4-1)*1+R9*(R9-1)/2)+1-R9)/1)</f>
        <v>1</v>
      </c>
      <c r="S10" s="74" t="n">
        <f aca="false">IF(Inputs!$E$13&lt;=0,1,(S9*Inputs!$E$14+(1-Inputs!$E$14)/MAX(1,Inputs!$E$13)*(S9*(S$4-1)*1+S9*(S9-1)/2)+1-S9)/1)</f>
        <v>1</v>
      </c>
      <c r="T10" s="74" t="n">
        <f aca="false">IF(Inputs!$E$13&lt;=0,1,(T9*Inputs!$E$14+(1-Inputs!$E$14)/MAX(1,Inputs!$E$13)*(T9*(T$4-1)*1+T9*(T9-1)/2)+1-T9)/1)</f>
        <v>1</v>
      </c>
      <c r="U10" s="74" t="n">
        <f aca="false">IF(Inputs!$E$13&lt;=0,1,(U9*Inputs!$E$14+(1-Inputs!$E$14)/MAX(1,Inputs!$E$13)*(U9*(U$4-1)*1+U9*(U9-1)/2)+1-U9)/1)</f>
        <v>1</v>
      </c>
      <c r="V10" s="74" t="n">
        <f aca="false">IF(Inputs!$E$13&lt;=0,1,(V9*Inputs!$E$14+(1-Inputs!$E$14)/MAX(1,Inputs!$E$13)*(V9*(V$4-1)*1+V9*(V9-1)/2)+1-V9)/1)</f>
        <v>1</v>
      </c>
      <c r="W10" s="74" t="n">
        <f aca="false">IF(Inputs!$E$13&lt;=0,1,(W9*Inputs!$E$14+(1-Inputs!$E$14)/MAX(1,Inputs!$E$13)*(W9*(W$4-1)*1+W9*(W9-1)/2)+1-W9)/1)</f>
        <v>1</v>
      </c>
      <c r="X10" s="74" t="n">
        <f aca="false">IF(Inputs!$E$13&lt;=0,1,(X9*Inputs!$E$14+(1-Inputs!$E$14)/MAX(1,Inputs!$E$13)*(X9*(X$4-1)*1+X9*(X9-1)/2)+1-X9)/1)</f>
        <v>1</v>
      </c>
      <c r="Y10" s="74" t="n">
        <f aca="false">IF(Inputs!$E$13&lt;=0,1,(Y9*Inputs!$E$14+(1-Inputs!$E$14)/MAX(1,Inputs!$E$13)*(Y9*(Y$4-1)*1+Y9*(Y9-1)/2)+1-Y9)/1)</f>
        <v>1</v>
      </c>
      <c r="Z10" s="74" t="n">
        <f aca="false">IF(Inputs!$E$13&lt;=0,1,(Z9*Inputs!$E$14+(1-Inputs!$E$14)/MAX(1,Inputs!$E$13)*(Z9*(Z$4-1)*1+Z9*(Z9-1)/2)+1-Z9)/1)</f>
        <v>1</v>
      </c>
      <c r="AA10" s="74" t="n">
        <f aca="false">IF(Inputs!$E$13&lt;=0,1,(AA9*Inputs!$E$14+(1-Inputs!$E$14)/MAX(1,Inputs!$E$13)*(AA9*(AA$4-1)*1+AA9*(AA9-1)/2)+1-AA9)/1)</f>
        <v>1</v>
      </c>
      <c r="AB10" s="74" t="n">
        <f aca="false">IF(Inputs!$E$13&lt;=0,1,(AB9*Inputs!$E$14+(1-Inputs!$E$14)/MAX(1,Inputs!$E$13)*(AB9*(AB$4-1)*1+AB9*(AB9-1)/2)+1-AB9)/1)</f>
        <v>1</v>
      </c>
      <c r="AC10" s="74" t="n">
        <f aca="false">IF(Inputs!$E$13&lt;=0,1,(AC9*Inputs!$E$14+(1-Inputs!$E$14)/MAX(1,Inputs!$E$13)*(AC9*(AC$4-1)*1+AC9*(AC9-1)/2)+1-AC9)/1)</f>
        <v>1</v>
      </c>
      <c r="AD10" s="74" t="n">
        <f aca="false">IF(Inputs!$E$13&lt;=0,1,(AD9*Inputs!$E$14+(1-Inputs!$E$14)/MAX(1,Inputs!$E$13)*(AD9*(AD$4-1)*1+AD9*(AD9-1)/2)+1-AD9)/1)</f>
        <v>1</v>
      </c>
      <c r="AE10" s="74" t="n">
        <f aca="false">IF(Inputs!$E$13&lt;=0,1,(AE9*Inputs!$E$14+(1-Inputs!$E$14)/MAX(1,Inputs!$E$13)*(AE9*(AE$4-1)*1+AE9*(AE9-1)/2)+1-AE9)/1)</f>
        <v>1</v>
      </c>
      <c r="AF10" s="74" t="n">
        <f aca="false">IF(Inputs!$E$13&lt;=0,1,(AF9*Inputs!$E$14+(1-Inputs!$E$14)/MAX(1,Inputs!$E$13)*(AF9*(AF$4-1)*1+AF9*(AF9-1)/2)+1-AF9)/1)</f>
        <v>1</v>
      </c>
      <c r="AG10" s="74" t="n">
        <f aca="false">IF(Inputs!$E$13&lt;=0,1,(AG9*Inputs!$E$14+(1-Inputs!$E$14)/MAX(1,Inputs!$E$13)*(AG9*(AG$4-1)*1+AG9*(AG9-1)/2)+1-AG9)/1)</f>
        <v>1</v>
      </c>
      <c r="AH10" s="74" t="n">
        <f aca="false">IF(Inputs!$E$13&lt;=0,1,(AH9*Inputs!$E$14+(1-Inputs!$E$14)/MAX(1,Inputs!$E$13)*(AH9*(AH$4-1)*1+AH9*(AH9-1)/2)+1-AH9)/1)</f>
        <v>1</v>
      </c>
      <c r="AI10" s="74" t="n">
        <f aca="false">IF(Inputs!$E$13&lt;=0,1,(AI9*Inputs!$E$14+(1-Inputs!$E$14)/MAX(1,Inputs!$E$13)*(AI9*(AI$4-1)*1+AI9*(AI9-1)/2)+1-AI9)/1)</f>
        <v>1</v>
      </c>
      <c r="AJ10" s="74" t="n">
        <f aca="false">IF(Inputs!$E$13&lt;=0,1,(AJ9*Inputs!$E$14+(1-Inputs!$E$14)/MAX(1,Inputs!$E$13)*(AJ9*(AJ$4-1)*1+AJ9*(AJ9-1)/2)+1-AJ9)/1)</f>
        <v>1</v>
      </c>
      <c r="AK10" s="74" t="n">
        <f aca="false">IF(Inputs!$E$13&lt;=0,1,(AK9*Inputs!$E$14+(1-Inputs!$E$14)/MAX(1,Inputs!$E$13)*(AK9*(AK$4-1)*1+AK9*(AK9-1)/2)+1-AK9)/1)</f>
        <v>1</v>
      </c>
      <c r="AL10" s="74" t="n">
        <f aca="false">IF(Inputs!$E$13&lt;=0,1,(AL9*Inputs!$E$14+(1-Inputs!$E$14)/MAX(1,Inputs!$E$13)*(AL9*(AL$4-1)*1+AL9*(AL9-1)/2)+1-AL9)/1)</f>
        <v>1</v>
      </c>
    </row>
    <row r="11" customFormat="false" ht="15" hidden="false" customHeight="false" outlineLevel="0" collapsed="false">
      <c r="A11" s="6" t="s">
        <v>389</v>
      </c>
      <c r="C11" s="77" t="n">
        <f aca="false">IF(OR(MOD(C$4-1,12)&gt;=11,MOD(C$4-1,12)&lt;=1),1-Inputs!$E$10,1+Inputs!$E$10/3)</f>
        <v>0.75</v>
      </c>
      <c r="D11" s="77" t="n">
        <f aca="false">IF(OR(MOD(D$4-1,12)&gt;=11,MOD(D$4-1,12)&lt;=1),1-Inputs!$E$10,1+Inputs!$E$10/3)</f>
        <v>0.75</v>
      </c>
      <c r="E11" s="77" t="n">
        <f aca="false">IF(OR(MOD(E$4-1,12)&gt;=11,MOD(E$4-1,12)&lt;=1),1-Inputs!$E$10,1+Inputs!$E$10/3)</f>
        <v>1.08333333333333</v>
      </c>
      <c r="F11" s="77" t="n">
        <f aca="false">IF(OR(MOD(F$4-1,12)&gt;=11,MOD(F$4-1,12)&lt;=1),1-Inputs!$E$10,1+Inputs!$E$10/3)</f>
        <v>1.08333333333333</v>
      </c>
      <c r="G11" s="77" t="n">
        <f aca="false">IF(OR(MOD(G$4-1,12)&gt;=11,MOD(G$4-1,12)&lt;=1),1-Inputs!$E$10,1+Inputs!$E$10/3)</f>
        <v>1.08333333333333</v>
      </c>
      <c r="H11" s="77" t="n">
        <f aca="false">IF(OR(MOD(H$4-1,12)&gt;=11,MOD(H$4-1,12)&lt;=1),1-Inputs!$E$10,1+Inputs!$E$10/3)</f>
        <v>1.08333333333333</v>
      </c>
      <c r="I11" s="77" t="n">
        <f aca="false">IF(OR(MOD(I$4-1,12)&gt;=11,MOD(I$4-1,12)&lt;=1),1-Inputs!$E$10,1+Inputs!$E$10/3)</f>
        <v>1.08333333333333</v>
      </c>
      <c r="J11" s="77" t="n">
        <f aca="false">IF(OR(MOD(J$4-1,12)&gt;=11,MOD(J$4-1,12)&lt;=1),1-Inputs!$E$10,1+Inputs!$E$10/3)</f>
        <v>1.08333333333333</v>
      </c>
      <c r="K11" s="77" t="n">
        <f aca="false">IF(OR(MOD(K$4-1,12)&gt;=11,MOD(K$4-1,12)&lt;=1),1-Inputs!$E$10,1+Inputs!$E$10/3)</f>
        <v>1.08333333333333</v>
      </c>
      <c r="L11" s="77" t="n">
        <f aca="false">IF(OR(MOD(L$4-1,12)&gt;=11,MOD(L$4-1,12)&lt;=1),1-Inputs!$E$10,1+Inputs!$E$10/3)</f>
        <v>1.08333333333333</v>
      </c>
      <c r="M11" s="77" t="n">
        <f aca="false">IF(OR(MOD(M$4-1,12)&gt;=11,MOD(M$4-1,12)&lt;=1),1-Inputs!$E$10,1+Inputs!$E$10/3)</f>
        <v>1.08333333333333</v>
      </c>
      <c r="N11" s="77" t="n">
        <f aca="false">IF(OR(MOD(N$4-1,12)&gt;=11,MOD(N$4-1,12)&lt;=1),1-Inputs!$E$10,1+Inputs!$E$10/3)</f>
        <v>0.75</v>
      </c>
      <c r="O11" s="77" t="n">
        <f aca="false">IF(OR(MOD(O$4-1,12)&gt;=11,MOD(O$4-1,12)&lt;=1),1-Inputs!$E$10,1+Inputs!$E$10/3)</f>
        <v>0.75</v>
      </c>
      <c r="P11" s="77" t="n">
        <f aca="false">IF(OR(MOD(P$4-1,12)&gt;=11,MOD(P$4-1,12)&lt;=1),1-Inputs!$E$10,1+Inputs!$E$10/3)</f>
        <v>0.75</v>
      </c>
      <c r="Q11" s="77" t="n">
        <f aca="false">IF(OR(MOD(Q$4-1,12)&gt;=11,MOD(Q$4-1,12)&lt;=1),1-Inputs!$E$10,1+Inputs!$E$10/3)</f>
        <v>1.08333333333333</v>
      </c>
      <c r="R11" s="77" t="n">
        <f aca="false">IF(OR(MOD(R$4-1,12)&gt;=11,MOD(R$4-1,12)&lt;=1),1-Inputs!$E$10,1+Inputs!$E$10/3)</f>
        <v>1.08333333333333</v>
      </c>
      <c r="S11" s="77" t="n">
        <f aca="false">IF(OR(MOD(S$4-1,12)&gt;=11,MOD(S$4-1,12)&lt;=1),1-Inputs!$E$10,1+Inputs!$E$10/3)</f>
        <v>1.08333333333333</v>
      </c>
      <c r="T11" s="77" t="n">
        <f aca="false">IF(OR(MOD(T$4-1,12)&gt;=11,MOD(T$4-1,12)&lt;=1),1-Inputs!$E$10,1+Inputs!$E$10/3)</f>
        <v>1.08333333333333</v>
      </c>
      <c r="U11" s="77" t="n">
        <f aca="false">IF(OR(MOD(U$4-1,12)&gt;=11,MOD(U$4-1,12)&lt;=1),1-Inputs!$E$10,1+Inputs!$E$10/3)</f>
        <v>1.08333333333333</v>
      </c>
      <c r="V11" s="77" t="n">
        <f aca="false">IF(OR(MOD(V$4-1,12)&gt;=11,MOD(V$4-1,12)&lt;=1),1-Inputs!$E$10,1+Inputs!$E$10/3)</f>
        <v>1.08333333333333</v>
      </c>
      <c r="W11" s="77" t="n">
        <f aca="false">IF(OR(MOD(W$4-1,12)&gt;=11,MOD(W$4-1,12)&lt;=1),1-Inputs!$E$10,1+Inputs!$E$10/3)</f>
        <v>1.08333333333333</v>
      </c>
      <c r="X11" s="77" t="n">
        <f aca="false">IF(OR(MOD(X$4-1,12)&gt;=11,MOD(X$4-1,12)&lt;=1),1-Inputs!$E$10,1+Inputs!$E$10/3)</f>
        <v>1.08333333333333</v>
      </c>
      <c r="Y11" s="77" t="n">
        <f aca="false">IF(OR(MOD(Y$4-1,12)&gt;=11,MOD(Y$4-1,12)&lt;=1),1-Inputs!$E$10,1+Inputs!$E$10/3)</f>
        <v>1.08333333333333</v>
      </c>
      <c r="Z11" s="77" t="n">
        <f aca="false">IF(OR(MOD(Z$4-1,12)&gt;=11,MOD(Z$4-1,12)&lt;=1),1-Inputs!$E$10,1+Inputs!$E$10/3)</f>
        <v>0.75</v>
      </c>
      <c r="AA11" s="77" t="n">
        <f aca="false">IF(OR(MOD(AA$4-1,12)&gt;=11,MOD(AA$4-1,12)&lt;=1),1-Inputs!$E$10,1+Inputs!$E$10/3)</f>
        <v>0.75</v>
      </c>
      <c r="AB11" s="77" t="n">
        <f aca="false">IF(OR(MOD(AB$4-1,12)&gt;=11,MOD(AB$4-1,12)&lt;=1),1-Inputs!$E$10,1+Inputs!$E$10/3)</f>
        <v>0.75</v>
      </c>
      <c r="AC11" s="77" t="n">
        <f aca="false">IF(OR(MOD(AC$4-1,12)&gt;=11,MOD(AC$4-1,12)&lt;=1),1-Inputs!$E$10,1+Inputs!$E$10/3)</f>
        <v>1.08333333333333</v>
      </c>
      <c r="AD11" s="77" t="n">
        <f aca="false">IF(OR(MOD(AD$4-1,12)&gt;=11,MOD(AD$4-1,12)&lt;=1),1-Inputs!$E$10,1+Inputs!$E$10/3)</f>
        <v>1.08333333333333</v>
      </c>
      <c r="AE11" s="77" t="n">
        <f aca="false">IF(OR(MOD(AE$4-1,12)&gt;=11,MOD(AE$4-1,12)&lt;=1),1-Inputs!$E$10,1+Inputs!$E$10/3)</f>
        <v>1.08333333333333</v>
      </c>
      <c r="AF11" s="77" t="n">
        <f aca="false">IF(OR(MOD(AF$4-1,12)&gt;=11,MOD(AF$4-1,12)&lt;=1),1-Inputs!$E$10,1+Inputs!$E$10/3)</f>
        <v>1.08333333333333</v>
      </c>
      <c r="AG11" s="77" t="n">
        <f aca="false">IF(OR(MOD(AG$4-1,12)&gt;=11,MOD(AG$4-1,12)&lt;=1),1-Inputs!$E$10,1+Inputs!$E$10/3)</f>
        <v>1.08333333333333</v>
      </c>
      <c r="AH11" s="77" t="n">
        <f aca="false">IF(OR(MOD(AH$4-1,12)&gt;=11,MOD(AH$4-1,12)&lt;=1),1-Inputs!$E$10,1+Inputs!$E$10/3)</f>
        <v>1.08333333333333</v>
      </c>
      <c r="AI11" s="77" t="n">
        <f aca="false">IF(OR(MOD(AI$4-1,12)&gt;=11,MOD(AI$4-1,12)&lt;=1),1-Inputs!$E$10,1+Inputs!$E$10/3)</f>
        <v>1.08333333333333</v>
      </c>
      <c r="AJ11" s="77" t="n">
        <f aca="false">IF(OR(MOD(AJ$4-1,12)&gt;=11,MOD(AJ$4-1,12)&lt;=1),1-Inputs!$E$10,1+Inputs!$E$10/3)</f>
        <v>1.08333333333333</v>
      </c>
      <c r="AK11" s="77" t="n">
        <f aca="false">IF(OR(MOD(AK$4-1,12)&gt;=11,MOD(AK$4-1,12)&lt;=1),1-Inputs!$E$10,1+Inputs!$E$10/3)</f>
        <v>1.08333333333333</v>
      </c>
      <c r="AL11" s="77" t="n">
        <f aca="false">IF(OR(MOD(AL$4-1,12)&gt;=11,MOD(AL$4-1,12)&lt;=1),1-Inputs!$E$10,1+Inputs!$E$10/3)</f>
        <v>0.75</v>
      </c>
    </row>
    <row r="12" customFormat="false" ht="15" hidden="false" customHeight="false" outlineLevel="0" collapsed="false">
      <c r="A12" s="6" t="s">
        <v>390</v>
      </c>
      <c r="C12" s="118" t="n">
        <f aca="false">C8*Inputs!$E$9*1*C11</f>
        <v>13.5</v>
      </c>
      <c r="D12" s="118" t="n">
        <f aca="false">D8*Inputs!$E$9*1*D11</f>
        <v>13.5</v>
      </c>
      <c r="E12" s="118" t="n">
        <f aca="false">E8*Inputs!$E$9*1*E11</f>
        <v>19.5</v>
      </c>
      <c r="F12" s="118" t="n">
        <f aca="false">F8*Inputs!$E$9*1*F11</f>
        <v>19.5</v>
      </c>
      <c r="G12" s="118" t="n">
        <f aca="false">G8*Inputs!$E$9*1*G11</f>
        <v>19.5</v>
      </c>
      <c r="H12" s="118" t="n">
        <f aca="false">H8*Inputs!$E$9*1*H11</f>
        <v>19.5</v>
      </c>
      <c r="I12" s="118" t="n">
        <f aca="false">I8*Inputs!$E$9*1*I11</f>
        <v>19.5</v>
      </c>
      <c r="J12" s="118" t="n">
        <f aca="false">J8*Inputs!$E$9*1*J11</f>
        <v>19.5</v>
      </c>
      <c r="K12" s="118" t="n">
        <f aca="false">K8*Inputs!$E$9*1*K11</f>
        <v>19.5</v>
      </c>
      <c r="L12" s="118" t="n">
        <f aca="false">L8*Inputs!$E$9*1*L11</f>
        <v>19.5</v>
      </c>
      <c r="M12" s="118" t="n">
        <f aca="false">M8*Inputs!$E$9*1*M11</f>
        <v>19.5</v>
      </c>
      <c r="N12" s="118" t="n">
        <f aca="false">N8*Inputs!$E$9*1*N11</f>
        <v>13.5</v>
      </c>
      <c r="O12" s="118" t="n">
        <f aca="false">O8*Inputs!$E$9*1*O11</f>
        <v>13.5</v>
      </c>
      <c r="P12" s="118" t="n">
        <f aca="false">P8*Inputs!$E$9*1*P11</f>
        <v>13.5</v>
      </c>
      <c r="Q12" s="118" t="n">
        <f aca="false">Q8*Inputs!$E$9*1*Q11</f>
        <v>19.5</v>
      </c>
      <c r="R12" s="118" t="n">
        <f aca="false">R8*Inputs!$E$9*1*R11</f>
        <v>19.5</v>
      </c>
      <c r="S12" s="118" t="n">
        <f aca="false">S8*Inputs!$E$9*1*S11</f>
        <v>19.5</v>
      </c>
      <c r="T12" s="118" t="n">
        <f aca="false">T8*Inputs!$E$9*1*T11</f>
        <v>19.5</v>
      </c>
      <c r="U12" s="118" t="n">
        <f aca="false">U8*Inputs!$E$9*1*U11</f>
        <v>19.5</v>
      </c>
      <c r="V12" s="118" t="n">
        <f aca="false">V8*Inputs!$E$9*1*V11</f>
        <v>19.5</v>
      </c>
      <c r="W12" s="118" t="n">
        <f aca="false">W8*Inputs!$E$9*1*W11</f>
        <v>19.5</v>
      </c>
      <c r="X12" s="118" t="n">
        <f aca="false">X8*Inputs!$E$9*1*X11</f>
        <v>19.5</v>
      </c>
      <c r="Y12" s="118" t="n">
        <f aca="false">Y8*Inputs!$E$9*1*Y11</f>
        <v>19.5</v>
      </c>
      <c r="Z12" s="118" t="n">
        <f aca="false">Z8*Inputs!$E$9*1*Z11</f>
        <v>13.5</v>
      </c>
      <c r="AA12" s="118" t="n">
        <f aca="false">AA8*Inputs!$E$9*1*AA11</f>
        <v>13.5</v>
      </c>
      <c r="AB12" s="118" t="n">
        <f aca="false">AB8*Inputs!$E$9*1*AB11</f>
        <v>13.5</v>
      </c>
      <c r="AC12" s="118" t="n">
        <f aca="false">AC8*Inputs!$E$9*1*AC11</f>
        <v>19.5</v>
      </c>
      <c r="AD12" s="118" t="n">
        <f aca="false">AD8*Inputs!$E$9*1*AD11</f>
        <v>19.5</v>
      </c>
      <c r="AE12" s="118" t="n">
        <f aca="false">AE8*Inputs!$E$9*1*AE11</f>
        <v>19.5</v>
      </c>
      <c r="AF12" s="118" t="n">
        <f aca="false">AF8*Inputs!$E$9*1*AF11</f>
        <v>19.5</v>
      </c>
      <c r="AG12" s="118" t="n">
        <f aca="false">AG8*Inputs!$E$9*1*AG11</f>
        <v>19.5</v>
      </c>
      <c r="AH12" s="118" t="n">
        <f aca="false">AH8*Inputs!$E$9*1*AH11</f>
        <v>19.5</v>
      </c>
      <c r="AI12" s="118" t="n">
        <f aca="false">AI8*Inputs!$E$9*1*AI11</f>
        <v>19.5</v>
      </c>
      <c r="AJ12" s="118" t="n">
        <f aca="false">AJ8*Inputs!$E$9*1*AJ11</f>
        <v>19.5</v>
      </c>
      <c r="AK12" s="118" t="n">
        <f aca="false">AK8*Inputs!$E$9*1*AK11</f>
        <v>19.5</v>
      </c>
      <c r="AL12" s="118" t="n">
        <f aca="false">AL8*Inputs!$E$9*1*AL11</f>
        <v>13.5</v>
      </c>
    </row>
    <row r="13" customFormat="false" ht="15" hidden="false" customHeight="false" outlineLevel="0" collapsed="false">
      <c r="A13" s="6" t="s">
        <v>391</v>
      </c>
      <c r="C13" s="118" t="n">
        <f aca="false">C8*Inputs!$E$23*(1+Inputs!$E$24)^(C$5-1)*1*C10</f>
        <v>1.5</v>
      </c>
      <c r="D13" s="118" t="n">
        <f aca="false">D8*Inputs!$E$23*(1+Inputs!$E$24)^(D$5-1)*1*D10</f>
        <v>1.75</v>
      </c>
      <c r="E13" s="118" t="n">
        <f aca="false">E8*Inputs!$E$23*(1+Inputs!$E$24)^(E$5-1)*1*E10</f>
        <v>2</v>
      </c>
      <c r="F13" s="118" t="n">
        <f aca="false">F8*Inputs!$E$23*(1+Inputs!$E$24)^(F$5-1)*1*F10</f>
        <v>2.25</v>
      </c>
      <c r="G13" s="118" t="n">
        <f aca="false">G8*Inputs!$E$23*(1+Inputs!$E$24)^(G$5-1)*1*G10</f>
        <v>2.5</v>
      </c>
      <c r="H13" s="118" t="n">
        <f aca="false">H8*Inputs!$E$23*(1+Inputs!$E$24)^(H$5-1)*1*H10</f>
        <v>2.75</v>
      </c>
      <c r="I13" s="118" t="n">
        <f aca="false">I8*Inputs!$E$23*(1+Inputs!$E$24)^(I$5-1)*1*I10</f>
        <v>3</v>
      </c>
      <c r="J13" s="118" t="n">
        <f aca="false">J8*Inputs!$E$23*(1+Inputs!$E$24)^(J$5-1)*1*J10</f>
        <v>3</v>
      </c>
      <c r="K13" s="118" t="n">
        <f aca="false">K8*Inputs!$E$23*(1+Inputs!$E$24)^(K$5-1)*1*K10</f>
        <v>3</v>
      </c>
      <c r="L13" s="118" t="n">
        <f aca="false">L8*Inputs!$E$23*(1+Inputs!$E$24)^(L$5-1)*1*L10</f>
        <v>3</v>
      </c>
      <c r="M13" s="118" t="n">
        <f aca="false">M8*Inputs!$E$23*(1+Inputs!$E$24)^(M$5-1)*1*M10</f>
        <v>3</v>
      </c>
      <c r="N13" s="118" t="n">
        <f aca="false">N8*Inputs!$E$23*(1+Inputs!$E$24)^(N$5-1)*1*N10</f>
        <v>3</v>
      </c>
      <c r="O13" s="118" t="n">
        <f aca="false">O8*Inputs!$E$23*(1+Inputs!$E$24)^(O$5-1)*1*O10</f>
        <v>3.15</v>
      </c>
      <c r="P13" s="118" t="n">
        <f aca="false">P8*Inputs!$E$23*(1+Inputs!$E$24)^(P$5-1)*1*P10</f>
        <v>3.15</v>
      </c>
      <c r="Q13" s="118" t="n">
        <f aca="false">Q8*Inputs!$E$23*(1+Inputs!$E$24)^(Q$5-1)*1*Q10</f>
        <v>3.15</v>
      </c>
      <c r="R13" s="118" t="n">
        <f aca="false">R8*Inputs!$E$23*(1+Inputs!$E$24)^(R$5-1)*1*R10</f>
        <v>3.15</v>
      </c>
      <c r="S13" s="118" t="n">
        <f aca="false">S8*Inputs!$E$23*(1+Inputs!$E$24)^(S$5-1)*1*S10</f>
        <v>3.15</v>
      </c>
      <c r="T13" s="118" t="n">
        <f aca="false">T8*Inputs!$E$23*(1+Inputs!$E$24)^(T$5-1)*1*T10</f>
        <v>3.15</v>
      </c>
      <c r="U13" s="118" t="n">
        <f aca="false">U8*Inputs!$E$23*(1+Inputs!$E$24)^(U$5-1)*1*U10</f>
        <v>3.15</v>
      </c>
      <c r="V13" s="118" t="n">
        <f aca="false">V8*Inputs!$E$23*(1+Inputs!$E$24)^(V$5-1)*1*V10</f>
        <v>3.15</v>
      </c>
      <c r="W13" s="118" t="n">
        <f aca="false">W8*Inputs!$E$23*(1+Inputs!$E$24)^(W$5-1)*1*W10</f>
        <v>3.15</v>
      </c>
      <c r="X13" s="118" t="n">
        <f aca="false">X8*Inputs!$E$23*(1+Inputs!$E$24)^(X$5-1)*1*X10</f>
        <v>3.15</v>
      </c>
      <c r="Y13" s="118" t="n">
        <f aca="false">Y8*Inputs!$E$23*(1+Inputs!$E$24)^(Y$5-1)*1*Y10</f>
        <v>3.15</v>
      </c>
      <c r="Z13" s="118" t="n">
        <f aca="false">Z8*Inputs!$E$23*(1+Inputs!$E$24)^(Z$5-1)*1*Z10</f>
        <v>3.15</v>
      </c>
      <c r="AA13" s="118" t="n">
        <f aca="false">AA8*Inputs!$E$23*(1+Inputs!$E$24)^(AA$5-1)*1*AA10</f>
        <v>3.3075</v>
      </c>
      <c r="AB13" s="118" t="n">
        <f aca="false">AB8*Inputs!$E$23*(1+Inputs!$E$24)^(AB$5-1)*1*AB10</f>
        <v>3.3075</v>
      </c>
      <c r="AC13" s="118" t="n">
        <f aca="false">AC8*Inputs!$E$23*(1+Inputs!$E$24)^(AC$5-1)*1*AC10</f>
        <v>3.3075</v>
      </c>
      <c r="AD13" s="118" t="n">
        <f aca="false">AD8*Inputs!$E$23*(1+Inputs!$E$24)^(AD$5-1)*1*AD10</f>
        <v>3.3075</v>
      </c>
      <c r="AE13" s="118" t="n">
        <f aca="false">AE8*Inputs!$E$23*(1+Inputs!$E$24)^(AE$5-1)*1*AE10</f>
        <v>3.3075</v>
      </c>
      <c r="AF13" s="118" t="n">
        <f aca="false">AF8*Inputs!$E$23*(1+Inputs!$E$24)^(AF$5-1)*1*AF10</f>
        <v>3.3075</v>
      </c>
      <c r="AG13" s="118" t="n">
        <f aca="false">AG8*Inputs!$E$23*(1+Inputs!$E$24)^(AG$5-1)*1*AG10</f>
        <v>3.3075</v>
      </c>
      <c r="AH13" s="118" t="n">
        <f aca="false">AH8*Inputs!$E$23*(1+Inputs!$E$24)^(AH$5-1)*1*AH10</f>
        <v>3.3075</v>
      </c>
      <c r="AI13" s="118" t="n">
        <f aca="false">AI8*Inputs!$E$23*(1+Inputs!$E$24)^(AI$5-1)*1*AI10</f>
        <v>3.3075</v>
      </c>
      <c r="AJ13" s="118" t="n">
        <f aca="false">AJ8*Inputs!$E$23*(1+Inputs!$E$24)^(AJ$5-1)*1*AJ10</f>
        <v>3.3075</v>
      </c>
      <c r="AK13" s="118" t="n">
        <f aca="false">AK8*Inputs!$E$23*(1+Inputs!$E$24)^(AK$5-1)*1*AK10</f>
        <v>3.3075</v>
      </c>
      <c r="AL13" s="118" t="n">
        <f aca="false">AL8*Inputs!$E$23*(1+Inputs!$E$24)^(AL$5-1)*1*AL10</f>
        <v>3.3075</v>
      </c>
    </row>
    <row r="14" customFormat="false" ht="15" hidden="false" customHeight="false" outlineLevel="0" collapsed="false">
      <c r="A14" s="4" t="s">
        <v>392</v>
      </c>
      <c r="C14" s="119" t="n">
        <f aca="false">C12+C13</f>
        <v>15</v>
      </c>
      <c r="D14" s="119" t="n">
        <f aca="false">D12+D13</f>
        <v>15.25</v>
      </c>
      <c r="E14" s="119" t="n">
        <f aca="false">E12+E13</f>
        <v>21.5</v>
      </c>
      <c r="F14" s="119" t="n">
        <f aca="false">F12+F13</f>
        <v>21.75</v>
      </c>
      <c r="G14" s="119" t="n">
        <f aca="false">G12+G13</f>
        <v>22</v>
      </c>
      <c r="H14" s="119" t="n">
        <f aca="false">H12+H13</f>
        <v>22.25</v>
      </c>
      <c r="I14" s="119" t="n">
        <f aca="false">I12+I13</f>
        <v>22.5</v>
      </c>
      <c r="J14" s="119" t="n">
        <f aca="false">J12+J13</f>
        <v>22.5</v>
      </c>
      <c r="K14" s="119" t="n">
        <f aca="false">K12+K13</f>
        <v>22.5</v>
      </c>
      <c r="L14" s="119" t="n">
        <f aca="false">L12+L13</f>
        <v>22.5</v>
      </c>
      <c r="M14" s="119" t="n">
        <f aca="false">M12+M13</f>
        <v>22.5</v>
      </c>
      <c r="N14" s="119" t="n">
        <f aca="false">N12+N13</f>
        <v>16.5</v>
      </c>
      <c r="O14" s="119" t="n">
        <f aca="false">O12+O13</f>
        <v>16.65</v>
      </c>
      <c r="P14" s="119" t="n">
        <f aca="false">P12+P13</f>
        <v>16.65</v>
      </c>
      <c r="Q14" s="119" t="n">
        <f aca="false">Q12+Q13</f>
        <v>22.65</v>
      </c>
      <c r="R14" s="119" t="n">
        <f aca="false">R12+R13</f>
        <v>22.65</v>
      </c>
      <c r="S14" s="119" t="n">
        <f aca="false">S12+S13</f>
        <v>22.65</v>
      </c>
      <c r="T14" s="119" t="n">
        <f aca="false">T12+T13</f>
        <v>22.65</v>
      </c>
      <c r="U14" s="119" t="n">
        <f aca="false">U12+U13</f>
        <v>22.65</v>
      </c>
      <c r="V14" s="119" t="n">
        <f aca="false">V12+V13</f>
        <v>22.65</v>
      </c>
      <c r="W14" s="119" t="n">
        <f aca="false">W12+W13</f>
        <v>22.65</v>
      </c>
      <c r="X14" s="119" t="n">
        <f aca="false">X12+X13</f>
        <v>22.65</v>
      </c>
      <c r="Y14" s="119" t="n">
        <f aca="false">Y12+Y13</f>
        <v>22.65</v>
      </c>
      <c r="Z14" s="119" t="n">
        <f aca="false">Z12+Z13</f>
        <v>16.65</v>
      </c>
      <c r="AA14" s="119" t="n">
        <f aca="false">AA12+AA13</f>
        <v>16.8075</v>
      </c>
      <c r="AB14" s="119" t="n">
        <f aca="false">AB12+AB13</f>
        <v>16.8075</v>
      </c>
      <c r="AC14" s="119" t="n">
        <f aca="false">AC12+AC13</f>
        <v>22.8075</v>
      </c>
      <c r="AD14" s="119" t="n">
        <f aca="false">AD12+AD13</f>
        <v>22.8075</v>
      </c>
      <c r="AE14" s="119" t="n">
        <f aca="false">AE12+AE13</f>
        <v>22.8075</v>
      </c>
      <c r="AF14" s="119" t="n">
        <f aca="false">AF12+AF13</f>
        <v>22.8075</v>
      </c>
      <c r="AG14" s="119" t="n">
        <f aca="false">AG12+AG13</f>
        <v>22.8075</v>
      </c>
      <c r="AH14" s="119" t="n">
        <f aca="false">AH12+AH13</f>
        <v>22.8075</v>
      </c>
      <c r="AI14" s="119" t="n">
        <f aca="false">AI12+AI13</f>
        <v>22.8075</v>
      </c>
      <c r="AJ14" s="119" t="n">
        <f aca="false">AJ12+AJ13</f>
        <v>22.8075</v>
      </c>
      <c r="AK14" s="119" t="n">
        <f aca="false">AK12+AK13</f>
        <v>22.8075</v>
      </c>
      <c r="AL14" s="119" t="n">
        <f aca="false">AL12+AL13</f>
        <v>16.8075</v>
      </c>
    </row>
    <row r="15" customFormat="false" ht="15" hidden="false" customHeight="false" outlineLevel="0" collapsed="false">
      <c r="A15" s="6" t="s">
        <v>393</v>
      </c>
      <c r="C15" s="116" t="n">
        <f aca="false">C12*Inputs!$E$17*(1+Inputs!$E$18)^(C$5-1)*C10</f>
        <v>594</v>
      </c>
      <c r="D15" s="116" t="n">
        <f aca="false">D12*Inputs!$E$17*(1+Inputs!$E$18)^(D$5-1)*D10</f>
        <v>693</v>
      </c>
      <c r="E15" s="116" t="n">
        <f aca="false">E12*Inputs!$E$17*(1+Inputs!$E$18)^(E$5-1)*E10</f>
        <v>1144</v>
      </c>
      <c r="F15" s="116" t="n">
        <f aca="false">F12*Inputs!$E$17*(1+Inputs!$E$18)^(F$5-1)*F10</f>
        <v>1287</v>
      </c>
      <c r="G15" s="116" t="n">
        <f aca="false">G12*Inputs!$E$17*(1+Inputs!$E$18)^(G$5-1)*G10</f>
        <v>1430</v>
      </c>
      <c r="H15" s="116" t="n">
        <f aca="false">H12*Inputs!$E$17*(1+Inputs!$E$18)^(H$5-1)*H10</f>
        <v>1573</v>
      </c>
      <c r="I15" s="116" t="n">
        <f aca="false">I12*Inputs!$E$17*(1+Inputs!$E$18)^(I$5-1)*I10</f>
        <v>1716</v>
      </c>
      <c r="J15" s="116" t="n">
        <f aca="false">J12*Inputs!$E$17*(1+Inputs!$E$18)^(J$5-1)*J10</f>
        <v>1716</v>
      </c>
      <c r="K15" s="116" t="n">
        <f aca="false">K12*Inputs!$E$17*(1+Inputs!$E$18)^(K$5-1)*K10</f>
        <v>1716</v>
      </c>
      <c r="L15" s="116" t="n">
        <f aca="false">L12*Inputs!$E$17*(1+Inputs!$E$18)^(L$5-1)*L10</f>
        <v>1716</v>
      </c>
      <c r="M15" s="116" t="n">
        <f aca="false">M12*Inputs!$E$17*(1+Inputs!$E$18)^(M$5-1)*M10</f>
        <v>1716</v>
      </c>
      <c r="N15" s="116" t="n">
        <f aca="false">N12*Inputs!$E$17*(1+Inputs!$E$18)^(N$5-1)*N10</f>
        <v>1188</v>
      </c>
      <c r="O15" s="116" t="n">
        <f aca="false">O12*Inputs!$E$17*(1+Inputs!$E$18)^(O$5-1)*O10</f>
        <v>1223.64</v>
      </c>
      <c r="P15" s="116" t="n">
        <f aca="false">P12*Inputs!$E$17*(1+Inputs!$E$18)^(P$5-1)*P10</f>
        <v>1223.64</v>
      </c>
      <c r="Q15" s="116" t="n">
        <f aca="false">Q12*Inputs!$E$17*(1+Inputs!$E$18)^(Q$5-1)*Q10</f>
        <v>1767.48</v>
      </c>
      <c r="R15" s="116" t="n">
        <f aca="false">R12*Inputs!$E$17*(1+Inputs!$E$18)^(R$5-1)*R10</f>
        <v>1767.48</v>
      </c>
      <c r="S15" s="116" t="n">
        <f aca="false">S12*Inputs!$E$17*(1+Inputs!$E$18)^(S$5-1)*S10</f>
        <v>1767.48</v>
      </c>
      <c r="T15" s="116" t="n">
        <f aca="false">T12*Inputs!$E$17*(1+Inputs!$E$18)^(T$5-1)*T10</f>
        <v>1767.48</v>
      </c>
      <c r="U15" s="116" t="n">
        <f aca="false">U12*Inputs!$E$17*(1+Inputs!$E$18)^(U$5-1)*U10</f>
        <v>1767.48</v>
      </c>
      <c r="V15" s="116" t="n">
        <f aca="false">V12*Inputs!$E$17*(1+Inputs!$E$18)^(V$5-1)*V10</f>
        <v>1767.48</v>
      </c>
      <c r="W15" s="116" t="n">
        <f aca="false">W12*Inputs!$E$17*(1+Inputs!$E$18)^(W$5-1)*W10</f>
        <v>1767.48</v>
      </c>
      <c r="X15" s="116" t="n">
        <f aca="false">X12*Inputs!$E$17*(1+Inputs!$E$18)^(X$5-1)*X10</f>
        <v>1767.48</v>
      </c>
      <c r="Y15" s="116" t="n">
        <f aca="false">Y12*Inputs!$E$17*(1+Inputs!$E$18)^(Y$5-1)*Y10</f>
        <v>1767.48</v>
      </c>
      <c r="Z15" s="116" t="n">
        <f aca="false">Z12*Inputs!$E$17*(1+Inputs!$E$18)^(Z$5-1)*Z10</f>
        <v>1223.64</v>
      </c>
      <c r="AA15" s="116" t="n">
        <f aca="false">AA12*Inputs!$E$17*(1+Inputs!$E$18)^(AA$5-1)*AA10</f>
        <v>1260.3492</v>
      </c>
      <c r="AB15" s="116" t="n">
        <f aca="false">AB12*Inputs!$E$17*(1+Inputs!$E$18)^(AB$5-1)*AB10</f>
        <v>1260.3492</v>
      </c>
      <c r="AC15" s="116" t="n">
        <f aca="false">AC12*Inputs!$E$17*(1+Inputs!$E$18)^(AC$5-1)*AC10</f>
        <v>1820.5044</v>
      </c>
      <c r="AD15" s="116" t="n">
        <f aca="false">AD12*Inputs!$E$17*(1+Inputs!$E$18)^(AD$5-1)*AD10</f>
        <v>1820.5044</v>
      </c>
      <c r="AE15" s="116" t="n">
        <f aca="false">AE12*Inputs!$E$17*(1+Inputs!$E$18)^(AE$5-1)*AE10</f>
        <v>1820.5044</v>
      </c>
      <c r="AF15" s="116" t="n">
        <f aca="false">AF12*Inputs!$E$17*(1+Inputs!$E$18)^(AF$5-1)*AF10</f>
        <v>1820.5044</v>
      </c>
      <c r="AG15" s="116" t="n">
        <f aca="false">AG12*Inputs!$E$17*(1+Inputs!$E$18)^(AG$5-1)*AG10</f>
        <v>1820.5044</v>
      </c>
      <c r="AH15" s="116" t="n">
        <f aca="false">AH12*Inputs!$E$17*(1+Inputs!$E$18)^(AH$5-1)*AH10</f>
        <v>1820.5044</v>
      </c>
      <c r="AI15" s="116" t="n">
        <f aca="false">AI12*Inputs!$E$17*(1+Inputs!$E$18)^(AI$5-1)*AI10</f>
        <v>1820.5044</v>
      </c>
      <c r="AJ15" s="116" t="n">
        <f aca="false">AJ12*Inputs!$E$17*(1+Inputs!$E$18)^(AJ$5-1)*AJ10</f>
        <v>1820.5044</v>
      </c>
      <c r="AK15" s="116" t="n">
        <f aca="false">AK12*Inputs!$E$17*(1+Inputs!$E$18)^(AK$5-1)*AK10</f>
        <v>1820.5044</v>
      </c>
      <c r="AL15" s="116" t="n">
        <f aca="false">AL12*Inputs!$E$17*(1+Inputs!$E$18)^(AL$5-1)*AL10</f>
        <v>1260.3492</v>
      </c>
    </row>
    <row r="16" customFormat="false" ht="15" hidden="false" customHeight="false" outlineLevel="0" collapsed="false">
      <c r="A16" s="6" t="s">
        <v>394</v>
      </c>
      <c r="C16" s="116" t="n">
        <f aca="false">C13*Inputs!$E$26</f>
        <v>150</v>
      </c>
      <c r="D16" s="116" t="n">
        <f aca="false">D13*Inputs!$E$26</f>
        <v>175</v>
      </c>
      <c r="E16" s="116" t="n">
        <f aca="false">E13*Inputs!$E$26</f>
        <v>200</v>
      </c>
      <c r="F16" s="116" t="n">
        <f aca="false">F13*Inputs!$E$26</f>
        <v>225</v>
      </c>
      <c r="G16" s="116" t="n">
        <f aca="false">G13*Inputs!$E$26</f>
        <v>250</v>
      </c>
      <c r="H16" s="116" t="n">
        <f aca="false">H13*Inputs!$E$26</f>
        <v>275</v>
      </c>
      <c r="I16" s="116" t="n">
        <f aca="false">I13*Inputs!$E$26</f>
        <v>300</v>
      </c>
      <c r="J16" s="116" t="n">
        <f aca="false">J13*Inputs!$E$26</f>
        <v>300</v>
      </c>
      <c r="K16" s="116" t="n">
        <f aca="false">K13*Inputs!$E$26</f>
        <v>300</v>
      </c>
      <c r="L16" s="116" t="n">
        <f aca="false">L13*Inputs!$E$26</f>
        <v>300</v>
      </c>
      <c r="M16" s="116" t="n">
        <f aca="false">M13*Inputs!$E$26</f>
        <v>300</v>
      </c>
      <c r="N16" s="116" t="n">
        <f aca="false">N13*Inputs!$E$26</f>
        <v>300</v>
      </c>
      <c r="O16" s="116" t="n">
        <f aca="false">O13*Inputs!$E$26</f>
        <v>315</v>
      </c>
      <c r="P16" s="116" t="n">
        <f aca="false">P13*Inputs!$E$26</f>
        <v>315</v>
      </c>
      <c r="Q16" s="116" t="n">
        <f aca="false">Q13*Inputs!$E$26</f>
        <v>315</v>
      </c>
      <c r="R16" s="116" t="n">
        <f aca="false">R13*Inputs!$E$26</f>
        <v>315</v>
      </c>
      <c r="S16" s="116" t="n">
        <f aca="false">S13*Inputs!$E$26</f>
        <v>315</v>
      </c>
      <c r="T16" s="116" t="n">
        <f aca="false">T13*Inputs!$E$26</f>
        <v>315</v>
      </c>
      <c r="U16" s="116" t="n">
        <f aca="false">U13*Inputs!$E$26</f>
        <v>315</v>
      </c>
      <c r="V16" s="116" t="n">
        <f aca="false">V13*Inputs!$E$26</f>
        <v>315</v>
      </c>
      <c r="W16" s="116" t="n">
        <f aca="false">W13*Inputs!$E$26</f>
        <v>315</v>
      </c>
      <c r="X16" s="116" t="n">
        <f aca="false">X13*Inputs!$E$26</f>
        <v>315</v>
      </c>
      <c r="Y16" s="116" t="n">
        <f aca="false">Y13*Inputs!$E$26</f>
        <v>315</v>
      </c>
      <c r="Z16" s="116" t="n">
        <f aca="false">Z13*Inputs!$E$26</f>
        <v>315</v>
      </c>
      <c r="AA16" s="116" t="n">
        <f aca="false">AA13*Inputs!$E$26</f>
        <v>330.75</v>
      </c>
      <c r="AB16" s="116" t="n">
        <f aca="false">AB13*Inputs!$E$26</f>
        <v>330.75</v>
      </c>
      <c r="AC16" s="116" t="n">
        <f aca="false">AC13*Inputs!$E$26</f>
        <v>330.75</v>
      </c>
      <c r="AD16" s="116" t="n">
        <f aca="false">AD13*Inputs!$E$26</f>
        <v>330.75</v>
      </c>
      <c r="AE16" s="116" t="n">
        <f aca="false">AE13*Inputs!$E$26</f>
        <v>330.75</v>
      </c>
      <c r="AF16" s="116" t="n">
        <f aca="false">AF13*Inputs!$E$26</f>
        <v>330.75</v>
      </c>
      <c r="AG16" s="116" t="n">
        <f aca="false">AG13*Inputs!$E$26</f>
        <v>330.75</v>
      </c>
      <c r="AH16" s="116" t="n">
        <f aca="false">AH13*Inputs!$E$26</f>
        <v>330.75</v>
      </c>
      <c r="AI16" s="116" t="n">
        <f aca="false">AI13*Inputs!$E$26</f>
        <v>330.75</v>
      </c>
      <c r="AJ16" s="116" t="n">
        <f aca="false">AJ13*Inputs!$E$26</f>
        <v>330.75</v>
      </c>
      <c r="AK16" s="116" t="n">
        <f aca="false">AK13*Inputs!$E$26</f>
        <v>330.75</v>
      </c>
      <c r="AL16" s="116" t="n">
        <f aca="false">AL13*Inputs!$E$26</f>
        <v>330.75</v>
      </c>
    </row>
    <row r="17" customFormat="false" ht="15" hidden="false" customHeight="false" outlineLevel="0" collapsed="false">
      <c r="A17" s="4" t="s">
        <v>395</v>
      </c>
      <c r="C17" s="120" t="n">
        <f aca="false">C15+C16</f>
        <v>744</v>
      </c>
      <c r="D17" s="120" t="n">
        <f aca="false">D15+D16</f>
        <v>868</v>
      </c>
      <c r="E17" s="120" t="n">
        <f aca="false">E15+E16</f>
        <v>1344</v>
      </c>
      <c r="F17" s="120" t="n">
        <f aca="false">F15+F16</f>
        <v>1512</v>
      </c>
      <c r="G17" s="120" t="n">
        <f aca="false">G15+G16</f>
        <v>1680</v>
      </c>
      <c r="H17" s="120" t="n">
        <f aca="false">H15+H16</f>
        <v>1848</v>
      </c>
      <c r="I17" s="120" t="n">
        <f aca="false">I15+I16</f>
        <v>2016</v>
      </c>
      <c r="J17" s="120" t="n">
        <f aca="false">J15+J16</f>
        <v>2016</v>
      </c>
      <c r="K17" s="120" t="n">
        <f aca="false">K15+K16</f>
        <v>2016</v>
      </c>
      <c r="L17" s="120" t="n">
        <f aca="false">L15+L16</f>
        <v>2016</v>
      </c>
      <c r="M17" s="120" t="n">
        <f aca="false">M15+M16</f>
        <v>2016</v>
      </c>
      <c r="N17" s="120" t="n">
        <f aca="false">N15+N16</f>
        <v>1488</v>
      </c>
      <c r="O17" s="120" t="n">
        <f aca="false">O15+O16</f>
        <v>1538.64</v>
      </c>
      <c r="P17" s="120" t="n">
        <f aca="false">P15+P16</f>
        <v>1538.64</v>
      </c>
      <c r="Q17" s="120" t="n">
        <f aca="false">Q15+Q16</f>
        <v>2082.48</v>
      </c>
      <c r="R17" s="120" t="n">
        <f aca="false">R15+R16</f>
        <v>2082.48</v>
      </c>
      <c r="S17" s="120" t="n">
        <f aca="false">S15+S16</f>
        <v>2082.48</v>
      </c>
      <c r="T17" s="120" t="n">
        <f aca="false">T15+T16</f>
        <v>2082.48</v>
      </c>
      <c r="U17" s="120" t="n">
        <f aca="false">U15+U16</f>
        <v>2082.48</v>
      </c>
      <c r="V17" s="120" t="n">
        <f aca="false">V15+V16</f>
        <v>2082.48</v>
      </c>
      <c r="W17" s="120" t="n">
        <f aca="false">W15+W16</f>
        <v>2082.48</v>
      </c>
      <c r="X17" s="120" t="n">
        <f aca="false">X15+X16</f>
        <v>2082.48</v>
      </c>
      <c r="Y17" s="120" t="n">
        <f aca="false">Y15+Y16</f>
        <v>2082.48</v>
      </c>
      <c r="Z17" s="120" t="n">
        <f aca="false">Z15+Z16</f>
        <v>1538.64</v>
      </c>
      <c r="AA17" s="120" t="n">
        <f aca="false">AA15+AA16</f>
        <v>1591.0992</v>
      </c>
      <c r="AB17" s="120" t="n">
        <f aca="false">AB15+AB16</f>
        <v>1591.0992</v>
      </c>
      <c r="AC17" s="120" t="n">
        <f aca="false">AC15+AC16</f>
        <v>2151.2544</v>
      </c>
      <c r="AD17" s="120" t="n">
        <f aca="false">AD15+AD16</f>
        <v>2151.2544</v>
      </c>
      <c r="AE17" s="120" t="n">
        <f aca="false">AE15+AE16</f>
        <v>2151.2544</v>
      </c>
      <c r="AF17" s="120" t="n">
        <f aca="false">AF15+AF16</f>
        <v>2151.2544</v>
      </c>
      <c r="AG17" s="120" t="n">
        <f aca="false">AG15+AG16</f>
        <v>2151.2544</v>
      </c>
      <c r="AH17" s="120" t="n">
        <f aca="false">AH15+AH16</f>
        <v>2151.2544</v>
      </c>
      <c r="AI17" s="120" t="n">
        <f aca="false">AI15+AI16</f>
        <v>2151.2544</v>
      </c>
      <c r="AJ17" s="120" t="n">
        <f aca="false">AJ15+AJ16</f>
        <v>2151.2544</v>
      </c>
      <c r="AK17" s="120" t="n">
        <f aca="false">AK15+AK16</f>
        <v>2151.2544</v>
      </c>
      <c r="AL17" s="120" t="n">
        <f aca="false">AL15+AL16</f>
        <v>1591.0992</v>
      </c>
    </row>
    <row r="19" customFormat="false" ht="15.75" hidden="false" customHeight="true" outlineLevel="0" collapsed="false">
      <c r="A19" s="7" t="s">
        <v>44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</row>
    <row r="20" customFormat="false" ht="15" hidden="false" customHeight="false" outlineLevel="0" collapsed="false">
      <c r="A20" s="6" t="s">
        <v>396</v>
      </c>
      <c r="C20" s="121" t="n">
        <f aca="false">Inputs!$E$19*(1+Inputs!$E$20)^(C$5-1)</f>
        <v>14</v>
      </c>
      <c r="D20" s="121" t="n">
        <f aca="false">Inputs!$E$19*(1+Inputs!$E$20)^(D$5-1)</f>
        <v>14</v>
      </c>
      <c r="E20" s="121" t="n">
        <f aca="false">Inputs!$E$19*(1+Inputs!$E$20)^(E$5-1)</f>
        <v>14</v>
      </c>
      <c r="F20" s="121" t="n">
        <f aca="false">Inputs!$E$19*(1+Inputs!$E$20)^(F$5-1)</f>
        <v>14</v>
      </c>
      <c r="G20" s="121" t="n">
        <f aca="false">Inputs!$E$19*(1+Inputs!$E$20)^(G$5-1)</f>
        <v>14</v>
      </c>
      <c r="H20" s="121" t="n">
        <f aca="false">Inputs!$E$19*(1+Inputs!$E$20)^(H$5-1)</f>
        <v>14</v>
      </c>
      <c r="I20" s="121" t="n">
        <f aca="false">Inputs!$E$19*(1+Inputs!$E$20)^(I$5-1)</f>
        <v>14</v>
      </c>
      <c r="J20" s="121" t="n">
        <f aca="false">Inputs!$E$19*(1+Inputs!$E$20)^(J$5-1)</f>
        <v>14</v>
      </c>
      <c r="K20" s="121" t="n">
        <f aca="false">Inputs!$E$19*(1+Inputs!$E$20)^(K$5-1)</f>
        <v>14</v>
      </c>
      <c r="L20" s="121" t="n">
        <f aca="false">Inputs!$E$19*(1+Inputs!$E$20)^(L$5-1)</f>
        <v>14</v>
      </c>
      <c r="M20" s="121" t="n">
        <f aca="false">Inputs!$E$19*(1+Inputs!$E$20)^(M$5-1)</f>
        <v>14</v>
      </c>
      <c r="N20" s="121" t="n">
        <f aca="false">Inputs!$E$19*(1+Inputs!$E$20)^(N$5-1)</f>
        <v>14</v>
      </c>
      <c r="O20" s="121" t="n">
        <f aca="false">Inputs!$E$19*(1+Inputs!$E$20)^(O$5-1)</f>
        <v>14.42</v>
      </c>
      <c r="P20" s="121" t="n">
        <f aca="false">Inputs!$E$19*(1+Inputs!$E$20)^(P$5-1)</f>
        <v>14.42</v>
      </c>
      <c r="Q20" s="121" t="n">
        <f aca="false">Inputs!$E$19*(1+Inputs!$E$20)^(Q$5-1)</f>
        <v>14.42</v>
      </c>
      <c r="R20" s="121" t="n">
        <f aca="false">Inputs!$E$19*(1+Inputs!$E$20)^(R$5-1)</f>
        <v>14.42</v>
      </c>
      <c r="S20" s="121" t="n">
        <f aca="false">Inputs!$E$19*(1+Inputs!$E$20)^(S$5-1)</f>
        <v>14.42</v>
      </c>
      <c r="T20" s="121" t="n">
        <f aca="false">Inputs!$E$19*(1+Inputs!$E$20)^(T$5-1)</f>
        <v>14.42</v>
      </c>
      <c r="U20" s="121" t="n">
        <f aca="false">Inputs!$E$19*(1+Inputs!$E$20)^(U$5-1)</f>
        <v>14.42</v>
      </c>
      <c r="V20" s="121" t="n">
        <f aca="false">Inputs!$E$19*(1+Inputs!$E$20)^(V$5-1)</f>
        <v>14.42</v>
      </c>
      <c r="W20" s="121" t="n">
        <f aca="false">Inputs!$E$19*(1+Inputs!$E$20)^(W$5-1)</f>
        <v>14.42</v>
      </c>
      <c r="X20" s="121" t="n">
        <f aca="false">Inputs!$E$19*(1+Inputs!$E$20)^(X$5-1)</f>
        <v>14.42</v>
      </c>
      <c r="Y20" s="121" t="n">
        <f aca="false">Inputs!$E$19*(1+Inputs!$E$20)^(Y$5-1)</f>
        <v>14.42</v>
      </c>
      <c r="Z20" s="121" t="n">
        <f aca="false">Inputs!$E$19*(1+Inputs!$E$20)^(Z$5-1)</f>
        <v>14.42</v>
      </c>
      <c r="AA20" s="121" t="n">
        <f aca="false">Inputs!$E$19*(1+Inputs!$E$20)^(AA$5-1)</f>
        <v>14.8526</v>
      </c>
      <c r="AB20" s="121" t="n">
        <f aca="false">Inputs!$E$19*(1+Inputs!$E$20)^(AB$5-1)</f>
        <v>14.8526</v>
      </c>
      <c r="AC20" s="121" t="n">
        <f aca="false">Inputs!$E$19*(1+Inputs!$E$20)^(AC$5-1)</f>
        <v>14.8526</v>
      </c>
      <c r="AD20" s="121" t="n">
        <f aca="false">Inputs!$E$19*(1+Inputs!$E$20)^(AD$5-1)</f>
        <v>14.8526</v>
      </c>
      <c r="AE20" s="121" t="n">
        <f aca="false">Inputs!$E$19*(1+Inputs!$E$20)^(AE$5-1)</f>
        <v>14.8526</v>
      </c>
      <c r="AF20" s="121" t="n">
        <f aca="false">Inputs!$E$19*(1+Inputs!$E$20)^(AF$5-1)</f>
        <v>14.8526</v>
      </c>
      <c r="AG20" s="121" t="n">
        <f aca="false">Inputs!$E$19*(1+Inputs!$E$20)^(AG$5-1)</f>
        <v>14.8526</v>
      </c>
      <c r="AH20" s="121" t="n">
        <f aca="false">Inputs!$E$19*(1+Inputs!$E$20)^(AH$5-1)</f>
        <v>14.8526</v>
      </c>
      <c r="AI20" s="121" t="n">
        <f aca="false">Inputs!$E$19*(1+Inputs!$E$20)^(AI$5-1)</f>
        <v>14.8526</v>
      </c>
      <c r="AJ20" s="121" t="n">
        <f aca="false">Inputs!$E$19*(1+Inputs!$E$20)^(AJ$5-1)</f>
        <v>14.8526</v>
      </c>
      <c r="AK20" s="121" t="n">
        <f aca="false">Inputs!$E$19*(1+Inputs!$E$20)^(AK$5-1)</f>
        <v>14.8526</v>
      </c>
      <c r="AL20" s="121" t="n">
        <f aca="false">Inputs!$E$19*(1+Inputs!$E$20)^(AL$5-1)</f>
        <v>14.8526</v>
      </c>
    </row>
    <row r="21" customFormat="false" ht="15" hidden="false" customHeight="false" outlineLevel="0" collapsed="false">
      <c r="A21" s="6" t="s">
        <v>397</v>
      </c>
      <c r="C21" s="67" t="n">
        <f aca="false">Inputs!$E$25*(1+Inputs!$E$20)^(C$5-1)</f>
        <v>1400</v>
      </c>
      <c r="D21" s="67" t="n">
        <f aca="false">Inputs!$E$25*(1+Inputs!$E$20)^(D$5-1)</f>
        <v>1400</v>
      </c>
      <c r="E21" s="67" t="n">
        <f aca="false">Inputs!$E$25*(1+Inputs!$E$20)^(E$5-1)</f>
        <v>1400</v>
      </c>
      <c r="F21" s="67" t="n">
        <f aca="false">Inputs!$E$25*(1+Inputs!$E$20)^(F$5-1)</f>
        <v>1400</v>
      </c>
      <c r="G21" s="67" t="n">
        <f aca="false">Inputs!$E$25*(1+Inputs!$E$20)^(G$5-1)</f>
        <v>1400</v>
      </c>
      <c r="H21" s="67" t="n">
        <f aca="false">Inputs!$E$25*(1+Inputs!$E$20)^(H$5-1)</f>
        <v>1400</v>
      </c>
      <c r="I21" s="67" t="n">
        <f aca="false">Inputs!$E$25*(1+Inputs!$E$20)^(I$5-1)</f>
        <v>1400</v>
      </c>
      <c r="J21" s="67" t="n">
        <f aca="false">Inputs!$E$25*(1+Inputs!$E$20)^(J$5-1)</f>
        <v>1400</v>
      </c>
      <c r="K21" s="67" t="n">
        <f aca="false">Inputs!$E$25*(1+Inputs!$E$20)^(K$5-1)</f>
        <v>1400</v>
      </c>
      <c r="L21" s="67" t="n">
        <f aca="false">Inputs!$E$25*(1+Inputs!$E$20)^(L$5-1)</f>
        <v>1400</v>
      </c>
      <c r="M21" s="67" t="n">
        <f aca="false">Inputs!$E$25*(1+Inputs!$E$20)^(M$5-1)</f>
        <v>1400</v>
      </c>
      <c r="N21" s="67" t="n">
        <f aca="false">Inputs!$E$25*(1+Inputs!$E$20)^(N$5-1)</f>
        <v>1400</v>
      </c>
      <c r="O21" s="67" t="n">
        <f aca="false">Inputs!$E$25*(1+Inputs!$E$20)^(O$5-1)</f>
        <v>1442</v>
      </c>
      <c r="P21" s="67" t="n">
        <f aca="false">Inputs!$E$25*(1+Inputs!$E$20)^(P$5-1)</f>
        <v>1442</v>
      </c>
      <c r="Q21" s="67" t="n">
        <f aca="false">Inputs!$E$25*(1+Inputs!$E$20)^(Q$5-1)</f>
        <v>1442</v>
      </c>
      <c r="R21" s="67" t="n">
        <f aca="false">Inputs!$E$25*(1+Inputs!$E$20)^(R$5-1)</f>
        <v>1442</v>
      </c>
      <c r="S21" s="67" t="n">
        <f aca="false">Inputs!$E$25*(1+Inputs!$E$20)^(S$5-1)</f>
        <v>1442</v>
      </c>
      <c r="T21" s="67" t="n">
        <f aca="false">Inputs!$E$25*(1+Inputs!$E$20)^(T$5-1)</f>
        <v>1442</v>
      </c>
      <c r="U21" s="67" t="n">
        <f aca="false">Inputs!$E$25*(1+Inputs!$E$20)^(U$5-1)</f>
        <v>1442</v>
      </c>
      <c r="V21" s="67" t="n">
        <f aca="false">Inputs!$E$25*(1+Inputs!$E$20)^(V$5-1)</f>
        <v>1442</v>
      </c>
      <c r="W21" s="67" t="n">
        <f aca="false">Inputs!$E$25*(1+Inputs!$E$20)^(W$5-1)</f>
        <v>1442</v>
      </c>
      <c r="X21" s="67" t="n">
        <f aca="false">Inputs!$E$25*(1+Inputs!$E$20)^(X$5-1)</f>
        <v>1442</v>
      </c>
      <c r="Y21" s="67" t="n">
        <f aca="false">Inputs!$E$25*(1+Inputs!$E$20)^(Y$5-1)</f>
        <v>1442</v>
      </c>
      <c r="Z21" s="67" t="n">
        <f aca="false">Inputs!$E$25*(1+Inputs!$E$20)^(Z$5-1)</f>
        <v>1442</v>
      </c>
      <c r="AA21" s="67" t="n">
        <f aca="false">Inputs!$E$25*(1+Inputs!$E$20)^(AA$5-1)</f>
        <v>1485.26</v>
      </c>
      <c r="AB21" s="67" t="n">
        <f aca="false">Inputs!$E$25*(1+Inputs!$E$20)^(AB$5-1)</f>
        <v>1485.26</v>
      </c>
      <c r="AC21" s="67" t="n">
        <f aca="false">Inputs!$E$25*(1+Inputs!$E$20)^(AC$5-1)</f>
        <v>1485.26</v>
      </c>
      <c r="AD21" s="67" t="n">
        <f aca="false">Inputs!$E$25*(1+Inputs!$E$20)^(AD$5-1)</f>
        <v>1485.26</v>
      </c>
      <c r="AE21" s="67" t="n">
        <f aca="false">Inputs!$E$25*(1+Inputs!$E$20)^(AE$5-1)</f>
        <v>1485.26</v>
      </c>
      <c r="AF21" s="67" t="n">
        <f aca="false">Inputs!$E$25*(1+Inputs!$E$20)^(AF$5-1)</f>
        <v>1485.26</v>
      </c>
      <c r="AG21" s="67" t="n">
        <f aca="false">Inputs!$E$25*(1+Inputs!$E$20)^(AG$5-1)</f>
        <v>1485.26</v>
      </c>
      <c r="AH21" s="67" t="n">
        <f aca="false">Inputs!$E$25*(1+Inputs!$E$20)^(AH$5-1)</f>
        <v>1485.26</v>
      </c>
      <c r="AI21" s="67" t="n">
        <f aca="false">Inputs!$E$25*(1+Inputs!$E$20)^(AI$5-1)</f>
        <v>1485.26</v>
      </c>
      <c r="AJ21" s="67" t="n">
        <f aca="false">Inputs!$E$25*(1+Inputs!$E$20)^(AJ$5-1)</f>
        <v>1485.26</v>
      </c>
      <c r="AK21" s="67" t="n">
        <f aca="false">Inputs!$E$25*(1+Inputs!$E$20)^(AK$5-1)</f>
        <v>1485.26</v>
      </c>
      <c r="AL21" s="67" t="n">
        <f aca="false">Inputs!$E$25*(1+Inputs!$E$20)^(AL$5-1)</f>
        <v>1485.26</v>
      </c>
    </row>
    <row r="22" customFormat="false" ht="15" hidden="false" customHeight="false" outlineLevel="0" collapsed="false">
      <c r="A22" s="6" t="s">
        <v>234</v>
      </c>
      <c r="C22" s="67" t="n">
        <f aca="false">C15*C20</f>
        <v>8316</v>
      </c>
      <c r="D22" s="67" t="n">
        <f aca="false">D15*D20</f>
        <v>9702</v>
      </c>
      <c r="E22" s="67" t="n">
        <f aca="false">E15*E20</f>
        <v>16016</v>
      </c>
      <c r="F22" s="67" t="n">
        <f aca="false">F15*F20</f>
        <v>18018</v>
      </c>
      <c r="G22" s="67" t="n">
        <f aca="false">G15*G20</f>
        <v>20020</v>
      </c>
      <c r="H22" s="67" t="n">
        <f aca="false">H15*H20</f>
        <v>22022</v>
      </c>
      <c r="I22" s="67" t="n">
        <f aca="false">I15*I20</f>
        <v>24024</v>
      </c>
      <c r="J22" s="67" t="n">
        <f aca="false">J15*J20</f>
        <v>24024</v>
      </c>
      <c r="K22" s="67" t="n">
        <f aca="false">K15*K20</f>
        <v>24024</v>
      </c>
      <c r="L22" s="67" t="n">
        <f aca="false">L15*L20</f>
        <v>24024</v>
      </c>
      <c r="M22" s="67" t="n">
        <f aca="false">M15*M20</f>
        <v>24024</v>
      </c>
      <c r="N22" s="67" t="n">
        <f aca="false">N15*N20</f>
        <v>16632</v>
      </c>
      <c r="O22" s="67" t="n">
        <f aca="false">O15*O20</f>
        <v>17644.8888</v>
      </c>
      <c r="P22" s="67" t="n">
        <f aca="false">P15*P20</f>
        <v>17644.8888</v>
      </c>
      <c r="Q22" s="67" t="n">
        <f aca="false">Q15*Q20</f>
        <v>25487.0616</v>
      </c>
      <c r="R22" s="67" t="n">
        <f aca="false">R15*R20</f>
        <v>25487.0616</v>
      </c>
      <c r="S22" s="67" t="n">
        <f aca="false">S15*S20</f>
        <v>25487.0616</v>
      </c>
      <c r="T22" s="67" t="n">
        <f aca="false">T15*T20</f>
        <v>25487.0616</v>
      </c>
      <c r="U22" s="67" t="n">
        <f aca="false">U15*U20</f>
        <v>25487.0616</v>
      </c>
      <c r="V22" s="67" t="n">
        <f aca="false">V15*V20</f>
        <v>25487.0616</v>
      </c>
      <c r="W22" s="67" t="n">
        <f aca="false">W15*W20</f>
        <v>25487.0616</v>
      </c>
      <c r="X22" s="67" t="n">
        <f aca="false">X15*X20</f>
        <v>25487.0616</v>
      </c>
      <c r="Y22" s="67" t="n">
        <f aca="false">Y15*Y20</f>
        <v>25487.0616</v>
      </c>
      <c r="Z22" s="67" t="n">
        <f aca="false">Z15*Z20</f>
        <v>17644.8888</v>
      </c>
      <c r="AA22" s="67" t="n">
        <f aca="false">AA15*AA20</f>
        <v>18719.46252792</v>
      </c>
      <c r="AB22" s="67" t="n">
        <f aca="false">AB15*AB20</f>
        <v>18719.46252792</v>
      </c>
      <c r="AC22" s="67" t="n">
        <f aca="false">AC15*AC20</f>
        <v>27039.22365144</v>
      </c>
      <c r="AD22" s="67" t="n">
        <f aca="false">AD15*AD20</f>
        <v>27039.22365144</v>
      </c>
      <c r="AE22" s="67" t="n">
        <f aca="false">AE15*AE20</f>
        <v>27039.22365144</v>
      </c>
      <c r="AF22" s="67" t="n">
        <f aca="false">AF15*AF20</f>
        <v>27039.22365144</v>
      </c>
      <c r="AG22" s="67" t="n">
        <f aca="false">AG15*AG20</f>
        <v>27039.22365144</v>
      </c>
      <c r="AH22" s="67" t="n">
        <f aca="false">AH15*AH20</f>
        <v>27039.22365144</v>
      </c>
      <c r="AI22" s="67" t="n">
        <f aca="false">AI15*AI20</f>
        <v>27039.22365144</v>
      </c>
      <c r="AJ22" s="67" t="n">
        <f aca="false">AJ15*AJ20</f>
        <v>27039.22365144</v>
      </c>
      <c r="AK22" s="67" t="n">
        <f aca="false">AK15*AK20</f>
        <v>27039.22365144</v>
      </c>
      <c r="AL22" s="67" t="n">
        <f aca="false">AL15*AL20</f>
        <v>18719.46252792</v>
      </c>
    </row>
    <row r="23" customFormat="false" ht="15" hidden="false" customHeight="false" outlineLevel="0" collapsed="false">
      <c r="A23" s="6" t="s">
        <v>235</v>
      </c>
      <c r="C23" s="67" t="n">
        <f aca="false">C13*C21</f>
        <v>2100</v>
      </c>
      <c r="D23" s="67" t="n">
        <f aca="false">D13*D21</f>
        <v>2450</v>
      </c>
      <c r="E23" s="67" t="n">
        <f aca="false">E13*E21</f>
        <v>2800</v>
      </c>
      <c r="F23" s="67" t="n">
        <f aca="false">F13*F21</f>
        <v>3150</v>
      </c>
      <c r="G23" s="67" t="n">
        <f aca="false">G13*G21</f>
        <v>3500</v>
      </c>
      <c r="H23" s="67" t="n">
        <f aca="false">H13*H21</f>
        <v>3850</v>
      </c>
      <c r="I23" s="67" t="n">
        <f aca="false">I13*I21</f>
        <v>4200</v>
      </c>
      <c r="J23" s="67" t="n">
        <f aca="false">J13*J21</f>
        <v>4200</v>
      </c>
      <c r="K23" s="67" t="n">
        <f aca="false">K13*K21</f>
        <v>4200</v>
      </c>
      <c r="L23" s="67" t="n">
        <f aca="false">L13*L21</f>
        <v>4200</v>
      </c>
      <c r="M23" s="67" t="n">
        <f aca="false">M13*M21</f>
        <v>4200</v>
      </c>
      <c r="N23" s="67" t="n">
        <f aca="false">N13*N21</f>
        <v>4200</v>
      </c>
      <c r="O23" s="67" t="n">
        <f aca="false">O13*O21</f>
        <v>4542.3</v>
      </c>
      <c r="P23" s="67" t="n">
        <f aca="false">P13*P21</f>
        <v>4542.3</v>
      </c>
      <c r="Q23" s="67" t="n">
        <f aca="false">Q13*Q21</f>
        <v>4542.3</v>
      </c>
      <c r="R23" s="67" t="n">
        <f aca="false">R13*R21</f>
        <v>4542.3</v>
      </c>
      <c r="S23" s="67" t="n">
        <f aca="false">S13*S21</f>
        <v>4542.3</v>
      </c>
      <c r="T23" s="67" t="n">
        <f aca="false">T13*T21</f>
        <v>4542.3</v>
      </c>
      <c r="U23" s="67" t="n">
        <f aca="false">U13*U21</f>
        <v>4542.3</v>
      </c>
      <c r="V23" s="67" t="n">
        <f aca="false">V13*V21</f>
        <v>4542.3</v>
      </c>
      <c r="W23" s="67" t="n">
        <f aca="false">W13*W21</f>
        <v>4542.3</v>
      </c>
      <c r="X23" s="67" t="n">
        <f aca="false">X13*X21</f>
        <v>4542.3</v>
      </c>
      <c r="Y23" s="67" t="n">
        <f aca="false">Y13*Y21</f>
        <v>4542.3</v>
      </c>
      <c r="Z23" s="67" t="n">
        <f aca="false">Z13*Z21</f>
        <v>4542.3</v>
      </c>
      <c r="AA23" s="67" t="n">
        <f aca="false">AA13*AA21</f>
        <v>4912.49745</v>
      </c>
      <c r="AB23" s="67" t="n">
        <f aca="false">AB13*AB21</f>
        <v>4912.49745</v>
      </c>
      <c r="AC23" s="67" t="n">
        <f aca="false">AC13*AC21</f>
        <v>4912.49745</v>
      </c>
      <c r="AD23" s="67" t="n">
        <f aca="false">AD13*AD21</f>
        <v>4912.49745</v>
      </c>
      <c r="AE23" s="67" t="n">
        <f aca="false">AE13*AE21</f>
        <v>4912.49745</v>
      </c>
      <c r="AF23" s="67" t="n">
        <f aca="false">AF13*AF21</f>
        <v>4912.49745</v>
      </c>
      <c r="AG23" s="67" t="n">
        <f aca="false">AG13*AG21</f>
        <v>4912.49745</v>
      </c>
      <c r="AH23" s="67" t="n">
        <f aca="false">AH13*AH21</f>
        <v>4912.49745</v>
      </c>
      <c r="AI23" s="67" t="n">
        <f aca="false">AI13*AI21</f>
        <v>4912.49745</v>
      </c>
      <c r="AJ23" s="67" t="n">
        <f aca="false">AJ13*AJ21</f>
        <v>4912.49745</v>
      </c>
      <c r="AK23" s="67" t="n">
        <f aca="false">AK13*AK21</f>
        <v>4912.49745</v>
      </c>
      <c r="AL23" s="67" t="n">
        <f aca="false">AL13*AL21</f>
        <v>4912.49745</v>
      </c>
    </row>
    <row r="24" customFormat="false" ht="15" hidden="false" customHeight="false" outlineLevel="0" collapsed="false">
      <c r="A24" s="113" t="s">
        <v>44</v>
      </c>
      <c r="C24" s="68" t="n">
        <f aca="false">C22+C23</f>
        <v>10416</v>
      </c>
      <c r="D24" s="68" t="n">
        <f aca="false">D22+D23</f>
        <v>12152</v>
      </c>
      <c r="E24" s="68" t="n">
        <f aca="false">E22+E23</f>
        <v>18816</v>
      </c>
      <c r="F24" s="68" t="n">
        <f aca="false">F22+F23</f>
        <v>21168</v>
      </c>
      <c r="G24" s="68" t="n">
        <f aca="false">G22+G23</f>
        <v>23520</v>
      </c>
      <c r="H24" s="68" t="n">
        <f aca="false">H22+H23</f>
        <v>25872</v>
      </c>
      <c r="I24" s="68" t="n">
        <f aca="false">I22+I23</f>
        <v>28224</v>
      </c>
      <c r="J24" s="68" t="n">
        <f aca="false">J22+J23</f>
        <v>28224</v>
      </c>
      <c r="K24" s="68" t="n">
        <f aca="false">K22+K23</f>
        <v>28224</v>
      </c>
      <c r="L24" s="68" t="n">
        <f aca="false">L22+L23</f>
        <v>28224</v>
      </c>
      <c r="M24" s="68" t="n">
        <f aca="false">M22+M23</f>
        <v>28224</v>
      </c>
      <c r="N24" s="68" t="n">
        <f aca="false">N22+N23</f>
        <v>20832</v>
      </c>
      <c r="O24" s="68" t="n">
        <f aca="false">O22+O23</f>
        <v>22187.1888</v>
      </c>
      <c r="P24" s="68" t="n">
        <f aca="false">P22+P23</f>
        <v>22187.1888</v>
      </c>
      <c r="Q24" s="68" t="n">
        <f aca="false">Q22+Q23</f>
        <v>30029.3616</v>
      </c>
      <c r="R24" s="68" t="n">
        <f aca="false">R22+R23</f>
        <v>30029.3616</v>
      </c>
      <c r="S24" s="68" t="n">
        <f aca="false">S22+S23</f>
        <v>30029.3616</v>
      </c>
      <c r="T24" s="68" t="n">
        <f aca="false">T22+T23</f>
        <v>30029.3616</v>
      </c>
      <c r="U24" s="68" t="n">
        <f aca="false">U22+U23</f>
        <v>30029.3616</v>
      </c>
      <c r="V24" s="68" t="n">
        <f aca="false">V22+V23</f>
        <v>30029.3616</v>
      </c>
      <c r="W24" s="68" t="n">
        <f aca="false">W22+W23</f>
        <v>30029.3616</v>
      </c>
      <c r="X24" s="68" t="n">
        <f aca="false">X22+X23</f>
        <v>30029.3616</v>
      </c>
      <c r="Y24" s="68" t="n">
        <f aca="false">Y22+Y23</f>
        <v>30029.3616</v>
      </c>
      <c r="Z24" s="68" t="n">
        <f aca="false">Z22+Z23</f>
        <v>22187.1888</v>
      </c>
      <c r="AA24" s="68" t="n">
        <f aca="false">AA22+AA23</f>
        <v>23631.95997792</v>
      </c>
      <c r="AB24" s="68" t="n">
        <f aca="false">AB22+AB23</f>
        <v>23631.95997792</v>
      </c>
      <c r="AC24" s="68" t="n">
        <f aca="false">AC22+AC23</f>
        <v>31951.72110144</v>
      </c>
      <c r="AD24" s="68" t="n">
        <f aca="false">AD22+AD23</f>
        <v>31951.72110144</v>
      </c>
      <c r="AE24" s="68" t="n">
        <f aca="false">AE22+AE23</f>
        <v>31951.72110144</v>
      </c>
      <c r="AF24" s="68" t="n">
        <f aca="false">AF22+AF23</f>
        <v>31951.72110144</v>
      </c>
      <c r="AG24" s="68" t="n">
        <f aca="false">AG22+AG23</f>
        <v>31951.72110144</v>
      </c>
      <c r="AH24" s="68" t="n">
        <f aca="false">AH22+AH23</f>
        <v>31951.72110144</v>
      </c>
      <c r="AI24" s="68" t="n">
        <f aca="false">AI22+AI23</f>
        <v>31951.72110144</v>
      </c>
      <c r="AJ24" s="68" t="n">
        <f aca="false">AJ22+AJ23</f>
        <v>31951.72110144</v>
      </c>
      <c r="AK24" s="68" t="n">
        <f aca="false">AK22+AK23</f>
        <v>31951.72110144</v>
      </c>
      <c r="AL24" s="68" t="n">
        <f aca="false">AL22+AL23</f>
        <v>23631.95997792</v>
      </c>
    </row>
    <row r="26" customFormat="false" ht="15.75" hidden="false" customHeight="true" outlineLevel="0" collapsed="false">
      <c r="A26" s="7" t="s">
        <v>76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</row>
    <row r="27" customFormat="false" ht="15" hidden="false" customHeight="false" outlineLevel="0" collapsed="false">
      <c r="A27" s="6" t="s">
        <v>398</v>
      </c>
      <c r="C27" s="67" t="n">
        <f aca="false">-C24*Inputs!$E$29</f>
        <v>-3437.28</v>
      </c>
      <c r="D27" s="67" t="n">
        <f aca="false">-D24*Inputs!$E$29</f>
        <v>-4010.16</v>
      </c>
      <c r="E27" s="67" t="n">
        <f aca="false">-E24*Inputs!$E$29</f>
        <v>-6209.28</v>
      </c>
      <c r="F27" s="67" t="n">
        <f aca="false">-F24*Inputs!$E$29</f>
        <v>-6985.44</v>
      </c>
      <c r="G27" s="67" t="n">
        <f aca="false">-G24*Inputs!$E$29</f>
        <v>-7761.6</v>
      </c>
      <c r="H27" s="67" t="n">
        <f aca="false">-H24*Inputs!$E$29</f>
        <v>-8537.76</v>
      </c>
      <c r="I27" s="67" t="n">
        <f aca="false">-I24*Inputs!$E$29</f>
        <v>-9313.92</v>
      </c>
      <c r="J27" s="67" t="n">
        <f aca="false">-J24*Inputs!$E$29</f>
        <v>-9313.92</v>
      </c>
      <c r="K27" s="67" t="n">
        <f aca="false">-K24*Inputs!$E$29</f>
        <v>-9313.92</v>
      </c>
      <c r="L27" s="67" t="n">
        <f aca="false">-L24*Inputs!$E$29</f>
        <v>-9313.92</v>
      </c>
      <c r="M27" s="67" t="n">
        <f aca="false">-M24*Inputs!$E$29</f>
        <v>-9313.92</v>
      </c>
      <c r="N27" s="67" t="n">
        <f aca="false">-N24*Inputs!$E$29</f>
        <v>-6874.56</v>
      </c>
      <c r="O27" s="67" t="n">
        <f aca="false">-O24*Inputs!$E$29</f>
        <v>-7321.772304</v>
      </c>
      <c r="P27" s="67" t="n">
        <f aca="false">-P24*Inputs!$E$29</f>
        <v>-7321.772304</v>
      </c>
      <c r="Q27" s="67" t="n">
        <f aca="false">-Q24*Inputs!$E$29</f>
        <v>-9909.689328</v>
      </c>
      <c r="R27" s="67" t="n">
        <f aca="false">-R24*Inputs!$E$29</f>
        <v>-9909.689328</v>
      </c>
      <c r="S27" s="67" t="n">
        <f aca="false">-S24*Inputs!$E$29</f>
        <v>-9909.689328</v>
      </c>
      <c r="T27" s="67" t="n">
        <f aca="false">-T24*Inputs!$E$29</f>
        <v>-9909.689328</v>
      </c>
      <c r="U27" s="67" t="n">
        <f aca="false">-U24*Inputs!$E$29</f>
        <v>-9909.689328</v>
      </c>
      <c r="V27" s="67" t="n">
        <f aca="false">-V24*Inputs!$E$29</f>
        <v>-9909.689328</v>
      </c>
      <c r="W27" s="67" t="n">
        <f aca="false">-W24*Inputs!$E$29</f>
        <v>-9909.689328</v>
      </c>
      <c r="X27" s="67" t="n">
        <f aca="false">-X24*Inputs!$E$29</f>
        <v>-9909.689328</v>
      </c>
      <c r="Y27" s="67" t="n">
        <f aca="false">-Y24*Inputs!$E$29</f>
        <v>-9909.689328</v>
      </c>
      <c r="Z27" s="67" t="n">
        <f aca="false">-Z24*Inputs!$E$29</f>
        <v>-7321.772304</v>
      </c>
      <c r="AA27" s="67" t="n">
        <f aca="false">-AA24*Inputs!$E$29</f>
        <v>-7798.5467927136</v>
      </c>
      <c r="AB27" s="67" t="n">
        <f aca="false">-AB24*Inputs!$E$29</f>
        <v>-7798.5467927136</v>
      </c>
      <c r="AC27" s="67" t="n">
        <f aca="false">-AC24*Inputs!$E$29</f>
        <v>-10544.0679634752</v>
      </c>
      <c r="AD27" s="67" t="n">
        <f aca="false">-AD24*Inputs!$E$29</f>
        <v>-10544.0679634752</v>
      </c>
      <c r="AE27" s="67" t="n">
        <f aca="false">-AE24*Inputs!$E$29</f>
        <v>-10544.0679634752</v>
      </c>
      <c r="AF27" s="67" t="n">
        <f aca="false">-AF24*Inputs!$E$29</f>
        <v>-10544.0679634752</v>
      </c>
      <c r="AG27" s="67" t="n">
        <f aca="false">-AG24*Inputs!$E$29</f>
        <v>-10544.0679634752</v>
      </c>
      <c r="AH27" s="67" t="n">
        <f aca="false">-AH24*Inputs!$E$29</f>
        <v>-10544.0679634752</v>
      </c>
      <c r="AI27" s="67" t="n">
        <f aca="false">-AI24*Inputs!$E$29</f>
        <v>-10544.0679634752</v>
      </c>
      <c r="AJ27" s="67" t="n">
        <f aca="false">-AJ24*Inputs!$E$29</f>
        <v>-10544.0679634752</v>
      </c>
      <c r="AK27" s="67" t="n">
        <f aca="false">-AK24*Inputs!$E$29</f>
        <v>-10544.0679634752</v>
      </c>
      <c r="AL27" s="67" t="n">
        <f aca="false">-AL24*Inputs!$E$29</f>
        <v>-7798.5467927136</v>
      </c>
    </row>
    <row r="28" customFormat="false" ht="15" hidden="false" customHeight="false" outlineLevel="0" collapsed="false">
      <c r="A28" s="6" t="s">
        <v>399</v>
      </c>
      <c r="C28" s="67" t="n">
        <f aca="false">-C17*Inputs!$E$30*(1+Inputs!$E$34)^(C$5-1)</f>
        <v>-334.8</v>
      </c>
      <c r="D28" s="67" t="n">
        <f aca="false">-D17*Inputs!$E$30*(1+Inputs!$E$34)^(D$5-1)</f>
        <v>-390.6</v>
      </c>
      <c r="E28" s="67" t="n">
        <f aca="false">-E17*Inputs!$E$30*(1+Inputs!$E$34)^(E$5-1)</f>
        <v>-604.8</v>
      </c>
      <c r="F28" s="67" t="n">
        <f aca="false">-F17*Inputs!$E$30*(1+Inputs!$E$34)^(F$5-1)</f>
        <v>-680.4</v>
      </c>
      <c r="G28" s="67" t="n">
        <f aca="false">-G17*Inputs!$E$30*(1+Inputs!$E$34)^(G$5-1)</f>
        <v>-756</v>
      </c>
      <c r="H28" s="67" t="n">
        <f aca="false">-H17*Inputs!$E$30*(1+Inputs!$E$34)^(H$5-1)</f>
        <v>-831.6</v>
      </c>
      <c r="I28" s="67" t="n">
        <f aca="false">-I17*Inputs!$E$30*(1+Inputs!$E$34)^(I$5-1)</f>
        <v>-907.2</v>
      </c>
      <c r="J28" s="67" t="n">
        <f aca="false">-J17*Inputs!$E$30*(1+Inputs!$E$34)^(J$5-1)</f>
        <v>-907.2</v>
      </c>
      <c r="K28" s="67" t="n">
        <f aca="false">-K17*Inputs!$E$30*(1+Inputs!$E$34)^(K$5-1)</f>
        <v>-907.2</v>
      </c>
      <c r="L28" s="67" t="n">
        <f aca="false">-L17*Inputs!$E$30*(1+Inputs!$E$34)^(L$5-1)</f>
        <v>-907.2</v>
      </c>
      <c r="M28" s="67" t="n">
        <f aca="false">-M17*Inputs!$E$30*(1+Inputs!$E$34)^(M$5-1)</f>
        <v>-907.2</v>
      </c>
      <c r="N28" s="67" t="n">
        <f aca="false">-N17*Inputs!$E$30*(1+Inputs!$E$34)^(N$5-1)</f>
        <v>-669.6</v>
      </c>
      <c r="O28" s="67" t="n">
        <f aca="false">-O17*Inputs!$E$30*(1+Inputs!$E$34)^(O$5-1)</f>
        <v>-713.15964</v>
      </c>
      <c r="P28" s="67" t="n">
        <f aca="false">-P17*Inputs!$E$30*(1+Inputs!$E$34)^(P$5-1)</f>
        <v>-713.15964</v>
      </c>
      <c r="Q28" s="67" t="n">
        <f aca="false">-Q17*Inputs!$E$30*(1+Inputs!$E$34)^(Q$5-1)</f>
        <v>-965.22948</v>
      </c>
      <c r="R28" s="67" t="n">
        <f aca="false">-R17*Inputs!$E$30*(1+Inputs!$E$34)^(R$5-1)</f>
        <v>-965.22948</v>
      </c>
      <c r="S28" s="67" t="n">
        <f aca="false">-S17*Inputs!$E$30*(1+Inputs!$E$34)^(S$5-1)</f>
        <v>-965.22948</v>
      </c>
      <c r="T28" s="67" t="n">
        <f aca="false">-T17*Inputs!$E$30*(1+Inputs!$E$34)^(T$5-1)</f>
        <v>-965.22948</v>
      </c>
      <c r="U28" s="67" t="n">
        <f aca="false">-U17*Inputs!$E$30*(1+Inputs!$E$34)^(U$5-1)</f>
        <v>-965.22948</v>
      </c>
      <c r="V28" s="67" t="n">
        <f aca="false">-V17*Inputs!$E$30*(1+Inputs!$E$34)^(V$5-1)</f>
        <v>-965.22948</v>
      </c>
      <c r="W28" s="67" t="n">
        <f aca="false">-W17*Inputs!$E$30*(1+Inputs!$E$34)^(W$5-1)</f>
        <v>-965.22948</v>
      </c>
      <c r="X28" s="67" t="n">
        <f aca="false">-X17*Inputs!$E$30*(1+Inputs!$E$34)^(X$5-1)</f>
        <v>-965.22948</v>
      </c>
      <c r="Y28" s="67" t="n">
        <f aca="false">-Y17*Inputs!$E$30*(1+Inputs!$E$34)^(Y$5-1)</f>
        <v>-965.22948</v>
      </c>
      <c r="Z28" s="67" t="n">
        <f aca="false">-Z17*Inputs!$E$30*(1+Inputs!$E$34)^(Z$5-1)</f>
        <v>-713.15964</v>
      </c>
      <c r="AA28" s="67" t="n">
        <f aca="false">-AA17*Inputs!$E$30*(1+Inputs!$E$34)^(AA$5-1)</f>
        <v>-759.598713576</v>
      </c>
      <c r="AB28" s="67" t="n">
        <f aca="false">-AB17*Inputs!$E$30*(1+Inputs!$E$34)^(AB$5-1)</f>
        <v>-759.598713576</v>
      </c>
      <c r="AC28" s="67" t="n">
        <f aca="false">-AC17*Inputs!$E$30*(1+Inputs!$E$34)^(AC$5-1)</f>
        <v>-1027.019606832</v>
      </c>
      <c r="AD28" s="67" t="n">
        <f aca="false">-AD17*Inputs!$E$30*(1+Inputs!$E$34)^(AD$5-1)</f>
        <v>-1027.019606832</v>
      </c>
      <c r="AE28" s="67" t="n">
        <f aca="false">-AE17*Inputs!$E$30*(1+Inputs!$E$34)^(AE$5-1)</f>
        <v>-1027.019606832</v>
      </c>
      <c r="AF28" s="67" t="n">
        <f aca="false">-AF17*Inputs!$E$30*(1+Inputs!$E$34)^(AF$5-1)</f>
        <v>-1027.019606832</v>
      </c>
      <c r="AG28" s="67" t="n">
        <f aca="false">-AG17*Inputs!$E$30*(1+Inputs!$E$34)^(AG$5-1)</f>
        <v>-1027.019606832</v>
      </c>
      <c r="AH28" s="67" t="n">
        <f aca="false">-AH17*Inputs!$E$30*(1+Inputs!$E$34)^(AH$5-1)</f>
        <v>-1027.019606832</v>
      </c>
      <c r="AI28" s="67" t="n">
        <f aca="false">-AI17*Inputs!$E$30*(1+Inputs!$E$34)^(AI$5-1)</f>
        <v>-1027.019606832</v>
      </c>
      <c r="AJ28" s="67" t="n">
        <f aca="false">-AJ17*Inputs!$E$30*(1+Inputs!$E$34)^(AJ$5-1)</f>
        <v>-1027.019606832</v>
      </c>
      <c r="AK28" s="67" t="n">
        <f aca="false">-AK17*Inputs!$E$30*(1+Inputs!$E$34)^(AK$5-1)</f>
        <v>-1027.019606832</v>
      </c>
      <c r="AL28" s="67" t="n">
        <f aca="false">-AL17*Inputs!$E$30*(1+Inputs!$E$34)^(AL$5-1)</f>
        <v>-759.598713576</v>
      </c>
    </row>
    <row r="29" customFormat="false" ht="15" hidden="false" customHeight="false" outlineLevel="0" collapsed="false">
      <c r="A29" s="6" t="s">
        <v>239</v>
      </c>
      <c r="C29" s="67" t="n">
        <f aca="false">C27+C28</f>
        <v>-3772.08</v>
      </c>
      <c r="D29" s="67" t="n">
        <f aca="false">D27+D28</f>
        <v>-4400.76</v>
      </c>
      <c r="E29" s="67" t="n">
        <f aca="false">E27+E28</f>
        <v>-6814.08</v>
      </c>
      <c r="F29" s="67" t="n">
        <f aca="false">F27+F28</f>
        <v>-7665.84</v>
      </c>
      <c r="G29" s="67" t="n">
        <f aca="false">G27+G28</f>
        <v>-8517.6</v>
      </c>
      <c r="H29" s="67" t="n">
        <f aca="false">H27+H28</f>
        <v>-9369.36</v>
      </c>
      <c r="I29" s="67" t="n">
        <f aca="false">I27+I28</f>
        <v>-10221.12</v>
      </c>
      <c r="J29" s="67" t="n">
        <f aca="false">J27+J28</f>
        <v>-10221.12</v>
      </c>
      <c r="K29" s="67" t="n">
        <f aca="false">K27+K28</f>
        <v>-10221.12</v>
      </c>
      <c r="L29" s="67" t="n">
        <f aca="false">L27+L28</f>
        <v>-10221.12</v>
      </c>
      <c r="M29" s="67" t="n">
        <f aca="false">M27+M28</f>
        <v>-10221.12</v>
      </c>
      <c r="N29" s="67" t="n">
        <f aca="false">N27+N28</f>
        <v>-7544.16</v>
      </c>
      <c r="O29" s="67" t="n">
        <f aca="false">O27+O28</f>
        <v>-8034.931944</v>
      </c>
      <c r="P29" s="67" t="n">
        <f aca="false">P27+P28</f>
        <v>-8034.931944</v>
      </c>
      <c r="Q29" s="67" t="n">
        <f aca="false">Q27+Q28</f>
        <v>-10874.918808</v>
      </c>
      <c r="R29" s="67" t="n">
        <f aca="false">R27+R28</f>
        <v>-10874.918808</v>
      </c>
      <c r="S29" s="67" t="n">
        <f aca="false">S27+S28</f>
        <v>-10874.918808</v>
      </c>
      <c r="T29" s="67" t="n">
        <f aca="false">T27+T28</f>
        <v>-10874.918808</v>
      </c>
      <c r="U29" s="67" t="n">
        <f aca="false">U27+U28</f>
        <v>-10874.918808</v>
      </c>
      <c r="V29" s="67" t="n">
        <f aca="false">V27+V28</f>
        <v>-10874.918808</v>
      </c>
      <c r="W29" s="67" t="n">
        <f aca="false">W27+W28</f>
        <v>-10874.918808</v>
      </c>
      <c r="X29" s="67" t="n">
        <f aca="false">X27+X28</f>
        <v>-10874.918808</v>
      </c>
      <c r="Y29" s="67" t="n">
        <f aca="false">Y27+Y28</f>
        <v>-10874.918808</v>
      </c>
      <c r="Z29" s="67" t="n">
        <f aca="false">Z27+Z28</f>
        <v>-8034.931944</v>
      </c>
      <c r="AA29" s="67" t="n">
        <f aca="false">AA27+AA28</f>
        <v>-8558.1455062896</v>
      </c>
      <c r="AB29" s="67" t="n">
        <f aca="false">AB27+AB28</f>
        <v>-8558.1455062896</v>
      </c>
      <c r="AC29" s="67" t="n">
        <f aca="false">AC27+AC28</f>
        <v>-11571.0875703072</v>
      </c>
      <c r="AD29" s="67" t="n">
        <f aca="false">AD27+AD28</f>
        <v>-11571.0875703072</v>
      </c>
      <c r="AE29" s="67" t="n">
        <f aca="false">AE27+AE28</f>
        <v>-11571.0875703072</v>
      </c>
      <c r="AF29" s="67" t="n">
        <f aca="false">AF27+AF28</f>
        <v>-11571.0875703072</v>
      </c>
      <c r="AG29" s="67" t="n">
        <f aca="false">AG27+AG28</f>
        <v>-11571.0875703072</v>
      </c>
      <c r="AH29" s="67" t="n">
        <f aca="false">AH27+AH28</f>
        <v>-11571.0875703072</v>
      </c>
      <c r="AI29" s="67" t="n">
        <f aca="false">AI27+AI28</f>
        <v>-11571.0875703072</v>
      </c>
      <c r="AJ29" s="67" t="n">
        <f aca="false">AJ27+AJ28</f>
        <v>-11571.0875703072</v>
      </c>
      <c r="AK29" s="67" t="n">
        <f aca="false">AK27+AK28</f>
        <v>-11571.0875703072</v>
      </c>
      <c r="AL29" s="67" t="n">
        <f aca="false">AL27+AL28</f>
        <v>-8558.1455062896</v>
      </c>
    </row>
    <row r="30" customFormat="false" ht="15" hidden="false" customHeight="false" outlineLevel="0" collapsed="false">
      <c r="A30" s="6" t="s">
        <v>400</v>
      </c>
      <c r="C30" s="67" t="n">
        <f aca="false">-C24*Inputs!$E$31</f>
        <v>-302.064</v>
      </c>
      <c r="D30" s="67" t="n">
        <f aca="false">-D24*Inputs!$E$31</f>
        <v>-352.408</v>
      </c>
      <c r="E30" s="67" t="n">
        <f aca="false">-E24*Inputs!$E$31</f>
        <v>-545.664</v>
      </c>
      <c r="F30" s="67" t="n">
        <f aca="false">-F24*Inputs!$E$31</f>
        <v>-613.872</v>
      </c>
      <c r="G30" s="67" t="n">
        <f aca="false">-G24*Inputs!$E$31</f>
        <v>-682.08</v>
      </c>
      <c r="H30" s="67" t="n">
        <f aca="false">-H24*Inputs!$E$31</f>
        <v>-750.288</v>
      </c>
      <c r="I30" s="67" t="n">
        <f aca="false">-I24*Inputs!$E$31</f>
        <v>-818.496</v>
      </c>
      <c r="J30" s="67" t="n">
        <f aca="false">-J24*Inputs!$E$31</f>
        <v>-818.496</v>
      </c>
      <c r="K30" s="67" t="n">
        <f aca="false">-K24*Inputs!$E$31</f>
        <v>-818.496</v>
      </c>
      <c r="L30" s="67" t="n">
        <f aca="false">-L24*Inputs!$E$31</f>
        <v>-818.496</v>
      </c>
      <c r="M30" s="67" t="n">
        <f aca="false">-M24*Inputs!$E$31</f>
        <v>-818.496</v>
      </c>
      <c r="N30" s="67" t="n">
        <f aca="false">-N24*Inputs!$E$31</f>
        <v>-604.128</v>
      </c>
      <c r="O30" s="67" t="n">
        <f aca="false">-O24*Inputs!$E$31</f>
        <v>-643.4284752</v>
      </c>
      <c r="P30" s="67" t="n">
        <f aca="false">-P24*Inputs!$E$31</f>
        <v>-643.4284752</v>
      </c>
      <c r="Q30" s="67" t="n">
        <f aca="false">-Q24*Inputs!$E$31</f>
        <v>-870.8514864</v>
      </c>
      <c r="R30" s="67" t="n">
        <f aca="false">-R24*Inputs!$E$31</f>
        <v>-870.8514864</v>
      </c>
      <c r="S30" s="67" t="n">
        <f aca="false">-S24*Inputs!$E$31</f>
        <v>-870.8514864</v>
      </c>
      <c r="T30" s="67" t="n">
        <f aca="false">-T24*Inputs!$E$31</f>
        <v>-870.8514864</v>
      </c>
      <c r="U30" s="67" t="n">
        <f aca="false">-U24*Inputs!$E$31</f>
        <v>-870.8514864</v>
      </c>
      <c r="V30" s="67" t="n">
        <f aca="false">-V24*Inputs!$E$31</f>
        <v>-870.8514864</v>
      </c>
      <c r="W30" s="67" t="n">
        <f aca="false">-W24*Inputs!$E$31</f>
        <v>-870.8514864</v>
      </c>
      <c r="X30" s="67" t="n">
        <f aca="false">-X24*Inputs!$E$31</f>
        <v>-870.8514864</v>
      </c>
      <c r="Y30" s="67" t="n">
        <f aca="false">-Y24*Inputs!$E$31</f>
        <v>-870.8514864</v>
      </c>
      <c r="Z30" s="67" t="n">
        <f aca="false">-Z24*Inputs!$E$31</f>
        <v>-643.4284752</v>
      </c>
      <c r="AA30" s="67" t="n">
        <f aca="false">-AA24*Inputs!$E$31</f>
        <v>-685.32683935968</v>
      </c>
      <c r="AB30" s="67" t="n">
        <f aca="false">-AB24*Inputs!$E$31</f>
        <v>-685.32683935968</v>
      </c>
      <c r="AC30" s="67" t="n">
        <f aca="false">-AC24*Inputs!$E$31</f>
        <v>-926.59991194176</v>
      </c>
      <c r="AD30" s="67" t="n">
        <f aca="false">-AD24*Inputs!$E$31</f>
        <v>-926.59991194176</v>
      </c>
      <c r="AE30" s="67" t="n">
        <f aca="false">-AE24*Inputs!$E$31</f>
        <v>-926.59991194176</v>
      </c>
      <c r="AF30" s="67" t="n">
        <f aca="false">-AF24*Inputs!$E$31</f>
        <v>-926.59991194176</v>
      </c>
      <c r="AG30" s="67" t="n">
        <f aca="false">-AG24*Inputs!$E$31</f>
        <v>-926.59991194176</v>
      </c>
      <c r="AH30" s="67" t="n">
        <f aca="false">-AH24*Inputs!$E$31</f>
        <v>-926.59991194176</v>
      </c>
      <c r="AI30" s="67" t="n">
        <f aca="false">-AI24*Inputs!$E$31</f>
        <v>-926.59991194176</v>
      </c>
      <c r="AJ30" s="67" t="n">
        <f aca="false">-AJ24*Inputs!$E$31</f>
        <v>-926.59991194176</v>
      </c>
      <c r="AK30" s="67" t="n">
        <f aca="false">-AK24*Inputs!$E$31</f>
        <v>-926.59991194176</v>
      </c>
      <c r="AL30" s="67" t="n">
        <f aca="false">-AL24*Inputs!$E$31</f>
        <v>-685.32683935968</v>
      </c>
    </row>
    <row r="31" customFormat="false" ht="15" hidden="false" customHeight="false" outlineLevel="0" collapsed="false">
      <c r="A31" s="6" t="s">
        <v>401</v>
      </c>
      <c r="C31" s="67" t="n">
        <f aca="false">-C23*Inputs!$E$32-C13*Inputs!$E$33*(1+Inputs!$E$34)^(C$5-1)</f>
        <v>-234</v>
      </c>
      <c r="D31" s="67" t="n">
        <f aca="false">-D23*Inputs!$E$32-D13*Inputs!$E$33*(1+Inputs!$E$34)^(D$5-1)</f>
        <v>-273</v>
      </c>
      <c r="E31" s="67" t="n">
        <f aca="false">-E23*Inputs!$E$32-E13*Inputs!$E$33*(1+Inputs!$E$34)^(E$5-1)</f>
        <v>-312</v>
      </c>
      <c r="F31" s="67" t="n">
        <f aca="false">-F23*Inputs!$E$32-F13*Inputs!$E$33*(1+Inputs!$E$34)^(F$5-1)</f>
        <v>-351</v>
      </c>
      <c r="G31" s="67" t="n">
        <f aca="false">-G23*Inputs!$E$32-G13*Inputs!$E$33*(1+Inputs!$E$34)^(G$5-1)</f>
        <v>-390</v>
      </c>
      <c r="H31" s="67" t="n">
        <f aca="false">-H23*Inputs!$E$32-H13*Inputs!$E$33*(1+Inputs!$E$34)^(H$5-1)</f>
        <v>-429</v>
      </c>
      <c r="I31" s="67" t="n">
        <f aca="false">-I23*Inputs!$E$32-I13*Inputs!$E$33*(1+Inputs!$E$34)^(I$5-1)</f>
        <v>-468</v>
      </c>
      <c r="J31" s="67" t="n">
        <f aca="false">-J23*Inputs!$E$32-J13*Inputs!$E$33*(1+Inputs!$E$34)^(J$5-1)</f>
        <v>-468</v>
      </c>
      <c r="K31" s="67" t="n">
        <f aca="false">-K23*Inputs!$E$32-K13*Inputs!$E$33*(1+Inputs!$E$34)^(K$5-1)</f>
        <v>-468</v>
      </c>
      <c r="L31" s="67" t="n">
        <f aca="false">-L23*Inputs!$E$32-L13*Inputs!$E$33*(1+Inputs!$E$34)^(L$5-1)</f>
        <v>-468</v>
      </c>
      <c r="M31" s="67" t="n">
        <f aca="false">-M23*Inputs!$E$32-M13*Inputs!$E$33*(1+Inputs!$E$34)^(M$5-1)</f>
        <v>-468</v>
      </c>
      <c r="N31" s="67" t="n">
        <f aca="false">-N23*Inputs!$E$32-N13*Inputs!$E$33*(1+Inputs!$E$34)^(N$5-1)</f>
        <v>-468</v>
      </c>
      <c r="O31" s="67" t="n">
        <f aca="false">-O23*Inputs!$E$32-O13*Inputs!$E$33*(1+Inputs!$E$34)^(O$5-1)</f>
        <v>-506.142</v>
      </c>
      <c r="P31" s="67" t="n">
        <f aca="false">-P23*Inputs!$E$32-P13*Inputs!$E$33*(1+Inputs!$E$34)^(P$5-1)</f>
        <v>-506.142</v>
      </c>
      <c r="Q31" s="67" t="n">
        <f aca="false">-Q23*Inputs!$E$32-Q13*Inputs!$E$33*(1+Inputs!$E$34)^(Q$5-1)</f>
        <v>-506.142</v>
      </c>
      <c r="R31" s="67" t="n">
        <f aca="false">-R23*Inputs!$E$32-R13*Inputs!$E$33*(1+Inputs!$E$34)^(R$5-1)</f>
        <v>-506.142</v>
      </c>
      <c r="S31" s="67" t="n">
        <f aca="false">-S23*Inputs!$E$32-S13*Inputs!$E$33*(1+Inputs!$E$34)^(S$5-1)</f>
        <v>-506.142</v>
      </c>
      <c r="T31" s="67" t="n">
        <f aca="false">-T23*Inputs!$E$32-T13*Inputs!$E$33*(1+Inputs!$E$34)^(T$5-1)</f>
        <v>-506.142</v>
      </c>
      <c r="U31" s="67" t="n">
        <f aca="false">-U23*Inputs!$E$32-U13*Inputs!$E$33*(1+Inputs!$E$34)^(U$5-1)</f>
        <v>-506.142</v>
      </c>
      <c r="V31" s="67" t="n">
        <f aca="false">-V23*Inputs!$E$32-V13*Inputs!$E$33*(1+Inputs!$E$34)^(V$5-1)</f>
        <v>-506.142</v>
      </c>
      <c r="W31" s="67" t="n">
        <f aca="false">-W23*Inputs!$E$32-W13*Inputs!$E$33*(1+Inputs!$E$34)^(W$5-1)</f>
        <v>-506.142</v>
      </c>
      <c r="X31" s="67" t="n">
        <f aca="false">-X23*Inputs!$E$32-X13*Inputs!$E$33*(1+Inputs!$E$34)^(X$5-1)</f>
        <v>-506.142</v>
      </c>
      <c r="Y31" s="67" t="n">
        <f aca="false">-Y23*Inputs!$E$32-Y13*Inputs!$E$33*(1+Inputs!$E$34)^(Y$5-1)</f>
        <v>-506.142</v>
      </c>
      <c r="Z31" s="67" t="n">
        <f aca="false">-Z23*Inputs!$E$32-Z13*Inputs!$E$33*(1+Inputs!$E$34)^(Z$5-1)</f>
        <v>-506.142</v>
      </c>
      <c r="AA31" s="67" t="n">
        <f aca="false">-AA23*Inputs!$E$32-AA13*Inputs!$E$33*(1+Inputs!$E$34)^(AA$5-1)</f>
        <v>-547.392573</v>
      </c>
      <c r="AB31" s="67" t="n">
        <f aca="false">-AB23*Inputs!$E$32-AB13*Inputs!$E$33*(1+Inputs!$E$34)^(AB$5-1)</f>
        <v>-547.392573</v>
      </c>
      <c r="AC31" s="67" t="n">
        <f aca="false">-AC23*Inputs!$E$32-AC13*Inputs!$E$33*(1+Inputs!$E$34)^(AC$5-1)</f>
        <v>-547.392573</v>
      </c>
      <c r="AD31" s="67" t="n">
        <f aca="false">-AD23*Inputs!$E$32-AD13*Inputs!$E$33*(1+Inputs!$E$34)^(AD$5-1)</f>
        <v>-547.392573</v>
      </c>
      <c r="AE31" s="67" t="n">
        <f aca="false">-AE23*Inputs!$E$32-AE13*Inputs!$E$33*(1+Inputs!$E$34)^(AE$5-1)</f>
        <v>-547.392573</v>
      </c>
      <c r="AF31" s="67" t="n">
        <f aca="false">-AF23*Inputs!$E$32-AF13*Inputs!$E$33*(1+Inputs!$E$34)^(AF$5-1)</f>
        <v>-547.392573</v>
      </c>
      <c r="AG31" s="67" t="n">
        <f aca="false">-AG23*Inputs!$E$32-AG13*Inputs!$E$33*(1+Inputs!$E$34)^(AG$5-1)</f>
        <v>-547.392573</v>
      </c>
      <c r="AH31" s="67" t="n">
        <f aca="false">-AH23*Inputs!$E$32-AH13*Inputs!$E$33*(1+Inputs!$E$34)^(AH$5-1)</f>
        <v>-547.392573</v>
      </c>
      <c r="AI31" s="67" t="n">
        <f aca="false">-AI23*Inputs!$E$32-AI13*Inputs!$E$33*(1+Inputs!$E$34)^(AI$5-1)</f>
        <v>-547.392573</v>
      </c>
      <c r="AJ31" s="67" t="n">
        <f aca="false">-AJ23*Inputs!$E$32-AJ13*Inputs!$E$33*(1+Inputs!$E$34)^(AJ$5-1)</f>
        <v>-547.392573</v>
      </c>
      <c r="AK31" s="67" t="n">
        <f aca="false">-AK23*Inputs!$E$32-AK13*Inputs!$E$33*(1+Inputs!$E$34)^(AK$5-1)</f>
        <v>-547.392573</v>
      </c>
      <c r="AL31" s="67" t="n">
        <f aca="false">-AL23*Inputs!$E$32-AL13*Inputs!$E$33*(1+Inputs!$E$34)^(AL$5-1)</f>
        <v>-547.392573</v>
      </c>
    </row>
    <row r="32" customFormat="false" ht="15" hidden="false" customHeight="false" outlineLevel="0" collapsed="false">
      <c r="A32" s="4" t="s">
        <v>76</v>
      </c>
      <c r="C32" s="73" t="n">
        <f aca="false">C29+C30+C31</f>
        <v>-4308.144</v>
      </c>
      <c r="D32" s="73" t="n">
        <f aca="false">D29+D30+D31</f>
        <v>-5026.168</v>
      </c>
      <c r="E32" s="73" t="n">
        <f aca="false">E29+E30+E31</f>
        <v>-7671.744</v>
      </c>
      <c r="F32" s="73" t="n">
        <f aca="false">F29+F30+F31</f>
        <v>-8630.712</v>
      </c>
      <c r="G32" s="73" t="n">
        <f aca="false">G29+G30+G31</f>
        <v>-9589.68</v>
      </c>
      <c r="H32" s="73" t="n">
        <f aca="false">H29+H30+H31</f>
        <v>-10548.648</v>
      </c>
      <c r="I32" s="73" t="n">
        <f aca="false">I29+I30+I31</f>
        <v>-11507.616</v>
      </c>
      <c r="J32" s="73" t="n">
        <f aca="false">J29+J30+J31</f>
        <v>-11507.616</v>
      </c>
      <c r="K32" s="73" t="n">
        <f aca="false">K29+K30+K31</f>
        <v>-11507.616</v>
      </c>
      <c r="L32" s="73" t="n">
        <f aca="false">L29+L30+L31</f>
        <v>-11507.616</v>
      </c>
      <c r="M32" s="73" t="n">
        <f aca="false">M29+M30+M31</f>
        <v>-11507.616</v>
      </c>
      <c r="N32" s="73" t="n">
        <f aca="false">N29+N30+N31</f>
        <v>-8616.288</v>
      </c>
      <c r="O32" s="73" t="n">
        <f aca="false">O29+O30+O31</f>
        <v>-9184.5024192</v>
      </c>
      <c r="P32" s="73" t="n">
        <f aca="false">P29+P30+P31</f>
        <v>-9184.5024192</v>
      </c>
      <c r="Q32" s="73" t="n">
        <f aca="false">Q29+Q30+Q31</f>
        <v>-12251.9122944</v>
      </c>
      <c r="R32" s="73" t="n">
        <f aca="false">R29+R30+R31</f>
        <v>-12251.9122944</v>
      </c>
      <c r="S32" s="73" t="n">
        <f aca="false">S29+S30+S31</f>
        <v>-12251.9122944</v>
      </c>
      <c r="T32" s="73" t="n">
        <f aca="false">T29+T30+T31</f>
        <v>-12251.9122944</v>
      </c>
      <c r="U32" s="73" t="n">
        <f aca="false">U29+U30+U31</f>
        <v>-12251.9122944</v>
      </c>
      <c r="V32" s="73" t="n">
        <f aca="false">V29+V30+V31</f>
        <v>-12251.9122944</v>
      </c>
      <c r="W32" s="73" t="n">
        <f aca="false">W29+W30+W31</f>
        <v>-12251.9122944</v>
      </c>
      <c r="X32" s="73" t="n">
        <f aca="false">X29+X30+X31</f>
        <v>-12251.9122944</v>
      </c>
      <c r="Y32" s="73" t="n">
        <f aca="false">Y29+Y30+Y31</f>
        <v>-12251.9122944</v>
      </c>
      <c r="Z32" s="73" t="n">
        <f aca="false">Z29+Z30+Z31</f>
        <v>-9184.5024192</v>
      </c>
      <c r="AA32" s="73" t="n">
        <f aca="false">AA29+AA30+AA31</f>
        <v>-9790.86491864928</v>
      </c>
      <c r="AB32" s="73" t="n">
        <f aca="false">AB29+AB30+AB31</f>
        <v>-9790.86491864928</v>
      </c>
      <c r="AC32" s="73" t="n">
        <f aca="false">AC29+AC30+AC31</f>
        <v>-13045.080055249</v>
      </c>
      <c r="AD32" s="73" t="n">
        <f aca="false">AD29+AD30+AD31</f>
        <v>-13045.080055249</v>
      </c>
      <c r="AE32" s="73" t="n">
        <f aca="false">AE29+AE30+AE31</f>
        <v>-13045.080055249</v>
      </c>
      <c r="AF32" s="73" t="n">
        <f aca="false">AF29+AF30+AF31</f>
        <v>-13045.080055249</v>
      </c>
      <c r="AG32" s="73" t="n">
        <f aca="false">AG29+AG30+AG31</f>
        <v>-13045.080055249</v>
      </c>
      <c r="AH32" s="73" t="n">
        <f aca="false">AH29+AH30+AH31</f>
        <v>-13045.080055249</v>
      </c>
      <c r="AI32" s="73" t="n">
        <f aca="false">AI29+AI30+AI31</f>
        <v>-13045.080055249</v>
      </c>
      <c r="AJ32" s="73" t="n">
        <f aca="false">AJ29+AJ30+AJ31</f>
        <v>-13045.080055249</v>
      </c>
      <c r="AK32" s="73" t="n">
        <f aca="false">AK29+AK30+AK31</f>
        <v>-13045.080055249</v>
      </c>
      <c r="AL32" s="73" t="n">
        <f aca="false">AL29+AL30+AL31</f>
        <v>-9790.86491864928</v>
      </c>
    </row>
    <row r="33" customFormat="false" ht="15" hidden="false" customHeight="false" outlineLevel="0" collapsed="false">
      <c r="A33" s="113" t="s">
        <v>45</v>
      </c>
      <c r="C33" s="68" t="n">
        <f aca="false">C24+C32</f>
        <v>6107.856</v>
      </c>
      <c r="D33" s="68" t="n">
        <f aca="false">D24+D32</f>
        <v>7125.832</v>
      </c>
      <c r="E33" s="68" t="n">
        <f aca="false">E24+E32</f>
        <v>11144.256</v>
      </c>
      <c r="F33" s="68" t="n">
        <f aca="false">F24+F32</f>
        <v>12537.288</v>
      </c>
      <c r="G33" s="68" t="n">
        <f aca="false">G24+G32</f>
        <v>13930.32</v>
      </c>
      <c r="H33" s="68" t="n">
        <f aca="false">H24+H32</f>
        <v>15323.352</v>
      </c>
      <c r="I33" s="68" t="n">
        <f aca="false">I24+I32</f>
        <v>16716.384</v>
      </c>
      <c r="J33" s="68" t="n">
        <f aca="false">J24+J32</f>
        <v>16716.384</v>
      </c>
      <c r="K33" s="68" t="n">
        <f aca="false">K24+K32</f>
        <v>16716.384</v>
      </c>
      <c r="L33" s="68" t="n">
        <f aca="false">L24+L32</f>
        <v>16716.384</v>
      </c>
      <c r="M33" s="68" t="n">
        <f aca="false">M24+M32</f>
        <v>16716.384</v>
      </c>
      <c r="N33" s="68" t="n">
        <f aca="false">N24+N32</f>
        <v>12215.712</v>
      </c>
      <c r="O33" s="68" t="n">
        <f aca="false">O24+O32</f>
        <v>13002.6863808</v>
      </c>
      <c r="P33" s="68" t="n">
        <f aca="false">P24+P32</f>
        <v>13002.6863808</v>
      </c>
      <c r="Q33" s="68" t="n">
        <f aca="false">Q24+Q32</f>
        <v>17777.4493056</v>
      </c>
      <c r="R33" s="68" t="n">
        <f aca="false">R24+R32</f>
        <v>17777.4493056</v>
      </c>
      <c r="S33" s="68" t="n">
        <f aca="false">S24+S32</f>
        <v>17777.4493056</v>
      </c>
      <c r="T33" s="68" t="n">
        <f aca="false">T24+T32</f>
        <v>17777.4493056</v>
      </c>
      <c r="U33" s="68" t="n">
        <f aca="false">U24+U32</f>
        <v>17777.4493056</v>
      </c>
      <c r="V33" s="68" t="n">
        <f aca="false">V24+V32</f>
        <v>17777.4493056</v>
      </c>
      <c r="W33" s="68" t="n">
        <f aca="false">W24+W32</f>
        <v>17777.4493056</v>
      </c>
      <c r="X33" s="68" t="n">
        <f aca="false">X24+X32</f>
        <v>17777.4493056</v>
      </c>
      <c r="Y33" s="68" t="n">
        <f aca="false">Y24+Y32</f>
        <v>17777.4493056</v>
      </c>
      <c r="Z33" s="68" t="n">
        <f aca="false">Z24+Z32</f>
        <v>13002.6863808</v>
      </c>
      <c r="AA33" s="68" t="n">
        <f aca="false">AA24+AA32</f>
        <v>13841.0950592707</v>
      </c>
      <c r="AB33" s="68" t="n">
        <f aca="false">AB24+AB32</f>
        <v>13841.0950592707</v>
      </c>
      <c r="AC33" s="68" t="n">
        <f aca="false">AC24+AC32</f>
        <v>18906.641046191</v>
      </c>
      <c r="AD33" s="68" t="n">
        <f aca="false">AD24+AD32</f>
        <v>18906.641046191</v>
      </c>
      <c r="AE33" s="68" t="n">
        <f aca="false">AE24+AE32</f>
        <v>18906.641046191</v>
      </c>
      <c r="AF33" s="68" t="n">
        <f aca="false">AF24+AF32</f>
        <v>18906.641046191</v>
      </c>
      <c r="AG33" s="68" t="n">
        <f aca="false">AG24+AG32</f>
        <v>18906.641046191</v>
      </c>
      <c r="AH33" s="68" t="n">
        <f aca="false">AH24+AH32</f>
        <v>18906.641046191</v>
      </c>
      <c r="AI33" s="68" t="n">
        <f aca="false">AI24+AI32</f>
        <v>18906.641046191</v>
      </c>
      <c r="AJ33" s="68" t="n">
        <f aca="false">AJ24+AJ32</f>
        <v>18906.641046191</v>
      </c>
      <c r="AK33" s="68" t="n">
        <f aca="false">AK24+AK32</f>
        <v>18906.641046191</v>
      </c>
      <c r="AL33" s="68" t="n">
        <f aca="false">AL24+AL32</f>
        <v>13841.0950592707</v>
      </c>
    </row>
    <row r="35" customFormat="false" ht="15.75" hidden="false" customHeight="true" outlineLevel="0" collapsed="false">
      <c r="A35" s="7" t="s">
        <v>47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</row>
    <row r="36" customFormat="false" ht="15" hidden="false" customHeight="false" outlineLevel="0" collapsed="false">
      <c r="A36" s="6" t="s">
        <v>330</v>
      </c>
      <c r="C36" s="69" t="n">
        <f aca="false">Headcount!C17</f>
        <v>-9874.66666666667</v>
      </c>
      <c r="D36" s="69" t="n">
        <f aca="false">Headcount!D17</f>
        <v>-9874.66666666667</v>
      </c>
      <c r="E36" s="69" t="n">
        <f aca="false">Headcount!E17</f>
        <v>-9874.66666666667</v>
      </c>
      <c r="F36" s="69" t="n">
        <f aca="false">Headcount!F17</f>
        <v>-9874.66666666667</v>
      </c>
      <c r="G36" s="69" t="n">
        <f aca="false">Headcount!G17</f>
        <v>-9874.66666666667</v>
      </c>
      <c r="H36" s="69" t="n">
        <f aca="false">Headcount!H17</f>
        <v>-9874.66666666667</v>
      </c>
      <c r="I36" s="69" t="n">
        <f aca="false">Headcount!I17</f>
        <v>-9874.66666666667</v>
      </c>
      <c r="J36" s="69" t="n">
        <f aca="false">Headcount!J17</f>
        <v>-9874.66666666667</v>
      </c>
      <c r="K36" s="69" t="n">
        <f aca="false">Headcount!K17</f>
        <v>-9874.66666666667</v>
      </c>
      <c r="L36" s="69" t="n">
        <f aca="false">Headcount!L17</f>
        <v>-9874.66666666667</v>
      </c>
      <c r="M36" s="69" t="n">
        <f aca="false">Headcount!M17</f>
        <v>-9874.66666666667</v>
      </c>
      <c r="N36" s="69" t="n">
        <f aca="false">Headcount!N17</f>
        <v>-9874.66666666667</v>
      </c>
      <c r="O36" s="69" t="n">
        <f aca="false">Headcount!O17</f>
        <v>-10170.9066666667</v>
      </c>
      <c r="P36" s="69" t="n">
        <f aca="false">Headcount!P17</f>
        <v>-10170.9066666667</v>
      </c>
      <c r="Q36" s="69" t="n">
        <f aca="false">Headcount!Q17</f>
        <v>-10170.9066666667</v>
      </c>
      <c r="R36" s="69" t="n">
        <f aca="false">Headcount!R17</f>
        <v>-10170.9066666667</v>
      </c>
      <c r="S36" s="69" t="n">
        <f aca="false">Headcount!S17</f>
        <v>-10170.9066666667</v>
      </c>
      <c r="T36" s="69" t="n">
        <f aca="false">Headcount!T17</f>
        <v>-10170.9066666667</v>
      </c>
      <c r="U36" s="69" t="n">
        <f aca="false">Headcount!U17</f>
        <v>-10170.9066666667</v>
      </c>
      <c r="V36" s="69" t="n">
        <f aca="false">Headcount!V17</f>
        <v>-10170.9066666667</v>
      </c>
      <c r="W36" s="69" t="n">
        <f aca="false">Headcount!W17</f>
        <v>-10170.9066666667</v>
      </c>
      <c r="X36" s="69" t="n">
        <f aca="false">Headcount!X17</f>
        <v>-10170.9066666667</v>
      </c>
      <c r="Y36" s="69" t="n">
        <f aca="false">Headcount!Y17</f>
        <v>-10170.9066666667</v>
      </c>
      <c r="Z36" s="69" t="n">
        <f aca="false">Headcount!Z17</f>
        <v>-10170.9066666667</v>
      </c>
      <c r="AA36" s="69" t="n">
        <f aca="false">Headcount!AA17</f>
        <v>-10476.0338666667</v>
      </c>
      <c r="AB36" s="69" t="n">
        <f aca="false">Headcount!AB17</f>
        <v>-10476.0338666667</v>
      </c>
      <c r="AC36" s="69" t="n">
        <f aca="false">Headcount!AC17</f>
        <v>-10476.0338666667</v>
      </c>
      <c r="AD36" s="69" t="n">
        <f aca="false">Headcount!AD17</f>
        <v>-10476.0338666667</v>
      </c>
      <c r="AE36" s="69" t="n">
        <f aca="false">Headcount!AE17</f>
        <v>-10476.0338666667</v>
      </c>
      <c r="AF36" s="69" t="n">
        <f aca="false">Headcount!AF17</f>
        <v>-10476.0338666667</v>
      </c>
      <c r="AG36" s="69" t="n">
        <f aca="false">Headcount!AG17</f>
        <v>-10476.0338666667</v>
      </c>
      <c r="AH36" s="69" t="n">
        <f aca="false">Headcount!AH17</f>
        <v>-10476.0338666667</v>
      </c>
      <c r="AI36" s="69" t="n">
        <f aca="false">Headcount!AI17</f>
        <v>-10476.0338666667</v>
      </c>
      <c r="AJ36" s="69" t="n">
        <f aca="false">Headcount!AJ17</f>
        <v>-10476.0338666667</v>
      </c>
      <c r="AK36" s="69" t="n">
        <f aca="false">Headcount!AK17</f>
        <v>-10476.0338666667</v>
      </c>
      <c r="AL36" s="69" t="n">
        <f aca="false">Headcount!AL17</f>
        <v>-10476.0338666667</v>
      </c>
    </row>
    <row r="37" customFormat="false" ht="15" hidden="false" customHeight="false" outlineLevel="0" collapsed="false">
      <c r="A37" s="6" t="s">
        <v>331</v>
      </c>
      <c r="C37" s="67" t="n">
        <f aca="false">-Inputs!$E$37*C8*(1+Inputs!$E$34)^(C$5-1)*1</f>
        <v>-950</v>
      </c>
      <c r="D37" s="67" t="n">
        <f aca="false">-Inputs!$E$37*D8*(1+Inputs!$E$34)^(D$5-1)*1</f>
        <v>-950</v>
      </c>
      <c r="E37" s="67" t="n">
        <f aca="false">-Inputs!$E$37*E8*(1+Inputs!$E$34)^(E$5-1)*1</f>
        <v>-950</v>
      </c>
      <c r="F37" s="67" t="n">
        <f aca="false">-Inputs!$E$37*F8*(1+Inputs!$E$34)^(F$5-1)*1</f>
        <v>-950</v>
      </c>
      <c r="G37" s="67" t="n">
        <f aca="false">-Inputs!$E$37*G8*(1+Inputs!$E$34)^(G$5-1)*1</f>
        <v>-950</v>
      </c>
      <c r="H37" s="67" t="n">
        <f aca="false">-Inputs!$E$37*H8*(1+Inputs!$E$34)^(H$5-1)*1</f>
        <v>-950</v>
      </c>
      <c r="I37" s="67" t="n">
        <f aca="false">-Inputs!$E$37*I8*(1+Inputs!$E$34)^(I$5-1)*1</f>
        <v>-950</v>
      </c>
      <c r="J37" s="67" t="n">
        <f aca="false">-Inputs!$E$37*J8*(1+Inputs!$E$34)^(J$5-1)*1</f>
        <v>-950</v>
      </c>
      <c r="K37" s="67" t="n">
        <f aca="false">-Inputs!$E$37*K8*(1+Inputs!$E$34)^(K$5-1)*1</f>
        <v>-950</v>
      </c>
      <c r="L37" s="67" t="n">
        <f aca="false">-Inputs!$E$37*L8*(1+Inputs!$E$34)^(L$5-1)*1</f>
        <v>-950</v>
      </c>
      <c r="M37" s="67" t="n">
        <f aca="false">-Inputs!$E$37*M8*(1+Inputs!$E$34)^(M$5-1)*1</f>
        <v>-950</v>
      </c>
      <c r="N37" s="67" t="n">
        <f aca="false">-Inputs!$E$37*N8*(1+Inputs!$E$34)^(N$5-1)*1</f>
        <v>-950</v>
      </c>
      <c r="O37" s="67" t="n">
        <f aca="false">-Inputs!$E$37*O8*(1+Inputs!$E$34)^(O$5-1)*1</f>
        <v>-978.5</v>
      </c>
      <c r="P37" s="67" t="n">
        <f aca="false">-Inputs!$E$37*P8*(1+Inputs!$E$34)^(P$5-1)*1</f>
        <v>-978.5</v>
      </c>
      <c r="Q37" s="67" t="n">
        <f aca="false">-Inputs!$E$37*Q8*(1+Inputs!$E$34)^(Q$5-1)*1</f>
        <v>-978.5</v>
      </c>
      <c r="R37" s="67" t="n">
        <f aca="false">-Inputs!$E$37*R8*(1+Inputs!$E$34)^(R$5-1)*1</f>
        <v>-978.5</v>
      </c>
      <c r="S37" s="67" t="n">
        <f aca="false">-Inputs!$E$37*S8*(1+Inputs!$E$34)^(S$5-1)*1</f>
        <v>-978.5</v>
      </c>
      <c r="T37" s="67" t="n">
        <f aca="false">-Inputs!$E$37*T8*(1+Inputs!$E$34)^(T$5-1)*1</f>
        <v>-978.5</v>
      </c>
      <c r="U37" s="67" t="n">
        <f aca="false">-Inputs!$E$37*U8*(1+Inputs!$E$34)^(U$5-1)*1</f>
        <v>-978.5</v>
      </c>
      <c r="V37" s="67" t="n">
        <f aca="false">-Inputs!$E$37*V8*(1+Inputs!$E$34)^(V$5-1)*1</f>
        <v>-978.5</v>
      </c>
      <c r="W37" s="67" t="n">
        <f aca="false">-Inputs!$E$37*W8*(1+Inputs!$E$34)^(W$5-1)*1</f>
        <v>-978.5</v>
      </c>
      <c r="X37" s="67" t="n">
        <f aca="false">-Inputs!$E$37*X8*(1+Inputs!$E$34)^(X$5-1)*1</f>
        <v>-978.5</v>
      </c>
      <c r="Y37" s="67" t="n">
        <f aca="false">-Inputs!$E$37*Y8*(1+Inputs!$E$34)^(Y$5-1)*1</f>
        <v>-978.5</v>
      </c>
      <c r="Z37" s="67" t="n">
        <f aca="false">-Inputs!$E$37*Z8*(1+Inputs!$E$34)^(Z$5-1)*1</f>
        <v>-978.5</v>
      </c>
      <c r="AA37" s="67" t="n">
        <f aca="false">-Inputs!$E$37*AA8*(1+Inputs!$E$34)^(AA$5-1)*1</f>
        <v>-1007.855</v>
      </c>
      <c r="AB37" s="67" t="n">
        <f aca="false">-Inputs!$E$37*AB8*(1+Inputs!$E$34)^(AB$5-1)*1</f>
        <v>-1007.855</v>
      </c>
      <c r="AC37" s="67" t="n">
        <f aca="false">-Inputs!$E$37*AC8*(1+Inputs!$E$34)^(AC$5-1)*1</f>
        <v>-1007.855</v>
      </c>
      <c r="AD37" s="67" t="n">
        <f aca="false">-Inputs!$E$37*AD8*(1+Inputs!$E$34)^(AD$5-1)*1</f>
        <v>-1007.855</v>
      </c>
      <c r="AE37" s="67" t="n">
        <f aca="false">-Inputs!$E$37*AE8*(1+Inputs!$E$34)^(AE$5-1)*1</f>
        <v>-1007.855</v>
      </c>
      <c r="AF37" s="67" t="n">
        <f aca="false">-Inputs!$E$37*AF8*(1+Inputs!$E$34)^(AF$5-1)*1</f>
        <v>-1007.855</v>
      </c>
      <c r="AG37" s="67" t="n">
        <f aca="false">-Inputs!$E$37*AG8*(1+Inputs!$E$34)^(AG$5-1)*1</f>
        <v>-1007.855</v>
      </c>
      <c r="AH37" s="67" t="n">
        <f aca="false">-Inputs!$E$37*AH8*(1+Inputs!$E$34)^(AH$5-1)*1</f>
        <v>-1007.855</v>
      </c>
      <c r="AI37" s="67" t="n">
        <f aca="false">-Inputs!$E$37*AI8*(1+Inputs!$E$34)^(AI$5-1)*1</f>
        <v>-1007.855</v>
      </c>
      <c r="AJ37" s="67" t="n">
        <f aca="false">-Inputs!$E$37*AJ8*(1+Inputs!$E$34)^(AJ$5-1)*1</f>
        <v>-1007.855</v>
      </c>
      <c r="AK37" s="67" t="n">
        <f aca="false">-Inputs!$E$37*AK8*(1+Inputs!$E$34)^(AK$5-1)*1</f>
        <v>-1007.855</v>
      </c>
      <c r="AL37" s="67" t="n">
        <f aca="false">-Inputs!$E$37*AL8*(1+Inputs!$E$34)^(AL$5-1)*1</f>
        <v>-1007.855</v>
      </c>
    </row>
    <row r="38" customFormat="false" ht="15" hidden="false" customHeight="false" outlineLevel="0" collapsed="false">
      <c r="A38" s="6" t="s">
        <v>332</v>
      </c>
      <c r="C38" s="67" t="n">
        <f aca="false">-Inputs!$E$38*C8*(1+Inputs!$E$34)^(C$5-1)*1</f>
        <v>-380</v>
      </c>
      <c r="D38" s="67" t="n">
        <f aca="false">-Inputs!$E$38*D8*(1+Inputs!$E$34)^(D$5-1)*1</f>
        <v>-380</v>
      </c>
      <c r="E38" s="67" t="n">
        <f aca="false">-Inputs!$E$38*E8*(1+Inputs!$E$34)^(E$5-1)*1</f>
        <v>-380</v>
      </c>
      <c r="F38" s="67" t="n">
        <f aca="false">-Inputs!$E$38*F8*(1+Inputs!$E$34)^(F$5-1)*1</f>
        <v>-380</v>
      </c>
      <c r="G38" s="67" t="n">
        <f aca="false">-Inputs!$E$38*G8*(1+Inputs!$E$34)^(G$5-1)*1</f>
        <v>-380</v>
      </c>
      <c r="H38" s="67" t="n">
        <f aca="false">-Inputs!$E$38*H8*(1+Inputs!$E$34)^(H$5-1)*1</f>
        <v>-380</v>
      </c>
      <c r="I38" s="67" t="n">
        <f aca="false">-Inputs!$E$38*I8*(1+Inputs!$E$34)^(I$5-1)*1</f>
        <v>-380</v>
      </c>
      <c r="J38" s="67" t="n">
        <f aca="false">-Inputs!$E$38*J8*(1+Inputs!$E$34)^(J$5-1)*1</f>
        <v>-380</v>
      </c>
      <c r="K38" s="67" t="n">
        <f aca="false">-Inputs!$E$38*K8*(1+Inputs!$E$34)^(K$5-1)*1</f>
        <v>-380</v>
      </c>
      <c r="L38" s="67" t="n">
        <f aca="false">-Inputs!$E$38*L8*(1+Inputs!$E$34)^(L$5-1)*1</f>
        <v>-380</v>
      </c>
      <c r="M38" s="67" t="n">
        <f aca="false">-Inputs!$E$38*M8*(1+Inputs!$E$34)^(M$5-1)*1</f>
        <v>-380</v>
      </c>
      <c r="N38" s="67" t="n">
        <f aca="false">-Inputs!$E$38*N8*(1+Inputs!$E$34)^(N$5-1)*1</f>
        <v>-380</v>
      </c>
      <c r="O38" s="67" t="n">
        <f aca="false">-Inputs!$E$38*O8*(1+Inputs!$E$34)^(O$5-1)*1</f>
        <v>-391.4</v>
      </c>
      <c r="P38" s="67" t="n">
        <f aca="false">-Inputs!$E$38*P8*(1+Inputs!$E$34)^(P$5-1)*1</f>
        <v>-391.4</v>
      </c>
      <c r="Q38" s="67" t="n">
        <f aca="false">-Inputs!$E$38*Q8*(1+Inputs!$E$34)^(Q$5-1)*1</f>
        <v>-391.4</v>
      </c>
      <c r="R38" s="67" t="n">
        <f aca="false">-Inputs!$E$38*R8*(1+Inputs!$E$34)^(R$5-1)*1</f>
        <v>-391.4</v>
      </c>
      <c r="S38" s="67" t="n">
        <f aca="false">-Inputs!$E$38*S8*(1+Inputs!$E$34)^(S$5-1)*1</f>
        <v>-391.4</v>
      </c>
      <c r="T38" s="67" t="n">
        <f aca="false">-Inputs!$E$38*T8*(1+Inputs!$E$34)^(T$5-1)*1</f>
        <v>-391.4</v>
      </c>
      <c r="U38" s="67" t="n">
        <f aca="false">-Inputs!$E$38*U8*(1+Inputs!$E$34)^(U$5-1)*1</f>
        <v>-391.4</v>
      </c>
      <c r="V38" s="67" t="n">
        <f aca="false">-Inputs!$E$38*V8*(1+Inputs!$E$34)^(V$5-1)*1</f>
        <v>-391.4</v>
      </c>
      <c r="W38" s="67" t="n">
        <f aca="false">-Inputs!$E$38*W8*(1+Inputs!$E$34)^(W$5-1)*1</f>
        <v>-391.4</v>
      </c>
      <c r="X38" s="67" t="n">
        <f aca="false">-Inputs!$E$38*X8*(1+Inputs!$E$34)^(X$5-1)*1</f>
        <v>-391.4</v>
      </c>
      <c r="Y38" s="67" t="n">
        <f aca="false">-Inputs!$E$38*Y8*(1+Inputs!$E$34)^(Y$5-1)*1</f>
        <v>-391.4</v>
      </c>
      <c r="Z38" s="67" t="n">
        <f aca="false">-Inputs!$E$38*Z8*(1+Inputs!$E$34)^(Z$5-1)*1</f>
        <v>-391.4</v>
      </c>
      <c r="AA38" s="67" t="n">
        <f aca="false">-Inputs!$E$38*AA8*(1+Inputs!$E$34)^(AA$5-1)*1</f>
        <v>-403.142</v>
      </c>
      <c r="AB38" s="67" t="n">
        <f aca="false">-Inputs!$E$38*AB8*(1+Inputs!$E$34)^(AB$5-1)*1</f>
        <v>-403.142</v>
      </c>
      <c r="AC38" s="67" t="n">
        <f aca="false">-Inputs!$E$38*AC8*(1+Inputs!$E$34)^(AC$5-1)*1</f>
        <v>-403.142</v>
      </c>
      <c r="AD38" s="67" t="n">
        <f aca="false">-Inputs!$E$38*AD8*(1+Inputs!$E$34)^(AD$5-1)*1</f>
        <v>-403.142</v>
      </c>
      <c r="AE38" s="67" t="n">
        <f aca="false">-Inputs!$E$38*AE8*(1+Inputs!$E$34)^(AE$5-1)*1</f>
        <v>-403.142</v>
      </c>
      <c r="AF38" s="67" t="n">
        <f aca="false">-Inputs!$E$38*AF8*(1+Inputs!$E$34)^(AF$5-1)*1</f>
        <v>-403.142</v>
      </c>
      <c r="AG38" s="67" t="n">
        <f aca="false">-Inputs!$E$38*AG8*(1+Inputs!$E$34)^(AG$5-1)*1</f>
        <v>-403.142</v>
      </c>
      <c r="AH38" s="67" t="n">
        <f aca="false">-Inputs!$E$38*AH8*(1+Inputs!$E$34)^(AH$5-1)*1</f>
        <v>-403.142</v>
      </c>
      <c r="AI38" s="67" t="n">
        <f aca="false">-Inputs!$E$38*AI8*(1+Inputs!$E$34)^(AI$5-1)*1</f>
        <v>-403.142</v>
      </c>
      <c r="AJ38" s="67" t="n">
        <f aca="false">-Inputs!$E$38*AJ8*(1+Inputs!$E$34)^(AJ$5-1)*1</f>
        <v>-403.142</v>
      </c>
      <c r="AK38" s="67" t="n">
        <f aca="false">-Inputs!$E$38*AK8*(1+Inputs!$E$34)^(AK$5-1)*1</f>
        <v>-403.142</v>
      </c>
      <c r="AL38" s="67" t="n">
        <f aca="false">-Inputs!$E$38*AL8*(1+Inputs!$E$34)^(AL$5-1)*1</f>
        <v>-403.142</v>
      </c>
    </row>
    <row r="39" customFormat="false" ht="15" hidden="false" customHeight="false" outlineLevel="0" collapsed="false">
      <c r="A39" s="6" t="s">
        <v>333</v>
      </c>
      <c r="C39" s="67" t="n">
        <f aca="false">-Inputs!$E$39*C8*(1+Inputs!$E$34)^(C$5-1)*1</f>
        <v>-450</v>
      </c>
      <c r="D39" s="67" t="n">
        <f aca="false">-Inputs!$E$39*D8*(1+Inputs!$E$34)^(D$5-1)*1</f>
        <v>-450</v>
      </c>
      <c r="E39" s="67" t="n">
        <f aca="false">-Inputs!$E$39*E8*(1+Inputs!$E$34)^(E$5-1)*1</f>
        <v>-450</v>
      </c>
      <c r="F39" s="67" t="n">
        <f aca="false">-Inputs!$E$39*F8*(1+Inputs!$E$34)^(F$5-1)*1</f>
        <v>-450</v>
      </c>
      <c r="G39" s="67" t="n">
        <f aca="false">-Inputs!$E$39*G8*(1+Inputs!$E$34)^(G$5-1)*1</f>
        <v>-450</v>
      </c>
      <c r="H39" s="67" t="n">
        <f aca="false">-Inputs!$E$39*H8*(1+Inputs!$E$34)^(H$5-1)*1</f>
        <v>-450</v>
      </c>
      <c r="I39" s="67" t="n">
        <f aca="false">-Inputs!$E$39*I8*(1+Inputs!$E$34)^(I$5-1)*1</f>
        <v>-450</v>
      </c>
      <c r="J39" s="67" t="n">
        <f aca="false">-Inputs!$E$39*J8*(1+Inputs!$E$34)^(J$5-1)*1</f>
        <v>-450</v>
      </c>
      <c r="K39" s="67" t="n">
        <f aca="false">-Inputs!$E$39*K8*(1+Inputs!$E$34)^(K$5-1)*1</f>
        <v>-450</v>
      </c>
      <c r="L39" s="67" t="n">
        <f aca="false">-Inputs!$E$39*L8*(1+Inputs!$E$34)^(L$5-1)*1</f>
        <v>-450</v>
      </c>
      <c r="M39" s="67" t="n">
        <f aca="false">-Inputs!$E$39*M8*(1+Inputs!$E$34)^(M$5-1)*1</f>
        <v>-450</v>
      </c>
      <c r="N39" s="67" t="n">
        <f aca="false">-Inputs!$E$39*N8*(1+Inputs!$E$34)^(N$5-1)*1</f>
        <v>-450</v>
      </c>
      <c r="O39" s="67" t="n">
        <f aca="false">-Inputs!$E$39*O8*(1+Inputs!$E$34)^(O$5-1)*1</f>
        <v>-463.5</v>
      </c>
      <c r="P39" s="67" t="n">
        <f aca="false">-Inputs!$E$39*P8*(1+Inputs!$E$34)^(P$5-1)*1</f>
        <v>-463.5</v>
      </c>
      <c r="Q39" s="67" t="n">
        <f aca="false">-Inputs!$E$39*Q8*(1+Inputs!$E$34)^(Q$5-1)*1</f>
        <v>-463.5</v>
      </c>
      <c r="R39" s="67" t="n">
        <f aca="false">-Inputs!$E$39*R8*(1+Inputs!$E$34)^(R$5-1)*1</f>
        <v>-463.5</v>
      </c>
      <c r="S39" s="67" t="n">
        <f aca="false">-Inputs!$E$39*S8*(1+Inputs!$E$34)^(S$5-1)*1</f>
        <v>-463.5</v>
      </c>
      <c r="T39" s="67" t="n">
        <f aca="false">-Inputs!$E$39*T8*(1+Inputs!$E$34)^(T$5-1)*1</f>
        <v>-463.5</v>
      </c>
      <c r="U39" s="67" t="n">
        <f aca="false">-Inputs!$E$39*U8*(1+Inputs!$E$34)^(U$5-1)*1</f>
        <v>-463.5</v>
      </c>
      <c r="V39" s="67" t="n">
        <f aca="false">-Inputs!$E$39*V8*(1+Inputs!$E$34)^(V$5-1)*1</f>
        <v>-463.5</v>
      </c>
      <c r="W39" s="67" t="n">
        <f aca="false">-Inputs!$E$39*W8*(1+Inputs!$E$34)^(W$5-1)*1</f>
        <v>-463.5</v>
      </c>
      <c r="X39" s="67" t="n">
        <f aca="false">-Inputs!$E$39*X8*(1+Inputs!$E$34)^(X$5-1)*1</f>
        <v>-463.5</v>
      </c>
      <c r="Y39" s="67" t="n">
        <f aca="false">-Inputs!$E$39*Y8*(1+Inputs!$E$34)^(Y$5-1)*1</f>
        <v>-463.5</v>
      </c>
      <c r="Z39" s="67" t="n">
        <f aca="false">-Inputs!$E$39*Z8*(1+Inputs!$E$34)^(Z$5-1)*1</f>
        <v>-463.5</v>
      </c>
      <c r="AA39" s="67" t="n">
        <f aca="false">-Inputs!$E$39*AA8*(1+Inputs!$E$34)^(AA$5-1)*1</f>
        <v>-477.405</v>
      </c>
      <c r="AB39" s="67" t="n">
        <f aca="false">-Inputs!$E$39*AB8*(1+Inputs!$E$34)^(AB$5-1)*1</f>
        <v>-477.405</v>
      </c>
      <c r="AC39" s="67" t="n">
        <f aca="false">-Inputs!$E$39*AC8*(1+Inputs!$E$34)^(AC$5-1)*1</f>
        <v>-477.405</v>
      </c>
      <c r="AD39" s="67" t="n">
        <f aca="false">-Inputs!$E$39*AD8*(1+Inputs!$E$34)^(AD$5-1)*1</f>
        <v>-477.405</v>
      </c>
      <c r="AE39" s="67" t="n">
        <f aca="false">-Inputs!$E$39*AE8*(1+Inputs!$E$34)^(AE$5-1)*1</f>
        <v>-477.405</v>
      </c>
      <c r="AF39" s="67" t="n">
        <f aca="false">-Inputs!$E$39*AF8*(1+Inputs!$E$34)^(AF$5-1)*1</f>
        <v>-477.405</v>
      </c>
      <c r="AG39" s="67" t="n">
        <f aca="false">-Inputs!$E$39*AG8*(1+Inputs!$E$34)^(AG$5-1)*1</f>
        <v>-477.405</v>
      </c>
      <c r="AH39" s="67" t="n">
        <f aca="false">-Inputs!$E$39*AH8*(1+Inputs!$E$34)^(AH$5-1)*1</f>
        <v>-477.405</v>
      </c>
      <c r="AI39" s="67" t="n">
        <f aca="false">-Inputs!$E$39*AI8*(1+Inputs!$E$34)^(AI$5-1)*1</f>
        <v>-477.405</v>
      </c>
      <c r="AJ39" s="67" t="n">
        <f aca="false">-Inputs!$E$39*AJ8*(1+Inputs!$E$34)^(AJ$5-1)*1</f>
        <v>-477.405</v>
      </c>
      <c r="AK39" s="67" t="n">
        <f aca="false">-Inputs!$E$39*AK8*(1+Inputs!$E$34)^(AK$5-1)*1</f>
        <v>-477.405</v>
      </c>
      <c r="AL39" s="67" t="n">
        <f aca="false">-Inputs!$E$39*AL8*(1+Inputs!$E$34)^(AL$5-1)*1</f>
        <v>-477.405</v>
      </c>
    </row>
    <row r="40" customFormat="false" ht="15" hidden="false" customHeight="false" outlineLevel="0" collapsed="false">
      <c r="A40" s="6" t="s">
        <v>334</v>
      </c>
      <c r="C40" s="67" t="n">
        <f aca="false">-Inputs!$E$40*C14*(1+Inputs!$E$34)^(C$5-1)</f>
        <v>-570</v>
      </c>
      <c r="D40" s="67" t="n">
        <f aca="false">-Inputs!$E$40*D14*(1+Inputs!$E$34)^(D$5-1)</f>
        <v>-579.5</v>
      </c>
      <c r="E40" s="67" t="n">
        <f aca="false">-Inputs!$E$40*E14*(1+Inputs!$E$34)^(E$5-1)</f>
        <v>-817</v>
      </c>
      <c r="F40" s="67" t="n">
        <f aca="false">-Inputs!$E$40*F14*(1+Inputs!$E$34)^(F$5-1)</f>
        <v>-826.5</v>
      </c>
      <c r="G40" s="67" t="n">
        <f aca="false">-Inputs!$E$40*G14*(1+Inputs!$E$34)^(G$5-1)</f>
        <v>-836</v>
      </c>
      <c r="H40" s="67" t="n">
        <f aca="false">-Inputs!$E$40*H14*(1+Inputs!$E$34)^(H$5-1)</f>
        <v>-845.5</v>
      </c>
      <c r="I40" s="67" t="n">
        <f aca="false">-Inputs!$E$40*I14*(1+Inputs!$E$34)^(I$5-1)</f>
        <v>-855</v>
      </c>
      <c r="J40" s="67" t="n">
        <f aca="false">-Inputs!$E$40*J14*(1+Inputs!$E$34)^(J$5-1)</f>
        <v>-855</v>
      </c>
      <c r="K40" s="67" t="n">
        <f aca="false">-Inputs!$E$40*K14*(1+Inputs!$E$34)^(K$5-1)</f>
        <v>-855</v>
      </c>
      <c r="L40" s="67" t="n">
        <f aca="false">-Inputs!$E$40*L14*(1+Inputs!$E$34)^(L$5-1)</f>
        <v>-855</v>
      </c>
      <c r="M40" s="67" t="n">
        <f aca="false">-Inputs!$E$40*M14*(1+Inputs!$E$34)^(M$5-1)</f>
        <v>-855</v>
      </c>
      <c r="N40" s="67" t="n">
        <f aca="false">-Inputs!$E$40*N14*(1+Inputs!$E$34)^(N$5-1)</f>
        <v>-627</v>
      </c>
      <c r="O40" s="67" t="n">
        <f aca="false">-Inputs!$E$40*O14*(1+Inputs!$E$34)^(O$5-1)</f>
        <v>-651.681</v>
      </c>
      <c r="P40" s="67" t="n">
        <f aca="false">-Inputs!$E$40*P14*(1+Inputs!$E$34)^(P$5-1)</f>
        <v>-651.681</v>
      </c>
      <c r="Q40" s="67" t="n">
        <f aca="false">-Inputs!$E$40*Q14*(1+Inputs!$E$34)^(Q$5-1)</f>
        <v>-886.521</v>
      </c>
      <c r="R40" s="67" t="n">
        <f aca="false">-Inputs!$E$40*R14*(1+Inputs!$E$34)^(R$5-1)</f>
        <v>-886.521</v>
      </c>
      <c r="S40" s="67" t="n">
        <f aca="false">-Inputs!$E$40*S14*(1+Inputs!$E$34)^(S$5-1)</f>
        <v>-886.521</v>
      </c>
      <c r="T40" s="67" t="n">
        <f aca="false">-Inputs!$E$40*T14*(1+Inputs!$E$34)^(T$5-1)</f>
        <v>-886.521</v>
      </c>
      <c r="U40" s="67" t="n">
        <f aca="false">-Inputs!$E$40*U14*(1+Inputs!$E$34)^(U$5-1)</f>
        <v>-886.521</v>
      </c>
      <c r="V40" s="67" t="n">
        <f aca="false">-Inputs!$E$40*V14*(1+Inputs!$E$34)^(V$5-1)</f>
        <v>-886.521</v>
      </c>
      <c r="W40" s="67" t="n">
        <f aca="false">-Inputs!$E$40*W14*(1+Inputs!$E$34)^(W$5-1)</f>
        <v>-886.521</v>
      </c>
      <c r="X40" s="67" t="n">
        <f aca="false">-Inputs!$E$40*X14*(1+Inputs!$E$34)^(X$5-1)</f>
        <v>-886.521</v>
      </c>
      <c r="Y40" s="67" t="n">
        <f aca="false">-Inputs!$E$40*Y14*(1+Inputs!$E$34)^(Y$5-1)</f>
        <v>-886.521</v>
      </c>
      <c r="Z40" s="67" t="n">
        <f aca="false">-Inputs!$E$40*Z14*(1+Inputs!$E$34)^(Z$5-1)</f>
        <v>-651.681</v>
      </c>
      <c r="AA40" s="67" t="n">
        <f aca="false">-Inputs!$E$40*AA14*(1+Inputs!$E$34)^(AA$5-1)</f>
        <v>-677.5809165</v>
      </c>
      <c r="AB40" s="67" t="n">
        <f aca="false">-Inputs!$E$40*AB14*(1+Inputs!$E$34)^(AB$5-1)</f>
        <v>-677.5809165</v>
      </c>
      <c r="AC40" s="67" t="n">
        <f aca="false">-Inputs!$E$40*AC14*(1+Inputs!$E$34)^(AC$5-1)</f>
        <v>-919.4661165</v>
      </c>
      <c r="AD40" s="67" t="n">
        <f aca="false">-Inputs!$E$40*AD14*(1+Inputs!$E$34)^(AD$5-1)</f>
        <v>-919.4661165</v>
      </c>
      <c r="AE40" s="67" t="n">
        <f aca="false">-Inputs!$E$40*AE14*(1+Inputs!$E$34)^(AE$5-1)</f>
        <v>-919.4661165</v>
      </c>
      <c r="AF40" s="67" t="n">
        <f aca="false">-Inputs!$E$40*AF14*(1+Inputs!$E$34)^(AF$5-1)</f>
        <v>-919.4661165</v>
      </c>
      <c r="AG40" s="67" t="n">
        <f aca="false">-Inputs!$E$40*AG14*(1+Inputs!$E$34)^(AG$5-1)</f>
        <v>-919.4661165</v>
      </c>
      <c r="AH40" s="67" t="n">
        <f aca="false">-Inputs!$E$40*AH14*(1+Inputs!$E$34)^(AH$5-1)</f>
        <v>-919.4661165</v>
      </c>
      <c r="AI40" s="67" t="n">
        <f aca="false">-Inputs!$E$40*AI14*(1+Inputs!$E$34)^(AI$5-1)</f>
        <v>-919.4661165</v>
      </c>
      <c r="AJ40" s="67" t="n">
        <f aca="false">-Inputs!$E$40*AJ14*(1+Inputs!$E$34)^(AJ$5-1)</f>
        <v>-919.4661165</v>
      </c>
      <c r="AK40" s="67" t="n">
        <f aca="false">-Inputs!$E$40*AK14*(1+Inputs!$E$34)^(AK$5-1)</f>
        <v>-919.4661165</v>
      </c>
      <c r="AL40" s="67" t="n">
        <f aca="false">-Inputs!$E$40*AL14*(1+Inputs!$E$34)^(AL$5-1)</f>
        <v>-677.5809165</v>
      </c>
    </row>
    <row r="41" customFormat="false" ht="15" hidden="false" customHeight="false" outlineLevel="0" collapsed="false">
      <c r="A41" s="6" t="s">
        <v>335</v>
      </c>
      <c r="C41" s="67" t="n">
        <f aca="false">-Inputs!$E$41*C8*(1+Inputs!$E$34)^(C$5-1)*1</f>
        <v>-500</v>
      </c>
      <c r="D41" s="67" t="n">
        <f aca="false">-Inputs!$E$41*D8*(1+Inputs!$E$34)^(D$5-1)*1</f>
        <v>-500</v>
      </c>
      <c r="E41" s="67" t="n">
        <f aca="false">-Inputs!$E$41*E8*(1+Inputs!$E$34)^(E$5-1)*1</f>
        <v>-500</v>
      </c>
      <c r="F41" s="67" t="n">
        <f aca="false">-Inputs!$E$41*F8*(1+Inputs!$E$34)^(F$5-1)*1</f>
        <v>-500</v>
      </c>
      <c r="G41" s="67" t="n">
        <f aca="false">-Inputs!$E$41*G8*(1+Inputs!$E$34)^(G$5-1)*1</f>
        <v>-500</v>
      </c>
      <c r="H41" s="67" t="n">
        <f aca="false">-Inputs!$E$41*H8*(1+Inputs!$E$34)^(H$5-1)*1</f>
        <v>-500</v>
      </c>
      <c r="I41" s="67" t="n">
        <f aca="false">-Inputs!$E$41*I8*(1+Inputs!$E$34)^(I$5-1)*1</f>
        <v>-500</v>
      </c>
      <c r="J41" s="67" t="n">
        <f aca="false">-Inputs!$E$41*J8*(1+Inputs!$E$34)^(J$5-1)*1</f>
        <v>-500</v>
      </c>
      <c r="K41" s="67" t="n">
        <f aca="false">-Inputs!$E$41*K8*(1+Inputs!$E$34)^(K$5-1)*1</f>
        <v>-500</v>
      </c>
      <c r="L41" s="67" t="n">
        <f aca="false">-Inputs!$E$41*L8*(1+Inputs!$E$34)^(L$5-1)*1</f>
        <v>-500</v>
      </c>
      <c r="M41" s="67" t="n">
        <f aca="false">-Inputs!$E$41*M8*(1+Inputs!$E$34)^(M$5-1)*1</f>
        <v>-500</v>
      </c>
      <c r="N41" s="67" t="n">
        <f aca="false">-Inputs!$E$41*N8*(1+Inputs!$E$34)^(N$5-1)*1</f>
        <v>-500</v>
      </c>
      <c r="O41" s="67" t="n">
        <f aca="false">-Inputs!$E$41*O8*(1+Inputs!$E$34)^(O$5-1)*1</f>
        <v>-515</v>
      </c>
      <c r="P41" s="67" t="n">
        <f aca="false">-Inputs!$E$41*P8*(1+Inputs!$E$34)^(P$5-1)*1</f>
        <v>-515</v>
      </c>
      <c r="Q41" s="67" t="n">
        <f aca="false">-Inputs!$E$41*Q8*(1+Inputs!$E$34)^(Q$5-1)*1</f>
        <v>-515</v>
      </c>
      <c r="R41" s="67" t="n">
        <f aca="false">-Inputs!$E$41*R8*(1+Inputs!$E$34)^(R$5-1)*1</f>
        <v>-515</v>
      </c>
      <c r="S41" s="67" t="n">
        <f aca="false">-Inputs!$E$41*S8*(1+Inputs!$E$34)^(S$5-1)*1</f>
        <v>-515</v>
      </c>
      <c r="T41" s="67" t="n">
        <f aca="false">-Inputs!$E$41*T8*(1+Inputs!$E$34)^(T$5-1)*1</f>
        <v>-515</v>
      </c>
      <c r="U41" s="67" t="n">
        <f aca="false">-Inputs!$E$41*U8*(1+Inputs!$E$34)^(U$5-1)*1</f>
        <v>-515</v>
      </c>
      <c r="V41" s="67" t="n">
        <f aca="false">-Inputs!$E$41*V8*(1+Inputs!$E$34)^(V$5-1)*1</f>
        <v>-515</v>
      </c>
      <c r="W41" s="67" t="n">
        <f aca="false">-Inputs!$E$41*W8*(1+Inputs!$E$34)^(W$5-1)*1</f>
        <v>-515</v>
      </c>
      <c r="X41" s="67" t="n">
        <f aca="false">-Inputs!$E$41*X8*(1+Inputs!$E$34)^(X$5-1)*1</f>
        <v>-515</v>
      </c>
      <c r="Y41" s="67" t="n">
        <f aca="false">-Inputs!$E$41*Y8*(1+Inputs!$E$34)^(Y$5-1)*1</f>
        <v>-515</v>
      </c>
      <c r="Z41" s="67" t="n">
        <f aca="false">-Inputs!$E$41*Z8*(1+Inputs!$E$34)^(Z$5-1)*1</f>
        <v>-515</v>
      </c>
      <c r="AA41" s="67" t="n">
        <f aca="false">-Inputs!$E$41*AA8*(1+Inputs!$E$34)^(AA$5-1)*1</f>
        <v>-530.45</v>
      </c>
      <c r="AB41" s="67" t="n">
        <f aca="false">-Inputs!$E$41*AB8*(1+Inputs!$E$34)^(AB$5-1)*1</f>
        <v>-530.45</v>
      </c>
      <c r="AC41" s="67" t="n">
        <f aca="false">-Inputs!$E$41*AC8*(1+Inputs!$E$34)^(AC$5-1)*1</f>
        <v>-530.45</v>
      </c>
      <c r="AD41" s="67" t="n">
        <f aca="false">-Inputs!$E$41*AD8*(1+Inputs!$E$34)^(AD$5-1)*1</f>
        <v>-530.45</v>
      </c>
      <c r="AE41" s="67" t="n">
        <f aca="false">-Inputs!$E$41*AE8*(1+Inputs!$E$34)^(AE$5-1)*1</f>
        <v>-530.45</v>
      </c>
      <c r="AF41" s="67" t="n">
        <f aca="false">-Inputs!$E$41*AF8*(1+Inputs!$E$34)^(AF$5-1)*1</f>
        <v>-530.45</v>
      </c>
      <c r="AG41" s="67" t="n">
        <f aca="false">-Inputs!$E$41*AG8*(1+Inputs!$E$34)^(AG$5-1)*1</f>
        <v>-530.45</v>
      </c>
      <c r="AH41" s="67" t="n">
        <f aca="false">-Inputs!$E$41*AH8*(1+Inputs!$E$34)^(AH$5-1)*1</f>
        <v>-530.45</v>
      </c>
      <c r="AI41" s="67" t="n">
        <f aca="false">-Inputs!$E$41*AI8*(1+Inputs!$E$34)^(AI$5-1)*1</f>
        <v>-530.45</v>
      </c>
      <c r="AJ41" s="67" t="n">
        <f aca="false">-Inputs!$E$41*AJ8*(1+Inputs!$E$34)^(AJ$5-1)*1</f>
        <v>-530.45</v>
      </c>
      <c r="AK41" s="67" t="n">
        <f aca="false">-Inputs!$E$41*AK8*(1+Inputs!$E$34)^(AK$5-1)*1</f>
        <v>-530.45</v>
      </c>
      <c r="AL41" s="67" t="n">
        <f aca="false">-Inputs!$E$41*AL8*(1+Inputs!$E$34)^(AL$5-1)*1</f>
        <v>-530.45</v>
      </c>
    </row>
    <row r="42" customFormat="false" ht="15" hidden="false" customHeight="false" outlineLevel="0" collapsed="false">
      <c r="A42" s="6" t="s">
        <v>336</v>
      </c>
      <c r="C42" s="67" t="n">
        <f aca="false">-Inputs!$E$42*(1+Inputs!$E$34)^(C$5-1)*1</f>
        <v>-120</v>
      </c>
      <c r="D42" s="67" t="n">
        <f aca="false">-Inputs!$E$42*(1+Inputs!$E$34)^(D$5-1)*1</f>
        <v>-120</v>
      </c>
      <c r="E42" s="67" t="n">
        <f aca="false">-Inputs!$E$42*(1+Inputs!$E$34)^(E$5-1)*1</f>
        <v>-120</v>
      </c>
      <c r="F42" s="67" t="n">
        <f aca="false">-Inputs!$E$42*(1+Inputs!$E$34)^(F$5-1)*1</f>
        <v>-120</v>
      </c>
      <c r="G42" s="67" t="n">
        <f aca="false">-Inputs!$E$42*(1+Inputs!$E$34)^(G$5-1)*1</f>
        <v>-120</v>
      </c>
      <c r="H42" s="67" t="n">
        <f aca="false">-Inputs!$E$42*(1+Inputs!$E$34)^(H$5-1)*1</f>
        <v>-120</v>
      </c>
      <c r="I42" s="67" t="n">
        <f aca="false">-Inputs!$E$42*(1+Inputs!$E$34)^(I$5-1)*1</f>
        <v>-120</v>
      </c>
      <c r="J42" s="67" t="n">
        <f aca="false">-Inputs!$E$42*(1+Inputs!$E$34)^(J$5-1)*1</f>
        <v>-120</v>
      </c>
      <c r="K42" s="67" t="n">
        <f aca="false">-Inputs!$E$42*(1+Inputs!$E$34)^(K$5-1)*1</f>
        <v>-120</v>
      </c>
      <c r="L42" s="67" t="n">
        <f aca="false">-Inputs!$E$42*(1+Inputs!$E$34)^(L$5-1)*1</f>
        <v>-120</v>
      </c>
      <c r="M42" s="67" t="n">
        <f aca="false">-Inputs!$E$42*(1+Inputs!$E$34)^(M$5-1)*1</f>
        <v>-120</v>
      </c>
      <c r="N42" s="67" t="n">
        <f aca="false">-Inputs!$E$42*(1+Inputs!$E$34)^(N$5-1)*1</f>
        <v>-120</v>
      </c>
      <c r="O42" s="67" t="n">
        <f aca="false">-Inputs!$E$42*(1+Inputs!$E$34)^(O$5-1)*1</f>
        <v>-123.6</v>
      </c>
      <c r="P42" s="67" t="n">
        <f aca="false">-Inputs!$E$42*(1+Inputs!$E$34)^(P$5-1)*1</f>
        <v>-123.6</v>
      </c>
      <c r="Q42" s="67" t="n">
        <f aca="false">-Inputs!$E$42*(1+Inputs!$E$34)^(Q$5-1)*1</f>
        <v>-123.6</v>
      </c>
      <c r="R42" s="67" t="n">
        <f aca="false">-Inputs!$E$42*(1+Inputs!$E$34)^(R$5-1)*1</f>
        <v>-123.6</v>
      </c>
      <c r="S42" s="67" t="n">
        <f aca="false">-Inputs!$E$42*(1+Inputs!$E$34)^(S$5-1)*1</f>
        <v>-123.6</v>
      </c>
      <c r="T42" s="67" t="n">
        <f aca="false">-Inputs!$E$42*(1+Inputs!$E$34)^(T$5-1)*1</f>
        <v>-123.6</v>
      </c>
      <c r="U42" s="67" t="n">
        <f aca="false">-Inputs!$E$42*(1+Inputs!$E$34)^(U$5-1)*1</f>
        <v>-123.6</v>
      </c>
      <c r="V42" s="67" t="n">
        <f aca="false">-Inputs!$E$42*(1+Inputs!$E$34)^(V$5-1)*1</f>
        <v>-123.6</v>
      </c>
      <c r="W42" s="67" t="n">
        <f aca="false">-Inputs!$E$42*(1+Inputs!$E$34)^(W$5-1)*1</f>
        <v>-123.6</v>
      </c>
      <c r="X42" s="67" t="n">
        <f aca="false">-Inputs!$E$42*(1+Inputs!$E$34)^(X$5-1)*1</f>
        <v>-123.6</v>
      </c>
      <c r="Y42" s="67" t="n">
        <f aca="false">-Inputs!$E$42*(1+Inputs!$E$34)^(Y$5-1)*1</f>
        <v>-123.6</v>
      </c>
      <c r="Z42" s="67" t="n">
        <f aca="false">-Inputs!$E$42*(1+Inputs!$E$34)^(Z$5-1)*1</f>
        <v>-123.6</v>
      </c>
      <c r="AA42" s="67" t="n">
        <f aca="false">-Inputs!$E$42*(1+Inputs!$E$34)^(AA$5-1)*1</f>
        <v>-127.308</v>
      </c>
      <c r="AB42" s="67" t="n">
        <f aca="false">-Inputs!$E$42*(1+Inputs!$E$34)^(AB$5-1)*1</f>
        <v>-127.308</v>
      </c>
      <c r="AC42" s="67" t="n">
        <f aca="false">-Inputs!$E$42*(1+Inputs!$E$34)^(AC$5-1)*1</f>
        <v>-127.308</v>
      </c>
      <c r="AD42" s="67" t="n">
        <f aca="false">-Inputs!$E$42*(1+Inputs!$E$34)^(AD$5-1)*1</f>
        <v>-127.308</v>
      </c>
      <c r="AE42" s="67" t="n">
        <f aca="false">-Inputs!$E$42*(1+Inputs!$E$34)^(AE$5-1)*1</f>
        <v>-127.308</v>
      </c>
      <c r="AF42" s="67" t="n">
        <f aca="false">-Inputs!$E$42*(1+Inputs!$E$34)^(AF$5-1)*1</f>
        <v>-127.308</v>
      </c>
      <c r="AG42" s="67" t="n">
        <f aca="false">-Inputs!$E$42*(1+Inputs!$E$34)^(AG$5-1)*1</f>
        <v>-127.308</v>
      </c>
      <c r="AH42" s="67" t="n">
        <f aca="false">-Inputs!$E$42*(1+Inputs!$E$34)^(AH$5-1)*1</f>
        <v>-127.308</v>
      </c>
      <c r="AI42" s="67" t="n">
        <f aca="false">-Inputs!$E$42*(1+Inputs!$E$34)^(AI$5-1)*1</f>
        <v>-127.308</v>
      </c>
      <c r="AJ42" s="67" t="n">
        <f aca="false">-Inputs!$E$42*(1+Inputs!$E$34)^(AJ$5-1)*1</f>
        <v>-127.308</v>
      </c>
      <c r="AK42" s="67" t="n">
        <f aca="false">-Inputs!$E$42*(1+Inputs!$E$34)^(AK$5-1)*1</f>
        <v>-127.308</v>
      </c>
      <c r="AL42" s="67" t="n">
        <f aca="false">-Inputs!$E$42*(1+Inputs!$E$34)^(AL$5-1)*1</f>
        <v>-127.308</v>
      </c>
    </row>
    <row r="43" customFormat="false" ht="15" hidden="false" customHeight="false" outlineLevel="0" collapsed="false">
      <c r="A43" s="6" t="s">
        <v>337</v>
      </c>
      <c r="C43" s="67" t="n">
        <f aca="false">-Inputs!$E$43*(1+Inputs!$E$44)^(C$5-1)*1</f>
        <v>-700</v>
      </c>
      <c r="D43" s="67" t="n">
        <f aca="false">-Inputs!$E$43*(1+Inputs!$E$44)^(D$5-1)*1</f>
        <v>-700</v>
      </c>
      <c r="E43" s="67" t="n">
        <f aca="false">-Inputs!$E$43*(1+Inputs!$E$44)^(E$5-1)*1</f>
        <v>-700</v>
      </c>
      <c r="F43" s="67" t="n">
        <f aca="false">-Inputs!$E$43*(1+Inputs!$E$44)^(F$5-1)*1</f>
        <v>-700</v>
      </c>
      <c r="G43" s="67" t="n">
        <f aca="false">-Inputs!$E$43*(1+Inputs!$E$44)^(G$5-1)*1</f>
        <v>-700</v>
      </c>
      <c r="H43" s="67" t="n">
        <f aca="false">-Inputs!$E$43*(1+Inputs!$E$44)^(H$5-1)*1</f>
        <v>-700</v>
      </c>
      <c r="I43" s="67" t="n">
        <f aca="false">-Inputs!$E$43*(1+Inputs!$E$44)^(I$5-1)*1</f>
        <v>-700</v>
      </c>
      <c r="J43" s="67" t="n">
        <f aca="false">-Inputs!$E$43*(1+Inputs!$E$44)^(J$5-1)*1</f>
        <v>-700</v>
      </c>
      <c r="K43" s="67" t="n">
        <f aca="false">-Inputs!$E$43*(1+Inputs!$E$44)^(K$5-1)*1</f>
        <v>-700</v>
      </c>
      <c r="L43" s="67" t="n">
        <f aca="false">-Inputs!$E$43*(1+Inputs!$E$44)^(L$5-1)*1</f>
        <v>-700</v>
      </c>
      <c r="M43" s="67" t="n">
        <f aca="false">-Inputs!$E$43*(1+Inputs!$E$44)^(M$5-1)*1</f>
        <v>-700</v>
      </c>
      <c r="N43" s="67" t="n">
        <f aca="false">-Inputs!$E$43*(1+Inputs!$E$44)^(N$5-1)*1</f>
        <v>-700</v>
      </c>
      <c r="O43" s="67" t="n">
        <f aca="false">-Inputs!$E$43*(1+Inputs!$E$44)^(O$5-1)*1</f>
        <v>-700</v>
      </c>
      <c r="P43" s="67" t="n">
        <f aca="false">-Inputs!$E$43*(1+Inputs!$E$44)^(P$5-1)*1</f>
        <v>-700</v>
      </c>
      <c r="Q43" s="67" t="n">
        <f aca="false">-Inputs!$E$43*(1+Inputs!$E$44)^(Q$5-1)*1</f>
        <v>-700</v>
      </c>
      <c r="R43" s="67" t="n">
        <f aca="false">-Inputs!$E$43*(1+Inputs!$E$44)^(R$5-1)*1</f>
        <v>-700</v>
      </c>
      <c r="S43" s="67" t="n">
        <f aca="false">-Inputs!$E$43*(1+Inputs!$E$44)^(S$5-1)*1</f>
        <v>-700</v>
      </c>
      <c r="T43" s="67" t="n">
        <f aca="false">-Inputs!$E$43*(1+Inputs!$E$44)^(T$5-1)*1</f>
        <v>-700</v>
      </c>
      <c r="U43" s="67" t="n">
        <f aca="false">-Inputs!$E$43*(1+Inputs!$E$44)^(U$5-1)*1</f>
        <v>-700</v>
      </c>
      <c r="V43" s="67" t="n">
        <f aca="false">-Inputs!$E$43*(1+Inputs!$E$44)^(V$5-1)*1</f>
        <v>-700</v>
      </c>
      <c r="W43" s="67" t="n">
        <f aca="false">-Inputs!$E$43*(1+Inputs!$E$44)^(W$5-1)*1</f>
        <v>-700</v>
      </c>
      <c r="X43" s="67" t="n">
        <f aca="false">-Inputs!$E$43*(1+Inputs!$E$44)^(X$5-1)*1</f>
        <v>-700</v>
      </c>
      <c r="Y43" s="67" t="n">
        <f aca="false">-Inputs!$E$43*(1+Inputs!$E$44)^(Y$5-1)*1</f>
        <v>-700</v>
      </c>
      <c r="Z43" s="67" t="n">
        <f aca="false">-Inputs!$E$43*(1+Inputs!$E$44)^(Z$5-1)*1</f>
        <v>-700</v>
      </c>
      <c r="AA43" s="67" t="n">
        <f aca="false">-Inputs!$E$43*(1+Inputs!$E$44)^(AA$5-1)*1</f>
        <v>-700</v>
      </c>
      <c r="AB43" s="67" t="n">
        <f aca="false">-Inputs!$E$43*(1+Inputs!$E$44)^(AB$5-1)*1</f>
        <v>-700</v>
      </c>
      <c r="AC43" s="67" t="n">
        <f aca="false">-Inputs!$E$43*(1+Inputs!$E$44)^(AC$5-1)*1</f>
        <v>-700</v>
      </c>
      <c r="AD43" s="67" t="n">
        <f aca="false">-Inputs!$E$43*(1+Inputs!$E$44)^(AD$5-1)*1</f>
        <v>-700</v>
      </c>
      <c r="AE43" s="67" t="n">
        <f aca="false">-Inputs!$E$43*(1+Inputs!$E$44)^(AE$5-1)*1</f>
        <v>-700</v>
      </c>
      <c r="AF43" s="67" t="n">
        <f aca="false">-Inputs!$E$43*(1+Inputs!$E$44)^(AF$5-1)*1</f>
        <v>-700</v>
      </c>
      <c r="AG43" s="67" t="n">
        <f aca="false">-Inputs!$E$43*(1+Inputs!$E$44)^(AG$5-1)*1</f>
        <v>-700</v>
      </c>
      <c r="AH43" s="67" t="n">
        <f aca="false">-Inputs!$E$43*(1+Inputs!$E$44)^(AH$5-1)*1</f>
        <v>-700</v>
      </c>
      <c r="AI43" s="67" t="n">
        <f aca="false">-Inputs!$E$43*(1+Inputs!$E$44)^(AI$5-1)*1</f>
        <v>-700</v>
      </c>
      <c r="AJ43" s="67" t="n">
        <f aca="false">-Inputs!$E$43*(1+Inputs!$E$44)^(AJ$5-1)*1</f>
        <v>-700</v>
      </c>
      <c r="AK43" s="67" t="n">
        <f aca="false">-Inputs!$E$43*(1+Inputs!$E$44)^(AK$5-1)*1</f>
        <v>-700</v>
      </c>
      <c r="AL43" s="67" t="n">
        <f aca="false">-Inputs!$E$43*(1+Inputs!$E$44)^(AL$5-1)*1</f>
        <v>-700</v>
      </c>
    </row>
    <row r="44" customFormat="false" ht="15" hidden="false" customHeight="false" outlineLevel="0" collapsed="false">
      <c r="A44" s="6" t="s">
        <v>338</v>
      </c>
      <c r="C44" s="67" t="n">
        <f aca="false">-Inputs!$E$45*(1+Inputs!$E$34)^(C$5-1)*1</f>
        <v>-350</v>
      </c>
      <c r="D44" s="67" t="n">
        <f aca="false">-Inputs!$E$45*(1+Inputs!$E$34)^(D$5-1)*1</f>
        <v>-350</v>
      </c>
      <c r="E44" s="67" t="n">
        <f aca="false">-Inputs!$E$45*(1+Inputs!$E$34)^(E$5-1)*1</f>
        <v>-350</v>
      </c>
      <c r="F44" s="67" t="n">
        <f aca="false">-Inputs!$E$45*(1+Inputs!$E$34)^(F$5-1)*1</f>
        <v>-350</v>
      </c>
      <c r="G44" s="67" t="n">
        <f aca="false">-Inputs!$E$45*(1+Inputs!$E$34)^(G$5-1)*1</f>
        <v>-350</v>
      </c>
      <c r="H44" s="67" t="n">
        <f aca="false">-Inputs!$E$45*(1+Inputs!$E$34)^(H$5-1)*1</f>
        <v>-350</v>
      </c>
      <c r="I44" s="67" t="n">
        <f aca="false">-Inputs!$E$45*(1+Inputs!$E$34)^(I$5-1)*1</f>
        <v>-350</v>
      </c>
      <c r="J44" s="67" t="n">
        <f aca="false">-Inputs!$E$45*(1+Inputs!$E$34)^(J$5-1)*1</f>
        <v>-350</v>
      </c>
      <c r="K44" s="67" t="n">
        <f aca="false">-Inputs!$E$45*(1+Inputs!$E$34)^(K$5-1)*1</f>
        <v>-350</v>
      </c>
      <c r="L44" s="67" t="n">
        <f aca="false">-Inputs!$E$45*(1+Inputs!$E$34)^(L$5-1)*1</f>
        <v>-350</v>
      </c>
      <c r="M44" s="67" t="n">
        <f aca="false">-Inputs!$E$45*(1+Inputs!$E$34)^(M$5-1)*1</f>
        <v>-350</v>
      </c>
      <c r="N44" s="67" t="n">
        <f aca="false">-Inputs!$E$45*(1+Inputs!$E$34)^(N$5-1)*1</f>
        <v>-350</v>
      </c>
      <c r="O44" s="67" t="n">
        <f aca="false">-Inputs!$E$45*(1+Inputs!$E$34)^(O$5-1)*1</f>
        <v>-360.5</v>
      </c>
      <c r="P44" s="67" t="n">
        <f aca="false">-Inputs!$E$45*(1+Inputs!$E$34)^(P$5-1)*1</f>
        <v>-360.5</v>
      </c>
      <c r="Q44" s="67" t="n">
        <f aca="false">-Inputs!$E$45*(1+Inputs!$E$34)^(Q$5-1)*1</f>
        <v>-360.5</v>
      </c>
      <c r="R44" s="67" t="n">
        <f aca="false">-Inputs!$E$45*(1+Inputs!$E$34)^(R$5-1)*1</f>
        <v>-360.5</v>
      </c>
      <c r="S44" s="67" t="n">
        <f aca="false">-Inputs!$E$45*(1+Inputs!$E$34)^(S$5-1)*1</f>
        <v>-360.5</v>
      </c>
      <c r="T44" s="67" t="n">
        <f aca="false">-Inputs!$E$45*(1+Inputs!$E$34)^(T$5-1)*1</f>
        <v>-360.5</v>
      </c>
      <c r="U44" s="67" t="n">
        <f aca="false">-Inputs!$E$45*(1+Inputs!$E$34)^(U$5-1)*1</f>
        <v>-360.5</v>
      </c>
      <c r="V44" s="67" t="n">
        <f aca="false">-Inputs!$E$45*(1+Inputs!$E$34)^(V$5-1)*1</f>
        <v>-360.5</v>
      </c>
      <c r="W44" s="67" t="n">
        <f aca="false">-Inputs!$E$45*(1+Inputs!$E$34)^(W$5-1)*1</f>
        <v>-360.5</v>
      </c>
      <c r="X44" s="67" t="n">
        <f aca="false">-Inputs!$E$45*(1+Inputs!$E$34)^(X$5-1)*1</f>
        <v>-360.5</v>
      </c>
      <c r="Y44" s="67" t="n">
        <f aca="false">-Inputs!$E$45*(1+Inputs!$E$34)^(Y$5-1)*1</f>
        <v>-360.5</v>
      </c>
      <c r="Z44" s="67" t="n">
        <f aca="false">-Inputs!$E$45*(1+Inputs!$E$34)^(Z$5-1)*1</f>
        <v>-360.5</v>
      </c>
      <c r="AA44" s="67" t="n">
        <f aca="false">-Inputs!$E$45*(1+Inputs!$E$34)^(AA$5-1)*1</f>
        <v>-371.315</v>
      </c>
      <c r="AB44" s="67" t="n">
        <f aca="false">-Inputs!$E$45*(1+Inputs!$E$34)^(AB$5-1)*1</f>
        <v>-371.315</v>
      </c>
      <c r="AC44" s="67" t="n">
        <f aca="false">-Inputs!$E$45*(1+Inputs!$E$34)^(AC$5-1)*1</f>
        <v>-371.315</v>
      </c>
      <c r="AD44" s="67" t="n">
        <f aca="false">-Inputs!$E$45*(1+Inputs!$E$34)^(AD$5-1)*1</f>
        <v>-371.315</v>
      </c>
      <c r="AE44" s="67" t="n">
        <f aca="false">-Inputs!$E$45*(1+Inputs!$E$34)^(AE$5-1)*1</f>
        <v>-371.315</v>
      </c>
      <c r="AF44" s="67" t="n">
        <f aca="false">-Inputs!$E$45*(1+Inputs!$E$34)^(AF$5-1)*1</f>
        <v>-371.315</v>
      </c>
      <c r="AG44" s="67" t="n">
        <f aca="false">-Inputs!$E$45*(1+Inputs!$E$34)^(AG$5-1)*1</f>
        <v>-371.315</v>
      </c>
      <c r="AH44" s="67" t="n">
        <f aca="false">-Inputs!$E$45*(1+Inputs!$E$34)^(AH$5-1)*1</f>
        <v>-371.315</v>
      </c>
      <c r="AI44" s="67" t="n">
        <f aca="false">-Inputs!$E$45*(1+Inputs!$E$34)^(AI$5-1)*1</f>
        <v>-371.315</v>
      </c>
      <c r="AJ44" s="67" t="n">
        <f aca="false">-Inputs!$E$45*(1+Inputs!$E$34)^(AJ$5-1)*1</f>
        <v>-371.315</v>
      </c>
      <c r="AK44" s="67" t="n">
        <f aca="false">-Inputs!$E$45*(1+Inputs!$E$34)^(AK$5-1)*1</f>
        <v>-371.315</v>
      </c>
      <c r="AL44" s="67" t="n">
        <f aca="false">-Inputs!$E$45*(1+Inputs!$E$34)^(AL$5-1)*1</f>
        <v>-371.315</v>
      </c>
    </row>
    <row r="45" customFormat="false" ht="15" hidden="false" customHeight="false" outlineLevel="0" collapsed="false">
      <c r="A45" s="113" t="s">
        <v>77</v>
      </c>
      <c r="C45" s="68" t="n">
        <f aca="false">C36+C37+C38+C39+C40+C41+C42+C43+C44</f>
        <v>-13894.6666666667</v>
      </c>
      <c r="D45" s="68" t="n">
        <f aca="false">D36+D37+D38+D39+D40+D41+D42+D43+D44</f>
        <v>-13904.1666666667</v>
      </c>
      <c r="E45" s="68" t="n">
        <f aca="false">E36+E37+E38+E39+E40+E41+E42+E43+E44</f>
        <v>-14141.6666666667</v>
      </c>
      <c r="F45" s="68" t="n">
        <f aca="false">F36+F37+F38+F39+F40+F41+F42+F43+F44</f>
        <v>-14151.1666666667</v>
      </c>
      <c r="G45" s="68" t="n">
        <f aca="false">G36+G37+G38+G39+G40+G41+G42+G43+G44</f>
        <v>-14160.6666666667</v>
      </c>
      <c r="H45" s="68" t="n">
        <f aca="false">H36+H37+H38+H39+H40+H41+H42+H43+H44</f>
        <v>-14170.1666666667</v>
      </c>
      <c r="I45" s="68" t="n">
        <f aca="false">I36+I37+I38+I39+I40+I41+I42+I43+I44</f>
        <v>-14179.6666666667</v>
      </c>
      <c r="J45" s="68" t="n">
        <f aca="false">J36+J37+J38+J39+J40+J41+J42+J43+J44</f>
        <v>-14179.6666666667</v>
      </c>
      <c r="K45" s="68" t="n">
        <f aca="false">K36+K37+K38+K39+K40+K41+K42+K43+K44</f>
        <v>-14179.6666666667</v>
      </c>
      <c r="L45" s="68" t="n">
        <f aca="false">L36+L37+L38+L39+L40+L41+L42+L43+L44</f>
        <v>-14179.6666666667</v>
      </c>
      <c r="M45" s="68" t="n">
        <f aca="false">M36+M37+M38+M39+M40+M41+M42+M43+M44</f>
        <v>-14179.6666666667</v>
      </c>
      <c r="N45" s="68" t="n">
        <f aca="false">N36+N37+N38+N39+N40+N41+N42+N43+N44</f>
        <v>-13951.6666666667</v>
      </c>
      <c r="O45" s="68" t="n">
        <f aca="false">O36+O37+O38+O39+O40+O41+O42+O43+O44</f>
        <v>-14355.0876666667</v>
      </c>
      <c r="P45" s="68" t="n">
        <f aca="false">P36+P37+P38+P39+P40+P41+P42+P43+P44</f>
        <v>-14355.0876666667</v>
      </c>
      <c r="Q45" s="68" t="n">
        <f aca="false">Q36+Q37+Q38+Q39+Q40+Q41+Q42+Q43+Q44</f>
        <v>-14589.9276666667</v>
      </c>
      <c r="R45" s="68" t="n">
        <f aca="false">R36+R37+R38+R39+R40+R41+R42+R43+R44</f>
        <v>-14589.9276666667</v>
      </c>
      <c r="S45" s="68" t="n">
        <f aca="false">S36+S37+S38+S39+S40+S41+S42+S43+S44</f>
        <v>-14589.9276666667</v>
      </c>
      <c r="T45" s="68" t="n">
        <f aca="false">T36+T37+T38+T39+T40+T41+T42+T43+T44</f>
        <v>-14589.9276666667</v>
      </c>
      <c r="U45" s="68" t="n">
        <f aca="false">U36+U37+U38+U39+U40+U41+U42+U43+U44</f>
        <v>-14589.9276666667</v>
      </c>
      <c r="V45" s="68" t="n">
        <f aca="false">V36+V37+V38+V39+V40+V41+V42+V43+V44</f>
        <v>-14589.9276666667</v>
      </c>
      <c r="W45" s="68" t="n">
        <f aca="false">W36+W37+W38+W39+W40+W41+W42+W43+W44</f>
        <v>-14589.9276666667</v>
      </c>
      <c r="X45" s="68" t="n">
        <f aca="false">X36+X37+X38+X39+X40+X41+X42+X43+X44</f>
        <v>-14589.9276666667</v>
      </c>
      <c r="Y45" s="68" t="n">
        <f aca="false">Y36+Y37+Y38+Y39+Y40+Y41+Y42+Y43+Y44</f>
        <v>-14589.9276666667</v>
      </c>
      <c r="Z45" s="68" t="n">
        <f aca="false">Z36+Z37+Z38+Z39+Z40+Z41+Z42+Z43+Z44</f>
        <v>-14355.0876666667</v>
      </c>
      <c r="AA45" s="68" t="n">
        <f aca="false">AA36+AA37+AA38+AA39+AA40+AA41+AA42+AA43+AA44</f>
        <v>-14771.0897831667</v>
      </c>
      <c r="AB45" s="68" t="n">
        <f aca="false">AB36+AB37+AB38+AB39+AB40+AB41+AB42+AB43+AB44</f>
        <v>-14771.0897831667</v>
      </c>
      <c r="AC45" s="68" t="n">
        <f aca="false">AC36+AC37+AC38+AC39+AC40+AC41+AC42+AC43+AC44</f>
        <v>-15012.9749831667</v>
      </c>
      <c r="AD45" s="68" t="n">
        <f aca="false">AD36+AD37+AD38+AD39+AD40+AD41+AD42+AD43+AD44</f>
        <v>-15012.9749831667</v>
      </c>
      <c r="AE45" s="68" t="n">
        <f aca="false">AE36+AE37+AE38+AE39+AE40+AE41+AE42+AE43+AE44</f>
        <v>-15012.9749831667</v>
      </c>
      <c r="AF45" s="68" t="n">
        <f aca="false">AF36+AF37+AF38+AF39+AF40+AF41+AF42+AF43+AF44</f>
        <v>-15012.9749831667</v>
      </c>
      <c r="AG45" s="68" t="n">
        <f aca="false">AG36+AG37+AG38+AG39+AG40+AG41+AG42+AG43+AG44</f>
        <v>-15012.9749831667</v>
      </c>
      <c r="AH45" s="68" t="n">
        <f aca="false">AH36+AH37+AH38+AH39+AH40+AH41+AH42+AH43+AH44</f>
        <v>-15012.9749831667</v>
      </c>
      <c r="AI45" s="68" t="n">
        <f aca="false">AI36+AI37+AI38+AI39+AI40+AI41+AI42+AI43+AI44</f>
        <v>-15012.9749831667</v>
      </c>
      <c r="AJ45" s="68" t="n">
        <f aca="false">AJ36+AJ37+AJ38+AJ39+AJ40+AJ41+AJ42+AJ43+AJ44</f>
        <v>-15012.9749831667</v>
      </c>
      <c r="AK45" s="68" t="n">
        <f aca="false">AK36+AK37+AK38+AK39+AK40+AK41+AK42+AK43+AK44</f>
        <v>-15012.9749831667</v>
      </c>
      <c r="AL45" s="68" t="n">
        <f aca="false">AL36+AL37+AL38+AL39+AL40+AL41+AL42+AL43+AL44</f>
        <v>-14771.0897831667</v>
      </c>
    </row>
    <row r="46" customFormat="false" ht="15" hidden="false" customHeight="false" outlineLevel="0" collapsed="false">
      <c r="A46" s="113" t="s">
        <v>48</v>
      </c>
      <c r="C46" s="68" t="n">
        <f aca="false">C33+C45</f>
        <v>-7786.81066666667</v>
      </c>
      <c r="D46" s="68" t="n">
        <f aca="false">D33+D45</f>
        <v>-6778.33466666667</v>
      </c>
      <c r="E46" s="68" t="n">
        <f aca="false">E33+E45</f>
        <v>-2997.41066666667</v>
      </c>
      <c r="F46" s="68" t="n">
        <f aca="false">F33+F45</f>
        <v>-1613.87866666667</v>
      </c>
      <c r="G46" s="68" t="n">
        <f aca="false">G33+G45</f>
        <v>-230.34666666667</v>
      </c>
      <c r="H46" s="68" t="n">
        <f aca="false">H33+H45</f>
        <v>1153.18533333333</v>
      </c>
      <c r="I46" s="68" t="n">
        <f aca="false">I33+I45</f>
        <v>2536.71733333333</v>
      </c>
      <c r="J46" s="68" t="n">
        <f aca="false">J33+J45</f>
        <v>2536.71733333333</v>
      </c>
      <c r="K46" s="68" t="n">
        <f aca="false">K33+K45</f>
        <v>2536.71733333333</v>
      </c>
      <c r="L46" s="68" t="n">
        <f aca="false">L33+L45</f>
        <v>2536.71733333333</v>
      </c>
      <c r="M46" s="68" t="n">
        <f aca="false">M33+M45</f>
        <v>2536.71733333333</v>
      </c>
      <c r="N46" s="68" t="n">
        <f aca="false">N33+N45</f>
        <v>-1735.95466666667</v>
      </c>
      <c r="O46" s="68" t="n">
        <f aca="false">O33+O45</f>
        <v>-1352.40128586667</v>
      </c>
      <c r="P46" s="68" t="n">
        <f aca="false">P33+P45</f>
        <v>-1352.40128586667</v>
      </c>
      <c r="Q46" s="68" t="n">
        <f aca="false">Q33+Q45</f>
        <v>3187.52163893333</v>
      </c>
      <c r="R46" s="68" t="n">
        <f aca="false">R33+R45</f>
        <v>3187.52163893333</v>
      </c>
      <c r="S46" s="68" t="n">
        <f aca="false">S33+S45</f>
        <v>3187.52163893333</v>
      </c>
      <c r="T46" s="68" t="n">
        <f aca="false">T33+T45</f>
        <v>3187.52163893333</v>
      </c>
      <c r="U46" s="68" t="n">
        <f aca="false">U33+U45</f>
        <v>3187.52163893333</v>
      </c>
      <c r="V46" s="68" t="n">
        <f aca="false">V33+V45</f>
        <v>3187.52163893333</v>
      </c>
      <c r="W46" s="68" t="n">
        <f aca="false">W33+W45</f>
        <v>3187.52163893333</v>
      </c>
      <c r="X46" s="68" t="n">
        <f aca="false">X33+X45</f>
        <v>3187.52163893333</v>
      </c>
      <c r="Y46" s="68" t="n">
        <f aca="false">Y33+Y45</f>
        <v>3187.52163893333</v>
      </c>
      <c r="Z46" s="68" t="n">
        <f aca="false">Z33+Z45</f>
        <v>-1352.40128586667</v>
      </c>
      <c r="AA46" s="68" t="n">
        <f aca="false">AA33+AA45</f>
        <v>-929.99472389595</v>
      </c>
      <c r="AB46" s="68" t="n">
        <f aca="false">AB33+AB45</f>
        <v>-929.99472389595</v>
      </c>
      <c r="AC46" s="68" t="n">
        <f aca="false">AC33+AC45</f>
        <v>3893.66606302437</v>
      </c>
      <c r="AD46" s="68" t="n">
        <f aca="false">AD33+AD45</f>
        <v>3893.66606302437</v>
      </c>
      <c r="AE46" s="68" t="n">
        <f aca="false">AE33+AE45</f>
        <v>3893.66606302437</v>
      </c>
      <c r="AF46" s="68" t="n">
        <f aca="false">AF33+AF45</f>
        <v>3893.66606302437</v>
      </c>
      <c r="AG46" s="68" t="n">
        <f aca="false">AG33+AG45</f>
        <v>3893.66606302437</v>
      </c>
      <c r="AH46" s="68" t="n">
        <f aca="false">AH33+AH45</f>
        <v>3893.66606302437</v>
      </c>
      <c r="AI46" s="68" t="n">
        <f aca="false">AI33+AI45</f>
        <v>3893.66606302437</v>
      </c>
      <c r="AJ46" s="68" t="n">
        <f aca="false">AJ33+AJ45</f>
        <v>3893.66606302437</v>
      </c>
      <c r="AK46" s="68" t="n">
        <f aca="false">AK33+AK45</f>
        <v>3893.66606302437</v>
      </c>
      <c r="AL46" s="68" t="n">
        <f aca="false">AL33+AL45</f>
        <v>-929.99472389595</v>
      </c>
    </row>
    <row r="48" customFormat="false" ht="15.75" hidden="false" customHeight="true" outlineLevel="0" collapsed="false">
      <c r="A48" s="7" t="s">
        <v>402</v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</row>
    <row r="49" customFormat="false" ht="15" hidden="false" customHeight="false" outlineLevel="0" collapsed="false">
      <c r="A49" s="4" t="s">
        <v>79</v>
      </c>
      <c r="C49" s="73" t="n">
        <f aca="false">C46+C64</f>
        <v>-9429.66780952381</v>
      </c>
      <c r="D49" s="73" t="n">
        <f aca="false">D46+D64</f>
        <v>-8421.19180952381</v>
      </c>
      <c r="E49" s="73" t="n">
        <f aca="false">E46+E64</f>
        <v>-4640.26780952381</v>
      </c>
      <c r="F49" s="73" t="n">
        <f aca="false">F46+F64</f>
        <v>-3256.73580952381</v>
      </c>
      <c r="G49" s="73" t="n">
        <f aca="false">G46+G64</f>
        <v>-1873.20380952381</v>
      </c>
      <c r="H49" s="73" t="n">
        <f aca="false">H46+H64</f>
        <v>-489.671809523814</v>
      </c>
      <c r="I49" s="73" t="n">
        <f aca="false">I46+I64</f>
        <v>893.860190476187</v>
      </c>
      <c r="J49" s="73" t="n">
        <f aca="false">J46+J64</f>
        <v>893.860190476187</v>
      </c>
      <c r="K49" s="73" t="n">
        <f aca="false">K46+K64</f>
        <v>893.860190476187</v>
      </c>
      <c r="L49" s="73" t="n">
        <f aca="false">L46+L64</f>
        <v>893.860190476187</v>
      </c>
      <c r="M49" s="73" t="n">
        <f aca="false">M46+M64</f>
        <v>893.860190476187</v>
      </c>
      <c r="N49" s="73" t="n">
        <f aca="false">N46+N64</f>
        <v>-3378.81180952381</v>
      </c>
      <c r="O49" s="73" t="n">
        <f aca="false">O46+O64</f>
        <v>-3025.02033348572</v>
      </c>
      <c r="P49" s="73" t="n">
        <f aca="false">P46+P64</f>
        <v>-3025.02033348572</v>
      </c>
      <c r="Q49" s="73" t="n">
        <f aca="false">Q46+Q64</f>
        <v>1514.90259131428</v>
      </c>
      <c r="R49" s="73" t="n">
        <f aca="false">R46+R64</f>
        <v>1514.90259131428</v>
      </c>
      <c r="S49" s="73" t="n">
        <f aca="false">S46+S64</f>
        <v>1514.90259131428</v>
      </c>
      <c r="T49" s="73" t="n">
        <f aca="false">T46+T64</f>
        <v>1514.90259131428</v>
      </c>
      <c r="U49" s="73" t="n">
        <f aca="false">U46+U64</f>
        <v>1514.90259131428</v>
      </c>
      <c r="V49" s="73" t="n">
        <f aca="false">V46+V64</f>
        <v>1514.90259131428</v>
      </c>
      <c r="W49" s="73" t="n">
        <f aca="false">W46+W64</f>
        <v>1514.90259131428</v>
      </c>
      <c r="X49" s="73" t="n">
        <f aca="false">X46+X64</f>
        <v>1514.90259131428</v>
      </c>
      <c r="Y49" s="73" t="n">
        <f aca="false">Y46+Y64</f>
        <v>1514.90259131428</v>
      </c>
      <c r="Z49" s="73" t="n">
        <f aca="false">Z46+Z64</f>
        <v>-3025.02033348572</v>
      </c>
      <c r="AA49" s="73" t="n">
        <f aca="false">AA46+AA64</f>
        <v>-2632.3756762769</v>
      </c>
      <c r="AB49" s="73" t="n">
        <f aca="false">AB46+AB64</f>
        <v>-2632.3756762769</v>
      </c>
      <c r="AC49" s="73" t="n">
        <f aca="false">AC46+AC64</f>
        <v>2191.28511064342</v>
      </c>
      <c r="AD49" s="73" t="n">
        <f aca="false">AD46+AD64</f>
        <v>2191.28511064342</v>
      </c>
      <c r="AE49" s="73" t="n">
        <f aca="false">AE46+AE64</f>
        <v>2191.28511064342</v>
      </c>
      <c r="AF49" s="73" t="n">
        <f aca="false">AF46+AF64</f>
        <v>2191.28511064342</v>
      </c>
      <c r="AG49" s="73" t="n">
        <f aca="false">AG46+AG64</f>
        <v>2191.28511064342</v>
      </c>
      <c r="AH49" s="73" t="n">
        <f aca="false">AH46+AH64</f>
        <v>2191.28511064342</v>
      </c>
      <c r="AI49" s="73" t="n">
        <f aca="false">AI46+AI64</f>
        <v>2191.28511064342</v>
      </c>
      <c r="AJ49" s="73" t="n">
        <f aca="false">AJ46+AJ64</f>
        <v>2191.28511064342</v>
      </c>
      <c r="AK49" s="73" t="n">
        <f aca="false">AK46+AK64</f>
        <v>2191.28511064342</v>
      </c>
      <c r="AL49" s="73" t="n">
        <f aca="false">AL46+AL64</f>
        <v>-2632.3756762769</v>
      </c>
    </row>
    <row r="50" customFormat="false" ht="15" hidden="false" customHeight="false" outlineLevel="0" collapsed="false">
      <c r="A50" s="6" t="s">
        <v>403</v>
      </c>
      <c r="C50" s="67" t="n">
        <f aca="false">-(C69+C70+C72)/2*Inputs!$E$73/12</f>
        <v>-675</v>
      </c>
      <c r="D50" s="67" t="n">
        <f aca="false">-(D69+D70+D72)/2*Inputs!$E$73/12</f>
        <v>-669.375</v>
      </c>
      <c r="E50" s="67" t="n">
        <f aca="false">-(E69+E70+E72)/2*Inputs!$E$73/12</f>
        <v>-658.125</v>
      </c>
      <c r="F50" s="67" t="n">
        <f aca="false">-(F69+F70+F72)/2*Inputs!$E$73/12</f>
        <v>-646.875</v>
      </c>
      <c r="G50" s="67" t="n">
        <f aca="false">-(G69+G70+G72)/2*Inputs!$E$73/12</f>
        <v>-635.625</v>
      </c>
      <c r="H50" s="67" t="n">
        <f aca="false">-(H69+H70+H72)/2*Inputs!$E$73/12</f>
        <v>-624.375</v>
      </c>
      <c r="I50" s="67" t="n">
        <f aca="false">-(I69+I70+I72)/2*Inputs!$E$73/12</f>
        <v>-613.125</v>
      </c>
      <c r="J50" s="67" t="n">
        <f aca="false">-(J69+J70+J72)/2*Inputs!$E$73/12</f>
        <v>-601.875</v>
      </c>
      <c r="K50" s="67" t="n">
        <f aca="false">-(K69+K70+K72)/2*Inputs!$E$73/12</f>
        <v>-590.625</v>
      </c>
      <c r="L50" s="67" t="n">
        <f aca="false">-(L69+L70+L72)/2*Inputs!$E$73/12</f>
        <v>-579.375</v>
      </c>
      <c r="M50" s="67" t="n">
        <f aca="false">-(M69+M70+M72)/2*Inputs!$E$73/12</f>
        <v>-568.125</v>
      </c>
      <c r="N50" s="67" t="n">
        <f aca="false">-(N69+N70+N72)/2*Inputs!$E$73/12</f>
        <v>-556.875</v>
      </c>
      <c r="O50" s="67" t="n">
        <f aca="false">-(O69+O70+O72)/2*Inputs!$E$73/12</f>
        <v>-545.625</v>
      </c>
      <c r="P50" s="67" t="n">
        <f aca="false">-(P69+P70+P72)/2*Inputs!$E$73/12</f>
        <v>-534.375</v>
      </c>
      <c r="Q50" s="67" t="n">
        <f aca="false">-(Q69+Q70+Q72)/2*Inputs!$E$73/12</f>
        <v>-523.125</v>
      </c>
      <c r="R50" s="67" t="n">
        <f aca="false">-(R69+R70+R72)/2*Inputs!$E$73/12</f>
        <v>-511.875</v>
      </c>
      <c r="S50" s="67" t="n">
        <f aca="false">-(S69+S70+S72)/2*Inputs!$E$73/12</f>
        <v>-500.625</v>
      </c>
      <c r="T50" s="67" t="n">
        <f aca="false">-(T69+T70+T72)/2*Inputs!$E$73/12</f>
        <v>-489.375</v>
      </c>
      <c r="U50" s="67" t="n">
        <f aca="false">-(U69+U70+U72)/2*Inputs!$E$73/12</f>
        <v>-478.125</v>
      </c>
      <c r="V50" s="67" t="n">
        <f aca="false">-(V69+V70+V72)/2*Inputs!$E$73/12</f>
        <v>-466.875</v>
      </c>
      <c r="W50" s="67" t="n">
        <f aca="false">-(W69+W70+W72)/2*Inputs!$E$73/12</f>
        <v>-455.625</v>
      </c>
      <c r="X50" s="67" t="n">
        <f aca="false">-(X69+X70+X72)/2*Inputs!$E$73/12</f>
        <v>-444.375</v>
      </c>
      <c r="Y50" s="67" t="n">
        <f aca="false">-(Y69+Y70+Y72)/2*Inputs!$E$73/12</f>
        <v>-433.125</v>
      </c>
      <c r="Z50" s="67" t="n">
        <f aca="false">-(Z69+Z70+Z72)/2*Inputs!$E$73/12</f>
        <v>-421.875</v>
      </c>
      <c r="AA50" s="67" t="n">
        <f aca="false">-(AA69+AA70+AA72)/2*Inputs!$E$73/12</f>
        <v>-410.625</v>
      </c>
      <c r="AB50" s="67" t="n">
        <f aca="false">-(AB69+AB70+AB72)/2*Inputs!$E$73/12</f>
        <v>-399.375</v>
      </c>
      <c r="AC50" s="67" t="n">
        <f aca="false">-(AC69+AC70+AC72)/2*Inputs!$E$73/12</f>
        <v>-388.125</v>
      </c>
      <c r="AD50" s="67" t="n">
        <f aca="false">-(AD69+AD70+AD72)/2*Inputs!$E$73/12</f>
        <v>-376.875</v>
      </c>
      <c r="AE50" s="67" t="n">
        <f aca="false">-(AE69+AE70+AE72)/2*Inputs!$E$73/12</f>
        <v>-365.625</v>
      </c>
      <c r="AF50" s="67" t="n">
        <f aca="false">-(AF69+AF70+AF72)/2*Inputs!$E$73/12</f>
        <v>-354.375</v>
      </c>
      <c r="AG50" s="67" t="n">
        <f aca="false">-(AG69+AG70+AG72)/2*Inputs!$E$73/12</f>
        <v>-343.125</v>
      </c>
      <c r="AH50" s="67" t="n">
        <f aca="false">-(AH69+AH70+AH72)/2*Inputs!$E$73/12</f>
        <v>-331.875</v>
      </c>
      <c r="AI50" s="67" t="n">
        <f aca="false">-(AI69+AI70+AI72)/2*Inputs!$E$73/12</f>
        <v>-320.625</v>
      </c>
      <c r="AJ50" s="67" t="n">
        <f aca="false">-(AJ69+AJ70+AJ72)/2*Inputs!$E$73/12</f>
        <v>-309.375</v>
      </c>
      <c r="AK50" s="67" t="n">
        <f aca="false">-(AK69+AK70+AK72)/2*Inputs!$E$73/12</f>
        <v>-298.125</v>
      </c>
      <c r="AL50" s="67" t="n">
        <f aca="false">-(AL69+AL70+AL72)/2*Inputs!$E$73/12</f>
        <v>-286.875</v>
      </c>
    </row>
    <row r="51" customFormat="false" ht="15" hidden="false" customHeight="false" outlineLevel="0" collapsed="false">
      <c r="A51" s="113" t="s">
        <v>81</v>
      </c>
      <c r="C51" s="68" t="n">
        <f aca="false">C49+C50</f>
        <v>-10104.6678095238</v>
      </c>
      <c r="D51" s="68" t="n">
        <f aca="false">D49+D50</f>
        <v>-9090.56680952381</v>
      </c>
      <c r="E51" s="68" t="n">
        <f aca="false">E49+E50</f>
        <v>-5298.39280952381</v>
      </c>
      <c r="F51" s="68" t="n">
        <f aca="false">F49+F50</f>
        <v>-3903.61080952381</v>
      </c>
      <c r="G51" s="68" t="n">
        <f aca="false">G49+G50</f>
        <v>-2508.82880952381</v>
      </c>
      <c r="H51" s="68" t="n">
        <f aca="false">H49+H50</f>
        <v>-1114.04680952381</v>
      </c>
      <c r="I51" s="68" t="n">
        <f aca="false">I49+I50</f>
        <v>280.735190476187</v>
      </c>
      <c r="J51" s="68" t="n">
        <f aca="false">J49+J50</f>
        <v>291.985190476187</v>
      </c>
      <c r="K51" s="68" t="n">
        <f aca="false">K49+K50</f>
        <v>303.235190476187</v>
      </c>
      <c r="L51" s="68" t="n">
        <f aca="false">L49+L50</f>
        <v>314.485190476187</v>
      </c>
      <c r="M51" s="68" t="n">
        <f aca="false">M49+M50</f>
        <v>325.735190476187</v>
      </c>
      <c r="N51" s="68" t="n">
        <f aca="false">N49+N50</f>
        <v>-3935.68680952381</v>
      </c>
      <c r="O51" s="68" t="n">
        <f aca="false">O49+O50</f>
        <v>-3570.64533348572</v>
      </c>
      <c r="P51" s="68" t="n">
        <f aca="false">P49+P50</f>
        <v>-3559.39533348572</v>
      </c>
      <c r="Q51" s="68" t="n">
        <f aca="false">Q49+Q50</f>
        <v>991.777591314283</v>
      </c>
      <c r="R51" s="68" t="n">
        <f aca="false">R49+R50</f>
        <v>1003.02759131428</v>
      </c>
      <c r="S51" s="68" t="n">
        <f aca="false">S49+S50</f>
        <v>1014.27759131428</v>
      </c>
      <c r="T51" s="68" t="n">
        <f aca="false">T49+T50</f>
        <v>1025.52759131428</v>
      </c>
      <c r="U51" s="68" t="n">
        <f aca="false">U49+U50</f>
        <v>1036.77759131428</v>
      </c>
      <c r="V51" s="68" t="n">
        <f aca="false">V49+V50</f>
        <v>1048.02759131428</v>
      </c>
      <c r="W51" s="68" t="n">
        <f aca="false">W49+W50</f>
        <v>1059.27759131428</v>
      </c>
      <c r="X51" s="68" t="n">
        <f aca="false">X49+X50</f>
        <v>1070.52759131428</v>
      </c>
      <c r="Y51" s="68" t="n">
        <f aca="false">Y49+Y50</f>
        <v>1081.77759131428</v>
      </c>
      <c r="Z51" s="68" t="n">
        <f aca="false">Z49+Z50</f>
        <v>-3446.89533348572</v>
      </c>
      <c r="AA51" s="68" t="n">
        <f aca="false">AA49+AA50</f>
        <v>-3043.0006762769</v>
      </c>
      <c r="AB51" s="68" t="n">
        <f aca="false">AB49+AB50</f>
        <v>-3031.7506762769</v>
      </c>
      <c r="AC51" s="68" t="n">
        <f aca="false">AC49+AC50</f>
        <v>1803.16011064342</v>
      </c>
      <c r="AD51" s="68" t="n">
        <f aca="false">AD49+AD50</f>
        <v>1814.41011064342</v>
      </c>
      <c r="AE51" s="68" t="n">
        <f aca="false">AE49+AE50</f>
        <v>1825.66011064342</v>
      </c>
      <c r="AF51" s="68" t="n">
        <f aca="false">AF49+AF50</f>
        <v>1836.91011064342</v>
      </c>
      <c r="AG51" s="68" t="n">
        <f aca="false">AG49+AG50</f>
        <v>1848.16011064342</v>
      </c>
      <c r="AH51" s="68" t="n">
        <f aca="false">AH49+AH50</f>
        <v>1859.41011064342</v>
      </c>
      <c r="AI51" s="68" t="n">
        <f aca="false">AI49+AI50</f>
        <v>1870.66011064342</v>
      </c>
      <c r="AJ51" s="68" t="n">
        <f aca="false">AJ49+AJ50</f>
        <v>1881.91011064342</v>
      </c>
      <c r="AK51" s="68" t="n">
        <f aca="false">AK49+AK50</f>
        <v>1893.16011064342</v>
      </c>
      <c r="AL51" s="68" t="n">
        <f aca="false">AL49+AL50</f>
        <v>-2919.2506762769</v>
      </c>
    </row>
    <row r="52" customFormat="false" ht="15" hidden="false" customHeight="false" outlineLevel="0" collapsed="false">
      <c r="A52" s="117" t="s">
        <v>404</v>
      </c>
      <c r="C52" s="67" t="n">
        <f aca="false">C51</f>
        <v>-10104.6678095238</v>
      </c>
      <c r="D52" s="67" t="n">
        <f aca="false">C52+D51</f>
        <v>-19195.2346190476</v>
      </c>
      <c r="E52" s="67" t="n">
        <f aca="false">D52+E51</f>
        <v>-24493.6274285714</v>
      </c>
      <c r="F52" s="67" t="n">
        <f aca="false">E52+F51</f>
        <v>-28397.2382380952</v>
      </c>
      <c r="G52" s="67" t="n">
        <f aca="false">F52+G51</f>
        <v>-30906.0670476191</v>
      </c>
      <c r="H52" s="67" t="n">
        <f aca="false">G52+H51</f>
        <v>-32020.1138571429</v>
      </c>
      <c r="I52" s="67" t="n">
        <f aca="false">H52+I51</f>
        <v>-31739.3786666667</v>
      </c>
      <c r="J52" s="67" t="n">
        <f aca="false">I52+J51</f>
        <v>-31447.3934761905</v>
      </c>
      <c r="K52" s="67" t="n">
        <f aca="false">J52+K51</f>
        <v>-31144.1582857143</v>
      </c>
      <c r="L52" s="67" t="n">
        <f aca="false">K52+L51</f>
        <v>-30829.6730952381</v>
      </c>
      <c r="M52" s="67" t="n">
        <f aca="false">L52+M51</f>
        <v>-30503.9379047619</v>
      </c>
      <c r="N52" s="67" t="n">
        <f aca="false">M52+N51</f>
        <v>-34439.6247142857</v>
      </c>
      <c r="O52" s="67" t="n">
        <f aca="false">N52+O51</f>
        <v>-38010.2700477714</v>
      </c>
      <c r="P52" s="67" t="n">
        <f aca="false">O52+P51</f>
        <v>-41569.6653812572</v>
      </c>
      <c r="Q52" s="67" t="n">
        <f aca="false">P52+Q51</f>
        <v>-40577.8877899429</v>
      </c>
      <c r="R52" s="67" t="n">
        <f aca="false">Q52+R51</f>
        <v>-39574.8601986286</v>
      </c>
      <c r="S52" s="67" t="n">
        <f aca="false">R52+S51</f>
        <v>-38560.5826073143</v>
      </c>
      <c r="T52" s="67" t="n">
        <f aca="false">S52+T51</f>
        <v>-37535.055016</v>
      </c>
      <c r="U52" s="67" t="n">
        <f aca="false">T52+U51</f>
        <v>-36498.2774246857</v>
      </c>
      <c r="V52" s="67" t="n">
        <f aca="false">U52+V51</f>
        <v>-35450.2498333715</v>
      </c>
      <c r="W52" s="67" t="n">
        <f aca="false">V52+W51</f>
        <v>-34390.9722420572</v>
      </c>
      <c r="X52" s="67" t="n">
        <f aca="false">W52+X51</f>
        <v>-33320.4446507429</v>
      </c>
      <c r="Y52" s="67" t="n">
        <f aca="false">X52+Y51</f>
        <v>-32238.6670594286</v>
      </c>
      <c r="Z52" s="67" t="n">
        <f aca="false">Y52+Z51</f>
        <v>-35685.5623929143</v>
      </c>
      <c r="AA52" s="67" t="n">
        <f aca="false">Z52+AA51</f>
        <v>-38728.5630691912</v>
      </c>
      <c r="AB52" s="67" t="n">
        <f aca="false">AA52+AB51</f>
        <v>-41760.3137454681</v>
      </c>
      <c r="AC52" s="67" t="n">
        <f aca="false">AB52+AC51</f>
        <v>-39957.1536348247</v>
      </c>
      <c r="AD52" s="67" t="n">
        <f aca="false">AC52+AD51</f>
        <v>-38142.7435241813</v>
      </c>
      <c r="AE52" s="67" t="n">
        <f aca="false">AD52+AE51</f>
        <v>-36317.0834135379</v>
      </c>
      <c r="AF52" s="67" t="n">
        <f aca="false">AE52+AF51</f>
        <v>-34480.1733028944</v>
      </c>
      <c r="AG52" s="67" t="n">
        <f aca="false">AF52+AG51</f>
        <v>-32632.013192251</v>
      </c>
      <c r="AH52" s="67" t="n">
        <f aca="false">AG52+AH51</f>
        <v>-30772.6030816076</v>
      </c>
      <c r="AI52" s="67" t="n">
        <f aca="false">AH52+AI51</f>
        <v>-28901.9429709642</v>
      </c>
      <c r="AJ52" s="67" t="n">
        <f aca="false">AI52+AJ51</f>
        <v>-27020.0328603208</v>
      </c>
      <c r="AK52" s="67" t="n">
        <f aca="false">AJ52+AK51</f>
        <v>-25126.8727496773</v>
      </c>
      <c r="AL52" s="67" t="n">
        <f aca="false">AK52+AL51</f>
        <v>-28046.1234259542</v>
      </c>
    </row>
    <row r="53" customFormat="false" ht="15" hidden="false" customHeight="false" outlineLevel="0" collapsed="false">
      <c r="A53" s="117" t="s">
        <v>405</v>
      </c>
      <c r="C53" s="67" t="n">
        <f aca="false">MAX(0,C52)</f>
        <v>0</v>
      </c>
      <c r="D53" s="67" t="n">
        <f aca="false">MAX(C53,D52)</f>
        <v>0</v>
      </c>
      <c r="E53" s="67" t="n">
        <f aca="false">MAX(D53,E52)</f>
        <v>0</v>
      </c>
      <c r="F53" s="67" t="n">
        <f aca="false">MAX(E53,F52)</f>
        <v>0</v>
      </c>
      <c r="G53" s="67" t="n">
        <f aca="false">MAX(F53,G52)</f>
        <v>0</v>
      </c>
      <c r="H53" s="67" t="n">
        <f aca="false">MAX(G53,H52)</f>
        <v>0</v>
      </c>
      <c r="I53" s="67" t="n">
        <f aca="false">MAX(H53,I52)</f>
        <v>0</v>
      </c>
      <c r="J53" s="67" t="n">
        <f aca="false">MAX(I53,J52)</f>
        <v>0</v>
      </c>
      <c r="K53" s="67" t="n">
        <f aca="false">MAX(J53,K52)</f>
        <v>0</v>
      </c>
      <c r="L53" s="67" t="n">
        <f aca="false">MAX(K53,L52)</f>
        <v>0</v>
      </c>
      <c r="M53" s="67" t="n">
        <f aca="false">MAX(L53,M52)</f>
        <v>0</v>
      </c>
      <c r="N53" s="67" t="n">
        <f aca="false">MAX(M53,N52)</f>
        <v>0</v>
      </c>
      <c r="O53" s="67" t="n">
        <f aca="false">MAX(N53,O52)</f>
        <v>0</v>
      </c>
      <c r="P53" s="67" t="n">
        <f aca="false">MAX(O53,P52)</f>
        <v>0</v>
      </c>
      <c r="Q53" s="67" t="n">
        <f aca="false">MAX(P53,Q52)</f>
        <v>0</v>
      </c>
      <c r="R53" s="67" t="n">
        <f aca="false">MAX(Q53,R52)</f>
        <v>0</v>
      </c>
      <c r="S53" s="67" t="n">
        <f aca="false">MAX(R53,S52)</f>
        <v>0</v>
      </c>
      <c r="T53" s="67" t="n">
        <f aca="false">MAX(S53,T52)</f>
        <v>0</v>
      </c>
      <c r="U53" s="67" t="n">
        <f aca="false">MAX(T53,U52)</f>
        <v>0</v>
      </c>
      <c r="V53" s="67" t="n">
        <f aca="false">MAX(U53,V52)</f>
        <v>0</v>
      </c>
      <c r="W53" s="67" t="n">
        <f aca="false">MAX(V53,W52)</f>
        <v>0</v>
      </c>
      <c r="X53" s="67" t="n">
        <f aca="false">MAX(W53,X52)</f>
        <v>0</v>
      </c>
      <c r="Y53" s="67" t="n">
        <f aca="false">MAX(X53,Y52)</f>
        <v>0</v>
      </c>
      <c r="Z53" s="67" t="n">
        <f aca="false">MAX(Y53,Z52)</f>
        <v>0</v>
      </c>
      <c r="AA53" s="67" t="n">
        <f aca="false">MAX(Z53,AA52)</f>
        <v>0</v>
      </c>
      <c r="AB53" s="67" t="n">
        <f aca="false">MAX(AA53,AB52)</f>
        <v>0</v>
      </c>
      <c r="AC53" s="67" t="n">
        <f aca="false">MAX(AB53,AC52)</f>
        <v>0</v>
      </c>
      <c r="AD53" s="67" t="n">
        <f aca="false">MAX(AC53,AD52)</f>
        <v>0</v>
      </c>
      <c r="AE53" s="67" t="n">
        <f aca="false">MAX(AD53,AE52)</f>
        <v>0</v>
      </c>
      <c r="AF53" s="67" t="n">
        <f aca="false">MAX(AE53,AF52)</f>
        <v>0</v>
      </c>
      <c r="AG53" s="67" t="n">
        <f aca="false">MAX(AF53,AG52)</f>
        <v>0</v>
      </c>
      <c r="AH53" s="67" t="n">
        <f aca="false">MAX(AG53,AH52)</f>
        <v>0</v>
      </c>
      <c r="AI53" s="67" t="n">
        <f aca="false">MAX(AH53,AI52)</f>
        <v>0</v>
      </c>
      <c r="AJ53" s="67" t="n">
        <f aca="false">MAX(AI53,AJ52)</f>
        <v>0</v>
      </c>
      <c r="AK53" s="67" t="n">
        <f aca="false">MAX(AJ53,AK52)</f>
        <v>0</v>
      </c>
      <c r="AL53" s="67" t="n">
        <f aca="false">MAX(AK53,AL52)</f>
        <v>0</v>
      </c>
    </row>
    <row r="54" customFormat="false" ht="15" hidden="false" customHeight="false" outlineLevel="0" collapsed="false">
      <c r="A54" s="6" t="s">
        <v>82</v>
      </c>
      <c r="C54" s="67" t="n">
        <f aca="false">-C53*Inputs!$E$83</f>
        <v>-0</v>
      </c>
      <c r="D54" s="67" t="n">
        <f aca="false">-(D53-C53)*Inputs!$E$83</f>
        <v>-0</v>
      </c>
      <c r="E54" s="67" t="n">
        <f aca="false">-(E53-D53)*Inputs!$E$83</f>
        <v>-0</v>
      </c>
      <c r="F54" s="67" t="n">
        <f aca="false">-(F53-E53)*Inputs!$E$83</f>
        <v>-0</v>
      </c>
      <c r="G54" s="67" t="n">
        <f aca="false">-(G53-F53)*Inputs!$E$83</f>
        <v>-0</v>
      </c>
      <c r="H54" s="67" t="n">
        <f aca="false">-(H53-G53)*Inputs!$E$83</f>
        <v>-0</v>
      </c>
      <c r="I54" s="67" t="n">
        <f aca="false">-(I53-H53)*Inputs!$E$83</f>
        <v>-0</v>
      </c>
      <c r="J54" s="67" t="n">
        <f aca="false">-(J53-I53)*Inputs!$E$83</f>
        <v>-0</v>
      </c>
      <c r="K54" s="67" t="n">
        <f aca="false">-(K53-J53)*Inputs!$E$83</f>
        <v>-0</v>
      </c>
      <c r="L54" s="67" t="n">
        <f aca="false">-(L53-K53)*Inputs!$E$83</f>
        <v>-0</v>
      </c>
      <c r="M54" s="67" t="n">
        <f aca="false">-(M53-L53)*Inputs!$E$83</f>
        <v>-0</v>
      </c>
      <c r="N54" s="67" t="n">
        <f aca="false">-(N53-M53)*Inputs!$E$83</f>
        <v>-0</v>
      </c>
      <c r="O54" s="67" t="n">
        <f aca="false">-(O53-N53)*Inputs!$E$83</f>
        <v>-0</v>
      </c>
      <c r="P54" s="67" t="n">
        <f aca="false">-(P53-O53)*Inputs!$E$83</f>
        <v>-0</v>
      </c>
      <c r="Q54" s="67" t="n">
        <f aca="false">-(Q53-P53)*Inputs!$E$83</f>
        <v>-0</v>
      </c>
      <c r="R54" s="67" t="n">
        <f aca="false">-(R53-Q53)*Inputs!$E$83</f>
        <v>-0</v>
      </c>
      <c r="S54" s="67" t="n">
        <f aca="false">-(S53-R53)*Inputs!$E$83</f>
        <v>-0</v>
      </c>
      <c r="T54" s="67" t="n">
        <f aca="false">-(T53-S53)*Inputs!$E$83</f>
        <v>-0</v>
      </c>
      <c r="U54" s="67" t="n">
        <f aca="false">-(U53-T53)*Inputs!$E$83</f>
        <v>-0</v>
      </c>
      <c r="V54" s="67" t="n">
        <f aca="false">-(V53-U53)*Inputs!$E$83</f>
        <v>-0</v>
      </c>
      <c r="W54" s="67" t="n">
        <f aca="false">-(W53-V53)*Inputs!$E$83</f>
        <v>-0</v>
      </c>
      <c r="X54" s="67" t="n">
        <f aca="false">-(X53-W53)*Inputs!$E$83</f>
        <v>-0</v>
      </c>
      <c r="Y54" s="67" t="n">
        <f aca="false">-(Y53-X53)*Inputs!$E$83</f>
        <v>-0</v>
      </c>
      <c r="Z54" s="67" t="n">
        <f aca="false">-(Z53-Y53)*Inputs!$E$83</f>
        <v>-0</v>
      </c>
      <c r="AA54" s="67" t="n">
        <f aca="false">-(AA53-Z53)*Inputs!$E$83</f>
        <v>-0</v>
      </c>
      <c r="AB54" s="67" t="n">
        <f aca="false">-(AB53-AA53)*Inputs!$E$83</f>
        <v>-0</v>
      </c>
      <c r="AC54" s="67" t="n">
        <f aca="false">-(AC53-AB53)*Inputs!$E$83</f>
        <v>-0</v>
      </c>
      <c r="AD54" s="67" t="n">
        <f aca="false">-(AD53-AC53)*Inputs!$E$83</f>
        <v>-0</v>
      </c>
      <c r="AE54" s="67" t="n">
        <f aca="false">-(AE53-AD53)*Inputs!$E$83</f>
        <v>-0</v>
      </c>
      <c r="AF54" s="67" t="n">
        <f aca="false">-(AF53-AE53)*Inputs!$E$83</f>
        <v>-0</v>
      </c>
      <c r="AG54" s="67" t="n">
        <f aca="false">-(AG53-AF53)*Inputs!$E$83</f>
        <v>-0</v>
      </c>
      <c r="AH54" s="67" t="n">
        <f aca="false">-(AH53-AG53)*Inputs!$E$83</f>
        <v>-0</v>
      </c>
      <c r="AI54" s="67" t="n">
        <f aca="false">-(AI53-AH53)*Inputs!$E$83</f>
        <v>-0</v>
      </c>
      <c r="AJ54" s="67" t="n">
        <f aca="false">-(AJ53-AI53)*Inputs!$E$83</f>
        <v>-0</v>
      </c>
      <c r="AK54" s="67" t="n">
        <f aca="false">-(AK53-AJ53)*Inputs!$E$83</f>
        <v>-0</v>
      </c>
      <c r="AL54" s="67" t="n">
        <f aca="false">-(AL53-AK53)*Inputs!$E$83</f>
        <v>-0</v>
      </c>
    </row>
    <row r="55" customFormat="false" ht="15" hidden="false" customHeight="false" outlineLevel="0" collapsed="false">
      <c r="A55" s="113" t="s">
        <v>50</v>
      </c>
      <c r="C55" s="68" t="n">
        <f aca="false">C51+C54</f>
        <v>-10104.6678095238</v>
      </c>
      <c r="D55" s="68" t="n">
        <f aca="false">D51+D54</f>
        <v>-9090.56680952381</v>
      </c>
      <c r="E55" s="68" t="n">
        <f aca="false">E51+E54</f>
        <v>-5298.39280952381</v>
      </c>
      <c r="F55" s="68" t="n">
        <f aca="false">F51+F54</f>
        <v>-3903.61080952381</v>
      </c>
      <c r="G55" s="68" t="n">
        <f aca="false">G51+G54</f>
        <v>-2508.82880952381</v>
      </c>
      <c r="H55" s="68" t="n">
        <f aca="false">H51+H54</f>
        <v>-1114.04680952381</v>
      </c>
      <c r="I55" s="68" t="n">
        <f aca="false">I51+I54</f>
        <v>280.735190476187</v>
      </c>
      <c r="J55" s="68" t="n">
        <f aca="false">J51+J54</f>
        <v>291.985190476187</v>
      </c>
      <c r="K55" s="68" t="n">
        <f aca="false">K51+K54</f>
        <v>303.235190476187</v>
      </c>
      <c r="L55" s="68" t="n">
        <f aca="false">L51+L54</f>
        <v>314.485190476187</v>
      </c>
      <c r="M55" s="68" t="n">
        <f aca="false">M51+M54</f>
        <v>325.735190476187</v>
      </c>
      <c r="N55" s="68" t="n">
        <f aca="false">N51+N54</f>
        <v>-3935.68680952381</v>
      </c>
      <c r="O55" s="68" t="n">
        <f aca="false">O51+O54</f>
        <v>-3570.64533348572</v>
      </c>
      <c r="P55" s="68" t="n">
        <f aca="false">P51+P54</f>
        <v>-3559.39533348572</v>
      </c>
      <c r="Q55" s="68" t="n">
        <f aca="false">Q51+Q54</f>
        <v>991.777591314283</v>
      </c>
      <c r="R55" s="68" t="n">
        <f aca="false">R51+R54</f>
        <v>1003.02759131428</v>
      </c>
      <c r="S55" s="68" t="n">
        <f aca="false">S51+S54</f>
        <v>1014.27759131428</v>
      </c>
      <c r="T55" s="68" t="n">
        <f aca="false">T51+T54</f>
        <v>1025.52759131428</v>
      </c>
      <c r="U55" s="68" t="n">
        <f aca="false">U51+U54</f>
        <v>1036.77759131428</v>
      </c>
      <c r="V55" s="68" t="n">
        <f aca="false">V51+V54</f>
        <v>1048.02759131428</v>
      </c>
      <c r="W55" s="68" t="n">
        <f aca="false">W51+W54</f>
        <v>1059.27759131428</v>
      </c>
      <c r="X55" s="68" t="n">
        <f aca="false">X51+X54</f>
        <v>1070.52759131428</v>
      </c>
      <c r="Y55" s="68" t="n">
        <f aca="false">Y51+Y54</f>
        <v>1081.77759131428</v>
      </c>
      <c r="Z55" s="68" t="n">
        <f aca="false">Z51+Z54</f>
        <v>-3446.89533348572</v>
      </c>
      <c r="AA55" s="68" t="n">
        <f aca="false">AA51+AA54</f>
        <v>-3043.0006762769</v>
      </c>
      <c r="AB55" s="68" t="n">
        <f aca="false">AB51+AB54</f>
        <v>-3031.7506762769</v>
      </c>
      <c r="AC55" s="68" t="n">
        <f aca="false">AC51+AC54</f>
        <v>1803.16011064342</v>
      </c>
      <c r="AD55" s="68" t="n">
        <f aca="false">AD51+AD54</f>
        <v>1814.41011064342</v>
      </c>
      <c r="AE55" s="68" t="n">
        <f aca="false">AE51+AE54</f>
        <v>1825.66011064342</v>
      </c>
      <c r="AF55" s="68" t="n">
        <f aca="false">AF51+AF54</f>
        <v>1836.91011064342</v>
      </c>
      <c r="AG55" s="68" t="n">
        <f aca="false">AG51+AG54</f>
        <v>1848.16011064342</v>
      </c>
      <c r="AH55" s="68" t="n">
        <f aca="false">AH51+AH54</f>
        <v>1859.41011064342</v>
      </c>
      <c r="AI55" s="68" t="n">
        <f aca="false">AI51+AI54</f>
        <v>1870.66011064342</v>
      </c>
      <c r="AJ55" s="68" t="n">
        <f aca="false">AJ51+AJ54</f>
        <v>1881.91011064342</v>
      </c>
      <c r="AK55" s="68" t="n">
        <f aca="false">AK51+AK54</f>
        <v>1893.16011064342</v>
      </c>
      <c r="AL55" s="68" t="n">
        <f aca="false">AL51+AL54</f>
        <v>-2919.2506762769</v>
      </c>
    </row>
    <row r="57" customFormat="false" ht="15.75" hidden="false" customHeight="true" outlineLevel="0" collapsed="false">
      <c r="A57" s="7" t="s">
        <v>406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</row>
    <row r="58" customFormat="false" ht="15" hidden="false" customHeight="false" outlineLevel="0" collapsed="false">
      <c r="A58" s="6" t="s">
        <v>407</v>
      </c>
      <c r="C58" s="67" t="n">
        <f aca="false">Inputs!$E$48*Inputs!$E$49</f>
        <v>95000</v>
      </c>
      <c r="D58" s="67" t="n">
        <f aca="false">IF(AND(D$5&gt;1,MOD(D$4-1,12)=0),Inputs!$E$8*Inputs!$E$49,0)</f>
        <v>0</v>
      </c>
      <c r="E58" s="67" t="n">
        <f aca="false">IF(AND(E$5&gt;1,MOD(E$4-1,12)=0),Inputs!$E$8*Inputs!$E$49,0)</f>
        <v>0</v>
      </c>
      <c r="F58" s="67" t="n">
        <f aca="false">IF(AND(F$5&gt;1,MOD(F$4-1,12)=0),Inputs!$E$8*Inputs!$E$49,0)</f>
        <v>0</v>
      </c>
      <c r="G58" s="67" t="n">
        <f aca="false">IF(AND(G$5&gt;1,MOD(G$4-1,12)=0),Inputs!$E$8*Inputs!$E$49,0)</f>
        <v>0</v>
      </c>
      <c r="H58" s="67" t="n">
        <f aca="false">IF(AND(H$5&gt;1,MOD(H$4-1,12)=0),Inputs!$E$8*Inputs!$E$49,0)</f>
        <v>0</v>
      </c>
      <c r="I58" s="67" t="n">
        <f aca="false">IF(AND(I$5&gt;1,MOD(I$4-1,12)=0),Inputs!$E$8*Inputs!$E$49,0)</f>
        <v>0</v>
      </c>
      <c r="J58" s="67" t="n">
        <f aca="false">IF(AND(J$5&gt;1,MOD(J$4-1,12)=0),Inputs!$E$8*Inputs!$E$49,0)</f>
        <v>0</v>
      </c>
      <c r="K58" s="67" t="n">
        <f aca="false">IF(AND(K$5&gt;1,MOD(K$4-1,12)=0),Inputs!$E$8*Inputs!$E$49,0)</f>
        <v>0</v>
      </c>
      <c r="L58" s="67" t="n">
        <f aca="false">IF(AND(L$5&gt;1,MOD(L$4-1,12)=0),Inputs!$E$8*Inputs!$E$49,0)</f>
        <v>0</v>
      </c>
      <c r="M58" s="67" t="n">
        <f aca="false">IF(AND(M$5&gt;1,MOD(M$4-1,12)=0),Inputs!$E$8*Inputs!$E$49,0)</f>
        <v>0</v>
      </c>
      <c r="N58" s="67" t="n">
        <f aca="false">IF(AND(N$5&gt;1,MOD(N$4-1,12)=0),Inputs!$E$8*Inputs!$E$49,0)</f>
        <v>0</v>
      </c>
      <c r="O58" s="67" t="n">
        <f aca="false">IF(AND(O$5&gt;1,MOD(O$4-1,12)=0),Inputs!$E$8*Inputs!$E$49,0)</f>
        <v>0</v>
      </c>
      <c r="P58" s="67" t="n">
        <f aca="false">IF(AND(P$5&gt;1,MOD(P$4-1,12)=0),Inputs!$E$8*Inputs!$E$49,0)</f>
        <v>0</v>
      </c>
      <c r="Q58" s="67" t="n">
        <f aca="false">IF(AND(Q$5&gt;1,MOD(Q$4-1,12)=0),Inputs!$E$8*Inputs!$E$49,0)</f>
        <v>0</v>
      </c>
      <c r="R58" s="67" t="n">
        <f aca="false">IF(AND(R$5&gt;1,MOD(R$4-1,12)=0),Inputs!$E$8*Inputs!$E$49,0)</f>
        <v>0</v>
      </c>
      <c r="S58" s="67" t="n">
        <f aca="false">IF(AND(S$5&gt;1,MOD(S$4-1,12)=0),Inputs!$E$8*Inputs!$E$49,0)</f>
        <v>0</v>
      </c>
      <c r="T58" s="67" t="n">
        <f aca="false">IF(AND(T$5&gt;1,MOD(T$4-1,12)=0),Inputs!$E$8*Inputs!$E$49,0)</f>
        <v>0</v>
      </c>
      <c r="U58" s="67" t="n">
        <f aca="false">IF(AND(U$5&gt;1,MOD(U$4-1,12)=0),Inputs!$E$8*Inputs!$E$49,0)</f>
        <v>0</v>
      </c>
      <c r="V58" s="67" t="n">
        <f aca="false">IF(AND(V$5&gt;1,MOD(V$4-1,12)=0),Inputs!$E$8*Inputs!$E$49,0)</f>
        <v>0</v>
      </c>
      <c r="W58" s="67" t="n">
        <f aca="false">IF(AND(W$5&gt;1,MOD(W$4-1,12)=0),Inputs!$E$8*Inputs!$E$49,0)</f>
        <v>0</v>
      </c>
      <c r="X58" s="67" t="n">
        <f aca="false">IF(AND(X$5&gt;1,MOD(X$4-1,12)=0),Inputs!$E$8*Inputs!$E$49,0)</f>
        <v>0</v>
      </c>
      <c r="Y58" s="67" t="n">
        <f aca="false">IF(AND(Y$5&gt;1,MOD(Y$4-1,12)=0),Inputs!$E$8*Inputs!$E$49,0)</f>
        <v>0</v>
      </c>
      <c r="Z58" s="67" t="n">
        <f aca="false">IF(AND(Z$5&gt;1,MOD(Z$4-1,12)=0),Inputs!$E$8*Inputs!$E$49,0)</f>
        <v>0</v>
      </c>
      <c r="AA58" s="67" t="n">
        <f aca="false">IF(AND(AA$5&gt;1,MOD(AA$4-1,12)=0),Inputs!$E$8*Inputs!$E$49,0)</f>
        <v>0</v>
      </c>
      <c r="AB58" s="67" t="n">
        <f aca="false">IF(AND(AB$5&gt;1,MOD(AB$4-1,12)=0),Inputs!$E$8*Inputs!$E$49,0)</f>
        <v>0</v>
      </c>
      <c r="AC58" s="67" t="n">
        <f aca="false">IF(AND(AC$5&gt;1,MOD(AC$4-1,12)=0),Inputs!$E$8*Inputs!$E$49,0)</f>
        <v>0</v>
      </c>
      <c r="AD58" s="67" t="n">
        <f aca="false">IF(AND(AD$5&gt;1,MOD(AD$4-1,12)=0),Inputs!$E$8*Inputs!$E$49,0)</f>
        <v>0</v>
      </c>
      <c r="AE58" s="67" t="n">
        <f aca="false">IF(AND(AE$5&gt;1,MOD(AE$4-1,12)=0),Inputs!$E$8*Inputs!$E$49,0)</f>
        <v>0</v>
      </c>
      <c r="AF58" s="67" t="n">
        <f aca="false">IF(AND(AF$5&gt;1,MOD(AF$4-1,12)=0),Inputs!$E$8*Inputs!$E$49,0)</f>
        <v>0</v>
      </c>
      <c r="AG58" s="67" t="n">
        <f aca="false">IF(AND(AG$5&gt;1,MOD(AG$4-1,12)=0),Inputs!$E$8*Inputs!$E$49,0)</f>
        <v>0</v>
      </c>
      <c r="AH58" s="67" t="n">
        <f aca="false">IF(AND(AH$5&gt;1,MOD(AH$4-1,12)=0),Inputs!$E$8*Inputs!$E$49,0)</f>
        <v>0</v>
      </c>
      <c r="AI58" s="67" t="n">
        <f aca="false">IF(AND(AI$5&gt;1,MOD(AI$4-1,12)=0),Inputs!$E$8*Inputs!$E$49,0)</f>
        <v>0</v>
      </c>
      <c r="AJ58" s="67" t="n">
        <f aca="false">IF(AND(AJ$5&gt;1,MOD(AJ$4-1,12)=0),Inputs!$E$8*Inputs!$E$49,0)</f>
        <v>0</v>
      </c>
      <c r="AK58" s="67" t="n">
        <f aca="false">IF(AND(AK$5&gt;1,MOD(AK$4-1,12)=0),Inputs!$E$8*Inputs!$E$49,0)</f>
        <v>0</v>
      </c>
      <c r="AL58" s="67" t="n">
        <f aca="false">IF(AND(AL$5&gt;1,MOD(AL$4-1,12)=0),Inputs!$E$8*Inputs!$E$49,0)</f>
        <v>0</v>
      </c>
    </row>
    <row r="59" customFormat="false" ht="15" hidden="false" customHeight="false" outlineLevel="0" collapsed="false">
      <c r="A59" s="6" t="s">
        <v>408</v>
      </c>
      <c r="C59" s="67" t="n">
        <f aca="false">Inputs!$E$48*Inputs!$E$50</f>
        <v>40000</v>
      </c>
      <c r="D59" s="67" t="n">
        <f aca="false">IF(AND(D$5&gt;1,MOD(D$4-1,12)=0),Inputs!$E$8*Inputs!$E$50,0)</f>
        <v>0</v>
      </c>
      <c r="E59" s="67" t="n">
        <f aca="false">IF(AND(E$5&gt;1,MOD(E$4-1,12)=0),Inputs!$E$8*Inputs!$E$50,0)</f>
        <v>0</v>
      </c>
      <c r="F59" s="67" t="n">
        <f aca="false">IF(AND(F$5&gt;1,MOD(F$4-1,12)=0),Inputs!$E$8*Inputs!$E$50,0)</f>
        <v>0</v>
      </c>
      <c r="G59" s="67" t="n">
        <f aca="false">IF(AND(G$5&gt;1,MOD(G$4-1,12)=0),Inputs!$E$8*Inputs!$E$50,0)</f>
        <v>0</v>
      </c>
      <c r="H59" s="67" t="n">
        <f aca="false">IF(AND(H$5&gt;1,MOD(H$4-1,12)=0),Inputs!$E$8*Inputs!$E$50,0)</f>
        <v>0</v>
      </c>
      <c r="I59" s="67" t="n">
        <f aca="false">IF(AND(I$5&gt;1,MOD(I$4-1,12)=0),Inputs!$E$8*Inputs!$E$50,0)</f>
        <v>0</v>
      </c>
      <c r="J59" s="67" t="n">
        <f aca="false">IF(AND(J$5&gt;1,MOD(J$4-1,12)=0),Inputs!$E$8*Inputs!$E$50,0)</f>
        <v>0</v>
      </c>
      <c r="K59" s="67" t="n">
        <f aca="false">IF(AND(K$5&gt;1,MOD(K$4-1,12)=0),Inputs!$E$8*Inputs!$E$50,0)</f>
        <v>0</v>
      </c>
      <c r="L59" s="67" t="n">
        <f aca="false">IF(AND(L$5&gt;1,MOD(L$4-1,12)=0),Inputs!$E$8*Inputs!$E$50,0)</f>
        <v>0</v>
      </c>
      <c r="M59" s="67" t="n">
        <f aca="false">IF(AND(M$5&gt;1,MOD(M$4-1,12)=0),Inputs!$E$8*Inputs!$E$50,0)</f>
        <v>0</v>
      </c>
      <c r="N59" s="67" t="n">
        <f aca="false">IF(AND(N$5&gt;1,MOD(N$4-1,12)=0),Inputs!$E$8*Inputs!$E$50,0)</f>
        <v>0</v>
      </c>
      <c r="O59" s="67" t="n">
        <f aca="false">IF(AND(O$5&gt;1,MOD(O$4-1,12)=0),Inputs!$E$8*Inputs!$E$50,0)</f>
        <v>0</v>
      </c>
      <c r="P59" s="67" t="n">
        <f aca="false">IF(AND(P$5&gt;1,MOD(P$4-1,12)=0),Inputs!$E$8*Inputs!$E$50,0)</f>
        <v>0</v>
      </c>
      <c r="Q59" s="67" t="n">
        <f aca="false">IF(AND(Q$5&gt;1,MOD(Q$4-1,12)=0),Inputs!$E$8*Inputs!$E$50,0)</f>
        <v>0</v>
      </c>
      <c r="R59" s="67" t="n">
        <f aca="false">IF(AND(R$5&gt;1,MOD(R$4-1,12)=0),Inputs!$E$8*Inputs!$E$50,0)</f>
        <v>0</v>
      </c>
      <c r="S59" s="67" t="n">
        <f aca="false">IF(AND(S$5&gt;1,MOD(S$4-1,12)=0),Inputs!$E$8*Inputs!$E$50,0)</f>
        <v>0</v>
      </c>
      <c r="T59" s="67" t="n">
        <f aca="false">IF(AND(T$5&gt;1,MOD(T$4-1,12)=0),Inputs!$E$8*Inputs!$E$50,0)</f>
        <v>0</v>
      </c>
      <c r="U59" s="67" t="n">
        <f aca="false">IF(AND(U$5&gt;1,MOD(U$4-1,12)=0),Inputs!$E$8*Inputs!$E$50,0)</f>
        <v>0</v>
      </c>
      <c r="V59" s="67" t="n">
        <f aca="false">IF(AND(V$5&gt;1,MOD(V$4-1,12)=0),Inputs!$E$8*Inputs!$E$50,0)</f>
        <v>0</v>
      </c>
      <c r="W59" s="67" t="n">
        <f aca="false">IF(AND(W$5&gt;1,MOD(W$4-1,12)=0),Inputs!$E$8*Inputs!$E$50,0)</f>
        <v>0</v>
      </c>
      <c r="X59" s="67" t="n">
        <f aca="false">IF(AND(X$5&gt;1,MOD(X$4-1,12)=0),Inputs!$E$8*Inputs!$E$50,0)</f>
        <v>0</v>
      </c>
      <c r="Y59" s="67" t="n">
        <f aca="false">IF(AND(Y$5&gt;1,MOD(Y$4-1,12)=0),Inputs!$E$8*Inputs!$E$50,0)</f>
        <v>0</v>
      </c>
      <c r="Z59" s="67" t="n">
        <f aca="false">IF(AND(Z$5&gt;1,MOD(Z$4-1,12)=0),Inputs!$E$8*Inputs!$E$50,0)</f>
        <v>0</v>
      </c>
      <c r="AA59" s="67" t="n">
        <f aca="false">IF(AND(AA$5&gt;1,MOD(AA$4-1,12)=0),Inputs!$E$8*Inputs!$E$50,0)</f>
        <v>0</v>
      </c>
      <c r="AB59" s="67" t="n">
        <f aca="false">IF(AND(AB$5&gt;1,MOD(AB$4-1,12)=0),Inputs!$E$8*Inputs!$E$50,0)</f>
        <v>0</v>
      </c>
      <c r="AC59" s="67" t="n">
        <f aca="false">IF(AND(AC$5&gt;1,MOD(AC$4-1,12)=0),Inputs!$E$8*Inputs!$E$50,0)</f>
        <v>0</v>
      </c>
      <c r="AD59" s="67" t="n">
        <f aca="false">IF(AND(AD$5&gt;1,MOD(AD$4-1,12)=0),Inputs!$E$8*Inputs!$E$50,0)</f>
        <v>0</v>
      </c>
      <c r="AE59" s="67" t="n">
        <f aca="false">IF(AND(AE$5&gt;1,MOD(AE$4-1,12)=0),Inputs!$E$8*Inputs!$E$50,0)</f>
        <v>0</v>
      </c>
      <c r="AF59" s="67" t="n">
        <f aca="false">IF(AND(AF$5&gt;1,MOD(AF$4-1,12)=0),Inputs!$E$8*Inputs!$E$50,0)</f>
        <v>0</v>
      </c>
      <c r="AG59" s="67" t="n">
        <f aca="false">IF(AND(AG$5&gt;1,MOD(AG$4-1,12)=0),Inputs!$E$8*Inputs!$E$50,0)</f>
        <v>0</v>
      </c>
      <c r="AH59" s="67" t="n">
        <f aca="false">IF(AND(AH$5&gt;1,MOD(AH$4-1,12)=0),Inputs!$E$8*Inputs!$E$50,0)</f>
        <v>0</v>
      </c>
      <c r="AI59" s="67" t="n">
        <f aca="false">IF(AND(AI$5&gt;1,MOD(AI$4-1,12)=0),Inputs!$E$8*Inputs!$E$50,0)</f>
        <v>0</v>
      </c>
      <c r="AJ59" s="67" t="n">
        <f aca="false">IF(AND(AJ$5&gt;1,MOD(AJ$4-1,12)=0),Inputs!$E$8*Inputs!$E$50,0)</f>
        <v>0</v>
      </c>
      <c r="AK59" s="67" t="n">
        <f aca="false">IF(AND(AK$5&gt;1,MOD(AK$4-1,12)=0),Inputs!$E$8*Inputs!$E$50,0)</f>
        <v>0</v>
      </c>
      <c r="AL59" s="67" t="n">
        <f aca="false">IF(AND(AL$5&gt;1,MOD(AL$4-1,12)=0),Inputs!$E$8*Inputs!$E$50,0)</f>
        <v>0</v>
      </c>
    </row>
    <row r="60" customFormat="false" ht="15" hidden="false" customHeight="false" outlineLevel="0" collapsed="false">
      <c r="A60" s="6" t="s">
        <v>409</v>
      </c>
      <c r="C60" s="67" t="n">
        <f aca="false">IF(C$4=1,Inputs!$E$51,0)</f>
        <v>3000</v>
      </c>
      <c r="D60" s="67" t="n">
        <f aca="false">IF(D$4=1,Inputs!$E$51,0)</f>
        <v>0</v>
      </c>
      <c r="E60" s="67" t="n">
        <f aca="false">IF(E$4=1,Inputs!$E$51,0)</f>
        <v>0</v>
      </c>
      <c r="F60" s="67" t="n">
        <f aca="false">IF(F$4=1,Inputs!$E$51,0)</f>
        <v>0</v>
      </c>
      <c r="G60" s="67" t="n">
        <f aca="false">IF(G$4=1,Inputs!$E$51,0)</f>
        <v>0</v>
      </c>
      <c r="H60" s="67" t="n">
        <f aca="false">IF(H$4=1,Inputs!$E$51,0)</f>
        <v>0</v>
      </c>
      <c r="I60" s="67" t="n">
        <f aca="false">IF(I$4=1,Inputs!$E$51,0)</f>
        <v>0</v>
      </c>
      <c r="J60" s="67" t="n">
        <f aca="false">IF(J$4=1,Inputs!$E$51,0)</f>
        <v>0</v>
      </c>
      <c r="K60" s="67" t="n">
        <f aca="false">IF(K$4=1,Inputs!$E$51,0)</f>
        <v>0</v>
      </c>
      <c r="L60" s="67" t="n">
        <f aca="false">IF(L$4=1,Inputs!$E$51,0)</f>
        <v>0</v>
      </c>
      <c r="M60" s="67" t="n">
        <f aca="false">IF(M$4=1,Inputs!$E$51,0)</f>
        <v>0</v>
      </c>
      <c r="N60" s="67" t="n">
        <f aca="false">IF(N$4=1,Inputs!$E$51,0)</f>
        <v>0</v>
      </c>
      <c r="O60" s="67" t="n">
        <f aca="false">IF(O$4=1,Inputs!$E$51,0)</f>
        <v>0</v>
      </c>
      <c r="P60" s="67" t="n">
        <f aca="false">IF(P$4=1,Inputs!$E$51,0)</f>
        <v>0</v>
      </c>
      <c r="Q60" s="67" t="n">
        <f aca="false">IF(Q$4=1,Inputs!$E$51,0)</f>
        <v>0</v>
      </c>
      <c r="R60" s="67" t="n">
        <f aca="false">IF(R$4=1,Inputs!$E$51,0)</f>
        <v>0</v>
      </c>
      <c r="S60" s="67" t="n">
        <f aca="false">IF(S$4=1,Inputs!$E$51,0)</f>
        <v>0</v>
      </c>
      <c r="T60" s="67" t="n">
        <f aca="false">IF(T$4=1,Inputs!$E$51,0)</f>
        <v>0</v>
      </c>
      <c r="U60" s="67" t="n">
        <f aca="false">IF(U$4=1,Inputs!$E$51,0)</f>
        <v>0</v>
      </c>
      <c r="V60" s="67" t="n">
        <f aca="false">IF(V$4=1,Inputs!$E$51,0)</f>
        <v>0</v>
      </c>
      <c r="W60" s="67" t="n">
        <f aca="false">IF(W$4=1,Inputs!$E$51,0)</f>
        <v>0</v>
      </c>
      <c r="X60" s="67" t="n">
        <f aca="false">IF(X$4=1,Inputs!$E$51,0)</f>
        <v>0</v>
      </c>
      <c r="Y60" s="67" t="n">
        <f aca="false">IF(Y$4=1,Inputs!$E$51,0)</f>
        <v>0</v>
      </c>
      <c r="Z60" s="67" t="n">
        <f aca="false">IF(Z$4=1,Inputs!$E$51,0)</f>
        <v>0</v>
      </c>
      <c r="AA60" s="67" t="n">
        <f aca="false">IF(AA$4=1,Inputs!$E$51,0)</f>
        <v>0</v>
      </c>
      <c r="AB60" s="67" t="n">
        <f aca="false">IF(AB$4=1,Inputs!$E$51,0)</f>
        <v>0</v>
      </c>
      <c r="AC60" s="67" t="n">
        <f aca="false">IF(AC$4=1,Inputs!$E$51,0)</f>
        <v>0</v>
      </c>
      <c r="AD60" s="67" t="n">
        <f aca="false">IF(AD$4=1,Inputs!$E$51,0)</f>
        <v>0</v>
      </c>
      <c r="AE60" s="67" t="n">
        <f aca="false">IF(AE$4=1,Inputs!$E$51,0)</f>
        <v>0</v>
      </c>
      <c r="AF60" s="67" t="n">
        <f aca="false">IF(AF$4=1,Inputs!$E$51,0)</f>
        <v>0</v>
      </c>
      <c r="AG60" s="67" t="n">
        <f aca="false">IF(AG$4=1,Inputs!$E$51,0)</f>
        <v>0</v>
      </c>
      <c r="AH60" s="67" t="n">
        <f aca="false">IF(AH$4=1,Inputs!$E$51,0)</f>
        <v>0</v>
      </c>
      <c r="AI60" s="67" t="n">
        <f aca="false">IF(AI$4=1,Inputs!$E$51,0)</f>
        <v>0</v>
      </c>
      <c r="AJ60" s="67" t="n">
        <f aca="false">IF(AJ$4=1,Inputs!$E$51,0)</f>
        <v>0</v>
      </c>
      <c r="AK60" s="67" t="n">
        <f aca="false">IF(AK$4=1,Inputs!$E$51,0)</f>
        <v>0</v>
      </c>
      <c r="AL60" s="67" t="n">
        <f aca="false">IF(AL$4=1,Inputs!$E$51,0)</f>
        <v>0</v>
      </c>
    </row>
    <row r="61" customFormat="false" ht="15" hidden="false" customHeight="false" outlineLevel="0" collapsed="false">
      <c r="A61" s="6" t="s">
        <v>410</v>
      </c>
      <c r="C61" s="67" t="n">
        <f aca="false">IF(AND(C$5&gt;1,MOD(C$4-1,12)=0),Inputs!$E$52*C8,0)</f>
        <v>0</v>
      </c>
      <c r="D61" s="67" t="n">
        <f aca="false">IF(AND(D$5&gt;1,MOD(D$4-1,12)=0),Inputs!$E$52*D8,0)</f>
        <v>0</v>
      </c>
      <c r="E61" s="67" t="n">
        <f aca="false">IF(AND(E$5&gt;1,MOD(E$4-1,12)=0),Inputs!$E$52*E8,0)</f>
        <v>0</v>
      </c>
      <c r="F61" s="67" t="n">
        <f aca="false">IF(AND(F$5&gt;1,MOD(F$4-1,12)=0),Inputs!$E$52*F8,0)</f>
        <v>0</v>
      </c>
      <c r="G61" s="67" t="n">
        <f aca="false">IF(AND(G$5&gt;1,MOD(G$4-1,12)=0),Inputs!$E$52*G8,0)</f>
        <v>0</v>
      </c>
      <c r="H61" s="67" t="n">
        <f aca="false">IF(AND(H$5&gt;1,MOD(H$4-1,12)=0),Inputs!$E$52*H8,0)</f>
        <v>0</v>
      </c>
      <c r="I61" s="67" t="n">
        <f aca="false">IF(AND(I$5&gt;1,MOD(I$4-1,12)=0),Inputs!$E$52*I8,0)</f>
        <v>0</v>
      </c>
      <c r="J61" s="67" t="n">
        <f aca="false">IF(AND(J$5&gt;1,MOD(J$4-1,12)=0),Inputs!$E$52*J8,0)</f>
        <v>0</v>
      </c>
      <c r="K61" s="67" t="n">
        <f aca="false">IF(AND(K$5&gt;1,MOD(K$4-1,12)=0),Inputs!$E$52*K8,0)</f>
        <v>0</v>
      </c>
      <c r="L61" s="67" t="n">
        <f aca="false">IF(AND(L$5&gt;1,MOD(L$4-1,12)=0),Inputs!$E$52*L8,0)</f>
        <v>0</v>
      </c>
      <c r="M61" s="67" t="n">
        <f aca="false">IF(AND(M$5&gt;1,MOD(M$4-1,12)=0),Inputs!$E$52*M8,0)</f>
        <v>0</v>
      </c>
      <c r="N61" s="67" t="n">
        <f aca="false">IF(AND(N$5&gt;1,MOD(N$4-1,12)=0),Inputs!$E$52*N8,0)</f>
        <v>0</v>
      </c>
      <c r="O61" s="67" t="n">
        <f aca="false">IF(AND(O$5&gt;1,MOD(O$4-1,12)=0),Inputs!$E$52*O8,0)</f>
        <v>2500</v>
      </c>
      <c r="P61" s="67" t="n">
        <f aca="false">IF(AND(P$5&gt;1,MOD(P$4-1,12)=0),Inputs!$E$52*P8,0)</f>
        <v>0</v>
      </c>
      <c r="Q61" s="67" t="n">
        <f aca="false">IF(AND(Q$5&gt;1,MOD(Q$4-1,12)=0),Inputs!$E$52*Q8,0)</f>
        <v>0</v>
      </c>
      <c r="R61" s="67" t="n">
        <f aca="false">IF(AND(R$5&gt;1,MOD(R$4-1,12)=0),Inputs!$E$52*R8,0)</f>
        <v>0</v>
      </c>
      <c r="S61" s="67" t="n">
        <f aca="false">IF(AND(S$5&gt;1,MOD(S$4-1,12)=0),Inputs!$E$52*S8,0)</f>
        <v>0</v>
      </c>
      <c r="T61" s="67" t="n">
        <f aca="false">IF(AND(T$5&gt;1,MOD(T$4-1,12)=0),Inputs!$E$52*T8,0)</f>
        <v>0</v>
      </c>
      <c r="U61" s="67" t="n">
        <f aca="false">IF(AND(U$5&gt;1,MOD(U$4-1,12)=0),Inputs!$E$52*U8,0)</f>
        <v>0</v>
      </c>
      <c r="V61" s="67" t="n">
        <f aca="false">IF(AND(V$5&gt;1,MOD(V$4-1,12)=0),Inputs!$E$52*V8,0)</f>
        <v>0</v>
      </c>
      <c r="W61" s="67" t="n">
        <f aca="false">IF(AND(W$5&gt;1,MOD(W$4-1,12)=0),Inputs!$E$52*W8,0)</f>
        <v>0</v>
      </c>
      <c r="X61" s="67" t="n">
        <f aca="false">IF(AND(X$5&gt;1,MOD(X$4-1,12)=0),Inputs!$E$52*X8,0)</f>
        <v>0</v>
      </c>
      <c r="Y61" s="67" t="n">
        <f aca="false">IF(AND(Y$5&gt;1,MOD(Y$4-1,12)=0),Inputs!$E$52*Y8,0)</f>
        <v>0</v>
      </c>
      <c r="Z61" s="67" t="n">
        <f aca="false">IF(AND(Z$5&gt;1,MOD(Z$4-1,12)=0),Inputs!$E$52*Z8,0)</f>
        <v>0</v>
      </c>
      <c r="AA61" s="67" t="n">
        <f aca="false">IF(AND(AA$5&gt;1,MOD(AA$4-1,12)=0),Inputs!$E$52*AA8,0)</f>
        <v>2500</v>
      </c>
      <c r="AB61" s="67" t="n">
        <f aca="false">IF(AND(AB$5&gt;1,MOD(AB$4-1,12)=0),Inputs!$E$52*AB8,0)</f>
        <v>0</v>
      </c>
      <c r="AC61" s="67" t="n">
        <f aca="false">IF(AND(AC$5&gt;1,MOD(AC$4-1,12)=0),Inputs!$E$52*AC8,0)</f>
        <v>0</v>
      </c>
      <c r="AD61" s="67" t="n">
        <f aca="false">IF(AND(AD$5&gt;1,MOD(AD$4-1,12)=0),Inputs!$E$52*AD8,0)</f>
        <v>0</v>
      </c>
      <c r="AE61" s="67" t="n">
        <f aca="false">IF(AND(AE$5&gt;1,MOD(AE$4-1,12)=0),Inputs!$E$52*AE8,0)</f>
        <v>0</v>
      </c>
      <c r="AF61" s="67" t="n">
        <f aca="false">IF(AND(AF$5&gt;1,MOD(AF$4-1,12)=0),Inputs!$E$52*AF8,0)</f>
        <v>0</v>
      </c>
      <c r="AG61" s="67" t="n">
        <f aca="false">IF(AND(AG$5&gt;1,MOD(AG$4-1,12)=0),Inputs!$E$52*AG8,0)</f>
        <v>0</v>
      </c>
      <c r="AH61" s="67" t="n">
        <f aca="false">IF(AND(AH$5&gt;1,MOD(AH$4-1,12)=0),Inputs!$E$52*AH8,0)</f>
        <v>0</v>
      </c>
      <c r="AI61" s="67" t="n">
        <f aca="false">IF(AND(AI$5&gt;1,MOD(AI$4-1,12)=0),Inputs!$E$52*AI8,0)</f>
        <v>0</v>
      </c>
      <c r="AJ61" s="67" t="n">
        <f aca="false">IF(AND(AJ$5&gt;1,MOD(AJ$4-1,12)=0),Inputs!$E$52*AJ8,0)</f>
        <v>0</v>
      </c>
      <c r="AK61" s="67" t="n">
        <f aca="false">IF(AND(AK$5&gt;1,MOD(AK$4-1,12)=0),Inputs!$E$52*AK8,0)</f>
        <v>0</v>
      </c>
      <c r="AL61" s="67" t="n">
        <f aca="false">IF(AND(AL$5&gt;1,MOD(AL$4-1,12)=0),Inputs!$E$52*AL8,0)</f>
        <v>0</v>
      </c>
    </row>
    <row r="62" customFormat="false" ht="15" hidden="false" customHeight="false" outlineLevel="0" collapsed="false">
      <c r="A62" s="4" t="s">
        <v>84</v>
      </c>
      <c r="C62" s="73" t="n">
        <f aca="false">C58+C59+C60+C61</f>
        <v>138000</v>
      </c>
      <c r="D62" s="73" t="n">
        <f aca="false">D58+D59+D60+D61</f>
        <v>0</v>
      </c>
      <c r="E62" s="73" t="n">
        <f aca="false">E58+E59+E60+E61</f>
        <v>0</v>
      </c>
      <c r="F62" s="73" t="n">
        <f aca="false">F58+F59+F60+F61</f>
        <v>0</v>
      </c>
      <c r="G62" s="73" t="n">
        <f aca="false">G58+G59+G60+G61</f>
        <v>0</v>
      </c>
      <c r="H62" s="73" t="n">
        <f aca="false">H58+H59+H60+H61</f>
        <v>0</v>
      </c>
      <c r="I62" s="73" t="n">
        <f aca="false">I58+I59+I60+I61</f>
        <v>0</v>
      </c>
      <c r="J62" s="73" t="n">
        <f aca="false">J58+J59+J60+J61</f>
        <v>0</v>
      </c>
      <c r="K62" s="73" t="n">
        <f aca="false">K58+K59+K60+K61</f>
        <v>0</v>
      </c>
      <c r="L62" s="73" t="n">
        <f aca="false">L58+L59+L60+L61</f>
        <v>0</v>
      </c>
      <c r="M62" s="73" t="n">
        <f aca="false">M58+M59+M60+M61</f>
        <v>0</v>
      </c>
      <c r="N62" s="73" t="n">
        <f aca="false">N58+N59+N60+N61</f>
        <v>0</v>
      </c>
      <c r="O62" s="73" t="n">
        <f aca="false">O58+O59+O60+O61</f>
        <v>2500</v>
      </c>
      <c r="P62" s="73" t="n">
        <f aca="false">P58+P59+P60+P61</f>
        <v>0</v>
      </c>
      <c r="Q62" s="73" t="n">
        <f aca="false">Q58+Q59+Q60+Q61</f>
        <v>0</v>
      </c>
      <c r="R62" s="73" t="n">
        <f aca="false">R58+R59+R60+R61</f>
        <v>0</v>
      </c>
      <c r="S62" s="73" t="n">
        <f aca="false">S58+S59+S60+S61</f>
        <v>0</v>
      </c>
      <c r="T62" s="73" t="n">
        <f aca="false">T58+T59+T60+T61</f>
        <v>0</v>
      </c>
      <c r="U62" s="73" t="n">
        <f aca="false">U58+U59+U60+U61</f>
        <v>0</v>
      </c>
      <c r="V62" s="73" t="n">
        <f aca="false">V58+V59+V60+V61</f>
        <v>0</v>
      </c>
      <c r="W62" s="73" t="n">
        <f aca="false">W58+W59+W60+W61</f>
        <v>0</v>
      </c>
      <c r="X62" s="73" t="n">
        <f aca="false">X58+X59+X60+X61</f>
        <v>0</v>
      </c>
      <c r="Y62" s="73" t="n">
        <f aca="false">Y58+Y59+Y60+Y61</f>
        <v>0</v>
      </c>
      <c r="Z62" s="73" t="n">
        <f aca="false">Z58+Z59+Z60+Z61</f>
        <v>0</v>
      </c>
      <c r="AA62" s="73" t="n">
        <f aca="false">AA58+AA59+AA60+AA61</f>
        <v>2500</v>
      </c>
      <c r="AB62" s="73" t="n">
        <f aca="false">AB58+AB59+AB60+AB61</f>
        <v>0</v>
      </c>
      <c r="AC62" s="73" t="n">
        <f aca="false">AC58+AC59+AC60+AC61</f>
        <v>0</v>
      </c>
      <c r="AD62" s="73" t="n">
        <f aca="false">AD58+AD59+AD60+AD61</f>
        <v>0</v>
      </c>
      <c r="AE62" s="73" t="n">
        <f aca="false">AE58+AE59+AE60+AE61</f>
        <v>0</v>
      </c>
      <c r="AF62" s="73" t="n">
        <f aca="false">AF58+AF59+AF60+AF61</f>
        <v>0</v>
      </c>
      <c r="AG62" s="73" t="n">
        <f aca="false">AG58+AG59+AG60+AG61</f>
        <v>0</v>
      </c>
      <c r="AH62" s="73" t="n">
        <f aca="false">AH58+AH59+AH60+AH61</f>
        <v>0</v>
      </c>
      <c r="AI62" s="73" t="n">
        <f aca="false">AI58+AI59+AI60+AI61</f>
        <v>0</v>
      </c>
      <c r="AJ62" s="73" t="n">
        <f aca="false">AJ58+AJ59+AJ60+AJ61</f>
        <v>0</v>
      </c>
      <c r="AK62" s="73" t="n">
        <f aca="false">AK58+AK59+AK60+AK61</f>
        <v>0</v>
      </c>
      <c r="AL62" s="73" t="n">
        <f aca="false">AL58+AL59+AL60+AL61</f>
        <v>0</v>
      </c>
    </row>
    <row r="63" customFormat="false" ht="15" hidden="false" customHeight="false" outlineLevel="0" collapsed="false">
      <c r="A63" s="6" t="s">
        <v>411</v>
      </c>
      <c r="C63" s="67" t="n">
        <f aca="false">C62</f>
        <v>138000</v>
      </c>
      <c r="D63" s="67" t="n">
        <f aca="false">C63+D62</f>
        <v>138000</v>
      </c>
      <c r="E63" s="67" t="n">
        <f aca="false">D63+E62</f>
        <v>138000</v>
      </c>
      <c r="F63" s="67" t="n">
        <f aca="false">E63+F62</f>
        <v>138000</v>
      </c>
      <c r="G63" s="67" t="n">
        <f aca="false">F63+G62</f>
        <v>138000</v>
      </c>
      <c r="H63" s="67" t="n">
        <f aca="false">G63+H62</f>
        <v>138000</v>
      </c>
      <c r="I63" s="67" t="n">
        <f aca="false">H63+I62</f>
        <v>138000</v>
      </c>
      <c r="J63" s="67" t="n">
        <f aca="false">I63+J62</f>
        <v>138000</v>
      </c>
      <c r="K63" s="67" t="n">
        <f aca="false">J63+K62</f>
        <v>138000</v>
      </c>
      <c r="L63" s="67" t="n">
        <f aca="false">K63+L62</f>
        <v>138000</v>
      </c>
      <c r="M63" s="67" t="n">
        <f aca="false">L63+M62</f>
        <v>138000</v>
      </c>
      <c r="N63" s="67" t="n">
        <f aca="false">M63+N62</f>
        <v>138000</v>
      </c>
      <c r="O63" s="67" t="n">
        <f aca="false">N63+O62</f>
        <v>140500</v>
      </c>
      <c r="P63" s="67" t="n">
        <f aca="false">O63+P62</f>
        <v>140500</v>
      </c>
      <c r="Q63" s="67" t="n">
        <f aca="false">P63+Q62</f>
        <v>140500</v>
      </c>
      <c r="R63" s="67" t="n">
        <f aca="false">Q63+R62</f>
        <v>140500</v>
      </c>
      <c r="S63" s="67" t="n">
        <f aca="false">R63+S62</f>
        <v>140500</v>
      </c>
      <c r="T63" s="67" t="n">
        <f aca="false">S63+T62</f>
        <v>140500</v>
      </c>
      <c r="U63" s="67" t="n">
        <f aca="false">T63+U62</f>
        <v>140500</v>
      </c>
      <c r="V63" s="67" t="n">
        <f aca="false">U63+V62</f>
        <v>140500</v>
      </c>
      <c r="W63" s="67" t="n">
        <f aca="false">V63+W62</f>
        <v>140500</v>
      </c>
      <c r="X63" s="67" t="n">
        <f aca="false">W63+X62</f>
        <v>140500</v>
      </c>
      <c r="Y63" s="67" t="n">
        <f aca="false">X63+Y62</f>
        <v>140500</v>
      </c>
      <c r="Z63" s="67" t="n">
        <f aca="false">Y63+Z62</f>
        <v>140500</v>
      </c>
      <c r="AA63" s="67" t="n">
        <f aca="false">Z63+AA62</f>
        <v>143000</v>
      </c>
      <c r="AB63" s="67" t="n">
        <f aca="false">AA63+AB62</f>
        <v>143000</v>
      </c>
      <c r="AC63" s="67" t="n">
        <f aca="false">AB63+AC62</f>
        <v>143000</v>
      </c>
      <c r="AD63" s="67" t="n">
        <f aca="false">AC63+AD62</f>
        <v>143000</v>
      </c>
      <c r="AE63" s="67" t="n">
        <f aca="false">AD63+AE62</f>
        <v>143000</v>
      </c>
      <c r="AF63" s="67" t="n">
        <f aca="false">AE63+AF62</f>
        <v>143000</v>
      </c>
      <c r="AG63" s="67" t="n">
        <f aca="false">AF63+AG62</f>
        <v>143000</v>
      </c>
      <c r="AH63" s="67" t="n">
        <f aca="false">AG63+AH62</f>
        <v>143000</v>
      </c>
      <c r="AI63" s="67" t="n">
        <f aca="false">AH63+AI62</f>
        <v>143000</v>
      </c>
      <c r="AJ63" s="67" t="n">
        <f aca="false">AI63+AJ62</f>
        <v>143000</v>
      </c>
      <c r="AK63" s="67" t="n">
        <f aca="false">AJ63+AK62</f>
        <v>143000</v>
      </c>
      <c r="AL63" s="67" t="n">
        <f aca="false">AK63+AL62</f>
        <v>143000</v>
      </c>
    </row>
    <row r="64" customFormat="false" ht="15" hidden="false" customHeight="false" outlineLevel="0" collapsed="false">
      <c r="A64" s="6" t="s">
        <v>78</v>
      </c>
      <c r="C64" s="67" t="n">
        <f aca="false">-MIN(C63/MAX(1,Inputs!$E$82*12),C62)</f>
        <v>-1642.85714285714</v>
      </c>
      <c r="D64" s="67" t="n">
        <f aca="false">-MIN(D63/MAX(1,Inputs!$E$82*12),C66+D62)</f>
        <v>-1642.85714285714</v>
      </c>
      <c r="E64" s="67" t="n">
        <f aca="false">-MIN(E63/MAX(1,Inputs!$E$82*12),D66+E62)</f>
        <v>-1642.85714285714</v>
      </c>
      <c r="F64" s="67" t="n">
        <f aca="false">-MIN(F63/MAX(1,Inputs!$E$82*12),E66+F62)</f>
        <v>-1642.85714285714</v>
      </c>
      <c r="G64" s="67" t="n">
        <f aca="false">-MIN(G63/MAX(1,Inputs!$E$82*12),F66+G62)</f>
        <v>-1642.85714285714</v>
      </c>
      <c r="H64" s="67" t="n">
        <f aca="false">-MIN(H63/MAX(1,Inputs!$E$82*12),G66+H62)</f>
        <v>-1642.85714285714</v>
      </c>
      <c r="I64" s="67" t="n">
        <f aca="false">-MIN(I63/MAX(1,Inputs!$E$82*12),H66+I62)</f>
        <v>-1642.85714285714</v>
      </c>
      <c r="J64" s="67" t="n">
        <f aca="false">-MIN(J63/MAX(1,Inputs!$E$82*12),I66+J62)</f>
        <v>-1642.85714285714</v>
      </c>
      <c r="K64" s="67" t="n">
        <f aca="false">-MIN(K63/MAX(1,Inputs!$E$82*12),J66+K62)</f>
        <v>-1642.85714285714</v>
      </c>
      <c r="L64" s="67" t="n">
        <f aca="false">-MIN(L63/MAX(1,Inputs!$E$82*12),K66+L62)</f>
        <v>-1642.85714285714</v>
      </c>
      <c r="M64" s="67" t="n">
        <f aca="false">-MIN(M63/MAX(1,Inputs!$E$82*12),L66+M62)</f>
        <v>-1642.85714285714</v>
      </c>
      <c r="N64" s="67" t="n">
        <f aca="false">-MIN(N63/MAX(1,Inputs!$E$82*12),M66+N62)</f>
        <v>-1642.85714285714</v>
      </c>
      <c r="O64" s="67" t="n">
        <f aca="false">-MIN(O63/MAX(1,Inputs!$E$82*12),N66+O62)</f>
        <v>-1672.61904761905</v>
      </c>
      <c r="P64" s="67" t="n">
        <f aca="false">-MIN(P63/MAX(1,Inputs!$E$82*12),O66+P62)</f>
        <v>-1672.61904761905</v>
      </c>
      <c r="Q64" s="67" t="n">
        <f aca="false">-MIN(Q63/MAX(1,Inputs!$E$82*12),P66+Q62)</f>
        <v>-1672.61904761905</v>
      </c>
      <c r="R64" s="67" t="n">
        <f aca="false">-MIN(R63/MAX(1,Inputs!$E$82*12),Q66+R62)</f>
        <v>-1672.61904761905</v>
      </c>
      <c r="S64" s="67" t="n">
        <f aca="false">-MIN(S63/MAX(1,Inputs!$E$82*12),R66+S62)</f>
        <v>-1672.61904761905</v>
      </c>
      <c r="T64" s="67" t="n">
        <f aca="false">-MIN(T63/MAX(1,Inputs!$E$82*12),S66+T62)</f>
        <v>-1672.61904761905</v>
      </c>
      <c r="U64" s="67" t="n">
        <f aca="false">-MIN(U63/MAX(1,Inputs!$E$82*12),T66+U62)</f>
        <v>-1672.61904761905</v>
      </c>
      <c r="V64" s="67" t="n">
        <f aca="false">-MIN(V63/MAX(1,Inputs!$E$82*12),U66+V62)</f>
        <v>-1672.61904761905</v>
      </c>
      <c r="W64" s="67" t="n">
        <f aca="false">-MIN(W63/MAX(1,Inputs!$E$82*12),V66+W62)</f>
        <v>-1672.61904761905</v>
      </c>
      <c r="X64" s="67" t="n">
        <f aca="false">-MIN(X63/MAX(1,Inputs!$E$82*12),W66+X62)</f>
        <v>-1672.61904761905</v>
      </c>
      <c r="Y64" s="67" t="n">
        <f aca="false">-MIN(Y63/MAX(1,Inputs!$E$82*12),X66+Y62)</f>
        <v>-1672.61904761905</v>
      </c>
      <c r="Z64" s="67" t="n">
        <f aca="false">-MIN(Z63/MAX(1,Inputs!$E$82*12),Y66+Z62)</f>
        <v>-1672.61904761905</v>
      </c>
      <c r="AA64" s="67" t="n">
        <f aca="false">-MIN(AA63/MAX(1,Inputs!$E$82*12),Z66+AA62)</f>
        <v>-1702.38095238095</v>
      </c>
      <c r="AB64" s="67" t="n">
        <f aca="false">-MIN(AB63/MAX(1,Inputs!$E$82*12),AA66+AB62)</f>
        <v>-1702.38095238095</v>
      </c>
      <c r="AC64" s="67" t="n">
        <f aca="false">-MIN(AC63/MAX(1,Inputs!$E$82*12),AB66+AC62)</f>
        <v>-1702.38095238095</v>
      </c>
      <c r="AD64" s="67" t="n">
        <f aca="false">-MIN(AD63/MAX(1,Inputs!$E$82*12),AC66+AD62)</f>
        <v>-1702.38095238095</v>
      </c>
      <c r="AE64" s="67" t="n">
        <f aca="false">-MIN(AE63/MAX(1,Inputs!$E$82*12),AD66+AE62)</f>
        <v>-1702.38095238095</v>
      </c>
      <c r="AF64" s="67" t="n">
        <f aca="false">-MIN(AF63/MAX(1,Inputs!$E$82*12),AE66+AF62)</f>
        <v>-1702.38095238095</v>
      </c>
      <c r="AG64" s="67" t="n">
        <f aca="false">-MIN(AG63/MAX(1,Inputs!$E$82*12),AF66+AG62)</f>
        <v>-1702.38095238095</v>
      </c>
      <c r="AH64" s="67" t="n">
        <f aca="false">-MIN(AH63/MAX(1,Inputs!$E$82*12),AG66+AH62)</f>
        <v>-1702.38095238095</v>
      </c>
      <c r="AI64" s="67" t="n">
        <f aca="false">-MIN(AI63/MAX(1,Inputs!$E$82*12),AH66+AI62)</f>
        <v>-1702.38095238095</v>
      </c>
      <c r="AJ64" s="67" t="n">
        <f aca="false">-MIN(AJ63/MAX(1,Inputs!$E$82*12),AI66+AJ62)</f>
        <v>-1702.38095238095</v>
      </c>
      <c r="AK64" s="67" t="n">
        <f aca="false">-MIN(AK63/MAX(1,Inputs!$E$82*12),AJ66+AK62)</f>
        <v>-1702.38095238095</v>
      </c>
      <c r="AL64" s="67" t="n">
        <f aca="false">-MIN(AL63/MAX(1,Inputs!$E$82*12),AK66+AL62)</f>
        <v>-1702.38095238095</v>
      </c>
    </row>
    <row r="65" customFormat="false" ht="15" hidden="false" customHeight="false" outlineLevel="0" collapsed="false">
      <c r="A65" s="6" t="s">
        <v>412</v>
      </c>
      <c r="C65" s="67" t="n">
        <f aca="false">C64</f>
        <v>-1642.85714285714</v>
      </c>
      <c r="D65" s="67" t="n">
        <f aca="false">C65+D64</f>
        <v>-3285.71428571429</v>
      </c>
      <c r="E65" s="67" t="n">
        <f aca="false">D65+E64</f>
        <v>-4928.57142857143</v>
      </c>
      <c r="F65" s="67" t="n">
        <f aca="false">E65+F64</f>
        <v>-6571.42857142857</v>
      </c>
      <c r="G65" s="67" t="n">
        <f aca="false">F65+G64</f>
        <v>-8214.28571428571</v>
      </c>
      <c r="H65" s="67" t="n">
        <f aca="false">G65+H64</f>
        <v>-9857.14285714286</v>
      </c>
      <c r="I65" s="67" t="n">
        <f aca="false">H65+I64</f>
        <v>-11500</v>
      </c>
      <c r="J65" s="67" t="n">
        <f aca="false">I65+J64</f>
        <v>-13142.8571428571</v>
      </c>
      <c r="K65" s="67" t="n">
        <f aca="false">J65+K64</f>
        <v>-14785.7142857143</v>
      </c>
      <c r="L65" s="67" t="n">
        <f aca="false">K65+L64</f>
        <v>-16428.5714285714</v>
      </c>
      <c r="M65" s="67" t="n">
        <f aca="false">L65+M64</f>
        <v>-18071.4285714286</v>
      </c>
      <c r="N65" s="67" t="n">
        <f aca="false">M65+N64</f>
        <v>-19714.2857142857</v>
      </c>
      <c r="O65" s="67" t="n">
        <f aca="false">N65+O64</f>
        <v>-21386.9047619048</v>
      </c>
      <c r="P65" s="67" t="n">
        <f aca="false">O65+P64</f>
        <v>-23059.5238095238</v>
      </c>
      <c r="Q65" s="67" t="n">
        <f aca="false">P65+Q64</f>
        <v>-24732.1428571428</v>
      </c>
      <c r="R65" s="67" t="n">
        <f aca="false">Q65+R64</f>
        <v>-26404.7619047619</v>
      </c>
      <c r="S65" s="67" t="n">
        <f aca="false">R65+S64</f>
        <v>-28077.3809523809</v>
      </c>
      <c r="T65" s="67" t="n">
        <f aca="false">S65+T64</f>
        <v>-29750</v>
      </c>
      <c r="U65" s="67" t="n">
        <f aca="false">T65+U64</f>
        <v>-31422.619047619</v>
      </c>
      <c r="V65" s="67" t="n">
        <f aca="false">U65+V64</f>
        <v>-33095.2380952381</v>
      </c>
      <c r="W65" s="67" t="n">
        <f aca="false">V65+W64</f>
        <v>-34767.8571428571</v>
      </c>
      <c r="X65" s="67" t="n">
        <f aca="false">W65+X64</f>
        <v>-36440.4761904762</v>
      </c>
      <c r="Y65" s="67" t="n">
        <f aca="false">X65+Y64</f>
        <v>-38113.0952380952</v>
      </c>
      <c r="Z65" s="67" t="n">
        <f aca="false">Y65+Z64</f>
        <v>-39785.7142857143</v>
      </c>
      <c r="AA65" s="67" t="n">
        <f aca="false">Z65+AA64</f>
        <v>-41488.0952380952</v>
      </c>
      <c r="AB65" s="67" t="n">
        <f aca="false">AA65+AB64</f>
        <v>-43190.4761904762</v>
      </c>
      <c r="AC65" s="67" t="n">
        <f aca="false">AB65+AC64</f>
        <v>-44892.8571428571</v>
      </c>
      <c r="AD65" s="67" t="n">
        <f aca="false">AC65+AD64</f>
        <v>-46595.2380952381</v>
      </c>
      <c r="AE65" s="67" t="n">
        <f aca="false">AD65+AE64</f>
        <v>-48297.619047619</v>
      </c>
      <c r="AF65" s="67" t="n">
        <f aca="false">AE65+AF64</f>
        <v>-50000</v>
      </c>
      <c r="AG65" s="67" t="n">
        <f aca="false">AF65+AG64</f>
        <v>-51702.3809523809</v>
      </c>
      <c r="AH65" s="67" t="n">
        <f aca="false">AG65+AH64</f>
        <v>-53404.7619047619</v>
      </c>
      <c r="AI65" s="67" t="n">
        <f aca="false">AH65+AI64</f>
        <v>-55107.1428571429</v>
      </c>
      <c r="AJ65" s="67" t="n">
        <f aca="false">AI65+AJ64</f>
        <v>-56809.5238095238</v>
      </c>
      <c r="AK65" s="67" t="n">
        <f aca="false">AJ65+AK64</f>
        <v>-58511.9047619048</v>
      </c>
      <c r="AL65" s="67" t="n">
        <f aca="false">AK65+AL64</f>
        <v>-60214.2857142857</v>
      </c>
    </row>
    <row r="66" customFormat="false" ht="15" hidden="false" customHeight="false" outlineLevel="0" collapsed="false">
      <c r="A66" s="4" t="s">
        <v>92</v>
      </c>
      <c r="C66" s="73" t="n">
        <f aca="false">C63+C65</f>
        <v>136357.142857143</v>
      </c>
      <c r="D66" s="73" t="n">
        <f aca="false">D63+D65</f>
        <v>134714.285714286</v>
      </c>
      <c r="E66" s="73" t="n">
        <f aca="false">E63+E65</f>
        <v>133071.428571429</v>
      </c>
      <c r="F66" s="73" t="n">
        <f aca="false">F63+F65</f>
        <v>131428.571428571</v>
      </c>
      <c r="G66" s="73" t="n">
        <f aca="false">G63+G65</f>
        <v>129785.714285714</v>
      </c>
      <c r="H66" s="73" t="n">
        <f aca="false">H63+H65</f>
        <v>128142.857142857</v>
      </c>
      <c r="I66" s="73" t="n">
        <f aca="false">I63+I65</f>
        <v>126500</v>
      </c>
      <c r="J66" s="73" t="n">
        <f aca="false">J63+J65</f>
        <v>124857.142857143</v>
      </c>
      <c r="K66" s="73" t="n">
        <f aca="false">K63+K65</f>
        <v>123214.285714286</v>
      </c>
      <c r="L66" s="73" t="n">
        <f aca="false">L63+L65</f>
        <v>121571.428571429</v>
      </c>
      <c r="M66" s="73" t="n">
        <f aca="false">M63+M65</f>
        <v>119928.571428571</v>
      </c>
      <c r="N66" s="73" t="n">
        <f aca="false">N63+N65</f>
        <v>118285.714285714</v>
      </c>
      <c r="O66" s="73" t="n">
        <f aca="false">O63+O65</f>
        <v>119113.095238095</v>
      </c>
      <c r="P66" s="73" t="n">
        <f aca="false">P63+P65</f>
        <v>117440.476190476</v>
      </c>
      <c r="Q66" s="73" t="n">
        <f aca="false">Q63+Q65</f>
        <v>115767.857142857</v>
      </c>
      <c r="R66" s="73" t="n">
        <f aca="false">R63+R65</f>
        <v>114095.238095238</v>
      </c>
      <c r="S66" s="73" t="n">
        <f aca="false">S63+S65</f>
        <v>112422.619047619</v>
      </c>
      <c r="T66" s="73" t="n">
        <f aca="false">T63+T65</f>
        <v>110750</v>
      </c>
      <c r="U66" s="73" t="n">
        <f aca="false">U63+U65</f>
        <v>109077.380952381</v>
      </c>
      <c r="V66" s="73" t="n">
        <f aca="false">V63+V65</f>
        <v>107404.761904762</v>
      </c>
      <c r="W66" s="73" t="n">
        <f aca="false">W63+W65</f>
        <v>105732.142857143</v>
      </c>
      <c r="X66" s="73" t="n">
        <f aca="false">X63+X65</f>
        <v>104059.523809524</v>
      </c>
      <c r="Y66" s="73" t="n">
        <f aca="false">Y63+Y65</f>
        <v>102386.904761905</v>
      </c>
      <c r="Z66" s="73" t="n">
        <f aca="false">Z63+Z65</f>
        <v>100714.285714286</v>
      </c>
      <c r="AA66" s="73" t="n">
        <f aca="false">AA63+AA65</f>
        <v>101511.904761905</v>
      </c>
      <c r="AB66" s="73" t="n">
        <f aca="false">AB63+AB65</f>
        <v>99809.5238095238</v>
      </c>
      <c r="AC66" s="73" t="n">
        <f aca="false">AC63+AC65</f>
        <v>98107.1428571429</v>
      </c>
      <c r="AD66" s="73" t="n">
        <f aca="false">AD63+AD65</f>
        <v>96404.7619047619</v>
      </c>
      <c r="AE66" s="73" t="n">
        <f aca="false">AE63+AE65</f>
        <v>94702.380952381</v>
      </c>
      <c r="AF66" s="73" t="n">
        <f aca="false">AF63+AF65</f>
        <v>93000</v>
      </c>
      <c r="AG66" s="73" t="n">
        <f aca="false">AG63+AG65</f>
        <v>91297.6190476191</v>
      </c>
      <c r="AH66" s="73" t="n">
        <f aca="false">AH63+AH65</f>
        <v>89595.2380952381</v>
      </c>
      <c r="AI66" s="73" t="n">
        <f aca="false">AI63+AI65</f>
        <v>87892.8571428572</v>
      </c>
      <c r="AJ66" s="73" t="n">
        <f aca="false">AJ63+AJ65</f>
        <v>86190.4761904762</v>
      </c>
      <c r="AK66" s="73" t="n">
        <f aca="false">AK63+AK65</f>
        <v>84488.0952380952</v>
      </c>
      <c r="AL66" s="73" t="n">
        <f aca="false">AL63+AL65</f>
        <v>82785.7142857143</v>
      </c>
    </row>
    <row r="68" customFormat="false" ht="15.75" hidden="false" customHeight="true" outlineLevel="0" collapsed="false">
      <c r="A68" s="7" t="s">
        <v>413</v>
      </c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</row>
    <row r="69" customFormat="false" ht="15" hidden="false" customHeight="false" outlineLevel="0" collapsed="false">
      <c r="A69" s="6" t="s">
        <v>414</v>
      </c>
      <c r="C69" s="67" t="n">
        <f aca="false">0</f>
        <v>0</v>
      </c>
      <c r="D69" s="67" t="n">
        <f aca="false">C72</f>
        <v>90000</v>
      </c>
      <c r="E69" s="67" t="n">
        <f aca="false">D72</f>
        <v>88500</v>
      </c>
      <c r="F69" s="67" t="n">
        <f aca="false">E72</f>
        <v>87000</v>
      </c>
      <c r="G69" s="67" t="n">
        <f aca="false">F72</f>
        <v>85500</v>
      </c>
      <c r="H69" s="67" t="n">
        <f aca="false">G72</f>
        <v>84000</v>
      </c>
      <c r="I69" s="67" t="n">
        <f aca="false">H72</f>
        <v>82500</v>
      </c>
      <c r="J69" s="67" t="n">
        <f aca="false">I72</f>
        <v>81000</v>
      </c>
      <c r="K69" s="67" t="n">
        <f aca="false">J72</f>
        <v>79500</v>
      </c>
      <c r="L69" s="67" t="n">
        <f aca="false">K72</f>
        <v>78000</v>
      </c>
      <c r="M69" s="67" t="n">
        <f aca="false">L72</f>
        <v>76500</v>
      </c>
      <c r="N69" s="67" t="n">
        <f aca="false">M72</f>
        <v>75000</v>
      </c>
      <c r="O69" s="67" t="n">
        <f aca="false">N72</f>
        <v>73500</v>
      </c>
      <c r="P69" s="67" t="n">
        <f aca="false">O72</f>
        <v>72000</v>
      </c>
      <c r="Q69" s="67" t="n">
        <f aca="false">P72</f>
        <v>70500</v>
      </c>
      <c r="R69" s="67" t="n">
        <f aca="false">Q72</f>
        <v>69000</v>
      </c>
      <c r="S69" s="67" t="n">
        <f aca="false">R72</f>
        <v>67500</v>
      </c>
      <c r="T69" s="67" t="n">
        <f aca="false">S72</f>
        <v>66000</v>
      </c>
      <c r="U69" s="67" t="n">
        <f aca="false">T72</f>
        <v>64500</v>
      </c>
      <c r="V69" s="67" t="n">
        <f aca="false">U72</f>
        <v>63000</v>
      </c>
      <c r="W69" s="67" t="n">
        <f aca="false">V72</f>
        <v>61500</v>
      </c>
      <c r="X69" s="67" t="n">
        <f aca="false">W72</f>
        <v>60000</v>
      </c>
      <c r="Y69" s="67" t="n">
        <f aca="false">X72</f>
        <v>58500</v>
      </c>
      <c r="Z69" s="67" t="n">
        <f aca="false">Y72</f>
        <v>57000</v>
      </c>
      <c r="AA69" s="67" t="n">
        <f aca="false">Z72</f>
        <v>55500</v>
      </c>
      <c r="AB69" s="67" t="n">
        <f aca="false">AA72</f>
        <v>54000</v>
      </c>
      <c r="AC69" s="67" t="n">
        <f aca="false">AB72</f>
        <v>52500</v>
      </c>
      <c r="AD69" s="67" t="n">
        <f aca="false">AC72</f>
        <v>51000</v>
      </c>
      <c r="AE69" s="67" t="n">
        <f aca="false">AD72</f>
        <v>49500</v>
      </c>
      <c r="AF69" s="67" t="n">
        <f aca="false">AE72</f>
        <v>48000</v>
      </c>
      <c r="AG69" s="67" t="n">
        <f aca="false">AF72</f>
        <v>46500</v>
      </c>
      <c r="AH69" s="67" t="n">
        <f aca="false">AG72</f>
        <v>45000</v>
      </c>
      <c r="AI69" s="67" t="n">
        <f aca="false">AH72</f>
        <v>43500</v>
      </c>
      <c r="AJ69" s="67" t="n">
        <f aca="false">AI72</f>
        <v>42000</v>
      </c>
      <c r="AK69" s="67" t="n">
        <f aca="false">AJ72</f>
        <v>40500</v>
      </c>
      <c r="AL69" s="67" t="n">
        <f aca="false">AK72</f>
        <v>39000</v>
      </c>
    </row>
    <row r="70" customFormat="false" ht="15" hidden="false" customHeight="false" outlineLevel="0" collapsed="false">
      <c r="A70" s="6" t="s">
        <v>85</v>
      </c>
      <c r="C70" s="67" t="n">
        <f aca="false">IF(C$4=1,Inputs!$E$72,0)</f>
        <v>90000</v>
      </c>
      <c r="D70" s="67" t="n">
        <f aca="false">IF(D$4=1,Inputs!$E$72,0)</f>
        <v>0</v>
      </c>
      <c r="E70" s="67" t="n">
        <f aca="false">IF(E$4=1,Inputs!$E$72,0)</f>
        <v>0</v>
      </c>
      <c r="F70" s="67" t="n">
        <f aca="false">IF(F$4=1,Inputs!$E$72,0)</f>
        <v>0</v>
      </c>
      <c r="G70" s="67" t="n">
        <f aca="false">IF(G$4=1,Inputs!$E$72,0)</f>
        <v>0</v>
      </c>
      <c r="H70" s="67" t="n">
        <f aca="false">IF(H$4=1,Inputs!$E$72,0)</f>
        <v>0</v>
      </c>
      <c r="I70" s="67" t="n">
        <f aca="false">IF(I$4=1,Inputs!$E$72,0)</f>
        <v>0</v>
      </c>
      <c r="J70" s="67" t="n">
        <f aca="false">IF(J$4=1,Inputs!$E$72,0)</f>
        <v>0</v>
      </c>
      <c r="K70" s="67" t="n">
        <f aca="false">IF(K$4=1,Inputs!$E$72,0)</f>
        <v>0</v>
      </c>
      <c r="L70" s="67" t="n">
        <f aca="false">IF(L$4=1,Inputs!$E$72,0)</f>
        <v>0</v>
      </c>
      <c r="M70" s="67" t="n">
        <f aca="false">IF(M$4=1,Inputs!$E$72,0)</f>
        <v>0</v>
      </c>
      <c r="N70" s="67" t="n">
        <f aca="false">IF(N$4=1,Inputs!$E$72,0)</f>
        <v>0</v>
      </c>
      <c r="O70" s="67" t="n">
        <f aca="false">IF(O$4=1,Inputs!$E$72,0)</f>
        <v>0</v>
      </c>
      <c r="P70" s="67" t="n">
        <f aca="false">IF(P$4=1,Inputs!$E$72,0)</f>
        <v>0</v>
      </c>
      <c r="Q70" s="67" t="n">
        <f aca="false">IF(Q$4=1,Inputs!$E$72,0)</f>
        <v>0</v>
      </c>
      <c r="R70" s="67" t="n">
        <f aca="false">IF(R$4=1,Inputs!$E$72,0)</f>
        <v>0</v>
      </c>
      <c r="S70" s="67" t="n">
        <f aca="false">IF(S$4=1,Inputs!$E$72,0)</f>
        <v>0</v>
      </c>
      <c r="T70" s="67" t="n">
        <f aca="false">IF(T$4=1,Inputs!$E$72,0)</f>
        <v>0</v>
      </c>
      <c r="U70" s="67" t="n">
        <f aca="false">IF(U$4=1,Inputs!$E$72,0)</f>
        <v>0</v>
      </c>
      <c r="V70" s="67" t="n">
        <f aca="false">IF(V$4=1,Inputs!$E$72,0)</f>
        <v>0</v>
      </c>
      <c r="W70" s="67" t="n">
        <f aca="false">IF(W$4=1,Inputs!$E$72,0)</f>
        <v>0</v>
      </c>
      <c r="X70" s="67" t="n">
        <f aca="false">IF(X$4=1,Inputs!$E$72,0)</f>
        <v>0</v>
      </c>
      <c r="Y70" s="67" t="n">
        <f aca="false">IF(Y$4=1,Inputs!$E$72,0)</f>
        <v>0</v>
      </c>
      <c r="Z70" s="67" t="n">
        <f aca="false">IF(Z$4=1,Inputs!$E$72,0)</f>
        <v>0</v>
      </c>
      <c r="AA70" s="67" t="n">
        <f aca="false">IF(AA$4=1,Inputs!$E$72,0)</f>
        <v>0</v>
      </c>
      <c r="AB70" s="67" t="n">
        <f aca="false">IF(AB$4=1,Inputs!$E$72,0)</f>
        <v>0</v>
      </c>
      <c r="AC70" s="67" t="n">
        <f aca="false">IF(AC$4=1,Inputs!$E$72,0)</f>
        <v>0</v>
      </c>
      <c r="AD70" s="67" t="n">
        <f aca="false">IF(AD$4=1,Inputs!$E$72,0)</f>
        <v>0</v>
      </c>
      <c r="AE70" s="67" t="n">
        <f aca="false">IF(AE$4=1,Inputs!$E$72,0)</f>
        <v>0</v>
      </c>
      <c r="AF70" s="67" t="n">
        <f aca="false">IF(AF$4=1,Inputs!$E$72,0)</f>
        <v>0</v>
      </c>
      <c r="AG70" s="67" t="n">
        <f aca="false">IF(AG$4=1,Inputs!$E$72,0)</f>
        <v>0</v>
      </c>
      <c r="AH70" s="67" t="n">
        <f aca="false">IF(AH$4=1,Inputs!$E$72,0)</f>
        <v>0</v>
      </c>
      <c r="AI70" s="67" t="n">
        <f aca="false">IF(AI$4=1,Inputs!$E$72,0)</f>
        <v>0</v>
      </c>
      <c r="AJ70" s="67" t="n">
        <f aca="false">IF(AJ$4=1,Inputs!$E$72,0)</f>
        <v>0</v>
      </c>
      <c r="AK70" s="67" t="n">
        <f aca="false">IF(AK$4=1,Inputs!$E$72,0)</f>
        <v>0</v>
      </c>
      <c r="AL70" s="67" t="n">
        <f aca="false">IF(AL$4=1,Inputs!$E$72,0)</f>
        <v>0</v>
      </c>
    </row>
    <row r="71" customFormat="false" ht="15" hidden="false" customHeight="false" outlineLevel="0" collapsed="false">
      <c r="A71" s="6" t="s">
        <v>86</v>
      </c>
      <c r="C71" s="67" t="n">
        <f aca="false">-MIN(C69,Inputs!$E$72/MAX(1,Inputs!$E$74*12))</f>
        <v>-0</v>
      </c>
      <c r="D71" s="67" t="n">
        <f aca="false">-MIN(D69,Inputs!$E$72/MAX(1,Inputs!$E$74*12))</f>
        <v>-1500</v>
      </c>
      <c r="E71" s="67" t="n">
        <f aca="false">-MIN(E69,Inputs!$E$72/MAX(1,Inputs!$E$74*12))</f>
        <v>-1500</v>
      </c>
      <c r="F71" s="67" t="n">
        <f aca="false">-MIN(F69,Inputs!$E$72/MAX(1,Inputs!$E$74*12))</f>
        <v>-1500</v>
      </c>
      <c r="G71" s="67" t="n">
        <f aca="false">-MIN(G69,Inputs!$E$72/MAX(1,Inputs!$E$74*12))</f>
        <v>-1500</v>
      </c>
      <c r="H71" s="67" t="n">
        <f aca="false">-MIN(H69,Inputs!$E$72/MAX(1,Inputs!$E$74*12))</f>
        <v>-1500</v>
      </c>
      <c r="I71" s="67" t="n">
        <f aca="false">-MIN(I69,Inputs!$E$72/MAX(1,Inputs!$E$74*12))</f>
        <v>-1500</v>
      </c>
      <c r="J71" s="67" t="n">
        <f aca="false">-MIN(J69,Inputs!$E$72/MAX(1,Inputs!$E$74*12))</f>
        <v>-1500</v>
      </c>
      <c r="K71" s="67" t="n">
        <f aca="false">-MIN(K69,Inputs!$E$72/MAX(1,Inputs!$E$74*12))</f>
        <v>-1500</v>
      </c>
      <c r="L71" s="67" t="n">
        <f aca="false">-MIN(L69,Inputs!$E$72/MAX(1,Inputs!$E$74*12))</f>
        <v>-1500</v>
      </c>
      <c r="M71" s="67" t="n">
        <f aca="false">-MIN(M69,Inputs!$E$72/MAX(1,Inputs!$E$74*12))</f>
        <v>-1500</v>
      </c>
      <c r="N71" s="67" t="n">
        <f aca="false">-MIN(N69,Inputs!$E$72/MAX(1,Inputs!$E$74*12))</f>
        <v>-1500</v>
      </c>
      <c r="O71" s="67" t="n">
        <f aca="false">-MIN(O69,Inputs!$E$72/MAX(1,Inputs!$E$74*12))</f>
        <v>-1500</v>
      </c>
      <c r="P71" s="67" t="n">
        <f aca="false">-MIN(P69,Inputs!$E$72/MAX(1,Inputs!$E$74*12))</f>
        <v>-1500</v>
      </c>
      <c r="Q71" s="67" t="n">
        <f aca="false">-MIN(Q69,Inputs!$E$72/MAX(1,Inputs!$E$74*12))</f>
        <v>-1500</v>
      </c>
      <c r="R71" s="67" t="n">
        <f aca="false">-MIN(R69,Inputs!$E$72/MAX(1,Inputs!$E$74*12))</f>
        <v>-1500</v>
      </c>
      <c r="S71" s="67" t="n">
        <f aca="false">-MIN(S69,Inputs!$E$72/MAX(1,Inputs!$E$74*12))</f>
        <v>-1500</v>
      </c>
      <c r="T71" s="67" t="n">
        <f aca="false">-MIN(T69,Inputs!$E$72/MAX(1,Inputs!$E$74*12))</f>
        <v>-1500</v>
      </c>
      <c r="U71" s="67" t="n">
        <f aca="false">-MIN(U69,Inputs!$E$72/MAX(1,Inputs!$E$74*12))</f>
        <v>-1500</v>
      </c>
      <c r="V71" s="67" t="n">
        <f aca="false">-MIN(V69,Inputs!$E$72/MAX(1,Inputs!$E$74*12))</f>
        <v>-1500</v>
      </c>
      <c r="W71" s="67" t="n">
        <f aca="false">-MIN(W69,Inputs!$E$72/MAX(1,Inputs!$E$74*12))</f>
        <v>-1500</v>
      </c>
      <c r="X71" s="67" t="n">
        <f aca="false">-MIN(X69,Inputs!$E$72/MAX(1,Inputs!$E$74*12))</f>
        <v>-1500</v>
      </c>
      <c r="Y71" s="67" t="n">
        <f aca="false">-MIN(Y69,Inputs!$E$72/MAX(1,Inputs!$E$74*12))</f>
        <v>-1500</v>
      </c>
      <c r="Z71" s="67" t="n">
        <f aca="false">-MIN(Z69,Inputs!$E$72/MAX(1,Inputs!$E$74*12))</f>
        <v>-1500</v>
      </c>
      <c r="AA71" s="67" t="n">
        <f aca="false">-MIN(AA69,Inputs!$E$72/MAX(1,Inputs!$E$74*12))</f>
        <v>-1500</v>
      </c>
      <c r="AB71" s="67" t="n">
        <f aca="false">-MIN(AB69,Inputs!$E$72/MAX(1,Inputs!$E$74*12))</f>
        <v>-1500</v>
      </c>
      <c r="AC71" s="67" t="n">
        <f aca="false">-MIN(AC69,Inputs!$E$72/MAX(1,Inputs!$E$74*12))</f>
        <v>-1500</v>
      </c>
      <c r="AD71" s="67" t="n">
        <f aca="false">-MIN(AD69,Inputs!$E$72/MAX(1,Inputs!$E$74*12))</f>
        <v>-1500</v>
      </c>
      <c r="AE71" s="67" t="n">
        <f aca="false">-MIN(AE69,Inputs!$E$72/MAX(1,Inputs!$E$74*12))</f>
        <v>-1500</v>
      </c>
      <c r="AF71" s="67" t="n">
        <f aca="false">-MIN(AF69,Inputs!$E$72/MAX(1,Inputs!$E$74*12))</f>
        <v>-1500</v>
      </c>
      <c r="AG71" s="67" t="n">
        <f aca="false">-MIN(AG69,Inputs!$E$72/MAX(1,Inputs!$E$74*12))</f>
        <v>-1500</v>
      </c>
      <c r="AH71" s="67" t="n">
        <f aca="false">-MIN(AH69,Inputs!$E$72/MAX(1,Inputs!$E$74*12))</f>
        <v>-1500</v>
      </c>
      <c r="AI71" s="67" t="n">
        <f aca="false">-MIN(AI69,Inputs!$E$72/MAX(1,Inputs!$E$74*12))</f>
        <v>-1500</v>
      </c>
      <c r="AJ71" s="67" t="n">
        <f aca="false">-MIN(AJ69,Inputs!$E$72/MAX(1,Inputs!$E$74*12))</f>
        <v>-1500</v>
      </c>
      <c r="AK71" s="67" t="n">
        <f aca="false">-MIN(AK69,Inputs!$E$72/MAX(1,Inputs!$E$74*12))</f>
        <v>-1500</v>
      </c>
      <c r="AL71" s="67" t="n">
        <f aca="false">-MIN(AL69,Inputs!$E$72/MAX(1,Inputs!$E$74*12))</f>
        <v>-1500</v>
      </c>
    </row>
    <row r="72" customFormat="false" ht="15" hidden="false" customHeight="false" outlineLevel="0" collapsed="false">
      <c r="A72" s="4" t="s">
        <v>415</v>
      </c>
      <c r="C72" s="73" t="n">
        <f aca="false">C69+C70+C71</f>
        <v>90000</v>
      </c>
      <c r="D72" s="73" t="n">
        <f aca="false">D69+D70+D71</f>
        <v>88500</v>
      </c>
      <c r="E72" s="73" t="n">
        <f aca="false">E69+E70+E71</f>
        <v>87000</v>
      </c>
      <c r="F72" s="73" t="n">
        <f aca="false">F69+F70+F71</f>
        <v>85500</v>
      </c>
      <c r="G72" s="73" t="n">
        <f aca="false">G69+G70+G71</f>
        <v>84000</v>
      </c>
      <c r="H72" s="73" t="n">
        <f aca="false">H69+H70+H71</f>
        <v>82500</v>
      </c>
      <c r="I72" s="73" t="n">
        <f aca="false">I69+I70+I71</f>
        <v>81000</v>
      </c>
      <c r="J72" s="73" t="n">
        <f aca="false">J69+J70+J71</f>
        <v>79500</v>
      </c>
      <c r="K72" s="73" t="n">
        <f aca="false">K69+K70+K71</f>
        <v>78000</v>
      </c>
      <c r="L72" s="73" t="n">
        <f aca="false">L69+L70+L71</f>
        <v>76500</v>
      </c>
      <c r="M72" s="73" t="n">
        <f aca="false">M69+M70+M71</f>
        <v>75000</v>
      </c>
      <c r="N72" s="73" t="n">
        <f aca="false">N69+N70+N71</f>
        <v>73500</v>
      </c>
      <c r="O72" s="73" t="n">
        <f aca="false">O69+O70+O71</f>
        <v>72000</v>
      </c>
      <c r="P72" s="73" t="n">
        <f aca="false">P69+P70+P71</f>
        <v>70500</v>
      </c>
      <c r="Q72" s="73" t="n">
        <f aca="false">Q69+Q70+Q71</f>
        <v>69000</v>
      </c>
      <c r="R72" s="73" t="n">
        <f aca="false">R69+R70+R71</f>
        <v>67500</v>
      </c>
      <c r="S72" s="73" t="n">
        <f aca="false">S69+S70+S71</f>
        <v>66000</v>
      </c>
      <c r="T72" s="73" t="n">
        <f aca="false">T69+T70+T71</f>
        <v>64500</v>
      </c>
      <c r="U72" s="73" t="n">
        <f aca="false">U69+U70+U71</f>
        <v>63000</v>
      </c>
      <c r="V72" s="73" t="n">
        <f aca="false">V69+V70+V71</f>
        <v>61500</v>
      </c>
      <c r="W72" s="73" t="n">
        <f aca="false">W69+W70+W71</f>
        <v>60000</v>
      </c>
      <c r="X72" s="73" t="n">
        <f aca="false">X69+X70+X71</f>
        <v>58500</v>
      </c>
      <c r="Y72" s="73" t="n">
        <f aca="false">Y69+Y70+Y71</f>
        <v>57000</v>
      </c>
      <c r="Z72" s="73" t="n">
        <f aca="false">Z69+Z70+Z71</f>
        <v>55500</v>
      </c>
      <c r="AA72" s="73" t="n">
        <f aca="false">AA69+AA70+AA71</f>
        <v>54000</v>
      </c>
      <c r="AB72" s="73" t="n">
        <f aca="false">AB69+AB70+AB71</f>
        <v>52500</v>
      </c>
      <c r="AC72" s="73" t="n">
        <f aca="false">AC69+AC70+AC71</f>
        <v>51000</v>
      </c>
      <c r="AD72" s="73" t="n">
        <f aca="false">AD69+AD70+AD71</f>
        <v>49500</v>
      </c>
      <c r="AE72" s="73" t="n">
        <f aca="false">AE69+AE70+AE71</f>
        <v>48000</v>
      </c>
      <c r="AF72" s="73" t="n">
        <f aca="false">AF69+AF70+AF71</f>
        <v>46500</v>
      </c>
      <c r="AG72" s="73" t="n">
        <f aca="false">AG69+AG70+AG71</f>
        <v>45000</v>
      </c>
      <c r="AH72" s="73" t="n">
        <f aca="false">AH69+AH70+AH71</f>
        <v>43500</v>
      </c>
      <c r="AI72" s="73" t="n">
        <f aca="false">AI69+AI70+AI71</f>
        <v>42000</v>
      </c>
      <c r="AJ72" s="73" t="n">
        <f aca="false">AJ69+AJ70+AJ71</f>
        <v>40500</v>
      </c>
      <c r="AK72" s="73" t="n">
        <f aca="false">AK69+AK70+AK71</f>
        <v>39000</v>
      </c>
      <c r="AL72" s="73" t="n">
        <f aca="false">AL69+AL70+AL71</f>
        <v>37500</v>
      </c>
    </row>
    <row r="74" customFormat="false" ht="15.75" hidden="false" customHeight="true" outlineLevel="0" collapsed="false">
      <c r="A74" s="7" t="s">
        <v>314</v>
      </c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</row>
    <row r="75" customFormat="false" ht="15" hidden="false" customHeight="false" outlineLevel="0" collapsed="false">
      <c r="A75" s="6" t="s">
        <v>90</v>
      </c>
      <c r="C75" s="67" t="n">
        <f aca="false">C24*Inputs!$E$77/30</f>
        <v>1041.6</v>
      </c>
      <c r="D75" s="67" t="n">
        <f aca="false">D24*Inputs!$E$77/30</f>
        <v>1215.2</v>
      </c>
      <c r="E75" s="67" t="n">
        <f aca="false">E24*Inputs!$E$77/30</f>
        <v>1881.6</v>
      </c>
      <c r="F75" s="67" t="n">
        <f aca="false">F24*Inputs!$E$77/30</f>
        <v>2116.8</v>
      </c>
      <c r="G75" s="67" t="n">
        <f aca="false">G24*Inputs!$E$77/30</f>
        <v>2352</v>
      </c>
      <c r="H75" s="67" t="n">
        <f aca="false">H24*Inputs!$E$77/30</f>
        <v>2587.2</v>
      </c>
      <c r="I75" s="67" t="n">
        <f aca="false">I24*Inputs!$E$77/30</f>
        <v>2822.4</v>
      </c>
      <c r="J75" s="67" t="n">
        <f aca="false">J24*Inputs!$E$77/30</f>
        <v>2822.4</v>
      </c>
      <c r="K75" s="67" t="n">
        <f aca="false">K24*Inputs!$E$77/30</f>
        <v>2822.4</v>
      </c>
      <c r="L75" s="67" t="n">
        <f aca="false">L24*Inputs!$E$77/30</f>
        <v>2822.4</v>
      </c>
      <c r="M75" s="67" t="n">
        <f aca="false">M24*Inputs!$E$77/30</f>
        <v>2822.4</v>
      </c>
      <c r="N75" s="67" t="n">
        <f aca="false">N24*Inputs!$E$77/30</f>
        <v>2083.2</v>
      </c>
      <c r="O75" s="67" t="n">
        <f aca="false">O24*Inputs!$E$77/30</f>
        <v>2218.71888</v>
      </c>
      <c r="P75" s="67" t="n">
        <f aca="false">P24*Inputs!$E$77/30</f>
        <v>2218.71888</v>
      </c>
      <c r="Q75" s="67" t="n">
        <f aca="false">Q24*Inputs!$E$77/30</f>
        <v>3002.93616</v>
      </c>
      <c r="R75" s="67" t="n">
        <f aca="false">R24*Inputs!$E$77/30</f>
        <v>3002.93616</v>
      </c>
      <c r="S75" s="67" t="n">
        <f aca="false">S24*Inputs!$E$77/30</f>
        <v>3002.93616</v>
      </c>
      <c r="T75" s="67" t="n">
        <f aca="false">T24*Inputs!$E$77/30</f>
        <v>3002.93616</v>
      </c>
      <c r="U75" s="67" t="n">
        <f aca="false">U24*Inputs!$E$77/30</f>
        <v>3002.93616</v>
      </c>
      <c r="V75" s="67" t="n">
        <f aca="false">V24*Inputs!$E$77/30</f>
        <v>3002.93616</v>
      </c>
      <c r="W75" s="67" t="n">
        <f aca="false">W24*Inputs!$E$77/30</f>
        <v>3002.93616</v>
      </c>
      <c r="X75" s="67" t="n">
        <f aca="false">X24*Inputs!$E$77/30</f>
        <v>3002.93616</v>
      </c>
      <c r="Y75" s="67" t="n">
        <f aca="false">Y24*Inputs!$E$77/30</f>
        <v>3002.93616</v>
      </c>
      <c r="Z75" s="67" t="n">
        <f aca="false">Z24*Inputs!$E$77/30</f>
        <v>2218.71888</v>
      </c>
      <c r="AA75" s="67" t="n">
        <f aca="false">AA24*Inputs!$E$77/30</f>
        <v>2363.195997792</v>
      </c>
      <c r="AB75" s="67" t="n">
        <f aca="false">AB24*Inputs!$E$77/30</f>
        <v>2363.195997792</v>
      </c>
      <c r="AC75" s="67" t="n">
        <f aca="false">AC24*Inputs!$E$77/30</f>
        <v>3195.172110144</v>
      </c>
      <c r="AD75" s="67" t="n">
        <f aca="false">AD24*Inputs!$E$77/30</f>
        <v>3195.172110144</v>
      </c>
      <c r="AE75" s="67" t="n">
        <f aca="false">AE24*Inputs!$E$77/30</f>
        <v>3195.172110144</v>
      </c>
      <c r="AF75" s="67" t="n">
        <f aca="false">AF24*Inputs!$E$77/30</f>
        <v>3195.172110144</v>
      </c>
      <c r="AG75" s="67" t="n">
        <f aca="false">AG24*Inputs!$E$77/30</f>
        <v>3195.172110144</v>
      </c>
      <c r="AH75" s="67" t="n">
        <f aca="false">AH24*Inputs!$E$77/30</f>
        <v>3195.172110144</v>
      </c>
      <c r="AI75" s="67" t="n">
        <f aca="false">AI24*Inputs!$E$77/30</f>
        <v>3195.172110144</v>
      </c>
      <c r="AJ75" s="67" t="n">
        <f aca="false">AJ24*Inputs!$E$77/30</f>
        <v>3195.172110144</v>
      </c>
      <c r="AK75" s="67" t="n">
        <f aca="false">AK24*Inputs!$E$77/30</f>
        <v>3195.172110144</v>
      </c>
      <c r="AL75" s="67" t="n">
        <f aca="false">AL24*Inputs!$E$77/30</f>
        <v>2363.195997792</v>
      </c>
    </row>
    <row r="76" customFormat="false" ht="15" hidden="false" customHeight="false" outlineLevel="0" collapsed="false">
      <c r="A76" s="6" t="s">
        <v>91</v>
      </c>
      <c r="C76" s="67" t="n">
        <f aca="false">-C32*Inputs!$E$78/30</f>
        <v>430.8144</v>
      </c>
      <c r="D76" s="67" t="n">
        <f aca="false">-D32*Inputs!$E$78/30</f>
        <v>502.6168</v>
      </c>
      <c r="E76" s="67" t="n">
        <f aca="false">-E32*Inputs!$E$78/30</f>
        <v>767.1744</v>
      </c>
      <c r="F76" s="67" t="n">
        <f aca="false">-F32*Inputs!$E$78/30</f>
        <v>863.0712</v>
      </c>
      <c r="G76" s="67" t="n">
        <f aca="false">-G32*Inputs!$E$78/30</f>
        <v>958.968</v>
      </c>
      <c r="H76" s="67" t="n">
        <f aca="false">-H32*Inputs!$E$78/30</f>
        <v>1054.8648</v>
      </c>
      <c r="I76" s="67" t="n">
        <f aca="false">-I32*Inputs!$E$78/30</f>
        <v>1150.7616</v>
      </c>
      <c r="J76" s="67" t="n">
        <f aca="false">-J32*Inputs!$E$78/30</f>
        <v>1150.7616</v>
      </c>
      <c r="K76" s="67" t="n">
        <f aca="false">-K32*Inputs!$E$78/30</f>
        <v>1150.7616</v>
      </c>
      <c r="L76" s="67" t="n">
        <f aca="false">-L32*Inputs!$E$78/30</f>
        <v>1150.7616</v>
      </c>
      <c r="M76" s="67" t="n">
        <f aca="false">-M32*Inputs!$E$78/30</f>
        <v>1150.7616</v>
      </c>
      <c r="N76" s="67" t="n">
        <f aca="false">-N32*Inputs!$E$78/30</f>
        <v>861.6288</v>
      </c>
      <c r="O76" s="67" t="n">
        <f aca="false">-O32*Inputs!$E$78/30</f>
        <v>918.45024192</v>
      </c>
      <c r="P76" s="67" t="n">
        <f aca="false">-P32*Inputs!$E$78/30</f>
        <v>918.45024192</v>
      </c>
      <c r="Q76" s="67" t="n">
        <f aca="false">-Q32*Inputs!$E$78/30</f>
        <v>1225.19122944</v>
      </c>
      <c r="R76" s="67" t="n">
        <f aca="false">-R32*Inputs!$E$78/30</f>
        <v>1225.19122944</v>
      </c>
      <c r="S76" s="67" t="n">
        <f aca="false">-S32*Inputs!$E$78/30</f>
        <v>1225.19122944</v>
      </c>
      <c r="T76" s="67" t="n">
        <f aca="false">-T32*Inputs!$E$78/30</f>
        <v>1225.19122944</v>
      </c>
      <c r="U76" s="67" t="n">
        <f aca="false">-U32*Inputs!$E$78/30</f>
        <v>1225.19122944</v>
      </c>
      <c r="V76" s="67" t="n">
        <f aca="false">-V32*Inputs!$E$78/30</f>
        <v>1225.19122944</v>
      </c>
      <c r="W76" s="67" t="n">
        <f aca="false">-W32*Inputs!$E$78/30</f>
        <v>1225.19122944</v>
      </c>
      <c r="X76" s="67" t="n">
        <f aca="false">-X32*Inputs!$E$78/30</f>
        <v>1225.19122944</v>
      </c>
      <c r="Y76" s="67" t="n">
        <f aca="false">-Y32*Inputs!$E$78/30</f>
        <v>1225.19122944</v>
      </c>
      <c r="Z76" s="67" t="n">
        <f aca="false">-Z32*Inputs!$E$78/30</f>
        <v>918.45024192</v>
      </c>
      <c r="AA76" s="67" t="n">
        <f aca="false">-AA32*Inputs!$E$78/30</f>
        <v>979.086491864928</v>
      </c>
      <c r="AB76" s="67" t="n">
        <f aca="false">-AB32*Inputs!$E$78/30</f>
        <v>979.086491864928</v>
      </c>
      <c r="AC76" s="67" t="n">
        <f aca="false">-AC32*Inputs!$E$78/30</f>
        <v>1304.5080055249</v>
      </c>
      <c r="AD76" s="67" t="n">
        <f aca="false">-AD32*Inputs!$E$78/30</f>
        <v>1304.5080055249</v>
      </c>
      <c r="AE76" s="67" t="n">
        <f aca="false">-AE32*Inputs!$E$78/30</f>
        <v>1304.5080055249</v>
      </c>
      <c r="AF76" s="67" t="n">
        <f aca="false">-AF32*Inputs!$E$78/30</f>
        <v>1304.5080055249</v>
      </c>
      <c r="AG76" s="67" t="n">
        <f aca="false">-AG32*Inputs!$E$78/30</f>
        <v>1304.5080055249</v>
      </c>
      <c r="AH76" s="67" t="n">
        <f aca="false">-AH32*Inputs!$E$78/30</f>
        <v>1304.5080055249</v>
      </c>
      <c r="AI76" s="67" t="n">
        <f aca="false">-AI32*Inputs!$E$78/30</f>
        <v>1304.5080055249</v>
      </c>
      <c r="AJ76" s="67" t="n">
        <f aca="false">-AJ32*Inputs!$E$78/30</f>
        <v>1304.5080055249</v>
      </c>
      <c r="AK76" s="67" t="n">
        <f aca="false">-AK32*Inputs!$E$78/30</f>
        <v>1304.5080055249</v>
      </c>
      <c r="AL76" s="67" t="n">
        <f aca="false">-AL32*Inputs!$E$78/30</f>
        <v>979.086491864928</v>
      </c>
    </row>
    <row r="77" customFormat="false" ht="15" hidden="false" customHeight="false" outlineLevel="0" collapsed="false">
      <c r="A77" s="6" t="s">
        <v>94</v>
      </c>
      <c r="C77" s="67" t="n">
        <f aca="false">-C32*Inputs!$E$79/30</f>
        <v>1005.2336</v>
      </c>
      <c r="D77" s="67" t="n">
        <f aca="false">-D32*Inputs!$E$79/30</f>
        <v>1172.77253333333</v>
      </c>
      <c r="E77" s="67" t="n">
        <f aca="false">-E32*Inputs!$E$79/30</f>
        <v>1790.0736</v>
      </c>
      <c r="F77" s="67" t="n">
        <f aca="false">-F32*Inputs!$E$79/30</f>
        <v>2013.8328</v>
      </c>
      <c r="G77" s="67" t="n">
        <f aca="false">-G32*Inputs!$E$79/30</f>
        <v>2237.592</v>
      </c>
      <c r="H77" s="67" t="n">
        <f aca="false">-H32*Inputs!$E$79/30</f>
        <v>2461.3512</v>
      </c>
      <c r="I77" s="67" t="n">
        <f aca="false">-I32*Inputs!$E$79/30</f>
        <v>2685.1104</v>
      </c>
      <c r="J77" s="67" t="n">
        <f aca="false">-J32*Inputs!$E$79/30</f>
        <v>2685.1104</v>
      </c>
      <c r="K77" s="67" t="n">
        <f aca="false">-K32*Inputs!$E$79/30</f>
        <v>2685.1104</v>
      </c>
      <c r="L77" s="67" t="n">
        <f aca="false">-L32*Inputs!$E$79/30</f>
        <v>2685.1104</v>
      </c>
      <c r="M77" s="67" t="n">
        <f aca="false">-M32*Inputs!$E$79/30</f>
        <v>2685.1104</v>
      </c>
      <c r="N77" s="67" t="n">
        <f aca="false">-N32*Inputs!$E$79/30</f>
        <v>2010.4672</v>
      </c>
      <c r="O77" s="67" t="n">
        <f aca="false">-O32*Inputs!$E$79/30</f>
        <v>2143.05056448</v>
      </c>
      <c r="P77" s="67" t="n">
        <f aca="false">-P32*Inputs!$E$79/30</f>
        <v>2143.05056448</v>
      </c>
      <c r="Q77" s="67" t="n">
        <f aca="false">-Q32*Inputs!$E$79/30</f>
        <v>2858.77953536</v>
      </c>
      <c r="R77" s="67" t="n">
        <f aca="false">-R32*Inputs!$E$79/30</f>
        <v>2858.77953536</v>
      </c>
      <c r="S77" s="67" t="n">
        <f aca="false">-S32*Inputs!$E$79/30</f>
        <v>2858.77953536</v>
      </c>
      <c r="T77" s="67" t="n">
        <f aca="false">-T32*Inputs!$E$79/30</f>
        <v>2858.77953536</v>
      </c>
      <c r="U77" s="67" t="n">
        <f aca="false">-U32*Inputs!$E$79/30</f>
        <v>2858.77953536</v>
      </c>
      <c r="V77" s="67" t="n">
        <f aca="false">-V32*Inputs!$E$79/30</f>
        <v>2858.77953536</v>
      </c>
      <c r="W77" s="67" t="n">
        <f aca="false">-W32*Inputs!$E$79/30</f>
        <v>2858.77953536</v>
      </c>
      <c r="X77" s="67" t="n">
        <f aca="false">-X32*Inputs!$E$79/30</f>
        <v>2858.77953536</v>
      </c>
      <c r="Y77" s="67" t="n">
        <f aca="false">-Y32*Inputs!$E$79/30</f>
        <v>2858.77953536</v>
      </c>
      <c r="Z77" s="67" t="n">
        <f aca="false">-Z32*Inputs!$E$79/30</f>
        <v>2143.05056448</v>
      </c>
      <c r="AA77" s="67" t="n">
        <f aca="false">-AA32*Inputs!$E$79/30</f>
        <v>2284.53514768483</v>
      </c>
      <c r="AB77" s="67" t="n">
        <f aca="false">-AB32*Inputs!$E$79/30</f>
        <v>2284.53514768483</v>
      </c>
      <c r="AC77" s="67" t="n">
        <f aca="false">-AC32*Inputs!$E$79/30</f>
        <v>3043.85201289142</v>
      </c>
      <c r="AD77" s="67" t="n">
        <f aca="false">-AD32*Inputs!$E$79/30</f>
        <v>3043.85201289142</v>
      </c>
      <c r="AE77" s="67" t="n">
        <f aca="false">-AE32*Inputs!$E$79/30</f>
        <v>3043.85201289142</v>
      </c>
      <c r="AF77" s="67" t="n">
        <f aca="false">-AF32*Inputs!$E$79/30</f>
        <v>3043.85201289142</v>
      </c>
      <c r="AG77" s="67" t="n">
        <f aca="false">-AG32*Inputs!$E$79/30</f>
        <v>3043.85201289142</v>
      </c>
      <c r="AH77" s="67" t="n">
        <f aca="false">-AH32*Inputs!$E$79/30</f>
        <v>3043.85201289142</v>
      </c>
      <c r="AI77" s="67" t="n">
        <f aca="false">-AI32*Inputs!$E$79/30</f>
        <v>3043.85201289142</v>
      </c>
      <c r="AJ77" s="67" t="n">
        <f aca="false">-AJ32*Inputs!$E$79/30</f>
        <v>3043.85201289142</v>
      </c>
      <c r="AK77" s="67" t="n">
        <f aca="false">-AK32*Inputs!$E$79/30</f>
        <v>3043.85201289142</v>
      </c>
      <c r="AL77" s="67" t="n">
        <f aca="false">-AL32*Inputs!$E$79/30</f>
        <v>2284.53514768483</v>
      </c>
    </row>
    <row r="78" customFormat="false" ht="15" hidden="false" customHeight="false" outlineLevel="0" collapsed="false">
      <c r="A78" s="6" t="s">
        <v>340</v>
      </c>
      <c r="C78" s="67" t="n">
        <f aca="false">-C75</f>
        <v>-1041.6</v>
      </c>
      <c r="D78" s="67" t="n">
        <f aca="false">C75-D75</f>
        <v>-173.600000000001</v>
      </c>
      <c r="E78" s="67" t="n">
        <f aca="false">D75-E75</f>
        <v>-666.399999999999</v>
      </c>
      <c r="F78" s="67" t="n">
        <f aca="false">E75-F75</f>
        <v>-235.200000000001</v>
      </c>
      <c r="G78" s="67" t="n">
        <f aca="false">F75-G75</f>
        <v>-235.199999999999</v>
      </c>
      <c r="H78" s="67" t="n">
        <f aca="false">G75-H75</f>
        <v>-235.2</v>
      </c>
      <c r="I78" s="67" t="n">
        <f aca="false">H75-I75</f>
        <v>-235.200000000001</v>
      </c>
      <c r="J78" s="67" t="n">
        <f aca="false">I75-J75</f>
        <v>0</v>
      </c>
      <c r="K78" s="67" t="n">
        <f aca="false">J75-K75</f>
        <v>0</v>
      </c>
      <c r="L78" s="67" t="n">
        <f aca="false">K75-L75</f>
        <v>0</v>
      </c>
      <c r="M78" s="67" t="n">
        <f aca="false">L75-M75</f>
        <v>0</v>
      </c>
      <c r="N78" s="67" t="n">
        <f aca="false">M75-N75</f>
        <v>739.2</v>
      </c>
      <c r="O78" s="67" t="n">
        <f aca="false">N75-O75</f>
        <v>-135.51888</v>
      </c>
      <c r="P78" s="67" t="n">
        <f aca="false">O75-P75</f>
        <v>0</v>
      </c>
      <c r="Q78" s="67" t="n">
        <f aca="false">P75-Q75</f>
        <v>-784.21728</v>
      </c>
      <c r="R78" s="67" t="n">
        <f aca="false">Q75-R75</f>
        <v>0</v>
      </c>
      <c r="S78" s="67" t="n">
        <f aca="false">R75-S75</f>
        <v>0</v>
      </c>
      <c r="T78" s="67" t="n">
        <f aca="false">S75-T75</f>
        <v>0</v>
      </c>
      <c r="U78" s="67" t="n">
        <f aca="false">T75-U75</f>
        <v>0</v>
      </c>
      <c r="V78" s="67" t="n">
        <f aca="false">U75-V75</f>
        <v>0</v>
      </c>
      <c r="W78" s="67" t="n">
        <f aca="false">V75-W75</f>
        <v>0</v>
      </c>
      <c r="X78" s="67" t="n">
        <f aca="false">W75-X75</f>
        <v>0</v>
      </c>
      <c r="Y78" s="67" t="n">
        <f aca="false">X75-Y75</f>
        <v>0</v>
      </c>
      <c r="Z78" s="67" t="n">
        <f aca="false">Y75-Z75</f>
        <v>784.21728</v>
      </c>
      <c r="AA78" s="67" t="n">
        <f aca="false">Z75-AA75</f>
        <v>-144.477117792</v>
      </c>
      <c r="AB78" s="67" t="n">
        <f aca="false">AA75-AB75</f>
        <v>0</v>
      </c>
      <c r="AC78" s="67" t="n">
        <f aca="false">AB75-AC75</f>
        <v>-831.976112352</v>
      </c>
      <c r="AD78" s="67" t="n">
        <f aca="false">AC75-AD75</f>
        <v>0</v>
      </c>
      <c r="AE78" s="67" t="n">
        <f aca="false">AD75-AE75</f>
        <v>0</v>
      </c>
      <c r="AF78" s="67" t="n">
        <f aca="false">AE75-AF75</f>
        <v>0</v>
      </c>
      <c r="AG78" s="67" t="n">
        <f aca="false">AF75-AG75</f>
        <v>0</v>
      </c>
      <c r="AH78" s="67" t="n">
        <f aca="false">AG75-AH75</f>
        <v>0</v>
      </c>
      <c r="AI78" s="67" t="n">
        <f aca="false">AH75-AI75</f>
        <v>0</v>
      </c>
      <c r="AJ78" s="67" t="n">
        <f aca="false">AI75-AJ75</f>
        <v>0</v>
      </c>
      <c r="AK78" s="67" t="n">
        <f aca="false">AJ75-AK75</f>
        <v>0</v>
      </c>
      <c r="AL78" s="67" t="n">
        <f aca="false">AK75-AL75</f>
        <v>831.976112352</v>
      </c>
    </row>
    <row r="79" customFormat="false" ht="15" hidden="false" customHeight="false" outlineLevel="0" collapsed="false">
      <c r="A79" s="6" t="s">
        <v>341</v>
      </c>
      <c r="C79" s="67" t="n">
        <f aca="false">-C76</f>
        <v>-430.8144</v>
      </c>
      <c r="D79" s="67" t="n">
        <f aca="false">C76-D76</f>
        <v>-71.8024000000001</v>
      </c>
      <c r="E79" s="67" t="n">
        <f aca="false">D76-E76</f>
        <v>-264.5576</v>
      </c>
      <c r="F79" s="67" t="n">
        <f aca="false">E76-F76</f>
        <v>-95.8968000000001</v>
      </c>
      <c r="G79" s="67" t="n">
        <f aca="false">F76-G76</f>
        <v>-95.8967999999998</v>
      </c>
      <c r="H79" s="67" t="n">
        <f aca="false">G76-H76</f>
        <v>-95.8968000000001</v>
      </c>
      <c r="I79" s="67" t="n">
        <f aca="false">H76-I76</f>
        <v>-95.8968000000004</v>
      </c>
      <c r="J79" s="67" t="n">
        <f aca="false">I76-J76</f>
        <v>0</v>
      </c>
      <c r="K79" s="67" t="n">
        <f aca="false">J76-K76</f>
        <v>0</v>
      </c>
      <c r="L79" s="67" t="n">
        <f aca="false">K76-L76</f>
        <v>0</v>
      </c>
      <c r="M79" s="67" t="n">
        <f aca="false">L76-M76</f>
        <v>0</v>
      </c>
      <c r="N79" s="67" t="n">
        <f aca="false">M76-N76</f>
        <v>289.1328</v>
      </c>
      <c r="O79" s="67" t="n">
        <f aca="false">N76-O76</f>
        <v>-56.82144192</v>
      </c>
      <c r="P79" s="67" t="n">
        <f aca="false">O76-P76</f>
        <v>0</v>
      </c>
      <c r="Q79" s="67" t="n">
        <f aca="false">P76-Q76</f>
        <v>-306.74098752</v>
      </c>
      <c r="R79" s="67" t="n">
        <f aca="false">Q76-R76</f>
        <v>0</v>
      </c>
      <c r="S79" s="67" t="n">
        <f aca="false">R76-S76</f>
        <v>0</v>
      </c>
      <c r="T79" s="67" t="n">
        <f aca="false">S76-T76</f>
        <v>0</v>
      </c>
      <c r="U79" s="67" t="n">
        <f aca="false">T76-U76</f>
        <v>0</v>
      </c>
      <c r="V79" s="67" t="n">
        <f aca="false">U76-V76</f>
        <v>0</v>
      </c>
      <c r="W79" s="67" t="n">
        <f aca="false">V76-W76</f>
        <v>0</v>
      </c>
      <c r="X79" s="67" t="n">
        <f aca="false">W76-X76</f>
        <v>0</v>
      </c>
      <c r="Y79" s="67" t="n">
        <f aca="false">X76-Y76</f>
        <v>0</v>
      </c>
      <c r="Z79" s="67" t="n">
        <f aca="false">Y76-Z76</f>
        <v>306.74098752</v>
      </c>
      <c r="AA79" s="67" t="n">
        <f aca="false">Z76-AA76</f>
        <v>-60.6362499449278</v>
      </c>
      <c r="AB79" s="67" t="n">
        <f aca="false">AA76-AB76</f>
        <v>0</v>
      </c>
      <c r="AC79" s="67" t="n">
        <f aca="false">AB76-AC76</f>
        <v>-325.421513659968</v>
      </c>
      <c r="AD79" s="67" t="n">
        <f aca="false">AC76-AD76</f>
        <v>0</v>
      </c>
      <c r="AE79" s="67" t="n">
        <f aca="false">AD76-AE76</f>
        <v>0</v>
      </c>
      <c r="AF79" s="67" t="n">
        <f aca="false">AE76-AF76</f>
        <v>0</v>
      </c>
      <c r="AG79" s="67" t="n">
        <f aca="false">AF76-AG76</f>
        <v>0</v>
      </c>
      <c r="AH79" s="67" t="n">
        <f aca="false">AG76-AH76</f>
        <v>0</v>
      </c>
      <c r="AI79" s="67" t="n">
        <f aca="false">AH76-AI76</f>
        <v>0</v>
      </c>
      <c r="AJ79" s="67" t="n">
        <f aca="false">AI76-AJ76</f>
        <v>0</v>
      </c>
      <c r="AK79" s="67" t="n">
        <f aca="false">AJ76-AK76</f>
        <v>0</v>
      </c>
      <c r="AL79" s="67" t="n">
        <f aca="false">AK76-AL76</f>
        <v>325.421513659968</v>
      </c>
    </row>
    <row r="80" customFormat="false" ht="15" hidden="false" customHeight="false" outlineLevel="0" collapsed="false">
      <c r="A80" s="6" t="s">
        <v>342</v>
      </c>
      <c r="C80" s="67" t="n">
        <f aca="false">C77</f>
        <v>1005.2336</v>
      </c>
      <c r="D80" s="67" t="n">
        <f aca="false">D77-C77</f>
        <v>167.538933333334</v>
      </c>
      <c r="E80" s="67" t="n">
        <f aca="false">E77-D77</f>
        <v>617.301066666666</v>
      </c>
      <c r="F80" s="67" t="n">
        <f aca="false">F77-E77</f>
        <v>223.7592</v>
      </c>
      <c r="G80" s="67" t="n">
        <f aca="false">G77-F77</f>
        <v>223.7592</v>
      </c>
      <c r="H80" s="67" t="n">
        <f aca="false">H77-G77</f>
        <v>223.7592</v>
      </c>
      <c r="I80" s="67" t="n">
        <f aca="false">I77-H77</f>
        <v>223.7592</v>
      </c>
      <c r="J80" s="67" t="n">
        <f aca="false">J77-I77</f>
        <v>0</v>
      </c>
      <c r="K80" s="67" t="n">
        <f aca="false">K77-J77</f>
        <v>0</v>
      </c>
      <c r="L80" s="67" t="n">
        <f aca="false">L77-K77</f>
        <v>0</v>
      </c>
      <c r="M80" s="67" t="n">
        <f aca="false">M77-L77</f>
        <v>0</v>
      </c>
      <c r="N80" s="67" t="n">
        <f aca="false">N77-M77</f>
        <v>-674.6432</v>
      </c>
      <c r="O80" s="67" t="n">
        <f aca="false">O77-N77</f>
        <v>132.58336448</v>
      </c>
      <c r="P80" s="67" t="n">
        <f aca="false">P77-O77</f>
        <v>0</v>
      </c>
      <c r="Q80" s="67" t="n">
        <f aca="false">Q77-P77</f>
        <v>715.72897088</v>
      </c>
      <c r="R80" s="67" t="n">
        <f aca="false">R77-Q77</f>
        <v>0</v>
      </c>
      <c r="S80" s="67" t="n">
        <f aca="false">S77-R77</f>
        <v>0</v>
      </c>
      <c r="T80" s="67" t="n">
        <f aca="false">T77-S77</f>
        <v>0</v>
      </c>
      <c r="U80" s="67" t="n">
        <f aca="false">U77-T77</f>
        <v>0</v>
      </c>
      <c r="V80" s="67" t="n">
        <f aca="false">V77-U77</f>
        <v>0</v>
      </c>
      <c r="W80" s="67" t="n">
        <f aca="false">W77-V77</f>
        <v>0</v>
      </c>
      <c r="X80" s="67" t="n">
        <f aca="false">X77-W77</f>
        <v>0</v>
      </c>
      <c r="Y80" s="67" t="n">
        <f aca="false">Y77-X77</f>
        <v>0</v>
      </c>
      <c r="Z80" s="67" t="n">
        <f aca="false">Z77-Y77</f>
        <v>-715.72897088</v>
      </c>
      <c r="AA80" s="67" t="n">
        <f aca="false">AA77-Z77</f>
        <v>141.484583204831</v>
      </c>
      <c r="AB80" s="67" t="n">
        <f aca="false">AB77-AA77</f>
        <v>0</v>
      </c>
      <c r="AC80" s="67" t="n">
        <f aca="false">AC77-AB77</f>
        <v>759.316865206592</v>
      </c>
      <c r="AD80" s="67" t="n">
        <f aca="false">AD77-AC77</f>
        <v>0</v>
      </c>
      <c r="AE80" s="67" t="n">
        <f aca="false">AE77-AD77</f>
        <v>0</v>
      </c>
      <c r="AF80" s="67" t="n">
        <f aca="false">AF77-AE77</f>
        <v>0</v>
      </c>
      <c r="AG80" s="67" t="n">
        <f aca="false">AG77-AF77</f>
        <v>0</v>
      </c>
      <c r="AH80" s="67" t="n">
        <f aca="false">AH77-AG77</f>
        <v>0</v>
      </c>
      <c r="AI80" s="67" t="n">
        <f aca="false">AI77-AH77</f>
        <v>0</v>
      </c>
      <c r="AJ80" s="67" t="n">
        <f aca="false">AJ77-AI77</f>
        <v>0</v>
      </c>
      <c r="AK80" s="67" t="n">
        <f aca="false">AK77-AJ77</f>
        <v>0</v>
      </c>
      <c r="AL80" s="67" t="n">
        <f aca="false">AL77-AK77</f>
        <v>-759.316865206592</v>
      </c>
    </row>
    <row r="82" customFormat="false" ht="15.75" hidden="false" customHeight="true" outlineLevel="0" collapsed="false">
      <c r="A82" s="7" t="s">
        <v>416</v>
      </c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</row>
    <row r="83" customFormat="false" ht="15" hidden="false" customHeight="false" outlineLevel="0" collapsed="false">
      <c r="A83" s="4" t="s">
        <v>52</v>
      </c>
      <c r="C83" s="73" t="n">
        <f aca="false">C55-C64+C78+C79+C80</f>
        <v>-8928.99146666667</v>
      </c>
      <c r="D83" s="73" t="n">
        <f aca="false">D55-D64+D78+D79+D80</f>
        <v>-7525.57313333333</v>
      </c>
      <c r="E83" s="73" t="n">
        <f aca="false">E55-E64+E78+E79+E80</f>
        <v>-3969.1922</v>
      </c>
      <c r="F83" s="73" t="n">
        <f aca="false">F55-F64+F78+F79+F80</f>
        <v>-2368.09126666667</v>
      </c>
      <c r="G83" s="73" t="n">
        <f aca="false">G55-G64+G78+G79+G80</f>
        <v>-973.30926666667</v>
      </c>
      <c r="H83" s="73" t="n">
        <f aca="false">H55-H64+H78+H79+H80</f>
        <v>421.472733333329</v>
      </c>
      <c r="I83" s="73" t="n">
        <f aca="false">I55-I64+I78+I79+I80</f>
        <v>1816.25473333333</v>
      </c>
      <c r="J83" s="73" t="n">
        <f aca="false">J55-J64+J78+J79+J80</f>
        <v>1934.84233333333</v>
      </c>
      <c r="K83" s="73" t="n">
        <f aca="false">K55-K64+K78+K79+K80</f>
        <v>1946.09233333333</v>
      </c>
      <c r="L83" s="73" t="n">
        <f aca="false">L55-L64+L78+L79+L80</f>
        <v>1957.34233333333</v>
      </c>
      <c r="M83" s="73" t="n">
        <f aca="false">M55-M64+M78+M79+M80</f>
        <v>1968.59233333333</v>
      </c>
      <c r="N83" s="73" t="n">
        <f aca="false">N55-N64+N78+N79+N80</f>
        <v>-1939.14006666667</v>
      </c>
      <c r="O83" s="73" t="n">
        <f aca="false">O55-O64+O78+O79+O80</f>
        <v>-1957.78324330667</v>
      </c>
      <c r="P83" s="73" t="n">
        <f aca="false">P55-P64+P78+P79+P80</f>
        <v>-1886.77628586667</v>
      </c>
      <c r="Q83" s="73" t="n">
        <f aca="false">Q55-Q64+Q78+Q79+Q80</f>
        <v>2289.16734229333</v>
      </c>
      <c r="R83" s="73" t="n">
        <f aca="false">R55-R64+R78+R79+R80</f>
        <v>2675.64663893333</v>
      </c>
      <c r="S83" s="73" t="n">
        <f aca="false">S55-S64+S78+S79+S80</f>
        <v>2686.89663893333</v>
      </c>
      <c r="T83" s="73" t="n">
        <f aca="false">T55-T64+T78+T79+T80</f>
        <v>2698.14663893333</v>
      </c>
      <c r="U83" s="73" t="n">
        <f aca="false">U55-U64+U78+U79+U80</f>
        <v>2709.39663893333</v>
      </c>
      <c r="V83" s="73" t="n">
        <f aca="false">V55-V64+V78+V79+V80</f>
        <v>2720.64663893333</v>
      </c>
      <c r="W83" s="73" t="n">
        <f aca="false">W55-W64+W78+W79+W80</f>
        <v>2731.89663893333</v>
      </c>
      <c r="X83" s="73" t="n">
        <f aca="false">X55-X64+X78+X79+X80</f>
        <v>2743.14663893333</v>
      </c>
      <c r="Y83" s="73" t="n">
        <f aca="false">Y55-Y64+Y78+Y79+Y80</f>
        <v>2754.39663893333</v>
      </c>
      <c r="Z83" s="73" t="n">
        <f aca="false">Z55-Z64+Z78+Z79+Z80</f>
        <v>-1399.04698922667</v>
      </c>
      <c r="AA83" s="73" t="n">
        <f aca="false">AA55-AA64+AA78+AA79+AA80</f>
        <v>-1404.24850842805</v>
      </c>
      <c r="AB83" s="73" t="n">
        <f aca="false">AB55-AB64+AB78+AB79+AB80</f>
        <v>-1329.36972389595</v>
      </c>
      <c r="AC83" s="73" t="n">
        <f aca="false">AC55-AC64+AC78+AC79+AC80</f>
        <v>3107.460302219</v>
      </c>
      <c r="AD83" s="73" t="n">
        <f aca="false">AD55-AD64+AD78+AD79+AD80</f>
        <v>3516.79106302437</v>
      </c>
      <c r="AE83" s="73" t="n">
        <f aca="false">AE55-AE64+AE78+AE79+AE80</f>
        <v>3528.04106302437</v>
      </c>
      <c r="AF83" s="73" t="n">
        <f aca="false">AF55-AF64+AF78+AF79+AF80</f>
        <v>3539.29106302437</v>
      </c>
      <c r="AG83" s="73" t="n">
        <f aca="false">AG55-AG64+AG78+AG79+AG80</f>
        <v>3550.54106302437</v>
      </c>
      <c r="AH83" s="73" t="n">
        <f aca="false">AH55-AH64+AH78+AH79+AH80</f>
        <v>3561.79106302437</v>
      </c>
      <c r="AI83" s="73" t="n">
        <f aca="false">AI55-AI64+AI78+AI79+AI80</f>
        <v>3573.04106302437</v>
      </c>
      <c r="AJ83" s="73" t="n">
        <f aca="false">AJ55-AJ64+AJ78+AJ79+AJ80</f>
        <v>3584.29106302437</v>
      </c>
      <c r="AK83" s="73" t="n">
        <f aca="false">AK55-AK64+AK78+AK79+AK80</f>
        <v>3595.54106302437</v>
      </c>
      <c r="AL83" s="73" t="n">
        <f aca="false">AL55-AL64+AL78+AL79+AL80</f>
        <v>-818.788963090575</v>
      </c>
    </row>
    <row r="84" customFormat="false" ht="15" hidden="false" customHeight="false" outlineLevel="0" collapsed="false">
      <c r="A84" s="6" t="s">
        <v>417</v>
      </c>
      <c r="C84" s="67" t="n">
        <f aca="false">-C62</f>
        <v>-138000</v>
      </c>
      <c r="D84" s="67" t="n">
        <f aca="false">-D62</f>
        <v>-0</v>
      </c>
      <c r="E84" s="67" t="n">
        <f aca="false">-E62</f>
        <v>-0</v>
      </c>
      <c r="F84" s="67" t="n">
        <f aca="false">-F62</f>
        <v>-0</v>
      </c>
      <c r="G84" s="67" t="n">
        <f aca="false">-G62</f>
        <v>-0</v>
      </c>
      <c r="H84" s="67" t="n">
        <f aca="false">-H62</f>
        <v>-0</v>
      </c>
      <c r="I84" s="67" t="n">
        <f aca="false">-I62</f>
        <v>-0</v>
      </c>
      <c r="J84" s="67" t="n">
        <f aca="false">-J62</f>
        <v>-0</v>
      </c>
      <c r="K84" s="67" t="n">
        <f aca="false">-K62</f>
        <v>-0</v>
      </c>
      <c r="L84" s="67" t="n">
        <f aca="false">-L62</f>
        <v>-0</v>
      </c>
      <c r="M84" s="67" t="n">
        <f aca="false">-M62</f>
        <v>-0</v>
      </c>
      <c r="N84" s="67" t="n">
        <f aca="false">-N62</f>
        <v>-0</v>
      </c>
      <c r="O84" s="67" t="n">
        <f aca="false">-O62</f>
        <v>-2500</v>
      </c>
      <c r="P84" s="67" t="n">
        <f aca="false">-P62</f>
        <v>-0</v>
      </c>
      <c r="Q84" s="67" t="n">
        <f aca="false">-Q62</f>
        <v>-0</v>
      </c>
      <c r="R84" s="67" t="n">
        <f aca="false">-R62</f>
        <v>-0</v>
      </c>
      <c r="S84" s="67" t="n">
        <f aca="false">-S62</f>
        <v>-0</v>
      </c>
      <c r="T84" s="67" t="n">
        <f aca="false">-T62</f>
        <v>-0</v>
      </c>
      <c r="U84" s="67" t="n">
        <f aca="false">-U62</f>
        <v>-0</v>
      </c>
      <c r="V84" s="67" t="n">
        <f aca="false">-V62</f>
        <v>-0</v>
      </c>
      <c r="W84" s="67" t="n">
        <f aca="false">-W62</f>
        <v>-0</v>
      </c>
      <c r="X84" s="67" t="n">
        <f aca="false">-X62</f>
        <v>-0</v>
      </c>
      <c r="Y84" s="67" t="n">
        <f aca="false">-Y62</f>
        <v>-0</v>
      </c>
      <c r="Z84" s="67" t="n">
        <f aca="false">-Z62</f>
        <v>-0</v>
      </c>
      <c r="AA84" s="67" t="n">
        <f aca="false">-AA62</f>
        <v>-2500</v>
      </c>
      <c r="AB84" s="67" t="n">
        <f aca="false">-AB62</f>
        <v>-0</v>
      </c>
      <c r="AC84" s="67" t="n">
        <f aca="false">-AC62</f>
        <v>-0</v>
      </c>
      <c r="AD84" s="67" t="n">
        <f aca="false">-AD62</f>
        <v>-0</v>
      </c>
      <c r="AE84" s="67" t="n">
        <f aca="false">-AE62</f>
        <v>-0</v>
      </c>
      <c r="AF84" s="67" t="n">
        <f aca="false">-AF62</f>
        <v>-0</v>
      </c>
      <c r="AG84" s="67" t="n">
        <f aca="false">-AG62</f>
        <v>-0</v>
      </c>
      <c r="AH84" s="67" t="n">
        <f aca="false">-AH62</f>
        <v>-0</v>
      </c>
      <c r="AI84" s="67" t="n">
        <f aca="false">-AI62</f>
        <v>-0</v>
      </c>
      <c r="AJ84" s="67" t="n">
        <f aca="false">-AJ62</f>
        <v>-0</v>
      </c>
      <c r="AK84" s="67" t="n">
        <f aca="false">-AK62</f>
        <v>-0</v>
      </c>
      <c r="AL84" s="67" t="n">
        <f aca="false">-AL62</f>
        <v>-0</v>
      </c>
    </row>
    <row r="85" customFormat="false" ht="15" hidden="false" customHeight="false" outlineLevel="0" collapsed="false">
      <c r="A85" s="6" t="s">
        <v>64</v>
      </c>
      <c r="C85" s="67" t="n">
        <f aca="false">IF(C$4=1,Inputs!$E$71,0)</f>
        <v>100000</v>
      </c>
      <c r="D85" s="67" t="n">
        <f aca="false">IF(D$4=1,Inputs!$E$71,0)</f>
        <v>0</v>
      </c>
      <c r="E85" s="67" t="n">
        <f aca="false">IF(E$4=1,Inputs!$E$71,0)</f>
        <v>0</v>
      </c>
      <c r="F85" s="67" t="n">
        <f aca="false">IF(F$4=1,Inputs!$E$71,0)</f>
        <v>0</v>
      </c>
      <c r="G85" s="67" t="n">
        <f aca="false">IF(G$4=1,Inputs!$E$71,0)</f>
        <v>0</v>
      </c>
      <c r="H85" s="67" t="n">
        <f aca="false">IF(H$4=1,Inputs!$E$71,0)</f>
        <v>0</v>
      </c>
      <c r="I85" s="67" t="n">
        <f aca="false">IF(I$4=1,Inputs!$E$71,0)</f>
        <v>0</v>
      </c>
      <c r="J85" s="67" t="n">
        <f aca="false">IF(J$4=1,Inputs!$E$71,0)</f>
        <v>0</v>
      </c>
      <c r="K85" s="67" t="n">
        <f aca="false">IF(K$4=1,Inputs!$E$71,0)</f>
        <v>0</v>
      </c>
      <c r="L85" s="67" t="n">
        <f aca="false">IF(L$4=1,Inputs!$E$71,0)</f>
        <v>0</v>
      </c>
      <c r="M85" s="67" t="n">
        <f aca="false">IF(M$4=1,Inputs!$E$71,0)</f>
        <v>0</v>
      </c>
      <c r="N85" s="67" t="n">
        <f aca="false">IF(N$4=1,Inputs!$E$71,0)</f>
        <v>0</v>
      </c>
      <c r="O85" s="67" t="n">
        <f aca="false">IF(O$4=1,Inputs!$E$71,0)</f>
        <v>0</v>
      </c>
      <c r="P85" s="67" t="n">
        <f aca="false">IF(P$4=1,Inputs!$E$71,0)</f>
        <v>0</v>
      </c>
      <c r="Q85" s="67" t="n">
        <f aca="false">IF(Q$4=1,Inputs!$E$71,0)</f>
        <v>0</v>
      </c>
      <c r="R85" s="67" t="n">
        <f aca="false">IF(R$4=1,Inputs!$E$71,0)</f>
        <v>0</v>
      </c>
      <c r="S85" s="67" t="n">
        <f aca="false">IF(S$4=1,Inputs!$E$71,0)</f>
        <v>0</v>
      </c>
      <c r="T85" s="67" t="n">
        <f aca="false">IF(T$4=1,Inputs!$E$71,0)</f>
        <v>0</v>
      </c>
      <c r="U85" s="67" t="n">
        <f aca="false">IF(U$4=1,Inputs!$E$71,0)</f>
        <v>0</v>
      </c>
      <c r="V85" s="67" t="n">
        <f aca="false">IF(V$4=1,Inputs!$E$71,0)</f>
        <v>0</v>
      </c>
      <c r="W85" s="67" t="n">
        <f aca="false">IF(W$4=1,Inputs!$E$71,0)</f>
        <v>0</v>
      </c>
      <c r="X85" s="67" t="n">
        <f aca="false">IF(X$4=1,Inputs!$E$71,0)</f>
        <v>0</v>
      </c>
      <c r="Y85" s="67" t="n">
        <f aca="false">IF(Y$4=1,Inputs!$E$71,0)</f>
        <v>0</v>
      </c>
      <c r="Z85" s="67" t="n">
        <f aca="false">IF(Z$4=1,Inputs!$E$71,0)</f>
        <v>0</v>
      </c>
      <c r="AA85" s="67" t="n">
        <f aca="false">IF(AA$4=1,Inputs!$E$71,0)</f>
        <v>0</v>
      </c>
      <c r="AB85" s="67" t="n">
        <f aca="false">IF(AB$4=1,Inputs!$E$71,0)</f>
        <v>0</v>
      </c>
      <c r="AC85" s="67" t="n">
        <f aca="false">IF(AC$4=1,Inputs!$E$71,0)</f>
        <v>0</v>
      </c>
      <c r="AD85" s="67" t="n">
        <f aca="false">IF(AD$4=1,Inputs!$E$71,0)</f>
        <v>0</v>
      </c>
      <c r="AE85" s="67" t="n">
        <f aca="false">IF(AE$4=1,Inputs!$E$71,0)</f>
        <v>0</v>
      </c>
      <c r="AF85" s="67" t="n">
        <f aca="false">IF(AF$4=1,Inputs!$E$71,0)</f>
        <v>0</v>
      </c>
      <c r="AG85" s="67" t="n">
        <f aca="false">IF(AG$4=1,Inputs!$E$71,0)</f>
        <v>0</v>
      </c>
      <c r="AH85" s="67" t="n">
        <f aca="false">IF(AH$4=1,Inputs!$E$71,0)</f>
        <v>0</v>
      </c>
      <c r="AI85" s="67" t="n">
        <f aca="false">IF(AI$4=1,Inputs!$E$71,0)</f>
        <v>0</v>
      </c>
      <c r="AJ85" s="67" t="n">
        <f aca="false">IF(AJ$4=1,Inputs!$E$71,0)</f>
        <v>0</v>
      </c>
      <c r="AK85" s="67" t="n">
        <f aca="false">IF(AK$4=1,Inputs!$E$71,0)</f>
        <v>0</v>
      </c>
      <c r="AL85" s="67" t="n">
        <f aca="false">IF(AL$4=1,Inputs!$E$71,0)</f>
        <v>0</v>
      </c>
    </row>
    <row r="86" customFormat="false" ht="15" hidden="false" customHeight="false" outlineLevel="0" collapsed="false">
      <c r="A86" s="6" t="s">
        <v>54</v>
      </c>
      <c r="C86" s="67" t="n">
        <f aca="false">C85+C70+C71</f>
        <v>190000</v>
      </c>
      <c r="D86" s="67" t="n">
        <f aca="false">D85+D70+D71</f>
        <v>-1500</v>
      </c>
      <c r="E86" s="67" t="n">
        <f aca="false">E85+E70+E71</f>
        <v>-1500</v>
      </c>
      <c r="F86" s="67" t="n">
        <f aca="false">F85+F70+F71</f>
        <v>-1500</v>
      </c>
      <c r="G86" s="67" t="n">
        <f aca="false">G85+G70+G71</f>
        <v>-1500</v>
      </c>
      <c r="H86" s="67" t="n">
        <f aca="false">H85+H70+H71</f>
        <v>-1500</v>
      </c>
      <c r="I86" s="67" t="n">
        <f aca="false">I85+I70+I71</f>
        <v>-1500</v>
      </c>
      <c r="J86" s="67" t="n">
        <f aca="false">J85+J70+J71</f>
        <v>-1500</v>
      </c>
      <c r="K86" s="67" t="n">
        <f aca="false">K85+K70+K71</f>
        <v>-1500</v>
      </c>
      <c r="L86" s="67" t="n">
        <f aca="false">L85+L70+L71</f>
        <v>-1500</v>
      </c>
      <c r="M86" s="67" t="n">
        <f aca="false">M85+M70+M71</f>
        <v>-1500</v>
      </c>
      <c r="N86" s="67" t="n">
        <f aca="false">N85+N70+N71</f>
        <v>-1500</v>
      </c>
      <c r="O86" s="67" t="n">
        <f aca="false">O85+O70+O71</f>
        <v>-1500</v>
      </c>
      <c r="P86" s="67" t="n">
        <f aca="false">P85+P70+P71</f>
        <v>-1500</v>
      </c>
      <c r="Q86" s="67" t="n">
        <f aca="false">Q85+Q70+Q71</f>
        <v>-1500</v>
      </c>
      <c r="R86" s="67" t="n">
        <f aca="false">R85+R70+R71</f>
        <v>-1500</v>
      </c>
      <c r="S86" s="67" t="n">
        <f aca="false">S85+S70+S71</f>
        <v>-1500</v>
      </c>
      <c r="T86" s="67" t="n">
        <f aca="false">T85+T70+T71</f>
        <v>-1500</v>
      </c>
      <c r="U86" s="67" t="n">
        <f aca="false">U85+U70+U71</f>
        <v>-1500</v>
      </c>
      <c r="V86" s="67" t="n">
        <f aca="false">V85+V70+V71</f>
        <v>-1500</v>
      </c>
      <c r="W86" s="67" t="n">
        <f aca="false">W85+W70+W71</f>
        <v>-1500</v>
      </c>
      <c r="X86" s="67" t="n">
        <f aca="false">X85+X70+X71</f>
        <v>-1500</v>
      </c>
      <c r="Y86" s="67" t="n">
        <f aca="false">Y85+Y70+Y71</f>
        <v>-1500</v>
      </c>
      <c r="Z86" s="67" t="n">
        <f aca="false">Z85+Z70+Z71</f>
        <v>-1500</v>
      </c>
      <c r="AA86" s="67" t="n">
        <f aca="false">AA85+AA70+AA71</f>
        <v>-1500</v>
      </c>
      <c r="AB86" s="67" t="n">
        <f aca="false">AB85+AB70+AB71</f>
        <v>-1500</v>
      </c>
      <c r="AC86" s="67" t="n">
        <f aca="false">AC85+AC70+AC71</f>
        <v>-1500</v>
      </c>
      <c r="AD86" s="67" t="n">
        <f aca="false">AD85+AD70+AD71</f>
        <v>-1500</v>
      </c>
      <c r="AE86" s="67" t="n">
        <f aca="false">AE85+AE70+AE71</f>
        <v>-1500</v>
      </c>
      <c r="AF86" s="67" t="n">
        <f aca="false">AF85+AF70+AF71</f>
        <v>-1500</v>
      </c>
      <c r="AG86" s="67" t="n">
        <f aca="false">AG85+AG70+AG71</f>
        <v>-1500</v>
      </c>
      <c r="AH86" s="67" t="n">
        <f aca="false">AH85+AH70+AH71</f>
        <v>-1500</v>
      </c>
      <c r="AI86" s="67" t="n">
        <f aca="false">AI85+AI70+AI71</f>
        <v>-1500</v>
      </c>
      <c r="AJ86" s="67" t="n">
        <f aca="false">AJ85+AJ70+AJ71</f>
        <v>-1500</v>
      </c>
      <c r="AK86" s="67" t="n">
        <f aca="false">AK85+AK70+AK71</f>
        <v>-1500</v>
      </c>
      <c r="AL86" s="67" t="n">
        <f aca="false">AL85+AL70+AL71</f>
        <v>-1500</v>
      </c>
    </row>
    <row r="87" customFormat="false" ht="15" hidden="false" customHeight="false" outlineLevel="0" collapsed="false">
      <c r="A87" s="113" t="s">
        <v>418</v>
      </c>
      <c r="C87" s="68" t="n">
        <f aca="false">C83+C84+C86</f>
        <v>43071.0085333333</v>
      </c>
      <c r="D87" s="68" t="n">
        <f aca="false">D83+D84+D86</f>
        <v>-9025.57313333333</v>
      </c>
      <c r="E87" s="68" t="n">
        <f aca="false">E83+E84+E86</f>
        <v>-5469.1922</v>
      </c>
      <c r="F87" s="68" t="n">
        <f aca="false">F83+F84+F86</f>
        <v>-3868.09126666667</v>
      </c>
      <c r="G87" s="68" t="n">
        <f aca="false">G83+G84+G86</f>
        <v>-2473.30926666667</v>
      </c>
      <c r="H87" s="68" t="n">
        <f aca="false">H83+H84+H86</f>
        <v>-1078.52726666667</v>
      </c>
      <c r="I87" s="68" t="n">
        <f aca="false">I83+I84+I86</f>
        <v>316.25473333333</v>
      </c>
      <c r="J87" s="68" t="n">
        <f aca="false">J83+J84+J86</f>
        <v>434.84233333333</v>
      </c>
      <c r="K87" s="68" t="n">
        <f aca="false">K83+K84+K86</f>
        <v>446.09233333333</v>
      </c>
      <c r="L87" s="68" t="n">
        <f aca="false">L83+L84+L86</f>
        <v>457.34233333333</v>
      </c>
      <c r="M87" s="68" t="n">
        <f aca="false">M83+M84+M86</f>
        <v>468.59233333333</v>
      </c>
      <c r="N87" s="68" t="n">
        <f aca="false">N83+N84+N86</f>
        <v>-3439.14006666667</v>
      </c>
      <c r="O87" s="68" t="n">
        <f aca="false">O83+O84+O86</f>
        <v>-5957.78324330667</v>
      </c>
      <c r="P87" s="68" t="n">
        <f aca="false">P83+P84+P86</f>
        <v>-3386.77628586667</v>
      </c>
      <c r="Q87" s="68" t="n">
        <f aca="false">Q83+Q84+Q86</f>
        <v>789.167342293331</v>
      </c>
      <c r="R87" s="68" t="n">
        <f aca="false">R83+R84+R86</f>
        <v>1175.64663893333</v>
      </c>
      <c r="S87" s="68" t="n">
        <f aca="false">S83+S84+S86</f>
        <v>1186.89663893333</v>
      </c>
      <c r="T87" s="68" t="n">
        <f aca="false">T83+T84+T86</f>
        <v>1198.14663893333</v>
      </c>
      <c r="U87" s="68" t="n">
        <f aca="false">U83+U84+U86</f>
        <v>1209.39663893333</v>
      </c>
      <c r="V87" s="68" t="n">
        <f aca="false">V83+V84+V86</f>
        <v>1220.64663893333</v>
      </c>
      <c r="W87" s="68" t="n">
        <f aca="false">W83+W84+W86</f>
        <v>1231.89663893333</v>
      </c>
      <c r="X87" s="68" t="n">
        <f aca="false">X83+X84+X86</f>
        <v>1243.14663893333</v>
      </c>
      <c r="Y87" s="68" t="n">
        <f aca="false">Y83+Y84+Y86</f>
        <v>1254.39663893333</v>
      </c>
      <c r="Z87" s="68" t="n">
        <f aca="false">Z83+Z84+Z86</f>
        <v>-2899.04698922667</v>
      </c>
      <c r="AA87" s="68" t="n">
        <f aca="false">AA83+AA84+AA86</f>
        <v>-5404.24850842805</v>
      </c>
      <c r="AB87" s="68" t="n">
        <f aca="false">AB83+AB84+AB86</f>
        <v>-2829.36972389595</v>
      </c>
      <c r="AC87" s="68" t="n">
        <f aca="false">AC83+AC84+AC86</f>
        <v>1607.460302219</v>
      </c>
      <c r="AD87" s="68" t="n">
        <f aca="false">AD83+AD84+AD86</f>
        <v>2016.79106302437</v>
      </c>
      <c r="AE87" s="68" t="n">
        <f aca="false">AE83+AE84+AE86</f>
        <v>2028.04106302437</v>
      </c>
      <c r="AF87" s="68" t="n">
        <f aca="false">AF83+AF84+AF86</f>
        <v>2039.29106302437</v>
      </c>
      <c r="AG87" s="68" t="n">
        <f aca="false">AG83+AG84+AG86</f>
        <v>2050.54106302437</v>
      </c>
      <c r="AH87" s="68" t="n">
        <f aca="false">AH83+AH84+AH86</f>
        <v>2061.79106302437</v>
      </c>
      <c r="AI87" s="68" t="n">
        <f aca="false">AI83+AI84+AI86</f>
        <v>2073.04106302437</v>
      </c>
      <c r="AJ87" s="68" t="n">
        <f aca="false">AJ83+AJ84+AJ86</f>
        <v>2084.29106302437</v>
      </c>
      <c r="AK87" s="68" t="n">
        <f aca="false">AK83+AK84+AK86</f>
        <v>2095.54106302437</v>
      </c>
      <c r="AL87" s="68" t="n">
        <f aca="false">AL83+AL84+AL86</f>
        <v>-2318.78896309057</v>
      </c>
    </row>
    <row r="88" customFormat="false" ht="15" hidden="false" customHeight="false" outlineLevel="0" collapsed="false">
      <c r="A88" s="6" t="s">
        <v>343</v>
      </c>
      <c r="C88" s="67" t="n">
        <f aca="false">0</f>
        <v>0</v>
      </c>
      <c r="D88" s="67" t="n">
        <f aca="false">C89</f>
        <v>43071.0085333333</v>
      </c>
      <c r="E88" s="67" t="n">
        <f aca="false">D89</f>
        <v>34045.4354</v>
      </c>
      <c r="F88" s="67" t="n">
        <f aca="false">E89</f>
        <v>28576.2432</v>
      </c>
      <c r="G88" s="67" t="n">
        <f aca="false">F89</f>
        <v>24708.1519333333</v>
      </c>
      <c r="H88" s="67" t="n">
        <f aca="false">G89</f>
        <v>22234.8426666667</v>
      </c>
      <c r="I88" s="67" t="n">
        <f aca="false">H89</f>
        <v>21156.3154</v>
      </c>
      <c r="J88" s="67" t="n">
        <f aca="false">I89</f>
        <v>21472.5701333333</v>
      </c>
      <c r="K88" s="67" t="n">
        <f aca="false">J89</f>
        <v>21907.4124666667</v>
      </c>
      <c r="L88" s="67" t="n">
        <f aca="false">K89</f>
        <v>22353.5048</v>
      </c>
      <c r="M88" s="67" t="n">
        <f aca="false">L89</f>
        <v>22810.8471333333</v>
      </c>
      <c r="N88" s="67" t="n">
        <f aca="false">M89</f>
        <v>23279.4394666666</v>
      </c>
      <c r="O88" s="67" t="n">
        <f aca="false">N89</f>
        <v>19840.2994</v>
      </c>
      <c r="P88" s="67" t="n">
        <f aca="false">O89</f>
        <v>13882.5161566933</v>
      </c>
      <c r="Q88" s="67" t="n">
        <f aca="false">P89</f>
        <v>10495.7398708266</v>
      </c>
      <c r="R88" s="67" t="n">
        <f aca="false">Q89</f>
        <v>11284.90721312</v>
      </c>
      <c r="S88" s="67" t="n">
        <f aca="false">R89</f>
        <v>12460.5538520533</v>
      </c>
      <c r="T88" s="67" t="n">
        <f aca="false">S89</f>
        <v>13647.4504909866</v>
      </c>
      <c r="U88" s="67" t="n">
        <f aca="false">T89</f>
        <v>14845.59712992</v>
      </c>
      <c r="V88" s="67" t="n">
        <f aca="false">U89</f>
        <v>16054.9937688533</v>
      </c>
      <c r="W88" s="67" t="n">
        <f aca="false">V89</f>
        <v>17275.6404077866</v>
      </c>
      <c r="X88" s="67" t="n">
        <f aca="false">W89</f>
        <v>18507.53704672</v>
      </c>
      <c r="Y88" s="67" t="n">
        <f aca="false">X89</f>
        <v>19750.6836856533</v>
      </c>
      <c r="Z88" s="67" t="n">
        <f aca="false">Y89</f>
        <v>21005.0803245866</v>
      </c>
      <c r="AA88" s="67" t="n">
        <f aca="false">Z89</f>
        <v>18106.0333353599</v>
      </c>
      <c r="AB88" s="67" t="n">
        <f aca="false">AA89</f>
        <v>12701.7848269319</v>
      </c>
      <c r="AC88" s="67" t="n">
        <f aca="false">AB89</f>
        <v>9872.41510303594</v>
      </c>
      <c r="AD88" s="67" t="n">
        <f aca="false">AC89</f>
        <v>11479.8754052549</v>
      </c>
      <c r="AE88" s="67" t="n">
        <f aca="false">AD89</f>
        <v>13496.6664682793</v>
      </c>
      <c r="AF88" s="67" t="n">
        <f aca="false">AE89</f>
        <v>15524.7075313037</v>
      </c>
      <c r="AG88" s="67" t="n">
        <f aca="false">AF89</f>
        <v>17563.9985943281</v>
      </c>
      <c r="AH88" s="67" t="n">
        <f aca="false">AG89</f>
        <v>19614.5396573524</v>
      </c>
      <c r="AI88" s="67" t="n">
        <f aca="false">AH89</f>
        <v>21676.3307203768</v>
      </c>
      <c r="AJ88" s="67" t="n">
        <f aca="false">AI89</f>
        <v>23749.3717834012</v>
      </c>
      <c r="AK88" s="67" t="n">
        <f aca="false">AJ89</f>
        <v>25833.6628464256</v>
      </c>
      <c r="AL88" s="67" t="n">
        <f aca="false">AK89</f>
        <v>27929.2039094499</v>
      </c>
    </row>
    <row r="89" customFormat="false" ht="15" hidden="false" customHeight="false" outlineLevel="0" collapsed="false">
      <c r="A89" s="113" t="s">
        <v>87</v>
      </c>
      <c r="C89" s="68" t="n">
        <f aca="false">C88+C87</f>
        <v>43071.0085333333</v>
      </c>
      <c r="D89" s="68" t="n">
        <f aca="false">D88+D87</f>
        <v>34045.4354</v>
      </c>
      <c r="E89" s="68" t="n">
        <f aca="false">E88+E87</f>
        <v>28576.2432</v>
      </c>
      <c r="F89" s="68" t="n">
        <f aca="false">F88+F87</f>
        <v>24708.1519333333</v>
      </c>
      <c r="G89" s="68" t="n">
        <f aca="false">G88+G87</f>
        <v>22234.8426666667</v>
      </c>
      <c r="H89" s="68" t="n">
        <f aca="false">H88+H87</f>
        <v>21156.3154</v>
      </c>
      <c r="I89" s="68" t="n">
        <f aca="false">I88+I87</f>
        <v>21472.5701333333</v>
      </c>
      <c r="J89" s="68" t="n">
        <f aca="false">J88+J87</f>
        <v>21907.4124666667</v>
      </c>
      <c r="K89" s="68" t="n">
        <f aca="false">K88+K87</f>
        <v>22353.5048</v>
      </c>
      <c r="L89" s="68" t="n">
        <f aca="false">L88+L87</f>
        <v>22810.8471333333</v>
      </c>
      <c r="M89" s="68" t="n">
        <f aca="false">M88+M87</f>
        <v>23279.4394666666</v>
      </c>
      <c r="N89" s="68" t="n">
        <f aca="false">N88+N87</f>
        <v>19840.2994</v>
      </c>
      <c r="O89" s="68" t="n">
        <f aca="false">O88+O87</f>
        <v>13882.5161566933</v>
      </c>
      <c r="P89" s="68" t="n">
        <f aca="false">P88+P87</f>
        <v>10495.7398708266</v>
      </c>
      <c r="Q89" s="68" t="n">
        <f aca="false">Q88+Q87</f>
        <v>11284.90721312</v>
      </c>
      <c r="R89" s="68" t="n">
        <f aca="false">R88+R87</f>
        <v>12460.5538520533</v>
      </c>
      <c r="S89" s="68" t="n">
        <f aca="false">S88+S87</f>
        <v>13647.4504909866</v>
      </c>
      <c r="T89" s="68" t="n">
        <f aca="false">T88+T87</f>
        <v>14845.59712992</v>
      </c>
      <c r="U89" s="68" t="n">
        <f aca="false">U88+U87</f>
        <v>16054.9937688533</v>
      </c>
      <c r="V89" s="68" t="n">
        <f aca="false">V88+V87</f>
        <v>17275.6404077866</v>
      </c>
      <c r="W89" s="68" t="n">
        <f aca="false">W88+W87</f>
        <v>18507.53704672</v>
      </c>
      <c r="X89" s="68" t="n">
        <f aca="false">X88+X87</f>
        <v>19750.6836856533</v>
      </c>
      <c r="Y89" s="68" t="n">
        <f aca="false">Y88+Y87</f>
        <v>21005.0803245866</v>
      </c>
      <c r="Z89" s="68" t="n">
        <f aca="false">Z88+Z87</f>
        <v>18106.0333353599</v>
      </c>
      <c r="AA89" s="68" t="n">
        <f aca="false">AA88+AA87</f>
        <v>12701.7848269319</v>
      </c>
      <c r="AB89" s="68" t="n">
        <f aca="false">AB88+AB87</f>
        <v>9872.41510303594</v>
      </c>
      <c r="AC89" s="68" t="n">
        <f aca="false">AC88+AC87</f>
        <v>11479.8754052549</v>
      </c>
      <c r="AD89" s="68" t="n">
        <f aca="false">AD88+AD87</f>
        <v>13496.6664682793</v>
      </c>
      <c r="AE89" s="68" t="n">
        <f aca="false">AE88+AE87</f>
        <v>15524.7075313037</v>
      </c>
      <c r="AF89" s="68" t="n">
        <f aca="false">AF88+AF87</f>
        <v>17563.9985943281</v>
      </c>
      <c r="AG89" s="68" t="n">
        <f aca="false">AG88+AG87</f>
        <v>19614.5396573524</v>
      </c>
      <c r="AH89" s="68" t="n">
        <f aca="false">AH88+AH87</f>
        <v>21676.3307203768</v>
      </c>
      <c r="AI89" s="68" t="n">
        <f aca="false">AI88+AI87</f>
        <v>23749.3717834012</v>
      </c>
      <c r="AJ89" s="68" t="n">
        <f aca="false">AJ88+AJ87</f>
        <v>25833.6628464256</v>
      </c>
      <c r="AK89" s="68" t="n">
        <f aca="false">AK88+AK87</f>
        <v>27929.2039094499</v>
      </c>
      <c r="AL89" s="68" t="n">
        <f aca="false">AL88+AL87</f>
        <v>25610.4149463593</v>
      </c>
    </row>
    <row r="90" customFormat="false" ht="15" hidden="false" customHeight="false" outlineLevel="0" collapsed="false">
      <c r="A90" s="117" t="s">
        <v>419</v>
      </c>
      <c r="C90" s="116" t="n">
        <f aca="false">IF(C46&gt;0,1,0)</f>
        <v>0</v>
      </c>
      <c r="D90" s="116" t="n">
        <f aca="false">IF(D46&gt;0,1,0)</f>
        <v>0</v>
      </c>
      <c r="E90" s="116" t="n">
        <f aca="false">IF(E46&gt;0,1,0)</f>
        <v>0</v>
      </c>
      <c r="F90" s="116" t="n">
        <f aca="false">IF(F46&gt;0,1,0)</f>
        <v>0</v>
      </c>
      <c r="G90" s="116" t="n">
        <f aca="false">IF(G46&gt;0,1,0)</f>
        <v>0</v>
      </c>
      <c r="H90" s="116" t="n">
        <f aca="false">IF(H46&gt;0,1,0)</f>
        <v>1</v>
      </c>
      <c r="I90" s="116" t="n">
        <f aca="false">IF(I46&gt;0,1,0)</f>
        <v>1</v>
      </c>
      <c r="J90" s="116" t="n">
        <f aca="false">IF(J46&gt;0,1,0)</f>
        <v>1</v>
      </c>
      <c r="K90" s="116" t="n">
        <f aca="false">IF(K46&gt;0,1,0)</f>
        <v>1</v>
      </c>
      <c r="L90" s="116" t="n">
        <f aca="false">IF(L46&gt;0,1,0)</f>
        <v>1</v>
      </c>
      <c r="M90" s="116" t="n">
        <f aca="false">IF(M46&gt;0,1,0)</f>
        <v>1</v>
      </c>
      <c r="N90" s="116" t="n">
        <f aca="false">IF(N46&gt;0,1,0)</f>
        <v>0</v>
      </c>
      <c r="O90" s="116" t="n">
        <f aca="false">IF(O46&gt;0,1,0)</f>
        <v>0</v>
      </c>
      <c r="P90" s="116" t="n">
        <f aca="false">IF(P46&gt;0,1,0)</f>
        <v>0</v>
      </c>
      <c r="Q90" s="116" t="n">
        <f aca="false">IF(Q46&gt;0,1,0)</f>
        <v>1</v>
      </c>
      <c r="R90" s="116" t="n">
        <f aca="false">IF(R46&gt;0,1,0)</f>
        <v>1</v>
      </c>
      <c r="S90" s="116" t="n">
        <f aca="false">IF(S46&gt;0,1,0)</f>
        <v>1</v>
      </c>
      <c r="T90" s="116" t="n">
        <f aca="false">IF(T46&gt;0,1,0)</f>
        <v>1</v>
      </c>
      <c r="U90" s="116" t="n">
        <f aca="false">IF(U46&gt;0,1,0)</f>
        <v>1</v>
      </c>
      <c r="V90" s="116" t="n">
        <f aca="false">IF(V46&gt;0,1,0)</f>
        <v>1</v>
      </c>
      <c r="W90" s="116" t="n">
        <f aca="false">IF(W46&gt;0,1,0)</f>
        <v>1</v>
      </c>
      <c r="X90" s="116" t="n">
        <f aca="false">IF(X46&gt;0,1,0)</f>
        <v>1</v>
      </c>
      <c r="Y90" s="116" t="n">
        <f aca="false">IF(Y46&gt;0,1,0)</f>
        <v>1</v>
      </c>
      <c r="Z90" s="116" t="n">
        <f aca="false">IF(Z46&gt;0,1,0)</f>
        <v>0</v>
      </c>
      <c r="AA90" s="116" t="n">
        <f aca="false">IF(AA46&gt;0,1,0)</f>
        <v>0</v>
      </c>
      <c r="AB90" s="116" t="n">
        <f aca="false">IF(AB46&gt;0,1,0)</f>
        <v>0</v>
      </c>
      <c r="AC90" s="116" t="n">
        <f aca="false">IF(AC46&gt;0,1,0)</f>
        <v>1</v>
      </c>
      <c r="AD90" s="116" t="n">
        <f aca="false">IF(AD46&gt;0,1,0)</f>
        <v>1</v>
      </c>
      <c r="AE90" s="116" t="n">
        <f aca="false">IF(AE46&gt;0,1,0)</f>
        <v>1</v>
      </c>
      <c r="AF90" s="116" t="n">
        <f aca="false">IF(AF46&gt;0,1,0)</f>
        <v>1</v>
      </c>
      <c r="AG90" s="116" t="n">
        <f aca="false">IF(AG46&gt;0,1,0)</f>
        <v>1</v>
      </c>
      <c r="AH90" s="116" t="n">
        <f aca="false">IF(AH46&gt;0,1,0)</f>
        <v>1</v>
      </c>
      <c r="AI90" s="116" t="n">
        <f aca="false">IF(AI46&gt;0,1,0)</f>
        <v>1</v>
      </c>
      <c r="AJ90" s="116" t="n">
        <f aca="false">IF(AJ46&gt;0,1,0)</f>
        <v>1</v>
      </c>
      <c r="AK90" s="116" t="n">
        <f aca="false">IF(AK46&gt;0,1,0)</f>
        <v>1</v>
      </c>
      <c r="AL90" s="116" t="n">
        <f aca="false">IF(AL46&gt;0,1,0)</f>
        <v>0</v>
      </c>
    </row>
    <row r="92" customFormat="false" ht="15.75" hidden="false" customHeight="true" outlineLevel="0" collapsed="false">
      <c r="A92" s="7" t="s">
        <v>420</v>
      </c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</row>
    <row r="93" customFormat="false" ht="15" hidden="false" customHeight="false" outlineLevel="0" collapsed="false">
      <c r="A93" s="117" t="s">
        <v>421</v>
      </c>
      <c r="C93" s="116" t="n">
        <f aca="false">IF(C55&gt;0,1,0)</f>
        <v>0</v>
      </c>
      <c r="D93" s="116" t="n">
        <f aca="false">IF(D55&gt;0,1,0)</f>
        <v>0</v>
      </c>
      <c r="E93" s="116" t="n">
        <f aca="false">IF(E55&gt;0,1,0)</f>
        <v>0</v>
      </c>
      <c r="F93" s="116" t="n">
        <f aca="false">IF(F55&gt;0,1,0)</f>
        <v>0</v>
      </c>
      <c r="G93" s="116" t="n">
        <f aca="false">IF(G55&gt;0,1,0)</f>
        <v>0</v>
      </c>
      <c r="H93" s="116" t="n">
        <f aca="false">IF(H55&gt;0,1,0)</f>
        <v>0</v>
      </c>
      <c r="I93" s="116" t="n">
        <f aca="false">IF(I55&gt;0,1,0)</f>
        <v>1</v>
      </c>
      <c r="J93" s="116" t="n">
        <f aca="false">IF(J55&gt;0,1,0)</f>
        <v>1</v>
      </c>
      <c r="K93" s="116" t="n">
        <f aca="false">IF(K55&gt;0,1,0)</f>
        <v>1</v>
      </c>
      <c r="L93" s="116" t="n">
        <f aca="false">IF(L55&gt;0,1,0)</f>
        <v>1</v>
      </c>
      <c r="M93" s="116" t="n">
        <f aca="false">IF(M55&gt;0,1,0)</f>
        <v>1</v>
      </c>
      <c r="N93" s="116" t="n">
        <f aca="false">IF(N55&gt;0,1,0)</f>
        <v>0</v>
      </c>
      <c r="O93" s="116" t="n">
        <f aca="false">IF(O55&gt;0,1,0)</f>
        <v>0</v>
      </c>
      <c r="P93" s="116" t="n">
        <f aca="false">IF(P55&gt;0,1,0)</f>
        <v>0</v>
      </c>
      <c r="Q93" s="116" t="n">
        <f aca="false">IF(Q55&gt;0,1,0)</f>
        <v>1</v>
      </c>
      <c r="R93" s="116" t="n">
        <f aca="false">IF(R55&gt;0,1,0)</f>
        <v>1</v>
      </c>
      <c r="S93" s="116" t="n">
        <f aca="false">IF(S55&gt;0,1,0)</f>
        <v>1</v>
      </c>
      <c r="T93" s="116" t="n">
        <f aca="false">IF(T55&gt;0,1,0)</f>
        <v>1</v>
      </c>
      <c r="U93" s="116" t="n">
        <f aca="false">IF(U55&gt;0,1,0)</f>
        <v>1</v>
      </c>
      <c r="V93" s="116" t="n">
        <f aca="false">IF(V55&gt;0,1,0)</f>
        <v>1</v>
      </c>
      <c r="W93" s="116" t="n">
        <f aca="false">IF(W55&gt;0,1,0)</f>
        <v>1</v>
      </c>
      <c r="X93" s="116" t="n">
        <f aca="false">IF(X55&gt;0,1,0)</f>
        <v>1</v>
      </c>
      <c r="Y93" s="116" t="n">
        <f aca="false">IF(Y55&gt;0,1,0)</f>
        <v>1</v>
      </c>
      <c r="Z93" s="116" t="n">
        <f aca="false">IF(Z55&gt;0,1,0)</f>
        <v>0</v>
      </c>
      <c r="AA93" s="116" t="n">
        <f aca="false">IF(AA55&gt;0,1,0)</f>
        <v>0</v>
      </c>
      <c r="AB93" s="116" t="n">
        <f aca="false">IF(AB55&gt;0,1,0)</f>
        <v>0</v>
      </c>
      <c r="AC93" s="116" t="n">
        <f aca="false">IF(AC55&gt;0,1,0)</f>
        <v>1</v>
      </c>
      <c r="AD93" s="116" t="n">
        <f aca="false">IF(AD55&gt;0,1,0)</f>
        <v>1</v>
      </c>
      <c r="AE93" s="116" t="n">
        <f aca="false">IF(AE55&gt;0,1,0)</f>
        <v>1</v>
      </c>
      <c r="AF93" s="116" t="n">
        <f aca="false">IF(AF55&gt;0,1,0)</f>
        <v>1</v>
      </c>
      <c r="AG93" s="116" t="n">
        <f aca="false">IF(AG55&gt;0,1,0)</f>
        <v>1</v>
      </c>
      <c r="AH93" s="116" t="n">
        <f aca="false">IF(AH55&gt;0,1,0)</f>
        <v>1</v>
      </c>
      <c r="AI93" s="116" t="n">
        <f aca="false">IF(AI55&gt;0,1,0)</f>
        <v>1</v>
      </c>
      <c r="AJ93" s="116" t="n">
        <f aca="false">IF(AJ55&gt;0,1,0)</f>
        <v>1</v>
      </c>
      <c r="AK93" s="116" t="n">
        <f aca="false">IF(AK55&gt;0,1,0)</f>
        <v>1</v>
      </c>
      <c r="AL93" s="116" t="n">
        <f aca="false">IF(AL55&gt;0,1,0)</f>
        <v>0</v>
      </c>
    </row>
    <row r="94" customFormat="false" ht="15" hidden="false" customHeight="false" outlineLevel="0" collapsed="false">
      <c r="A94" s="6" t="s">
        <v>422</v>
      </c>
      <c r="C94" s="67" t="n">
        <f aca="false">C83+C84</f>
        <v>-146928.991466667</v>
      </c>
      <c r="D94" s="67" t="n">
        <f aca="false">D83+D84</f>
        <v>-7525.57313333333</v>
      </c>
      <c r="E94" s="67" t="n">
        <f aca="false">E83+E84</f>
        <v>-3969.1922</v>
      </c>
      <c r="F94" s="67" t="n">
        <f aca="false">F83+F84</f>
        <v>-2368.09126666667</v>
      </c>
      <c r="G94" s="67" t="n">
        <f aca="false">G83+G84</f>
        <v>-973.30926666667</v>
      </c>
      <c r="H94" s="67" t="n">
        <f aca="false">H83+H84</f>
        <v>421.472733333329</v>
      </c>
      <c r="I94" s="67" t="n">
        <f aca="false">I83+I84</f>
        <v>1816.25473333333</v>
      </c>
      <c r="J94" s="67" t="n">
        <f aca="false">J83+J84</f>
        <v>1934.84233333333</v>
      </c>
      <c r="K94" s="67" t="n">
        <f aca="false">K83+K84</f>
        <v>1946.09233333333</v>
      </c>
      <c r="L94" s="67" t="n">
        <f aca="false">L83+L84</f>
        <v>1957.34233333333</v>
      </c>
      <c r="M94" s="67" t="n">
        <f aca="false">M83+M84</f>
        <v>1968.59233333333</v>
      </c>
      <c r="N94" s="67" t="n">
        <f aca="false">N83+N84</f>
        <v>-1939.14006666667</v>
      </c>
      <c r="O94" s="67" t="n">
        <f aca="false">O83+O84</f>
        <v>-4457.78324330667</v>
      </c>
      <c r="P94" s="67" t="n">
        <f aca="false">P83+P84</f>
        <v>-1886.77628586667</v>
      </c>
      <c r="Q94" s="67" t="n">
        <f aca="false">Q83+Q84</f>
        <v>2289.16734229333</v>
      </c>
      <c r="R94" s="67" t="n">
        <f aca="false">R83+R84</f>
        <v>2675.64663893333</v>
      </c>
      <c r="S94" s="67" t="n">
        <f aca="false">S83+S84</f>
        <v>2686.89663893333</v>
      </c>
      <c r="T94" s="67" t="n">
        <f aca="false">T83+T84</f>
        <v>2698.14663893333</v>
      </c>
      <c r="U94" s="67" t="n">
        <f aca="false">U83+U84</f>
        <v>2709.39663893333</v>
      </c>
      <c r="V94" s="67" t="n">
        <f aca="false">V83+V84</f>
        <v>2720.64663893333</v>
      </c>
      <c r="W94" s="67" t="n">
        <f aca="false">W83+W84</f>
        <v>2731.89663893333</v>
      </c>
      <c r="X94" s="67" t="n">
        <f aca="false">X83+X84</f>
        <v>2743.14663893333</v>
      </c>
      <c r="Y94" s="67" t="n">
        <f aca="false">Y83+Y84</f>
        <v>2754.39663893333</v>
      </c>
      <c r="Z94" s="67" t="n">
        <f aca="false">Z83+Z84</f>
        <v>-1399.04698922667</v>
      </c>
      <c r="AA94" s="67" t="n">
        <f aca="false">AA83+AA84</f>
        <v>-3904.24850842805</v>
      </c>
      <c r="AB94" s="67" t="n">
        <f aca="false">AB83+AB84</f>
        <v>-1329.36972389595</v>
      </c>
      <c r="AC94" s="67" t="n">
        <f aca="false">AC83+AC84</f>
        <v>3107.460302219</v>
      </c>
      <c r="AD94" s="67" t="n">
        <f aca="false">AD83+AD84</f>
        <v>3516.79106302437</v>
      </c>
      <c r="AE94" s="67" t="n">
        <f aca="false">AE83+AE84</f>
        <v>3528.04106302437</v>
      </c>
      <c r="AF94" s="67" t="n">
        <f aca="false">AF83+AF84</f>
        <v>3539.29106302437</v>
      </c>
      <c r="AG94" s="67" t="n">
        <f aca="false">AG83+AG84</f>
        <v>3550.54106302437</v>
      </c>
      <c r="AH94" s="67" t="n">
        <f aca="false">AH83+AH84</f>
        <v>3561.79106302437</v>
      </c>
      <c r="AI94" s="67" t="n">
        <f aca="false">AI83+AI84</f>
        <v>3573.04106302437</v>
      </c>
      <c r="AJ94" s="67" t="n">
        <f aca="false">AJ83+AJ84</f>
        <v>3584.29106302437</v>
      </c>
      <c r="AK94" s="67" t="n">
        <f aca="false">AK83+AK84</f>
        <v>3595.54106302437</v>
      </c>
      <c r="AL94" s="67" t="n">
        <f aca="false">AL83+AL84</f>
        <v>-818.788963090575</v>
      </c>
    </row>
    <row r="95" customFormat="false" ht="15" hidden="false" customHeight="false" outlineLevel="0" collapsed="false">
      <c r="A95" s="6" t="s">
        <v>423</v>
      </c>
      <c r="C95" s="67" t="n">
        <f aca="false">C94</f>
        <v>-146928.991466667</v>
      </c>
      <c r="D95" s="67" t="n">
        <f aca="false">C95+D94</f>
        <v>-154454.5646</v>
      </c>
      <c r="E95" s="67" t="n">
        <f aca="false">D95+E94</f>
        <v>-158423.7568</v>
      </c>
      <c r="F95" s="67" t="n">
        <f aca="false">E95+F94</f>
        <v>-160791.848066667</v>
      </c>
      <c r="G95" s="67" t="n">
        <f aca="false">F95+G94</f>
        <v>-161765.157333333</v>
      </c>
      <c r="H95" s="67" t="n">
        <f aca="false">G95+H94</f>
        <v>-161343.6846</v>
      </c>
      <c r="I95" s="67" t="n">
        <f aca="false">H95+I94</f>
        <v>-159527.429866667</v>
      </c>
      <c r="J95" s="67" t="n">
        <f aca="false">I95+J94</f>
        <v>-157592.587533333</v>
      </c>
      <c r="K95" s="67" t="n">
        <f aca="false">J95+K94</f>
        <v>-155646.4952</v>
      </c>
      <c r="L95" s="67" t="n">
        <f aca="false">K95+L94</f>
        <v>-153689.152866667</v>
      </c>
      <c r="M95" s="67" t="n">
        <f aca="false">L95+M94</f>
        <v>-151720.560533333</v>
      </c>
      <c r="N95" s="67" t="n">
        <f aca="false">M95+N94</f>
        <v>-153659.7006</v>
      </c>
      <c r="O95" s="67" t="n">
        <f aca="false">N95+O94</f>
        <v>-158117.483843307</v>
      </c>
      <c r="P95" s="67" t="n">
        <f aca="false">O95+P94</f>
        <v>-160004.260129173</v>
      </c>
      <c r="Q95" s="67" t="n">
        <f aca="false">P95+Q94</f>
        <v>-157715.09278688</v>
      </c>
      <c r="R95" s="67" t="n">
        <f aca="false">Q95+R94</f>
        <v>-155039.446147947</v>
      </c>
      <c r="S95" s="67" t="n">
        <f aca="false">R95+S94</f>
        <v>-152352.549509013</v>
      </c>
      <c r="T95" s="67" t="n">
        <f aca="false">S95+T94</f>
        <v>-149654.40287008</v>
      </c>
      <c r="U95" s="67" t="n">
        <f aca="false">T95+U94</f>
        <v>-146945.006231147</v>
      </c>
      <c r="V95" s="67" t="n">
        <f aca="false">U95+V94</f>
        <v>-144224.359592213</v>
      </c>
      <c r="W95" s="67" t="n">
        <f aca="false">V95+W94</f>
        <v>-141492.46295328</v>
      </c>
      <c r="X95" s="67" t="n">
        <f aca="false">W95+X94</f>
        <v>-138749.316314347</v>
      </c>
      <c r="Y95" s="67" t="n">
        <f aca="false">X95+Y94</f>
        <v>-135994.919675413</v>
      </c>
      <c r="Z95" s="67" t="n">
        <f aca="false">Y95+Z94</f>
        <v>-137393.96666464</v>
      </c>
      <c r="AA95" s="67" t="n">
        <f aca="false">Z95+AA94</f>
        <v>-141298.215173068</v>
      </c>
      <c r="AB95" s="67" t="n">
        <f aca="false">AA95+AB94</f>
        <v>-142627.584896964</v>
      </c>
      <c r="AC95" s="67" t="n">
        <f aca="false">AB95+AC94</f>
        <v>-139520.124594745</v>
      </c>
      <c r="AD95" s="67" t="n">
        <f aca="false">AC95+AD94</f>
        <v>-136003.333531721</v>
      </c>
      <c r="AE95" s="67" t="n">
        <f aca="false">AD95+AE94</f>
        <v>-132475.292468696</v>
      </c>
      <c r="AF95" s="67" t="n">
        <f aca="false">AE95+AF94</f>
        <v>-128936.001405672</v>
      </c>
      <c r="AG95" s="67" t="n">
        <f aca="false">AF95+AG94</f>
        <v>-125385.460342647</v>
      </c>
      <c r="AH95" s="67" t="n">
        <f aca="false">AG95+AH94</f>
        <v>-121823.669279623</v>
      </c>
      <c r="AI95" s="67" t="n">
        <f aca="false">AH95+AI94</f>
        <v>-118250.628216599</v>
      </c>
      <c r="AJ95" s="67" t="n">
        <f aca="false">AI95+AJ94</f>
        <v>-114666.337153574</v>
      </c>
      <c r="AK95" s="67" t="n">
        <f aca="false">AJ95+AK94</f>
        <v>-111070.79609055</v>
      </c>
      <c r="AL95" s="67" t="n">
        <f aca="false">AK95+AL94</f>
        <v>-111889.585053641</v>
      </c>
    </row>
    <row r="96" customFormat="false" ht="15" hidden="false" customHeight="false" outlineLevel="0" collapsed="false">
      <c r="A96" s="117" t="s">
        <v>424</v>
      </c>
      <c r="C96" s="67" t="n">
        <f aca="false">C95</f>
        <v>-146928.991466667</v>
      </c>
      <c r="D96" s="67" t="n">
        <f aca="false">MIN(C96,D95)</f>
        <v>-154454.5646</v>
      </c>
      <c r="E96" s="67" t="n">
        <f aca="false">MIN(D96,E95)</f>
        <v>-158423.7568</v>
      </c>
      <c r="F96" s="67" t="n">
        <f aca="false">MIN(E96,F95)</f>
        <v>-160791.848066667</v>
      </c>
      <c r="G96" s="67" t="n">
        <f aca="false">MIN(F96,G95)</f>
        <v>-161765.157333333</v>
      </c>
      <c r="H96" s="67" t="n">
        <f aca="false">MIN(G96,H95)</f>
        <v>-161765.157333333</v>
      </c>
      <c r="I96" s="67" t="n">
        <f aca="false">MIN(H96,I95)</f>
        <v>-161765.157333333</v>
      </c>
      <c r="J96" s="67" t="n">
        <f aca="false">MIN(I96,J95)</f>
        <v>-161765.157333333</v>
      </c>
      <c r="K96" s="67" t="n">
        <f aca="false">MIN(J96,K95)</f>
        <v>-161765.157333333</v>
      </c>
      <c r="L96" s="67" t="n">
        <f aca="false">MIN(K96,L95)</f>
        <v>-161765.157333333</v>
      </c>
      <c r="M96" s="67" t="n">
        <f aca="false">MIN(L96,M95)</f>
        <v>-161765.157333333</v>
      </c>
      <c r="N96" s="67" t="n">
        <f aca="false">MIN(M96,N95)</f>
        <v>-161765.157333333</v>
      </c>
      <c r="O96" s="67" t="n">
        <f aca="false">MIN(N96,O95)</f>
        <v>-161765.157333333</v>
      </c>
      <c r="P96" s="67" t="n">
        <f aca="false">MIN(O96,P95)</f>
        <v>-161765.157333333</v>
      </c>
      <c r="Q96" s="67" t="n">
        <f aca="false">MIN(P96,Q95)</f>
        <v>-161765.157333333</v>
      </c>
      <c r="R96" s="67" t="n">
        <f aca="false">MIN(Q96,R95)</f>
        <v>-161765.157333333</v>
      </c>
      <c r="S96" s="67" t="n">
        <f aca="false">MIN(R96,S95)</f>
        <v>-161765.157333333</v>
      </c>
      <c r="T96" s="67" t="n">
        <f aca="false">MIN(S96,T95)</f>
        <v>-161765.157333333</v>
      </c>
      <c r="U96" s="67" t="n">
        <f aca="false">MIN(T96,U95)</f>
        <v>-161765.157333333</v>
      </c>
      <c r="V96" s="67" t="n">
        <f aca="false">MIN(U96,V95)</f>
        <v>-161765.157333333</v>
      </c>
      <c r="W96" s="67" t="n">
        <f aca="false">MIN(V96,W95)</f>
        <v>-161765.157333333</v>
      </c>
      <c r="X96" s="67" t="n">
        <f aca="false">MIN(W96,X95)</f>
        <v>-161765.157333333</v>
      </c>
      <c r="Y96" s="67" t="n">
        <f aca="false">MIN(X96,Y95)</f>
        <v>-161765.157333333</v>
      </c>
      <c r="Z96" s="67" t="n">
        <f aca="false">MIN(Y96,Z95)</f>
        <v>-161765.157333333</v>
      </c>
      <c r="AA96" s="67" t="n">
        <f aca="false">MIN(Z96,AA95)</f>
        <v>-161765.157333333</v>
      </c>
      <c r="AB96" s="67" t="n">
        <f aca="false">MIN(AA96,AB95)</f>
        <v>-161765.157333333</v>
      </c>
      <c r="AC96" s="67" t="n">
        <f aca="false">MIN(AB96,AC95)</f>
        <v>-161765.157333333</v>
      </c>
      <c r="AD96" s="67" t="n">
        <f aca="false">MIN(AC96,AD95)</f>
        <v>-161765.157333333</v>
      </c>
      <c r="AE96" s="67" t="n">
        <f aca="false">MIN(AD96,AE95)</f>
        <v>-161765.157333333</v>
      </c>
      <c r="AF96" s="67" t="n">
        <f aca="false">MIN(AE96,AF95)</f>
        <v>-161765.157333333</v>
      </c>
      <c r="AG96" s="67" t="n">
        <f aca="false">MIN(AF96,AG95)</f>
        <v>-161765.157333333</v>
      </c>
      <c r="AH96" s="67" t="n">
        <f aca="false">MIN(AG96,AH95)</f>
        <v>-161765.157333333</v>
      </c>
      <c r="AI96" s="67" t="n">
        <f aca="false">MIN(AH96,AI95)</f>
        <v>-161765.157333333</v>
      </c>
      <c r="AJ96" s="67" t="n">
        <f aca="false">MIN(AI96,AJ95)</f>
        <v>-161765.157333333</v>
      </c>
      <c r="AK96" s="67" t="n">
        <f aca="false">MIN(AJ96,AK95)</f>
        <v>-161765.157333333</v>
      </c>
      <c r="AL96" s="67" t="n">
        <f aca="false">MIN(AK96,AL95)</f>
        <v>-161765.157333333</v>
      </c>
    </row>
    <row r="97" customFormat="false" ht="15" hidden="false" customHeight="false" outlineLevel="0" collapsed="false">
      <c r="A97" s="117" t="s">
        <v>425</v>
      </c>
      <c r="C97" s="116" t="n">
        <f aca="false">IF(AND(C95&gt;=0,C96&lt;0),1,0)</f>
        <v>0</v>
      </c>
      <c r="D97" s="116" t="n">
        <f aca="false">IF(AND(D95&gt;=0,D96&lt;0),1,0)</f>
        <v>0</v>
      </c>
      <c r="E97" s="116" t="n">
        <f aca="false">IF(AND(E95&gt;=0,E96&lt;0),1,0)</f>
        <v>0</v>
      </c>
      <c r="F97" s="116" t="n">
        <f aca="false">IF(AND(F95&gt;=0,F96&lt;0),1,0)</f>
        <v>0</v>
      </c>
      <c r="G97" s="116" t="n">
        <f aca="false">IF(AND(G95&gt;=0,G96&lt;0),1,0)</f>
        <v>0</v>
      </c>
      <c r="H97" s="116" t="n">
        <f aca="false">IF(AND(H95&gt;=0,H96&lt;0),1,0)</f>
        <v>0</v>
      </c>
      <c r="I97" s="116" t="n">
        <f aca="false">IF(AND(I95&gt;=0,I96&lt;0),1,0)</f>
        <v>0</v>
      </c>
      <c r="J97" s="116" t="n">
        <f aca="false">IF(AND(J95&gt;=0,J96&lt;0),1,0)</f>
        <v>0</v>
      </c>
      <c r="K97" s="116" t="n">
        <f aca="false">IF(AND(K95&gt;=0,K96&lt;0),1,0)</f>
        <v>0</v>
      </c>
      <c r="L97" s="116" t="n">
        <f aca="false">IF(AND(L95&gt;=0,L96&lt;0),1,0)</f>
        <v>0</v>
      </c>
      <c r="M97" s="116" t="n">
        <f aca="false">IF(AND(M95&gt;=0,M96&lt;0),1,0)</f>
        <v>0</v>
      </c>
      <c r="N97" s="116" t="n">
        <f aca="false">IF(AND(N95&gt;=0,N96&lt;0),1,0)</f>
        <v>0</v>
      </c>
      <c r="O97" s="116" t="n">
        <f aca="false">IF(AND(O95&gt;=0,O96&lt;0),1,0)</f>
        <v>0</v>
      </c>
      <c r="P97" s="116" t="n">
        <f aca="false">IF(AND(P95&gt;=0,P96&lt;0),1,0)</f>
        <v>0</v>
      </c>
      <c r="Q97" s="116" t="n">
        <f aca="false">IF(AND(Q95&gt;=0,Q96&lt;0),1,0)</f>
        <v>0</v>
      </c>
      <c r="R97" s="116" t="n">
        <f aca="false">IF(AND(R95&gt;=0,R96&lt;0),1,0)</f>
        <v>0</v>
      </c>
      <c r="S97" s="116" t="n">
        <f aca="false">IF(AND(S95&gt;=0,S96&lt;0),1,0)</f>
        <v>0</v>
      </c>
      <c r="T97" s="116" t="n">
        <f aca="false">IF(AND(T95&gt;=0,T96&lt;0),1,0)</f>
        <v>0</v>
      </c>
      <c r="U97" s="116" t="n">
        <f aca="false">IF(AND(U95&gt;=0,U96&lt;0),1,0)</f>
        <v>0</v>
      </c>
      <c r="V97" s="116" t="n">
        <f aca="false">IF(AND(V95&gt;=0,V96&lt;0),1,0)</f>
        <v>0</v>
      </c>
      <c r="W97" s="116" t="n">
        <f aca="false">IF(AND(W95&gt;=0,W96&lt;0),1,0)</f>
        <v>0</v>
      </c>
      <c r="X97" s="116" t="n">
        <f aca="false">IF(AND(X95&gt;=0,X96&lt;0),1,0)</f>
        <v>0</v>
      </c>
      <c r="Y97" s="116" t="n">
        <f aca="false">IF(AND(Y95&gt;=0,Y96&lt;0),1,0)</f>
        <v>0</v>
      </c>
      <c r="Z97" s="116" t="n">
        <f aca="false">IF(AND(Z95&gt;=0,Z96&lt;0),1,0)</f>
        <v>0</v>
      </c>
      <c r="AA97" s="116" t="n">
        <f aca="false">IF(AND(AA95&gt;=0,AA96&lt;0),1,0)</f>
        <v>0</v>
      </c>
      <c r="AB97" s="116" t="n">
        <f aca="false">IF(AND(AB95&gt;=0,AB96&lt;0),1,0)</f>
        <v>0</v>
      </c>
      <c r="AC97" s="116" t="n">
        <f aca="false">IF(AND(AC95&gt;=0,AC96&lt;0),1,0)</f>
        <v>0</v>
      </c>
      <c r="AD97" s="116" t="n">
        <f aca="false">IF(AND(AD95&gt;=0,AD96&lt;0),1,0)</f>
        <v>0</v>
      </c>
      <c r="AE97" s="116" t="n">
        <f aca="false">IF(AND(AE95&gt;=0,AE96&lt;0),1,0)</f>
        <v>0</v>
      </c>
      <c r="AF97" s="116" t="n">
        <f aca="false">IF(AND(AF95&gt;=0,AF96&lt;0),1,0)</f>
        <v>0</v>
      </c>
      <c r="AG97" s="116" t="n">
        <f aca="false">IF(AND(AG95&gt;=0,AG96&lt;0),1,0)</f>
        <v>0</v>
      </c>
      <c r="AH97" s="116" t="n">
        <f aca="false">IF(AND(AH95&gt;=0,AH96&lt;0),1,0)</f>
        <v>0</v>
      </c>
      <c r="AI97" s="116" t="n">
        <f aca="false">IF(AND(AI95&gt;=0,AI96&lt;0),1,0)</f>
        <v>0</v>
      </c>
      <c r="AJ97" s="116" t="n">
        <f aca="false">IF(AND(AJ95&gt;=0,AJ96&lt;0),1,0)</f>
        <v>0</v>
      </c>
      <c r="AK97" s="116" t="n">
        <f aca="false">IF(AND(AK95&gt;=0,AK96&lt;0),1,0)</f>
        <v>0</v>
      </c>
      <c r="AL97" s="116" t="n">
        <f aca="false">IF(AND(AL95&gt;=0,AL96&lt;0),1,0)</f>
        <v>0</v>
      </c>
    </row>
    <row r="98" customFormat="false" ht="15" hidden="false" customHeight="false" outlineLevel="0" collapsed="false">
      <c r="A98" s="6" t="s">
        <v>426</v>
      </c>
      <c r="C98" s="67" t="n">
        <f aca="false">C83-C50*(1-Inputs!$E$83)+C84</f>
        <v>-146395.741466667</v>
      </c>
      <c r="D98" s="67" t="n">
        <f aca="false">D83-D50*(1-Inputs!$E$83)+D84</f>
        <v>-6996.76688333333</v>
      </c>
      <c r="E98" s="67" t="n">
        <f aca="false">E83-E50*(1-Inputs!$E$83)+E84</f>
        <v>-3449.27345</v>
      </c>
      <c r="F98" s="67" t="n">
        <f aca="false">F83-F50*(1-Inputs!$E$83)+F84</f>
        <v>-1857.06001666667</v>
      </c>
      <c r="G98" s="67" t="n">
        <f aca="false">G83-G50*(1-Inputs!$E$83)+G84</f>
        <v>-471.16551666667</v>
      </c>
      <c r="H98" s="67" t="n">
        <f aca="false">H83-H50*(1-Inputs!$E$83)+H84</f>
        <v>914.728983333329</v>
      </c>
      <c r="I98" s="67" t="n">
        <f aca="false">I83-I50*(1-Inputs!$E$83)+I84</f>
        <v>2300.62348333333</v>
      </c>
      <c r="J98" s="67" t="n">
        <f aca="false">J83-J50*(1-Inputs!$E$83)+J84</f>
        <v>2410.32358333333</v>
      </c>
      <c r="K98" s="67" t="n">
        <f aca="false">K83-K50*(1-Inputs!$E$83)+K84</f>
        <v>2412.68608333333</v>
      </c>
      <c r="L98" s="67" t="n">
        <f aca="false">L83-L50*(1-Inputs!$E$83)+L84</f>
        <v>2415.04858333333</v>
      </c>
      <c r="M98" s="67" t="n">
        <f aca="false">M83-M50*(1-Inputs!$E$83)+M84</f>
        <v>2417.41108333333</v>
      </c>
      <c r="N98" s="67" t="n">
        <f aca="false">N83-N50*(1-Inputs!$E$83)+N84</f>
        <v>-1499.20881666667</v>
      </c>
      <c r="O98" s="67" t="n">
        <f aca="false">O83-O50*(1-Inputs!$E$83)+O84</f>
        <v>-4026.73949330667</v>
      </c>
      <c r="P98" s="67" t="n">
        <f aca="false">P83-P50*(1-Inputs!$E$83)+P84</f>
        <v>-1464.62003586667</v>
      </c>
      <c r="Q98" s="67" t="n">
        <f aca="false">Q83-Q50*(1-Inputs!$E$83)+Q84</f>
        <v>2702.43609229333</v>
      </c>
      <c r="R98" s="67" t="n">
        <f aca="false">R83-R50*(1-Inputs!$E$83)+R84</f>
        <v>3080.02788893333</v>
      </c>
      <c r="S98" s="67" t="n">
        <f aca="false">S83-S50*(1-Inputs!$E$83)+S84</f>
        <v>3082.39038893333</v>
      </c>
      <c r="T98" s="67" t="n">
        <f aca="false">T83-T50*(1-Inputs!$E$83)+T84</f>
        <v>3084.75288893333</v>
      </c>
      <c r="U98" s="67" t="n">
        <f aca="false">U83-U50*(1-Inputs!$E$83)+U84</f>
        <v>3087.11538893333</v>
      </c>
      <c r="V98" s="67" t="n">
        <f aca="false">V83-V50*(1-Inputs!$E$83)+V84</f>
        <v>3089.47788893333</v>
      </c>
      <c r="W98" s="67" t="n">
        <f aca="false">W83-W50*(1-Inputs!$E$83)+W84</f>
        <v>3091.84038893333</v>
      </c>
      <c r="X98" s="67" t="n">
        <f aca="false">X83-X50*(1-Inputs!$E$83)+X84</f>
        <v>3094.20288893333</v>
      </c>
      <c r="Y98" s="67" t="n">
        <f aca="false">Y83-Y50*(1-Inputs!$E$83)+Y84</f>
        <v>3096.56538893333</v>
      </c>
      <c r="Z98" s="67" t="n">
        <f aca="false">Z83-Z50*(1-Inputs!$E$83)+Z84</f>
        <v>-1065.76573922667</v>
      </c>
      <c r="AA98" s="67" t="n">
        <f aca="false">AA83-AA50*(1-Inputs!$E$83)+AA84</f>
        <v>-3579.85475842805</v>
      </c>
      <c r="AB98" s="67" t="n">
        <f aca="false">AB83-AB50*(1-Inputs!$E$83)+AB84</f>
        <v>-1013.86347389595</v>
      </c>
      <c r="AC98" s="67" t="n">
        <f aca="false">AC83-AC50*(1-Inputs!$E$83)+AC84</f>
        <v>3414.079052219</v>
      </c>
      <c r="AD98" s="67" t="n">
        <f aca="false">AD83-AD50*(1-Inputs!$E$83)+AD84</f>
        <v>3814.52231302437</v>
      </c>
      <c r="AE98" s="67" t="n">
        <f aca="false">AE83-AE50*(1-Inputs!$E$83)+AE84</f>
        <v>3816.88481302437</v>
      </c>
      <c r="AF98" s="67" t="n">
        <f aca="false">AF83-AF50*(1-Inputs!$E$83)+AF84</f>
        <v>3819.24731302437</v>
      </c>
      <c r="AG98" s="67" t="n">
        <f aca="false">AG83-AG50*(1-Inputs!$E$83)+AG84</f>
        <v>3821.60981302437</v>
      </c>
      <c r="AH98" s="67" t="n">
        <f aca="false">AH83-AH50*(1-Inputs!$E$83)+AH84</f>
        <v>3823.97231302437</v>
      </c>
      <c r="AI98" s="67" t="n">
        <f aca="false">AI83-AI50*(1-Inputs!$E$83)+AI84</f>
        <v>3826.33481302437</v>
      </c>
      <c r="AJ98" s="67" t="n">
        <f aca="false">AJ83-AJ50*(1-Inputs!$E$83)+AJ84</f>
        <v>3828.69731302437</v>
      </c>
      <c r="AK98" s="67" t="n">
        <f aca="false">AK83-AK50*(1-Inputs!$E$83)+AK84</f>
        <v>3831.05981302437</v>
      </c>
      <c r="AL98" s="67" t="n">
        <f aca="false">AL83-AL50*(1-Inputs!$E$83)+AL84</f>
        <v>-592.157713090575</v>
      </c>
    </row>
    <row r="100" customFormat="false" ht="15.75" hidden="false" customHeight="true" outlineLevel="0" collapsed="false">
      <c r="A100" s="7" t="s">
        <v>427</v>
      </c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</row>
    <row r="101" customFormat="false" ht="15" hidden="false" customHeight="false" outlineLevel="0" collapsed="false">
      <c r="A101" s="6" t="s">
        <v>97</v>
      </c>
      <c r="C101" s="67" t="n">
        <f aca="false">C85</f>
        <v>100000</v>
      </c>
      <c r="D101" s="67" t="n">
        <f aca="false">C101+D85</f>
        <v>100000</v>
      </c>
      <c r="E101" s="67" t="n">
        <f aca="false">D101+E85</f>
        <v>100000</v>
      </c>
      <c r="F101" s="67" t="n">
        <f aca="false">E101+F85</f>
        <v>100000</v>
      </c>
      <c r="G101" s="67" t="n">
        <f aca="false">F101+G85</f>
        <v>100000</v>
      </c>
      <c r="H101" s="67" t="n">
        <f aca="false">G101+H85</f>
        <v>100000</v>
      </c>
      <c r="I101" s="67" t="n">
        <f aca="false">H101+I85</f>
        <v>100000</v>
      </c>
      <c r="J101" s="67" t="n">
        <f aca="false">I101+J85</f>
        <v>100000</v>
      </c>
      <c r="K101" s="67" t="n">
        <f aca="false">J101+K85</f>
        <v>100000</v>
      </c>
      <c r="L101" s="67" t="n">
        <f aca="false">K101+L85</f>
        <v>100000</v>
      </c>
      <c r="M101" s="67" t="n">
        <f aca="false">L101+M85</f>
        <v>100000</v>
      </c>
      <c r="N101" s="67" t="n">
        <f aca="false">M101+N85</f>
        <v>100000</v>
      </c>
      <c r="O101" s="67" t="n">
        <f aca="false">N101+O85</f>
        <v>100000</v>
      </c>
      <c r="P101" s="67" t="n">
        <f aca="false">O101+P85</f>
        <v>100000</v>
      </c>
      <c r="Q101" s="67" t="n">
        <f aca="false">P101+Q85</f>
        <v>100000</v>
      </c>
      <c r="R101" s="67" t="n">
        <f aca="false">Q101+R85</f>
        <v>100000</v>
      </c>
      <c r="S101" s="67" t="n">
        <f aca="false">R101+S85</f>
        <v>100000</v>
      </c>
      <c r="T101" s="67" t="n">
        <f aca="false">S101+T85</f>
        <v>100000</v>
      </c>
      <c r="U101" s="67" t="n">
        <f aca="false">T101+U85</f>
        <v>100000</v>
      </c>
      <c r="V101" s="67" t="n">
        <f aca="false">U101+V85</f>
        <v>100000</v>
      </c>
      <c r="W101" s="67" t="n">
        <f aca="false">V101+W85</f>
        <v>100000</v>
      </c>
      <c r="X101" s="67" t="n">
        <f aca="false">W101+X85</f>
        <v>100000</v>
      </c>
      <c r="Y101" s="67" t="n">
        <f aca="false">X101+Y85</f>
        <v>100000</v>
      </c>
      <c r="Z101" s="67" t="n">
        <f aca="false">Y101+Z85</f>
        <v>100000</v>
      </c>
      <c r="AA101" s="67" t="n">
        <f aca="false">Z101+AA85</f>
        <v>100000</v>
      </c>
      <c r="AB101" s="67" t="n">
        <f aca="false">AA101+AB85</f>
        <v>100000</v>
      </c>
      <c r="AC101" s="67" t="n">
        <f aca="false">AB101+AC85</f>
        <v>100000</v>
      </c>
      <c r="AD101" s="67" t="n">
        <f aca="false">AC101+AD85</f>
        <v>100000</v>
      </c>
      <c r="AE101" s="67" t="n">
        <f aca="false">AD101+AE85</f>
        <v>100000</v>
      </c>
      <c r="AF101" s="67" t="n">
        <f aca="false">AE101+AF85</f>
        <v>100000</v>
      </c>
      <c r="AG101" s="67" t="n">
        <f aca="false">AF101+AG85</f>
        <v>100000</v>
      </c>
      <c r="AH101" s="67" t="n">
        <f aca="false">AG101+AH85</f>
        <v>100000</v>
      </c>
      <c r="AI101" s="67" t="n">
        <f aca="false">AH101+AI85</f>
        <v>100000</v>
      </c>
      <c r="AJ101" s="67" t="n">
        <f aca="false">AI101+AJ85</f>
        <v>100000</v>
      </c>
      <c r="AK101" s="67" t="n">
        <f aca="false">AJ101+AK85</f>
        <v>100000</v>
      </c>
      <c r="AL101" s="67" t="n">
        <f aca="false">AK101+AL85</f>
        <v>100000</v>
      </c>
    </row>
    <row r="102" customFormat="false" ht="15" hidden="false" customHeight="false" outlineLevel="0" collapsed="false">
      <c r="A102" s="6" t="s">
        <v>98</v>
      </c>
      <c r="C102" s="67" t="n">
        <f aca="false">C55</f>
        <v>-10104.6678095238</v>
      </c>
      <c r="D102" s="67" t="n">
        <f aca="false">C102+D55</f>
        <v>-19195.2346190476</v>
      </c>
      <c r="E102" s="67" t="n">
        <f aca="false">D102+E55</f>
        <v>-24493.6274285714</v>
      </c>
      <c r="F102" s="67" t="n">
        <f aca="false">E102+F55</f>
        <v>-28397.2382380952</v>
      </c>
      <c r="G102" s="67" t="n">
        <f aca="false">F102+G55</f>
        <v>-30906.0670476191</v>
      </c>
      <c r="H102" s="67" t="n">
        <f aca="false">G102+H55</f>
        <v>-32020.1138571429</v>
      </c>
      <c r="I102" s="67" t="n">
        <f aca="false">H102+I55</f>
        <v>-31739.3786666667</v>
      </c>
      <c r="J102" s="67" t="n">
        <f aca="false">I102+J55</f>
        <v>-31447.3934761905</v>
      </c>
      <c r="K102" s="67" t="n">
        <f aca="false">J102+K55</f>
        <v>-31144.1582857143</v>
      </c>
      <c r="L102" s="67" t="n">
        <f aca="false">K102+L55</f>
        <v>-30829.6730952381</v>
      </c>
      <c r="M102" s="67" t="n">
        <f aca="false">L102+M55</f>
        <v>-30503.9379047619</v>
      </c>
      <c r="N102" s="67" t="n">
        <f aca="false">M102+N55</f>
        <v>-34439.6247142857</v>
      </c>
      <c r="O102" s="67" t="n">
        <f aca="false">N102+O55</f>
        <v>-38010.2700477714</v>
      </c>
      <c r="P102" s="67" t="n">
        <f aca="false">O102+P55</f>
        <v>-41569.6653812572</v>
      </c>
      <c r="Q102" s="67" t="n">
        <f aca="false">P102+Q55</f>
        <v>-40577.8877899429</v>
      </c>
      <c r="R102" s="67" t="n">
        <f aca="false">Q102+R55</f>
        <v>-39574.8601986286</v>
      </c>
      <c r="S102" s="67" t="n">
        <f aca="false">R102+S55</f>
        <v>-38560.5826073143</v>
      </c>
      <c r="T102" s="67" t="n">
        <f aca="false">S102+T55</f>
        <v>-37535.055016</v>
      </c>
      <c r="U102" s="67" t="n">
        <f aca="false">T102+U55</f>
        <v>-36498.2774246857</v>
      </c>
      <c r="V102" s="67" t="n">
        <f aca="false">U102+V55</f>
        <v>-35450.2498333715</v>
      </c>
      <c r="W102" s="67" t="n">
        <f aca="false">V102+W55</f>
        <v>-34390.9722420572</v>
      </c>
      <c r="X102" s="67" t="n">
        <f aca="false">W102+X55</f>
        <v>-33320.4446507429</v>
      </c>
      <c r="Y102" s="67" t="n">
        <f aca="false">X102+Y55</f>
        <v>-32238.6670594286</v>
      </c>
      <c r="Z102" s="67" t="n">
        <f aca="false">Y102+Z55</f>
        <v>-35685.5623929143</v>
      </c>
      <c r="AA102" s="67" t="n">
        <f aca="false">Z102+AA55</f>
        <v>-38728.5630691912</v>
      </c>
      <c r="AB102" s="67" t="n">
        <f aca="false">AA102+AB55</f>
        <v>-41760.3137454681</v>
      </c>
      <c r="AC102" s="67" t="n">
        <f aca="false">AB102+AC55</f>
        <v>-39957.1536348247</v>
      </c>
      <c r="AD102" s="67" t="n">
        <f aca="false">AC102+AD55</f>
        <v>-38142.7435241813</v>
      </c>
      <c r="AE102" s="67" t="n">
        <f aca="false">AD102+AE55</f>
        <v>-36317.0834135379</v>
      </c>
      <c r="AF102" s="67" t="n">
        <f aca="false">AE102+AF55</f>
        <v>-34480.1733028944</v>
      </c>
      <c r="AG102" s="67" t="n">
        <f aca="false">AF102+AG55</f>
        <v>-32632.013192251</v>
      </c>
      <c r="AH102" s="67" t="n">
        <f aca="false">AG102+AH55</f>
        <v>-30772.6030816076</v>
      </c>
      <c r="AI102" s="67" t="n">
        <f aca="false">AH102+AI55</f>
        <v>-28901.9429709642</v>
      </c>
      <c r="AJ102" s="67" t="n">
        <f aca="false">AI102+AJ55</f>
        <v>-27020.0328603208</v>
      </c>
      <c r="AK102" s="67" t="n">
        <f aca="false">AJ102+AK55</f>
        <v>-25126.8727496773</v>
      </c>
      <c r="AL102" s="67" t="n">
        <f aca="false">AK102+AL55</f>
        <v>-28046.1234259542</v>
      </c>
    </row>
    <row r="103" customFormat="false" ht="15" hidden="false" customHeight="false" outlineLevel="0" collapsed="false">
      <c r="A103" s="4" t="s">
        <v>93</v>
      </c>
      <c r="C103" s="73" t="n">
        <f aca="false">C89+C75+C76+C66</f>
        <v>180900.565790476</v>
      </c>
      <c r="D103" s="73" t="n">
        <f aca="false">D89+D75+D76+D66</f>
        <v>170477.537914286</v>
      </c>
      <c r="E103" s="73" t="n">
        <f aca="false">E89+E75+E76+E66</f>
        <v>164296.446171429</v>
      </c>
      <c r="F103" s="73" t="n">
        <f aca="false">F89+F75+F76+F66</f>
        <v>159116.594561905</v>
      </c>
      <c r="G103" s="73" t="n">
        <f aca="false">G89+G75+G76+G66</f>
        <v>155331.524952381</v>
      </c>
      <c r="H103" s="73" t="n">
        <f aca="false">H89+H75+H76+H66</f>
        <v>152941.237342857</v>
      </c>
      <c r="I103" s="73" t="n">
        <f aca="false">I89+I75+I76+I66</f>
        <v>151945.731733333</v>
      </c>
      <c r="J103" s="73" t="n">
        <f aca="false">J89+J75+J76+J66</f>
        <v>150737.71692381</v>
      </c>
      <c r="K103" s="73" t="n">
        <f aca="false">K89+K75+K76+K66</f>
        <v>149540.952114286</v>
      </c>
      <c r="L103" s="73" t="n">
        <f aca="false">L89+L75+L76+L66</f>
        <v>148355.437304762</v>
      </c>
      <c r="M103" s="73" t="n">
        <f aca="false">M89+M75+M76+M66</f>
        <v>147181.172495238</v>
      </c>
      <c r="N103" s="73" t="n">
        <f aca="false">N89+N75+N76+N66</f>
        <v>141070.842485714</v>
      </c>
      <c r="O103" s="73" t="n">
        <f aca="false">O89+O75+O76+O66</f>
        <v>136132.780516709</v>
      </c>
      <c r="P103" s="73" t="n">
        <f aca="false">P89+P75+P76+P66</f>
        <v>131073.385183223</v>
      </c>
      <c r="Q103" s="73" t="n">
        <f aca="false">Q89+Q75+Q76+Q66</f>
        <v>131280.891745417</v>
      </c>
      <c r="R103" s="73" t="n">
        <f aca="false">R89+R75+R76+R66</f>
        <v>130783.919336731</v>
      </c>
      <c r="S103" s="73" t="n">
        <f aca="false">S89+S75+S76+S66</f>
        <v>130298.196928046</v>
      </c>
      <c r="T103" s="73" t="n">
        <f aca="false">T89+T75+T76+T66</f>
        <v>129823.72451936</v>
      </c>
      <c r="U103" s="73" t="n">
        <f aca="false">U89+U75+U76+U66</f>
        <v>129360.502110674</v>
      </c>
      <c r="V103" s="73" t="n">
        <f aca="false">V89+V75+V76+V66</f>
        <v>128908.529701989</v>
      </c>
      <c r="W103" s="73" t="n">
        <f aca="false">W89+W75+W76+W66</f>
        <v>128467.807293303</v>
      </c>
      <c r="X103" s="73" t="n">
        <f aca="false">X89+X75+X76+X66</f>
        <v>128038.334884617</v>
      </c>
      <c r="Y103" s="73" t="n">
        <f aca="false">Y89+Y75+Y76+Y66</f>
        <v>127620.112475931</v>
      </c>
      <c r="Z103" s="73" t="n">
        <f aca="false">Z89+Z75+Z76+Z66</f>
        <v>121957.488171566</v>
      </c>
      <c r="AA103" s="73" t="n">
        <f aca="false">AA89+AA75+AA76+AA66</f>
        <v>117555.972078494</v>
      </c>
      <c r="AB103" s="73" t="n">
        <f aca="false">AB89+AB75+AB76+AB66</f>
        <v>113024.221402217</v>
      </c>
      <c r="AC103" s="73" t="n">
        <f aca="false">AC89+AC75+AC76+AC66</f>
        <v>114086.698378067</v>
      </c>
      <c r="AD103" s="73" t="n">
        <f aca="false">AD89+AD75+AD76+AD66</f>
        <v>114401.10848871</v>
      </c>
      <c r="AE103" s="73" t="n">
        <f aca="false">AE89+AE75+AE76+AE66</f>
        <v>114726.768599354</v>
      </c>
      <c r="AF103" s="73" t="n">
        <f aca="false">AF89+AF75+AF76+AF66</f>
        <v>115063.678709997</v>
      </c>
      <c r="AG103" s="73" t="n">
        <f aca="false">AG89+AG75+AG76+AG66</f>
        <v>115411.83882064</v>
      </c>
      <c r="AH103" s="73" t="n">
        <f aca="false">AH89+AH75+AH76+AH66</f>
        <v>115771.248931284</v>
      </c>
      <c r="AI103" s="73" t="n">
        <f aca="false">AI89+AI75+AI76+AI66</f>
        <v>116141.909041927</v>
      </c>
      <c r="AJ103" s="73" t="n">
        <f aca="false">AJ89+AJ75+AJ76+AJ66</f>
        <v>116523.819152571</v>
      </c>
      <c r="AK103" s="73" t="n">
        <f aca="false">AK89+AK75+AK76+AK66</f>
        <v>116916.979263214</v>
      </c>
      <c r="AL103" s="73" t="n">
        <f aca="false">AL89+AL75+AL76+AL66</f>
        <v>111738.411721731</v>
      </c>
    </row>
    <row r="104" customFormat="false" ht="15" hidden="false" customHeight="false" outlineLevel="0" collapsed="false">
      <c r="A104" s="6" t="s">
        <v>96</v>
      </c>
      <c r="C104" s="67" t="n">
        <f aca="false">C77+C72</f>
        <v>91005.2336</v>
      </c>
      <c r="D104" s="67" t="n">
        <f aca="false">D77+D72</f>
        <v>89672.7725333333</v>
      </c>
      <c r="E104" s="67" t="n">
        <f aca="false">E77+E72</f>
        <v>88790.0736</v>
      </c>
      <c r="F104" s="67" t="n">
        <f aca="false">F77+F72</f>
        <v>87513.8328</v>
      </c>
      <c r="G104" s="67" t="n">
        <f aca="false">G77+G72</f>
        <v>86237.592</v>
      </c>
      <c r="H104" s="67" t="n">
        <f aca="false">H77+H72</f>
        <v>84961.3512</v>
      </c>
      <c r="I104" s="67" t="n">
        <f aca="false">I77+I72</f>
        <v>83685.1104</v>
      </c>
      <c r="J104" s="67" t="n">
        <f aca="false">J77+J72</f>
        <v>82185.1104</v>
      </c>
      <c r="K104" s="67" t="n">
        <f aca="false">K77+K72</f>
        <v>80685.1104</v>
      </c>
      <c r="L104" s="67" t="n">
        <f aca="false">L77+L72</f>
        <v>79185.1104</v>
      </c>
      <c r="M104" s="67" t="n">
        <f aca="false">M77+M72</f>
        <v>77685.1104</v>
      </c>
      <c r="N104" s="67" t="n">
        <f aca="false">N77+N72</f>
        <v>75510.4672</v>
      </c>
      <c r="O104" s="67" t="n">
        <f aca="false">O77+O72</f>
        <v>74143.05056448</v>
      </c>
      <c r="P104" s="67" t="n">
        <f aca="false">P77+P72</f>
        <v>72643.05056448</v>
      </c>
      <c r="Q104" s="67" t="n">
        <f aca="false">Q77+Q72</f>
        <v>71858.77953536</v>
      </c>
      <c r="R104" s="67" t="n">
        <f aca="false">R77+R72</f>
        <v>70358.77953536</v>
      </c>
      <c r="S104" s="67" t="n">
        <f aca="false">S77+S72</f>
        <v>68858.77953536</v>
      </c>
      <c r="T104" s="67" t="n">
        <f aca="false">T77+T72</f>
        <v>67358.77953536</v>
      </c>
      <c r="U104" s="67" t="n">
        <f aca="false">U77+U72</f>
        <v>65858.77953536</v>
      </c>
      <c r="V104" s="67" t="n">
        <f aca="false">V77+V72</f>
        <v>64358.77953536</v>
      </c>
      <c r="W104" s="67" t="n">
        <f aca="false">W77+W72</f>
        <v>62858.77953536</v>
      </c>
      <c r="X104" s="67" t="n">
        <f aca="false">X77+X72</f>
        <v>61358.77953536</v>
      </c>
      <c r="Y104" s="67" t="n">
        <f aca="false">Y77+Y72</f>
        <v>59858.77953536</v>
      </c>
      <c r="Z104" s="67" t="n">
        <f aca="false">Z77+Z72</f>
        <v>57643.05056448</v>
      </c>
      <c r="AA104" s="67" t="n">
        <f aca="false">AA77+AA72</f>
        <v>56284.5351476848</v>
      </c>
      <c r="AB104" s="67" t="n">
        <f aca="false">AB77+AB72</f>
        <v>54784.5351476848</v>
      </c>
      <c r="AC104" s="67" t="n">
        <f aca="false">AC77+AC72</f>
        <v>54043.8520128914</v>
      </c>
      <c r="AD104" s="67" t="n">
        <f aca="false">AD77+AD72</f>
        <v>52543.8520128914</v>
      </c>
      <c r="AE104" s="67" t="n">
        <f aca="false">AE77+AE72</f>
        <v>51043.8520128914</v>
      </c>
      <c r="AF104" s="67" t="n">
        <f aca="false">AF77+AF72</f>
        <v>49543.8520128914</v>
      </c>
      <c r="AG104" s="67" t="n">
        <f aca="false">AG77+AG72</f>
        <v>48043.8520128914</v>
      </c>
      <c r="AH104" s="67" t="n">
        <f aca="false">AH77+AH72</f>
        <v>46543.8520128914</v>
      </c>
      <c r="AI104" s="67" t="n">
        <f aca="false">AI77+AI72</f>
        <v>45043.8520128914</v>
      </c>
      <c r="AJ104" s="67" t="n">
        <f aca="false">AJ77+AJ72</f>
        <v>43543.8520128914</v>
      </c>
      <c r="AK104" s="67" t="n">
        <f aca="false">AK77+AK72</f>
        <v>42043.8520128914</v>
      </c>
      <c r="AL104" s="67" t="n">
        <f aca="false">AL77+AL72</f>
        <v>39784.5351476848</v>
      </c>
    </row>
    <row r="105" customFormat="false" ht="15" hidden="false" customHeight="false" outlineLevel="0" collapsed="false">
      <c r="A105" s="6" t="s">
        <v>99</v>
      </c>
      <c r="C105" s="67" t="n">
        <f aca="false">C101+C102</f>
        <v>89895.3321904762</v>
      </c>
      <c r="D105" s="67" t="n">
        <f aca="false">D101+D102</f>
        <v>80804.7653809524</v>
      </c>
      <c r="E105" s="67" t="n">
        <f aca="false">E101+E102</f>
        <v>75506.3725714286</v>
      </c>
      <c r="F105" s="67" t="n">
        <f aca="false">F101+F102</f>
        <v>71602.7617619048</v>
      </c>
      <c r="G105" s="67" t="n">
        <f aca="false">G101+G102</f>
        <v>69093.9329523809</v>
      </c>
      <c r="H105" s="67" t="n">
        <f aca="false">H101+H102</f>
        <v>67979.8861428571</v>
      </c>
      <c r="I105" s="67" t="n">
        <f aca="false">I101+I102</f>
        <v>68260.6213333333</v>
      </c>
      <c r="J105" s="67" t="n">
        <f aca="false">J101+J102</f>
        <v>68552.6065238095</v>
      </c>
      <c r="K105" s="67" t="n">
        <f aca="false">K101+K102</f>
        <v>68855.8417142857</v>
      </c>
      <c r="L105" s="67" t="n">
        <f aca="false">L101+L102</f>
        <v>69170.3269047619</v>
      </c>
      <c r="M105" s="67" t="n">
        <f aca="false">M101+M102</f>
        <v>69496.0620952381</v>
      </c>
      <c r="N105" s="67" t="n">
        <f aca="false">N101+N102</f>
        <v>65560.3752857143</v>
      </c>
      <c r="O105" s="67" t="n">
        <f aca="false">O101+O102</f>
        <v>61989.7299522286</v>
      </c>
      <c r="P105" s="67" t="n">
        <f aca="false">P101+P102</f>
        <v>58430.3346187428</v>
      </c>
      <c r="Q105" s="67" t="n">
        <f aca="false">Q101+Q102</f>
        <v>59422.1122100571</v>
      </c>
      <c r="R105" s="67" t="n">
        <f aca="false">R101+R102</f>
        <v>60425.1398013714</v>
      </c>
      <c r="S105" s="67" t="n">
        <f aca="false">S101+S102</f>
        <v>61439.4173926857</v>
      </c>
      <c r="T105" s="67" t="n">
        <f aca="false">T101+T102</f>
        <v>62464.944984</v>
      </c>
      <c r="U105" s="67" t="n">
        <f aca="false">U101+U102</f>
        <v>63501.7225753143</v>
      </c>
      <c r="V105" s="67" t="n">
        <f aca="false">V101+V102</f>
        <v>64549.7501666285</v>
      </c>
      <c r="W105" s="67" t="n">
        <f aca="false">W101+W102</f>
        <v>65609.0277579428</v>
      </c>
      <c r="X105" s="67" t="n">
        <f aca="false">X101+X102</f>
        <v>66679.5553492571</v>
      </c>
      <c r="Y105" s="67" t="n">
        <f aca="false">Y101+Y102</f>
        <v>67761.3329405714</v>
      </c>
      <c r="Z105" s="67" t="n">
        <f aca="false">Z101+Z102</f>
        <v>64314.4376070857</v>
      </c>
      <c r="AA105" s="67" t="n">
        <f aca="false">AA101+AA102</f>
        <v>61271.4369308088</v>
      </c>
      <c r="AB105" s="67" t="n">
        <f aca="false">AB101+AB102</f>
        <v>58239.6862545319</v>
      </c>
      <c r="AC105" s="67" t="n">
        <f aca="false">AC101+AC102</f>
        <v>60042.8463651753</v>
      </c>
      <c r="AD105" s="67" t="n">
        <f aca="false">AD101+AD102</f>
        <v>61857.2564758187</v>
      </c>
      <c r="AE105" s="67" t="n">
        <f aca="false">AE101+AE102</f>
        <v>63682.9165864621</v>
      </c>
      <c r="AF105" s="67" t="n">
        <f aca="false">AF101+AF102</f>
        <v>65519.8266971056</v>
      </c>
      <c r="AG105" s="67" t="n">
        <f aca="false">AG101+AG102</f>
        <v>67367.986807749</v>
      </c>
      <c r="AH105" s="67" t="n">
        <f aca="false">AH101+AH102</f>
        <v>69227.3969183924</v>
      </c>
      <c r="AI105" s="67" t="n">
        <f aca="false">AI101+AI102</f>
        <v>71098.0570290358</v>
      </c>
      <c r="AJ105" s="67" t="n">
        <f aca="false">AJ101+AJ102</f>
        <v>72979.9671396792</v>
      </c>
      <c r="AK105" s="67" t="n">
        <f aca="false">AK101+AK102</f>
        <v>74873.1272503227</v>
      </c>
      <c r="AL105" s="67" t="n">
        <f aca="false">AL101+AL102</f>
        <v>71953.8765740458</v>
      </c>
    </row>
    <row r="106" customFormat="false" ht="15" hidden="false" customHeight="false" outlineLevel="0" collapsed="false">
      <c r="A106" s="4" t="s">
        <v>100</v>
      </c>
      <c r="C106" s="73" t="n">
        <f aca="false">C104+C105</f>
        <v>180900.565790476</v>
      </c>
      <c r="D106" s="73" t="n">
        <f aca="false">D104+D105</f>
        <v>170477.537914286</v>
      </c>
      <c r="E106" s="73" t="n">
        <f aca="false">E104+E105</f>
        <v>164296.446171429</v>
      </c>
      <c r="F106" s="73" t="n">
        <f aca="false">F104+F105</f>
        <v>159116.594561905</v>
      </c>
      <c r="G106" s="73" t="n">
        <f aca="false">G104+G105</f>
        <v>155331.524952381</v>
      </c>
      <c r="H106" s="73" t="n">
        <f aca="false">H104+H105</f>
        <v>152941.237342857</v>
      </c>
      <c r="I106" s="73" t="n">
        <f aca="false">I104+I105</f>
        <v>151945.731733333</v>
      </c>
      <c r="J106" s="73" t="n">
        <f aca="false">J104+J105</f>
        <v>150737.71692381</v>
      </c>
      <c r="K106" s="73" t="n">
        <f aca="false">K104+K105</f>
        <v>149540.952114286</v>
      </c>
      <c r="L106" s="73" t="n">
        <f aca="false">L104+L105</f>
        <v>148355.437304762</v>
      </c>
      <c r="M106" s="73" t="n">
        <f aca="false">M104+M105</f>
        <v>147181.172495238</v>
      </c>
      <c r="N106" s="73" t="n">
        <f aca="false">N104+N105</f>
        <v>141070.842485714</v>
      </c>
      <c r="O106" s="73" t="n">
        <f aca="false">O104+O105</f>
        <v>136132.780516709</v>
      </c>
      <c r="P106" s="73" t="n">
        <f aca="false">P104+P105</f>
        <v>131073.385183223</v>
      </c>
      <c r="Q106" s="73" t="n">
        <f aca="false">Q104+Q105</f>
        <v>131280.891745417</v>
      </c>
      <c r="R106" s="73" t="n">
        <f aca="false">R104+R105</f>
        <v>130783.919336731</v>
      </c>
      <c r="S106" s="73" t="n">
        <f aca="false">S104+S105</f>
        <v>130298.196928046</v>
      </c>
      <c r="T106" s="73" t="n">
        <f aca="false">T104+T105</f>
        <v>129823.72451936</v>
      </c>
      <c r="U106" s="73" t="n">
        <f aca="false">U104+U105</f>
        <v>129360.502110674</v>
      </c>
      <c r="V106" s="73" t="n">
        <f aca="false">V104+V105</f>
        <v>128908.529701989</v>
      </c>
      <c r="W106" s="73" t="n">
        <f aca="false">W104+W105</f>
        <v>128467.807293303</v>
      </c>
      <c r="X106" s="73" t="n">
        <f aca="false">X104+X105</f>
        <v>128038.334884617</v>
      </c>
      <c r="Y106" s="73" t="n">
        <f aca="false">Y104+Y105</f>
        <v>127620.112475931</v>
      </c>
      <c r="Z106" s="73" t="n">
        <f aca="false">Z104+Z105</f>
        <v>121957.488171566</v>
      </c>
      <c r="AA106" s="73" t="n">
        <f aca="false">AA104+AA105</f>
        <v>117555.972078494</v>
      </c>
      <c r="AB106" s="73" t="n">
        <f aca="false">AB104+AB105</f>
        <v>113024.221402217</v>
      </c>
      <c r="AC106" s="73" t="n">
        <f aca="false">AC104+AC105</f>
        <v>114086.698378067</v>
      </c>
      <c r="AD106" s="73" t="n">
        <f aca="false">AD104+AD105</f>
        <v>114401.10848871</v>
      </c>
      <c r="AE106" s="73" t="n">
        <f aca="false">AE104+AE105</f>
        <v>114726.768599354</v>
      </c>
      <c r="AF106" s="73" t="n">
        <f aca="false">AF104+AF105</f>
        <v>115063.678709997</v>
      </c>
      <c r="AG106" s="73" t="n">
        <f aca="false">AG104+AG105</f>
        <v>115411.83882064</v>
      </c>
      <c r="AH106" s="73" t="n">
        <f aca="false">AH104+AH105</f>
        <v>115771.248931284</v>
      </c>
      <c r="AI106" s="73" t="n">
        <f aca="false">AI104+AI105</f>
        <v>116141.909041927</v>
      </c>
      <c r="AJ106" s="73" t="n">
        <f aca="false">AJ104+AJ105</f>
        <v>116523.819152571</v>
      </c>
      <c r="AK106" s="73" t="n">
        <f aca="false">AK104+AK105</f>
        <v>116916.979263214</v>
      </c>
      <c r="AL106" s="73" t="n">
        <f aca="false">AL104+AL105</f>
        <v>111738.411721731</v>
      </c>
    </row>
    <row r="107" customFormat="false" ht="15" hidden="false" customHeight="false" outlineLevel="0" collapsed="false">
      <c r="A107" s="6" t="s">
        <v>428</v>
      </c>
      <c r="C107" s="67" t="n">
        <f aca="false">C103-C106</f>
        <v>0</v>
      </c>
      <c r="D107" s="67" t="n">
        <f aca="false">D103-D106</f>
        <v>0</v>
      </c>
      <c r="E107" s="67" t="n">
        <f aca="false">E103-E106</f>
        <v>0</v>
      </c>
      <c r="F107" s="67" t="n">
        <f aca="false">F103-F106</f>
        <v>0</v>
      </c>
      <c r="G107" s="67" t="n">
        <f aca="false">G103-G106</f>
        <v>0</v>
      </c>
      <c r="H107" s="67" t="n">
        <f aca="false">H103-H106</f>
        <v>0</v>
      </c>
      <c r="I107" s="67" t="n">
        <f aca="false">I103-I106</f>
        <v>0</v>
      </c>
      <c r="J107" s="67" t="n">
        <f aca="false">J103-J106</f>
        <v>0</v>
      </c>
      <c r="K107" s="67" t="n">
        <f aca="false">K103-K106</f>
        <v>0</v>
      </c>
      <c r="L107" s="67" t="n">
        <f aca="false">L103-L106</f>
        <v>0</v>
      </c>
      <c r="M107" s="67" t="n">
        <f aca="false">M103-M106</f>
        <v>0</v>
      </c>
      <c r="N107" s="67" t="n">
        <f aca="false">N103-N106</f>
        <v>0</v>
      </c>
      <c r="O107" s="67" t="n">
        <f aca="false">O103-O106</f>
        <v>0</v>
      </c>
      <c r="P107" s="67" t="n">
        <f aca="false">P103-P106</f>
        <v>0</v>
      </c>
      <c r="Q107" s="67" t="n">
        <f aca="false">Q103-Q106</f>
        <v>0</v>
      </c>
      <c r="R107" s="67" t="n">
        <f aca="false">R103-R106</f>
        <v>0</v>
      </c>
      <c r="S107" s="67" t="n">
        <f aca="false">S103-S106</f>
        <v>0</v>
      </c>
      <c r="T107" s="67" t="n">
        <f aca="false">T103-T106</f>
        <v>0</v>
      </c>
      <c r="U107" s="67" t="n">
        <f aca="false">U103-U106</f>
        <v>0</v>
      </c>
      <c r="V107" s="67" t="n">
        <f aca="false">V103-V106</f>
        <v>0</v>
      </c>
      <c r="W107" s="67" t="n">
        <f aca="false">W103-W106</f>
        <v>0</v>
      </c>
      <c r="X107" s="67" t="n">
        <f aca="false">X103-X106</f>
        <v>0</v>
      </c>
      <c r="Y107" s="67" t="n">
        <f aca="false">Y103-Y106</f>
        <v>0</v>
      </c>
      <c r="Z107" s="67" t="n">
        <f aca="false">Z103-Z106</f>
        <v>0</v>
      </c>
      <c r="AA107" s="67" t="n">
        <f aca="false">AA103-AA106</f>
        <v>0</v>
      </c>
      <c r="AB107" s="67" t="n">
        <f aca="false">AB103-AB106</f>
        <v>0</v>
      </c>
      <c r="AC107" s="67" t="n">
        <f aca="false">AC103-AC106</f>
        <v>0</v>
      </c>
      <c r="AD107" s="67" t="n">
        <f aca="false">AD103-AD106</f>
        <v>0</v>
      </c>
      <c r="AE107" s="67" t="n">
        <f aca="false">AE103-AE106</f>
        <v>0</v>
      </c>
      <c r="AF107" s="67" t="n">
        <f aca="false">AF103-AF106</f>
        <v>0</v>
      </c>
      <c r="AG107" s="67" t="n">
        <f aca="false">AG103-AG106</f>
        <v>0</v>
      </c>
      <c r="AH107" s="67" t="n">
        <f aca="false">AH103-AH106</f>
        <v>0</v>
      </c>
      <c r="AI107" s="67" t="n">
        <f aca="false">AI103-AI106</f>
        <v>0</v>
      </c>
      <c r="AJ107" s="67" t="n">
        <f aca="false">AJ103-AJ106</f>
        <v>0</v>
      </c>
      <c r="AK107" s="67" t="n">
        <f aca="false">AK103-AK106</f>
        <v>0</v>
      </c>
      <c r="AL107" s="67" t="n">
        <f aca="false">AL103-AL106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3ABA8"/>
    <pageSetUpPr fitToPage="true"/>
  </sheetPr>
  <dimension ref="A1:AL17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"/>
    <col collapsed="false" customWidth="true" hidden="false" outlineLevel="0" max="38" min="3" style="0" width="11"/>
  </cols>
  <sheetData>
    <row r="1" customFormat="false" ht="21.75" hidden="false" customHeight="true" outlineLevel="0" collapsed="false">
      <c r="A1" s="16" t="s">
        <v>429</v>
      </c>
      <c r="D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346</v>
      </c>
    </row>
    <row r="3" customFormat="false" ht="15" hidden="false" customHeight="false" outlineLevel="0" collapsed="false">
      <c r="A3" s="33" t="s">
        <v>347</v>
      </c>
      <c r="C3" s="35" t="s">
        <v>348</v>
      </c>
      <c r="D3" s="35" t="s">
        <v>349</v>
      </c>
      <c r="E3" s="35" t="s">
        <v>350</v>
      </c>
      <c r="F3" s="35" t="s">
        <v>351</v>
      </c>
      <c r="G3" s="35" t="s">
        <v>352</v>
      </c>
      <c r="H3" s="35" t="s">
        <v>353</v>
      </c>
      <c r="I3" s="35" t="s">
        <v>354</v>
      </c>
      <c r="J3" s="35" t="s">
        <v>355</v>
      </c>
      <c r="K3" s="35" t="s">
        <v>356</v>
      </c>
      <c r="L3" s="35" t="s">
        <v>357</v>
      </c>
      <c r="M3" s="35" t="s">
        <v>358</v>
      </c>
      <c r="N3" s="35" t="s">
        <v>359</v>
      </c>
      <c r="O3" s="35" t="s">
        <v>360</v>
      </c>
      <c r="P3" s="35" t="s">
        <v>361</v>
      </c>
      <c r="Q3" s="35" t="s">
        <v>362</v>
      </c>
      <c r="R3" s="35" t="s">
        <v>363</v>
      </c>
      <c r="S3" s="35" t="s">
        <v>364</v>
      </c>
      <c r="T3" s="35" t="s">
        <v>365</v>
      </c>
      <c r="U3" s="35" t="s">
        <v>366</v>
      </c>
      <c r="V3" s="35" t="s">
        <v>367</v>
      </c>
      <c r="W3" s="35" t="s">
        <v>368</v>
      </c>
      <c r="X3" s="35" t="s">
        <v>369</v>
      </c>
      <c r="Y3" s="35" t="s">
        <v>370</v>
      </c>
      <c r="Z3" s="35" t="s">
        <v>371</v>
      </c>
      <c r="AA3" s="35" t="s">
        <v>372</v>
      </c>
      <c r="AB3" s="35" t="s">
        <v>373</v>
      </c>
      <c r="AC3" s="35" t="s">
        <v>374</v>
      </c>
      <c r="AD3" s="35" t="s">
        <v>375</v>
      </c>
      <c r="AE3" s="35" t="s">
        <v>376</v>
      </c>
      <c r="AF3" s="35" t="s">
        <v>377</v>
      </c>
      <c r="AG3" s="35" t="s">
        <v>378</v>
      </c>
      <c r="AH3" s="35" t="s">
        <v>379</v>
      </c>
      <c r="AI3" s="35" t="s">
        <v>380</v>
      </c>
      <c r="AJ3" s="35" t="s">
        <v>381</v>
      </c>
      <c r="AK3" s="35" t="s">
        <v>382</v>
      </c>
      <c r="AL3" s="35" t="s">
        <v>383</v>
      </c>
    </row>
    <row r="4" customFormat="false" ht="15" hidden="false" customHeight="false" outlineLevel="0" collapsed="false">
      <c r="A4" s="72" t="s">
        <v>384</v>
      </c>
      <c r="C4" s="72" t="n">
        <v>1</v>
      </c>
      <c r="D4" s="72" t="n">
        <v>2</v>
      </c>
      <c r="E4" s="72" t="n">
        <v>3</v>
      </c>
      <c r="F4" s="72" t="n">
        <v>4</v>
      </c>
      <c r="G4" s="72" t="n">
        <v>5</v>
      </c>
      <c r="H4" s="72" t="n">
        <v>6</v>
      </c>
      <c r="I4" s="72" t="n">
        <v>7</v>
      </c>
      <c r="J4" s="72" t="n">
        <v>8</v>
      </c>
      <c r="K4" s="72" t="n">
        <v>9</v>
      </c>
      <c r="L4" s="72" t="n">
        <v>10</v>
      </c>
      <c r="M4" s="72" t="n">
        <v>11</v>
      </c>
      <c r="N4" s="72" t="n">
        <v>12</v>
      </c>
      <c r="O4" s="72" t="n">
        <v>13</v>
      </c>
      <c r="P4" s="72" t="n">
        <v>14</v>
      </c>
      <c r="Q4" s="72" t="n">
        <v>15</v>
      </c>
      <c r="R4" s="72" t="n">
        <v>16</v>
      </c>
      <c r="S4" s="72" t="n">
        <v>17</v>
      </c>
      <c r="T4" s="72" t="n">
        <v>18</v>
      </c>
      <c r="U4" s="72" t="n">
        <v>19</v>
      </c>
      <c r="V4" s="72" t="n">
        <v>20</v>
      </c>
      <c r="W4" s="72" t="n">
        <v>21</v>
      </c>
      <c r="X4" s="72" t="n">
        <v>22</v>
      </c>
      <c r="Y4" s="72" t="n">
        <v>23</v>
      </c>
      <c r="Z4" s="72" t="n">
        <v>24</v>
      </c>
      <c r="AA4" s="72" t="n">
        <v>25</v>
      </c>
      <c r="AB4" s="72" t="n">
        <v>26</v>
      </c>
      <c r="AC4" s="72" t="n">
        <v>27</v>
      </c>
      <c r="AD4" s="72" t="n">
        <v>28</v>
      </c>
      <c r="AE4" s="72" t="n">
        <v>29</v>
      </c>
      <c r="AF4" s="72" t="n">
        <v>30</v>
      </c>
      <c r="AG4" s="72" t="n">
        <v>31</v>
      </c>
      <c r="AH4" s="72" t="n">
        <v>32</v>
      </c>
      <c r="AI4" s="72" t="n">
        <v>33</v>
      </c>
      <c r="AJ4" s="72" t="n">
        <v>34</v>
      </c>
      <c r="AK4" s="72" t="n">
        <v>35</v>
      </c>
      <c r="AL4" s="72" t="n">
        <v>36</v>
      </c>
    </row>
    <row r="5" customFormat="false" ht="15" hidden="false" customHeight="false" outlineLevel="0" collapsed="false">
      <c r="A5" s="72" t="s">
        <v>154</v>
      </c>
      <c r="C5" s="72" t="n">
        <f aca="false">ROUNDUP(C4*1/12,0)</f>
        <v>1</v>
      </c>
      <c r="D5" s="72" t="n">
        <f aca="false">ROUNDUP(D4*1/12,0)</f>
        <v>1</v>
      </c>
      <c r="E5" s="72" t="n">
        <f aca="false">ROUNDUP(E4*1/12,0)</f>
        <v>1</v>
      </c>
      <c r="F5" s="72" t="n">
        <f aca="false">ROUNDUP(F4*1/12,0)</f>
        <v>1</v>
      </c>
      <c r="G5" s="72" t="n">
        <f aca="false">ROUNDUP(G4*1/12,0)</f>
        <v>1</v>
      </c>
      <c r="H5" s="72" t="n">
        <f aca="false">ROUNDUP(H4*1/12,0)</f>
        <v>1</v>
      </c>
      <c r="I5" s="72" t="n">
        <f aca="false">ROUNDUP(I4*1/12,0)</f>
        <v>1</v>
      </c>
      <c r="J5" s="72" t="n">
        <f aca="false">ROUNDUP(J4*1/12,0)</f>
        <v>1</v>
      </c>
      <c r="K5" s="72" t="n">
        <f aca="false">ROUNDUP(K4*1/12,0)</f>
        <v>1</v>
      </c>
      <c r="L5" s="72" t="n">
        <f aca="false">ROUNDUP(L4*1/12,0)</f>
        <v>1</v>
      </c>
      <c r="M5" s="72" t="n">
        <f aca="false">ROUNDUP(M4*1/12,0)</f>
        <v>1</v>
      </c>
      <c r="N5" s="72" t="n">
        <f aca="false">ROUNDUP(N4*1/12,0)</f>
        <v>1</v>
      </c>
      <c r="O5" s="72" t="n">
        <f aca="false">ROUNDUP(O4*1/12,0)</f>
        <v>2</v>
      </c>
      <c r="P5" s="72" t="n">
        <f aca="false">ROUNDUP(P4*1/12,0)</f>
        <v>2</v>
      </c>
      <c r="Q5" s="72" t="n">
        <f aca="false">ROUNDUP(Q4*1/12,0)</f>
        <v>2</v>
      </c>
      <c r="R5" s="72" t="n">
        <f aca="false">ROUNDUP(R4*1/12,0)</f>
        <v>2</v>
      </c>
      <c r="S5" s="72" t="n">
        <f aca="false">ROUNDUP(S4*1/12,0)</f>
        <v>2</v>
      </c>
      <c r="T5" s="72" t="n">
        <f aca="false">ROUNDUP(T4*1/12,0)</f>
        <v>2</v>
      </c>
      <c r="U5" s="72" t="n">
        <f aca="false">ROUNDUP(U4*1/12,0)</f>
        <v>2</v>
      </c>
      <c r="V5" s="72" t="n">
        <f aca="false">ROUNDUP(V4*1/12,0)</f>
        <v>2</v>
      </c>
      <c r="W5" s="72" t="n">
        <f aca="false">ROUNDUP(W4*1/12,0)</f>
        <v>2</v>
      </c>
      <c r="X5" s="72" t="n">
        <f aca="false">ROUNDUP(X4*1/12,0)</f>
        <v>2</v>
      </c>
      <c r="Y5" s="72" t="n">
        <f aca="false">ROUNDUP(Y4*1/12,0)</f>
        <v>2</v>
      </c>
      <c r="Z5" s="72" t="n">
        <f aca="false">ROUNDUP(Z4*1/12,0)</f>
        <v>2</v>
      </c>
      <c r="AA5" s="72" t="n">
        <f aca="false">ROUNDUP(AA4*1/12,0)</f>
        <v>3</v>
      </c>
      <c r="AB5" s="72" t="n">
        <f aca="false">ROUNDUP(AB4*1/12,0)</f>
        <v>3</v>
      </c>
      <c r="AC5" s="72" t="n">
        <f aca="false">ROUNDUP(AC4*1/12,0)</f>
        <v>3</v>
      </c>
      <c r="AD5" s="72" t="n">
        <f aca="false">ROUNDUP(AD4*1/12,0)</f>
        <v>3</v>
      </c>
      <c r="AE5" s="72" t="n">
        <f aca="false">ROUNDUP(AE4*1/12,0)</f>
        <v>3</v>
      </c>
      <c r="AF5" s="72" t="n">
        <f aca="false">ROUNDUP(AF4*1/12,0)</f>
        <v>3</v>
      </c>
      <c r="AG5" s="72" t="n">
        <f aca="false">ROUNDUP(AG4*1/12,0)</f>
        <v>3</v>
      </c>
      <c r="AH5" s="72" t="n">
        <f aca="false">ROUNDUP(AH4*1/12,0)</f>
        <v>3</v>
      </c>
      <c r="AI5" s="72" t="n">
        <f aca="false">ROUNDUP(AI4*1/12,0)</f>
        <v>3</v>
      </c>
      <c r="AJ5" s="72" t="n">
        <f aca="false">ROUNDUP(AJ4*1/12,0)</f>
        <v>3</v>
      </c>
      <c r="AK5" s="72" t="n">
        <f aca="false">ROUNDUP(AK4*1/12,0)</f>
        <v>3</v>
      </c>
      <c r="AL5" s="72" t="n">
        <f aca="false">ROUNDUP(AL4*1/12,0)</f>
        <v>3</v>
      </c>
    </row>
    <row r="7" customFormat="false" ht="15.75" hidden="false" customHeight="true" outlineLevel="0" collapsed="false">
      <c r="A7" s="7" t="s">
        <v>430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customFormat="false" ht="15" hidden="false" customHeight="false" outlineLevel="0" collapsed="false">
      <c r="A8" s="6" t="s">
        <v>431</v>
      </c>
      <c r="C8" s="118" t="n">
        <f aca="false">Inputs!$E$55*(1+Inputs!$E$57)^(C$5-1)*MAX(0,MIN(1,C$4*1-Inputs!$E$58+1))/1</f>
        <v>1</v>
      </c>
      <c r="D8" s="118" t="n">
        <f aca="false">Inputs!$E$55*(1+Inputs!$E$57)^(D$5-1)*MAX(0,MIN(1,D$4*1-Inputs!$E$58+1))/1</f>
        <v>1</v>
      </c>
      <c r="E8" s="118" t="n">
        <f aca="false">Inputs!$E$55*(1+Inputs!$E$57)^(E$5-1)*MAX(0,MIN(1,E$4*1-Inputs!$E$58+1))/1</f>
        <v>1</v>
      </c>
      <c r="F8" s="118" t="n">
        <f aca="false">Inputs!$E$55*(1+Inputs!$E$57)^(F$5-1)*MAX(0,MIN(1,F$4*1-Inputs!$E$58+1))/1</f>
        <v>1</v>
      </c>
      <c r="G8" s="118" t="n">
        <f aca="false">Inputs!$E$55*(1+Inputs!$E$57)^(G$5-1)*MAX(0,MIN(1,G$4*1-Inputs!$E$58+1))/1</f>
        <v>1</v>
      </c>
      <c r="H8" s="118" t="n">
        <f aca="false">Inputs!$E$55*(1+Inputs!$E$57)^(H$5-1)*MAX(0,MIN(1,H$4*1-Inputs!$E$58+1))/1</f>
        <v>1</v>
      </c>
      <c r="I8" s="118" t="n">
        <f aca="false">Inputs!$E$55*(1+Inputs!$E$57)^(I$5-1)*MAX(0,MIN(1,I$4*1-Inputs!$E$58+1))/1</f>
        <v>1</v>
      </c>
      <c r="J8" s="118" t="n">
        <f aca="false">Inputs!$E$55*(1+Inputs!$E$57)^(J$5-1)*MAX(0,MIN(1,J$4*1-Inputs!$E$58+1))/1</f>
        <v>1</v>
      </c>
      <c r="K8" s="118" t="n">
        <f aca="false">Inputs!$E$55*(1+Inputs!$E$57)^(K$5-1)*MAX(0,MIN(1,K$4*1-Inputs!$E$58+1))/1</f>
        <v>1</v>
      </c>
      <c r="L8" s="118" t="n">
        <f aca="false">Inputs!$E$55*(1+Inputs!$E$57)^(L$5-1)*MAX(0,MIN(1,L$4*1-Inputs!$E$58+1))/1</f>
        <v>1</v>
      </c>
      <c r="M8" s="118" t="n">
        <f aca="false">Inputs!$E$55*(1+Inputs!$E$57)^(M$5-1)*MAX(0,MIN(1,M$4*1-Inputs!$E$58+1))/1</f>
        <v>1</v>
      </c>
      <c r="N8" s="118" t="n">
        <f aca="false">Inputs!$E$55*(1+Inputs!$E$57)^(N$5-1)*MAX(0,MIN(1,N$4*1-Inputs!$E$58+1))/1</f>
        <v>1</v>
      </c>
      <c r="O8" s="118" t="n">
        <f aca="false">Inputs!$E$55*(1+Inputs!$E$57)^(O$5-1)*MAX(0,MIN(1,O$4*1-Inputs!$E$58+1))/1</f>
        <v>1</v>
      </c>
      <c r="P8" s="118" t="n">
        <f aca="false">Inputs!$E$55*(1+Inputs!$E$57)^(P$5-1)*MAX(0,MIN(1,P$4*1-Inputs!$E$58+1))/1</f>
        <v>1</v>
      </c>
      <c r="Q8" s="118" t="n">
        <f aca="false">Inputs!$E$55*(1+Inputs!$E$57)^(Q$5-1)*MAX(0,MIN(1,Q$4*1-Inputs!$E$58+1))/1</f>
        <v>1</v>
      </c>
      <c r="R8" s="118" t="n">
        <f aca="false">Inputs!$E$55*(1+Inputs!$E$57)^(R$5-1)*MAX(0,MIN(1,R$4*1-Inputs!$E$58+1))/1</f>
        <v>1</v>
      </c>
      <c r="S8" s="118" t="n">
        <f aca="false">Inputs!$E$55*(1+Inputs!$E$57)^(S$5-1)*MAX(0,MIN(1,S$4*1-Inputs!$E$58+1))/1</f>
        <v>1</v>
      </c>
      <c r="T8" s="118" t="n">
        <f aca="false">Inputs!$E$55*(1+Inputs!$E$57)^(T$5-1)*MAX(0,MIN(1,T$4*1-Inputs!$E$58+1))/1</f>
        <v>1</v>
      </c>
      <c r="U8" s="118" t="n">
        <f aca="false">Inputs!$E$55*(1+Inputs!$E$57)^(U$5-1)*MAX(0,MIN(1,U$4*1-Inputs!$E$58+1))/1</f>
        <v>1</v>
      </c>
      <c r="V8" s="118" t="n">
        <f aca="false">Inputs!$E$55*(1+Inputs!$E$57)^(V$5-1)*MAX(0,MIN(1,V$4*1-Inputs!$E$58+1))/1</f>
        <v>1</v>
      </c>
      <c r="W8" s="118" t="n">
        <f aca="false">Inputs!$E$55*(1+Inputs!$E$57)^(W$5-1)*MAX(0,MIN(1,W$4*1-Inputs!$E$58+1))/1</f>
        <v>1</v>
      </c>
      <c r="X8" s="118" t="n">
        <f aca="false">Inputs!$E$55*(1+Inputs!$E$57)^(X$5-1)*MAX(0,MIN(1,X$4*1-Inputs!$E$58+1))/1</f>
        <v>1</v>
      </c>
      <c r="Y8" s="118" t="n">
        <f aca="false">Inputs!$E$55*(1+Inputs!$E$57)^(Y$5-1)*MAX(0,MIN(1,Y$4*1-Inputs!$E$58+1))/1</f>
        <v>1</v>
      </c>
      <c r="Z8" s="118" t="n">
        <f aca="false">Inputs!$E$55*(1+Inputs!$E$57)^(Z$5-1)*MAX(0,MIN(1,Z$4*1-Inputs!$E$58+1))/1</f>
        <v>1</v>
      </c>
      <c r="AA8" s="118" t="n">
        <f aca="false">Inputs!$E$55*(1+Inputs!$E$57)^(AA$5-1)*MAX(0,MIN(1,AA$4*1-Inputs!$E$58+1))/1</f>
        <v>1</v>
      </c>
      <c r="AB8" s="118" t="n">
        <f aca="false">Inputs!$E$55*(1+Inputs!$E$57)^(AB$5-1)*MAX(0,MIN(1,AB$4*1-Inputs!$E$58+1))/1</f>
        <v>1</v>
      </c>
      <c r="AC8" s="118" t="n">
        <f aca="false">Inputs!$E$55*(1+Inputs!$E$57)^(AC$5-1)*MAX(0,MIN(1,AC$4*1-Inputs!$E$58+1))/1</f>
        <v>1</v>
      </c>
      <c r="AD8" s="118" t="n">
        <f aca="false">Inputs!$E$55*(1+Inputs!$E$57)^(AD$5-1)*MAX(0,MIN(1,AD$4*1-Inputs!$E$58+1))/1</f>
        <v>1</v>
      </c>
      <c r="AE8" s="118" t="n">
        <f aca="false">Inputs!$E$55*(1+Inputs!$E$57)^(AE$5-1)*MAX(0,MIN(1,AE$4*1-Inputs!$E$58+1))/1</f>
        <v>1</v>
      </c>
      <c r="AF8" s="118" t="n">
        <f aca="false">Inputs!$E$55*(1+Inputs!$E$57)^(AF$5-1)*MAX(0,MIN(1,AF$4*1-Inputs!$E$58+1))/1</f>
        <v>1</v>
      </c>
      <c r="AG8" s="118" t="n">
        <f aca="false">Inputs!$E$55*(1+Inputs!$E$57)^(AG$5-1)*MAX(0,MIN(1,AG$4*1-Inputs!$E$58+1))/1</f>
        <v>1</v>
      </c>
      <c r="AH8" s="118" t="n">
        <f aca="false">Inputs!$E$55*(1+Inputs!$E$57)^(AH$5-1)*MAX(0,MIN(1,AH$4*1-Inputs!$E$58+1))/1</f>
        <v>1</v>
      </c>
      <c r="AI8" s="118" t="n">
        <f aca="false">Inputs!$E$55*(1+Inputs!$E$57)^(AI$5-1)*MAX(0,MIN(1,AI$4*1-Inputs!$E$58+1))/1</f>
        <v>1</v>
      </c>
      <c r="AJ8" s="118" t="n">
        <f aca="false">Inputs!$E$55*(1+Inputs!$E$57)^(AJ$5-1)*MAX(0,MIN(1,AJ$4*1-Inputs!$E$58+1))/1</f>
        <v>1</v>
      </c>
      <c r="AK8" s="118" t="n">
        <f aca="false">Inputs!$E$55*(1+Inputs!$E$57)^(AK$5-1)*MAX(0,MIN(1,AK$4*1-Inputs!$E$58+1))/1</f>
        <v>1</v>
      </c>
      <c r="AL8" s="118" t="n">
        <f aca="false">Inputs!$E$55*(1+Inputs!$E$57)^(AL$5-1)*MAX(0,MIN(1,AL$4*1-Inputs!$E$58+1))/1</f>
        <v>1</v>
      </c>
    </row>
    <row r="9" customFormat="false" ht="15" hidden="false" customHeight="false" outlineLevel="0" collapsed="false">
      <c r="A9" s="6" t="s">
        <v>432</v>
      </c>
      <c r="C9" s="118" t="n">
        <f aca="false">Inputs!$E$59*(1+Inputs!$E$61)^(C$5-1)*MAX(0,MIN(1,C$4*1-Inputs!$E$62+1))/1</f>
        <v>1.2</v>
      </c>
      <c r="D9" s="118" t="n">
        <f aca="false">Inputs!$E$59*(1+Inputs!$E$61)^(D$5-1)*MAX(0,MIN(1,D$4*1-Inputs!$E$62+1))/1</f>
        <v>1.2</v>
      </c>
      <c r="E9" s="118" t="n">
        <f aca="false">Inputs!$E$59*(1+Inputs!$E$61)^(E$5-1)*MAX(0,MIN(1,E$4*1-Inputs!$E$62+1))/1</f>
        <v>1.2</v>
      </c>
      <c r="F9" s="118" t="n">
        <f aca="false">Inputs!$E$59*(1+Inputs!$E$61)^(F$5-1)*MAX(0,MIN(1,F$4*1-Inputs!$E$62+1))/1</f>
        <v>1.2</v>
      </c>
      <c r="G9" s="118" t="n">
        <f aca="false">Inputs!$E$59*(1+Inputs!$E$61)^(G$5-1)*MAX(0,MIN(1,G$4*1-Inputs!$E$62+1))/1</f>
        <v>1.2</v>
      </c>
      <c r="H9" s="118" t="n">
        <f aca="false">Inputs!$E$59*(1+Inputs!$E$61)^(H$5-1)*MAX(0,MIN(1,H$4*1-Inputs!$E$62+1))/1</f>
        <v>1.2</v>
      </c>
      <c r="I9" s="118" t="n">
        <f aca="false">Inputs!$E$59*(1+Inputs!$E$61)^(I$5-1)*MAX(0,MIN(1,I$4*1-Inputs!$E$62+1))/1</f>
        <v>1.2</v>
      </c>
      <c r="J9" s="118" t="n">
        <f aca="false">Inputs!$E$59*(1+Inputs!$E$61)^(J$5-1)*MAX(0,MIN(1,J$4*1-Inputs!$E$62+1))/1</f>
        <v>1.2</v>
      </c>
      <c r="K9" s="118" t="n">
        <f aca="false">Inputs!$E$59*(1+Inputs!$E$61)^(K$5-1)*MAX(0,MIN(1,K$4*1-Inputs!$E$62+1))/1</f>
        <v>1.2</v>
      </c>
      <c r="L9" s="118" t="n">
        <f aca="false">Inputs!$E$59*(1+Inputs!$E$61)^(L$5-1)*MAX(0,MIN(1,L$4*1-Inputs!$E$62+1))/1</f>
        <v>1.2</v>
      </c>
      <c r="M9" s="118" t="n">
        <f aca="false">Inputs!$E$59*(1+Inputs!$E$61)^(M$5-1)*MAX(0,MIN(1,M$4*1-Inputs!$E$62+1))/1</f>
        <v>1.2</v>
      </c>
      <c r="N9" s="118" t="n">
        <f aca="false">Inputs!$E$59*(1+Inputs!$E$61)^(N$5-1)*MAX(0,MIN(1,N$4*1-Inputs!$E$62+1))/1</f>
        <v>1.2</v>
      </c>
      <c r="O9" s="118" t="n">
        <f aca="false">Inputs!$E$59*(1+Inputs!$E$61)^(O$5-1)*MAX(0,MIN(1,O$4*1-Inputs!$E$62+1))/1</f>
        <v>1.2</v>
      </c>
      <c r="P9" s="118" t="n">
        <f aca="false">Inputs!$E$59*(1+Inputs!$E$61)^(P$5-1)*MAX(0,MIN(1,P$4*1-Inputs!$E$62+1))/1</f>
        <v>1.2</v>
      </c>
      <c r="Q9" s="118" t="n">
        <f aca="false">Inputs!$E$59*(1+Inputs!$E$61)^(Q$5-1)*MAX(0,MIN(1,Q$4*1-Inputs!$E$62+1))/1</f>
        <v>1.2</v>
      </c>
      <c r="R9" s="118" t="n">
        <f aca="false">Inputs!$E$59*(1+Inputs!$E$61)^(R$5-1)*MAX(0,MIN(1,R$4*1-Inputs!$E$62+1))/1</f>
        <v>1.2</v>
      </c>
      <c r="S9" s="118" t="n">
        <f aca="false">Inputs!$E$59*(1+Inputs!$E$61)^(S$5-1)*MAX(0,MIN(1,S$4*1-Inputs!$E$62+1))/1</f>
        <v>1.2</v>
      </c>
      <c r="T9" s="118" t="n">
        <f aca="false">Inputs!$E$59*(1+Inputs!$E$61)^(T$5-1)*MAX(0,MIN(1,T$4*1-Inputs!$E$62+1))/1</f>
        <v>1.2</v>
      </c>
      <c r="U9" s="118" t="n">
        <f aca="false">Inputs!$E$59*(1+Inputs!$E$61)^(U$5-1)*MAX(0,MIN(1,U$4*1-Inputs!$E$62+1))/1</f>
        <v>1.2</v>
      </c>
      <c r="V9" s="118" t="n">
        <f aca="false">Inputs!$E$59*(1+Inputs!$E$61)^(V$5-1)*MAX(0,MIN(1,V$4*1-Inputs!$E$62+1))/1</f>
        <v>1.2</v>
      </c>
      <c r="W9" s="118" t="n">
        <f aca="false">Inputs!$E$59*(1+Inputs!$E$61)^(W$5-1)*MAX(0,MIN(1,W$4*1-Inputs!$E$62+1))/1</f>
        <v>1.2</v>
      </c>
      <c r="X9" s="118" t="n">
        <f aca="false">Inputs!$E$59*(1+Inputs!$E$61)^(X$5-1)*MAX(0,MIN(1,X$4*1-Inputs!$E$62+1))/1</f>
        <v>1.2</v>
      </c>
      <c r="Y9" s="118" t="n">
        <f aca="false">Inputs!$E$59*(1+Inputs!$E$61)^(Y$5-1)*MAX(0,MIN(1,Y$4*1-Inputs!$E$62+1))/1</f>
        <v>1.2</v>
      </c>
      <c r="Z9" s="118" t="n">
        <f aca="false">Inputs!$E$59*(1+Inputs!$E$61)^(Z$5-1)*MAX(0,MIN(1,Z$4*1-Inputs!$E$62+1))/1</f>
        <v>1.2</v>
      </c>
      <c r="AA9" s="118" t="n">
        <f aca="false">Inputs!$E$59*(1+Inputs!$E$61)^(AA$5-1)*MAX(0,MIN(1,AA$4*1-Inputs!$E$62+1))/1</f>
        <v>1.2</v>
      </c>
      <c r="AB9" s="118" t="n">
        <f aca="false">Inputs!$E$59*(1+Inputs!$E$61)^(AB$5-1)*MAX(0,MIN(1,AB$4*1-Inputs!$E$62+1))/1</f>
        <v>1.2</v>
      </c>
      <c r="AC9" s="118" t="n">
        <f aca="false">Inputs!$E$59*(1+Inputs!$E$61)^(AC$5-1)*MAX(0,MIN(1,AC$4*1-Inputs!$E$62+1))/1</f>
        <v>1.2</v>
      </c>
      <c r="AD9" s="118" t="n">
        <f aca="false">Inputs!$E$59*(1+Inputs!$E$61)^(AD$5-1)*MAX(0,MIN(1,AD$4*1-Inputs!$E$62+1))/1</f>
        <v>1.2</v>
      </c>
      <c r="AE9" s="118" t="n">
        <f aca="false">Inputs!$E$59*(1+Inputs!$E$61)^(AE$5-1)*MAX(0,MIN(1,AE$4*1-Inputs!$E$62+1))/1</f>
        <v>1.2</v>
      </c>
      <c r="AF9" s="118" t="n">
        <f aca="false">Inputs!$E$59*(1+Inputs!$E$61)^(AF$5-1)*MAX(0,MIN(1,AF$4*1-Inputs!$E$62+1))/1</f>
        <v>1.2</v>
      </c>
      <c r="AG9" s="118" t="n">
        <f aca="false">Inputs!$E$59*(1+Inputs!$E$61)^(AG$5-1)*MAX(0,MIN(1,AG$4*1-Inputs!$E$62+1))/1</f>
        <v>1.2</v>
      </c>
      <c r="AH9" s="118" t="n">
        <f aca="false">Inputs!$E$59*(1+Inputs!$E$61)^(AH$5-1)*MAX(0,MIN(1,AH$4*1-Inputs!$E$62+1))/1</f>
        <v>1.2</v>
      </c>
      <c r="AI9" s="118" t="n">
        <f aca="false">Inputs!$E$59*(1+Inputs!$E$61)^(AI$5-1)*MAX(0,MIN(1,AI$4*1-Inputs!$E$62+1))/1</f>
        <v>1.2</v>
      </c>
      <c r="AJ9" s="118" t="n">
        <f aca="false">Inputs!$E$59*(1+Inputs!$E$61)^(AJ$5-1)*MAX(0,MIN(1,AJ$4*1-Inputs!$E$62+1))/1</f>
        <v>1.2</v>
      </c>
      <c r="AK9" s="118" t="n">
        <f aca="false">Inputs!$E$59*(1+Inputs!$E$61)^(AK$5-1)*MAX(0,MIN(1,AK$4*1-Inputs!$E$62+1))/1</f>
        <v>1.2</v>
      </c>
      <c r="AL9" s="118" t="n">
        <f aca="false">Inputs!$E$59*(1+Inputs!$E$61)^(AL$5-1)*MAX(0,MIN(1,AL$4*1-Inputs!$E$62+1))/1</f>
        <v>1.2</v>
      </c>
    </row>
    <row r="10" customFormat="false" ht="15" hidden="false" customHeight="false" outlineLevel="0" collapsed="false">
      <c r="A10" s="6" t="s">
        <v>433</v>
      </c>
      <c r="C10" s="118" t="n">
        <f aca="false">Inputs!$E$63*(1+Inputs!$E$65)^(C$5-1)*MAX(0,MIN(1,C$4*1-Inputs!$E$66+1))/1</f>
        <v>1</v>
      </c>
      <c r="D10" s="118" t="n">
        <f aca="false">Inputs!$E$63*(1+Inputs!$E$65)^(D$5-1)*MAX(0,MIN(1,D$4*1-Inputs!$E$66+1))/1</f>
        <v>1</v>
      </c>
      <c r="E10" s="118" t="n">
        <f aca="false">Inputs!$E$63*(1+Inputs!$E$65)^(E$5-1)*MAX(0,MIN(1,E$4*1-Inputs!$E$66+1))/1</f>
        <v>1</v>
      </c>
      <c r="F10" s="118" t="n">
        <f aca="false">Inputs!$E$63*(1+Inputs!$E$65)^(F$5-1)*MAX(0,MIN(1,F$4*1-Inputs!$E$66+1))/1</f>
        <v>1</v>
      </c>
      <c r="G10" s="118" t="n">
        <f aca="false">Inputs!$E$63*(1+Inputs!$E$65)^(G$5-1)*MAX(0,MIN(1,G$4*1-Inputs!$E$66+1))/1</f>
        <v>1</v>
      </c>
      <c r="H10" s="118" t="n">
        <f aca="false">Inputs!$E$63*(1+Inputs!$E$65)^(H$5-1)*MAX(0,MIN(1,H$4*1-Inputs!$E$66+1))/1</f>
        <v>1</v>
      </c>
      <c r="I10" s="118" t="n">
        <f aca="false">Inputs!$E$63*(1+Inputs!$E$65)^(I$5-1)*MAX(0,MIN(1,I$4*1-Inputs!$E$66+1))/1</f>
        <v>1</v>
      </c>
      <c r="J10" s="118" t="n">
        <f aca="false">Inputs!$E$63*(1+Inputs!$E$65)^(J$5-1)*MAX(0,MIN(1,J$4*1-Inputs!$E$66+1))/1</f>
        <v>1</v>
      </c>
      <c r="K10" s="118" t="n">
        <f aca="false">Inputs!$E$63*(1+Inputs!$E$65)^(K$5-1)*MAX(0,MIN(1,K$4*1-Inputs!$E$66+1))/1</f>
        <v>1</v>
      </c>
      <c r="L10" s="118" t="n">
        <f aca="false">Inputs!$E$63*(1+Inputs!$E$65)^(L$5-1)*MAX(0,MIN(1,L$4*1-Inputs!$E$66+1))/1</f>
        <v>1</v>
      </c>
      <c r="M10" s="118" t="n">
        <f aca="false">Inputs!$E$63*(1+Inputs!$E$65)^(M$5-1)*MAX(0,MIN(1,M$4*1-Inputs!$E$66+1))/1</f>
        <v>1</v>
      </c>
      <c r="N10" s="118" t="n">
        <f aca="false">Inputs!$E$63*(1+Inputs!$E$65)^(N$5-1)*MAX(0,MIN(1,N$4*1-Inputs!$E$66+1))/1</f>
        <v>1</v>
      </c>
      <c r="O10" s="118" t="n">
        <f aca="false">Inputs!$E$63*(1+Inputs!$E$65)^(O$5-1)*MAX(0,MIN(1,O$4*1-Inputs!$E$66+1))/1</f>
        <v>1</v>
      </c>
      <c r="P10" s="118" t="n">
        <f aca="false">Inputs!$E$63*(1+Inputs!$E$65)^(P$5-1)*MAX(0,MIN(1,P$4*1-Inputs!$E$66+1))/1</f>
        <v>1</v>
      </c>
      <c r="Q10" s="118" t="n">
        <f aca="false">Inputs!$E$63*(1+Inputs!$E$65)^(Q$5-1)*MAX(0,MIN(1,Q$4*1-Inputs!$E$66+1))/1</f>
        <v>1</v>
      </c>
      <c r="R10" s="118" t="n">
        <f aca="false">Inputs!$E$63*(1+Inputs!$E$65)^(R$5-1)*MAX(0,MIN(1,R$4*1-Inputs!$E$66+1))/1</f>
        <v>1</v>
      </c>
      <c r="S10" s="118" t="n">
        <f aca="false">Inputs!$E$63*(1+Inputs!$E$65)^(S$5-1)*MAX(0,MIN(1,S$4*1-Inputs!$E$66+1))/1</f>
        <v>1</v>
      </c>
      <c r="T10" s="118" t="n">
        <f aca="false">Inputs!$E$63*(1+Inputs!$E$65)^(T$5-1)*MAX(0,MIN(1,T$4*1-Inputs!$E$66+1))/1</f>
        <v>1</v>
      </c>
      <c r="U10" s="118" t="n">
        <f aca="false">Inputs!$E$63*(1+Inputs!$E$65)^(U$5-1)*MAX(0,MIN(1,U$4*1-Inputs!$E$66+1))/1</f>
        <v>1</v>
      </c>
      <c r="V10" s="118" t="n">
        <f aca="false">Inputs!$E$63*(1+Inputs!$E$65)^(V$5-1)*MAX(0,MIN(1,V$4*1-Inputs!$E$66+1))/1</f>
        <v>1</v>
      </c>
      <c r="W10" s="118" t="n">
        <f aca="false">Inputs!$E$63*(1+Inputs!$E$65)^(W$5-1)*MAX(0,MIN(1,W$4*1-Inputs!$E$66+1))/1</f>
        <v>1</v>
      </c>
      <c r="X10" s="118" t="n">
        <f aca="false">Inputs!$E$63*(1+Inputs!$E$65)^(X$5-1)*MAX(0,MIN(1,X$4*1-Inputs!$E$66+1))/1</f>
        <v>1</v>
      </c>
      <c r="Y10" s="118" t="n">
        <f aca="false">Inputs!$E$63*(1+Inputs!$E$65)^(Y$5-1)*MAX(0,MIN(1,Y$4*1-Inputs!$E$66+1))/1</f>
        <v>1</v>
      </c>
      <c r="Z10" s="118" t="n">
        <f aca="false">Inputs!$E$63*(1+Inputs!$E$65)^(Z$5-1)*MAX(0,MIN(1,Z$4*1-Inputs!$E$66+1))/1</f>
        <v>1</v>
      </c>
      <c r="AA10" s="118" t="n">
        <f aca="false">Inputs!$E$63*(1+Inputs!$E$65)^(AA$5-1)*MAX(0,MIN(1,AA$4*1-Inputs!$E$66+1))/1</f>
        <v>1</v>
      </c>
      <c r="AB10" s="118" t="n">
        <f aca="false">Inputs!$E$63*(1+Inputs!$E$65)^(AB$5-1)*MAX(0,MIN(1,AB$4*1-Inputs!$E$66+1))/1</f>
        <v>1</v>
      </c>
      <c r="AC10" s="118" t="n">
        <f aca="false">Inputs!$E$63*(1+Inputs!$E$65)^(AC$5-1)*MAX(0,MIN(1,AC$4*1-Inputs!$E$66+1))/1</f>
        <v>1</v>
      </c>
      <c r="AD10" s="118" t="n">
        <f aca="false">Inputs!$E$63*(1+Inputs!$E$65)^(AD$5-1)*MAX(0,MIN(1,AD$4*1-Inputs!$E$66+1))/1</f>
        <v>1</v>
      </c>
      <c r="AE10" s="118" t="n">
        <f aca="false">Inputs!$E$63*(1+Inputs!$E$65)^(AE$5-1)*MAX(0,MIN(1,AE$4*1-Inputs!$E$66+1))/1</f>
        <v>1</v>
      </c>
      <c r="AF10" s="118" t="n">
        <f aca="false">Inputs!$E$63*(1+Inputs!$E$65)^(AF$5-1)*MAX(0,MIN(1,AF$4*1-Inputs!$E$66+1))/1</f>
        <v>1</v>
      </c>
      <c r="AG10" s="118" t="n">
        <f aca="false">Inputs!$E$63*(1+Inputs!$E$65)^(AG$5-1)*MAX(0,MIN(1,AG$4*1-Inputs!$E$66+1))/1</f>
        <v>1</v>
      </c>
      <c r="AH10" s="118" t="n">
        <f aca="false">Inputs!$E$63*(1+Inputs!$E$65)^(AH$5-1)*MAX(0,MIN(1,AH$4*1-Inputs!$E$66+1))/1</f>
        <v>1</v>
      </c>
      <c r="AI10" s="118" t="n">
        <f aca="false">Inputs!$E$63*(1+Inputs!$E$65)^(AI$5-1)*MAX(0,MIN(1,AI$4*1-Inputs!$E$66+1))/1</f>
        <v>1</v>
      </c>
      <c r="AJ10" s="118" t="n">
        <f aca="false">Inputs!$E$63*(1+Inputs!$E$65)^(AJ$5-1)*MAX(0,MIN(1,AJ$4*1-Inputs!$E$66+1))/1</f>
        <v>1</v>
      </c>
      <c r="AK10" s="118" t="n">
        <f aca="false">Inputs!$E$63*(1+Inputs!$E$65)^(AK$5-1)*MAX(0,MIN(1,AK$4*1-Inputs!$E$66+1))/1</f>
        <v>1</v>
      </c>
      <c r="AL10" s="118" t="n">
        <f aca="false">Inputs!$E$63*(1+Inputs!$E$65)^(AL$5-1)*MAX(0,MIN(1,AL$4*1-Inputs!$E$66+1))/1</f>
        <v>1</v>
      </c>
    </row>
    <row r="11" customFormat="false" ht="15" hidden="false" customHeight="false" outlineLevel="0" collapsed="false">
      <c r="A11" s="113" t="s">
        <v>434</v>
      </c>
      <c r="C11" s="122" t="n">
        <f aca="false">C8+C9+C10</f>
        <v>3.2</v>
      </c>
      <c r="D11" s="122" t="n">
        <f aca="false">D8+D9+D10</f>
        <v>3.2</v>
      </c>
      <c r="E11" s="122" t="n">
        <f aca="false">E8+E9+E10</f>
        <v>3.2</v>
      </c>
      <c r="F11" s="122" t="n">
        <f aca="false">F8+F9+F10</f>
        <v>3.2</v>
      </c>
      <c r="G11" s="122" t="n">
        <f aca="false">G8+G9+G10</f>
        <v>3.2</v>
      </c>
      <c r="H11" s="122" t="n">
        <f aca="false">H8+H9+H10</f>
        <v>3.2</v>
      </c>
      <c r="I11" s="122" t="n">
        <f aca="false">I8+I9+I10</f>
        <v>3.2</v>
      </c>
      <c r="J11" s="122" t="n">
        <f aca="false">J8+J9+J10</f>
        <v>3.2</v>
      </c>
      <c r="K11" s="122" t="n">
        <f aca="false">K8+K9+K10</f>
        <v>3.2</v>
      </c>
      <c r="L11" s="122" t="n">
        <f aca="false">L8+L9+L10</f>
        <v>3.2</v>
      </c>
      <c r="M11" s="122" t="n">
        <f aca="false">M8+M9+M10</f>
        <v>3.2</v>
      </c>
      <c r="N11" s="122" t="n">
        <f aca="false">N8+N9+N10</f>
        <v>3.2</v>
      </c>
      <c r="O11" s="122" t="n">
        <f aca="false">O8+O9+O10</f>
        <v>3.2</v>
      </c>
      <c r="P11" s="122" t="n">
        <f aca="false">P8+P9+P10</f>
        <v>3.2</v>
      </c>
      <c r="Q11" s="122" t="n">
        <f aca="false">Q8+Q9+Q10</f>
        <v>3.2</v>
      </c>
      <c r="R11" s="122" t="n">
        <f aca="false">R8+R9+R10</f>
        <v>3.2</v>
      </c>
      <c r="S11" s="122" t="n">
        <f aca="false">S8+S9+S10</f>
        <v>3.2</v>
      </c>
      <c r="T11" s="122" t="n">
        <f aca="false">T8+T9+T10</f>
        <v>3.2</v>
      </c>
      <c r="U11" s="122" t="n">
        <f aca="false">U8+U9+U10</f>
        <v>3.2</v>
      </c>
      <c r="V11" s="122" t="n">
        <f aca="false">V8+V9+V10</f>
        <v>3.2</v>
      </c>
      <c r="W11" s="122" t="n">
        <f aca="false">W8+W9+W10</f>
        <v>3.2</v>
      </c>
      <c r="X11" s="122" t="n">
        <f aca="false">X8+X9+X10</f>
        <v>3.2</v>
      </c>
      <c r="Y11" s="122" t="n">
        <f aca="false">Y8+Y9+Y10</f>
        <v>3.2</v>
      </c>
      <c r="Z11" s="122" t="n">
        <f aca="false">Z8+Z9+Z10</f>
        <v>3.2</v>
      </c>
      <c r="AA11" s="122" t="n">
        <f aca="false">AA8+AA9+AA10</f>
        <v>3.2</v>
      </c>
      <c r="AB11" s="122" t="n">
        <f aca="false">AB8+AB9+AB10</f>
        <v>3.2</v>
      </c>
      <c r="AC11" s="122" t="n">
        <f aca="false">AC8+AC9+AC10</f>
        <v>3.2</v>
      </c>
      <c r="AD11" s="122" t="n">
        <f aca="false">AD8+AD9+AD10</f>
        <v>3.2</v>
      </c>
      <c r="AE11" s="122" t="n">
        <f aca="false">AE8+AE9+AE10</f>
        <v>3.2</v>
      </c>
      <c r="AF11" s="122" t="n">
        <f aca="false">AF8+AF9+AF10</f>
        <v>3.2</v>
      </c>
      <c r="AG11" s="122" t="n">
        <f aca="false">AG8+AG9+AG10</f>
        <v>3.2</v>
      </c>
      <c r="AH11" s="122" t="n">
        <f aca="false">AH8+AH9+AH10</f>
        <v>3.2</v>
      </c>
      <c r="AI11" s="122" t="n">
        <f aca="false">AI8+AI9+AI10</f>
        <v>3.2</v>
      </c>
      <c r="AJ11" s="122" t="n">
        <f aca="false">AJ8+AJ9+AJ10</f>
        <v>3.2</v>
      </c>
      <c r="AK11" s="122" t="n">
        <f aca="false">AK8+AK9+AK10</f>
        <v>3.2</v>
      </c>
      <c r="AL11" s="122" t="n">
        <f aca="false">AL8+AL9+AL10</f>
        <v>3.2</v>
      </c>
    </row>
    <row r="13" customFormat="false" ht="15.75" hidden="false" customHeight="true" outlineLevel="0" collapsed="false">
      <c r="A13" s="7" t="s">
        <v>435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customFormat="false" ht="15" hidden="false" customHeight="false" outlineLevel="0" collapsed="false">
      <c r="A14" s="6" t="s">
        <v>436</v>
      </c>
      <c r="C14" s="67" t="n">
        <f aca="false">-C8*Inputs!$E$56/12*1*(1+Inputs!$E$67)*(1+Inputs!$E$68)^(C$5-1)</f>
        <v>-3360</v>
      </c>
      <c r="D14" s="67" t="n">
        <f aca="false">-D8*Inputs!$E$56/12*1*(1+Inputs!$E$67)*(1+Inputs!$E$68)^(D$5-1)</f>
        <v>-3360</v>
      </c>
      <c r="E14" s="67" t="n">
        <f aca="false">-E8*Inputs!$E$56/12*1*(1+Inputs!$E$67)*(1+Inputs!$E$68)^(E$5-1)</f>
        <v>-3360</v>
      </c>
      <c r="F14" s="67" t="n">
        <f aca="false">-F8*Inputs!$E$56/12*1*(1+Inputs!$E$67)*(1+Inputs!$E$68)^(F$5-1)</f>
        <v>-3360</v>
      </c>
      <c r="G14" s="67" t="n">
        <f aca="false">-G8*Inputs!$E$56/12*1*(1+Inputs!$E$67)*(1+Inputs!$E$68)^(G$5-1)</f>
        <v>-3360</v>
      </c>
      <c r="H14" s="67" t="n">
        <f aca="false">-H8*Inputs!$E$56/12*1*(1+Inputs!$E$67)*(1+Inputs!$E$68)^(H$5-1)</f>
        <v>-3360</v>
      </c>
      <c r="I14" s="67" t="n">
        <f aca="false">-I8*Inputs!$E$56/12*1*(1+Inputs!$E$67)*(1+Inputs!$E$68)^(I$5-1)</f>
        <v>-3360</v>
      </c>
      <c r="J14" s="67" t="n">
        <f aca="false">-J8*Inputs!$E$56/12*1*(1+Inputs!$E$67)*(1+Inputs!$E$68)^(J$5-1)</f>
        <v>-3360</v>
      </c>
      <c r="K14" s="67" t="n">
        <f aca="false">-K8*Inputs!$E$56/12*1*(1+Inputs!$E$67)*(1+Inputs!$E$68)^(K$5-1)</f>
        <v>-3360</v>
      </c>
      <c r="L14" s="67" t="n">
        <f aca="false">-L8*Inputs!$E$56/12*1*(1+Inputs!$E$67)*(1+Inputs!$E$68)^(L$5-1)</f>
        <v>-3360</v>
      </c>
      <c r="M14" s="67" t="n">
        <f aca="false">-M8*Inputs!$E$56/12*1*(1+Inputs!$E$67)*(1+Inputs!$E$68)^(M$5-1)</f>
        <v>-3360</v>
      </c>
      <c r="N14" s="67" t="n">
        <f aca="false">-N8*Inputs!$E$56/12*1*(1+Inputs!$E$67)*(1+Inputs!$E$68)^(N$5-1)</f>
        <v>-3360</v>
      </c>
      <c r="O14" s="67" t="n">
        <f aca="false">-O8*Inputs!$E$56/12*1*(1+Inputs!$E$67)*(1+Inputs!$E$68)^(O$5-1)</f>
        <v>-3460.8</v>
      </c>
      <c r="P14" s="67" t="n">
        <f aca="false">-P8*Inputs!$E$56/12*1*(1+Inputs!$E$67)*(1+Inputs!$E$68)^(P$5-1)</f>
        <v>-3460.8</v>
      </c>
      <c r="Q14" s="67" t="n">
        <f aca="false">-Q8*Inputs!$E$56/12*1*(1+Inputs!$E$67)*(1+Inputs!$E$68)^(Q$5-1)</f>
        <v>-3460.8</v>
      </c>
      <c r="R14" s="67" t="n">
        <f aca="false">-R8*Inputs!$E$56/12*1*(1+Inputs!$E$67)*(1+Inputs!$E$68)^(R$5-1)</f>
        <v>-3460.8</v>
      </c>
      <c r="S14" s="67" t="n">
        <f aca="false">-S8*Inputs!$E$56/12*1*(1+Inputs!$E$67)*(1+Inputs!$E$68)^(S$5-1)</f>
        <v>-3460.8</v>
      </c>
      <c r="T14" s="67" t="n">
        <f aca="false">-T8*Inputs!$E$56/12*1*(1+Inputs!$E$67)*(1+Inputs!$E$68)^(T$5-1)</f>
        <v>-3460.8</v>
      </c>
      <c r="U14" s="67" t="n">
        <f aca="false">-U8*Inputs!$E$56/12*1*(1+Inputs!$E$67)*(1+Inputs!$E$68)^(U$5-1)</f>
        <v>-3460.8</v>
      </c>
      <c r="V14" s="67" t="n">
        <f aca="false">-V8*Inputs!$E$56/12*1*(1+Inputs!$E$67)*(1+Inputs!$E$68)^(V$5-1)</f>
        <v>-3460.8</v>
      </c>
      <c r="W14" s="67" t="n">
        <f aca="false">-W8*Inputs!$E$56/12*1*(1+Inputs!$E$67)*(1+Inputs!$E$68)^(W$5-1)</f>
        <v>-3460.8</v>
      </c>
      <c r="X14" s="67" t="n">
        <f aca="false">-X8*Inputs!$E$56/12*1*(1+Inputs!$E$67)*(1+Inputs!$E$68)^(X$5-1)</f>
        <v>-3460.8</v>
      </c>
      <c r="Y14" s="67" t="n">
        <f aca="false">-Y8*Inputs!$E$56/12*1*(1+Inputs!$E$67)*(1+Inputs!$E$68)^(Y$5-1)</f>
        <v>-3460.8</v>
      </c>
      <c r="Z14" s="67" t="n">
        <f aca="false">-Z8*Inputs!$E$56/12*1*(1+Inputs!$E$67)*(1+Inputs!$E$68)^(Z$5-1)</f>
        <v>-3460.8</v>
      </c>
      <c r="AA14" s="67" t="n">
        <f aca="false">-AA8*Inputs!$E$56/12*1*(1+Inputs!$E$67)*(1+Inputs!$E$68)^(AA$5-1)</f>
        <v>-3564.624</v>
      </c>
      <c r="AB14" s="67" t="n">
        <f aca="false">-AB8*Inputs!$E$56/12*1*(1+Inputs!$E$67)*(1+Inputs!$E$68)^(AB$5-1)</f>
        <v>-3564.624</v>
      </c>
      <c r="AC14" s="67" t="n">
        <f aca="false">-AC8*Inputs!$E$56/12*1*(1+Inputs!$E$67)*(1+Inputs!$E$68)^(AC$5-1)</f>
        <v>-3564.624</v>
      </c>
      <c r="AD14" s="67" t="n">
        <f aca="false">-AD8*Inputs!$E$56/12*1*(1+Inputs!$E$67)*(1+Inputs!$E$68)^(AD$5-1)</f>
        <v>-3564.624</v>
      </c>
      <c r="AE14" s="67" t="n">
        <f aca="false">-AE8*Inputs!$E$56/12*1*(1+Inputs!$E$67)*(1+Inputs!$E$68)^(AE$5-1)</f>
        <v>-3564.624</v>
      </c>
      <c r="AF14" s="67" t="n">
        <f aca="false">-AF8*Inputs!$E$56/12*1*(1+Inputs!$E$67)*(1+Inputs!$E$68)^(AF$5-1)</f>
        <v>-3564.624</v>
      </c>
      <c r="AG14" s="67" t="n">
        <f aca="false">-AG8*Inputs!$E$56/12*1*(1+Inputs!$E$67)*(1+Inputs!$E$68)^(AG$5-1)</f>
        <v>-3564.624</v>
      </c>
      <c r="AH14" s="67" t="n">
        <f aca="false">-AH8*Inputs!$E$56/12*1*(1+Inputs!$E$67)*(1+Inputs!$E$68)^(AH$5-1)</f>
        <v>-3564.624</v>
      </c>
      <c r="AI14" s="67" t="n">
        <f aca="false">-AI8*Inputs!$E$56/12*1*(1+Inputs!$E$67)*(1+Inputs!$E$68)^(AI$5-1)</f>
        <v>-3564.624</v>
      </c>
      <c r="AJ14" s="67" t="n">
        <f aca="false">-AJ8*Inputs!$E$56/12*1*(1+Inputs!$E$67)*(1+Inputs!$E$68)^(AJ$5-1)</f>
        <v>-3564.624</v>
      </c>
      <c r="AK14" s="67" t="n">
        <f aca="false">-AK8*Inputs!$E$56/12*1*(1+Inputs!$E$67)*(1+Inputs!$E$68)^(AK$5-1)</f>
        <v>-3564.624</v>
      </c>
      <c r="AL14" s="67" t="n">
        <f aca="false">-AL8*Inputs!$E$56/12*1*(1+Inputs!$E$67)*(1+Inputs!$E$68)^(AL$5-1)</f>
        <v>-3564.624</v>
      </c>
    </row>
    <row r="15" customFormat="false" ht="15" hidden="false" customHeight="false" outlineLevel="0" collapsed="false">
      <c r="A15" s="6" t="s">
        <v>437</v>
      </c>
      <c r="C15" s="67" t="n">
        <f aca="false">-C9*Inputs!$E$60/12*1*(1+Inputs!$E$67)*(1+Inputs!$E$68)^(C$5-1)</f>
        <v>-3808</v>
      </c>
      <c r="D15" s="67" t="n">
        <f aca="false">-D9*Inputs!$E$60/12*1*(1+Inputs!$E$67)*(1+Inputs!$E$68)^(D$5-1)</f>
        <v>-3808</v>
      </c>
      <c r="E15" s="67" t="n">
        <f aca="false">-E9*Inputs!$E$60/12*1*(1+Inputs!$E$67)*(1+Inputs!$E$68)^(E$5-1)</f>
        <v>-3808</v>
      </c>
      <c r="F15" s="67" t="n">
        <f aca="false">-F9*Inputs!$E$60/12*1*(1+Inputs!$E$67)*(1+Inputs!$E$68)^(F$5-1)</f>
        <v>-3808</v>
      </c>
      <c r="G15" s="67" t="n">
        <f aca="false">-G9*Inputs!$E$60/12*1*(1+Inputs!$E$67)*(1+Inputs!$E$68)^(G$5-1)</f>
        <v>-3808</v>
      </c>
      <c r="H15" s="67" t="n">
        <f aca="false">-H9*Inputs!$E$60/12*1*(1+Inputs!$E$67)*(1+Inputs!$E$68)^(H$5-1)</f>
        <v>-3808</v>
      </c>
      <c r="I15" s="67" t="n">
        <f aca="false">-I9*Inputs!$E$60/12*1*(1+Inputs!$E$67)*(1+Inputs!$E$68)^(I$5-1)</f>
        <v>-3808</v>
      </c>
      <c r="J15" s="67" t="n">
        <f aca="false">-J9*Inputs!$E$60/12*1*(1+Inputs!$E$67)*(1+Inputs!$E$68)^(J$5-1)</f>
        <v>-3808</v>
      </c>
      <c r="K15" s="67" t="n">
        <f aca="false">-K9*Inputs!$E$60/12*1*(1+Inputs!$E$67)*(1+Inputs!$E$68)^(K$5-1)</f>
        <v>-3808</v>
      </c>
      <c r="L15" s="67" t="n">
        <f aca="false">-L9*Inputs!$E$60/12*1*(1+Inputs!$E$67)*(1+Inputs!$E$68)^(L$5-1)</f>
        <v>-3808</v>
      </c>
      <c r="M15" s="67" t="n">
        <f aca="false">-M9*Inputs!$E$60/12*1*(1+Inputs!$E$67)*(1+Inputs!$E$68)^(M$5-1)</f>
        <v>-3808</v>
      </c>
      <c r="N15" s="67" t="n">
        <f aca="false">-N9*Inputs!$E$60/12*1*(1+Inputs!$E$67)*(1+Inputs!$E$68)^(N$5-1)</f>
        <v>-3808</v>
      </c>
      <c r="O15" s="67" t="n">
        <f aca="false">-O9*Inputs!$E$60/12*1*(1+Inputs!$E$67)*(1+Inputs!$E$68)^(O$5-1)</f>
        <v>-3922.24</v>
      </c>
      <c r="P15" s="67" t="n">
        <f aca="false">-P9*Inputs!$E$60/12*1*(1+Inputs!$E$67)*(1+Inputs!$E$68)^(P$5-1)</f>
        <v>-3922.24</v>
      </c>
      <c r="Q15" s="67" t="n">
        <f aca="false">-Q9*Inputs!$E$60/12*1*(1+Inputs!$E$67)*(1+Inputs!$E$68)^(Q$5-1)</f>
        <v>-3922.24</v>
      </c>
      <c r="R15" s="67" t="n">
        <f aca="false">-R9*Inputs!$E$60/12*1*(1+Inputs!$E$67)*(1+Inputs!$E$68)^(R$5-1)</f>
        <v>-3922.24</v>
      </c>
      <c r="S15" s="67" t="n">
        <f aca="false">-S9*Inputs!$E$60/12*1*(1+Inputs!$E$67)*(1+Inputs!$E$68)^(S$5-1)</f>
        <v>-3922.24</v>
      </c>
      <c r="T15" s="67" t="n">
        <f aca="false">-T9*Inputs!$E$60/12*1*(1+Inputs!$E$67)*(1+Inputs!$E$68)^(T$5-1)</f>
        <v>-3922.24</v>
      </c>
      <c r="U15" s="67" t="n">
        <f aca="false">-U9*Inputs!$E$60/12*1*(1+Inputs!$E$67)*(1+Inputs!$E$68)^(U$5-1)</f>
        <v>-3922.24</v>
      </c>
      <c r="V15" s="67" t="n">
        <f aca="false">-V9*Inputs!$E$60/12*1*(1+Inputs!$E$67)*(1+Inputs!$E$68)^(V$5-1)</f>
        <v>-3922.24</v>
      </c>
      <c r="W15" s="67" t="n">
        <f aca="false">-W9*Inputs!$E$60/12*1*(1+Inputs!$E$67)*(1+Inputs!$E$68)^(W$5-1)</f>
        <v>-3922.24</v>
      </c>
      <c r="X15" s="67" t="n">
        <f aca="false">-X9*Inputs!$E$60/12*1*(1+Inputs!$E$67)*(1+Inputs!$E$68)^(X$5-1)</f>
        <v>-3922.24</v>
      </c>
      <c r="Y15" s="67" t="n">
        <f aca="false">-Y9*Inputs!$E$60/12*1*(1+Inputs!$E$67)*(1+Inputs!$E$68)^(Y$5-1)</f>
        <v>-3922.24</v>
      </c>
      <c r="Z15" s="67" t="n">
        <f aca="false">-Z9*Inputs!$E$60/12*1*(1+Inputs!$E$67)*(1+Inputs!$E$68)^(Z$5-1)</f>
        <v>-3922.24</v>
      </c>
      <c r="AA15" s="67" t="n">
        <f aca="false">-AA9*Inputs!$E$60/12*1*(1+Inputs!$E$67)*(1+Inputs!$E$68)^(AA$5-1)</f>
        <v>-4039.9072</v>
      </c>
      <c r="AB15" s="67" t="n">
        <f aca="false">-AB9*Inputs!$E$60/12*1*(1+Inputs!$E$67)*(1+Inputs!$E$68)^(AB$5-1)</f>
        <v>-4039.9072</v>
      </c>
      <c r="AC15" s="67" t="n">
        <f aca="false">-AC9*Inputs!$E$60/12*1*(1+Inputs!$E$67)*(1+Inputs!$E$68)^(AC$5-1)</f>
        <v>-4039.9072</v>
      </c>
      <c r="AD15" s="67" t="n">
        <f aca="false">-AD9*Inputs!$E$60/12*1*(1+Inputs!$E$67)*(1+Inputs!$E$68)^(AD$5-1)</f>
        <v>-4039.9072</v>
      </c>
      <c r="AE15" s="67" t="n">
        <f aca="false">-AE9*Inputs!$E$60/12*1*(1+Inputs!$E$67)*(1+Inputs!$E$68)^(AE$5-1)</f>
        <v>-4039.9072</v>
      </c>
      <c r="AF15" s="67" t="n">
        <f aca="false">-AF9*Inputs!$E$60/12*1*(1+Inputs!$E$67)*(1+Inputs!$E$68)^(AF$5-1)</f>
        <v>-4039.9072</v>
      </c>
      <c r="AG15" s="67" t="n">
        <f aca="false">-AG9*Inputs!$E$60/12*1*(1+Inputs!$E$67)*(1+Inputs!$E$68)^(AG$5-1)</f>
        <v>-4039.9072</v>
      </c>
      <c r="AH15" s="67" t="n">
        <f aca="false">-AH9*Inputs!$E$60/12*1*(1+Inputs!$E$67)*(1+Inputs!$E$68)^(AH$5-1)</f>
        <v>-4039.9072</v>
      </c>
      <c r="AI15" s="67" t="n">
        <f aca="false">-AI9*Inputs!$E$60/12*1*(1+Inputs!$E$67)*(1+Inputs!$E$68)^(AI$5-1)</f>
        <v>-4039.9072</v>
      </c>
      <c r="AJ15" s="67" t="n">
        <f aca="false">-AJ9*Inputs!$E$60/12*1*(1+Inputs!$E$67)*(1+Inputs!$E$68)^(AJ$5-1)</f>
        <v>-4039.9072</v>
      </c>
      <c r="AK15" s="67" t="n">
        <f aca="false">-AK9*Inputs!$E$60/12*1*(1+Inputs!$E$67)*(1+Inputs!$E$68)^(AK$5-1)</f>
        <v>-4039.9072</v>
      </c>
      <c r="AL15" s="67" t="n">
        <f aca="false">-AL9*Inputs!$E$60/12*1*(1+Inputs!$E$67)*(1+Inputs!$E$68)^(AL$5-1)</f>
        <v>-4039.9072</v>
      </c>
    </row>
    <row r="16" customFormat="false" ht="15" hidden="false" customHeight="false" outlineLevel="0" collapsed="false">
      <c r="A16" s="6" t="s">
        <v>438</v>
      </c>
      <c r="C16" s="67" t="n">
        <f aca="false">-C10*Inputs!$E$64/12*1*(1+Inputs!$E$67)*(1+Inputs!$E$68)^(C$5-1)</f>
        <v>-2706.66666666667</v>
      </c>
      <c r="D16" s="67" t="n">
        <f aca="false">-D10*Inputs!$E$64/12*1*(1+Inputs!$E$67)*(1+Inputs!$E$68)^(D$5-1)</f>
        <v>-2706.66666666667</v>
      </c>
      <c r="E16" s="67" t="n">
        <f aca="false">-E10*Inputs!$E$64/12*1*(1+Inputs!$E$67)*(1+Inputs!$E$68)^(E$5-1)</f>
        <v>-2706.66666666667</v>
      </c>
      <c r="F16" s="67" t="n">
        <f aca="false">-F10*Inputs!$E$64/12*1*(1+Inputs!$E$67)*(1+Inputs!$E$68)^(F$5-1)</f>
        <v>-2706.66666666667</v>
      </c>
      <c r="G16" s="67" t="n">
        <f aca="false">-G10*Inputs!$E$64/12*1*(1+Inputs!$E$67)*(1+Inputs!$E$68)^(G$5-1)</f>
        <v>-2706.66666666667</v>
      </c>
      <c r="H16" s="67" t="n">
        <f aca="false">-H10*Inputs!$E$64/12*1*(1+Inputs!$E$67)*(1+Inputs!$E$68)^(H$5-1)</f>
        <v>-2706.66666666667</v>
      </c>
      <c r="I16" s="67" t="n">
        <f aca="false">-I10*Inputs!$E$64/12*1*(1+Inputs!$E$67)*(1+Inputs!$E$68)^(I$5-1)</f>
        <v>-2706.66666666667</v>
      </c>
      <c r="J16" s="67" t="n">
        <f aca="false">-J10*Inputs!$E$64/12*1*(1+Inputs!$E$67)*(1+Inputs!$E$68)^(J$5-1)</f>
        <v>-2706.66666666667</v>
      </c>
      <c r="K16" s="67" t="n">
        <f aca="false">-K10*Inputs!$E$64/12*1*(1+Inputs!$E$67)*(1+Inputs!$E$68)^(K$5-1)</f>
        <v>-2706.66666666667</v>
      </c>
      <c r="L16" s="67" t="n">
        <f aca="false">-L10*Inputs!$E$64/12*1*(1+Inputs!$E$67)*(1+Inputs!$E$68)^(L$5-1)</f>
        <v>-2706.66666666667</v>
      </c>
      <c r="M16" s="67" t="n">
        <f aca="false">-M10*Inputs!$E$64/12*1*(1+Inputs!$E$67)*(1+Inputs!$E$68)^(M$5-1)</f>
        <v>-2706.66666666667</v>
      </c>
      <c r="N16" s="67" t="n">
        <f aca="false">-N10*Inputs!$E$64/12*1*(1+Inputs!$E$67)*(1+Inputs!$E$68)^(N$5-1)</f>
        <v>-2706.66666666667</v>
      </c>
      <c r="O16" s="67" t="n">
        <f aca="false">-O10*Inputs!$E$64/12*1*(1+Inputs!$E$67)*(1+Inputs!$E$68)^(O$5-1)</f>
        <v>-2787.86666666667</v>
      </c>
      <c r="P16" s="67" t="n">
        <f aca="false">-P10*Inputs!$E$64/12*1*(1+Inputs!$E$67)*(1+Inputs!$E$68)^(P$5-1)</f>
        <v>-2787.86666666667</v>
      </c>
      <c r="Q16" s="67" t="n">
        <f aca="false">-Q10*Inputs!$E$64/12*1*(1+Inputs!$E$67)*(1+Inputs!$E$68)^(Q$5-1)</f>
        <v>-2787.86666666667</v>
      </c>
      <c r="R16" s="67" t="n">
        <f aca="false">-R10*Inputs!$E$64/12*1*(1+Inputs!$E$67)*(1+Inputs!$E$68)^(R$5-1)</f>
        <v>-2787.86666666667</v>
      </c>
      <c r="S16" s="67" t="n">
        <f aca="false">-S10*Inputs!$E$64/12*1*(1+Inputs!$E$67)*(1+Inputs!$E$68)^(S$5-1)</f>
        <v>-2787.86666666667</v>
      </c>
      <c r="T16" s="67" t="n">
        <f aca="false">-T10*Inputs!$E$64/12*1*(1+Inputs!$E$67)*(1+Inputs!$E$68)^(T$5-1)</f>
        <v>-2787.86666666667</v>
      </c>
      <c r="U16" s="67" t="n">
        <f aca="false">-U10*Inputs!$E$64/12*1*(1+Inputs!$E$67)*(1+Inputs!$E$68)^(U$5-1)</f>
        <v>-2787.86666666667</v>
      </c>
      <c r="V16" s="67" t="n">
        <f aca="false">-V10*Inputs!$E$64/12*1*(1+Inputs!$E$67)*(1+Inputs!$E$68)^(V$5-1)</f>
        <v>-2787.86666666667</v>
      </c>
      <c r="W16" s="67" t="n">
        <f aca="false">-W10*Inputs!$E$64/12*1*(1+Inputs!$E$67)*(1+Inputs!$E$68)^(W$5-1)</f>
        <v>-2787.86666666667</v>
      </c>
      <c r="X16" s="67" t="n">
        <f aca="false">-X10*Inputs!$E$64/12*1*(1+Inputs!$E$67)*(1+Inputs!$E$68)^(X$5-1)</f>
        <v>-2787.86666666667</v>
      </c>
      <c r="Y16" s="67" t="n">
        <f aca="false">-Y10*Inputs!$E$64/12*1*(1+Inputs!$E$67)*(1+Inputs!$E$68)^(Y$5-1)</f>
        <v>-2787.86666666667</v>
      </c>
      <c r="Z16" s="67" t="n">
        <f aca="false">-Z10*Inputs!$E$64/12*1*(1+Inputs!$E$67)*(1+Inputs!$E$68)^(Z$5-1)</f>
        <v>-2787.86666666667</v>
      </c>
      <c r="AA16" s="67" t="n">
        <f aca="false">-AA10*Inputs!$E$64/12*1*(1+Inputs!$E$67)*(1+Inputs!$E$68)^(AA$5-1)</f>
        <v>-2871.50266666667</v>
      </c>
      <c r="AB16" s="67" t="n">
        <f aca="false">-AB10*Inputs!$E$64/12*1*(1+Inputs!$E$67)*(1+Inputs!$E$68)^(AB$5-1)</f>
        <v>-2871.50266666667</v>
      </c>
      <c r="AC16" s="67" t="n">
        <f aca="false">-AC10*Inputs!$E$64/12*1*(1+Inputs!$E$67)*(1+Inputs!$E$68)^(AC$5-1)</f>
        <v>-2871.50266666667</v>
      </c>
      <c r="AD16" s="67" t="n">
        <f aca="false">-AD10*Inputs!$E$64/12*1*(1+Inputs!$E$67)*(1+Inputs!$E$68)^(AD$5-1)</f>
        <v>-2871.50266666667</v>
      </c>
      <c r="AE16" s="67" t="n">
        <f aca="false">-AE10*Inputs!$E$64/12*1*(1+Inputs!$E$67)*(1+Inputs!$E$68)^(AE$5-1)</f>
        <v>-2871.50266666667</v>
      </c>
      <c r="AF16" s="67" t="n">
        <f aca="false">-AF10*Inputs!$E$64/12*1*(1+Inputs!$E$67)*(1+Inputs!$E$68)^(AF$5-1)</f>
        <v>-2871.50266666667</v>
      </c>
      <c r="AG16" s="67" t="n">
        <f aca="false">-AG10*Inputs!$E$64/12*1*(1+Inputs!$E$67)*(1+Inputs!$E$68)^(AG$5-1)</f>
        <v>-2871.50266666667</v>
      </c>
      <c r="AH16" s="67" t="n">
        <f aca="false">-AH10*Inputs!$E$64/12*1*(1+Inputs!$E$67)*(1+Inputs!$E$68)^(AH$5-1)</f>
        <v>-2871.50266666667</v>
      </c>
      <c r="AI16" s="67" t="n">
        <f aca="false">-AI10*Inputs!$E$64/12*1*(1+Inputs!$E$67)*(1+Inputs!$E$68)^(AI$5-1)</f>
        <v>-2871.50266666667</v>
      </c>
      <c r="AJ16" s="67" t="n">
        <f aca="false">-AJ10*Inputs!$E$64/12*1*(1+Inputs!$E$67)*(1+Inputs!$E$68)^(AJ$5-1)</f>
        <v>-2871.50266666667</v>
      </c>
      <c r="AK16" s="67" t="n">
        <f aca="false">-AK10*Inputs!$E$64/12*1*(1+Inputs!$E$67)*(1+Inputs!$E$68)^(AK$5-1)</f>
        <v>-2871.50266666667</v>
      </c>
      <c r="AL16" s="67" t="n">
        <f aca="false">-AL10*Inputs!$E$64/12*1*(1+Inputs!$E$67)*(1+Inputs!$E$68)^(AL$5-1)</f>
        <v>-2871.50266666667</v>
      </c>
    </row>
    <row r="17" customFormat="false" ht="15" hidden="false" customHeight="false" outlineLevel="0" collapsed="false">
      <c r="A17" s="113" t="s">
        <v>439</v>
      </c>
      <c r="C17" s="68" t="n">
        <f aca="false">C14+C15+C16</f>
        <v>-9874.66666666667</v>
      </c>
      <c r="D17" s="68" t="n">
        <f aca="false">D14+D15+D16</f>
        <v>-9874.66666666667</v>
      </c>
      <c r="E17" s="68" t="n">
        <f aca="false">E14+E15+E16</f>
        <v>-9874.66666666667</v>
      </c>
      <c r="F17" s="68" t="n">
        <f aca="false">F14+F15+F16</f>
        <v>-9874.66666666667</v>
      </c>
      <c r="G17" s="68" t="n">
        <f aca="false">G14+G15+G16</f>
        <v>-9874.66666666667</v>
      </c>
      <c r="H17" s="68" t="n">
        <f aca="false">H14+H15+H16</f>
        <v>-9874.66666666667</v>
      </c>
      <c r="I17" s="68" t="n">
        <f aca="false">I14+I15+I16</f>
        <v>-9874.66666666667</v>
      </c>
      <c r="J17" s="68" t="n">
        <f aca="false">J14+J15+J16</f>
        <v>-9874.66666666667</v>
      </c>
      <c r="K17" s="68" t="n">
        <f aca="false">K14+K15+K16</f>
        <v>-9874.66666666667</v>
      </c>
      <c r="L17" s="68" t="n">
        <f aca="false">L14+L15+L16</f>
        <v>-9874.66666666667</v>
      </c>
      <c r="M17" s="68" t="n">
        <f aca="false">M14+M15+M16</f>
        <v>-9874.66666666667</v>
      </c>
      <c r="N17" s="68" t="n">
        <f aca="false">N14+N15+N16</f>
        <v>-9874.66666666667</v>
      </c>
      <c r="O17" s="68" t="n">
        <f aca="false">O14+O15+O16</f>
        <v>-10170.9066666667</v>
      </c>
      <c r="P17" s="68" t="n">
        <f aca="false">P14+P15+P16</f>
        <v>-10170.9066666667</v>
      </c>
      <c r="Q17" s="68" t="n">
        <f aca="false">Q14+Q15+Q16</f>
        <v>-10170.9066666667</v>
      </c>
      <c r="R17" s="68" t="n">
        <f aca="false">R14+R15+R16</f>
        <v>-10170.9066666667</v>
      </c>
      <c r="S17" s="68" t="n">
        <f aca="false">S14+S15+S16</f>
        <v>-10170.9066666667</v>
      </c>
      <c r="T17" s="68" t="n">
        <f aca="false">T14+T15+T16</f>
        <v>-10170.9066666667</v>
      </c>
      <c r="U17" s="68" t="n">
        <f aca="false">U14+U15+U16</f>
        <v>-10170.9066666667</v>
      </c>
      <c r="V17" s="68" t="n">
        <f aca="false">V14+V15+V16</f>
        <v>-10170.9066666667</v>
      </c>
      <c r="W17" s="68" t="n">
        <f aca="false">W14+W15+W16</f>
        <v>-10170.9066666667</v>
      </c>
      <c r="X17" s="68" t="n">
        <f aca="false">X14+X15+X16</f>
        <v>-10170.9066666667</v>
      </c>
      <c r="Y17" s="68" t="n">
        <f aca="false">Y14+Y15+Y16</f>
        <v>-10170.9066666667</v>
      </c>
      <c r="Z17" s="68" t="n">
        <f aca="false">Z14+Z15+Z16</f>
        <v>-10170.9066666667</v>
      </c>
      <c r="AA17" s="68" t="n">
        <f aca="false">AA14+AA15+AA16</f>
        <v>-10476.0338666667</v>
      </c>
      <c r="AB17" s="68" t="n">
        <f aca="false">AB14+AB15+AB16</f>
        <v>-10476.0338666667</v>
      </c>
      <c r="AC17" s="68" t="n">
        <f aca="false">AC14+AC15+AC16</f>
        <v>-10476.0338666667</v>
      </c>
      <c r="AD17" s="68" t="n">
        <f aca="false">AD14+AD15+AD16</f>
        <v>-10476.0338666667</v>
      </c>
      <c r="AE17" s="68" t="n">
        <f aca="false">AE14+AE15+AE16</f>
        <v>-10476.0338666667</v>
      </c>
      <c r="AF17" s="68" t="n">
        <f aca="false">AF14+AF15+AF16</f>
        <v>-10476.0338666667</v>
      </c>
      <c r="AG17" s="68" t="n">
        <f aca="false">AG14+AG15+AG16</f>
        <v>-10476.0338666667</v>
      </c>
      <c r="AH17" s="68" t="n">
        <f aca="false">AH14+AH15+AH16</f>
        <v>-10476.0338666667</v>
      </c>
      <c r="AI17" s="68" t="n">
        <f aca="false">AI14+AI15+AI16</f>
        <v>-10476.0338666667</v>
      </c>
      <c r="AJ17" s="68" t="n">
        <f aca="false">AJ14+AJ15+AJ16</f>
        <v>-10476.0338666667</v>
      </c>
      <c r="AK17" s="68" t="n">
        <f aca="false">AK14+AK15+AK16</f>
        <v>-10476.0338666667</v>
      </c>
      <c r="AL17" s="68" t="n">
        <f aca="false">AL14+AL15+AL16</f>
        <v>-10476.0338666667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3ABA8"/>
    <pageSetUpPr fitToPage="true"/>
  </sheetPr>
  <dimension ref="A1:AL361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"/>
    <col collapsed="false" customWidth="true" hidden="false" outlineLevel="0" max="38" min="3" style="0" width="11"/>
  </cols>
  <sheetData>
    <row r="1" customFormat="false" ht="21.75" hidden="false" customHeight="true" outlineLevel="0" collapsed="false">
      <c r="A1" s="16" t="s">
        <v>440</v>
      </c>
      <c r="D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441</v>
      </c>
    </row>
    <row r="4" customFormat="false" ht="15.75" hidden="false" customHeight="true" outlineLevel="0" collapsed="false">
      <c r="A4" s="7" t="s">
        <v>442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customFormat="false" ht="15" hidden="false" customHeight="false" outlineLevel="0" collapsed="false">
      <c r="A5" s="33" t="s">
        <v>347</v>
      </c>
      <c r="C5" s="35" t="s">
        <v>348</v>
      </c>
      <c r="D5" s="35" t="s">
        <v>349</v>
      </c>
      <c r="E5" s="35" t="s">
        <v>350</v>
      </c>
      <c r="F5" s="35" t="s">
        <v>351</v>
      </c>
      <c r="G5" s="35" t="s">
        <v>352</v>
      </c>
      <c r="H5" s="35" t="s">
        <v>353</v>
      </c>
      <c r="I5" s="35" t="s">
        <v>354</v>
      </c>
      <c r="J5" s="35" t="s">
        <v>355</v>
      </c>
      <c r="K5" s="35" t="s">
        <v>356</v>
      </c>
      <c r="L5" s="35" t="s">
        <v>357</v>
      </c>
      <c r="M5" s="35" t="s">
        <v>358</v>
      </c>
      <c r="N5" s="35" t="s">
        <v>359</v>
      </c>
      <c r="O5" s="35" t="s">
        <v>360</v>
      </c>
      <c r="P5" s="35" t="s">
        <v>361</v>
      </c>
      <c r="Q5" s="35" t="s">
        <v>362</v>
      </c>
      <c r="R5" s="35" t="s">
        <v>363</v>
      </c>
      <c r="S5" s="35" t="s">
        <v>364</v>
      </c>
      <c r="T5" s="35" t="s">
        <v>365</v>
      </c>
      <c r="U5" s="35" t="s">
        <v>366</v>
      </c>
      <c r="V5" s="35" t="s">
        <v>367</v>
      </c>
      <c r="W5" s="35" t="s">
        <v>368</v>
      </c>
      <c r="X5" s="35" t="s">
        <v>369</v>
      </c>
      <c r="Y5" s="35" t="s">
        <v>370</v>
      </c>
      <c r="Z5" s="35" t="s">
        <v>371</v>
      </c>
      <c r="AA5" s="35" t="s">
        <v>372</v>
      </c>
      <c r="AB5" s="35" t="s">
        <v>373</v>
      </c>
      <c r="AC5" s="35" t="s">
        <v>374</v>
      </c>
      <c r="AD5" s="35" t="s">
        <v>375</v>
      </c>
      <c r="AE5" s="35" t="s">
        <v>376</v>
      </c>
      <c r="AF5" s="35" t="s">
        <v>377</v>
      </c>
      <c r="AG5" s="35" t="s">
        <v>378</v>
      </c>
      <c r="AH5" s="35" t="s">
        <v>379</v>
      </c>
      <c r="AI5" s="35" t="s">
        <v>380</v>
      </c>
      <c r="AJ5" s="35" t="s">
        <v>381</v>
      </c>
      <c r="AK5" s="35" t="s">
        <v>382</v>
      </c>
      <c r="AL5" s="35" t="s">
        <v>383</v>
      </c>
    </row>
    <row r="6" customFormat="false" ht="15" hidden="false" customHeight="false" outlineLevel="0" collapsed="false">
      <c r="A6" s="72" t="s">
        <v>384</v>
      </c>
      <c r="C6" s="72" t="n">
        <v>1</v>
      </c>
      <c r="D6" s="72" t="n">
        <v>2</v>
      </c>
      <c r="E6" s="72" t="n">
        <v>3</v>
      </c>
      <c r="F6" s="72" t="n">
        <v>4</v>
      </c>
      <c r="G6" s="72" t="n">
        <v>5</v>
      </c>
      <c r="H6" s="72" t="n">
        <v>6</v>
      </c>
      <c r="I6" s="72" t="n">
        <v>7</v>
      </c>
      <c r="J6" s="72" t="n">
        <v>8</v>
      </c>
      <c r="K6" s="72" t="n">
        <v>9</v>
      </c>
      <c r="L6" s="72" t="n">
        <v>10</v>
      </c>
      <c r="M6" s="72" t="n">
        <v>11</v>
      </c>
      <c r="N6" s="72" t="n">
        <v>12</v>
      </c>
      <c r="O6" s="72" t="n">
        <v>13</v>
      </c>
      <c r="P6" s="72" t="n">
        <v>14</v>
      </c>
      <c r="Q6" s="72" t="n">
        <v>15</v>
      </c>
      <c r="R6" s="72" t="n">
        <v>16</v>
      </c>
      <c r="S6" s="72" t="n">
        <v>17</v>
      </c>
      <c r="T6" s="72" t="n">
        <v>18</v>
      </c>
      <c r="U6" s="72" t="n">
        <v>19</v>
      </c>
      <c r="V6" s="72" t="n">
        <v>20</v>
      </c>
      <c r="W6" s="72" t="n">
        <v>21</v>
      </c>
      <c r="X6" s="72" t="n">
        <v>22</v>
      </c>
      <c r="Y6" s="72" t="n">
        <v>23</v>
      </c>
      <c r="Z6" s="72" t="n">
        <v>24</v>
      </c>
      <c r="AA6" s="72" t="n">
        <v>25</v>
      </c>
      <c r="AB6" s="72" t="n">
        <v>26</v>
      </c>
      <c r="AC6" s="72" t="n">
        <v>27</v>
      </c>
      <c r="AD6" s="72" t="n">
        <v>28</v>
      </c>
      <c r="AE6" s="72" t="n">
        <v>29</v>
      </c>
      <c r="AF6" s="72" t="n">
        <v>30</v>
      </c>
      <c r="AG6" s="72" t="n">
        <v>31</v>
      </c>
      <c r="AH6" s="72" t="n">
        <v>32</v>
      </c>
      <c r="AI6" s="72" t="n">
        <v>33</v>
      </c>
      <c r="AJ6" s="72" t="n">
        <v>34</v>
      </c>
      <c r="AK6" s="72" t="n">
        <v>35</v>
      </c>
      <c r="AL6" s="72" t="n">
        <v>36</v>
      </c>
    </row>
    <row r="7" customFormat="false" ht="15" hidden="false" customHeight="false" outlineLevel="0" collapsed="false">
      <c r="A7" s="72" t="s">
        <v>154</v>
      </c>
      <c r="C7" s="72" t="n">
        <f aca="false">ROUNDUP(C6*1/12,0)</f>
        <v>1</v>
      </c>
      <c r="D7" s="72" t="n">
        <f aca="false">ROUNDUP(D6*1/12,0)</f>
        <v>1</v>
      </c>
      <c r="E7" s="72" t="n">
        <f aca="false">ROUNDUP(E6*1/12,0)</f>
        <v>1</v>
      </c>
      <c r="F7" s="72" t="n">
        <f aca="false">ROUNDUP(F6*1/12,0)</f>
        <v>1</v>
      </c>
      <c r="G7" s="72" t="n">
        <f aca="false">ROUNDUP(G6*1/12,0)</f>
        <v>1</v>
      </c>
      <c r="H7" s="72" t="n">
        <f aca="false">ROUNDUP(H6*1/12,0)</f>
        <v>1</v>
      </c>
      <c r="I7" s="72" t="n">
        <f aca="false">ROUNDUP(I6*1/12,0)</f>
        <v>1</v>
      </c>
      <c r="J7" s="72" t="n">
        <f aca="false">ROUNDUP(J6*1/12,0)</f>
        <v>1</v>
      </c>
      <c r="K7" s="72" t="n">
        <f aca="false">ROUNDUP(K6*1/12,0)</f>
        <v>1</v>
      </c>
      <c r="L7" s="72" t="n">
        <f aca="false">ROUNDUP(L6*1/12,0)</f>
        <v>1</v>
      </c>
      <c r="M7" s="72" t="n">
        <f aca="false">ROUNDUP(M6*1/12,0)</f>
        <v>1</v>
      </c>
      <c r="N7" s="72" t="n">
        <f aca="false">ROUNDUP(N6*1/12,0)</f>
        <v>1</v>
      </c>
      <c r="O7" s="72" t="n">
        <f aca="false">ROUNDUP(O6*1/12,0)</f>
        <v>2</v>
      </c>
      <c r="P7" s="72" t="n">
        <f aca="false">ROUNDUP(P6*1/12,0)</f>
        <v>2</v>
      </c>
      <c r="Q7" s="72" t="n">
        <f aca="false">ROUNDUP(Q6*1/12,0)</f>
        <v>2</v>
      </c>
      <c r="R7" s="72" t="n">
        <f aca="false">ROUNDUP(R6*1/12,0)</f>
        <v>2</v>
      </c>
      <c r="S7" s="72" t="n">
        <f aca="false">ROUNDUP(S6*1/12,0)</f>
        <v>2</v>
      </c>
      <c r="T7" s="72" t="n">
        <f aca="false">ROUNDUP(T6*1/12,0)</f>
        <v>2</v>
      </c>
      <c r="U7" s="72" t="n">
        <f aca="false">ROUNDUP(U6*1/12,0)</f>
        <v>2</v>
      </c>
      <c r="V7" s="72" t="n">
        <f aca="false">ROUNDUP(V6*1/12,0)</f>
        <v>2</v>
      </c>
      <c r="W7" s="72" t="n">
        <f aca="false">ROUNDUP(W6*1/12,0)</f>
        <v>2</v>
      </c>
      <c r="X7" s="72" t="n">
        <f aca="false">ROUNDUP(X6*1/12,0)</f>
        <v>2</v>
      </c>
      <c r="Y7" s="72" t="n">
        <f aca="false">ROUNDUP(Y6*1/12,0)</f>
        <v>2</v>
      </c>
      <c r="Z7" s="72" t="n">
        <f aca="false">ROUNDUP(Z6*1/12,0)</f>
        <v>2</v>
      </c>
      <c r="AA7" s="72" t="n">
        <f aca="false">ROUNDUP(AA6*1/12,0)</f>
        <v>3</v>
      </c>
      <c r="AB7" s="72" t="n">
        <f aca="false">ROUNDUP(AB6*1/12,0)</f>
        <v>3</v>
      </c>
      <c r="AC7" s="72" t="n">
        <f aca="false">ROUNDUP(AC6*1/12,0)</f>
        <v>3</v>
      </c>
      <c r="AD7" s="72" t="n">
        <f aca="false">ROUNDUP(AD6*1/12,0)</f>
        <v>3</v>
      </c>
      <c r="AE7" s="72" t="n">
        <f aca="false">ROUNDUP(AE6*1/12,0)</f>
        <v>3</v>
      </c>
      <c r="AF7" s="72" t="n">
        <f aca="false">ROUNDUP(AF6*1/12,0)</f>
        <v>3</v>
      </c>
      <c r="AG7" s="72" t="n">
        <f aca="false">ROUNDUP(AG6*1/12,0)</f>
        <v>3</v>
      </c>
      <c r="AH7" s="72" t="n">
        <f aca="false">ROUNDUP(AH6*1/12,0)</f>
        <v>3</v>
      </c>
      <c r="AI7" s="72" t="n">
        <f aca="false">ROUNDUP(AI6*1/12,0)</f>
        <v>3</v>
      </c>
      <c r="AJ7" s="72" t="n">
        <f aca="false">ROUNDUP(AJ6*1/12,0)</f>
        <v>3</v>
      </c>
      <c r="AK7" s="72" t="n">
        <f aca="false">ROUNDUP(AK6*1/12,0)</f>
        <v>3</v>
      </c>
      <c r="AL7" s="72" t="n">
        <f aca="false">ROUNDUP(AL6*1/12,0)</f>
        <v>3</v>
      </c>
    </row>
    <row r="9" customFormat="false" ht="15.75" hidden="false" customHeight="true" outlineLevel="0" collapsed="false">
      <c r="A9" s="7" t="s">
        <v>385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</row>
    <row r="10" customFormat="false" ht="15" hidden="false" customHeight="false" outlineLevel="0" collapsed="false">
      <c r="A10" s="6" t="s">
        <v>386</v>
      </c>
      <c r="C10" s="116" t="n">
        <f aca="false">Inputs!$B$7+Inputs!$B$8*(C$7-1)</f>
        <v>1</v>
      </c>
      <c r="D10" s="116" t="n">
        <f aca="false">Inputs!$B$7+Inputs!$B$8*(D$7-1)</f>
        <v>1</v>
      </c>
      <c r="E10" s="116" t="n">
        <f aca="false">Inputs!$B$7+Inputs!$B$8*(E$7-1)</f>
        <v>1</v>
      </c>
      <c r="F10" s="116" t="n">
        <f aca="false">Inputs!$B$7+Inputs!$B$8*(F$7-1)</f>
        <v>1</v>
      </c>
      <c r="G10" s="116" t="n">
        <f aca="false">Inputs!$B$7+Inputs!$B$8*(G$7-1)</f>
        <v>1</v>
      </c>
      <c r="H10" s="116" t="n">
        <f aca="false">Inputs!$B$7+Inputs!$B$8*(H$7-1)</f>
        <v>1</v>
      </c>
      <c r="I10" s="116" t="n">
        <f aca="false">Inputs!$B$7+Inputs!$B$8*(I$7-1)</f>
        <v>1</v>
      </c>
      <c r="J10" s="116" t="n">
        <f aca="false">Inputs!$B$7+Inputs!$B$8*(J$7-1)</f>
        <v>1</v>
      </c>
      <c r="K10" s="116" t="n">
        <f aca="false">Inputs!$B$7+Inputs!$B$8*(K$7-1)</f>
        <v>1</v>
      </c>
      <c r="L10" s="116" t="n">
        <f aca="false">Inputs!$B$7+Inputs!$B$8*(L$7-1)</f>
        <v>1</v>
      </c>
      <c r="M10" s="116" t="n">
        <f aca="false">Inputs!$B$7+Inputs!$B$8*(M$7-1)</f>
        <v>1</v>
      </c>
      <c r="N10" s="116" t="n">
        <f aca="false">Inputs!$B$7+Inputs!$B$8*(N$7-1)</f>
        <v>1</v>
      </c>
      <c r="O10" s="116" t="n">
        <f aca="false">Inputs!$B$7+Inputs!$B$8*(O$7-1)</f>
        <v>1</v>
      </c>
      <c r="P10" s="116" t="n">
        <f aca="false">Inputs!$B$7+Inputs!$B$8*(P$7-1)</f>
        <v>1</v>
      </c>
      <c r="Q10" s="116" t="n">
        <f aca="false">Inputs!$B$7+Inputs!$B$8*(Q$7-1)</f>
        <v>1</v>
      </c>
      <c r="R10" s="116" t="n">
        <f aca="false">Inputs!$B$7+Inputs!$B$8*(R$7-1)</f>
        <v>1</v>
      </c>
      <c r="S10" s="116" t="n">
        <f aca="false">Inputs!$B$7+Inputs!$B$8*(S$7-1)</f>
        <v>1</v>
      </c>
      <c r="T10" s="116" t="n">
        <f aca="false">Inputs!$B$7+Inputs!$B$8*(T$7-1)</f>
        <v>1</v>
      </c>
      <c r="U10" s="116" t="n">
        <f aca="false">Inputs!$B$7+Inputs!$B$8*(U$7-1)</f>
        <v>1</v>
      </c>
      <c r="V10" s="116" t="n">
        <f aca="false">Inputs!$B$7+Inputs!$B$8*(V$7-1)</f>
        <v>1</v>
      </c>
      <c r="W10" s="116" t="n">
        <f aca="false">Inputs!$B$7+Inputs!$B$8*(W$7-1)</f>
        <v>1</v>
      </c>
      <c r="X10" s="116" t="n">
        <f aca="false">Inputs!$B$7+Inputs!$B$8*(X$7-1)</f>
        <v>1</v>
      </c>
      <c r="Y10" s="116" t="n">
        <f aca="false">Inputs!$B$7+Inputs!$B$8*(Y$7-1)</f>
        <v>1</v>
      </c>
      <c r="Z10" s="116" t="n">
        <f aca="false">Inputs!$B$7+Inputs!$B$8*(Z$7-1)</f>
        <v>1</v>
      </c>
      <c r="AA10" s="116" t="n">
        <f aca="false">Inputs!$B$7+Inputs!$B$8*(AA$7-1)</f>
        <v>1</v>
      </c>
      <c r="AB10" s="116" t="n">
        <f aca="false">Inputs!$B$7+Inputs!$B$8*(AB$7-1)</f>
        <v>1</v>
      </c>
      <c r="AC10" s="116" t="n">
        <f aca="false">Inputs!$B$7+Inputs!$B$8*(AC$7-1)</f>
        <v>1</v>
      </c>
      <c r="AD10" s="116" t="n">
        <f aca="false">Inputs!$B$7+Inputs!$B$8*(AD$7-1)</f>
        <v>1</v>
      </c>
      <c r="AE10" s="116" t="n">
        <f aca="false">Inputs!$B$7+Inputs!$B$8*(AE$7-1)</f>
        <v>1</v>
      </c>
      <c r="AF10" s="116" t="n">
        <f aca="false">Inputs!$B$7+Inputs!$B$8*(AF$7-1)</f>
        <v>1</v>
      </c>
      <c r="AG10" s="116" t="n">
        <f aca="false">Inputs!$B$7+Inputs!$B$8*(AG$7-1)</f>
        <v>1</v>
      </c>
      <c r="AH10" s="116" t="n">
        <f aca="false">Inputs!$B$7+Inputs!$B$8*(AH$7-1)</f>
        <v>1</v>
      </c>
      <c r="AI10" s="116" t="n">
        <f aca="false">Inputs!$B$7+Inputs!$B$8*(AI$7-1)</f>
        <v>1</v>
      </c>
      <c r="AJ10" s="116" t="n">
        <f aca="false">Inputs!$B$7+Inputs!$B$8*(AJ$7-1)</f>
        <v>1</v>
      </c>
      <c r="AK10" s="116" t="n">
        <f aca="false">Inputs!$B$7+Inputs!$B$8*(AK$7-1)</f>
        <v>1</v>
      </c>
      <c r="AL10" s="116" t="n">
        <f aca="false">Inputs!$B$7+Inputs!$B$8*(AL$7-1)</f>
        <v>1</v>
      </c>
    </row>
    <row r="11" customFormat="false" ht="15" hidden="false" customHeight="false" outlineLevel="0" collapsed="false">
      <c r="A11" s="117" t="s">
        <v>387</v>
      </c>
      <c r="C11" s="118" t="n">
        <f aca="false">MAX(0,MIN(1,Inputs!$B$13-(C$6-1)*1))</f>
        <v>1</v>
      </c>
      <c r="D11" s="118" t="n">
        <f aca="false">MAX(0,MIN(1,Inputs!$B$13-(D$6-1)*1))</f>
        <v>1</v>
      </c>
      <c r="E11" s="118" t="n">
        <f aca="false">MAX(0,MIN(1,Inputs!$B$13-(E$6-1)*1))</f>
        <v>1</v>
      </c>
      <c r="F11" s="118" t="n">
        <f aca="false">MAX(0,MIN(1,Inputs!$B$13-(F$6-1)*1))</f>
        <v>1</v>
      </c>
      <c r="G11" s="118" t="n">
        <f aca="false">MAX(0,MIN(1,Inputs!$B$13-(G$6-1)*1))</f>
        <v>1</v>
      </c>
      <c r="H11" s="118" t="n">
        <f aca="false">MAX(0,MIN(1,Inputs!$B$13-(H$6-1)*1))</f>
        <v>1</v>
      </c>
      <c r="I11" s="118" t="n">
        <f aca="false">MAX(0,MIN(1,Inputs!$B$13-(I$6-1)*1))</f>
        <v>1</v>
      </c>
      <c r="J11" s="118" t="n">
        <f aca="false">MAX(0,MIN(1,Inputs!$B$13-(J$6-1)*1))</f>
        <v>1</v>
      </c>
      <c r="K11" s="118" t="n">
        <f aca="false">MAX(0,MIN(1,Inputs!$B$13-(K$6-1)*1))</f>
        <v>1</v>
      </c>
      <c r="L11" s="118" t="n">
        <f aca="false">MAX(0,MIN(1,Inputs!$B$13-(L$6-1)*1))</f>
        <v>0</v>
      </c>
      <c r="M11" s="118" t="n">
        <f aca="false">MAX(0,MIN(1,Inputs!$B$13-(M$6-1)*1))</f>
        <v>0</v>
      </c>
      <c r="N11" s="118" t="n">
        <f aca="false">MAX(0,MIN(1,Inputs!$B$13-(N$6-1)*1))</f>
        <v>0</v>
      </c>
      <c r="O11" s="118" t="n">
        <f aca="false">MAX(0,MIN(1,Inputs!$B$13-(O$6-1)*1))</f>
        <v>0</v>
      </c>
      <c r="P11" s="118" t="n">
        <f aca="false">MAX(0,MIN(1,Inputs!$B$13-(P$6-1)*1))</f>
        <v>0</v>
      </c>
      <c r="Q11" s="118" t="n">
        <f aca="false">MAX(0,MIN(1,Inputs!$B$13-(Q$6-1)*1))</f>
        <v>0</v>
      </c>
      <c r="R11" s="118" t="n">
        <f aca="false">MAX(0,MIN(1,Inputs!$B$13-(R$6-1)*1))</f>
        <v>0</v>
      </c>
      <c r="S11" s="118" t="n">
        <f aca="false">MAX(0,MIN(1,Inputs!$B$13-(S$6-1)*1))</f>
        <v>0</v>
      </c>
      <c r="T11" s="118" t="n">
        <f aca="false">MAX(0,MIN(1,Inputs!$B$13-(T$6-1)*1))</f>
        <v>0</v>
      </c>
      <c r="U11" s="118" t="n">
        <f aca="false">MAX(0,MIN(1,Inputs!$B$13-(U$6-1)*1))</f>
        <v>0</v>
      </c>
      <c r="V11" s="118" t="n">
        <f aca="false">MAX(0,MIN(1,Inputs!$B$13-(V$6-1)*1))</f>
        <v>0</v>
      </c>
      <c r="W11" s="118" t="n">
        <f aca="false">MAX(0,MIN(1,Inputs!$B$13-(W$6-1)*1))</f>
        <v>0</v>
      </c>
      <c r="X11" s="118" t="n">
        <f aca="false">MAX(0,MIN(1,Inputs!$B$13-(X$6-1)*1))</f>
        <v>0</v>
      </c>
      <c r="Y11" s="118" t="n">
        <f aca="false">MAX(0,MIN(1,Inputs!$B$13-(Y$6-1)*1))</f>
        <v>0</v>
      </c>
      <c r="Z11" s="118" t="n">
        <f aca="false">MAX(0,MIN(1,Inputs!$B$13-(Z$6-1)*1))</f>
        <v>0</v>
      </c>
      <c r="AA11" s="118" t="n">
        <f aca="false">MAX(0,MIN(1,Inputs!$B$13-(AA$6-1)*1))</f>
        <v>0</v>
      </c>
      <c r="AB11" s="118" t="n">
        <f aca="false">MAX(0,MIN(1,Inputs!$B$13-(AB$6-1)*1))</f>
        <v>0</v>
      </c>
      <c r="AC11" s="118" t="n">
        <f aca="false">MAX(0,MIN(1,Inputs!$B$13-(AC$6-1)*1))</f>
        <v>0</v>
      </c>
      <c r="AD11" s="118" t="n">
        <f aca="false">MAX(0,MIN(1,Inputs!$B$13-(AD$6-1)*1))</f>
        <v>0</v>
      </c>
      <c r="AE11" s="118" t="n">
        <f aca="false">MAX(0,MIN(1,Inputs!$B$13-(AE$6-1)*1))</f>
        <v>0</v>
      </c>
      <c r="AF11" s="118" t="n">
        <f aca="false">MAX(0,MIN(1,Inputs!$B$13-(AF$6-1)*1))</f>
        <v>0</v>
      </c>
      <c r="AG11" s="118" t="n">
        <f aca="false">MAX(0,MIN(1,Inputs!$B$13-(AG$6-1)*1))</f>
        <v>0</v>
      </c>
      <c r="AH11" s="118" t="n">
        <f aca="false">MAX(0,MIN(1,Inputs!$B$13-(AH$6-1)*1))</f>
        <v>0</v>
      </c>
      <c r="AI11" s="118" t="n">
        <f aca="false">MAX(0,MIN(1,Inputs!$B$13-(AI$6-1)*1))</f>
        <v>0</v>
      </c>
      <c r="AJ11" s="118" t="n">
        <f aca="false">MAX(0,MIN(1,Inputs!$B$13-(AJ$6-1)*1))</f>
        <v>0</v>
      </c>
      <c r="AK11" s="118" t="n">
        <f aca="false">MAX(0,MIN(1,Inputs!$B$13-(AK$6-1)*1))</f>
        <v>0</v>
      </c>
      <c r="AL11" s="118" t="n">
        <f aca="false">MAX(0,MIN(1,Inputs!$B$13-(AL$6-1)*1))</f>
        <v>0</v>
      </c>
    </row>
    <row r="12" customFormat="false" ht="15" hidden="false" customHeight="false" outlineLevel="0" collapsed="false">
      <c r="A12" s="39" t="s">
        <v>388</v>
      </c>
      <c r="C12" s="74" t="n">
        <f aca="false">IF(Inputs!$B$13&lt;=0,1,(C11*Inputs!$B$14+(1-Inputs!$B$14)/MAX(1,Inputs!$B$13)*(C11*(C$6-1)*1+C11*(C11-1)/2)+1-C11)/1)</f>
        <v>0.35</v>
      </c>
      <c r="D12" s="74" t="n">
        <f aca="false">IF(Inputs!$B$13&lt;=0,1,(D11*Inputs!$B$14+(1-Inputs!$B$14)/MAX(1,Inputs!$B$13)*(D11*(D$6-1)*1+D11*(D11-1)/2)+1-D11)/1)</f>
        <v>0.422222222222222</v>
      </c>
      <c r="E12" s="74" t="n">
        <f aca="false">IF(Inputs!$B$13&lt;=0,1,(E11*Inputs!$B$14+(1-Inputs!$B$14)/MAX(1,Inputs!$B$13)*(E11*(E$6-1)*1+E11*(E11-1)/2)+1-E11)/1)</f>
        <v>0.494444444444444</v>
      </c>
      <c r="F12" s="74" t="n">
        <f aca="false">IF(Inputs!$B$13&lt;=0,1,(F11*Inputs!$B$14+(1-Inputs!$B$14)/MAX(1,Inputs!$B$13)*(F11*(F$6-1)*1+F11*(F11-1)/2)+1-F11)/1)</f>
        <v>0.566666666666667</v>
      </c>
      <c r="G12" s="74" t="n">
        <f aca="false">IF(Inputs!$B$13&lt;=0,1,(G11*Inputs!$B$14+(1-Inputs!$B$14)/MAX(1,Inputs!$B$13)*(G11*(G$6-1)*1+G11*(G11-1)/2)+1-G11)/1)</f>
        <v>0.638888888888889</v>
      </c>
      <c r="H12" s="74" t="n">
        <f aca="false">IF(Inputs!$B$13&lt;=0,1,(H11*Inputs!$B$14+(1-Inputs!$B$14)/MAX(1,Inputs!$B$13)*(H11*(H$6-1)*1+H11*(H11-1)/2)+1-H11)/1)</f>
        <v>0.711111111111111</v>
      </c>
      <c r="I12" s="74" t="n">
        <f aca="false">IF(Inputs!$B$13&lt;=0,1,(I11*Inputs!$B$14+(1-Inputs!$B$14)/MAX(1,Inputs!$B$13)*(I11*(I$6-1)*1+I11*(I11-1)/2)+1-I11)/1)</f>
        <v>0.783333333333333</v>
      </c>
      <c r="J12" s="74" t="n">
        <f aca="false">IF(Inputs!$B$13&lt;=0,1,(J11*Inputs!$B$14+(1-Inputs!$B$14)/MAX(1,Inputs!$B$13)*(J11*(J$6-1)*1+J11*(J11-1)/2)+1-J11)/1)</f>
        <v>0.855555555555556</v>
      </c>
      <c r="K12" s="74" t="n">
        <f aca="false">IF(Inputs!$B$13&lt;=0,1,(K11*Inputs!$B$14+(1-Inputs!$B$14)/MAX(1,Inputs!$B$13)*(K11*(K$6-1)*1+K11*(K11-1)/2)+1-K11)/1)</f>
        <v>0.927777777777778</v>
      </c>
      <c r="L12" s="74" t="n">
        <f aca="false">IF(Inputs!$B$13&lt;=0,1,(L11*Inputs!$B$14+(1-Inputs!$B$14)/MAX(1,Inputs!$B$13)*(L11*(L$6-1)*1+L11*(L11-1)/2)+1-L11)/1)</f>
        <v>1</v>
      </c>
      <c r="M12" s="74" t="n">
        <f aca="false">IF(Inputs!$B$13&lt;=0,1,(M11*Inputs!$B$14+(1-Inputs!$B$14)/MAX(1,Inputs!$B$13)*(M11*(M$6-1)*1+M11*(M11-1)/2)+1-M11)/1)</f>
        <v>1</v>
      </c>
      <c r="N12" s="74" t="n">
        <f aca="false">IF(Inputs!$B$13&lt;=0,1,(N11*Inputs!$B$14+(1-Inputs!$B$14)/MAX(1,Inputs!$B$13)*(N11*(N$6-1)*1+N11*(N11-1)/2)+1-N11)/1)</f>
        <v>1</v>
      </c>
      <c r="O12" s="74" t="n">
        <f aca="false">IF(Inputs!$B$13&lt;=0,1,(O11*Inputs!$B$14+(1-Inputs!$B$14)/MAX(1,Inputs!$B$13)*(O11*(O$6-1)*1+O11*(O11-1)/2)+1-O11)/1)</f>
        <v>1</v>
      </c>
      <c r="P12" s="74" t="n">
        <f aca="false">IF(Inputs!$B$13&lt;=0,1,(P11*Inputs!$B$14+(1-Inputs!$B$14)/MAX(1,Inputs!$B$13)*(P11*(P$6-1)*1+P11*(P11-1)/2)+1-P11)/1)</f>
        <v>1</v>
      </c>
      <c r="Q12" s="74" t="n">
        <f aca="false">IF(Inputs!$B$13&lt;=0,1,(Q11*Inputs!$B$14+(1-Inputs!$B$14)/MAX(1,Inputs!$B$13)*(Q11*(Q$6-1)*1+Q11*(Q11-1)/2)+1-Q11)/1)</f>
        <v>1</v>
      </c>
      <c r="R12" s="74" t="n">
        <f aca="false">IF(Inputs!$B$13&lt;=0,1,(R11*Inputs!$B$14+(1-Inputs!$B$14)/MAX(1,Inputs!$B$13)*(R11*(R$6-1)*1+R11*(R11-1)/2)+1-R11)/1)</f>
        <v>1</v>
      </c>
      <c r="S12" s="74" t="n">
        <f aca="false">IF(Inputs!$B$13&lt;=0,1,(S11*Inputs!$B$14+(1-Inputs!$B$14)/MAX(1,Inputs!$B$13)*(S11*(S$6-1)*1+S11*(S11-1)/2)+1-S11)/1)</f>
        <v>1</v>
      </c>
      <c r="T12" s="74" t="n">
        <f aca="false">IF(Inputs!$B$13&lt;=0,1,(T11*Inputs!$B$14+(1-Inputs!$B$14)/MAX(1,Inputs!$B$13)*(T11*(T$6-1)*1+T11*(T11-1)/2)+1-T11)/1)</f>
        <v>1</v>
      </c>
      <c r="U12" s="74" t="n">
        <f aca="false">IF(Inputs!$B$13&lt;=0,1,(U11*Inputs!$B$14+(1-Inputs!$B$14)/MAX(1,Inputs!$B$13)*(U11*(U$6-1)*1+U11*(U11-1)/2)+1-U11)/1)</f>
        <v>1</v>
      </c>
      <c r="V12" s="74" t="n">
        <f aca="false">IF(Inputs!$B$13&lt;=0,1,(V11*Inputs!$B$14+(1-Inputs!$B$14)/MAX(1,Inputs!$B$13)*(V11*(V$6-1)*1+V11*(V11-1)/2)+1-V11)/1)</f>
        <v>1</v>
      </c>
      <c r="W12" s="74" t="n">
        <f aca="false">IF(Inputs!$B$13&lt;=0,1,(W11*Inputs!$B$14+(1-Inputs!$B$14)/MAX(1,Inputs!$B$13)*(W11*(W$6-1)*1+W11*(W11-1)/2)+1-W11)/1)</f>
        <v>1</v>
      </c>
      <c r="X12" s="74" t="n">
        <f aca="false">IF(Inputs!$B$13&lt;=0,1,(X11*Inputs!$B$14+(1-Inputs!$B$14)/MAX(1,Inputs!$B$13)*(X11*(X$6-1)*1+X11*(X11-1)/2)+1-X11)/1)</f>
        <v>1</v>
      </c>
      <c r="Y12" s="74" t="n">
        <f aca="false">IF(Inputs!$B$13&lt;=0,1,(Y11*Inputs!$B$14+(1-Inputs!$B$14)/MAX(1,Inputs!$B$13)*(Y11*(Y$6-1)*1+Y11*(Y11-1)/2)+1-Y11)/1)</f>
        <v>1</v>
      </c>
      <c r="Z12" s="74" t="n">
        <f aca="false">IF(Inputs!$B$13&lt;=0,1,(Z11*Inputs!$B$14+(1-Inputs!$B$14)/MAX(1,Inputs!$B$13)*(Z11*(Z$6-1)*1+Z11*(Z11-1)/2)+1-Z11)/1)</f>
        <v>1</v>
      </c>
      <c r="AA12" s="74" t="n">
        <f aca="false">IF(Inputs!$B$13&lt;=0,1,(AA11*Inputs!$B$14+(1-Inputs!$B$14)/MAX(1,Inputs!$B$13)*(AA11*(AA$6-1)*1+AA11*(AA11-1)/2)+1-AA11)/1)</f>
        <v>1</v>
      </c>
      <c r="AB12" s="74" t="n">
        <f aca="false">IF(Inputs!$B$13&lt;=0,1,(AB11*Inputs!$B$14+(1-Inputs!$B$14)/MAX(1,Inputs!$B$13)*(AB11*(AB$6-1)*1+AB11*(AB11-1)/2)+1-AB11)/1)</f>
        <v>1</v>
      </c>
      <c r="AC12" s="74" t="n">
        <f aca="false">IF(Inputs!$B$13&lt;=0,1,(AC11*Inputs!$B$14+(1-Inputs!$B$14)/MAX(1,Inputs!$B$13)*(AC11*(AC$6-1)*1+AC11*(AC11-1)/2)+1-AC11)/1)</f>
        <v>1</v>
      </c>
      <c r="AD12" s="74" t="n">
        <f aca="false">IF(Inputs!$B$13&lt;=0,1,(AD11*Inputs!$B$14+(1-Inputs!$B$14)/MAX(1,Inputs!$B$13)*(AD11*(AD$6-1)*1+AD11*(AD11-1)/2)+1-AD11)/1)</f>
        <v>1</v>
      </c>
      <c r="AE12" s="74" t="n">
        <f aca="false">IF(Inputs!$B$13&lt;=0,1,(AE11*Inputs!$B$14+(1-Inputs!$B$14)/MAX(1,Inputs!$B$13)*(AE11*(AE$6-1)*1+AE11*(AE11-1)/2)+1-AE11)/1)</f>
        <v>1</v>
      </c>
      <c r="AF12" s="74" t="n">
        <f aca="false">IF(Inputs!$B$13&lt;=0,1,(AF11*Inputs!$B$14+(1-Inputs!$B$14)/MAX(1,Inputs!$B$13)*(AF11*(AF$6-1)*1+AF11*(AF11-1)/2)+1-AF11)/1)</f>
        <v>1</v>
      </c>
      <c r="AG12" s="74" t="n">
        <f aca="false">IF(Inputs!$B$13&lt;=0,1,(AG11*Inputs!$B$14+(1-Inputs!$B$14)/MAX(1,Inputs!$B$13)*(AG11*(AG$6-1)*1+AG11*(AG11-1)/2)+1-AG11)/1)</f>
        <v>1</v>
      </c>
      <c r="AH12" s="74" t="n">
        <f aca="false">IF(Inputs!$B$13&lt;=0,1,(AH11*Inputs!$B$14+(1-Inputs!$B$14)/MAX(1,Inputs!$B$13)*(AH11*(AH$6-1)*1+AH11*(AH11-1)/2)+1-AH11)/1)</f>
        <v>1</v>
      </c>
      <c r="AI12" s="74" t="n">
        <f aca="false">IF(Inputs!$B$13&lt;=0,1,(AI11*Inputs!$B$14+(1-Inputs!$B$14)/MAX(1,Inputs!$B$13)*(AI11*(AI$6-1)*1+AI11*(AI11-1)/2)+1-AI11)/1)</f>
        <v>1</v>
      </c>
      <c r="AJ12" s="74" t="n">
        <f aca="false">IF(Inputs!$B$13&lt;=0,1,(AJ11*Inputs!$B$14+(1-Inputs!$B$14)/MAX(1,Inputs!$B$13)*(AJ11*(AJ$6-1)*1+AJ11*(AJ11-1)/2)+1-AJ11)/1)</f>
        <v>1</v>
      </c>
      <c r="AK12" s="74" t="n">
        <f aca="false">IF(Inputs!$B$13&lt;=0,1,(AK11*Inputs!$B$14+(1-Inputs!$B$14)/MAX(1,Inputs!$B$13)*(AK11*(AK$6-1)*1+AK11*(AK11-1)/2)+1-AK11)/1)</f>
        <v>1</v>
      </c>
      <c r="AL12" s="74" t="n">
        <f aca="false">IF(Inputs!$B$13&lt;=0,1,(AL11*Inputs!$B$14+(1-Inputs!$B$14)/MAX(1,Inputs!$B$13)*(AL11*(AL$6-1)*1+AL11*(AL11-1)/2)+1-AL11)/1)</f>
        <v>1</v>
      </c>
    </row>
    <row r="13" customFormat="false" ht="15" hidden="false" customHeight="false" outlineLevel="0" collapsed="false">
      <c r="A13" s="6" t="s">
        <v>389</v>
      </c>
      <c r="C13" s="77" t="n">
        <f aca="false">IF(OR(MOD(C$6-1,12)&gt;=11,MOD(C$6-1,12)&lt;=1),1-Inputs!$B$10,1+Inputs!$B$10/3)</f>
        <v>0.7</v>
      </c>
      <c r="D13" s="77" t="n">
        <f aca="false">IF(OR(MOD(D$6-1,12)&gt;=11,MOD(D$6-1,12)&lt;=1),1-Inputs!$B$10,1+Inputs!$B$10/3)</f>
        <v>0.7</v>
      </c>
      <c r="E13" s="77" t="n">
        <f aca="false">IF(OR(MOD(E$6-1,12)&gt;=11,MOD(E$6-1,12)&lt;=1),1-Inputs!$B$10,1+Inputs!$B$10/3)</f>
        <v>1.1</v>
      </c>
      <c r="F13" s="77" t="n">
        <f aca="false">IF(OR(MOD(F$6-1,12)&gt;=11,MOD(F$6-1,12)&lt;=1),1-Inputs!$B$10,1+Inputs!$B$10/3)</f>
        <v>1.1</v>
      </c>
      <c r="G13" s="77" t="n">
        <f aca="false">IF(OR(MOD(G$6-1,12)&gt;=11,MOD(G$6-1,12)&lt;=1),1-Inputs!$B$10,1+Inputs!$B$10/3)</f>
        <v>1.1</v>
      </c>
      <c r="H13" s="77" t="n">
        <f aca="false">IF(OR(MOD(H$6-1,12)&gt;=11,MOD(H$6-1,12)&lt;=1),1-Inputs!$B$10,1+Inputs!$B$10/3)</f>
        <v>1.1</v>
      </c>
      <c r="I13" s="77" t="n">
        <f aca="false">IF(OR(MOD(I$6-1,12)&gt;=11,MOD(I$6-1,12)&lt;=1),1-Inputs!$B$10,1+Inputs!$B$10/3)</f>
        <v>1.1</v>
      </c>
      <c r="J13" s="77" t="n">
        <f aca="false">IF(OR(MOD(J$6-1,12)&gt;=11,MOD(J$6-1,12)&lt;=1),1-Inputs!$B$10,1+Inputs!$B$10/3)</f>
        <v>1.1</v>
      </c>
      <c r="K13" s="77" t="n">
        <f aca="false">IF(OR(MOD(K$6-1,12)&gt;=11,MOD(K$6-1,12)&lt;=1),1-Inputs!$B$10,1+Inputs!$B$10/3)</f>
        <v>1.1</v>
      </c>
      <c r="L13" s="77" t="n">
        <f aca="false">IF(OR(MOD(L$6-1,12)&gt;=11,MOD(L$6-1,12)&lt;=1),1-Inputs!$B$10,1+Inputs!$B$10/3)</f>
        <v>1.1</v>
      </c>
      <c r="M13" s="77" t="n">
        <f aca="false">IF(OR(MOD(M$6-1,12)&gt;=11,MOD(M$6-1,12)&lt;=1),1-Inputs!$B$10,1+Inputs!$B$10/3)</f>
        <v>1.1</v>
      </c>
      <c r="N13" s="77" t="n">
        <f aca="false">IF(OR(MOD(N$6-1,12)&gt;=11,MOD(N$6-1,12)&lt;=1),1-Inputs!$B$10,1+Inputs!$B$10/3)</f>
        <v>0.7</v>
      </c>
      <c r="O13" s="77" t="n">
        <f aca="false">IF(OR(MOD(O$6-1,12)&gt;=11,MOD(O$6-1,12)&lt;=1),1-Inputs!$B$10,1+Inputs!$B$10/3)</f>
        <v>0.7</v>
      </c>
      <c r="P13" s="77" t="n">
        <f aca="false">IF(OR(MOD(P$6-1,12)&gt;=11,MOD(P$6-1,12)&lt;=1),1-Inputs!$B$10,1+Inputs!$B$10/3)</f>
        <v>0.7</v>
      </c>
      <c r="Q13" s="77" t="n">
        <f aca="false">IF(OR(MOD(Q$6-1,12)&gt;=11,MOD(Q$6-1,12)&lt;=1),1-Inputs!$B$10,1+Inputs!$B$10/3)</f>
        <v>1.1</v>
      </c>
      <c r="R13" s="77" t="n">
        <f aca="false">IF(OR(MOD(R$6-1,12)&gt;=11,MOD(R$6-1,12)&lt;=1),1-Inputs!$B$10,1+Inputs!$B$10/3)</f>
        <v>1.1</v>
      </c>
      <c r="S13" s="77" t="n">
        <f aca="false">IF(OR(MOD(S$6-1,12)&gt;=11,MOD(S$6-1,12)&lt;=1),1-Inputs!$B$10,1+Inputs!$B$10/3)</f>
        <v>1.1</v>
      </c>
      <c r="T13" s="77" t="n">
        <f aca="false">IF(OR(MOD(T$6-1,12)&gt;=11,MOD(T$6-1,12)&lt;=1),1-Inputs!$B$10,1+Inputs!$B$10/3)</f>
        <v>1.1</v>
      </c>
      <c r="U13" s="77" t="n">
        <f aca="false">IF(OR(MOD(U$6-1,12)&gt;=11,MOD(U$6-1,12)&lt;=1),1-Inputs!$B$10,1+Inputs!$B$10/3)</f>
        <v>1.1</v>
      </c>
      <c r="V13" s="77" t="n">
        <f aca="false">IF(OR(MOD(V$6-1,12)&gt;=11,MOD(V$6-1,12)&lt;=1),1-Inputs!$B$10,1+Inputs!$B$10/3)</f>
        <v>1.1</v>
      </c>
      <c r="W13" s="77" t="n">
        <f aca="false">IF(OR(MOD(W$6-1,12)&gt;=11,MOD(W$6-1,12)&lt;=1),1-Inputs!$B$10,1+Inputs!$B$10/3)</f>
        <v>1.1</v>
      </c>
      <c r="X13" s="77" t="n">
        <f aca="false">IF(OR(MOD(X$6-1,12)&gt;=11,MOD(X$6-1,12)&lt;=1),1-Inputs!$B$10,1+Inputs!$B$10/3)</f>
        <v>1.1</v>
      </c>
      <c r="Y13" s="77" t="n">
        <f aca="false">IF(OR(MOD(Y$6-1,12)&gt;=11,MOD(Y$6-1,12)&lt;=1),1-Inputs!$B$10,1+Inputs!$B$10/3)</f>
        <v>1.1</v>
      </c>
      <c r="Z13" s="77" t="n">
        <f aca="false">IF(OR(MOD(Z$6-1,12)&gt;=11,MOD(Z$6-1,12)&lt;=1),1-Inputs!$B$10,1+Inputs!$B$10/3)</f>
        <v>0.7</v>
      </c>
      <c r="AA13" s="77" t="n">
        <f aca="false">IF(OR(MOD(AA$6-1,12)&gt;=11,MOD(AA$6-1,12)&lt;=1),1-Inputs!$B$10,1+Inputs!$B$10/3)</f>
        <v>0.7</v>
      </c>
      <c r="AB13" s="77" t="n">
        <f aca="false">IF(OR(MOD(AB$6-1,12)&gt;=11,MOD(AB$6-1,12)&lt;=1),1-Inputs!$B$10,1+Inputs!$B$10/3)</f>
        <v>0.7</v>
      </c>
      <c r="AC13" s="77" t="n">
        <f aca="false">IF(OR(MOD(AC$6-1,12)&gt;=11,MOD(AC$6-1,12)&lt;=1),1-Inputs!$B$10,1+Inputs!$B$10/3)</f>
        <v>1.1</v>
      </c>
      <c r="AD13" s="77" t="n">
        <f aca="false">IF(OR(MOD(AD$6-1,12)&gt;=11,MOD(AD$6-1,12)&lt;=1),1-Inputs!$B$10,1+Inputs!$B$10/3)</f>
        <v>1.1</v>
      </c>
      <c r="AE13" s="77" t="n">
        <f aca="false">IF(OR(MOD(AE$6-1,12)&gt;=11,MOD(AE$6-1,12)&lt;=1),1-Inputs!$B$10,1+Inputs!$B$10/3)</f>
        <v>1.1</v>
      </c>
      <c r="AF13" s="77" t="n">
        <f aca="false">IF(OR(MOD(AF$6-1,12)&gt;=11,MOD(AF$6-1,12)&lt;=1),1-Inputs!$B$10,1+Inputs!$B$10/3)</f>
        <v>1.1</v>
      </c>
      <c r="AG13" s="77" t="n">
        <f aca="false">IF(OR(MOD(AG$6-1,12)&gt;=11,MOD(AG$6-1,12)&lt;=1),1-Inputs!$B$10,1+Inputs!$B$10/3)</f>
        <v>1.1</v>
      </c>
      <c r="AH13" s="77" t="n">
        <f aca="false">IF(OR(MOD(AH$6-1,12)&gt;=11,MOD(AH$6-1,12)&lt;=1),1-Inputs!$B$10,1+Inputs!$B$10/3)</f>
        <v>1.1</v>
      </c>
      <c r="AI13" s="77" t="n">
        <f aca="false">IF(OR(MOD(AI$6-1,12)&gt;=11,MOD(AI$6-1,12)&lt;=1),1-Inputs!$B$10,1+Inputs!$B$10/3)</f>
        <v>1.1</v>
      </c>
      <c r="AJ13" s="77" t="n">
        <f aca="false">IF(OR(MOD(AJ$6-1,12)&gt;=11,MOD(AJ$6-1,12)&lt;=1),1-Inputs!$B$10,1+Inputs!$B$10/3)</f>
        <v>1.1</v>
      </c>
      <c r="AK13" s="77" t="n">
        <f aca="false">IF(OR(MOD(AK$6-1,12)&gt;=11,MOD(AK$6-1,12)&lt;=1),1-Inputs!$B$10,1+Inputs!$B$10/3)</f>
        <v>1.1</v>
      </c>
      <c r="AL13" s="77" t="n">
        <f aca="false">IF(OR(MOD(AL$6-1,12)&gt;=11,MOD(AL$6-1,12)&lt;=1),1-Inputs!$B$10,1+Inputs!$B$10/3)</f>
        <v>0.7</v>
      </c>
    </row>
    <row r="14" customFormat="false" ht="15" hidden="false" customHeight="false" outlineLevel="0" collapsed="false">
      <c r="A14" s="6" t="s">
        <v>390</v>
      </c>
      <c r="C14" s="118" t="n">
        <f aca="false">C10*Inputs!$B$9*1*C13</f>
        <v>11.9</v>
      </c>
      <c r="D14" s="118" t="n">
        <f aca="false">D10*Inputs!$B$9*1*D13</f>
        <v>11.9</v>
      </c>
      <c r="E14" s="118" t="n">
        <f aca="false">E10*Inputs!$B$9*1*E13</f>
        <v>18.7</v>
      </c>
      <c r="F14" s="118" t="n">
        <f aca="false">F10*Inputs!$B$9*1*F13</f>
        <v>18.7</v>
      </c>
      <c r="G14" s="118" t="n">
        <f aca="false">G10*Inputs!$B$9*1*G13</f>
        <v>18.7</v>
      </c>
      <c r="H14" s="118" t="n">
        <f aca="false">H10*Inputs!$B$9*1*H13</f>
        <v>18.7</v>
      </c>
      <c r="I14" s="118" t="n">
        <f aca="false">I10*Inputs!$B$9*1*I13</f>
        <v>18.7</v>
      </c>
      <c r="J14" s="118" t="n">
        <f aca="false">J10*Inputs!$B$9*1*J13</f>
        <v>18.7</v>
      </c>
      <c r="K14" s="118" t="n">
        <f aca="false">K10*Inputs!$B$9*1*K13</f>
        <v>18.7</v>
      </c>
      <c r="L14" s="118" t="n">
        <f aca="false">L10*Inputs!$B$9*1*L13</f>
        <v>18.7</v>
      </c>
      <c r="M14" s="118" t="n">
        <f aca="false">M10*Inputs!$B$9*1*M13</f>
        <v>18.7</v>
      </c>
      <c r="N14" s="118" t="n">
        <f aca="false">N10*Inputs!$B$9*1*N13</f>
        <v>11.9</v>
      </c>
      <c r="O14" s="118" t="n">
        <f aca="false">O10*Inputs!$B$9*1*O13</f>
        <v>11.9</v>
      </c>
      <c r="P14" s="118" t="n">
        <f aca="false">P10*Inputs!$B$9*1*P13</f>
        <v>11.9</v>
      </c>
      <c r="Q14" s="118" t="n">
        <f aca="false">Q10*Inputs!$B$9*1*Q13</f>
        <v>18.7</v>
      </c>
      <c r="R14" s="118" t="n">
        <f aca="false">R10*Inputs!$B$9*1*R13</f>
        <v>18.7</v>
      </c>
      <c r="S14" s="118" t="n">
        <f aca="false">S10*Inputs!$B$9*1*S13</f>
        <v>18.7</v>
      </c>
      <c r="T14" s="118" t="n">
        <f aca="false">T10*Inputs!$B$9*1*T13</f>
        <v>18.7</v>
      </c>
      <c r="U14" s="118" t="n">
        <f aca="false">U10*Inputs!$B$9*1*U13</f>
        <v>18.7</v>
      </c>
      <c r="V14" s="118" t="n">
        <f aca="false">V10*Inputs!$B$9*1*V13</f>
        <v>18.7</v>
      </c>
      <c r="W14" s="118" t="n">
        <f aca="false">W10*Inputs!$B$9*1*W13</f>
        <v>18.7</v>
      </c>
      <c r="X14" s="118" t="n">
        <f aca="false">X10*Inputs!$B$9*1*X13</f>
        <v>18.7</v>
      </c>
      <c r="Y14" s="118" t="n">
        <f aca="false">Y10*Inputs!$B$9*1*Y13</f>
        <v>18.7</v>
      </c>
      <c r="Z14" s="118" t="n">
        <f aca="false">Z10*Inputs!$B$9*1*Z13</f>
        <v>11.9</v>
      </c>
      <c r="AA14" s="118" t="n">
        <f aca="false">AA10*Inputs!$B$9*1*AA13</f>
        <v>11.9</v>
      </c>
      <c r="AB14" s="118" t="n">
        <f aca="false">AB10*Inputs!$B$9*1*AB13</f>
        <v>11.9</v>
      </c>
      <c r="AC14" s="118" t="n">
        <f aca="false">AC10*Inputs!$B$9*1*AC13</f>
        <v>18.7</v>
      </c>
      <c r="AD14" s="118" t="n">
        <f aca="false">AD10*Inputs!$B$9*1*AD13</f>
        <v>18.7</v>
      </c>
      <c r="AE14" s="118" t="n">
        <f aca="false">AE10*Inputs!$B$9*1*AE13</f>
        <v>18.7</v>
      </c>
      <c r="AF14" s="118" t="n">
        <f aca="false">AF10*Inputs!$B$9*1*AF13</f>
        <v>18.7</v>
      </c>
      <c r="AG14" s="118" t="n">
        <f aca="false">AG10*Inputs!$B$9*1*AG13</f>
        <v>18.7</v>
      </c>
      <c r="AH14" s="118" t="n">
        <f aca="false">AH10*Inputs!$B$9*1*AH13</f>
        <v>18.7</v>
      </c>
      <c r="AI14" s="118" t="n">
        <f aca="false">AI10*Inputs!$B$9*1*AI13</f>
        <v>18.7</v>
      </c>
      <c r="AJ14" s="118" t="n">
        <f aca="false">AJ10*Inputs!$B$9*1*AJ13</f>
        <v>18.7</v>
      </c>
      <c r="AK14" s="118" t="n">
        <f aca="false">AK10*Inputs!$B$9*1*AK13</f>
        <v>18.7</v>
      </c>
      <c r="AL14" s="118" t="n">
        <f aca="false">AL10*Inputs!$B$9*1*AL13</f>
        <v>11.9</v>
      </c>
    </row>
    <row r="15" customFormat="false" ht="15" hidden="false" customHeight="false" outlineLevel="0" collapsed="false">
      <c r="A15" s="6" t="s">
        <v>391</v>
      </c>
      <c r="C15" s="118" t="n">
        <f aca="false">C10*Inputs!$B$23*(1+Inputs!$B$24)^(C$7-1)*1*C12</f>
        <v>0.875</v>
      </c>
      <c r="D15" s="118" t="n">
        <f aca="false">D10*Inputs!$B$23*(1+Inputs!$B$24)^(D$7-1)*1*D12</f>
        <v>1.05555555555556</v>
      </c>
      <c r="E15" s="118" t="n">
        <f aca="false">E10*Inputs!$B$23*(1+Inputs!$B$24)^(E$7-1)*1*E12</f>
        <v>1.23611111111111</v>
      </c>
      <c r="F15" s="118" t="n">
        <f aca="false">F10*Inputs!$B$23*(1+Inputs!$B$24)^(F$7-1)*1*F12</f>
        <v>1.41666666666667</v>
      </c>
      <c r="G15" s="118" t="n">
        <f aca="false">G10*Inputs!$B$23*(1+Inputs!$B$24)^(G$7-1)*1*G12</f>
        <v>1.59722222222222</v>
      </c>
      <c r="H15" s="118" t="n">
        <f aca="false">H10*Inputs!$B$23*(1+Inputs!$B$24)^(H$7-1)*1*H12</f>
        <v>1.77777777777778</v>
      </c>
      <c r="I15" s="118" t="n">
        <f aca="false">I10*Inputs!$B$23*(1+Inputs!$B$24)^(I$7-1)*1*I12</f>
        <v>1.95833333333333</v>
      </c>
      <c r="J15" s="118" t="n">
        <f aca="false">J10*Inputs!$B$23*(1+Inputs!$B$24)^(J$7-1)*1*J12</f>
        <v>2.13888888888889</v>
      </c>
      <c r="K15" s="118" t="n">
        <f aca="false">K10*Inputs!$B$23*(1+Inputs!$B$24)^(K$7-1)*1*K12</f>
        <v>2.31944444444444</v>
      </c>
      <c r="L15" s="118" t="n">
        <f aca="false">L10*Inputs!$B$23*(1+Inputs!$B$24)^(L$7-1)*1*L12</f>
        <v>2.5</v>
      </c>
      <c r="M15" s="118" t="n">
        <f aca="false">M10*Inputs!$B$23*(1+Inputs!$B$24)^(M$7-1)*1*M12</f>
        <v>2.5</v>
      </c>
      <c r="N15" s="118" t="n">
        <f aca="false">N10*Inputs!$B$23*(1+Inputs!$B$24)^(N$7-1)*1*N12</f>
        <v>2.5</v>
      </c>
      <c r="O15" s="118" t="n">
        <f aca="false">O10*Inputs!$B$23*(1+Inputs!$B$24)^(O$7-1)*1*O12</f>
        <v>2.5</v>
      </c>
      <c r="P15" s="118" t="n">
        <f aca="false">P10*Inputs!$B$23*(1+Inputs!$B$24)^(P$7-1)*1*P12</f>
        <v>2.5</v>
      </c>
      <c r="Q15" s="118" t="n">
        <f aca="false">Q10*Inputs!$B$23*(1+Inputs!$B$24)^(Q$7-1)*1*Q12</f>
        <v>2.5</v>
      </c>
      <c r="R15" s="118" t="n">
        <f aca="false">R10*Inputs!$B$23*(1+Inputs!$B$24)^(R$7-1)*1*R12</f>
        <v>2.5</v>
      </c>
      <c r="S15" s="118" t="n">
        <f aca="false">S10*Inputs!$B$23*(1+Inputs!$B$24)^(S$7-1)*1*S12</f>
        <v>2.5</v>
      </c>
      <c r="T15" s="118" t="n">
        <f aca="false">T10*Inputs!$B$23*(1+Inputs!$B$24)^(T$7-1)*1*T12</f>
        <v>2.5</v>
      </c>
      <c r="U15" s="118" t="n">
        <f aca="false">U10*Inputs!$B$23*(1+Inputs!$B$24)^(U$7-1)*1*U12</f>
        <v>2.5</v>
      </c>
      <c r="V15" s="118" t="n">
        <f aca="false">V10*Inputs!$B$23*(1+Inputs!$B$24)^(V$7-1)*1*V12</f>
        <v>2.5</v>
      </c>
      <c r="W15" s="118" t="n">
        <f aca="false">W10*Inputs!$B$23*(1+Inputs!$B$24)^(W$7-1)*1*W12</f>
        <v>2.5</v>
      </c>
      <c r="X15" s="118" t="n">
        <f aca="false">X10*Inputs!$B$23*(1+Inputs!$B$24)^(X$7-1)*1*X12</f>
        <v>2.5</v>
      </c>
      <c r="Y15" s="118" t="n">
        <f aca="false">Y10*Inputs!$B$23*(1+Inputs!$B$24)^(Y$7-1)*1*Y12</f>
        <v>2.5</v>
      </c>
      <c r="Z15" s="118" t="n">
        <f aca="false">Z10*Inputs!$B$23*(1+Inputs!$B$24)^(Z$7-1)*1*Z12</f>
        <v>2.5</v>
      </c>
      <c r="AA15" s="118" t="n">
        <f aca="false">AA10*Inputs!$B$23*(1+Inputs!$B$24)^(AA$7-1)*1*AA12</f>
        <v>2.5</v>
      </c>
      <c r="AB15" s="118" t="n">
        <f aca="false">AB10*Inputs!$B$23*(1+Inputs!$B$24)^(AB$7-1)*1*AB12</f>
        <v>2.5</v>
      </c>
      <c r="AC15" s="118" t="n">
        <f aca="false">AC10*Inputs!$B$23*(1+Inputs!$B$24)^(AC$7-1)*1*AC12</f>
        <v>2.5</v>
      </c>
      <c r="AD15" s="118" t="n">
        <f aca="false">AD10*Inputs!$B$23*(1+Inputs!$B$24)^(AD$7-1)*1*AD12</f>
        <v>2.5</v>
      </c>
      <c r="AE15" s="118" t="n">
        <f aca="false">AE10*Inputs!$B$23*(1+Inputs!$B$24)^(AE$7-1)*1*AE12</f>
        <v>2.5</v>
      </c>
      <c r="AF15" s="118" t="n">
        <f aca="false">AF10*Inputs!$B$23*(1+Inputs!$B$24)^(AF$7-1)*1*AF12</f>
        <v>2.5</v>
      </c>
      <c r="AG15" s="118" t="n">
        <f aca="false">AG10*Inputs!$B$23*(1+Inputs!$B$24)^(AG$7-1)*1*AG12</f>
        <v>2.5</v>
      </c>
      <c r="AH15" s="118" t="n">
        <f aca="false">AH10*Inputs!$B$23*(1+Inputs!$B$24)^(AH$7-1)*1*AH12</f>
        <v>2.5</v>
      </c>
      <c r="AI15" s="118" t="n">
        <f aca="false">AI10*Inputs!$B$23*(1+Inputs!$B$24)^(AI$7-1)*1*AI12</f>
        <v>2.5</v>
      </c>
      <c r="AJ15" s="118" t="n">
        <f aca="false">AJ10*Inputs!$B$23*(1+Inputs!$B$24)^(AJ$7-1)*1*AJ12</f>
        <v>2.5</v>
      </c>
      <c r="AK15" s="118" t="n">
        <f aca="false">AK10*Inputs!$B$23*(1+Inputs!$B$24)^(AK$7-1)*1*AK12</f>
        <v>2.5</v>
      </c>
      <c r="AL15" s="118" t="n">
        <f aca="false">AL10*Inputs!$B$23*(1+Inputs!$B$24)^(AL$7-1)*1*AL12</f>
        <v>2.5</v>
      </c>
    </row>
    <row r="16" customFormat="false" ht="15" hidden="false" customHeight="false" outlineLevel="0" collapsed="false">
      <c r="A16" s="4" t="s">
        <v>392</v>
      </c>
      <c r="C16" s="119" t="n">
        <f aca="false">C14+C15</f>
        <v>12.775</v>
      </c>
      <c r="D16" s="119" t="n">
        <f aca="false">D14+D15</f>
        <v>12.9555555555556</v>
      </c>
      <c r="E16" s="119" t="n">
        <f aca="false">E14+E15</f>
        <v>19.9361111111111</v>
      </c>
      <c r="F16" s="119" t="n">
        <f aca="false">F14+F15</f>
        <v>20.1166666666667</v>
      </c>
      <c r="G16" s="119" t="n">
        <f aca="false">G14+G15</f>
        <v>20.2972222222222</v>
      </c>
      <c r="H16" s="119" t="n">
        <f aca="false">H14+H15</f>
        <v>20.4777777777778</v>
      </c>
      <c r="I16" s="119" t="n">
        <f aca="false">I14+I15</f>
        <v>20.6583333333333</v>
      </c>
      <c r="J16" s="119" t="n">
        <f aca="false">J14+J15</f>
        <v>20.8388888888889</v>
      </c>
      <c r="K16" s="119" t="n">
        <f aca="false">K14+K15</f>
        <v>21.0194444444444</v>
      </c>
      <c r="L16" s="119" t="n">
        <f aca="false">L14+L15</f>
        <v>21.2</v>
      </c>
      <c r="M16" s="119" t="n">
        <f aca="false">M14+M15</f>
        <v>21.2</v>
      </c>
      <c r="N16" s="119" t="n">
        <f aca="false">N14+N15</f>
        <v>14.4</v>
      </c>
      <c r="O16" s="119" t="n">
        <f aca="false">O14+O15</f>
        <v>14.4</v>
      </c>
      <c r="P16" s="119" t="n">
        <f aca="false">P14+P15</f>
        <v>14.4</v>
      </c>
      <c r="Q16" s="119" t="n">
        <f aca="false">Q14+Q15</f>
        <v>21.2</v>
      </c>
      <c r="R16" s="119" t="n">
        <f aca="false">R14+R15</f>
        <v>21.2</v>
      </c>
      <c r="S16" s="119" t="n">
        <f aca="false">S14+S15</f>
        <v>21.2</v>
      </c>
      <c r="T16" s="119" t="n">
        <f aca="false">T14+T15</f>
        <v>21.2</v>
      </c>
      <c r="U16" s="119" t="n">
        <f aca="false">U14+U15</f>
        <v>21.2</v>
      </c>
      <c r="V16" s="119" t="n">
        <f aca="false">V14+V15</f>
        <v>21.2</v>
      </c>
      <c r="W16" s="119" t="n">
        <f aca="false">W14+W15</f>
        <v>21.2</v>
      </c>
      <c r="X16" s="119" t="n">
        <f aca="false">X14+X15</f>
        <v>21.2</v>
      </c>
      <c r="Y16" s="119" t="n">
        <f aca="false">Y14+Y15</f>
        <v>21.2</v>
      </c>
      <c r="Z16" s="119" t="n">
        <f aca="false">Z14+Z15</f>
        <v>14.4</v>
      </c>
      <c r="AA16" s="119" t="n">
        <f aca="false">AA14+AA15</f>
        <v>14.4</v>
      </c>
      <c r="AB16" s="119" t="n">
        <f aca="false">AB14+AB15</f>
        <v>14.4</v>
      </c>
      <c r="AC16" s="119" t="n">
        <f aca="false">AC14+AC15</f>
        <v>21.2</v>
      </c>
      <c r="AD16" s="119" t="n">
        <f aca="false">AD14+AD15</f>
        <v>21.2</v>
      </c>
      <c r="AE16" s="119" t="n">
        <f aca="false">AE14+AE15</f>
        <v>21.2</v>
      </c>
      <c r="AF16" s="119" t="n">
        <f aca="false">AF14+AF15</f>
        <v>21.2</v>
      </c>
      <c r="AG16" s="119" t="n">
        <f aca="false">AG14+AG15</f>
        <v>21.2</v>
      </c>
      <c r="AH16" s="119" t="n">
        <f aca="false">AH14+AH15</f>
        <v>21.2</v>
      </c>
      <c r="AI16" s="119" t="n">
        <f aca="false">AI14+AI15</f>
        <v>21.2</v>
      </c>
      <c r="AJ16" s="119" t="n">
        <f aca="false">AJ14+AJ15</f>
        <v>21.2</v>
      </c>
      <c r="AK16" s="119" t="n">
        <f aca="false">AK14+AK15</f>
        <v>21.2</v>
      </c>
      <c r="AL16" s="119" t="n">
        <f aca="false">AL14+AL15</f>
        <v>14.4</v>
      </c>
    </row>
    <row r="17" customFormat="false" ht="15" hidden="false" customHeight="false" outlineLevel="0" collapsed="false">
      <c r="A17" s="6" t="s">
        <v>393</v>
      </c>
      <c r="C17" s="116" t="n">
        <f aca="false">C14*Inputs!$B$17*(1+Inputs!$B$18)^(C$7-1)*C12</f>
        <v>324.87</v>
      </c>
      <c r="D17" s="116" t="n">
        <f aca="false">D14*Inputs!$B$17*(1+Inputs!$B$18)^(D$7-1)*D12</f>
        <v>391.906666666667</v>
      </c>
      <c r="E17" s="116" t="n">
        <f aca="false">E14*Inputs!$B$17*(1+Inputs!$B$18)^(E$7-1)*E12</f>
        <v>721.196666666667</v>
      </c>
      <c r="F17" s="116" t="n">
        <f aca="false">F14*Inputs!$B$17*(1+Inputs!$B$18)^(F$7-1)*F12</f>
        <v>826.54</v>
      </c>
      <c r="G17" s="116" t="n">
        <f aca="false">G14*Inputs!$B$17*(1+Inputs!$B$18)^(G$7-1)*G12</f>
        <v>931.883333333333</v>
      </c>
      <c r="H17" s="116" t="n">
        <f aca="false">H14*Inputs!$B$17*(1+Inputs!$B$18)^(H$7-1)*H12</f>
        <v>1037.22666666667</v>
      </c>
      <c r="I17" s="116" t="n">
        <f aca="false">I14*Inputs!$B$17*(1+Inputs!$B$18)^(I$7-1)*I12</f>
        <v>1142.57</v>
      </c>
      <c r="J17" s="116" t="n">
        <f aca="false">J14*Inputs!$B$17*(1+Inputs!$B$18)^(J$7-1)*J12</f>
        <v>1247.91333333333</v>
      </c>
      <c r="K17" s="116" t="n">
        <f aca="false">K14*Inputs!$B$17*(1+Inputs!$B$18)^(K$7-1)*K12</f>
        <v>1353.25666666667</v>
      </c>
      <c r="L17" s="116" t="n">
        <f aca="false">L14*Inputs!$B$17*(1+Inputs!$B$18)^(L$7-1)*L12</f>
        <v>1458.6</v>
      </c>
      <c r="M17" s="116" t="n">
        <f aca="false">M14*Inputs!$B$17*(1+Inputs!$B$18)^(M$7-1)*M12</f>
        <v>1458.6</v>
      </c>
      <c r="N17" s="116" t="n">
        <f aca="false">N14*Inputs!$B$17*(1+Inputs!$B$18)^(N$7-1)*N12</f>
        <v>928.2</v>
      </c>
      <c r="O17" s="116" t="n">
        <f aca="false">O14*Inputs!$B$17*(1+Inputs!$B$18)^(O$7-1)*O12</f>
        <v>928.2</v>
      </c>
      <c r="P17" s="116" t="n">
        <f aca="false">P14*Inputs!$B$17*(1+Inputs!$B$18)^(P$7-1)*P12</f>
        <v>928.2</v>
      </c>
      <c r="Q17" s="116" t="n">
        <f aca="false">Q14*Inputs!$B$17*(1+Inputs!$B$18)^(Q$7-1)*Q12</f>
        <v>1458.6</v>
      </c>
      <c r="R17" s="116" t="n">
        <f aca="false">R14*Inputs!$B$17*(1+Inputs!$B$18)^(R$7-1)*R12</f>
        <v>1458.6</v>
      </c>
      <c r="S17" s="116" t="n">
        <f aca="false">S14*Inputs!$B$17*(1+Inputs!$B$18)^(S$7-1)*S12</f>
        <v>1458.6</v>
      </c>
      <c r="T17" s="116" t="n">
        <f aca="false">T14*Inputs!$B$17*(1+Inputs!$B$18)^(T$7-1)*T12</f>
        <v>1458.6</v>
      </c>
      <c r="U17" s="116" t="n">
        <f aca="false">U14*Inputs!$B$17*(1+Inputs!$B$18)^(U$7-1)*U12</f>
        <v>1458.6</v>
      </c>
      <c r="V17" s="116" t="n">
        <f aca="false">V14*Inputs!$B$17*(1+Inputs!$B$18)^(V$7-1)*V12</f>
        <v>1458.6</v>
      </c>
      <c r="W17" s="116" t="n">
        <f aca="false">W14*Inputs!$B$17*(1+Inputs!$B$18)^(W$7-1)*W12</f>
        <v>1458.6</v>
      </c>
      <c r="X17" s="116" t="n">
        <f aca="false">X14*Inputs!$B$17*(1+Inputs!$B$18)^(X$7-1)*X12</f>
        <v>1458.6</v>
      </c>
      <c r="Y17" s="116" t="n">
        <f aca="false">Y14*Inputs!$B$17*(1+Inputs!$B$18)^(Y$7-1)*Y12</f>
        <v>1458.6</v>
      </c>
      <c r="Z17" s="116" t="n">
        <f aca="false">Z14*Inputs!$B$17*(1+Inputs!$B$18)^(Z$7-1)*Z12</f>
        <v>928.2</v>
      </c>
      <c r="AA17" s="116" t="n">
        <f aca="false">AA14*Inputs!$B$17*(1+Inputs!$B$18)^(AA$7-1)*AA12</f>
        <v>928.2</v>
      </c>
      <c r="AB17" s="116" t="n">
        <f aca="false">AB14*Inputs!$B$17*(1+Inputs!$B$18)^(AB$7-1)*AB12</f>
        <v>928.2</v>
      </c>
      <c r="AC17" s="116" t="n">
        <f aca="false">AC14*Inputs!$B$17*(1+Inputs!$B$18)^(AC$7-1)*AC12</f>
        <v>1458.6</v>
      </c>
      <c r="AD17" s="116" t="n">
        <f aca="false">AD14*Inputs!$B$17*(1+Inputs!$B$18)^(AD$7-1)*AD12</f>
        <v>1458.6</v>
      </c>
      <c r="AE17" s="116" t="n">
        <f aca="false">AE14*Inputs!$B$17*(1+Inputs!$B$18)^(AE$7-1)*AE12</f>
        <v>1458.6</v>
      </c>
      <c r="AF17" s="116" t="n">
        <f aca="false">AF14*Inputs!$B$17*(1+Inputs!$B$18)^(AF$7-1)*AF12</f>
        <v>1458.6</v>
      </c>
      <c r="AG17" s="116" t="n">
        <f aca="false">AG14*Inputs!$B$17*(1+Inputs!$B$18)^(AG$7-1)*AG12</f>
        <v>1458.6</v>
      </c>
      <c r="AH17" s="116" t="n">
        <f aca="false">AH14*Inputs!$B$17*(1+Inputs!$B$18)^(AH$7-1)*AH12</f>
        <v>1458.6</v>
      </c>
      <c r="AI17" s="116" t="n">
        <f aca="false">AI14*Inputs!$B$17*(1+Inputs!$B$18)^(AI$7-1)*AI12</f>
        <v>1458.6</v>
      </c>
      <c r="AJ17" s="116" t="n">
        <f aca="false">AJ14*Inputs!$B$17*(1+Inputs!$B$18)^(AJ$7-1)*AJ12</f>
        <v>1458.6</v>
      </c>
      <c r="AK17" s="116" t="n">
        <f aca="false">AK14*Inputs!$B$17*(1+Inputs!$B$18)^(AK$7-1)*AK12</f>
        <v>1458.6</v>
      </c>
      <c r="AL17" s="116" t="n">
        <f aca="false">AL14*Inputs!$B$17*(1+Inputs!$B$18)^(AL$7-1)*AL12</f>
        <v>928.2</v>
      </c>
    </row>
    <row r="18" customFormat="false" ht="15" hidden="false" customHeight="false" outlineLevel="0" collapsed="false">
      <c r="A18" s="6" t="s">
        <v>394</v>
      </c>
      <c r="C18" s="116" t="n">
        <f aca="false">C15*Inputs!$B$26</f>
        <v>87.5</v>
      </c>
      <c r="D18" s="116" t="n">
        <f aca="false">D15*Inputs!$B$26</f>
        <v>105.555555555556</v>
      </c>
      <c r="E18" s="116" t="n">
        <f aca="false">E15*Inputs!$B$26</f>
        <v>123.611111111111</v>
      </c>
      <c r="F18" s="116" t="n">
        <f aca="false">F15*Inputs!$B$26</f>
        <v>141.666666666667</v>
      </c>
      <c r="G18" s="116" t="n">
        <f aca="false">G15*Inputs!$B$26</f>
        <v>159.722222222222</v>
      </c>
      <c r="H18" s="116" t="n">
        <f aca="false">H15*Inputs!$B$26</f>
        <v>177.777777777778</v>
      </c>
      <c r="I18" s="116" t="n">
        <f aca="false">I15*Inputs!$B$26</f>
        <v>195.833333333333</v>
      </c>
      <c r="J18" s="116" t="n">
        <f aca="false">J15*Inputs!$B$26</f>
        <v>213.888888888889</v>
      </c>
      <c r="K18" s="116" t="n">
        <f aca="false">K15*Inputs!$B$26</f>
        <v>231.944444444444</v>
      </c>
      <c r="L18" s="116" t="n">
        <f aca="false">L15*Inputs!$B$26</f>
        <v>250</v>
      </c>
      <c r="M18" s="116" t="n">
        <f aca="false">M15*Inputs!$B$26</f>
        <v>250</v>
      </c>
      <c r="N18" s="116" t="n">
        <f aca="false">N15*Inputs!$B$26</f>
        <v>250</v>
      </c>
      <c r="O18" s="116" t="n">
        <f aca="false">O15*Inputs!$B$26</f>
        <v>250</v>
      </c>
      <c r="P18" s="116" t="n">
        <f aca="false">P15*Inputs!$B$26</f>
        <v>250</v>
      </c>
      <c r="Q18" s="116" t="n">
        <f aca="false">Q15*Inputs!$B$26</f>
        <v>250</v>
      </c>
      <c r="R18" s="116" t="n">
        <f aca="false">R15*Inputs!$B$26</f>
        <v>250</v>
      </c>
      <c r="S18" s="116" t="n">
        <f aca="false">S15*Inputs!$B$26</f>
        <v>250</v>
      </c>
      <c r="T18" s="116" t="n">
        <f aca="false">T15*Inputs!$B$26</f>
        <v>250</v>
      </c>
      <c r="U18" s="116" t="n">
        <f aca="false">U15*Inputs!$B$26</f>
        <v>250</v>
      </c>
      <c r="V18" s="116" t="n">
        <f aca="false">V15*Inputs!$B$26</f>
        <v>250</v>
      </c>
      <c r="W18" s="116" t="n">
        <f aca="false">W15*Inputs!$B$26</f>
        <v>250</v>
      </c>
      <c r="X18" s="116" t="n">
        <f aca="false">X15*Inputs!$B$26</f>
        <v>250</v>
      </c>
      <c r="Y18" s="116" t="n">
        <f aca="false">Y15*Inputs!$B$26</f>
        <v>250</v>
      </c>
      <c r="Z18" s="116" t="n">
        <f aca="false">Z15*Inputs!$B$26</f>
        <v>250</v>
      </c>
      <c r="AA18" s="116" t="n">
        <f aca="false">AA15*Inputs!$B$26</f>
        <v>250</v>
      </c>
      <c r="AB18" s="116" t="n">
        <f aca="false">AB15*Inputs!$B$26</f>
        <v>250</v>
      </c>
      <c r="AC18" s="116" t="n">
        <f aca="false">AC15*Inputs!$B$26</f>
        <v>250</v>
      </c>
      <c r="AD18" s="116" t="n">
        <f aca="false">AD15*Inputs!$B$26</f>
        <v>250</v>
      </c>
      <c r="AE18" s="116" t="n">
        <f aca="false">AE15*Inputs!$B$26</f>
        <v>250</v>
      </c>
      <c r="AF18" s="116" t="n">
        <f aca="false">AF15*Inputs!$B$26</f>
        <v>250</v>
      </c>
      <c r="AG18" s="116" t="n">
        <f aca="false">AG15*Inputs!$B$26</f>
        <v>250</v>
      </c>
      <c r="AH18" s="116" t="n">
        <f aca="false">AH15*Inputs!$B$26</f>
        <v>250</v>
      </c>
      <c r="AI18" s="116" t="n">
        <f aca="false">AI15*Inputs!$B$26</f>
        <v>250</v>
      </c>
      <c r="AJ18" s="116" t="n">
        <f aca="false">AJ15*Inputs!$B$26</f>
        <v>250</v>
      </c>
      <c r="AK18" s="116" t="n">
        <f aca="false">AK15*Inputs!$B$26</f>
        <v>250</v>
      </c>
      <c r="AL18" s="116" t="n">
        <f aca="false">AL15*Inputs!$B$26</f>
        <v>250</v>
      </c>
    </row>
    <row r="19" customFormat="false" ht="15" hidden="false" customHeight="false" outlineLevel="0" collapsed="false">
      <c r="A19" s="4" t="s">
        <v>395</v>
      </c>
      <c r="C19" s="120" t="n">
        <f aca="false">C17+C18</f>
        <v>412.37</v>
      </c>
      <c r="D19" s="120" t="n">
        <f aca="false">D17+D18</f>
        <v>497.462222222222</v>
      </c>
      <c r="E19" s="120" t="n">
        <f aca="false">E17+E18</f>
        <v>844.807777777778</v>
      </c>
      <c r="F19" s="120" t="n">
        <f aca="false">F17+F18</f>
        <v>968.206666666667</v>
      </c>
      <c r="G19" s="120" t="n">
        <f aca="false">G17+G18</f>
        <v>1091.60555555556</v>
      </c>
      <c r="H19" s="120" t="n">
        <f aca="false">H17+H18</f>
        <v>1215.00444444444</v>
      </c>
      <c r="I19" s="120" t="n">
        <f aca="false">I17+I18</f>
        <v>1338.40333333333</v>
      </c>
      <c r="J19" s="120" t="n">
        <f aca="false">J17+J18</f>
        <v>1461.80222222222</v>
      </c>
      <c r="K19" s="120" t="n">
        <f aca="false">K17+K18</f>
        <v>1585.20111111111</v>
      </c>
      <c r="L19" s="120" t="n">
        <f aca="false">L17+L18</f>
        <v>1708.6</v>
      </c>
      <c r="M19" s="120" t="n">
        <f aca="false">M17+M18</f>
        <v>1708.6</v>
      </c>
      <c r="N19" s="120" t="n">
        <f aca="false">N17+N18</f>
        <v>1178.2</v>
      </c>
      <c r="O19" s="120" t="n">
        <f aca="false">O17+O18</f>
        <v>1178.2</v>
      </c>
      <c r="P19" s="120" t="n">
        <f aca="false">P17+P18</f>
        <v>1178.2</v>
      </c>
      <c r="Q19" s="120" t="n">
        <f aca="false">Q17+Q18</f>
        <v>1708.6</v>
      </c>
      <c r="R19" s="120" t="n">
        <f aca="false">R17+R18</f>
        <v>1708.6</v>
      </c>
      <c r="S19" s="120" t="n">
        <f aca="false">S17+S18</f>
        <v>1708.6</v>
      </c>
      <c r="T19" s="120" t="n">
        <f aca="false">T17+T18</f>
        <v>1708.6</v>
      </c>
      <c r="U19" s="120" t="n">
        <f aca="false">U17+U18</f>
        <v>1708.6</v>
      </c>
      <c r="V19" s="120" t="n">
        <f aca="false">V17+V18</f>
        <v>1708.6</v>
      </c>
      <c r="W19" s="120" t="n">
        <f aca="false">W17+W18</f>
        <v>1708.6</v>
      </c>
      <c r="X19" s="120" t="n">
        <f aca="false">X17+X18</f>
        <v>1708.6</v>
      </c>
      <c r="Y19" s="120" t="n">
        <f aca="false">Y17+Y18</f>
        <v>1708.6</v>
      </c>
      <c r="Z19" s="120" t="n">
        <f aca="false">Z17+Z18</f>
        <v>1178.2</v>
      </c>
      <c r="AA19" s="120" t="n">
        <f aca="false">AA17+AA18</f>
        <v>1178.2</v>
      </c>
      <c r="AB19" s="120" t="n">
        <f aca="false">AB17+AB18</f>
        <v>1178.2</v>
      </c>
      <c r="AC19" s="120" t="n">
        <f aca="false">AC17+AC18</f>
        <v>1708.6</v>
      </c>
      <c r="AD19" s="120" t="n">
        <f aca="false">AD17+AD18</f>
        <v>1708.6</v>
      </c>
      <c r="AE19" s="120" t="n">
        <f aca="false">AE17+AE18</f>
        <v>1708.6</v>
      </c>
      <c r="AF19" s="120" t="n">
        <f aca="false">AF17+AF18</f>
        <v>1708.6</v>
      </c>
      <c r="AG19" s="120" t="n">
        <f aca="false">AG17+AG18</f>
        <v>1708.6</v>
      </c>
      <c r="AH19" s="120" t="n">
        <f aca="false">AH17+AH18</f>
        <v>1708.6</v>
      </c>
      <c r="AI19" s="120" t="n">
        <f aca="false">AI17+AI18</f>
        <v>1708.6</v>
      </c>
      <c r="AJ19" s="120" t="n">
        <f aca="false">AJ17+AJ18</f>
        <v>1708.6</v>
      </c>
      <c r="AK19" s="120" t="n">
        <f aca="false">AK17+AK18</f>
        <v>1708.6</v>
      </c>
      <c r="AL19" s="120" t="n">
        <f aca="false">AL17+AL18</f>
        <v>1178.2</v>
      </c>
    </row>
    <row r="21" customFormat="false" ht="15.75" hidden="false" customHeight="true" outlineLevel="0" collapsed="false">
      <c r="A21" s="7" t="s">
        <v>44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</row>
    <row r="22" customFormat="false" ht="15" hidden="false" customHeight="false" outlineLevel="0" collapsed="false">
      <c r="A22" s="6" t="s">
        <v>396</v>
      </c>
      <c r="C22" s="121" t="n">
        <f aca="false">Inputs!$B$19*(1+Inputs!$B$20)^(C$7-1)</f>
        <v>13</v>
      </c>
      <c r="D22" s="121" t="n">
        <f aca="false">Inputs!$B$19*(1+Inputs!$B$20)^(D$7-1)</f>
        <v>13</v>
      </c>
      <c r="E22" s="121" t="n">
        <f aca="false">Inputs!$B$19*(1+Inputs!$B$20)^(E$7-1)</f>
        <v>13</v>
      </c>
      <c r="F22" s="121" t="n">
        <f aca="false">Inputs!$B$19*(1+Inputs!$B$20)^(F$7-1)</f>
        <v>13</v>
      </c>
      <c r="G22" s="121" t="n">
        <f aca="false">Inputs!$B$19*(1+Inputs!$B$20)^(G$7-1)</f>
        <v>13</v>
      </c>
      <c r="H22" s="121" t="n">
        <f aca="false">Inputs!$B$19*(1+Inputs!$B$20)^(H$7-1)</f>
        <v>13</v>
      </c>
      <c r="I22" s="121" t="n">
        <f aca="false">Inputs!$B$19*(1+Inputs!$B$20)^(I$7-1)</f>
        <v>13</v>
      </c>
      <c r="J22" s="121" t="n">
        <f aca="false">Inputs!$B$19*(1+Inputs!$B$20)^(J$7-1)</f>
        <v>13</v>
      </c>
      <c r="K22" s="121" t="n">
        <f aca="false">Inputs!$B$19*(1+Inputs!$B$20)^(K$7-1)</f>
        <v>13</v>
      </c>
      <c r="L22" s="121" t="n">
        <f aca="false">Inputs!$B$19*(1+Inputs!$B$20)^(L$7-1)</f>
        <v>13</v>
      </c>
      <c r="M22" s="121" t="n">
        <f aca="false">Inputs!$B$19*(1+Inputs!$B$20)^(M$7-1)</f>
        <v>13</v>
      </c>
      <c r="N22" s="121" t="n">
        <f aca="false">Inputs!$B$19*(1+Inputs!$B$20)^(N$7-1)</f>
        <v>13</v>
      </c>
      <c r="O22" s="121" t="n">
        <f aca="false">Inputs!$B$19*(1+Inputs!$B$20)^(O$7-1)</f>
        <v>13.26</v>
      </c>
      <c r="P22" s="121" t="n">
        <f aca="false">Inputs!$B$19*(1+Inputs!$B$20)^(P$7-1)</f>
        <v>13.26</v>
      </c>
      <c r="Q22" s="121" t="n">
        <f aca="false">Inputs!$B$19*(1+Inputs!$B$20)^(Q$7-1)</f>
        <v>13.26</v>
      </c>
      <c r="R22" s="121" t="n">
        <f aca="false">Inputs!$B$19*(1+Inputs!$B$20)^(R$7-1)</f>
        <v>13.26</v>
      </c>
      <c r="S22" s="121" t="n">
        <f aca="false">Inputs!$B$19*(1+Inputs!$B$20)^(S$7-1)</f>
        <v>13.26</v>
      </c>
      <c r="T22" s="121" t="n">
        <f aca="false">Inputs!$B$19*(1+Inputs!$B$20)^(T$7-1)</f>
        <v>13.26</v>
      </c>
      <c r="U22" s="121" t="n">
        <f aca="false">Inputs!$B$19*(1+Inputs!$B$20)^(U$7-1)</f>
        <v>13.26</v>
      </c>
      <c r="V22" s="121" t="n">
        <f aca="false">Inputs!$B$19*(1+Inputs!$B$20)^(V$7-1)</f>
        <v>13.26</v>
      </c>
      <c r="W22" s="121" t="n">
        <f aca="false">Inputs!$B$19*(1+Inputs!$B$20)^(W$7-1)</f>
        <v>13.26</v>
      </c>
      <c r="X22" s="121" t="n">
        <f aca="false">Inputs!$B$19*(1+Inputs!$B$20)^(X$7-1)</f>
        <v>13.26</v>
      </c>
      <c r="Y22" s="121" t="n">
        <f aca="false">Inputs!$B$19*(1+Inputs!$B$20)^(Y$7-1)</f>
        <v>13.26</v>
      </c>
      <c r="Z22" s="121" t="n">
        <f aca="false">Inputs!$B$19*(1+Inputs!$B$20)^(Z$7-1)</f>
        <v>13.26</v>
      </c>
      <c r="AA22" s="121" t="n">
        <f aca="false">Inputs!$B$19*(1+Inputs!$B$20)^(AA$7-1)</f>
        <v>13.5252</v>
      </c>
      <c r="AB22" s="121" t="n">
        <f aca="false">Inputs!$B$19*(1+Inputs!$B$20)^(AB$7-1)</f>
        <v>13.5252</v>
      </c>
      <c r="AC22" s="121" t="n">
        <f aca="false">Inputs!$B$19*(1+Inputs!$B$20)^(AC$7-1)</f>
        <v>13.5252</v>
      </c>
      <c r="AD22" s="121" t="n">
        <f aca="false">Inputs!$B$19*(1+Inputs!$B$20)^(AD$7-1)</f>
        <v>13.5252</v>
      </c>
      <c r="AE22" s="121" t="n">
        <f aca="false">Inputs!$B$19*(1+Inputs!$B$20)^(AE$7-1)</f>
        <v>13.5252</v>
      </c>
      <c r="AF22" s="121" t="n">
        <f aca="false">Inputs!$B$19*(1+Inputs!$B$20)^(AF$7-1)</f>
        <v>13.5252</v>
      </c>
      <c r="AG22" s="121" t="n">
        <f aca="false">Inputs!$B$19*(1+Inputs!$B$20)^(AG$7-1)</f>
        <v>13.5252</v>
      </c>
      <c r="AH22" s="121" t="n">
        <f aca="false">Inputs!$B$19*(1+Inputs!$B$20)^(AH$7-1)</f>
        <v>13.5252</v>
      </c>
      <c r="AI22" s="121" t="n">
        <f aca="false">Inputs!$B$19*(1+Inputs!$B$20)^(AI$7-1)</f>
        <v>13.5252</v>
      </c>
      <c r="AJ22" s="121" t="n">
        <f aca="false">Inputs!$B$19*(1+Inputs!$B$20)^(AJ$7-1)</f>
        <v>13.5252</v>
      </c>
      <c r="AK22" s="121" t="n">
        <f aca="false">Inputs!$B$19*(1+Inputs!$B$20)^(AK$7-1)</f>
        <v>13.5252</v>
      </c>
      <c r="AL22" s="121" t="n">
        <f aca="false">Inputs!$B$19*(1+Inputs!$B$20)^(AL$7-1)</f>
        <v>13.5252</v>
      </c>
    </row>
    <row r="23" customFormat="false" ht="15" hidden="false" customHeight="false" outlineLevel="0" collapsed="false">
      <c r="A23" s="6" t="s">
        <v>397</v>
      </c>
      <c r="C23" s="67" t="n">
        <f aca="false">Inputs!$B$25*(1+Inputs!$B$20)^(C$7-1)</f>
        <v>1250</v>
      </c>
      <c r="D23" s="67" t="n">
        <f aca="false">Inputs!$B$25*(1+Inputs!$B$20)^(D$7-1)</f>
        <v>1250</v>
      </c>
      <c r="E23" s="67" t="n">
        <f aca="false">Inputs!$B$25*(1+Inputs!$B$20)^(E$7-1)</f>
        <v>1250</v>
      </c>
      <c r="F23" s="67" t="n">
        <f aca="false">Inputs!$B$25*(1+Inputs!$B$20)^(F$7-1)</f>
        <v>1250</v>
      </c>
      <c r="G23" s="67" t="n">
        <f aca="false">Inputs!$B$25*(1+Inputs!$B$20)^(G$7-1)</f>
        <v>1250</v>
      </c>
      <c r="H23" s="67" t="n">
        <f aca="false">Inputs!$B$25*(1+Inputs!$B$20)^(H$7-1)</f>
        <v>1250</v>
      </c>
      <c r="I23" s="67" t="n">
        <f aca="false">Inputs!$B$25*(1+Inputs!$B$20)^(I$7-1)</f>
        <v>1250</v>
      </c>
      <c r="J23" s="67" t="n">
        <f aca="false">Inputs!$B$25*(1+Inputs!$B$20)^(J$7-1)</f>
        <v>1250</v>
      </c>
      <c r="K23" s="67" t="n">
        <f aca="false">Inputs!$B$25*(1+Inputs!$B$20)^(K$7-1)</f>
        <v>1250</v>
      </c>
      <c r="L23" s="67" t="n">
        <f aca="false">Inputs!$B$25*(1+Inputs!$B$20)^(L$7-1)</f>
        <v>1250</v>
      </c>
      <c r="M23" s="67" t="n">
        <f aca="false">Inputs!$B$25*(1+Inputs!$B$20)^(M$7-1)</f>
        <v>1250</v>
      </c>
      <c r="N23" s="67" t="n">
        <f aca="false">Inputs!$B$25*(1+Inputs!$B$20)^(N$7-1)</f>
        <v>1250</v>
      </c>
      <c r="O23" s="67" t="n">
        <f aca="false">Inputs!$B$25*(1+Inputs!$B$20)^(O$7-1)</f>
        <v>1275</v>
      </c>
      <c r="P23" s="67" t="n">
        <f aca="false">Inputs!$B$25*(1+Inputs!$B$20)^(P$7-1)</f>
        <v>1275</v>
      </c>
      <c r="Q23" s="67" t="n">
        <f aca="false">Inputs!$B$25*(1+Inputs!$B$20)^(Q$7-1)</f>
        <v>1275</v>
      </c>
      <c r="R23" s="67" t="n">
        <f aca="false">Inputs!$B$25*(1+Inputs!$B$20)^(R$7-1)</f>
        <v>1275</v>
      </c>
      <c r="S23" s="67" t="n">
        <f aca="false">Inputs!$B$25*(1+Inputs!$B$20)^(S$7-1)</f>
        <v>1275</v>
      </c>
      <c r="T23" s="67" t="n">
        <f aca="false">Inputs!$B$25*(1+Inputs!$B$20)^(T$7-1)</f>
        <v>1275</v>
      </c>
      <c r="U23" s="67" t="n">
        <f aca="false">Inputs!$B$25*(1+Inputs!$B$20)^(U$7-1)</f>
        <v>1275</v>
      </c>
      <c r="V23" s="67" t="n">
        <f aca="false">Inputs!$B$25*(1+Inputs!$B$20)^(V$7-1)</f>
        <v>1275</v>
      </c>
      <c r="W23" s="67" t="n">
        <f aca="false">Inputs!$B$25*(1+Inputs!$B$20)^(W$7-1)</f>
        <v>1275</v>
      </c>
      <c r="X23" s="67" t="n">
        <f aca="false">Inputs!$B$25*(1+Inputs!$B$20)^(X$7-1)</f>
        <v>1275</v>
      </c>
      <c r="Y23" s="67" t="n">
        <f aca="false">Inputs!$B$25*(1+Inputs!$B$20)^(Y$7-1)</f>
        <v>1275</v>
      </c>
      <c r="Z23" s="67" t="n">
        <f aca="false">Inputs!$B$25*(1+Inputs!$B$20)^(Z$7-1)</f>
        <v>1275</v>
      </c>
      <c r="AA23" s="67" t="n">
        <f aca="false">Inputs!$B$25*(1+Inputs!$B$20)^(AA$7-1)</f>
        <v>1300.5</v>
      </c>
      <c r="AB23" s="67" t="n">
        <f aca="false">Inputs!$B$25*(1+Inputs!$B$20)^(AB$7-1)</f>
        <v>1300.5</v>
      </c>
      <c r="AC23" s="67" t="n">
        <f aca="false">Inputs!$B$25*(1+Inputs!$B$20)^(AC$7-1)</f>
        <v>1300.5</v>
      </c>
      <c r="AD23" s="67" t="n">
        <f aca="false">Inputs!$B$25*(1+Inputs!$B$20)^(AD$7-1)</f>
        <v>1300.5</v>
      </c>
      <c r="AE23" s="67" t="n">
        <f aca="false">Inputs!$B$25*(1+Inputs!$B$20)^(AE$7-1)</f>
        <v>1300.5</v>
      </c>
      <c r="AF23" s="67" t="n">
        <f aca="false">Inputs!$B$25*(1+Inputs!$B$20)^(AF$7-1)</f>
        <v>1300.5</v>
      </c>
      <c r="AG23" s="67" t="n">
        <f aca="false">Inputs!$B$25*(1+Inputs!$B$20)^(AG$7-1)</f>
        <v>1300.5</v>
      </c>
      <c r="AH23" s="67" t="n">
        <f aca="false">Inputs!$B$25*(1+Inputs!$B$20)^(AH$7-1)</f>
        <v>1300.5</v>
      </c>
      <c r="AI23" s="67" t="n">
        <f aca="false">Inputs!$B$25*(1+Inputs!$B$20)^(AI$7-1)</f>
        <v>1300.5</v>
      </c>
      <c r="AJ23" s="67" t="n">
        <f aca="false">Inputs!$B$25*(1+Inputs!$B$20)^(AJ$7-1)</f>
        <v>1300.5</v>
      </c>
      <c r="AK23" s="67" t="n">
        <f aca="false">Inputs!$B$25*(1+Inputs!$B$20)^(AK$7-1)</f>
        <v>1300.5</v>
      </c>
      <c r="AL23" s="67" t="n">
        <f aca="false">Inputs!$B$25*(1+Inputs!$B$20)^(AL$7-1)</f>
        <v>1300.5</v>
      </c>
    </row>
    <row r="24" customFormat="false" ht="15" hidden="false" customHeight="false" outlineLevel="0" collapsed="false">
      <c r="A24" s="6" t="s">
        <v>234</v>
      </c>
      <c r="C24" s="67" t="n">
        <f aca="false">C17*C22</f>
        <v>4223.31</v>
      </c>
      <c r="D24" s="67" t="n">
        <f aca="false">D17*D22</f>
        <v>5094.78666666667</v>
      </c>
      <c r="E24" s="67" t="n">
        <f aca="false">E17*E22</f>
        <v>9375.55666666667</v>
      </c>
      <c r="F24" s="67" t="n">
        <f aca="false">F17*F22</f>
        <v>10745.02</v>
      </c>
      <c r="G24" s="67" t="n">
        <f aca="false">G17*G22</f>
        <v>12114.4833333333</v>
      </c>
      <c r="H24" s="67" t="n">
        <f aca="false">H17*H22</f>
        <v>13483.9466666667</v>
      </c>
      <c r="I24" s="67" t="n">
        <f aca="false">I17*I22</f>
        <v>14853.41</v>
      </c>
      <c r="J24" s="67" t="n">
        <f aca="false">J17*J22</f>
        <v>16222.8733333333</v>
      </c>
      <c r="K24" s="67" t="n">
        <f aca="false">K17*K22</f>
        <v>17592.3366666667</v>
      </c>
      <c r="L24" s="67" t="n">
        <f aca="false">L17*L22</f>
        <v>18961.8</v>
      </c>
      <c r="M24" s="67" t="n">
        <f aca="false">M17*M22</f>
        <v>18961.8</v>
      </c>
      <c r="N24" s="67" t="n">
        <f aca="false">N17*N22</f>
        <v>12066.6</v>
      </c>
      <c r="O24" s="67" t="n">
        <f aca="false">O17*O22</f>
        <v>12307.932</v>
      </c>
      <c r="P24" s="67" t="n">
        <f aca="false">P17*P22</f>
        <v>12307.932</v>
      </c>
      <c r="Q24" s="67" t="n">
        <f aca="false">Q17*Q22</f>
        <v>19341.036</v>
      </c>
      <c r="R24" s="67" t="n">
        <f aca="false">R17*R22</f>
        <v>19341.036</v>
      </c>
      <c r="S24" s="67" t="n">
        <f aca="false">S17*S22</f>
        <v>19341.036</v>
      </c>
      <c r="T24" s="67" t="n">
        <f aca="false">T17*T22</f>
        <v>19341.036</v>
      </c>
      <c r="U24" s="67" t="n">
        <f aca="false">U17*U22</f>
        <v>19341.036</v>
      </c>
      <c r="V24" s="67" t="n">
        <f aca="false">V17*V22</f>
        <v>19341.036</v>
      </c>
      <c r="W24" s="67" t="n">
        <f aca="false">W17*W22</f>
        <v>19341.036</v>
      </c>
      <c r="X24" s="67" t="n">
        <f aca="false">X17*X22</f>
        <v>19341.036</v>
      </c>
      <c r="Y24" s="67" t="n">
        <f aca="false">Y17*Y22</f>
        <v>19341.036</v>
      </c>
      <c r="Z24" s="67" t="n">
        <f aca="false">Z17*Z22</f>
        <v>12307.932</v>
      </c>
      <c r="AA24" s="67" t="n">
        <f aca="false">AA17*AA22</f>
        <v>12554.09064</v>
      </c>
      <c r="AB24" s="67" t="n">
        <f aca="false">AB17*AB22</f>
        <v>12554.09064</v>
      </c>
      <c r="AC24" s="67" t="n">
        <f aca="false">AC17*AC22</f>
        <v>19727.85672</v>
      </c>
      <c r="AD24" s="67" t="n">
        <f aca="false">AD17*AD22</f>
        <v>19727.85672</v>
      </c>
      <c r="AE24" s="67" t="n">
        <f aca="false">AE17*AE22</f>
        <v>19727.85672</v>
      </c>
      <c r="AF24" s="67" t="n">
        <f aca="false">AF17*AF22</f>
        <v>19727.85672</v>
      </c>
      <c r="AG24" s="67" t="n">
        <f aca="false">AG17*AG22</f>
        <v>19727.85672</v>
      </c>
      <c r="AH24" s="67" t="n">
        <f aca="false">AH17*AH22</f>
        <v>19727.85672</v>
      </c>
      <c r="AI24" s="67" t="n">
        <f aca="false">AI17*AI22</f>
        <v>19727.85672</v>
      </c>
      <c r="AJ24" s="67" t="n">
        <f aca="false">AJ17*AJ22</f>
        <v>19727.85672</v>
      </c>
      <c r="AK24" s="67" t="n">
        <f aca="false">AK17*AK22</f>
        <v>19727.85672</v>
      </c>
      <c r="AL24" s="67" t="n">
        <f aca="false">AL17*AL22</f>
        <v>12554.09064</v>
      </c>
    </row>
    <row r="25" customFormat="false" ht="15" hidden="false" customHeight="false" outlineLevel="0" collapsed="false">
      <c r="A25" s="6" t="s">
        <v>235</v>
      </c>
      <c r="C25" s="67" t="n">
        <f aca="false">C15*C23</f>
        <v>1093.75</v>
      </c>
      <c r="D25" s="67" t="n">
        <f aca="false">D15*D23</f>
        <v>1319.44444444444</v>
      </c>
      <c r="E25" s="67" t="n">
        <f aca="false">E15*E23</f>
        <v>1545.13888888889</v>
      </c>
      <c r="F25" s="67" t="n">
        <f aca="false">F15*F23</f>
        <v>1770.83333333333</v>
      </c>
      <c r="G25" s="67" t="n">
        <f aca="false">G15*G23</f>
        <v>1996.52777777778</v>
      </c>
      <c r="H25" s="67" t="n">
        <f aca="false">H15*H23</f>
        <v>2222.22222222222</v>
      </c>
      <c r="I25" s="67" t="n">
        <f aca="false">I15*I23</f>
        <v>2447.91666666667</v>
      </c>
      <c r="J25" s="67" t="n">
        <f aca="false">J15*J23</f>
        <v>2673.61111111111</v>
      </c>
      <c r="K25" s="67" t="n">
        <f aca="false">K15*K23</f>
        <v>2899.30555555556</v>
      </c>
      <c r="L25" s="67" t="n">
        <f aca="false">L15*L23</f>
        <v>3125</v>
      </c>
      <c r="M25" s="67" t="n">
        <f aca="false">M15*M23</f>
        <v>3125</v>
      </c>
      <c r="N25" s="67" t="n">
        <f aca="false">N15*N23</f>
        <v>3125</v>
      </c>
      <c r="O25" s="67" t="n">
        <f aca="false">O15*O23</f>
        <v>3187.5</v>
      </c>
      <c r="P25" s="67" t="n">
        <f aca="false">P15*P23</f>
        <v>3187.5</v>
      </c>
      <c r="Q25" s="67" t="n">
        <f aca="false">Q15*Q23</f>
        <v>3187.5</v>
      </c>
      <c r="R25" s="67" t="n">
        <f aca="false">R15*R23</f>
        <v>3187.5</v>
      </c>
      <c r="S25" s="67" t="n">
        <f aca="false">S15*S23</f>
        <v>3187.5</v>
      </c>
      <c r="T25" s="67" t="n">
        <f aca="false">T15*T23</f>
        <v>3187.5</v>
      </c>
      <c r="U25" s="67" t="n">
        <f aca="false">U15*U23</f>
        <v>3187.5</v>
      </c>
      <c r="V25" s="67" t="n">
        <f aca="false">V15*V23</f>
        <v>3187.5</v>
      </c>
      <c r="W25" s="67" t="n">
        <f aca="false">W15*W23</f>
        <v>3187.5</v>
      </c>
      <c r="X25" s="67" t="n">
        <f aca="false">X15*X23</f>
        <v>3187.5</v>
      </c>
      <c r="Y25" s="67" t="n">
        <f aca="false">Y15*Y23</f>
        <v>3187.5</v>
      </c>
      <c r="Z25" s="67" t="n">
        <f aca="false">Z15*Z23</f>
        <v>3187.5</v>
      </c>
      <c r="AA25" s="67" t="n">
        <f aca="false">AA15*AA23</f>
        <v>3251.25</v>
      </c>
      <c r="AB25" s="67" t="n">
        <f aca="false">AB15*AB23</f>
        <v>3251.25</v>
      </c>
      <c r="AC25" s="67" t="n">
        <f aca="false">AC15*AC23</f>
        <v>3251.25</v>
      </c>
      <c r="AD25" s="67" t="n">
        <f aca="false">AD15*AD23</f>
        <v>3251.25</v>
      </c>
      <c r="AE25" s="67" t="n">
        <f aca="false">AE15*AE23</f>
        <v>3251.25</v>
      </c>
      <c r="AF25" s="67" t="n">
        <f aca="false">AF15*AF23</f>
        <v>3251.25</v>
      </c>
      <c r="AG25" s="67" t="n">
        <f aca="false">AG15*AG23</f>
        <v>3251.25</v>
      </c>
      <c r="AH25" s="67" t="n">
        <f aca="false">AH15*AH23</f>
        <v>3251.25</v>
      </c>
      <c r="AI25" s="67" t="n">
        <f aca="false">AI15*AI23</f>
        <v>3251.25</v>
      </c>
      <c r="AJ25" s="67" t="n">
        <f aca="false">AJ15*AJ23</f>
        <v>3251.25</v>
      </c>
      <c r="AK25" s="67" t="n">
        <f aca="false">AK15*AK23</f>
        <v>3251.25</v>
      </c>
      <c r="AL25" s="67" t="n">
        <f aca="false">AL15*AL23</f>
        <v>3251.25</v>
      </c>
    </row>
    <row r="26" customFormat="false" ht="15" hidden="false" customHeight="false" outlineLevel="0" collapsed="false">
      <c r="A26" s="113" t="s">
        <v>44</v>
      </c>
      <c r="C26" s="68" t="n">
        <f aca="false">C24+C25</f>
        <v>5317.06</v>
      </c>
      <c r="D26" s="68" t="n">
        <f aca="false">D24+D25</f>
        <v>6414.23111111111</v>
      </c>
      <c r="E26" s="68" t="n">
        <f aca="false">E24+E25</f>
        <v>10920.6955555556</v>
      </c>
      <c r="F26" s="68" t="n">
        <f aca="false">F24+F25</f>
        <v>12515.8533333333</v>
      </c>
      <c r="G26" s="68" t="n">
        <f aca="false">G24+G25</f>
        <v>14111.0111111111</v>
      </c>
      <c r="H26" s="68" t="n">
        <f aca="false">H24+H25</f>
        <v>15706.1688888889</v>
      </c>
      <c r="I26" s="68" t="n">
        <f aca="false">I24+I25</f>
        <v>17301.3266666667</v>
      </c>
      <c r="J26" s="68" t="n">
        <f aca="false">J24+J25</f>
        <v>18896.4844444445</v>
      </c>
      <c r="K26" s="68" t="n">
        <f aca="false">K24+K25</f>
        <v>20491.6422222222</v>
      </c>
      <c r="L26" s="68" t="n">
        <f aca="false">L24+L25</f>
        <v>22086.8</v>
      </c>
      <c r="M26" s="68" t="n">
        <f aca="false">M24+M25</f>
        <v>22086.8</v>
      </c>
      <c r="N26" s="68" t="n">
        <f aca="false">N24+N25</f>
        <v>15191.6</v>
      </c>
      <c r="O26" s="68" t="n">
        <f aca="false">O24+O25</f>
        <v>15495.432</v>
      </c>
      <c r="P26" s="68" t="n">
        <f aca="false">P24+P25</f>
        <v>15495.432</v>
      </c>
      <c r="Q26" s="68" t="n">
        <f aca="false">Q24+Q25</f>
        <v>22528.536</v>
      </c>
      <c r="R26" s="68" t="n">
        <f aca="false">R24+R25</f>
        <v>22528.536</v>
      </c>
      <c r="S26" s="68" t="n">
        <f aca="false">S24+S25</f>
        <v>22528.536</v>
      </c>
      <c r="T26" s="68" t="n">
        <f aca="false">T24+T25</f>
        <v>22528.536</v>
      </c>
      <c r="U26" s="68" t="n">
        <f aca="false">U24+U25</f>
        <v>22528.536</v>
      </c>
      <c r="V26" s="68" t="n">
        <f aca="false">V24+V25</f>
        <v>22528.536</v>
      </c>
      <c r="W26" s="68" t="n">
        <f aca="false">W24+W25</f>
        <v>22528.536</v>
      </c>
      <c r="X26" s="68" t="n">
        <f aca="false">X24+X25</f>
        <v>22528.536</v>
      </c>
      <c r="Y26" s="68" t="n">
        <f aca="false">Y24+Y25</f>
        <v>22528.536</v>
      </c>
      <c r="Z26" s="68" t="n">
        <f aca="false">Z24+Z25</f>
        <v>15495.432</v>
      </c>
      <c r="AA26" s="68" t="n">
        <f aca="false">AA24+AA25</f>
        <v>15805.34064</v>
      </c>
      <c r="AB26" s="68" t="n">
        <f aca="false">AB24+AB25</f>
        <v>15805.34064</v>
      </c>
      <c r="AC26" s="68" t="n">
        <f aca="false">AC24+AC25</f>
        <v>22979.10672</v>
      </c>
      <c r="AD26" s="68" t="n">
        <f aca="false">AD24+AD25</f>
        <v>22979.10672</v>
      </c>
      <c r="AE26" s="68" t="n">
        <f aca="false">AE24+AE25</f>
        <v>22979.10672</v>
      </c>
      <c r="AF26" s="68" t="n">
        <f aca="false">AF24+AF25</f>
        <v>22979.10672</v>
      </c>
      <c r="AG26" s="68" t="n">
        <f aca="false">AG24+AG25</f>
        <v>22979.10672</v>
      </c>
      <c r="AH26" s="68" t="n">
        <f aca="false">AH24+AH25</f>
        <v>22979.10672</v>
      </c>
      <c r="AI26" s="68" t="n">
        <f aca="false">AI24+AI25</f>
        <v>22979.10672</v>
      </c>
      <c r="AJ26" s="68" t="n">
        <f aca="false">AJ24+AJ25</f>
        <v>22979.10672</v>
      </c>
      <c r="AK26" s="68" t="n">
        <f aca="false">AK24+AK25</f>
        <v>22979.10672</v>
      </c>
      <c r="AL26" s="68" t="n">
        <f aca="false">AL24+AL25</f>
        <v>15805.34064</v>
      </c>
    </row>
    <row r="28" customFormat="false" ht="15.75" hidden="false" customHeight="true" outlineLevel="0" collapsed="false">
      <c r="A28" s="7" t="s">
        <v>76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</row>
    <row r="29" customFormat="false" ht="15" hidden="false" customHeight="false" outlineLevel="0" collapsed="false">
      <c r="A29" s="6" t="s">
        <v>398</v>
      </c>
      <c r="C29" s="67" t="n">
        <f aca="false">-C26*Inputs!$B$29</f>
        <v>-1834.3857</v>
      </c>
      <c r="D29" s="67" t="n">
        <f aca="false">-D26*Inputs!$B$29</f>
        <v>-2212.90973333333</v>
      </c>
      <c r="E29" s="67" t="n">
        <f aca="false">-E26*Inputs!$B$29</f>
        <v>-3767.63996666667</v>
      </c>
      <c r="F29" s="67" t="n">
        <f aca="false">-F26*Inputs!$B$29</f>
        <v>-4317.9694</v>
      </c>
      <c r="G29" s="67" t="n">
        <f aca="false">-G26*Inputs!$B$29</f>
        <v>-4868.29883333333</v>
      </c>
      <c r="H29" s="67" t="n">
        <f aca="false">-H26*Inputs!$B$29</f>
        <v>-5418.62826666667</v>
      </c>
      <c r="I29" s="67" t="n">
        <f aca="false">-I26*Inputs!$B$29</f>
        <v>-5968.9577</v>
      </c>
      <c r="J29" s="67" t="n">
        <f aca="false">-J26*Inputs!$B$29</f>
        <v>-6519.28713333334</v>
      </c>
      <c r="K29" s="67" t="n">
        <f aca="false">-K26*Inputs!$B$29</f>
        <v>-7069.61656666667</v>
      </c>
      <c r="L29" s="67" t="n">
        <f aca="false">-L26*Inputs!$B$29</f>
        <v>-7619.946</v>
      </c>
      <c r="M29" s="67" t="n">
        <f aca="false">-M26*Inputs!$B$29</f>
        <v>-7619.946</v>
      </c>
      <c r="N29" s="67" t="n">
        <f aca="false">-N26*Inputs!$B$29</f>
        <v>-5241.102</v>
      </c>
      <c r="O29" s="67" t="n">
        <f aca="false">-O26*Inputs!$B$29</f>
        <v>-5345.92404</v>
      </c>
      <c r="P29" s="67" t="n">
        <f aca="false">-P26*Inputs!$B$29</f>
        <v>-5345.92404</v>
      </c>
      <c r="Q29" s="67" t="n">
        <f aca="false">-Q26*Inputs!$B$29</f>
        <v>-7772.34492</v>
      </c>
      <c r="R29" s="67" t="n">
        <f aca="false">-R26*Inputs!$B$29</f>
        <v>-7772.34492</v>
      </c>
      <c r="S29" s="67" t="n">
        <f aca="false">-S26*Inputs!$B$29</f>
        <v>-7772.34492</v>
      </c>
      <c r="T29" s="67" t="n">
        <f aca="false">-T26*Inputs!$B$29</f>
        <v>-7772.34492</v>
      </c>
      <c r="U29" s="67" t="n">
        <f aca="false">-U26*Inputs!$B$29</f>
        <v>-7772.34492</v>
      </c>
      <c r="V29" s="67" t="n">
        <f aca="false">-V26*Inputs!$B$29</f>
        <v>-7772.34492</v>
      </c>
      <c r="W29" s="67" t="n">
        <f aca="false">-W26*Inputs!$B$29</f>
        <v>-7772.34492</v>
      </c>
      <c r="X29" s="67" t="n">
        <f aca="false">-X26*Inputs!$B$29</f>
        <v>-7772.34492</v>
      </c>
      <c r="Y29" s="67" t="n">
        <f aca="false">-Y26*Inputs!$B$29</f>
        <v>-7772.34492</v>
      </c>
      <c r="Z29" s="67" t="n">
        <f aca="false">-Z26*Inputs!$B$29</f>
        <v>-5345.92404</v>
      </c>
      <c r="AA29" s="67" t="n">
        <f aca="false">-AA26*Inputs!$B$29</f>
        <v>-5452.8425208</v>
      </c>
      <c r="AB29" s="67" t="n">
        <f aca="false">-AB26*Inputs!$B$29</f>
        <v>-5452.8425208</v>
      </c>
      <c r="AC29" s="67" t="n">
        <f aca="false">-AC26*Inputs!$B$29</f>
        <v>-7927.7918184</v>
      </c>
      <c r="AD29" s="67" t="n">
        <f aca="false">-AD26*Inputs!$B$29</f>
        <v>-7927.7918184</v>
      </c>
      <c r="AE29" s="67" t="n">
        <f aca="false">-AE26*Inputs!$B$29</f>
        <v>-7927.7918184</v>
      </c>
      <c r="AF29" s="67" t="n">
        <f aca="false">-AF26*Inputs!$B$29</f>
        <v>-7927.7918184</v>
      </c>
      <c r="AG29" s="67" t="n">
        <f aca="false">-AG26*Inputs!$B$29</f>
        <v>-7927.7918184</v>
      </c>
      <c r="AH29" s="67" t="n">
        <f aca="false">-AH26*Inputs!$B$29</f>
        <v>-7927.7918184</v>
      </c>
      <c r="AI29" s="67" t="n">
        <f aca="false">-AI26*Inputs!$B$29</f>
        <v>-7927.7918184</v>
      </c>
      <c r="AJ29" s="67" t="n">
        <f aca="false">-AJ26*Inputs!$B$29</f>
        <v>-7927.7918184</v>
      </c>
      <c r="AK29" s="67" t="n">
        <f aca="false">-AK26*Inputs!$B$29</f>
        <v>-7927.7918184</v>
      </c>
      <c r="AL29" s="67" t="n">
        <f aca="false">-AL26*Inputs!$B$29</f>
        <v>-5452.8425208</v>
      </c>
    </row>
    <row r="30" customFormat="false" ht="15" hidden="false" customHeight="false" outlineLevel="0" collapsed="false">
      <c r="A30" s="6" t="s">
        <v>399</v>
      </c>
      <c r="C30" s="67" t="n">
        <f aca="false">-C19*Inputs!$B$30*(1+Inputs!$B$34)^(C$7-1)</f>
        <v>-206.185</v>
      </c>
      <c r="D30" s="67" t="n">
        <f aca="false">-D19*Inputs!$B$30*(1+Inputs!$B$34)^(D$7-1)</f>
        <v>-248.731111111111</v>
      </c>
      <c r="E30" s="67" t="n">
        <f aca="false">-E19*Inputs!$B$30*(1+Inputs!$B$34)^(E$7-1)</f>
        <v>-422.403888888889</v>
      </c>
      <c r="F30" s="67" t="n">
        <f aca="false">-F19*Inputs!$B$30*(1+Inputs!$B$34)^(F$7-1)</f>
        <v>-484.103333333333</v>
      </c>
      <c r="G30" s="67" t="n">
        <f aca="false">-G19*Inputs!$B$30*(1+Inputs!$B$34)^(G$7-1)</f>
        <v>-545.802777777778</v>
      </c>
      <c r="H30" s="67" t="n">
        <f aca="false">-H19*Inputs!$B$30*(1+Inputs!$B$34)^(H$7-1)</f>
        <v>-607.502222222222</v>
      </c>
      <c r="I30" s="67" t="n">
        <f aca="false">-I19*Inputs!$B$30*(1+Inputs!$B$34)^(I$7-1)</f>
        <v>-669.201666666667</v>
      </c>
      <c r="J30" s="67" t="n">
        <f aca="false">-J19*Inputs!$B$30*(1+Inputs!$B$34)^(J$7-1)</f>
        <v>-730.901111111111</v>
      </c>
      <c r="K30" s="67" t="n">
        <f aca="false">-K19*Inputs!$B$30*(1+Inputs!$B$34)^(K$7-1)</f>
        <v>-792.600555555556</v>
      </c>
      <c r="L30" s="67" t="n">
        <f aca="false">-L19*Inputs!$B$30*(1+Inputs!$B$34)^(L$7-1)</f>
        <v>-854.3</v>
      </c>
      <c r="M30" s="67" t="n">
        <f aca="false">-M19*Inputs!$B$30*(1+Inputs!$B$34)^(M$7-1)</f>
        <v>-854.3</v>
      </c>
      <c r="N30" s="67" t="n">
        <f aca="false">-N19*Inputs!$B$30*(1+Inputs!$B$34)^(N$7-1)</f>
        <v>-589.1</v>
      </c>
      <c r="O30" s="67" t="n">
        <f aca="false">-O19*Inputs!$B$30*(1+Inputs!$B$34)^(O$7-1)</f>
        <v>-612.664</v>
      </c>
      <c r="P30" s="67" t="n">
        <f aca="false">-P19*Inputs!$B$30*(1+Inputs!$B$34)^(P$7-1)</f>
        <v>-612.664</v>
      </c>
      <c r="Q30" s="67" t="n">
        <f aca="false">-Q19*Inputs!$B$30*(1+Inputs!$B$34)^(Q$7-1)</f>
        <v>-888.472</v>
      </c>
      <c r="R30" s="67" t="n">
        <f aca="false">-R19*Inputs!$B$30*(1+Inputs!$B$34)^(R$7-1)</f>
        <v>-888.472</v>
      </c>
      <c r="S30" s="67" t="n">
        <f aca="false">-S19*Inputs!$B$30*(1+Inputs!$B$34)^(S$7-1)</f>
        <v>-888.472</v>
      </c>
      <c r="T30" s="67" t="n">
        <f aca="false">-T19*Inputs!$B$30*(1+Inputs!$B$34)^(T$7-1)</f>
        <v>-888.472</v>
      </c>
      <c r="U30" s="67" t="n">
        <f aca="false">-U19*Inputs!$B$30*(1+Inputs!$B$34)^(U$7-1)</f>
        <v>-888.472</v>
      </c>
      <c r="V30" s="67" t="n">
        <f aca="false">-V19*Inputs!$B$30*(1+Inputs!$B$34)^(V$7-1)</f>
        <v>-888.472</v>
      </c>
      <c r="W30" s="67" t="n">
        <f aca="false">-W19*Inputs!$B$30*(1+Inputs!$B$34)^(W$7-1)</f>
        <v>-888.472</v>
      </c>
      <c r="X30" s="67" t="n">
        <f aca="false">-X19*Inputs!$B$30*(1+Inputs!$B$34)^(X$7-1)</f>
        <v>-888.472</v>
      </c>
      <c r="Y30" s="67" t="n">
        <f aca="false">-Y19*Inputs!$B$30*(1+Inputs!$B$34)^(Y$7-1)</f>
        <v>-888.472</v>
      </c>
      <c r="Z30" s="67" t="n">
        <f aca="false">-Z19*Inputs!$B$30*(1+Inputs!$B$34)^(Z$7-1)</f>
        <v>-612.664</v>
      </c>
      <c r="AA30" s="67" t="n">
        <f aca="false">-AA19*Inputs!$B$30*(1+Inputs!$B$34)^(AA$7-1)</f>
        <v>-637.17056</v>
      </c>
      <c r="AB30" s="67" t="n">
        <f aca="false">-AB19*Inputs!$B$30*(1+Inputs!$B$34)^(AB$7-1)</f>
        <v>-637.17056</v>
      </c>
      <c r="AC30" s="67" t="n">
        <f aca="false">-AC19*Inputs!$B$30*(1+Inputs!$B$34)^(AC$7-1)</f>
        <v>-924.01088</v>
      </c>
      <c r="AD30" s="67" t="n">
        <f aca="false">-AD19*Inputs!$B$30*(1+Inputs!$B$34)^(AD$7-1)</f>
        <v>-924.01088</v>
      </c>
      <c r="AE30" s="67" t="n">
        <f aca="false">-AE19*Inputs!$B$30*(1+Inputs!$B$34)^(AE$7-1)</f>
        <v>-924.01088</v>
      </c>
      <c r="AF30" s="67" t="n">
        <f aca="false">-AF19*Inputs!$B$30*(1+Inputs!$B$34)^(AF$7-1)</f>
        <v>-924.01088</v>
      </c>
      <c r="AG30" s="67" t="n">
        <f aca="false">-AG19*Inputs!$B$30*(1+Inputs!$B$34)^(AG$7-1)</f>
        <v>-924.01088</v>
      </c>
      <c r="AH30" s="67" t="n">
        <f aca="false">-AH19*Inputs!$B$30*(1+Inputs!$B$34)^(AH$7-1)</f>
        <v>-924.01088</v>
      </c>
      <c r="AI30" s="67" t="n">
        <f aca="false">-AI19*Inputs!$B$30*(1+Inputs!$B$34)^(AI$7-1)</f>
        <v>-924.01088</v>
      </c>
      <c r="AJ30" s="67" t="n">
        <f aca="false">-AJ19*Inputs!$B$30*(1+Inputs!$B$34)^(AJ$7-1)</f>
        <v>-924.01088</v>
      </c>
      <c r="AK30" s="67" t="n">
        <f aca="false">-AK19*Inputs!$B$30*(1+Inputs!$B$34)^(AK$7-1)</f>
        <v>-924.01088</v>
      </c>
      <c r="AL30" s="67" t="n">
        <f aca="false">-AL19*Inputs!$B$30*(1+Inputs!$B$34)^(AL$7-1)</f>
        <v>-637.17056</v>
      </c>
    </row>
    <row r="31" customFormat="false" ht="15" hidden="false" customHeight="false" outlineLevel="0" collapsed="false">
      <c r="A31" s="6" t="s">
        <v>239</v>
      </c>
      <c r="C31" s="67" t="n">
        <f aca="false">C29+C30</f>
        <v>-2040.5707</v>
      </c>
      <c r="D31" s="67" t="n">
        <f aca="false">D29+D30</f>
        <v>-2461.64084444444</v>
      </c>
      <c r="E31" s="67" t="n">
        <f aca="false">E29+E30</f>
        <v>-4190.04385555556</v>
      </c>
      <c r="F31" s="67" t="n">
        <f aca="false">F29+F30</f>
        <v>-4802.07273333333</v>
      </c>
      <c r="G31" s="67" t="n">
        <f aca="false">G29+G30</f>
        <v>-5414.10161111111</v>
      </c>
      <c r="H31" s="67" t="n">
        <f aca="false">H29+H30</f>
        <v>-6026.13048888889</v>
      </c>
      <c r="I31" s="67" t="n">
        <f aca="false">I29+I30</f>
        <v>-6638.15936666667</v>
      </c>
      <c r="J31" s="67" t="n">
        <f aca="false">J29+J30</f>
        <v>-7250.18824444445</v>
      </c>
      <c r="K31" s="67" t="n">
        <f aca="false">K29+K30</f>
        <v>-7862.21712222222</v>
      </c>
      <c r="L31" s="67" t="n">
        <f aca="false">L29+L30</f>
        <v>-8474.246</v>
      </c>
      <c r="M31" s="67" t="n">
        <f aca="false">M29+M30</f>
        <v>-8474.246</v>
      </c>
      <c r="N31" s="67" t="n">
        <f aca="false">N29+N30</f>
        <v>-5830.202</v>
      </c>
      <c r="O31" s="67" t="n">
        <f aca="false">O29+O30</f>
        <v>-5958.58804</v>
      </c>
      <c r="P31" s="67" t="n">
        <f aca="false">P29+P30</f>
        <v>-5958.58804</v>
      </c>
      <c r="Q31" s="67" t="n">
        <f aca="false">Q29+Q30</f>
        <v>-8660.81692</v>
      </c>
      <c r="R31" s="67" t="n">
        <f aca="false">R29+R30</f>
        <v>-8660.81692</v>
      </c>
      <c r="S31" s="67" t="n">
        <f aca="false">S29+S30</f>
        <v>-8660.81692</v>
      </c>
      <c r="T31" s="67" t="n">
        <f aca="false">T29+T30</f>
        <v>-8660.81692</v>
      </c>
      <c r="U31" s="67" t="n">
        <f aca="false">U29+U30</f>
        <v>-8660.81692</v>
      </c>
      <c r="V31" s="67" t="n">
        <f aca="false">V29+V30</f>
        <v>-8660.81692</v>
      </c>
      <c r="W31" s="67" t="n">
        <f aca="false">W29+W30</f>
        <v>-8660.81692</v>
      </c>
      <c r="X31" s="67" t="n">
        <f aca="false">X29+X30</f>
        <v>-8660.81692</v>
      </c>
      <c r="Y31" s="67" t="n">
        <f aca="false">Y29+Y30</f>
        <v>-8660.81692</v>
      </c>
      <c r="Z31" s="67" t="n">
        <f aca="false">Z29+Z30</f>
        <v>-5958.58804</v>
      </c>
      <c r="AA31" s="67" t="n">
        <f aca="false">AA29+AA30</f>
        <v>-6090.0130808</v>
      </c>
      <c r="AB31" s="67" t="n">
        <f aca="false">AB29+AB30</f>
        <v>-6090.0130808</v>
      </c>
      <c r="AC31" s="67" t="n">
        <f aca="false">AC29+AC30</f>
        <v>-8851.8026984</v>
      </c>
      <c r="AD31" s="67" t="n">
        <f aca="false">AD29+AD30</f>
        <v>-8851.8026984</v>
      </c>
      <c r="AE31" s="67" t="n">
        <f aca="false">AE29+AE30</f>
        <v>-8851.8026984</v>
      </c>
      <c r="AF31" s="67" t="n">
        <f aca="false">AF29+AF30</f>
        <v>-8851.8026984</v>
      </c>
      <c r="AG31" s="67" t="n">
        <f aca="false">AG29+AG30</f>
        <v>-8851.8026984</v>
      </c>
      <c r="AH31" s="67" t="n">
        <f aca="false">AH29+AH30</f>
        <v>-8851.8026984</v>
      </c>
      <c r="AI31" s="67" t="n">
        <f aca="false">AI29+AI30</f>
        <v>-8851.8026984</v>
      </c>
      <c r="AJ31" s="67" t="n">
        <f aca="false">AJ29+AJ30</f>
        <v>-8851.8026984</v>
      </c>
      <c r="AK31" s="67" t="n">
        <f aca="false">AK29+AK30</f>
        <v>-8851.8026984</v>
      </c>
      <c r="AL31" s="67" t="n">
        <f aca="false">AL29+AL30</f>
        <v>-6090.0130808</v>
      </c>
    </row>
    <row r="32" customFormat="false" ht="15" hidden="false" customHeight="false" outlineLevel="0" collapsed="false">
      <c r="A32" s="6" t="s">
        <v>400</v>
      </c>
      <c r="C32" s="67" t="n">
        <f aca="false">-C26*Inputs!$B$31</f>
        <v>-164.82886</v>
      </c>
      <c r="D32" s="67" t="n">
        <f aca="false">-D26*Inputs!$B$31</f>
        <v>-198.841164444444</v>
      </c>
      <c r="E32" s="67" t="n">
        <f aca="false">-E26*Inputs!$B$31</f>
        <v>-338.541562222222</v>
      </c>
      <c r="F32" s="67" t="n">
        <f aca="false">-F26*Inputs!$B$31</f>
        <v>-387.991453333333</v>
      </c>
      <c r="G32" s="67" t="n">
        <f aca="false">-G26*Inputs!$B$31</f>
        <v>-437.441344444444</v>
      </c>
      <c r="H32" s="67" t="n">
        <f aca="false">-H26*Inputs!$B$31</f>
        <v>-486.891235555556</v>
      </c>
      <c r="I32" s="67" t="n">
        <f aca="false">-I26*Inputs!$B$31</f>
        <v>-536.341126666667</v>
      </c>
      <c r="J32" s="67" t="n">
        <f aca="false">-J26*Inputs!$B$31</f>
        <v>-585.791017777778</v>
      </c>
      <c r="K32" s="67" t="n">
        <f aca="false">-K26*Inputs!$B$31</f>
        <v>-635.240908888889</v>
      </c>
      <c r="L32" s="67" t="n">
        <f aca="false">-L26*Inputs!$B$31</f>
        <v>-684.6908</v>
      </c>
      <c r="M32" s="67" t="n">
        <f aca="false">-M26*Inputs!$B$31</f>
        <v>-684.6908</v>
      </c>
      <c r="N32" s="67" t="n">
        <f aca="false">-N26*Inputs!$B$31</f>
        <v>-470.9396</v>
      </c>
      <c r="O32" s="67" t="n">
        <f aca="false">-O26*Inputs!$B$31</f>
        <v>-480.358392</v>
      </c>
      <c r="P32" s="67" t="n">
        <f aca="false">-P26*Inputs!$B$31</f>
        <v>-480.358392</v>
      </c>
      <c r="Q32" s="67" t="n">
        <f aca="false">-Q26*Inputs!$B$31</f>
        <v>-698.384616</v>
      </c>
      <c r="R32" s="67" t="n">
        <f aca="false">-R26*Inputs!$B$31</f>
        <v>-698.384616</v>
      </c>
      <c r="S32" s="67" t="n">
        <f aca="false">-S26*Inputs!$B$31</f>
        <v>-698.384616</v>
      </c>
      <c r="T32" s="67" t="n">
        <f aca="false">-T26*Inputs!$B$31</f>
        <v>-698.384616</v>
      </c>
      <c r="U32" s="67" t="n">
        <f aca="false">-U26*Inputs!$B$31</f>
        <v>-698.384616</v>
      </c>
      <c r="V32" s="67" t="n">
        <f aca="false">-V26*Inputs!$B$31</f>
        <v>-698.384616</v>
      </c>
      <c r="W32" s="67" t="n">
        <f aca="false">-W26*Inputs!$B$31</f>
        <v>-698.384616</v>
      </c>
      <c r="X32" s="67" t="n">
        <f aca="false">-X26*Inputs!$B$31</f>
        <v>-698.384616</v>
      </c>
      <c r="Y32" s="67" t="n">
        <f aca="false">-Y26*Inputs!$B$31</f>
        <v>-698.384616</v>
      </c>
      <c r="Z32" s="67" t="n">
        <f aca="false">-Z26*Inputs!$B$31</f>
        <v>-480.358392</v>
      </c>
      <c r="AA32" s="67" t="n">
        <f aca="false">-AA26*Inputs!$B$31</f>
        <v>-489.96555984</v>
      </c>
      <c r="AB32" s="67" t="n">
        <f aca="false">-AB26*Inputs!$B$31</f>
        <v>-489.96555984</v>
      </c>
      <c r="AC32" s="67" t="n">
        <f aca="false">-AC26*Inputs!$B$31</f>
        <v>-712.35230832</v>
      </c>
      <c r="AD32" s="67" t="n">
        <f aca="false">-AD26*Inputs!$B$31</f>
        <v>-712.35230832</v>
      </c>
      <c r="AE32" s="67" t="n">
        <f aca="false">-AE26*Inputs!$B$31</f>
        <v>-712.35230832</v>
      </c>
      <c r="AF32" s="67" t="n">
        <f aca="false">-AF26*Inputs!$B$31</f>
        <v>-712.35230832</v>
      </c>
      <c r="AG32" s="67" t="n">
        <f aca="false">-AG26*Inputs!$B$31</f>
        <v>-712.35230832</v>
      </c>
      <c r="AH32" s="67" t="n">
        <f aca="false">-AH26*Inputs!$B$31</f>
        <v>-712.35230832</v>
      </c>
      <c r="AI32" s="67" t="n">
        <f aca="false">-AI26*Inputs!$B$31</f>
        <v>-712.35230832</v>
      </c>
      <c r="AJ32" s="67" t="n">
        <f aca="false">-AJ26*Inputs!$B$31</f>
        <v>-712.35230832</v>
      </c>
      <c r="AK32" s="67" t="n">
        <f aca="false">-AK26*Inputs!$B$31</f>
        <v>-712.35230832</v>
      </c>
      <c r="AL32" s="67" t="n">
        <f aca="false">-AL26*Inputs!$B$31</f>
        <v>-489.96555984</v>
      </c>
    </row>
    <row r="33" customFormat="false" ht="15" hidden="false" customHeight="false" outlineLevel="0" collapsed="false">
      <c r="A33" s="6" t="s">
        <v>401</v>
      </c>
      <c r="C33" s="67" t="n">
        <f aca="false">-C25*Inputs!$B$32-C15*Inputs!$B$33*(1+Inputs!$B$34)^(C$7-1)</f>
        <v>-159.6875</v>
      </c>
      <c r="D33" s="67" t="n">
        <f aca="false">-D25*Inputs!$B$32-D15*Inputs!$B$33*(1+Inputs!$B$34)^(D$7-1)</f>
        <v>-192.638888888889</v>
      </c>
      <c r="E33" s="67" t="n">
        <f aca="false">-E25*Inputs!$B$32-E15*Inputs!$B$33*(1+Inputs!$B$34)^(E$7-1)</f>
        <v>-225.590277777778</v>
      </c>
      <c r="F33" s="67" t="n">
        <f aca="false">-F25*Inputs!$B$32-F15*Inputs!$B$33*(1+Inputs!$B$34)^(F$7-1)</f>
        <v>-258.541666666667</v>
      </c>
      <c r="G33" s="67" t="n">
        <f aca="false">-G25*Inputs!$B$32-G15*Inputs!$B$33*(1+Inputs!$B$34)^(G$7-1)</f>
        <v>-291.493055555556</v>
      </c>
      <c r="H33" s="67" t="n">
        <f aca="false">-H25*Inputs!$B$32-H15*Inputs!$B$33*(1+Inputs!$B$34)^(H$7-1)</f>
        <v>-324.444444444445</v>
      </c>
      <c r="I33" s="67" t="n">
        <f aca="false">-I25*Inputs!$B$32-I15*Inputs!$B$33*(1+Inputs!$B$34)^(I$7-1)</f>
        <v>-357.395833333333</v>
      </c>
      <c r="J33" s="67" t="n">
        <f aca="false">-J25*Inputs!$B$32-J15*Inputs!$B$33*(1+Inputs!$B$34)^(J$7-1)</f>
        <v>-390.347222222222</v>
      </c>
      <c r="K33" s="67" t="n">
        <f aca="false">-K25*Inputs!$B$32-K15*Inputs!$B$33*(1+Inputs!$B$34)^(K$7-1)</f>
        <v>-423.298611111111</v>
      </c>
      <c r="L33" s="67" t="n">
        <f aca="false">-L25*Inputs!$B$32-L15*Inputs!$B$33*(1+Inputs!$B$34)^(L$7-1)</f>
        <v>-456.25</v>
      </c>
      <c r="M33" s="67" t="n">
        <f aca="false">-M25*Inputs!$B$32-M15*Inputs!$B$33*(1+Inputs!$B$34)^(M$7-1)</f>
        <v>-456.25</v>
      </c>
      <c r="N33" s="67" t="n">
        <f aca="false">-N25*Inputs!$B$32-N15*Inputs!$B$33*(1+Inputs!$B$34)^(N$7-1)</f>
        <v>-456.25</v>
      </c>
      <c r="O33" s="67" t="n">
        <f aca="false">-O25*Inputs!$B$32-O15*Inputs!$B$33*(1+Inputs!$B$34)^(O$7-1)</f>
        <v>-471.375</v>
      </c>
      <c r="P33" s="67" t="n">
        <f aca="false">-P25*Inputs!$B$32-P15*Inputs!$B$33*(1+Inputs!$B$34)^(P$7-1)</f>
        <v>-471.375</v>
      </c>
      <c r="Q33" s="67" t="n">
        <f aca="false">-Q25*Inputs!$B$32-Q15*Inputs!$B$33*(1+Inputs!$B$34)^(Q$7-1)</f>
        <v>-471.375</v>
      </c>
      <c r="R33" s="67" t="n">
        <f aca="false">-R25*Inputs!$B$32-R15*Inputs!$B$33*(1+Inputs!$B$34)^(R$7-1)</f>
        <v>-471.375</v>
      </c>
      <c r="S33" s="67" t="n">
        <f aca="false">-S25*Inputs!$B$32-S15*Inputs!$B$33*(1+Inputs!$B$34)^(S$7-1)</f>
        <v>-471.375</v>
      </c>
      <c r="T33" s="67" t="n">
        <f aca="false">-T25*Inputs!$B$32-T15*Inputs!$B$33*(1+Inputs!$B$34)^(T$7-1)</f>
        <v>-471.375</v>
      </c>
      <c r="U33" s="67" t="n">
        <f aca="false">-U25*Inputs!$B$32-U15*Inputs!$B$33*(1+Inputs!$B$34)^(U$7-1)</f>
        <v>-471.375</v>
      </c>
      <c r="V33" s="67" t="n">
        <f aca="false">-V25*Inputs!$B$32-V15*Inputs!$B$33*(1+Inputs!$B$34)^(V$7-1)</f>
        <v>-471.375</v>
      </c>
      <c r="W33" s="67" t="n">
        <f aca="false">-W25*Inputs!$B$32-W15*Inputs!$B$33*(1+Inputs!$B$34)^(W$7-1)</f>
        <v>-471.375</v>
      </c>
      <c r="X33" s="67" t="n">
        <f aca="false">-X25*Inputs!$B$32-X15*Inputs!$B$33*(1+Inputs!$B$34)^(X$7-1)</f>
        <v>-471.375</v>
      </c>
      <c r="Y33" s="67" t="n">
        <f aca="false">-Y25*Inputs!$B$32-Y15*Inputs!$B$33*(1+Inputs!$B$34)^(Y$7-1)</f>
        <v>-471.375</v>
      </c>
      <c r="Z33" s="67" t="n">
        <f aca="false">-Z25*Inputs!$B$32-Z15*Inputs!$B$33*(1+Inputs!$B$34)^(Z$7-1)</f>
        <v>-471.375</v>
      </c>
      <c r="AA33" s="67" t="n">
        <f aca="false">-AA25*Inputs!$B$32-AA15*Inputs!$B$33*(1+Inputs!$B$34)^(AA$7-1)</f>
        <v>-487.0425</v>
      </c>
      <c r="AB33" s="67" t="n">
        <f aca="false">-AB25*Inputs!$B$32-AB15*Inputs!$B$33*(1+Inputs!$B$34)^(AB$7-1)</f>
        <v>-487.0425</v>
      </c>
      <c r="AC33" s="67" t="n">
        <f aca="false">-AC25*Inputs!$B$32-AC15*Inputs!$B$33*(1+Inputs!$B$34)^(AC$7-1)</f>
        <v>-487.0425</v>
      </c>
      <c r="AD33" s="67" t="n">
        <f aca="false">-AD25*Inputs!$B$32-AD15*Inputs!$B$33*(1+Inputs!$B$34)^(AD$7-1)</f>
        <v>-487.0425</v>
      </c>
      <c r="AE33" s="67" t="n">
        <f aca="false">-AE25*Inputs!$B$32-AE15*Inputs!$B$33*(1+Inputs!$B$34)^(AE$7-1)</f>
        <v>-487.0425</v>
      </c>
      <c r="AF33" s="67" t="n">
        <f aca="false">-AF25*Inputs!$B$32-AF15*Inputs!$B$33*(1+Inputs!$B$34)^(AF$7-1)</f>
        <v>-487.0425</v>
      </c>
      <c r="AG33" s="67" t="n">
        <f aca="false">-AG25*Inputs!$B$32-AG15*Inputs!$B$33*(1+Inputs!$B$34)^(AG$7-1)</f>
        <v>-487.0425</v>
      </c>
      <c r="AH33" s="67" t="n">
        <f aca="false">-AH25*Inputs!$B$32-AH15*Inputs!$B$33*(1+Inputs!$B$34)^(AH$7-1)</f>
        <v>-487.0425</v>
      </c>
      <c r="AI33" s="67" t="n">
        <f aca="false">-AI25*Inputs!$B$32-AI15*Inputs!$B$33*(1+Inputs!$B$34)^(AI$7-1)</f>
        <v>-487.0425</v>
      </c>
      <c r="AJ33" s="67" t="n">
        <f aca="false">-AJ25*Inputs!$B$32-AJ15*Inputs!$B$33*(1+Inputs!$B$34)^(AJ$7-1)</f>
        <v>-487.0425</v>
      </c>
      <c r="AK33" s="67" t="n">
        <f aca="false">-AK25*Inputs!$B$32-AK15*Inputs!$B$33*(1+Inputs!$B$34)^(AK$7-1)</f>
        <v>-487.0425</v>
      </c>
      <c r="AL33" s="67" t="n">
        <f aca="false">-AL25*Inputs!$B$32-AL15*Inputs!$B$33*(1+Inputs!$B$34)^(AL$7-1)</f>
        <v>-487.0425</v>
      </c>
    </row>
    <row r="34" customFormat="false" ht="15" hidden="false" customHeight="false" outlineLevel="0" collapsed="false">
      <c r="A34" s="4" t="s">
        <v>76</v>
      </c>
      <c r="C34" s="73" t="n">
        <f aca="false">C31+C32+C33</f>
        <v>-2365.08706</v>
      </c>
      <c r="D34" s="73" t="n">
        <f aca="false">D31+D32+D33</f>
        <v>-2853.12089777778</v>
      </c>
      <c r="E34" s="73" t="n">
        <f aca="false">E31+E32+E33</f>
        <v>-4754.17569555556</v>
      </c>
      <c r="F34" s="73" t="n">
        <f aca="false">F31+F32+F33</f>
        <v>-5448.60585333333</v>
      </c>
      <c r="G34" s="73" t="n">
        <f aca="false">G31+G32+G33</f>
        <v>-6143.03601111111</v>
      </c>
      <c r="H34" s="73" t="n">
        <f aca="false">H31+H32+H33</f>
        <v>-6837.46616888889</v>
      </c>
      <c r="I34" s="73" t="n">
        <f aca="false">I31+I32+I33</f>
        <v>-7531.89632666667</v>
      </c>
      <c r="J34" s="73" t="n">
        <f aca="false">J31+J32+J33</f>
        <v>-8226.32648444445</v>
      </c>
      <c r="K34" s="73" t="n">
        <f aca="false">K31+K32+K33</f>
        <v>-8920.75664222222</v>
      </c>
      <c r="L34" s="73" t="n">
        <f aca="false">L31+L32+L33</f>
        <v>-9615.1868</v>
      </c>
      <c r="M34" s="73" t="n">
        <f aca="false">M31+M32+M33</f>
        <v>-9615.1868</v>
      </c>
      <c r="N34" s="73" t="n">
        <f aca="false">N31+N32+N33</f>
        <v>-6757.3916</v>
      </c>
      <c r="O34" s="73" t="n">
        <f aca="false">O31+O32+O33</f>
        <v>-6910.321432</v>
      </c>
      <c r="P34" s="73" t="n">
        <f aca="false">P31+P32+P33</f>
        <v>-6910.321432</v>
      </c>
      <c r="Q34" s="73" t="n">
        <f aca="false">Q31+Q32+Q33</f>
        <v>-9830.576536</v>
      </c>
      <c r="R34" s="73" t="n">
        <f aca="false">R31+R32+R33</f>
        <v>-9830.576536</v>
      </c>
      <c r="S34" s="73" t="n">
        <f aca="false">S31+S32+S33</f>
        <v>-9830.576536</v>
      </c>
      <c r="T34" s="73" t="n">
        <f aca="false">T31+T32+T33</f>
        <v>-9830.576536</v>
      </c>
      <c r="U34" s="73" t="n">
        <f aca="false">U31+U32+U33</f>
        <v>-9830.576536</v>
      </c>
      <c r="V34" s="73" t="n">
        <f aca="false">V31+V32+V33</f>
        <v>-9830.576536</v>
      </c>
      <c r="W34" s="73" t="n">
        <f aca="false">W31+W32+W33</f>
        <v>-9830.576536</v>
      </c>
      <c r="X34" s="73" t="n">
        <f aca="false">X31+X32+X33</f>
        <v>-9830.576536</v>
      </c>
      <c r="Y34" s="73" t="n">
        <f aca="false">Y31+Y32+Y33</f>
        <v>-9830.576536</v>
      </c>
      <c r="Z34" s="73" t="n">
        <f aca="false">Z31+Z32+Z33</f>
        <v>-6910.321432</v>
      </c>
      <c r="AA34" s="73" t="n">
        <f aca="false">AA31+AA32+AA33</f>
        <v>-7067.02114064</v>
      </c>
      <c r="AB34" s="73" t="n">
        <f aca="false">AB31+AB32+AB33</f>
        <v>-7067.02114064</v>
      </c>
      <c r="AC34" s="73" t="n">
        <f aca="false">AC31+AC32+AC33</f>
        <v>-10051.19750672</v>
      </c>
      <c r="AD34" s="73" t="n">
        <f aca="false">AD31+AD32+AD33</f>
        <v>-10051.19750672</v>
      </c>
      <c r="AE34" s="73" t="n">
        <f aca="false">AE31+AE32+AE33</f>
        <v>-10051.19750672</v>
      </c>
      <c r="AF34" s="73" t="n">
        <f aca="false">AF31+AF32+AF33</f>
        <v>-10051.19750672</v>
      </c>
      <c r="AG34" s="73" t="n">
        <f aca="false">AG31+AG32+AG33</f>
        <v>-10051.19750672</v>
      </c>
      <c r="AH34" s="73" t="n">
        <f aca="false">AH31+AH32+AH33</f>
        <v>-10051.19750672</v>
      </c>
      <c r="AI34" s="73" t="n">
        <f aca="false">AI31+AI32+AI33</f>
        <v>-10051.19750672</v>
      </c>
      <c r="AJ34" s="73" t="n">
        <f aca="false">AJ31+AJ32+AJ33</f>
        <v>-10051.19750672</v>
      </c>
      <c r="AK34" s="73" t="n">
        <f aca="false">AK31+AK32+AK33</f>
        <v>-10051.19750672</v>
      </c>
      <c r="AL34" s="73" t="n">
        <f aca="false">AL31+AL32+AL33</f>
        <v>-7067.02114064</v>
      </c>
    </row>
    <row r="35" customFormat="false" ht="15" hidden="false" customHeight="false" outlineLevel="0" collapsed="false">
      <c r="A35" s="113" t="s">
        <v>45</v>
      </c>
      <c r="C35" s="68" t="n">
        <f aca="false">C26+C34</f>
        <v>2951.97294</v>
      </c>
      <c r="D35" s="68" t="n">
        <f aca="false">D26+D34</f>
        <v>3561.11021333333</v>
      </c>
      <c r="E35" s="68" t="n">
        <f aca="false">E26+E34</f>
        <v>6166.51986</v>
      </c>
      <c r="F35" s="68" t="n">
        <f aca="false">F26+F34</f>
        <v>7067.24748</v>
      </c>
      <c r="G35" s="68" t="n">
        <f aca="false">G26+G34</f>
        <v>7967.9751</v>
      </c>
      <c r="H35" s="68" t="n">
        <f aca="false">H26+H34</f>
        <v>8868.70272</v>
      </c>
      <c r="I35" s="68" t="n">
        <f aca="false">I26+I34</f>
        <v>9769.43034</v>
      </c>
      <c r="J35" s="68" t="n">
        <f aca="false">J26+J34</f>
        <v>10670.15796</v>
      </c>
      <c r="K35" s="68" t="n">
        <f aca="false">K26+K34</f>
        <v>11570.88558</v>
      </c>
      <c r="L35" s="68" t="n">
        <f aca="false">L26+L34</f>
        <v>12471.6132</v>
      </c>
      <c r="M35" s="68" t="n">
        <f aca="false">M26+M34</f>
        <v>12471.6132</v>
      </c>
      <c r="N35" s="68" t="n">
        <f aca="false">N26+N34</f>
        <v>8434.2084</v>
      </c>
      <c r="O35" s="68" t="n">
        <f aca="false">O26+O34</f>
        <v>8585.110568</v>
      </c>
      <c r="P35" s="68" t="n">
        <f aca="false">P26+P34</f>
        <v>8585.110568</v>
      </c>
      <c r="Q35" s="68" t="n">
        <f aca="false">Q26+Q34</f>
        <v>12697.959464</v>
      </c>
      <c r="R35" s="68" t="n">
        <f aca="false">R26+R34</f>
        <v>12697.959464</v>
      </c>
      <c r="S35" s="68" t="n">
        <f aca="false">S26+S34</f>
        <v>12697.959464</v>
      </c>
      <c r="T35" s="68" t="n">
        <f aca="false">T26+T34</f>
        <v>12697.959464</v>
      </c>
      <c r="U35" s="68" t="n">
        <f aca="false">U26+U34</f>
        <v>12697.959464</v>
      </c>
      <c r="V35" s="68" t="n">
        <f aca="false">V26+V34</f>
        <v>12697.959464</v>
      </c>
      <c r="W35" s="68" t="n">
        <f aca="false">W26+W34</f>
        <v>12697.959464</v>
      </c>
      <c r="X35" s="68" t="n">
        <f aca="false">X26+X34</f>
        <v>12697.959464</v>
      </c>
      <c r="Y35" s="68" t="n">
        <f aca="false">Y26+Y34</f>
        <v>12697.959464</v>
      </c>
      <c r="Z35" s="68" t="n">
        <f aca="false">Z26+Z34</f>
        <v>8585.110568</v>
      </c>
      <c r="AA35" s="68" t="n">
        <f aca="false">AA26+AA34</f>
        <v>8738.31949936</v>
      </c>
      <c r="AB35" s="68" t="n">
        <f aca="false">AB26+AB34</f>
        <v>8738.31949936</v>
      </c>
      <c r="AC35" s="68" t="n">
        <f aca="false">AC26+AC34</f>
        <v>12927.90921328</v>
      </c>
      <c r="AD35" s="68" t="n">
        <f aca="false">AD26+AD34</f>
        <v>12927.90921328</v>
      </c>
      <c r="AE35" s="68" t="n">
        <f aca="false">AE26+AE34</f>
        <v>12927.90921328</v>
      </c>
      <c r="AF35" s="68" t="n">
        <f aca="false">AF26+AF34</f>
        <v>12927.90921328</v>
      </c>
      <c r="AG35" s="68" t="n">
        <f aca="false">AG26+AG34</f>
        <v>12927.90921328</v>
      </c>
      <c r="AH35" s="68" t="n">
        <f aca="false">AH26+AH34</f>
        <v>12927.90921328</v>
      </c>
      <c r="AI35" s="68" t="n">
        <f aca="false">AI26+AI34</f>
        <v>12927.90921328</v>
      </c>
      <c r="AJ35" s="68" t="n">
        <f aca="false">AJ26+AJ34</f>
        <v>12927.90921328</v>
      </c>
      <c r="AK35" s="68" t="n">
        <f aca="false">AK26+AK34</f>
        <v>12927.90921328</v>
      </c>
      <c r="AL35" s="68" t="n">
        <f aca="false">AL26+AL34</f>
        <v>8738.31949936</v>
      </c>
    </row>
    <row r="37" customFormat="false" ht="15.75" hidden="false" customHeight="true" outlineLevel="0" collapsed="false">
      <c r="A37" s="7" t="s">
        <v>47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</row>
    <row r="38" customFormat="false" ht="15" hidden="false" customHeight="false" outlineLevel="0" collapsed="false">
      <c r="A38" s="6" t="s">
        <v>330</v>
      </c>
      <c r="C38" s="67" t="n">
        <f aca="false">C121</f>
        <v>-9874.66666666667</v>
      </c>
      <c r="D38" s="67" t="n">
        <f aca="false">D121</f>
        <v>-9874.66666666667</v>
      </c>
      <c r="E38" s="67" t="n">
        <f aca="false">E121</f>
        <v>-9874.66666666667</v>
      </c>
      <c r="F38" s="67" t="n">
        <f aca="false">F121</f>
        <v>-9874.66666666667</v>
      </c>
      <c r="G38" s="67" t="n">
        <f aca="false">G121</f>
        <v>-9874.66666666667</v>
      </c>
      <c r="H38" s="67" t="n">
        <f aca="false">H121</f>
        <v>-9874.66666666667</v>
      </c>
      <c r="I38" s="67" t="n">
        <f aca="false">I121</f>
        <v>-9874.66666666667</v>
      </c>
      <c r="J38" s="67" t="n">
        <f aca="false">J121</f>
        <v>-9874.66666666667</v>
      </c>
      <c r="K38" s="67" t="n">
        <f aca="false">K121</f>
        <v>-9874.66666666667</v>
      </c>
      <c r="L38" s="67" t="n">
        <f aca="false">L121</f>
        <v>-9874.66666666667</v>
      </c>
      <c r="M38" s="67" t="n">
        <f aca="false">M121</f>
        <v>-9874.66666666667</v>
      </c>
      <c r="N38" s="67" t="n">
        <f aca="false">N121</f>
        <v>-9874.66666666667</v>
      </c>
      <c r="O38" s="67" t="n">
        <f aca="false">O121</f>
        <v>-10170.9066666667</v>
      </c>
      <c r="P38" s="67" t="n">
        <f aca="false">P121</f>
        <v>-10170.9066666667</v>
      </c>
      <c r="Q38" s="67" t="n">
        <f aca="false">Q121</f>
        <v>-10170.9066666667</v>
      </c>
      <c r="R38" s="67" t="n">
        <f aca="false">R121</f>
        <v>-10170.9066666667</v>
      </c>
      <c r="S38" s="67" t="n">
        <f aca="false">S121</f>
        <v>-10170.9066666667</v>
      </c>
      <c r="T38" s="67" t="n">
        <f aca="false">T121</f>
        <v>-10170.9066666667</v>
      </c>
      <c r="U38" s="67" t="n">
        <f aca="false">U121</f>
        <v>-10170.9066666667</v>
      </c>
      <c r="V38" s="67" t="n">
        <f aca="false">V121</f>
        <v>-10170.9066666667</v>
      </c>
      <c r="W38" s="67" t="n">
        <f aca="false">W121</f>
        <v>-10170.9066666667</v>
      </c>
      <c r="X38" s="67" t="n">
        <f aca="false">X121</f>
        <v>-10170.9066666667</v>
      </c>
      <c r="Y38" s="67" t="n">
        <f aca="false">Y121</f>
        <v>-10170.9066666667</v>
      </c>
      <c r="Z38" s="67" t="n">
        <f aca="false">Z121</f>
        <v>-10170.9066666667</v>
      </c>
      <c r="AA38" s="67" t="n">
        <f aca="false">AA121</f>
        <v>-10476.0338666667</v>
      </c>
      <c r="AB38" s="67" t="n">
        <f aca="false">AB121</f>
        <v>-10476.0338666667</v>
      </c>
      <c r="AC38" s="67" t="n">
        <f aca="false">AC121</f>
        <v>-10476.0338666667</v>
      </c>
      <c r="AD38" s="67" t="n">
        <f aca="false">AD121</f>
        <v>-10476.0338666667</v>
      </c>
      <c r="AE38" s="67" t="n">
        <f aca="false">AE121</f>
        <v>-10476.0338666667</v>
      </c>
      <c r="AF38" s="67" t="n">
        <f aca="false">AF121</f>
        <v>-10476.0338666667</v>
      </c>
      <c r="AG38" s="67" t="n">
        <f aca="false">AG121</f>
        <v>-10476.0338666667</v>
      </c>
      <c r="AH38" s="67" t="n">
        <f aca="false">AH121</f>
        <v>-10476.0338666667</v>
      </c>
      <c r="AI38" s="67" t="n">
        <f aca="false">AI121</f>
        <v>-10476.0338666667</v>
      </c>
      <c r="AJ38" s="67" t="n">
        <f aca="false">AJ121</f>
        <v>-10476.0338666667</v>
      </c>
      <c r="AK38" s="67" t="n">
        <f aca="false">AK121</f>
        <v>-10476.0338666667</v>
      </c>
      <c r="AL38" s="67" t="n">
        <f aca="false">AL121</f>
        <v>-10476.0338666667</v>
      </c>
    </row>
    <row r="39" customFormat="false" ht="15" hidden="false" customHeight="false" outlineLevel="0" collapsed="false">
      <c r="A39" s="6" t="s">
        <v>331</v>
      </c>
      <c r="C39" s="67" t="n">
        <f aca="false">-Inputs!$B$37*C10*(1+Inputs!$B$34)^(C$7-1)*1</f>
        <v>-1050</v>
      </c>
      <c r="D39" s="67" t="n">
        <f aca="false">-Inputs!$B$37*D10*(1+Inputs!$B$34)^(D$7-1)*1</f>
        <v>-1050</v>
      </c>
      <c r="E39" s="67" t="n">
        <f aca="false">-Inputs!$B$37*E10*(1+Inputs!$B$34)^(E$7-1)*1</f>
        <v>-1050</v>
      </c>
      <c r="F39" s="67" t="n">
        <f aca="false">-Inputs!$B$37*F10*(1+Inputs!$B$34)^(F$7-1)*1</f>
        <v>-1050</v>
      </c>
      <c r="G39" s="67" t="n">
        <f aca="false">-Inputs!$B$37*G10*(1+Inputs!$B$34)^(G$7-1)*1</f>
        <v>-1050</v>
      </c>
      <c r="H39" s="67" t="n">
        <f aca="false">-Inputs!$B$37*H10*(1+Inputs!$B$34)^(H$7-1)*1</f>
        <v>-1050</v>
      </c>
      <c r="I39" s="67" t="n">
        <f aca="false">-Inputs!$B$37*I10*(1+Inputs!$B$34)^(I$7-1)*1</f>
        <v>-1050</v>
      </c>
      <c r="J39" s="67" t="n">
        <f aca="false">-Inputs!$B$37*J10*(1+Inputs!$B$34)^(J$7-1)*1</f>
        <v>-1050</v>
      </c>
      <c r="K39" s="67" t="n">
        <f aca="false">-Inputs!$B$37*K10*(1+Inputs!$B$34)^(K$7-1)*1</f>
        <v>-1050</v>
      </c>
      <c r="L39" s="67" t="n">
        <f aca="false">-Inputs!$B$37*L10*(1+Inputs!$B$34)^(L$7-1)*1</f>
        <v>-1050</v>
      </c>
      <c r="M39" s="67" t="n">
        <f aca="false">-Inputs!$B$37*M10*(1+Inputs!$B$34)^(M$7-1)*1</f>
        <v>-1050</v>
      </c>
      <c r="N39" s="67" t="n">
        <f aca="false">-Inputs!$B$37*N10*(1+Inputs!$B$34)^(N$7-1)*1</f>
        <v>-1050</v>
      </c>
      <c r="O39" s="67" t="n">
        <f aca="false">-Inputs!$B$37*O10*(1+Inputs!$B$34)^(O$7-1)*1</f>
        <v>-1092</v>
      </c>
      <c r="P39" s="67" t="n">
        <f aca="false">-Inputs!$B$37*P10*(1+Inputs!$B$34)^(P$7-1)*1</f>
        <v>-1092</v>
      </c>
      <c r="Q39" s="67" t="n">
        <f aca="false">-Inputs!$B$37*Q10*(1+Inputs!$B$34)^(Q$7-1)*1</f>
        <v>-1092</v>
      </c>
      <c r="R39" s="67" t="n">
        <f aca="false">-Inputs!$B$37*R10*(1+Inputs!$B$34)^(R$7-1)*1</f>
        <v>-1092</v>
      </c>
      <c r="S39" s="67" t="n">
        <f aca="false">-Inputs!$B$37*S10*(1+Inputs!$B$34)^(S$7-1)*1</f>
        <v>-1092</v>
      </c>
      <c r="T39" s="67" t="n">
        <f aca="false">-Inputs!$B$37*T10*(1+Inputs!$B$34)^(T$7-1)*1</f>
        <v>-1092</v>
      </c>
      <c r="U39" s="67" t="n">
        <f aca="false">-Inputs!$B$37*U10*(1+Inputs!$B$34)^(U$7-1)*1</f>
        <v>-1092</v>
      </c>
      <c r="V39" s="67" t="n">
        <f aca="false">-Inputs!$B$37*V10*(1+Inputs!$B$34)^(V$7-1)*1</f>
        <v>-1092</v>
      </c>
      <c r="W39" s="67" t="n">
        <f aca="false">-Inputs!$B$37*W10*(1+Inputs!$B$34)^(W$7-1)*1</f>
        <v>-1092</v>
      </c>
      <c r="X39" s="67" t="n">
        <f aca="false">-Inputs!$B$37*X10*(1+Inputs!$B$34)^(X$7-1)*1</f>
        <v>-1092</v>
      </c>
      <c r="Y39" s="67" t="n">
        <f aca="false">-Inputs!$B$37*Y10*(1+Inputs!$B$34)^(Y$7-1)*1</f>
        <v>-1092</v>
      </c>
      <c r="Z39" s="67" t="n">
        <f aca="false">-Inputs!$B$37*Z10*(1+Inputs!$B$34)^(Z$7-1)*1</f>
        <v>-1092</v>
      </c>
      <c r="AA39" s="67" t="n">
        <f aca="false">-Inputs!$B$37*AA10*(1+Inputs!$B$34)^(AA$7-1)*1</f>
        <v>-1135.68</v>
      </c>
      <c r="AB39" s="67" t="n">
        <f aca="false">-Inputs!$B$37*AB10*(1+Inputs!$B$34)^(AB$7-1)*1</f>
        <v>-1135.68</v>
      </c>
      <c r="AC39" s="67" t="n">
        <f aca="false">-Inputs!$B$37*AC10*(1+Inputs!$B$34)^(AC$7-1)*1</f>
        <v>-1135.68</v>
      </c>
      <c r="AD39" s="67" t="n">
        <f aca="false">-Inputs!$B$37*AD10*(1+Inputs!$B$34)^(AD$7-1)*1</f>
        <v>-1135.68</v>
      </c>
      <c r="AE39" s="67" t="n">
        <f aca="false">-Inputs!$B$37*AE10*(1+Inputs!$B$34)^(AE$7-1)*1</f>
        <v>-1135.68</v>
      </c>
      <c r="AF39" s="67" t="n">
        <f aca="false">-Inputs!$B$37*AF10*(1+Inputs!$B$34)^(AF$7-1)*1</f>
        <v>-1135.68</v>
      </c>
      <c r="AG39" s="67" t="n">
        <f aca="false">-Inputs!$B$37*AG10*(1+Inputs!$B$34)^(AG$7-1)*1</f>
        <v>-1135.68</v>
      </c>
      <c r="AH39" s="67" t="n">
        <f aca="false">-Inputs!$B$37*AH10*(1+Inputs!$B$34)^(AH$7-1)*1</f>
        <v>-1135.68</v>
      </c>
      <c r="AI39" s="67" t="n">
        <f aca="false">-Inputs!$B$37*AI10*(1+Inputs!$B$34)^(AI$7-1)*1</f>
        <v>-1135.68</v>
      </c>
      <c r="AJ39" s="67" t="n">
        <f aca="false">-Inputs!$B$37*AJ10*(1+Inputs!$B$34)^(AJ$7-1)*1</f>
        <v>-1135.68</v>
      </c>
      <c r="AK39" s="67" t="n">
        <f aca="false">-Inputs!$B$37*AK10*(1+Inputs!$B$34)^(AK$7-1)*1</f>
        <v>-1135.68</v>
      </c>
      <c r="AL39" s="67" t="n">
        <f aca="false">-Inputs!$B$37*AL10*(1+Inputs!$B$34)^(AL$7-1)*1</f>
        <v>-1135.68</v>
      </c>
    </row>
    <row r="40" customFormat="false" ht="15" hidden="false" customHeight="false" outlineLevel="0" collapsed="false">
      <c r="A40" s="6" t="s">
        <v>332</v>
      </c>
      <c r="C40" s="67" t="n">
        <f aca="false">-Inputs!$B$38*C10*(1+Inputs!$B$34)^(C$7-1)*1</f>
        <v>-400</v>
      </c>
      <c r="D40" s="67" t="n">
        <f aca="false">-Inputs!$B$38*D10*(1+Inputs!$B$34)^(D$7-1)*1</f>
        <v>-400</v>
      </c>
      <c r="E40" s="67" t="n">
        <f aca="false">-Inputs!$B$38*E10*(1+Inputs!$B$34)^(E$7-1)*1</f>
        <v>-400</v>
      </c>
      <c r="F40" s="67" t="n">
        <f aca="false">-Inputs!$B$38*F10*(1+Inputs!$B$34)^(F$7-1)*1</f>
        <v>-400</v>
      </c>
      <c r="G40" s="67" t="n">
        <f aca="false">-Inputs!$B$38*G10*(1+Inputs!$B$34)^(G$7-1)*1</f>
        <v>-400</v>
      </c>
      <c r="H40" s="67" t="n">
        <f aca="false">-Inputs!$B$38*H10*(1+Inputs!$B$34)^(H$7-1)*1</f>
        <v>-400</v>
      </c>
      <c r="I40" s="67" t="n">
        <f aca="false">-Inputs!$B$38*I10*(1+Inputs!$B$34)^(I$7-1)*1</f>
        <v>-400</v>
      </c>
      <c r="J40" s="67" t="n">
        <f aca="false">-Inputs!$B$38*J10*(1+Inputs!$B$34)^(J$7-1)*1</f>
        <v>-400</v>
      </c>
      <c r="K40" s="67" t="n">
        <f aca="false">-Inputs!$B$38*K10*(1+Inputs!$B$34)^(K$7-1)*1</f>
        <v>-400</v>
      </c>
      <c r="L40" s="67" t="n">
        <f aca="false">-Inputs!$B$38*L10*(1+Inputs!$B$34)^(L$7-1)*1</f>
        <v>-400</v>
      </c>
      <c r="M40" s="67" t="n">
        <f aca="false">-Inputs!$B$38*M10*(1+Inputs!$B$34)^(M$7-1)*1</f>
        <v>-400</v>
      </c>
      <c r="N40" s="67" t="n">
        <f aca="false">-Inputs!$B$38*N10*(1+Inputs!$B$34)^(N$7-1)*1</f>
        <v>-400</v>
      </c>
      <c r="O40" s="67" t="n">
        <f aca="false">-Inputs!$B$38*O10*(1+Inputs!$B$34)^(O$7-1)*1</f>
        <v>-416</v>
      </c>
      <c r="P40" s="67" t="n">
        <f aca="false">-Inputs!$B$38*P10*(1+Inputs!$B$34)^(P$7-1)*1</f>
        <v>-416</v>
      </c>
      <c r="Q40" s="67" t="n">
        <f aca="false">-Inputs!$B$38*Q10*(1+Inputs!$B$34)^(Q$7-1)*1</f>
        <v>-416</v>
      </c>
      <c r="R40" s="67" t="n">
        <f aca="false">-Inputs!$B$38*R10*(1+Inputs!$B$34)^(R$7-1)*1</f>
        <v>-416</v>
      </c>
      <c r="S40" s="67" t="n">
        <f aca="false">-Inputs!$B$38*S10*(1+Inputs!$B$34)^(S$7-1)*1</f>
        <v>-416</v>
      </c>
      <c r="T40" s="67" t="n">
        <f aca="false">-Inputs!$B$38*T10*(1+Inputs!$B$34)^(T$7-1)*1</f>
        <v>-416</v>
      </c>
      <c r="U40" s="67" t="n">
        <f aca="false">-Inputs!$B$38*U10*(1+Inputs!$B$34)^(U$7-1)*1</f>
        <v>-416</v>
      </c>
      <c r="V40" s="67" t="n">
        <f aca="false">-Inputs!$B$38*V10*(1+Inputs!$B$34)^(V$7-1)*1</f>
        <v>-416</v>
      </c>
      <c r="W40" s="67" t="n">
        <f aca="false">-Inputs!$B$38*W10*(1+Inputs!$B$34)^(W$7-1)*1</f>
        <v>-416</v>
      </c>
      <c r="X40" s="67" t="n">
        <f aca="false">-Inputs!$B$38*X10*(1+Inputs!$B$34)^(X$7-1)*1</f>
        <v>-416</v>
      </c>
      <c r="Y40" s="67" t="n">
        <f aca="false">-Inputs!$B$38*Y10*(1+Inputs!$B$34)^(Y$7-1)*1</f>
        <v>-416</v>
      </c>
      <c r="Z40" s="67" t="n">
        <f aca="false">-Inputs!$B$38*Z10*(1+Inputs!$B$34)^(Z$7-1)*1</f>
        <v>-416</v>
      </c>
      <c r="AA40" s="67" t="n">
        <f aca="false">-Inputs!$B$38*AA10*(1+Inputs!$B$34)^(AA$7-1)*1</f>
        <v>-432.64</v>
      </c>
      <c r="AB40" s="67" t="n">
        <f aca="false">-Inputs!$B$38*AB10*(1+Inputs!$B$34)^(AB$7-1)*1</f>
        <v>-432.64</v>
      </c>
      <c r="AC40" s="67" t="n">
        <f aca="false">-Inputs!$B$38*AC10*(1+Inputs!$B$34)^(AC$7-1)*1</f>
        <v>-432.64</v>
      </c>
      <c r="AD40" s="67" t="n">
        <f aca="false">-Inputs!$B$38*AD10*(1+Inputs!$B$34)^(AD$7-1)*1</f>
        <v>-432.64</v>
      </c>
      <c r="AE40" s="67" t="n">
        <f aca="false">-Inputs!$B$38*AE10*(1+Inputs!$B$34)^(AE$7-1)*1</f>
        <v>-432.64</v>
      </c>
      <c r="AF40" s="67" t="n">
        <f aca="false">-Inputs!$B$38*AF10*(1+Inputs!$B$34)^(AF$7-1)*1</f>
        <v>-432.64</v>
      </c>
      <c r="AG40" s="67" t="n">
        <f aca="false">-Inputs!$B$38*AG10*(1+Inputs!$B$34)^(AG$7-1)*1</f>
        <v>-432.64</v>
      </c>
      <c r="AH40" s="67" t="n">
        <f aca="false">-Inputs!$B$38*AH10*(1+Inputs!$B$34)^(AH$7-1)*1</f>
        <v>-432.64</v>
      </c>
      <c r="AI40" s="67" t="n">
        <f aca="false">-Inputs!$B$38*AI10*(1+Inputs!$B$34)^(AI$7-1)*1</f>
        <v>-432.64</v>
      </c>
      <c r="AJ40" s="67" t="n">
        <f aca="false">-Inputs!$B$38*AJ10*(1+Inputs!$B$34)^(AJ$7-1)*1</f>
        <v>-432.64</v>
      </c>
      <c r="AK40" s="67" t="n">
        <f aca="false">-Inputs!$B$38*AK10*(1+Inputs!$B$34)^(AK$7-1)*1</f>
        <v>-432.64</v>
      </c>
      <c r="AL40" s="67" t="n">
        <f aca="false">-Inputs!$B$38*AL10*(1+Inputs!$B$34)^(AL$7-1)*1</f>
        <v>-432.64</v>
      </c>
    </row>
    <row r="41" customFormat="false" ht="15" hidden="false" customHeight="false" outlineLevel="0" collapsed="false">
      <c r="A41" s="6" t="s">
        <v>333</v>
      </c>
      <c r="C41" s="67" t="n">
        <f aca="false">-Inputs!$B$39*C10*(1+Inputs!$B$34)^(C$7-1)*1</f>
        <v>-480</v>
      </c>
      <c r="D41" s="67" t="n">
        <f aca="false">-Inputs!$B$39*D10*(1+Inputs!$B$34)^(D$7-1)*1</f>
        <v>-480</v>
      </c>
      <c r="E41" s="67" t="n">
        <f aca="false">-Inputs!$B$39*E10*(1+Inputs!$B$34)^(E$7-1)*1</f>
        <v>-480</v>
      </c>
      <c r="F41" s="67" t="n">
        <f aca="false">-Inputs!$B$39*F10*(1+Inputs!$B$34)^(F$7-1)*1</f>
        <v>-480</v>
      </c>
      <c r="G41" s="67" t="n">
        <f aca="false">-Inputs!$B$39*G10*(1+Inputs!$B$34)^(G$7-1)*1</f>
        <v>-480</v>
      </c>
      <c r="H41" s="67" t="n">
        <f aca="false">-Inputs!$B$39*H10*(1+Inputs!$B$34)^(H$7-1)*1</f>
        <v>-480</v>
      </c>
      <c r="I41" s="67" t="n">
        <f aca="false">-Inputs!$B$39*I10*(1+Inputs!$B$34)^(I$7-1)*1</f>
        <v>-480</v>
      </c>
      <c r="J41" s="67" t="n">
        <f aca="false">-Inputs!$B$39*J10*(1+Inputs!$B$34)^(J$7-1)*1</f>
        <v>-480</v>
      </c>
      <c r="K41" s="67" t="n">
        <f aca="false">-Inputs!$B$39*K10*(1+Inputs!$B$34)^(K$7-1)*1</f>
        <v>-480</v>
      </c>
      <c r="L41" s="67" t="n">
        <f aca="false">-Inputs!$B$39*L10*(1+Inputs!$B$34)^(L$7-1)*1</f>
        <v>-480</v>
      </c>
      <c r="M41" s="67" t="n">
        <f aca="false">-Inputs!$B$39*M10*(1+Inputs!$B$34)^(M$7-1)*1</f>
        <v>-480</v>
      </c>
      <c r="N41" s="67" t="n">
        <f aca="false">-Inputs!$B$39*N10*(1+Inputs!$B$34)^(N$7-1)*1</f>
        <v>-480</v>
      </c>
      <c r="O41" s="67" t="n">
        <f aca="false">-Inputs!$B$39*O10*(1+Inputs!$B$34)^(O$7-1)*1</f>
        <v>-499.2</v>
      </c>
      <c r="P41" s="67" t="n">
        <f aca="false">-Inputs!$B$39*P10*(1+Inputs!$B$34)^(P$7-1)*1</f>
        <v>-499.2</v>
      </c>
      <c r="Q41" s="67" t="n">
        <f aca="false">-Inputs!$B$39*Q10*(1+Inputs!$B$34)^(Q$7-1)*1</f>
        <v>-499.2</v>
      </c>
      <c r="R41" s="67" t="n">
        <f aca="false">-Inputs!$B$39*R10*(1+Inputs!$B$34)^(R$7-1)*1</f>
        <v>-499.2</v>
      </c>
      <c r="S41" s="67" t="n">
        <f aca="false">-Inputs!$B$39*S10*(1+Inputs!$B$34)^(S$7-1)*1</f>
        <v>-499.2</v>
      </c>
      <c r="T41" s="67" t="n">
        <f aca="false">-Inputs!$B$39*T10*(1+Inputs!$B$34)^(T$7-1)*1</f>
        <v>-499.2</v>
      </c>
      <c r="U41" s="67" t="n">
        <f aca="false">-Inputs!$B$39*U10*(1+Inputs!$B$34)^(U$7-1)*1</f>
        <v>-499.2</v>
      </c>
      <c r="V41" s="67" t="n">
        <f aca="false">-Inputs!$B$39*V10*(1+Inputs!$B$34)^(V$7-1)*1</f>
        <v>-499.2</v>
      </c>
      <c r="W41" s="67" t="n">
        <f aca="false">-Inputs!$B$39*W10*(1+Inputs!$B$34)^(W$7-1)*1</f>
        <v>-499.2</v>
      </c>
      <c r="X41" s="67" t="n">
        <f aca="false">-Inputs!$B$39*X10*(1+Inputs!$B$34)^(X$7-1)*1</f>
        <v>-499.2</v>
      </c>
      <c r="Y41" s="67" t="n">
        <f aca="false">-Inputs!$B$39*Y10*(1+Inputs!$B$34)^(Y$7-1)*1</f>
        <v>-499.2</v>
      </c>
      <c r="Z41" s="67" t="n">
        <f aca="false">-Inputs!$B$39*Z10*(1+Inputs!$B$34)^(Z$7-1)*1</f>
        <v>-499.2</v>
      </c>
      <c r="AA41" s="67" t="n">
        <f aca="false">-Inputs!$B$39*AA10*(1+Inputs!$B$34)^(AA$7-1)*1</f>
        <v>-519.168</v>
      </c>
      <c r="AB41" s="67" t="n">
        <f aca="false">-Inputs!$B$39*AB10*(1+Inputs!$B$34)^(AB$7-1)*1</f>
        <v>-519.168</v>
      </c>
      <c r="AC41" s="67" t="n">
        <f aca="false">-Inputs!$B$39*AC10*(1+Inputs!$B$34)^(AC$7-1)*1</f>
        <v>-519.168</v>
      </c>
      <c r="AD41" s="67" t="n">
        <f aca="false">-Inputs!$B$39*AD10*(1+Inputs!$B$34)^(AD$7-1)*1</f>
        <v>-519.168</v>
      </c>
      <c r="AE41" s="67" t="n">
        <f aca="false">-Inputs!$B$39*AE10*(1+Inputs!$B$34)^(AE$7-1)*1</f>
        <v>-519.168</v>
      </c>
      <c r="AF41" s="67" t="n">
        <f aca="false">-Inputs!$B$39*AF10*(1+Inputs!$B$34)^(AF$7-1)*1</f>
        <v>-519.168</v>
      </c>
      <c r="AG41" s="67" t="n">
        <f aca="false">-Inputs!$B$39*AG10*(1+Inputs!$B$34)^(AG$7-1)*1</f>
        <v>-519.168</v>
      </c>
      <c r="AH41" s="67" t="n">
        <f aca="false">-Inputs!$B$39*AH10*(1+Inputs!$B$34)^(AH$7-1)*1</f>
        <v>-519.168</v>
      </c>
      <c r="AI41" s="67" t="n">
        <f aca="false">-Inputs!$B$39*AI10*(1+Inputs!$B$34)^(AI$7-1)*1</f>
        <v>-519.168</v>
      </c>
      <c r="AJ41" s="67" t="n">
        <f aca="false">-Inputs!$B$39*AJ10*(1+Inputs!$B$34)^(AJ$7-1)*1</f>
        <v>-519.168</v>
      </c>
      <c r="AK41" s="67" t="n">
        <f aca="false">-Inputs!$B$39*AK10*(1+Inputs!$B$34)^(AK$7-1)*1</f>
        <v>-519.168</v>
      </c>
      <c r="AL41" s="67" t="n">
        <f aca="false">-Inputs!$B$39*AL10*(1+Inputs!$B$34)^(AL$7-1)*1</f>
        <v>-519.168</v>
      </c>
    </row>
    <row r="42" customFormat="false" ht="15" hidden="false" customHeight="false" outlineLevel="0" collapsed="false">
      <c r="A42" s="6" t="s">
        <v>334</v>
      </c>
      <c r="C42" s="67" t="n">
        <f aca="false">-Inputs!$B$40*C16*(1+Inputs!$B$34)^(C$7-1)</f>
        <v>-511</v>
      </c>
      <c r="D42" s="67" t="n">
        <f aca="false">-Inputs!$B$40*D16*(1+Inputs!$B$34)^(D$7-1)</f>
        <v>-518.222222222222</v>
      </c>
      <c r="E42" s="67" t="n">
        <f aca="false">-Inputs!$B$40*E16*(1+Inputs!$B$34)^(E$7-1)</f>
        <v>-797.444444444445</v>
      </c>
      <c r="F42" s="67" t="n">
        <f aca="false">-Inputs!$B$40*F16*(1+Inputs!$B$34)^(F$7-1)</f>
        <v>-804.666666666667</v>
      </c>
      <c r="G42" s="67" t="n">
        <f aca="false">-Inputs!$B$40*G16*(1+Inputs!$B$34)^(G$7-1)</f>
        <v>-811.888888888889</v>
      </c>
      <c r="H42" s="67" t="n">
        <f aca="false">-Inputs!$B$40*H16*(1+Inputs!$B$34)^(H$7-1)</f>
        <v>-819.111111111111</v>
      </c>
      <c r="I42" s="67" t="n">
        <f aca="false">-Inputs!$B$40*I16*(1+Inputs!$B$34)^(I$7-1)</f>
        <v>-826.333333333333</v>
      </c>
      <c r="J42" s="67" t="n">
        <f aca="false">-Inputs!$B$40*J16*(1+Inputs!$B$34)^(J$7-1)</f>
        <v>-833.555555555556</v>
      </c>
      <c r="K42" s="67" t="n">
        <f aca="false">-Inputs!$B$40*K16*(1+Inputs!$B$34)^(K$7-1)</f>
        <v>-840.777777777778</v>
      </c>
      <c r="L42" s="67" t="n">
        <f aca="false">-Inputs!$B$40*L16*(1+Inputs!$B$34)^(L$7-1)</f>
        <v>-848</v>
      </c>
      <c r="M42" s="67" t="n">
        <f aca="false">-Inputs!$B$40*M16*(1+Inputs!$B$34)^(M$7-1)</f>
        <v>-848</v>
      </c>
      <c r="N42" s="67" t="n">
        <f aca="false">-Inputs!$B$40*N16*(1+Inputs!$B$34)^(N$7-1)</f>
        <v>-576</v>
      </c>
      <c r="O42" s="67" t="n">
        <f aca="false">-Inputs!$B$40*O16*(1+Inputs!$B$34)^(O$7-1)</f>
        <v>-599.04</v>
      </c>
      <c r="P42" s="67" t="n">
        <f aca="false">-Inputs!$B$40*P16*(1+Inputs!$B$34)^(P$7-1)</f>
        <v>-599.04</v>
      </c>
      <c r="Q42" s="67" t="n">
        <f aca="false">-Inputs!$B$40*Q16*(1+Inputs!$B$34)^(Q$7-1)</f>
        <v>-881.92</v>
      </c>
      <c r="R42" s="67" t="n">
        <f aca="false">-Inputs!$B$40*R16*(1+Inputs!$B$34)^(R$7-1)</f>
        <v>-881.92</v>
      </c>
      <c r="S42" s="67" t="n">
        <f aca="false">-Inputs!$B$40*S16*(1+Inputs!$B$34)^(S$7-1)</f>
        <v>-881.92</v>
      </c>
      <c r="T42" s="67" t="n">
        <f aca="false">-Inputs!$B$40*T16*(1+Inputs!$B$34)^(T$7-1)</f>
        <v>-881.92</v>
      </c>
      <c r="U42" s="67" t="n">
        <f aca="false">-Inputs!$B$40*U16*(1+Inputs!$B$34)^(U$7-1)</f>
        <v>-881.92</v>
      </c>
      <c r="V42" s="67" t="n">
        <f aca="false">-Inputs!$B$40*V16*(1+Inputs!$B$34)^(V$7-1)</f>
        <v>-881.92</v>
      </c>
      <c r="W42" s="67" t="n">
        <f aca="false">-Inputs!$B$40*W16*(1+Inputs!$B$34)^(W$7-1)</f>
        <v>-881.92</v>
      </c>
      <c r="X42" s="67" t="n">
        <f aca="false">-Inputs!$B$40*X16*(1+Inputs!$B$34)^(X$7-1)</f>
        <v>-881.92</v>
      </c>
      <c r="Y42" s="67" t="n">
        <f aca="false">-Inputs!$B$40*Y16*(1+Inputs!$B$34)^(Y$7-1)</f>
        <v>-881.92</v>
      </c>
      <c r="Z42" s="67" t="n">
        <f aca="false">-Inputs!$B$40*Z16*(1+Inputs!$B$34)^(Z$7-1)</f>
        <v>-599.04</v>
      </c>
      <c r="AA42" s="67" t="n">
        <f aca="false">-Inputs!$B$40*AA16*(1+Inputs!$B$34)^(AA$7-1)</f>
        <v>-623.0016</v>
      </c>
      <c r="AB42" s="67" t="n">
        <f aca="false">-Inputs!$B$40*AB16*(1+Inputs!$B$34)^(AB$7-1)</f>
        <v>-623.0016</v>
      </c>
      <c r="AC42" s="67" t="n">
        <f aca="false">-Inputs!$B$40*AC16*(1+Inputs!$B$34)^(AC$7-1)</f>
        <v>-917.1968</v>
      </c>
      <c r="AD42" s="67" t="n">
        <f aca="false">-Inputs!$B$40*AD16*(1+Inputs!$B$34)^(AD$7-1)</f>
        <v>-917.1968</v>
      </c>
      <c r="AE42" s="67" t="n">
        <f aca="false">-Inputs!$B$40*AE16*(1+Inputs!$B$34)^(AE$7-1)</f>
        <v>-917.1968</v>
      </c>
      <c r="AF42" s="67" t="n">
        <f aca="false">-Inputs!$B$40*AF16*(1+Inputs!$B$34)^(AF$7-1)</f>
        <v>-917.1968</v>
      </c>
      <c r="AG42" s="67" t="n">
        <f aca="false">-Inputs!$B$40*AG16*(1+Inputs!$B$34)^(AG$7-1)</f>
        <v>-917.1968</v>
      </c>
      <c r="AH42" s="67" t="n">
        <f aca="false">-Inputs!$B$40*AH16*(1+Inputs!$B$34)^(AH$7-1)</f>
        <v>-917.1968</v>
      </c>
      <c r="AI42" s="67" t="n">
        <f aca="false">-Inputs!$B$40*AI16*(1+Inputs!$B$34)^(AI$7-1)</f>
        <v>-917.1968</v>
      </c>
      <c r="AJ42" s="67" t="n">
        <f aca="false">-Inputs!$B$40*AJ16*(1+Inputs!$B$34)^(AJ$7-1)</f>
        <v>-917.1968</v>
      </c>
      <c r="AK42" s="67" t="n">
        <f aca="false">-Inputs!$B$40*AK16*(1+Inputs!$B$34)^(AK$7-1)</f>
        <v>-917.1968</v>
      </c>
      <c r="AL42" s="67" t="n">
        <f aca="false">-Inputs!$B$40*AL16*(1+Inputs!$B$34)^(AL$7-1)</f>
        <v>-623.0016</v>
      </c>
    </row>
    <row r="43" customFormat="false" ht="15" hidden="false" customHeight="false" outlineLevel="0" collapsed="false">
      <c r="A43" s="6" t="s">
        <v>335</v>
      </c>
      <c r="C43" s="67" t="n">
        <f aca="false">-Inputs!$B$41*C10*(1+Inputs!$B$34)^(C$7-1)*1</f>
        <v>-550</v>
      </c>
      <c r="D43" s="67" t="n">
        <f aca="false">-Inputs!$B$41*D10*(1+Inputs!$B$34)^(D$7-1)*1</f>
        <v>-550</v>
      </c>
      <c r="E43" s="67" t="n">
        <f aca="false">-Inputs!$B$41*E10*(1+Inputs!$B$34)^(E$7-1)*1</f>
        <v>-550</v>
      </c>
      <c r="F43" s="67" t="n">
        <f aca="false">-Inputs!$B$41*F10*(1+Inputs!$B$34)^(F$7-1)*1</f>
        <v>-550</v>
      </c>
      <c r="G43" s="67" t="n">
        <f aca="false">-Inputs!$B$41*G10*(1+Inputs!$B$34)^(G$7-1)*1</f>
        <v>-550</v>
      </c>
      <c r="H43" s="67" t="n">
        <f aca="false">-Inputs!$B$41*H10*(1+Inputs!$B$34)^(H$7-1)*1</f>
        <v>-550</v>
      </c>
      <c r="I43" s="67" t="n">
        <f aca="false">-Inputs!$B$41*I10*(1+Inputs!$B$34)^(I$7-1)*1</f>
        <v>-550</v>
      </c>
      <c r="J43" s="67" t="n">
        <f aca="false">-Inputs!$B$41*J10*(1+Inputs!$B$34)^(J$7-1)*1</f>
        <v>-550</v>
      </c>
      <c r="K43" s="67" t="n">
        <f aca="false">-Inputs!$B$41*K10*(1+Inputs!$B$34)^(K$7-1)*1</f>
        <v>-550</v>
      </c>
      <c r="L43" s="67" t="n">
        <f aca="false">-Inputs!$B$41*L10*(1+Inputs!$B$34)^(L$7-1)*1</f>
        <v>-550</v>
      </c>
      <c r="M43" s="67" t="n">
        <f aca="false">-Inputs!$B$41*M10*(1+Inputs!$B$34)^(M$7-1)*1</f>
        <v>-550</v>
      </c>
      <c r="N43" s="67" t="n">
        <f aca="false">-Inputs!$B$41*N10*(1+Inputs!$B$34)^(N$7-1)*1</f>
        <v>-550</v>
      </c>
      <c r="O43" s="67" t="n">
        <f aca="false">-Inputs!$B$41*O10*(1+Inputs!$B$34)^(O$7-1)*1</f>
        <v>-572</v>
      </c>
      <c r="P43" s="67" t="n">
        <f aca="false">-Inputs!$B$41*P10*(1+Inputs!$B$34)^(P$7-1)*1</f>
        <v>-572</v>
      </c>
      <c r="Q43" s="67" t="n">
        <f aca="false">-Inputs!$B$41*Q10*(1+Inputs!$B$34)^(Q$7-1)*1</f>
        <v>-572</v>
      </c>
      <c r="R43" s="67" t="n">
        <f aca="false">-Inputs!$B$41*R10*(1+Inputs!$B$34)^(R$7-1)*1</f>
        <v>-572</v>
      </c>
      <c r="S43" s="67" t="n">
        <f aca="false">-Inputs!$B$41*S10*(1+Inputs!$B$34)^(S$7-1)*1</f>
        <v>-572</v>
      </c>
      <c r="T43" s="67" t="n">
        <f aca="false">-Inputs!$B$41*T10*(1+Inputs!$B$34)^(T$7-1)*1</f>
        <v>-572</v>
      </c>
      <c r="U43" s="67" t="n">
        <f aca="false">-Inputs!$B$41*U10*(1+Inputs!$B$34)^(U$7-1)*1</f>
        <v>-572</v>
      </c>
      <c r="V43" s="67" t="n">
        <f aca="false">-Inputs!$B$41*V10*(1+Inputs!$B$34)^(V$7-1)*1</f>
        <v>-572</v>
      </c>
      <c r="W43" s="67" t="n">
        <f aca="false">-Inputs!$B$41*W10*(1+Inputs!$B$34)^(W$7-1)*1</f>
        <v>-572</v>
      </c>
      <c r="X43" s="67" t="n">
        <f aca="false">-Inputs!$B$41*X10*(1+Inputs!$B$34)^(X$7-1)*1</f>
        <v>-572</v>
      </c>
      <c r="Y43" s="67" t="n">
        <f aca="false">-Inputs!$B$41*Y10*(1+Inputs!$B$34)^(Y$7-1)*1</f>
        <v>-572</v>
      </c>
      <c r="Z43" s="67" t="n">
        <f aca="false">-Inputs!$B$41*Z10*(1+Inputs!$B$34)^(Z$7-1)*1</f>
        <v>-572</v>
      </c>
      <c r="AA43" s="67" t="n">
        <f aca="false">-Inputs!$B$41*AA10*(1+Inputs!$B$34)^(AA$7-1)*1</f>
        <v>-594.88</v>
      </c>
      <c r="AB43" s="67" t="n">
        <f aca="false">-Inputs!$B$41*AB10*(1+Inputs!$B$34)^(AB$7-1)*1</f>
        <v>-594.88</v>
      </c>
      <c r="AC43" s="67" t="n">
        <f aca="false">-Inputs!$B$41*AC10*(1+Inputs!$B$34)^(AC$7-1)*1</f>
        <v>-594.88</v>
      </c>
      <c r="AD43" s="67" t="n">
        <f aca="false">-Inputs!$B$41*AD10*(1+Inputs!$B$34)^(AD$7-1)*1</f>
        <v>-594.88</v>
      </c>
      <c r="AE43" s="67" t="n">
        <f aca="false">-Inputs!$B$41*AE10*(1+Inputs!$B$34)^(AE$7-1)*1</f>
        <v>-594.88</v>
      </c>
      <c r="AF43" s="67" t="n">
        <f aca="false">-Inputs!$B$41*AF10*(1+Inputs!$B$34)^(AF$7-1)*1</f>
        <v>-594.88</v>
      </c>
      <c r="AG43" s="67" t="n">
        <f aca="false">-Inputs!$B$41*AG10*(1+Inputs!$B$34)^(AG$7-1)*1</f>
        <v>-594.88</v>
      </c>
      <c r="AH43" s="67" t="n">
        <f aca="false">-Inputs!$B$41*AH10*(1+Inputs!$B$34)^(AH$7-1)*1</f>
        <v>-594.88</v>
      </c>
      <c r="AI43" s="67" t="n">
        <f aca="false">-Inputs!$B$41*AI10*(1+Inputs!$B$34)^(AI$7-1)*1</f>
        <v>-594.88</v>
      </c>
      <c r="AJ43" s="67" t="n">
        <f aca="false">-Inputs!$B$41*AJ10*(1+Inputs!$B$34)^(AJ$7-1)*1</f>
        <v>-594.88</v>
      </c>
      <c r="AK43" s="67" t="n">
        <f aca="false">-Inputs!$B$41*AK10*(1+Inputs!$B$34)^(AK$7-1)*1</f>
        <v>-594.88</v>
      </c>
      <c r="AL43" s="67" t="n">
        <f aca="false">-Inputs!$B$41*AL10*(1+Inputs!$B$34)^(AL$7-1)*1</f>
        <v>-594.88</v>
      </c>
    </row>
    <row r="44" customFormat="false" ht="15" hidden="false" customHeight="false" outlineLevel="0" collapsed="false">
      <c r="A44" s="6" t="s">
        <v>336</v>
      </c>
      <c r="C44" s="67" t="n">
        <f aca="false">-Inputs!$B$42*(1+Inputs!$B$34)^(C$7-1)*1</f>
        <v>-125</v>
      </c>
      <c r="D44" s="67" t="n">
        <f aca="false">-Inputs!$B$42*(1+Inputs!$B$34)^(D$7-1)*1</f>
        <v>-125</v>
      </c>
      <c r="E44" s="67" t="n">
        <f aca="false">-Inputs!$B$42*(1+Inputs!$B$34)^(E$7-1)*1</f>
        <v>-125</v>
      </c>
      <c r="F44" s="67" t="n">
        <f aca="false">-Inputs!$B$42*(1+Inputs!$B$34)^(F$7-1)*1</f>
        <v>-125</v>
      </c>
      <c r="G44" s="67" t="n">
        <f aca="false">-Inputs!$B$42*(1+Inputs!$B$34)^(G$7-1)*1</f>
        <v>-125</v>
      </c>
      <c r="H44" s="67" t="n">
        <f aca="false">-Inputs!$B$42*(1+Inputs!$B$34)^(H$7-1)*1</f>
        <v>-125</v>
      </c>
      <c r="I44" s="67" t="n">
        <f aca="false">-Inputs!$B$42*(1+Inputs!$B$34)^(I$7-1)*1</f>
        <v>-125</v>
      </c>
      <c r="J44" s="67" t="n">
        <f aca="false">-Inputs!$B$42*(1+Inputs!$B$34)^(J$7-1)*1</f>
        <v>-125</v>
      </c>
      <c r="K44" s="67" t="n">
        <f aca="false">-Inputs!$B$42*(1+Inputs!$B$34)^(K$7-1)*1</f>
        <v>-125</v>
      </c>
      <c r="L44" s="67" t="n">
        <f aca="false">-Inputs!$B$42*(1+Inputs!$B$34)^(L$7-1)*1</f>
        <v>-125</v>
      </c>
      <c r="M44" s="67" t="n">
        <f aca="false">-Inputs!$B$42*(1+Inputs!$B$34)^(M$7-1)*1</f>
        <v>-125</v>
      </c>
      <c r="N44" s="67" t="n">
        <f aca="false">-Inputs!$B$42*(1+Inputs!$B$34)^(N$7-1)*1</f>
        <v>-125</v>
      </c>
      <c r="O44" s="67" t="n">
        <f aca="false">-Inputs!$B$42*(1+Inputs!$B$34)^(O$7-1)*1</f>
        <v>-130</v>
      </c>
      <c r="P44" s="67" t="n">
        <f aca="false">-Inputs!$B$42*(1+Inputs!$B$34)^(P$7-1)*1</f>
        <v>-130</v>
      </c>
      <c r="Q44" s="67" t="n">
        <f aca="false">-Inputs!$B$42*(1+Inputs!$B$34)^(Q$7-1)*1</f>
        <v>-130</v>
      </c>
      <c r="R44" s="67" t="n">
        <f aca="false">-Inputs!$B$42*(1+Inputs!$B$34)^(R$7-1)*1</f>
        <v>-130</v>
      </c>
      <c r="S44" s="67" t="n">
        <f aca="false">-Inputs!$B$42*(1+Inputs!$B$34)^(S$7-1)*1</f>
        <v>-130</v>
      </c>
      <c r="T44" s="67" t="n">
        <f aca="false">-Inputs!$B$42*(1+Inputs!$B$34)^(T$7-1)*1</f>
        <v>-130</v>
      </c>
      <c r="U44" s="67" t="n">
        <f aca="false">-Inputs!$B$42*(1+Inputs!$B$34)^(U$7-1)*1</f>
        <v>-130</v>
      </c>
      <c r="V44" s="67" t="n">
        <f aca="false">-Inputs!$B$42*(1+Inputs!$B$34)^(V$7-1)*1</f>
        <v>-130</v>
      </c>
      <c r="W44" s="67" t="n">
        <f aca="false">-Inputs!$B$42*(1+Inputs!$B$34)^(W$7-1)*1</f>
        <v>-130</v>
      </c>
      <c r="X44" s="67" t="n">
        <f aca="false">-Inputs!$B$42*(1+Inputs!$B$34)^(X$7-1)*1</f>
        <v>-130</v>
      </c>
      <c r="Y44" s="67" t="n">
        <f aca="false">-Inputs!$B$42*(1+Inputs!$B$34)^(Y$7-1)*1</f>
        <v>-130</v>
      </c>
      <c r="Z44" s="67" t="n">
        <f aca="false">-Inputs!$B$42*(1+Inputs!$B$34)^(Z$7-1)*1</f>
        <v>-130</v>
      </c>
      <c r="AA44" s="67" t="n">
        <f aca="false">-Inputs!$B$42*(1+Inputs!$B$34)^(AA$7-1)*1</f>
        <v>-135.2</v>
      </c>
      <c r="AB44" s="67" t="n">
        <f aca="false">-Inputs!$B$42*(1+Inputs!$B$34)^(AB$7-1)*1</f>
        <v>-135.2</v>
      </c>
      <c r="AC44" s="67" t="n">
        <f aca="false">-Inputs!$B$42*(1+Inputs!$B$34)^(AC$7-1)*1</f>
        <v>-135.2</v>
      </c>
      <c r="AD44" s="67" t="n">
        <f aca="false">-Inputs!$B$42*(1+Inputs!$B$34)^(AD$7-1)*1</f>
        <v>-135.2</v>
      </c>
      <c r="AE44" s="67" t="n">
        <f aca="false">-Inputs!$B$42*(1+Inputs!$B$34)^(AE$7-1)*1</f>
        <v>-135.2</v>
      </c>
      <c r="AF44" s="67" t="n">
        <f aca="false">-Inputs!$B$42*(1+Inputs!$B$34)^(AF$7-1)*1</f>
        <v>-135.2</v>
      </c>
      <c r="AG44" s="67" t="n">
        <f aca="false">-Inputs!$B$42*(1+Inputs!$B$34)^(AG$7-1)*1</f>
        <v>-135.2</v>
      </c>
      <c r="AH44" s="67" t="n">
        <f aca="false">-Inputs!$B$42*(1+Inputs!$B$34)^(AH$7-1)*1</f>
        <v>-135.2</v>
      </c>
      <c r="AI44" s="67" t="n">
        <f aca="false">-Inputs!$B$42*(1+Inputs!$B$34)^(AI$7-1)*1</f>
        <v>-135.2</v>
      </c>
      <c r="AJ44" s="67" t="n">
        <f aca="false">-Inputs!$B$42*(1+Inputs!$B$34)^(AJ$7-1)*1</f>
        <v>-135.2</v>
      </c>
      <c r="AK44" s="67" t="n">
        <f aca="false">-Inputs!$B$42*(1+Inputs!$B$34)^(AK$7-1)*1</f>
        <v>-135.2</v>
      </c>
      <c r="AL44" s="67" t="n">
        <f aca="false">-Inputs!$B$42*(1+Inputs!$B$34)^(AL$7-1)*1</f>
        <v>-135.2</v>
      </c>
    </row>
    <row r="45" customFormat="false" ht="15" hidden="false" customHeight="false" outlineLevel="0" collapsed="false">
      <c r="A45" s="6" t="s">
        <v>337</v>
      </c>
      <c r="C45" s="67" t="n">
        <f aca="false">-Inputs!$B$43*(1+Inputs!$B$44)^(C$7-1)*1</f>
        <v>-800</v>
      </c>
      <c r="D45" s="67" t="n">
        <f aca="false">-Inputs!$B$43*(1+Inputs!$B$44)^(D$7-1)*1</f>
        <v>-800</v>
      </c>
      <c r="E45" s="67" t="n">
        <f aca="false">-Inputs!$B$43*(1+Inputs!$B$44)^(E$7-1)*1</f>
        <v>-800</v>
      </c>
      <c r="F45" s="67" t="n">
        <f aca="false">-Inputs!$B$43*(1+Inputs!$B$44)^(F$7-1)*1</f>
        <v>-800</v>
      </c>
      <c r="G45" s="67" t="n">
        <f aca="false">-Inputs!$B$43*(1+Inputs!$B$44)^(G$7-1)*1</f>
        <v>-800</v>
      </c>
      <c r="H45" s="67" t="n">
        <f aca="false">-Inputs!$B$43*(1+Inputs!$B$44)^(H$7-1)*1</f>
        <v>-800</v>
      </c>
      <c r="I45" s="67" t="n">
        <f aca="false">-Inputs!$B$43*(1+Inputs!$B$44)^(I$7-1)*1</f>
        <v>-800</v>
      </c>
      <c r="J45" s="67" t="n">
        <f aca="false">-Inputs!$B$43*(1+Inputs!$B$44)^(J$7-1)*1</f>
        <v>-800</v>
      </c>
      <c r="K45" s="67" t="n">
        <f aca="false">-Inputs!$B$43*(1+Inputs!$B$44)^(K$7-1)*1</f>
        <v>-800</v>
      </c>
      <c r="L45" s="67" t="n">
        <f aca="false">-Inputs!$B$43*(1+Inputs!$B$44)^(L$7-1)*1</f>
        <v>-800</v>
      </c>
      <c r="M45" s="67" t="n">
        <f aca="false">-Inputs!$B$43*(1+Inputs!$B$44)^(M$7-1)*1</f>
        <v>-800</v>
      </c>
      <c r="N45" s="67" t="n">
        <f aca="false">-Inputs!$B$43*(1+Inputs!$B$44)^(N$7-1)*1</f>
        <v>-800</v>
      </c>
      <c r="O45" s="67" t="n">
        <f aca="false">-Inputs!$B$43*(1+Inputs!$B$44)^(O$7-1)*1</f>
        <v>-800</v>
      </c>
      <c r="P45" s="67" t="n">
        <f aca="false">-Inputs!$B$43*(1+Inputs!$B$44)^(P$7-1)*1</f>
        <v>-800</v>
      </c>
      <c r="Q45" s="67" t="n">
        <f aca="false">-Inputs!$B$43*(1+Inputs!$B$44)^(Q$7-1)*1</f>
        <v>-800</v>
      </c>
      <c r="R45" s="67" t="n">
        <f aca="false">-Inputs!$B$43*(1+Inputs!$B$44)^(R$7-1)*1</f>
        <v>-800</v>
      </c>
      <c r="S45" s="67" t="n">
        <f aca="false">-Inputs!$B$43*(1+Inputs!$B$44)^(S$7-1)*1</f>
        <v>-800</v>
      </c>
      <c r="T45" s="67" t="n">
        <f aca="false">-Inputs!$B$43*(1+Inputs!$B$44)^(T$7-1)*1</f>
        <v>-800</v>
      </c>
      <c r="U45" s="67" t="n">
        <f aca="false">-Inputs!$B$43*(1+Inputs!$B$44)^(U$7-1)*1</f>
        <v>-800</v>
      </c>
      <c r="V45" s="67" t="n">
        <f aca="false">-Inputs!$B$43*(1+Inputs!$B$44)^(V$7-1)*1</f>
        <v>-800</v>
      </c>
      <c r="W45" s="67" t="n">
        <f aca="false">-Inputs!$B$43*(1+Inputs!$B$44)^(W$7-1)*1</f>
        <v>-800</v>
      </c>
      <c r="X45" s="67" t="n">
        <f aca="false">-Inputs!$B$43*(1+Inputs!$B$44)^(X$7-1)*1</f>
        <v>-800</v>
      </c>
      <c r="Y45" s="67" t="n">
        <f aca="false">-Inputs!$B$43*(1+Inputs!$B$44)^(Y$7-1)*1</f>
        <v>-800</v>
      </c>
      <c r="Z45" s="67" t="n">
        <f aca="false">-Inputs!$B$43*(1+Inputs!$B$44)^(Z$7-1)*1</f>
        <v>-800</v>
      </c>
      <c r="AA45" s="67" t="n">
        <f aca="false">-Inputs!$B$43*(1+Inputs!$B$44)^(AA$7-1)*1</f>
        <v>-800</v>
      </c>
      <c r="AB45" s="67" t="n">
        <f aca="false">-Inputs!$B$43*(1+Inputs!$B$44)^(AB$7-1)*1</f>
        <v>-800</v>
      </c>
      <c r="AC45" s="67" t="n">
        <f aca="false">-Inputs!$B$43*(1+Inputs!$B$44)^(AC$7-1)*1</f>
        <v>-800</v>
      </c>
      <c r="AD45" s="67" t="n">
        <f aca="false">-Inputs!$B$43*(1+Inputs!$B$44)^(AD$7-1)*1</f>
        <v>-800</v>
      </c>
      <c r="AE45" s="67" t="n">
        <f aca="false">-Inputs!$B$43*(1+Inputs!$B$44)^(AE$7-1)*1</f>
        <v>-800</v>
      </c>
      <c r="AF45" s="67" t="n">
        <f aca="false">-Inputs!$B$43*(1+Inputs!$B$44)^(AF$7-1)*1</f>
        <v>-800</v>
      </c>
      <c r="AG45" s="67" t="n">
        <f aca="false">-Inputs!$B$43*(1+Inputs!$B$44)^(AG$7-1)*1</f>
        <v>-800</v>
      </c>
      <c r="AH45" s="67" t="n">
        <f aca="false">-Inputs!$B$43*(1+Inputs!$B$44)^(AH$7-1)*1</f>
        <v>-800</v>
      </c>
      <c r="AI45" s="67" t="n">
        <f aca="false">-Inputs!$B$43*(1+Inputs!$B$44)^(AI$7-1)*1</f>
        <v>-800</v>
      </c>
      <c r="AJ45" s="67" t="n">
        <f aca="false">-Inputs!$B$43*(1+Inputs!$B$44)^(AJ$7-1)*1</f>
        <v>-800</v>
      </c>
      <c r="AK45" s="67" t="n">
        <f aca="false">-Inputs!$B$43*(1+Inputs!$B$44)^(AK$7-1)*1</f>
        <v>-800</v>
      </c>
      <c r="AL45" s="67" t="n">
        <f aca="false">-Inputs!$B$43*(1+Inputs!$B$44)^(AL$7-1)*1</f>
        <v>-800</v>
      </c>
    </row>
    <row r="46" customFormat="false" ht="15" hidden="false" customHeight="false" outlineLevel="0" collapsed="false">
      <c r="A46" s="6" t="s">
        <v>338</v>
      </c>
      <c r="C46" s="67" t="n">
        <f aca="false">-Inputs!$B$45*(1+Inputs!$B$34)^(C$7-1)*1</f>
        <v>-380</v>
      </c>
      <c r="D46" s="67" t="n">
        <f aca="false">-Inputs!$B$45*(1+Inputs!$B$34)^(D$7-1)*1</f>
        <v>-380</v>
      </c>
      <c r="E46" s="67" t="n">
        <f aca="false">-Inputs!$B$45*(1+Inputs!$B$34)^(E$7-1)*1</f>
        <v>-380</v>
      </c>
      <c r="F46" s="67" t="n">
        <f aca="false">-Inputs!$B$45*(1+Inputs!$B$34)^(F$7-1)*1</f>
        <v>-380</v>
      </c>
      <c r="G46" s="67" t="n">
        <f aca="false">-Inputs!$B$45*(1+Inputs!$B$34)^(G$7-1)*1</f>
        <v>-380</v>
      </c>
      <c r="H46" s="67" t="n">
        <f aca="false">-Inputs!$B$45*(1+Inputs!$B$34)^(H$7-1)*1</f>
        <v>-380</v>
      </c>
      <c r="I46" s="67" t="n">
        <f aca="false">-Inputs!$B$45*(1+Inputs!$B$34)^(I$7-1)*1</f>
        <v>-380</v>
      </c>
      <c r="J46" s="67" t="n">
        <f aca="false">-Inputs!$B$45*(1+Inputs!$B$34)^(J$7-1)*1</f>
        <v>-380</v>
      </c>
      <c r="K46" s="67" t="n">
        <f aca="false">-Inputs!$B$45*(1+Inputs!$B$34)^(K$7-1)*1</f>
        <v>-380</v>
      </c>
      <c r="L46" s="67" t="n">
        <f aca="false">-Inputs!$B$45*(1+Inputs!$B$34)^(L$7-1)*1</f>
        <v>-380</v>
      </c>
      <c r="M46" s="67" t="n">
        <f aca="false">-Inputs!$B$45*(1+Inputs!$B$34)^(M$7-1)*1</f>
        <v>-380</v>
      </c>
      <c r="N46" s="67" t="n">
        <f aca="false">-Inputs!$B$45*(1+Inputs!$B$34)^(N$7-1)*1</f>
        <v>-380</v>
      </c>
      <c r="O46" s="67" t="n">
        <f aca="false">-Inputs!$B$45*(1+Inputs!$B$34)^(O$7-1)*1</f>
        <v>-395.2</v>
      </c>
      <c r="P46" s="67" t="n">
        <f aca="false">-Inputs!$B$45*(1+Inputs!$B$34)^(P$7-1)*1</f>
        <v>-395.2</v>
      </c>
      <c r="Q46" s="67" t="n">
        <f aca="false">-Inputs!$B$45*(1+Inputs!$B$34)^(Q$7-1)*1</f>
        <v>-395.2</v>
      </c>
      <c r="R46" s="67" t="n">
        <f aca="false">-Inputs!$B$45*(1+Inputs!$B$34)^(R$7-1)*1</f>
        <v>-395.2</v>
      </c>
      <c r="S46" s="67" t="n">
        <f aca="false">-Inputs!$B$45*(1+Inputs!$B$34)^(S$7-1)*1</f>
        <v>-395.2</v>
      </c>
      <c r="T46" s="67" t="n">
        <f aca="false">-Inputs!$B$45*(1+Inputs!$B$34)^(T$7-1)*1</f>
        <v>-395.2</v>
      </c>
      <c r="U46" s="67" t="n">
        <f aca="false">-Inputs!$B$45*(1+Inputs!$B$34)^(U$7-1)*1</f>
        <v>-395.2</v>
      </c>
      <c r="V46" s="67" t="n">
        <f aca="false">-Inputs!$B$45*(1+Inputs!$B$34)^(V$7-1)*1</f>
        <v>-395.2</v>
      </c>
      <c r="W46" s="67" t="n">
        <f aca="false">-Inputs!$B$45*(1+Inputs!$B$34)^(W$7-1)*1</f>
        <v>-395.2</v>
      </c>
      <c r="X46" s="67" t="n">
        <f aca="false">-Inputs!$B$45*(1+Inputs!$B$34)^(X$7-1)*1</f>
        <v>-395.2</v>
      </c>
      <c r="Y46" s="67" t="n">
        <f aca="false">-Inputs!$B$45*(1+Inputs!$B$34)^(Y$7-1)*1</f>
        <v>-395.2</v>
      </c>
      <c r="Z46" s="67" t="n">
        <f aca="false">-Inputs!$B$45*(1+Inputs!$B$34)^(Z$7-1)*1</f>
        <v>-395.2</v>
      </c>
      <c r="AA46" s="67" t="n">
        <f aca="false">-Inputs!$B$45*(1+Inputs!$B$34)^(AA$7-1)*1</f>
        <v>-411.008</v>
      </c>
      <c r="AB46" s="67" t="n">
        <f aca="false">-Inputs!$B$45*(1+Inputs!$B$34)^(AB$7-1)*1</f>
        <v>-411.008</v>
      </c>
      <c r="AC46" s="67" t="n">
        <f aca="false">-Inputs!$B$45*(1+Inputs!$B$34)^(AC$7-1)*1</f>
        <v>-411.008</v>
      </c>
      <c r="AD46" s="67" t="n">
        <f aca="false">-Inputs!$B$45*(1+Inputs!$B$34)^(AD$7-1)*1</f>
        <v>-411.008</v>
      </c>
      <c r="AE46" s="67" t="n">
        <f aca="false">-Inputs!$B$45*(1+Inputs!$B$34)^(AE$7-1)*1</f>
        <v>-411.008</v>
      </c>
      <c r="AF46" s="67" t="n">
        <f aca="false">-Inputs!$B$45*(1+Inputs!$B$34)^(AF$7-1)*1</f>
        <v>-411.008</v>
      </c>
      <c r="AG46" s="67" t="n">
        <f aca="false">-Inputs!$B$45*(1+Inputs!$B$34)^(AG$7-1)*1</f>
        <v>-411.008</v>
      </c>
      <c r="AH46" s="67" t="n">
        <f aca="false">-Inputs!$B$45*(1+Inputs!$B$34)^(AH$7-1)*1</f>
        <v>-411.008</v>
      </c>
      <c r="AI46" s="67" t="n">
        <f aca="false">-Inputs!$B$45*(1+Inputs!$B$34)^(AI$7-1)*1</f>
        <v>-411.008</v>
      </c>
      <c r="AJ46" s="67" t="n">
        <f aca="false">-Inputs!$B$45*(1+Inputs!$B$34)^(AJ$7-1)*1</f>
        <v>-411.008</v>
      </c>
      <c r="AK46" s="67" t="n">
        <f aca="false">-Inputs!$B$45*(1+Inputs!$B$34)^(AK$7-1)*1</f>
        <v>-411.008</v>
      </c>
      <c r="AL46" s="67" t="n">
        <f aca="false">-Inputs!$B$45*(1+Inputs!$B$34)^(AL$7-1)*1</f>
        <v>-411.008</v>
      </c>
    </row>
    <row r="47" customFormat="false" ht="15" hidden="false" customHeight="false" outlineLevel="0" collapsed="false">
      <c r="A47" s="113" t="s">
        <v>77</v>
      </c>
      <c r="C47" s="68" t="n">
        <f aca="false">C38+C39+C40+C41+C42+C43+C44+C45+C46</f>
        <v>-14170.6666666667</v>
      </c>
      <c r="D47" s="68" t="n">
        <f aca="false">D38+D39+D40+D41+D42+D43+D44+D45+D46</f>
        <v>-14177.8888888889</v>
      </c>
      <c r="E47" s="68" t="n">
        <f aca="false">E38+E39+E40+E41+E42+E43+E44+E45+E46</f>
        <v>-14457.1111111111</v>
      </c>
      <c r="F47" s="68" t="n">
        <f aca="false">F38+F39+F40+F41+F42+F43+F44+F45+F46</f>
        <v>-14464.3333333333</v>
      </c>
      <c r="G47" s="68" t="n">
        <f aca="false">G38+G39+G40+G41+G42+G43+G44+G45+G46</f>
        <v>-14471.5555555556</v>
      </c>
      <c r="H47" s="68" t="n">
        <f aca="false">H38+H39+H40+H41+H42+H43+H44+H45+H46</f>
        <v>-14478.7777777778</v>
      </c>
      <c r="I47" s="68" t="n">
        <f aca="false">I38+I39+I40+I41+I42+I43+I44+I45+I46</f>
        <v>-14486</v>
      </c>
      <c r="J47" s="68" t="n">
        <f aca="false">J38+J39+J40+J41+J42+J43+J44+J45+J46</f>
        <v>-14493.2222222222</v>
      </c>
      <c r="K47" s="68" t="n">
        <f aca="false">K38+K39+K40+K41+K42+K43+K44+K45+K46</f>
        <v>-14500.4444444444</v>
      </c>
      <c r="L47" s="68" t="n">
        <f aca="false">L38+L39+L40+L41+L42+L43+L44+L45+L46</f>
        <v>-14507.6666666667</v>
      </c>
      <c r="M47" s="68" t="n">
        <f aca="false">M38+M39+M40+M41+M42+M43+M44+M45+M46</f>
        <v>-14507.6666666667</v>
      </c>
      <c r="N47" s="68" t="n">
        <f aca="false">N38+N39+N40+N41+N42+N43+N44+N45+N46</f>
        <v>-14235.6666666667</v>
      </c>
      <c r="O47" s="68" t="n">
        <f aca="false">O38+O39+O40+O41+O42+O43+O44+O45+O46</f>
        <v>-14674.3466666667</v>
      </c>
      <c r="P47" s="68" t="n">
        <f aca="false">P38+P39+P40+P41+P42+P43+P44+P45+P46</f>
        <v>-14674.3466666667</v>
      </c>
      <c r="Q47" s="68" t="n">
        <f aca="false">Q38+Q39+Q40+Q41+Q42+Q43+Q44+Q45+Q46</f>
        <v>-14957.2266666667</v>
      </c>
      <c r="R47" s="68" t="n">
        <f aca="false">R38+R39+R40+R41+R42+R43+R44+R45+R46</f>
        <v>-14957.2266666667</v>
      </c>
      <c r="S47" s="68" t="n">
        <f aca="false">S38+S39+S40+S41+S42+S43+S44+S45+S46</f>
        <v>-14957.2266666667</v>
      </c>
      <c r="T47" s="68" t="n">
        <f aca="false">T38+T39+T40+T41+T42+T43+T44+T45+T46</f>
        <v>-14957.2266666667</v>
      </c>
      <c r="U47" s="68" t="n">
        <f aca="false">U38+U39+U40+U41+U42+U43+U44+U45+U46</f>
        <v>-14957.2266666667</v>
      </c>
      <c r="V47" s="68" t="n">
        <f aca="false">V38+V39+V40+V41+V42+V43+V44+V45+V46</f>
        <v>-14957.2266666667</v>
      </c>
      <c r="W47" s="68" t="n">
        <f aca="false">W38+W39+W40+W41+W42+W43+W44+W45+W46</f>
        <v>-14957.2266666667</v>
      </c>
      <c r="X47" s="68" t="n">
        <f aca="false">X38+X39+X40+X41+X42+X43+X44+X45+X46</f>
        <v>-14957.2266666667</v>
      </c>
      <c r="Y47" s="68" t="n">
        <f aca="false">Y38+Y39+Y40+Y41+Y42+Y43+Y44+Y45+Y46</f>
        <v>-14957.2266666667</v>
      </c>
      <c r="Z47" s="68" t="n">
        <f aca="false">Z38+Z39+Z40+Z41+Z42+Z43+Z44+Z45+Z46</f>
        <v>-14674.3466666667</v>
      </c>
      <c r="AA47" s="68" t="n">
        <f aca="false">AA38+AA39+AA40+AA41+AA42+AA43+AA44+AA45+AA46</f>
        <v>-15127.6114666667</v>
      </c>
      <c r="AB47" s="68" t="n">
        <f aca="false">AB38+AB39+AB40+AB41+AB42+AB43+AB44+AB45+AB46</f>
        <v>-15127.6114666667</v>
      </c>
      <c r="AC47" s="68" t="n">
        <f aca="false">AC38+AC39+AC40+AC41+AC42+AC43+AC44+AC45+AC46</f>
        <v>-15421.8066666667</v>
      </c>
      <c r="AD47" s="68" t="n">
        <f aca="false">AD38+AD39+AD40+AD41+AD42+AD43+AD44+AD45+AD46</f>
        <v>-15421.8066666667</v>
      </c>
      <c r="AE47" s="68" t="n">
        <f aca="false">AE38+AE39+AE40+AE41+AE42+AE43+AE44+AE45+AE46</f>
        <v>-15421.8066666667</v>
      </c>
      <c r="AF47" s="68" t="n">
        <f aca="false">AF38+AF39+AF40+AF41+AF42+AF43+AF44+AF45+AF46</f>
        <v>-15421.8066666667</v>
      </c>
      <c r="AG47" s="68" t="n">
        <f aca="false">AG38+AG39+AG40+AG41+AG42+AG43+AG44+AG45+AG46</f>
        <v>-15421.8066666667</v>
      </c>
      <c r="AH47" s="68" t="n">
        <f aca="false">AH38+AH39+AH40+AH41+AH42+AH43+AH44+AH45+AH46</f>
        <v>-15421.8066666667</v>
      </c>
      <c r="AI47" s="68" t="n">
        <f aca="false">AI38+AI39+AI40+AI41+AI42+AI43+AI44+AI45+AI46</f>
        <v>-15421.8066666667</v>
      </c>
      <c r="AJ47" s="68" t="n">
        <f aca="false">AJ38+AJ39+AJ40+AJ41+AJ42+AJ43+AJ44+AJ45+AJ46</f>
        <v>-15421.8066666667</v>
      </c>
      <c r="AK47" s="68" t="n">
        <f aca="false">AK38+AK39+AK40+AK41+AK42+AK43+AK44+AK45+AK46</f>
        <v>-15421.8066666667</v>
      </c>
      <c r="AL47" s="68" t="n">
        <f aca="false">AL38+AL39+AL40+AL41+AL42+AL43+AL44+AL45+AL46</f>
        <v>-15127.6114666667</v>
      </c>
    </row>
    <row r="48" customFormat="false" ht="15" hidden="false" customHeight="false" outlineLevel="0" collapsed="false">
      <c r="A48" s="113" t="s">
        <v>48</v>
      </c>
      <c r="C48" s="68" t="n">
        <f aca="false">C35+C47</f>
        <v>-11218.6937266667</v>
      </c>
      <c r="D48" s="68" t="n">
        <f aca="false">D35+D47</f>
        <v>-10616.7786755556</v>
      </c>
      <c r="E48" s="68" t="n">
        <f aca="false">E35+E47</f>
        <v>-8290.59125111111</v>
      </c>
      <c r="F48" s="68" t="n">
        <f aca="false">F35+F47</f>
        <v>-7397.08585333333</v>
      </c>
      <c r="G48" s="68" t="n">
        <f aca="false">G35+G47</f>
        <v>-6503.58045555556</v>
      </c>
      <c r="H48" s="68" t="n">
        <f aca="false">H35+H47</f>
        <v>-5610.07505777778</v>
      </c>
      <c r="I48" s="68" t="n">
        <f aca="false">I35+I47</f>
        <v>-4716.56966</v>
      </c>
      <c r="J48" s="68" t="n">
        <f aca="false">J35+J47</f>
        <v>-3823.06426222222</v>
      </c>
      <c r="K48" s="68" t="n">
        <f aca="false">K35+K47</f>
        <v>-2929.55886444444</v>
      </c>
      <c r="L48" s="68" t="n">
        <f aca="false">L35+L47</f>
        <v>-2036.05346666667</v>
      </c>
      <c r="M48" s="68" t="n">
        <f aca="false">M35+M47</f>
        <v>-2036.05346666667</v>
      </c>
      <c r="N48" s="68" t="n">
        <f aca="false">N35+N47</f>
        <v>-5801.45826666667</v>
      </c>
      <c r="O48" s="68" t="n">
        <f aca="false">O35+O47</f>
        <v>-6089.23609866667</v>
      </c>
      <c r="P48" s="68" t="n">
        <f aca="false">P35+P47</f>
        <v>-6089.23609866667</v>
      </c>
      <c r="Q48" s="68" t="n">
        <f aca="false">Q35+Q47</f>
        <v>-2259.26720266667</v>
      </c>
      <c r="R48" s="68" t="n">
        <f aca="false">R35+R47</f>
        <v>-2259.26720266667</v>
      </c>
      <c r="S48" s="68" t="n">
        <f aca="false">S35+S47</f>
        <v>-2259.26720266667</v>
      </c>
      <c r="T48" s="68" t="n">
        <f aca="false">T35+T47</f>
        <v>-2259.26720266667</v>
      </c>
      <c r="U48" s="68" t="n">
        <f aca="false">U35+U47</f>
        <v>-2259.26720266667</v>
      </c>
      <c r="V48" s="68" t="n">
        <f aca="false">V35+V47</f>
        <v>-2259.26720266667</v>
      </c>
      <c r="W48" s="68" t="n">
        <f aca="false">W35+W47</f>
        <v>-2259.26720266667</v>
      </c>
      <c r="X48" s="68" t="n">
        <f aca="false">X35+X47</f>
        <v>-2259.26720266667</v>
      </c>
      <c r="Y48" s="68" t="n">
        <f aca="false">Y35+Y47</f>
        <v>-2259.26720266667</v>
      </c>
      <c r="Z48" s="68" t="n">
        <f aca="false">Z35+Z47</f>
        <v>-6089.23609866667</v>
      </c>
      <c r="AA48" s="68" t="n">
        <f aca="false">AA35+AA47</f>
        <v>-6389.29196730667</v>
      </c>
      <c r="AB48" s="68" t="n">
        <f aca="false">AB35+AB47</f>
        <v>-6389.29196730667</v>
      </c>
      <c r="AC48" s="68" t="n">
        <f aca="false">AC35+AC47</f>
        <v>-2493.89745338666</v>
      </c>
      <c r="AD48" s="68" t="n">
        <f aca="false">AD35+AD47</f>
        <v>-2493.89745338666</v>
      </c>
      <c r="AE48" s="68" t="n">
        <f aca="false">AE35+AE47</f>
        <v>-2493.89745338666</v>
      </c>
      <c r="AF48" s="68" t="n">
        <f aca="false">AF35+AF47</f>
        <v>-2493.89745338666</v>
      </c>
      <c r="AG48" s="68" t="n">
        <f aca="false">AG35+AG47</f>
        <v>-2493.89745338666</v>
      </c>
      <c r="AH48" s="68" t="n">
        <f aca="false">AH35+AH47</f>
        <v>-2493.89745338666</v>
      </c>
      <c r="AI48" s="68" t="n">
        <f aca="false">AI35+AI47</f>
        <v>-2493.89745338666</v>
      </c>
      <c r="AJ48" s="68" t="n">
        <f aca="false">AJ35+AJ47</f>
        <v>-2493.89745338666</v>
      </c>
      <c r="AK48" s="68" t="n">
        <f aca="false">AK35+AK47</f>
        <v>-2493.89745338666</v>
      </c>
      <c r="AL48" s="68" t="n">
        <f aca="false">AL35+AL47</f>
        <v>-6389.29196730667</v>
      </c>
    </row>
    <row r="50" customFormat="false" ht="15.75" hidden="false" customHeight="true" outlineLevel="0" collapsed="false">
      <c r="A50" s="7" t="s">
        <v>402</v>
      </c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</row>
    <row r="51" customFormat="false" ht="15" hidden="false" customHeight="false" outlineLevel="0" collapsed="false">
      <c r="A51" s="4" t="s">
        <v>79</v>
      </c>
      <c r="C51" s="73" t="n">
        <f aca="false">C48+C66</f>
        <v>-12861.5508695238</v>
      </c>
      <c r="D51" s="73" t="n">
        <f aca="false">D48+D66</f>
        <v>-12259.6358184127</v>
      </c>
      <c r="E51" s="73" t="n">
        <f aca="false">E48+E66</f>
        <v>-9933.44839396826</v>
      </c>
      <c r="F51" s="73" t="n">
        <f aca="false">F48+F66</f>
        <v>-9039.94299619048</v>
      </c>
      <c r="G51" s="73" t="n">
        <f aca="false">G48+G66</f>
        <v>-8146.4375984127</v>
      </c>
      <c r="H51" s="73" t="n">
        <f aca="false">H48+H66</f>
        <v>-7252.93220063492</v>
      </c>
      <c r="I51" s="73" t="n">
        <f aca="false">I48+I66</f>
        <v>-6359.42680285714</v>
      </c>
      <c r="J51" s="73" t="n">
        <f aca="false">J48+J66</f>
        <v>-5465.92140507936</v>
      </c>
      <c r="K51" s="73" t="n">
        <f aca="false">K48+K66</f>
        <v>-4572.41600730159</v>
      </c>
      <c r="L51" s="73" t="n">
        <f aca="false">L48+L66</f>
        <v>-3678.91060952381</v>
      </c>
      <c r="M51" s="73" t="n">
        <f aca="false">M48+M66</f>
        <v>-3678.91060952381</v>
      </c>
      <c r="N51" s="73" t="n">
        <f aca="false">N48+N66</f>
        <v>-7444.31540952381</v>
      </c>
      <c r="O51" s="73" t="n">
        <f aca="false">O48+O66</f>
        <v>-7761.85514628572</v>
      </c>
      <c r="P51" s="73" t="n">
        <f aca="false">P48+P66</f>
        <v>-7761.85514628572</v>
      </c>
      <c r="Q51" s="73" t="n">
        <f aca="false">Q48+Q66</f>
        <v>-3931.88625028572</v>
      </c>
      <c r="R51" s="73" t="n">
        <f aca="false">R48+R66</f>
        <v>-3931.88625028572</v>
      </c>
      <c r="S51" s="73" t="n">
        <f aca="false">S48+S66</f>
        <v>-3931.88625028572</v>
      </c>
      <c r="T51" s="73" t="n">
        <f aca="false">T48+T66</f>
        <v>-3931.88625028572</v>
      </c>
      <c r="U51" s="73" t="n">
        <f aca="false">U48+U66</f>
        <v>-3931.88625028572</v>
      </c>
      <c r="V51" s="73" t="n">
        <f aca="false">V48+V66</f>
        <v>-3931.88625028572</v>
      </c>
      <c r="W51" s="73" t="n">
        <f aca="false">W48+W66</f>
        <v>-3931.88625028572</v>
      </c>
      <c r="X51" s="73" t="n">
        <f aca="false">X48+X66</f>
        <v>-3931.88625028572</v>
      </c>
      <c r="Y51" s="73" t="n">
        <f aca="false">Y48+Y66</f>
        <v>-3931.88625028572</v>
      </c>
      <c r="Z51" s="73" t="n">
        <f aca="false">Z48+Z66</f>
        <v>-7761.85514628572</v>
      </c>
      <c r="AA51" s="73" t="n">
        <f aca="false">AA48+AA66</f>
        <v>-8091.67291968762</v>
      </c>
      <c r="AB51" s="73" t="n">
        <f aca="false">AB48+AB66</f>
        <v>-8091.67291968762</v>
      </c>
      <c r="AC51" s="73" t="n">
        <f aca="false">AC48+AC66</f>
        <v>-4196.27840576761</v>
      </c>
      <c r="AD51" s="73" t="n">
        <f aca="false">AD48+AD66</f>
        <v>-4196.27840576761</v>
      </c>
      <c r="AE51" s="73" t="n">
        <f aca="false">AE48+AE66</f>
        <v>-4196.27840576761</v>
      </c>
      <c r="AF51" s="73" t="n">
        <f aca="false">AF48+AF66</f>
        <v>-4196.27840576761</v>
      </c>
      <c r="AG51" s="73" t="n">
        <f aca="false">AG48+AG66</f>
        <v>-4196.27840576761</v>
      </c>
      <c r="AH51" s="73" t="n">
        <f aca="false">AH48+AH66</f>
        <v>-4196.27840576761</v>
      </c>
      <c r="AI51" s="73" t="n">
        <f aca="false">AI48+AI66</f>
        <v>-4196.27840576761</v>
      </c>
      <c r="AJ51" s="73" t="n">
        <f aca="false">AJ48+AJ66</f>
        <v>-4196.27840576761</v>
      </c>
      <c r="AK51" s="73" t="n">
        <f aca="false">AK48+AK66</f>
        <v>-4196.27840576761</v>
      </c>
      <c r="AL51" s="73" t="n">
        <f aca="false">AL48+AL66</f>
        <v>-8091.67291968762</v>
      </c>
    </row>
    <row r="52" customFormat="false" ht="15" hidden="false" customHeight="false" outlineLevel="0" collapsed="false">
      <c r="A52" s="6" t="s">
        <v>403</v>
      </c>
      <c r="C52" s="67" t="n">
        <f aca="false">-(C71+C72+C74)/2*Inputs!$B$73/12</f>
        <v>-675</v>
      </c>
      <c r="D52" s="67" t="n">
        <f aca="false">-(D71+D72+D74)/2*Inputs!$B$73/12</f>
        <v>-669.375</v>
      </c>
      <c r="E52" s="67" t="n">
        <f aca="false">-(E71+E72+E74)/2*Inputs!$B$73/12</f>
        <v>-658.125</v>
      </c>
      <c r="F52" s="67" t="n">
        <f aca="false">-(F71+F72+F74)/2*Inputs!$B$73/12</f>
        <v>-646.875</v>
      </c>
      <c r="G52" s="67" t="n">
        <f aca="false">-(G71+G72+G74)/2*Inputs!$B$73/12</f>
        <v>-635.625</v>
      </c>
      <c r="H52" s="67" t="n">
        <f aca="false">-(H71+H72+H74)/2*Inputs!$B$73/12</f>
        <v>-624.375</v>
      </c>
      <c r="I52" s="67" t="n">
        <f aca="false">-(I71+I72+I74)/2*Inputs!$B$73/12</f>
        <v>-613.125</v>
      </c>
      <c r="J52" s="67" t="n">
        <f aca="false">-(J71+J72+J74)/2*Inputs!$B$73/12</f>
        <v>-601.875</v>
      </c>
      <c r="K52" s="67" t="n">
        <f aca="false">-(K71+K72+K74)/2*Inputs!$B$73/12</f>
        <v>-590.625</v>
      </c>
      <c r="L52" s="67" t="n">
        <f aca="false">-(L71+L72+L74)/2*Inputs!$B$73/12</f>
        <v>-579.375</v>
      </c>
      <c r="M52" s="67" t="n">
        <f aca="false">-(M71+M72+M74)/2*Inputs!$B$73/12</f>
        <v>-568.125</v>
      </c>
      <c r="N52" s="67" t="n">
        <f aca="false">-(N71+N72+N74)/2*Inputs!$B$73/12</f>
        <v>-556.875</v>
      </c>
      <c r="O52" s="67" t="n">
        <f aca="false">-(O71+O72+O74)/2*Inputs!$B$73/12</f>
        <v>-545.625</v>
      </c>
      <c r="P52" s="67" t="n">
        <f aca="false">-(P71+P72+P74)/2*Inputs!$B$73/12</f>
        <v>-534.375</v>
      </c>
      <c r="Q52" s="67" t="n">
        <f aca="false">-(Q71+Q72+Q74)/2*Inputs!$B$73/12</f>
        <v>-523.125</v>
      </c>
      <c r="R52" s="67" t="n">
        <f aca="false">-(R71+R72+R74)/2*Inputs!$B$73/12</f>
        <v>-511.875</v>
      </c>
      <c r="S52" s="67" t="n">
        <f aca="false">-(S71+S72+S74)/2*Inputs!$B$73/12</f>
        <v>-500.625</v>
      </c>
      <c r="T52" s="67" t="n">
        <f aca="false">-(T71+T72+T74)/2*Inputs!$B$73/12</f>
        <v>-489.375</v>
      </c>
      <c r="U52" s="67" t="n">
        <f aca="false">-(U71+U72+U74)/2*Inputs!$B$73/12</f>
        <v>-478.125</v>
      </c>
      <c r="V52" s="67" t="n">
        <f aca="false">-(V71+V72+V74)/2*Inputs!$B$73/12</f>
        <v>-466.875</v>
      </c>
      <c r="W52" s="67" t="n">
        <f aca="false">-(W71+W72+W74)/2*Inputs!$B$73/12</f>
        <v>-455.625</v>
      </c>
      <c r="X52" s="67" t="n">
        <f aca="false">-(X71+X72+X74)/2*Inputs!$B$73/12</f>
        <v>-444.375</v>
      </c>
      <c r="Y52" s="67" t="n">
        <f aca="false">-(Y71+Y72+Y74)/2*Inputs!$B$73/12</f>
        <v>-433.125</v>
      </c>
      <c r="Z52" s="67" t="n">
        <f aca="false">-(Z71+Z72+Z74)/2*Inputs!$B$73/12</f>
        <v>-421.875</v>
      </c>
      <c r="AA52" s="67" t="n">
        <f aca="false">-(AA71+AA72+AA74)/2*Inputs!$B$73/12</f>
        <v>-410.625</v>
      </c>
      <c r="AB52" s="67" t="n">
        <f aca="false">-(AB71+AB72+AB74)/2*Inputs!$B$73/12</f>
        <v>-399.375</v>
      </c>
      <c r="AC52" s="67" t="n">
        <f aca="false">-(AC71+AC72+AC74)/2*Inputs!$B$73/12</f>
        <v>-388.125</v>
      </c>
      <c r="AD52" s="67" t="n">
        <f aca="false">-(AD71+AD72+AD74)/2*Inputs!$B$73/12</f>
        <v>-376.875</v>
      </c>
      <c r="AE52" s="67" t="n">
        <f aca="false">-(AE71+AE72+AE74)/2*Inputs!$B$73/12</f>
        <v>-365.625</v>
      </c>
      <c r="AF52" s="67" t="n">
        <f aca="false">-(AF71+AF72+AF74)/2*Inputs!$B$73/12</f>
        <v>-354.375</v>
      </c>
      <c r="AG52" s="67" t="n">
        <f aca="false">-(AG71+AG72+AG74)/2*Inputs!$B$73/12</f>
        <v>-343.125</v>
      </c>
      <c r="AH52" s="67" t="n">
        <f aca="false">-(AH71+AH72+AH74)/2*Inputs!$B$73/12</f>
        <v>-331.875</v>
      </c>
      <c r="AI52" s="67" t="n">
        <f aca="false">-(AI71+AI72+AI74)/2*Inputs!$B$73/12</f>
        <v>-320.625</v>
      </c>
      <c r="AJ52" s="67" t="n">
        <f aca="false">-(AJ71+AJ72+AJ74)/2*Inputs!$B$73/12</f>
        <v>-309.375</v>
      </c>
      <c r="AK52" s="67" t="n">
        <f aca="false">-(AK71+AK72+AK74)/2*Inputs!$B$73/12</f>
        <v>-298.125</v>
      </c>
      <c r="AL52" s="67" t="n">
        <f aca="false">-(AL71+AL72+AL74)/2*Inputs!$B$73/12</f>
        <v>-286.875</v>
      </c>
    </row>
    <row r="53" customFormat="false" ht="15" hidden="false" customHeight="false" outlineLevel="0" collapsed="false">
      <c r="A53" s="113" t="s">
        <v>81</v>
      </c>
      <c r="C53" s="68" t="n">
        <f aca="false">C51+C52</f>
        <v>-13536.5508695238</v>
      </c>
      <c r="D53" s="68" t="n">
        <f aca="false">D51+D52</f>
        <v>-12929.0108184127</v>
      </c>
      <c r="E53" s="68" t="n">
        <f aca="false">E51+E52</f>
        <v>-10591.5733939683</v>
      </c>
      <c r="F53" s="68" t="n">
        <f aca="false">F51+F52</f>
        <v>-9686.81799619048</v>
      </c>
      <c r="G53" s="68" t="n">
        <f aca="false">G51+G52</f>
        <v>-8782.0625984127</v>
      </c>
      <c r="H53" s="68" t="n">
        <f aca="false">H51+H52</f>
        <v>-7877.30720063492</v>
      </c>
      <c r="I53" s="68" t="n">
        <f aca="false">I51+I52</f>
        <v>-6972.55180285714</v>
      </c>
      <c r="J53" s="68" t="n">
        <f aca="false">J51+J52</f>
        <v>-6067.79640507936</v>
      </c>
      <c r="K53" s="68" t="n">
        <f aca="false">K51+K52</f>
        <v>-5163.04100730159</v>
      </c>
      <c r="L53" s="68" t="n">
        <f aca="false">L51+L52</f>
        <v>-4258.28560952381</v>
      </c>
      <c r="M53" s="68" t="n">
        <f aca="false">M51+M52</f>
        <v>-4247.03560952381</v>
      </c>
      <c r="N53" s="68" t="n">
        <f aca="false">N51+N52</f>
        <v>-8001.19040952381</v>
      </c>
      <c r="O53" s="68" t="n">
        <f aca="false">O51+O52</f>
        <v>-8307.48014628572</v>
      </c>
      <c r="P53" s="68" t="n">
        <f aca="false">P51+P52</f>
        <v>-8296.23014628572</v>
      </c>
      <c r="Q53" s="68" t="n">
        <f aca="false">Q51+Q52</f>
        <v>-4455.01125028572</v>
      </c>
      <c r="R53" s="68" t="n">
        <f aca="false">R51+R52</f>
        <v>-4443.76125028572</v>
      </c>
      <c r="S53" s="68" t="n">
        <f aca="false">S51+S52</f>
        <v>-4432.51125028572</v>
      </c>
      <c r="T53" s="68" t="n">
        <f aca="false">T51+T52</f>
        <v>-4421.26125028572</v>
      </c>
      <c r="U53" s="68" t="n">
        <f aca="false">U51+U52</f>
        <v>-4410.01125028572</v>
      </c>
      <c r="V53" s="68" t="n">
        <f aca="false">V51+V52</f>
        <v>-4398.76125028572</v>
      </c>
      <c r="W53" s="68" t="n">
        <f aca="false">W51+W52</f>
        <v>-4387.51125028572</v>
      </c>
      <c r="X53" s="68" t="n">
        <f aca="false">X51+X52</f>
        <v>-4376.26125028572</v>
      </c>
      <c r="Y53" s="68" t="n">
        <f aca="false">Y51+Y52</f>
        <v>-4365.01125028572</v>
      </c>
      <c r="Z53" s="68" t="n">
        <f aca="false">Z51+Z52</f>
        <v>-8183.73014628572</v>
      </c>
      <c r="AA53" s="68" t="n">
        <f aca="false">AA51+AA52</f>
        <v>-8502.29791968762</v>
      </c>
      <c r="AB53" s="68" t="n">
        <f aca="false">AB51+AB52</f>
        <v>-8491.04791968762</v>
      </c>
      <c r="AC53" s="68" t="n">
        <f aca="false">AC51+AC52</f>
        <v>-4584.40340576761</v>
      </c>
      <c r="AD53" s="68" t="n">
        <f aca="false">AD51+AD52</f>
        <v>-4573.15340576761</v>
      </c>
      <c r="AE53" s="68" t="n">
        <f aca="false">AE51+AE52</f>
        <v>-4561.90340576761</v>
      </c>
      <c r="AF53" s="68" t="n">
        <f aca="false">AF51+AF52</f>
        <v>-4550.65340576761</v>
      </c>
      <c r="AG53" s="68" t="n">
        <f aca="false">AG51+AG52</f>
        <v>-4539.40340576761</v>
      </c>
      <c r="AH53" s="68" t="n">
        <f aca="false">AH51+AH52</f>
        <v>-4528.15340576761</v>
      </c>
      <c r="AI53" s="68" t="n">
        <f aca="false">AI51+AI52</f>
        <v>-4516.90340576761</v>
      </c>
      <c r="AJ53" s="68" t="n">
        <f aca="false">AJ51+AJ52</f>
        <v>-4505.65340576761</v>
      </c>
      <c r="AK53" s="68" t="n">
        <f aca="false">AK51+AK52</f>
        <v>-4494.40340576761</v>
      </c>
      <c r="AL53" s="68" t="n">
        <f aca="false">AL51+AL52</f>
        <v>-8378.54791968762</v>
      </c>
    </row>
    <row r="54" customFormat="false" ht="15" hidden="false" customHeight="false" outlineLevel="0" collapsed="false">
      <c r="A54" s="117" t="s">
        <v>404</v>
      </c>
      <c r="C54" s="67" t="n">
        <f aca="false">C53</f>
        <v>-13536.5508695238</v>
      </c>
      <c r="D54" s="67" t="n">
        <f aca="false">C54+D53</f>
        <v>-26465.5616879365</v>
      </c>
      <c r="E54" s="67" t="n">
        <f aca="false">D54+E53</f>
        <v>-37057.1350819048</v>
      </c>
      <c r="F54" s="67" t="n">
        <f aca="false">E54+F53</f>
        <v>-46743.9530780952</v>
      </c>
      <c r="G54" s="67" t="n">
        <f aca="false">F54+G53</f>
        <v>-55526.0156765079</v>
      </c>
      <c r="H54" s="67" t="n">
        <f aca="false">G54+H53</f>
        <v>-63403.3228771429</v>
      </c>
      <c r="I54" s="67" t="n">
        <f aca="false">H54+I53</f>
        <v>-70375.87468</v>
      </c>
      <c r="J54" s="67" t="n">
        <f aca="false">I54+J53</f>
        <v>-76443.6710850794</v>
      </c>
      <c r="K54" s="67" t="n">
        <f aca="false">J54+K53</f>
        <v>-81606.712092381</v>
      </c>
      <c r="L54" s="67" t="n">
        <f aca="false">K54+L53</f>
        <v>-85864.9977019048</v>
      </c>
      <c r="M54" s="67" t="n">
        <f aca="false">L54+M53</f>
        <v>-90112.0333114286</v>
      </c>
      <c r="N54" s="67" t="n">
        <f aca="false">M54+N53</f>
        <v>-98113.2237209524</v>
      </c>
      <c r="O54" s="67" t="n">
        <f aca="false">N54+O53</f>
        <v>-106420.703867238</v>
      </c>
      <c r="P54" s="67" t="n">
        <f aca="false">O54+P53</f>
        <v>-114716.934013524</v>
      </c>
      <c r="Q54" s="67" t="n">
        <f aca="false">P54+Q53</f>
        <v>-119171.94526381</v>
      </c>
      <c r="R54" s="67" t="n">
        <f aca="false">Q54+R53</f>
        <v>-123615.706514095</v>
      </c>
      <c r="S54" s="67" t="n">
        <f aca="false">R54+S53</f>
        <v>-128048.217764381</v>
      </c>
      <c r="T54" s="67" t="n">
        <f aca="false">S54+T53</f>
        <v>-132469.479014667</v>
      </c>
      <c r="U54" s="67" t="n">
        <f aca="false">T54+U53</f>
        <v>-136879.490264952</v>
      </c>
      <c r="V54" s="67" t="n">
        <f aca="false">U54+V53</f>
        <v>-141278.251515238</v>
      </c>
      <c r="W54" s="67" t="n">
        <f aca="false">V54+W53</f>
        <v>-145665.762765524</v>
      </c>
      <c r="X54" s="67" t="n">
        <f aca="false">W54+X53</f>
        <v>-150042.02401581</v>
      </c>
      <c r="Y54" s="67" t="n">
        <f aca="false">X54+Y53</f>
        <v>-154407.035266095</v>
      </c>
      <c r="Z54" s="67" t="n">
        <f aca="false">Y54+Z53</f>
        <v>-162590.765412381</v>
      </c>
      <c r="AA54" s="67" t="n">
        <f aca="false">Z54+AA53</f>
        <v>-171093.063332069</v>
      </c>
      <c r="AB54" s="67" t="n">
        <f aca="false">AA54+AB53</f>
        <v>-179584.111251756</v>
      </c>
      <c r="AC54" s="67" t="n">
        <f aca="false">AB54+AC53</f>
        <v>-184168.514657524</v>
      </c>
      <c r="AD54" s="67" t="n">
        <f aca="false">AC54+AD53</f>
        <v>-188741.668063291</v>
      </c>
      <c r="AE54" s="67" t="n">
        <f aca="false">AD54+AE53</f>
        <v>-193303.571469059</v>
      </c>
      <c r="AF54" s="67" t="n">
        <f aca="false">AE54+AF53</f>
        <v>-197854.224874827</v>
      </c>
      <c r="AG54" s="67" t="n">
        <f aca="false">AF54+AG53</f>
        <v>-202393.628280594</v>
      </c>
      <c r="AH54" s="67" t="n">
        <f aca="false">AG54+AH53</f>
        <v>-206921.781686362</v>
      </c>
      <c r="AI54" s="67" t="n">
        <f aca="false">AH54+AI53</f>
        <v>-211438.685092129</v>
      </c>
      <c r="AJ54" s="67" t="n">
        <f aca="false">AI54+AJ53</f>
        <v>-215944.338497897</v>
      </c>
      <c r="AK54" s="67" t="n">
        <f aca="false">AJ54+AK53</f>
        <v>-220438.741903665</v>
      </c>
      <c r="AL54" s="67" t="n">
        <f aca="false">AK54+AL53</f>
        <v>-228817.289823352</v>
      </c>
    </row>
    <row r="55" customFormat="false" ht="15" hidden="false" customHeight="false" outlineLevel="0" collapsed="false">
      <c r="A55" s="117" t="s">
        <v>405</v>
      </c>
      <c r="C55" s="67" t="n">
        <f aca="false">MAX(0,C54)</f>
        <v>0</v>
      </c>
      <c r="D55" s="67" t="n">
        <f aca="false">MAX(C55,D54)</f>
        <v>0</v>
      </c>
      <c r="E55" s="67" t="n">
        <f aca="false">MAX(D55,E54)</f>
        <v>0</v>
      </c>
      <c r="F55" s="67" t="n">
        <f aca="false">MAX(E55,F54)</f>
        <v>0</v>
      </c>
      <c r="G55" s="67" t="n">
        <f aca="false">MAX(F55,G54)</f>
        <v>0</v>
      </c>
      <c r="H55" s="67" t="n">
        <f aca="false">MAX(G55,H54)</f>
        <v>0</v>
      </c>
      <c r="I55" s="67" t="n">
        <f aca="false">MAX(H55,I54)</f>
        <v>0</v>
      </c>
      <c r="J55" s="67" t="n">
        <f aca="false">MAX(I55,J54)</f>
        <v>0</v>
      </c>
      <c r="K55" s="67" t="n">
        <f aca="false">MAX(J55,K54)</f>
        <v>0</v>
      </c>
      <c r="L55" s="67" t="n">
        <f aca="false">MAX(K55,L54)</f>
        <v>0</v>
      </c>
      <c r="M55" s="67" t="n">
        <f aca="false">MAX(L55,M54)</f>
        <v>0</v>
      </c>
      <c r="N55" s="67" t="n">
        <f aca="false">MAX(M55,N54)</f>
        <v>0</v>
      </c>
      <c r="O55" s="67" t="n">
        <f aca="false">MAX(N55,O54)</f>
        <v>0</v>
      </c>
      <c r="P55" s="67" t="n">
        <f aca="false">MAX(O55,P54)</f>
        <v>0</v>
      </c>
      <c r="Q55" s="67" t="n">
        <f aca="false">MAX(P55,Q54)</f>
        <v>0</v>
      </c>
      <c r="R55" s="67" t="n">
        <f aca="false">MAX(Q55,R54)</f>
        <v>0</v>
      </c>
      <c r="S55" s="67" t="n">
        <f aca="false">MAX(R55,S54)</f>
        <v>0</v>
      </c>
      <c r="T55" s="67" t="n">
        <f aca="false">MAX(S55,T54)</f>
        <v>0</v>
      </c>
      <c r="U55" s="67" t="n">
        <f aca="false">MAX(T55,U54)</f>
        <v>0</v>
      </c>
      <c r="V55" s="67" t="n">
        <f aca="false">MAX(U55,V54)</f>
        <v>0</v>
      </c>
      <c r="W55" s="67" t="n">
        <f aca="false">MAX(V55,W54)</f>
        <v>0</v>
      </c>
      <c r="X55" s="67" t="n">
        <f aca="false">MAX(W55,X54)</f>
        <v>0</v>
      </c>
      <c r="Y55" s="67" t="n">
        <f aca="false">MAX(X55,Y54)</f>
        <v>0</v>
      </c>
      <c r="Z55" s="67" t="n">
        <f aca="false">MAX(Y55,Z54)</f>
        <v>0</v>
      </c>
      <c r="AA55" s="67" t="n">
        <f aca="false">MAX(Z55,AA54)</f>
        <v>0</v>
      </c>
      <c r="AB55" s="67" t="n">
        <f aca="false">MAX(AA55,AB54)</f>
        <v>0</v>
      </c>
      <c r="AC55" s="67" t="n">
        <f aca="false">MAX(AB55,AC54)</f>
        <v>0</v>
      </c>
      <c r="AD55" s="67" t="n">
        <f aca="false">MAX(AC55,AD54)</f>
        <v>0</v>
      </c>
      <c r="AE55" s="67" t="n">
        <f aca="false">MAX(AD55,AE54)</f>
        <v>0</v>
      </c>
      <c r="AF55" s="67" t="n">
        <f aca="false">MAX(AE55,AF54)</f>
        <v>0</v>
      </c>
      <c r="AG55" s="67" t="n">
        <f aca="false">MAX(AF55,AG54)</f>
        <v>0</v>
      </c>
      <c r="AH55" s="67" t="n">
        <f aca="false">MAX(AG55,AH54)</f>
        <v>0</v>
      </c>
      <c r="AI55" s="67" t="n">
        <f aca="false">MAX(AH55,AI54)</f>
        <v>0</v>
      </c>
      <c r="AJ55" s="67" t="n">
        <f aca="false">MAX(AI55,AJ54)</f>
        <v>0</v>
      </c>
      <c r="AK55" s="67" t="n">
        <f aca="false">MAX(AJ55,AK54)</f>
        <v>0</v>
      </c>
      <c r="AL55" s="67" t="n">
        <f aca="false">MAX(AK55,AL54)</f>
        <v>0</v>
      </c>
    </row>
    <row r="56" customFormat="false" ht="15" hidden="false" customHeight="false" outlineLevel="0" collapsed="false">
      <c r="A56" s="6" t="s">
        <v>82</v>
      </c>
      <c r="C56" s="67" t="n">
        <f aca="false">-C55*Inputs!$B$83</f>
        <v>-0</v>
      </c>
      <c r="D56" s="67" t="n">
        <f aca="false">-(D55-C55)*Inputs!$B$83</f>
        <v>-0</v>
      </c>
      <c r="E56" s="67" t="n">
        <f aca="false">-(E55-D55)*Inputs!$B$83</f>
        <v>-0</v>
      </c>
      <c r="F56" s="67" t="n">
        <f aca="false">-(F55-E55)*Inputs!$B$83</f>
        <v>-0</v>
      </c>
      <c r="G56" s="67" t="n">
        <f aca="false">-(G55-F55)*Inputs!$B$83</f>
        <v>-0</v>
      </c>
      <c r="H56" s="67" t="n">
        <f aca="false">-(H55-G55)*Inputs!$B$83</f>
        <v>-0</v>
      </c>
      <c r="I56" s="67" t="n">
        <f aca="false">-(I55-H55)*Inputs!$B$83</f>
        <v>-0</v>
      </c>
      <c r="J56" s="67" t="n">
        <f aca="false">-(J55-I55)*Inputs!$B$83</f>
        <v>-0</v>
      </c>
      <c r="K56" s="67" t="n">
        <f aca="false">-(K55-J55)*Inputs!$B$83</f>
        <v>-0</v>
      </c>
      <c r="L56" s="67" t="n">
        <f aca="false">-(L55-K55)*Inputs!$B$83</f>
        <v>-0</v>
      </c>
      <c r="M56" s="67" t="n">
        <f aca="false">-(M55-L55)*Inputs!$B$83</f>
        <v>-0</v>
      </c>
      <c r="N56" s="67" t="n">
        <f aca="false">-(N55-M55)*Inputs!$B$83</f>
        <v>-0</v>
      </c>
      <c r="O56" s="67" t="n">
        <f aca="false">-(O55-N55)*Inputs!$B$83</f>
        <v>-0</v>
      </c>
      <c r="P56" s="67" t="n">
        <f aca="false">-(P55-O55)*Inputs!$B$83</f>
        <v>-0</v>
      </c>
      <c r="Q56" s="67" t="n">
        <f aca="false">-(Q55-P55)*Inputs!$B$83</f>
        <v>-0</v>
      </c>
      <c r="R56" s="67" t="n">
        <f aca="false">-(R55-Q55)*Inputs!$B$83</f>
        <v>-0</v>
      </c>
      <c r="S56" s="67" t="n">
        <f aca="false">-(S55-R55)*Inputs!$B$83</f>
        <v>-0</v>
      </c>
      <c r="T56" s="67" t="n">
        <f aca="false">-(T55-S55)*Inputs!$B$83</f>
        <v>-0</v>
      </c>
      <c r="U56" s="67" t="n">
        <f aca="false">-(U55-T55)*Inputs!$B$83</f>
        <v>-0</v>
      </c>
      <c r="V56" s="67" t="n">
        <f aca="false">-(V55-U55)*Inputs!$B$83</f>
        <v>-0</v>
      </c>
      <c r="W56" s="67" t="n">
        <f aca="false">-(W55-V55)*Inputs!$B$83</f>
        <v>-0</v>
      </c>
      <c r="X56" s="67" t="n">
        <f aca="false">-(X55-W55)*Inputs!$B$83</f>
        <v>-0</v>
      </c>
      <c r="Y56" s="67" t="n">
        <f aca="false">-(Y55-X55)*Inputs!$B$83</f>
        <v>-0</v>
      </c>
      <c r="Z56" s="67" t="n">
        <f aca="false">-(Z55-Y55)*Inputs!$B$83</f>
        <v>-0</v>
      </c>
      <c r="AA56" s="67" t="n">
        <f aca="false">-(AA55-Z55)*Inputs!$B$83</f>
        <v>-0</v>
      </c>
      <c r="AB56" s="67" t="n">
        <f aca="false">-(AB55-AA55)*Inputs!$B$83</f>
        <v>-0</v>
      </c>
      <c r="AC56" s="67" t="n">
        <f aca="false">-(AC55-AB55)*Inputs!$B$83</f>
        <v>-0</v>
      </c>
      <c r="AD56" s="67" t="n">
        <f aca="false">-(AD55-AC55)*Inputs!$B$83</f>
        <v>-0</v>
      </c>
      <c r="AE56" s="67" t="n">
        <f aca="false">-(AE55-AD55)*Inputs!$B$83</f>
        <v>-0</v>
      </c>
      <c r="AF56" s="67" t="n">
        <f aca="false">-(AF55-AE55)*Inputs!$B$83</f>
        <v>-0</v>
      </c>
      <c r="AG56" s="67" t="n">
        <f aca="false">-(AG55-AF55)*Inputs!$B$83</f>
        <v>-0</v>
      </c>
      <c r="AH56" s="67" t="n">
        <f aca="false">-(AH55-AG55)*Inputs!$B$83</f>
        <v>-0</v>
      </c>
      <c r="AI56" s="67" t="n">
        <f aca="false">-(AI55-AH55)*Inputs!$B$83</f>
        <v>-0</v>
      </c>
      <c r="AJ56" s="67" t="n">
        <f aca="false">-(AJ55-AI55)*Inputs!$B$83</f>
        <v>-0</v>
      </c>
      <c r="AK56" s="67" t="n">
        <f aca="false">-(AK55-AJ55)*Inputs!$B$83</f>
        <v>-0</v>
      </c>
      <c r="AL56" s="67" t="n">
        <f aca="false">-(AL55-AK55)*Inputs!$B$83</f>
        <v>-0</v>
      </c>
    </row>
    <row r="57" customFormat="false" ht="15" hidden="false" customHeight="false" outlineLevel="0" collapsed="false">
      <c r="A57" s="113" t="s">
        <v>50</v>
      </c>
      <c r="C57" s="68" t="n">
        <f aca="false">C53+C56</f>
        <v>-13536.5508695238</v>
      </c>
      <c r="D57" s="68" t="n">
        <f aca="false">D53+D56</f>
        <v>-12929.0108184127</v>
      </c>
      <c r="E57" s="68" t="n">
        <f aca="false">E53+E56</f>
        <v>-10591.5733939683</v>
      </c>
      <c r="F57" s="68" t="n">
        <f aca="false">F53+F56</f>
        <v>-9686.81799619048</v>
      </c>
      <c r="G57" s="68" t="n">
        <f aca="false">G53+G56</f>
        <v>-8782.0625984127</v>
      </c>
      <c r="H57" s="68" t="n">
        <f aca="false">H53+H56</f>
        <v>-7877.30720063492</v>
      </c>
      <c r="I57" s="68" t="n">
        <f aca="false">I53+I56</f>
        <v>-6972.55180285714</v>
      </c>
      <c r="J57" s="68" t="n">
        <f aca="false">J53+J56</f>
        <v>-6067.79640507936</v>
      </c>
      <c r="K57" s="68" t="n">
        <f aca="false">K53+K56</f>
        <v>-5163.04100730159</v>
      </c>
      <c r="L57" s="68" t="n">
        <f aca="false">L53+L56</f>
        <v>-4258.28560952381</v>
      </c>
      <c r="M57" s="68" t="n">
        <f aca="false">M53+M56</f>
        <v>-4247.03560952381</v>
      </c>
      <c r="N57" s="68" t="n">
        <f aca="false">N53+N56</f>
        <v>-8001.19040952381</v>
      </c>
      <c r="O57" s="68" t="n">
        <f aca="false">O53+O56</f>
        <v>-8307.48014628572</v>
      </c>
      <c r="P57" s="68" t="n">
        <f aca="false">P53+P56</f>
        <v>-8296.23014628572</v>
      </c>
      <c r="Q57" s="68" t="n">
        <f aca="false">Q53+Q56</f>
        <v>-4455.01125028572</v>
      </c>
      <c r="R57" s="68" t="n">
        <f aca="false">R53+R56</f>
        <v>-4443.76125028572</v>
      </c>
      <c r="S57" s="68" t="n">
        <f aca="false">S53+S56</f>
        <v>-4432.51125028572</v>
      </c>
      <c r="T57" s="68" t="n">
        <f aca="false">T53+T56</f>
        <v>-4421.26125028572</v>
      </c>
      <c r="U57" s="68" t="n">
        <f aca="false">U53+U56</f>
        <v>-4410.01125028572</v>
      </c>
      <c r="V57" s="68" t="n">
        <f aca="false">V53+V56</f>
        <v>-4398.76125028572</v>
      </c>
      <c r="W57" s="68" t="n">
        <f aca="false">W53+W56</f>
        <v>-4387.51125028572</v>
      </c>
      <c r="X57" s="68" t="n">
        <f aca="false">X53+X56</f>
        <v>-4376.26125028572</v>
      </c>
      <c r="Y57" s="68" t="n">
        <f aca="false">Y53+Y56</f>
        <v>-4365.01125028572</v>
      </c>
      <c r="Z57" s="68" t="n">
        <f aca="false">Z53+Z56</f>
        <v>-8183.73014628572</v>
      </c>
      <c r="AA57" s="68" t="n">
        <f aca="false">AA53+AA56</f>
        <v>-8502.29791968762</v>
      </c>
      <c r="AB57" s="68" t="n">
        <f aca="false">AB53+AB56</f>
        <v>-8491.04791968762</v>
      </c>
      <c r="AC57" s="68" t="n">
        <f aca="false">AC53+AC56</f>
        <v>-4584.40340576761</v>
      </c>
      <c r="AD57" s="68" t="n">
        <f aca="false">AD53+AD56</f>
        <v>-4573.15340576761</v>
      </c>
      <c r="AE57" s="68" t="n">
        <f aca="false">AE53+AE56</f>
        <v>-4561.90340576761</v>
      </c>
      <c r="AF57" s="68" t="n">
        <f aca="false">AF53+AF56</f>
        <v>-4550.65340576761</v>
      </c>
      <c r="AG57" s="68" t="n">
        <f aca="false">AG53+AG56</f>
        <v>-4539.40340576761</v>
      </c>
      <c r="AH57" s="68" t="n">
        <f aca="false">AH53+AH56</f>
        <v>-4528.15340576761</v>
      </c>
      <c r="AI57" s="68" t="n">
        <f aca="false">AI53+AI56</f>
        <v>-4516.90340576761</v>
      </c>
      <c r="AJ57" s="68" t="n">
        <f aca="false">AJ53+AJ56</f>
        <v>-4505.65340576761</v>
      </c>
      <c r="AK57" s="68" t="n">
        <f aca="false">AK53+AK56</f>
        <v>-4494.40340576761</v>
      </c>
      <c r="AL57" s="68" t="n">
        <f aca="false">AL53+AL56</f>
        <v>-8378.54791968762</v>
      </c>
    </row>
    <row r="59" customFormat="false" ht="15.75" hidden="false" customHeight="true" outlineLevel="0" collapsed="false">
      <c r="A59" s="7" t="s">
        <v>406</v>
      </c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</row>
    <row r="60" customFormat="false" ht="15" hidden="false" customHeight="false" outlineLevel="0" collapsed="false">
      <c r="A60" s="6" t="s">
        <v>407</v>
      </c>
      <c r="C60" s="67" t="n">
        <f aca="false">Inputs!$B$48*Inputs!$B$49</f>
        <v>95000</v>
      </c>
      <c r="D60" s="67" t="n">
        <f aca="false">IF(AND(D$7&gt;1,MOD(D$6-1,12)=0),Inputs!$B$8*Inputs!$B$49,0)</f>
        <v>0</v>
      </c>
      <c r="E60" s="67" t="n">
        <f aca="false">IF(AND(E$7&gt;1,MOD(E$6-1,12)=0),Inputs!$B$8*Inputs!$B$49,0)</f>
        <v>0</v>
      </c>
      <c r="F60" s="67" t="n">
        <f aca="false">IF(AND(F$7&gt;1,MOD(F$6-1,12)=0),Inputs!$B$8*Inputs!$B$49,0)</f>
        <v>0</v>
      </c>
      <c r="G60" s="67" t="n">
        <f aca="false">IF(AND(G$7&gt;1,MOD(G$6-1,12)=0),Inputs!$B$8*Inputs!$B$49,0)</f>
        <v>0</v>
      </c>
      <c r="H60" s="67" t="n">
        <f aca="false">IF(AND(H$7&gt;1,MOD(H$6-1,12)=0),Inputs!$B$8*Inputs!$B$49,0)</f>
        <v>0</v>
      </c>
      <c r="I60" s="67" t="n">
        <f aca="false">IF(AND(I$7&gt;1,MOD(I$6-1,12)=0),Inputs!$B$8*Inputs!$B$49,0)</f>
        <v>0</v>
      </c>
      <c r="J60" s="67" t="n">
        <f aca="false">IF(AND(J$7&gt;1,MOD(J$6-1,12)=0),Inputs!$B$8*Inputs!$B$49,0)</f>
        <v>0</v>
      </c>
      <c r="K60" s="67" t="n">
        <f aca="false">IF(AND(K$7&gt;1,MOD(K$6-1,12)=0),Inputs!$B$8*Inputs!$B$49,0)</f>
        <v>0</v>
      </c>
      <c r="L60" s="67" t="n">
        <f aca="false">IF(AND(L$7&gt;1,MOD(L$6-1,12)=0),Inputs!$B$8*Inputs!$B$49,0)</f>
        <v>0</v>
      </c>
      <c r="M60" s="67" t="n">
        <f aca="false">IF(AND(M$7&gt;1,MOD(M$6-1,12)=0),Inputs!$B$8*Inputs!$B$49,0)</f>
        <v>0</v>
      </c>
      <c r="N60" s="67" t="n">
        <f aca="false">IF(AND(N$7&gt;1,MOD(N$6-1,12)=0),Inputs!$B$8*Inputs!$B$49,0)</f>
        <v>0</v>
      </c>
      <c r="O60" s="67" t="n">
        <f aca="false">IF(AND(O$7&gt;1,MOD(O$6-1,12)=0),Inputs!$B$8*Inputs!$B$49,0)</f>
        <v>0</v>
      </c>
      <c r="P60" s="67" t="n">
        <f aca="false">IF(AND(P$7&gt;1,MOD(P$6-1,12)=0),Inputs!$B$8*Inputs!$B$49,0)</f>
        <v>0</v>
      </c>
      <c r="Q60" s="67" t="n">
        <f aca="false">IF(AND(Q$7&gt;1,MOD(Q$6-1,12)=0),Inputs!$B$8*Inputs!$B$49,0)</f>
        <v>0</v>
      </c>
      <c r="R60" s="67" t="n">
        <f aca="false">IF(AND(R$7&gt;1,MOD(R$6-1,12)=0),Inputs!$B$8*Inputs!$B$49,0)</f>
        <v>0</v>
      </c>
      <c r="S60" s="67" t="n">
        <f aca="false">IF(AND(S$7&gt;1,MOD(S$6-1,12)=0),Inputs!$B$8*Inputs!$B$49,0)</f>
        <v>0</v>
      </c>
      <c r="T60" s="67" t="n">
        <f aca="false">IF(AND(T$7&gt;1,MOD(T$6-1,12)=0),Inputs!$B$8*Inputs!$B$49,0)</f>
        <v>0</v>
      </c>
      <c r="U60" s="67" t="n">
        <f aca="false">IF(AND(U$7&gt;1,MOD(U$6-1,12)=0),Inputs!$B$8*Inputs!$B$49,0)</f>
        <v>0</v>
      </c>
      <c r="V60" s="67" t="n">
        <f aca="false">IF(AND(V$7&gt;1,MOD(V$6-1,12)=0),Inputs!$B$8*Inputs!$B$49,0)</f>
        <v>0</v>
      </c>
      <c r="W60" s="67" t="n">
        <f aca="false">IF(AND(W$7&gt;1,MOD(W$6-1,12)=0),Inputs!$B$8*Inputs!$B$49,0)</f>
        <v>0</v>
      </c>
      <c r="X60" s="67" t="n">
        <f aca="false">IF(AND(X$7&gt;1,MOD(X$6-1,12)=0),Inputs!$B$8*Inputs!$B$49,0)</f>
        <v>0</v>
      </c>
      <c r="Y60" s="67" t="n">
        <f aca="false">IF(AND(Y$7&gt;1,MOD(Y$6-1,12)=0),Inputs!$B$8*Inputs!$B$49,0)</f>
        <v>0</v>
      </c>
      <c r="Z60" s="67" t="n">
        <f aca="false">IF(AND(Z$7&gt;1,MOD(Z$6-1,12)=0),Inputs!$B$8*Inputs!$B$49,0)</f>
        <v>0</v>
      </c>
      <c r="AA60" s="67" t="n">
        <f aca="false">IF(AND(AA$7&gt;1,MOD(AA$6-1,12)=0),Inputs!$B$8*Inputs!$B$49,0)</f>
        <v>0</v>
      </c>
      <c r="AB60" s="67" t="n">
        <f aca="false">IF(AND(AB$7&gt;1,MOD(AB$6-1,12)=0),Inputs!$B$8*Inputs!$B$49,0)</f>
        <v>0</v>
      </c>
      <c r="AC60" s="67" t="n">
        <f aca="false">IF(AND(AC$7&gt;1,MOD(AC$6-1,12)=0),Inputs!$B$8*Inputs!$B$49,0)</f>
        <v>0</v>
      </c>
      <c r="AD60" s="67" t="n">
        <f aca="false">IF(AND(AD$7&gt;1,MOD(AD$6-1,12)=0),Inputs!$B$8*Inputs!$B$49,0)</f>
        <v>0</v>
      </c>
      <c r="AE60" s="67" t="n">
        <f aca="false">IF(AND(AE$7&gt;1,MOD(AE$6-1,12)=0),Inputs!$B$8*Inputs!$B$49,0)</f>
        <v>0</v>
      </c>
      <c r="AF60" s="67" t="n">
        <f aca="false">IF(AND(AF$7&gt;1,MOD(AF$6-1,12)=0),Inputs!$B$8*Inputs!$B$49,0)</f>
        <v>0</v>
      </c>
      <c r="AG60" s="67" t="n">
        <f aca="false">IF(AND(AG$7&gt;1,MOD(AG$6-1,12)=0),Inputs!$B$8*Inputs!$B$49,0)</f>
        <v>0</v>
      </c>
      <c r="AH60" s="67" t="n">
        <f aca="false">IF(AND(AH$7&gt;1,MOD(AH$6-1,12)=0),Inputs!$B$8*Inputs!$B$49,0)</f>
        <v>0</v>
      </c>
      <c r="AI60" s="67" t="n">
        <f aca="false">IF(AND(AI$7&gt;1,MOD(AI$6-1,12)=0),Inputs!$B$8*Inputs!$B$49,0)</f>
        <v>0</v>
      </c>
      <c r="AJ60" s="67" t="n">
        <f aca="false">IF(AND(AJ$7&gt;1,MOD(AJ$6-1,12)=0),Inputs!$B$8*Inputs!$B$49,0)</f>
        <v>0</v>
      </c>
      <c r="AK60" s="67" t="n">
        <f aca="false">IF(AND(AK$7&gt;1,MOD(AK$6-1,12)=0),Inputs!$B$8*Inputs!$B$49,0)</f>
        <v>0</v>
      </c>
      <c r="AL60" s="67" t="n">
        <f aca="false">IF(AND(AL$7&gt;1,MOD(AL$6-1,12)=0),Inputs!$B$8*Inputs!$B$49,0)</f>
        <v>0</v>
      </c>
    </row>
    <row r="61" customFormat="false" ht="15" hidden="false" customHeight="false" outlineLevel="0" collapsed="false">
      <c r="A61" s="6" t="s">
        <v>408</v>
      </c>
      <c r="C61" s="67" t="n">
        <f aca="false">Inputs!$B$48*Inputs!$B$50</f>
        <v>40000</v>
      </c>
      <c r="D61" s="67" t="n">
        <f aca="false">IF(AND(D$7&gt;1,MOD(D$6-1,12)=0),Inputs!$B$8*Inputs!$B$50,0)</f>
        <v>0</v>
      </c>
      <c r="E61" s="67" t="n">
        <f aca="false">IF(AND(E$7&gt;1,MOD(E$6-1,12)=0),Inputs!$B$8*Inputs!$B$50,0)</f>
        <v>0</v>
      </c>
      <c r="F61" s="67" t="n">
        <f aca="false">IF(AND(F$7&gt;1,MOD(F$6-1,12)=0),Inputs!$B$8*Inputs!$B$50,0)</f>
        <v>0</v>
      </c>
      <c r="G61" s="67" t="n">
        <f aca="false">IF(AND(G$7&gt;1,MOD(G$6-1,12)=0),Inputs!$B$8*Inputs!$B$50,0)</f>
        <v>0</v>
      </c>
      <c r="H61" s="67" t="n">
        <f aca="false">IF(AND(H$7&gt;1,MOD(H$6-1,12)=0),Inputs!$B$8*Inputs!$B$50,0)</f>
        <v>0</v>
      </c>
      <c r="I61" s="67" t="n">
        <f aca="false">IF(AND(I$7&gt;1,MOD(I$6-1,12)=0),Inputs!$B$8*Inputs!$B$50,0)</f>
        <v>0</v>
      </c>
      <c r="J61" s="67" t="n">
        <f aca="false">IF(AND(J$7&gt;1,MOD(J$6-1,12)=0),Inputs!$B$8*Inputs!$B$50,0)</f>
        <v>0</v>
      </c>
      <c r="K61" s="67" t="n">
        <f aca="false">IF(AND(K$7&gt;1,MOD(K$6-1,12)=0),Inputs!$B$8*Inputs!$B$50,0)</f>
        <v>0</v>
      </c>
      <c r="L61" s="67" t="n">
        <f aca="false">IF(AND(L$7&gt;1,MOD(L$6-1,12)=0),Inputs!$B$8*Inputs!$B$50,0)</f>
        <v>0</v>
      </c>
      <c r="M61" s="67" t="n">
        <f aca="false">IF(AND(M$7&gt;1,MOD(M$6-1,12)=0),Inputs!$B$8*Inputs!$B$50,0)</f>
        <v>0</v>
      </c>
      <c r="N61" s="67" t="n">
        <f aca="false">IF(AND(N$7&gt;1,MOD(N$6-1,12)=0),Inputs!$B$8*Inputs!$B$50,0)</f>
        <v>0</v>
      </c>
      <c r="O61" s="67" t="n">
        <f aca="false">IF(AND(O$7&gt;1,MOD(O$6-1,12)=0),Inputs!$B$8*Inputs!$B$50,0)</f>
        <v>0</v>
      </c>
      <c r="P61" s="67" t="n">
        <f aca="false">IF(AND(P$7&gt;1,MOD(P$6-1,12)=0),Inputs!$B$8*Inputs!$B$50,0)</f>
        <v>0</v>
      </c>
      <c r="Q61" s="67" t="n">
        <f aca="false">IF(AND(Q$7&gt;1,MOD(Q$6-1,12)=0),Inputs!$B$8*Inputs!$B$50,0)</f>
        <v>0</v>
      </c>
      <c r="R61" s="67" t="n">
        <f aca="false">IF(AND(R$7&gt;1,MOD(R$6-1,12)=0),Inputs!$B$8*Inputs!$B$50,0)</f>
        <v>0</v>
      </c>
      <c r="S61" s="67" t="n">
        <f aca="false">IF(AND(S$7&gt;1,MOD(S$6-1,12)=0),Inputs!$B$8*Inputs!$B$50,0)</f>
        <v>0</v>
      </c>
      <c r="T61" s="67" t="n">
        <f aca="false">IF(AND(T$7&gt;1,MOD(T$6-1,12)=0),Inputs!$B$8*Inputs!$B$50,0)</f>
        <v>0</v>
      </c>
      <c r="U61" s="67" t="n">
        <f aca="false">IF(AND(U$7&gt;1,MOD(U$6-1,12)=0),Inputs!$B$8*Inputs!$B$50,0)</f>
        <v>0</v>
      </c>
      <c r="V61" s="67" t="n">
        <f aca="false">IF(AND(V$7&gt;1,MOD(V$6-1,12)=0),Inputs!$B$8*Inputs!$B$50,0)</f>
        <v>0</v>
      </c>
      <c r="W61" s="67" t="n">
        <f aca="false">IF(AND(W$7&gt;1,MOD(W$6-1,12)=0),Inputs!$B$8*Inputs!$B$50,0)</f>
        <v>0</v>
      </c>
      <c r="X61" s="67" t="n">
        <f aca="false">IF(AND(X$7&gt;1,MOD(X$6-1,12)=0),Inputs!$B$8*Inputs!$B$50,0)</f>
        <v>0</v>
      </c>
      <c r="Y61" s="67" t="n">
        <f aca="false">IF(AND(Y$7&gt;1,MOD(Y$6-1,12)=0),Inputs!$B$8*Inputs!$B$50,0)</f>
        <v>0</v>
      </c>
      <c r="Z61" s="67" t="n">
        <f aca="false">IF(AND(Z$7&gt;1,MOD(Z$6-1,12)=0),Inputs!$B$8*Inputs!$B$50,0)</f>
        <v>0</v>
      </c>
      <c r="AA61" s="67" t="n">
        <f aca="false">IF(AND(AA$7&gt;1,MOD(AA$6-1,12)=0),Inputs!$B$8*Inputs!$B$50,0)</f>
        <v>0</v>
      </c>
      <c r="AB61" s="67" t="n">
        <f aca="false">IF(AND(AB$7&gt;1,MOD(AB$6-1,12)=0),Inputs!$B$8*Inputs!$B$50,0)</f>
        <v>0</v>
      </c>
      <c r="AC61" s="67" t="n">
        <f aca="false">IF(AND(AC$7&gt;1,MOD(AC$6-1,12)=0),Inputs!$B$8*Inputs!$B$50,0)</f>
        <v>0</v>
      </c>
      <c r="AD61" s="67" t="n">
        <f aca="false">IF(AND(AD$7&gt;1,MOD(AD$6-1,12)=0),Inputs!$B$8*Inputs!$B$50,0)</f>
        <v>0</v>
      </c>
      <c r="AE61" s="67" t="n">
        <f aca="false">IF(AND(AE$7&gt;1,MOD(AE$6-1,12)=0),Inputs!$B$8*Inputs!$B$50,0)</f>
        <v>0</v>
      </c>
      <c r="AF61" s="67" t="n">
        <f aca="false">IF(AND(AF$7&gt;1,MOD(AF$6-1,12)=0),Inputs!$B$8*Inputs!$B$50,0)</f>
        <v>0</v>
      </c>
      <c r="AG61" s="67" t="n">
        <f aca="false">IF(AND(AG$7&gt;1,MOD(AG$6-1,12)=0),Inputs!$B$8*Inputs!$B$50,0)</f>
        <v>0</v>
      </c>
      <c r="AH61" s="67" t="n">
        <f aca="false">IF(AND(AH$7&gt;1,MOD(AH$6-1,12)=0),Inputs!$B$8*Inputs!$B$50,0)</f>
        <v>0</v>
      </c>
      <c r="AI61" s="67" t="n">
        <f aca="false">IF(AND(AI$7&gt;1,MOD(AI$6-1,12)=0),Inputs!$B$8*Inputs!$B$50,0)</f>
        <v>0</v>
      </c>
      <c r="AJ61" s="67" t="n">
        <f aca="false">IF(AND(AJ$7&gt;1,MOD(AJ$6-1,12)=0),Inputs!$B$8*Inputs!$B$50,0)</f>
        <v>0</v>
      </c>
      <c r="AK61" s="67" t="n">
        <f aca="false">IF(AND(AK$7&gt;1,MOD(AK$6-1,12)=0),Inputs!$B$8*Inputs!$B$50,0)</f>
        <v>0</v>
      </c>
      <c r="AL61" s="67" t="n">
        <f aca="false">IF(AND(AL$7&gt;1,MOD(AL$6-1,12)=0),Inputs!$B$8*Inputs!$B$50,0)</f>
        <v>0</v>
      </c>
    </row>
    <row r="62" customFormat="false" ht="15" hidden="false" customHeight="false" outlineLevel="0" collapsed="false">
      <c r="A62" s="6" t="s">
        <v>409</v>
      </c>
      <c r="C62" s="67" t="n">
        <f aca="false">IF(C$6=1,Inputs!$B$51,0)</f>
        <v>3000</v>
      </c>
      <c r="D62" s="67" t="n">
        <f aca="false">IF(D$6=1,Inputs!$B$51,0)</f>
        <v>0</v>
      </c>
      <c r="E62" s="67" t="n">
        <f aca="false">IF(E$6=1,Inputs!$B$51,0)</f>
        <v>0</v>
      </c>
      <c r="F62" s="67" t="n">
        <f aca="false">IF(F$6=1,Inputs!$B$51,0)</f>
        <v>0</v>
      </c>
      <c r="G62" s="67" t="n">
        <f aca="false">IF(G$6=1,Inputs!$B$51,0)</f>
        <v>0</v>
      </c>
      <c r="H62" s="67" t="n">
        <f aca="false">IF(H$6=1,Inputs!$B$51,0)</f>
        <v>0</v>
      </c>
      <c r="I62" s="67" t="n">
        <f aca="false">IF(I$6=1,Inputs!$B$51,0)</f>
        <v>0</v>
      </c>
      <c r="J62" s="67" t="n">
        <f aca="false">IF(J$6=1,Inputs!$B$51,0)</f>
        <v>0</v>
      </c>
      <c r="K62" s="67" t="n">
        <f aca="false">IF(K$6=1,Inputs!$B$51,0)</f>
        <v>0</v>
      </c>
      <c r="L62" s="67" t="n">
        <f aca="false">IF(L$6=1,Inputs!$B$51,0)</f>
        <v>0</v>
      </c>
      <c r="M62" s="67" t="n">
        <f aca="false">IF(M$6=1,Inputs!$B$51,0)</f>
        <v>0</v>
      </c>
      <c r="N62" s="67" t="n">
        <f aca="false">IF(N$6=1,Inputs!$B$51,0)</f>
        <v>0</v>
      </c>
      <c r="O62" s="67" t="n">
        <f aca="false">IF(O$6=1,Inputs!$B$51,0)</f>
        <v>0</v>
      </c>
      <c r="P62" s="67" t="n">
        <f aca="false">IF(P$6=1,Inputs!$B$51,0)</f>
        <v>0</v>
      </c>
      <c r="Q62" s="67" t="n">
        <f aca="false">IF(Q$6=1,Inputs!$B$51,0)</f>
        <v>0</v>
      </c>
      <c r="R62" s="67" t="n">
        <f aca="false">IF(R$6=1,Inputs!$B$51,0)</f>
        <v>0</v>
      </c>
      <c r="S62" s="67" t="n">
        <f aca="false">IF(S$6=1,Inputs!$B$51,0)</f>
        <v>0</v>
      </c>
      <c r="T62" s="67" t="n">
        <f aca="false">IF(T$6=1,Inputs!$B$51,0)</f>
        <v>0</v>
      </c>
      <c r="U62" s="67" t="n">
        <f aca="false">IF(U$6=1,Inputs!$B$51,0)</f>
        <v>0</v>
      </c>
      <c r="V62" s="67" t="n">
        <f aca="false">IF(V$6=1,Inputs!$B$51,0)</f>
        <v>0</v>
      </c>
      <c r="W62" s="67" t="n">
        <f aca="false">IF(W$6=1,Inputs!$B$51,0)</f>
        <v>0</v>
      </c>
      <c r="X62" s="67" t="n">
        <f aca="false">IF(X$6=1,Inputs!$B$51,0)</f>
        <v>0</v>
      </c>
      <c r="Y62" s="67" t="n">
        <f aca="false">IF(Y$6=1,Inputs!$B$51,0)</f>
        <v>0</v>
      </c>
      <c r="Z62" s="67" t="n">
        <f aca="false">IF(Z$6=1,Inputs!$B$51,0)</f>
        <v>0</v>
      </c>
      <c r="AA62" s="67" t="n">
        <f aca="false">IF(AA$6=1,Inputs!$B$51,0)</f>
        <v>0</v>
      </c>
      <c r="AB62" s="67" t="n">
        <f aca="false">IF(AB$6=1,Inputs!$B$51,0)</f>
        <v>0</v>
      </c>
      <c r="AC62" s="67" t="n">
        <f aca="false">IF(AC$6=1,Inputs!$B$51,0)</f>
        <v>0</v>
      </c>
      <c r="AD62" s="67" t="n">
        <f aca="false">IF(AD$6=1,Inputs!$B$51,0)</f>
        <v>0</v>
      </c>
      <c r="AE62" s="67" t="n">
        <f aca="false">IF(AE$6=1,Inputs!$B$51,0)</f>
        <v>0</v>
      </c>
      <c r="AF62" s="67" t="n">
        <f aca="false">IF(AF$6=1,Inputs!$B$51,0)</f>
        <v>0</v>
      </c>
      <c r="AG62" s="67" t="n">
        <f aca="false">IF(AG$6=1,Inputs!$B$51,0)</f>
        <v>0</v>
      </c>
      <c r="AH62" s="67" t="n">
        <f aca="false">IF(AH$6=1,Inputs!$B$51,0)</f>
        <v>0</v>
      </c>
      <c r="AI62" s="67" t="n">
        <f aca="false">IF(AI$6=1,Inputs!$B$51,0)</f>
        <v>0</v>
      </c>
      <c r="AJ62" s="67" t="n">
        <f aca="false">IF(AJ$6=1,Inputs!$B$51,0)</f>
        <v>0</v>
      </c>
      <c r="AK62" s="67" t="n">
        <f aca="false">IF(AK$6=1,Inputs!$B$51,0)</f>
        <v>0</v>
      </c>
      <c r="AL62" s="67" t="n">
        <f aca="false">IF(AL$6=1,Inputs!$B$51,0)</f>
        <v>0</v>
      </c>
    </row>
    <row r="63" customFormat="false" ht="15" hidden="false" customHeight="false" outlineLevel="0" collapsed="false">
      <c r="A63" s="6" t="s">
        <v>410</v>
      </c>
      <c r="C63" s="67" t="n">
        <f aca="false">IF(AND(C$7&gt;1,MOD(C$6-1,12)=0),Inputs!$B$52*C10,0)</f>
        <v>0</v>
      </c>
      <c r="D63" s="67" t="n">
        <f aca="false">IF(AND(D$7&gt;1,MOD(D$6-1,12)=0),Inputs!$B$52*D10,0)</f>
        <v>0</v>
      </c>
      <c r="E63" s="67" t="n">
        <f aca="false">IF(AND(E$7&gt;1,MOD(E$6-1,12)=0),Inputs!$B$52*E10,0)</f>
        <v>0</v>
      </c>
      <c r="F63" s="67" t="n">
        <f aca="false">IF(AND(F$7&gt;1,MOD(F$6-1,12)=0),Inputs!$B$52*F10,0)</f>
        <v>0</v>
      </c>
      <c r="G63" s="67" t="n">
        <f aca="false">IF(AND(G$7&gt;1,MOD(G$6-1,12)=0),Inputs!$B$52*G10,0)</f>
        <v>0</v>
      </c>
      <c r="H63" s="67" t="n">
        <f aca="false">IF(AND(H$7&gt;1,MOD(H$6-1,12)=0),Inputs!$B$52*H10,0)</f>
        <v>0</v>
      </c>
      <c r="I63" s="67" t="n">
        <f aca="false">IF(AND(I$7&gt;1,MOD(I$6-1,12)=0),Inputs!$B$52*I10,0)</f>
        <v>0</v>
      </c>
      <c r="J63" s="67" t="n">
        <f aca="false">IF(AND(J$7&gt;1,MOD(J$6-1,12)=0),Inputs!$B$52*J10,0)</f>
        <v>0</v>
      </c>
      <c r="K63" s="67" t="n">
        <f aca="false">IF(AND(K$7&gt;1,MOD(K$6-1,12)=0),Inputs!$B$52*K10,0)</f>
        <v>0</v>
      </c>
      <c r="L63" s="67" t="n">
        <f aca="false">IF(AND(L$7&gt;1,MOD(L$6-1,12)=0),Inputs!$B$52*L10,0)</f>
        <v>0</v>
      </c>
      <c r="M63" s="67" t="n">
        <f aca="false">IF(AND(M$7&gt;1,MOD(M$6-1,12)=0),Inputs!$B$52*M10,0)</f>
        <v>0</v>
      </c>
      <c r="N63" s="67" t="n">
        <f aca="false">IF(AND(N$7&gt;1,MOD(N$6-1,12)=0),Inputs!$B$52*N10,0)</f>
        <v>0</v>
      </c>
      <c r="O63" s="67" t="n">
        <f aca="false">IF(AND(O$7&gt;1,MOD(O$6-1,12)=0),Inputs!$B$52*O10,0)</f>
        <v>2500</v>
      </c>
      <c r="P63" s="67" t="n">
        <f aca="false">IF(AND(P$7&gt;1,MOD(P$6-1,12)=0),Inputs!$B$52*P10,0)</f>
        <v>0</v>
      </c>
      <c r="Q63" s="67" t="n">
        <f aca="false">IF(AND(Q$7&gt;1,MOD(Q$6-1,12)=0),Inputs!$B$52*Q10,0)</f>
        <v>0</v>
      </c>
      <c r="R63" s="67" t="n">
        <f aca="false">IF(AND(R$7&gt;1,MOD(R$6-1,12)=0),Inputs!$B$52*R10,0)</f>
        <v>0</v>
      </c>
      <c r="S63" s="67" t="n">
        <f aca="false">IF(AND(S$7&gt;1,MOD(S$6-1,12)=0),Inputs!$B$52*S10,0)</f>
        <v>0</v>
      </c>
      <c r="T63" s="67" t="n">
        <f aca="false">IF(AND(T$7&gt;1,MOD(T$6-1,12)=0),Inputs!$B$52*T10,0)</f>
        <v>0</v>
      </c>
      <c r="U63" s="67" t="n">
        <f aca="false">IF(AND(U$7&gt;1,MOD(U$6-1,12)=0),Inputs!$B$52*U10,0)</f>
        <v>0</v>
      </c>
      <c r="V63" s="67" t="n">
        <f aca="false">IF(AND(V$7&gt;1,MOD(V$6-1,12)=0),Inputs!$B$52*V10,0)</f>
        <v>0</v>
      </c>
      <c r="W63" s="67" t="n">
        <f aca="false">IF(AND(W$7&gt;1,MOD(W$6-1,12)=0),Inputs!$B$52*W10,0)</f>
        <v>0</v>
      </c>
      <c r="X63" s="67" t="n">
        <f aca="false">IF(AND(X$7&gt;1,MOD(X$6-1,12)=0),Inputs!$B$52*X10,0)</f>
        <v>0</v>
      </c>
      <c r="Y63" s="67" t="n">
        <f aca="false">IF(AND(Y$7&gt;1,MOD(Y$6-1,12)=0),Inputs!$B$52*Y10,0)</f>
        <v>0</v>
      </c>
      <c r="Z63" s="67" t="n">
        <f aca="false">IF(AND(Z$7&gt;1,MOD(Z$6-1,12)=0),Inputs!$B$52*Z10,0)</f>
        <v>0</v>
      </c>
      <c r="AA63" s="67" t="n">
        <f aca="false">IF(AND(AA$7&gt;1,MOD(AA$6-1,12)=0),Inputs!$B$52*AA10,0)</f>
        <v>2500</v>
      </c>
      <c r="AB63" s="67" t="n">
        <f aca="false">IF(AND(AB$7&gt;1,MOD(AB$6-1,12)=0),Inputs!$B$52*AB10,0)</f>
        <v>0</v>
      </c>
      <c r="AC63" s="67" t="n">
        <f aca="false">IF(AND(AC$7&gt;1,MOD(AC$6-1,12)=0),Inputs!$B$52*AC10,0)</f>
        <v>0</v>
      </c>
      <c r="AD63" s="67" t="n">
        <f aca="false">IF(AND(AD$7&gt;1,MOD(AD$6-1,12)=0),Inputs!$B$52*AD10,0)</f>
        <v>0</v>
      </c>
      <c r="AE63" s="67" t="n">
        <f aca="false">IF(AND(AE$7&gt;1,MOD(AE$6-1,12)=0),Inputs!$B$52*AE10,0)</f>
        <v>0</v>
      </c>
      <c r="AF63" s="67" t="n">
        <f aca="false">IF(AND(AF$7&gt;1,MOD(AF$6-1,12)=0),Inputs!$B$52*AF10,0)</f>
        <v>0</v>
      </c>
      <c r="AG63" s="67" t="n">
        <f aca="false">IF(AND(AG$7&gt;1,MOD(AG$6-1,12)=0),Inputs!$B$52*AG10,0)</f>
        <v>0</v>
      </c>
      <c r="AH63" s="67" t="n">
        <f aca="false">IF(AND(AH$7&gt;1,MOD(AH$6-1,12)=0),Inputs!$B$52*AH10,0)</f>
        <v>0</v>
      </c>
      <c r="AI63" s="67" t="n">
        <f aca="false">IF(AND(AI$7&gt;1,MOD(AI$6-1,12)=0),Inputs!$B$52*AI10,0)</f>
        <v>0</v>
      </c>
      <c r="AJ63" s="67" t="n">
        <f aca="false">IF(AND(AJ$7&gt;1,MOD(AJ$6-1,12)=0),Inputs!$B$52*AJ10,0)</f>
        <v>0</v>
      </c>
      <c r="AK63" s="67" t="n">
        <f aca="false">IF(AND(AK$7&gt;1,MOD(AK$6-1,12)=0),Inputs!$B$52*AK10,0)</f>
        <v>0</v>
      </c>
      <c r="AL63" s="67" t="n">
        <f aca="false">IF(AND(AL$7&gt;1,MOD(AL$6-1,12)=0),Inputs!$B$52*AL10,0)</f>
        <v>0</v>
      </c>
    </row>
    <row r="64" customFormat="false" ht="15" hidden="false" customHeight="false" outlineLevel="0" collapsed="false">
      <c r="A64" s="4" t="s">
        <v>84</v>
      </c>
      <c r="C64" s="73" t="n">
        <f aca="false">C60+C61+C62+C63</f>
        <v>138000</v>
      </c>
      <c r="D64" s="73" t="n">
        <f aca="false">D60+D61+D62+D63</f>
        <v>0</v>
      </c>
      <c r="E64" s="73" t="n">
        <f aca="false">E60+E61+E62+E63</f>
        <v>0</v>
      </c>
      <c r="F64" s="73" t="n">
        <f aca="false">F60+F61+F62+F63</f>
        <v>0</v>
      </c>
      <c r="G64" s="73" t="n">
        <f aca="false">G60+G61+G62+G63</f>
        <v>0</v>
      </c>
      <c r="H64" s="73" t="n">
        <f aca="false">H60+H61+H62+H63</f>
        <v>0</v>
      </c>
      <c r="I64" s="73" t="n">
        <f aca="false">I60+I61+I62+I63</f>
        <v>0</v>
      </c>
      <c r="J64" s="73" t="n">
        <f aca="false">J60+J61+J62+J63</f>
        <v>0</v>
      </c>
      <c r="K64" s="73" t="n">
        <f aca="false">K60+K61+K62+K63</f>
        <v>0</v>
      </c>
      <c r="L64" s="73" t="n">
        <f aca="false">L60+L61+L62+L63</f>
        <v>0</v>
      </c>
      <c r="M64" s="73" t="n">
        <f aca="false">M60+M61+M62+M63</f>
        <v>0</v>
      </c>
      <c r="N64" s="73" t="n">
        <f aca="false">N60+N61+N62+N63</f>
        <v>0</v>
      </c>
      <c r="O64" s="73" t="n">
        <f aca="false">O60+O61+O62+O63</f>
        <v>2500</v>
      </c>
      <c r="P64" s="73" t="n">
        <f aca="false">P60+P61+P62+P63</f>
        <v>0</v>
      </c>
      <c r="Q64" s="73" t="n">
        <f aca="false">Q60+Q61+Q62+Q63</f>
        <v>0</v>
      </c>
      <c r="R64" s="73" t="n">
        <f aca="false">R60+R61+R62+R63</f>
        <v>0</v>
      </c>
      <c r="S64" s="73" t="n">
        <f aca="false">S60+S61+S62+S63</f>
        <v>0</v>
      </c>
      <c r="T64" s="73" t="n">
        <f aca="false">T60+T61+T62+T63</f>
        <v>0</v>
      </c>
      <c r="U64" s="73" t="n">
        <f aca="false">U60+U61+U62+U63</f>
        <v>0</v>
      </c>
      <c r="V64" s="73" t="n">
        <f aca="false">V60+V61+V62+V63</f>
        <v>0</v>
      </c>
      <c r="W64" s="73" t="n">
        <f aca="false">W60+W61+W62+W63</f>
        <v>0</v>
      </c>
      <c r="X64" s="73" t="n">
        <f aca="false">X60+X61+X62+X63</f>
        <v>0</v>
      </c>
      <c r="Y64" s="73" t="n">
        <f aca="false">Y60+Y61+Y62+Y63</f>
        <v>0</v>
      </c>
      <c r="Z64" s="73" t="n">
        <f aca="false">Z60+Z61+Z62+Z63</f>
        <v>0</v>
      </c>
      <c r="AA64" s="73" t="n">
        <f aca="false">AA60+AA61+AA62+AA63</f>
        <v>2500</v>
      </c>
      <c r="AB64" s="73" t="n">
        <f aca="false">AB60+AB61+AB62+AB63</f>
        <v>0</v>
      </c>
      <c r="AC64" s="73" t="n">
        <f aca="false">AC60+AC61+AC62+AC63</f>
        <v>0</v>
      </c>
      <c r="AD64" s="73" t="n">
        <f aca="false">AD60+AD61+AD62+AD63</f>
        <v>0</v>
      </c>
      <c r="AE64" s="73" t="n">
        <f aca="false">AE60+AE61+AE62+AE63</f>
        <v>0</v>
      </c>
      <c r="AF64" s="73" t="n">
        <f aca="false">AF60+AF61+AF62+AF63</f>
        <v>0</v>
      </c>
      <c r="AG64" s="73" t="n">
        <f aca="false">AG60+AG61+AG62+AG63</f>
        <v>0</v>
      </c>
      <c r="AH64" s="73" t="n">
        <f aca="false">AH60+AH61+AH62+AH63</f>
        <v>0</v>
      </c>
      <c r="AI64" s="73" t="n">
        <f aca="false">AI60+AI61+AI62+AI63</f>
        <v>0</v>
      </c>
      <c r="AJ64" s="73" t="n">
        <f aca="false">AJ60+AJ61+AJ62+AJ63</f>
        <v>0</v>
      </c>
      <c r="AK64" s="73" t="n">
        <f aca="false">AK60+AK61+AK62+AK63</f>
        <v>0</v>
      </c>
      <c r="AL64" s="73" t="n">
        <f aca="false">AL60+AL61+AL62+AL63</f>
        <v>0</v>
      </c>
    </row>
    <row r="65" customFormat="false" ht="15" hidden="false" customHeight="false" outlineLevel="0" collapsed="false">
      <c r="A65" s="6" t="s">
        <v>411</v>
      </c>
      <c r="C65" s="67" t="n">
        <f aca="false">C64</f>
        <v>138000</v>
      </c>
      <c r="D65" s="67" t="n">
        <f aca="false">C65+D64</f>
        <v>138000</v>
      </c>
      <c r="E65" s="67" t="n">
        <f aca="false">D65+E64</f>
        <v>138000</v>
      </c>
      <c r="F65" s="67" t="n">
        <f aca="false">E65+F64</f>
        <v>138000</v>
      </c>
      <c r="G65" s="67" t="n">
        <f aca="false">F65+G64</f>
        <v>138000</v>
      </c>
      <c r="H65" s="67" t="n">
        <f aca="false">G65+H64</f>
        <v>138000</v>
      </c>
      <c r="I65" s="67" t="n">
        <f aca="false">H65+I64</f>
        <v>138000</v>
      </c>
      <c r="J65" s="67" t="n">
        <f aca="false">I65+J64</f>
        <v>138000</v>
      </c>
      <c r="K65" s="67" t="n">
        <f aca="false">J65+K64</f>
        <v>138000</v>
      </c>
      <c r="L65" s="67" t="n">
        <f aca="false">K65+L64</f>
        <v>138000</v>
      </c>
      <c r="M65" s="67" t="n">
        <f aca="false">L65+M64</f>
        <v>138000</v>
      </c>
      <c r="N65" s="67" t="n">
        <f aca="false">M65+N64</f>
        <v>138000</v>
      </c>
      <c r="O65" s="67" t="n">
        <f aca="false">N65+O64</f>
        <v>140500</v>
      </c>
      <c r="P65" s="67" t="n">
        <f aca="false">O65+P64</f>
        <v>140500</v>
      </c>
      <c r="Q65" s="67" t="n">
        <f aca="false">P65+Q64</f>
        <v>140500</v>
      </c>
      <c r="R65" s="67" t="n">
        <f aca="false">Q65+R64</f>
        <v>140500</v>
      </c>
      <c r="S65" s="67" t="n">
        <f aca="false">R65+S64</f>
        <v>140500</v>
      </c>
      <c r="T65" s="67" t="n">
        <f aca="false">S65+T64</f>
        <v>140500</v>
      </c>
      <c r="U65" s="67" t="n">
        <f aca="false">T65+U64</f>
        <v>140500</v>
      </c>
      <c r="V65" s="67" t="n">
        <f aca="false">U65+V64</f>
        <v>140500</v>
      </c>
      <c r="W65" s="67" t="n">
        <f aca="false">V65+W64</f>
        <v>140500</v>
      </c>
      <c r="X65" s="67" t="n">
        <f aca="false">W65+X64</f>
        <v>140500</v>
      </c>
      <c r="Y65" s="67" t="n">
        <f aca="false">X65+Y64</f>
        <v>140500</v>
      </c>
      <c r="Z65" s="67" t="n">
        <f aca="false">Y65+Z64</f>
        <v>140500</v>
      </c>
      <c r="AA65" s="67" t="n">
        <f aca="false">Z65+AA64</f>
        <v>143000</v>
      </c>
      <c r="AB65" s="67" t="n">
        <f aca="false">AA65+AB64</f>
        <v>143000</v>
      </c>
      <c r="AC65" s="67" t="n">
        <f aca="false">AB65+AC64</f>
        <v>143000</v>
      </c>
      <c r="AD65" s="67" t="n">
        <f aca="false">AC65+AD64</f>
        <v>143000</v>
      </c>
      <c r="AE65" s="67" t="n">
        <f aca="false">AD65+AE64</f>
        <v>143000</v>
      </c>
      <c r="AF65" s="67" t="n">
        <f aca="false">AE65+AF64</f>
        <v>143000</v>
      </c>
      <c r="AG65" s="67" t="n">
        <f aca="false">AF65+AG64</f>
        <v>143000</v>
      </c>
      <c r="AH65" s="67" t="n">
        <f aca="false">AG65+AH64</f>
        <v>143000</v>
      </c>
      <c r="AI65" s="67" t="n">
        <f aca="false">AH65+AI64</f>
        <v>143000</v>
      </c>
      <c r="AJ65" s="67" t="n">
        <f aca="false">AI65+AJ64</f>
        <v>143000</v>
      </c>
      <c r="AK65" s="67" t="n">
        <f aca="false">AJ65+AK64</f>
        <v>143000</v>
      </c>
      <c r="AL65" s="67" t="n">
        <f aca="false">AK65+AL64</f>
        <v>143000</v>
      </c>
    </row>
    <row r="66" customFormat="false" ht="15" hidden="false" customHeight="false" outlineLevel="0" collapsed="false">
      <c r="A66" s="6" t="s">
        <v>78</v>
      </c>
      <c r="C66" s="67" t="n">
        <f aca="false">-MIN(C65/MAX(1,Inputs!$B$82*12),C64)</f>
        <v>-1642.85714285714</v>
      </c>
      <c r="D66" s="67" t="n">
        <f aca="false">-MIN(D65/MAX(1,Inputs!$B$82*12),C68+D64)</f>
        <v>-1642.85714285714</v>
      </c>
      <c r="E66" s="67" t="n">
        <f aca="false">-MIN(E65/MAX(1,Inputs!$B$82*12),D68+E64)</f>
        <v>-1642.85714285714</v>
      </c>
      <c r="F66" s="67" t="n">
        <f aca="false">-MIN(F65/MAX(1,Inputs!$B$82*12),E68+F64)</f>
        <v>-1642.85714285714</v>
      </c>
      <c r="G66" s="67" t="n">
        <f aca="false">-MIN(G65/MAX(1,Inputs!$B$82*12),F68+G64)</f>
        <v>-1642.85714285714</v>
      </c>
      <c r="H66" s="67" t="n">
        <f aca="false">-MIN(H65/MAX(1,Inputs!$B$82*12),G68+H64)</f>
        <v>-1642.85714285714</v>
      </c>
      <c r="I66" s="67" t="n">
        <f aca="false">-MIN(I65/MAX(1,Inputs!$B$82*12),H68+I64)</f>
        <v>-1642.85714285714</v>
      </c>
      <c r="J66" s="67" t="n">
        <f aca="false">-MIN(J65/MAX(1,Inputs!$B$82*12),I68+J64)</f>
        <v>-1642.85714285714</v>
      </c>
      <c r="K66" s="67" t="n">
        <f aca="false">-MIN(K65/MAX(1,Inputs!$B$82*12),J68+K64)</f>
        <v>-1642.85714285714</v>
      </c>
      <c r="L66" s="67" t="n">
        <f aca="false">-MIN(L65/MAX(1,Inputs!$B$82*12),K68+L64)</f>
        <v>-1642.85714285714</v>
      </c>
      <c r="M66" s="67" t="n">
        <f aca="false">-MIN(M65/MAX(1,Inputs!$B$82*12),L68+M64)</f>
        <v>-1642.85714285714</v>
      </c>
      <c r="N66" s="67" t="n">
        <f aca="false">-MIN(N65/MAX(1,Inputs!$B$82*12),M68+N64)</f>
        <v>-1642.85714285714</v>
      </c>
      <c r="O66" s="67" t="n">
        <f aca="false">-MIN(O65/MAX(1,Inputs!$B$82*12),N68+O64)</f>
        <v>-1672.61904761905</v>
      </c>
      <c r="P66" s="67" t="n">
        <f aca="false">-MIN(P65/MAX(1,Inputs!$B$82*12),O68+P64)</f>
        <v>-1672.61904761905</v>
      </c>
      <c r="Q66" s="67" t="n">
        <f aca="false">-MIN(Q65/MAX(1,Inputs!$B$82*12),P68+Q64)</f>
        <v>-1672.61904761905</v>
      </c>
      <c r="R66" s="67" t="n">
        <f aca="false">-MIN(R65/MAX(1,Inputs!$B$82*12),Q68+R64)</f>
        <v>-1672.61904761905</v>
      </c>
      <c r="S66" s="67" t="n">
        <f aca="false">-MIN(S65/MAX(1,Inputs!$B$82*12),R68+S64)</f>
        <v>-1672.61904761905</v>
      </c>
      <c r="T66" s="67" t="n">
        <f aca="false">-MIN(T65/MAX(1,Inputs!$B$82*12),S68+T64)</f>
        <v>-1672.61904761905</v>
      </c>
      <c r="U66" s="67" t="n">
        <f aca="false">-MIN(U65/MAX(1,Inputs!$B$82*12),T68+U64)</f>
        <v>-1672.61904761905</v>
      </c>
      <c r="V66" s="67" t="n">
        <f aca="false">-MIN(V65/MAX(1,Inputs!$B$82*12),U68+V64)</f>
        <v>-1672.61904761905</v>
      </c>
      <c r="W66" s="67" t="n">
        <f aca="false">-MIN(W65/MAX(1,Inputs!$B$82*12),V68+W64)</f>
        <v>-1672.61904761905</v>
      </c>
      <c r="X66" s="67" t="n">
        <f aca="false">-MIN(X65/MAX(1,Inputs!$B$82*12),W68+X64)</f>
        <v>-1672.61904761905</v>
      </c>
      <c r="Y66" s="67" t="n">
        <f aca="false">-MIN(Y65/MAX(1,Inputs!$B$82*12),X68+Y64)</f>
        <v>-1672.61904761905</v>
      </c>
      <c r="Z66" s="67" t="n">
        <f aca="false">-MIN(Z65/MAX(1,Inputs!$B$82*12),Y68+Z64)</f>
        <v>-1672.61904761905</v>
      </c>
      <c r="AA66" s="67" t="n">
        <f aca="false">-MIN(AA65/MAX(1,Inputs!$B$82*12),Z68+AA64)</f>
        <v>-1702.38095238095</v>
      </c>
      <c r="AB66" s="67" t="n">
        <f aca="false">-MIN(AB65/MAX(1,Inputs!$B$82*12),AA68+AB64)</f>
        <v>-1702.38095238095</v>
      </c>
      <c r="AC66" s="67" t="n">
        <f aca="false">-MIN(AC65/MAX(1,Inputs!$B$82*12),AB68+AC64)</f>
        <v>-1702.38095238095</v>
      </c>
      <c r="AD66" s="67" t="n">
        <f aca="false">-MIN(AD65/MAX(1,Inputs!$B$82*12),AC68+AD64)</f>
        <v>-1702.38095238095</v>
      </c>
      <c r="AE66" s="67" t="n">
        <f aca="false">-MIN(AE65/MAX(1,Inputs!$B$82*12),AD68+AE64)</f>
        <v>-1702.38095238095</v>
      </c>
      <c r="AF66" s="67" t="n">
        <f aca="false">-MIN(AF65/MAX(1,Inputs!$B$82*12),AE68+AF64)</f>
        <v>-1702.38095238095</v>
      </c>
      <c r="AG66" s="67" t="n">
        <f aca="false">-MIN(AG65/MAX(1,Inputs!$B$82*12),AF68+AG64)</f>
        <v>-1702.38095238095</v>
      </c>
      <c r="AH66" s="67" t="n">
        <f aca="false">-MIN(AH65/MAX(1,Inputs!$B$82*12),AG68+AH64)</f>
        <v>-1702.38095238095</v>
      </c>
      <c r="AI66" s="67" t="n">
        <f aca="false">-MIN(AI65/MAX(1,Inputs!$B$82*12),AH68+AI64)</f>
        <v>-1702.38095238095</v>
      </c>
      <c r="AJ66" s="67" t="n">
        <f aca="false">-MIN(AJ65/MAX(1,Inputs!$B$82*12),AI68+AJ64)</f>
        <v>-1702.38095238095</v>
      </c>
      <c r="AK66" s="67" t="n">
        <f aca="false">-MIN(AK65/MAX(1,Inputs!$B$82*12),AJ68+AK64)</f>
        <v>-1702.38095238095</v>
      </c>
      <c r="AL66" s="67" t="n">
        <f aca="false">-MIN(AL65/MAX(1,Inputs!$B$82*12),AK68+AL64)</f>
        <v>-1702.38095238095</v>
      </c>
    </row>
    <row r="67" customFormat="false" ht="15" hidden="false" customHeight="false" outlineLevel="0" collapsed="false">
      <c r="A67" s="6" t="s">
        <v>412</v>
      </c>
      <c r="C67" s="67" t="n">
        <f aca="false">C66</f>
        <v>-1642.85714285714</v>
      </c>
      <c r="D67" s="67" t="n">
        <f aca="false">C67+D66</f>
        <v>-3285.71428571429</v>
      </c>
      <c r="E67" s="67" t="n">
        <f aca="false">D67+E66</f>
        <v>-4928.57142857143</v>
      </c>
      <c r="F67" s="67" t="n">
        <f aca="false">E67+F66</f>
        <v>-6571.42857142857</v>
      </c>
      <c r="G67" s="67" t="n">
        <f aca="false">F67+G66</f>
        <v>-8214.28571428571</v>
      </c>
      <c r="H67" s="67" t="n">
        <f aca="false">G67+H66</f>
        <v>-9857.14285714286</v>
      </c>
      <c r="I67" s="67" t="n">
        <f aca="false">H67+I66</f>
        <v>-11500</v>
      </c>
      <c r="J67" s="67" t="n">
        <f aca="false">I67+J66</f>
        <v>-13142.8571428571</v>
      </c>
      <c r="K67" s="67" t="n">
        <f aca="false">J67+K66</f>
        <v>-14785.7142857143</v>
      </c>
      <c r="L67" s="67" t="n">
        <f aca="false">K67+L66</f>
        <v>-16428.5714285714</v>
      </c>
      <c r="M67" s="67" t="n">
        <f aca="false">L67+M66</f>
        <v>-18071.4285714286</v>
      </c>
      <c r="N67" s="67" t="n">
        <f aca="false">M67+N66</f>
        <v>-19714.2857142857</v>
      </c>
      <c r="O67" s="67" t="n">
        <f aca="false">N67+O66</f>
        <v>-21386.9047619048</v>
      </c>
      <c r="P67" s="67" t="n">
        <f aca="false">O67+P66</f>
        <v>-23059.5238095238</v>
      </c>
      <c r="Q67" s="67" t="n">
        <f aca="false">P67+Q66</f>
        <v>-24732.1428571428</v>
      </c>
      <c r="R67" s="67" t="n">
        <f aca="false">Q67+R66</f>
        <v>-26404.7619047619</v>
      </c>
      <c r="S67" s="67" t="n">
        <f aca="false">R67+S66</f>
        <v>-28077.3809523809</v>
      </c>
      <c r="T67" s="67" t="n">
        <f aca="false">S67+T66</f>
        <v>-29750</v>
      </c>
      <c r="U67" s="67" t="n">
        <f aca="false">T67+U66</f>
        <v>-31422.619047619</v>
      </c>
      <c r="V67" s="67" t="n">
        <f aca="false">U67+V66</f>
        <v>-33095.2380952381</v>
      </c>
      <c r="W67" s="67" t="n">
        <f aca="false">V67+W66</f>
        <v>-34767.8571428571</v>
      </c>
      <c r="X67" s="67" t="n">
        <f aca="false">W67+X66</f>
        <v>-36440.4761904762</v>
      </c>
      <c r="Y67" s="67" t="n">
        <f aca="false">X67+Y66</f>
        <v>-38113.0952380952</v>
      </c>
      <c r="Z67" s="67" t="n">
        <f aca="false">Y67+Z66</f>
        <v>-39785.7142857143</v>
      </c>
      <c r="AA67" s="67" t="n">
        <f aca="false">Z67+AA66</f>
        <v>-41488.0952380952</v>
      </c>
      <c r="AB67" s="67" t="n">
        <f aca="false">AA67+AB66</f>
        <v>-43190.4761904762</v>
      </c>
      <c r="AC67" s="67" t="n">
        <f aca="false">AB67+AC66</f>
        <v>-44892.8571428571</v>
      </c>
      <c r="AD67" s="67" t="n">
        <f aca="false">AC67+AD66</f>
        <v>-46595.2380952381</v>
      </c>
      <c r="AE67" s="67" t="n">
        <f aca="false">AD67+AE66</f>
        <v>-48297.619047619</v>
      </c>
      <c r="AF67" s="67" t="n">
        <f aca="false">AE67+AF66</f>
        <v>-50000</v>
      </c>
      <c r="AG67" s="67" t="n">
        <f aca="false">AF67+AG66</f>
        <v>-51702.3809523809</v>
      </c>
      <c r="AH67" s="67" t="n">
        <f aca="false">AG67+AH66</f>
        <v>-53404.7619047619</v>
      </c>
      <c r="AI67" s="67" t="n">
        <f aca="false">AH67+AI66</f>
        <v>-55107.1428571429</v>
      </c>
      <c r="AJ67" s="67" t="n">
        <f aca="false">AI67+AJ66</f>
        <v>-56809.5238095238</v>
      </c>
      <c r="AK67" s="67" t="n">
        <f aca="false">AJ67+AK66</f>
        <v>-58511.9047619048</v>
      </c>
      <c r="AL67" s="67" t="n">
        <f aca="false">AK67+AL66</f>
        <v>-60214.2857142857</v>
      </c>
    </row>
    <row r="68" customFormat="false" ht="15" hidden="false" customHeight="false" outlineLevel="0" collapsed="false">
      <c r="A68" s="4" t="s">
        <v>92</v>
      </c>
      <c r="C68" s="73" t="n">
        <f aca="false">C65+C67</f>
        <v>136357.142857143</v>
      </c>
      <c r="D68" s="73" t="n">
        <f aca="false">D65+D67</f>
        <v>134714.285714286</v>
      </c>
      <c r="E68" s="73" t="n">
        <f aca="false">E65+E67</f>
        <v>133071.428571429</v>
      </c>
      <c r="F68" s="73" t="n">
        <f aca="false">F65+F67</f>
        <v>131428.571428571</v>
      </c>
      <c r="G68" s="73" t="n">
        <f aca="false">G65+G67</f>
        <v>129785.714285714</v>
      </c>
      <c r="H68" s="73" t="n">
        <f aca="false">H65+H67</f>
        <v>128142.857142857</v>
      </c>
      <c r="I68" s="73" t="n">
        <f aca="false">I65+I67</f>
        <v>126500</v>
      </c>
      <c r="J68" s="73" t="n">
        <f aca="false">J65+J67</f>
        <v>124857.142857143</v>
      </c>
      <c r="K68" s="73" t="n">
        <f aca="false">K65+K67</f>
        <v>123214.285714286</v>
      </c>
      <c r="L68" s="73" t="n">
        <f aca="false">L65+L67</f>
        <v>121571.428571429</v>
      </c>
      <c r="M68" s="73" t="n">
        <f aca="false">M65+M67</f>
        <v>119928.571428571</v>
      </c>
      <c r="N68" s="73" t="n">
        <f aca="false">N65+N67</f>
        <v>118285.714285714</v>
      </c>
      <c r="O68" s="73" t="n">
        <f aca="false">O65+O67</f>
        <v>119113.095238095</v>
      </c>
      <c r="P68" s="73" t="n">
        <f aca="false">P65+P67</f>
        <v>117440.476190476</v>
      </c>
      <c r="Q68" s="73" t="n">
        <f aca="false">Q65+Q67</f>
        <v>115767.857142857</v>
      </c>
      <c r="R68" s="73" t="n">
        <f aca="false">R65+R67</f>
        <v>114095.238095238</v>
      </c>
      <c r="S68" s="73" t="n">
        <f aca="false">S65+S67</f>
        <v>112422.619047619</v>
      </c>
      <c r="T68" s="73" t="n">
        <f aca="false">T65+T67</f>
        <v>110750</v>
      </c>
      <c r="U68" s="73" t="n">
        <f aca="false">U65+U67</f>
        <v>109077.380952381</v>
      </c>
      <c r="V68" s="73" t="n">
        <f aca="false">V65+V67</f>
        <v>107404.761904762</v>
      </c>
      <c r="W68" s="73" t="n">
        <f aca="false">W65+W67</f>
        <v>105732.142857143</v>
      </c>
      <c r="X68" s="73" t="n">
        <f aca="false">X65+X67</f>
        <v>104059.523809524</v>
      </c>
      <c r="Y68" s="73" t="n">
        <f aca="false">Y65+Y67</f>
        <v>102386.904761905</v>
      </c>
      <c r="Z68" s="73" t="n">
        <f aca="false">Z65+Z67</f>
        <v>100714.285714286</v>
      </c>
      <c r="AA68" s="73" t="n">
        <f aca="false">AA65+AA67</f>
        <v>101511.904761905</v>
      </c>
      <c r="AB68" s="73" t="n">
        <f aca="false">AB65+AB67</f>
        <v>99809.5238095238</v>
      </c>
      <c r="AC68" s="73" t="n">
        <f aca="false">AC65+AC67</f>
        <v>98107.1428571429</v>
      </c>
      <c r="AD68" s="73" t="n">
        <f aca="false">AD65+AD67</f>
        <v>96404.7619047619</v>
      </c>
      <c r="AE68" s="73" t="n">
        <f aca="false">AE65+AE67</f>
        <v>94702.380952381</v>
      </c>
      <c r="AF68" s="73" t="n">
        <f aca="false">AF65+AF67</f>
        <v>93000</v>
      </c>
      <c r="AG68" s="73" t="n">
        <f aca="false">AG65+AG67</f>
        <v>91297.6190476191</v>
      </c>
      <c r="AH68" s="73" t="n">
        <f aca="false">AH65+AH67</f>
        <v>89595.2380952381</v>
      </c>
      <c r="AI68" s="73" t="n">
        <f aca="false">AI65+AI67</f>
        <v>87892.8571428572</v>
      </c>
      <c r="AJ68" s="73" t="n">
        <f aca="false">AJ65+AJ67</f>
        <v>86190.4761904762</v>
      </c>
      <c r="AK68" s="73" t="n">
        <f aca="false">AK65+AK67</f>
        <v>84488.0952380952</v>
      </c>
      <c r="AL68" s="73" t="n">
        <f aca="false">AL65+AL67</f>
        <v>82785.7142857143</v>
      </c>
    </row>
    <row r="70" customFormat="false" ht="15.75" hidden="false" customHeight="true" outlineLevel="0" collapsed="false">
      <c r="A70" s="7" t="s">
        <v>413</v>
      </c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</row>
    <row r="71" customFormat="false" ht="15" hidden="false" customHeight="false" outlineLevel="0" collapsed="false">
      <c r="A71" s="6" t="s">
        <v>414</v>
      </c>
      <c r="C71" s="67" t="n">
        <f aca="false">0</f>
        <v>0</v>
      </c>
      <c r="D71" s="67" t="n">
        <f aca="false">C74</f>
        <v>90000</v>
      </c>
      <c r="E71" s="67" t="n">
        <f aca="false">D74</f>
        <v>88500</v>
      </c>
      <c r="F71" s="67" t="n">
        <f aca="false">E74</f>
        <v>87000</v>
      </c>
      <c r="G71" s="67" t="n">
        <f aca="false">F74</f>
        <v>85500</v>
      </c>
      <c r="H71" s="67" t="n">
        <f aca="false">G74</f>
        <v>84000</v>
      </c>
      <c r="I71" s="67" t="n">
        <f aca="false">H74</f>
        <v>82500</v>
      </c>
      <c r="J71" s="67" t="n">
        <f aca="false">I74</f>
        <v>81000</v>
      </c>
      <c r="K71" s="67" t="n">
        <f aca="false">J74</f>
        <v>79500</v>
      </c>
      <c r="L71" s="67" t="n">
        <f aca="false">K74</f>
        <v>78000</v>
      </c>
      <c r="M71" s="67" t="n">
        <f aca="false">L74</f>
        <v>76500</v>
      </c>
      <c r="N71" s="67" t="n">
        <f aca="false">M74</f>
        <v>75000</v>
      </c>
      <c r="O71" s="67" t="n">
        <f aca="false">N74</f>
        <v>73500</v>
      </c>
      <c r="P71" s="67" t="n">
        <f aca="false">O74</f>
        <v>72000</v>
      </c>
      <c r="Q71" s="67" t="n">
        <f aca="false">P74</f>
        <v>70500</v>
      </c>
      <c r="R71" s="67" t="n">
        <f aca="false">Q74</f>
        <v>69000</v>
      </c>
      <c r="S71" s="67" t="n">
        <f aca="false">R74</f>
        <v>67500</v>
      </c>
      <c r="T71" s="67" t="n">
        <f aca="false">S74</f>
        <v>66000</v>
      </c>
      <c r="U71" s="67" t="n">
        <f aca="false">T74</f>
        <v>64500</v>
      </c>
      <c r="V71" s="67" t="n">
        <f aca="false">U74</f>
        <v>63000</v>
      </c>
      <c r="W71" s="67" t="n">
        <f aca="false">V74</f>
        <v>61500</v>
      </c>
      <c r="X71" s="67" t="n">
        <f aca="false">W74</f>
        <v>60000</v>
      </c>
      <c r="Y71" s="67" t="n">
        <f aca="false">X74</f>
        <v>58500</v>
      </c>
      <c r="Z71" s="67" t="n">
        <f aca="false">Y74</f>
        <v>57000</v>
      </c>
      <c r="AA71" s="67" t="n">
        <f aca="false">Z74</f>
        <v>55500</v>
      </c>
      <c r="AB71" s="67" t="n">
        <f aca="false">AA74</f>
        <v>54000</v>
      </c>
      <c r="AC71" s="67" t="n">
        <f aca="false">AB74</f>
        <v>52500</v>
      </c>
      <c r="AD71" s="67" t="n">
        <f aca="false">AC74</f>
        <v>51000</v>
      </c>
      <c r="AE71" s="67" t="n">
        <f aca="false">AD74</f>
        <v>49500</v>
      </c>
      <c r="AF71" s="67" t="n">
        <f aca="false">AE74</f>
        <v>48000</v>
      </c>
      <c r="AG71" s="67" t="n">
        <f aca="false">AF74</f>
        <v>46500</v>
      </c>
      <c r="AH71" s="67" t="n">
        <f aca="false">AG74</f>
        <v>45000</v>
      </c>
      <c r="AI71" s="67" t="n">
        <f aca="false">AH74</f>
        <v>43500</v>
      </c>
      <c r="AJ71" s="67" t="n">
        <f aca="false">AI74</f>
        <v>42000</v>
      </c>
      <c r="AK71" s="67" t="n">
        <f aca="false">AJ74</f>
        <v>40500</v>
      </c>
      <c r="AL71" s="67" t="n">
        <f aca="false">AK74</f>
        <v>39000</v>
      </c>
    </row>
    <row r="72" customFormat="false" ht="15" hidden="false" customHeight="false" outlineLevel="0" collapsed="false">
      <c r="A72" s="6" t="s">
        <v>85</v>
      </c>
      <c r="C72" s="67" t="n">
        <f aca="false">IF(C$6=1,Inputs!$B$72,0)</f>
        <v>90000</v>
      </c>
      <c r="D72" s="67" t="n">
        <f aca="false">IF(D$6=1,Inputs!$B$72,0)</f>
        <v>0</v>
      </c>
      <c r="E72" s="67" t="n">
        <f aca="false">IF(E$6=1,Inputs!$B$72,0)</f>
        <v>0</v>
      </c>
      <c r="F72" s="67" t="n">
        <f aca="false">IF(F$6=1,Inputs!$B$72,0)</f>
        <v>0</v>
      </c>
      <c r="G72" s="67" t="n">
        <f aca="false">IF(G$6=1,Inputs!$B$72,0)</f>
        <v>0</v>
      </c>
      <c r="H72" s="67" t="n">
        <f aca="false">IF(H$6=1,Inputs!$B$72,0)</f>
        <v>0</v>
      </c>
      <c r="I72" s="67" t="n">
        <f aca="false">IF(I$6=1,Inputs!$B$72,0)</f>
        <v>0</v>
      </c>
      <c r="J72" s="67" t="n">
        <f aca="false">IF(J$6=1,Inputs!$B$72,0)</f>
        <v>0</v>
      </c>
      <c r="K72" s="67" t="n">
        <f aca="false">IF(K$6=1,Inputs!$B$72,0)</f>
        <v>0</v>
      </c>
      <c r="L72" s="67" t="n">
        <f aca="false">IF(L$6=1,Inputs!$B$72,0)</f>
        <v>0</v>
      </c>
      <c r="M72" s="67" t="n">
        <f aca="false">IF(M$6=1,Inputs!$B$72,0)</f>
        <v>0</v>
      </c>
      <c r="N72" s="67" t="n">
        <f aca="false">IF(N$6=1,Inputs!$B$72,0)</f>
        <v>0</v>
      </c>
      <c r="O72" s="67" t="n">
        <f aca="false">IF(O$6=1,Inputs!$B$72,0)</f>
        <v>0</v>
      </c>
      <c r="P72" s="67" t="n">
        <f aca="false">IF(P$6=1,Inputs!$B$72,0)</f>
        <v>0</v>
      </c>
      <c r="Q72" s="67" t="n">
        <f aca="false">IF(Q$6=1,Inputs!$B$72,0)</f>
        <v>0</v>
      </c>
      <c r="R72" s="67" t="n">
        <f aca="false">IF(R$6=1,Inputs!$B$72,0)</f>
        <v>0</v>
      </c>
      <c r="S72" s="67" t="n">
        <f aca="false">IF(S$6=1,Inputs!$B$72,0)</f>
        <v>0</v>
      </c>
      <c r="T72" s="67" t="n">
        <f aca="false">IF(T$6=1,Inputs!$B$72,0)</f>
        <v>0</v>
      </c>
      <c r="U72" s="67" t="n">
        <f aca="false">IF(U$6=1,Inputs!$B$72,0)</f>
        <v>0</v>
      </c>
      <c r="V72" s="67" t="n">
        <f aca="false">IF(V$6=1,Inputs!$B$72,0)</f>
        <v>0</v>
      </c>
      <c r="W72" s="67" t="n">
        <f aca="false">IF(W$6=1,Inputs!$B$72,0)</f>
        <v>0</v>
      </c>
      <c r="X72" s="67" t="n">
        <f aca="false">IF(X$6=1,Inputs!$B$72,0)</f>
        <v>0</v>
      </c>
      <c r="Y72" s="67" t="n">
        <f aca="false">IF(Y$6=1,Inputs!$B$72,0)</f>
        <v>0</v>
      </c>
      <c r="Z72" s="67" t="n">
        <f aca="false">IF(Z$6=1,Inputs!$B$72,0)</f>
        <v>0</v>
      </c>
      <c r="AA72" s="67" t="n">
        <f aca="false">IF(AA$6=1,Inputs!$B$72,0)</f>
        <v>0</v>
      </c>
      <c r="AB72" s="67" t="n">
        <f aca="false">IF(AB$6=1,Inputs!$B$72,0)</f>
        <v>0</v>
      </c>
      <c r="AC72" s="67" t="n">
        <f aca="false">IF(AC$6=1,Inputs!$B$72,0)</f>
        <v>0</v>
      </c>
      <c r="AD72" s="67" t="n">
        <f aca="false">IF(AD$6=1,Inputs!$B$72,0)</f>
        <v>0</v>
      </c>
      <c r="AE72" s="67" t="n">
        <f aca="false">IF(AE$6=1,Inputs!$B$72,0)</f>
        <v>0</v>
      </c>
      <c r="AF72" s="67" t="n">
        <f aca="false">IF(AF$6=1,Inputs!$B$72,0)</f>
        <v>0</v>
      </c>
      <c r="AG72" s="67" t="n">
        <f aca="false">IF(AG$6=1,Inputs!$B$72,0)</f>
        <v>0</v>
      </c>
      <c r="AH72" s="67" t="n">
        <f aca="false">IF(AH$6=1,Inputs!$B$72,0)</f>
        <v>0</v>
      </c>
      <c r="AI72" s="67" t="n">
        <f aca="false">IF(AI$6=1,Inputs!$B$72,0)</f>
        <v>0</v>
      </c>
      <c r="AJ72" s="67" t="n">
        <f aca="false">IF(AJ$6=1,Inputs!$B$72,0)</f>
        <v>0</v>
      </c>
      <c r="AK72" s="67" t="n">
        <f aca="false">IF(AK$6=1,Inputs!$B$72,0)</f>
        <v>0</v>
      </c>
      <c r="AL72" s="67" t="n">
        <f aca="false">IF(AL$6=1,Inputs!$B$72,0)</f>
        <v>0</v>
      </c>
    </row>
    <row r="73" customFormat="false" ht="15" hidden="false" customHeight="false" outlineLevel="0" collapsed="false">
      <c r="A73" s="6" t="s">
        <v>86</v>
      </c>
      <c r="C73" s="67" t="n">
        <f aca="false">-MIN(C71,Inputs!$B$72/MAX(1,Inputs!$B$74*12))</f>
        <v>-0</v>
      </c>
      <c r="D73" s="67" t="n">
        <f aca="false">-MIN(D71,Inputs!$B$72/MAX(1,Inputs!$B$74*12))</f>
        <v>-1500</v>
      </c>
      <c r="E73" s="67" t="n">
        <f aca="false">-MIN(E71,Inputs!$B$72/MAX(1,Inputs!$B$74*12))</f>
        <v>-1500</v>
      </c>
      <c r="F73" s="67" t="n">
        <f aca="false">-MIN(F71,Inputs!$B$72/MAX(1,Inputs!$B$74*12))</f>
        <v>-1500</v>
      </c>
      <c r="G73" s="67" t="n">
        <f aca="false">-MIN(G71,Inputs!$B$72/MAX(1,Inputs!$B$74*12))</f>
        <v>-1500</v>
      </c>
      <c r="H73" s="67" t="n">
        <f aca="false">-MIN(H71,Inputs!$B$72/MAX(1,Inputs!$B$74*12))</f>
        <v>-1500</v>
      </c>
      <c r="I73" s="67" t="n">
        <f aca="false">-MIN(I71,Inputs!$B$72/MAX(1,Inputs!$B$74*12))</f>
        <v>-1500</v>
      </c>
      <c r="J73" s="67" t="n">
        <f aca="false">-MIN(J71,Inputs!$B$72/MAX(1,Inputs!$B$74*12))</f>
        <v>-1500</v>
      </c>
      <c r="K73" s="67" t="n">
        <f aca="false">-MIN(K71,Inputs!$B$72/MAX(1,Inputs!$B$74*12))</f>
        <v>-1500</v>
      </c>
      <c r="L73" s="67" t="n">
        <f aca="false">-MIN(L71,Inputs!$B$72/MAX(1,Inputs!$B$74*12))</f>
        <v>-1500</v>
      </c>
      <c r="M73" s="67" t="n">
        <f aca="false">-MIN(M71,Inputs!$B$72/MAX(1,Inputs!$B$74*12))</f>
        <v>-1500</v>
      </c>
      <c r="N73" s="67" t="n">
        <f aca="false">-MIN(N71,Inputs!$B$72/MAX(1,Inputs!$B$74*12))</f>
        <v>-1500</v>
      </c>
      <c r="O73" s="67" t="n">
        <f aca="false">-MIN(O71,Inputs!$B$72/MAX(1,Inputs!$B$74*12))</f>
        <v>-1500</v>
      </c>
      <c r="P73" s="67" t="n">
        <f aca="false">-MIN(P71,Inputs!$B$72/MAX(1,Inputs!$B$74*12))</f>
        <v>-1500</v>
      </c>
      <c r="Q73" s="67" t="n">
        <f aca="false">-MIN(Q71,Inputs!$B$72/MAX(1,Inputs!$B$74*12))</f>
        <v>-1500</v>
      </c>
      <c r="R73" s="67" t="n">
        <f aca="false">-MIN(R71,Inputs!$B$72/MAX(1,Inputs!$B$74*12))</f>
        <v>-1500</v>
      </c>
      <c r="S73" s="67" t="n">
        <f aca="false">-MIN(S71,Inputs!$B$72/MAX(1,Inputs!$B$74*12))</f>
        <v>-1500</v>
      </c>
      <c r="T73" s="67" t="n">
        <f aca="false">-MIN(T71,Inputs!$B$72/MAX(1,Inputs!$B$74*12))</f>
        <v>-1500</v>
      </c>
      <c r="U73" s="67" t="n">
        <f aca="false">-MIN(U71,Inputs!$B$72/MAX(1,Inputs!$B$74*12))</f>
        <v>-1500</v>
      </c>
      <c r="V73" s="67" t="n">
        <f aca="false">-MIN(V71,Inputs!$B$72/MAX(1,Inputs!$B$74*12))</f>
        <v>-1500</v>
      </c>
      <c r="W73" s="67" t="n">
        <f aca="false">-MIN(W71,Inputs!$B$72/MAX(1,Inputs!$B$74*12))</f>
        <v>-1500</v>
      </c>
      <c r="X73" s="67" t="n">
        <f aca="false">-MIN(X71,Inputs!$B$72/MAX(1,Inputs!$B$74*12))</f>
        <v>-1500</v>
      </c>
      <c r="Y73" s="67" t="n">
        <f aca="false">-MIN(Y71,Inputs!$B$72/MAX(1,Inputs!$B$74*12))</f>
        <v>-1500</v>
      </c>
      <c r="Z73" s="67" t="n">
        <f aca="false">-MIN(Z71,Inputs!$B$72/MAX(1,Inputs!$B$74*12))</f>
        <v>-1500</v>
      </c>
      <c r="AA73" s="67" t="n">
        <f aca="false">-MIN(AA71,Inputs!$B$72/MAX(1,Inputs!$B$74*12))</f>
        <v>-1500</v>
      </c>
      <c r="AB73" s="67" t="n">
        <f aca="false">-MIN(AB71,Inputs!$B$72/MAX(1,Inputs!$B$74*12))</f>
        <v>-1500</v>
      </c>
      <c r="AC73" s="67" t="n">
        <f aca="false">-MIN(AC71,Inputs!$B$72/MAX(1,Inputs!$B$74*12))</f>
        <v>-1500</v>
      </c>
      <c r="AD73" s="67" t="n">
        <f aca="false">-MIN(AD71,Inputs!$B$72/MAX(1,Inputs!$B$74*12))</f>
        <v>-1500</v>
      </c>
      <c r="AE73" s="67" t="n">
        <f aca="false">-MIN(AE71,Inputs!$B$72/MAX(1,Inputs!$B$74*12))</f>
        <v>-1500</v>
      </c>
      <c r="AF73" s="67" t="n">
        <f aca="false">-MIN(AF71,Inputs!$B$72/MAX(1,Inputs!$B$74*12))</f>
        <v>-1500</v>
      </c>
      <c r="AG73" s="67" t="n">
        <f aca="false">-MIN(AG71,Inputs!$B$72/MAX(1,Inputs!$B$74*12))</f>
        <v>-1500</v>
      </c>
      <c r="AH73" s="67" t="n">
        <f aca="false">-MIN(AH71,Inputs!$B$72/MAX(1,Inputs!$B$74*12))</f>
        <v>-1500</v>
      </c>
      <c r="AI73" s="67" t="n">
        <f aca="false">-MIN(AI71,Inputs!$B$72/MAX(1,Inputs!$B$74*12))</f>
        <v>-1500</v>
      </c>
      <c r="AJ73" s="67" t="n">
        <f aca="false">-MIN(AJ71,Inputs!$B$72/MAX(1,Inputs!$B$74*12))</f>
        <v>-1500</v>
      </c>
      <c r="AK73" s="67" t="n">
        <f aca="false">-MIN(AK71,Inputs!$B$72/MAX(1,Inputs!$B$74*12))</f>
        <v>-1500</v>
      </c>
      <c r="AL73" s="67" t="n">
        <f aca="false">-MIN(AL71,Inputs!$B$72/MAX(1,Inputs!$B$74*12))</f>
        <v>-1500</v>
      </c>
    </row>
    <row r="74" customFormat="false" ht="15" hidden="false" customHeight="false" outlineLevel="0" collapsed="false">
      <c r="A74" s="4" t="s">
        <v>415</v>
      </c>
      <c r="C74" s="73" t="n">
        <f aca="false">C71+C72+C73</f>
        <v>90000</v>
      </c>
      <c r="D74" s="73" t="n">
        <f aca="false">D71+D72+D73</f>
        <v>88500</v>
      </c>
      <c r="E74" s="73" t="n">
        <f aca="false">E71+E72+E73</f>
        <v>87000</v>
      </c>
      <c r="F74" s="73" t="n">
        <f aca="false">F71+F72+F73</f>
        <v>85500</v>
      </c>
      <c r="G74" s="73" t="n">
        <f aca="false">G71+G72+G73</f>
        <v>84000</v>
      </c>
      <c r="H74" s="73" t="n">
        <f aca="false">H71+H72+H73</f>
        <v>82500</v>
      </c>
      <c r="I74" s="73" t="n">
        <f aca="false">I71+I72+I73</f>
        <v>81000</v>
      </c>
      <c r="J74" s="73" t="n">
        <f aca="false">J71+J72+J73</f>
        <v>79500</v>
      </c>
      <c r="K74" s="73" t="n">
        <f aca="false">K71+K72+K73</f>
        <v>78000</v>
      </c>
      <c r="L74" s="73" t="n">
        <f aca="false">L71+L72+L73</f>
        <v>76500</v>
      </c>
      <c r="M74" s="73" t="n">
        <f aca="false">M71+M72+M73</f>
        <v>75000</v>
      </c>
      <c r="N74" s="73" t="n">
        <f aca="false">N71+N72+N73</f>
        <v>73500</v>
      </c>
      <c r="O74" s="73" t="n">
        <f aca="false">O71+O72+O73</f>
        <v>72000</v>
      </c>
      <c r="P74" s="73" t="n">
        <f aca="false">P71+P72+P73</f>
        <v>70500</v>
      </c>
      <c r="Q74" s="73" t="n">
        <f aca="false">Q71+Q72+Q73</f>
        <v>69000</v>
      </c>
      <c r="R74" s="73" t="n">
        <f aca="false">R71+R72+R73</f>
        <v>67500</v>
      </c>
      <c r="S74" s="73" t="n">
        <f aca="false">S71+S72+S73</f>
        <v>66000</v>
      </c>
      <c r="T74" s="73" t="n">
        <f aca="false">T71+T72+T73</f>
        <v>64500</v>
      </c>
      <c r="U74" s="73" t="n">
        <f aca="false">U71+U72+U73</f>
        <v>63000</v>
      </c>
      <c r="V74" s="73" t="n">
        <f aca="false">V71+V72+V73</f>
        <v>61500</v>
      </c>
      <c r="W74" s="73" t="n">
        <f aca="false">W71+W72+W73</f>
        <v>60000</v>
      </c>
      <c r="X74" s="73" t="n">
        <f aca="false">X71+X72+X73</f>
        <v>58500</v>
      </c>
      <c r="Y74" s="73" t="n">
        <f aca="false">Y71+Y72+Y73</f>
        <v>57000</v>
      </c>
      <c r="Z74" s="73" t="n">
        <f aca="false">Z71+Z72+Z73</f>
        <v>55500</v>
      </c>
      <c r="AA74" s="73" t="n">
        <f aca="false">AA71+AA72+AA73</f>
        <v>54000</v>
      </c>
      <c r="AB74" s="73" t="n">
        <f aca="false">AB71+AB72+AB73</f>
        <v>52500</v>
      </c>
      <c r="AC74" s="73" t="n">
        <f aca="false">AC71+AC72+AC73</f>
        <v>51000</v>
      </c>
      <c r="AD74" s="73" t="n">
        <f aca="false">AD71+AD72+AD73</f>
        <v>49500</v>
      </c>
      <c r="AE74" s="73" t="n">
        <f aca="false">AE71+AE72+AE73</f>
        <v>48000</v>
      </c>
      <c r="AF74" s="73" t="n">
        <f aca="false">AF71+AF72+AF73</f>
        <v>46500</v>
      </c>
      <c r="AG74" s="73" t="n">
        <f aca="false">AG71+AG72+AG73</f>
        <v>45000</v>
      </c>
      <c r="AH74" s="73" t="n">
        <f aca="false">AH71+AH72+AH73</f>
        <v>43500</v>
      </c>
      <c r="AI74" s="73" t="n">
        <f aca="false">AI71+AI72+AI73</f>
        <v>42000</v>
      </c>
      <c r="AJ74" s="73" t="n">
        <f aca="false">AJ71+AJ72+AJ73</f>
        <v>40500</v>
      </c>
      <c r="AK74" s="73" t="n">
        <f aca="false">AK71+AK72+AK73</f>
        <v>39000</v>
      </c>
      <c r="AL74" s="73" t="n">
        <f aca="false">AL71+AL72+AL73</f>
        <v>37500</v>
      </c>
    </row>
    <row r="76" customFormat="false" ht="15.75" hidden="false" customHeight="true" outlineLevel="0" collapsed="false">
      <c r="A76" s="7" t="s">
        <v>314</v>
      </c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</row>
    <row r="77" customFormat="false" ht="15" hidden="false" customHeight="false" outlineLevel="0" collapsed="false">
      <c r="A77" s="6" t="s">
        <v>90</v>
      </c>
      <c r="C77" s="67" t="n">
        <f aca="false">C26*Inputs!$B$77/30</f>
        <v>531.706</v>
      </c>
      <c r="D77" s="67" t="n">
        <f aca="false">D26*Inputs!$B$77/30</f>
        <v>641.423111111111</v>
      </c>
      <c r="E77" s="67" t="n">
        <f aca="false">E26*Inputs!$B$77/30</f>
        <v>1092.06955555556</v>
      </c>
      <c r="F77" s="67" t="n">
        <f aca="false">F26*Inputs!$B$77/30</f>
        <v>1251.58533333333</v>
      </c>
      <c r="G77" s="67" t="n">
        <f aca="false">G26*Inputs!$B$77/30</f>
        <v>1411.10111111111</v>
      </c>
      <c r="H77" s="67" t="n">
        <f aca="false">H26*Inputs!$B$77/30</f>
        <v>1570.61688888889</v>
      </c>
      <c r="I77" s="67" t="n">
        <f aca="false">I26*Inputs!$B$77/30</f>
        <v>1730.13266666667</v>
      </c>
      <c r="J77" s="67" t="n">
        <f aca="false">J26*Inputs!$B$77/30</f>
        <v>1889.64844444445</v>
      </c>
      <c r="K77" s="67" t="n">
        <f aca="false">K26*Inputs!$B$77/30</f>
        <v>2049.16422222222</v>
      </c>
      <c r="L77" s="67" t="n">
        <f aca="false">L26*Inputs!$B$77/30</f>
        <v>2208.68</v>
      </c>
      <c r="M77" s="67" t="n">
        <f aca="false">M26*Inputs!$B$77/30</f>
        <v>2208.68</v>
      </c>
      <c r="N77" s="67" t="n">
        <f aca="false">N26*Inputs!$B$77/30</f>
        <v>1519.16</v>
      </c>
      <c r="O77" s="67" t="n">
        <f aca="false">O26*Inputs!$B$77/30</f>
        <v>1549.5432</v>
      </c>
      <c r="P77" s="67" t="n">
        <f aca="false">P26*Inputs!$B$77/30</f>
        <v>1549.5432</v>
      </c>
      <c r="Q77" s="67" t="n">
        <f aca="false">Q26*Inputs!$B$77/30</f>
        <v>2252.8536</v>
      </c>
      <c r="R77" s="67" t="n">
        <f aca="false">R26*Inputs!$B$77/30</f>
        <v>2252.8536</v>
      </c>
      <c r="S77" s="67" t="n">
        <f aca="false">S26*Inputs!$B$77/30</f>
        <v>2252.8536</v>
      </c>
      <c r="T77" s="67" t="n">
        <f aca="false">T26*Inputs!$B$77/30</f>
        <v>2252.8536</v>
      </c>
      <c r="U77" s="67" t="n">
        <f aca="false">U26*Inputs!$B$77/30</f>
        <v>2252.8536</v>
      </c>
      <c r="V77" s="67" t="n">
        <f aca="false">V26*Inputs!$B$77/30</f>
        <v>2252.8536</v>
      </c>
      <c r="W77" s="67" t="n">
        <f aca="false">W26*Inputs!$B$77/30</f>
        <v>2252.8536</v>
      </c>
      <c r="X77" s="67" t="n">
        <f aca="false">X26*Inputs!$B$77/30</f>
        <v>2252.8536</v>
      </c>
      <c r="Y77" s="67" t="n">
        <f aca="false">Y26*Inputs!$B$77/30</f>
        <v>2252.8536</v>
      </c>
      <c r="Z77" s="67" t="n">
        <f aca="false">Z26*Inputs!$B$77/30</f>
        <v>1549.5432</v>
      </c>
      <c r="AA77" s="67" t="n">
        <f aca="false">AA26*Inputs!$B$77/30</f>
        <v>1580.534064</v>
      </c>
      <c r="AB77" s="67" t="n">
        <f aca="false">AB26*Inputs!$B$77/30</f>
        <v>1580.534064</v>
      </c>
      <c r="AC77" s="67" t="n">
        <f aca="false">AC26*Inputs!$B$77/30</f>
        <v>2297.910672</v>
      </c>
      <c r="AD77" s="67" t="n">
        <f aca="false">AD26*Inputs!$B$77/30</f>
        <v>2297.910672</v>
      </c>
      <c r="AE77" s="67" t="n">
        <f aca="false">AE26*Inputs!$B$77/30</f>
        <v>2297.910672</v>
      </c>
      <c r="AF77" s="67" t="n">
        <f aca="false">AF26*Inputs!$B$77/30</f>
        <v>2297.910672</v>
      </c>
      <c r="AG77" s="67" t="n">
        <f aca="false">AG26*Inputs!$B$77/30</f>
        <v>2297.910672</v>
      </c>
      <c r="AH77" s="67" t="n">
        <f aca="false">AH26*Inputs!$B$77/30</f>
        <v>2297.910672</v>
      </c>
      <c r="AI77" s="67" t="n">
        <f aca="false">AI26*Inputs!$B$77/30</f>
        <v>2297.910672</v>
      </c>
      <c r="AJ77" s="67" t="n">
        <f aca="false">AJ26*Inputs!$B$77/30</f>
        <v>2297.910672</v>
      </c>
      <c r="AK77" s="67" t="n">
        <f aca="false">AK26*Inputs!$B$77/30</f>
        <v>2297.910672</v>
      </c>
      <c r="AL77" s="67" t="n">
        <f aca="false">AL26*Inputs!$B$77/30</f>
        <v>1580.534064</v>
      </c>
    </row>
    <row r="78" customFormat="false" ht="15" hidden="false" customHeight="false" outlineLevel="0" collapsed="false">
      <c r="A78" s="6" t="s">
        <v>91</v>
      </c>
      <c r="C78" s="67" t="n">
        <f aca="false">-C34*Inputs!$B$78/30</f>
        <v>236.508706</v>
      </c>
      <c r="D78" s="67" t="n">
        <f aca="false">-D34*Inputs!$B$78/30</f>
        <v>285.312089777778</v>
      </c>
      <c r="E78" s="67" t="n">
        <f aca="false">-E34*Inputs!$B$78/30</f>
        <v>475.417569555556</v>
      </c>
      <c r="F78" s="67" t="n">
        <f aca="false">-F34*Inputs!$B$78/30</f>
        <v>544.860585333333</v>
      </c>
      <c r="G78" s="67" t="n">
        <f aca="false">-G34*Inputs!$B$78/30</f>
        <v>614.303601111111</v>
      </c>
      <c r="H78" s="67" t="n">
        <f aca="false">-H34*Inputs!$B$78/30</f>
        <v>683.746616888889</v>
      </c>
      <c r="I78" s="67" t="n">
        <f aca="false">-I34*Inputs!$B$78/30</f>
        <v>753.189632666667</v>
      </c>
      <c r="J78" s="67" t="n">
        <f aca="false">-J34*Inputs!$B$78/30</f>
        <v>822.632648444445</v>
      </c>
      <c r="K78" s="67" t="n">
        <f aca="false">-K34*Inputs!$B$78/30</f>
        <v>892.075664222222</v>
      </c>
      <c r="L78" s="67" t="n">
        <f aca="false">-L34*Inputs!$B$78/30</f>
        <v>961.51868</v>
      </c>
      <c r="M78" s="67" t="n">
        <f aca="false">-M34*Inputs!$B$78/30</f>
        <v>961.51868</v>
      </c>
      <c r="N78" s="67" t="n">
        <f aca="false">-N34*Inputs!$B$78/30</f>
        <v>675.73916</v>
      </c>
      <c r="O78" s="67" t="n">
        <f aca="false">-O34*Inputs!$B$78/30</f>
        <v>691.0321432</v>
      </c>
      <c r="P78" s="67" t="n">
        <f aca="false">-P34*Inputs!$B$78/30</f>
        <v>691.0321432</v>
      </c>
      <c r="Q78" s="67" t="n">
        <f aca="false">-Q34*Inputs!$B$78/30</f>
        <v>983.0576536</v>
      </c>
      <c r="R78" s="67" t="n">
        <f aca="false">-R34*Inputs!$B$78/30</f>
        <v>983.0576536</v>
      </c>
      <c r="S78" s="67" t="n">
        <f aca="false">-S34*Inputs!$B$78/30</f>
        <v>983.0576536</v>
      </c>
      <c r="T78" s="67" t="n">
        <f aca="false">-T34*Inputs!$B$78/30</f>
        <v>983.0576536</v>
      </c>
      <c r="U78" s="67" t="n">
        <f aca="false">-U34*Inputs!$B$78/30</f>
        <v>983.0576536</v>
      </c>
      <c r="V78" s="67" t="n">
        <f aca="false">-V34*Inputs!$B$78/30</f>
        <v>983.0576536</v>
      </c>
      <c r="W78" s="67" t="n">
        <f aca="false">-W34*Inputs!$B$78/30</f>
        <v>983.0576536</v>
      </c>
      <c r="X78" s="67" t="n">
        <f aca="false">-X34*Inputs!$B$78/30</f>
        <v>983.0576536</v>
      </c>
      <c r="Y78" s="67" t="n">
        <f aca="false">-Y34*Inputs!$B$78/30</f>
        <v>983.0576536</v>
      </c>
      <c r="Z78" s="67" t="n">
        <f aca="false">-Z34*Inputs!$B$78/30</f>
        <v>691.0321432</v>
      </c>
      <c r="AA78" s="67" t="n">
        <f aca="false">-AA34*Inputs!$B$78/30</f>
        <v>706.702114064</v>
      </c>
      <c r="AB78" s="67" t="n">
        <f aca="false">-AB34*Inputs!$B$78/30</f>
        <v>706.702114064</v>
      </c>
      <c r="AC78" s="67" t="n">
        <f aca="false">-AC34*Inputs!$B$78/30</f>
        <v>1005.119750672</v>
      </c>
      <c r="AD78" s="67" t="n">
        <f aca="false">-AD34*Inputs!$B$78/30</f>
        <v>1005.119750672</v>
      </c>
      <c r="AE78" s="67" t="n">
        <f aca="false">-AE34*Inputs!$B$78/30</f>
        <v>1005.119750672</v>
      </c>
      <c r="AF78" s="67" t="n">
        <f aca="false">-AF34*Inputs!$B$78/30</f>
        <v>1005.119750672</v>
      </c>
      <c r="AG78" s="67" t="n">
        <f aca="false">-AG34*Inputs!$B$78/30</f>
        <v>1005.119750672</v>
      </c>
      <c r="AH78" s="67" t="n">
        <f aca="false">-AH34*Inputs!$B$78/30</f>
        <v>1005.119750672</v>
      </c>
      <c r="AI78" s="67" t="n">
        <f aca="false">-AI34*Inputs!$B$78/30</f>
        <v>1005.119750672</v>
      </c>
      <c r="AJ78" s="67" t="n">
        <f aca="false">-AJ34*Inputs!$B$78/30</f>
        <v>1005.119750672</v>
      </c>
      <c r="AK78" s="67" t="n">
        <f aca="false">-AK34*Inputs!$B$78/30</f>
        <v>1005.119750672</v>
      </c>
      <c r="AL78" s="67" t="n">
        <f aca="false">-AL34*Inputs!$B$78/30</f>
        <v>706.702114064</v>
      </c>
    </row>
    <row r="79" customFormat="false" ht="15" hidden="false" customHeight="false" outlineLevel="0" collapsed="false">
      <c r="A79" s="6" t="s">
        <v>94</v>
      </c>
      <c r="C79" s="67" t="n">
        <f aca="false">-C34*Inputs!$B$79/30</f>
        <v>551.853647333333</v>
      </c>
      <c r="D79" s="67" t="n">
        <f aca="false">-D34*Inputs!$B$79/30</f>
        <v>665.728209481482</v>
      </c>
      <c r="E79" s="67" t="n">
        <f aca="false">-E34*Inputs!$B$79/30</f>
        <v>1109.3076622963</v>
      </c>
      <c r="F79" s="67" t="n">
        <f aca="false">-F34*Inputs!$B$79/30</f>
        <v>1271.34136577778</v>
      </c>
      <c r="G79" s="67" t="n">
        <f aca="false">-G34*Inputs!$B$79/30</f>
        <v>1433.37506925926</v>
      </c>
      <c r="H79" s="67" t="n">
        <f aca="false">-H34*Inputs!$B$79/30</f>
        <v>1595.40877274074</v>
      </c>
      <c r="I79" s="67" t="n">
        <f aca="false">-I34*Inputs!$B$79/30</f>
        <v>1757.44247622222</v>
      </c>
      <c r="J79" s="67" t="n">
        <f aca="false">-J34*Inputs!$B$79/30</f>
        <v>1919.4761797037</v>
      </c>
      <c r="K79" s="67" t="n">
        <f aca="false">-K34*Inputs!$B$79/30</f>
        <v>2081.50988318519</v>
      </c>
      <c r="L79" s="67" t="n">
        <f aca="false">-L34*Inputs!$B$79/30</f>
        <v>2243.54358666667</v>
      </c>
      <c r="M79" s="67" t="n">
        <f aca="false">-M34*Inputs!$B$79/30</f>
        <v>2243.54358666667</v>
      </c>
      <c r="N79" s="67" t="n">
        <f aca="false">-N34*Inputs!$B$79/30</f>
        <v>1576.72470666667</v>
      </c>
      <c r="O79" s="67" t="n">
        <f aca="false">-O34*Inputs!$B$79/30</f>
        <v>1612.40833413333</v>
      </c>
      <c r="P79" s="67" t="n">
        <f aca="false">-P34*Inputs!$B$79/30</f>
        <v>1612.40833413333</v>
      </c>
      <c r="Q79" s="67" t="n">
        <f aca="false">-Q34*Inputs!$B$79/30</f>
        <v>2293.80119173333</v>
      </c>
      <c r="R79" s="67" t="n">
        <f aca="false">-R34*Inputs!$B$79/30</f>
        <v>2293.80119173333</v>
      </c>
      <c r="S79" s="67" t="n">
        <f aca="false">-S34*Inputs!$B$79/30</f>
        <v>2293.80119173333</v>
      </c>
      <c r="T79" s="67" t="n">
        <f aca="false">-T34*Inputs!$B$79/30</f>
        <v>2293.80119173333</v>
      </c>
      <c r="U79" s="67" t="n">
        <f aca="false">-U34*Inputs!$B$79/30</f>
        <v>2293.80119173333</v>
      </c>
      <c r="V79" s="67" t="n">
        <f aca="false">-V34*Inputs!$B$79/30</f>
        <v>2293.80119173333</v>
      </c>
      <c r="W79" s="67" t="n">
        <f aca="false">-W34*Inputs!$B$79/30</f>
        <v>2293.80119173333</v>
      </c>
      <c r="X79" s="67" t="n">
        <f aca="false">-X34*Inputs!$B$79/30</f>
        <v>2293.80119173333</v>
      </c>
      <c r="Y79" s="67" t="n">
        <f aca="false">-Y34*Inputs!$B$79/30</f>
        <v>2293.80119173333</v>
      </c>
      <c r="Z79" s="67" t="n">
        <f aca="false">-Z34*Inputs!$B$79/30</f>
        <v>1612.40833413333</v>
      </c>
      <c r="AA79" s="67" t="n">
        <f aca="false">-AA34*Inputs!$B$79/30</f>
        <v>1648.97159948267</v>
      </c>
      <c r="AB79" s="67" t="n">
        <f aca="false">-AB34*Inputs!$B$79/30</f>
        <v>1648.97159948267</v>
      </c>
      <c r="AC79" s="67" t="n">
        <f aca="false">-AC34*Inputs!$B$79/30</f>
        <v>2345.27941823467</v>
      </c>
      <c r="AD79" s="67" t="n">
        <f aca="false">-AD34*Inputs!$B$79/30</f>
        <v>2345.27941823467</v>
      </c>
      <c r="AE79" s="67" t="n">
        <f aca="false">-AE34*Inputs!$B$79/30</f>
        <v>2345.27941823467</v>
      </c>
      <c r="AF79" s="67" t="n">
        <f aca="false">-AF34*Inputs!$B$79/30</f>
        <v>2345.27941823467</v>
      </c>
      <c r="AG79" s="67" t="n">
        <f aca="false">-AG34*Inputs!$B$79/30</f>
        <v>2345.27941823467</v>
      </c>
      <c r="AH79" s="67" t="n">
        <f aca="false">-AH34*Inputs!$B$79/30</f>
        <v>2345.27941823467</v>
      </c>
      <c r="AI79" s="67" t="n">
        <f aca="false">-AI34*Inputs!$B$79/30</f>
        <v>2345.27941823467</v>
      </c>
      <c r="AJ79" s="67" t="n">
        <f aca="false">-AJ34*Inputs!$B$79/30</f>
        <v>2345.27941823467</v>
      </c>
      <c r="AK79" s="67" t="n">
        <f aca="false">-AK34*Inputs!$B$79/30</f>
        <v>2345.27941823467</v>
      </c>
      <c r="AL79" s="67" t="n">
        <f aca="false">-AL34*Inputs!$B$79/30</f>
        <v>1648.97159948267</v>
      </c>
    </row>
    <row r="80" customFormat="false" ht="15" hidden="false" customHeight="false" outlineLevel="0" collapsed="false">
      <c r="A80" s="6" t="s">
        <v>340</v>
      </c>
      <c r="C80" s="67" t="n">
        <f aca="false">-C77</f>
        <v>-531.706</v>
      </c>
      <c r="D80" s="67" t="n">
        <f aca="false">C77-D77</f>
        <v>-109.717111111111</v>
      </c>
      <c r="E80" s="67" t="n">
        <f aca="false">D77-E77</f>
        <v>-450.646444444444</v>
      </c>
      <c r="F80" s="67" t="n">
        <f aca="false">E77-F77</f>
        <v>-159.515777777778</v>
      </c>
      <c r="G80" s="67" t="n">
        <f aca="false">F77-G77</f>
        <v>-159.515777777778</v>
      </c>
      <c r="H80" s="67" t="n">
        <f aca="false">G77-H77</f>
        <v>-159.515777777778</v>
      </c>
      <c r="I80" s="67" t="n">
        <f aca="false">H77-I77</f>
        <v>-159.515777777777</v>
      </c>
      <c r="J80" s="67" t="n">
        <f aca="false">I77-J77</f>
        <v>-159.515777777778</v>
      </c>
      <c r="K80" s="67" t="n">
        <f aca="false">J77-K77</f>
        <v>-159.515777777777</v>
      </c>
      <c r="L80" s="67" t="n">
        <f aca="false">K77-L77</f>
        <v>-159.515777777778</v>
      </c>
      <c r="M80" s="67" t="n">
        <f aca="false">L77-M77</f>
        <v>0</v>
      </c>
      <c r="N80" s="67" t="n">
        <f aca="false">M77-N77</f>
        <v>689.52</v>
      </c>
      <c r="O80" s="67" t="n">
        <f aca="false">N77-O77</f>
        <v>-30.3832</v>
      </c>
      <c r="P80" s="67" t="n">
        <f aca="false">O77-P77</f>
        <v>0</v>
      </c>
      <c r="Q80" s="67" t="n">
        <f aca="false">P77-Q77</f>
        <v>-703.310400000001</v>
      </c>
      <c r="R80" s="67" t="n">
        <f aca="false">Q77-R77</f>
        <v>0</v>
      </c>
      <c r="S80" s="67" t="n">
        <f aca="false">R77-S77</f>
        <v>0</v>
      </c>
      <c r="T80" s="67" t="n">
        <f aca="false">S77-T77</f>
        <v>0</v>
      </c>
      <c r="U80" s="67" t="n">
        <f aca="false">T77-U77</f>
        <v>0</v>
      </c>
      <c r="V80" s="67" t="n">
        <f aca="false">U77-V77</f>
        <v>0</v>
      </c>
      <c r="W80" s="67" t="n">
        <f aca="false">V77-W77</f>
        <v>0</v>
      </c>
      <c r="X80" s="67" t="n">
        <f aca="false">W77-X77</f>
        <v>0</v>
      </c>
      <c r="Y80" s="67" t="n">
        <f aca="false">X77-Y77</f>
        <v>0</v>
      </c>
      <c r="Z80" s="67" t="n">
        <f aca="false">Y77-Z77</f>
        <v>703.310400000001</v>
      </c>
      <c r="AA80" s="67" t="n">
        <f aca="false">Z77-AA77</f>
        <v>-30.9908640000001</v>
      </c>
      <c r="AB80" s="67" t="n">
        <f aca="false">AA77-AB77</f>
        <v>0</v>
      </c>
      <c r="AC80" s="67" t="n">
        <f aca="false">AB77-AC77</f>
        <v>-717.376608</v>
      </c>
      <c r="AD80" s="67" t="n">
        <f aca="false">AC77-AD77</f>
        <v>0</v>
      </c>
      <c r="AE80" s="67" t="n">
        <f aca="false">AD77-AE77</f>
        <v>0</v>
      </c>
      <c r="AF80" s="67" t="n">
        <f aca="false">AE77-AF77</f>
        <v>0</v>
      </c>
      <c r="AG80" s="67" t="n">
        <f aca="false">AF77-AG77</f>
        <v>0</v>
      </c>
      <c r="AH80" s="67" t="n">
        <f aca="false">AG77-AH77</f>
        <v>0</v>
      </c>
      <c r="AI80" s="67" t="n">
        <f aca="false">AH77-AI77</f>
        <v>0</v>
      </c>
      <c r="AJ80" s="67" t="n">
        <f aca="false">AI77-AJ77</f>
        <v>0</v>
      </c>
      <c r="AK80" s="67" t="n">
        <f aca="false">AJ77-AK77</f>
        <v>0</v>
      </c>
      <c r="AL80" s="67" t="n">
        <f aca="false">AK77-AL77</f>
        <v>717.376608</v>
      </c>
    </row>
    <row r="81" customFormat="false" ht="15" hidden="false" customHeight="false" outlineLevel="0" collapsed="false">
      <c r="A81" s="6" t="s">
        <v>341</v>
      </c>
      <c r="C81" s="67" t="n">
        <f aca="false">-C78</f>
        <v>-236.508706</v>
      </c>
      <c r="D81" s="67" t="n">
        <f aca="false">C78-D78</f>
        <v>-48.8033837777778</v>
      </c>
      <c r="E81" s="67" t="n">
        <f aca="false">D78-E78</f>
        <v>-190.105479777778</v>
      </c>
      <c r="F81" s="67" t="n">
        <f aca="false">E78-F78</f>
        <v>-69.4430157777778</v>
      </c>
      <c r="G81" s="67" t="n">
        <f aca="false">F78-G78</f>
        <v>-69.4430157777778</v>
      </c>
      <c r="H81" s="67" t="n">
        <f aca="false">G78-H78</f>
        <v>-69.443015777778</v>
      </c>
      <c r="I81" s="67" t="n">
        <f aca="false">H78-I78</f>
        <v>-69.4430157777775</v>
      </c>
      <c r="J81" s="67" t="n">
        <f aca="false">I78-J78</f>
        <v>-69.443015777778</v>
      </c>
      <c r="K81" s="67" t="n">
        <f aca="false">J78-K78</f>
        <v>-69.4430157777777</v>
      </c>
      <c r="L81" s="67" t="n">
        <f aca="false">K78-L78</f>
        <v>-69.4430157777778</v>
      </c>
      <c r="M81" s="67" t="n">
        <f aca="false">L78-M78</f>
        <v>0</v>
      </c>
      <c r="N81" s="67" t="n">
        <f aca="false">M78-N78</f>
        <v>285.77952</v>
      </c>
      <c r="O81" s="67" t="n">
        <f aca="false">N78-O78</f>
        <v>-15.2929832000001</v>
      </c>
      <c r="P81" s="67" t="n">
        <f aca="false">O78-P78</f>
        <v>0</v>
      </c>
      <c r="Q81" s="67" t="n">
        <f aca="false">P78-Q78</f>
        <v>-292.0255104</v>
      </c>
      <c r="R81" s="67" t="n">
        <f aca="false">Q78-R78</f>
        <v>0</v>
      </c>
      <c r="S81" s="67" t="n">
        <f aca="false">R78-S78</f>
        <v>0</v>
      </c>
      <c r="T81" s="67" t="n">
        <f aca="false">S78-T78</f>
        <v>0</v>
      </c>
      <c r="U81" s="67" t="n">
        <f aca="false">T78-U78</f>
        <v>0</v>
      </c>
      <c r="V81" s="67" t="n">
        <f aca="false">U78-V78</f>
        <v>0</v>
      </c>
      <c r="W81" s="67" t="n">
        <f aca="false">V78-W78</f>
        <v>0</v>
      </c>
      <c r="X81" s="67" t="n">
        <f aca="false">W78-X78</f>
        <v>0</v>
      </c>
      <c r="Y81" s="67" t="n">
        <f aca="false">X78-Y78</f>
        <v>0</v>
      </c>
      <c r="Z81" s="67" t="n">
        <f aca="false">Y78-Z78</f>
        <v>292.0255104</v>
      </c>
      <c r="AA81" s="67" t="n">
        <f aca="false">Z78-AA78</f>
        <v>-15.6699708640001</v>
      </c>
      <c r="AB81" s="67" t="n">
        <f aca="false">AA78-AB78</f>
        <v>0</v>
      </c>
      <c r="AC81" s="67" t="n">
        <f aca="false">AB78-AC78</f>
        <v>-298.417636608</v>
      </c>
      <c r="AD81" s="67" t="n">
        <f aca="false">AC78-AD78</f>
        <v>0</v>
      </c>
      <c r="AE81" s="67" t="n">
        <f aca="false">AD78-AE78</f>
        <v>0</v>
      </c>
      <c r="AF81" s="67" t="n">
        <f aca="false">AE78-AF78</f>
        <v>0</v>
      </c>
      <c r="AG81" s="67" t="n">
        <f aca="false">AF78-AG78</f>
        <v>0</v>
      </c>
      <c r="AH81" s="67" t="n">
        <f aca="false">AG78-AH78</f>
        <v>0</v>
      </c>
      <c r="AI81" s="67" t="n">
        <f aca="false">AH78-AI78</f>
        <v>0</v>
      </c>
      <c r="AJ81" s="67" t="n">
        <f aca="false">AI78-AJ78</f>
        <v>0</v>
      </c>
      <c r="AK81" s="67" t="n">
        <f aca="false">AJ78-AK78</f>
        <v>0</v>
      </c>
      <c r="AL81" s="67" t="n">
        <f aca="false">AK78-AL78</f>
        <v>298.417636608</v>
      </c>
    </row>
    <row r="82" customFormat="false" ht="15" hidden="false" customHeight="false" outlineLevel="0" collapsed="false">
      <c r="A82" s="6" t="s">
        <v>342</v>
      </c>
      <c r="C82" s="67" t="n">
        <f aca="false">C79</f>
        <v>551.853647333333</v>
      </c>
      <c r="D82" s="67" t="n">
        <f aca="false">D79-C79</f>
        <v>113.874562148148</v>
      </c>
      <c r="E82" s="67" t="n">
        <f aca="false">E79-D79</f>
        <v>443.579452814815</v>
      </c>
      <c r="F82" s="67" t="n">
        <f aca="false">F79-E79</f>
        <v>162.033703481481</v>
      </c>
      <c r="G82" s="67" t="n">
        <f aca="false">G79-F79</f>
        <v>162.033703481482</v>
      </c>
      <c r="H82" s="67" t="n">
        <f aca="false">H79-G79</f>
        <v>162.033703481482</v>
      </c>
      <c r="I82" s="67" t="n">
        <f aca="false">I79-H79</f>
        <v>162.033703481481</v>
      </c>
      <c r="J82" s="67" t="n">
        <f aca="false">J79-I79</f>
        <v>162.033703481482</v>
      </c>
      <c r="K82" s="67" t="n">
        <f aca="false">K79-J79</f>
        <v>162.033703481481</v>
      </c>
      <c r="L82" s="67" t="n">
        <f aca="false">L79-K79</f>
        <v>162.033703481482</v>
      </c>
      <c r="M82" s="67" t="n">
        <f aca="false">M79-L79</f>
        <v>0</v>
      </c>
      <c r="N82" s="67" t="n">
        <f aca="false">N79-M79</f>
        <v>-666.818880000001</v>
      </c>
      <c r="O82" s="67" t="n">
        <f aca="false">O79-N79</f>
        <v>35.6836274666666</v>
      </c>
      <c r="P82" s="67" t="n">
        <f aca="false">P79-O79</f>
        <v>0</v>
      </c>
      <c r="Q82" s="67" t="n">
        <f aca="false">Q79-P79</f>
        <v>681.3928576</v>
      </c>
      <c r="R82" s="67" t="n">
        <f aca="false">R79-Q79</f>
        <v>0</v>
      </c>
      <c r="S82" s="67" t="n">
        <f aca="false">S79-R79</f>
        <v>0</v>
      </c>
      <c r="T82" s="67" t="n">
        <f aca="false">T79-S79</f>
        <v>0</v>
      </c>
      <c r="U82" s="67" t="n">
        <f aca="false">U79-T79</f>
        <v>0</v>
      </c>
      <c r="V82" s="67" t="n">
        <f aca="false">V79-U79</f>
        <v>0</v>
      </c>
      <c r="W82" s="67" t="n">
        <f aca="false">W79-V79</f>
        <v>0</v>
      </c>
      <c r="X82" s="67" t="n">
        <f aca="false">X79-W79</f>
        <v>0</v>
      </c>
      <c r="Y82" s="67" t="n">
        <f aca="false">Y79-X79</f>
        <v>0</v>
      </c>
      <c r="Z82" s="67" t="n">
        <f aca="false">Z79-Y79</f>
        <v>-681.3928576</v>
      </c>
      <c r="AA82" s="67" t="n">
        <f aca="false">AA79-Z79</f>
        <v>36.5632653493335</v>
      </c>
      <c r="AB82" s="67" t="n">
        <f aca="false">AB79-AA79</f>
        <v>0</v>
      </c>
      <c r="AC82" s="67" t="n">
        <f aca="false">AC79-AB79</f>
        <v>696.307818752001</v>
      </c>
      <c r="AD82" s="67" t="n">
        <f aca="false">AD79-AC79</f>
        <v>0</v>
      </c>
      <c r="AE82" s="67" t="n">
        <f aca="false">AE79-AD79</f>
        <v>0</v>
      </c>
      <c r="AF82" s="67" t="n">
        <f aca="false">AF79-AE79</f>
        <v>0</v>
      </c>
      <c r="AG82" s="67" t="n">
        <f aca="false">AG79-AF79</f>
        <v>0</v>
      </c>
      <c r="AH82" s="67" t="n">
        <f aca="false">AH79-AG79</f>
        <v>0</v>
      </c>
      <c r="AI82" s="67" t="n">
        <f aca="false">AI79-AH79</f>
        <v>0</v>
      </c>
      <c r="AJ82" s="67" t="n">
        <f aca="false">AJ79-AI79</f>
        <v>0</v>
      </c>
      <c r="AK82" s="67" t="n">
        <f aca="false">AK79-AJ79</f>
        <v>0</v>
      </c>
      <c r="AL82" s="67" t="n">
        <f aca="false">AL79-AK79</f>
        <v>-696.307818752001</v>
      </c>
    </row>
    <row r="84" customFormat="false" ht="15.75" hidden="false" customHeight="true" outlineLevel="0" collapsed="false">
      <c r="A84" s="7" t="s">
        <v>416</v>
      </c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</row>
    <row r="85" customFormat="false" ht="15" hidden="false" customHeight="false" outlineLevel="0" collapsed="false">
      <c r="A85" s="4" t="s">
        <v>52</v>
      </c>
      <c r="C85" s="73" t="n">
        <f aca="false">C57-C66+C80+C81+C82</f>
        <v>-12110.0547853333</v>
      </c>
      <c r="D85" s="73" t="n">
        <f aca="false">D57-D66+D80+D81+D82</f>
        <v>-11330.7996082963</v>
      </c>
      <c r="E85" s="73" t="n">
        <f aca="false">E57-E66+E80+E81+E82</f>
        <v>-9145.88872251852</v>
      </c>
      <c r="F85" s="73" t="n">
        <f aca="false">F57-F66+F80+F81+F82</f>
        <v>-8110.88594340741</v>
      </c>
      <c r="G85" s="73" t="n">
        <f aca="false">G57-G66+G80+G81+G82</f>
        <v>-7206.13054562963</v>
      </c>
      <c r="H85" s="73" t="n">
        <f aca="false">H57-H66+H80+H81+H82</f>
        <v>-6301.37514785185</v>
      </c>
      <c r="I85" s="73" t="n">
        <f aca="false">I57-I66+I80+I81+I82</f>
        <v>-5396.61975007407</v>
      </c>
      <c r="J85" s="73" t="n">
        <f aca="false">J57-J66+J80+J81+J82</f>
        <v>-4491.86435229629</v>
      </c>
      <c r="K85" s="73" t="n">
        <f aca="false">K57-K66+K80+K81+K82</f>
        <v>-3587.10895451852</v>
      </c>
      <c r="L85" s="73" t="n">
        <f aca="false">L57-L66+L80+L81+L82</f>
        <v>-2682.35355674074</v>
      </c>
      <c r="M85" s="73" t="n">
        <f aca="false">M57-M66+M80+M81+M82</f>
        <v>-2604.17846666667</v>
      </c>
      <c r="N85" s="73" t="n">
        <f aca="false">N57-N66+N80+N81+N82</f>
        <v>-6049.85262666667</v>
      </c>
      <c r="O85" s="73" t="n">
        <f aca="false">O57-O66+O80+O81+O82</f>
        <v>-6644.8536544</v>
      </c>
      <c r="P85" s="73" t="n">
        <f aca="false">P57-P66+P80+P81+P82</f>
        <v>-6623.61109866667</v>
      </c>
      <c r="Q85" s="73" t="n">
        <f aca="false">Q57-Q66+Q80+Q81+Q82</f>
        <v>-3096.33525546667</v>
      </c>
      <c r="R85" s="73" t="n">
        <f aca="false">R57-R66+R80+R81+R82</f>
        <v>-2771.14220266667</v>
      </c>
      <c r="S85" s="73" t="n">
        <f aca="false">S57-S66+S80+S81+S82</f>
        <v>-2759.89220266667</v>
      </c>
      <c r="T85" s="73" t="n">
        <f aca="false">T57-T66+T80+T81+T82</f>
        <v>-2748.64220266667</v>
      </c>
      <c r="U85" s="73" t="n">
        <f aca="false">U57-U66+U80+U81+U82</f>
        <v>-2737.39220266667</v>
      </c>
      <c r="V85" s="73" t="n">
        <f aca="false">V57-V66+V80+V81+V82</f>
        <v>-2726.14220266667</v>
      </c>
      <c r="W85" s="73" t="n">
        <f aca="false">W57-W66+W80+W81+W82</f>
        <v>-2714.89220266667</v>
      </c>
      <c r="X85" s="73" t="n">
        <f aca="false">X57-X66+X80+X81+X82</f>
        <v>-2703.64220266667</v>
      </c>
      <c r="Y85" s="73" t="n">
        <f aca="false">Y57-Y66+Y80+Y81+Y82</f>
        <v>-2692.39220266667</v>
      </c>
      <c r="Z85" s="73" t="n">
        <f aca="false">Z57-Z66+Z80+Z81+Z82</f>
        <v>-6197.16804586667</v>
      </c>
      <c r="AA85" s="73" t="n">
        <f aca="false">AA57-AA66+AA80+AA81+AA82</f>
        <v>-6810.01453682133</v>
      </c>
      <c r="AB85" s="73" t="n">
        <f aca="false">AB57-AB66+AB80+AB81+AB82</f>
        <v>-6788.66696730667</v>
      </c>
      <c r="AC85" s="73" t="n">
        <f aca="false">AC57-AC66+AC80+AC81+AC82</f>
        <v>-3201.50887924266</v>
      </c>
      <c r="AD85" s="73" t="n">
        <f aca="false">AD57-AD66+AD80+AD81+AD82</f>
        <v>-2870.77245338666</v>
      </c>
      <c r="AE85" s="73" t="n">
        <f aca="false">AE57-AE66+AE80+AE81+AE82</f>
        <v>-2859.52245338666</v>
      </c>
      <c r="AF85" s="73" t="n">
        <f aca="false">AF57-AF66+AF80+AF81+AF82</f>
        <v>-2848.27245338666</v>
      </c>
      <c r="AG85" s="73" t="n">
        <f aca="false">AG57-AG66+AG80+AG81+AG82</f>
        <v>-2837.02245338666</v>
      </c>
      <c r="AH85" s="73" t="n">
        <f aca="false">AH57-AH66+AH80+AH81+AH82</f>
        <v>-2825.77245338666</v>
      </c>
      <c r="AI85" s="73" t="n">
        <f aca="false">AI57-AI66+AI80+AI81+AI82</f>
        <v>-2814.52245338666</v>
      </c>
      <c r="AJ85" s="73" t="n">
        <f aca="false">AJ57-AJ66+AJ80+AJ81+AJ82</f>
        <v>-2803.27245338666</v>
      </c>
      <c r="AK85" s="73" t="n">
        <f aca="false">AK57-AK66+AK80+AK81+AK82</f>
        <v>-2792.02245338666</v>
      </c>
      <c r="AL85" s="73" t="n">
        <f aca="false">AL57-AL66+AL80+AL81+AL82</f>
        <v>-6356.68054145067</v>
      </c>
    </row>
    <row r="86" customFormat="false" ht="15" hidden="false" customHeight="false" outlineLevel="0" collapsed="false">
      <c r="A86" s="6" t="s">
        <v>417</v>
      </c>
      <c r="C86" s="67" t="n">
        <f aca="false">-C64</f>
        <v>-138000</v>
      </c>
      <c r="D86" s="67" t="n">
        <f aca="false">-D64</f>
        <v>-0</v>
      </c>
      <c r="E86" s="67" t="n">
        <f aca="false">-E64</f>
        <v>-0</v>
      </c>
      <c r="F86" s="67" t="n">
        <f aca="false">-F64</f>
        <v>-0</v>
      </c>
      <c r="G86" s="67" t="n">
        <f aca="false">-G64</f>
        <v>-0</v>
      </c>
      <c r="H86" s="67" t="n">
        <f aca="false">-H64</f>
        <v>-0</v>
      </c>
      <c r="I86" s="67" t="n">
        <f aca="false">-I64</f>
        <v>-0</v>
      </c>
      <c r="J86" s="67" t="n">
        <f aca="false">-J64</f>
        <v>-0</v>
      </c>
      <c r="K86" s="67" t="n">
        <f aca="false">-K64</f>
        <v>-0</v>
      </c>
      <c r="L86" s="67" t="n">
        <f aca="false">-L64</f>
        <v>-0</v>
      </c>
      <c r="M86" s="67" t="n">
        <f aca="false">-M64</f>
        <v>-0</v>
      </c>
      <c r="N86" s="67" t="n">
        <f aca="false">-N64</f>
        <v>-0</v>
      </c>
      <c r="O86" s="67" t="n">
        <f aca="false">-O64</f>
        <v>-2500</v>
      </c>
      <c r="P86" s="67" t="n">
        <f aca="false">-P64</f>
        <v>-0</v>
      </c>
      <c r="Q86" s="67" t="n">
        <f aca="false">-Q64</f>
        <v>-0</v>
      </c>
      <c r="R86" s="67" t="n">
        <f aca="false">-R64</f>
        <v>-0</v>
      </c>
      <c r="S86" s="67" t="n">
        <f aca="false">-S64</f>
        <v>-0</v>
      </c>
      <c r="T86" s="67" t="n">
        <f aca="false">-T64</f>
        <v>-0</v>
      </c>
      <c r="U86" s="67" t="n">
        <f aca="false">-U64</f>
        <v>-0</v>
      </c>
      <c r="V86" s="67" t="n">
        <f aca="false">-V64</f>
        <v>-0</v>
      </c>
      <c r="W86" s="67" t="n">
        <f aca="false">-W64</f>
        <v>-0</v>
      </c>
      <c r="X86" s="67" t="n">
        <f aca="false">-X64</f>
        <v>-0</v>
      </c>
      <c r="Y86" s="67" t="n">
        <f aca="false">-Y64</f>
        <v>-0</v>
      </c>
      <c r="Z86" s="67" t="n">
        <f aca="false">-Z64</f>
        <v>-0</v>
      </c>
      <c r="AA86" s="67" t="n">
        <f aca="false">-AA64</f>
        <v>-2500</v>
      </c>
      <c r="AB86" s="67" t="n">
        <f aca="false">-AB64</f>
        <v>-0</v>
      </c>
      <c r="AC86" s="67" t="n">
        <f aca="false">-AC64</f>
        <v>-0</v>
      </c>
      <c r="AD86" s="67" t="n">
        <f aca="false">-AD64</f>
        <v>-0</v>
      </c>
      <c r="AE86" s="67" t="n">
        <f aca="false">-AE64</f>
        <v>-0</v>
      </c>
      <c r="AF86" s="67" t="n">
        <f aca="false">-AF64</f>
        <v>-0</v>
      </c>
      <c r="AG86" s="67" t="n">
        <f aca="false">-AG64</f>
        <v>-0</v>
      </c>
      <c r="AH86" s="67" t="n">
        <f aca="false">-AH64</f>
        <v>-0</v>
      </c>
      <c r="AI86" s="67" t="n">
        <f aca="false">-AI64</f>
        <v>-0</v>
      </c>
      <c r="AJ86" s="67" t="n">
        <f aca="false">-AJ64</f>
        <v>-0</v>
      </c>
      <c r="AK86" s="67" t="n">
        <f aca="false">-AK64</f>
        <v>-0</v>
      </c>
      <c r="AL86" s="67" t="n">
        <f aca="false">-AL64</f>
        <v>-0</v>
      </c>
    </row>
    <row r="87" customFormat="false" ht="15" hidden="false" customHeight="false" outlineLevel="0" collapsed="false">
      <c r="A87" s="6" t="s">
        <v>64</v>
      </c>
      <c r="C87" s="67" t="n">
        <f aca="false">IF(C$6=1,Inputs!$B$71,0)</f>
        <v>100000</v>
      </c>
      <c r="D87" s="67" t="n">
        <f aca="false">IF(D$6=1,Inputs!$B$71,0)</f>
        <v>0</v>
      </c>
      <c r="E87" s="67" t="n">
        <f aca="false">IF(E$6=1,Inputs!$B$71,0)</f>
        <v>0</v>
      </c>
      <c r="F87" s="67" t="n">
        <f aca="false">IF(F$6=1,Inputs!$B$71,0)</f>
        <v>0</v>
      </c>
      <c r="G87" s="67" t="n">
        <f aca="false">IF(G$6=1,Inputs!$B$71,0)</f>
        <v>0</v>
      </c>
      <c r="H87" s="67" t="n">
        <f aca="false">IF(H$6=1,Inputs!$B$71,0)</f>
        <v>0</v>
      </c>
      <c r="I87" s="67" t="n">
        <f aca="false">IF(I$6=1,Inputs!$B$71,0)</f>
        <v>0</v>
      </c>
      <c r="J87" s="67" t="n">
        <f aca="false">IF(J$6=1,Inputs!$B$71,0)</f>
        <v>0</v>
      </c>
      <c r="K87" s="67" t="n">
        <f aca="false">IF(K$6=1,Inputs!$B$71,0)</f>
        <v>0</v>
      </c>
      <c r="L87" s="67" t="n">
        <f aca="false">IF(L$6=1,Inputs!$B$71,0)</f>
        <v>0</v>
      </c>
      <c r="M87" s="67" t="n">
        <f aca="false">IF(M$6=1,Inputs!$B$71,0)</f>
        <v>0</v>
      </c>
      <c r="N87" s="67" t="n">
        <f aca="false">IF(N$6=1,Inputs!$B$71,0)</f>
        <v>0</v>
      </c>
      <c r="O87" s="67" t="n">
        <f aca="false">IF(O$6=1,Inputs!$B$71,0)</f>
        <v>0</v>
      </c>
      <c r="P87" s="67" t="n">
        <f aca="false">IF(P$6=1,Inputs!$B$71,0)</f>
        <v>0</v>
      </c>
      <c r="Q87" s="67" t="n">
        <f aca="false">IF(Q$6=1,Inputs!$B$71,0)</f>
        <v>0</v>
      </c>
      <c r="R87" s="67" t="n">
        <f aca="false">IF(R$6=1,Inputs!$B$71,0)</f>
        <v>0</v>
      </c>
      <c r="S87" s="67" t="n">
        <f aca="false">IF(S$6=1,Inputs!$B$71,0)</f>
        <v>0</v>
      </c>
      <c r="T87" s="67" t="n">
        <f aca="false">IF(T$6=1,Inputs!$B$71,0)</f>
        <v>0</v>
      </c>
      <c r="U87" s="67" t="n">
        <f aca="false">IF(U$6=1,Inputs!$B$71,0)</f>
        <v>0</v>
      </c>
      <c r="V87" s="67" t="n">
        <f aca="false">IF(V$6=1,Inputs!$B$71,0)</f>
        <v>0</v>
      </c>
      <c r="W87" s="67" t="n">
        <f aca="false">IF(W$6=1,Inputs!$B$71,0)</f>
        <v>0</v>
      </c>
      <c r="X87" s="67" t="n">
        <f aca="false">IF(X$6=1,Inputs!$B$71,0)</f>
        <v>0</v>
      </c>
      <c r="Y87" s="67" t="n">
        <f aca="false">IF(Y$6=1,Inputs!$B$71,0)</f>
        <v>0</v>
      </c>
      <c r="Z87" s="67" t="n">
        <f aca="false">IF(Z$6=1,Inputs!$B$71,0)</f>
        <v>0</v>
      </c>
      <c r="AA87" s="67" t="n">
        <f aca="false">IF(AA$6=1,Inputs!$B$71,0)</f>
        <v>0</v>
      </c>
      <c r="AB87" s="67" t="n">
        <f aca="false">IF(AB$6=1,Inputs!$B$71,0)</f>
        <v>0</v>
      </c>
      <c r="AC87" s="67" t="n">
        <f aca="false">IF(AC$6=1,Inputs!$B$71,0)</f>
        <v>0</v>
      </c>
      <c r="AD87" s="67" t="n">
        <f aca="false">IF(AD$6=1,Inputs!$B$71,0)</f>
        <v>0</v>
      </c>
      <c r="AE87" s="67" t="n">
        <f aca="false">IF(AE$6=1,Inputs!$B$71,0)</f>
        <v>0</v>
      </c>
      <c r="AF87" s="67" t="n">
        <f aca="false">IF(AF$6=1,Inputs!$B$71,0)</f>
        <v>0</v>
      </c>
      <c r="AG87" s="67" t="n">
        <f aca="false">IF(AG$6=1,Inputs!$B$71,0)</f>
        <v>0</v>
      </c>
      <c r="AH87" s="67" t="n">
        <f aca="false">IF(AH$6=1,Inputs!$B$71,0)</f>
        <v>0</v>
      </c>
      <c r="AI87" s="67" t="n">
        <f aca="false">IF(AI$6=1,Inputs!$B$71,0)</f>
        <v>0</v>
      </c>
      <c r="AJ87" s="67" t="n">
        <f aca="false">IF(AJ$6=1,Inputs!$B$71,0)</f>
        <v>0</v>
      </c>
      <c r="AK87" s="67" t="n">
        <f aca="false">IF(AK$6=1,Inputs!$B$71,0)</f>
        <v>0</v>
      </c>
      <c r="AL87" s="67" t="n">
        <f aca="false">IF(AL$6=1,Inputs!$B$71,0)</f>
        <v>0</v>
      </c>
    </row>
    <row r="88" customFormat="false" ht="15" hidden="false" customHeight="false" outlineLevel="0" collapsed="false">
      <c r="A88" s="6" t="s">
        <v>54</v>
      </c>
      <c r="C88" s="67" t="n">
        <f aca="false">C87+C72+C73</f>
        <v>190000</v>
      </c>
      <c r="D88" s="67" t="n">
        <f aca="false">D87+D72+D73</f>
        <v>-1500</v>
      </c>
      <c r="E88" s="67" t="n">
        <f aca="false">E87+E72+E73</f>
        <v>-1500</v>
      </c>
      <c r="F88" s="67" t="n">
        <f aca="false">F87+F72+F73</f>
        <v>-1500</v>
      </c>
      <c r="G88" s="67" t="n">
        <f aca="false">G87+G72+G73</f>
        <v>-1500</v>
      </c>
      <c r="H88" s="67" t="n">
        <f aca="false">H87+H72+H73</f>
        <v>-1500</v>
      </c>
      <c r="I88" s="67" t="n">
        <f aca="false">I87+I72+I73</f>
        <v>-1500</v>
      </c>
      <c r="J88" s="67" t="n">
        <f aca="false">J87+J72+J73</f>
        <v>-1500</v>
      </c>
      <c r="K88" s="67" t="n">
        <f aca="false">K87+K72+K73</f>
        <v>-1500</v>
      </c>
      <c r="L88" s="67" t="n">
        <f aca="false">L87+L72+L73</f>
        <v>-1500</v>
      </c>
      <c r="M88" s="67" t="n">
        <f aca="false">M87+M72+M73</f>
        <v>-1500</v>
      </c>
      <c r="N88" s="67" t="n">
        <f aca="false">N87+N72+N73</f>
        <v>-1500</v>
      </c>
      <c r="O88" s="67" t="n">
        <f aca="false">O87+O72+O73</f>
        <v>-1500</v>
      </c>
      <c r="P88" s="67" t="n">
        <f aca="false">P87+P72+P73</f>
        <v>-1500</v>
      </c>
      <c r="Q88" s="67" t="n">
        <f aca="false">Q87+Q72+Q73</f>
        <v>-1500</v>
      </c>
      <c r="R88" s="67" t="n">
        <f aca="false">R87+R72+R73</f>
        <v>-1500</v>
      </c>
      <c r="S88" s="67" t="n">
        <f aca="false">S87+S72+S73</f>
        <v>-1500</v>
      </c>
      <c r="T88" s="67" t="n">
        <f aca="false">T87+T72+T73</f>
        <v>-1500</v>
      </c>
      <c r="U88" s="67" t="n">
        <f aca="false">U87+U72+U73</f>
        <v>-1500</v>
      </c>
      <c r="V88" s="67" t="n">
        <f aca="false">V87+V72+V73</f>
        <v>-1500</v>
      </c>
      <c r="W88" s="67" t="n">
        <f aca="false">W87+W72+W73</f>
        <v>-1500</v>
      </c>
      <c r="X88" s="67" t="n">
        <f aca="false">X87+X72+X73</f>
        <v>-1500</v>
      </c>
      <c r="Y88" s="67" t="n">
        <f aca="false">Y87+Y72+Y73</f>
        <v>-1500</v>
      </c>
      <c r="Z88" s="67" t="n">
        <f aca="false">Z87+Z72+Z73</f>
        <v>-1500</v>
      </c>
      <c r="AA88" s="67" t="n">
        <f aca="false">AA87+AA72+AA73</f>
        <v>-1500</v>
      </c>
      <c r="AB88" s="67" t="n">
        <f aca="false">AB87+AB72+AB73</f>
        <v>-1500</v>
      </c>
      <c r="AC88" s="67" t="n">
        <f aca="false">AC87+AC72+AC73</f>
        <v>-1500</v>
      </c>
      <c r="AD88" s="67" t="n">
        <f aca="false">AD87+AD72+AD73</f>
        <v>-1500</v>
      </c>
      <c r="AE88" s="67" t="n">
        <f aca="false">AE87+AE72+AE73</f>
        <v>-1500</v>
      </c>
      <c r="AF88" s="67" t="n">
        <f aca="false">AF87+AF72+AF73</f>
        <v>-1500</v>
      </c>
      <c r="AG88" s="67" t="n">
        <f aca="false">AG87+AG72+AG73</f>
        <v>-1500</v>
      </c>
      <c r="AH88" s="67" t="n">
        <f aca="false">AH87+AH72+AH73</f>
        <v>-1500</v>
      </c>
      <c r="AI88" s="67" t="n">
        <f aca="false">AI87+AI72+AI73</f>
        <v>-1500</v>
      </c>
      <c r="AJ88" s="67" t="n">
        <f aca="false">AJ87+AJ72+AJ73</f>
        <v>-1500</v>
      </c>
      <c r="AK88" s="67" t="n">
        <f aca="false">AK87+AK72+AK73</f>
        <v>-1500</v>
      </c>
      <c r="AL88" s="67" t="n">
        <f aca="false">AL87+AL72+AL73</f>
        <v>-1500</v>
      </c>
    </row>
    <row r="89" customFormat="false" ht="15" hidden="false" customHeight="false" outlineLevel="0" collapsed="false">
      <c r="A89" s="113" t="s">
        <v>418</v>
      </c>
      <c r="C89" s="68" t="n">
        <f aca="false">C85+C86+C88</f>
        <v>39889.9452146667</v>
      </c>
      <c r="D89" s="68" t="n">
        <f aca="false">D85+D86+D88</f>
        <v>-12830.7996082963</v>
      </c>
      <c r="E89" s="68" t="n">
        <f aca="false">E85+E86+E88</f>
        <v>-10645.8887225185</v>
      </c>
      <c r="F89" s="68" t="n">
        <f aca="false">F85+F86+F88</f>
        <v>-9610.88594340741</v>
      </c>
      <c r="G89" s="68" t="n">
        <f aca="false">G85+G86+G88</f>
        <v>-8706.13054562963</v>
      </c>
      <c r="H89" s="68" t="n">
        <f aca="false">H85+H86+H88</f>
        <v>-7801.37514785185</v>
      </c>
      <c r="I89" s="68" t="n">
        <f aca="false">I85+I86+I88</f>
        <v>-6896.61975007407</v>
      </c>
      <c r="J89" s="68" t="n">
        <f aca="false">J85+J86+J88</f>
        <v>-5991.86435229629</v>
      </c>
      <c r="K89" s="68" t="n">
        <f aca="false">K85+K86+K88</f>
        <v>-5087.10895451852</v>
      </c>
      <c r="L89" s="68" t="n">
        <f aca="false">L85+L86+L88</f>
        <v>-4182.35355674074</v>
      </c>
      <c r="M89" s="68" t="n">
        <f aca="false">M85+M86+M88</f>
        <v>-4104.17846666667</v>
      </c>
      <c r="N89" s="68" t="n">
        <f aca="false">N85+N86+N88</f>
        <v>-7549.85262666667</v>
      </c>
      <c r="O89" s="68" t="n">
        <f aca="false">O85+O86+O88</f>
        <v>-10644.8536544</v>
      </c>
      <c r="P89" s="68" t="n">
        <f aca="false">P85+P86+P88</f>
        <v>-8123.61109866667</v>
      </c>
      <c r="Q89" s="68" t="n">
        <f aca="false">Q85+Q86+Q88</f>
        <v>-4596.33525546667</v>
      </c>
      <c r="R89" s="68" t="n">
        <f aca="false">R85+R86+R88</f>
        <v>-4271.14220266667</v>
      </c>
      <c r="S89" s="68" t="n">
        <f aca="false">S85+S86+S88</f>
        <v>-4259.89220266667</v>
      </c>
      <c r="T89" s="68" t="n">
        <f aca="false">T85+T86+T88</f>
        <v>-4248.64220266667</v>
      </c>
      <c r="U89" s="68" t="n">
        <f aca="false">U85+U86+U88</f>
        <v>-4237.39220266667</v>
      </c>
      <c r="V89" s="68" t="n">
        <f aca="false">V85+V86+V88</f>
        <v>-4226.14220266667</v>
      </c>
      <c r="W89" s="68" t="n">
        <f aca="false">W85+W86+W88</f>
        <v>-4214.89220266667</v>
      </c>
      <c r="X89" s="68" t="n">
        <f aca="false">X85+X86+X88</f>
        <v>-4203.64220266667</v>
      </c>
      <c r="Y89" s="68" t="n">
        <f aca="false">Y85+Y86+Y88</f>
        <v>-4192.39220266667</v>
      </c>
      <c r="Z89" s="68" t="n">
        <f aca="false">Z85+Z86+Z88</f>
        <v>-7697.16804586667</v>
      </c>
      <c r="AA89" s="68" t="n">
        <f aca="false">AA85+AA86+AA88</f>
        <v>-10810.0145368213</v>
      </c>
      <c r="AB89" s="68" t="n">
        <f aca="false">AB85+AB86+AB88</f>
        <v>-8288.66696730667</v>
      </c>
      <c r="AC89" s="68" t="n">
        <f aca="false">AC85+AC86+AC88</f>
        <v>-4701.50887924266</v>
      </c>
      <c r="AD89" s="68" t="n">
        <f aca="false">AD85+AD86+AD88</f>
        <v>-4370.77245338666</v>
      </c>
      <c r="AE89" s="68" t="n">
        <f aca="false">AE85+AE86+AE88</f>
        <v>-4359.52245338666</v>
      </c>
      <c r="AF89" s="68" t="n">
        <f aca="false">AF85+AF86+AF88</f>
        <v>-4348.27245338666</v>
      </c>
      <c r="AG89" s="68" t="n">
        <f aca="false">AG85+AG86+AG88</f>
        <v>-4337.02245338666</v>
      </c>
      <c r="AH89" s="68" t="n">
        <f aca="false">AH85+AH86+AH88</f>
        <v>-4325.77245338666</v>
      </c>
      <c r="AI89" s="68" t="n">
        <f aca="false">AI85+AI86+AI88</f>
        <v>-4314.52245338666</v>
      </c>
      <c r="AJ89" s="68" t="n">
        <f aca="false">AJ85+AJ86+AJ88</f>
        <v>-4303.27245338666</v>
      </c>
      <c r="AK89" s="68" t="n">
        <f aca="false">AK85+AK86+AK88</f>
        <v>-4292.02245338666</v>
      </c>
      <c r="AL89" s="68" t="n">
        <f aca="false">AL85+AL86+AL88</f>
        <v>-7856.68054145067</v>
      </c>
    </row>
    <row r="90" customFormat="false" ht="15" hidden="false" customHeight="false" outlineLevel="0" collapsed="false">
      <c r="A90" s="6" t="s">
        <v>343</v>
      </c>
      <c r="C90" s="67" t="n">
        <f aca="false">0</f>
        <v>0</v>
      </c>
      <c r="D90" s="67" t="n">
        <f aca="false">C91</f>
        <v>39889.9452146667</v>
      </c>
      <c r="E90" s="67" t="n">
        <f aca="false">D91</f>
        <v>27059.1456063704</v>
      </c>
      <c r="F90" s="67" t="n">
        <f aca="false">E91</f>
        <v>16413.2568838518</v>
      </c>
      <c r="G90" s="67" t="n">
        <f aca="false">F91</f>
        <v>6802.37094044443</v>
      </c>
      <c r="H90" s="67" t="n">
        <f aca="false">G91</f>
        <v>-1903.7596051852</v>
      </c>
      <c r="I90" s="67" t="n">
        <f aca="false">H91</f>
        <v>-9705.13475303705</v>
      </c>
      <c r="J90" s="67" t="n">
        <f aca="false">I91</f>
        <v>-16601.7545031111</v>
      </c>
      <c r="K90" s="67" t="n">
        <f aca="false">J91</f>
        <v>-22593.6188554074</v>
      </c>
      <c r="L90" s="67" t="n">
        <f aca="false">K91</f>
        <v>-27680.7278099259</v>
      </c>
      <c r="M90" s="67" t="n">
        <f aca="false">L91</f>
        <v>-31863.0813666667</v>
      </c>
      <c r="N90" s="67" t="n">
        <f aca="false">M91</f>
        <v>-35967.2598333333</v>
      </c>
      <c r="O90" s="67" t="n">
        <f aca="false">N91</f>
        <v>-43517.11246</v>
      </c>
      <c r="P90" s="67" t="n">
        <f aca="false">O91</f>
        <v>-54161.9661144</v>
      </c>
      <c r="Q90" s="67" t="n">
        <f aca="false">P91</f>
        <v>-62285.5772130667</v>
      </c>
      <c r="R90" s="67" t="n">
        <f aca="false">Q91</f>
        <v>-66881.9124685333</v>
      </c>
      <c r="S90" s="67" t="n">
        <f aca="false">R91</f>
        <v>-71153.0546712</v>
      </c>
      <c r="T90" s="67" t="n">
        <f aca="false">S91</f>
        <v>-75412.9468738667</v>
      </c>
      <c r="U90" s="67" t="n">
        <f aca="false">T91</f>
        <v>-79661.5890765334</v>
      </c>
      <c r="V90" s="67" t="n">
        <f aca="false">U91</f>
        <v>-83898.9812792</v>
      </c>
      <c r="W90" s="67" t="n">
        <f aca="false">V91</f>
        <v>-88125.1234818667</v>
      </c>
      <c r="X90" s="67" t="n">
        <f aca="false">W91</f>
        <v>-92340.0156845334</v>
      </c>
      <c r="Y90" s="67" t="n">
        <f aca="false">X91</f>
        <v>-96543.6578872</v>
      </c>
      <c r="Z90" s="67" t="n">
        <f aca="false">Y91</f>
        <v>-100736.050089867</v>
      </c>
      <c r="AA90" s="67" t="n">
        <f aca="false">Z91</f>
        <v>-108433.218135733</v>
      </c>
      <c r="AB90" s="67" t="n">
        <f aca="false">AA91</f>
        <v>-119243.232672555</v>
      </c>
      <c r="AC90" s="67" t="n">
        <f aca="false">AB91</f>
        <v>-127531.899639861</v>
      </c>
      <c r="AD90" s="67" t="n">
        <f aca="false">AC91</f>
        <v>-132233.408519104</v>
      </c>
      <c r="AE90" s="67" t="n">
        <f aca="false">AD91</f>
        <v>-136604.180972491</v>
      </c>
      <c r="AF90" s="67" t="n">
        <f aca="false">AE91</f>
        <v>-140963.703425877</v>
      </c>
      <c r="AG90" s="67" t="n">
        <f aca="false">AF91</f>
        <v>-145311.975879264</v>
      </c>
      <c r="AH90" s="67" t="n">
        <f aca="false">AG91</f>
        <v>-149648.998332651</v>
      </c>
      <c r="AI90" s="67" t="n">
        <f aca="false">AH91</f>
        <v>-153974.770786037</v>
      </c>
      <c r="AJ90" s="67" t="n">
        <f aca="false">AI91</f>
        <v>-158289.293239424</v>
      </c>
      <c r="AK90" s="67" t="n">
        <f aca="false">AJ91</f>
        <v>-162592.565692811</v>
      </c>
      <c r="AL90" s="67" t="n">
        <f aca="false">AK91</f>
        <v>-166884.588146197</v>
      </c>
    </row>
    <row r="91" customFormat="false" ht="15" hidden="false" customHeight="false" outlineLevel="0" collapsed="false">
      <c r="A91" s="113" t="s">
        <v>87</v>
      </c>
      <c r="C91" s="68" t="n">
        <f aca="false">C90+C89</f>
        <v>39889.9452146667</v>
      </c>
      <c r="D91" s="68" t="n">
        <f aca="false">D90+D89</f>
        <v>27059.1456063704</v>
      </c>
      <c r="E91" s="68" t="n">
        <f aca="false">E90+E89</f>
        <v>16413.2568838518</v>
      </c>
      <c r="F91" s="68" t="n">
        <f aca="false">F90+F89</f>
        <v>6802.37094044443</v>
      </c>
      <c r="G91" s="68" t="n">
        <f aca="false">G90+G89</f>
        <v>-1903.7596051852</v>
      </c>
      <c r="H91" s="68" t="n">
        <f aca="false">H90+H89</f>
        <v>-9705.13475303705</v>
      </c>
      <c r="I91" s="68" t="n">
        <f aca="false">I90+I89</f>
        <v>-16601.7545031111</v>
      </c>
      <c r="J91" s="68" t="n">
        <f aca="false">J90+J89</f>
        <v>-22593.6188554074</v>
      </c>
      <c r="K91" s="68" t="n">
        <f aca="false">K90+K89</f>
        <v>-27680.7278099259</v>
      </c>
      <c r="L91" s="68" t="n">
        <f aca="false">L90+L89</f>
        <v>-31863.0813666667</v>
      </c>
      <c r="M91" s="68" t="n">
        <f aca="false">M90+M89</f>
        <v>-35967.2598333333</v>
      </c>
      <c r="N91" s="68" t="n">
        <f aca="false">N90+N89</f>
        <v>-43517.11246</v>
      </c>
      <c r="O91" s="68" t="n">
        <f aca="false">O90+O89</f>
        <v>-54161.9661144</v>
      </c>
      <c r="P91" s="68" t="n">
        <f aca="false">P90+P89</f>
        <v>-62285.5772130667</v>
      </c>
      <c r="Q91" s="68" t="n">
        <f aca="false">Q90+Q89</f>
        <v>-66881.9124685333</v>
      </c>
      <c r="R91" s="68" t="n">
        <f aca="false">R90+R89</f>
        <v>-71153.0546712</v>
      </c>
      <c r="S91" s="68" t="n">
        <f aca="false">S90+S89</f>
        <v>-75412.9468738667</v>
      </c>
      <c r="T91" s="68" t="n">
        <f aca="false">T90+T89</f>
        <v>-79661.5890765334</v>
      </c>
      <c r="U91" s="68" t="n">
        <f aca="false">U90+U89</f>
        <v>-83898.9812792</v>
      </c>
      <c r="V91" s="68" t="n">
        <f aca="false">V90+V89</f>
        <v>-88125.1234818667</v>
      </c>
      <c r="W91" s="68" t="n">
        <f aca="false">W90+W89</f>
        <v>-92340.0156845334</v>
      </c>
      <c r="X91" s="68" t="n">
        <f aca="false">X90+X89</f>
        <v>-96543.6578872</v>
      </c>
      <c r="Y91" s="68" t="n">
        <f aca="false">Y90+Y89</f>
        <v>-100736.050089867</v>
      </c>
      <c r="Z91" s="68" t="n">
        <f aca="false">Z90+Z89</f>
        <v>-108433.218135733</v>
      </c>
      <c r="AA91" s="68" t="n">
        <f aca="false">AA90+AA89</f>
        <v>-119243.232672555</v>
      </c>
      <c r="AB91" s="68" t="n">
        <f aca="false">AB90+AB89</f>
        <v>-127531.899639861</v>
      </c>
      <c r="AC91" s="68" t="n">
        <f aca="false">AC90+AC89</f>
        <v>-132233.408519104</v>
      </c>
      <c r="AD91" s="68" t="n">
        <f aca="false">AD90+AD89</f>
        <v>-136604.180972491</v>
      </c>
      <c r="AE91" s="68" t="n">
        <f aca="false">AE90+AE89</f>
        <v>-140963.703425877</v>
      </c>
      <c r="AF91" s="68" t="n">
        <f aca="false">AF90+AF89</f>
        <v>-145311.975879264</v>
      </c>
      <c r="AG91" s="68" t="n">
        <f aca="false">AG90+AG89</f>
        <v>-149648.998332651</v>
      </c>
      <c r="AH91" s="68" t="n">
        <f aca="false">AH90+AH89</f>
        <v>-153974.770786037</v>
      </c>
      <c r="AI91" s="68" t="n">
        <f aca="false">AI90+AI89</f>
        <v>-158289.293239424</v>
      </c>
      <c r="AJ91" s="68" t="n">
        <f aca="false">AJ90+AJ89</f>
        <v>-162592.565692811</v>
      </c>
      <c r="AK91" s="68" t="n">
        <f aca="false">AK90+AK89</f>
        <v>-166884.588146197</v>
      </c>
      <c r="AL91" s="68" t="n">
        <f aca="false">AL90+AL89</f>
        <v>-174741.268687648</v>
      </c>
    </row>
    <row r="92" customFormat="false" ht="15" hidden="false" customHeight="false" outlineLevel="0" collapsed="false">
      <c r="A92" s="117" t="s">
        <v>419</v>
      </c>
      <c r="C92" s="116" t="n">
        <f aca="false">IF(C48&gt;0,1,0)</f>
        <v>0</v>
      </c>
      <c r="D92" s="116" t="n">
        <f aca="false">IF(D48&gt;0,1,0)</f>
        <v>0</v>
      </c>
      <c r="E92" s="116" t="n">
        <f aca="false">IF(E48&gt;0,1,0)</f>
        <v>0</v>
      </c>
      <c r="F92" s="116" t="n">
        <f aca="false">IF(F48&gt;0,1,0)</f>
        <v>0</v>
      </c>
      <c r="G92" s="116" t="n">
        <f aca="false">IF(G48&gt;0,1,0)</f>
        <v>0</v>
      </c>
      <c r="H92" s="116" t="n">
        <f aca="false">IF(H48&gt;0,1,0)</f>
        <v>0</v>
      </c>
      <c r="I92" s="116" t="n">
        <f aca="false">IF(I48&gt;0,1,0)</f>
        <v>0</v>
      </c>
      <c r="J92" s="116" t="n">
        <f aca="false">IF(J48&gt;0,1,0)</f>
        <v>0</v>
      </c>
      <c r="K92" s="116" t="n">
        <f aca="false">IF(K48&gt;0,1,0)</f>
        <v>0</v>
      </c>
      <c r="L92" s="116" t="n">
        <f aca="false">IF(L48&gt;0,1,0)</f>
        <v>0</v>
      </c>
      <c r="M92" s="116" t="n">
        <f aca="false">IF(M48&gt;0,1,0)</f>
        <v>0</v>
      </c>
      <c r="N92" s="116" t="n">
        <f aca="false">IF(N48&gt;0,1,0)</f>
        <v>0</v>
      </c>
      <c r="O92" s="116" t="n">
        <f aca="false">IF(O48&gt;0,1,0)</f>
        <v>0</v>
      </c>
      <c r="P92" s="116" t="n">
        <f aca="false">IF(P48&gt;0,1,0)</f>
        <v>0</v>
      </c>
      <c r="Q92" s="116" t="n">
        <f aca="false">IF(Q48&gt;0,1,0)</f>
        <v>0</v>
      </c>
      <c r="R92" s="116" t="n">
        <f aca="false">IF(R48&gt;0,1,0)</f>
        <v>0</v>
      </c>
      <c r="S92" s="116" t="n">
        <f aca="false">IF(S48&gt;0,1,0)</f>
        <v>0</v>
      </c>
      <c r="T92" s="116" t="n">
        <f aca="false">IF(T48&gt;0,1,0)</f>
        <v>0</v>
      </c>
      <c r="U92" s="116" t="n">
        <f aca="false">IF(U48&gt;0,1,0)</f>
        <v>0</v>
      </c>
      <c r="V92" s="116" t="n">
        <f aca="false">IF(V48&gt;0,1,0)</f>
        <v>0</v>
      </c>
      <c r="W92" s="116" t="n">
        <f aca="false">IF(W48&gt;0,1,0)</f>
        <v>0</v>
      </c>
      <c r="X92" s="116" t="n">
        <f aca="false">IF(X48&gt;0,1,0)</f>
        <v>0</v>
      </c>
      <c r="Y92" s="116" t="n">
        <f aca="false">IF(Y48&gt;0,1,0)</f>
        <v>0</v>
      </c>
      <c r="Z92" s="116" t="n">
        <f aca="false">IF(Z48&gt;0,1,0)</f>
        <v>0</v>
      </c>
      <c r="AA92" s="116" t="n">
        <f aca="false">IF(AA48&gt;0,1,0)</f>
        <v>0</v>
      </c>
      <c r="AB92" s="116" t="n">
        <f aca="false">IF(AB48&gt;0,1,0)</f>
        <v>0</v>
      </c>
      <c r="AC92" s="116" t="n">
        <f aca="false">IF(AC48&gt;0,1,0)</f>
        <v>0</v>
      </c>
      <c r="AD92" s="116" t="n">
        <f aca="false">IF(AD48&gt;0,1,0)</f>
        <v>0</v>
      </c>
      <c r="AE92" s="116" t="n">
        <f aca="false">IF(AE48&gt;0,1,0)</f>
        <v>0</v>
      </c>
      <c r="AF92" s="116" t="n">
        <f aca="false">IF(AF48&gt;0,1,0)</f>
        <v>0</v>
      </c>
      <c r="AG92" s="116" t="n">
        <f aca="false">IF(AG48&gt;0,1,0)</f>
        <v>0</v>
      </c>
      <c r="AH92" s="116" t="n">
        <f aca="false">IF(AH48&gt;0,1,0)</f>
        <v>0</v>
      </c>
      <c r="AI92" s="116" t="n">
        <f aca="false">IF(AI48&gt;0,1,0)</f>
        <v>0</v>
      </c>
      <c r="AJ92" s="116" t="n">
        <f aca="false">IF(AJ48&gt;0,1,0)</f>
        <v>0</v>
      </c>
      <c r="AK92" s="116" t="n">
        <f aca="false">IF(AK48&gt;0,1,0)</f>
        <v>0</v>
      </c>
      <c r="AL92" s="116" t="n">
        <f aca="false">IF(AL48&gt;0,1,0)</f>
        <v>0</v>
      </c>
    </row>
    <row r="94" customFormat="false" ht="15.75" hidden="false" customHeight="true" outlineLevel="0" collapsed="false">
      <c r="A94" s="7" t="s">
        <v>420</v>
      </c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</row>
    <row r="95" customFormat="false" ht="15" hidden="false" customHeight="false" outlineLevel="0" collapsed="false">
      <c r="A95" s="117" t="s">
        <v>421</v>
      </c>
      <c r="C95" s="116" t="n">
        <f aca="false">IF(C57&gt;0,1,0)</f>
        <v>0</v>
      </c>
      <c r="D95" s="116" t="n">
        <f aca="false">IF(D57&gt;0,1,0)</f>
        <v>0</v>
      </c>
      <c r="E95" s="116" t="n">
        <f aca="false">IF(E57&gt;0,1,0)</f>
        <v>0</v>
      </c>
      <c r="F95" s="116" t="n">
        <f aca="false">IF(F57&gt;0,1,0)</f>
        <v>0</v>
      </c>
      <c r="G95" s="116" t="n">
        <f aca="false">IF(G57&gt;0,1,0)</f>
        <v>0</v>
      </c>
      <c r="H95" s="116" t="n">
        <f aca="false">IF(H57&gt;0,1,0)</f>
        <v>0</v>
      </c>
      <c r="I95" s="116" t="n">
        <f aca="false">IF(I57&gt;0,1,0)</f>
        <v>0</v>
      </c>
      <c r="J95" s="116" t="n">
        <f aca="false">IF(J57&gt;0,1,0)</f>
        <v>0</v>
      </c>
      <c r="K95" s="116" t="n">
        <f aca="false">IF(K57&gt;0,1,0)</f>
        <v>0</v>
      </c>
      <c r="L95" s="116" t="n">
        <f aca="false">IF(L57&gt;0,1,0)</f>
        <v>0</v>
      </c>
      <c r="M95" s="116" t="n">
        <f aca="false">IF(M57&gt;0,1,0)</f>
        <v>0</v>
      </c>
      <c r="N95" s="116" t="n">
        <f aca="false">IF(N57&gt;0,1,0)</f>
        <v>0</v>
      </c>
      <c r="O95" s="116" t="n">
        <f aca="false">IF(O57&gt;0,1,0)</f>
        <v>0</v>
      </c>
      <c r="P95" s="116" t="n">
        <f aca="false">IF(P57&gt;0,1,0)</f>
        <v>0</v>
      </c>
      <c r="Q95" s="116" t="n">
        <f aca="false">IF(Q57&gt;0,1,0)</f>
        <v>0</v>
      </c>
      <c r="R95" s="116" t="n">
        <f aca="false">IF(R57&gt;0,1,0)</f>
        <v>0</v>
      </c>
      <c r="S95" s="116" t="n">
        <f aca="false">IF(S57&gt;0,1,0)</f>
        <v>0</v>
      </c>
      <c r="T95" s="116" t="n">
        <f aca="false">IF(T57&gt;0,1,0)</f>
        <v>0</v>
      </c>
      <c r="U95" s="116" t="n">
        <f aca="false">IF(U57&gt;0,1,0)</f>
        <v>0</v>
      </c>
      <c r="V95" s="116" t="n">
        <f aca="false">IF(V57&gt;0,1,0)</f>
        <v>0</v>
      </c>
      <c r="W95" s="116" t="n">
        <f aca="false">IF(W57&gt;0,1,0)</f>
        <v>0</v>
      </c>
      <c r="X95" s="116" t="n">
        <f aca="false">IF(X57&gt;0,1,0)</f>
        <v>0</v>
      </c>
      <c r="Y95" s="116" t="n">
        <f aca="false">IF(Y57&gt;0,1,0)</f>
        <v>0</v>
      </c>
      <c r="Z95" s="116" t="n">
        <f aca="false">IF(Z57&gt;0,1,0)</f>
        <v>0</v>
      </c>
      <c r="AA95" s="116" t="n">
        <f aca="false">IF(AA57&gt;0,1,0)</f>
        <v>0</v>
      </c>
      <c r="AB95" s="116" t="n">
        <f aca="false">IF(AB57&gt;0,1,0)</f>
        <v>0</v>
      </c>
      <c r="AC95" s="116" t="n">
        <f aca="false">IF(AC57&gt;0,1,0)</f>
        <v>0</v>
      </c>
      <c r="AD95" s="116" t="n">
        <f aca="false">IF(AD57&gt;0,1,0)</f>
        <v>0</v>
      </c>
      <c r="AE95" s="116" t="n">
        <f aca="false">IF(AE57&gt;0,1,0)</f>
        <v>0</v>
      </c>
      <c r="AF95" s="116" t="n">
        <f aca="false">IF(AF57&gt;0,1,0)</f>
        <v>0</v>
      </c>
      <c r="AG95" s="116" t="n">
        <f aca="false">IF(AG57&gt;0,1,0)</f>
        <v>0</v>
      </c>
      <c r="AH95" s="116" t="n">
        <f aca="false">IF(AH57&gt;0,1,0)</f>
        <v>0</v>
      </c>
      <c r="AI95" s="116" t="n">
        <f aca="false">IF(AI57&gt;0,1,0)</f>
        <v>0</v>
      </c>
      <c r="AJ95" s="116" t="n">
        <f aca="false">IF(AJ57&gt;0,1,0)</f>
        <v>0</v>
      </c>
      <c r="AK95" s="116" t="n">
        <f aca="false">IF(AK57&gt;0,1,0)</f>
        <v>0</v>
      </c>
      <c r="AL95" s="116" t="n">
        <f aca="false">IF(AL57&gt;0,1,0)</f>
        <v>0</v>
      </c>
    </row>
    <row r="96" customFormat="false" ht="15" hidden="false" customHeight="false" outlineLevel="0" collapsed="false">
      <c r="A96" s="6" t="s">
        <v>422</v>
      </c>
      <c r="C96" s="67" t="n">
        <f aca="false">C85+C86</f>
        <v>-150110.054785333</v>
      </c>
      <c r="D96" s="67" t="n">
        <f aca="false">D85+D86</f>
        <v>-11330.7996082963</v>
      </c>
      <c r="E96" s="67" t="n">
        <f aca="false">E85+E86</f>
        <v>-9145.88872251852</v>
      </c>
      <c r="F96" s="67" t="n">
        <f aca="false">F85+F86</f>
        <v>-8110.88594340741</v>
      </c>
      <c r="G96" s="67" t="n">
        <f aca="false">G85+G86</f>
        <v>-7206.13054562963</v>
      </c>
      <c r="H96" s="67" t="n">
        <f aca="false">H85+H86</f>
        <v>-6301.37514785185</v>
      </c>
      <c r="I96" s="67" t="n">
        <f aca="false">I85+I86</f>
        <v>-5396.61975007407</v>
      </c>
      <c r="J96" s="67" t="n">
        <f aca="false">J85+J86</f>
        <v>-4491.86435229629</v>
      </c>
      <c r="K96" s="67" t="n">
        <f aca="false">K85+K86</f>
        <v>-3587.10895451852</v>
      </c>
      <c r="L96" s="67" t="n">
        <f aca="false">L85+L86</f>
        <v>-2682.35355674074</v>
      </c>
      <c r="M96" s="67" t="n">
        <f aca="false">M85+M86</f>
        <v>-2604.17846666667</v>
      </c>
      <c r="N96" s="67" t="n">
        <f aca="false">N85+N86</f>
        <v>-6049.85262666667</v>
      </c>
      <c r="O96" s="67" t="n">
        <f aca="false">O85+O86</f>
        <v>-9144.8536544</v>
      </c>
      <c r="P96" s="67" t="n">
        <f aca="false">P85+P86</f>
        <v>-6623.61109866667</v>
      </c>
      <c r="Q96" s="67" t="n">
        <f aca="false">Q85+Q86</f>
        <v>-3096.33525546667</v>
      </c>
      <c r="R96" s="67" t="n">
        <f aca="false">R85+R86</f>
        <v>-2771.14220266667</v>
      </c>
      <c r="S96" s="67" t="n">
        <f aca="false">S85+S86</f>
        <v>-2759.89220266667</v>
      </c>
      <c r="T96" s="67" t="n">
        <f aca="false">T85+T86</f>
        <v>-2748.64220266667</v>
      </c>
      <c r="U96" s="67" t="n">
        <f aca="false">U85+U86</f>
        <v>-2737.39220266667</v>
      </c>
      <c r="V96" s="67" t="n">
        <f aca="false">V85+V86</f>
        <v>-2726.14220266667</v>
      </c>
      <c r="W96" s="67" t="n">
        <f aca="false">W85+W86</f>
        <v>-2714.89220266667</v>
      </c>
      <c r="X96" s="67" t="n">
        <f aca="false">X85+X86</f>
        <v>-2703.64220266667</v>
      </c>
      <c r="Y96" s="67" t="n">
        <f aca="false">Y85+Y86</f>
        <v>-2692.39220266667</v>
      </c>
      <c r="Z96" s="67" t="n">
        <f aca="false">Z85+Z86</f>
        <v>-6197.16804586667</v>
      </c>
      <c r="AA96" s="67" t="n">
        <f aca="false">AA85+AA86</f>
        <v>-9310.01453682133</v>
      </c>
      <c r="AB96" s="67" t="n">
        <f aca="false">AB85+AB86</f>
        <v>-6788.66696730667</v>
      </c>
      <c r="AC96" s="67" t="n">
        <f aca="false">AC85+AC86</f>
        <v>-3201.50887924266</v>
      </c>
      <c r="AD96" s="67" t="n">
        <f aca="false">AD85+AD86</f>
        <v>-2870.77245338666</v>
      </c>
      <c r="AE96" s="67" t="n">
        <f aca="false">AE85+AE86</f>
        <v>-2859.52245338666</v>
      </c>
      <c r="AF96" s="67" t="n">
        <f aca="false">AF85+AF86</f>
        <v>-2848.27245338666</v>
      </c>
      <c r="AG96" s="67" t="n">
        <f aca="false">AG85+AG86</f>
        <v>-2837.02245338666</v>
      </c>
      <c r="AH96" s="67" t="n">
        <f aca="false">AH85+AH86</f>
        <v>-2825.77245338666</v>
      </c>
      <c r="AI96" s="67" t="n">
        <f aca="false">AI85+AI86</f>
        <v>-2814.52245338666</v>
      </c>
      <c r="AJ96" s="67" t="n">
        <f aca="false">AJ85+AJ86</f>
        <v>-2803.27245338666</v>
      </c>
      <c r="AK96" s="67" t="n">
        <f aca="false">AK85+AK86</f>
        <v>-2792.02245338666</v>
      </c>
      <c r="AL96" s="67" t="n">
        <f aca="false">AL85+AL86</f>
        <v>-6356.68054145067</v>
      </c>
    </row>
    <row r="97" customFormat="false" ht="15" hidden="false" customHeight="false" outlineLevel="0" collapsed="false">
      <c r="A97" s="6" t="s">
        <v>423</v>
      </c>
      <c r="C97" s="67" t="n">
        <f aca="false">C96</f>
        <v>-150110.054785333</v>
      </c>
      <c r="D97" s="67" t="n">
        <f aca="false">C97+D96</f>
        <v>-161440.85439363</v>
      </c>
      <c r="E97" s="67" t="n">
        <f aca="false">D97+E96</f>
        <v>-170586.743116148</v>
      </c>
      <c r="F97" s="67" t="n">
        <f aca="false">E97+F96</f>
        <v>-178697.629059556</v>
      </c>
      <c r="G97" s="67" t="n">
        <f aca="false">F97+G96</f>
        <v>-185903.759605185</v>
      </c>
      <c r="H97" s="67" t="n">
        <f aca="false">G97+H96</f>
        <v>-192205.134753037</v>
      </c>
      <c r="I97" s="67" t="n">
        <f aca="false">H97+I96</f>
        <v>-197601.754503111</v>
      </c>
      <c r="J97" s="67" t="n">
        <f aca="false">I97+J96</f>
        <v>-202093.618855407</v>
      </c>
      <c r="K97" s="67" t="n">
        <f aca="false">J97+K96</f>
        <v>-205680.727809926</v>
      </c>
      <c r="L97" s="67" t="n">
        <f aca="false">K97+L96</f>
        <v>-208363.081366667</v>
      </c>
      <c r="M97" s="67" t="n">
        <f aca="false">L97+M96</f>
        <v>-210967.259833333</v>
      </c>
      <c r="N97" s="67" t="n">
        <f aca="false">M97+N96</f>
        <v>-217017.11246</v>
      </c>
      <c r="O97" s="67" t="n">
        <f aca="false">N97+O96</f>
        <v>-226161.9661144</v>
      </c>
      <c r="P97" s="67" t="n">
        <f aca="false">O97+P96</f>
        <v>-232785.577213067</v>
      </c>
      <c r="Q97" s="67" t="n">
        <f aca="false">P97+Q96</f>
        <v>-235881.912468533</v>
      </c>
      <c r="R97" s="67" t="n">
        <f aca="false">Q97+R96</f>
        <v>-238653.0546712</v>
      </c>
      <c r="S97" s="67" t="n">
        <f aca="false">R97+S96</f>
        <v>-241412.946873867</v>
      </c>
      <c r="T97" s="67" t="n">
        <f aca="false">S97+T96</f>
        <v>-244161.589076533</v>
      </c>
      <c r="U97" s="67" t="n">
        <f aca="false">T97+U96</f>
        <v>-246898.9812792</v>
      </c>
      <c r="V97" s="67" t="n">
        <f aca="false">U97+V96</f>
        <v>-249625.123481867</v>
      </c>
      <c r="W97" s="67" t="n">
        <f aca="false">V97+W96</f>
        <v>-252340.015684533</v>
      </c>
      <c r="X97" s="67" t="n">
        <f aca="false">W97+X96</f>
        <v>-255043.6578872</v>
      </c>
      <c r="Y97" s="67" t="n">
        <f aca="false">X97+Y96</f>
        <v>-257736.050089867</v>
      </c>
      <c r="Z97" s="67" t="n">
        <f aca="false">Y97+Z96</f>
        <v>-263933.218135733</v>
      </c>
      <c r="AA97" s="67" t="n">
        <f aca="false">Z97+AA96</f>
        <v>-273243.232672555</v>
      </c>
      <c r="AB97" s="67" t="n">
        <f aca="false">AA97+AB96</f>
        <v>-280031.899639861</v>
      </c>
      <c r="AC97" s="67" t="n">
        <f aca="false">AB97+AC96</f>
        <v>-283233.408519104</v>
      </c>
      <c r="AD97" s="67" t="n">
        <f aca="false">AC97+AD96</f>
        <v>-286104.180972491</v>
      </c>
      <c r="AE97" s="67" t="n">
        <f aca="false">AD97+AE96</f>
        <v>-288963.703425877</v>
      </c>
      <c r="AF97" s="67" t="n">
        <f aca="false">AE97+AF96</f>
        <v>-291811.975879264</v>
      </c>
      <c r="AG97" s="67" t="n">
        <f aca="false">AF97+AG96</f>
        <v>-294648.998332651</v>
      </c>
      <c r="AH97" s="67" t="n">
        <f aca="false">AG97+AH96</f>
        <v>-297474.770786037</v>
      </c>
      <c r="AI97" s="67" t="n">
        <f aca="false">AH97+AI96</f>
        <v>-300289.293239424</v>
      </c>
      <c r="AJ97" s="67" t="n">
        <f aca="false">AI97+AJ96</f>
        <v>-303092.565692811</v>
      </c>
      <c r="AK97" s="67" t="n">
        <f aca="false">AJ97+AK96</f>
        <v>-305884.588146198</v>
      </c>
      <c r="AL97" s="67" t="n">
        <f aca="false">AK97+AL96</f>
        <v>-312241.268687648</v>
      </c>
    </row>
    <row r="98" customFormat="false" ht="15" hidden="false" customHeight="false" outlineLevel="0" collapsed="false">
      <c r="A98" s="117" t="s">
        <v>424</v>
      </c>
      <c r="C98" s="67" t="n">
        <f aca="false">C97</f>
        <v>-150110.054785333</v>
      </c>
      <c r="D98" s="67" t="n">
        <f aca="false">MIN(C98,D97)</f>
        <v>-161440.85439363</v>
      </c>
      <c r="E98" s="67" t="n">
        <f aca="false">MIN(D98,E97)</f>
        <v>-170586.743116148</v>
      </c>
      <c r="F98" s="67" t="n">
        <f aca="false">MIN(E98,F97)</f>
        <v>-178697.629059556</v>
      </c>
      <c r="G98" s="67" t="n">
        <f aca="false">MIN(F98,G97)</f>
        <v>-185903.759605185</v>
      </c>
      <c r="H98" s="67" t="n">
        <f aca="false">MIN(G98,H97)</f>
        <v>-192205.134753037</v>
      </c>
      <c r="I98" s="67" t="n">
        <f aca="false">MIN(H98,I97)</f>
        <v>-197601.754503111</v>
      </c>
      <c r="J98" s="67" t="n">
        <f aca="false">MIN(I98,J97)</f>
        <v>-202093.618855407</v>
      </c>
      <c r="K98" s="67" t="n">
        <f aca="false">MIN(J98,K97)</f>
        <v>-205680.727809926</v>
      </c>
      <c r="L98" s="67" t="n">
        <f aca="false">MIN(K98,L97)</f>
        <v>-208363.081366667</v>
      </c>
      <c r="M98" s="67" t="n">
        <f aca="false">MIN(L98,M97)</f>
        <v>-210967.259833333</v>
      </c>
      <c r="N98" s="67" t="n">
        <f aca="false">MIN(M98,N97)</f>
        <v>-217017.11246</v>
      </c>
      <c r="O98" s="67" t="n">
        <f aca="false">MIN(N98,O97)</f>
        <v>-226161.9661144</v>
      </c>
      <c r="P98" s="67" t="n">
        <f aca="false">MIN(O98,P97)</f>
        <v>-232785.577213067</v>
      </c>
      <c r="Q98" s="67" t="n">
        <f aca="false">MIN(P98,Q97)</f>
        <v>-235881.912468533</v>
      </c>
      <c r="R98" s="67" t="n">
        <f aca="false">MIN(Q98,R97)</f>
        <v>-238653.0546712</v>
      </c>
      <c r="S98" s="67" t="n">
        <f aca="false">MIN(R98,S97)</f>
        <v>-241412.946873867</v>
      </c>
      <c r="T98" s="67" t="n">
        <f aca="false">MIN(S98,T97)</f>
        <v>-244161.589076533</v>
      </c>
      <c r="U98" s="67" t="n">
        <f aca="false">MIN(T98,U97)</f>
        <v>-246898.9812792</v>
      </c>
      <c r="V98" s="67" t="n">
        <f aca="false">MIN(U98,V97)</f>
        <v>-249625.123481867</v>
      </c>
      <c r="W98" s="67" t="n">
        <f aca="false">MIN(V98,W97)</f>
        <v>-252340.015684533</v>
      </c>
      <c r="X98" s="67" t="n">
        <f aca="false">MIN(W98,X97)</f>
        <v>-255043.6578872</v>
      </c>
      <c r="Y98" s="67" t="n">
        <f aca="false">MIN(X98,Y97)</f>
        <v>-257736.050089867</v>
      </c>
      <c r="Z98" s="67" t="n">
        <f aca="false">MIN(Y98,Z97)</f>
        <v>-263933.218135733</v>
      </c>
      <c r="AA98" s="67" t="n">
        <f aca="false">MIN(Z98,AA97)</f>
        <v>-273243.232672555</v>
      </c>
      <c r="AB98" s="67" t="n">
        <f aca="false">MIN(AA98,AB97)</f>
        <v>-280031.899639861</v>
      </c>
      <c r="AC98" s="67" t="n">
        <f aca="false">MIN(AB98,AC97)</f>
        <v>-283233.408519104</v>
      </c>
      <c r="AD98" s="67" t="n">
        <f aca="false">MIN(AC98,AD97)</f>
        <v>-286104.180972491</v>
      </c>
      <c r="AE98" s="67" t="n">
        <f aca="false">MIN(AD98,AE97)</f>
        <v>-288963.703425877</v>
      </c>
      <c r="AF98" s="67" t="n">
        <f aca="false">MIN(AE98,AF97)</f>
        <v>-291811.975879264</v>
      </c>
      <c r="AG98" s="67" t="n">
        <f aca="false">MIN(AF98,AG97)</f>
        <v>-294648.998332651</v>
      </c>
      <c r="AH98" s="67" t="n">
        <f aca="false">MIN(AG98,AH97)</f>
        <v>-297474.770786037</v>
      </c>
      <c r="AI98" s="67" t="n">
        <f aca="false">MIN(AH98,AI97)</f>
        <v>-300289.293239424</v>
      </c>
      <c r="AJ98" s="67" t="n">
        <f aca="false">MIN(AI98,AJ97)</f>
        <v>-303092.565692811</v>
      </c>
      <c r="AK98" s="67" t="n">
        <f aca="false">MIN(AJ98,AK97)</f>
        <v>-305884.588146198</v>
      </c>
      <c r="AL98" s="67" t="n">
        <f aca="false">MIN(AK98,AL97)</f>
        <v>-312241.268687648</v>
      </c>
    </row>
    <row r="99" customFormat="false" ht="15" hidden="false" customHeight="false" outlineLevel="0" collapsed="false">
      <c r="A99" s="117" t="s">
        <v>425</v>
      </c>
      <c r="C99" s="116" t="n">
        <f aca="false">IF(AND(C97&gt;=0,C98&lt;0),1,0)</f>
        <v>0</v>
      </c>
      <c r="D99" s="116" t="n">
        <f aca="false">IF(AND(D97&gt;=0,D98&lt;0),1,0)</f>
        <v>0</v>
      </c>
      <c r="E99" s="116" t="n">
        <f aca="false">IF(AND(E97&gt;=0,E98&lt;0),1,0)</f>
        <v>0</v>
      </c>
      <c r="F99" s="116" t="n">
        <f aca="false">IF(AND(F97&gt;=0,F98&lt;0),1,0)</f>
        <v>0</v>
      </c>
      <c r="G99" s="116" t="n">
        <f aca="false">IF(AND(G97&gt;=0,G98&lt;0),1,0)</f>
        <v>0</v>
      </c>
      <c r="H99" s="116" t="n">
        <f aca="false">IF(AND(H97&gt;=0,H98&lt;0),1,0)</f>
        <v>0</v>
      </c>
      <c r="I99" s="116" t="n">
        <f aca="false">IF(AND(I97&gt;=0,I98&lt;0),1,0)</f>
        <v>0</v>
      </c>
      <c r="J99" s="116" t="n">
        <f aca="false">IF(AND(J97&gt;=0,J98&lt;0),1,0)</f>
        <v>0</v>
      </c>
      <c r="K99" s="116" t="n">
        <f aca="false">IF(AND(K97&gt;=0,K98&lt;0),1,0)</f>
        <v>0</v>
      </c>
      <c r="L99" s="116" t="n">
        <f aca="false">IF(AND(L97&gt;=0,L98&lt;0),1,0)</f>
        <v>0</v>
      </c>
      <c r="M99" s="116" t="n">
        <f aca="false">IF(AND(M97&gt;=0,M98&lt;0),1,0)</f>
        <v>0</v>
      </c>
      <c r="N99" s="116" t="n">
        <f aca="false">IF(AND(N97&gt;=0,N98&lt;0),1,0)</f>
        <v>0</v>
      </c>
      <c r="O99" s="116" t="n">
        <f aca="false">IF(AND(O97&gt;=0,O98&lt;0),1,0)</f>
        <v>0</v>
      </c>
      <c r="P99" s="116" t="n">
        <f aca="false">IF(AND(P97&gt;=0,P98&lt;0),1,0)</f>
        <v>0</v>
      </c>
      <c r="Q99" s="116" t="n">
        <f aca="false">IF(AND(Q97&gt;=0,Q98&lt;0),1,0)</f>
        <v>0</v>
      </c>
      <c r="R99" s="116" t="n">
        <f aca="false">IF(AND(R97&gt;=0,R98&lt;0),1,0)</f>
        <v>0</v>
      </c>
      <c r="S99" s="116" t="n">
        <f aca="false">IF(AND(S97&gt;=0,S98&lt;0),1,0)</f>
        <v>0</v>
      </c>
      <c r="T99" s="116" t="n">
        <f aca="false">IF(AND(T97&gt;=0,T98&lt;0),1,0)</f>
        <v>0</v>
      </c>
      <c r="U99" s="116" t="n">
        <f aca="false">IF(AND(U97&gt;=0,U98&lt;0),1,0)</f>
        <v>0</v>
      </c>
      <c r="V99" s="116" t="n">
        <f aca="false">IF(AND(V97&gt;=0,V98&lt;0),1,0)</f>
        <v>0</v>
      </c>
      <c r="W99" s="116" t="n">
        <f aca="false">IF(AND(W97&gt;=0,W98&lt;0),1,0)</f>
        <v>0</v>
      </c>
      <c r="X99" s="116" t="n">
        <f aca="false">IF(AND(X97&gt;=0,X98&lt;0),1,0)</f>
        <v>0</v>
      </c>
      <c r="Y99" s="116" t="n">
        <f aca="false">IF(AND(Y97&gt;=0,Y98&lt;0),1,0)</f>
        <v>0</v>
      </c>
      <c r="Z99" s="116" t="n">
        <f aca="false">IF(AND(Z97&gt;=0,Z98&lt;0),1,0)</f>
        <v>0</v>
      </c>
      <c r="AA99" s="116" t="n">
        <f aca="false">IF(AND(AA97&gt;=0,AA98&lt;0),1,0)</f>
        <v>0</v>
      </c>
      <c r="AB99" s="116" t="n">
        <f aca="false">IF(AND(AB97&gt;=0,AB98&lt;0),1,0)</f>
        <v>0</v>
      </c>
      <c r="AC99" s="116" t="n">
        <f aca="false">IF(AND(AC97&gt;=0,AC98&lt;0),1,0)</f>
        <v>0</v>
      </c>
      <c r="AD99" s="116" t="n">
        <f aca="false">IF(AND(AD97&gt;=0,AD98&lt;0),1,0)</f>
        <v>0</v>
      </c>
      <c r="AE99" s="116" t="n">
        <f aca="false">IF(AND(AE97&gt;=0,AE98&lt;0),1,0)</f>
        <v>0</v>
      </c>
      <c r="AF99" s="116" t="n">
        <f aca="false">IF(AND(AF97&gt;=0,AF98&lt;0),1,0)</f>
        <v>0</v>
      </c>
      <c r="AG99" s="116" t="n">
        <f aca="false">IF(AND(AG97&gt;=0,AG98&lt;0),1,0)</f>
        <v>0</v>
      </c>
      <c r="AH99" s="116" t="n">
        <f aca="false">IF(AND(AH97&gt;=0,AH98&lt;0),1,0)</f>
        <v>0</v>
      </c>
      <c r="AI99" s="116" t="n">
        <f aca="false">IF(AND(AI97&gt;=0,AI98&lt;0),1,0)</f>
        <v>0</v>
      </c>
      <c r="AJ99" s="116" t="n">
        <f aca="false">IF(AND(AJ97&gt;=0,AJ98&lt;0),1,0)</f>
        <v>0</v>
      </c>
      <c r="AK99" s="116" t="n">
        <f aca="false">IF(AND(AK97&gt;=0,AK98&lt;0),1,0)</f>
        <v>0</v>
      </c>
      <c r="AL99" s="116" t="n">
        <f aca="false">IF(AND(AL97&gt;=0,AL98&lt;0),1,0)</f>
        <v>0</v>
      </c>
    </row>
    <row r="100" customFormat="false" ht="15" hidden="false" customHeight="false" outlineLevel="0" collapsed="false">
      <c r="A100" s="6" t="s">
        <v>426</v>
      </c>
      <c r="C100" s="67" t="n">
        <f aca="false">C85-C52*(1-Inputs!$B$83)+C86</f>
        <v>-149576.804785333</v>
      </c>
      <c r="D100" s="67" t="n">
        <f aca="false">D85-D52*(1-Inputs!$B$83)+D86</f>
        <v>-10801.9933582963</v>
      </c>
      <c r="E100" s="67" t="n">
        <f aca="false">E85-E52*(1-Inputs!$B$83)+E86</f>
        <v>-8625.96997251852</v>
      </c>
      <c r="F100" s="67" t="n">
        <f aca="false">F85-F52*(1-Inputs!$B$83)+F86</f>
        <v>-7599.85469340741</v>
      </c>
      <c r="G100" s="67" t="n">
        <f aca="false">G85-G52*(1-Inputs!$B$83)+G86</f>
        <v>-6703.98679562963</v>
      </c>
      <c r="H100" s="67" t="n">
        <f aca="false">H85-H52*(1-Inputs!$B$83)+H86</f>
        <v>-5808.11889785185</v>
      </c>
      <c r="I100" s="67" t="n">
        <f aca="false">I85-I52*(1-Inputs!$B$83)+I86</f>
        <v>-4912.25100007407</v>
      </c>
      <c r="J100" s="67" t="n">
        <f aca="false">J85-J52*(1-Inputs!$B$83)+J86</f>
        <v>-4016.38310229629</v>
      </c>
      <c r="K100" s="67" t="n">
        <f aca="false">K85-K52*(1-Inputs!$B$83)+K86</f>
        <v>-3120.51520451852</v>
      </c>
      <c r="L100" s="67" t="n">
        <f aca="false">L85-L52*(1-Inputs!$B$83)+L86</f>
        <v>-2224.64730674074</v>
      </c>
      <c r="M100" s="67" t="n">
        <f aca="false">M85-M52*(1-Inputs!$B$83)+M86</f>
        <v>-2155.35971666667</v>
      </c>
      <c r="N100" s="67" t="n">
        <f aca="false">N85-N52*(1-Inputs!$B$83)+N86</f>
        <v>-5609.92137666667</v>
      </c>
      <c r="O100" s="67" t="n">
        <f aca="false">O85-O52*(1-Inputs!$B$83)+O86</f>
        <v>-8713.8099044</v>
      </c>
      <c r="P100" s="67" t="n">
        <f aca="false">P85-P52*(1-Inputs!$B$83)+P86</f>
        <v>-6201.45484866667</v>
      </c>
      <c r="Q100" s="67" t="n">
        <f aca="false">Q85-Q52*(1-Inputs!$B$83)+Q86</f>
        <v>-2683.06650546667</v>
      </c>
      <c r="R100" s="67" t="n">
        <f aca="false">R85-R52*(1-Inputs!$B$83)+R86</f>
        <v>-2366.76095266667</v>
      </c>
      <c r="S100" s="67" t="n">
        <f aca="false">S85-S52*(1-Inputs!$B$83)+S86</f>
        <v>-2364.39845266667</v>
      </c>
      <c r="T100" s="67" t="n">
        <f aca="false">T85-T52*(1-Inputs!$B$83)+T86</f>
        <v>-2362.03595266667</v>
      </c>
      <c r="U100" s="67" t="n">
        <f aca="false">U85-U52*(1-Inputs!$B$83)+U86</f>
        <v>-2359.67345266667</v>
      </c>
      <c r="V100" s="67" t="n">
        <f aca="false">V85-V52*(1-Inputs!$B$83)+V86</f>
        <v>-2357.31095266667</v>
      </c>
      <c r="W100" s="67" t="n">
        <f aca="false">W85-W52*(1-Inputs!$B$83)+W86</f>
        <v>-2354.94845266667</v>
      </c>
      <c r="X100" s="67" t="n">
        <f aca="false">X85-X52*(1-Inputs!$B$83)+X86</f>
        <v>-2352.58595266667</v>
      </c>
      <c r="Y100" s="67" t="n">
        <f aca="false">Y85-Y52*(1-Inputs!$B$83)+Y86</f>
        <v>-2350.22345266667</v>
      </c>
      <c r="Z100" s="67" t="n">
        <f aca="false">Z85-Z52*(1-Inputs!$B$83)+Z86</f>
        <v>-5863.88679586667</v>
      </c>
      <c r="AA100" s="67" t="n">
        <f aca="false">AA85-AA52*(1-Inputs!$B$83)+AA86</f>
        <v>-8985.62078682134</v>
      </c>
      <c r="AB100" s="67" t="n">
        <f aca="false">AB85-AB52*(1-Inputs!$B$83)+AB86</f>
        <v>-6473.16071730667</v>
      </c>
      <c r="AC100" s="67" t="n">
        <f aca="false">AC85-AC52*(1-Inputs!$B$83)+AC86</f>
        <v>-2894.89012924266</v>
      </c>
      <c r="AD100" s="67" t="n">
        <f aca="false">AD85-AD52*(1-Inputs!$B$83)+AD86</f>
        <v>-2573.04120338666</v>
      </c>
      <c r="AE100" s="67" t="n">
        <f aca="false">AE85-AE52*(1-Inputs!$B$83)+AE86</f>
        <v>-2570.67870338666</v>
      </c>
      <c r="AF100" s="67" t="n">
        <f aca="false">AF85-AF52*(1-Inputs!$B$83)+AF86</f>
        <v>-2568.31620338666</v>
      </c>
      <c r="AG100" s="67" t="n">
        <f aca="false">AG85-AG52*(1-Inputs!$B$83)+AG86</f>
        <v>-2565.95370338666</v>
      </c>
      <c r="AH100" s="67" t="n">
        <f aca="false">AH85-AH52*(1-Inputs!$B$83)+AH86</f>
        <v>-2563.59120338666</v>
      </c>
      <c r="AI100" s="67" t="n">
        <f aca="false">AI85-AI52*(1-Inputs!$B$83)+AI86</f>
        <v>-2561.22870338666</v>
      </c>
      <c r="AJ100" s="67" t="n">
        <f aca="false">AJ85-AJ52*(1-Inputs!$B$83)+AJ86</f>
        <v>-2558.86620338666</v>
      </c>
      <c r="AK100" s="67" t="n">
        <f aca="false">AK85-AK52*(1-Inputs!$B$83)+AK86</f>
        <v>-2556.50370338666</v>
      </c>
      <c r="AL100" s="67" t="n">
        <f aca="false">AL85-AL52*(1-Inputs!$B$83)+AL86</f>
        <v>-6130.04929145067</v>
      </c>
    </row>
    <row r="102" customFormat="false" ht="15.75" hidden="false" customHeight="true" outlineLevel="0" collapsed="false">
      <c r="A102" s="7" t="s">
        <v>427</v>
      </c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</row>
    <row r="103" customFormat="false" ht="15" hidden="false" customHeight="false" outlineLevel="0" collapsed="false">
      <c r="A103" s="6" t="s">
        <v>97</v>
      </c>
      <c r="C103" s="67" t="n">
        <f aca="false">C87</f>
        <v>100000</v>
      </c>
      <c r="D103" s="67" t="n">
        <f aca="false">C103+D87</f>
        <v>100000</v>
      </c>
      <c r="E103" s="67" t="n">
        <f aca="false">D103+E87</f>
        <v>100000</v>
      </c>
      <c r="F103" s="67" t="n">
        <f aca="false">E103+F87</f>
        <v>100000</v>
      </c>
      <c r="G103" s="67" t="n">
        <f aca="false">F103+G87</f>
        <v>100000</v>
      </c>
      <c r="H103" s="67" t="n">
        <f aca="false">G103+H87</f>
        <v>100000</v>
      </c>
      <c r="I103" s="67" t="n">
        <f aca="false">H103+I87</f>
        <v>100000</v>
      </c>
      <c r="J103" s="67" t="n">
        <f aca="false">I103+J87</f>
        <v>100000</v>
      </c>
      <c r="K103" s="67" t="n">
        <f aca="false">J103+K87</f>
        <v>100000</v>
      </c>
      <c r="L103" s="67" t="n">
        <f aca="false">K103+L87</f>
        <v>100000</v>
      </c>
      <c r="M103" s="67" t="n">
        <f aca="false">L103+M87</f>
        <v>100000</v>
      </c>
      <c r="N103" s="67" t="n">
        <f aca="false">M103+N87</f>
        <v>100000</v>
      </c>
      <c r="O103" s="67" t="n">
        <f aca="false">N103+O87</f>
        <v>100000</v>
      </c>
      <c r="P103" s="67" t="n">
        <f aca="false">O103+P87</f>
        <v>100000</v>
      </c>
      <c r="Q103" s="67" t="n">
        <f aca="false">P103+Q87</f>
        <v>100000</v>
      </c>
      <c r="R103" s="67" t="n">
        <f aca="false">Q103+R87</f>
        <v>100000</v>
      </c>
      <c r="S103" s="67" t="n">
        <f aca="false">R103+S87</f>
        <v>100000</v>
      </c>
      <c r="T103" s="67" t="n">
        <f aca="false">S103+T87</f>
        <v>100000</v>
      </c>
      <c r="U103" s="67" t="n">
        <f aca="false">T103+U87</f>
        <v>100000</v>
      </c>
      <c r="V103" s="67" t="n">
        <f aca="false">U103+V87</f>
        <v>100000</v>
      </c>
      <c r="W103" s="67" t="n">
        <f aca="false">V103+W87</f>
        <v>100000</v>
      </c>
      <c r="X103" s="67" t="n">
        <f aca="false">W103+X87</f>
        <v>100000</v>
      </c>
      <c r="Y103" s="67" t="n">
        <f aca="false">X103+Y87</f>
        <v>100000</v>
      </c>
      <c r="Z103" s="67" t="n">
        <f aca="false">Y103+Z87</f>
        <v>100000</v>
      </c>
      <c r="AA103" s="67" t="n">
        <f aca="false">Z103+AA87</f>
        <v>100000</v>
      </c>
      <c r="AB103" s="67" t="n">
        <f aca="false">AA103+AB87</f>
        <v>100000</v>
      </c>
      <c r="AC103" s="67" t="n">
        <f aca="false">AB103+AC87</f>
        <v>100000</v>
      </c>
      <c r="AD103" s="67" t="n">
        <f aca="false">AC103+AD87</f>
        <v>100000</v>
      </c>
      <c r="AE103" s="67" t="n">
        <f aca="false">AD103+AE87</f>
        <v>100000</v>
      </c>
      <c r="AF103" s="67" t="n">
        <f aca="false">AE103+AF87</f>
        <v>100000</v>
      </c>
      <c r="AG103" s="67" t="n">
        <f aca="false">AF103+AG87</f>
        <v>100000</v>
      </c>
      <c r="AH103" s="67" t="n">
        <f aca="false">AG103+AH87</f>
        <v>100000</v>
      </c>
      <c r="AI103" s="67" t="n">
        <f aca="false">AH103+AI87</f>
        <v>100000</v>
      </c>
      <c r="AJ103" s="67" t="n">
        <f aca="false">AI103+AJ87</f>
        <v>100000</v>
      </c>
      <c r="AK103" s="67" t="n">
        <f aca="false">AJ103+AK87</f>
        <v>100000</v>
      </c>
      <c r="AL103" s="67" t="n">
        <f aca="false">AK103+AL87</f>
        <v>100000</v>
      </c>
    </row>
    <row r="104" customFormat="false" ht="15" hidden="false" customHeight="false" outlineLevel="0" collapsed="false">
      <c r="A104" s="6" t="s">
        <v>98</v>
      </c>
      <c r="C104" s="67" t="n">
        <f aca="false">C57</f>
        <v>-13536.5508695238</v>
      </c>
      <c r="D104" s="67" t="n">
        <f aca="false">C104+D57</f>
        <v>-26465.5616879365</v>
      </c>
      <c r="E104" s="67" t="n">
        <f aca="false">D104+E57</f>
        <v>-37057.1350819048</v>
      </c>
      <c r="F104" s="67" t="n">
        <f aca="false">E104+F57</f>
        <v>-46743.9530780952</v>
      </c>
      <c r="G104" s="67" t="n">
        <f aca="false">F104+G57</f>
        <v>-55526.0156765079</v>
      </c>
      <c r="H104" s="67" t="n">
        <f aca="false">G104+H57</f>
        <v>-63403.3228771429</v>
      </c>
      <c r="I104" s="67" t="n">
        <f aca="false">H104+I57</f>
        <v>-70375.87468</v>
      </c>
      <c r="J104" s="67" t="n">
        <f aca="false">I104+J57</f>
        <v>-76443.6710850794</v>
      </c>
      <c r="K104" s="67" t="n">
        <f aca="false">J104+K57</f>
        <v>-81606.712092381</v>
      </c>
      <c r="L104" s="67" t="n">
        <f aca="false">K104+L57</f>
        <v>-85864.9977019048</v>
      </c>
      <c r="M104" s="67" t="n">
        <f aca="false">L104+M57</f>
        <v>-90112.0333114286</v>
      </c>
      <c r="N104" s="67" t="n">
        <f aca="false">M104+N57</f>
        <v>-98113.2237209524</v>
      </c>
      <c r="O104" s="67" t="n">
        <f aca="false">N104+O57</f>
        <v>-106420.703867238</v>
      </c>
      <c r="P104" s="67" t="n">
        <f aca="false">O104+P57</f>
        <v>-114716.934013524</v>
      </c>
      <c r="Q104" s="67" t="n">
        <f aca="false">P104+Q57</f>
        <v>-119171.94526381</v>
      </c>
      <c r="R104" s="67" t="n">
        <f aca="false">Q104+R57</f>
        <v>-123615.706514095</v>
      </c>
      <c r="S104" s="67" t="n">
        <f aca="false">R104+S57</f>
        <v>-128048.217764381</v>
      </c>
      <c r="T104" s="67" t="n">
        <f aca="false">S104+T57</f>
        <v>-132469.479014667</v>
      </c>
      <c r="U104" s="67" t="n">
        <f aca="false">T104+U57</f>
        <v>-136879.490264952</v>
      </c>
      <c r="V104" s="67" t="n">
        <f aca="false">U104+V57</f>
        <v>-141278.251515238</v>
      </c>
      <c r="W104" s="67" t="n">
        <f aca="false">V104+W57</f>
        <v>-145665.762765524</v>
      </c>
      <c r="X104" s="67" t="n">
        <f aca="false">W104+X57</f>
        <v>-150042.02401581</v>
      </c>
      <c r="Y104" s="67" t="n">
        <f aca="false">X104+Y57</f>
        <v>-154407.035266095</v>
      </c>
      <c r="Z104" s="67" t="n">
        <f aca="false">Y104+Z57</f>
        <v>-162590.765412381</v>
      </c>
      <c r="AA104" s="67" t="n">
        <f aca="false">Z104+AA57</f>
        <v>-171093.063332069</v>
      </c>
      <c r="AB104" s="67" t="n">
        <f aca="false">AA104+AB57</f>
        <v>-179584.111251756</v>
      </c>
      <c r="AC104" s="67" t="n">
        <f aca="false">AB104+AC57</f>
        <v>-184168.514657524</v>
      </c>
      <c r="AD104" s="67" t="n">
        <f aca="false">AC104+AD57</f>
        <v>-188741.668063291</v>
      </c>
      <c r="AE104" s="67" t="n">
        <f aca="false">AD104+AE57</f>
        <v>-193303.571469059</v>
      </c>
      <c r="AF104" s="67" t="n">
        <f aca="false">AE104+AF57</f>
        <v>-197854.224874827</v>
      </c>
      <c r="AG104" s="67" t="n">
        <f aca="false">AF104+AG57</f>
        <v>-202393.628280594</v>
      </c>
      <c r="AH104" s="67" t="n">
        <f aca="false">AG104+AH57</f>
        <v>-206921.781686362</v>
      </c>
      <c r="AI104" s="67" t="n">
        <f aca="false">AH104+AI57</f>
        <v>-211438.685092129</v>
      </c>
      <c r="AJ104" s="67" t="n">
        <f aca="false">AI104+AJ57</f>
        <v>-215944.338497897</v>
      </c>
      <c r="AK104" s="67" t="n">
        <f aca="false">AJ104+AK57</f>
        <v>-220438.741903665</v>
      </c>
      <c r="AL104" s="67" t="n">
        <f aca="false">AK104+AL57</f>
        <v>-228817.289823352</v>
      </c>
    </row>
    <row r="105" customFormat="false" ht="15" hidden="false" customHeight="false" outlineLevel="0" collapsed="false">
      <c r="A105" s="4" t="s">
        <v>93</v>
      </c>
      <c r="C105" s="73" t="n">
        <f aca="false">C91+C77+C78+C68</f>
        <v>177015.30277781</v>
      </c>
      <c r="D105" s="73" t="n">
        <f aca="false">D91+D77+D78+D68</f>
        <v>162700.166521545</v>
      </c>
      <c r="E105" s="73" t="n">
        <f aca="false">E91+E77+E78+E68</f>
        <v>151052.172580392</v>
      </c>
      <c r="F105" s="73" t="n">
        <f aca="false">F91+F77+F78+F68</f>
        <v>140027.388287683</v>
      </c>
      <c r="G105" s="73" t="n">
        <f aca="false">G91+G77+G78+G68</f>
        <v>129907.359392751</v>
      </c>
      <c r="H105" s="73" t="n">
        <f aca="false">H91+H77+H78+H68</f>
        <v>120692.085895598</v>
      </c>
      <c r="I105" s="73" t="n">
        <f aca="false">I91+I77+I78+I68</f>
        <v>112381.567796222</v>
      </c>
      <c r="J105" s="73" t="n">
        <f aca="false">J91+J77+J78+J68</f>
        <v>104975.805094624</v>
      </c>
      <c r="K105" s="73" t="n">
        <f aca="false">K91+K77+K78+K68</f>
        <v>98474.7977908042</v>
      </c>
      <c r="L105" s="73" t="n">
        <f aca="false">L91+L77+L78+L68</f>
        <v>92878.5458847619</v>
      </c>
      <c r="M105" s="73" t="n">
        <f aca="false">M91+M77+M78+M68</f>
        <v>87131.5102752381</v>
      </c>
      <c r="N105" s="73" t="n">
        <f aca="false">N91+N77+N78+N68</f>
        <v>76963.5009857143</v>
      </c>
      <c r="O105" s="73" t="n">
        <f aca="false">O91+O77+O78+O68</f>
        <v>67191.7044668952</v>
      </c>
      <c r="P105" s="73" t="n">
        <f aca="false">P91+P77+P78+P68</f>
        <v>57395.4743206095</v>
      </c>
      <c r="Q105" s="73" t="n">
        <f aca="false">Q91+Q77+Q78+Q68</f>
        <v>52121.8559279238</v>
      </c>
      <c r="R105" s="73" t="n">
        <f aca="false">R91+R77+R78+R68</f>
        <v>46178.0946776381</v>
      </c>
      <c r="S105" s="73" t="n">
        <f aca="false">S91+S77+S78+S68</f>
        <v>40245.5834273524</v>
      </c>
      <c r="T105" s="73" t="n">
        <f aca="false">T91+T77+T78+T68</f>
        <v>34324.3221770667</v>
      </c>
      <c r="U105" s="73" t="n">
        <f aca="false">U91+U77+U78+U68</f>
        <v>28414.310926781</v>
      </c>
      <c r="V105" s="73" t="n">
        <f aca="false">V91+V77+V78+V68</f>
        <v>22515.5496764952</v>
      </c>
      <c r="W105" s="73" t="n">
        <f aca="false">W91+W77+W78+W68</f>
        <v>16628.0384262095</v>
      </c>
      <c r="X105" s="73" t="n">
        <f aca="false">X91+X77+X78+X68</f>
        <v>10751.7771759238</v>
      </c>
      <c r="Y105" s="73" t="n">
        <f aca="false">Y91+Y77+Y78+Y68</f>
        <v>4886.7659256381</v>
      </c>
      <c r="Z105" s="73" t="n">
        <f aca="false">Z91+Z77+Z78+Z68</f>
        <v>-5478.35707824762</v>
      </c>
      <c r="AA105" s="73" t="n">
        <f aca="false">AA91+AA77+AA78+AA68</f>
        <v>-15444.0917325859</v>
      </c>
      <c r="AB105" s="73" t="n">
        <f aca="false">AB91+AB77+AB78+AB68</f>
        <v>-25435.1396522735</v>
      </c>
      <c r="AC105" s="73" t="n">
        <f aca="false">AC91+AC77+AC78+AC68</f>
        <v>-30823.2352392892</v>
      </c>
      <c r="AD105" s="73" t="n">
        <f aca="false">AD91+AD77+AD78+AD68</f>
        <v>-36896.3886450568</v>
      </c>
      <c r="AE105" s="73" t="n">
        <f aca="false">AE91+AE77+AE78+AE68</f>
        <v>-42958.2920508244</v>
      </c>
      <c r="AF105" s="73" t="n">
        <f aca="false">AF91+AF77+AF78+AF68</f>
        <v>-49008.945456592</v>
      </c>
      <c r="AG105" s="73" t="n">
        <f aca="false">AG91+AG77+AG78+AG68</f>
        <v>-55048.3488623596</v>
      </c>
      <c r="AH105" s="73" t="n">
        <f aca="false">AH91+AH77+AH78+AH68</f>
        <v>-61076.5022681272</v>
      </c>
      <c r="AI105" s="73" t="n">
        <f aca="false">AI91+AI77+AI78+AI68</f>
        <v>-67093.4056738948</v>
      </c>
      <c r="AJ105" s="73" t="n">
        <f aca="false">AJ91+AJ77+AJ78+AJ68</f>
        <v>-73099.0590796625</v>
      </c>
      <c r="AK105" s="73" t="n">
        <f aca="false">AK91+AK77+AK78+AK68</f>
        <v>-79093.4624854301</v>
      </c>
      <c r="AL105" s="73" t="n">
        <f aca="false">AL91+AL77+AL78+AL68</f>
        <v>-89668.3182238697</v>
      </c>
    </row>
    <row r="106" customFormat="false" ht="15" hidden="false" customHeight="false" outlineLevel="0" collapsed="false">
      <c r="A106" s="6" t="s">
        <v>96</v>
      </c>
      <c r="C106" s="67" t="n">
        <f aca="false">C79+C74</f>
        <v>90551.8536473333</v>
      </c>
      <c r="D106" s="67" t="n">
        <f aca="false">D79+D74</f>
        <v>89165.7282094815</v>
      </c>
      <c r="E106" s="67" t="n">
        <f aca="false">E79+E74</f>
        <v>88109.3076622963</v>
      </c>
      <c r="F106" s="67" t="n">
        <f aca="false">F79+F74</f>
        <v>86771.3413657778</v>
      </c>
      <c r="G106" s="67" t="n">
        <f aca="false">G79+G74</f>
        <v>85433.3750692593</v>
      </c>
      <c r="H106" s="67" t="n">
        <f aca="false">H79+H74</f>
        <v>84095.4087727408</v>
      </c>
      <c r="I106" s="67" t="n">
        <f aca="false">I79+I74</f>
        <v>82757.4424762222</v>
      </c>
      <c r="J106" s="67" t="n">
        <f aca="false">J79+J74</f>
        <v>81419.4761797037</v>
      </c>
      <c r="K106" s="67" t="n">
        <f aca="false">K79+K74</f>
        <v>80081.5098831852</v>
      </c>
      <c r="L106" s="67" t="n">
        <f aca="false">L79+L74</f>
        <v>78743.5435866667</v>
      </c>
      <c r="M106" s="67" t="n">
        <f aca="false">M79+M74</f>
        <v>77243.5435866667</v>
      </c>
      <c r="N106" s="67" t="n">
        <f aca="false">N79+N74</f>
        <v>75076.7247066667</v>
      </c>
      <c r="O106" s="67" t="n">
        <f aca="false">O79+O74</f>
        <v>73612.4083341333</v>
      </c>
      <c r="P106" s="67" t="n">
        <f aca="false">P79+P74</f>
        <v>72112.4083341333</v>
      </c>
      <c r="Q106" s="67" t="n">
        <f aca="false">Q79+Q74</f>
        <v>71293.8011917333</v>
      </c>
      <c r="R106" s="67" t="n">
        <f aca="false">R79+R74</f>
        <v>69793.8011917333</v>
      </c>
      <c r="S106" s="67" t="n">
        <f aca="false">S79+S74</f>
        <v>68293.8011917333</v>
      </c>
      <c r="T106" s="67" t="n">
        <f aca="false">T79+T74</f>
        <v>66793.8011917333</v>
      </c>
      <c r="U106" s="67" t="n">
        <f aca="false">U79+U74</f>
        <v>65293.8011917333</v>
      </c>
      <c r="V106" s="67" t="n">
        <f aca="false">V79+V74</f>
        <v>63793.8011917333</v>
      </c>
      <c r="W106" s="67" t="n">
        <f aca="false">W79+W74</f>
        <v>62293.8011917333</v>
      </c>
      <c r="X106" s="67" t="n">
        <f aca="false">X79+X74</f>
        <v>60793.8011917333</v>
      </c>
      <c r="Y106" s="67" t="n">
        <f aca="false">Y79+Y74</f>
        <v>59293.8011917333</v>
      </c>
      <c r="Z106" s="67" t="n">
        <f aca="false">Z79+Z74</f>
        <v>57112.4083341333</v>
      </c>
      <c r="AA106" s="67" t="n">
        <f aca="false">AA79+AA74</f>
        <v>55648.9715994827</v>
      </c>
      <c r="AB106" s="67" t="n">
        <f aca="false">AB79+AB74</f>
        <v>54148.9715994827</v>
      </c>
      <c r="AC106" s="67" t="n">
        <f aca="false">AC79+AC74</f>
        <v>53345.2794182347</v>
      </c>
      <c r="AD106" s="67" t="n">
        <f aca="false">AD79+AD74</f>
        <v>51845.2794182347</v>
      </c>
      <c r="AE106" s="67" t="n">
        <f aca="false">AE79+AE74</f>
        <v>50345.2794182347</v>
      </c>
      <c r="AF106" s="67" t="n">
        <f aca="false">AF79+AF74</f>
        <v>48845.2794182347</v>
      </c>
      <c r="AG106" s="67" t="n">
        <f aca="false">AG79+AG74</f>
        <v>47345.2794182347</v>
      </c>
      <c r="AH106" s="67" t="n">
        <f aca="false">AH79+AH74</f>
        <v>45845.2794182347</v>
      </c>
      <c r="AI106" s="67" t="n">
        <f aca="false">AI79+AI74</f>
        <v>44345.2794182347</v>
      </c>
      <c r="AJ106" s="67" t="n">
        <f aca="false">AJ79+AJ74</f>
        <v>42845.2794182347</v>
      </c>
      <c r="AK106" s="67" t="n">
        <f aca="false">AK79+AK74</f>
        <v>41345.2794182347</v>
      </c>
      <c r="AL106" s="67" t="n">
        <f aca="false">AL79+AL74</f>
        <v>39148.9715994827</v>
      </c>
    </row>
    <row r="107" customFormat="false" ht="15" hidden="false" customHeight="false" outlineLevel="0" collapsed="false">
      <c r="A107" s="6" t="s">
        <v>99</v>
      </c>
      <c r="C107" s="67" t="n">
        <f aca="false">C103+C104</f>
        <v>86463.4491304762</v>
      </c>
      <c r="D107" s="67" t="n">
        <f aca="false">D103+D104</f>
        <v>73534.4383120635</v>
      </c>
      <c r="E107" s="67" t="n">
        <f aca="false">E103+E104</f>
        <v>62942.8649180952</v>
      </c>
      <c r="F107" s="67" t="n">
        <f aca="false">F103+F104</f>
        <v>53256.0469219048</v>
      </c>
      <c r="G107" s="67" t="n">
        <f aca="false">G103+G104</f>
        <v>44473.9843234921</v>
      </c>
      <c r="H107" s="67" t="n">
        <f aca="false">H103+H104</f>
        <v>36596.6771228571</v>
      </c>
      <c r="I107" s="67" t="n">
        <f aca="false">I103+I104</f>
        <v>29624.12532</v>
      </c>
      <c r="J107" s="67" t="n">
        <f aca="false">J103+J104</f>
        <v>23556.3289149206</v>
      </c>
      <c r="K107" s="67" t="n">
        <f aca="false">K103+K104</f>
        <v>18393.287907619</v>
      </c>
      <c r="L107" s="67" t="n">
        <f aca="false">L103+L104</f>
        <v>14135.0022980952</v>
      </c>
      <c r="M107" s="67" t="n">
        <f aca="false">M103+M104</f>
        <v>9887.96668857143</v>
      </c>
      <c r="N107" s="67" t="n">
        <f aca="false">N103+N104</f>
        <v>1886.77627904761</v>
      </c>
      <c r="O107" s="67" t="n">
        <f aca="false">O103+O104</f>
        <v>-6420.7038672381</v>
      </c>
      <c r="P107" s="67" t="n">
        <f aca="false">P103+P104</f>
        <v>-14716.9340135238</v>
      </c>
      <c r="Q107" s="67" t="n">
        <f aca="false">Q103+Q104</f>
        <v>-19171.9452638095</v>
      </c>
      <c r="R107" s="67" t="n">
        <f aca="false">R103+R104</f>
        <v>-23615.7065140952</v>
      </c>
      <c r="S107" s="67" t="n">
        <f aca="false">S103+S104</f>
        <v>-28048.217764381</v>
      </c>
      <c r="T107" s="67" t="n">
        <f aca="false">T103+T104</f>
        <v>-32469.4790146667</v>
      </c>
      <c r="U107" s="67" t="n">
        <f aca="false">U103+U104</f>
        <v>-36879.4902649524</v>
      </c>
      <c r="V107" s="67" t="n">
        <f aca="false">V103+V104</f>
        <v>-41278.2515152381</v>
      </c>
      <c r="W107" s="67" t="n">
        <f aca="false">W103+W104</f>
        <v>-45665.7627655239</v>
      </c>
      <c r="X107" s="67" t="n">
        <f aca="false">X103+X104</f>
        <v>-50042.0240158096</v>
      </c>
      <c r="Y107" s="67" t="n">
        <f aca="false">Y103+Y104</f>
        <v>-54407.0352660953</v>
      </c>
      <c r="Z107" s="67" t="n">
        <f aca="false">Z103+Z104</f>
        <v>-62590.765412381</v>
      </c>
      <c r="AA107" s="67" t="n">
        <f aca="false">AA103+AA104</f>
        <v>-71093.0633320687</v>
      </c>
      <c r="AB107" s="67" t="n">
        <f aca="false">AB103+AB104</f>
        <v>-79584.1112517563</v>
      </c>
      <c r="AC107" s="67" t="n">
        <f aca="false">AC103+AC104</f>
        <v>-84168.5146575239</v>
      </c>
      <c r="AD107" s="67" t="n">
        <f aca="false">AD103+AD104</f>
        <v>-88741.6680632915</v>
      </c>
      <c r="AE107" s="67" t="n">
        <f aca="false">AE103+AE104</f>
        <v>-93303.5714690591</v>
      </c>
      <c r="AF107" s="67" t="n">
        <f aca="false">AF103+AF104</f>
        <v>-97854.2248748267</v>
      </c>
      <c r="AG107" s="67" t="n">
        <f aca="false">AG103+AG104</f>
        <v>-102393.628280594</v>
      </c>
      <c r="AH107" s="67" t="n">
        <f aca="false">AH103+AH104</f>
        <v>-106921.781686362</v>
      </c>
      <c r="AI107" s="67" t="n">
        <f aca="false">AI103+AI104</f>
        <v>-111438.685092129</v>
      </c>
      <c r="AJ107" s="67" t="n">
        <f aca="false">AJ103+AJ104</f>
        <v>-115944.338497897</v>
      </c>
      <c r="AK107" s="67" t="n">
        <f aca="false">AK103+AK104</f>
        <v>-120438.741903665</v>
      </c>
      <c r="AL107" s="67" t="n">
        <f aca="false">AL103+AL104</f>
        <v>-128817.289823352</v>
      </c>
    </row>
    <row r="108" customFormat="false" ht="15" hidden="false" customHeight="false" outlineLevel="0" collapsed="false">
      <c r="A108" s="4" t="s">
        <v>100</v>
      </c>
      <c r="C108" s="73" t="n">
        <f aca="false">C106+C107</f>
        <v>177015.30277781</v>
      </c>
      <c r="D108" s="73" t="n">
        <f aca="false">D106+D107</f>
        <v>162700.166521545</v>
      </c>
      <c r="E108" s="73" t="n">
        <f aca="false">E106+E107</f>
        <v>151052.172580392</v>
      </c>
      <c r="F108" s="73" t="n">
        <f aca="false">F106+F107</f>
        <v>140027.388287683</v>
      </c>
      <c r="G108" s="73" t="n">
        <f aca="false">G106+G107</f>
        <v>129907.359392751</v>
      </c>
      <c r="H108" s="73" t="n">
        <f aca="false">H106+H107</f>
        <v>120692.085895598</v>
      </c>
      <c r="I108" s="73" t="n">
        <f aca="false">I106+I107</f>
        <v>112381.567796222</v>
      </c>
      <c r="J108" s="73" t="n">
        <f aca="false">J106+J107</f>
        <v>104975.805094624</v>
      </c>
      <c r="K108" s="73" t="n">
        <f aca="false">K106+K107</f>
        <v>98474.7977908042</v>
      </c>
      <c r="L108" s="73" t="n">
        <f aca="false">L106+L107</f>
        <v>92878.5458847619</v>
      </c>
      <c r="M108" s="73" t="n">
        <f aca="false">M106+M107</f>
        <v>87131.5102752381</v>
      </c>
      <c r="N108" s="73" t="n">
        <f aca="false">N106+N107</f>
        <v>76963.5009857143</v>
      </c>
      <c r="O108" s="73" t="n">
        <f aca="false">O106+O107</f>
        <v>67191.7044668952</v>
      </c>
      <c r="P108" s="73" t="n">
        <f aca="false">P106+P107</f>
        <v>57395.4743206095</v>
      </c>
      <c r="Q108" s="73" t="n">
        <f aca="false">Q106+Q107</f>
        <v>52121.8559279238</v>
      </c>
      <c r="R108" s="73" t="n">
        <f aca="false">R106+R107</f>
        <v>46178.0946776381</v>
      </c>
      <c r="S108" s="73" t="n">
        <f aca="false">S106+S107</f>
        <v>40245.5834273524</v>
      </c>
      <c r="T108" s="73" t="n">
        <f aca="false">T106+T107</f>
        <v>34324.3221770666</v>
      </c>
      <c r="U108" s="73" t="n">
        <f aca="false">U106+U107</f>
        <v>28414.3109267809</v>
      </c>
      <c r="V108" s="73" t="n">
        <f aca="false">V106+V107</f>
        <v>22515.5496764952</v>
      </c>
      <c r="W108" s="73" t="n">
        <f aca="false">W106+W107</f>
        <v>16628.0384262095</v>
      </c>
      <c r="X108" s="73" t="n">
        <f aca="false">X106+X107</f>
        <v>10751.7771759238</v>
      </c>
      <c r="Y108" s="73" t="n">
        <f aca="false">Y106+Y107</f>
        <v>4886.76592563803</v>
      </c>
      <c r="Z108" s="73" t="n">
        <f aca="false">Z106+Z107</f>
        <v>-5478.3570782477</v>
      </c>
      <c r="AA108" s="73" t="n">
        <f aca="false">AA106+AA107</f>
        <v>-15444.091732586</v>
      </c>
      <c r="AB108" s="73" t="n">
        <f aca="false">AB106+AB107</f>
        <v>-25435.1396522736</v>
      </c>
      <c r="AC108" s="73" t="n">
        <f aca="false">AC106+AC107</f>
        <v>-30823.2352392892</v>
      </c>
      <c r="AD108" s="73" t="n">
        <f aca="false">AD106+AD107</f>
        <v>-36896.3886450568</v>
      </c>
      <c r="AE108" s="73" t="n">
        <f aca="false">AE106+AE107</f>
        <v>-42958.2920508244</v>
      </c>
      <c r="AF108" s="73" t="n">
        <f aca="false">AF106+AF107</f>
        <v>-49008.945456592</v>
      </c>
      <c r="AG108" s="73" t="n">
        <f aca="false">AG106+AG107</f>
        <v>-55048.3488623596</v>
      </c>
      <c r="AH108" s="73" t="n">
        <f aca="false">AH106+AH107</f>
        <v>-61076.5022681272</v>
      </c>
      <c r="AI108" s="73" t="n">
        <f aca="false">AI106+AI107</f>
        <v>-67093.4056738948</v>
      </c>
      <c r="AJ108" s="73" t="n">
        <f aca="false">AJ106+AJ107</f>
        <v>-73099.0590796624</v>
      </c>
      <c r="AK108" s="73" t="n">
        <f aca="false">AK106+AK107</f>
        <v>-79093.46248543</v>
      </c>
      <c r="AL108" s="73" t="n">
        <f aca="false">AL106+AL107</f>
        <v>-89668.3182238696</v>
      </c>
    </row>
    <row r="109" customFormat="false" ht="15" hidden="false" customHeight="false" outlineLevel="0" collapsed="false">
      <c r="A109" s="6" t="s">
        <v>428</v>
      </c>
      <c r="C109" s="67" t="n">
        <f aca="false">C105-C108</f>
        <v>0</v>
      </c>
      <c r="D109" s="67" t="n">
        <f aca="false">D105-D108</f>
        <v>0</v>
      </c>
      <c r="E109" s="67" t="n">
        <f aca="false">E105-E108</f>
        <v>0</v>
      </c>
      <c r="F109" s="67" t="n">
        <f aca="false">F105-F108</f>
        <v>0</v>
      </c>
      <c r="G109" s="67" t="n">
        <f aca="false">G105-G108</f>
        <v>0</v>
      </c>
      <c r="H109" s="67" t="n">
        <f aca="false">H105-H108</f>
        <v>0</v>
      </c>
      <c r="I109" s="67" t="n">
        <f aca="false">I105-I108</f>
        <v>0</v>
      </c>
      <c r="J109" s="67" t="n">
        <f aca="false">J105-J108</f>
        <v>0</v>
      </c>
      <c r="K109" s="67" t="n">
        <f aca="false">K105-K108</f>
        <v>0</v>
      </c>
      <c r="L109" s="67" t="n">
        <f aca="false">L105-L108</f>
        <v>0</v>
      </c>
      <c r="M109" s="67" t="n">
        <f aca="false">M105-M108</f>
        <v>0</v>
      </c>
      <c r="N109" s="67" t="n">
        <f aca="false">N105-N108</f>
        <v>0</v>
      </c>
      <c r="O109" s="67" t="n">
        <f aca="false">O105-O108</f>
        <v>0</v>
      </c>
      <c r="P109" s="67" t="n">
        <f aca="false">P105-P108</f>
        <v>0</v>
      </c>
      <c r="Q109" s="67" t="n">
        <f aca="false">Q105-Q108</f>
        <v>0</v>
      </c>
      <c r="R109" s="67" t="n">
        <f aca="false">R105-R108</f>
        <v>0</v>
      </c>
      <c r="S109" s="67" t="n">
        <f aca="false">S105-S108</f>
        <v>0</v>
      </c>
      <c r="T109" s="67" t="n">
        <f aca="false">T105-T108</f>
        <v>0</v>
      </c>
      <c r="U109" s="67" t="n">
        <f aca="false">U105-U108</f>
        <v>0</v>
      </c>
      <c r="V109" s="67" t="n">
        <f aca="false">V105-V108</f>
        <v>0</v>
      </c>
      <c r="W109" s="67" t="n">
        <f aca="false">W105-W108</f>
        <v>0</v>
      </c>
      <c r="X109" s="67" t="n">
        <f aca="false">X105-X108</f>
        <v>5.82076609134674E-011</v>
      </c>
      <c r="Y109" s="67" t="n">
        <f aca="false">Y105-Y108</f>
        <v>7.27595761418343E-011</v>
      </c>
      <c r="Z109" s="67" t="n">
        <f aca="false">Z105-Z108</f>
        <v>8.73114913702011E-011</v>
      </c>
      <c r="AA109" s="67" t="n">
        <f aca="false">AA105-AA108</f>
        <v>7.27595761418343E-011</v>
      </c>
      <c r="AB109" s="67" t="n">
        <f aca="false">AB105-AB108</f>
        <v>0</v>
      </c>
      <c r="AC109" s="67" t="n">
        <f aca="false">AC105-AC108</f>
        <v>0</v>
      </c>
      <c r="AD109" s="67" t="n">
        <f aca="false">AD105-AD108</f>
        <v>0</v>
      </c>
      <c r="AE109" s="67" t="n">
        <f aca="false">AE105-AE108</f>
        <v>0</v>
      </c>
      <c r="AF109" s="67" t="n">
        <f aca="false">AF105-AF108</f>
        <v>0</v>
      </c>
      <c r="AG109" s="67" t="n">
        <f aca="false">AG105-AG108</f>
        <v>0</v>
      </c>
      <c r="AH109" s="67" t="n">
        <f aca="false">AH105-AH108</f>
        <v>0</v>
      </c>
      <c r="AI109" s="67" t="n">
        <f aca="false">AI105-AI108</f>
        <v>0</v>
      </c>
      <c r="AJ109" s="67" t="n">
        <f aca="false">AJ105-AJ108</f>
        <v>0</v>
      </c>
      <c r="AK109" s="67" t="n">
        <f aca="false">AK105-AK108</f>
        <v>0</v>
      </c>
      <c r="AL109" s="67" t="n">
        <f aca="false">AL105-AL108</f>
        <v>0</v>
      </c>
    </row>
    <row r="111" customFormat="false" ht="15.75" hidden="false" customHeight="true" outlineLevel="0" collapsed="false">
      <c r="A111" s="7" t="s">
        <v>430</v>
      </c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</row>
    <row r="112" customFormat="false" ht="15" hidden="false" customHeight="false" outlineLevel="0" collapsed="false">
      <c r="A112" s="6" t="s">
        <v>431</v>
      </c>
      <c r="C112" s="118" t="n">
        <f aca="false">Inputs!$B$55*(1+Inputs!$B$57)^(C$7-1)*MAX(0,MIN(1,C$6*1-Inputs!$B$58+1))/1</f>
        <v>1</v>
      </c>
      <c r="D112" s="118" t="n">
        <f aca="false">Inputs!$B$55*(1+Inputs!$B$57)^(D$7-1)*MAX(0,MIN(1,D$6*1-Inputs!$B$58+1))/1</f>
        <v>1</v>
      </c>
      <c r="E112" s="118" t="n">
        <f aca="false">Inputs!$B$55*(1+Inputs!$B$57)^(E$7-1)*MAX(0,MIN(1,E$6*1-Inputs!$B$58+1))/1</f>
        <v>1</v>
      </c>
      <c r="F112" s="118" t="n">
        <f aca="false">Inputs!$B$55*(1+Inputs!$B$57)^(F$7-1)*MAX(0,MIN(1,F$6*1-Inputs!$B$58+1))/1</f>
        <v>1</v>
      </c>
      <c r="G112" s="118" t="n">
        <f aca="false">Inputs!$B$55*(1+Inputs!$B$57)^(G$7-1)*MAX(0,MIN(1,G$6*1-Inputs!$B$58+1))/1</f>
        <v>1</v>
      </c>
      <c r="H112" s="118" t="n">
        <f aca="false">Inputs!$B$55*(1+Inputs!$B$57)^(H$7-1)*MAX(0,MIN(1,H$6*1-Inputs!$B$58+1))/1</f>
        <v>1</v>
      </c>
      <c r="I112" s="118" t="n">
        <f aca="false">Inputs!$B$55*(1+Inputs!$B$57)^(I$7-1)*MAX(0,MIN(1,I$6*1-Inputs!$B$58+1))/1</f>
        <v>1</v>
      </c>
      <c r="J112" s="118" t="n">
        <f aca="false">Inputs!$B$55*(1+Inputs!$B$57)^(J$7-1)*MAX(0,MIN(1,J$6*1-Inputs!$B$58+1))/1</f>
        <v>1</v>
      </c>
      <c r="K112" s="118" t="n">
        <f aca="false">Inputs!$B$55*(1+Inputs!$B$57)^(K$7-1)*MAX(0,MIN(1,K$6*1-Inputs!$B$58+1))/1</f>
        <v>1</v>
      </c>
      <c r="L112" s="118" t="n">
        <f aca="false">Inputs!$B$55*(1+Inputs!$B$57)^(L$7-1)*MAX(0,MIN(1,L$6*1-Inputs!$B$58+1))/1</f>
        <v>1</v>
      </c>
      <c r="M112" s="118" t="n">
        <f aca="false">Inputs!$B$55*(1+Inputs!$B$57)^(M$7-1)*MAX(0,MIN(1,M$6*1-Inputs!$B$58+1))/1</f>
        <v>1</v>
      </c>
      <c r="N112" s="118" t="n">
        <f aca="false">Inputs!$B$55*(1+Inputs!$B$57)^(N$7-1)*MAX(0,MIN(1,N$6*1-Inputs!$B$58+1))/1</f>
        <v>1</v>
      </c>
      <c r="O112" s="118" t="n">
        <f aca="false">Inputs!$B$55*(1+Inputs!$B$57)^(O$7-1)*MAX(0,MIN(1,O$6*1-Inputs!$B$58+1))/1</f>
        <v>1</v>
      </c>
      <c r="P112" s="118" t="n">
        <f aca="false">Inputs!$B$55*(1+Inputs!$B$57)^(P$7-1)*MAX(0,MIN(1,P$6*1-Inputs!$B$58+1))/1</f>
        <v>1</v>
      </c>
      <c r="Q112" s="118" t="n">
        <f aca="false">Inputs!$B$55*(1+Inputs!$B$57)^(Q$7-1)*MAX(0,MIN(1,Q$6*1-Inputs!$B$58+1))/1</f>
        <v>1</v>
      </c>
      <c r="R112" s="118" t="n">
        <f aca="false">Inputs!$B$55*(1+Inputs!$B$57)^(R$7-1)*MAX(0,MIN(1,R$6*1-Inputs!$B$58+1))/1</f>
        <v>1</v>
      </c>
      <c r="S112" s="118" t="n">
        <f aca="false">Inputs!$B$55*(1+Inputs!$B$57)^(S$7-1)*MAX(0,MIN(1,S$6*1-Inputs!$B$58+1))/1</f>
        <v>1</v>
      </c>
      <c r="T112" s="118" t="n">
        <f aca="false">Inputs!$B$55*(1+Inputs!$B$57)^(T$7-1)*MAX(0,MIN(1,T$6*1-Inputs!$B$58+1))/1</f>
        <v>1</v>
      </c>
      <c r="U112" s="118" t="n">
        <f aca="false">Inputs!$B$55*(1+Inputs!$B$57)^(U$7-1)*MAX(0,MIN(1,U$6*1-Inputs!$B$58+1))/1</f>
        <v>1</v>
      </c>
      <c r="V112" s="118" t="n">
        <f aca="false">Inputs!$B$55*(1+Inputs!$B$57)^(V$7-1)*MAX(0,MIN(1,V$6*1-Inputs!$B$58+1))/1</f>
        <v>1</v>
      </c>
      <c r="W112" s="118" t="n">
        <f aca="false">Inputs!$B$55*(1+Inputs!$B$57)^(W$7-1)*MAX(0,MIN(1,W$6*1-Inputs!$B$58+1))/1</f>
        <v>1</v>
      </c>
      <c r="X112" s="118" t="n">
        <f aca="false">Inputs!$B$55*(1+Inputs!$B$57)^(X$7-1)*MAX(0,MIN(1,X$6*1-Inputs!$B$58+1))/1</f>
        <v>1</v>
      </c>
      <c r="Y112" s="118" t="n">
        <f aca="false">Inputs!$B$55*(1+Inputs!$B$57)^(Y$7-1)*MAX(0,MIN(1,Y$6*1-Inputs!$B$58+1))/1</f>
        <v>1</v>
      </c>
      <c r="Z112" s="118" t="n">
        <f aca="false">Inputs!$B$55*(1+Inputs!$B$57)^(Z$7-1)*MAX(0,MIN(1,Z$6*1-Inputs!$B$58+1))/1</f>
        <v>1</v>
      </c>
      <c r="AA112" s="118" t="n">
        <f aca="false">Inputs!$B$55*(1+Inputs!$B$57)^(AA$7-1)*MAX(0,MIN(1,AA$6*1-Inputs!$B$58+1))/1</f>
        <v>1</v>
      </c>
      <c r="AB112" s="118" t="n">
        <f aca="false">Inputs!$B$55*(1+Inputs!$B$57)^(AB$7-1)*MAX(0,MIN(1,AB$6*1-Inputs!$B$58+1))/1</f>
        <v>1</v>
      </c>
      <c r="AC112" s="118" t="n">
        <f aca="false">Inputs!$B$55*(1+Inputs!$B$57)^(AC$7-1)*MAX(0,MIN(1,AC$6*1-Inputs!$B$58+1))/1</f>
        <v>1</v>
      </c>
      <c r="AD112" s="118" t="n">
        <f aca="false">Inputs!$B$55*(1+Inputs!$B$57)^(AD$7-1)*MAX(0,MIN(1,AD$6*1-Inputs!$B$58+1))/1</f>
        <v>1</v>
      </c>
      <c r="AE112" s="118" t="n">
        <f aca="false">Inputs!$B$55*(1+Inputs!$B$57)^(AE$7-1)*MAX(0,MIN(1,AE$6*1-Inputs!$B$58+1))/1</f>
        <v>1</v>
      </c>
      <c r="AF112" s="118" t="n">
        <f aca="false">Inputs!$B$55*(1+Inputs!$B$57)^(AF$7-1)*MAX(0,MIN(1,AF$6*1-Inputs!$B$58+1))/1</f>
        <v>1</v>
      </c>
      <c r="AG112" s="118" t="n">
        <f aca="false">Inputs!$B$55*(1+Inputs!$B$57)^(AG$7-1)*MAX(0,MIN(1,AG$6*1-Inputs!$B$58+1))/1</f>
        <v>1</v>
      </c>
      <c r="AH112" s="118" t="n">
        <f aca="false">Inputs!$B$55*(1+Inputs!$B$57)^(AH$7-1)*MAX(0,MIN(1,AH$6*1-Inputs!$B$58+1))/1</f>
        <v>1</v>
      </c>
      <c r="AI112" s="118" t="n">
        <f aca="false">Inputs!$B$55*(1+Inputs!$B$57)^(AI$7-1)*MAX(0,MIN(1,AI$6*1-Inputs!$B$58+1))/1</f>
        <v>1</v>
      </c>
      <c r="AJ112" s="118" t="n">
        <f aca="false">Inputs!$B$55*(1+Inputs!$B$57)^(AJ$7-1)*MAX(0,MIN(1,AJ$6*1-Inputs!$B$58+1))/1</f>
        <v>1</v>
      </c>
      <c r="AK112" s="118" t="n">
        <f aca="false">Inputs!$B$55*(1+Inputs!$B$57)^(AK$7-1)*MAX(0,MIN(1,AK$6*1-Inputs!$B$58+1))/1</f>
        <v>1</v>
      </c>
      <c r="AL112" s="118" t="n">
        <f aca="false">Inputs!$B$55*(1+Inputs!$B$57)^(AL$7-1)*MAX(0,MIN(1,AL$6*1-Inputs!$B$58+1))/1</f>
        <v>1</v>
      </c>
    </row>
    <row r="113" customFormat="false" ht="15" hidden="false" customHeight="false" outlineLevel="0" collapsed="false">
      <c r="A113" s="6" t="s">
        <v>432</v>
      </c>
      <c r="C113" s="118" t="n">
        <f aca="false">Inputs!$B$59*(1+Inputs!$B$61)^(C$7-1)*MAX(0,MIN(1,C$6*1-Inputs!$B$62+1))/1</f>
        <v>1.2</v>
      </c>
      <c r="D113" s="118" t="n">
        <f aca="false">Inputs!$B$59*(1+Inputs!$B$61)^(D$7-1)*MAX(0,MIN(1,D$6*1-Inputs!$B$62+1))/1</f>
        <v>1.2</v>
      </c>
      <c r="E113" s="118" t="n">
        <f aca="false">Inputs!$B$59*(1+Inputs!$B$61)^(E$7-1)*MAX(0,MIN(1,E$6*1-Inputs!$B$62+1))/1</f>
        <v>1.2</v>
      </c>
      <c r="F113" s="118" t="n">
        <f aca="false">Inputs!$B$59*(1+Inputs!$B$61)^(F$7-1)*MAX(0,MIN(1,F$6*1-Inputs!$B$62+1))/1</f>
        <v>1.2</v>
      </c>
      <c r="G113" s="118" t="n">
        <f aca="false">Inputs!$B$59*(1+Inputs!$B$61)^(G$7-1)*MAX(0,MIN(1,G$6*1-Inputs!$B$62+1))/1</f>
        <v>1.2</v>
      </c>
      <c r="H113" s="118" t="n">
        <f aca="false">Inputs!$B$59*(1+Inputs!$B$61)^(H$7-1)*MAX(0,MIN(1,H$6*1-Inputs!$B$62+1))/1</f>
        <v>1.2</v>
      </c>
      <c r="I113" s="118" t="n">
        <f aca="false">Inputs!$B$59*(1+Inputs!$B$61)^(I$7-1)*MAX(0,MIN(1,I$6*1-Inputs!$B$62+1))/1</f>
        <v>1.2</v>
      </c>
      <c r="J113" s="118" t="n">
        <f aca="false">Inputs!$B$59*(1+Inputs!$B$61)^(J$7-1)*MAX(0,MIN(1,J$6*1-Inputs!$B$62+1))/1</f>
        <v>1.2</v>
      </c>
      <c r="K113" s="118" t="n">
        <f aca="false">Inputs!$B$59*(1+Inputs!$B$61)^(K$7-1)*MAX(0,MIN(1,K$6*1-Inputs!$B$62+1))/1</f>
        <v>1.2</v>
      </c>
      <c r="L113" s="118" t="n">
        <f aca="false">Inputs!$B$59*(1+Inputs!$B$61)^(L$7-1)*MAX(0,MIN(1,L$6*1-Inputs!$B$62+1))/1</f>
        <v>1.2</v>
      </c>
      <c r="M113" s="118" t="n">
        <f aca="false">Inputs!$B$59*(1+Inputs!$B$61)^(M$7-1)*MAX(0,MIN(1,M$6*1-Inputs!$B$62+1))/1</f>
        <v>1.2</v>
      </c>
      <c r="N113" s="118" t="n">
        <f aca="false">Inputs!$B$59*(1+Inputs!$B$61)^(N$7-1)*MAX(0,MIN(1,N$6*1-Inputs!$B$62+1))/1</f>
        <v>1.2</v>
      </c>
      <c r="O113" s="118" t="n">
        <f aca="false">Inputs!$B$59*(1+Inputs!$B$61)^(O$7-1)*MAX(0,MIN(1,O$6*1-Inputs!$B$62+1))/1</f>
        <v>1.2</v>
      </c>
      <c r="P113" s="118" t="n">
        <f aca="false">Inputs!$B$59*(1+Inputs!$B$61)^(P$7-1)*MAX(0,MIN(1,P$6*1-Inputs!$B$62+1))/1</f>
        <v>1.2</v>
      </c>
      <c r="Q113" s="118" t="n">
        <f aca="false">Inputs!$B$59*(1+Inputs!$B$61)^(Q$7-1)*MAX(0,MIN(1,Q$6*1-Inputs!$B$62+1))/1</f>
        <v>1.2</v>
      </c>
      <c r="R113" s="118" t="n">
        <f aca="false">Inputs!$B$59*(1+Inputs!$B$61)^(R$7-1)*MAX(0,MIN(1,R$6*1-Inputs!$B$62+1))/1</f>
        <v>1.2</v>
      </c>
      <c r="S113" s="118" t="n">
        <f aca="false">Inputs!$B$59*(1+Inputs!$B$61)^(S$7-1)*MAX(0,MIN(1,S$6*1-Inputs!$B$62+1))/1</f>
        <v>1.2</v>
      </c>
      <c r="T113" s="118" t="n">
        <f aca="false">Inputs!$B$59*(1+Inputs!$B$61)^(T$7-1)*MAX(0,MIN(1,T$6*1-Inputs!$B$62+1))/1</f>
        <v>1.2</v>
      </c>
      <c r="U113" s="118" t="n">
        <f aca="false">Inputs!$B$59*(1+Inputs!$B$61)^(U$7-1)*MAX(0,MIN(1,U$6*1-Inputs!$B$62+1))/1</f>
        <v>1.2</v>
      </c>
      <c r="V113" s="118" t="n">
        <f aca="false">Inputs!$B$59*(1+Inputs!$B$61)^(V$7-1)*MAX(0,MIN(1,V$6*1-Inputs!$B$62+1))/1</f>
        <v>1.2</v>
      </c>
      <c r="W113" s="118" t="n">
        <f aca="false">Inputs!$B$59*(1+Inputs!$B$61)^(W$7-1)*MAX(0,MIN(1,W$6*1-Inputs!$B$62+1))/1</f>
        <v>1.2</v>
      </c>
      <c r="X113" s="118" t="n">
        <f aca="false">Inputs!$B$59*(1+Inputs!$B$61)^(X$7-1)*MAX(0,MIN(1,X$6*1-Inputs!$B$62+1))/1</f>
        <v>1.2</v>
      </c>
      <c r="Y113" s="118" t="n">
        <f aca="false">Inputs!$B$59*(1+Inputs!$B$61)^(Y$7-1)*MAX(0,MIN(1,Y$6*1-Inputs!$B$62+1))/1</f>
        <v>1.2</v>
      </c>
      <c r="Z113" s="118" t="n">
        <f aca="false">Inputs!$B$59*(1+Inputs!$B$61)^(Z$7-1)*MAX(0,MIN(1,Z$6*1-Inputs!$B$62+1))/1</f>
        <v>1.2</v>
      </c>
      <c r="AA113" s="118" t="n">
        <f aca="false">Inputs!$B$59*(1+Inputs!$B$61)^(AA$7-1)*MAX(0,MIN(1,AA$6*1-Inputs!$B$62+1))/1</f>
        <v>1.2</v>
      </c>
      <c r="AB113" s="118" t="n">
        <f aca="false">Inputs!$B$59*(1+Inputs!$B$61)^(AB$7-1)*MAX(0,MIN(1,AB$6*1-Inputs!$B$62+1))/1</f>
        <v>1.2</v>
      </c>
      <c r="AC113" s="118" t="n">
        <f aca="false">Inputs!$B$59*(1+Inputs!$B$61)^(AC$7-1)*MAX(0,MIN(1,AC$6*1-Inputs!$B$62+1))/1</f>
        <v>1.2</v>
      </c>
      <c r="AD113" s="118" t="n">
        <f aca="false">Inputs!$B$59*(1+Inputs!$B$61)^(AD$7-1)*MAX(0,MIN(1,AD$6*1-Inputs!$B$62+1))/1</f>
        <v>1.2</v>
      </c>
      <c r="AE113" s="118" t="n">
        <f aca="false">Inputs!$B$59*(1+Inputs!$B$61)^(AE$7-1)*MAX(0,MIN(1,AE$6*1-Inputs!$B$62+1))/1</f>
        <v>1.2</v>
      </c>
      <c r="AF113" s="118" t="n">
        <f aca="false">Inputs!$B$59*(1+Inputs!$B$61)^(AF$7-1)*MAX(0,MIN(1,AF$6*1-Inputs!$B$62+1))/1</f>
        <v>1.2</v>
      </c>
      <c r="AG113" s="118" t="n">
        <f aca="false">Inputs!$B$59*(1+Inputs!$B$61)^(AG$7-1)*MAX(0,MIN(1,AG$6*1-Inputs!$B$62+1))/1</f>
        <v>1.2</v>
      </c>
      <c r="AH113" s="118" t="n">
        <f aca="false">Inputs!$B$59*(1+Inputs!$B$61)^(AH$7-1)*MAX(0,MIN(1,AH$6*1-Inputs!$B$62+1))/1</f>
        <v>1.2</v>
      </c>
      <c r="AI113" s="118" t="n">
        <f aca="false">Inputs!$B$59*(1+Inputs!$B$61)^(AI$7-1)*MAX(0,MIN(1,AI$6*1-Inputs!$B$62+1))/1</f>
        <v>1.2</v>
      </c>
      <c r="AJ113" s="118" t="n">
        <f aca="false">Inputs!$B$59*(1+Inputs!$B$61)^(AJ$7-1)*MAX(0,MIN(1,AJ$6*1-Inputs!$B$62+1))/1</f>
        <v>1.2</v>
      </c>
      <c r="AK113" s="118" t="n">
        <f aca="false">Inputs!$B$59*(1+Inputs!$B$61)^(AK$7-1)*MAX(0,MIN(1,AK$6*1-Inputs!$B$62+1))/1</f>
        <v>1.2</v>
      </c>
      <c r="AL113" s="118" t="n">
        <f aca="false">Inputs!$B$59*(1+Inputs!$B$61)^(AL$7-1)*MAX(0,MIN(1,AL$6*1-Inputs!$B$62+1))/1</f>
        <v>1.2</v>
      </c>
    </row>
    <row r="114" customFormat="false" ht="15" hidden="false" customHeight="false" outlineLevel="0" collapsed="false">
      <c r="A114" s="6" t="s">
        <v>433</v>
      </c>
      <c r="C114" s="118" t="n">
        <f aca="false">Inputs!$B$63*(1+Inputs!$B$65)^(C$7-1)*MAX(0,MIN(1,C$6*1-Inputs!$B$66+1))/1</f>
        <v>1</v>
      </c>
      <c r="D114" s="118" t="n">
        <f aca="false">Inputs!$B$63*(1+Inputs!$B$65)^(D$7-1)*MAX(0,MIN(1,D$6*1-Inputs!$B$66+1))/1</f>
        <v>1</v>
      </c>
      <c r="E114" s="118" t="n">
        <f aca="false">Inputs!$B$63*(1+Inputs!$B$65)^(E$7-1)*MAX(0,MIN(1,E$6*1-Inputs!$B$66+1))/1</f>
        <v>1</v>
      </c>
      <c r="F114" s="118" t="n">
        <f aca="false">Inputs!$B$63*(1+Inputs!$B$65)^(F$7-1)*MAX(0,MIN(1,F$6*1-Inputs!$B$66+1))/1</f>
        <v>1</v>
      </c>
      <c r="G114" s="118" t="n">
        <f aca="false">Inputs!$B$63*(1+Inputs!$B$65)^(G$7-1)*MAX(0,MIN(1,G$6*1-Inputs!$B$66+1))/1</f>
        <v>1</v>
      </c>
      <c r="H114" s="118" t="n">
        <f aca="false">Inputs!$B$63*(1+Inputs!$B$65)^(H$7-1)*MAX(0,MIN(1,H$6*1-Inputs!$B$66+1))/1</f>
        <v>1</v>
      </c>
      <c r="I114" s="118" t="n">
        <f aca="false">Inputs!$B$63*(1+Inputs!$B$65)^(I$7-1)*MAX(0,MIN(1,I$6*1-Inputs!$B$66+1))/1</f>
        <v>1</v>
      </c>
      <c r="J114" s="118" t="n">
        <f aca="false">Inputs!$B$63*(1+Inputs!$B$65)^(J$7-1)*MAX(0,MIN(1,J$6*1-Inputs!$B$66+1))/1</f>
        <v>1</v>
      </c>
      <c r="K114" s="118" t="n">
        <f aca="false">Inputs!$B$63*(1+Inputs!$B$65)^(K$7-1)*MAX(0,MIN(1,K$6*1-Inputs!$B$66+1))/1</f>
        <v>1</v>
      </c>
      <c r="L114" s="118" t="n">
        <f aca="false">Inputs!$B$63*(1+Inputs!$B$65)^(L$7-1)*MAX(0,MIN(1,L$6*1-Inputs!$B$66+1))/1</f>
        <v>1</v>
      </c>
      <c r="M114" s="118" t="n">
        <f aca="false">Inputs!$B$63*(1+Inputs!$B$65)^(M$7-1)*MAX(0,MIN(1,M$6*1-Inputs!$B$66+1))/1</f>
        <v>1</v>
      </c>
      <c r="N114" s="118" t="n">
        <f aca="false">Inputs!$B$63*(1+Inputs!$B$65)^(N$7-1)*MAX(0,MIN(1,N$6*1-Inputs!$B$66+1))/1</f>
        <v>1</v>
      </c>
      <c r="O114" s="118" t="n">
        <f aca="false">Inputs!$B$63*(1+Inputs!$B$65)^(O$7-1)*MAX(0,MIN(1,O$6*1-Inputs!$B$66+1))/1</f>
        <v>1</v>
      </c>
      <c r="P114" s="118" t="n">
        <f aca="false">Inputs!$B$63*(1+Inputs!$B$65)^(P$7-1)*MAX(0,MIN(1,P$6*1-Inputs!$B$66+1))/1</f>
        <v>1</v>
      </c>
      <c r="Q114" s="118" t="n">
        <f aca="false">Inputs!$B$63*(1+Inputs!$B$65)^(Q$7-1)*MAX(0,MIN(1,Q$6*1-Inputs!$B$66+1))/1</f>
        <v>1</v>
      </c>
      <c r="R114" s="118" t="n">
        <f aca="false">Inputs!$B$63*(1+Inputs!$B$65)^(R$7-1)*MAX(0,MIN(1,R$6*1-Inputs!$B$66+1))/1</f>
        <v>1</v>
      </c>
      <c r="S114" s="118" t="n">
        <f aca="false">Inputs!$B$63*(1+Inputs!$B$65)^(S$7-1)*MAX(0,MIN(1,S$6*1-Inputs!$B$66+1))/1</f>
        <v>1</v>
      </c>
      <c r="T114" s="118" t="n">
        <f aca="false">Inputs!$B$63*(1+Inputs!$B$65)^(T$7-1)*MAX(0,MIN(1,T$6*1-Inputs!$B$66+1))/1</f>
        <v>1</v>
      </c>
      <c r="U114" s="118" t="n">
        <f aca="false">Inputs!$B$63*(1+Inputs!$B$65)^(U$7-1)*MAX(0,MIN(1,U$6*1-Inputs!$B$66+1))/1</f>
        <v>1</v>
      </c>
      <c r="V114" s="118" t="n">
        <f aca="false">Inputs!$B$63*(1+Inputs!$B$65)^(V$7-1)*MAX(0,MIN(1,V$6*1-Inputs!$B$66+1))/1</f>
        <v>1</v>
      </c>
      <c r="W114" s="118" t="n">
        <f aca="false">Inputs!$B$63*(1+Inputs!$B$65)^(W$7-1)*MAX(0,MIN(1,W$6*1-Inputs!$B$66+1))/1</f>
        <v>1</v>
      </c>
      <c r="X114" s="118" t="n">
        <f aca="false">Inputs!$B$63*(1+Inputs!$B$65)^(X$7-1)*MAX(0,MIN(1,X$6*1-Inputs!$B$66+1))/1</f>
        <v>1</v>
      </c>
      <c r="Y114" s="118" t="n">
        <f aca="false">Inputs!$B$63*(1+Inputs!$B$65)^(Y$7-1)*MAX(0,MIN(1,Y$6*1-Inputs!$B$66+1))/1</f>
        <v>1</v>
      </c>
      <c r="Z114" s="118" t="n">
        <f aca="false">Inputs!$B$63*(1+Inputs!$B$65)^(Z$7-1)*MAX(0,MIN(1,Z$6*1-Inputs!$B$66+1))/1</f>
        <v>1</v>
      </c>
      <c r="AA114" s="118" t="n">
        <f aca="false">Inputs!$B$63*(1+Inputs!$B$65)^(AA$7-1)*MAX(0,MIN(1,AA$6*1-Inputs!$B$66+1))/1</f>
        <v>1</v>
      </c>
      <c r="AB114" s="118" t="n">
        <f aca="false">Inputs!$B$63*(1+Inputs!$B$65)^(AB$7-1)*MAX(0,MIN(1,AB$6*1-Inputs!$B$66+1))/1</f>
        <v>1</v>
      </c>
      <c r="AC114" s="118" t="n">
        <f aca="false">Inputs!$B$63*(1+Inputs!$B$65)^(AC$7-1)*MAX(0,MIN(1,AC$6*1-Inputs!$B$66+1))/1</f>
        <v>1</v>
      </c>
      <c r="AD114" s="118" t="n">
        <f aca="false">Inputs!$B$63*(1+Inputs!$B$65)^(AD$7-1)*MAX(0,MIN(1,AD$6*1-Inputs!$B$66+1))/1</f>
        <v>1</v>
      </c>
      <c r="AE114" s="118" t="n">
        <f aca="false">Inputs!$B$63*(1+Inputs!$B$65)^(AE$7-1)*MAX(0,MIN(1,AE$6*1-Inputs!$B$66+1))/1</f>
        <v>1</v>
      </c>
      <c r="AF114" s="118" t="n">
        <f aca="false">Inputs!$B$63*(1+Inputs!$B$65)^(AF$7-1)*MAX(0,MIN(1,AF$6*1-Inputs!$B$66+1))/1</f>
        <v>1</v>
      </c>
      <c r="AG114" s="118" t="n">
        <f aca="false">Inputs!$B$63*(1+Inputs!$B$65)^(AG$7-1)*MAX(0,MIN(1,AG$6*1-Inputs!$B$66+1))/1</f>
        <v>1</v>
      </c>
      <c r="AH114" s="118" t="n">
        <f aca="false">Inputs!$B$63*(1+Inputs!$B$65)^(AH$7-1)*MAX(0,MIN(1,AH$6*1-Inputs!$B$66+1))/1</f>
        <v>1</v>
      </c>
      <c r="AI114" s="118" t="n">
        <f aca="false">Inputs!$B$63*(1+Inputs!$B$65)^(AI$7-1)*MAX(0,MIN(1,AI$6*1-Inputs!$B$66+1))/1</f>
        <v>1</v>
      </c>
      <c r="AJ114" s="118" t="n">
        <f aca="false">Inputs!$B$63*(1+Inputs!$B$65)^(AJ$7-1)*MAX(0,MIN(1,AJ$6*1-Inputs!$B$66+1))/1</f>
        <v>1</v>
      </c>
      <c r="AK114" s="118" t="n">
        <f aca="false">Inputs!$B$63*(1+Inputs!$B$65)^(AK$7-1)*MAX(0,MIN(1,AK$6*1-Inputs!$B$66+1))/1</f>
        <v>1</v>
      </c>
      <c r="AL114" s="118" t="n">
        <f aca="false">Inputs!$B$63*(1+Inputs!$B$65)^(AL$7-1)*MAX(0,MIN(1,AL$6*1-Inputs!$B$66+1))/1</f>
        <v>1</v>
      </c>
    </row>
    <row r="115" customFormat="false" ht="15" hidden="false" customHeight="false" outlineLevel="0" collapsed="false">
      <c r="A115" s="113" t="s">
        <v>434</v>
      </c>
      <c r="C115" s="122" t="n">
        <f aca="false">C112+C113+C114</f>
        <v>3.2</v>
      </c>
      <c r="D115" s="122" t="n">
        <f aca="false">D112+D113+D114</f>
        <v>3.2</v>
      </c>
      <c r="E115" s="122" t="n">
        <f aca="false">E112+E113+E114</f>
        <v>3.2</v>
      </c>
      <c r="F115" s="122" t="n">
        <f aca="false">F112+F113+F114</f>
        <v>3.2</v>
      </c>
      <c r="G115" s="122" t="n">
        <f aca="false">G112+G113+G114</f>
        <v>3.2</v>
      </c>
      <c r="H115" s="122" t="n">
        <f aca="false">H112+H113+H114</f>
        <v>3.2</v>
      </c>
      <c r="I115" s="122" t="n">
        <f aca="false">I112+I113+I114</f>
        <v>3.2</v>
      </c>
      <c r="J115" s="122" t="n">
        <f aca="false">J112+J113+J114</f>
        <v>3.2</v>
      </c>
      <c r="K115" s="122" t="n">
        <f aca="false">K112+K113+K114</f>
        <v>3.2</v>
      </c>
      <c r="L115" s="122" t="n">
        <f aca="false">L112+L113+L114</f>
        <v>3.2</v>
      </c>
      <c r="M115" s="122" t="n">
        <f aca="false">M112+M113+M114</f>
        <v>3.2</v>
      </c>
      <c r="N115" s="122" t="n">
        <f aca="false">N112+N113+N114</f>
        <v>3.2</v>
      </c>
      <c r="O115" s="122" t="n">
        <f aca="false">O112+O113+O114</f>
        <v>3.2</v>
      </c>
      <c r="P115" s="122" t="n">
        <f aca="false">P112+P113+P114</f>
        <v>3.2</v>
      </c>
      <c r="Q115" s="122" t="n">
        <f aca="false">Q112+Q113+Q114</f>
        <v>3.2</v>
      </c>
      <c r="R115" s="122" t="n">
        <f aca="false">R112+R113+R114</f>
        <v>3.2</v>
      </c>
      <c r="S115" s="122" t="n">
        <f aca="false">S112+S113+S114</f>
        <v>3.2</v>
      </c>
      <c r="T115" s="122" t="n">
        <f aca="false">T112+T113+T114</f>
        <v>3.2</v>
      </c>
      <c r="U115" s="122" t="n">
        <f aca="false">U112+U113+U114</f>
        <v>3.2</v>
      </c>
      <c r="V115" s="122" t="n">
        <f aca="false">V112+V113+V114</f>
        <v>3.2</v>
      </c>
      <c r="W115" s="122" t="n">
        <f aca="false">W112+W113+W114</f>
        <v>3.2</v>
      </c>
      <c r="X115" s="122" t="n">
        <f aca="false">X112+X113+X114</f>
        <v>3.2</v>
      </c>
      <c r="Y115" s="122" t="n">
        <f aca="false">Y112+Y113+Y114</f>
        <v>3.2</v>
      </c>
      <c r="Z115" s="122" t="n">
        <f aca="false">Z112+Z113+Z114</f>
        <v>3.2</v>
      </c>
      <c r="AA115" s="122" t="n">
        <f aca="false">AA112+AA113+AA114</f>
        <v>3.2</v>
      </c>
      <c r="AB115" s="122" t="n">
        <f aca="false">AB112+AB113+AB114</f>
        <v>3.2</v>
      </c>
      <c r="AC115" s="122" t="n">
        <f aca="false">AC112+AC113+AC114</f>
        <v>3.2</v>
      </c>
      <c r="AD115" s="122" t="n">
        <f aca="false">AD112+AD113+AD114</f>
        <v>3.2</v>
      </c>
      <c r="AE115" s="122" t="n">
        <f aca="false">AE112+AE113+AE114</f>
        <v>3.2</v>
      </c>
      <c r="AF115" s="122" t="n">
        <f aca="false">AF112+AF113+AF114</f>
        <v>3.2</v>
      </c>
      <c r="AG115" s="122" t="n">
        <f aca="false">AG112+AG113+AG114</f>
        <v>3.2</v>
      </c>
      <c r="AH115" s="122" t="n">
        <f aca="false">AH112+AH113+AH114</f>
        <v>3.2</v>
      </c>
      <c r="AI115" s="122" t="n">
        <f aca="false">AI112+AI113+AI114</f>
        <v>3.2</v>
      </c>
      <c r="AJ115" s="122" t="n">
        <f aca="false">AJ112+AJ113+AJ114</f>
        <v>3.2</v>
      </c>
      <c r="AK115" s="122" t="n">
        <f aca="false">AK112+AK113+AK114</f>
        <v>3.2</v>
      </c>
      <c r="AL115" s="122" t="n">
        <f aca="false">AL112+AL113+AL114</f>
        <v>3.2</v>
      </c>
    </row>
    <row r="117" customFormat="false" ht="15.75" hidden="false" customHeight="true" outlineLevel="0" collapsed="false">
      <c r="A117" s="7" t="s">
        <v>435</v>
      </c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</row>
    <row r="118" customFormat="false" ht="15" hidden="false" customHeight="false" outlineLevel="0" collapsed="false">
      <c r="A118" s="6" t="s">
        <v>436</v>
      </c>
      <c r="C118" s="67" t="n">
        <f aca="false">-C112*Inputs!$B$56/12*1*(1+Inputs!$B$67)*(1+Inputs!$B$68)^(C$7-1)</f>
        <v>-3360</v>
      </c>
      <c r="D118" s="67" t="n">
        <f aca="false">-D112*Inputs!$B$56/12*1*(1+Inputs!$B$67)*(1+Inputs!$B$68)^(D$7-1)</f>
        <v>-3360</v>
      </c>
      <c r="E118" s="67" t="n">
        <f aca="false">-E112*Inputs!$B$56/12*1*(1+Inputs!$B$67)*(1+Inputs!$B$68)^(E$7-1)</f>
        <v>-3360</v>
      </c>
      <c r="F118" s="67" t="n">
        <f aca="false">-F112*Inputs!$B$56/12*1*(1+Inputs!$B$67)*(1+Inputs!$B$68)^(F$7-1)</f>
        <v>-3360</v>
      </c>
      <c r="G118" s="67" t="n">
        <f aca="false">-G112*Inputs!$B$56/12*1*(1+Inputs!$B$67)*(1+Inputs!$B$68)^(G$7-1)</f>
        <v>-3360</v>
      </c>
      <c r="H118" s="67" t="n">
        <f aca="false">-H112*Inputs!$B$56/12*1*(1+Inputs!$B$67)*(1+Inputs!$B$68)^(H$7-1)</f>
        <v>-3360</v>
      </c>
      <c r="I118" s="67" t="n">
        <f aca="false">-I112*Inputs!$B$56/12*1*(1+Inputs!$B$67)*(1+Inputs!$B$68)^(I$7-1)</f>
        <v>-3360</v>
      </c>
      <c r="J118" s="67" t="n">
        <f aca="false">-J112*Inputs!$B$56/12*1*(1+Inputs!$B$67)*(1+Inputs!$B$68)^(J$7-1)</f>
        <v>-3360</v>
      </c>
      <c r="K118" s="67" t="n">
        <f aca="false">-K112*Inputs!$B$56/12*1*(1+Inputs!$B$67)*(1+Inputs!$B$68)^(K$7-1)</f>
        <v>-3360</v>
      </c>
      <c r="L118" s="67" t="n">
        <f aca="false">-L112*Inputs!$B$56/12*1*(1+Inputs!$B$67)*(1+Inputs!$B$68)^(L$7-1)</f>
        <v>-3360</v>
      </c>
      <c r="M118" s="67" t="n">
        <f aca="false">-M112*Inputs!$B$56/12*1*(1+Inputs!$B$67)*(1+Inputs!$B$68)^(M$7-1)</f>
        <v>-3360</v>
      </c>
      <c r="N118" s="67" t="n">
        <f aca="false">-N112*Inputs!$B$56/12*1*(1+Inputs!$B$67)*(1+Inputs!$B$68)^(N$7-1)</f>
        <v>-3360</v>
      </c>
      <c r="O118" s="67" t="n">
        <f aca="false">-O112*Inputs!$B$56/12*1*(1+Inputs!$B$67)*(1+Inputs!$B$68)^(O$7-1)</f>
        <v>-3460.8</v>
      </c>
      <c r="P118" s="67" t="n">
        <f aca="false">-P112*Inputs!$B$56/12*1*(1+Inputs!$B$67)*(1+Inputs!$B$68)^(P$7-1)</f>
        <v>-3460.8</v>
      </c>
      <c r="Q118" s="67" t="n">
        <f aca="false">-Q112*Inputs!$B$56/12*1*(1+Inputs!$B$67)*(1+Inputs!$B$68)^(Q$7-1)</f>
        <v>-3460.8</v>
      </c>
      <c r="R118" s="67" t="n">
        <f aca="false">-R112*Inputs!$B$56/12*1*(1+Inputs!$B$67)*(1+Inputs!$B$68)^(R$7-1)</f>
        <v>-3460.8</v>
      </c>
      <c r="S118" s="67" t="n">
        <f aca="false">-S112*Inputs!$B$56/12*1*(1+Inputs!$B$67)*(1+Inputs!$B$68)^(S$7-1)</f>
        <v>-3460.8</v>
      </c>
      <c r="T118" s="67" t="n">
        <f aca="false">-T112*Inputs!$B$56/12*1*(1+Inputs!$B$67)*(1+Inputs!$B$68)^(T$7-1)</f>
        <v>-3460.8</v>
      </c>
      <c r="U118" s="67" t="n">
        <f aca="false">-U112*Inputs!$B$56/12*1*(1+Inputs!$B$67)*(1+Inputs!$B$68)^(U$7-1)</f>
        <v>-3460.8</v>
      </c>
      <c r="V118" s="67" t="n">
        <f aca="false">-V112*Inputs!$B$56/12*1*(1+Inputs!$B$67)*(1+Inputs!$B$68)^(V$7-1)</f>
        <v>-3460.8</v>
      </c>
      <c r="W118" s="67" t="n">
        <f aca="false">-W112*Inputs!$B$56/12*1*(1+Inputs!$B$67)*(1+Inputs!$B$68)^(W$7-1)</f>
        <v>-3460.8</v>
      </c>
      <c r="X118" s="67" t="n">
        <f aca="false">-X112*Inputs!$B$56/12*1*(1+Inputs!$B$67)*(1+Inputs!$B$68)^(X$7-1)</f>
        <v>-3460.8</v>
      </c>
      <c r="Y118" s="67" t="n">
        <f aca="false">-Y112*Inputs!$B$56/12*1*(1+Inputs!$B$67)*(1+Inputs!$B$68)^(Y$7-1)</f>
        <v>-3460.8</v>
      </c>
      <c r="Z118" s="67" t="n">
        <f aca="false">-Z112*Inputs!$B$56/12*1*(1+Inputs!$B$67)*(1+Inputs!$B$68)^(Z$7-1)</f>
        <v>-3460.8</v>
      </c>
      <c r="AA118" s="67" t="n">
        <f aca="false">-AA112*Inputs!$B$56/12*1*(1+Inputs!$B$67)*(1+Inputs!$B$68)^(AA$7-1)</f>
        <v>-3564.624</v>
      </c>
      <c r="AB118" s="67" t="n">
        <f aca="false">-AB112*Inputs!$B$56/12*1*(1+Inputs!$B$67)*(1+Inputs!$B$68)^(AB$7-1)</f>
        <v>-3564.624</v>
      </c>
      <c r="AC118" s="67" t="n">
        <f aca="false">-AC112*Inputs!$B$56/12*1*(1+Inputs!$B$67)*(1+Inputs!$B$68)^(AC$7-1)</f>
        <v>-3564.624</v>
      </c>
      <c r="AD118" s="67" t="n">
        <f aca="false">-AD112*Inputs!$B$56/12*1*(1+Inputs!$B$67)*(1+Inputs!$B$68)^(AD$7-1)</f>
        <v>-3564.624</v>
      </c>
      <c r="AE118" s="67" t="n">
        <f aca="false">-AE112*Inputs!$B$56/12*1*(1+Inputs!$B$67)*(1+Inputs!$B$68)^(AE$7-1)</f>
        <v>-3564.624</v>
      </c>
      <c r="AF118" s="67" t="n">
        <f aca="false">-AF112*Inputs!$B$56/12*1*(1+Inputs!$B$67)*(1+Inputs!$B$68)^(AF$7-1)</f>
        <v>-3564.624</v>
      </c>
      <c r="AG118" s="67" t="n">
        <f aca="false">-AG112*Inputs!$B$56/12*1*(1+Inputs!$B$67)*(1+Inputs!$B$68)^(AG$7-1)</f>
        <v>-3564.624</v>
      </c>
      <c r="AH118" s="67" t="n">
        <f aca="false">-AH112*Inputs!$B$56/12*1*(1+Inputs!$B$67)*(1+Inputs!$B$68)^(AH$7-1)</f>
        <v>-3564.624</v>
      </c>
      <c r="AI118" s="67" t="n">
        <f aca="false">-AI112*Inputs!$B$56/12*1*(1+Inputs!$B$67)*(1+Inputs!$B$68)^(AI$7-1)</f>
        <v>-3564.624</v>
      </c>
      <c r="AJ118" s="67" t="n">
        <f aca="false">-AJ112*Inputs!$B$56/12*1*(1+Inputs!$B$67)*(1+Inputs!$B$68)^(AJ$7-1)</f>
        <v>-3564.624</v>
      </c>
      <c r="AK118" s="67" t="n">
        <f aca="false">-AK112*Inputs!$B$56/12*1*(1+Inputs!$B$67)*(1+Inputs!$B$68)^(AK$7-1)</f>
        <v>-3564.624</v>
      </c>
      <c r="AL118" s="67" t="n">
        <f aca="false">-AL112*Inputs!$B$56/12*1*(1+Inputs!$B$67)*(1+Inputs!$B$68)^(AL$7-1)</f>
        <v>-3564.624</v>
      </c>
    </row>
    <row r="119" customFormat="false" ht="15" hidden="false" customHeight="false" outlineLevel="0" collapsed="false">
      <c r="A119" s="6" t="s">
        <v>437</v>
      </c>
      <c r="C119" s="67" t="n">
        <f aca="false">-C113*Inputs!$B$60/12*1*(1+Inputs!$B$67)*(1+Inputs!$B$68)^(C$7-1)</f>
        <v>-3808</v>
      </c>
      <c r="D119" s="67" t="n">
        <f aca="false">-D113*Inputs!$B$60/12*1*(1+Inputs!$B$67)*(1+Inputs!$B$68)^(D$7-1)</f>
        <v>-3808</v>
      </c>
      <c r="E119" s="67" t="n">
        <f aca="false">-E113*Inputs!$B$60/12*1*(1+Inputs!$B$67)*(1+Inputs!$B$68)^(E$7-1)</f>
        <v>-3808</v>
      </c>
      <c r="F119" s="67" t="n">
        <f aca="false">-F113*Inputs!$B$60/12*1*(1+Inputs!$B$67)*(1+Inputs!$B$68)^(F$7-1)</f>
        <v>-3808</v>
      </c>
      <c r="G119" s="67" t="n">
        <f aca="false">-G113*Inputs!$B$60/12*1*(1+Inputs!$B$67)*(1+Inputs!$B$68)^(G$7-1)</f>
        <v>-3808</v>
      </c>
      <c r="H119" s="67" t="n">
        <f aca="false">-H113*Inputs!$B$60/12*1*(1+Inputs!$B$67)*(1+Inputs!$B$68)^(H$7-1)</f>
        <v>-3808</v>
      </c>
      <c r="I119" s="67" t="n">
        <f aca="false">-I113*Inputs!$B$60/12*1*(1+Inputs!$B$67)*(1+Inputs!$B$68)^(I$7-1)</f>
        <v>-3808</v>
      </c>
      <c r="J119" s="67" t="n">
        <f aca="false">-J113*Inputs!$B$60/12*1*(1+Inputs!$B$67)*(1+Inputs!$B$68)^(J$7-1)</f>
        <v>-3808</v>
      </c>
      <c r="K119" s="67" t="n">
        <f aca="false">-K113*Inputs!$B$60/12*1*(1+Inputs!$B$67)*(1+Inputs!$B$68)^(K$7-1)</f>
        <v>-3808</v>
      </c>
      <c r="L119" s="67" t="n">
        <f aca="false">-L113*Inputs!$B$60/12*1*(1+Inputs!$B$67)*(1+Inputs!$B$68)^(L$7-1)</f>
        <v>-3808</v>
      </c>
      <c r="M119" s="67" t="n">
        <f aca="false">-M113*Inputs!$B$60/12*1*(1+Inputs!$B$67)*(1+Inputs!$B$68)^(M$7-1)</f>
        <v>-3808</v>
      </c>
      <c r="N119" s="67" t="n">
        <f aca="false">-N113*Inputs!$B$60/12*1*(1+Inputs!$B$67)*(1+Inputs!$B$68)^(N$7-1)</f>
        <v>-3808</v>
      </c>
      <c r="O119" s="67" t="n">
        <f aca="false">-O113*Inputs!$B$60/12*1*(1+Inputs!$B$67)*(1+Inputs!$B$68)^(O$7-1)</f>
        <v>-3922.24</v>
      </c>
      <c r="P119" s="67" t="n">
        <f aca="false">-P113*Inputs!$B$60/12*1*(1+Inputs!$B$67)*(1+Inputs!$B$68)^(P$7-1)</f>
        <v>-3922.24</v>
      </c>
      <c r="Q119" s="67" t="n">
        <f aca="false">-Q113*Inputs!$B$60/12*1*(1+Inputs!$B$67)*(1+Inputs!$B$68)^(Q$7-1)</f>
        <v>-3922.24</v>
      </c>
      <c r="R119" s="67" t="n">
        <f aca="false">-R113*Inputs!$B$60/12*1*(1+Inputs!$B$67)*(1+Inputs!$B$68)^(R$7-1)</f>
        <v>-3922.24</v>
      </c>
      <c r="S119" s="67" t="n">
        <f aca="false">-S113*Inputs!$B$60/12*1*(1+Inputs!$B$67)*(1+Inputs!$B$68)^(S$7-1)</f>
        <v>-3922.24</v>
      </c>
      <c r="T119" s="67" t="n">
        <f aca="false">-T113*Inputs!$B$60/12*1*(1+Inputs!$B$67)*(1+Inputs!$B$68)^(T$7-1)</f>
        <v>-3922.24</v>
      </c>
      <c r="U119" s="67" t="n">
        <f aca="false">-U113*Inputs!$B$60/12*1*(1+Inputs!$B$67)*(1+Inputs!$B$68)^(U$7-1)</f>
        <v>-3922.24</v>
      </c>
      <c r="V119" s="67" t="n">
        <f aca="false">-V113*Inputs!$B$60/12*1*(1+Inputs!$B$67)*(1+Inputs!$B$68)^(V$7-1)</f>
        <v>-3922.24</v>
      </c>
      <c r="W119" s="67" t="n">
        <f aca="false">-W113*Inputs!$B$60/12*1*(1+Inputs!$B$67)*(1+Inputs!$B$68)^(W$7-1)</f>
        <v>-3922.24</v>
      </c>
      <c r="X119" s="67" t="n">
        <f aca="false">-X113*Inputs!$B$60/12*1*(1+Inputs!$B$67)*(1+Inputs!$B$68)^(X$7-1)</f>
        <v>-3922.24</v>
      </c>
      <c r="Y119" s="67" t="n">
        <f aca="false">-Y113*Inputs!$B$60/12*1*(1+Inputs!$B$67)*(1+Inputs!$B$68)^(Y$7-1)</f>
        <v>-3922.24</v>
      </c>
      <c r="Z119" s="67" t="n">
        <f aca="false">-Z113*Inputs!$B$60/12*1*(1+Inputs!$B$67)*(1+Inputs!$B$68)^(Z$7-1)</f>
        <v>-3922.24</v>
      </c>
      <c r="AA119" s="67" t="n">
        <f aca="false">-AA113*Inputs!$B$60/12*1*(1+Inputs!$B$67)*(1+Inputs!$B$68)^(AA$7-1)</f>
        <v>-4039.9072</v>
      </c>
      <c r="AB119" s="67" t="n">
        <f aca="false">-AB113*Inputs!$B$60/12*1*(1+Inputs!$B$67)*(1+Inputs!$B$68)^(AB$7-1)</f>
        <v>-4039.9072</v>
      </c>
      <c r="AC119" s="67" t="n">
        <f aca="false">-AC113*Inputs!$B$60/12*1*(1+Inputs!$B$67)*(1+Inputs!$B$68)^(AC$7-1)</f>
        <v>-4039.9072</v>
      </c>
      <c r="AD119" s="67" t="n">
        <f aca="false">-AD113*Inputs!$B$60/12*1*(1+Inputs!$B$67)*(1+Inputs!$B$68)^(AD$7-1)</f>
        <v>-4039.9072</v>
      </c>
      <c r="AE119" s="67" t="n">
        <f aca="false">-AE113*Inputs!$B$60/12*1*(1+Inputs!$B$67)*(1+Inputs!$B$68)^(AE$7-1)</f>
        <v>-4039.9072</v>
      </c>
      <c r="AF119" s="67" t="n">
        <f aca="false">-AF113*Inputs!$B$60/12*1*(1+Inputs!$B$67)*(1+Inputs!$B$68)^(AF$7-1)</f>
        <v>-4039.9072</v>
      </c>
      <c r="AG119" s="67" t="n">
        <f aca="false">-AG113*Inputs!$B$60/12*1*(1+Inputs!$B$67)*(1+Inputs!$B$68)^(AG$7-1)</f>
        <v>-4039.9072</v>
      </c>
      <c r="AH119" s="67" t="n">
        <f aca="false">-AH113*Inputs!$B$60/12*1*(1+Inputs!$B$67)*(1+Inputs!$B$68)^(AH$7-1)</f>
        <v>-4039.9072</v>
      </c>
      <c r="AI119" s="67" t="n">
        <f aca="false">-AI113*Inputs!$B$60/12*1*(1+Inputs!$B$67)*(1+Inputs!$B$68)^(AI$7-1)</f>
        <v>-4039.9072</v>
      </c>
      <c r="AJ119" s="67" t="n">
        <f aca="false">-AJ113*Inputs!$B$60/12*1*(1+Inputs!$B$67)*(1+Inputs!$B$68)^(AJ$7-1)</f>
        <v>-4039.9072</v>
      </c>
      <c r="AK119" s="67" t="n">
        <f aca="false">-AK113*Inputs!$B$60/12*1*(1+Inputs!$B$67)*(1+Inputs!$B$68)^(AK$7-1)</f>
        <v>-4039.9072</v>
      </c>
      <c r="AL119" s="67" t="n">
        <f aca="false">-AL113*Inputs!$B$60/12*1*(1+Inputs!$B$67)*(1+Inputs!$B$68)^(AL$7-1)</f>
        <v>-4039.9072</v>
      </c>
    </row>
    <row r="120" customFormat="false" ht="15" hidden="false" customHeight="false" outlineLevel="0" collapsed="false">
      <c r="A120" s="6" t="s">
        <v>438</v>
      </c>
      <c r="C120" s="67" t="n">
        <f aca="false">-C114*Inputs!$B$64/12*1*(1+Inputs!$B$67)*(1+Inputs!$B$68)^(C$7-1)</f>
        <v>-2706.66666666667</v>
      </c>
      <c r="D120" s="67" t="n">
        <f aca="false">-D114*Inputs!$B$64/12*1*(1+Inputs!$B$67)*(1+Inputs!$B$68)^(D$7-1)</f>
        <v>-2706.66666666667</v>
      </c>
      <c r="E120" s="67" t="n">
        <f aca="false">-E114*Inputs!$B$64/12*1*(1+Inputs!$B$67)*(1+Inputs!$B$68)^(E$7-1)</f>
        <v>-2706.66666666667</v>
      </c>
      <c r="F120" s="67" t="n">
        <f aca="false">-F114*Inputs!$B$64/12*1*(1+Inputs!$B$67)*(1+Inputs!$B$68)^(F$7-1)</f>
        <v>-2706.66666666667</v>
      </c>
      <c r="G120" s="67" t="n">
        <f aca="false">-G114*Inputs!$B$64/12*1*(1+Inputs!$B$67)*(1+Inputs!$B$68)^(G$7-1)</f>
        <v>-2706.66666666667</v>
      </c>
      <c r="H120" s="67" t="n">
        <f aca="false">-H114*Inputs!$B$64/12*1*(1+Inputs!$B$67)*(1+Inputs!$B$68)^(H$7-1)</f>
        <v>-2706.66666666667</v>
      </c>
      <c r="I120" s="67" t="n">
        <f aca="false">-I114*Inputs!$B$64/12*1*(1+Inputs!$B$67)*(1+Inputs!$B$68)^(I$7-1)</f>
        <v>-2706.66666666667</v>
      </c>
      <c r="J120" s="67" t="n">
        <f aca="false">-J114*Inputs!$B$64/12*1*(1+Inputs!$B$67)*(1+Inputs!$B$68)^(J$7-1)</f>
        <v>-2706.66666666667</v>
      </c>
      <c r="K120" s="67" t="n">
        <f aca="false">-K114*Inputs!$B$64/12*1*(1+Inputs!$B$67)*(1+Inputs!$B$68)^(K$7-1)</f>
        <v>-2706.66666666667</v>
      </c>
      <c r="L120" s="67" t="n">
        <f aca="false">-L114*Inputs!$B$64/12*1*(1+Inputs!$B$67)*(1+Inputs!$B$68)^(L$7-1)</f>
        <v>-2706.66666666667</v>
      </c>
      <c r="M120" s="67" t="n">
        <f aca="false">-M114*Inputs!$B$64/12*1*(1+Inputs!$B$67)*(1+Inputs!$B$68)^(M$7-1)</f>
        <v>-2706.66666666667</v>
      </c>
      <c r="N120" s="67" t="n">
        <f aca="false">-N114*Inputs!$B$64/12*1*(1+Inputs!$B$67)*(1+Inputs!$B$68)^(N$7-1)</f>
        <v>-2706.66666666667</v>
      </c>
      <c r="O120" s="67" t="n">
        <f aca="false">-O114*Inputs!$B$64/12*1*(1+Inputs!$B$67)*(1+Inputs!$B$68)^(O$7-1)</f>
        <v>-2787.86666666667</v>
      </c>
      <c r="P120" s="67" t="n">
        <f aca="false">-P114*Inputs!$B$64/12*1*(1+Inputs!$B$67)*(1+Inputs!$B$68)^(P$7-1)</f>
        <v>-2787.86666666667</v>
      </c>
      <c r="Q120" s="67" t="n">
        <f aca="false">-Q114*Inputs!$B$64/12*1*(1+Inputs!$B$67)*(1+Inputs!$B$68)^(Q$7-1)</f>
        <v>-2787.86666666667</v>
      </c>
      <c r="R120" s="67" t="n">
        <f aca="false">-R114*Inputs!$B$64/12*1*(1+Inputs!$B$67)*(1+Inputs!$B$68)^(R$7-1)</f>
        <v>-2787.86666666667</v>
      </c>
      <c r="S120" s="67" t="n">
        <f aca="false">-S114*Inputs!$B$64/12*1*(1+Inputs!$B$67)*(1+Inputs!$B$68)^(S$7-1)</f>
        <v>-2787.86666666667</v>
      </c>
      <c r="T120" s="67" t="n">
        <f aca="false">-T114*Inputs!$B$64/12*1*(1+Inputs!$B$67)*(1+Inputs!$B$68)^(T$7-1)</f>
        <v>-2787.86666666667</v>
      </c>
      <c r="U120" s="67" t="n">
        <f aca="false">-U114*Inputs!$B$64/12*1*(1+Inputs!$B$67)*(1+Inputs!$B$68)^(U$7-1)</f>
        <v>-2787.86666666667</v>
      </c>
      <c r="V120" s="67" t="n">
        <f aca="false">-V114*Inputs!$B$64/12*1*(1+Inputs!$B$67)*(1+Inputs!$B$68)^(V$7-1)</f>
        <v>-2787.86666666667</v>
      </c>
      <c r="W120" s="67" t="n">
        <f aca="false">-W114*Inputs!$B$64/12*1*(1+Inputs!$B$67)*(1+Inputs!$B$68)^(W$7-1)</f>
        <v>-2787.86666666667</v>
      </c>
      <c r="X120" s="67" t="n">
        <f aca="false">-X114*Inputs!$B$64/12*1*(1+Inputs!$B$67)*(1+Inputs!$B$68)^(X$7-1)</f>
        <v>-2787.86666666667</v>
      </c>
      <c r="Y120" s="67" t="n">
        <f aca="false">-Y114*Inputs!$B$64/12*1*(1+Inputs!$B$67)*(1+Inputs!$B$68)^(Y$7-1)</f>
        <v>-2787.86666666667</v>
      </c>
      <c r="Z120" s="67" t="n">
        <f aca="false">-Z114*Inputs!$B$64/12*1*(1+Inputs!$B$67)*(1+Inputs!$B$68)^(Z$7-1)</f>
        <v>-2787.86666666667</v>
      </c>
      <c r="AA120" s="67" t="n">
        <f aca="false">-AA114*Inputs!$B$64/12*1*(1+Inputs!$B$67)*(1+Inputs!$B$68)^(AA$7-1)</f>
        <v>-2871.50266666667</v>
      </c>
      <c r="AB120" s="67" t="n">
        <f aca="false">-AB114*Inputs!$B$64/12*1*(1+Inputs!$B$67)*(1+Inputs!$B$68)^(AB$7-1)</f>
        <v>-2871.50266666667</v>
      </c>
      <c r="AC120" s="67" t="n">
        <f aca="false">-AC114*Inputs!$B$64/12*1*(1+Inputs!$B$67)*(1+Inputs!$B$68)^(AC$7-1)</f>
        <v>-2871.50266666667</v>
      </c>
      <c r="AD120" s="67" t="n">
        <f aca="false">-AD114*Inputs!$B$64/12*1*(1+Inputs!$B$67)*(1+Inputs!$B$68)^(AD$7-1)</f>
        <v>-2871.50266666667</v>
      </c>
      <c r="AE120" s="67" t="n">
        <f aca="false">-AE114*Inputs!$B$64/12*1*(1+Inputs!$B$67)*(1+Inputs!$B$68)^(AE$7-1)</f>
        <v>-2871.50266666667</v>
      </c>
      <c r="AF120" s="67" t="n">
        <f aca="false">-AF114*Inputs!$B$64/12*1*(1+Inputs!$B$67)*(1+Inputs!$B$68)^(AF$7-1)</f>
        <v>-2871.50266666667</v>
      </c>
      <c r="AG120" s="67" t="n">
        <f aca="false">-AG114*Inputs!$B$64/12*1*(1+Inputs!$B$67)*(1+Inputs!$B$68)^(AG$7-1)</f>
        <v>-2871.50266666667</v>
      </c>
      <c r="AH120" s="67" t="n">
        <f aca="false">-AH114*Inputs!$B$64/12*1*(1+Inputs!$B$67)*(1+Inputs!$B$68)^(AH$7-1)</f>
        <v>-2871.50266666667</v>
      </c>
      <c r="AI120" s="67" t="n">
        <f aca="false">-AI114*Inputs!$B$64/12*1*(1+Inputs!$B$67)*(1+Inputs!$B$68)^(AI$7-1)</f>
        <v>-2871.50266666667</v>
      </c>
      <c r="AJ120" s="67" t="n">
        <f aca="false">-AJ114*Inputs!$B$64/12*1*(1+Inputs!$B$67)*(1+Inputs!$B$68)^(AJ$7-1)</f>
        <v>-2871.50266666667</v>
      </c>
      <c r="AK120" s="67" t="n">
        <f aca="false">-AK114*Inputs!$B$64/12*1*(1+Inputs!$B$67)*(1+Inputs!$B$68)^(AK$7-1)</f>
        <v>-2871.50266666667</v>
      </c>
      <c r="AL120" s="67" t="n">
        <f aca="false">-AL114*Inputs!$B$64/12*1*(1+Inputs!$B$67)*(1+Inputs!$B$68)^(AL$7-1)</f>
        <v>-2871.50266666667</v>
      </c>
    </row>
    <row r="121" customFormat="false" ht="15" hidden="false" customHeight="false" outlineLevel="0" collapsed="false">
      <c r="A121" s="113" t="s">
        <v>439</v>
      </c>
      <c r="C121" s="68" t="n">
        <f aca="false">C118+C119+C120</f>
        <v>-9874.66666666667</v>
      </c>
      <c r="D121" s="68" t="n">
        <f aca="false">D118+D119+D120</f>
        <v>-9874.66666666667</v>
      </c>
      <c r="E121" s="68" t="n">
        <f aca="false">E118+E119+E120</f>
        <v>-9874.66666666667</v>
      </c>
      <c r="F121" s="68" t="n">
        <f aca="false">F118+F119+F120</f>
        <v>-9874.66666666667</v>
      </c>
      <c r="G121" s="68" t="n">
        <f aca="false">G118+G119+G120</f>
        <v>-9874.66666666667</v>
      </c>
      <c r="H121" s="68" t="n">
        <f aca="false">H118+H119+H120</f>
        <v>-9874.66666666667</v>
      </c>
      <c r="I121" s="68" t="n">
        <f aca="false">I118+I119+I120</f>
        <v>-9874.66666666667</v>
      </c>
      <c r="J121" s="68" t="n">
        <f aca="false">J118+J119+J120</f>
        <v>-9874.66666666667</v>
      </c>
      <c r="K121" s="68" t="n">
        <f aca="false">K118+K119+K120</f>
        <v>-9874.66666666667</v>
      </c>
      <c r="L121" s="68" t="n">
        <f aca="false">L118+L119+L120</f>
        <v>-9874.66666666667</v>
      </c>
      <c r="M121" s="68" t="n">
        <f aca="false">M118+M119+M120</f>
        <v>-9874.66666666667</v>
      </c>
      <c r="N121" s="68" t="n">
        <f aca="false">N118+N119+N120</f>
        <v>-9874.66666666667</v>
      </c>
      <c r="O121" s="68" t="n">
        <f aca="false">O118+O119+O120</f>
        <v>-10170.9066666667</v>
      </c>
      <c r="P121" s="68" t="n">
        <f aca="false">P118+P119+P120</f>
        <v>-10170.9066666667</v>
      </c>
      <c r="Q121" s="68" t="n">
        <f aca="false">Q118+Q119+Q120</f>
        <v>-10170.9066666667</v>
      </c>
      <c r="R121" s="68" t="n">
        <f aca="false">R118+R119+R120</f>
        <v>-10170.9066666667</v>
      </c>
      <c r="S121" s="68" t="n">
        <f aca="false">S118+S119+S120</f>
        <v>-10170.9066666667</v>
      </c>
      <c r="T121" s="68" t="n">
        <f aca="false">T118+T119+T120</f>
        <v>-10170.9066666667</v>
      </c>
      <c r="U121" s="68" t="n">
        <f aca="false">U118+U119+U120</f>
        <v>-10170.9066666667</v>
      </c>
      <c r="V121" s="68" t="n">
        <f aca="false">V118+V119+V120</f>
        <v>-10170.9066666667</v>
      </c>
      <c r="W121" s="68" t="n">
        <f aca="false">W118+W119+W120</f>
        <v>-10170.9066666667</v>
      </c>
      <c r="X121" s="68" t="n">
        <f aca="false">X118+X119+X120</f>
        <v>-10170.9066666667</v>
      </c>
      <c r="Y121" s="68" t="n">
        <f aca="false">Y118+Y119+Y120</f>
        <v>-10170.9066666667</v>
      </c>
      <c r="Z121" s="68" t="n">
        <f aca="false">Z118+Z119+Z120</f>
        <v>-10170.9066666667</v>
      </c>
      <c r="AA121" s="68" t="n">
        <f aca="false">AA118+AA119+AA120</f>
        <v>-10476.0338666667</v>
      </c>
      <c r="AB121" s="68" t="n">
        <f aca="false">AB118+AB119+AB120</f>
        <v>-10476.0338666667</v>
      </c>
      <c r="AC121" s="68" t="n">
        <f aca="false">AC118+AC119+AC120</f>
        <v>-10476.0338666667</v>
      </c>
      <c r="AD121" s="68" t="n">
        <f aca="false">AD118+AD119+AD120</f>
        <v>-10476.0338666667</v>
      </c>
      <c r="AE121" s="68" t="n">
        <f aca="false">AE118+AE119+AE120</f>
        <v>-10476.0338666667</v>
      </c>
      <c r="AF121" s="68" t="n">
        <f aca="false">AF118+AF119+AF120</f>
        <v>-10476.0338666667</v>
      </c>
      <c r="AG121" s="68" t="n">
        <f aca="false">AG118+AG119+AG120</f>
        <v>-10476.0338666667</v>
      </c>
      <c r="AH121" s="68" t="n">
        <f aca="false">AH118+AH119+AH120</f>
        <v>-10476.0338666667</v>
      </c>
      <c r="AI121" s="68" t="n">
        <f aca="false">AI118+AI119+AI120</f>
        <v>-10476.0338666667</v>
      </c>
      <c r="AJ121" s="68" t="n">
        <f aca="false">AJ118+AJ119+AJ120</f>
        <v>-10476.0338666667</v>
      </c>
      <c r="AK121" s="68" t="n">
        <f aca="false">AK118+AK119+AK120</f>
        <v>-10476.0338666667</v>
      </c>
      <c r="AL121" s="68" t="n">
        <f aca="false">AL118+AL119+AL120</f>
        <v>-10476.0338666667</v>
      </c>
    </row>
    <row r="124" customFormat="false" ht="15.75" hidden="false" customHeight="true" outlineLevel="0" collapsed="false">
      <c r="A124" s="7" t="s">
        <v>443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</row>
    <row r="125" customFormat="false" ht="15" hidden="false" customHeight="false" outlineLevel="0" collapsed="false">
      <c r="A125" s="33" t="s">
        <v>347</v>
      </c>
      <c r="C125" s="35" t="s">
        <v>348</v>
      </c>
      <c r="D125" s="35" t="s">
        <v>349</v>
      </c>
      <c r="E125" s="35" t="s">
        <v>350</v>
      </c>
      <c r="F125" s="35" t="s">
        <v>351</v>
      </c>
      <c r="G125" s="35" t="s">
        <v>352</v>
      </c>
      <c r="H125" s="35" t="s">
        <v>353</v>
      </c>
      <c r="I125" s="35" t="s">
        <v>354</v>
      </c>
      <c r="J125" s="35" t="s">
        <v>355</v>
      </c>
      <c r="K125" s="35" t="s">
        <v>356</v>
      </c>
      <c r="L125" s="35" t="s">
        <v>357</v>
      </c>
      <c r="M125" s="35" t="s">
        <v>358</v>
      </c>
      <c r="N125" s="35" t="s">
        <v>359</v>
      </c>
      <c r="O125" s="35" t="s">
        <v>360</v>
      </c>
      <c r="P125" s="35" t="s">
        <v>361</v>
      </c>
      <c r="Q125" s="35" t="s">
        <v>362</v>
      </c>
      <c r="R125" s="35" t="s">
        <v>363</v>
      </c>
      <c r="S125" s="35" t="s">
        <v>364</v>
      </c>
      <c r="T125" s="35" t="s">
        <v>365</v>
      </c>
      <c r="U125" s="35" t="s">
        <v>366</v>
      </c>
      <c r="V125" s="35" t="s">
        <v>367</v>
      </c>
      <c r="W125" s="35" t="s">
        <v>368</v>
      </c>
      <c r="X125" s="35" t="s">
        <v>369</v>
      </c>
      <c r="Y125" s="35" t="s">
        <v>370</v>
      </c>
      <c r="Z125" s="35" t="s">
        <v>371</v>
      </c>
      <c r="AA125" s="35" t="s">
        <v>372</v>
      </c>
      <c r="AB125" s="35" t="s">
        <v>373</v>
      </c>
      <c r="AC125" s="35" t="s">
        <v>374</v>
      </c>
      <c r="AD125" s="35" t="s">
        <v>375</v>
      </c>
      <c r="AE125" s="35" t="s">
        <v>376</v>
      </c>
      <c r="AF125" s="35" t="s">
        <v>377</v>
      </c>
      <c r="AG125" s="35" t="s">
        <v>378</v>
      </c>
      <c r="AH125" s="35" t="s">
        <v>379</v>
      </c>
      <c r="AI125" s="35" t="s">
        <v>380</v>
      </c>
      <c r="AJ125" s="35" t="s">
        <v>381</v>
      </c>
      <c r="AK125" s="35" t="s">
        <v>382</v>
      </c>
      <c r="AL125" s="35" t="s">
        <v>383</v>
      </c>
    </row>
    <row r="126" customFormat="false" ht="15" hidden="false" customHeight="false" outlineLevel="0" collapsed="false">
      <c r="A126" s="72" t="s">
        <v>384</v>
      </c>
      <c r="C126" s="72" t="n">
        <v>1</v>
      </c>
      <c r="D126" s="72" t="n">
        <v>2</v>
      </c>
      <c r="E126" s="72" t="n">
        <v>3</v>
      </c>
      <c r="F126" s="72" t="n">
        <v>4</v>
      </c>
      <c r="G126" s="72" t="n">
        <v>5</v>
      </c>
      <c r="H126" s="72" t="n">
        <v>6</v>
      </c>
      <c r="I126" s="72" t="n">
        <v>7</v>
      </c>
      <c r="J126" s="72" t="n">
        <v>8</v>
      </c>
      <c r="K126" s="72" t="n">
        <v>9</v>
      </c>
      <c r="L126" s="72" t="n">
        <v>10</v>
      </c>
      <c r="M126" s="72" t="n">
        <v>11</v>
      </c>
      <c r="N126" s="72" t="n">
        <v>12</v>
      </c>
      <c r="O126" s="72" t="n">
        <v>13</v>
      </c>
      <c r="P126" s="72" t="n">
        <v>14</v>
      </c>
      <c r="Q126" s="72" t="n">
        <v>15</v>
      </c>
      <c r="R126" s="72" t="n">
        <v>16</v>
      </c>
      <c r="S126" s="72" t="n">
        <v>17</v>
      </c>
      <c r="T126" s="72" t="n">
        <v>18</v>
      </c>
      <c r="U126" s="72" t="n">
        <v>19</v>
      </c>
      <c r="V126" s="72" t="n">
        <v>20</v>
      </c>
      <c r="W126" s="72" t="n">
        <v>21</v>
      </c>
      <c r="X126" s="72" t="n">
        <v>22</v>
      </c>
      <c r="Y126" s="72" t="n">
        <v>23</v>
      </c>
      <c r="Z126" s="72" t="n">
        <v>24</v>
      </c>
      <c r="AA126" s="72" t="n">
        <v>25</v>
      </c>
      <c r="AB126" s="72" t="n">
        <v>26</v>
      </c>
      <c r="AC126" s="72" t="n">
        <v>27</v>
      </c>
      <c r="AD126" s="72" t="n">
        <v>28</v>
      </c>
      <c r="AE126" s="72" t="n">
        <v>29</v>
      </c>
      <c r="AF126" s="72" t="n">
        <v>30</v>
      </c>
      <c r="AG126" s="72" t="n">
        <v>31</v>
      </c>
      <c r="AH126" s="72" t="n">
        <v>32</v>
      </c>
      <c r="AI126" s="72" t="n">
        <v>33</v>
      </c>
      <c r="AJ126" s="72" t="n">
        <v>34</v>
      </c>
      <c r="AK126" s="72" t="n">
        <v>35</v>
      </c>
      <c r="AL126" s="72" t="n">
        <v>36</v>
      </c>
    </row>
    <row r="127" customFormat="false" ht="15" hidden="false" customHeight="false" outlineLevel="0" collapsed="false">
      <c r="A127" s="72" t="s">
        <v>154</v>
      </c>
      <c r="C127" s="72" t="n">
        <f aca="false">ROUNDUP(C126*1/12,0)</f>
        <v>1</v>
      </c>
      <c r="D127" s="72" t="n">
        <f aca="false">ROUNDUP(D126*1/12,0)</f>
        <v>1</v>
      </c>
      <c r="E127" s="72" t="n">
        <f aca="false">ROUNDUP(E126*1/12,0)</f>
        <v>1</v>
      </c>
      <c r="F127" s="72" t="n">
        <f aca="false">ROUNDUP(F126*1/12,0)</f>
        <v>1</v>
      </c>
      <c r="G127" s="72" t="n">
        <f aca="false">ROUNDUP(G126*1/12,0)</f>
        <v>1</v>
      </c>
      <c r="H127" s="72" t="n">
        <f aca="false">ROUNDUP(H126*1/12,0)</f>
        <v>1</v>
      </c>
      <c r="I127" s="72" t="n">
        <f aca="false">ROUNDUP(I126*1/12,0)</f>
        <v>1</v>
      </c>
      <c r="J127" s="72" t="n">
        <f aca="false">ROUNDUP(J126*1/12,0)</f>
        <v>1</v>
      </c>
      <c r="K127" s="72" t="n">
        <f aca="false">ROUNDUP(K126*1/12,0)</f>
        <v>1</v>
      </c>
      <c r="L127" s="72" t="n">
        <f aca="false">ROUNDUP(L126*1/12,0)</f>
        <v>1</v>
      </c>
      <c r="M127" s="72" t="n">
        <f aca="false">ROUNDUP(M126*1/12,0)</f>
        <v>1</v>
      </c>
      <c r="N127" s="72" t="n">
        <f aca="false">ROUNDUP(N126*1/12,0)</f>
        <v>1</v>
      </c>
      <c r="O127" s="72" t="n">
        <f aca="false">ROUNDUP(O126*1/12,0)</f>
        <v>2</v>
      </c>
      <c r="P127" s="72" t="n">
        <f aca="false">ROUNDUP(P126*1/12,0)</f>
        <v>2</v>
      </c>
      <c r="Q127" s="72" t="n">
        <f aca="false">ROUNDUP(Q126*1/12,0)</f>
        <v>2</v>
      </c>
      <c r="R127" s="72" t="n">
        <f aca="false">ROUNDUP(R126*1/12,0)</f>
        <v>2</v>
      </c>
      <c r="S127" s="72" t="n">
        <f aca="false">ROUNDUP(S126*1/12,0)</f>
        <v>2</v>
      </c>
      <c r="T127" s="72" t="n">
        <f aca="false">ROUNDUP(T126*1/12,0)</f>
        <v>2</v>
      </c>
      <c r="U127" s="72" t="n">
        <f aca="false">ROUNDUP(U126*1/12,0)</f>
        <v>2</v>
      </c>
      <c r="V127" s="72" t="n">
        <f aca="false">ROUNDUP(V126*1/12,0)</f>
        <v>2</v>
      </c>
      <c r="W127" s="72" t="n">
        <f aca="false">ROUNDUP(W126*1/12,0)</f>
        <v>2</v>
      </c>
      <c r="X127" s="72" t="n">
        <f aca="false">ROUNDUP(X126*1/12,0)</f>
        <v>2</v>
      </c>
      <c r="Y127" s="72" t="n">
        <f aca="false">ROUNDUP(Y126*1/12,0)</f>
        <v>2</v>
      </c>
      <c r="Z127" s="72" t="n">
        <f aca="false">ROUNDUP(Z126*1/12,0)</f>
        <v>2</v>
      </c>
      <c r="AA127" s="72" t="n">
        <f aca="false">ROUNDUP(AA126*1/12,0)</f>
        <v>3</v>
      </c>
      <c r="AB127" s="72" t="n">
        <f aca="false">ROUNDUP(AB126*1/12,0)</f>
        <v>3</v>
      </c>
      <c r="AC127" s="72" t="n">
        <f aca="false">ROUNDUP(AC126*1/12,0)</f>
        <v>3</v>
      </c>
      <c r="AD127" s="72" t="n">
        <f aca="false">ROUNDUP(AD126*1/12,0)</f>
        <v>3</v>
      </c>
      <c r="AE127" s="72" t="n">
        <f aca="false">ROUNDUP(AE126*1/12,0)</f>
        <v>3</v>
      </c>
      <c r="AF127" s="72" t="n">
        <f aca="false">ROUNDUP(AF126*1/12,0)</f>
        <v>3</v>
      </c>
      <c r="AG127" s="72" t="n">
        <f aca="false">ROUNDUP(AG126*1/12,0)</f>
        <v>3</v>
      </c>
      <c r="AH127" s="72" t="n">
        <f aca="false">ROUNDUP(AH126*1/12,0)</f>
        <v>3</v>
      </c>
      <c r="AI127" s="72" t="n">
        <f aca="false">ROUNDUP(AI126*1/12,0)</f>
        <v>3</v>
      </c>
      <c r="AJ127" s="72" t="n">
        <f aca="false">ROUNDUP(AJ126*1/12,0)</f>
        <v>3</v>
      </c>
      <c r="AK127" s="72" t="n">
        <f aca="false">ROUNDUP(AK126*1/12,0)</f>
        <v>3</v>
      </c>
      <c r="AL127" s="72" t="n">
        <f aca="false">ROUNDUP(AL126*1/12,0)</f>
        <v>3</v>
      </c>
    </row>
    <row r="129" customFormat="false" ht="15.75" hidden="false" customHeight="true" outlineLevel="0" collapsed="false">
      <c r="A129" s="7" t="s">
        <v>385</v>
      </c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</row>
    <row r="130" customFormat="false" ht="15" hidden="false" customHeight="false" outlineLevel="0" collapsed="false">
      <c r="A130" s="6" t="s">
        <v>386</v>
      </c>
      <c r="C130" s="116" t="n">
        <f aca="false">Inputs!$C$7+Inputs!$C$8*(C$127-1)</f>
        <v>1</v>
      </c>
      <c r="D130" s="116" t="n">
        <f aca="false">Inputs!$C$7+Inputs!$C$8*(D$127-1)</f>
        <v>1</v>
      </c>
      <c r="E130" s="116" t="n">
        <f aca="false">Inputs!$C$7+Inputs!$C$8*(E$127-1)</f>
        <v>1</v>
      </c>
      <c r="F130" s="116" t="n">
        <f aca="false">Inputs!$C$7+Inputs!$C$8*(F$127-1)</f>
        <v>1</v>
      </c>
      <c r="G130" s="116" t="n">
        <f aca="false">Inputs!$C$7+Inputs!$C$8*(G$127-1)</f>
        <v>1</v>
      </c>
      <c r="H130" s="116" t="n">
        <f aca="false">Inputs!$C$7+Inputs!$C$8*(H$127-1)</f>
        <v>1</v>
      </c>
      <c r="I130" s="116" t="n">
        <f aca="false">Inputs!$C$7+Inputs!$C$8*(I$127-1)</f>
        <v>1</v>
      </c>
      <c r="J130" s="116" t="n">
        <f aca="false">Inputs!$C$7+Inputs!$C$8*(J$127-1)</f>
        <v>1</v>
      </c>
      <c r="K130" s="116" t="n">
        <f aca="false">Inputs!$C$7+Inputs!$C$8*(K$127-1)</f>
        <v>1</v>
      </c>
      <c r="L130" s="116" t="n">
        <f aca="false">Inputs!$C$7+Inputs!$C$8*(L$127-1)</f>
        <v>1</v>
      </c>
      <c r="M130" s="116" t="n">
        <f aca="false">Inputs!$C$7+Inputs!$C$8*(M$127-1)</f>
        <v>1</v>
      </c>
      <c r="N130" s="116" t="n">
        <f aca="false">Inputs!$C$7+Inputs!$C$8*(N$127-1)</f>
        <v>1</v>
      </c>
      <c r="O130" s="116" t="n">
        <f aca="false">Inputs!$C$7+Inputs!$C$8*(O$127-1)</f>
        <v>1</v>
      </c>
      <c r="P130" s="116" t="n">
        <f aca="false">Inputs!$C$7+Inputs!$C$8*(P$127-1)</f>
        <v>1</v>
      </c>
      <c r="Q130" s="116" t="n">
        <f aca="false">Inputs!$C$7+Inputs!$C$8*(Q$127-1)</f>
        <v>1</v>
      </c>
      <c r="R130" s="116" t="n">
        <f aca="false">Inputs!$C$7+Inputs!$C$8*(R$127-1)</f>
        <v>1</v>
      </c>
      <c r="S130" s="116" t="n">
        <f aca="false">Inputs!$C$7+Inputs!$C$8*(S$127-1)</f>
        <v>1</v>
      </c>
      <c r="T130" s="116" t="n">
        <f aca="false">Inputs!$C$7+Inputs!$C$8*(T$127-1)</f>
        <v>1</v>
      </c>
      <c r="U130" s="116" t="n">
        <f aca="false">Inputs!$C$7+Inputs!$C$8*(U$127-1)</f>
        <v>1</v>
      </c>
      <c r="V130" s="116" t="n">
        <f aca="false">Inputs!$C$7+Inputs!$C$8*(V$127-1)</f>
        <v>1</v>
      </c>
      <c r="W130" s="116" t="n">
        <f aca="false">Inputs!$C$7+Inputs!$C$8*(W$127-1)</f>
        <v>1</v>
      </c>
      <c r="X130" s="116" t="n">
        <f aca="false">Inputs!$C$7+Inputs!$C$8*(X$127-1)</f>
        <v>1</v>
      </c>
      <c r="Y130" s="116" t="n">
        <f aca="false">Inputs!$C$7+Inputs!$C$8*(Y$127-1)</f>
        <v>1</v>
      </c>
      <c r="Z130" s="116" t="n">
        <f aca="false">Inputs!$C$7+Inputs!$C$8*(Z$127-1)</f>
        <v>1</v>
      </c>
      <c r="AA130" s="116" t="n">
        <f aca="false">Inputs!$C$7+Inputs!$C$8*(AA$127-1)</f>
        <v>1</v>
      </c>
      <c r="AB130" s="116" t="n">
        <f aca="false">Inputs!$C$7+Inputs!$C$8*(AB$127-1)</f>
        <v>1</v>
      </c>
      <c r="AC130" s="116" t="n">
        <f aca="false">Inputs!$C$7+Inputs!$C$8*(AC$127-1)</f>
        <v>1</v>
      </c>
      <c r="AD130" s="116" t="n">
        <f aca="false">Inputs!$C$7+Inputs!$C$8*(AD$127-1)</f>
        <v>1</v>
      </c>
      <c r="AE130" s="116" t="n">
        <f aca="false">Inputs!$C$7+Inputs!$C$8*(AE$127-1)</f>
        <v>1</v>
      </c>
      <c r="AF130" s="116" t="n">
        <f aca="false">Inputs!$C$7+Inputs!$C$8*(AF$127-1)</f>
        <v>1</v>
      </c>
      <c r="AG130" s="116" t="n">
        <f aca="false">Inputs!$C$7+Inputs!$C$8*(AG$127-1)</f>
        <v>1</v>
      </c>
      <c r="AH130" s="116" t="n">
        <f aca="false">Inputs!$C$7+Inputs!$C$8*(AH$127-1)</f>
        <v>1</v>
      </c>
      <c r="AI130" s="116" t="n">
        <f aca="false">Inputs!$C$7+Inputs!$C$8*(AI$127-1)</f>
        <v>1</v>
      </c>
      <c r="AJ130" s="116" t="n">
        <f aca="false">Inputs!$C$7+Inputs!$C$8*(AJ$127-1)</f>
        <v>1</v>
      </c>
      <c r="AK130" s="116" t="n">
        <f aca="false">Inputs!$C$7+Inputs!$C$8*(AK$127-1)</f>
        <v>1</v>
      </c>
      <c r="AL130" s="116" t="n">
        <f aca="false">Inputs!$C$7+Inputs!$C$8*(AL$127-1)</f>
        <v>1</v>
      </c>
    </row>
    <row r="131" customFormat="false" ht="15" hidden="false" customHeight="false" outlineLevel="0" collapsed="false">
      <c r="A131" s="117" t="s">
        <v>387</v>
      </c>
      <c r="C131" s="118" t="n">
        <f aca="false">MAX(0,MIN(1,Inputs!$C$13-(C$126-1)*1))</f>
        <v>1</v>
      </c>
      <c r="D131" s="118" t="n">
        <f aca="false">MAX(0,MIN(1,Inputs!$C$13-(D$126-1)*1))</f>
        <v>1</v>
      </c>
      <c r="E131" s="118" t="n">
        <f aca="false">MAX(0,MIN(1,Inputs!$C$13-(E$126-1)*1))</f>
        <v>1</v>
      </c>
      <c r="F131" s="118" t="n">
        <f aca="false">MAX(0,MIN(1,Inputs!$C$13-(F$126-1)*1))</f>
        <v>1</v>
      </c>
      <c r="G131" s="118" t="n">
        <f aca="false">MAX(0,MIN(1,Inputs!$C$13-(G$126-1)*1))</f>
        <v>1</v>
      </c>
      <c r="H131" s="118" t="n">
        <f aca="false">MAX(0,MIN(1,Inputs!$C$13-(H$126-1)*1))</f>
        <v>1</v>
      </c>
      <c r="I131" s="118" t="n">
        <f aca="false">MAX(0,MIN(1,Inputs!$C$13-(I$126-1)*1))</f>
        <v>0</v>
      </c>
      <c r="J131" s="118" t="n">
        <f aca="false">MAX(0,MIN(1,Inputs!$C$13-(J$126-1)*1))</f>
        <v>0</v>
      </c>
      <c r="K131" s="118" t="n">
        <f aca="false">MAX(0,MIN(1,Inputs!$C$13-(K$126-1)*1))</f>
        <v>0</v>
      </c>
      <c r="L131" s="118" t="n">
        <f aca="false">MAX(0,MIN(1,Inputs!$C$13-(L$126-1)*1))</f>
        <v>0</v>
      </c>
      <c r="M131" s="118" t="n">
        <f aca="false">MAX(0,MIN(1,Inputs!$C$13-(M$126-1)*1))</f>
        <v>0</v>
      </c>
      <c r="N131" s="118" t="n">
        <f aca="false">MAX(0,MIN(1,Inputs!$C$13-(N$126-1)*1))</f>
        <v>0</v>
      </c>
      <c r="O131" s="118" t="n">
        <f aca="false">MAX(0,MIN(1,Inputs!$C$13-(O$126-1)*1))</f>
        <v>0</v>
      </c>
      <c r="P131" s="118" t="n">
        <f aca="false">MAX(0,MIN(1,Inputs!$C$13-(P$126-1)*1))</f>
        <v>0</v>
      </c>
      <c r="Q131" s="118" t="n">
        <f aca="false">MAX(0,MIN(1,Inputs!$C$13-(Q$126-1)*1))</f>
        <v>0</v>
      </c>
      <c r="R131" s="118" t="n">
        <f aca="false">MAX(0,MIN(1,Inputs!$C$13-(R$126-1)*1))</f>
        <v>0</v>
      </c>
      <c r="S131" s="118" t="n">
        <f aca="false">MAX(0,MIN(1,Inputs!$C$13-(S$126-1)*1))</f>
        <v>0</v>
      </c>
      <c r="T131" s="118" t="n">
        <f aca="false">MAX(0,MIN(1,Inputs!$C$13-(T$126-1)*1))</f>
        <v>0</v>
      </c>
      <c r="U131" s="118" t="n">
        <f aca="false">MAX(0,MIN(1,Inputs!$C$13-(U$126-1)*1))</f>
        <v>0</v>
      </c>
      <c r="V131" s="118" t="n">
        <f aca="false">MAX(0,MIN(1,Inputs!$C$13-(V$126-1)*1))</f>
        <v>0</v>
      </c>
      <c r="W131" s="118" t="n">
        <f aca="false">MAX(0,MIN(1,Inputs!$C$13-(W$126-1)*1))</f>
        <v>0</v>
      </c>
      <c r="X131" s="118" t="n">
        <f aca="false">MAX(0,MIN(1,Inputs!$C$13-(X$126-1)*1))</f>
        <v>0</v>
      </c>
      <c r="Y131" s="118" t="n">
        <f aca="false">MAX(0,MIN(1,Inputs!$C$13-(Y$126-1)*1))</f>
        <v>0</v>
      </c>
      <c r="Z131" s="118" t="n">
        <f aca="false">MAX(0,MIN(1,Inputs!$C$13-(Z$126-1)*1))</f>
        <v>0</v>
      </c>
      <c r="AA131" s="118" t="n">
        <f aca="false">MAX(0,MIN(1,Inputs!$C$13-(AA$126-1)*1))</f>
        <v>0</v>
      </c>
      <c r="AB131" s="118" t="n">
        <f aca="false">MAX(0,MIN(1,Inputs!$C$13-(AB$126-1)*1))</f>
        <v>0</v>
      </c>
      <c r="AC131" s="118" t="n">
        <f aca="false">MAX(0,MIN(1,Inputs!$C$13-(AC$126-1)*1))</f>
        <v>0</v>
      </c>
      <c r="AD131" s="118" t="n">
        <f aca="false">MAX(0,MIN(1,Inputs!$C$13-(AD$126-1)*1))</f>
        <v>0</v>
      </c>
      <c r="AE131" s="118" t="n">
        <f aca="false">MAX(0,MIN(1,Inputs!$C$13-(AE$126-1)*1))</f>
        <v>0</v>
      </c>
      <c r="AF131" s="118" t="n">
        <f aca="false">MAX(0,MIN(1,Inputs!$C$13-(AF$126-1)*1))</f>
        <v>0</v>
      </c>
      <c r="AG131" s="118" t="n">
        <f aca="false">MAX(0,MIN(1,Inputs!$C$13-(AG$126-1)*1))</f>
        <v>0</v>
      </c>
      <c r="AH131" s="118" t="n">
        <f aca="false">MAX(0,MIN(1,Inputs!$C$13-(AH$126-1)*1))</f>
        <v>0</v>
      </c>
      <c r="AI131" s="118" t="n">
        <f aca="false">MAX(0,MIN(1,Inputs!$C$13-(AI$126-1)*1))</f>
        <v>0</v>
      </c>
      <c r="AJ131" s="118" t="n">
        <f aca="false">MAX(0,MIN(1,Inputs!$C$13-(AJ$126-1)*1))</f>
        <v>0</v>
      </c>
      <c r="AK131" s="118" t="n">
        <f aca="false">MAX(0,MIN(1,Inputs!$C$13-(AK$126-1)*1))</f>
        <v>0</v>
      </c>
      <c r="AL131" s="118" t="n">
        <f aca="false">MAX(0,MIN(1,Inputs!$C$13-(AL$126-1)*1))</f>
        <v>0</v>
      </c>
    </row>
    <row r="132" customFormat="false" ht="15" hidden="false" customHeight="false" outlineLevel="0" collapsed="false">
      <c r="A132" s="39" t="s">
        <v>388</v>
      </c>
      <c r="C132" s="74" t="n">
        <f aca="false">IF(Inputs!$C$13&lt;=0,1,(C131*Inputs!$C$14+(1-Inputs!$C$14)/MAX(1,Inputs!$C$13)*(C131*(C$126-1)*1+C131*(C131-1)/2)+1-C131)/1)</f>
        <v>0.5</v>
      </c>
      <c r="D132" s="74" t="n">
        <f aca="false">IF(Inputs!$C$13&lt;=0,1,(D131*Inputs!$C$14+(1-Inputs!$C$14)/MAX(1,Inputs!$C$13)*(D131*(D$126-1)*1+D131*(D131-1)/2)+1-D131)/1)</f>
        <v>0.583333333333334</v>
      </c>
      <c r="E132" s="74" t="n">
        <f aca="false">IF(Inputs!$C$13&lt;=0,1,(E131*Inputs!$C$14+(1-Inputs!$C$14)/MAX(1,Inputs!$C$13)*(E131*(E$126-1)*1+E131*(E131-1)/2)+1-E131)/1)</f>
        <v>0.666666666666667</v>
      </c>
      <c r="F132" s="74" t="n">
        <f aca="false">IF(Inputs!$C$13&lt;=0,1,(F131*Inputs!$C$14+(1-Inputs!$C$14)/MAX(1,Inputs!$C$13)*(F131*(F$126-1)*1+F131*(F131-1)/2)+1-F131)/1)</f>
        <v>0.75</v>
      </c>
      <c r="G132" s="74" t="n">
        <f aca="false">IF(Inputs!$C$13&lt;=0,1,(G131*Inputs!$C$14+(1-Inputs!$C$14)/MAX(1,Inputs!$C$13)*(G131*(G$126-1)*1+G131*(G131-1)/2)+1-G131)/1)</f>
        <v>0.833333333333333</v>
      </c>
      <c r="H132" s="74" t="n">
        <f aca="false">IF(Inputs!$C$13&lt;=0,1,(H131*Inputs!$C$14+(1-Inputs!$C$14)/MAX(1,Inputs!$C$13)*(H131*(H$126-1)*1+H131*(H131-1)/2)+1-H131)/1)</f>
        <v>0.916666666666667</v>
      </c>
      <c r="I132" s="74" t="n">
        <f aca="false">IF(Inputs!$C$13&lt;=0,1,(I131*Inputs!$C$14+(1-Inputs!$C$14)/MAX(1,Inputs!$C$13)*(I131*(I$126-1)*1+I131*(I131-1)/2)+1-I131)/1)</f>
        <v>1</v>
      </c>
      <c r="J132" s="74" t="n">
        <f aca="false">IF(Inputs!$C$13&lt;=0,1,(J131*Inputs!$C$14+(1-Inputs!$C$14)/MAX(1,Inputs!$C$13)*(J131*(J$126-1)*1+J131*(J131-1)/2)+1-J131)/1)</f>
        <v>1</v>
      </c>
      <c r="K132" s="74" t="n">
        <f aca="false">IF(Inputs!$C$13&lt;=0,1,(K131*Inputs!$C$14+(1-Inputs!$C$14)/MAX(1,Inputs!$C$13)*(K131*(K$126-1)*1+K131*(K131-1)/2)+1-K131)/1)</f>
        <v>1</v>
      </c>
      <c r="L132" s="74" t="n">
        <f aca="false">IF(Inputs!$C$13&lt;=0,1,(L131*Inputs!$C$14+(1-Inputs!$C$14)/MAX(1,Inputs!$C$13)*(L131*(L$126-1)*1+L131*(L131-1)/2)+1-L131)/1)</f>
        <v>1</v>
      </c>
      <c r="M132" s="74" t="n">
        <f aca="false">IF(Inputs!$C$13&lt;=0,1,(M131*Inputs!$C$14+(1-Inputs!$C$14)/MAX(1,Inputs!$C$13)*(M131*(M$126-1)*1+M131*(M131-1)/2)+1-M131)/1)</f>
        <v>1</v>
      </c>
      <c r="N132" s="74" t="n">
        <f aca="false">IF(Inputs!$C$13&lt;=0,1,(N131*Inputs!$C$14+(1-Inputs!$C$14)/MAX(1,Inputs!$C$13)*(N131*(N$126-1)*1+N131*(N131-1)/2)+1-N131)/1)</f>
        <v>1</v>
      </c>
      <c r="O132" s="74" t="n">
        <f aca="false">IF(Inputs!$C$13&lt;=0,1,(O131*Inputs!$C$14+(1-Inputs!$C$14)/MAX(1,Inputs!$C$13)*(O131*(O$126-1)*1+O131*(O131-1)/2)+1-O131)/1)</f>
        <v>1</v>
      </c>
      <c r="P132" s="74" t="n">
        <f aca="false">IF(Inputs!$C$13&lt;=0,1,(P131*Inputs!$C$14+(1-Inputs!$C$14)/MAX(1,Inputs!$C$13)*(P131*(P$126-1)*1+P131*(P131-1)/2)+1-P131)/1)</f>
        <v>1</v>
      </c>
      <c r="Q132" s="74" t="n">
        <f aca="false">IF(Inputs!$C$13&lt;=0,1,(Q131*Inputs!$C$14+(1-Inputs!$C$14)/MAX(1,Inputs!$C$13)*(Q131*(Q$126-1)*1+Q131*(Q131-1)/2)+1-Q131)/1)</f>
        <v>1</v>
      </c>
      <c r="R132" s="74" t="n">
        <f aca="false">IF(Inputs!$C$13&lt;=0,1,(R131*Inputs!$C$14+(1-Inputs!$C$14)/MAX(1,Inputs!$C$13)*(R131*(R$126-1)*1+R131*(R131-1)/2)+1-R131)/1)</f>
        <v>1</v>
      </c>
      <c r="S132" s="74" t="n">
        <f aca="false">IF(Inputs!$C$13&lt;=0,1,(S131*Inputs!$C$14+(1-Inputs!$C$14)/MAX(1,Inputs!$C$13)*(S131*(S$126-1)*1+S131*(S131-1)/2)+1-S131)/1)</f>
        <v>1</v>
      </c>
      <c r="T132" s="74" t="n">
        <f aca="false">IF(Inputs!$C$13&lt;=0,1,(T131*Inputs!$C$14+(1-Inputs!$C$14)/MAX(1,Inputs!$C$13)*(T131*(T$126-1)*1+T131*(T131-1)/2)+1-T131)/1)</f>
        <v>1</v>
      </c>
      <c r="U132" s="74" t="n">
        <f aca="false">IF(Inputs!$C$13&lt;=0,1,(U131*Inputs!$C$14+(1-Inputs!$C$14)/MAX(1,Inputs!$C$13)*(U131*(U$126-1)*1+U131*(U131-1)/2)+1-U131)/1)</f>
        <v>1</v>
      </c>
      <c r="V132" s="74" t="n">
        <f aca="false">IF(Inputs!$C$13&lt;=0,1,(V131*Inputs!$C$14+(1-Inputs!$C$14)/MAX(1,Inputs!$C$13)*(V131*(V$126-1)*1+V131*(V131-1)/2)+1-V131)/1)</f>
        <v>1</v>
      </c>
      <c r="W132" s="74" t="n">
        <f aca="false">IF(Inputs!$C$13&lt;=0,1,(W131*Inputs!$C$14+(1-Inputs!$C$14)/MAX(1,Inputs!$C$13)*(W131*(W$126-1)*1+W131*(W131-1)/2)+1-W131)/1)</f>
        <v>1</v>
      </c>
      <c r="X132" s="74" t="n">
        <f aca="false">IF(Inputs!$C$13&lt;=0,1,(X131*Inputs!$C$14+(1-Inputs!$C$14)/MAX(1,Inputs!$C$13)*(X131*(X$126-1)*1+X131*(X131-1)/2)+1-X131)/1)</f>
        <v>1</v>
      </c>
      <c r="Y132" s="74" t="n">
        <f aca="false">IF(Inputs!$C$13&lt;=0,1,(Y131*Inputs!$C$14+(1-Inputs!$C$14)/MAX(1,Inputs!$C$13)*(Y131*(Y$126-1)*1+Y131*(Y131-1)/2)+1-Y131)/1)</f>
        <v>1</v>
      </c>
      <c r="Z132" s="74" t="n">
        <f aca="false">IF(Inputs!$C$13&lt;=0,1,(Z131*Inputs!$C$14+(1-Inputs!$C$14)/MAX(1,Inputs!$C$13)*(Z131*(Z$126-1)*1+Z131*(Z131-1)/2)+1-Z131)/1)</f>
        <v>1</v>
      </c>
      <c r="AA132" s="74" t="n">
        <f aca="false">IF(Inputs!$C$13&lt;=0,1,(AA131*Inputs!$C$14+(1-Inputs!$C$14)/MAX(1,Inputs!$C$13)*(AA131*(AA$126-1)*1+AA131*(AA131-1)/2)+1-AA131)/1)</f>
        <v>1</v>
      </c>
      <c r="AB132" s="74" t="n">
        <f aca="false">IF(Inputs!$C$13&lt;=0,1,(AB131*Inputs!$C$14+(1-Inputs!$C$14)/MAX(1,Inputs!$C$13)*(AB131*(AB$126-1)*1+AB131*(AB131-1)/2)+1-AB131)/1)</f>
        <v>1</v>
      </c>
      <c r="AC132" s="74" t="n">
        <f aca="false">IF(Inputs!$C$13&lt;=0,1,(AC131*Inputs!$C$14+(1-Inputs!$C$14)/MAX(1,Inputs!$C$13)*(AC131*(AC$126-1)*1+AC131*(AC131-1)/2)+1-AC131)/1)</f>
        <v>1</v>
      </c>
      <c r="AD132" s="74" t="n">
        <f aca="false">IF(Inputs!$C$13&lt;=0,1,(AD131*Inputs!$C$14+(1-Inputs!$C$14)/MAX(1,Inputs!$C$13)*(AD131*(AD$126-1)*1+AD131*(AD131-1)/2)+1-AD131)/1)</f>
        <v>1</v>
      </c>
      <c r="AE132" s="74" t="n">
        <f aca="false">IF(Inputs!$C$13&lt;=0,1,(AE131*Inputs!$C$14+(1-Inputs!$C$14)/MAX(1,Inputs!$C$13)*(AE131*(AE$126-1)*1+AE131*(AE131-1)/2)+1-AE131)/1)</f>
        <v>1</v>
      </c>
      <c r="AF132" s="74" t="n">
        <f aca="false">IF(Inputs!$C$13&lt;=0,1,(AF131*Inputs!$C$14+(1-Inputs!$C$14)/MAX(1,Inputs!$C$13)*(AF131*(AF$126-1)*1+AF131*(AF131-1)/2)+1-AF131)/1)</f>
        <v>1</v>
      </c>
      <c r="AG132" s="74" t="n">
        <f aca="false">IF(Inputs!$C$13&lt;=0,1,(AG131*Inputs!$C$14+(1-Inputs!$C$14)/MAX(1,Inputs!$C$13)*(AG131*(AG$126-1)*1+AG131*(AG131-1)/2)+1-AG131)/1)</f>
        <v>1</v>
      </c>
      <c r="AH132" s="74" t="n">
        <f aca="false">IF(Inputs!$C$13&lt;=0,1,(AH131*Inputs!$C$14+(1-Inputs!$C$14)/MAX(1,Inputs!$C$13)*(AH131*(AH$126-1)*1+AH131*(AH131-1)/2)+1-AH131)/1)</f>
        <v>1</v>
      </c>
      <c r="AI132" s="74" t="n">
        <f aca="false">IF(Inputs!$C$13&lt;=0,1,(AI131*Inputs!$C$14+(1-Inputs!$C$14)/MAX(1,Inputs!$C$13)*(AI131*(AI$126-1)*1+AI131*(AI131-1)/2)+1-AI131)/1)</f>
        <v>1</v>
      </c>
      <c r="AJ132" s="74" t="n">
        <f aca="false">IF(Inputs!$C$13&lt;=0,1,(AJ131*Inputs!$C$14+(1-Inputs!$C$14)/MAX(1,Inputs!$C$13)*(AJ131*(AJ$126-1)*1+AJ131*(AJ131-1)/2)+1-AJ131)/1)</f>
        <v>1</v>
      </c>
      <c r="AK132" s="74" t="n">
        <f aca="false">IF(Inputs!$C$13&lt;=0,1,(AK131*Inputs!$C$14+(1-Inputs!$C$14)/MAX(1,Inputs!$C$13)*(AK131*(AK$126-1)*1+AK131*(AK131-1)/2)+1-AK131)/1)</f>
        <v>1</v>
      </c>
      <c r="AL132" s="74" t="n">
        <f aca="false">IF(Inputs!$C$13&lt;=0,1,(AL131*Inputs!$C$14+(1-Inputs!$C$14)/MAX(1,Inputs!$C$13)*(AL131*(AL$126-1)*1+AL131*(AL131-1)/2)+1-AL131)/1)</f>
        <v>1</v>
      </c>
    </row>
    <row r="133" customFormat="false" ht="15" hidden="false" customHeight="false" outlineLevel="0" collapsed="false">
      <c r="A133" s="6" t="s">
        <v>389</v>
      </c>
      <c r="C133" s="77" t="n">
        <f aca="false">IF(OR(MOD(C$126-1,12)&gt;=11,MOD(C$126-1,12)&lt;=1),1-Inputs!$C$10,1+Inputs!$C$10/3)</f>
        <v>0.75</v>
      </c>
      <c r="D133" s="77" t="n">
        <f aca="false">IF(OR(MOD(D$126-1,12)&gt;=11,MOD(D$126-1,12)&lt;=1),1-Inputs!$C$10,1+Inputs!$C$10/3)</f>
        <v>0.75</v>
      </c>
      <c r="E133" s="77" t="n">
        <f aca="false">IF(OR(MOD(E$126-1,12)&gt;=11,MOD(E$126-1,12)&lt;=1),1-Inputs!$C$10,1+Inputs!$C$10/3)</f>
        <v>1.08333333333333</v>
      </c>
      <c r="F133" s="77" t="n">
        <f aca="false">IF(OR(MOD(F$126-1,12)&gt;=11,MOD(F$126-1,12)&lt;=1),1-Inputs!$C$10,1+Inputs!$C$10/3)</f>
        <v>1.08333333333333</v>
      </c>
      <c r="G133" s="77" t="n">
        <f aca="false">IF(OR(MOD(G$126-1,12)&gt;=11,MOD(G$126-1,12)&lt;=1),1-Inputs!$C$10,1+Inputs!$C$10/3)</f>
        <v>1.08333333333333</v>
      </c>
      <c r="H133" s="77" t="n">
        <f aca="false">IF(OR(MOD(H$126-1,12)&gt;=11,MOD(H$126-1,12)&lt;=1),1-Inputs!$C$10,1+Inputs!$C$10/3)</f>
        <v>1.08333333333333</v>
      </c>
      <c r="I133" s="77" t="n">
        <f aca="false">IF(OR(MOD(I$126-1,12)&gt;=11,MOD(I$126-1,12)&lt;=1),1-Inputs!$C$10,1+Inputs!$C$10/3)</f>
        <v>1.08333333333333</v>
      </c>
      <c r="J133" s="77" t="n">
        <f aca="false">IF(OR(MOD(J$126-1,12)&gt;=11,MOD(J$126-1,12)&lt;=1),1-Inputs!$C$10,1+Inputs!$C$10/3)</f>
        <v>1.08333333333333</v>
      </c>
      <c r="K133" s="77" t="n">
        <f aca="false">IF(OR(MOD(K$126-1,12)&gt;=11,MOD(K$126-1,12)&lt;=1),1-Inputs!$C$10,1+Inputs!$C$10/3)</f>
        <v>1.08333333333333</v>
      </c>
      <c r="L133" s="77" t="n">
        <f aca="false">IF(OR(MOD(L$126-1,12)&gt;=11,MOD(L$126-1,12)&lt;=1),1-Inputs!$C$10,1+Inputs!$C$10/3)</f>
        <v>1.08333333333333</v>
      </c>
      <c r="M133" s="77" t="n">
        <f aca="false">IF(OR(MOD(M$126-1,12)&gt;=11,MOD(M$126-1,12)&lt;=1),1-Inputs!$C$10,1+Inputs!$C$10/3)</f>
        <v>1.08333333333333</v>
      </c>
      <c r="N133" s="77" t="n">
        <f aca="false">IF(OR(MOD(N$126-1,12)&gt;=11,MOD(N$126-1,12)&lt;=1),1-Inputs!$C$10,1+Inputs!$C$10/3)</f>
        <v>0.75</v>
      </c>
      <c r="O133" s="77" t="n">
        <f aca="false">IF(OR(MOD(O$126-1,12)&gt;=11,MOD(O$126-1,12)&lt;=1),1-Inputs!$C$10,1+Inputs!$C$10/3)</f>
        <v>0.75</v>
      </c>
      <c r="P133" s="77" t="n">
        <f aca="false">IF(OR(MOD(P$126-1,12)&gt;=11,MOD(P$126-1,12)&lt;=1),1-Inputs!$C$10,1+Inputs!$C$10/3)</f>
        <v>0.75</v>
      </c>
      <c r="Q133" s="77" t="n">
        <f aca="false">IF(OR(MOD(Q$126-1,12)&gt;=11,MOD(Q$126-1,12)&lt;=1),1-Inputs!$C$10,1+Inputs!$C$10/3)</f>
        <v>1.08333333333333</v>
      </c>
      <c r="R133" s="77" t="n">
        <f aca="false">IF(OR(MOD(R$126-1,12)&gt;=11,MOD(R$126-1,12)&lt;=1),1-Inputs!$C$10,1+Inputs!$C$10/3)</f>
        <v>1.08333333333333</v>
      </c>
      <c r="S133" s="77" t="n">
        <f aca="false">IF(OR(MOD(S$126-1,12)&gt;=11,MOD(S$126-1,12)&lt;=1),1-Inputs!$C$10,1+Inputs!$C$10/3)</f>
        <v>1.08333333333333</v>
      </c>
      <c r="T133" s="77" t="n">
        <f aca="false">IF(OR(MOD(T$126-1,12)&gt;=11,MOD(T$126-1,12)&lt;=1),1-Inputs!$C$10,1+Inputs!$C$10/3)</f>
        <v>1.08333333333333</v>
      </c>
      <c r="U133" s="77" t="n">
        <f aca="false">IF(OR(MOD(U$126-1,12)&gt;=11,MOD(U$126-1,12)&lt;=1),1-Inputs!$C$10,1+Inputs!$C$10/3)</f>
        <v>1.08333333333333</v>
      </c>
      <c r="V133" s="77" t="n">
        <f aca="false">IF(OR(MOD(V$126-1,12)&gt;=11,MOD(V$126-1,12)&lt;=1),1-Inputs!$C$10,1+Inputs!$C$10/3)</f>
        <v>1.08333333333333</v>
      </c>
      <c r="W133" s="77" t="n">
        <f aca="false">IF(OR(MOD(W$126-1,12)&gt;=11,MOD(W$126-1,12)&lt;=1),1-Inputs!$C$10,1+Inputs!$C$10/3)</f>
        <v>1.08333333333333</v>
      </c>
      <c r="X133" s="77" t="n">
        <f aca="false">IF(OR(MOD(X$126-1,12)&gt;=11,MOD(X$126-1,12)&lt;=1),1-Inputs!$C$10,1+Inputs!$C$10/3)</f>
        <v>1.08333333333333</v>
      </c>
      <c r="Y133" s="77" t="n">
        <f aca="false">IF(OR(MOD(Y$126-1,12)&gt;=11,MOD(Y$126-1,12)&lt;=1),1-Inputs!$C$10,1+Inputs!$C$10/3)</f>
        <v>1.08333333333333</v>
      </c>
      <c r="Z133" s="77" t="n">
        <f aca="false">IF(OR(MOD(Z$126-1,12)&gt;=11,MOD(Z$126-1,12)&lt;=1),1-Inputs!$C$10,1+Inputs!$C$10/3)</f>
        <v>0.75</v>
      </c>
      <c r="AA133" s="77" t="n">
        <f aca="false">IF(OR(MOD(AA$126-1,12)&gt;=11,MOD(AA$126-1,12)&lt;=1),1-Inputs!$C$10,1+Inputs!$C$10/3)</f>
        <v>0.75</v>
      </c>
      <c r="AB133" s="77" t="n">
        <f aca="false">IF(OR(MOD(AB$126-1,12)&gt;=11,MOD(AB$126-1,12)&lt;=1),1-Inputs!$C$10,1+Inputs!$C$10/3)</f>
        <v>0.75</v>
      </c>
      <c r="AC133" s="77" t="n">
        <f aca="false">IF(OR(MOD(AC$126-1,12)&gt;=11,MOD(AC$126-1,12)&lt;=1),1-Inputs!$C$10,1+Inputs!$C$10/3)</f>
        <v>1.08333333333333</v>
      </c>
      <c r="AD133" s="77" t="n">
        <f aca="false">IF(OR(MOD(AD$126-1,12)&gt;=11,MOD(AD$126-1,12)&lt;=1),1-Inputs!$C$10,1+Inputs!$C$10/3)</f>
        <v>1.08333333333333</v>
      </c>
      <c r="AE133" s="77" t="n">
        <f aca="false">IF(OR(MOD(AE$126-1,12)&gt;=11,MOD(AE$126-1,12)&lt;=1),1-Inputs!$C$10,1+Inputs!$C$10/3)</f>
        <v>1.08333333333333</v>
      </c>
      <c r="AF133" s="77" t="n">
        <f aca="false">IF(OR(MOD(AF$126-1,12)&gt;=11,MOD(AF$126-1,12)&lt;=1),1-Inputs!$C$10,1+Inputs!$C$10/3)</f>
        <v>1.08333333333333</v>
      </c>
      <c r="AG133" s="77" t="n">
        <f aca="false">IF(OR(MOD(AG$126-1,12)&gt;=11,MOD(AG$126-1,12)&lt;=1),1-Inputs!$C$10,1+Inputs!$C$10/3)</f>
        <v>1.08333333333333</v>
      </c>
      <c r="AH133" s="77" t="n">
        <f aca="false">IF(OR(MOD(AH$126-1,12)&gt;=11,MOD(AH$126-1,12)&lt;=1),1-Inputs!$C$10,1+Inputs!$C$10/3)</f>
        <v>1.08333333333333</v>
      </c>
      <c r="AI133" s="77" t="n">
        <f aca="false">IF(OR(MOD(AI$126-1,12)&gt;=11,MOD(AI$126-1,12)&lt;=1),1-Inputs!$C$10,1+Inputs!$C$10/3)</f>
        <v>1.08333333333333</v>
      </c>
      <c r="AJ133" s="77" t="n">
        <f aca="false">IF(OR(MOD(AJ$126-1,12)&gt;=11,MOD(AJ$126-1,12)&lt;=1),1-Inputs!$C$10,1+Inputs!$C$10/3)</f>
        <v>1.08333333333333</v>
      </c>
      <c r="AK133" s="77" t="n">
        <f aca="false">IF(OR(MOD(AK$126-1,12)&gt;=11,MOD(AK$126-1,12)&lt;=1),1-Inputs!$C$10,1+Inputs!$C$10/3)</f>
        <v>1.08333333333333</v>
      </c>
      <c r="AL133" s="77" t="n">
        <f aca="false">IF(OR(MOD(AL$126-1,12)&gt;=11,MOD(AL$126-1,12)&lt;=1),1-Inputs!$C$10,1+Inputs!$C$10/3)</f>
        <v>0.75</v>
      </c>
    </row>
    <row r="134" customFormat="false" ht="15" hidden="false" customHeight="false" outlineLevel="0" collapsed="false">
      <c r="A134" s="6" t="s">
        <v>390</v>
      </c>
      <c r="C134" s="118" t="n">
        <f aca="false">C130*Inputs!$C$9*1*C133</f>
        <v>13.5</v>
      </c>
      <c r="D134" s="118" t="n">
        <f aca="false">D130*Inputs!$C$9*1*D133</f>
        <v>13.5</v>
      </c>
      <c r="E134" s="118" t="n">
        <f aca="false">E130*Inputs!$C$9*1*E133</f>
        <v>19.5</v>
      </c>
      <c r="F134" s="118" t="n">
        <f aca="false">F130*Inputs!$C$9*1*F133</f>
        <v>19.5</v>
      </c>
      <c r="G134" s="118" t="n">
        <f aca="false">G130*Inputs!$C$9*1*G133</f>
        <v>19.5</v>
      </c>
      <c r="H134" s="118" t="n">
        <f aca="false">H130*Inputs!$C$9*1*H133</f>
        <v>19.5</v>
      </c>
      <c r="I134" s="118" t="n">
        <f aca="false">I130*Inputs!$C$9*1*I133</f>
        <v>19.5</v>
      </c>
      <c r="J134" s="118" t="n">
        <f aca="false">J130*Inputs!$C$9*1*J133</f>
        <v>19.5</v>
      </c>
      <c r="K134" s="118" t="n">
        <f aca="false">K130*Inputs!$C$9*1*K133</f>
        <v>19.5</v>
      </c>
      <c r="L134" s="118" t="n">
        <f aca="false">L130*Inputs!$C$9*1*L133</f>
        <v>19.5</v>
      </c>
      <c r="M134" s="118" t="n">
        <f aca="false">M130*Inputs!$C$9*1*M133</f>
        <v>19.5</v>
      </c>
      <c r="N134" s="118" t="n">
        <f aca="false">N130*Inputs!$C$9*1*N133</f>
        <v>13.5</v>
      </c>
      <c r="O134" s="118" t="n">
        <f aca="false">O130*Inputs!$C$9*1*O133</f>
        <v>13.5</v>
      </c>
      <c r="P134" s="118" t="n">
        <f aca="false">P130*Inputs!$C$9*1*P133</f>
        <v>13.5</v>
      </c>
      <c r="Q134" s="118" t="n">
        <f aca="false">Q130*Inputs!$C$9*1*Q133</f>
        <v>19.5</v>
      </c>
      <c r="R134" s="118" t="n">
        <f aca="false">R130*Inputs!$C$9*1*R133</f>
        <v>19.5</v>
      </c>
      <c r="S134" s="118" t="n">
        <f aca="false">S130*Inputs!$C$9*1*S133</f>
        <v>19.5</v>
      </c>
      <c r="T134" s="118" t="n">
        <f aca="false">T130*Inputs!$C$9*1*T133</f>
        <v>19.5</v>
      </c>
      <c r="U134" s="118" t="n">
        <f aca="false">U130*Inputs!$C$9*1*U133</f>
        <v>19.5</v>
      </c>
      <c r="V134" s="118" t="n">
        <f aca="false">V130*Inputs!$C$9*1*V133</f>
        <v>19.5</v>
      </c>
      <c r="W134" s="118" t="n">
        <f aca="false">W130*Inputs!$C$9*1*W133</f>
        <v>19.5</v>
      </c>
      <c r="X134" s="118" t="n">
        <f aca="false">X130*Inputs!$C$9*1*X133</f>
        <v>19.5</v>
      </c>
      <c r="Y134" s="118" t="n">
        <f aca="false">Y130*Inputs!$C$9*1*Y133</f>
        <v>19.5</v>
      </c>
      <c r="Z134" s="118" t="n">
        <f aca="false">Z130*Inputs!$C$9*1*Z133</f>
        <v>13.5</v>
      </c>
      <c r="AA134" s="118" t="n">
        <f aca="false">AA130*Inputs!$C$9*1*AA133</f>
        <v>13.5</v>
      </c>
      <c r="AB134" s="118" t="n">
        <f aca="false">AB130*Inputs!$C$9*1*AB133</f>
        <v>13.5</v>
      </c>
      <c r="AC134" s="118" t="n">
        <f aca="false">AC130*Inputs!$C$9*1*AC133</f>
        <v>19.5</v>
      </c>
      <c r="AD134" s="118" t="n">
        <f aca="false">AD130*Inputs!$C$9*1*AD133</f>
        <v>19.5</v>
      </c>
      <c r="AE134" s="118" t="n">
        <f aca="false">AE130*Inputs!$C$9*1*AE133</f>
        <v>19.5</v>
      </c>
      <c r="AF134" s="118" t="n">
        <f aca="false">AF130*Inputs!$C$9*1*AF133</f>
        <v>19.5</v>
      </c>
      <c r="AG134" s="118" t="n">
        <f aca="false">AG130*Inputs!$C$9*1*AG133</f>
        <v>19.5</v>
      </c>
      <c r="AH134" s="118" t="n">
        <f aca="false">AH130*Inputs!$C$9*1*AH133</f>
        <v>19.5</v>
      </c>
      <c r="AI134" s="118" t="n">
        <f aca="false">AI130*Inputs!$C$9*1*AI133</f>
        <v>19.5</v>
      </c>
      <c r="AJ134" s="118" t="n">
        <f aca="false">AJ130*Inputs!$C$9*1*AJ133</f>
        <v>19.5</v>
      </c>
      <c r="AK134" s="118" t="n">
        <f aca="false">AK130*Inputs!$C$9*1*AK133</f>
        <v>19.5</v>
      </c>
      <c r="AL134" s="118" t="n">
        <f aca="false">AL130*Inputs!$C$9*1*AL133</f>
        <v>13.5</v>
      </c>
    </row>
    <row r="135" customFormat="false" ht="15" hidden="false" customHeight="false" outlineLevel="0" collapsed="false">
      <c r="A135" s="6" t="s">
        <v>391</v>
      </c>
      <c r="C135" s="118" t="n">
        <f aca="false">C130*Inputs!$C$23*(1+Inputs!$C$24)^(C$127-1)*1*C132</f>
        <v>1.5</v>
      </c>
      <c r="D135" s="118" t="n">
        <f aca="false">D130*Inputs!$C$23*(1+Inputs!$C$24)^(D$127-1)*1*D132</f>
        <v>1.75</v>
      </c>
      <c r="E135" s="118" t="n">
        <f aca="false">E130*Inputs!$C$23*(1+Inputs!$C$24)^(E$127-1)*1*E132</f>
        <v>2</v>
      </c>
      <c r="F135" s="118" t="n">
        <f aca="false">F130*Inputs!$C$23*(1+Inputs!$C$24)^(F$127-1)*1*F132</f>
        <v>2.25</v>
      </c>
      <c r="G135" s="118" t="n">
        <f aca="false">G130*Inputs!$C$23*(1+Inputs!$C$24)^(G$127-1)*1*G132</f>
        <v>2.5</v>
      </c>
      <c r="H135" s="118" t="n">
        <f aca="false">H130*Inputs!$C$23*(1+Inputs!$C$24)^(H$127-1)*1*H132</f>
        <v>2.75</v>
      </c>
      <c r="I135" s="118" t="n">
        <f aca="false">I130*Inputs!$C$23*(1+Inputs!$C$24)^(I$127-1)*1*I132</f>
        <v>3</v>
      </c>
      <c r="J135" s="118" t="n">
        <f aca="false">J130*Inputs!$C$23*(1+Inputs!$C$24)^(J$127-1)*1*J132</f>
        <v>3</v>
      </c>
      <c r="K135" s="118" t="n">
        <f aca="false">K130*Inputs!$C$23*(1+Inputs!$C$24)^(K$127-1)*1*K132</f>
        <v>3</v>
      </c>
      <c r="L135" s="118" t="n">
        <f aca="false">L130*Inputs!$C$23*(1+Inputs!$C$24)^(L$127-1)*1*L132</f>
        <v>3</v>
      </c>
      <c r="M135" s="118" t="n">
        <f aca="false">M130*Inputs!$C$23*(1+Inputs!$C$24)^(M$127-1)*1*M132</f>
        <v>3</v>
      </c>
      <c r="N135" s="118" t="n">
        <f aca="false">N130*Inputs!$C$23*(1+Inputs!$C$24)^(N$127-1)*1*N132</f>
        <v>3</v>
      </c>
      <c r="O135" s="118" t="n">
        <f aca="false">O130*Inputs!$C$23*(1+Inputs!$C$24)^(O$127-1)*1*O132</f>
        <v>3.15</v>
      </c>
      <c r="P135" s="118" t="n">
        <f aca="false">P130*Inputs!$C$23*(1+Inputs!$C$24)^(P$127-1)*1*P132</f>
        <v>3.15</v>
      </c>
      <c r="Q135" s="118" t="n">
        <f aca="false">Q130*Inputs!$C$23*(1+Inputs!$C$24)^(Q$127-1)*1*Q132</f>
        <v>3.15</v>
      </c>
      <c r="R135" s="118" t="n">
        <f aca="false">R130*Inputs!$C$23*(1+Inputs!$C$24)^(R$127-1)*1*R132</f>
        <v>3.15</v>
      </c>
      <c r="S135" s="118" t="n">
        <f aca="false">S130*Inputs!$C$23*(1+Inputs!$C$24)^(S$127-1)*1*S132</f>
        <v>3.15</v>
      </c>
      <c r="T135" s="118" t="n">
        <f aca="false">T130*Inputs!$C$23*(1+Inputs!$C$24)^(T$127-1)*1*T132</f>
        <v>3.15</v>
      </c>
      <c r="U135" s="118" t="n">
        <f aca="false">U130*Inputs!$C$23*(1+Inputs!$C$24)^(U$127-1)*1*U132</f>
        <v>3.15</v>
      </c>
      <c r="V135" s="118" t="n">
        <f aca="false">V130*Inputs!$C$23*(1+Inputs!$C$24)^(V$127-1)*1*V132</f>
        <v>3.15</v>
      </c>
      <c r="W135" s="118" t="n">
        <f aca="false">W130*Inputs!$C$23*(1+Inputs!$C$24)^(W$127-1)*1*W132</f>
        <v>3.15</v>
      </c>
      <c r="X135" s="118" t="n">
        <f aca="false">X130*Inputs!$C$23*(1+Inputs!$C$24)^(X$127-1)*1*X132</f>
        <v>3.15</v>
      </c>
      <c r="Y135" s="118" t="n">
        <f aca="false">Y130*Inputs!$C$23*(1+Inputs!$C$24)^(Y$127-1)*1*Y132</f>
        <v>3.15</v>
      </c>
      <c r="Z135" s="118" t="n">
        <f aca="false">Z130*Inputs!$C$23*(1+Inputs!$C$24)^(Z$127-1)*1*Z132</f>
        <v>3.15</v>
      </c>
      <c r="AA135" s="118" t="n">
        <f aca="false">AA130*Inputs!$C$23*(1+Inputs!$C$24)^(AA$127-1)*1*AA132</f>
        <v>3.3075</v>
      </c>
      <c r="AB135" s="118" t="n">
        <f aca="false">AB130*Inputs!$C$23*(1+Inputs!$C$24)^(AB$127-1)*1*AB132</f>
        <v>3.3075</v>
      </c>
      <c r="AC135" s="118" t="n">
        <f aca="false">AC130*Inputs!$C$23*(1+Inputs!$C$24)^(AC$127-1)*1*AC132</f>
        <v>3.3075</v>
      </c>
      <c r="AD135" s="118" t="n">
        <f aca="false">AD130*Inputs!$C$23*(1+Inputs!$C$24)^(AD$127-1)*1*AD132</f>
        <v>3.3075</v>
      </c>
      <c r="AE135" s="118" t="n">
        <f aca="false">AE130*Inputs!$C$23*(1+Inputs!$C$24)^(AE$127-1)*1*AE132</f>
        <v>3.3075</v>
      </c>
      <c r="AF135" s="118" t="n">
        <f aca="false">AF130*Inputs!$C$23*(1+Inputs!$C$24)^(AF$127-1)*1*AF132</f>
        <v>3.3075</v>
      </c>
      <c r="AG135" s="118" t="n">
        <f aca="false">AG130*Inputs!$C$23*(1+Inputs!$C$24)^(AG$127-1)*1*AG132</f>
        <v>3.3075</v>
      </c>
      <c r="AH135" s="118" t="n">
        <f aca="false">AH130*Inputs!$C$23*(1+Inputs!$C$24)^(AH$127-1)*1*AH132</f>
        <v>3.3075</v>
      </c>
      <c r="AI135" s="118" t="n">
        <f aca="false">AI130*Inputs!$C$23*(1+Inputs!$C$24)^(AI$127-1)*1*AI132</f>
        <v>3.3075</v>
      </c>
      <c r="AJ135" s="118" t="n">
        <f aca="false">AJ130*Inputs!$C$23*(1+Inputs!$C$24)^(AJ$127-1)*1*AJ132</f>
        <v>3.3075</v>
      </c>
      <c r="AK135" s="118" t="n">
        <f aca="false">AK130*Inputs!$C$23*(1+Inputs!$C$24)^(AK$127-1)*1*AK132</f>
        <v>3.3075</v>
      </c>
      <c r="AL135" s="118" t="n">
        <f aca="false">AL130*Inputs!$C$23*(1+Inputs!$C$24)^(AL$127-1)*1*AL132</f>
        <v>3.3075</v>
      </c>
    </row>
    <row r="136" customFormat="false" ht="15" hidden="false" customHeight="false" outlineLevel="0" collapsed="false">
      <c r="A136" s="4" t="s">
        <v>392</v>
      </c>
      <c r="C136" s="119" t="n">
        <f aca="false">C134+C135</f>
        <v>15</v>
      </c>
      <c r="D136" s="119" t="n">
        <f aca="false">D134+D135</f>
        <v>15.25</v>
      </c>
      <c r="E136" s="119" t="n">
        <f aca="false">E134+E135</f>
        <v>21.5</v>
      </c>
      <c r="F136" s="119" t="n">
        <f aca="false">F134+F135</f>
        <v>21.75</v>
      </c>
      <c r="G136" s="119" t="n">
        <f aca="false">G134+G135</f>
        <v>22</v>
      </c>
      <c r="H136" s="119" t="n">
        <f aca="false">H134+H135</f>
        <v>22.25</v>
      </c>
      <c r="I136" s="119" t="n">
        <f aca="false">I134+I135</f>
        <v>22.5</v>
      </c>
      <c r="J136" s="119" t="n">
        <f aca="false">J134+J135</f>
        <v>22.5</v>
      </c>
      <c r="K136" s="119" t="n">
        <f aca="false">K134+K135</f>
        <v>22.5</v>
      </c>
      <c r="L136" s="119" t="n">
        <f aca="false">L134+L135</f>
        <v>22.5</v>
      </c>
      <c r="M136" s="119" t="n">
        <f aca="false">M134+M135</f>
        <v>22.5</v>
      </c>
      <c r="N136" s="119" t="n">
        <f aca="false">N134+N135</f>
        <v>16.5</v>
      </c>
      <c r="O136" s="119" t="n">
        <f aca="false">O134+O135</f>
        <v>16.65</v>
      </c>
      <c r="P136" s="119" t="n">
        <f aca="false">P134+P135</f>
        <v>16.65</v>
      </c>
      <c r="Q136" s="119" t="n">
        <f aca="false">Q134+Q135</f>
        <v>22.65</v>
      </c>
      <c r="R136" s="119" t="n">
        <f aca="false">R134+R135</f>
        <v>22.65</v>
      </c>
      <c r="S136" s="119" t="n">
        <f aca="false">S134+S135</f>
        <v>22.65</v>
      </c>
      <c r="T136" s="119" t="n">
        <f aca="false">T134+T135</f>
        <v>22.65</v>
      </c>
      <c r="U136" s="119" t="n">
        <f aca="false">U134+U135</f>
        <v>22.65</v>
      </c>
      <c r="V136" s="119" t="n">
        <f aca="false">V134+V135</f>
        <v>22.65</v>
      </c>
      <c r="W136" s="119" t="n">
        <f aca="false">W134+W135</f>
        <v>22.65</v>
      </c>
      <c r="X136" s="119" t="n">
        <f aca="false">X134+X135</f>
        <v>22.65</v>
      </c>
      <c r="Y136" s="119" t="n">
        <f aca="false">Y134+Y135</f>
        <v>22.65</v>
      </c>
      <c r="Z136" s="119" t="n">
        <f aca="false">Z134+Z135</f>
        <v>16.65</v>
      </c>
      <c r="AA136" s="119" t="n">
        <f aca="false">AA134+AA135</f>
        <v>16.8075</v>
      </c>
      <c r="AB136" s="119" t="n">
        <f aca="false">AB134+AB135</f>
        <v>16.8075</v>
      </c>
      <c r="AC136" s="119" t="n">
        <f aca="false">AC134+AC135</f>
        <v>22.8075</v>
      </c>
      <c r="AD136" s="119" t="n">
        <f aca="false">AD134+AD135</f>
        <v>22.8075</v>
      </c>
      <c r="AE136" s="119" t="n">
        <f aca="false">AE134+AE135</f>
        <v>22.8075</v>
      </c>
      <c r="AF136" s="119" t="n">
        <f aca="false">AF134+AF135</f>
        <v>22.8075</v>
      </c>
      <c r="AG136" s="119" t="n">
        <f aca="false">AG134+AG135</f>
        <v>22.8075</v>
      </c>
      <c r="AH136" s="119" t="n">
        <f aca="false">AH134+AH135</f>
        <v>22.8075</v>
      </c>
      <c r="AI136" s="119" t="n">
        <f aca="false">AI134+AI135</f>
        <v>22.8075</v>
      </c>
      <c r="AJ136" s="119" t="n">
        <f aca="false">AJ134+AJ135</f>
        <v>22.8075</v>
      </c>
      <c r="AK136" s="119" t="n">
        <f aca="false">AK134+AK135</f>
        <v>22.8075</v>
      </c>
      <c r="AL136" s="119" t="n">
        <f aca="false">AL134+AL135</f>
        <v>16.8075</v>
      </c>
    </row>
    <row r="137" customFormat="false" ht="15" hidden="false" customHeight="false" outlineLevel="0" collapsed="false">
      <c r="A137" s="6" t="s">
        <v>393</v>
      </c>
      <c r="C137" s="116" t="n">
        <f aca="false">C134*Inputs!$C$17*(1+Inputs!$C$18)^(C$127-1)*C132</f>
        <v>594</v>
      </c>
      <c r="D137" s="116" t="n">
        <f aca="false">D134*Inputs!$C$17*(1+Inputs!$C$18)^(D$127-1)*D132</f>
        <v>693</v>
      </c>
      <c r="E137" s="116" t="n">
        <f aca="false">E134*Inputs!$C$17*(1+Inputs!$C$18)^(E$127-1)*E132</f>
        <v>1144</v>
      </c>
      <c r="F137" s="116" t="n">
        <f aca="false">F134*Inputs!$C$17*(1+Inputs!$C$18)^(F$127-1)*F132</f>
        <v>1287</v>
      </c>
      <c r="G137" s="116" t="n">
        <f aca="false">G134*Inputs!$C$17*(1+Inputs!$C$18)^(G$127-1)*G132</f>
        <v>1430</v>
      </c>
      <c r="H137" s="116" t="n">
        <f aca="false">H134*Inputs!$C$17*(1+Inputs!$C$18)^(H$127-1)*H132</f>
        <v>1573</v>
      </c>
      <c r="I137" s="116" t="n">
        <f aca="false">I134*Inputs!$C$17*(1+Inputs!$C$18)^(I$127-1)*I132</f>
        <v>1716</v>
      </c>
      <c r="J137" s="116" t="n">
        <f aca="false">J134*Inputs!$C$17*(1+Inputs!$C$18)^(J$127-1)*J132</f>
        <v>1716</v>
      </c>
      <c r="K137" s="116" t="n">
        <f aca="false">K134*Inputs!$C$17*(1+Inputs!$C$18)^(K$127-1)*K132</f>
        <v>1716</v>
      </c>
      <c r="L137" s="116" t="n">
        <f aca="false">L134*Inputs!$C$17*(1+Inputs!$C$18)^(L$127-1)*L132</f>
        <v>1716</v>
      </c>
      <c r="M137" s="116" t="n">
        <f aca="false">M134*Inputs!$C$17*(1+Inputs!$C$18)^(M$127-1)*M132</f>
        <v>1716</v>
      </c>
      <c r="N137" s="116" t="n">
        <f aca="false">N134*Inputs!$C$17*(1+Inputs!$C$18)^(N$127-1)*N132</f>
        <v>1188</v>
      </c>
      <c r="O137" s="116" t="n">
        <f aca="false">O134*Inputs!$C$17*(1+Inputs!$C$18)^(O$127-1)*O132</f>
        <v>1223.64</v>
      </c>
      <c r="P137" s="116" t="n">
        <f aca="false">P134*Inputs!$C$17*(1+Inputs!$C$18)^(P$127-1)*P132</f>
        <v>1223.64</v>
      </c>
      <c r="Q137" s="116" t="n">
        <f aca="false">Q134*Inputs!$C$17*(1+Inputs!$C$18)^(Q$127-1)*Q132</f>
        <v>1767.48</v>
      </c>
      <c r="R137" s="116" t="n">
        <f aca="false">R134*Inputs!$C$17*(1+Inputs!$C$18)^(R$127-1)*R132</f>
        <v>1767.48</v>
      </c>
      <c r="S137" s="116" t="n">
        <f aca="false">S134*Inputs!$C$17*(1+Inputs!$C$18)^(S$127-1)*S132</f>
        <v>1767.48</v>
      </c>
      <c r="T137" s="116" t="n">
        <f aca="false">T134*Inputs!$C$17*(1+Inputs!$C$18)^(T$127-1)*T132</f>
        <v>1767.48</v>
      </c>
      <c r="U137" s="116" t="n">
        <f aca="false">U134*Inputs!$C$17*(1+Inputs!$C$18)^(U$127-1)*U132</f>
        <v>1767.48</v>
      </c>
      <c r="V137" s="116" t="n">
        <f aca="false">V134*Inputs!$C$17*(1+Inputs!$C$18)^(V$127-1)*V132</f>
        <v>1767.48</v>
      </c>
      <c r="W137" s="116" t="n">
        <f aca="false">W134*Inputs!$C$17*(1+Inputs!$C$18)^(W$127-1)*W132</f>
        <v>1767.48</v>
      </c>
      <c r="X137" s="116" t="n">
        <f aca="false">X134*Inputs!$C$17*(1+Inputs!$C$18)^(X$127-1)*X132</f>
        <v>1767.48</v>
      </c>
      <c r="Y137" s="116" t="n">
        <f aca="false">Y134*Inputs!$C$17*(1+Inputs!$C$18)^(Y$127-1)*Y132</f>
        <v>1767.48</v>
      </c>
      <c r="Z137" s="116" t="n">
        <f aca="false">Z134*Inputs!$C$17*(1+Inputs!$C$18)^(Z$127-1)*Z132</f>
        <v>1223.64</v>
      </c>
      <c r="AA137" s="116" t="n">
        <f aca="false">AA134*Inputs!$C$17*(1+Inputs!$C$18)^(AA$127-1)*AA132</f>
        <v>1260.3492</v>
      </c>
      <c r="AB137" s="116" t="n">
        <f aca="false">AB134*Inputs!$C$17*(1+Inputs!$C$18)^(AB$127-1)*AB132</f>
        <v>1260.3492</v>
      </c>
      <c r="AC137" s="116" t="n">
        <f aca="false">AC134*Inputs!$C$17*(1+Inputs!$C$18)^(AC$127-1)*AC132</f>
        <v>1820.5044</v>
      </c>
      <c r="AD137" s="116" t="n">
        <f aca="false">AD134*Inputs!$C$17*(1+Inputs!$C$18)^(AD$127-1)*AD132</f>
        <v>1820.5044</v>
      </c>
      <c r="AE137" s="116" t="n">
        <f aca="false">AE134*Inputs!$C$17*(1+Inputs!$C$18)^(AE$127-1)*AE132</f>
        <v>1820.5044</v>
      </c>
      <c r="AF137" s="116" t="n">
        <f aca="false">AF134*Inputs!$C$17*(1+Inputs!$C$18)^(AF$127-1)*AF132</f>
        <v>1820.5044</v>
      </c>
      <c r="AG137" s="116" t="n">
        <f aca="false">AG134*Inputs!$C$17*(1+Inputs!$C$18)^(AG$127-1)*AG132</f>
        <v>1820.5044</v>
      </c>
      <c r="AH137" s="116" t="n">
        <f aca="false">AH134*Inputs!$C$17*(1+Inputs!$C$18)^(AH$127-1)*AH132</f>
        <v>1820.5044</v>
      </c>
      <c r="AI137" s="116" t="n">
        <f aca="false">AI134*Inputs!$C$17*(1+Inputs!$C$18)^(AI$127-1)*AI132</f>
        <v>1820.5044</v>
      </c>
      <c r="AJ137" s="116" t="n">
        <f aca="false">AJ134*Inputs!$C$17*(1+Inputs!$C$18)^(AJ$127-1)*AJ132</f>
        <v>1820.5044</v>
      </c>
      <c r="AK137" s="116" t="n">
        <f aca="false">AK134*Inputs!$C$17*(1+Inputs!$C$18)^(AK$127-1)*AK132</f>
        <v>1820.5044</v>
      </c>
      <c r="AL137" s="116" t="n">
        <f aca="false">AL134*Inputs!$C$17*(1+Inputs!$C$18)^(AL$127-1)*AL132</f>
        <v>1260.3492</v>
      </c>
    </row>
    <row r="138" customFormat="false" ht="15" hidden="false" customHeight="false" outlineLevel="0" collapsed="false">
      <c r="A138" s="6" t="s">
        <v>394</v>
      </c>
      <c r="C138" s="116" t="n">
        <f aca="false">C135*Inputs!$C$26</f>
        <v>150</v>
      </c>
      <c r="D138" s="116" t="n">
        <f aca="false">D135*Inputs!$C$26</f>
        <v>175</v>
      </c>
      <c r="E138" s="116" t="n">
        <f aca="false">E135*Inputs!$C$26</f>
        <v>200</v>
      </c>
      <c r="F138" s="116" t="n">
        <f aca="false">F135*Inputs!$C$26</f>
        <v>225</v>
      </c>
      <c r="G138" s="116" t="n">
        <f aca="false">G135*Inputs!$C$26</f>
        <v>250</v>
      </c>
      <c r="H138" s="116" t="n">
        <f aca="false">H135*Inputs!$C$26</f>
        <v>275</v>
      </c>
      <c r="I138" s="116" t="n">
        <f aca="false">I135*Inputs!$C$26</f>
        <v>300</v>
      </c>
      <c r="J138" s="116" t="n">
        <f aca="false">J135*Inputs!$C$26</f>
        <v>300</v>
      </c>
      <c r="K138" s="116" t="n">
        <f aca="false">K135*Inputs!$C$26</f>
        <v>300</v>
      </c>
      <c r="L138" s="116" t="n">
        <f aca="false">L135*Inputs!$C$26</f>
        <v>300</v>
      </c>
      <c r="M138" s="116" t="n">
        <f aca="false">M135*Inputs!$C$26</f>
        <v>300</v>
      </c>
      <c r="N138" s="116" t="n">
        <f aca="false">N135*Inputs!$C$26</f>
        <v>300</v>
      </c>
      <c r="O138" s="116" t="n">
        <f aca="false">O135*Inputs!$C$26</f>
        <v>315</v>
      </c>
      <c r="P138" s="116" t="n">
        <f aca="false">P135*Inputs!$C$26</f>
        <v>315</v>
      </c>
      <c r="Q138" s="116" t="n">
        <f aca="false">Q135*Inputs!$C$26</f>
        <v>315</v>
      </c>
      <c r="R138" s="116" t="n">
        <f aca="false">R135*Inputs!$C$26</f>
        <v>315</v>
      </c>
      <c r="S138" s="116" t="n">
        <f aca="false">S135*Inputs!$C$26</f>
        <v>315</v>
      </c>
      <c r="T138" s="116" t="n">
        <f aca="false">T135*Inputs!$C$26</f>
        <v>315</v>
      </c>
      <c r="U138" s="116" t="n">
        <f aca="false">U135*Inputs!$C$26</f>
        <v>315</v>
      </c>
      <c r="V138" s="116" t="n">
        <f aca="false">V135*Inputs!$C$26</f>
        <v>315</v>
      </c>
      <c r="W138" s="116" t="n">
        <f aca="false">W135*Inputs!$C$26</f>
        <v>315</v>
      </c>
      <c r="X138" s="116" t="n">
        <f aca="false">X135*Inputs!$C$26</f>
        <v>315</v>
      </c>
      <c r="Y138" s="116" t="n">
        <f aca="false">Y135*Inputs!$C$26</f>
        <v>315</v>
      </c>
      <c r="Z138" s="116" t="n">
        <f aca="false">Z135*Inputs!$C$26</f>
        <v>315</v>
      </c>
      <c r="AA138" s="116" t="n">
        <f aca="false">AA135*Inputs!$C$26</f>
        <v>330.75</v>
      </c>
      <c r="AB138" s="116" t="n">
        <f aca="false">AB135*Inputs!$C$26</f>
        <v>330.75</v>
      </c>
      <c r="AC138" s="116" t="n">
        <f aca="false">AC135*Inputs!$C$26</f>
        <v>330.75</v>
      </c>
      <c r="AD138" s="116" t="n">
        <f aca="false">AD135*Inputs!$C$26</f>
        <v>330.75</v>
      </c>
      <c r="AE138" s="116" t="n">
        <f aca="false">AE135*Inputs!$C$26</f>
        <v>330.75</v>
      </c>
      <c r="AF138" s="116" t="n">
        <f aca="false">AF135*Inputs!$C$26</f>
        <v>330.75</v>
      </c>
      <c r="AG138" s="116" t="n">
        <f aca="false">AG135*Inputs!$C$26</f>
        <v>330.75</v>
      </c>
      <c r="AH138" s="116" t="n">
        <f aca="false">AH135*Inputs!$C$26</f>
        <v>330.75</v>
      </c>
      <c r="AI138" s="116" t="n">
        <f aca="false">AI135*Inputs!$C$26</f>
        <v>330.75</v>
      </c>
      <c r="AJ138" s="116" t="n">
        <f aca="false">AJ135*Inputs!$C$26</f>
        <v>330.75</v>
      </c>
      <c r="AK138" s="116" t="n">
        <f aca="false">AK135*Inputs!$C$26</f>
        <v>330.75</v>
      </c>
      <c r="AL138" s="116" t="n">
        <f aca="false">AL135*Inputs!$C$26</f>
        <v>330.75</v>
      </c>
    </row>
    <row r="139" customFormat="false" ht="15" hidden="false" customHeight="false" outlineLevel="0" collapsed="false">
      <c r="A139" s="4" t="s">
        <v>395</v>
      </c>
      <c r="C139" s="120" t="n">
        <f aca="false">C137+C138</f>
        <v>744</v>
      </c>
      <c r="D139" s="120" t="n">
        <f aca="false">D137+D138</f>
        <v>868</v>
      </c>
      <c r="E139" s="120" t="n">
        <f aca="false">E137+E138</f>
        <v>1344</v>
      </c>
      <c r="F139" s="120" t="n">
        <f aca="false">F137+F138</f>
        <v>1512</v>
      </c>
      <c r="G139" s="120" t="n">
        <f aca="false">G137+G138</f>
        <v>1680</v>
      </c>
      <c r="H139" s="120" t="n">
        <f aca="false">H137+H138</f>
        <v>1848</v>
      </c>
      <c r="I139" s="120" t="n">
        <f aca="false">I137+I138</f>
        <v>2016</v>
      </c>
      <c r="J139" s="120" t="n">
        <f aca="false">J137+J138</f>
        <v>2016</v>
      </c>
      <c r="K139" s="120" t="n">
        <f aca="false">K137+K138</f>
        <v>2016</v>
      </c>
      <c r="L139" s="120" t="n">
        <f aca="false">L137+L138</f>
        <v>2016</v>
      </c>
      <c r="M139" s="120" t="n">
        <f aca="false">M137+M138</f>
        <v>2016</v>
      </c>
      <c r="N139" s="120" t="n">
        <f aca="false">N137+N138</f>
        <v>1488</v>
      </c>
      <c r="O139" s="120" t="n">
        <f aca="false">O137+O138</f>
        <v>1538.64</v>
      </c>
      <c r="P139" s="120" t="n">
        <f aca="false">P137+P138</f>
        <v>1538.64</v>
      </c>
      <c r="Q139" s="120" t="n">
        <f aca="false">Q137+Q138</f>
        <v>2082.48</v>
      </c>
      <c r="R139" s="120" t="n">
        <f aca="false">R137+R138</f>
        <v>2082.48</v>
      </c>
      <c r="S139" s="120" t="n">
        <f aca="false">S137+S138</f>
        <v>2082.48</v>
      </c>
      <c r="T139" s="120" t="n">
        <f aca="false">T137+T138</f>
        <v>2082.48</v>
      </c>
      <c r="U139" s="120" t="n">
        <f aca="false">U137+U138</f>
        <v>2082.48</v>
      </c>
      <c r="V139" s="120" t="n">
        <f aca="false">V137+V138</f>
        <v>2082.48</v>
      </c>
      <c r="W139" s="120" t="n">
        <f aca="false">W137+W138</f>
        <v>2082.48</v>
      </c>
      <c r="X139" s="120" t="n">
        <f aca="false">X137+X138</f>
        <v>2082.48</v>
      </c>
      <c r="Y139" s="120" t="n">
        <f aca="false">Y137+Y138</f>
        <v>2082.48</v>
      </c>
      <c r="Z139" s="120" t="n">
        <f aca="false">Z137+Z138</f>
        <v>1538.64</v>
      </c>
      <c r="AA139" s="120" t="n">
        <f aca="false">AA137+AA138</f>
        <v>1591.0992</v>
      </c>
      <c r="AB139" s="120" t="n">
        <f aca="false">AB137+AB138</f>
        <v>1591.0992</v>
      </c>
      <c r="AC139" s="120" t="n">
        <f aca="false">AC137+AC138</f>
        <v>2151.2544</v>
      </c>
      <c r="AD139" s="120" t="n">
        <f aca="false">AD137+AD138</f>
        <v>2151.2544</v>
      </c>
      <c r="AE139" s="120" t="n">
        <f aca="false">AE137+AE138</f>
        <v>2151.2544</v>
      </c>
      <c r="AF139" s="120" t="n">
        <f aca="false">AF137+AF138</f>
        <v>2151.2544</v>
      </c>
      <c r="AG139" s="120" t="n">
        <f aca="false">AG137+AG138</f>
        <v>2151.2544</v>
      </c>
      <c r="AH139" s="120" t="n">
        <f aca="false">AH137+AH138</f>
        <v>2151.2544</v>
      </c>
      <c r="AI139" s="120" t="n">
        <f aca="false">AI137+AI138</f>
        <v>2151.2544</v>
      </c>
      <c r="AJ139" s="120" t="n">
        <f aca="false">AJ137+AJ138</f>
        <v>2151.2544</v>
      </c>
      <c r="AK139" s="120" t="n">
        <f aca="false">AK137+AK138</f>
        <v>2151.2544</v>
      </c>
      <c r="AL139" s="120" t="n">
        <f aca="false">AL137+AL138</f>
        <v>1591.0992</v>
      </c>
    </row>
    <row r="141" customFormat="false" ht="15.75" hidden="false" customHeight="true" outlineLevel="0" collapsed="false">
      <c r="A141" s="7" t="s">
        <v>44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</row>
    <row r="142" customFormat="false" ht="15" hidden="false" customHeight="false" outlineLevel="0" collapsed="false">
      <c r="A142" s="6" t="s">
        <v>396</v>
      </c>
      <c r="C142" s="121" t="n">
        <f aca="false">Inputs!$C$19*(1+Inputs!$C$20)^(C$127-1)</f>
        <v>14</v>
      </c>
      <c r="D142" s="121" t="n">
        <f aca="false">Inputs!$C$19*(1+Inputs!$C$20)^(D$127-1)</f>
        <v>14</v>
      </c>
      <c r="E142" s="121" t="n">
        <f aca="false">Inputs!$C$19*(1+Inputs!$C$20)^(E$127-1)</f>
        <v>14</v>
      </c>
      <c r="F142" s="121" t="n">
        <f aca="false">Inputs!$C$19*(1+Inputs!$C$20)^(F$127-1)</f>
        <v>14</v>
      </c>
      <c r="G142" s="121" t="n">
        <f aca="false">Inputs!$C$19*(1+Inputs!$C$20)^(G$127-1)</f>
        <v>14</v>
      </c>
      <c r="H142" s="121" t="n">
        <f aca="false">Inputs!$C$19*(1+Inputs!$C$20)^(H$127-1)</f>
        <v>14</v>
      </c>
      <c r="I142" s="121" t="n">
        <f aca="false">Inputs!$C$19*(1+Inputs!$C$20)^(I$127-1)</f>
        <v>14</v>
      </c>
      <c r="J142" s="121" t="n">
        <f aca="false">Inputs!$C$19*(1+Inputs!$C$20)^(J$127-1)</f>
        <v>14</v>
      </c>
      <c r="K142" s="121" t="n">
        <f aca="false">Inputs!$C$19*(1+Inputs!$C$20)^(K$127-1)</f>
        <v>14</v>
      </c>
      <c r="L142" s="121" t="n">
        <f aca="false">Inputs!$C$19*(1+Inputs!$C$20)^(L$127-1)</f>
        <v>14</v>
      </c>
      <c r="M142" s="121" t="n">
        <f aca="false">Inputs!$C$19*(1+Inputs!$C$20)^(M$127-1)</f>
        <v>14</v>
      </c>
      <c r="N142" s="121" t="n">
        <f aca="false">Inputs!$C$19*(1+Inputs!$C$20)^(N$127-1)</f>
        <v>14</v>
      </c>
      <c r="O142" s="121" t="n">
        <f aca="false">Inputs!$C$19*(1+Inputs!$C$20)^(O$127-1)</f>
        <v>14.42</v>
      </c>
      <c r="P142" s="121" t="n">
        <f aca="false">Inputs!$C$19*(1+Inputs!$C$20)^(P$127-1)</f>
        <v>14.42</v>
      </c>
      <c r="Q142" s="121" t="n">
        <f aca="false">Inputs!$C$19*(1+Inputs!$C$20)^(Q$127-1)</f>
        <v>14.42</v>
      </c>
      <c r="R142" s="121" t="n">
        <f aca="false">Inputs!$C$19*(1+Inputs!$C$20)^(R$127-1)</f>
        <v>14.42</v>
      </c>
      <c r="S142" s="121" t="n">
        <f aca="false">Inputs!$C$19*(1+Inputs!$C$20)^(S$127-1)</f>
        <v>14.42</v>
      </c>
      <c r="T142" s="121" t="n">
        <f aca="false">Inputs!$C$19*(1+Inputs!$C$20)^(T$127-1)</f>
        <v>14.42</v>
      </c>
      <c r="U142" s="121" t="n">
        <f aca="false">Inputs!$C$19*(1+Inputs!$C$20)^(U$127-1)</f>
        <v>14.42</v>
      </c>
      <c r="V142" s="121" t="n">
        <f aca="false">Inputs!$C$19*(1+Inputs!$C$20)^(V$127-1)</f>
        <v>14.42</v>
      </c>
      <c r="W142" s="121" t="n">
        <f aca="false">Inputs!$C$19*(1+Inputs!$C$20)^(W$127-1)</f>
        <v>14.42</v>
      </c>
      <c r="X142" s="121" t="n">
        <f aca="false">Inputs!$C$19*(1+Inputs!$C$20)^(X$127-1)</f>
        <v>14.42</v>
      </c>
      <c r="Y142" s="121" t="n">
        <f aca="false">Inputs!$C$19*(1+Inputs!$C$20)^(Y$127-1)</f>
        <v>14.42</v>
      </c>
      <c r="Z142" s="121" t="n">
        <f aca="false">Inputs!$C$19*(1+Inputs!$C$20)^(Z$127-1)</f>
        <v>14.42</v>
      </c>
      <c r="AA142" s="121" t="n">
        <f aca="false">Inputs!$C$19*(1+Inputs!$C$20)^(AA$127-1)</f>
        <v>14.8526</v>
      </c>
      <c r="AB142" s="121" t="n">
        <f aca="false">Inputs!$C$19*(1+Inputs!$C$20)^(AB$127-1)</f>
        <v>14.8526</v>
      </c>
      <c r="AC142" s="121" t="n">
        <f aca="false">Inputs!$C$19*(1+Inputs!$C$20)^(AC$127-1)</f>
        <v>14.8526</v>
      </c>
      <c r="AD142" s="121" t="n">
        <f aca="false">Inputs!$C$19*(1+Inputs!$C$20)^(AD$127-1)</f>
        <v>14.8526</v>
      </c>
      <c r="AE142" s="121" t="n">
        <f aca="false">Inputs!$C$19*(1+Inputs!$C$20)^(AE$127-1)</f>
        <v>14.8526</v>
      </c>
      <c r="AF142" s="121" t="n">
        <f aca="false">Inputs!$C$19*(1+Inputs!$C$20)^(AF$127-1)</f>
        <v>14.8526</v>
      </c>
      <c r="AG142" s="121" t="n">
        <f aca="false">Inputs!$C$19*(1+Inputs!$C$20)^(AG$127-1)</f>
        <v>14.8526</v>
      </c>
      <c r="AH142" s="121" t="n">
        <f aca="false">Inputs!$C$19*(1+Inputs!$C$20)^(AH$127-1)</f>
        <v>14.8526</v>
      </c>
      <c r="AI142" s="121" t="n">
        <f aca="false">Inputs!$C$19*(1+Inputs!$C$20)^(AI$127-1)</f>
        <v>14.8526</v>
      </c>
      <c r="AJ142" s="121" t="n">
        <f aca="false">Inputs!$C$19*(1+Inputs!$C$20)^(AJ$127-1)</f>
        <v>14.8526</v>
      </c>
      <c r="AK142" s="121" t="n">
        <f aca="false">Inputs!$C$19*(1+Inputs!$C$20)^(AK$127-1)</f>
        <v>14.8526</v>
      </c>
      <c r="AL142" s="121" t="n">
        <f aca="false">Inputs!$C$19*(1+Inputs!$C$20)^(AL$127-1)</f>
        <v>14.8526</v>
      </c>
    </row>
    <row r="143" customFormat="false" ht="15" hidden="false" customHeight="false" outlineLevel="0" collapsed="false">
      <c r="A143" s="6" t="s">
        <v>397</v>
      </c>
      <c r="C143" s="67" t="n">
        <f aca="false">Inputs!$C$25*(1+Inputs!$C$20)^(C$127-1)</f>
        <v>1400</v>
      </c>
      <c r="D143" s="67" t="n">
        <f aca="false">Inputs!$C$25*(1+Inputs!$C$20)^(D$127-1)</f>
        <v>1400</v>
      </c>
      <c r="E143" s="67" t="n">
        <f aca="false">Inputs!$C$25*(1+Inputs!$C$20)^(E$127-1)</f>
        <v>1400</v>
      </c>
      <c r="F143" s="67" t="n">
        <f aca="false">Inputs!$C$25*(1+Inputs!$C$20)^(F$127-1)</f>
        <v>1400</v>
      </c>
      <c r="G143" s="67" t="n">
        <f aca="false">Inputs!$C$25*(1+Inputs!$C$20)^(G$127-1)</f>
        <v>1400</v>
      </c>
      <c r="H143" s="67" t="n">
        <f aca="false">Inputs!$C$25*(1+Inputs!$C$20)^(H$127-1)</f>
        <v>1400</v>
      </c>
      <c r="I143" s="67" t="n">
        <f aca="false">Inputs!$C$25*(1+Inputs!$C$20)^(I$127-1)</f>
        <v>1400</v>
      </c>
      <c r="J143" s="67" t="n">
        <f aca="false">Inputs!$C$25*(1+Inputs!$C$20)^(J$127-1)</f>
        <v>1400</v>
      </c>
      <c r="K143" s="67" t="n">
        <f aca="false">Inputs!$C$25*(1+Inputs!$C$20)^(K$127-1)</f>
        <v>1400</v>
      </c>
      <c r="L143" s="67" t="n">
        <f aca="false">Inputs!$C$25*(1+Inputs!$C$20)^(L$127-1)</f>
        <v>1400</v>
      </c>
      <c r="M143" s="67" t="n">
        <f aca="false">Inputs!$C$25*(1+Inputs!$C$20)^(M$127-1)</f>
        <v>1400</v>
      </c>
      <c r="N143" s="67" t="n">
        <f aca="false">Inputs!$C$25*(1+Inputs!$C$20)^(N$127-1)</f>
        <v>1400</v>
      </c>
      <c r="O143" s="67" t="n">
        <f aca="false">Inputs!$C$25*(1+Inputs!$C$20)^(O$127-1)</f>
        <v>1442</v>
      </c>
      <c r="P143" s="67" t="n">
        <f aca="false">Inputs!$C$25*(1+Inputs!$C$20)^(P$127-1)</f>
        <v>1442</v>
      </c>
      <c r="Q143" s="67" t="n">
        <f aca="false">Inputs!$C$25*(1+Inputs!$C$20)^(Q$127-1)</f>
        <v>1442</v>
      </c>
      <c r="R143" s="67" t="n">
        <f aca="false">Inputs!$C$25*(1+Inputs!$C$20)^(R$127-1)</f>
        <v>1442</v>
      </c>
      <c r="S143" s="67" t="n">
        <f aca="false">Inputs!$C$25*(1+Inputs!$C$20)^(S$127-1)</f>
        <v>1442</v>
      </c>
      <c r="T143" s="67" t="n">
        <f aca="false">Inputs!$C$25*(1+Inputs!$C$20)^(T$127-1)</f>
        <v>1442</v>
      </c>
      <c r="U143" s="67" t="n">
        <f aca="false">Inputs!$C$25*(1+Inputs!$C$20)^(U$127-1)</f>
        <v>1442</v>
      </c>
      <c r="V143" s="67" t="n">
        <f aca="false">Inputs!$C$25*(1+Inputs!$C$20)^(V$127-1)</f>
        <v>1442</v>
      </c>
      <c r="W143" s="67" t="n">
        <f aca="false">Inputs!$C$25*(1+Inputs!$C$20)^(W$127-1)</f>
        <v>1442</v>
      </c>
      <c r="X143" s="67" t="n">
        <f aca="false">Inputs!$C$25*(1+Inputs!$C$20)^(X$127-1)</f>
        <v>1442</v>
      </c>
      <c r="Y143" s="67" t="n">
        <f aca="false">Inputs!$C$25*(1+Inputs!$C$20)^(Y$127-1)</f>
        <v>1442</v>
      </c>
      <c r="Z143" s="67" t="n">
        <f aca="false">Inputs!$C$25*(1+Inputs!$C$20)^(Z$127-1)</f>
        <v>1442</v>
      </c>
      <c r="AA143" s="67" t="n">
        <f aca="false">Inputs!$C$25*(1+Inputs!$C$20)^(AA$127-1)</f>
        <v>1485.26</v>
      </c>
      <c r="AB143" s="67" t="n">
        <f aca="false">Inputs!$C$25*(1+Inputs!$C$20)^(AB$127-1)</f>
        <v>1485.26</v>
      </c>
      <c r="AC143" s="67" t="n">
        <f aca="false">Inputs!$C$25*(1+Inputs!$C$20)^(AC$127-1)</f>
        <v>1485.26</v>
      </c>
      <c r="AD143" s="67" t="n">
        <f aca="false">Inputs!$C$25*(1+Inputs!$C$20)^(AD$127-1)</f>
        <v>1485.26</v>
      </c>
      <c r="AE143" s="67" t="n">
        <f aca="false">Inputs!$C$25*(1+Inputs!$C$20)^(AE$127-1)</f>
        <v>1485.26</v>
      </c>
      <c r="AF143" s="67" t="n">
        <f aca="false">Inputs!$C$25*(1+Inputs!$C$20)^(AF$127-1)</f>
        <v>1485.26</v>
      </c>
      <c r="AG143" s="67" t="n">
        <f aca="false">Inputs!$C$25*(1+Inputs!$C$20)^(AG$127-1)</f>
        <v>1485.26</v>
      </c>
      <c r="AH143" s="67" t="n">
        <f aca="false">Inputs!$C$25*(1+Inputs!$C$20)^(AH$127-1)</f>
        <v>1485.26</v>
      </c>
      <c r="AI143" s="67" t="n">
        <f aca="false">Inputs!$C$25*(1+Inputs!$C$20)^(AI$127-1)</f>
        <v>1485.26</v>
      </c>
      <c r="AJ143" s="67" t="n">
        <f aca="false">Inputs!$C$25*(1+Inputs!$C$20)^(AJ$127-1)</f>
        <v>1485.26</v>
      </c>
      <c r="AK143" s="67" t="n">
        <f aca="false">Inputs!$C$25*(1+Inputs!$C$20)^(AK$127-1)</f>
        <v>1485.26</v>
      </c>
      <c r="AL143" s="67" t="n">
        <f aca="false">Inputs!$C$25*(1+Inputs!$C$20)^(AL$127-1)</f>
        <v>1485.26</v>
      </c>
    </row>
    <row r="144" customFormat="false" ht="15" hidden="false" customHeight="false" outlineLevel="0" collapsed="false">
      <c r="A144" s="6" t="s">
        <v>234</v>
      </c>
      <c r="C144" s="67" t="n">
        <f aca="false">C137*C142</f>
        <v>8316</v>
      </c>
      <c r="D144" s="67" t="n">
        <f aca="false">D137*D142</f>
        <v>9702</v>
      </c>
      <c r="E144" s="67" t="n">
        <f aca="false">E137*E142</f>
        <v>16016</v>
      </c>
      <c r="F144" s="67" t="n">
        <f aca="false">F137*F142</f>
        <v>18018</v>
      </c>
      <c r="G144" s="67" t="n">
        <f aca="false">G137*G142</f>
        <v>20020</v>
      </c>
      <c r="H144" s="67" t="n">
        <f aca="false">H137*H142</f>
        <v>22022</v>
      </c>
      <c r="I144" s="67" t="n">
        <f aca="false">I137*I142</f>
        <v>24024</v>
      </c>
      <c r="J144" s="67" t="n">
        <f aca="false">J137*J142</f>
        <v>24024</v>
      </c>
      <c r="K144" s="67" t="n">
        <f aca="false">K137*K142</f>
        <v>24024</v>
      </c>
      <c r="L144" s="67" t="n">
        <f aca="false">L137*L142</f>
        <v>24024</v>
      </c>
      <c r="M144" s="67" t="n">
        <f aca="false">M137*M142</f>
        <v>24024</v>
      </c>
      <c r="N144" s="67" t="n">
        <f aca="false">N137*N142</f>
        <v>16632</v>
      </c>
      <c r="O144" s="67" t="n">
        <f aca="false">O137*O142</f>
        <v>17644.8888</v>
      </c>
      <c r="P144" s="67" t="n">
        <f aca="false">P137*P142</f>
        <v>17644.8888</v>
      </c>
      <c r="Q144" s="67" t="n">
        <f aca="false">Q137*Q142</f>
        <v>25487.0616</v>
      </c>
      <c r="R144" s="67" t="n">
        <f aca="false">R137*R142</f>
        <v>25487.0616</v>
      </c>
      <c r="S144" s="67" t="n">
        <f aca="false">S137*S142</f>
        <v>25487.0616</v>
      </c>
      <c r="T144" s="67" t="n">
        <f aca="false">T137*T142</f>
        <v>25487.0616</v>
      </c>
      <c r="U144" s="67" t="n">
        <f aca="false">U137*U142</f>
        <v>25487.0616</v>
      </c>
      <c r="V144" s="67" t="n">
        <f aca="false">V137*V142</f>
        <v>25487.0616</v>
      </c>
      <c r="W144" s="67" t="n">
        <f aca="false">W137*W142</f>
        <v>25487.0616</v>
      </c>
      <c r="X144" s="67" t="n">
        <f aca="false">X137*X142</f>
        <v>25487.0616</v>
      </c>
      <c r="Y144" s="67" t="n">
        <f aca="false">Y137*Y142</f>
        <v>25487.0616</v>
      </c>
      <c r="Z144" s="67" t="n">
        <f aca="false">Z137*Z142</f>
        <v>17644.8888</v>
      </c>
      <c r="AA144" s="67" t="n">
        <f aca="false">AA137*AA142</f>
        <v>18719.46252792</v>
      </c>
      <c r="AB144" s="67" t="n">
        <f aca="false">AB137*AB142</f>
        <v>18719.46252792</v>
      </c>
      <c r="AC144" s="67" t="n">
        <f aca="false">AC137*AC142</f>
        <v>27039.22365144</v>
      </c>
      <c r="AD144" s="67" t="n">
        <f aca="false">AD137*AD142</f>
        <v>27039.22365144</v>
      </c>
      <c r="AE144" s="67" t="n">
        <f aca="false">AE137*AE142</f>
        <v>27039.22365144</v>
      </c>
      <c r="AF144" s="67" t="n">
        <f aca="false">AF137*AF142</f>
        <v>27039.22365144</v>
      </c>
      <c r="AG144" s="67" t="n">
        <f aca="false">AG137*AG142</f>
        <v>27039.22365144</v>
      </c>
      <c r="AH144" s="67" t="n">
        <f aca="false">AH137*AH142</f>
        <v>27039.22365144</v>
      </c>
      <c r="AI144" s="67" t="n">
        <f aca="false">AI137*AI142</f>
        <v>27039.22365144</v>
      </c>
      <c r="AJ144" s="67" t="n">
        <f aca="false">AJ137*AJ142</f>
        <v>27039.22365144</v>
      </c>
      <c r="AK144" s="67" t="n">
        <f aca="false">AK137*AK142</f>
        <v>27039.22365144</v>
      </c>
      <c r="AL144" s="67" t="n">
        <f aca="false">AL137*AL142</f>
        <v>18719.46252792</v>
      </c>
    </row>
    <row r="145" customFormat="false" ht="15" hidden="false" customHeight="false" outlineLevel="0" collapsed="false">
      <c r="A145" s="6" t="s">
        <v>235</v>
      </c>
      <c r="C145" s="67" t="n">
        <f aca="false">C135*C143</f>
        <v>2100</v>
      </c>
      <c r="D145" s="67" t="n">
        <f aca="false">D135*D143</f>
        <v>2450</v>
      </c>
      <c r="E145" s="67" t="n">
        <f aca="false">E135*E143</f>
        <v>2800</v>
      </c>
      <c r="F145" s="67" t="n">
        <f aca="false">F135*F143</f>
        <v>3150</v>
      </c>
      <c r="G145" s="67" t="n">
        <f aca="false">G135*G143</f>
        <v>3500</v>
      </c>
      <c r="H145" s="67" t="n">
        <f aca="false">H135*H143</f>
        <v>3850</v>
      </c>
      <c r="I145" s="67" t="n">
        <f aca="false">I135*I143</f>
        <v>4200</v>
      </c>
      <c r="J145" s="67" t="n">
        <f aca="false">J135*J143</f>
        <v>4200</v>
      </c>
      <c r="K145" s="67" t="n">
        <f aca="false">K135*K143</f>
        <v>4200</v>
      </c>
      <c r="L145" s="67" t="n">
        <f aca="false">L135*L143</f>
        <v>4200</v>
      </c>
      <c r="M145" s="67" t="n">
        <f aca="false">M135*M143</f>
        <v>4200</v>
      </c>
      <c r="N145" s="67" t="n">
        <f aca="false">N135*N143</f>
        <v>4200</v>
      </c>
      <c r="O145" s="67" t="n">
        <f aca="false">O135*O143</f>
        <v>4542.3</v>
      </c>
      <c r="P145" s="67" t="n">
        <f aca="false">P135*P143</f>
        <v>4542.3</v>
      </c>
      <c r="Q145" s="67" t="n">
        <f aca="false">Q135*Q143</f>
        <v>4542.3</v>
      </c>
      <c r="R145" s="67" t="n">
        <f aca="false">R135*R143</f>
        <v>4542.3</v>
      </c>
      <c r="S145" s="67" t="n">
        <f aca="false">S135*S143</f>
        <v>4542.3</v>
      </c>
      <c r="T145" s="67" t="n">
        <f aca="false">T135*T143</f>
        <v>4542.3</v>
      </c>
      <c r="U145" s="67" t="n">
        <f aca="false">U135*U143</f>
        <v>4542.3</v>
      </c>
      <c r="V145" s="67" t="n">
        <f aca="false">V135*V143</f>
        <v>4542.3</v>
      </c>
      <c r="W145" s="67" t="n">
        <f aca="false">W135*W143</f>
        <v>4542.3</v>
      </c>
      <c r="X145" s="67" t="n">
        <f aca="false">X135*X143</f>
        <v>4542.3</v>
      </c>
      <c r="Y145" s="67" t="n">
        <f aca="false">Y135*Y143</f>
        <v>4542.3</v>
      </c>
      <c r="Z145" s="67" t="n">
        <f aca="false">Z135*Z143</f>
        <v>4542.3</v>
      </c>
      <c r="AA145" s="67" t="n">
        <f aca="false">AA135*AA143</f>
        <v>4912.49745</v>
      </c>
      <c r="AB145" s="67" t="n">
        <f aca="false">AB135*AB143</f>
        <v>4912.49745</v>
      </c>
      <c r="AC145" s="67" t="n">
        <f aca="false">AC135*AC143</f>
        <v>4912.49745</v>
      </c>
      <c r="AD145" s="67" t="n">
        <f aca="false">AD135*AD143</f>
        <v>4912.49745</v>
      </c>
      <c r="AE145" s="67" t="n">
        <f aca="false">AE135*AE143</f>
        <v>4912.49745</v>
      </c>
      <c r="AF145" s="67" t="n">
        <f aca="false">AF135*AF143</f>
        <v>4912.49745</v>
      </c>
      <c r="AG145" s="67" t="n">
        <f aca="false">AG135*AG143</f>
        <v>4912.49745</v>
      </c>
      <c r="AH145" s="67" t="n">
        <f aca="false">AH135*AH143</f>
        <v>4912.49745</v>
      </c>
      <c r="AI145" s="67" t="n">
        <f aca="false">AI135*AI143</f>
        <v>4912.49745</v>
      </c>
      <c r="AJ145" s="67" t="n">
        <f aca="false">AJ135*AJ143</f>
        <v>4912.49745</v>
      </c>
      <c r="AK145" s="67" t="n">
        <f aca="false">AK135*AK143</f>
        <v>4912.49745</v>
      </c>
      <c r="AL145" s="67" t="n">
        <f aca="false">AL135*AL143</f>
        <v>4912.49745</v>
      </c>
    </row>
    <row r="146" customFormat="false" ht="15" hidden="false" customHeight="false" outlineLevel="0" collapsed="false">
      <c r="A146" s="113" t="s">
        <v>44</v>
      </c>
      <c r="C146" s="68" t="n">
        <f aca="false">C144+C145</f>
        <v>10416</v>
      </c>
      <c r="D146" s="68" t="n">
        <f aca="false">D144+D145</f>
        <v>12152</v>
      </c>
      <c r="E146" s="68" t="n">
        <f aca="false">E144+E145</f>
        <v>18816</v>
      </c>
      <c r="F146" s="68" t="n">
        <f aca="false">F144+F145</f>
        <v>21168</v>
      </c>
      <c r="G146" s="68" t="n">
        <f aca="false">G144+G145</f>
        <v>23520</v>
      </c>
      <c r="H146" s="68" t="n">
        <f aca="false">H144+H145</f>
        <v>25872</v>
      </c>
      <c r="I146" s="68" t="n">
        <f aca="false">I144+I145</f>
        <v>28224</v>
      </c>
      <c r="J146" s="68" t="n">
        <f aca="false">J144+J145</f>
        <v>28224</v>
      </c>
      <c r="K146" s="68" t="n">
        <f aca="false">K144+K145</f>
        <v>28224</v>
      </c>
      <c r="L146" s="68" t="n">
        <f aca="false">L144+L145</f>
        <v>28224</v>
      </c>
      <c r="M146" s="68" t="n">
        <f aca="false">M144+M145</f>
        <v>28224</v>
      </c>
      <c r="N146" s="68" t="n">
        <f aca="false">N144+N145</f>
        <v>20832</v>
      </c>
      <c r="O146" s="68" t="n">
        <f aca="false">O144+O145</f>
        <v>22187.1888</v>
      </c>
      <c r="P146" s="68" t="n">
        <f aca="false">P144+P145</f>
        <v>22187.1888</v>
      </c>
      <c r="Q146" s="68" t="n">
        <f aca="false">Q144+Q145</f>
        <v>30029.3616</v>
      </c>
      <c r="R146" s="68" t="n">
        <f aca="false">R144+R145</f>
        <v>30029.3616</v>
      </c>
      <c r="S146" s="68" t="n">
        <f aca="false">S144+S145</f>
        <v>30029.3616</v>
      </c>
      <c r="T146" s="68" t="n">
        <f aca="false">T144+T145</f>
        <v>30029.3616</v>
      </c>
      <c r="U146" s="68" t="n">
        <f aca="false">U144+U145</f>
        <v>30029.3616</v>
      </c>
      <c r="V146" s="68" t="n">
        <f aca="false">V144+V145</f>
        <v>30029.3616</v>
      </c>
      <c r="W146" s="68" t="n">
        <f aca="false">W144+W145</f>
        <v>30029.3616</v>
      </c>
      <c r="X146" s="68" t="n">
        <f aca="false">X144+X145</f>
        <v>30029.3616</v>
      </c>
      <c r="Y146" s="68" t="n">
        <f aca="false">Y144+Y145</f>
        <v>30029.3616</v>
      </c>
      <c r="Z146" s="68" t="n">
        <f aca="false">Z144+Z145</f>
        <v>22187.1888</v>
      </c>
      <c r="AA146" s="68" t="n">
        <f aca="false">AA144+AA145</f>
        <v>23631.95997792</v>
      </c>
      <c r="AB146" s="68" t="n">
        <f aca="false">AB144+AB145</f>
        <v>23631.95997792</v>
      </c>
      <c r="AC146" s="68" t="n">
        <f aca="false">AC144+AC145</f>
        <v>31951.72110144</v>
      </c>
      <c r="AD146" s="68" t="n">
        <f aca="false">AD144+AD145</f>
        <v>31951.72110144</v>
      </c>
      <c r="AE146" s="68" t="n">
        <f aca="false">AE144+AE145</f>
        <v>31951.72110144</v>
      </c>
      <c r="AF146" s="68" t="n">
        <f aca="false">AF144+AF145</f>
        <v>31951.72110144</v>
      </c>
      <c r="AG146" s="68" t="n">
        <f aca="false">AG144+AG145</f>
        <v>31951.72110144</v>
      </c>
      <c r="AH146" s="68" t="n">
        <f aca="false">AH144+AH145</f>
        <v>31951.72110144</v>
      </c>
      <c r="AI146" s="68" t="n">
        <f aca="false">AI144+AI145</f>
        <v>31951.72110144</v>
      </c>
      <c r="AJ146" s="68" t="n">
        <f aca="false">AJ144+AJ145</f>
        <v>31951.72110144</v>
      </c>
      <c r="AK146" s="68" t="n">
        <f aca="false">AK144+AK145</f>
        <v>31951.72110144</v>
      </c>
      <c r="AL146" s="68" t="n">
        <f aca="false">AL144+AL145</f>
        <v>23631.95997792</v>
      </c>
    </row>
    <row r="148" customFormat="false" ht="15.75" hidden="false" customHeight="true" outlineLevel="0" collapsed="false">
      <c r="A148" s="7" t="s">
        <v>76</v>
      </c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</row>
    <row r="149" customFormat="false" ht="15" hidden="false" customHeight="false" outlineLevel="0" collapsed="false">
      <c r="A149" s="6" t="s">
        <v>398</v>
      </c>
      <c r="C149" s="67" t="n">
        <f aca="false">-C146*Inputs!$C$29</f>
        <v>-3437.28</v>
      </c>
      <c r="D149" s="67" t="n">
        <f aca="false">-D146*Inputs!$C$29</f>
        <v>-4010.16</v>
      </c>
      <c r="E149" s="67" t="n">
        <f aca="false">-E146*Inputs!$C$29</f>
        <v>-6209.28</v>
      </c>
      <c r="F149" s="67" t="n">
        <f aca="false">-F146*Inputs!$C$29</f>
        <v>-6985.44</v>
      </c>
      <c r="G149" s="67" t="n">
        <f aca="false">-G146*Inputs!$C$29</f>
        <v>-7761.6</v>
      </c>
      <c r="H149" s="67" t="n">
        <f aca="false">-H146*Inputs!$C$29</f>
        <v>-8537.76</v>
      </c>
      <c r="I149" s="67" t="n">
        <f aca="false">-I146*Inputs!$C$29</f>
        <v>-9313.92</v>
      </c>
      <c r="J149" s="67" t="n">
        <f aca="false">-J146*Inputs!$C$29</f>
        <v>-9313.92</v>
      </c>
      <c r="K149" s="67" t="n">
        <f aca="false">-K146*Inputs!$C$29</f>
        <v>-9313.92</v>
      </c>
      <c r="L149" s="67" t="n">
        <f aca="false">-L146*Inputs!$C$29</f>
        <v>-9313.92</v>
      </c>
      <c r="M149" s="67" t="n">
        <f aca="false">-M146*Inputs!$C$29</f>
        <v>-9313.92</v>
      </c>
      <c r="N149" s="67" t="n">
        <f aca="false">-N146*Inputs!$C$29</f>
        <v>-6874.56</v>
      </c>
      <c r="O149" s="67" t="n">
        <f aca="false">-O146*Inputs!$C$29</f>
        <v>-7321.772304</v>
      </c>
      <c r="P149" s="67" t="n">
        <f aca="false">-P146*Inputs!$C$29</f>
        <v>-7321.772304</v>
      </c>
      <c r="Q149" s="67" t="n">
        <f aca="false">-Q146*Inputs!$C$29</f>
        <v>-9909.689328</v>
      </c>
      <c r="R149" s="67" t="n">
        <f aca="false">-R146*Inputs!$C$29</f>
        <v>-9909.689328</v>
      </c>
      <c r="S149" s="67" t="n">
        <f aca="false">-S146*Inputs!$C$29</f>
        <v>-9909.689328</v>
      </c>
      <c r="T149" s="67" t="n">
        <f aca="false">-T146*Inputs!$C$29</f>
        <v>-9909.689328</v>
      </c>
      <c r="U149" s="67" t="n">
        <f aca="false">-U146*Inputs!$C$29</f>
        <v>-9909.689328</v>
      </c>
      <c r="V149" s="67" t="n">
        <f aca="false">-V146*Inputs!$C$29</f>
        <v>-9909.689328</v>
      </c>
      <c r="W149" s="67" t="n">
        <f aca="false">-W146*Inputs!$C$29</f>
        <v>-9909.689328</v>
      </c>
      <c r="X149" s="67" t="n">
        <f aca="false">-X146*Inputs!$C$29</f>
        <v>-9909.689328</v>
      </c>
      <c r="Y149" s="67" t="n">
        <f aca="false">-Y146*Inputs!$C$29</f>
        <v>-9909.689328</v>
      </c>
      <c r="Z149" s="67" t="n">
        <f aca="false">-Z146*Inputs!$C$29</f>
        <v>-7321.772304</v>
      </c>
      <c r="AA149" s="67" t="n">
        <f aca="false">-AA146*Inputs!$C$29</f>
        <v>-7798.5467927136</v>
      </c>
      <c r="AB149" s="67" t="n">
        <f aca="false">-AB146*Inputs!$C$29</f>
        <v>-7798.5467927136</v>
      </c>
      <c r="AC149" s="67" t="n">
        <f aca="false">-AC146*Inputs!$C$29</f>
        <v>-10544.0679634752</v>
      </c>
      <c r="AD149" s="67" t="n">
        <f aca="false">-AD146*Inputs!$C$29</f>
        <v>-10544.0679634752</v>
      </c>
      <c r="AE149" s="67" t="n">
        <f aca="false">-AE146*Inputs!$C$29</f>
        <v>-10544.0679634752</v>
      </c>
      <c r="AF149" s="67" t="n">
        <f aca="false">-AF146*Inputs!$C$29</f>
        <v>-10544.0679634752</v>
      </c>
      <c r="AG149" s="67" t="n">
        <f aca="false">-AG146*Inputs!$C$29</f>
        <v>-10544.0679634752</v>
      </c>
      <c r="AH149" s="67" t="n">
        <f aca="false">-AH146*Inputs!$C$29</f>
        <v>-10544.0679634752</v>
      </c>
      <c r="AI149" s="67" t="n">
        <f aca="false">-AI146*Inputs!$C$29</f>
        <v>-10544.0679634752</v>
      </c>
      <c r="AJ149" s="67" t="n">
        <f aca="false">-AJ146*Inputs!$C$29</f>
        <v>-10544.0679634752</v>
      </c>
      <c r="AK149" s="67" t="n">
        <f aca="false">-AK146*Inputs!$C$29</f>
        <v>-10544.0679634752</v>
      </c>
      <c r="AL149" s="67" t="n">
        <f aca="false">-AL146*Inputs!$C$29</f>
        <v>-7798.5467927136</v>
      </c>
    </row>
    <row r="150" customFormat="false" ht="15" hidden="false" customHeight="false" outlineLevel="0" collapsed="false">
      <c r="A150" s="6" t="s">
        <v>399</v>
      </c>
      <c r="C150" s="67" t="n">
        <f aca="false">-C139*Inputs!$C$30*(1+Inputs!$C$34)^(C$127-1)</f>
        <v>-334.8</v>
      </c>
      <c r="D150" s="67" t="n">
        <f aca="false">-D139*Inputs!$C$30*(1+Inputs!$C$34)^(D$127-1)</f>
        <v>-390.6</v>
      </c>
      <c r="E150" s="67" t="n">
        <f aca="false">-E139*Inputs!$C$30*(1+Inputs!$C$34)^(E$127-1)</f>
        <v>-604.8</v>
      </c>
      <c r="F150" s="67" t="n">
        <f aca="false">-F139*Inputs!$C$30*(1+Inputs!$C$34)^(F$127-1)</f>
        <v>-680.4</v>
      </c>
      <c r="G150" s="67" t="n">
        <f aca="false">-G139*Inputs!$C$30*(1+Inputs!$C$34)^(G$127-1)</f>
        <v>-756</v>
      </c>
      <c r="H150" s="67" t="n">
        <f aca="false">-H139*Inputs!$C$30*(1+Inputs!$C$34)^(H$127-1)</f>
        <v>-831.6</v>
      </c>
      <c r="I150" s="67" t="n">
        <f aca="false">-I139*Inputs!$C$30*(1+Inputs!$C$34)^(I$127-1)</f>
        <v>-907.2</v>
      </c>
      <c r="J150" s="67" t="n">
        <f aca="false">-J139*Inputs!$C$30*(1+Inputs!$C$34)^(J$127-1)</f>
        <v>-907.2</v>
      </c>
      <c r="K150" s="67" t="n">
        <f aca="false">-K139*Inputs!$C$30*(1+Inputs!$C$34)^(K$127-1)</f>
        <v>-907.2</v>
      </c>
      <c r="L150" s="67" t="n">
        <f aca="false">-L139*Inputs!$C$30*(1+Inputs!$C$34)^(L$127-1)</f>
        <v>-907.2</v>
      </c>
      <c r="M150" s="67" t="n">
        <f aca="false">-M139*Inputs!$C$30*(1+Inputs!$C$34)^(M$127-1)</f>
        <v>-907.2</v>
      </c>
      <c r="N150" s="67" t="n">
        <f aca="false">-N139*Inputs!$C$30*(1+Inputs!$C$34)^(N$127-1)</f>
        <v>-669.6</v>
      </c>
      <c r="O150" s="67" t="n">
        <f aca="false">-O139*Inputs!$C$30*(1+Inputs!$C$34)^(O$127-1)</f>
        <v>-713.15964</v>
      </c>
      <c r="P150" s="67" t="n">
        <f aca="false">-P139*Inputs!$C$30*(1+Inputs!$C$34)^(P$127-1)</f>
        <v>-713.15964</v>
      </c>
      <c r="Q150" s="67" t="n">
        <f aca="false">-Q139*Inputs!$C$30*(1+Inputs!$C$34)^(Q$127-1)</f>
        <v>-965.22948</v>
      </c>
      <c r="R150" s="67" t="n">
        <f aca="false">-R139*Inputs!$C$30*(1+Inputs!$C$34)^(R$127-1)</f>
        <v>-965.22948</v>
      </c>
      <c r="S150" s="67" t="n">
        <f aca="false">-S139*Inputs!$C$30*(1+Inputs!$C$34)^(S$127-1)</f>
        <v>-965.22948</v>
      </c>
      <c r="T150" s="67" t="n">
        <f aca="false">-T139*Inputs!$C$30*(1+Inputs!$C$34)^(T$127-1)</f>
        <v>-965.22948</v>
      </c>
      <c r="U150" s="67" t="n">
        <f aca="false">-U139*Inputs!$C$30*(1+Inputs!$C$34)^(U$127-1)</f>
        <v>-965.22948</v>
      </c>
      <c r="V150" s="67" t="n">
        <f aca="false">-V139*Inputs!$C$30*(1+Inputs!$C$34)^(V$127-1)</f>
        <v>-965.22948</v>
      </c>
      <c r="W150" s="67" t="n">
        <f aca="false">-W139*Inputs!$C$30*(1+Inputs!$C$34)^(W$127-1)</f>
        <v>-965.22948</v>
      </c>
      <c r="X150" s="67" t="n">
        <f aca="false">-X139*Inputs!$C$30*(1+Inputs!$C$34)^(X$127-1)</f>
        <v>-965.22948</v>
      </c>
      <c r="Y150" s="67" t="n">
        <f aca="false">-Y139*Inputs!$C$30*(1+Inputs!$C$34)^(Y$127-1)</f>
        <v>-965.22948</v>
      </c>
      <c r="Z150" s="67" t="n">
        <f aca="false">-Z139*Inputs!$C$30*(1+Inputs!$C$34)^(Z$127-1)</f>
        <v>-713.15964</v>
      </c>
      <c r="AA150" s="67" t="n">
        <f aca="false">-AA139*Inputs!$C$30*(1+Inputs!$C$34)^(AA$127-1)</f>
        <v>-759.598713576</v>
      </c>
      <c r="AB150" s="67" t="n">
        <f aca="false">-AB139*Inputs!$C$30*(1+Inputs!$C$34)^(AB$127-1)</f>
        <v>-759.598713576</v>
      </c>
      <c r="AC150" s="67" t="n">
        <f aca="false">-AC139*Inputs!$C$30*(1+Inputs!$C$34)^(AC$127-1)</f>
        <v>-1027.019606832</v>
      </c>
      <c r="AD150" s="67" t="n">
        <f aca="false">-AD139*Inputs!$C$30*(1+Inputs!$C$34)^(AD$127-1)</f>
        <v>-1027.019606832</v>
      </c>
      <c r="AE150" s="67" t="n">
        <f aca="false">-AE139*Inputs!$C$30*(1+Inputs!$C$34)^(AE$127-1)</f>
        <v>-1027.019606832</v>
      </c>
      <c r="AF150" s="67" t="n">
        <f aca="false">-AF139*Inputs!$C$30*(1+Inputs!$C$34)^(AF$127-1)</f>
        <v>-1027.019606832</v>
      </c>
      <c r="AG150" s="67" t="n">
        <f aca="false">-AG139*Inputs!$C$30*(1+Inputs!$C$34)^(AG$127-1)</f>
        <v>-1027.019606832</v>
      </c>
      <c r="AH150" s="67" t="n">
        <f aca="false">-AH139*Inputs!$C$30*(1+Inputs!$C$34)^(AH$127-1)</f>
        <v>-1027.019606832</v>
      </c>
      <c r="AI150" s="67" t="n">
        <f aca="false">-AI139*Inputs!$C$30*(1+Inputs!$C$34)^(AI$127-1)</f>
        <v>-1027.019606832</v>
      </c>
      <c r="AJ150" s="67" t="n">
        <f aca="false">-AJ139*Inputs!$C$30*(1+Inputs!$C$34)^(AJ$127-1)</f>
        <v>-1027.019606832</v>
      </c>
      <c r="AK150" s="67" t="n">
        <f aca="false">-AK139*Inputs!$C$30*(1+Inputs!$C$34)^(AK$127-1)</f>
        <v>-1027.019606832</v>
      </c>
      <c r="AL150" s="67" t="n">
        <f aca="false">-AL139*Inputs!$C$30*(1+Inputs!$C$34)^(AL$127-1)</f>
        <v>-759.598713576</v>
      </c>
    </row>
    <row r="151" customFormat="false" ht="15" hidden="false" customHeight="false" outlineLevel="0" collapsed="false">
      <c r="A151" s="6" t="s">
        <v>239</v>
      </c>
      <c r="C151" s="67" t="n">
        <f aca="false">C149+C150</f>
        <v>-3772.08</v>
      </c>
      <c r="D151" s="67" t="n">
        <f aca="false">D149+D150</f>
        <v>-4400.76</v>
      </c>
      <c r="E151" s="67" t="n">
        <f aca="false">E149+E150</f>
        <v>-6814.08</v>
      </c>
      <c r="F151" s="67" t="n">
        <f aca="false">F149+F150</f>
        <v>-7665.84</v>
      </c>
      <c r="G151" s="67" t="n">
        <f aca="false">G149+G150</f>
        <v>-8517.6</v>
      </c>
      <c r="H151" s="67" t="n">
        <f aca="false">H149+H150</f>
        <v>-9369.36</v>
      </c>
      <c r="I151" s="67" t="n">
        <f aca="false">I149+I150</f>
        <v>-10221.12</v>
      </c>
      <c r="J151" s="67" t="n">
        <f aca="false">J149+J150</f>
        <v>-10221.12</v>
      </c>
      <c r="K151" s="67" t="n">
        <f aca="false">K149+K150</f>
        <v>-10221.12</v>
      </c>
      <c r="L151" s="67" t="n">
        <f aca="false">L149+L150</f>
        <v>-10221.12</v>
      </c>
      <c r="M151" s="67" t="n">
        <f aca="false">M149+M150</f>
        <v>-10221.12</v>
      </c>
      <c r="N151" s="67" t="n">
        <f aca="false">N149+N150</f>
        <v>-7544.16</v>
      </c>
      <c r="O151" s="67" t="n">
        <f aca="false">O149+O150</f>
        <v>-8034.931944</v>
      </c>
      <c r="P151" s="67" t="n">
        <f aca="false">P149+P150</f>
        <v>-8034.931944</v>
      </c>
      <c r="Q151" s="67" t="n">
        <f aca="false">Q149+Q150</f>
        <v>-10874.918808</v>
      </c>
      <c r="R151" s="67" t="n">
        <f aca="false">R149+R150</f>
        <v>-10874.918808</v>
      </c>
      <c r="S151" s="67" t="n">
        <f aca="false">S149+S150</f>
        <v>-10874.918808</v>
      </c>
      <c r="T151" s="67" t="n">
        <f aca="false">T149+T150</f>
        <v>-10874.918808</v>
      </c>
      <c r="U151" s="67" t="n">
        <f aca="false">U149+U150</f>
        <v>-10874.918808</v>
      </c>
      <c r="V151" s="67" t="n">
        <f aca="false">V149+V150</f>
        <v>-10874.918808</v>
      </c>
      <c r="W151" s="67" t="n">
        <f aca="false">W149+W150</f>
        <v>-10874.918808</v>
      </c>
      <c r="X151" s="67" t="n">
        <f aca="false">X149+X150</f>
        <v>-10874.918808</v>
      </c>
      <c r="Y151" s="67" t="n">
        <f aca="false">Y149+Y150</f>
        <v>-10874.918808</v>
      </c>
      <c r="Z151" s="67" t="n">
        <f aca="false">Z149+Z150</f>
        <v>-8034.931944</v>
      </c>
      <c r="AA151" s="67" t="n">
        <f aca="false">AA149+AA150</f>
        <v>-8558.1455062896</v>
      </c>
      <c r="AB151" s="67" t="n">
        <f aca="false">AB149+AB150</f>
        <v>-8558.1455062896</v>
      </c>
      <c r="AC151" s="67" t="n">
        <f aca="false">AC149+AC150</f>
        <v>-11571.0875703072</v>
      </c>
      <c r="AD151" s="67" t="n">
        <f aca="false">AD149+AD150</f>
        <v>-11571.0875703072</v>
      </c>
      <c r="AE151" s="67" t="n">
        <f aca="false">AE149+AE150</f>
        <v>-11571.0875703072</v>
      </c>
      <c r="AF151" s="67" t="n">
        <f aca="false">AF149+AF150</f>
        <v>-11571.0875703072</v>
      </c>
      <c r="AG151" s="67" t="n">
        <f aca="false">AG149+AG150</f>
        <v>-11571.0875703072</v>
      </c>
      <c r="AH151" s="67" t="n">
        <f aca="false">AH149+AH150</f>
        <v>-11571.0875703072</v>
      </c>
      <c r="AI151" s="67" t="n">
        <f aca="false">AI149+AI150</f>
        <v>-11571.0875703072</v>
      </c>
      <c r="AJ151" s="67" t="n">
        <f aca="false">AJ149+AJ150</f>
        <v>-11571.0875703072</v>
      </c>
      <c r="AK151" s="67" t="n">
        <f aca="false">AK149+AK150</f>
        <v>-11571.0875703072</v>
      </c>
      <c r="AL151" s="67" t="n">
        <f aca="false">AL149+AL150</f>
        <v>-8558.1455062896</v>
      </c>
    </row>
    <row r="152" customFormat="false" ht="15" hidden="false" customHeight="false" outlineLevel="0" collapsed="false">
      <c r="A152" s="6" t="s">
        <v>400</v>
      </c>
      <c r="C152" s="67" t="n">
        <f aca="false">-C146*Inputs!$C$31</f>
        <v>-302.064</v>
      </c>
      <c r="D152" s="67" t="n">
        <f aca="false">-D146*Inputs!$C$31</f>
        <v>-352.408</v>
      </c>
      <c r="E152" s="67" t="n">
        <f aca="false">-E146*Inputs!$C$31</f>
        <v>-545.664</v>
      </c>
      <c r="F152" s="67" t="n">
        <f aca="false">-F146*Inputs!$C$31</f>
        <v>-613.872</v>
      </c>
      <c r="G152" s="67" t="n">
        <f aca="false">-G146*Inputs!$C$31</f>
        <v>-682.08</v>
      </c>
      <c r="H152" s="67" t="n">
        <f aca="false">-H146*Inputs!$C$31</f>
        <v>-750.288</v>
      </c>
      <c r="I152" s="67" t="n">
        <f aca="false">-I146*Inputs!$C$31</f>
        <v>-818.496</v>
      </c>
      <c r="J152" s="67" t="n">
        <f aca="false">-J146*Inputs!$C$31</f>
        <v>-818.496</v>
      </c>
      <c r="K152" s="67" t="n">
        <f aca="false">-K146*Inputs!$C$31</f>
        <v>-818.496</v>
      </c>
      <c r="L152" s="67" t="n">
        <f aca="false">-L146*Inputs!$C$31</f>
        <v>-818.496</v>
      </c>
      <c r="M152" s="67" t="n">
        <f aca="false">-M146*Inputs!$C$31</f>
        <v>-818.496</v>
      </c>
      <c r="N152" s="67" t="n">
        <f aca="false">-N146*Inputs!$C$31</f>
        <v>-604.128</v>
      </c>
      <c r="O152" s="67" t="n">
        <f aca="false">-O146*Inputs!$C$31</f>
        <v>-643.4284752</v>
      </c>
      <c r="P152" s="67" t="n">
        <f aca="false">-P146*Inputs!$C$31</f>
        <v>-643.4284752</v>
      </c>
      <c r="Q152" s="67" t="n">
        <f aca="false">-Q146*Inputs!$C$31</f>
        <v>-870.8514864</v>
      </c>
      <c r="R152" s="67" t="n">
        <f aca="false">-R146*Inputs!$C$31</f>
        <v>-870.8514864</v>
      </c>
      <c r="S152" s="67" t="n">
        <f aca="false">-S146*Inputs!$C$31</f>
        <v>-870.8514864</v>
      </c>
      <c r="T152" s="67" t="n">
        <f aca="false">-T146*Inputs!$C$31</f>
        <v>-870.8514864</v>
      </c>
      <c r="U152" s="67" t="n">
        <f aca="false">-U146*Inputs!$C$31</f>
        <v>-870.8514864</v>
      </c>
      <c r="V152" s="67" t="n">
        <f aca="false">-V146*Inputs!$C$31</f>
        <v>-870.8514864</v>
      </c>
      <c r="W152" s="67" t="n">
        <f aca="false">-W146*Inputs!$C$31</f>
        <v>-870.8514864</v>
      </c>
      <c r="X152" s="67" t="n">
        <f aca="false">-X146*Inputs!$C$31</f>
        <v>-870.8514864</v>
      </c>
      <c r="Y152" s="67" t="n">
        <f aca="false">-Y146*Inputs!$C$31</f>
        <v>-870.8514864</v>
      </c>
      <c r="Z152" s="67" t="n">
        <f aca="false">-Z146*Inputs!$C$31</f>
        <v>-643.4284752</v>
      </c>
      <c r="AA152" s="67" t="n">
        <f aca="false">-AA146*Inputs!$C$31</f>
        <v>-685.32683935968</v>
      </c>
      <c r="AB152" s="67" t="n">
        <f aca="false">-AB146*Inputs!$C$31</f>
        <v>-685.32683935968</v>
      </c>
      <c r="AC152" s="67" t="n">
        <f aca="false">-AC146*Inputs!$C$31</f>
        <v>-926.59991194176</v>
      </c>
      <c r="AD152" s="67" t="n">
        <f aca="false">-AD146*Inputs!$C$31</f>
        <v>-926.59991194176</v>
      </c>
      <c r="AE152" s="67" t="n">
        <f aca="false">-AE146*Inputs!$C$31</f>
        <v>-926.59991194176</v>
      </c>
      <c r="AF152" s="67" t="n">
        <f aca="false">-AF146*Inputs!$C$31</f>
        <v>-926.59991194176</v>
      </c>
      <c r="AG152" s="67" t="n">
        <f aca="false">-AG146*Inputs!$C$31</f>
        <v>-926.59991194176</v>
      </c>
      <c r="AH152" s="67" t="n">
        <f aca="false">-AH146*Inputs!$C$31</f>
        <v>-926.59991194176</v>
      </c>
      <c r="AI152" s="67" t="n">
        <f aca="false">-AI146*Inputs!$C$31</f>
        <v>-926.59991194176</v>
      </c>
      <c r="AJ152" s="67" t="n">
        <f aca="false">-AJ146*Inputs!$C$31</f>
        <v>-926.59991194176</v>
      </c>
      <c r="AK152" s="67" t="n">
        <f aca="false">-AK146*Inputs!$C$31</f>
        <v>-926.59991194176</v>
      </c>
      <c r="AL152" s="67" t="n">
        <f aca="false">-AL146*Inputs!$C$31</f>
        <v>-685.32683935968</v>
      </c>
    </row>
    <row r="153" customFormat="false" ht="15" hidden="false" customHeight="false" outlineLevel="0" collapsed="false">
      <c r="A153" s="6" t="s">
        <v>401</v>
      </c>
      <c r="C153" s="67" t="n">
        <f aca="false">-C145*Inputs!$C$32-C135*Inputs!$C$33*(1+Inputs!$C$34)^(C$127-1)</f>
        <v>-234</v>
      </c>
      <c r="D153" s="67" t="n">
        <f aca="false">-D145*Inputs!$C$32-D135*Inputs!$C$33*(1+Inputs!$C$34)^(D$127-1)</f>
        <v>-273</v>
      </c>
      <c r="E153" s="67" t="n">
        <f aca="false">-E145*Inputs!$C$32-E135*Inputs!$C$33*(1+Inputs!$C$34)^(E$127-1)</f>
        <v>-312</v>
      </c>
      <c r="F153" s="67" t="n">
        <f aca="false">-F145*Inputs!$C$32-F135*Inputs!$C$33*(1+Inputs!$C$34)^(F$127-1)</f>
        <v>-351</v>
      </c>
      <c r="G153" s="67" t="n">
        <f aca="false">-G145*Inputs!$C$32-G135*Inputs!$C$33*(1+Inputs!$C$34)^(G$127-1)</f>
        <v>-390</v>
      </c>
      <c r="H153" s="67" t="n">
        <f aca="false">-H145*Inputs!$C$32-H135*Inputs!$C$33*(1+Inputs!$C$34)^(H$127-1)</f>
        <v>-429</v>
      </c>
      <c r="I153" s="67" t="n">
        <f aca="false">-I145*Inputs!$C$32-I135*Inputs!$C$33*(1+Inputs!$C$34)^(I$127-1)</f>
        <v>-468</v>
      </c>
      <c r="J153" s="67" t="n">
        <f aca="false">-J145*Inputs!$C$32-J135*Inputs!$C$33*(1+Inputs!$C$34)^(J$127-1)</f>
        <v>-468</v>
      </c>
      <c r="K153" s="67" t="n">
        <f aca="false">-K145*Inputs!$C$32-K135*Inputs!$C$33*(1+Inputs!$C$34)^(K$127-1)</f>
        <v>-468</v>
      </c>
      <c r="L153" s="67" t="n">
        <f aca="false">-L145*Inputs!$C$32-L135*Inputs!$C$33*(1+Inputs!$C$34)^(L$127-1)</f>
        <v>-468</v>
      </c>
      <c r="M153" s="67" t="n">
        <f aca="false">-M145*Inputs!$C$32-M135*Inputs!$C$33*(1+Inputs!$C$34)^(M$127-1)</f>
        <v>-468</v>
      </c>
      <c r="N153" s="67" t="n">
        <f aca="false">-N145*Inputs!$C$32-N135*Inputs!$C$33*(1+Inputs!$C$34)^(N$127-1)</f>
        <v>-468</v>
      </c>
      <c r="O153" s="67" t="n">
        <f aca="false">-O145*Inputs!$C$32-O135*Inputs!$C$33*(1+Inputs!$C$34)^(O$127-1)</f>
        <v>-506.142</v>
      </c>
      <c r="P153" s="67" t="n">
        <f aca="false">-P145*Inputs!$C$32-P135*Inputs!$C$33*(1+Inputs!$C$34)^(P$127-1)</f>
        <v>-506.142</v>
      </c>
      <c r="Q153" s="67" t="n">
        <f aca="false">-Q145*Inputs!$C$32-Q135*Inputs!$C$33*(1+Inputs!$C$34)^(Q$127-1)</f>
        <v>-506.142</v>
      </c>
      <c r="R153" s="67" t="n">
        <f aca="false">-R145*Inputs!$C$32-R135*Inputs!$C$33*(1+Inputs!$C$34)^(R$127-1)</f>
        <v>-506.142</v>
      </c>
      <c r="S153" s="67" t="n">
        <f aca="false">-S145*Inputs!$C$32-S135*Inputs!$C$33*(1+Inputs!$C$34)^(S$127-1)</f>
        <v>-506.142</v>
      </c>
      <c r="T153" s="67" t="n">
        <f aca="false">-T145*Inputs!$C$32-T135*Inputs!$C$33*(1+Inputs!$C$34)^(T$127-1)</f>
        <v>-506.142</v>
      </c>
      <c r="U153" s="67" t="n">
        <f aca="false">-U145*Inputs!$C$32-U135*Inputs!$C$33*(1+Inputs!$C$34)^(U$127-1)</f>
        <v>-506.142</v>
      </c>
      <c r="V153" s="67" t="n">
        <f aca="false">-V145*Inputs!$C$32-V135*Inputs!$C$33*(1+Inputs!$C$34)^(V$127-1)</f>
        <v>-506.142</v>
      </c>
      <c r="W153" s="67" t="n">
        <f aca="false">-W145*Inputs!$C$32-W135*Inputs!$C$33*(1+Inputs!$C$34)^(W$127-1)</f>
        <v>-506.142</v>
      </c>
      <c r="X153" s="67" t="n">
        <f aca="false">-X145*Inputs!$C$32-X135*Inputs!$C$33*(1+Inputs!$C$34)^(X$127-1)</f>
        <v>-506.142</v>
      </c>
      <c r="Y153" s="67" t="n">
        <f aca="false">-Y145*Inputs!$C$32-Y135*Inputs!$C$33*(1+Inputs!$C$34)^(Y$127-1)</f>
        <v>-506.142</v>
      </c>
      <c r="Z153" s="67" t="n">
        <f aca="false">-Z145*Inputs!$C$32-Z135*Inputs!$C$33*(1+Inputs!$C$34)^(Z$127-1)</f>
        <v>-506.142</v>
      </c>
      <c r="AA153" s="67" t="n">
        <f aca="false">-AA145*Inputs!$C$32-AA135*Inputs!$C$33*(1+Inputs!$C$34)^(AA$127-1)</f>
        <v>-547.392573</v>
      </c>
      <c r="AB153" s="67" t="n">
        <f aca="false">-AB145*Inputs!$C$32-AB135*Inputs!$C$33*(1+Inputs!$C$34)^(AB$127-1)</f>
        <v>-547.392573</v>
      </c>
      <c r="AC153" s="67" t="n">
        <f aca="false">-AC145*Inputs!$C$32-AC135*Inputs!$C$33*(1+Inputs!$C$34)^(AC$127-1)</f>
        <v>-547.392573</v>
      </c>
      <c r="AD153" s="67" t="n">
        <f aca="false">-AD145*Inputs!$C$32-AD135*Inputs!$C$33*(1+Inputs!$C$34)^(AD$127-1)</f>
        <v>-547.392573</v>
      </c>
      <c r="AE153" s="67" t="n">
        <f aca="false">-AE145*Inputs!$C$32-AE135*Inputs!$C$33*(1+Inputs!$C$34)^(AE$127-1)</f>
        <v>-547.392573</v>
      </c>
      <c r="AF153" s="67" t="n">
        <f aca="false">-AF145*Inputs!$C$32-AF135*Inputs!$C$33*(1+Inputs!$C$34)^(AF$127-1)</f>
        <v>-547.392573</v>
      </c>
      <c r="AG153" s="67" t="n">
        <f aca="false">-AG145*Inputs!$C$32-AG135*Inputs!$C$33*(1+Inputs!$C$34)^(AG$127-1)</f>
        <v>-547.392573</v>
      </c>
      <c r="AH153" s="67" t="n">
        <f aca="false">-AH145*Inputs!$C$32-AH135*Inputs!$C$33*(1+Inputs!$C$34)^(AH$127-1)</f>
        <v>-547.392573</v>
      </c>
      <c r="AI153" s="67" t="n">
        <f aca="false">-AI145*Inputs!$C$32-AI135*Inputs!$C$33*(1+Inputs!$C$34)^(AI$127-1)</f>
        <v>-547.392573</v>
      </c>
      <c r="AJ153" s="67" t="n">
        <f aca="false">-AJ145*Inputs!$C$32-AJ135*Inputs!$C$33*(1+Inputs!$C$34)^(AJ$127-1)</f>
        <v>-547.392573</v>
      </c>
      <c r="AK153" s="67" t="n">
        <f aca="false">-AK145*Inputs!$C$32-AK135*Inputs!$C$33*(1+Inputs!$C$34)^(AK$127-1)</f>
        <v>-547.392573</v>
      </c>
      <c r="AL153" s="67" t="n">
        <f aca="false">-AL145*Inputs!$C$32-AL135*Inputs!$C$33*(1+Inputs!$C$34)^(AL$127-1)</f>
        <v>-547.392573</v>
      </c>
    </row>
    <row r="154" customFormat="false" ht="15" hidden="false" customHeight="false" outlineLevel="0" collapsed="false">
      <c r="A154" s="4" t="s">
        <v>76</v>
      </c>
      <c r="C154" s="73" t="n">
        <f aca="false">C151+C152+C153</f>
        <v>-4308.144</v>
      </c>
      <c r="D154" s="73" t="n">
        <f aca="false">D151+D152+D153</f>
        <v>-5026.168</v>
      </c>
      <c r="E154" s="73" t="n">
        <f aca="false">E151+E152+E153</f>
        <v>-7671.744</v>
      </c>
      <c r="F154" s="73" t="n">
        <f aca="false">F151+F152+F153</f>
        <v>-8630.712</v>
      </c>
      <c r="G154" s="73" t="n">
        <f aca="false">G151+G152+G153</f>
        <v>-9589.68</v>
      </c>
      <c r="H154" s="73" t="n">
        <f aca="false">H151+H152+H153</f>
        <v>-10548.648</v>
      </c>
      <c r="I154" s="73" t="n">
        <f aca="false">I151+I152+I153</f>
        <v>-11507.616</v>
      </c>
      <c r="J154" s="73" t="n">
        <f aca="false">J151+J152+J153</f>
        <v>-11507.616</v>
      </c>
      <c r="K154" s="73" t="n">
        <f aca="false">K151+K152+K153</f>
        <v>-11507.616</v>
      </c>
      <c r="L154" s="73" t="n">
        <f aca="false">L151+L152+L153</f>
        <v>-11507.616</v>
      </c>
      <c r="M154" s="73" t="n">
        <f aca="false">M151+M152+M153</f>
        <v>-11507.616</v>
      </c>
      <c r="N154" s="73" t="n">
        <f aca="false">N151+N152+N153</f>
        <v>-8616.288</v>
      </c>
      <c r="O154" s="73" t="n">
        <f aca="false">O151+O152+O153</f>
        <v>-9184.5024192</v>
      </c>
      <c r="P154" s="73" t="n">
        <f aca="false">P151+P152+P153</f>
        <v>-9184.5024192</v>
      </c>
      <c r="Q154" s="73" t="n">
        <f aca="false">Q151+Q152+Q153</f>
        <v>-12251.9122944</v>
      </c>
      <c r="R154" s="73" t="n">
        <f aca="false">R151+R152+R153</f>
        <v>-12251.9122944</v>
      </c>
      <c r="S154" s="73" t="n">
        <f aca="false">S151+S152+S153</f>
        <v>-12251.9122944</v>
      </c>
      <c r="T154" s="73" t="n">
        <f aca="false">T151+T152+T153</f>
        <v>-12251.9122944</v>
      </c>
      <c r="U154" s="73" t="n">
        <f aca="false">U151+U152+U153</f>
        <v>-12251.9122944</v>
      </c>
      <c r="V154" s="73" t="n">
        <f aca="false">V151+V152+V153</f>
        <v>-12251.9122944</v>
      </c>
      <c r="W154" s="73" t="n">
        <f aca="false">W151+W152+W153</f>
        <v>-12251.9122944</v>
      </c>
      <c r="X154" s="73" t="n">
        <f aca="false">X151+X152+X153</f>
        <v>-12251.9122944</v>
      </c>
      <c r="Y154" s="73" t="n">
        <f aca="false">Y151+Y152+Y153</f>
        <v>-12251.9122944</v>
      </c>
      <c r="Z154" s="73" t="n">
        <f aca="false">Z151+Z152+Z153</f>
        <v>-9184.5024192</v>
      </c>
      <c r="AA154" s="73" t="n">
        <f aca="false">AA151+AA152+AA153</f>
        <v>-9790.86491864928</v>
      </c>
      <c r="AB154" s="73" t="n">
        <f aca="false">AB151+AB152+AB153</f>
        <v>-9790.86491864928</v>
      </c>
      <c r="AC154" s="73" t="n">
        <f aca="false">AC151+AC152+AC153</f>
        <v>-13045.080055249</v>
      </c>
      <c r="AD154" s="73" t="n">
        <f aca="false">AD151+AD152+AD153</f>
        <v>-13045.080055249</v>
      </c>
      <c r="AE154" s="73" t="n">
        <f aca="false">AE151+AE152+AE153</f>
        <v>-13045.080055249</v>
      </c>
      <c r="AF154" s="73" t="n">
        <f aca="false">AF151+AF152+AF153</f>
        <v>-13045.080055249</v>
      </c>
      <c r="AG154" s="73" t="n">
        <f aca="false">AG151+AG152+AG153</f>
        <v>-13045.080055249</v>
      </c>
      <c r="AH154" s="73" t="n">
        <f aca="false">AH151+AH152+AH153</f>
        <v>-13045.080055249</v>
      </c>
      <c r="AI154" s="73" t="n">
        <f aca="false">AI151+AI152+AI153</f>
        <v>-13045.080055249</v>
      </c>
      <c r="AJ154" s="73" t="n">
        <f aca="false">AJ151+AJ152+AJ153</f>
        <v>-13045.080055249</v>
      </c>
      <c r="AK154" s="73" t="n">
        <f aca="false">AK151+AK152+AK153</f>
        <v>-13045.080055249</v>
      </c>
      <c r="AL154" s="73" t="n">
        <f aca="false">AL151+AL152+AL153</f>
        <v>-9790.86491864928</v>
      </c>
    </row>
    <row r="155" customFormat="false" ht="15" hidden="false" customHeight="false" outlineLevel="0" collapsed="false">
      <c r="A155" s="113" t="s">
        <v>45</v>
      </c>
      <c r="C155" s="68" t="n">
        <f aca="false">C146+C154</f>
        <v>6107.856</v>
      </c>
      <c r="D155" s="68" t="n">
        <f aca="false">D146+D154</f>
        <v>7125.832</v>
      </c>
      <c r="E155" s="68" t="n">
        <f aca="false">E146+E154</f>
        <v>11144.256</v>
      </c>
      <c r="F155" s="68" t="n">
        <f aca="false">F146+F154</f>
        <v>12537.288</v>
      </c>
      <c r="G155" s="68" t="n">
        <f aca="false">G146+G154</f>
        <v>13930.32</v>
      </c>
      <c r="H155" s="68" t="n">
        <f aca="false">H146+H154</f>
        <v>15323.352</v>
      </c>
      <c r="I155" s="68" t="n">
        <f aca="false">I146+I154</f>
        <v>16716.384</v>
      </c>
      <c r="J155" s="68" t="n">
        <f aca="false">J146+J154</f>
        <v>16716.384</v>
      </c>
      <c r="K155" s="68" t="n">
        <f aca="false">K146+K154</f>
        <v>16716.384</v>
      </c>
      <c r="L155" s="68" t="n">
        <f aca="false">L146+L154</f>
        <v>16716.384</v>
      </c>
      <c r="M155" s="68" t="n">
        <f aca="false">M146+M154</f>
        <v>16716.384</v>
      </c>
      <c r="N155" s="68" t="n">
        <f aca="false">N146+N154</f>
        <v>12215.712</v>
      </c>
      <c r="O155" s="68" t="n">
        <f aca="false">O146+O154</f>
        <v>13002.6863808</v>
      </c>
      <c r="P155" s="68" t="n">
        <f aca="false">P146+P154</f>
        <v>13002.6863808</v>
      </c>
      <c r="Q155" s="68" t="n">
        <f aca="false">Q146+Q154</f>
        <v>17777.4493056</v>
      </c>
      <c r="R155" s="68" t="n">
        <f aca="false">R146+R154</f>
        <v>17777.4493056</v>
      </c>
      <c r="S155" s="68" t="n">
        <f aca="false">S146+S154</f>
        <v>17777.4493056</v>
      </c>
      <c r="T155" s="68" t="n">
        <f aca="false">T146+T154</f>
        <v>17777.4493056</v>
      </c>
      <c r="U155" s="68" t="n">
        <f aca="false">U146+U154</f>
        <v>17777.4493056</v>
      </c>
      <c r="V155" s="68" t="n">
        <f aca="false">V146+V154</f>
        <v>17777.4493056</v>
      </c>
      <c r="W155" s="68" t="n">
        <f aca="false">W146+W154</f>
        <v>17777.4493056</v>
      </c>
      <c r="X155" s="68" t="n">
        <f aca="false">X146+X154</f>
        <v>17777.4493056</v>
      </c>
      <c r="Y155" s="68" t="n">
        <f aca="false">Y146+Y154</f>
        <v>17777.4493056</v>
      </c>
      <c r="Z155" s="68" t="n">
        <f aca="false">Z146+Z154</f>
        <v>13002.6863808</v>
      </c>
      <c r="AA155" s="68" t="n">
        <f aca="false">AA146+AA154</f>
        <v>13841.0950592707</v>
      </c>
      <c r="AB155" s="68" t="n">
        <f aca="false">AB146+AB154</f>
        <v>13841.0950592707</v>
      </c>
      <c r="AC155" s="68" t="n">
        <f aca="false">AC146+AC154</f>
        <v>18906.641046191</v>
      </c>
      <c r="AD155" s="68" t="n">
        <f aca="false">AD146+AD154</f>
        <v>18906.641046191</v>
      </c>
      <c r="AE155" s="68" t="n">
        <f aca="false">AE146+AE154</f>
        <v>18906.641046191</v>
      </c>
      <c r="AF155" s="68" t="n">
        <f aca="false">AF146+AF154</f>
        <v>18906.641046191</v>
      </c>
      <c r="AG155" s="68" t="n">
        <f aca="false">AG146+AG154</f>
        <v>18906.641046191</v>
      </c>
      <c r="AH155" s="68" t="n">
        <f aca="false">AH146+AH154</f>
        <v>18906.641046191</v>
      </c>
      <c r="AI155" s="68" t="n">
        <f aca="false">AI146+AI154</f>
        <v>18906.641046191</v>
      </c>
      <c r="AJ155" s="68" t="n">
        <f aca="false">AJ146+AJ154</f>
        <v>18906.641046191</v>
      </c>
      <c r="AK155" s="68" t="n">
        <f aca="false">AK146+AK154</f>
        <v>18906.641046191</v>
      </c>
      <c r="AL155" s="68" t="n">
        <f aca="false">AL146+AL154</f>
        <v>13841.0950592707</v>
      </c>
    </row>
    <row r="157" customFormat="false" ht="15.75" hidden="false" customHeight="true" outlineLevel="0" collapsed="false">
      <c r="A157" s="7" t="s">
        <v>47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</row>
    <row r="158" customFormat="false" ht="15" hidden="false" customHeight="false" outlineLevel="0" collapsed="false">
      <c r="A158" s="6" t="s">
        <v>330</v>
      </c>
      <c r="C158" s="67" t="n">
        <f aca="false">C241</f>
        <v>-9874.66666666667</v>
      </c>
      <c r="D158" s="67" t="n">
        <f aca="false">D241</f>
        <v>-9874.66666666667</v>
      </c>
      <c r="E158" s="67" t="n">
        <f aca="false">E241</f>
        <v>-9874.66666666667</v>
      </c>
      <c r="F158" s="67" t="n">
        <f aca="false">F241</f>
        <v>-9874.66666666667</v>
      </c>
      <c r="G158" s="67" t="n">
        <f aca="false">G241</f>
        <v>-9874.66666666667</v>
      </c>
      <c r="H158" s="67" t="n">
        <f aca="false">H241</f>
        <v>-9874.66666666667</v>
      </c>
      <c r="I158" s="67" t="n">
        <f aca="false">I241</f>
        <v>-9874.66666666667</v>
      </c>
      <c r="J158" s="67" t="n">
        <f aca="false">J241</f>
        <v>-9874.66666666667</v>
      </c>
      <c r="K158" s="67" t="n">
        <f aca="false">K241</f>
        <v>-9874.66666666667</v>
      </c>
      <c r="L158" s="67" t="n">
        <f aca="false">L241</f>
        <v>-9874.66666666667</v>
      </c>
      <c r="M158" s="67" t="n">
        <f aca="false">M241</f>
        <v>-9874.66666666667</v>
      </c>
      <c r="N158" s="67" t="n">
        <f aca="false">N241</f>
        <v>-9874.66666666667</v>
      </c>
      <c r="O158" s="67" t="n">
        <f aca="false">O241</f>
        <v>-10170.9066666667</v>
      </c>
      <c r="P158" s="67" t="n">
        <f aca="false">P241</f>
        <v>-10170.9066666667</v>
      </c>
      <c r="Q158" s="67" t="n">
        <f aca="false">Q241</f>
        <v>-10170.9066666667</v>
      </c>
      <c r="R158" s="67" t="n">
        <f aca="false">R241</f>
        <v>-10170.9066666667</v>
      </c>
      <c r="S158" s="67" t="n">
        <f aca="false">S241</f>
        <v>-10170.9066666667</v>
      </c>
      <c r="T158" s="67" t="n">
        <f aca="false">T241</f>
        <v>-10170.9066666667</v>
      </c>
      <c r="U158" s="67" t="n">
        <f aca="false">U241</f>
        <v>-10170.9066666667</v>
      </c>
      <c r="V158" s="67" t="n">
        <f aca="false">V241</f>
        <v>-10170.9066666667</v>
      </c>
      <c r="W158" s="67" t="n">
        <f aca="false">W241</f>
        <v>-10170.9066666667</v>
      </c>
      <c r="X158" s="67" t="n">
        <f aca="false">X241</f>
        <v>-10170.9066666667</v>
      </c>
      <c r="Y158" s="67" t="n">
        <f aca="false">Y241</f>
        <v>-10170.9066666667</v>
      </c>
      <c r="Z158" s="67" t="n">
        <f aca="false">Z241</f>
        <v>-10170.9066666667</v>
      </c>
      <c r="AA158" s="67" t="n">
        <f aca="false">AA241</f>
        <v>-10476.0338666667</v>
      </c>
      <c r="AB158" s="67" t="n">
        <f aca="false">AB241</f>
        <v>-10476.0338666667</v>
      </c>
      <c r="AC158" s="67" t="n">
        <f aca="false">AC241</f>
        <v>-10476.0338666667</v>
      </c>
      <c r="AD158" s="67" t="n">
        <f aca="false">AD241</f>
        <v>-10476.0338666667</v>
      </c>
      <c r="AE158" s="67" t="n">
        <f aca="false">AE241</f>
        <v>-10476.0338666667</v>
      </c>
      <c r="AF158" s="67" t="n">
        <f aca="false">AF241</f>
        <v>-10476.0338666667</v>
      </c>
      <c r="AG158" s="67" t="n">
        <f aca="false">AG241</f>
        <v>-10476.0338666667</v>
      </c>
      <c r="AH158" s="67" t="n">
        <f aca="false">AH241</f>
        <v>-10476.0338666667</v>
      </c>
      <c r="AI158" s="67" t="n">
        <f aca="false">AI241</f>
        <v>-10476.0338666667</v>
      </c>
      <c r="AJ158" s="67" t="n">
        <f aca="false">AJ241</f>
        <v>-10476.0338666667</v>
      </c>
      <c r="AK158" s="67" t="n">
        <f aca="false">AK241</f>
        <v>-10476.0338666667</v>
      </c>
      <c r="AL158" s="67" t="n">
        <f aca="false">AL241</f>
        <v>-10476.0338666667</v>
      </c>
    </row>
    <row r="159" customFormat="false" ht="15" hidden="false" customHeight="false" outlineLevel="0" collapsed="false">
      <c r="A159" s="6" t="s">
        <v>331</v>
      </c>
      <c r="C159" s="67" t="n">
        <f aca="false">-Inputs!$C$37*C130*(1+Inputs!$C$34)^(C$127-1)*1</f>
        <v>-950</v>
      </c>
      <c r="D159" s="67" t="n">
        <f aca="false">-Inputs!$C$37*D130*(1+Inputs!$C$34)^(D$127-1)*1</f>
        <v>-950</v>
      </c>
      <c r="E159" s="67" t="n">
        <f aca="false">-Inputs!$C$37*E130*(1+Inputs!$C$34)^(E$127-1)*1</f>
        <v>-950</v>
      </c>
      <c r="F159" s="67" t="n">
        <f aca="false">-Inputs!$C$37*F130*(1+Inputs!$C$34)^(F$127-1)*1</f>
        <v>-950</v>
      </c>
      <c r="G159" s="67" t="n">
        <f aca="false">-Inputs!$C$37*G130*(1+Inputs!$C$34)^(G$127-1)*1</f>
        <v>-950</v>
      </c>
      <c r="H159" s="67" t="n">
        <f aca="false">-Inputs!$C$37*H130*(1+Inputs!$C$34)^(H$127-1)*1</f>
        <v>-950</v>
      </c>
      <c r="I159" s="67" t="n">
        <f aca="false">-Inputs!$C$37*I130*(1+Inputs!$C$34)^(I$127-1)*1</f>
        <v>-950</v>
      </c>
      <c r="J159" s="67" t="n">
        <f aca="false">-Inputs!$C$37*J130*(1+Inputs!$C$34)^(J$127-1)*1</f>
        <v>-950</v>
      </c>
      <c r="K159" s="67" t="n">
        <f aca="false">-Inputs!$C$37*K130*(1+Inputs!$C$34)^(K$127-1)*1</f>
        <v>-950</v>
      </c>
      <c r="L159" s="67" t="n">
        <f aca="false">-Inputs!$C$37*L130*(1+Inputs!$C$34)^(L$127-1)*1</f>
        <v>-950</v>
      </c>
      <c r="M159" s="67" t="n">
        <f aca="false">-Inputs!$C$37*M130*(1+Inputs!$C$34)^(M$127-1)*1</f>
        <v>-950</v>
      </c>
      <c r="N159" s="67" t="n">
        <f aca="false">-Inputs!$C$37*N130*(1+Inputs!$C$34)^(N$127-1)*1</f>
        <v>-950</v>
      </c>
      <c r="O159" s="67" t="n">
        <f aca="false">-Inputs!$C$37*O130*(1+Inputs!$C$34)^(O$127-1)*1</f>
        <v>-978.5</v>
      </c>
      <c r="P159" s="67" t="n">
        <f aca="false">-Inputs!$C$37*P130*(1+Inputs!$C$34)^(P$127-1)*1</f>
        <v>-978.5</v>
      </c>
      <c r="Q159" s="67" t="n">
        <f aca="false">-Inputs!$C$37*Q130*(1+Inputs!$C$34)^(Q$127-1)*1</f>
        <v>-978.5</v>
      </c>
      <c r="R159" s="67" t="n">
        <f aca="false">-Inputs!$C$37*R130*(1+Inputs!$C$34)^(R$127-1)*1</f>
        <v>-978.5</v>
      </c>
      <c r="S159" s="67" t="n">
        <f aca="false">-Inputs!$C$37*S130*(1+Inputs!$C$34)^(S$127-1)*1</f>
        <v>-978.5</v>
      </c>
      <c r="T159" s="67" t="n">
        <f aca="false">-Inputs!$C$37*T130*(1+Inputs!$C$34)^(T$127-1)*1</f>
        <v>-978.5</v>
      </c>
      <c r="U159" s="67" t="n">
        <f aca="false">-Inputs!$C$37*U130*(1+Inputs!$C$34)^(U$127-1)*1</f>
        <v>-978.5</v>
      </c>
      <c r="V159" s="67" t="n">
        <f aca="false">-Inputs!$C$37*V130*(1+Inputs!$C$34)^(V$127-1)*1</f>
        <v>-978.5</v>
      </c>
      <c r="W159" s="67" t="n">
        <f aca="false">-Inputs!$C$37*W130*(1+Inputs!$C$34)^(W$127-1)*1</f>
        <v>-978.5</v>
      </c>
      <c r="X159" s="67" t="n">
        <f aca="false">-Inputs!$C$37*X130*(1+Inputs!$C$34)^(X$127-1)*1</f>
        <v>-978.5</v>
      </c>
      <c r="Y159" s="67" t="n">
        <f aca="false">-Inputs!$C$37*Y130*(1+Inputs!$C$34)^(Y$127-1)*1</f>
        <v>-978.5</v>
      </c>
      <c r="Z159" s="67" t="n">
        <f aca="false">-Inputs!$C$37*Z130*(1+Inputs!$C$34)^(Z$127-1)*1</f>
        <v>-978.5</v>
      </c>
      <c r="AA159" s="67" t="n">
        <f aca="false">-Inputs!$C$37*AA130*(1+Inputs!$C$34)^(AA$127-1)*1</f>
        <v>-1007.855</v>
      </c>
      <c r="AB159" s="67" t="n">
        <f aca="false">-Inputs!$C$37*AB130*(1+Inputs!$C$34)^(AB$127-1)*1</f>
        <v>-1007.855</v>
      </c>
      <c r="AC159" s="67" t="n">
        <f aca="false">-Inputs!$C$37*AC130*(1+Inputs!$C$34)^(AC$127-1)*1</f>
        <v>-1007.855</v>
      </c>
      <c r="AD159" s="67" t="n">
        <f aca="false">-Inputs!$C$37*AD130*(1+Inputs!$C$34)^(AD$127-1)*1</f>
        <v>-1007.855</v>
      </c>
      <c r="AE159" s="67" t="n">
        <f aca="false">-Inputs!$C$37*AE130*(1+Inputs!$C$34)^(AE$127-1)*1</f>
        <v>-1007.855</v>
      </c>
      <c r="AF159" s="67" t="n">
        <f aca="false">-Inputs!$C$37*AF130*(1+Inputs!$C$34)^(AF$127-1)*1</f>
        <v>-1007.855</v>
      </c>
      <c r="AG159" s="67" t="n">
        <f aca="false">-Inputs!$C$37*AG130*(1+Inputs!$C$34)^(AG$127-1)*1</f>
        <v>-1007.855</v>
      </c>
      <c r="AH159" s="67" t="n">
        <f aca="false">-Inputs!$C$37*AH130*(1+Inputs!$C$34)^(AH$127-1)*1</f>
        <v>-1007.855</v>
      </c>
      <c r="AI159" s="67" t="n">
        <f aca="false">-Inputs!$C$37*AI130*(1+Inputs!$C$34)^(AI$127-1)*1</f>
        <v>-1007.855</v>
      </c>
      <c r="AJ159" s="67" t="n">
        <f aca="false">-Inputs!$C$37*AJ130*(1+Inputs!$C$34)^(AJ$127-1)*1</f>
        <v>-1007.855</v>
      </c>
      <c r="AK159" s="67" t="n">
        <f aca="false">-Inputs!$C$37*AK130*(1+Inputs!$C$34)^(AK$127-1)*1</f>
        <v>-1007.855</v>
      </c>
      <c r="AL159" s="67" t="n">
        <f aca="false">-Inputs!$C$37*AL130*(1+Inputs!$C$34)^(AL$127-1)*1</f>
        <v>-1007.855</v>
      </c>
    </row>
    <row r="160" customFormat="false" ht="15" hidden="false" customHeight="false" outlineLevel="0" collapsed="false">
      <c r="A160" s="6" t="s">
        <v>332</v>
      </c>
      <c r="C160" s="67" t="n">
        <f aca="false">-Inputs!$C$38*C130*(1+Inputs!$C$34)^(C$127-1)*1</f>
        <v>-380</v>
      </c>
      <c r="D160" s="67" t="n">
        <f aca="false">-Inputs!$C$38*D130*(1+Inputs!$C$34)^(D$127-1)*1</f>
        <v>-380</v>
      </c>
      <c r="E160" s="67" t="n">
        <f aca="false">-Inputs!$C$38*E130*(1+Inputs!$C$34)^(E$127-1)*1</f>
        <v>-380</v>
      </c>
      <c r="F160" s="67" t="n">
        <f aca="false">-Inputs!$C$38*F130*(1+Inputs!$C$34)^(F$127-1)*1</f>
        <v>-380</v>
      </c>
      <c r="G160" s="67" t="n">
        <f aca="false">-Inputs!$C$38*G130*(1+Inputs!$C$34)^(G$127-1)*1</f>
        <v>-380</v>
      </c>
      <c r="H160" s="67" t="n">
        <f aca="false">-Inputs!$C$38*H130*(1+Inputs!$C$34)^(H$127-1)*1</f>
        <v>-380</v>
      </c>
      <c r="I160" s="67" t="n">
        <f aca="false">-Inputs!$C$38*I130*(1+Inputs!$C$34)^(I$127-1)*1</f>
        <v>-380</v>
      </c>
      <c r="J160" s="67" t="n">
        <f aca="false">-Inputs!$C$38*J130*(1+Inputs!$C$34)^(J$127-1)*1</f>
        <v>-380</v>
      </c>
      <c r="K160" s="67" t="n">
        <f aca="false">-Inputs!$C$38*K130*(1+Inputs!$C$34)^(K$127-1)*1</f>
        <v>-380</v>
      </c>
      <c r="L160" s="67" t="n">
        <f aca="false">-Inputs!$C$38*L130*(1+Inputs!$C$34)^(L$127-1)*1</f>
        <v>-380</v>
      </c>
      <c r="M160" s="67" t="n">
        <f aca="false">-Inputs!$C$38*M130*(1+Inputs!$C$34)^(M$127-1)*1</f>
        <v>-380</v>
      </c>
      <c r="N160" s="67" t="n">
        <f aca="false">-Inputs!$C$38*N130*(1+Inputs!$C$34)^(N$127-1)*1</f>
        <v>-380</v>
      </c>
      <c r="O160" s="67" t="n">
        <f aca="false">-Inputs!$C$38*O130*(1+Inputs!$C$34)^(O$127-1)*1</f>
        <v>-391.4</v>
      </c>
      <c r="P160" s="67" t="n">
        <f aca="false">-Inputs!$C$38*P130*(1+Inputs!$C$34)^(P$127-1)*1</f>
        <v>-391.4</v>
      </c>
      <c r="Q160" s="67" t="n">
        <f aca="false">-Inputs!$C$38*Q130*(1+Inputs!$C$34)^(Q$127-1)*1</f>
        <v>-391.4</v>
      </c>
      <c r="R160" s="67" t="n">
        <f aca="false">-Inputs!$C$38*R130*(1+Inputs!$C$34)^(R$127-1)*1</f>
        <v>-391.4</v>
      </c>
      <c r="S160" s="67" t="n">
        <f aca="false">-Inputs!$C$38*S130*(1+Inputs!$C$34)^(S$127-1)*1</f>
        <v>-391.4</v>
      </c>
      <c r="T160" s="67" t="n">
        <f aca="false">-Inputs!$C$38*T130*(1+Inputs!$C$34)^(T$127-1)*1</f>
        <v>-391.4</v>
      </c>
      <c r="U160" s="67" t="n">
        <f aca="false">-Inputs!$C$38*U130*(1+Inputs!$C$34)^(U$127-1)*1</f>
        <v>-391.4</v>
      </c>
      <c r="V160" s="67" t="n">
        <f aca="false">-Inputs!$C$38*V130*(1+Inputs!$C$34)^(V$127-1)*1</f>
        <v>-391.4</v>
      </c>
      <c r="W160" s="67" t="n">
        <f aca="false">-Inputs!$C$38*W130*(1+Inputs!$C$34)^(W$127-1)*1</f>
        <v>-391.4</v>
      </c>
      <c r="X160" s="67" t="n">
        <f aca="false">-Inputs!$C$38*X130*(1+Inputs!$C$34)^(X$127-1)*1</f>
        <v>-391.4</v>
      </c>
      <c r="Y160" s="67" t="n">
        <f aca="false">-Inputs!$C$38*Y130*(1+Inputs!$C$34)^(Y$127-1)*1</f>
        <v>-391.4</v>
      </c>
      <c r="Z160" s="67" t="n">
        <f aca="false">-Inputs!$C$38*Z130*(1+Inputs!$C$34)^(Z$127-1)*1</f>
        <v>-391.4</v>
      </c>
      <c r="AA160" s="67" t="n">
        <f aca="false">-Inputs!$C$38*AA130*(1+Inputs!$C$34)^(AA$127-1)*1</f>
        <v>-403.142</v>
      </c>
      <c r="AB160" s="67" t="n">
        <f aca="false">-Inputs!$C$38*AB130*(1+Inputs!$C$34)^(AB$127-1)*1</f>
        <v>-403.142</v>
      </c>
      <c r="AC160" s="67" t="n">
        <f aca="false">-Inputs!$C$38*AC130*(1+Inputs!$C$34)^(AC$127-1)*1</f>
        <v>-403.142</v>
      </c>
      <c r="AD160" s="67" t="n">
        <f aca="false">-Inputs!$C$38*AD130*(1+Inputs!$C$34)^(AD$127-1)*1</f>
        <v>-403.142</v>
      </c>
      <c r="AE160" s="67" t="n">
        <f aca="false">-Inputs!$C$38*AE130*(1+Inputs!$C$34)^(AE$127-1)*1</f>
        <v>-403.142</v>
      </c>
      <c r="AF160" s="67" t="n">
        <f aca="false">-Inputs!$C$38*AF130*(1+Inputs!$C$34)^(AF$127-1)*1</f>
        <v>-403.142</v>
      </c>
      <c r="AG160" s="67" t="n">
        <f aca="false">-Inputs!$C$38*AG130*(1+Inputs!$C$34)^(AG$127-1)*1</f>
        <v>-403.142</v>
      </c>
      <c r="AH160" s="67" t="n">
        <f aca="false">-Inputs!$C$38*AH130*(1+Inputs!$C$34)^(AH$127-1)*1</f>
        <v>-403.142</v>
      </c>
      <c r="AI160" s="67" t="n">
        <f aca="false">-Inputs!$C$38*AI130*(1+Inputs!$C$34)^(AI$127-1)*1</f>
        <v>-403.142</v>
      </c>
      <c r="AJ160" s="67" t="n">
        <f aca="false">-Inputs!$C$38*AJ130*(1+Inputs!$C$34)^(AJ$127-1)*1</f>
        <v>-403.142</v>
      </c>
      <c r="AK160" s="67" t="n">
        <f aca="false">-Inputs!$C$38*AK130*(1+Inputs!$C$34)^(AK$127-1)*1</f>
        <v>-403.142</v>
      </c>
      <c r="AL160" s="67" t="n">
        <f aca="false">-Inputs!$C$38*AL130*(1+Inputs!$C$34)^(AL$127-1)*1</f>
        <v>-403.142</v>
      </c>
    </row>
    <row r="161" customFormat="false" ht="15" hidden="false" customHeight="false" outlineLevel="0" collapsed="false">
      <c r="A161" s="6" t="s">
        <v>333</v>
      </c>
      <c r="C161" s="67" t="n">
        <f aca="false">-Inputs!$C$39*C130*(1+Inputs!$C$34)^(C$127-1)*1</f>
        <v>-450</v>
      </c>
      <c r="D161" s="67" t="n">
        <f aca="false">-Inputs!$C$39*D130*(1+Inputs!$C$34)^(D$127-1)*1</f>
        <v>-450</v>
      </c>
      <c r="E161" s="67" t="n">
        <f aca="false">-Inputs!$C$39*E130*(1+Inputs!$C$34)^(E$127-1)*1</f>
        <v>-450</v>
      </c>
      <c r="F161" s="67" t="n">
        <f aca="false">-Inputs!$C$39*F130*(1+Inputs!$C$34)^(F$127-1)*1</f>
        <v>-450</v>
      </c>
      <c r="G161" s="67" t="n">
        <f aca="false">-Inputs!$C$39*G130*(1+Inputs!$C$34)^(G$127-1)*1</f>
        <v>-450</v>
      </c>
      <c r="H161" s="67" t="n">
        <f aca="false">-Inputs!$C$39*H130*(1+Inputs!$C$34)^(H$127-1)*1</f>
        <v>-450</v>
      </c>
      <c r="I161" s="67" t="n">
        <f aca="false">-Inputs!$C$39*I130*(1+Inputs!$C$34)^(I$127-1)*1</f>
        <v>-450</v>
      </c>
      <c r="J161" s="67" t="n">
        <f aca="false">-Inputs!$C$39*J130*(1+Inputs!$C$34)^(J$127-1)*1</f>
        <v>-450</v>
      </c>
      <c r="K161" s="67" t="n">
        <f aca="false">-Inputs!$C$39*K130*(1+Inputs!$C$34)^(K$127-1)*1</f>
        <v>-450</v>
      </c>
      <c r="L161" s="67" t="n">
        <f aca="false">-Inputs!$C$39*L130*(1+Inputs!$C$34)^(L$127-1)*1</f>
        <v>-450</v>
      </c>
      <c r="M161" s="67" t="n">
        <f aca="false">-Inputs!$C$39*M130*(1+Inputs!$C$34)^(M$127-1)*1</f>
        <v>-450</v>
      </c>
      <c r="N161" s="67" t="n">
        <f aca="false">-Inputs!$C$39*N130*(1+Inputs!$C$34)^(N$127-1)*1</f>
        <v>-450</v>
      </c>
      <c r="O161" s="67" t="n">
        <f aca="false">-Inputs!$C$39*O130*(1+Inputs!$C$34)^(O$127-1)*1</f>
        <v>-463.5</v>
      </c>
      <c r="P161" s="67" t="n">
        <f aca="false">-Inputs!$C$39*P130*(1+Inputs!$C$34)^(P$127-1)*1</f>
        <v>-463.5</v>
      </c>
      <c r="Q161" s="67" t="n">
        <f aca="false">-Inputs!$C$39*Q130*(1+Inputs!$C$34)^(Q$127-1)*1</f>
        <v>-463.5</v>
      </c>
      <c r="R161" s="67" t="n">
        <f aca="false">-Inputs!$C$39*R130*(1+Inputs!$C$34)^(R$127-1)*1</f>
        <v>-463.5</v>
      </c>
      <c r="S161" s="67" t="n">
        <f aca="false">-Inputs!$C$39*S130*(1+Inputs!$C$34)^(S$127-1)*1</f>
        <v>-463.5</v>
      </c>
      <c r="T161" s="67" t="n">
        <f aca="false">-Inputs!$C$39*T130*(1+Inputs!$C$34)^(T$127-1)*1</f>
        <v>-463.5</v>
      </c>
      <c r="U161" s="67" t="n">
        <f aca="false">-Inputs!$C$39*U130*(1+Inputs!$C$34)^(U$127-1)*1</f>
        <v>-463.5</v>
      </c>
      <c r="V161" s="67" t="n">
        <f aca="false">-Inputs!$C$39*V130*(1+Inputs!$C$34)^(V$127-1)*1</f>
        <v>-463.5</v>
      </c>
      <c r="W161" s="67" t="n">
        <f aca="false">-Inputs!$C$39*W130*(1+Inputs!$C$34)^(W$127-1)*1</f>
        <v>-463.5</v>
      </c>
      <c r="X161" s="67" t="n">
        <f aca="false">-Inputs!$C$39*X130*(1+Inputs!$C$34)^(X$127-1)*1</f>
        <v>-463.5</v>
      </c>
      <c r="Y161" s="67" t="n">
        <f aca="false">-Inputs!$C$39*Y130*(1+Inputs!$C$34)^(Y$127-1)*1</f>
        <v>-463.5</v>
      </c>
      <c r="Z161" s="67" t="n">
        <f aca="false">-Inputs!$C$39*Z130*(1+Inputs!$C$34)^(Z$127-1)*1</f>
        <v>-463.5</v>
      </c>
      <c r="AA161" s="67" t="n">
        <f aca="false">-Inputs!$C$39*AA130*(1+Inputs!$C$34)^(AA$127-1)*1</f>
        <v>-477.405</v>
      </c>
      <c r="AB161" s="67" t="n">
        <f aca="false">-Inputs!$C$39*AB130*(1+Inputs!$C$34)^(AB$127-1)*1</f>
        <v>-477.405</v>
      </c>
      <c r="AC161" s="67" t="n">
        <f aca="false">-Inputs!$C$39*AC130*(1+Inputs!$C$34)^(AC$127-1)*1</f>
        <v>-477.405</v>
      </c>
      <c r="AD161" s="67" t="n">
        <f aca="false">-Inputs!$C$39*AD130*(1+Inputs!$C$34)^(AD$127-1)*1</f>
        <v>-477.405</v>
      </c>
      <c r="AE161" s="67" t="n">
        <f aca="false">-Inputs!$C$39*AE130*(1+Inputs!$C$34)^(AE$127-1)*1</f>
        <v>-477.405</v>
      </c>
      <c r="AF161" s="67" t="n">
        <f aca="false">-Inputs!$C$39*AF130*(1+Inputs!$C$34)^(AF$127-1)*1</f>
        <v>-477.405</v>
      </c>
      <c r="AG161" s="67" t="n">
        <f aca="false">-Inputs!$C$39*AG130*(1+Inputs!$C$34)^(AG$127-1)*1</f>
        <v>-477.405</v>
      </c>
      <c r="AH161" s="67" t="n">
        <f aca="false">-Inputs!$C$39*AH130*(1+Inputs!$C$34)^(AH$127-1)*1</f>
        <v>-477.405</v>
      </c>
      <c r="AI161" s="67" t="n">
        <f aca="false">-Inputs!$C$39*AI130*(1+Inputs!$C$34)^(AI$127-1)*1</f>
        <v>-477.405</v>
      </c>
      <c r="AJ161" s="67" t="n">
        <f aca="false">-Inputs!$C$39*AJ130*(1+Inputs!$C$34)^(AJ$127-1)*1</f>
        <v>-477.405</v>
      </c>
      <c r="AK161" s="67" t="n">
        <f aca="false">-Inputs!$C$39*AK130*(1+Inputs!$C$34)^(AK$127-1)*1</f>
        <v>-477.405</v>
      </c>
      <c r="AL161" s="67" t="n">
        <f aca="false">-Inputs!$C$39*AL130*(1+Inputs!$C$34)^(AL$127-1)*1</f>
        <v>-477.405</v>
      </c>
    </row>
    <row r="162" customFormat="false" ht="15" hidden="false" customHeight="false" outlineLevel="0" collapsed="false">
      <c r="A162" s="6" t="s">
        <v>334</v>
      </c>
      <c r="C162" s="67" t="n">
        <f aca="false">-Inputs!$C$40*C136*(1+Inputs!$C$34)^(C$127-1)</f>
        <v>-570</v>
      </c>
      <c r="D162" s="67" t="n">
        <f aca="false">-Inputs!$C$40*D136*(1+Inputs!$C$34)^(D$127-1)</f>
        <v>-579.5</v>
      </c>
      <c r="E162" s="67" t="n">
        <f aca="false">-Inputs!$C$40*E136*(1+Inputs!$C$34)^(E$127-1)</f>
        <v>-817</v>
      </c>
      <c r="F162" s="67" t="n">
        <f aca="false">-Inputs!$C$40*F136*(1+Inputs!$C$34)^(F$127-1)</f>
        <v>-826.5</v>
      </c>
      <c r="G162" s="67" t="n">
        <f aca="false">-Inputs!$C$40*G136*(1+Inputs!$C$34)^(G$127-1)</f>
        <v>-836</v>
      </c>
      <c r="H162" s="67" t="n">
        <f aca="false">-Inputs!$C$40*H136*(1+Inputs!$C$34)^(H$127-1)</f>
        <v>-845.5</v>
      </c>
      <c r="I162" s="67" t="n">
        <f aca="false">-Inputs!$C$40*I136*(1+Inputs!$C$34)^(I$127-1)</f>
        <v>-855</v>
      </c>
      <c r="J162" s="67" t="n">
        <f aca="false">-Inputs!$C$40*J136*(1+Inputs!$C$34)^(J$127-1)</f>
        <v>-855</v>
      </c>
      <c r="K162" s="67" t="n">
        <f aca="false">-Inputs!$C$40*K136*(1+Inputs!$C$34)^(K$127-1)</f>
        <v>-855</v>
      </c>
      <c r="L162" s="67" t="n">
        <f aca="false">-Inputs!$C$40*L136*(1+Inputs!$C$34)^(L$127-1)</f>
        <v>-855</v>
      </c>
      <c r="M162" s="67" t="n">
        <f aca="false">-Inputs!$C$40*M136*(1+Inputs!$C$34)^(M$127-1)</f>
        <v>-855</v>
      </c>
      <c r="N162" s="67" t="n">
        <f aca="false">-Inputs!$C$40*N136*(1+Inputs!$C$34)^(N$127-1)</f>
        <v>-627</v>
      </c>
      <c r="O162" s="67" t="n">
        <f aca="false">-Inputs!$C$40*O136*(1+Inputs!$C$34)^(O$127-1)</f>
        <v>-651.681</v>
      </c>
      <c r="P162" s="67" t="n">
        <f aca="false">-Inputs!$C$40*P136*(1+Inputs!$C$34)^(P$127-1)</f>
        <v>-651.681</v>
      </c>
      <c r="Q162" s="67" t="n">
        <f aca="false">-Inputs!$C$40*Q136*(1+Inputs!$C$34)^(Q$127-1)</f>
        <v>-886.521</v>
      </c>
      <c r="R162" s="67" t="n">
        <f aca="false">-Inputs!$C$40*R136*(1+Inputs!$C$34)^(R$127-1)</f>
        <v>-886.521</v>
      </c>
      <c r="S162" s="67" t="n">
        <f aca="false">-Inputs!$C$40*S136*(1+Inputs!$C$34)^(S$127-1)</f>
        <v>-886.521</v>
      </c>
      <c r="T162" s="67" t="n">
        <f aca="false">-Inputs!$C$40*T136*(1+Inputs!$C$34)^(T$127-1)</f>
        <v>-886.521</v>
      </c>
      <c r="U162" s="67" t="n">
        <f aca="false">-Inputs!$C$40*U136*(1+Inputs!$C$34)^(U$127-1)</f>
        <v>-886.521</v>
      </c>
      <c r="V162" s="67" t="n">
        <f aca="false">-Inputs!$C$40*V136*(1+Inputs!$C$34)^(V$127-1)</f>
        <v>-886.521</v>
      </c>
      <c r="W162" s="67" t="n">
        <f aca="false">-Inputs!$C$40*W136*(1+Inputs!$C$34)^(W$127-1)</f>
        <v>-886.521</v>
      </c>
      <c r="X162" s="67" t="n">
        <f aca="false">-Inputs!$C$40*X136*(1+Inputs!$C$34)^(X$127-1)</f>
        <v>-886.521</v>
      </c>
      <c r="Y162" s="67" t="n">
        <f aca="false">-Inputs!$C$40*Y136*(1+Inputs!$C$34)^(Y$127-1)</f>
        <v>-886.521</v>
      </c>
      <c r="Z162" s="67" t="n">
        <f aca="false">-Inputs!$C$40*Z136*(1+Inputs!$C$34)^(Z$127-1)</f>
        <v>-651.681</v>
      </c>
      <c r="AA162" s="67" t="n">
        <f aca="false">-Inputs!$C$40*AA136*(1+Inputs!$C$34)^(AA$127-1)</f>
        <v>-677.5809165</v>
      </c>
      <c r="AB162" s="67" t="n">
        <f aca="false">-Inputs!$C$40*AB136*(1+Inputs!$C$34)^(AB$127-1)</f>
        <v>-677.5809165</v>
      </c>
      <c r="AC162" s="67" t="n">
        <f aca="false">-Inputs!$C$40*AC136*(1+Inputs!$C$34)^(AC$127-1)</f>
        <v>-919.4661165</v>
      </c>
      <c r="AD162" s="67" t="n">
        <f aca="false">-Inputs!$C$40*AD136*(1+Inputs!$C$34)^(AD$127-1)</f>
        <v>-919.4661165</v>
      </c>
      <c r="AE162" s="67" t="n">
        <f aca="false">-Inputs!$C$40*AE136*(1+Inputs!$C$34)^(AE$127-1)</f>
        <v>-919.4661165</v>
      </c>
      <c r="AF162" s="67" t="n">
        <f aca="false">-Inputs!$C$40*AF136*(1+Inputs!$C$34)^(AF$127-1)</f>
        <v>-919.4661165</v>
      </c>
      <c r="AG162" s="67" t="n">
        <f aca="false">-Inputs!$C$40*AG136*(1+Inputs!$C$34)^(AG$127-1)</f>
        <v>-919.4661165</v>
      </c>
      <c r="AH162" s="67" t="n">
        <f aca="false">-Inputs!$C$40*AH136*(1+Inputs!$C$34)^(AH$127-1)</f>
        <v>-919.4661165</v>
      </c>
      <c r="AI162" s="67" t="n">
        <f aca="false">-Inputs!$C$40*AI136*(1+Inputs!$C$34)^(AI$127-1)</f>
        <v>-919.4661165</v>
      </c>
      <c r="AJ162" s="67" t="n">
        <f aca="false">-Inputs!$C$40*AJ136*(1+Inputs!$C$34)^(AJ$127-1)</f>
        <v>-919.4661165</v>
      </c>
      <c r="AK162" s="67" t="n">
        <f aca="false">-Inputs!$C$40*AK136*(1+Inputs!$C$34)^(AK$127-1)</f>
        <v>-919.4661165</v>
      </c>
      <c r="AL162" s="67" t="n">
        <f aca="false">-Inputs!$C$40*AL136*(1+Inputs!$C$34)^(AL$127-1)</f>
        <v>-677.5809165</v>
      </c>
    </row>
    <row r="163" customFormat="false" ht="15" hidden="false" customHeight="false" outlineLevel="0" collapsed="false">
      <c r="A163" s="6" t="s">
        <v>335</v>
      </c>
      <c r="C163" s="67" t="n">
        <f aca="false">-Inputs!$C$41*C130*(1+Inputs!$C$34)^(C$127-1)*1</f>
        <v>-500</v>
      </c>
      <c r="D163" s="67" t="n">
        <f aca="false">-Inputs!$C$41*D130*(1+Inputs!$C$34)^(D$127-1)*1</f>
        <v>-500</v>
      </c>
      <c r="E163" s="67" t="n">
        <f aca="false">-Inputs!$C$41*E130*(1+Inputs!$C$34)^(E$127-1)*1</f>
        <v>-500</v>
      </c>
      <c r="F163" s="67" t="n">
        <f aca="false">-Inputs!$C$41*F130*(1+Inputs!$C$34)^(F$127-1)*1</f>
        <v>-500</v>
      </c>
      <c r="G163" s="67" t="n">
        <f aca="false">-Inputs!$C$41*G130*(1+Inputs!$C$34)^(G$127-1)*1</f>
        <v>-500</v>
      </c>
      <c r="H163" s="67" t="n">
        <f aca="false">-Inputs!$C$41*H130*(1+Inputs!$C$34)^(H$127-1)*1</f>
        <v>-500</v>
      </c>
      <c r="I163" s="67" t="n">
        <f aca="false">-Inputs!$C$41*I130*(1+Inputs!$C$34)^(I$127-1)*1</f>
        <v>-500</v>
      </c>
      <c r="J163" s="67" t="n">
        <f aca="false">-Inputs!$C$41*J130*(1+Inputs!$C$34)^(J$127-1)*1</f>
        <v>-500</v>
      </c>
      <c r="K163" s="67" t="n">
        <f aca="false">-Inputs!$C$41*K130*(1+Inputs!$C$34)^(K$127-1)*1</f>
        <v>-500</v>
      </c>
      <c r="L163" s="67" t="n">
        <f aca="false">-Inputs!$C$41*L130*(1+Inputs!$C$34)^(L$127-1)*1</f>
        <v>-500</v>
      </c>
      <c r="M163" s="67" t="n">
        <f aca="false">-Inputs!$C$41*M130*(1+Inputs!$C$34)^(M$127-1)*1</f>
        <v>-500</v>
      </c>
      <c r="N163" s="67" t="n">
        <f aca="false">-Inputs!$C$41*N130*(1+Inputs!$C$34)^(N$127-1)*1</f>
        <v>-500</v>
      </c>
      <c r="O163" s="67" t="n">
        <f aca="false">-Inputs!$C$41*O130*(1+Inputs!$C$34)^(O$127-1)*1</f>
        <v>-515</v>
      </c>
      <c r="P163" s="67" t="n">
        <f aca="false">-Inputs!$C$41*P130*(1+Inputs!$C$34)^(P$127-1)*1</f>
        <v>-515</v>
      </c>
      <c r="Q163" s="67" t="n">
        <f aca="false">-Inputs!$C$41*Q130*(1+Inputs!$C$34)^(Q$127-1)*1</f>
        <v>-515</v>
      </c>
      <c r="R163" s="67" t="n">
        <f aca="false">-Inputs!$C$41*R130*(1+Inputs!$C$34)^(R$127-1)*1</f>
        <v>-515</v>
      </c>
      <c r="S163" s="67" t="n">
        <f aca="false">-Inputs!$C$41*S130*(1+Inputs!$C$34)^(S$127-1)*1</f>
        <v>-515</v>
      </c>
      <c r="T163" s="67" t="n">
        <f aca="false">-Inputs!$C$41*T130*(1+Inputs!$C$34)^(T$127-1)*1</f>
        <v>-515</v>
      </c>
      <c r="U163" s="67" t="n">
        <f aca="false">-Inputs!$C$41*U130*(1+Inputs!$C$34)^(U$127-1)*1</f>
        <v>-515</v>
      </c>
      <c r="V163" s="67" t="n">
        <f aca="false">-Inputs!$C$41*V130*(1+Inputs!$C$34)^(V$127-1)*1</f>
        <v>-515</v>
      </c>
      <c r="W163" s="67" t="n">
        <f aca="false">-Inputs!$C$41*W130*(1+Inputs!$C$34)^(W$127-1)*1</f>
        <v>-515</v>
      </c>
      <c r="X163" s="67" t="n">
        <f aca="false">-Inputs!$C$41*X130*(1+Inputs!$C$34)^(X$127-1)*1</f>
        <v>-515</v>
      </c>
      <c r="Y163" s="67" t="n">
        <f aca="false">-Inputs!$C$41*Y130*(1+Inputs!$C$34)^(Y$127-1)*1</f>
        <v>-515</v>
      </c>
      <c r="Z163" s="67" t="n">
        <f aca="false">-Inputs!$C$41*Z130*(1+Inputs!$C$34)^(Z$127-1)*1</f>
        <v>-515</v>
      </c>
      <c r="AA163" s="67" t="n">
        <f aca="false">-Inputs!$C$41*AA130*(1+Inputs!$C$34)^(AA$127-1)*1</f>
        <v>-530.45</v>
      </c>
      <c r="AB163" s="67" t="n">
        <f aca="false">-Inputs!$C$41*AB130*(1+Inputs!$C$34)^(AB$127-1)*1</f>
        <v>-530.45</v>
      </c>
      <c r="AC163" s="67" t="n">
        <f aca="false">-Inputs!$C$41*AC130*(1+Inputs!$C$34)^(AC$127-1)*1</f>
        <v>-530.45</v>
      </c>
      <c r="AD163" s="67" t="n">
        <f aca="false">-Inputs!$C$41*AD130*(1+Inputs!$C$34)^(AD$127-1)*1</f>
        <v>-530.45</v>
      </c>
      <c r="AE163" s="67" t="n">
        <f aca="false">-Inputs!$C$41*AE130*(1+Inputs!$C$34)^(AE$127-1)*1</f>
        <v>-530.45</v>
      </c>
      <c r="AF163" s="67" t="n">
        <f aca="false">-Inputs!$C$41*AF130*(1+Inputs!$C$34)^(AF$127-1)*1</f>
        <v>-530.45</v>
      </c>
      <c r="AG163" s="67" t="n">
        <f aca="false">-Inputs!$C$41*AG130*(1+Inputs!$C$34)^(AG$127-1)*1</f>
        <v>-530.45</v>
      </c>
      <c r="AH163" s="67" t="n">
        <f aca="false">-Inputs!$C$41*AH130*(1+Inputs!$C$34)^(AH$127-1)*1</f>
        <v>-530.45</v>
      </c>
      <c r="AI163" s="67" t="n">
        <f aca="false">-Inputs!$C$41*AI130*(1+Inputs!$C$34)^(AI$127-1)*1</f>
        <v>-530.45</v>
      </c>
      <c r="AJ163" s="67" t="n">
        <f aca="false">-Inputs!$C$41*AJ130*(1+Inputs!$C$34)^(AJ$127-1)*1</f>
        <v>-530.45</v>
      </c>
      <c r="AK163" s="67" t="n">
        <f aca="false">-Inputs!$C$41*AK130*(1+Inputs!$C$34)^(AK$127-1)*1</f>
        <v>-530.45</v>
      </c>
      <c r="AL163" s="67" t="n">
        <f aca="false">-Inputs!$C$41*AL130*(1+Inputs!$C$34)^(AL$127-1)*1</f>
        <v>-530.45</v>
      </c>
    </row>
    <row r="164" customFormat="false" ht="15" hidden="false" customHeight="false" outlineLevel="0" collapsed="false">
      <c r="A164" s="6" t="s">
        <v>336</v>
      </c>
      <c r="C164" s="67" t="n">
        <f aca="false">-Inputs!$C$42*(1+Inputs!$C$34)^(C$127-1)*1</f>
        <v>-120</v>
      </c>
      <c r="D164" s="67" t="n">
        <f aca="false">-Inputs!$C$42*(1+Inputs!$C$34)^(D$127-1)*1</f>
        <v>-120</v>
      </c>
      <c r="E164" s="67" t="n">
        <f aca="false">-Inputs!$C$42*(1+Inputs!$C$34)^(E$127-1)*1</f>
        <v>-120</v>
      </c>
      <c r="F164" s="67" t="n">
        <f aca="false">-Inputs!$C$42*(1+Inputs!$C$34)^(F$127-1)*1</f>
        <v>-120</v>
      </c>
      <c r="G164" s="67" t="n">
        <f aca="false">-Inputs!$C$42*(1+Inputs!$C$34)^(G$127-1)*1</f>
        <v>-120</v>
      </c>
      <c r="H164" s="67" t="n">
        <f aca="false">-Inputs!$C$42*(1+Inputs!$C$34)^(H$127-1)*1</f>
        <v>-120</v>
      </c>
      <c r="I164" s="67" t="n">
        <f aca="false">-Inputs!$C$42*(1+Inputs!$C$34)^(I$127-1)*1</f>
        <v>-120</v>
      </c>
      <c r="J164" s="67" t="n">
        <f aca="false">-Inputs!$C$42*(1+Inputs!$C$34)^(J$127-1)*1</f>
        <v>-120</v>
      </c>
      <c r="K164" s="67" t="n">
        <f aca="false">-Inputs!$C$42*(1+Inputs!$C$34)^(K$127-1)*1</f>
        <v>-120</v>
      </c>
      <c r="L164" s="67" t="n">
        <f aca="false">-Inputs!$C$42*(1+Inputs!$C$34)^(L$127-1)*1</f>
        <v>-120</v>
      </c>
      <c r="M164" s="67" t="n">
        <f aca="false">-Inputs!$C$42*(1+Inputs!$C$34)^(M$127-1)*1</f>
        <v>-120</v>
      </c>
      <c r="N164" s="67" t="n">
        <f aca="false">-Inputs!$C$42*(1+Inputs!$C$34)^(N$127-1)*1</f>
        <v>-120</v>
      </c>
      <c r="O164" s="67" t="n">
        <f aca="false">-Inputs!$C$42*(1+Inputs!$C$34)^(O$127-1)*1</f>
        <v>-123.6</v>
      </c>
      <c r="P164" s="67" t="n">
        <f aca="false">-Inputs!$C$42*(1+Inputs!$C$34)^(P$127-1)*1</f>
        <v>-123.6</v>
      </c>
      <c r="Q164" s="67" t="n">
        <f aca="false">-Inputs!$C$42*(1+Inputs!$C$34)^(Q$127-1)*1</f>
        <v>-123.6</v>
      </c>
      <c r="R164" s="67" t="n">
        <f aca="false">-Inputs!$C$42*(1+Inputs!$C$34)^(R$127-1)*1</f>
        <v>-123.6</v>
      </c>
      <c r="S164" s="67" t="n">
        <f aca="false">-Inputs!$C$42*(1+Inputs!$C$34)^(S$127-1)*1</f>
        <v>-123.6</v>
      </c>
      <c r="T164" s="67" t="n">
        <f aca="false">-Inputs!$C$42*(1+Inputs!$C$34)^(T$127-1)*1</f>
        <v>-123.6</v>
      </c>
      <c r="U164" s="67" t="n">
        <f aca="false">-Inputs!$C$42*(1+Inputs!$C$34)^(U$127-1)*1</f>
        <v>-123.6</v>
      </c>
      <c r="V164" s="67" t="n">
        <f aca="false">-Inputs!$C$42*(1+Inputs!$C$34)^(V$127-1)*1</f>
        <v>-123.6</v>
      </c>
      <c r="W164" s="67" t="n">
        <f aca="false">-Inputs!$C$42*(1+Inputs!$C$34)^(W$127-1)*1</f>
        <v>-123.6</v>
      </c>
      <c r="X164" s="67" t="n">
        <f aca="false">-Inputs!$C$42*(1+Inputs!$C$34)^(X$127-1)*1</f>
        <v>-123.6</v>
      </c>
      <c r="Y164" s="67" t="n">
        <f aca="false">-Inputs!$C$42*(1+Inputs!$C$34)^(Y$127-1)*1</f>
        <v>-123.6</v>
      </c>
      <c r="Z164" s="67" t="n">
        <f aca="false">-Inputs!$C$42*(1+Inputs!$C$34)^(Z$127-1)*1</f>
        <v>-123.6</v>
      </c>
      <c r="AA164" s="67" t="n">
        <f aca="false">-Inputs!$C$42*(1+Inputs!$C$34)^(AA$127-1)*1</f>
        <v>-127.308</v>
      </c>
      <c r="AB164" s="67" t="n">
        <f aca="false">-Inputs!$C$42*(1+Inputs!$C$34)^(AB$127-1)*1</f>
        <v>-127.308</v>
      </c>
      <c r="AC164" s="67" t="n">
        <f aca="false">-Inputs!$C$42*(1+Inputs!$C$34)^(AC$127-1)*1</f>
        <v>-127.308</v>
      </c>
      <c r="AD164" s="67" t="n">
        <f aca="false">-Inputs!$C$42*(1+Inputs!$C$34)^(AD$127-1)*1</f>
        <v>-127.308</v>
      </c>
      <c r="AE164" s="67" t="n">
        <f aca="false">-Inputs!$C$42*(1+Inputs!$C$34)^(AE$127-1)*1</f>
        <v>-127.308</v>
      </c>
      <c r="AF164" s="67" t="n">
        <f aca="false">-Inputs!$C$42*(1+Inputs!$C$34)^(AF$127-1)*1</f>
        <v>-127.308</v>
      </c>
      <c r="AG164" s="67" t="n">
        <f aca="false">-Inputs!$C$42*(1+Inputs!$C$34)^(AG$127-1)*1</f>
        <v>-127.308</v>
      </c>
      <c r="AH164" s="67" t="n">
        <f aca="false">-Inputs!$C$42*(1+Inputs!$C$34)^(AH$127-1)*1</f>
        <v>-127.308</v>
      </c>
      <c r="AI164" s="67" t="n">
        <f aca="false">-Inputs!$C$42*(1+Inputs!$C$34)^(AI$127-1)*1</f>
        <v>-127.308</v>
      </c>
      <c r="AJ164" s="67" t="n">
        <f aca="false">-Inputs!$C$42*(1+Inputs!$C$34)^(AJ$127-1)*1</f>
        <v>-127.308</v>
      </c>
      <c r="AK164" s="67" t="n">
        <f aca="false">-Inputs!$C$42*(1+Inputs!$C$34)^(AK$127-1)*1</f>
        <v>-127.308</v>
      </c>
      <c r="AL164" s="67" t="n">
        <f aca="false">-Inputs!$C$42*(1+Inputs!$C$34)^(AL$127-1)*1</f>
        <v>-127.308</v>
      </c>
    </row>
    <row r="165" customFormat="false" ht="15" hidden="false" customHeight="false" outlineLevel="0" collapsed="false">
      <c r="A165" s="6" t="s">
        <v>337</v>
      </c>
      <c r="C165" s="67" t="n">
        <f aca="false">-Inputs!$C$43*(1+Inputs!$C$44)^(C$127-1)*1</f>
        <v>-700</v>
      </c>
      <c r="D165" s="67" t="n">
        <f aca="false">-Inputs!$C$43*(1+Inputs!$C$44)^(D$127-1)*1</f>
        <v>-700</v>
      </c>
      <c r="E165" s="67" t="n">
        <f aca="false">-Inputs!$C$43*(1+Inputs!$C$44)^(E$127-1)*1</f>
        <v>-700</v>
      </c>
      <c r="F165" s="67" t="n">
        <f aca="false">-Inputs!$C$43*(1+Inputs!$C$44)^(F$127-1)*1</f>
        <v>-700</v>
      </c>
      <c r="G165" s="67" t="n">
        <f aca="false">-Inputs!$C$43*(1+Inputs!$C$44)^(G$127-1)*1</f>
        <v>-700</v>
      </c>
      <c r="H165" s="67" t="n">
        <f aca="false">-Inputs!$C$43*(1+Inputs!$C$44)^(H$127-1)*1</f>
        <v>-700</v>
      </c>
      <c r="I165" s="67" t="n">
        <f aca="false">-Inputs!$C$43*(1+Inputs!$C$44)^(I$127-1)*1</f>
        <v>-700</v>
      </c>
      <c r="J165" s="67" t="n">
        <f aca="false">-Inputs!$C$43*(1+Inputs!$C$44)^(J$127-1)*1</f>
        <v>-700</v>
      </c>
      <c r="K165" s="67" t="n">
        <f aca="false">-Inputs!$C$43*(1+Inputs!$C$44)^(K$127-1)*1</f>
        <v>-700</v>
      </c>
      <c r="L165" s="67" t="n">
        <f aca="false">-Inputs!$C$43*(1+Inputs!$C$44)^(L$127-1)*1</f>
        <v>-700</v>
      </c>
      <c r="M165" s="67" t="n">
        <f aca="false">-Inputs!$C$43*(1+Inputs!$C$44)^(M$127-1)*1</f>
        <v>-700</v>
      </c>
      <c r="N165" s="67" t="n">
        <f aca="false">-Inputs!$C$43*(1+Inputs!$C$44)^(N$127-1)*1</f>
        <v>-700</v>
      </c>
      <c r="O165" s="67" t="n">
        <f aca="false">-Inputs!$C$43*(1+Inputs!$C$44)^(O$127-1)*1</f>
        <v>-700</v>
      </c>
      <c r="P165" s="67" t="n">
        <f aca="false">-Inputs!$C$43*(1+Inputs!$C$44)^(P$127-1)*1</f>
        <v>-700</v>
      </c>
      <c r="Q165" s="67" t="n">
        <f aca="false">-Inputs!$C$43*(1+Inputs!$C$44)^(Q$127-1)*1</f>
        <v>-700</v>
      </c>
      <c r="R165" s="67" t="n">
        <f aca="false">-Inputs!$C$43*(1+Inputs!$C$44)^(R$127-1)*1</f>
        <v>-700</v>
      </c>
      <c r="S165" s="67" t="n">
        <f aca="false">-Inputs!$C$43*(1+Inputs!$C$44)^(S$127-1)*1</f>
        <v>-700</v>
      </c>
      <c r="T165" s="67" t="n">
        <f aca="false">-Inputs!$C$43*(1+Inputs!$C$44)^(T$127-1)*1</f>
        <v>-700</v>
      </c>
      <c r="U165" s="67" t="n">
        <f aca="false">-Inputs!$C$43*(1+Inputs!$C$44)^(U$127-1)*1</f>
        <v>-700</v>
      </c>
      <c r="V165" s="67" t="n">
        <f aca="false">-Inputs!$C$43*(1+Inputs!$C$44)^(V$127-1)*1</f>
        <v>-700</v>
      </c>
      <c r="W165" s="67" t="n">
        <f aca="false">-Inputs!$C$43*(1+Inputs!$C$44)^(W$127-1)*1</f>
        <v>-700</v>
      </c>
      <c r="X165" s="67" t="n">
        <f aca="false">-Inputs!$C$43*(1+Inputs!$C$44)^(X$127-1)*1</f>
        <v>-700</v>
      </c>
      <c r="Y165" s="67" t="n">
        <f aca="false">-Inputs!$C$43*(1+Inputs!$C$44)^(Y$127-1)*1</f>
        <v>-700</v>
      </c>
      <c r="Z165" s="67" t="n">
        <f aca="false">-Inputs!$C$43*(1+Inputs!$C$44)^(Z$127-1)*1</f>
        <v>-700</v>
      </c>
      <c r="AA165" s="67" t="n">
        <f aca="false">-Inputs!$C$43*(1+Inputs!$C$44)^(AA$127-1)*1</f>
        <v>-700</v>
      </c>
      <c r="AB165" s="67" t="n">
        <f aca="false">-Inputs!$C$43*(1+Inputs!$C$44)^(AB$127-1)*1</f>
        <v>-700</v>
      </c>
      <c r="AC165" s="67" t="n">
        <f aca="false">-Inputs!$C$43*(1+Inputs!$C$44)^(AC$127-1)*1</f>
        <v>-700</v>
      </c>
      <c r="AD165" s="67" t="n">
        <f aca="false">-Inputs!$C$43*(1+Inputs!$C$44)^(AD$127-1)*1</f>
        <v>-700</v>
      </c>
      <c r="AE165" s="67" t="n">
        <f aca="false">-Inputs!$C$43*(1+Inputs!$C$44)^(AE$127-1)*1</f>
        <v>-700</v>
      </c>
      <c r="AF165" s="67" t="n">
        <f aca="false">-Inputs!$C$43*(1+Inputs!$C$44)^(AF$127-1)*1</f>
        <v>-700</v>
      </c>
      <c r="AG165" s="67" t="n">
        <f aca="false">-Inputs!$C$43*(1+Inputs!$C$44)^(AG$127-1)*1</f>
        <v>-700</v>
      </c>
      <c r="AH165" s="67" t="n">
        <f aca="false">-Inputs!$C$43*(1+Inputs!$C$44)^(AH$127-1)*1</f>
        <v>-700</v>
      </c>
      <c r="AI165" s="67" t="n">
        <f aca="false">-Inputs!$C$43*(1+Inputs!$C$44)^(AI$127-1)*1</f>
        <v>-700</v>
      </c>
      <c r="AJ165" s="67" t="n">
        <f aca="false">-Inputs!$C$43*(1+Inputs!$C$44)^(AJ$127-1)*1</f>
        <v>-700</v>
      </c>
      <c r="AK165" s="67" t="n">
        <f aca="false">-Inputs!$C$43*(1+Inputs!$C$44)^(AK$127-1)*1</f>
        <v>-700</v>
      </c>
      <c r="AL165" s="67" t="n">
        <f aca="false">-Inputs!$C$43*(1+Inputs!$C$44)^(AL$127-1)*1</f>
        <v>-700</v>
      </c>
    </row>
    <row r="166" customFormat="false" ht="15" hidden="false" customHeight="false" outlineLevel="0" collapsed="false">
      <c r="A166" s="6" t="s">
        <v>338</v>
      </c>
      <c r="C166" s="67" t="n">
        <f aca="false">-Inputs!$C$45*(1+Inputs!$C$34)^(C$127-1)*1</f>
        <v>-350</v>
      </c>
      <c r="D166" s="67" t="n">
        <f aca="false">-Inputs!$C$45*(1+Inputs!$C$34)^(D$127-1)*1</f>
        <v>-350</v>
      </c>
      <c r="E166" s="67" t="n">
        <f aca="false">-Inputs!$C$45*(1+Inputs!$C$34)^(E$127-1)*1</f>
        <v>-350</v>
      </c>
      <c r="F166" s="67" t="n">
        <f aca="false">-Inputs!$C$45*(1+Inputs!$C$34)^(F$127-1)*1</f>
        <v>-350</v>
      </c>
      <c r="G166" s="67" t="n">
        <f aca="false">-Inputs!$C$45*(1+Inputs!$C$34)^(G$127-1)*1</f>
        <v>-350</v>
      </c>
      <c r="H166" s="67" t="n">
        <f aca="false">-Inputs!$C$45*(1+Inputs!$C$34)^(H$127-1)*1</f>
        <v>-350</v>
      </c>
      <c r="I166" s="67" t="n">
        <f aca="false">-Inputs!$C$45*(1+Inputs!$C$34)^(I$127-1)*1</f>
        <v>-350</v>
      </c>
      <c r="J166" s="67" t="n">
        <f aca="false">-Inputs!$C$45*(1+Inputs!$C$34)^(J$127-1)*1</f>
        <v>-350</v>
      </c>
      <c r="K166" s="67" t="n">
        <f aca="false">-Inputs!$C$45*(1+Inputs!$C$34)^(K$127-1)*1</f>
        <v>-350</v>
      </c>
      <c r="L166" s="67" t="n">
        <f aca="false">-Inputs!$C$45*(1+Inputs!$C$34)^(L$127-1)*1</f>
        <v>-350</v>
      </c>
      <c r="M166" s="67" t="n">
        <f aca="false">-Inputs!$C$45*(1+Inputs!$C$34)^(M$127-1)*1</f>
        <v>-350</v>
      </c>
      <c r="N166" s="67" t="n">
        <f aca="false">-Inputs!$C$45*(1+Inputs!$C$34)^(N$127-1)*1</f>
        <v>-350</v>
      </c>
      <c r="O166" s="67" t="n">
        <f aca="false">-Inputs!$C$45*(1+Inputs!$C$34)^(O$127-1)*1</f>
        <v>-360.5</v>
      </c>
      <c r="P166" s="67" t="n">
        <f aca="false">-Inputs!$C$45*(1+Inputs!$C$34)^(P$127-1)*1</f>
        <v>-360.5</v>
      </c>
      <c r="Q166" s="67" t="n">
        <f aca="false">-Inputs!$C$45*(1+Inputs!$C$34)^(Q$127-1)*1</f>
        <v>-360.5</v>
      </c>
      <c r="R166" s="67" t="n">
        <f aca="false">-Inputs!$C$45*(1+Inputs!$C$34)^(R$127-1)*1</f>
        <v>-360.5</v>
      </c>
      <c r="S166" s="67" t="n">
        <f aca="false">-Inputs!$C$45*(1+Inputs!$C$34)^(S$127-1)*1</f>
        <v>-360.5</v>
      </c>
      <c r="T166" s="67" t="n">
        <f aca="false">-Inputs!$C$45*(1+Inputs!$C$34)^(T$127-1)*1</f>
        <v>-360.5</v>
      </c>
      <c r="U166" s="67" t="n">
        <f aca="false">-Inputs!$C$45*(1+Inputs!$C$34)^(U$127-1)*1</f>
        <v>-360.5</v>
      </c>
      <c r="V166" s="67" t="n">
        <f aca="false">-Inputs!$C$45*(1+Inputs!$C$34)^(V$127-1)*1</f>
        <v>-360.5</v>
      </c>
      <c r="W166" s="67" t="n">
        <f aca="false">-Inputs!$C$45*(1+Inputs!$C$34)^(W$127-1)*1</f>
        <v>-360.5</v>
      </c>
      <c r="X166" s="67" t="n">
        <f aca="false">-Inputs!$C$45*(1+Inputs!$C$34)^(X$127-1)*1</f>
        <v>-360.5</v>
      </c>
      <c r="Y166" s="67" t="n">
        <f aca="false">-Inputs!$C$45*(1+Inputs!$C$34)^(Y$127-1)*1</f>
        <v>-360.5</v>
      </c>
      <c r="Z166" s="67" t="n">
        <f aca="false">-Inputs!$C$45*(1+Inputs!$C$34)^(Z$127-1)*1</f>
        <v>-360.5</v>
      </c>
      <c r="AA166" s="67" t="n">
        <f aca="false">-Inputs!$C$45*(1+Inputs!$C$34)^(AA$127-1)*1</f>
        <v>-371.315</v>
      </c>
      <c r="AB166" s="67" t="n">
        <f aca="false">-Inputs!$C$45*(1+Inputs!$C$34)^(AB$127-1)*1</f>
        <v>-371.315</v>
      </c>
      <c r="AC166" s="67" t="n">
        <f aca="false">-Inputs!$C$45*(1+Inputs!$C$34)^(AC$127-1)*1</f>
        <v>-371.315</v>
      </c>
      <c r="AD166" s="67" t="n">
        <f aca="false">-Inputs!$C$45*(1+Inputs!$C$34)^(AD$127-1)*1</f>
        <v>-371.315</v>
      </c>
      <c r="AE166" s="67" t="n">
        <f aca="false">-Inputs!$C$45*(1+Inputs!$C$34)^(AE$127-1)*1</f>
        <v>-371.315</v>
      </c>
      <c r="AF166" s="67" t="n">
        <f aca="false">-Inputs!$C$45*(1+Inputs!$C$34)^(AF$127-1)*1</f>
        <v>-371.315</v>
      </c>
      <c r="AG166" s="67" t="n">
        <f aca="false">-Inputs!$C$45*(1+Inputs!$C$34)^(AG$127-1)*1</f>
        <v>-371.315</v>
      </c>
      <c r="AH166" s="67" t="n">
        <f aca="false">-Inputs!$C$45*(1+Inputs!$C$34)^(AH$127-1)*1</f>
        <v>-371.315</v>
      </c>
      <c r="AI166" s="67" t="n">
        <f aca="false">-Inputs!$C$45*(1+Inputs!$C$34)^(AI$127-1)*1</f>
        <v>-371.315</v>
      </c>
      <c r="AJ166" s="67" t="n">
        <f aca="false">-Inputs!$C$45*(1+Inputs!$C$34)^(AJ$127-1)*1</f>
        <v>-371.315</v>
      </c>
      <c r="AK166" s="67" t="n">
        <f aca="false">-Inputs!$C$45*(1+Inputs!$C$34)^(AK$127-1)*1</f>
        <v>-371.315</v>
      </c>
      <c r="AL166" s="67" t="n">
        <f aca="false">-Inputs!$C$45*(1+Inputs!$C$34)^(AL$127-1)*1</f>
        <v>-371.315</v>
      </c>
    </row>
    <row r="167" customFormat="false" ht="15" hidden="false" customHeight="false" outlineLevel="0" collapsed="false">
      <c r="A167" s="113" t="s">
        <v>77</v>
      </c>
      <c r="C167" s="68" t="n">
        <f aca="false">C158+C159+C160+C161+C162+C163+C164+C165+C166</f>
        <v>-13894.6666666667</v>
      </c>
      <c r="D167" s="68" t="n">
        <f aca="false">D158+D159+D160+D161+D162+D163+D164+D165+D166</f>
        <v>-13904.1666666667</v>
      </c>
      <c r="E167" s="68" t="n">
        <f aca="false">E158+E159+E160+E161+E162+E163+E164+E165+E166</f>
        <v>-14141.6666666667</v>
      </c>
      <c r="F167" s="68" t="n">
        <f aca="false">F158+F159+F160+F161+F162+F163+F164+F165+F166</f>
        <v>-14151.1666666667</v>
      </c>
      <c r="G167" s="68" t="n">
        <f aca="false">G158+G159+G160+G161+G162+G163+G164+G165+G166</f>
        <v>-14160.6666666667</v>
      </c>
      <c r="H167" s="68" t="n">
        <f aca="false">H158+H159+H160+H161+H162+H163+H164+H165+H166</f>
        <v>-14170.1666666667</v>
      </c>
      <c r="I167" s="68" t="n">
        <f aca="false">I158+I159+I160+I161+I162+I163+I164+I165+I166</f>
        <v>-14179.6666666667</v>
      </c>
      <c r="J167" s="68" t="n">
        <f aca="false">J158+J159+J160+J161+J162+J163+J164+J165+J166</f>
        <v>-14179.6666666667</v>
      </c>
      <c r="K167" s="68" t="n">
        <f aca="false">K158+K159+K160+K161+K162+K163+K164+K165+K166</f>
        <v>-14179.6666666667</v>
      </c>
      <c r="L167" s="68" t="n">
        <f aca="false">L158+L159+L160+L161+L162+L163+L164+L165+L166</f>
        <v>-14179.6666666667</v>
      </c>
      <c r="M167" s="68" t="n">
        <f aca="false">M158+M159+M160+M161+M162+M163+M164+M165+M166</f>
        <v>-14179.6666666667</v>
      </c>
      <c r="N167" s="68" t="n">
        <f aca="false">N158+N159+N160+N161+N162+N163+N164+N165+N166</f>
        <v>-13951.6666666667</v>
      </c>
      <c r="O167" s="68" t="n">
        <f aca="false">O158+O159+O160+O161+O162+O163+O164+O165+O166</f>
        <v>-14355.0876666667</v>
      </c>
      <c r="P167" s="68" t="n">
        <f aca="false">P158+P159+P160+P161+P162+P163+P164+P165+P166</f>
        <v>-14355.0876666667</v>
      </c>
      <c r="Q167" s="68" t="n">
        <f aca="false">Q158+Q159+Q160+Q161+Q162+Q163+Q164+Q165+Q166</f>
        <v>-14589.9276666667</v>
      </c>
      <c r="R167" s="68" t="n">
        <f aca="false">R158+R159+R160+R161+R162+R163+R164+R165+R166</f>
        <v>-14589.9276666667</v>
      </c>
      <c r="S167" s="68" t="n">
        <f aca="false">S158+S159+S160+S161+S162+S163+S164+S165+S166</f>
        <v>-14589.9276666667</v>
      </c>
      <c r="T167" s="68" t="n">
        <f aca="false">T158+T159+T160+T161+T162+T163+T164+T165+T166</f>
        <v>-14589.9276666667</v>
      </c>
      <c r="U167" s="68" t="n">
        <f aca="false">U158+U159+U160+U161+U162+U163+U164+U165+U166</f>
        <v>-14589.9276666667</v>
      </c>
      <c r="V167" s="68" t="n">
        <f aca="false">V158+V159+V160+V161+V162+V163+V164+V165+V166</f>
        <v>-14589.9276666667</v>
      </c>
      <c r="W167" s="68" t="n">
        <f aca="false">W158+W159+W160+W161+W162+W163+W164+W165+W166</f>
        <v>-14589.9276666667</v>
      </c>
      <c r="X167" s="68" t="n">
        <f aca="false">X158+X159+X160+X161+X162+X163+X164+X165+X166</f>
        <v>-14589.9276666667</v>
      </c>
      <c r="Y167" s="68" t="n">
        <f aca="false">Y158+Y159+Y160+Y161+Y162+Y163+Y164+Y165+Y166</f>
        <v>-14589.9276666667</v>
      </c>
      <c r="Z167" s="68" t="n">
        <f aca="false">Z158+Z159+Z160+Z161+Z162+Z163+Z164+Z165+Z166</f>
        <v>-14355.0876666667</v>
      </c>
      <c r="AA167" s="68" t="n">
        <f aca="false">AA158+AA159+AA160+AA161+AA162+AA163+AA164+AA165+AA166</f>
        <v>-14771.0897831667</v>
      </c>
      <c r="AB167" s="68" t="n">
        <f aca="false">AB158+AB159+AB160+AB161+AB162+AB163+AB164+AB165+AB166</f>
        <v>-14771.0897831667</v>
      </c>
      <c r="AC167" s="68" t="n">
        <f aca="false">AC158+AC159+AC160+AC161+AC162+AC163+AC164+AC165+AC166</f>
        <v>-15012.9749831667</v>
      </c>
      <c r="AD167" s="68" t="n">
        <f aca="false">AD158+AD159+AD160+AD161+AD162+AD163+AD164+AD165+AD166</f>
        <v>-15012.9749831667</v>
      </c>
      <c r="AE167" s="68" t="n">
        <f aca="false">AE158+AE159+AE160+AE161+AE162+AE163+AE164+AE165+AE166</f>
        <v>-15012.9749831667</v>
      </c>
      <c r="AF167" s="68" t="n">
        <f aca="false">AF158+AF159+AF160+AF161+AF162+AF163+AF164+AF165+AF166</f>
        <v>-15012.9749831667</v>
      </c>
      <c r="AG167" s="68" t="n">
        <f aca="false">AG158+AG159+AG160+AG161+AG162+AG163+AG164+AG165+AG166</f>
        <v>-15012.9749831667</v>
      </c>
      <c r="AH167" s="68" t="n">
        <f aca="false">AH158+AH159+AH160+AH161+AH162+AH163+AH164+AH165+AH166</f>
        <v>-15012.9749831667</v>
      </c>
      <c r="AI167" s="68" t="n">
        <f aca="false">AI158+AI159+AI160+AI161+AI162+AI163+AI164+AI165+AI166</f>
        <v>-15012.9749831667</v>
      </c>
      <c r="AJ167" s="68" t="n">
        <f aca="false">AJ158+AJ159+AJ160+AJ161+AJ162+AJ163+AJ164+AJ165+AJ166</f>
        <v>-15012.9749831667</v>
      </c>
      <c r="AK167" s="68" t="n">
        <f aca="false">AK158+AK159+AK160+AK161+AK162+AK163+AK164+AK165+AK166</f>
        <v>-15012.9749831667</v>
      </c>
      <c r="AL167" s="68" t="n">
        <f aca="false">AL158+AL159+AL160+AL161+AL162+AL163+AL164+AL165+AL166</f>
        <v>-14771.0897831667</v>
      </c>
    </row>
    <row r="168" customFormat="false" ht="15" hidden="false" customHeight="false" outlineLevel="0" collapsed="false">
      <c r="A168" s="113" t="s">
        <v>48</v>
      </c>
      <c r="C168" s="68" t="n">
        <f aca="false">C155+C167</f>
        <v>-7786.81066666667</v>
      </c>
      <c r="D168" s="68" t="n">
        <f aca="false">D155+D167</f>
        <v>-6778.33466666667</v>
      </c>
      <c r="E168" s="68" t="n">
        <f aca="false">E155+E167</f>
        <v>-2997.41066666667</v>
      </c>
      <c r="F168" s="68" t="n">
        <f aca="false">F155+F167</f>
        <v>-1613.87866666667</v>
      </c>
      <c r="G168" s="68" t="n">
        <f aca="false">G155+G167</f>
        <v>-230.34666666667</v>
      </c>
      <c r="H168" s="68" t="n">
        <f aca="false">H155+H167</f>
        <v>1153.18533333333</v>
      </c>
      <c r="I168" s="68" t="n">
        <f aca="false">I155+I167</f>
        <v>2536.71733333333</v>
      </c>
      <c r="J168" s="68" t="n">
        <f aca="false">J155+J167</f>
        <v>2536.71733333333</v>
      </c>
      <c r="K168" s="68" t="n">
        <f aca="false">K155+K167</f>
        <v>2536.71733333333</v>
      </c>
      <c r="L168" s="68" t="n">
        <f aca="false">L155+L167</f>
        <v>2536.71733333333</v>
      </c>
      <c r="M168" s="68" t="n">
        <f aca="false">M155+M167</f>
        <v>2536.71733333333</v>
      </c>
      <c r="N168" s="68" t="n">
        <f aca="false">N155+N167</f>
        <v>-1735.95466666667</v>
      </c>
      <c r="O168" s="68" t="n">
        <f aca="false">O155+O167</f>
        <v>-1352.40128586667</v>
      </c>
      <c r="P168" s="68" t="n">
        <f aca="false">P155+P167</f>
        <v>-1352.40128586667</v>
      </c>
      <c r="Q168" s="68" t="n">
        <f aca="false">Q155+Q167</f>
        <v>3187.52163893333</v>
      </c>
      <c r="R168" s="68" t="n">
        <f aca="false">R155+R167</f>
        <v>3187.52163893333</v>
      </c>
      <c r="S168" s="68" t="n">
        <f aca="false">S155+S167</f>
        <v>3187.52163893333</v>
      </c>
      <c r="T168" s="68" t="n">
        <f aca="false">T155+T167</f>
        <v>3187.52163893333</v>
      </c>
      <c r="U168" s="68" t="n">
        <f aca="false">U155+U167</f>
        <v>3187.52163893333</v>
      </c>
      <c r="V168" s="68" t="n">
        <f aca="false">V155+V167</f>
        <v>3187.52163893333</v>
      </c>
      <c r="W168" s="68" t="n">
        <f aca="false">W155+W167</f>
        <v>3187.52163893333</v>
      </c>
      <c r="X168" s="68" t="n">
        <f aca="false">X155+X167</f>
        <v>3187.52163893333</v>
      </c>
      <c r="Y168" s="68" t="n">
        <f aca="false">Y155+Y167</f>
        <v>3187.52163893333</v>
      </c>
      <c r="Z168" s="68" t="n">
        <f aca="false">Z155+Z167</f>
        <v>-1352.40128586667</v>
      </c>
      <c r="AA168" s="68" t="n">
        <f aca="false">AA155+AA167</f>
        <v>-929.99472389595</v>
      </c>
      <c r="AB168" s="68" t="n">
        <f aca="false">AB155+AB167</f>
        <v>-929.99472389595</v>
      </c>
      <c r="AC168" s="68" t="n">
        <f aca="false">AC155+AC167</f>
        <v>3893.66606302437</v>
      </c>
      <c r="AD168" s="68" t="n">
        <f aca="false">AD155+AD167</f>
        <v>3893.66606302437</v>
      </c>
      <c r="AE168" s="68" t="n">
        <f aca="false">AE155+AE167</f>
        <v>3893.66606302437</v>
      </c>
      <c r="AF168" s="68" t="n">
        <f aca="false">AF155+AF167</f>
        <v>3893.66606302437</v>
      </c>
      <c r="AG168" s="68" t="n">
        <f aca="false">AG155+AG167</f>
        <v>3893.66606302437</v>
      </c>
      <c r="AH168" s="68" t="n">
        <f aca="false">AH155+AH167</f>
        <v>3893.66606302437</v>
      </c>
      <c r="AI168" s="68" t="n">
        <f aca="false">AI155+AI167</f>
        <v>3893.66606302437</v>
      </c>
      <c r="AJ168" s="68" t="n">
        <f aca="false">AJ155+AJ167</f>
        <v>3893.66606302437</v>
      </c>
      <c r="AK168" s="68" t="n">
        <f aca="false">AK155+AK167</f>
        <v>3893.66606302437</v>
      </c>
      <c r="AL168" s="68" t="n">
        <f aca="false">AL155+AL167</f>
        <v>-929.99472389595</v>
      </c>
    </row>
    <row r="170" customFormat="false" ht="15.75" hidden="false" customHeight="true" outlineLevel="0" collapsed="false">
      <c r="A170" s="7" t="s">
        <v>402</v>
      </c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</row>
    <row r="171" customFormat="false" ht="15" hidden="false" customHeight="false" outlineLevel="0" collapsed="false">
      <c r="A171" s="4" t="s">
        <v>79</v>
      </c>
      <c r="C171" s="73" t="n">
        <f aca="false">C168+C186</f>
        <v>-9429.66780952381</v>
      </c>
      <c r="D171" s="73" t="n">
        <f aca="false">D168+D186</f>
        <v>-8421.19180952381</v>
      </c>
      <c r="E171" s="73" t="n">
        <f aca="false">E168+E186</f>
        <v>-4640.26780952381</v>
      </c>
      <c r="F171" s="73" t="n">
        <f aca="false">F168+F186</f>
        <v>-3256.73580952381</v>
      </c>
      <c r="G171" s="73" t="n">
        <f aca="false">G168+G186</f>
        <v>-1873.20380952381</v>
      </c>
      <c r="H171" s="73" t="n">
        <f aca="false">H168+H186</f>
        <v>-489.671809523814</v>
      </c>
      <c r="I171" s="73" t="n">
        <f aca="false">I168+I186</f>
        <v>893.860190476187</v>
      </c>
      <c r="J171" s="73" t="n">
        <f aca="false">J168+J186</f>
        <v>893.860190476187</v>
      </c>
      <c r="K171" s="73" t="n">
        <f aca="false">K168+K186</f>
        <v>893.860190476187</v>
      </c>
      <c r="L171" s="73" t="n">
        <f aca="false">L168+L186</f>
        <v>893.860190476187</v>
      </c>
      <c r="M171" s="73" t="n">
        <f aca="false">M168+M186</f>
        <v>893.860190476187</v>
      </c>
      <c r="N171" s="73" t="n">
        <f aca="false">N168+N186</f>
        <v>-3378.81180952381</v>
      </c>
      <c r="O171" s="73" t="n">
        <f aca="false">O168+O186</f>
        <v>-3025.02033348572</v>
      </c>
      <c r="P171" s="73" t="n">
        <f aca="false">P168+P186</f>
        <v>-3025.02033348572</v>
      </c>
      <c r="Q171" s="73" t="n">
        <f aca="false">Q168+Q186</f>
        <v>1514.90259131428</v>
      </c>
      <c r="R171" s="73" t="n">
        <f aca="false">R168+R186</f>
        <v>1514.90259131428</v>
      </c>
      <c r="S171" s="73" t="n">
        <f aca="false">S168+S186</f>
        <v>1514.90259131428</v>
      </c>
      <c r="T171" s="73" t="n">
        <f aca="false">T168+T186</f>
        <v>1514.90259131428</v>
      </c>
      <c r="U171" s="73" t="n">
        <f aca="false">U168+U186</f>
        <v>1514.90259131428</v>
      </c>
      <c r="V171" s="73" t="n">
        <f aca="false">V168+V186</f>
        <v>1514.90259131428</v>
      </c>
      <c r="W171" s="73" t="n">
        <f aca="false">W168+W186</f>
        <v>1514.90259131428</v>
      </c>
      <c r="X171" s="73" t="n">
        <f aca="false">X168+X186</f>
        <v>1514.90259131428</v>
      </c>
      <c r="Y171" s="73" t="n">
        <f aca="false">Y168+Y186</f>
        <v>1514.90259131428</v>
      </c>
      <c r="Z171" s="73" t="n">
        <f aca="false">Z168+Z186</f>
        <v>-3025.02033348572</v>
      </c>
      <c r="AA171" s="73" t="n">
        <f aca="false">AA168+AA186</f>
        <v>-2632.3756762769</v>
      </c>
      <c r="AB171" s="73" t="n">
        <f aca="false">AB168+AB186</f>
        <v>-2632.3756762769</v>
      </c>
      <c r="AC171" s="73" t="n">
        <f aca="false">AC168+AC186</f>
        <v>2191.28511064342</v>
      </c>
      <c r="AD171" s="73" t="n">
        <f aca="false">AD168+AD186</f>
        <v>2191.28511064342</v>
      </c>
      <c r="AE171" s="73" t="n">
        <f aca="false">AE168+AE186</f>
        <v>2191.28511064342</v>
      </c>
      <c r="AF171" s="73" t="n">
        <f aca="false">AF168+AF186</f>
        <v>2191.28511064342</v>
      </c>
      <c r="AG171" s="73" t="n">
        <f aca="false">AG168+AG186</f>
        <v>2191.28511064342</v>
      </c>
      <c r="AH171" s="73" t="n">
        <f aca="false">AH168+AH186</f>
        <v>2191.28511064342</v>
      </c>
      <c r="AI171" s="73" t="n">
        <f aca="false">AI168+AI186</f>
        <v>2191.28511064342</v>
      </c>
      <c r="AJ171" s="73" t="n">
        <f aca="false">AJ168+AJ186</f>
        <v>2191.28511064342</v>
      </c>
      <c r="AK171" s="73" t="n">
        <f aca="false">AK168+AK186</f>
        <v>2191.28511064342</v>
      </c>
      <c r="AL171" s="73" t="n">
        <f aca="false">AL168+AL186</f>
        <v>-2632.3756762769</v>
      </c>
    </row>
    <row r="172" customFormat="false" ht="15" hidden="false" customHeight="false" outlineLevel="0" collapsed="false">
      <c r="A172" s="6" t="s">
        <v>403</v>
      </c>
      <c r="C172" s="67" t="n">
        <f aca="false">-(C191+C192+C194)/2*Inputs!$C$73/12</f>
        <v>-675</v>
      </c>
      <c r="D172" s="67" t="n">
        <f aca="false">-(D191+D192+D194)/2*Inputs!$C$73/12</f>
        <v>-669.375</v>
      </c>
      <c r="E172" s="67" t="n">
        <f aca="false">-(E191+E192+E194)/2*Inputs!$C$73/12</f>
        <v>-658.125</v>
      </c>
      <c r="F172" s="67" t="n">
        <f aca="false">-(F191+F192+F194)/2*Inputs!$C$73/12</f>
        <v>-646.875</v>
      </c>
      <c r="G172" s="67" t="n">
        <f aca="false">-(G191+G192+G194)/2*Inputs!$C$73/12</f>
        <v>-635.625</v>
      </c>
      <c r="H172" s="67" t="n">
        <f aca="false">-(H191+H192+H194)/2*Inputs!$C$73/12</f>
        <v>-624.375</v>
      </c>
      <c r="I172" s="67" t="n">
        <f aca="false">-(I191+I192+I194)/2*Inputs!$C$73/12</f>
        <v>-613.125</v>
      </c>
      <c r="J172" s="67" t="n">
        <f aca="false">-(J191+J192+J194)/2*Inputs!$C$73/12</f>
        <v>-601.875</v>
      </c>
      <c r="K172" s="67" t="n">
        <f aca="false">-(K191+K192+K194)/2*Inputs!$C$73/12</f>
        <v>-590.625</v>
      </c>
      <c r="L172" s="67" t="n">
        <f aca="false">-(L191+L192+L194)/2*Inputs!$C$73/12</f>
        <v>-579.375</v>
      </c>
      <c r="M172" s="67" t="n">
        <f aca="false">-(M191+M192+M194)/2*Inputs!$C$73/12</f>
        <v>-568.125</v>
      </c>
      <c r="N172" s="67" t="n">
        <f aca="false">-(N191+N192+N194)/2*Inputs!$C$73/12</f>
        <v>-556.875</v>
      </c>
      <c r="O172" s="67" t="n">
        <f aca="false">-(O191+O192+O194)/2*Inputs!$C$73/12</f>
        <v>-545.625</v>
      </c>
      <c r="P172" s="67" t="n">
        <f aca="false">-(P191+P192+P194)/2*Inputs!$C$73/12</f>
        <v>-534.375</v>
      </c>
      <c r="Q172" s="67" t="n">
        <f aca="false">-(Q191+Q192+Q194)/2*Inputs!$C$73/12</f>
        <v>-523.125</v>
      </c>
      <c r="R172" s="67" t="n">
        <f aca="false">-(R191+R192+R194)/2*Inputs!$C$73/12</f>
        <v>-511.875</v>
      </c>
      <c r="S172" s="67" t="n">
        <f aca="false">-(S191+S192+S194)/2*Inputs!$C$73/12</f>
        <v>-500.625</v>
      </c>
      <c r="T172" s="67" t="n">
        <f aca="false">-(T191+T192+T194)/2*Inputs!$C$73/12</f>
        <v>-489.375</v>
      </c>
      <c r="U172" s="67" t="n">
        <f aca="false">-(U191+U192+U194)/2*Inputs!$C$73/12</f>
        <v>-478.125</v>
      </c>
      <c r="V172" s="67" t="n">
        <f aca="false">-(V191+V192+V194)/2*Inputs!$C$73/12</f>
        <v>-466.875</v>
      </c>
      <c r="W172" s="67" t="n">
        <f aca="false">-(W191+W192+W194)/2*Inputs!$C$73/12</f>
        <v>-455.625</v>
      </c>
      <c r="X172" s="67" t="n">
        <f aca="false">-(X191+X192+X194)/2*Inputs!$C$73/12</f>
        <v>-444.375</v>
      </c>
      <c r="Y172" s="67" t="n">
        <f aca="false">-(Y191+Y192+Y194)/2*Inputs!$C$73/12</f>
        <v>-433.125</v>
      </c>
      <c r="Z172" s="67" t="n">
        <f aca="false">-(Z191+Z192+Z194)/2*Inputs!$C$73/12</f>
        <v>-421.875</v>
      </c>
      <c r="AA172" s="67" t="n">
        <f aca="false">-(AA191+AA192+AA194)/2*Inputs!$C$73/12</f>
        <v>-410.625</v>
      </c>
      <c r="AB172" s="67" t="n">
        <f aca="false">-(AB191+AB192+AB194)/2*Inputs!$C$73/12</f>
        <v>-399.375</v>
      </c>
      <c r="AC172" s="67" t="n">
        <f aca="false">-(AC191+AC192+AC194)/2*Inputs!$C$73/12</f>
        <v>-388.125</v>
      </c>
      <c r="AD172" s="67" t="n">
        <f aca="false">-(AD191+AD192+AD194)/2*Inputs!$C$73/12</f>
        <v>-376.875</v>
      </c>
      <c r="AE172" s="67" t="n">
        <f aca="false">-(AE191+AE192+AE194)/2*Inputs!$C$73/12</f>
        <v>-365.625</v>
      </c>
      <c r="AF172" s="67" t="n">
        <f aca="false">-(AF191+AF192+AF194)/2*Inputs!$C$73/12</f>
        <v>-354.375</v>
      </c>
      <c r="AG172" s="67" t="n">
        <f aca="false">-(AG191+AG192+AG194)/2*Inputs!$C$73/12</f>
        <v>-343.125</v>
      </c>
      <c r="AH172" s="67" t="n">
        <f aca="false">-(AH191+AH192+AH194)/2*Inputs!$C$73/12</f>
        <v>-331.875</v>
      </c>
      <c r="AI172" s="67" t="n">
        <f aca="false">-(AI191+AI192+AI194)/2*Inputs!$C$73/12</f>
        <v>-320.625</v>
      </c>
      <c r="AJ172" s="67" t="n">
        <f aca="false">-(AJ191+AJ192+AJ194)/2*Inputs!$C$73/12</f>
        <v>-309.375</v>
      </c>
      <c r="AK172" s="67" t="n">
        <f aca="false">-(AK191+AK192+AK194)/2*Inputs!$C$73/12</f>
        <v>-298.125</v>
      </c>
      <c r="AL172" s="67" t="n">
        <f aca="false">-(AL191+AL192+AL194)/2*Inputs!$C$73/12</f>
        <v>-286.875</v>
      </c>
    </row>
    <row r="173" customFormat="false" ht="15" hidden="false" customHeight="false" outlineLevel="0" collapsed="false">
      <c r="A173" s="113" t="s">
        <v>81</v>
      </c>
      <c r="C173" s="68" t="n">
        <f aca="false">C171+C172</f>
        <v>-10104.6678095238</v>
      </c>
      <c r="D173" s="68" t="n">
        <f aca="false">D171+D172</f>
        <v>-9090.56680952381</v>
      </c>
      <c r="E173" s="68" t="n">
        <f aca="false">E171+E172</f>
        <v>-5298.39280952381</v>
      </c>
      <c r="F173" s="68" t="n">
        <f aca="false">F171+F172</f>
        <v>-3903.61080952381</v>
      </c>
      <c r="G173" s="68" t="n">
        <f aca="false">G171+G172</f>
        <v>-2508.82880952381</v>
      </c>
      <c r="H173" s="68" t="n">
        <f aca="false">H171+H172</f>
        <v>-1114.04680952381</v>
      </c>
      <c r="I173" s="68" t="n">
        <f aca="false">I171+I172</f>
        <v>280.735190476187</v>
      </c>
      <c r="J173" s="68" t="n">
        <f aca="false">J171+J172</f>
        <v>291.985190476187</v>
      </c>
      <c r="K173" s="68" t="n">
        <f aca="false">K171+K172</f>
        <v>303.235190476187</v>
      </c>
      <c r="L173" s="68" t="n">
        <f aca="false">L171+L172</f>
        <v>314.485190476187</v>
      </c>
      <c r="M173" s="68" t="n">
        <f aca="false">M171+M172</f>
        <v>325.735190476187</v>
      </c>
      <c r="N173" s="68" t="n">
        <f aca="false">N171+N172</f>
        <v>-3935.68680952381</v>
      </c>
      <c r="O173" s="68" t="n">
        <f aca="false">O171+O172</f>
        <v>-3570.64533348572</v>
      </c>
      <c r="P173" s="68" t="n">
        <f aca="false">P171+P172</f>
        <v>-3559.39533348572</v>
      </c>
      <c r="Q173" s="68" t="n">
        <f aca="false">Q171+Q172</f>
        <v>991.777591314283</v>
      </c>
      <c r="R173" s="68" t="n">
        <f aca="false">R171+R172</f>
        <v>1003.02759131428</v>
      </c>
      <c r="S173" s="68" t="n">
        <f aca="false">S171+S172</f>
        <v>1014.27759131428</v>
      </c>
      <c r="T173" s="68" t="n">
        <f aca="false">T171+T172</f>
        <v>1025.52759131428</v>
      </c>
      <c r="U173" s="68" t="n">
        <f aca="false">U171+U172</f>
        <v>1036.77759131428</v>
      </c>
      <c r="V173" s="68" t="n">
        <f aca="false">V171+V172</f>
        <v>1048.02759131428</v>
      </c>
      <c r="W173" s="68" t="n">
        <f aca="false">W171+W172</f>
        <v>1059.27759131428</v>
      </c>
      <c r="X173" s="68" t="n">
        <f aca="false">X171+X172</f>
        <v>1070.52759131428</v>
      </c>
      <c r="Y173" s="68" t="n">
        <f aca="false">Y171+Y172</f>
        <v>1081.77759131428</v>
      </c>
      <c r="Z173" s="68" t="n">
        <f aca="false">Z171+Z172</f>
        <v>-3446.89533348572</v>
      </c>
      <c r="AA173" s="68" t="n">
        <f aca="false">AA171+AA172</f>
        <v>-3043.0006762769</v>
      </c>
      <c r="AB173" s="68" t="n">
        <f aca="false">AB171+AB172</f>
        <v>-3031.7506762769</v>
      </c>
      <c r="AC173" s="68" t="n">
        <f aca="false">AC171+AC172</f>
        <v>1803.16011064342</v>
      </c>
      <c r="AD173" s="68" t="n">
        <f aca="false">AD171+AD172</f>
        <v>1814.41011064342</v>
      </c>
      <c r="AE173" s="68" t="n">
        <f aca="false">AE171+AE172</f>
        <v>1825.66011064342</v>
      </c>
      <c r="AF173" s="68" t="n">
        <f aca="false">AF171+AF172</f>
        <v>1836.91011064342</v>
      </c>
      <c r="AG173" s="68" t="n">
        <f aca="false">AG171+AG172</f>
        <v>1848.16011064342</v>
      </c>
      <c r="AH173" s="68" t="n">
        <f aca="false">AH171+AH172</f>
        <v>1859.41011064342</v>
      </c>
      <c r="AI173" s="68" t="n">
        <f aca="false">AI171+AI172</f>
        <v>1870.66011064342</v>
      </c>
      <c r="AJ173" s="68" t="n">
        <f aca="false">AJ171+AJ172</f>
        <v>1881.91011064342</v>
      </c>
      <c r="AK173" s="68" t="n">
        <f aca="false">AK171+AK172</f>
        <v>1893.16011064342</v>
      </c>
      <c r="AL173" s="68" t="n">
        <f aca="false">AL171+AL172</f>
        <v>-2919.2506762769</v>
      </c>
    </row>
    <row r="174" customFormat="false" ht="15" hidden="false" customHeight="false" outlineLevel="0" collapsed="false">
      <c r="A174" s="117" t="s">
        <v>404</v>
      </c>
      <c r="C174" s="67" t="n">
        <f aca="false">C173</f>
        <v>-10104.6678095238</v>
      </c>
      <c r="D174" s="67" t="n">
        <f aca="false">C174+D173</f>
        <v>-19195.2346190476</v>
      </c>
      <c r="E174" s="67" t="n">
        <f aca="false">D174+E173</f>
        <v>-24493.6274285714</v>
      </c>
      <c r="F174" s="67" t="n">
        <f aca="false">E174+F173</f>
        <v>-28397.2382380952</v>
      </c>
      <c r="G174" s="67" t="n">
        <f aca="false">F174+G173</f>
        <v>-30906.0670476191</v>
      </c>
      <c r="H174" s="67" t="n">
        <f aca="false">G174+H173</f>
        <v>-32020.1138571429</v>
      </c>
      <c r="I174" s="67" t="n">
        <f aca="false">H174+I173</f>
        <v>-31739.3786666667</v>
      </c>
      <c r="J174" s="67" t="n">
        <f aca="false">I174+J173</f>
        <v>-31447.3934761905</v>
      </c>
      <c r="K174" s="67" t="n">
        <f aca="false">J174+K173</f>
        <v>-31144.1582857143</v>
      </c>
      <c r="L174" s="67" t="n">
        <f aca="false">K174+L173</f>
        <v>-30829.6730952381</v>
      </c>
      <c r="M174" s="67" t="n">
        <f aca="false">L174+M173</f>
        <v>-30503.9379047619</v>
      </c>
      <c r="N174" s="67" t="n">
        <f aca="false">M174+N173</f>
        <v>-34439.6247142857</v>
      </c>
      <c r="O174" s="67" t="n">
        <f aca="false">N174+O173</f>
        <v>-38010.2700477714</v>
      </c>
      <c r="P174" s="67" t="n">
        <f aca="false">O174+P173</f>
        <v>-41569.6653812572</v>
      </c>
      <c r="Q174" s="67" t="n">
        <f aca="false">P174+Q173</f>
        <v>-40577.8877899429</v>
      </c>
      <c r="R174" s="67" t="n">
        <f aca="false">Q174+R173</f>
        <v>-39574.8601986286</v>
      </c>
      <c r="S174" s="67" t="n">
        <f aca="false">R174+S173</f>
        <v>-38560.5826073143</v>
      </c>
      <c r="T174" s="67" t="n">
        <f aca="false">S174+T173</f>
        <v>-37535.055016</v>
      </c>
      <c r="U174" s="67" t="n">
        <f aca="false">T174+U173</f>
        <v>-36498.2774246857</v>
      </c>
      <c r="V174" s="67" t="n">
        <f aca="false">U174+V173</f>
        <v>-35450.2498333715</v>
      </c>
      <c r="W174" s="67" t="n">
        <f aca="false">V174+W173</f>
        <v>-34390.9722420572</v>
      </c>
      <c r="X174" s="67" t="n">
        <f aca="false">W174+X173</f>
        <v>-33320.4446507429</v>
      </c>
      <c r="Y174" s="67" t="n">
        <f aca="false">X174+Y173</f>
        <v>-32238.6670594286</v>
      </c>
      <c r="Z174" s="67" t="n">
        <f aca="false">Y174+Z173</f>
        <v>-35685.5623929143</v>
      </c>
      <c r="AA174" s="67" t="n">
        <f aca="false">Z174+AA173</f>
        <v>-38728.5630691912</v>
      </c>
      <c r="AB174" s="67" t="n">
        <f aca="false">AA174+AB173</f>
        <v>-41760.3137454681</v>
      </c>
      <c r="AC174" s="67" t="n">
        <f aca="false">AB174+AC173</f>
        <v>-39957.1536348247</v>
      </c>
      <c r="AD174" s="67" t="n">
        <f aca="false">AC174+AD173</f>
        <v>-38142.7435241813</v>
      </c>
      <c r="AE174" s="67" t="n">
        <f aca="false">AD174+AE173</f>
        <v>-36317.0834135379</v>
      </c>
      <c r="AF174" s="67" t="n">
        <f aca="false">AE174+AF173</f>
        <v>-34480.1733028944</v>
      </c>
      <c r="AG174" s="67" t="n">
        <f aca="false">AF174+AG173</f>
        <v>-32632.013192251</v>
      </c>
      <c r="AH174" s="67" t="n">
        <f aca="false">AG174+AH173</f>
        <v>-30772.6030816076</v>
      </c>
      <c r="AI174" s="67" t="n">
        <f aca="false">AH174+AI173</f>
        <v>-28901.9429709642</v>
      </c>
      <c r="AJ174" s="67" t="n">
        <f aca="false">AI174+AJ173</f>
        <v>-27020.0328603208</v>
      </c>
      <c r="AK174" s="67" t="n">
        <f aca="false">AJ174+AK173</f>
        <v>-25126.8727496773</v>
      </c>
      <c r="AL174" s="67" t="n">
        <f aca="false">AK174+AL173</f>
        <v>-28046.1234259542</v>
      </c>
    </row>
    <row r="175" customFormat="false" ht="15" hidden="false" customHeight="false" outlineLevel="0" collapsed="false">
      <c r="A175" s="117" t="s">
        <v>405</v>
      </c>
      <c r="C175" s="67" t="n">
        <f aca="false">MAX(0,C174)</f>
        <v>0</v>
      </c>
      <c r="D175" s="67" t="n">
        <f aca="false">MAX(C175,D174)</f>
        <v>0</v>
      </c>
      <c r="E175" s="67" t="n">
        <f aca="false">MAX(D175,E174)</f>
        <v>0</v>
      </c>
      <c r="F175" s="67" t="n">
        <f aca="false">MAX(E175,F174)</f>
        <v>0</v>
      </c>
      <c r="G175" s="67" t="n">
        <f aca="false">MAX(F175,G174)</f>
        <v>0</v>
      </c>
      <c r="H175" s="67" t="n">
        <f aca="false">MAX(G175,H174)</f>
        <v>0</v>
      </c>
      <c r="I175" s="67" t="n">
        <f aca="false">MAX(H175,I174)</f>
        <v>0</v>
      </c>
      <c r="J175" s="67" t="n">
        <f aca="false">MAX(I175,J174)</f>
        <v>0</v>
      </c>
      <c r="K175" s="67" t="n">
        <f aca="false">MAX(J175,K174)</f>
        <v>0</v>
      </c>
      <c r="L175" s="67" t="n">
        <f aca="false">MAX(K175,L174)</f>
        <v>0</v>
      </c>
      <c r="M175" s="67" t="n">
        <f aca="false">MAX(L175,M174)</f>
        <v>0</v>
      </c>
      <c r="N175" s="67" t="n">
        <f aca="false">MAX(M175,N174)</f>
        <v>0</v>
      </c>
      <c r="O175" s="67" t="n">
        <f aca="false">MAX(N175,O174)</f>
        <v>0</v>
      </c>
      <c r="P175" s="67" t="n">
        <f aca="false">MAX(O175,P174)</f>
        <v>0</v>
      </c>
      <c r="Q175" s="67" t="n">
        <f aca="false">MAX(P175,Q174)</f>
        <v>0</v>
      </c>
      <c r="R175" s="67" t="n">
        <f aca="false">MAX(Q175,R174)</f>
        <v>0</v>
      </c>
      <c r="S175" s="67" t="n">
        <f aca="false">MAX(R175,S174)</f>
        <v>0</v>
      </c>
      <c r="T175" s="67" t="n">
        <f aca="false">MAX(S175,T174)</f>
        <v>0</v>
      </c>
      <c r="U175" s="67" t="n">
        <f aca="false">MAX(T175,U174)</f>
        <v>0</v>
      </c>
      <c r="V175" s="67" t="n">
        <f aca="false">MAX(U175,V174)</f>
        <v>0</v>
      </c>
      <c r="W175" s="67" t="n">
        <f aca="false">MAX(V175,W174)</f>
        <v>0</v>
      </c>
      <c r="X175" s="67" t="n">
        <f aca="false">MAX(W175,X174)</f>
        <v>0</v>
      </c>
      <c r="Y175" s="67" t="n">
        <f aca="false">MAX(X175,Y174)</f>
        <v>0</v>
      </c>
      <c r="Z175" s="67" t="n">
        <f aca="false">MAX(Y175,Z174)</f>
        <v>0</v>
      </c>
      <c r="AA175" s="67" t="n">
        <f aca="false">MAX(Z175,AA174)</f>
        <v>0</v>
      </c>
      <c r="AB175" s="67" t="n">
        <f aca="false">MAX(AA175,AB174)</f>
        <v>0</v>
      </c>
      <c r="AC175" s="67" t="n">
        <f aca="false">MAX(AB175,AC174)</f>
        <v>0</v>
      </c>
      <c r="AD175" s="67" t="n">
        <f aca="false">MAX(AC175,AD174)</f>
        <v>0</v>
      </c>
      <c r="AE175" s="67" t="n">
        <f aca="false">MAX(AD175,AE174)</f>
        <v>0</v>
      </c>
      <c r="AF175" s="67" t="n">
        <f aca="false">MAX(AE175,AF174)</f>
        <v>0</v>
      </c>
      <c r="AG175" s="67" t="n">
        <f aca="false">MAX(AF175,AG174)</f>
        <v>0</v>
      </c>
      <c r="AH175" s="67" t="n">
        <f aca="false">MAX(AG175,AH174)</f>
        <v>0</v>
      </c>
      <c r="AI175" s="67" t="n">
        <f aca="false">MAX(AH175,AI174)</f>
        <v>0</v>
      </c>
      <c r="AJ175" s="67" t="n">
        <f aca="false">MAX(AI175,AJ174)</f>
        <v>0</v>
      </c>
      <c r="AK175" s="67" t="n">
        <f aca="false">MAX(AJ175,AK174)</f>
        <v>0</v>
      </c>
      <c r="AL175" s="67" t="n">
        <f aca="false">MAX(AK175,AL174)</f>
        <v>0</v>
      </c>
    </row>
    <row r="176" customFormat="false" ht="15" hidden="false" customHeight="false" outlineLevel="0" collapsed="false">
      <c r="A176" s="6" t="s">
        <v>82</v>
      </c>
      <c r="C176" s="67" t="n">
        <f aca="false">-C175*Inputs!$C$83</f>
        <v>-0</v>
      </c>
      <c r="D176" s="67" t="n">
        <f aca="false">-(D175-C175)*Inputs!$C$83</f>
        <v>-0</v>
      </c>
      <c r="E176" s="67" t="n">
        <f aca="false">-(E175-D175)*Inputs!$C$83</f>
        <v>-0</v>
      </c>
      <c r="F176" s="67" t="n">
        <f aca="false">-(F175-E175)*Inputs!$C$83</f>
        <v>-0</v>
      </c>
      <c r="G176" s="67" t="n">
        <f aca="false">-(G175-F175)*Inputs!$C$83</f>
        <v>-0</v>
      </c>
      <c r="H176" s="67" t="n">
        <f aca="false">-(H175-G175)*Inputs!$C$83</f>
        <v>-0</v>
      </c>
      <c r="I176" s="67" t="n">
        <f aca="false">-(I175-H175)*Inputs!$C$83</f>
        <v>-0</v>
      </c>
      <c r="J176" s="67" t="n">
        <f aca="false">-(J175-I175)*Inputs!$C$83</f>
        <v>-0</v>
      </c>
      <c r="K176" s="67" t="n">
        <f aca="false">-(K175-J175)*Inputs!$C$83</f>
        <v>-0</v>
      </c>
      <c r="L176" s="67" t="n">
        <f aca="false">-(L175-K175)*Inputs!$C$83</f>
        <v>-0</v>
      </c>
      <c r="M176" s="67" t="n">
        <f aca="false">-(M175-L175)*Inputs!$C$83</f>
        <v>-0</v>
      </c>
      <c r="N176" s="67" t="n">
        <f aca="false">-(N175-M175)*Inputs!$C$83</f>
        <v>-0</v>
      </c>
      <c r="O176" s="67" t="n">
        <f aca="false">-(O175-N175)*Inputs!$C$83</f>
        <v>-0</v>
      </c>
      <c r="P176" s="67" t="n">
        <f aca="false">-(P175-O175)*Inputs!$C$83</f>
        <v>-0</v>
      </c>
      <c r="Q176" s="67" t="n">
        <f aca="false">-(Q175-P175)*Inputs!$C$83</f>
        <v>-0</v>
      </c>
      <c r="R176" s="67" t="n">
        <f aca="false">-(R175-Q175)*Inputs!$C$83</f>
        <v>-0</v>
      </c>
      <c r="S176" s="67" t="n">
        <f aca="false">-(S175-R175)*Inputs!$C$83</f>
        <v>-0</v>
      </c>
      <c r="T176" s="67" t="n">
        <f aca="false">-(T175-S175)*Inputs!$C$83</f>
        <v>-0</v>
      </c>
      <c r="U176" s="67" t="n">
        <f aca="false">-(U175-T175)*Inputs!$C$83</f>
        <v>-0</v>
      </c>
      <c r="V176" s="67" t="n">
        <f aca="false">-(V175-U175)*Inputs!$C$83</f>
        <v>-0</v>
      </c>
      <c r="W176" s="67" t="n">
        <f aca="false">-(W175-V175)*Inputs!$C$83</f>
        <v>-0</v>
      </c>
      <c r="X176" s="67" t="n">
        <f aca="false">-(X175-W175)*Inputs!$C$83</f>
        <v>-0</v>
      </c>
      <c r="Y176" s="67" t="n">
        <f aca="false">-(Y175-X175)*Inputs!$C$83</f>
        <v>-0</v>
      </c>
      <c r="Z176" s="67" t="n">
        <f aca="false">-(Z175-Y175)*Inputs!$C$83</f>
        <v>-0</v>
      </c>
      <c r="AA176" s="67" t="n">
        <f aca="false">-(AA175-Z175)*Inputs!$C$83</f>
        <v>-0</v>
      </c>
      <c r="AB176" s="67" t="n">
        <f aca="false">-(AB175-AA175)*Inputs!$C$83</f>
        <v>-0</v>
      </c>
      <c r="AC176" s="67" t="n">
        <f aca="false">-(AC175-AB175)*Inputs!$C$83</f>
        <v>-0</v>
      </c>
      <c r="AD176" s="67" t="n">
        <f aca="false">-(AD175-AC175)*Inputs!$C$83</f>
        <v>-0</v>
      </c>
      <c r="AE176" s="67" t="n">
        <f aca="false">-(AE175-AD175)*Inputs!$C$83</f>
        <v>-0</v>
      </c>
      <c r="AF176" s="67" t="n">
        <f aca="false">-(AF175-AE175)*Inputs!$C$83</f>
        <v>-0</v>
      </c>
      <c r="AG176" s="67" t="n">
        <f aca="false">-(AG175-AF175)*Inputs!$C$83</f>
        <v>-0</v>
      </c>
      <c r="AH176" s="67" t="n">
        <f aca="false">-(AH175-AG175)*Inputs!$C$83</f>
        <v>-0</v>
      </c>
      <c r="AI176" s="67" t="n">
        <f aca="false">-(AI175-AH175)*Inputs!$C$83</f>
        <v>-0</v>
      </c>
      <c r="AJ176" s="67" t="n">
        <f aca="false">-(AJ175-AI175)*Inputs!$C$83</f>
        <v>-0</v>
      </c>
      <c r="AK176" s="67" t="n">
        <f aca="false">-(AK175-AJ175)*Inputs!$C$83</f>
        <v>-0</v>
      </c>
      <c r="AL176" s="67" t="n">
        <f aca="false">-(AL175-AK175)*Inputs!$C$83</f>
        <v>-0</v>
      </c>
    </row>
    <row r="177" customFormat="false" ht="15" hidden="false" customHeight="false" outlineLevel="0" collapsed="false">
      <c r="A177" s="113" t="s">
        <v>50</v>
      </c>
      <c r="C177" s="68" t="n">
        <f aca="false">C173+C176</f>
        <v>-10104.6678095238</v>
      </c>
      <c r="D177" s="68" t="n">
        <f aca="false">D173+D176</f>
        <v>-9090.56680952381</v>
      </c>
      <c r="E177" s="68" t="n">
        <f aca="false">E173+E176</f>
        <v>-5298.39280952381</v>
      </c>
      <c r="F177" s="68" t="n">
        <f aca="false">F173+F176</f>
        <v>-3903.61080952381</v>
      </c>
      <c r="G177" s="68" t="n">
        <f aca="false">G173+G176</f>
        <v>-2508.82880952381</v>
      </c>
      <c r="H177" s="68" t="n">
        <f aca="false">H173+H176</f>
        <v>-1114.04680952381</v>
      </c>
      <c r="I177" s="68" t="n">
        <f aca="false">I173+I176</f>
        <v>280.735190476187</v>
      </c>
      <c r="J177" s="68" t="n">
        <f aca="false">J173+J176</f>
        <v>291.985190476187</v>
      </c>
      <c r="K177" s="68" t="n">
        <f aca="false">K173+K176</f>
        <v>303.235190476187</v>
      </c>
      <c r="L177" s="68" t="n">
        <f aca="false">L173+L176</f>
        <v>314.485190476187</v>
      </c>
      <c r="M177" s="68" t="n">
        <f aca="false">M173+M176</f>
        <v>325.735190476187</v>
      </c>
      <c r="N177" s="68" t="n">
        <f aca="false">N173+N176</f>
        <v>-3935.68680952381</v>
      </c>
      <c r="O177" s="68" t="n">
        <f aca="false">O173+O176</f>
        <v>-3570.64533348572</v>
      </c>
      <c r="P177" s="68" t="n">
        <f aca="false">P173+P176</f>
        <v>-3559.39533348572</v>
      </c>
      <c r="Q177" s="68" t="n">
        <f aca="false">Q173+Q176</f>
        <v>991.777591314283</v>
      </c>
      <c r="R177" s="68" t="n">
        <f aca="false">R173+R176</f>
        <v>1003.02759131428</v>
      </c>
      <c r="S177" s="68" t="n">
        <f aca="false">S173+S176</f>
        <v>1014.27759131428</v>
      </c>
      <c r="T177" s="68" t="n">
        <f aca="false">T173+T176</f>
        <v>1025.52759131428</v>
      </c>
      <c r="U177" s="68" t="n">
        <f aca="false">U173+U176</f>
        <v>1036.77759131428</v>
      </c>
      <c r="V177" s="68" t="n">
        <f aca="false">V173+V176</f>
        <v>1048.02759131428</v>
      </c>
      <c r="W177" s="68" t="n">
        <f aca="false">W173+W176</f>
        <v>1059.27759131428</v>
      </c>
      <c r="X177" s="68" t="n">
        <f aca="false">X173+X176</f>
        <v>1070.52759131428</v>
      </c>
      <c r="Y177" s="68" t="n">
        <f aca="false">Y173+Y176</f>
        <v>1081.77759131428</v>
      </c>
      <c r="Z177" s="68" t="n">
        <f aca="false">Z173+Z176</f>
        <v>-3446.89533348572</v>
      </c>
      <c r="AA177" s="68" t="n">
        <f aca="false">AA173+AA176</f>
        <v>-3043.0006762769</v>
      </c>
      <c r="AB177" s="68" t="n">
        <f aca="false">AB173+AB176</f>
        <v>-3031.7506762769</v>
      </c>
      <c r="AC177" s="68" t="n">
        <f aca="false">AC173+AC176</f>
        <v>1803.16011064342</v>
      </c>
      <c r="AD177" s="68" t="n">
        <f aca="false">AD173+AD176</f>
        <v>1814.41011064342</v>
      </c>
      <c r="AE177" s="68" t="n">
        <f aca="false">AE173+AE176</f>
        <v>1825.66011064342</v>
      </c>
      <c r="AF177" s="68" t="n">
        <f aca="false">AF173+AF176</f>
        <v>1836.91011064342</v>
      </c>
      <c r="AG177" s="68" t="n">
        <f aca="false">AG173+AG176</f>
        <v>1848.16011064342</v>
      </c>
      <c r="AH177" s="68" t="n">
        <f aca="false">AH173+AH176</f>
        <v>1859.41011064342</v>
      </c>
      <c r="AI177" s="68" t="n">
        <f aca="false">AI173+AI176</f>
        <v>1870.66011064342</v>
      </c>
      <c r="AJ177" s="68" t="n">
        <f aca="false">AJ173+AJ176</f>
        <v>1881.91011064342</v>
      </c>
      <c r="AK177" s="68" t="n">
        <f aca="false">AK173+AK176</f>
        <v>1893.16011064342</v>
      </c>
      <c r="AL177" s="68" t="n">
        <f aca="false">AL173+AL176</f>
        <v>-2919.2506762769</v>
      </c>
    </row>
    <row r="179" customFormat="false" ht="15.75" hidden="false" customHeight="true" outlineLevel="0" collapsed="false">
      <c r="A179" s="7" t="s">
        <v>406</v>
      </c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</row>
    <row r="180" customFormat="false" ht="15" hidden="false" customHeight="false" outlineLevel="0" collapsed="false">
      <c r="A180" s="6" t="s">
        <v>407</v>
      </c>
      <c r="C180" s="67" t="n">
        <f aca="false">Inputs!$C$48*Inputs!$C$49</f>
        <v>95000</v>
      </c>
      <c r="D180" s="67" t="n">
        <f aca="false">IF(AND(D$127&gt;1,MOD(D$126-1,12)=0),Inputs!$C$8*Inputs!$C$49,0)</f>
        <v>0</v>
      </c>
      <c r="E180" s="67" t="n">
        <f aca="false">IF(AND(E$127&gt;1,MOD(E$126-1,12)=0),Inputs!$C$8*Inputs!$C$49,0)</f>
        <v>0</v>
      </c>
      <c r="F180" s="67" t="n">
        <f aca="false">IF(AND(F$127&gt;1,MOD(F$126-1,12)=0),Inputs!$C$8*Inputs!$C$49,0)</f>
        <v>0</v>
      </c>
      <c r="G180" s="67" t="n">
        <f aca="false">IF(AND(G$127&gt;1,MOD(G$126-1,12)=0),Inputs!$C$8*Inputs!$C$49,0)</f>
        <v>0</v>
      </c>
      <c r="H180" s="67" t="n">
        <f aca="false">IF(AND(H$127&gt;1,MOD(H$126-1,12)=0),Inputs!$C$8*Inputs!$C$49,0)</f>
        <v>0</v>
      </c>
      <c r="I180" s="67" t="n">
        <f aca="false">IF(AND(I$127&gt;1,MOD(I$126-1,12)=0),Inputs!$C$8*Inputs!$C$49,0)</f>
        <v>0</v>
      </c>
      <c r="J180" s="67" t="n">
        <f aca="false">IF(AND(J$127&gt;1,MOD(J$126-1,12)=0),Inputs!$C$8*Inputs!$C$49,0)</f>
        <v>0</v>
      </c>
      <c r="K180" s="67" t="n">
        <f aca="false">IF(AND(K$127&gt;1,MOD(K$126-1,12)=0),Inputs!$C$8*Inputs!$C$49,0)</f>
        <v>0</v>
      </c>
      <c r="L180" s="67" t="n">
        <f aca="false">IF(AND(L$127&gt;1,MOD(L$126-1,12)=0),Inputs!$C$8*Inputs!$C$49,0)</f>
        <v>0</v>
      </c>
      <c r="M180" s="67" t="n">
        <f aca="false">IF(AND(M$127&gt;1,MOD(M$126-1,12)=0),Inputs!$C$8*Inputs!$C$49,0)</f>
        <v>0</v>
      </c>
      <c r="N180" s="67" t="n">
        <f aca="false">IF(AND(N$127&gt;1,MOD(N$126-1,12)=0),Inputs!$C$8*Inputs!$C$49,0)</f>
        <v>0</v>
      </c>
      <c r="O180" s="67" t="n">
        <f aca="false">IF(AND(O$127&gt;1,MOD(O$126-1,12)=0),Inputs!$C$8*Inputs!$C$49,0)</f>
        <v>0</v>
      </c>
      <c r="P180" s="67" t="n">
        <f aca="false">IF(AND(P$127&gt;1,MOD(P$126-1,12)=0),Inputs!$C$8*Inputs!$C$49,0)</f>
        <v>0</v>
      </c>
      <c r="Q180" s="67" t="n">
        <f aca="false">IF(AND(Q$127&gt;1,MOD(Q$126-1,12)=0),Inputs!$C$8*Inputs!$C$49,0)</f>
        <v>0</v>
      </c>
      <c r="R180" s="67" t="n">
        <f aca="false">IF(AND(R$127&gt;1,MOD(R$126-1,12)=0),Inputs!$C$8*Inputs!$C$49,0)</f>
        <v>0</v>
      </c>
      <c r="S180" s="67" t="n">
        <f aca="false">IF(AND(S$127&gt;1,MOD(S$126-1,12)=0),Inputs!$C$8*Inputs!$C$49,0)</f>
        <v>0</v>
      </c>
      <c r="T180" s="67" t="n">
        <f aca="false">IF(AND(T$127&gt;1,MOD(T$126-1,12)=0),Inputs!$C$8*Inputs!$C$49,0)</f>
        <v>0</v>
      </c>
      <c r="U180" s="67" t="n">
        <f aca="false">IF(AND(U$127&gt;1,MOD(U$126-1,12)=0),Inputs!$C$8*Inputs!$C$49,0)</f>
        <v>0</v>
      </c>
      <c r="V180" s="67" t="n">
        <f aca="false">IF(AND(V$127&gt;1,MOD(V$126-1,12)=0),Inputs!$C$8*Inputs!$C$49,0)</f>
        <v>0</v>
      </c>
      <c r="W180" s="67" t="n">
        <f aca="false">IF(AND(W$127&gt;1,MOD(W$126-1,12)=0),Inputs!$C$8*Inputs!$C$49,0)</f>
        <v>0</v>
      </c>
      <c r="X180" s="67" t="n">
        <f aca="false">IF(AND(X$127&gt;1,MOD(X$126-1,12)=0),Inputs!$C$8*Inputs!$C$49,0)</f>
        <v>0</v>
      </c>
      <c r="Y180" s="67" t="n">
        <f aca="false">IF(AND(Y$127&gt;1,MOD(Y$126-1,12)=0),Inputs!$C$8*Inputs!$C$49,0)</f>
        <v>0</v>
      </c>
      <c r="Z180" s="67" t="n">
        <f aca="false">IF(AND(Z$127&gt;1,MOD(Z$126-1,12)=0),Inputs!$C$8*Inputs!$C$49,0)</f>
        <v>0</v>
      </c>
      <c r="AA180" s="67" t="n">
        <f aca="false">IF(AND(AA$127&gt;1,MOD(AA$126-1,12)=0),Inputs!$C$8*Inputs!$C$49,0)</f>
        <v>0</v>
      </c>
      <c r="AB180" s="67" t="n">
        <f aca="false">IF(AND(AB$127&gt;1,MOD(AB$126-1,12)=0),Inputs!$C$8*Inputs!$C$49,0)</f>
        <v>0</v>
      </c>
      <c r="AC180" s="67" t="n">
        <f aca="false">IF(AND(AC$127&gt;1,MOD(AC$126-1,12)=0),Inputs!$C$8*Inputs!$C$49,0)</f>
        <v>0</v>
      </c>
      <c r="AD180" s="67" t="n">
        <f aca="false">IF(AND(AD$127&gt;1,MOD(AD$126-1,12)=0),Inputs!$C$8*Inputs!$C$49,0)</f>
        <v>0</v>
      </c>
      <c r="AE180" s="67" t="n">
        <f aca="false">IF(AND(AE$127&gt;1,MOD(AE$126-1,12)=0),Inputs!$C$8*Inputs!$C$49,0)</f>
        <v>0</v>
      </c>
      <c r="AF180" s="67" t="n">
        <f aca="false">IF(AND(AF$127&gt;1,MOD(AF$126-1,12)=0),Inputs!$C$8*Inputs!$C$49,0)</f>
        <v>0</v>
      </c>
      <c r="AG180" s="67" t="n">
        <f aca="false">IF(AND(AG$127&gt;1,MOD(AG$126-1,12)=0),Inputs!$C$8*Inputs!$C$49,0)</f>
        <v>0</v>
      </c>
      <c r="AH180" s="67" t="n">
        <f aca="false">IF(AND(AH$127&gt;1,MOD(AH$126-1,12)=0),Inputs!$C$8*Inputs!$C$49,0)</f>
        <v>0</v>
      </c>
      <c r="AI180" s="67" t="n">
        <f aca="false">IF(AND(AI$127&gt;1,MOD(AI$126-1,12)=0),Inputs!$C$8*Inputs!$C$49,0)</f>
        <v>0</v>
      </c>
      <c r="AJ180" s="67" t="n">
        <f aca="false">IF(AND(AJ$127&gt;1,MOD(AJ$126-1,12)=0),Inputs!$C$8*Inputs!$C$49,0)</f>
        <v>0</v>
      </c>
      <c r="AK180" s="67" t="n">
        <f aca="false">IF(AND(AK$127&gt;1,MOD(AK$126-1,12)=0),Inputs!$C$8*Inputs!$C$49,0)</f>
        <v>0</v>
      </c>
      <c r="AL180" s="67" t="n">
        <f aca="false">IF(AND(AL$127&gt;1,MOD(AL$126-1,12)=0),Inputs!$C$8*Inputs!$C$49,0)</f>
        <v>0</v>
      </c>
    </row>
    <row r="181" customFormat="false" ht="15" hidden="false" customHeight="false" outlineLevel="0" collapsed="false">
      <c r="A181" s="6" t="s">
        <v>408</v>
      </c>
      <c r="C181" s="67" t="n">
        <f aca="false">Inputs!$C$48*Inputs!$C$50</f>
        <v>40000</v>
      </c>
      <c r="D181" s="67" t="n">
        <f aca="false">IF(AND(D$127&gt;1,MOD(D$126-1,12)=0),Inputs!$C$8*Inputs!$C$50,0)</f>
        <v>0</v>
      </c>
      <c r="E181" s="67" t="n">
        <f aca="false">IF(AND(E$127&gt;1,MOD(E$126-1,12)=0),Inputs!$C$8*Inputs!$C$50,0)</f>
        <v>0</v>
      </c>
      <c r="F181" s="67" t="n">
        <f aca="false">IF(AND(F$127&gt;1,MOD(F$126-1,12)=0),Inputs!$C$8*Inputs!$C$50,0)</f>
        <v>0</v>
      </c>
      <c r="G181" s="67" t="n">
        <f aca="false">IF(AND(G$127&gt;1,MOD(G$126-1,12)=0),Inputs!$C$8*Inputs!$C$50,0)</f>
        <v>0</v>
      </c>
      <c r="H181" s="67" t="n">
        <f aca="false">IF(AND(H$127&gt;1,MOD(H$126-1,12)=0),Inputs!$C$8*Inputs!$C$50,0)</f>
        <v>0</v>
      </c>
      <c r="I181" s="67" t="n">
        <f aca="false">IF(AND(I$127&gt;1,MOD(I$126-1,12)=0),Inputs!$C$8*Inputs!$C$50,0)</f>
        <v>0</v>
      </c>
      <c r="J181" s="67" t="n">
        <f aca="false">IF(AND(J$127&gt;1,MOD(J$126-1,12)=0),Inputs!$C$8*Inputs!$C$50,0)</f>
        <v>0</v>
      </c>
      <c r="K181" s="67" t="n">
        <f aca="false">IF(AND(K$127&gt;1,MOD(K$126-1,12)=0),Inputs!$C$8*Inputs!$C$50,0)</f>
        <v>0</v>
      </c>
      <c r="L181" s="67" t="n">
        <f aca="false">IF(AND(L$127&gt;1,MOD(L$126-1,12)=0),Inputs!$C$8*Inputs!$C$50,0)</f>
        <v>0</v>
      </c>
      <c r="M181" s="67" t="n">
        <f aca="false">IF(AND(M$127&gt;1,MOD(M$126-1,12)=0),Inputs!$C$8*Inputs!$C$50,0)</f>
        <v>0</v>
      </c>
      <c r="N181" s="67" t="n">
        <f aca="false">IF(AND(N$127&gt;1,MOD(N$126-1,12)=0),Inputs!$C$8*Inputs!$C$50,0)</f>
        <v>0</v>
      </c>
      <c r="O181" s="67" t="n">
        <f aca="false">IF(AND(O$127&gt;1,MOD(O$126-1,12)=0),Inputs!$C$8*Inputs!$C$50,0)</f>
        <v>0</v>
      </c>
      <c r="P181" s="67" t="n">
        <f aca="false">IF(AND(P$127&gt;1,MOD(P$126-1,12)=0),Inputs!$C$8*Inputs!$C$50,0)</f>
        <v>0</v>
      </c>
      <c r="Q181" s="67" t="n">
        <f aca="false">IF(AND(Q$127&gt;1,MOD(Q$126-1,12)=0),Inputs!$C$8*Inputs!$C$50,0)</f>
        <v>0</v>
      </c>
      <c r="R181" s="67" t="n">
        <f aca="false">IF(AND(R$127&gt;1,MOD(R$126-1,12)=0),Inputs!$C$8*Inputs!$C$50,0)</f>
        <v>0</v>
      </c>
      <c r="S181" s="67" t="n">
        <f aca="false">IF(AND(S$127&gt;1,MOD(S$126-1,12)=0),Inputs!$C$8*Inputs!$C$50,0)</f>
        <v>0</v>
      </c>
      <c r="T181" s="67" t="n">
        <f aca="false">IF(AND(T$127&gt;1,MOD(T$126-1,12)=0),Inputs!$C$8*Inputs!$C$50,0)</f>
        <v>0</v>
      </c>
      <c r="U181" s="67" t="n">
        <f aca="false">IF(AND(U$127&gt;1,MOD(U$126-1,12)=0),Inputs!$C$8*Inputs!$C$50,0)</f>
        <v>0</v>
      </c>
      <c r="V181" s="67" t="n">
        <f aca="false">IF(AND(V$127&gt;1,MOD(V$126-1,12)=0),Inputs!$C$8*Inputs!$C$50,0)</f>
        <v>0</v>
      </c>
      <c r="W181" s="67" t="n">
        <f aca="false">IF(AND(W$127&gt;1,MOD(W$126-1,12)=0),Inputs!$C$8*Inputs!$C$50,0)</f>
        <v>0</v>
      </c>
      <c r="X181" s="67" t="n">
        <f aca="false">IF(AND(X$127&gt;1,MOD(X$126-1,12)=0),Inputs!$C$8*Inputs!$C$50,0)</f>
        <v>0</v>
      </c>
      <c r="Y181" s="67" t="n">
        <f aca="false">IF(AND(Y$127&gt;1,MOD(Y$126-1,12)=0),Inputs!$C$8*Inputs!$C$50,0)</f>
        <v>0</v>
      </c>
      <c r="Z181" s="67" t="n">
        <f aca="false">IF(AND(Z$127&gt;1,MOD(Z$126-1,12)=0),Inputs!$C$8*Inputs!$C$50,0)</f>
        <v>0</v>
      </c>
      <c r="AA181" s="67" t="n">
        <f aca="false">IF(AND(AA$127&gt;1,MOD(AA$126-1,12)=0),Inputs!$C$8*Inputs!$C$50,0)</f>
        <v>0</v>
      </c>
      <c r="AB181" s="67" t="n">
        <f aca="false">IF(AND(AB$127&gt;1,MOD(AB$126-1,12)=0),Inputs!$C$8*Inputs!$C$50,0)</f>
        <v>0</v>
      </c>
      <c r="AC181" s="67" t="n">
        <f aca="false">IF(AND(AC$127&gt;1,MOD(AC$126-1,12)=0),Inputs!$C$8*Inputs!$C$50,0)</f>
        <v>0</v>
      </c>
      <c r="AD181" s="67" t="n">
        <f aca="false">IF(AND(AD$127&gt;1,MOD(AD$126-1,12)=0),Inputs!$C$8*Inputs!$C$50,0)</f>
        <v>0</v>
      </c>
      <c r="AE181" s="67" t="n">
        <f aca="false">IF(AND(AE$127&gt;1,MOD(AE$126-1,12)=0),Inputs!$C$8*Inputs!$C$50,0)</f>
        <v>0</v>
      </c>
      <c r="AF181" s="67" t="n">
        <f aca="false">IF(AND(AF$127&gt;1,MOD(AF$126-1,12)=0),Inputs!$C$8*Inputs!$C$50,0)</f>
        <v>0</v>
      </c>
      <c r="AG181" s="67" t="n">
        <f aca="false">IF(AND(AG$127&gt;1,MOD(AG$126-1,12)=0),Inputs!$C$8*Inputs!$C$50,0)</f>
        <v>0</v>
      </c>
      <c r="AH181" s="67" t="n">
        <f aca="false">IF(AND(AH$127&gt;1,MOD(AH$126-1,12)=0),Inputs!$C$8*Inputs!$C$50,0)</f>
        <v>0</v>
      </c>
      <c r="AI181" s="67" t="n">
        <f aca="false">IF(AND(AI$127&gt;1,MOD(AI$126-1,12)=0),Inputs!$C$8*Inputs!$C$50,0)</f>
        <v>0</v>
      </c>
      <c r="AJ181" s="67" t="n">
        <f aca="false">IF(AND(AJ$127&gt;1,MOD(AJ$126-1,12)=0),Inputs!$C$8*Inputs!$C$50,0)</f>
        <v>0</v>
      </c>
      <c r="AK181" s="67" t="n">
        <f aca="false">IF(AND(AK$127&gt;1,MOD(AK$126-1,12)=0),Inputs!$C$8*Inputs!$C$50,0)</f>
        <v>0</v>
      </c>
      <c r="AL181" s="67" t="n">
        <f aca="false">IF(AND(AL$127&gt;1,MOD(AL$126-1,12)=0),Inputs!$C$8*Inputs!$C$50,0)</f>
        <v>0</v>
      </c>
    </row>
    <row r="182" customFormat="false" ht="15" hidden="false" customHeight="false" outlineLevel="0" collapsed="false">
      <c r="A182" s="6" t="s">
        <v>409</v>
      </c>
      <c r="C182" s="67" t="n">
        <f aca="false">IF(C$126=1,Inputs!$C$51,0)</f>
        <v>3000</v>
      </c>
      <c r="D182" s="67" t="n">
        <f aca="false">IF(D$126=1,Inputs!$C$51,0)</f>
        <v>0</v>
      </c>
      <c r="E182" s="67" t="n">
        <f aca="false">IF(E$126=1,Inputs!$C$51,0)</f>
        <v>0</v>
      </c>
      <c r="F182" s="67" t="n">
        <f aca="false">IF(F$126=1,Inputs!$C$51,0)</f>
        <v>0</v>
      </c>
      <c r="G182" s="67" t="n">
        <f aca="false">IF(G$126=1,Inputs!$C$51,0)</f>
        <v>0</v>
      </c>
      <c r="H182" s="67" t="n">
        <f aca="false">IF(H$126=1,Inputs!$C$51,0)</f>
        <v>0</v>
      </c>
      <c r="I182" s="67" t="n">
        <f aca="false">IF(I$126=1,Inputs!$C$51,0)</f>
        <v>0</v>
      </c>
      <c r="J182" s="67" t="n">
        <f aca="false">IF(J$126=1,Inputs!$C$51,0)</f>
        <v>0</v>
      </c>
      <c r="K182" s="67" t="n">
        <f aca="false">IF(K$126=1,Inputs!$C$51,0)</f>
        <v>0</v>
      </c>
      <c r="L182" s="67" t="n">
        <f aca="false">IF(L$126=1,Inputs!$C$51,0)</f>
        <v>0</v>
      </c>
      <c r="M182" s="67" t="n">
        <f aca="false">IF(M$126=1,Inputs!$C$51,0)</f>
        <v>0</v>
      </c>
      <c r="N182" s="67" t="n">
        <f aca="false">IF(N$126=1,Inputs!$C$51,0)</f>
        <v>0</v>
      </c>
      <c r="O182" s="67" t="n">
        <f aca="false">IF(O$126=1,Inputs!$C$51,0)</f>
        <v>0</v>
      </c>
      <c r="P182" s="67" t="n">
        <f aca="false">IF(P$126=1,Inputs!$C$51,0)</f>
        <v>0</v>
      </c>
      <c r="Q182" s="67" t="n">
        <f aca="false">IF(Q$126=1,Inputs!$C$51,0)</f>
        <v>0</v>
      </c>
      <c r="R182" s="67" t="n">
        <f aca="false">IF(R$126=1,Inputs!$C$51,0)</f>
        <v>0</v>
      </c>
      <c r="S182" s="67" t="n">
        <f aca="false">IF(S$126=1,Inputs!$C$51,0)</f>
        <v>0</v>
      </c>
      <c r="T182" s="67" t="n">
        <f aca="false">IF(T$126=1,Inputs!$C$51,0)</f>
        <v>0</v>
      </c>
      <c r="U182" s="67" t="n">
        <f aca="false">IF(U$126=1,Inputs!$C$51,0)</f>
        <v>0</v>
      </c>
      <c r="V182" s="67" t="n">
        <f aca="false">IF(V$126=1,Inputs!$C$51,0)</f>
        <v>0</v>
      </c>
      <c r="W182" s="67" t="n">
        <f aca="false">IF(W$126=1,Inputs!$C$51,0)</f>
        <v>0</v>
      </c>
      <c r="X182" s="67" t="n">
        <f aca="false">IF(X$126=1,Inputs!$C$51,0)</f>
        <v>0</v>
      </c>
      <c r="Y182" s="67" t="n">
        <f aca="false">IF(Y$126=1,Inputs!$C$51,0)</f>
        <v>0</v>
      </c>
      <c r="Z182" s="67" t="n">
        <f aca="false">IF(Z$126=1,Inputs!$C$51,0)</f>
        <v>0</v>
      </c>
      <c r="AA182" s="67" t="n">
        <f aca="false">IF(AA$126=1,Inputs!$C$51,0)</f>
        <v>0</v>
      </c>
      <c r="AB182" s="67" t="n">
        <f aca="false">IF(AB$126=1,Inputs!$C$51,0)</f>
        <v>0</v>
      </c>
      <c r="AC182" s="67" t="n">
        <f aca="false">IF(AC$126=1,Inputs!$C$51,0)</f>
        <v>0</v>
      </c>
      <c r="AD182" s="67" t="n">
        <f aca="false">IF(AD$126=1,Inputs!$C$51,0)</f>
        <v>0</v>
      </c>
      <c r="AE182" s="67" t="n">
        <f aca="false">IF(AE$126=1,Inputs!$C$51,0)</f>
        <v>0</v>
      </c>
      <c r="AF182" s="67" t="n">
        <f aca="false">IF(AF$126=1,Inputs!$C$51,0)</f>
        <v>0</v>
      </c>
      <c r="AG182" s="67" t="n">
        <f aca="false">IF(AG$126=1,Inputs!$C$51,0)</f>
        <v>0</v>
      </c>
      <c r="AH182" s="67" t="n">
        <f aca="false">IF(AH$126=1,Inputs!$C$51,0)</f>
        <v>0</v>
      </c>
      <c r="AI182" s="67" t="n">
        <f aca="false">IF(AI$126=1,Inputs!$C$51,0)</f>
        <v>0</v>
      </c>
      <c r="AJ182" s="67" t="n">
        <f aca="false">IF(AJ$126=1,Inputs!$C$51,0)</f>
        <v>0</v>
      </c>
      <c r="AK182" s="67" t="n">
        <f aca="false">IF(AK$126=1,Inputs!$C$51,0)</f>
        <v>0</v>
      </c>
      <c r="AL182" s="67" t="n">
        <f aca="false">IF(AL$126=1,Inputs!$C$51,0)</f>
        <v>0</v>
      </c>
    </row>
    <row r="183" customFormat="false" ht="15" hidden="false" customHeight="false" outlineLevel="0" collapsed="false">
      <c r="A183" s="6" t="s">
        <v>410</v>
      </c>
      <c r="C183" s="67" t="n">
        <f aca="false">IF(AND(C$127&gt;1,MOD(C$126-1,12)=0),Inputs!$C$52*C130,0)</f>
        <v>0</v>
      </c>
      <c r="D183" s="67" t="n">
        <f aca="false">IF(AND(D$127&gt;1,MOD(D$126-1,12)=0),Inputs!$C$52*D130,0)</f>
        <v>0</v>
      </c>
      <c r="E183" s="67" t="n">
        <f aca="false">IF(AND(E$127&gt;1,MOD(E$126-1,12)=0),Inputs!$C$52*E130,0)</f>
        <v>0</v>
      </c>
      <c r="F183" s="67" t="n">
        <f aca="false">IF(AND(F$127&gt;1,MOD(F$126-1,12)=0),Inputs!$C$52*F130,0)</f>
        <v>0</v>
      </c>
      <c r="G183" s="67" t="n">
        <f aca="false">IF(AND(G$127&gt;1,MOD(G$126-1,12)=0),Inputs!$C$52*G130,0)</f>
        <v>0</v>
      </c>
      <c r="H183" s="67" t="n">
        <f aca="false">IF(AND(H$127&gt;1,MOD(H$126-1,12)=0),Inputs!$C$52*H130,0)</f>
        <v>0</v>
      </c>
      <c r="I183" s="67" t="n">
        <f aca="false">IF(AND(I$127&gt;1,MOD(I$126-1,12)=0),Inputs!$C$52*I130,0)</f>
        <v>0</v>
      </c>
      <c r="J183" s="67" t="n">
        <f aca="false">IF(AND(J$127&gt;1,MOD(J$126-1,12)=0),Inputs!$C$52*J130,0)</f>
        <v>0</v>
      </c>
      <c r="K183" s="67" t="n">
        <f aca="false">IF(AND(K$127&gt;1,MOD(K$126-1,12)=0),Inputs!$C$52*K130,0)</f>
        <v>0</v>
      </c>
      <c r="L183" s="67" t="n">
        <f aca="false">IF(AND(L$127&gt;1,MOD(L$126-1,12)=0),Inputs!$C$52*L130,0)</f>
        <v>0</v>
      </c>
      <c r="M183" s="67" t="n">
        <f aca="false">IF(AND(M$127&gt;1,MOD(M$126-1,12)=0),Inputs!$C$52*M130,0)</f>
        <v>0</v>
      </c>
      <c r="N183" s="67" t="n">
        <f aca="false">IF(AND(N$127&gt;1,MOD(N$126-1,12)=0),Inputs!$C$52*N130,0)</f>
        <v>0</v>
      </c>
      <c r="O183" s="67" t="n">
        <f aca="false">IF(AND(O$127&gt;1,MOD(O$126-1,12)=0),Inputs!$C$52*O130,0)</f>
        <v>2500</v>
      </c>
      <c r="P183" s="67" t="n">
        <f aca="false">IF(AND(P$127&gt;1,MOD(P$126-1,12)=0),Inputs!$C$52*P130,0)</f>
        <v>0</v>
      </c>
      <c r="Q183" s="67" t="n">
        <f aca="false">IF(AND(Q$127&gt;1,MOD(Q$126-1,12)=0),Inputs!$C$52*Q130,0)</f>
        <v>0</v>
      </c>
      <c r="R183" s="67" t="n">
        <f aca="false">IF(AND(R$127&gt;1,MOD(R$126-1,12)=0),Inputs!$C$52*R130,0)</f>
        <v>0</v>
      </c>
      <c r="S183" s="67" t="n">
        <f aca="false">IF(AND(S$127&gt;1,MOD(S$126-1,12)=0),Inputs!$C$52*S130,0)</f>
        <v>0</v>
      </c>
      <c r="T183" s="67" t="n">
        <f aca="false">IF(AND(T$127&gt;1,MOD(T$126-1,12)=0),Inputs!$C$52*T130,0)</f>
        <v>0</v>
      </c>
      <c r="U183" s="67" t="n">
        <f aca="false">IF(AND(U$127&gt;1,MOD(U$126-1,12)=0),Inputs!$C$52*U130,0)</f>
        <v>0</v>
      </c>
      <c r="V183" s="67" t="n">
        <f aca="false">IF(AND(V$127&gt;1,MOD(V$126-1,12)=0),Inputs!$C$52*V130,0)</f>
        <v>0</v>
      </c>
      <c r="W183" s="67" t="n">
        <f aca="false">IF(AND(W$127&gt;1,MOD(W$126-1,12)=0),Inputs!$C$52*W130,0)</f>
        <v>0</v>
      </c>
      <c r="X183" s="67" t="n">
        <f aca="false">IF(AND(X$127&gt;1,MOD(X$126-1,12)=0),Inputs!$C$52*X130,0)</f>
        <v>0</v>
      </c>
      <c r="Y183" s="67" t="n">
        <f aca="false">IF(AND(Y$127&gt;1,MOD(Y$126-1,12)=0),Inputs!$C$52*Y130,0)</f>
        <v>0</v>
      </c>
      <c r="Z183" s="67" t="n">
        <f aca="false">IF(AND(Z$127&gt;1,MOD(Z$126-1,12)=0),Inputs!$C$52*Z130,0)</f>
        <v>0</v>
      </c>
      <c r="AA183" s="67" t="n">
        <f aca="false">IF(AND(AA$127&gt;1,MOD(AA$126-1,12)=0),Inputs!$C$52*AA130,0)</f>
        <v>2500</v>
      </c>
      <c r="AB183" s="67" t="n">
        <f aca="false">IF(AND(AB$127&gt;1,MOD(AB$126-1,12)=0),Inputs!$C$52*AB130,0)</f>
        <v>0</v>
      </c>
      <c r="AC183" s="67" t="n">
        <f aca="false">IF(AND(AC$127&gt;1,MOD(AC$126-1,12)=0),Inputs!$C$52*AC130,0)</f>
        <v>0</v>
      </c>
      <c r="AD183" s="67" t="n">
        <f aca="false">IF(AND(AD$127&gt;1,MOD(AD$126-1,12)=0),Inputs!$C$52*AD130,0)</f>
        <v>0</v>
      </c>
      <c r="AE183" s="67" t="n">
        <f aca="false">IF(AND(AE$127&gt;1,MOD(AE$126-1,12)=0),Inputs!$C$52*AE130,0)</f>
        <v>0</v>
      </c>
      <c r="AF183" s="67" t="n">
        <f aca="false">IF(AND(AF$127&gt;1,MOD(AF$126-1,12)=0),Inputs!$C$52*AF130,0)</f>
        <v>0</v>
      </c>
      <c r="AG183" s="67" t="n">
        <f aca="false">IF(AND(AG$127&gt;1,MOD(AG$126-1,12)=0),Inputs!$C$52*AG130,0)</f>
        <v>0</v>
      </c>
      <c r="AH183" s="67" t="n">
        <f aca="false">IF(AND(AH$127&gt;1,MOD(AH$126-1,12)=0),Inputs!$C$52*AH130,0)</f>
        <v>0</v>
      </c>
      <c r="AI183" s="67" t="n">
        <f aca="false">IF(AND(AI$127&gt;1,MOD(AI$126-1,12)=0),Inputs!$C$52*AI130,0)</f>
        <v>0</v>
      </c>
      <c r="AJ183" s="67" t="n">
        <f aca="false">IF(AND(AJ$127&gt;1,MOD(AJ$126-1,12)=0),Inputs!$C$52*AJ130,0)</f>
        <v>0</v>
      </c>
      <c r="AK183" s="67" t="n">
        <f aca="false">IF(AND(AK$127&gt;1,MOD(AK$126-1,12)=0),Inputs!$C$52*AK130,0)</f>
        <v>0</v>
      </c>
      <c r="AL183" s="67" t="n">
        <f aca="false">IF(AND(AL$127&gt;1,MOD(AL$126-1,12)=0),Inputs!$C$52*AL130,0)</f>
        <v>0</v>
      </c>
    </row>
    <row r="184" customFormat="false" ht="15" hidden="false" customHeight="false" outlineLevel="0" collapsed="false">
      <c r="A184" s="4" t="s">
        <v>84</v>
      </c>
      <c r="C184" s="73" t="n">
        <f aca="false">C180+C181+C182+C183</f>
        <v>138000</v>
      </c>
      <c r="D184" s="73" t="n">
        <f aca="false">D180+D181+D182+D183</f>
        <v>0</v>
      </c>
      <c r="E184" s="73" t="n">
        <f aca="false">E180+E181+E182+E183</f>
        <v>0</v>
      </c>
      <c r="F184" s="73" t="n">
        <f aca="false">F180+F181+F182+F183</f>
        <v>0</v>
      </c>
      <c r="G184" s="73" t="n">
        <f aca="false">G180+G181+G182+G183</f>
        <v>0</v>
      </c>
      <c r="H184" s="73" t="n">
        <f aca="false">H180+H181+H182+H183</f>
        <v>0</v>
      </c>
      <c r="I184" s="73" t="n">
        <f aca="false">I180+I181+I182+I183</f>
        <v>0</v>
      </c>
      <c r="J184" s="73" t="n">
        <f aca="false">J180+J181+J182+J183</f>
        <v>0</v>
      </c>
      <c r="K184" s="73" t="n">
        <f aca="false">K180+K181+K182+K183</f>
        <v>0</v>
      </c>
      <c r="L184" s="73" t="n">
        <f aca="false">L180+L181+L182+L183</f>
        <v>0</v>
      </c>
      <c r="M184" s="73" t="n">
        <f aca="false">M180+M181+M182+M183</f>
        <v>0</v>
      </c>
      <c r="N184" s="73" t="n">
        <f aca="false">N180+N181+N182+N183</f>
        <v>0</v>
      </c>
      <c r="O184" s="73" t="n">
        <f aca="false">O180+O181+O182+O183</f>
        <v>2500</v>
      </c>
      <c r="P184" s="73" t="n">
        <f aca="false">P180+P181+P182+P183</f>
        <v>0</v>
      </c>
      <c r="Q184" s="73" t="n">
        <f aca="false">Q180+Q181+Q182+Q183</f>
        <v>0</v>
      </c>
      <c r="R184" s="73" t="n">
        <f aca="false">R180+R181+R182+R183</f>
        <v>0</v>
      </c>
      <c r="S184" s="73" t="n">
        <f aca="false">S180+S181+S182+S183</f>
        <v>0</v>
      </c>
      <c r="T184" s="73" t="n">
        <f aca="false">T180+T181+T182+T183</f>
        <v>0</v>
      </c>
      <c r="U184" s="73" t="n">
        <f aca="false">U180+U181+U182+U183</f>
        <v>0</v>
      </c>
      <c r="V184" s="73" t="n">
        <f aca="false">V180+V181+V182+V183</f>
        <v>0</v>
      </c>
      <c r="W184" s="73" t="n">
        <f aca="false">W180+W181+W182+W183</f>
        <v>0</v>
      </c>
      <c r="X184" s="73" t="n">
        <f aca="false">X180+X181+X182+X183</f>
        <v>0</v>
      </c>
      <c r="Y184" s="73" t="n">
        <f aca="false">Y180+Y181+Y182+Y183</f>
        <v>0</v>
      </c>
      <c r="Z184" s="73" t="n">
        <f aca="false">Z180+Z181+Z182+Z183</f>
        <v>0</v>
      </c>
      <c r="AA184" s="73" t="n">
        <f aca="false">AA180+AA181+AA182+AA183</f>
        <v>2500</v>
      </c>
      <c r="AB184" s="73" t="n">
        <f aca="false">AB180+AB181+AB182+AB183</f>
        <v>0</v>
      </c>
      <c r="AC184" s="73" t="n">
        <f aca="false">AC180+AC181+AC182+AC183</f>
        <v>0</v>
      </c>
      <c r="AD184" s="73" t="n">
        <f aca="false">AD180+AD181+AD182+AD183</f>
        <v>0</v>
      </c>
      <c r="AE184" s="73" t="n">
        <f aca="false">AE180+AE181+AE182+AE183</f>
        <v>0</v>
      </c>
      <c r="AF184" s="73" t="n">
        <f aca="false">AF180+AF181+AF182+AF183</f>
        <v>0</v>
      </c>
      <c r="AG184" s="73" t="n">
        <f aca="false">AG180+AG181+AG182+AG183</f>
        <v>0</v>
      </c>
      <c r="AH184" s="73" t="n">
        <f aca="false">AH180+AH181+AH182+AH183</f>
        <v>0</v>
      </c>
      <c r="AI184" s="73" t="n">
        <f aca="false">AI180+AI181+AI182+AI183</f>
        <v>0</v>
      </c>
      <c r="AJ184" s="73" t="n">
        <f aca="false">AJ180+AJ181+AJ182+AJ183</f>
        <v>0</v>
      </c>
      <c r="AK184" s="73" t="n">
        <f aca="false">AK180+AK181+AK182+AK183</f>
        <v>0</v>
      </c>
      <c r="AL184" s="73" t="n">
        <f aca="false">AL180+AL181+AL182+AL183</f>
        <v>0</v>
      </c>
    </row>
    <row r="185" customFormat="false" ht="15" hidden="false" customHeight="false" outlineLevel="0" collapsed="false">
      <c r="A185" s="6" t="s">
        <v>411</v>
      </c>
      <c r="C185" s="67" t="n">
        <f aca="false">C184</f>
        <v>138000</v>
      </c>
      <c r="D185" s="67" t="n">
        <f aca="false">C185+D184</f>
        <v>138000</v>
      </c>
      <c r="E185" s="67" t="n">
        <f aca="false">D185+E184</f>
        <v>138000</v>
      </c>
      <c r="F185" s="67" t="n">
        <f aca="false">E185+F184</f>
        <v>138000</v>
      </c>
      <c r="G185" s="67" t="n">
        <f aca="false">F185+G184</f>
        <v>138000</v>
      </c>
      <c r="H185" s="67" t="n">
        <f aca="false">G185+H184</f>
        <v>138000</v>
      </c>
      <c r="I185" s="67" t="n">
        <f aca="false">H185+I184</f>
        <v>138000</v>
      </c>
      <c r="J185" s="67" t="n">
        <f aca="false">I185+J184</f>
        <v>138000</v>
      </c>
      <c r="K185" s="67" t="n">
        <f aca="false">J185+K184</f>
        <v>138000</v>
      </c>
      <c r="L185" s="67" t="n">
        <f aca="false">K185+L184</f>
        <v>138000</v>
      </c>
      <c r="M185" s="67" t="n">
        <f aca="false">L185+M184</f>
        <v>138000</v>
      </c>
      <c r="N185" s="67" t="n">
        <f aca="false">M185+N184</f>
        <v>138000</v>
      </c>
      <c r="O185" s="67" t="n">
        <f aca="false">N185+O184</f>
        <v>140500</v>
      </c>
      <c r="P185" s="67" t="n">
        <f aca="false">O185+P184</f>
        <v>140500</v>
      </c>
      <c r="Q185" s="67" t="n">
        <f aca="false">P185+Q184</f>
        <v>140500</v>
      </c>
      <c r="R185" s="67" t="n">
        <f aca="false">Q185+R184</f>
        <v>140500</v>
      </c>
      <c r="S185" s="67" t="n">
        <f aca="false">R185+S184</f>
        <v>140500</v>
      </c>
      <c r="T185" s="67" t="n">
        <f aca="false">S185+T184</f>
        <v>140500</v>
      </c>
      <c r="U185" s="67" t="n">
        <f aca="false">T185+U184</f>
        <v>140500</v>
      </c>
      <c r="V185" s="67" t="n">
        <f aca="false">U185+V184</f>
        <v>140500</v>
      </c>
      <c r="W185" s="67" t="n">
        <f aca="false">V185+W184</f>
        <v>140500</v>
      </c>
      <c r="X185" s="67" t="n">
        <f aca="false">W185+X184</f>
        <v>140500</v>
      </c>
      <c r="Y185" s="67" t="n">
        <f aca="false">X185+Y184</f>
        <v>140500</v>
      </c>
      <c r="Z185" s="67" t="n">
        <f aca="false">Y185+Z184</f>
        <v>140500</v>
      </c>
      <c r="AA185" s="67" t="n">
        <f aca="false">Z185+AA184</f>
        <v>143000</v>
      </c>
      <c r="AB185" s="67" t="n">
        <f aca="false">AA185+AB184</f>
        <v>143000</v>
      </c>
      <c r="AC185" s="67" t="n">
        <f aca="false">AB185+AC184</f>
        <v>143000</v>
      </c>
      <c r="AD185" s="67" t="n">
        <f aca="false">AC185+AD184</f>
        <v>143000</v>
      </c>
      <c r="AE185" s="67" t="n">
        <f aca="false">AD185+AE184</f>
        <v>143000</v>
      </c>
      <c r="AF185" s="67" t="n">
        <f aca="false">AE185+AF184</f>
        <v>143000</v>
      </c>
      <c r="AG185" s="67" t="n">
        <f aca="false">AF185+AG184</f>
        <v>143000</v>
      </c>
      <c r="AH185" s="67" t="n">
        <f aca="false">AG185+AH184</f>
        <v>143000</v>
      </c>
      <c r="AI185" s="67" t="n">
        <f aca="false">AH185+AI184</f>
        <v>143000</v>
      </c>
      <c r="AJ185" s="67" t="n">
        <f aca="false">AI185+AJ184</f>
        <v>143000</v>
      </c>
      <c r="AK185" s="67" t="n">
        <f aca="false">AJ185+AK184</f>
        <v>143000</v>
      </c>
      <c r="AL185" s="67" t="n">
        <f aca="false">AK185+AL184</f>
        <v>143000</v>
      </c>
    </row>
    <row r="186" customFormat="false" ht="15" hidden="false" customHeight="false" outlineLevel="0" collapsed="false">
      <c r="A186" s="6" t="s">
        <v>78</v>
      </c>
      <c r="C186" s="67" t="n">
        <f aca="false">-MIN(C185/MAX(1,Inputs!$C$82*12),C184)</f>
        <v>-1642.85714285714</v>
      </c>
      <c r="D186" s="67" t="n">
        <f aca="false">-MIN(D185/MAX(1,Inputs!$C$82*12),C188+D184)</f>
        <v>-1642.85714285714</v>
      </c>
      <c r="E186" s="67" t="n">
        <f aca="false">-MIN(E185/MAX(1,Inputs!$C$82*12),D188+E184)</f>
        <v>-1642.85714285714</v>
      </c>
      <c r="F186" s="67" t="n">
        <f aca="false">-MIN(F185/MAX(1,Inputs!$C$82*12),E188+F184)</f>
        <v>-1642.85714285714</v>
      </c>
      <c r="G186" s="67" t="n">
        <f aca="false">-MIN(G185/MAX(1,Inputs!$C$82*12),F188+G184)</f>
        <v>-1642.85714285714</v>
      </c>
      <c r="H186" s="67" t="n">
        <f aca="false">-MIN(H185/MAX(1,Inputs!$C$82*12),G188+H184)</f>
        <v>-1642.85714285714</v>
      </c>
      <c r="I186" s="67" t="n">
        <f aca="false">-MIN(I185/MAX(1,Inputs!$C$82*12),H188+I184)</f>
        <v>-1642.85714285714</v>
      </c>
      <c r="J186" s="67" t="n">
        <f aca="false">-MIN(J185/MAX(1,Inputs!$C$82*12),I188+J184)</f>
        <v>-1642.85714285714</v>
      </c>
      <c r="K186" s="67" t="n">
        <f aca="false">-MIN(K185/MAX(1,Inputs!$C$82*12),J188+K184)</f>
        <v>-1642.85714285714</v>
      </c>
      <c r="L186" s="67" t="n">
        <f aca="false">-MIN(L185/MAX(1,Inputs!$C$82*12),K188+L184)</f>
        <v>-1642.85714285714</v>
      </c>
      <c r="M186" s="67" t="n">
        <f aca="false">-MIN(M185/MAX(1,Inputs!$C$82*12),L188+M184)</f>
        <v>-1642.85714285714</v>
      </c>
      <c r="N186" s="67" t="n">
        <f aca="false">-MIN(N185/MAX(1,Inputs!$C$82*12),M188+N184)</f>
        <v>-1642.85714285714</v>
      </c>
      <c r="O186" s="67" t="n">
        <f aca="false">-MIN(O185/MAX(1,Inputs!$C$82*12),N188+O184)</f>
        <v>-1672.61904761905</v>
      </c>
      <c r="P186" s="67" t="n">
        <f aca="false">-MIN(P185/MAX(1,Inputs!$C$82*12),O188+P184)</f>
        <v>-1672.61904761905</v>
      </c>
      <c r="Q186" s="67" t="n">
        <f aca="false">-MIN(Q185/MAX(1,Inputs!$C$82*12),P188+Q184)</f>
        <v>-1672.61904761905</v>
      </c>
      <c r="R186" s="67" t="n">
        <f aca="false">-MIN(R185/MAX(1,Inputs!$C$82*12),Q188+R184)</f>
        <v>-1672.61904761905</v>
      </c>
      <c r="S186" s="67" t="n">
        <f aca="false">-MIN(S185/MAX(1,Inputs!$C$82*12),R188+S184)</f>
        <v>-1672.61904761905</v>
      </c>
      <c r="T186" s="67" t="n">
        <f aca="false">-MIN(T185/MAX(1,Inputs!$C$82*12),S188+T184)</f>
        <v>-1672.61904761905</v>
      </c>
      <c r="U186" s="67" t="n">
        <f aca="false">-MIN(U185/MAX(1,Inputs!$C$82*12),T188+U184)</f>
        <v>-1672.61904761905</v>
      </c>
      <c r="V186" s="67" t="n">
        <f aca="false">-MIN(V185/MAX(1,Inputs!$C$82*12),U188+V184)</f>
        <v>-1672.61904761905</v>
      </c>
      <c r="W186" s="67" t="n">
        <f aca="false">-MIN(W185/MAX(1,Inputs!$C$82*12),V188+W184)</f>
        <v>-1672.61904761905</v>
      </c>
      <c r="X186" s="67" t="n">
        <f aca="false">-MIN(X185/MAX(1,Inputs!$C$82*12),W188+X184)</f>
        <v>-1672.61904761905</v>
      </c>
      <c r="Y186" s="67" t="n">
        <f aca="false">-MIN(Y185/MAX(1,Inputs!$C$82*12),X188+Y184)</f>
        <v>-1672.61904761905</v>
      </c>
      <c r="Z186" s="67" t="n">
        <f aca="false">-MIN(Z185/MAX(1,Inputs!$C$82*12),Y188+Z184)</f>
        <v>-1672.61904761905</v>
      </c>
      <c r="AA186" s="67" t="n">
        <f aca="false">-MIN(AA185/MAX(1,Inputs!$C$82*12),Z188+AA184)</f>
        <v>-1702.38095238095</v>
      </c>
      <c r="AB186" s="67" t="n">
        <f aca="false">-MIN(AB185/MAX(1,Inputs!$C$82*12),AA188+AB184)</f>
        <v>-1702.38095238095</v>
      </c>
      <c r="AC186" s="67" t="n">
        <f aca="false">-MIN(AC185/MAX(1,Inputs!$C$82*12),AB188+AC184)</f>
        <v>-1702.38095238095</v>
      </c>
      <c r="AD186" s="67" t="n">
        <f aca="false">-MIN(AD185/MAX(1,Inputs!$C$82*12),AC188+AD184)</f>
        <v>-1702.38095238095</v>
      </c>
      <c r="AE186" s="67" t="n">
        <f aca="false">-MIN(AE185/MAX(1,Inputs!$C$82*12),AD188+AE184)</f>
        <v>-1702.38095238095</v>
      </c>
      <c r="AF186" s="67" t="n">
        <f aca="false">-MIN(AF185/MAX(1,Inputs!$C$82*12),AE188+AF184)</f>
        <v>-1702.38095238095</v>
      </c>
      <c r="AG186" s="67" t="n">
        <f aca="false">-MIN(AG185/MAX(1,Inputs!$C$82*12),AF188+AG184)</f>
        <v>-1702.38095238095</v>
      </c>
      <c r="AH186" s="67" t="n">
        <f aca="false">-MIN(AH185/MAX(1,Inputs!$C$82*12),AG188+AH184)</f>
        <v>-1702.38095238095</v>
      </c>
      <c r="AI186" s="67" t="n">
        <f aca="false">-MIN(AI185/MAX(1,Inputs!$C$82*12),AH188+AI184)</f>
        <v>-1702.38095238095</v>
      </c>
      <c r="AJ186" s="67" t="n">
        <f aca="false">-MIN(AJ185/MAX(1,Inputs!$C$82*12),AI188+AJ184)</f>
        <v>-1702.38095238095</v>
      </c>
      <c r="AK186" s="67" t="n">
        <f aca="false">-MIN(AK185/MAX(1,Inputs!$C$82*12),AJ188+AK184)</f>
        <v>-1702.38095238095</v>
      </c>
      <c r="AL186" s="67" t="n">
        <f aca="false">-MIN(AL185/MAX(1,Inputs!$C$82*12),AK188+AL184)</f>
        <v>-1702.38095238095</v>
      </c>
    </row>
    <row r="187" customFormat="false" ht="15" hidden="false" customHeight="false" outlineLevel="0" collapsed="false">
      <c r="A187" s="6" t="s">
        <v>412</v>
      </c>
      <c r="C187" s="67" t="n">
        <f aca="false">C186</f>
        <v>-1642.85714285714</v>
      </c>
      <c r="D187" s="67" t="n">
        <f aca="false">C187+D186</f>
        <v>-3285.71428571429</v>
      </c>
      <c r="E187" s="67" t="n">
        <f aca="false">D187+E186</f>
        <v>-4928.57142857143</v>
      </c>
      <c r="F187" s="67" t="n">
        <f aca="false">E187+F186</f>
        <v>-6571.42857142857</v>
      </c>
      <c r="G187" s="67" t="n">
        <f aca="false">F187+G186</f>
        <v>-8214.28571428571</v>
      </c>
      <c r="H187" s="67" t="n">
        <f aca="false">G187+H186</f>
        <v>-9857.14285714286</v>
      </c>
      <c r="I187" s="67" t="n">
        <f aca="false">H187+I186</f>
        <v>-11500</v>
      </c>
      <c r="J187" s="67" t="n">
        <f aca="false">I187+J186</f>
        <v>-13142.8571428571</v>
      </c>
      <c r="K187" s="67" t="n">
        <f aca="false">J187+K186</f>
        <v>-14785.7142857143</v>
      </c>
      <c r="L187" s="67" t="n">
        <f aca="false">K187+L186</f>
        <v>-16428.5714285714</v>
      </c>
      <c r="M187" s="67" t="n">
        <f aca="false">L187+M186</f>
        <v>-18071.4285714286</v>
      </c>
      <c r="N187" s="67" t="n">
        <f aca="false">M187+N186</f>
        <v>-19714.2857142857</v>
      </c>
      <c r="O187" s="67" t="n">
        <f aca="false">N187+O186</f>
        <v>-21386.9047619048</v>
      </c>
      <c r="P187" s="67" t="n">
        <f aca="false">O187+P186</f>
        <v>-23059.5238095238</v>
      </c>
      <c r="Q187" s="67" t="n">
        <f aca="false">P187+Q186</f>
        <v>-24732.1428571428</v>
      </c>
      <c r="R187" s="67" t="n">
        <f aca="false">Q187+R186</f>
        <v>-26404.7619047619</v>
      </c>
      <c r="S187" s="67" t="n">
        <f aca="false">R187+S186</f>
        <v>-28077.3809523809</v>
      </c>
      <c r="T187" s="67" t="n">
        <f aca="false">S187+T186</f>
        <v>-29750</v>
      </c>
      <c r="U187" s="67" t="n">
        <f aca="false">T187+U186</f>
        <v>-31422.619047619</v>
      </c>
      <c r="V187" s="67" t="n">
        <f aca="false">U187+V186</f>
        <v>-33095.2380952381</v>
      </c>
      <c r="W187" s="67" t="n">
        <f aca="false">V187+W186</f>
        <v>-34767.8571428571</v>
      </c>
      <c r="X187" s="67" t="n">
        <f aca="false">W187+X186</f>
        <v>-36440.4761904762</v>
      </c>
      <c r="Y187" s="67" t="n">
        <f aca="false">X187+Y186</f>
        <v>-38113.0952380952</v>
      </c>
      <c r="Z187" s="67" t="n">
        <f aca="false">Y187+Z186</f>
        <v>-39785.7142857143</v>
      </c>
      <c r="AA187" s="67" t="n">
        <f aca="false">Z187+AA186</f>
        <v>-41488.0952380952</v>
      </c>
      <c r="AB187" s="67" t="n">
        <f aca="false">AA187+AB186</f>
        <v>-43190.4761904762</v>
      </c>
      <c r="AC187" s="67" t="n">
        <f aca="false">AB187+AC186</f>
        <v>-44892.8571428571</v>
      </c>
      <c r="AD187" s="67" t="n">
        <f aca="false">AC187+AD186</f>
        <v>-46595.2380952381</v>
      </c>
      <c r="AE187" s="67" t="n">
        <f aca="false">AD187+AE186</f>
        <v>-48297.619047619</v>
      </c>
      <c r="AF187" s="67" t="n">
        <f aca="false">AE187+AF186</f>
        <v>-50000</v>
      </c>
      <c r="AG187" s="67" t="n">
        <f aca="false">AF187+AG186</f>
        <v>-51702.3809523809</v>
      </c>
      <c r="AH187" s="67" t="n">
        <f aca="false">AG187+AH186</f>
        <v>-53404.7619047619</v>
      </c>
      <c r="AI187" s="67" t="n">
        <f aca="false">AH187+AI186</f>
        <v>-55107.1428571429</v>
      </c>
      <c r="AJ187" s="67" t="n">
        <f aca="false">AI187+AJ186</f>
        <v>-56809.5238095238</v>
      </c>
      <c r="AK187" s="67" t="n">
        <f aca="false">AJ187+AK186</f>
        <v>-58511.9047619048</v>
      </c>
      <c r="AL187" s="67" t="n">
        <f aca="false">AK187+AL186</f>
        <v>-60214.2857142857</v>
      </c>
    </row>
    <row r="188" customFormat="false" ht="15" hidden="false" customHeight="false" outlineLevel="0" collapsed="false">
      <c r="A188" s="4" t="s">
        <v>92</v>
      </c>
      <c r="C188" s="73" t="n">
        <f aca="false">C185+C187</f>
        <v>136357.142857143</v>
      </c>
      <c r="D188" s="73" t="n">
        <f aca="false">D185+D187</f>
        <v>134714.285714286</v>
      </c>
      <c r="E188" s="73" t="n">
        <f aca="false">E185+E187</f>
        <v>133071.428571429</v>
      </c>
      <c r="F188" s="73" t="n">
        <f aca="false">F185+F187</f>
        <v>131428.571428571</v>
      </c>
      <c r="G188" s="73" t="n">
        <f aca="false">G185+G187</f>
        <v>129785.714285714</v>
      </c>
      <c r="H188" s="73" t="n">
        <f aca="false">H185+H187</f>
        <v>128142.857142857</v>
      </c>
      <c r="I188" s="73" t="n">
        <f aca="false">I185+I187</f>
        <v>126500</v>
      </c>
      <c r="J188" s="73" t="n">
        <f aca="false">J185+J187</f>
        <v>124857.142857143</v>
      </c>
      <c r="K188" s="73" t="n">
        <f aca="false">K185+K187</f>
        <v>123214.285714286</v>
      </c>
      <c r="L188" s="73" t="n">
        <f aca="false">L185+L187</f>
        <v>121571.428571429</v>
      </c>
      <c r="M188" s="73" t="n">
        <f aca="false">M185+M187</f>
        <v>119928.571428571</v>
      </c>
      <c r="N188" s="73" t="n">
        <f aca="false">N185+N187</f>
        <v>118285.714285714</v>
      </c>
      <c r="O188" s="73" t="n">
        <f aca="false">O185+O187</f>
        <v>119113.095238095</v>
      </c>
      <c r="P188" s="73" t="n">
        <f aca="false">P185+P187</f>
        <v>117440.476190476</v>
      </c>
      <c r="Q188" s="73" t="n">
        <f aca="false">Q185+Q187</f>
        <v>115767.857142857</v>
      </c>
      <c r="R188" s="73" t="n">
        <f aca="false">R185+R187</f>
        <v>114095.238095238</v>
      </c>
      <c r="S188" s="73" t="n">
        <f aca="false">S185+S187</f>
        <v>112422.619047619</v>
      </c>
      <c r="T188" s="73" t="n">
        <f aca="false">T185+T187</f>
        <v>110750</v>
      </c>
      <c r="U188" s="73" t="n">
        <f aca="false">U185+U187</f>
        <v>109077.380952381</v>
      </c>
      <c r="V188" s="73" t="n">
        <f aca="false">V185+V187</f>
        <v>107404.761904762</v>
      </c>
      <c r="W188" s="73" t="n">
        <f aca="false">W185+W187</f>
        <v>105732.142857143</v>
      </c>
      <c r="X188" s="73" t="n">
        <f aca="false">X185+X187</f>
        <v>104059.523809524</v>
      </c>
      <c r="Y188" s="73" t="n">
        <f aca="false">Y185+Y187</f>
        <v>102386.904761905</v>
      </c>
      <c r="Z188" s="73" t="n">
        <f aca="false">Z185+Z187</f>
        <v>100714.285714286</v>
      </c>
      <c r="AA188" s="73" t="n">
        <f aca="false">AA185+AA187</f>
        <v>101511.904761905</v>
      </c>
      <c r="AB188" s="73" t="n">
        <f aca="false">AB185+AB187</f>
        <v>99809.5238095238</v>
      </c>
      <c r="AC188" s="73" t="n">
        <f aca="false">AC185+AC187</f>
        <v>98107.1428571429</v>
      </c>
      <c r="AD188" s="73" t="n">
        <f aca="false">AD185+AD187</f>
        <v>96404.7619047619</v>
      </c>
      <c r="AE188" s="73" t="n">
        <f aca="false">AE185+AE187</f>
        <v>94702.380952381</v>
      </c>
      <c r="AF188" s="73" t="n">
        <f aca="false">AF185+AF187</f>
        <v>93000</v>
      </c>
      <c r="AG188" s="73" t="n">
        <f aca="false">AG185+AG187</f>
        <v>91297.6190476191</v>
      </c>
      <c r="AH188" s="73" t="n">
        <f aca="false">AH185+AH187</f>
        <v>89595.2380952381</v>
      </c>
      <c r="AI188" s="73" t="n">
        <f aca="false">AI185+AI187</f>
        <v>87892.8571428572</v>
      </c>
      <c r="AJ188" s="73" t="n">
        <f aca="false">AJ185+AJ187</f>
        <v>86190.4761904762</v>
      </c>
      <c r="AK188" s="73" t="n">
        <f aca="false">AK185+AK187</f>
        <v>84488.0952380952</v>
      </c>
      <c r="AL188" s="73" t="n">
        <f aca="false">AL185+AL187</f>
        <v>82785.7142857143</v>
      </c>
    </row>
    <row r="190" customFormat="false" ht="15.75" hidden="false" customHeight="true" outlineLevel="0" collapsed="false">
      <c r="A190" s="7" t="s">
        <v>413</v>
      </c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</row>
    <row r="191" customFormat="false" ht="15" hidden="false" customHeight="false" outlineLevel="0" collapsed="false">
      <c r="A191" s="6" t="s">
        <v>414</v>
      </c>
      <c r="C191" s="67" t="n">
        <f aca="false">0</f>
        <v>0</v>
      </c>
      <c r="D191" s="67" t="n">
        <f aca="false">C194</f>
        <v>90000</v>
      </c>
      <c r="E191" s="67" t="n">
        <f aca="false">D194</f>
        <v>88500</v>
      </c>
      <c r="F191" s="67" t="n">
        <f aca="false">E194</f>
        <v>87000</v>
      </c>
      <c r="G191" s="67" t="n">
        <f aca="false">F194</f>
        <v>85500</v>
      </c>
      <c r="H191" s="67" t="n">
        <f aca="false">G194</f>
        <v>84000</v>
      </c>
      <c r="I191" s="67" t="n">
        <f aca="false">H194</f>
        <v>82500</v>
      </c>
      <c r="J191" s="67" t="n">
        <f aca="false">I194</f>
        <v>81000</v>
      </c>
      <c r="K191" s="67" t="n">
        <f aca="false">J194</f>
        <v>79500</v>
      </c>
      <c r="L191" s="67" t="n">
        <f aca="false">K194</f>
        <v>78000</v>
      </c>
      <c r="M191" s="67" t="n">
        <f aca="false">L194</f>
        <v>76500</v>
      </c>
      <c r="N191" s="67" t="n">
        <f aca="false">M194</f>
        <v>75000</v>
      </c>
      <c r="O191" s="67" t="n">
        <f aca="false">N194</f>
        <v>73500</v>
      </c>
      <c r="P191" s="67" t="n">
        <f aca="false">O194</f>
        <v>72000</v>
      </c>
      <c r="Q191" s="67" t="n">
        <f aca="false">P194</f>
        <v>70500</v>
      </c>
      <c r="R191" s="67" t="n">
        <f aca="false">Q194</f>
        <v>69000</v>
      </c>
      <c r="S191" s="67" t="n">
        <f aca="false">R194</f>
        <v>67500</v>
      </c>
      <c r="T191" s="67" t="n">
        <f aca="false">S194</f>
        <v>66000</v>
      </c>
      <c r="U191" s="67" t="n">
        <f aca="false">T194</f>
        <v>64500</v>
      </c>
      <c r="V191" s="67" t="n">
        <f aca="false">U194</f>
        <v>63000</v>
      </c>
      <c r="W191" s="67" t="n">
        <f aca="false">V194</f>
        <v>61500</v>
      </c>
      <c r="X191" s="67" t="n">
        <f aca="false">W194</f>
        <v>60000</v>
      </c>
      <c r="Y191" s="67" t="n">
        <f aca="false">X194</f>
        <v>58500</v>
      </c>
      <c r="Z191" s="67" t="n">
        <f aca="false">Y194</f>
        <v>57000</v>
      </c>
      <c r="AA191" s="67" t="n">
        <f aca="false">Z194</f>
        <v>55500</v>
      </c>
      <c r="AB191" s="67" t="n">
        <f aca="false">AA194</f>
        <v>54000</v>
      </c>
      <c r="AC191" s="67" t="n">
        <f aca="false">AB194</f>
        <v>52500</v>
      </c>
      <c r="AD191" s="67" t="n">
        <f aca="false">AC194</f>
        <v>51000</v>
      </c>
      <c r="AE191" s="67" t="n">
        <f aca="false">AD194</f>
        <v>49500</v>
      </c>
      <c r="AF191" s="67" t="n">
        <f aca="false">AE194</f>
        <v>48000</v>
      </c>
      <c r="AG191" s="67" t="n">
        <f aca="false">AF194</f>
        <v>46500</v>
      </c>
      <c r="AH191" s="67" t="n">
        <f aca="false">AG194</f>
        <v>45000</v>
      </c>
      <c r="AI191" s="67" t="n">
        <f aca="false">AH194</f>
        <v>43500</v>
      </c>
      <c r="AJ191" s="67" t="n">
        <f aca="false">AI194</f>
        <v>42000</v>
      </c>
      <c r="AK191" s="67" t="n">
        <f aca="false">AJ194</f>
        <v>40500</v>
      </c>
      <c r="AL191" s="67" t="n">
        <f aca="false">AK194</f>
        <v>39000</v>
      </c>
    </row>
    <row r="192" customFormat="false" ht="15" hidden="false" customHeight="false" outlineLevel="0" collapsed="false">
      <c r="A192" s="6" t="s">
        <v>85</v>
      </c>
      <c r="C192" s="67" t="n">
        <f aca="false">IF(C$126=1,Inputs!$C$72,0)</f>
        <v>90000</v>
      </c>
      <c r="D192" s="67" t="n">
        <f aca="false">IF(D$126=1,Inputs!$C$72,0)</f>
        <v>0</v>
      </c>
      <c r="E192" s="67" t="n">
        <f aca="false">IF(E$126=1,Inputs!$C$72,0)</f>
        <v>0</v>
      </c>
      <c r="F192" s="67" t="n">
        <f aca="false">IF(F$126=1,Inputs!$C$72,0)</f>
        <v>0</v>
      </c>
      <c r="G192" s="67" t="n">
        <f aca="false">IF(G$126=1,Inputs!$C$72,0)</f>
        <v>0</v>
      </c>
      <c r="H192" s="67" t="n">
        <f aca="false">IF(H$126=1,Inputs!$C$72,0)</f>
        <v>0</v>
      </c>
      <c r="I192" s="67" t="n">
        <f aca="false">IF(I$126=1,Inputs!$C$72,0)</f>
        <v>0</v>
      </c>
      <c r="J192" s="67" t="n">
        <f aca="false">IF(J$126=1,Inputs!$C$72,0)</f>
        <v>0</v>
      </c>
      <c r="K192" s="67" t="n">
        <f aca="false">IF(K$126=1,Inputs!$C$72,0)</f>
        <v>0</v>
      </c>
      <c r="L192" s="67" t="n">
        <f aca="false">IF(L$126=1,Inputs!$C$72,0)</f>
        <v>0</v>
      </c>
      <c r="M192" s="67" t="n">
        <f aca="false">IF(M$126=1,Inputs!$C$72,0)</f>
        <v>0</v>
      </c>
      <c r="N192" s="67" t="n">
        <f aca="false">IF(N$126=1,Inputs!$C$72,0)</f>
        <v>0</v>
      </c>
      <c r="O192" s="67" t="n">
        <f aca="false">IF(O$126=1,Inputs!$C$72,0)</f>
        <v>0</v>
      </c>
      <c r="P192" s="67" t="n">
        <f aca="false">IF(P$126=1,Inputs!$C$72,0)</f>
        <v>0</v>
      </c>
      <c r="Q192" s="67" t="n">
        <f aca="false">IF(Q$126=1,Inputs!$C$72,0)</f>
        <v>0</v>
      </c>
      <c r="R192" s="67" t="n">
        <f aca="false">IF(R$126=1,Inputs!$C$72,0)</f>
        <v>0</v>
      </c>
      <c r="S192" s="67" t="n">
        <f aca="false">IF(S$126=1,Inputs!$C$72,0)</f>
        <v>0</v>
      </c>
      <c r="T192" s="67" t="n">
        <f aca="false">IF(T$126=1,Inputs!$C$72,0)</f>
        <v>0</v>
      </c>
      <c r="U192" s="67" t="n">
        <f aca="false">IF(U$126=1,Inputs!$C$72,0)</f>
        <v>0</v>
      </c>
      <c r="V192" s="67" t="n">
        <f aca="false">IF(V$126=1,Inputs!$C$72,0)</f>
        <v>0</v>
      </c>
      <c r="W192" s="67" t="n">
        <f aca="false">IF(W$126=1,Inputs!$C$72,0)</f>
        <v>0</v>
      </c>
      <c r="X192" s="67" t="n">
        <f aca="false">IF(X$126=1,Inputs!$C$72,0)</f>
        <v>0</v>
      </c>
      <c r="Y192" s="67" t="n">
        <f aca="false">IF(Y$126=1,Inputs!$C$72,0)</f>
        <v>0</v>
      </c>
      <c r="Z192" s="67" t="n">
        <f aca="false">IF(Z$126=1,Inputs!$C$72,0)</f>
        <v>0</v>
      </c>
      <c r="AA192" s="67" t="n">
        <f aca="false">IF(AA$126=1,Inputs!$C$72,0)</f>
        <v>0</v>
      </c>
      <c r="AB192" s="67" t="n">
        <f aca="false">IF(AB$126=1,Inputs!$C$72,0)</f>
        <v>0</v>
      </c>
      <c r="AC192" s="67" t="n">
        <f aca="false">IF(AC$126=1,Inputs!$C$72,0)</f>
        <v>0</v>
      </c>
      <c r="AD192" s="67" t="n">
        <f aca="false">IF(AD$126=1,Inputs!$C$72,0)</f>
        <v>0</v>
      </c>
      <c r="AE192" s="67" t="n">
        <f aca="false">IF(AE$126=1,Inputs!$C$72,0)</f>
        <v>0</v>
      </c>
      <c r="AF192" s="67" t="n">
        <f aca="false">IF(AF$126=1,Inputs!$C$72,0)</f>
        <v>0</v>
      </c>
      <c r="AG192" s="67" t="n">
        <f aca="false">IF(AG$126=1,Inputs!$C$72,0)</f>
        <v>0</v>
      </c>
      <c r="AH192" s="67" t="n">
        <f aca="false">IF(AH$126=1,Inputs!$C$72,0)</f>
        <v>0</v>
      </c>
      <c r="AI192" s="67" t="n">
        <f aca="false">IF(AI$126=1,Inputs!$C$72,0)</f>
        <v>0</v>
      </c>
      <c r="AJ192" s="67" t="n">
        <f aca="false">IF(AJ$126=1,Inputs!$C$72,0)</f>
        <v>0</v>
      </c>
      <c r="AK192" s="67" t="n">
        <f aca="false">IF(AK$126=1,Inputs!$C$72,0)</f>
        <v>0</v>
      </c>
      <c r="AL192" s="67" t="n">
        <f aca="false">IF(AL$126=1,Inputs!$C$72,0)</f>
        <v>0</v>
      </c>
    </row>
    <row r="193" customFormat="false" ht="15" hidden="false" customHeight="false" outlineLevel="0" collapsed="false">
      <c r="A193" s="6" t="s">
        <v>86</v>
      </c>
      <c r="C193" s="67" t="n">
        <f aca="false">-MIN(C191,Inputs!$C$72/MAX(1,Inputs!$C$74*12))</f>
        <v>-0</v>
      </c>
      <c r="D193" s="67" t="n">
        <f aca="false">-MIN(D191,Inputs!$C$72/MAX(1,Inputs!$C$74*12))</f>
        <v>-1500</v>
      </c>
      <c r="E193" s="67" t="n">
        <f aca="false">-MIN(E191,Inputs!$C$72/MAX(1,Inputs!$C$74*12))</f>
        <v>-1500</v>
      </c>
      <c r="F193" s="67" t="n">
        <f aca="false">-MIN(F191,Inputs!$C$72/MAX(1,Inputs!$C$74*12))</f>
        <v>-1500</v>
      </c>
      <c r="G193" s="67" t="n">
        <f aca="false">-MIN(G191,Inputs!$C$72/MAX(1,Inputs!$C$74*12))</f>
        <v>-1500</v>
      </c>
      <c r="H193" s="67" t="n">
        <f aca="false">-MIN(H191,Inputs!$C$72/MAX(1,Inputs!$C$74*12))</f>
        <v>-1500</v>
      </c>
      <c r="I193" s="67" t="n">
        <f aca="false">-MIN(I191,Inputs!$C$72/MAX(1,Inputs!$C$74*12))</f>
        <v>-1500</v>
      </c>
      <c r="J193" s="67" t="n">
        <f aca="false">-MIN(J191,Inputs!$C$72/MAX(1,Inputs!$C$74*12))</f>
        <v>-1500</v>
      </c>
      <c r="K193" s="67" t="n">
        <f aca="false">-MIN(K191,Inputs!$C$72/MAX(1,Inputs!$C$74*12))</f>
        <v>-1500</v>
      </c>
      <c r="L193" s="67" t="n">
        <f aca="false">-MIN(L191,Inputs!$C$72/MAX(1,Inputs!$C$74*12))</f>
        <v>-1500</v>
      </c>
      <c r="M193" s="67" t="n">
        <f aca="false">-MIN(M191,Inputs!$C$72/MAX(1,Inputs!$C$74*12))</f>
        <v>-1500</v>
      </c>
      <c r="N193" s="67" t="n">
        <f aca="false">-MIN(N191,Inputs!$C$72/MAX(1,Inputs!$C$74*12))</f>
        <v>-1500</v>
      </c>
      <c r="O193" s="67" t="n">
        <f aca="false">-MIN(O191,Inputs!$C$72/MAX(1,Inputs!$C$74*12))</f>
        <v>-1500</v>
      </c>
      <c r="P193" s="67" t="n">
        <f aca="false">-MIN(P191,Inputs!$C$72/MAX(1,Inputs!$C$74*12))</f>
        <v>-1500</v>
      </c>
      <c r="Q193" s="67" t="n">
        <f aca="false">-MIN(Q191,Inputs!$C$72/MAX(1,Inputs!$C$74*12))</f>
        <v>-1500</v>
      </c>
      <c r="R193" s="67" t="n">
        <f aca="false">-MIN(R191,Inputs!$C$72/MAX(1,Inputs!$C$74*12))</f>
        <v>-1500</v>
      </c>
      <c r="S193" s="67" t="n">
        <f aca="false">-MIN(S191,Inputs!$C$72/MAX(1,Inputs!$C$74*12))</f>
        <v>-1500</v>
      </c>
      <c r="T193" s="67" t="n">
        <f aca="false">-MIN(T191,Inputs!$C$72/MAX(1,Inputs!$C$74*12))</f>
        <v>-1500</v>
      </c>
      <c r="U193" s="67" t="n">
        <f aca="false">-MIN(U191,Inputs!$C$72/MAX(1,Inputs!$C$74*12))</f>
        <v>-1500</v>
      </c>
      <c r="V193" s="67" t="n">
        <f aca="false">-MIN(V191,Inputs!$C$72/MAX(1,Inputs!$C$74*12))</f>
        <v>-1500</v>
      </c>
      <c r="W193" s="67" t="n">
        <f aca="false">-MIN(W191,Inputs!$C$72/MAX(1,Inputs!$C$74*12))</f>
        <v>-1500</v>
      </c>
      <c r="X193" s="67" t="n">
        <f aca="false">-MIN(X191,Inputs!$C$72/MAX(1,Inputs!$C$74*12))</f>
        <v>-1500</v>
      </c>
      <c r="Y193" s="67" t="n">
        <f aca="false">-MIN(Y191,Inputs!$C$72/MAX(1,Inputs!$C$74*12))</f>
        <v>-1500</v>
      </c>
      <c r="Z193" s="67" t="n">
        <f aca="false">-MIN(Z191,Inputs!$C$72/MAX(1,Inputs!$C$74*12))</f>
        <v>-1500</v>
      </c>
      <c r="AA193" s="67" t="n">
        <f aca="false">-MIN(AA191,Inputs!$C$72/MAX(1,Inputs!$C$74*12))</f>
        <v>-1500</v>
      </c>
      <c r="AB193" s="67" t="n">
        <f aca="false">-MIN(AB191,Inputs!$C$72/MAX(1,Inputs!$C$74*12))</f>
        <v>-1500</v>
      </c>
      <c r="AC193" s="67" t="n">
        <f aca="false">-MIN(AC191,Inputs!$C$72/MAX(1,Inputs!$C$74*12))</f>
        <v>-1500</v>
      </c>
      <c r="AD193" s="67" t="n">
        <f aca="false">-MIN(AD191,Inputs!$C$72/MAX(1,Inputs!$C$74*12))</f>
        <v>-1500</v>
      </c>
      <c r="AE193" s="67" t="n">
        <f aca="false">-MIN(AE191,Inputs!$C$72/MAX(1,Inputs!$C$74*12))</f>
        <v>-1500</v>
      </c>
      <c r="AF193" s="67" t="n">
        <f aca="false">-MIN(AF191,Inputs!$C$72/MAX(1,Inputs!$C$74*12))</f>
        <v>-1500</v>
      </c>
      <c r="AG193" s="67" t="n">
        <f aca="false">-MIN(AG191,Inputs!$C$72/MAX(1,Inputs!$C$74*12))</f>
        <v>-1500</v>
      </c>
      <c r="AH193" s="67" t="n">
        <f aca="false">-MIN(AH191,Inputs!$C$72/MAX(1,Inputs!$C$74*12))</f>
        <v>-1500</v>
      </c>
      <c r="AI193" s="67" t="n">
        <f aca="false">-MIN(AI191,Inputs!$C$72/MAX(1,Inputs!$C$74*12))</f>
        <v>-1500</v>
      </c>
      <c r="AJ193" s="67" t="n">
        <f aca="false">-MIN(AJ191,Inputs!$C$72/MAX(1,Inputs!$C$74*12))</f>
        <v>-1500</v>
      </c>
      <c r="AK193" s="67" t="n">
        <f aca="false">-MIN(AK191,Inputs!$C$72/MAX(1,Inputs!$C$74*12))</f>
        <v>-1500</v>
      </c>
      <c r="AL193" s="67" t="n">
        <f aca="false">-MIN(AL191,Inputs!$C$72/MAX(1,Inputs!$C$74*12))</f>
        <v>-1500</v>
      </c>
    </row>
    <row r="194" customFormat="false" ht="15" hidden="false" customHeight="false" outlineLevel="0" collapsed="false">
      <c r="A194" s="4" t="s">
        <v>415</v>
      </c>
      <c r="C194" s="73" t="n">
        <f aca="false">C191+C192+C193</f>
        <v>90000</v>
      </c>
      <c r="D194" s="73" t="n">
        <f aca="false">D191+D192+D193</f>
        <v>88500</v>
      </c>
      <c r="E194" s="73" t="n">
        <f aca="false">E191+E192+E193</f>
        <v>87000</v>
      </c>
      <c r="F194" s="73" t="n">
        <f aca="false">F191+F192+F193</f>
        <v>85500</v>
      </c>
      <c r="G194" s="73" t="n">
        <f aca="false">G191+G192+G193</f>
        <v>84000</v>
      </c>
      <c r="H194" s="73" t="n">
        <f aca="false">H191+H192+H193</f>
        <v>82500</v>
      </c>
      <c r="I194" s="73" t="n">
        <f aca="false">I191+I192+I193</f>
        <v>81000</v>
      </c>
      <c r="J194" s="73" t="n">
        <f aca="false">J191+J192+J193</f>
        <v>79500</v>
      </c>
      <c r="K194" s="73" t="n">
        <f aca="false">K191+K192+K193</f>
        <v>78000</v>
      </c>
      <c r="L194" s="73" t="n">
        <f aca="false">L191+L192+L193</f>
        <v>76500</v>
      </c>
      <c r="M194" s="73" t="n">
        <f aca="false">M191+M192+M193</f>
        <v>75000</v>
      </c>
      <c r="N194" s="73" t="n">
        <f aca="false">N191+N192+N193</f>
        <v>73500</v>
      </c>
      <c r="O194" s="73" t="n">
        <f aca="false">O191+O192+O193</f>
        <v>72000</v>
      </c>
      <c r="P194" s="73" t="n">
        <f aca="false">P191+P192+P193</f>
        <v>70500</v>
      </c>
      <c r="Q194" s="73" t="n">
        <f aca="false">Q191+Q192+Q193</f>
        <v>69000</v>
      </c>
      <c r="R194" s="73" t="n">
        <f aca="false">R191+R192+R193</f>
        <v>67500</v>
      </c>
      <c r="S194" s="73" t="n">
        <f aca="false">S191+S192+S193</f>
        <v>66000</v>
      </c>
      <c r="T194" s="73" t="n">
        <f aca="false">T191+T192+T193</f>
        <v>64500</v>
      </c>
      <c r="U194" s="73" t="n">
        <f aca="false">U191+U192+U193</f>
        <v>63000</v>
      </c>
      <c r="V194" s="73" t="n">
        <f aca="false">V191+V192+V193</f>
        <v>61500</v>
      </c>
      <c r="W194" s="73" t="n">
        <f aca="false">W191+W192+W193</f>
        <v>60000</v>
      </c>
      <c r="X194" s="73" t="n">
        <f aca="false">X191+X192+X193</f>
        <v>58500</v>
      </c>
      <c r="Y194" s="73" t="n">
        <f aca="false">Y191+Y192+Y193</f>
        <v>57000</v>
      </c>
      <c r="Z194" s="73" t="n">
        <f aca="false">Z191+Z192+Z193</f>
        <v>55500</v>
      </c>
      <c r="AA194" s="73" t="n">
        <f aca="false">AA191+AA192+AA193</f>
        <v>54000</v>
      </c>
      <c r="AB194" s="73" t="n">
        <f aca="false">AB191+AB192+AB193</f>
        <v>52500</v>
      </c>
      <c r="AC194" s="73" t="n">
        <f aca="false">AC191+AC192+AC193</f>
        <v>51000</v>
      </c>
      <c r="AD194" s="73" t="n">
        <f aca="false">AD191+AD192+AD193</f>
        <v>49500</v>
      </c>
      <c r="AE194" s="73" t="n">
        <f aca="false">AE191+AE192+AE193</f>
        <v>48000</v>
      </c>
      <c r="AF194" s="73" t="n">
        <f aca="false">AF191+AF192+AF193</f>
        <v>46500</v>
      </c>
      <c r="AG194" s="73" t="n">
        <f aca="false">AG191+AG192+AG193</f>
        <v>45000</v>
      </c>
      <c r="AH194" s="73" t="n">
        <f aca="false">AH191+AH192+AH193</f>
        <v>43500</v>
      </c>
      <c r="AI194" s="73" t="n">
        <f aca="false">AI191+AI192+AI193</f>
        <v>42000</v>
      </c>
      <c r="AJ194" s="73" t="n">
        <f aca="false">AJ191+AJ192+AJ193</f>
        <v>40500</v>
      </c>
      <c r="AK194" s="73" t="n">
        <f aca="false">AK191+AK192+AK193</f>
        <v>39000</v>
      </c>
      <c r="AL194" s="73" t="n">
        <f aca="false">AL191+AL192+AL193</f>
        <v>37500</v>
      </c>
    </row>
    <row r="196" customFormat="false" ht="15.75" hidden="false" customHeight="true" outlineLevel="0" collapsed="false">
      <c r="A196" s="7" t="s">
        <v>314</v>
      </c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</row>
    <row r="197" customFormat="false" ht="15" hidden="false" customHeight="false" outlineLevel="0" collapsed="false">
      <c r="A197" s="6" t="s">
        <v>90</v>
      </c>
      <c r="C197" s="67" t="n">
        <f aca="false">C146*Inputs!$C$77/30</f>
        <v>1041.6</v>
      </c>
      <c r="D197" s="67" t="n">
        <f aca="false">D146*Inputs!$C$77/30</f>
        <v>1215.2</v>
      </c>
      <c r="E197" s="67" t="n">
        <f aca="false">E146*Inputs!$C$77/30</f>
        <v>1881.6</v>
      </c>
      <c r="F197" s="67" t="n">
        <f aca="false">F146*Inputs!$C$77/30</f>
        <v>2116.8</v>
      </c>
      <c r="G197" s="67" t="n">
        <f aca="false">G146*Inputs!$C$77/30</f>
        <v>2352</v>
      </c>
      <c r="H197" s="67" t="n">
        <f aca="false">H146*Inputs!$C$77/30</f>
        <v>2587.2</v>
      </c>
      <c r="I197" s="67" t="n">
        <f aca="false">I146*Inputs!$C$77/30</f>
        <v>2822.4</v>
      </c>
      <c r="J197" s="67" t="n">
        <f aca="false">J146*Inputs!$C$77/30</f>
        <v>2822.4</v>
      </c>
      <c r="K197" s="67" t="n">
        <f aca="false">K146*Inputs!$C$77/30</f>
        <v>2822.4</v>
      </c>
      <c r="L197" s="67" t="n">
        <f aca="false">L146*Inputs!$C$77/30</f>
        <v>2822.4</v>
      </c>
      <c r="M197" s="67" t="n">
        <f aca="false">M146*Inputs!$C$77/30</f>
        <v>2822.4</v>
      </c>
      <c r="N197" s="67" t="n">
        <f aca="false">N146*Inputs!$C$77/30</f>
        <v>2083.2</v>
      </c>
      <c r="O197" s="67" t="n">
        <f aca="false">O146*Inputs!$C$77/30</f>
        <v>2218.71888</v>
      </c>
      <c r="P197" s="67" t="n">
        <f aca="false">P146*Inputs!$C$77/30</f>
        <v>2218.71888</v>
      </c>
      <c r="Q197" s="67" t="n">
        <f aca="false">Q146*Inputs!$C$77/30</f>
        <v>3002.93616</v>
      </c>
      <c r="R197" s="67" t="n">
        <f aca="false">R146*Inputs!$C$77/30</f>
        <v>3002.93616</v>
      </c>
      <c r="S197" s="67" t="n">
        <f aca="false">S146*Inputs!$C$77/30</f>
        <v>3002.93616</v>
      </c>
      <c r="T197" s="67" t="n">
        <f aca="false">T146*Inputs!$C$77/30</f>
        <v>3002.93616</v>
      </c>
      <c r="U197" s="67" t="n">
        <f aca="false">U146*Inputs!$C$77/30</f>
        <v>3002.93616</v>
      </c>
      <c r="V197" s="67" t="n">
        <f aca="false">V146*Inputs!$C$77/30</f>
        <v>3002.93616</v>
      </c>
      <c r="W197" s="67" t="n">
        <f aca="false">W146*Inputs!$C$77/30</f>
        <v>3002.93616</v>
      </c>
      <c r="X197" s="67" t="n">
        <f aca="false">X146*Inputs!$C$77/30</f>
        <v>3002.93616</v>
      </c>
      <c r="Y197" s="67" t="n">
        <f aca="false">Y146*Inputs!$C$77/30</f>
        <v>3002.93616</v>
      </c>
      <c r="Z197" s="67" t="n">
        <f aca="false">Z146*Inputs!$C$77/30</f>
        <v>2218.71888</v>
      </c>
      <c r="AA197" s="67" t="n">
        <f aca="false">AA146*Inputs!$C$77/30</f>
        <v>2363.195997792</v>
      </c>
      <c r="AB197" s="67" t="n">
        <f aca="false">AB146*Inputs!$C$77/30</f>
        <v>2363.195997792</v>
      </c>
      <c r="AC197" s="67" t="n">
        <f aca="false">AC146*Inputs!$C$77/30</f>
        <v>3195.172110144</v>
      </c>
      <c r="AD197" s="67" t="n">
        <f aca="false">AD146*Inputs!$C$77/30</f>
        <v>3195.172110144</v>
      </c>
      <c r="AE197" s="67" t="n">
        <f aca="false">AE146*Inputs!$C$77/30</f>
        <v>3195.172110144</v>
      </c>
      <c r="AF197" s="67" t="n">
        <f aca="false">AF146*Inputs!$C$77/30</f>
        <v>3195.172110144</v>
      </c>
      <c r="AG197" s="67" t="n">
        <f aca="false">AG146*Inputs!$C$77/30</f>
        <v>3195.172110144</v>
      </c>
      <c r="AH197" s="67" t="n">
        <f aca="false">AH146*Inputs!$C$77/30</f>
        <v>3195.172110144</v>
      </c>
      <c r="AI197" s="67" t="n">
        <f aca="false">AI146*Inputs!$C$77/30</f>
        <v>3195.172110144</v>
      </c>
      <c r="AJ197" s="67" t="n">
        <f aca="false">AJ146*Inputs!$C$77/30</f>
        <v>3195.172110144</v>
      </c>
      <c r="AK197" s="67" t="n">
        <f aca="false">AK146*Inputs!$C$77/30</f>
        <v>3195.172110144</v>
      </c>
      <c r="AL197" s="67" t="n">
        <f aca="false">AL146*Inputs!$C$77/30</f>
        <v>2363.195997792</v>
      </c>
    </row>
    <row r="198" customFormat="false" ht="15" hidden="false" customHeight="false" outlineLevel="0" collapsed="false">
      <c r="A198" s="6" t="s">
        <v>91</v>
      </c>
      <c r="C198" s="67" t="n">
        <f aca="false">-C154*Inputs!$C$78/30</f>
        <v>430.8144</v>
      </c>
      <c r="D198" s="67" t="n">
        <f aca="false">-D154*Inputs!$C$78/30</f>
        <v>502.6168</v>
      </c>
      <c r="E198" s="67" t="n">
        <f aca="false">-E154*Inputs!$C$78/30</f>
        <v>767.1744</v>
      </c>
      <c r="F198" s="67" t="n">
        <f aca="false">-F154*Inputs!$C$78/30</f>
        <v>863.0712</v>
      </c>
      <c r="G198" s="67" t="n">
        <f aca="false">-G154*Inputs!$C$78/30</f>
        <v>958.968</v>
      </c>
      <c r="H198" s="67" t="n">
        <f aca="false">-H154*Inputs!$C$78/30</f>
        <v>1054.8648</v>
      </c>
      <c r="I198" s="67" t="n">
        <f aca="false">-I154*Inputs!$C$78/30</f>
        <v>1150.7616</v>
      </c>
      <c r="J198" s="67" t="n">
        <f aca="false">-J154*Inputs!$C$78/30</f>
        <v>1150.7616</v>
      </c>
      <c r="K198" s="67" t="n">
        <f aca="false">-K154*Inputs!$C$78/30</f>
        <v>1150.7616</v>
      </c>
      <c r="L198" s="67" t="n">
        <f aca="false">-L154*Inputs!$C$78/30</f>
        <v>1150.7616</v>
      </c>
      <c r="M198" s="67" t="n">
        <f aca="false">-M154*Inputs!$C$78/30</f>
        <v>1150.7616</v>
      </c>
      <c r="N198" s="67" t="n">
        <f aca="false">-N154*Inputs!$C$78/30</f>
        <v>861.6288</v>
      </c>
      <c r="O198" s="67" t="n">
        <f aca="false">-O154*Inputs!$C$78/30</f>
        <v>918.45024192</v>
      </c>
      <c r="P198" s="67" t="n">
        <f aca="false">-P154*Inputs!$C$78/30</f>
        <v>918.45024192</v>
      </c>
      <c r="Q198" s="67" t="n">
        <f aca="false">-Q154*Inputs!$C$78/30</f>
        <v>1225.19122944</v>
      </c>
      <c r="R198" s="67" t="n">
        <f aca="false">-R154*Inputs!$C$78/30</f>
        <v>1225.19122944</v>
      </c>
      <c r="S198" s="67" t="n">
        <f aca="false">-S154*Inputs!$C$78/30</f>
        <v>1225.19122944</v>
      </c>
      <c r="T198" s="67" t="n">
        <f aca="false">-T154*Inputs!$C$78/30</f>
        <v>1225.19122944</v>
      </c>
      <c r="U198" s="67" t="n">
        <f aca="false">-U154*Inputs!$C$78/30</f>
        <v>1225.19122944</v>
      </c>
      <c r="V198" s="67" t="n">
        <f aca="false">-V154*Inputs!$C$78/30</f>
        <v>1225.19122944</v>
      </c>
      <c r="W198" s="67" t="n">
        <f aca="false">-W154*Inputs!$C$78/30</f>
        <v>1225.19122944</v>
      </c>
      <c r="X198" s="67" t="n">
        <f aca="false">-X154*Inputs!$C$78/30</f>
        <v>1225.19122944</v>
      </c>
      <c r="Y198" s="67" t="n">
        <f aca="false">-Y154*Inputs!$C$78/30</f>
        <v>1225.19122944</v>
      </c>
      <c r="Z198" s="67" t="n">
        <f aca="false">-Z154*Inputs!$C$78/30</f>
        <v>918.45024192</v>
      </c>
      <c r="AA198" s="67" t="n">
        <f aca="false">-AA154*Inputs!$C$78/30</f>
        <v>979.086491864928</v>
      </c>
      <c r="AB198" s="67" t="n">
        <f aca="false">-AB154*Inputs!$C$78/30</f>
        <v>979.086491864928</v>
      </c>
      <c r="AC198" s="67" t="n">
        <f aca="false">-AC154*Inputs!$C$78/30</f>
        <v>1304.5080055249</v>
      </c>
      <c r="AD198" s="67" t="n">
        <f aca="false">-AD154*Inputs!$C$78/30</f>
        <v>1304.5080055249</v>
      </c>
      <c r="AE198" s="67" t="n">
        <f aca="false">-AE154*Inputs!$C$78/30</f>
        <v>1304.5080055249</v>
      </c>
      <c r="AF198" s="67" t="n">
        <f aca="false">-AF154*Inputs!$C$78/30</f>
        <v>1304.5080055249</v>
      </c>
      <c r="AG198" s="67" t="n">
        <f aca="false">-AG154*Inputs!$C$78/30</f>
        <v>1304.5080055249</v>
      </c>
      <c r="AH198" s="67" t="n">
        <f aca="false">-AH154*Inputs!$C$78/30</f>
        <v>1304.5080055249</v>
      </c>
      <c r="AI198" s="67" t="n">
        <f aca="false">-AI154*Inputs!$C$78/30</f>
        <v>1304.5080055249</v>
      </c>
      <c r="AJ198" s="67" t="n">
        <f aca="false">-AJ154*Inputs!$C$78/30</f>
        <v>1304.5080055249</v>
      </c>
      <c r="AK198" s="67" t="n">
        <f aca="false">-AK154*Inputs!$C$78/30</f>
        <v>1304.5080055249</v>
      </c>
      <c r="AL198" s="67" t="n">
        <f aca="false">-AL154*Inputs!$C$78/30</f>
        <v>979.086491864928</v>
      </c>
    </row>
    <row r="199" customFormat="false" ht="15" hidden="false" customHeight="false" outlineLevel="0" collapsed="false">
      <c r="A199" s="6" t="s">
        <v>94</v>
      </c>
      <c r="C199" s="67" t="n">
        <f aca="false">-C154*Inputs!$C$79/30</f>
        <v>1005.2336</v>
      </c>
      <c r="D199" s="67" t="n">
        <f aca="false">-D154*Inputs!$C$79/30</f>
        <v>1172.77253333333</v>
      </c>
      <c r="E199" s="67" t="n">
        <f aca="false">-E154*Inputs!$C$79/30</f>
        <v>1790.0736</v>
      </c>
      <c r="F199" s="67" t="n">
        <f aca="false">-F154*Inputs!$C$79/30</f>
        <v>2013.8328</v>
      </c>
      <c r="G199" s="67" t="n">
        <f aca="false">-G154*Inputs!$C$79/30</f>
        <v>2237.592</v>
      </c>
      <c r="H199" s="67" t="n">
        <f aca="false">-H154*Inputs!$C$79/30</f>
        <v>2461.3512</v>
      </c>
      <c r="I199" s="67" t="n">
        <f aca="false">-I154*Inputs!$C$79/30</f>
        <v>2685.1104</v>
      </c>
      <c r="J199" s="67" t="n">
        <f aca="false">-J154*Inputs!$C$79/30</f>
        <v>2685.1104</v>
      </c>
      <c r="K199" s="67" t="n">
        <f aca="false">-K154*Inputs!$C$79/30</f>
        <v>2685.1104</v>
      </c>
      <c r="L199" s="67" t="n">
        <f aca="false">-L154*Inputs!$C$79/30</f>
        <v>2685.1104</v>
      </c>
      <c r="M199" s="67" t="n">
        <f aca="false">-M154*Inputs!$C$79/30</f>
        <v>2685.1104</v>
      </c>
      <c r="N199" s="67" t="n">
        <f aca="false">-N154*Inputs!$C$79/30</f>
        <v>2010.4672</v>
      </c>
      <c r="O199" s="67" t="n">
        <f aca="false">-O154*Inputs!$C$79/30</f>
        <v>2143.05056448</v>
      </c>
      <c r="P199" s="67" t="n">
        <f aca="false">-P154*Inputs!$C$79/30</f>
        <v>2143.05056448</v>
      </c>
      <c r="Q199" s="67" t="n">
        <f aca="false">-Q154*Inputs!$C$79/30</f>
        <v>2858.77953536</v>
      </c>
      <c r="R199" s="67" t="n">
        <f aca="false">-R154*Inputs!$C$79/30</f>
        <v>2858.77953536</v>
      </c>
      <c r="S199" s="67" t="n">
        <f aca="false">-S154*Inputs!$C$79/30</f>
        <v>2858.77953536</v>
      </c>
      <c r="T199" s="67" t="n">
        <f aca="false">-T154*Inputs!$C$79/30</f>
        <v>2858.77953536</v>
      </c>
      <c r="U199" s="67" t="n">
        <f aca="false">-U154*Inputs!$C$79/30</f>
        <v>2858.77953536</v>
      </c>
      <c r="V199" s="67" t="n">
        <f aca="false">-V154*Inputs!$C$79/30</f>
        <v>2858.77953536</v>
      </c>
      <c r="W199" s="67" t="n">
        <f aca="false">-W154*Inputs!$C$79/30</f>
        <v>2858.77953536</v>
      </c>
      <c r="X199" s="67" t="n">
        <f aca="false">-X154*Inputs!$C$79/30</f>
        <v>2858.77953536</v>
      </c>
      <c r="Y199" s="67" t="n">
        <f aca="false">-Y154*Inputs!$C$79/30</f>
        <v>2858.77953536</v>
      </c>
      <c r="Z199" s="67" t="n">
        <f aca="false">-Z154*Inputs!$C$79/30</f>
        <v>2143.05056448</v>
      </c>
      <c r="AA199" s="67" t="n">
        <f aca="false">-AA154*Inputs!$C$79/30</f>
        <v>2284.53514768483</v>
      </c>
      <c r="AB199" s="67" t="n">
        <f aca="false">-AB154*Inputs!$C$79/30</f>
        <v>2284.53514768483</v>
      </c>
      <c r="AC199" s="67" t="n">
        <f aca="false">-AC154*Inputs!$C$79/30</f>
        <v>3043.85201289142</v>
      </c>
      <c r="AD199" s="67" t="n">
        <f aca="false">-AD154*Inputs!$C$79/30</f>
        <v>3043.85201289142</v>
      </c>
      <c r="AE199" s="67" t="n">
        <f aca="false">-AE154*Inputs!$C$79/30</f>
        <v>3043.85201289142</v>
      </c>
      <c r="AF199" s="67" t="n">
        <f aca="false">-AF154*Inputs!$C$79/30</f>
        <v>3043.85201289142</v>
      </c>
      <c r="AG199" s="67" t="n">
        <f aca="false">-AG154*Inputs!$C$79/30</f>
        <v>3043.85201289142</v>
      </c>
      <c r="AH199" s="67" t="n">
        <f aca="false">-AH154*Inputs!$C$79/30</f>
        <v>3043.85201289142</v>
      </c>
      <c r="AI199" s="67" t="n">
        <f aca="false">-AI154*Inputs!$C$79/30</f>
        <v>3043.85201289142</v>
      </c>
      <c r="AJ199" s="67" t="n">
        <f aca="false">-AJ154*Inputs!$C$79/30</f>
        <v>3043.85201289142</v>
      </c>
      <c r="AK199" s="67" t="n">
        <f aca="false">-AK154*Inputs!$C$79/30</f>
        <v>3043.85201289142</v>
      </c>
      <c r="AL199" s="67" t="n">
        <f aca="false">-AL154*Inputs!$C$79/30</f>
        <v>2284.53514768483</v>
      </c>
    </row>
    <row r="200" customFormat="false" ht="15" hidden="false" customHeight="false" outlineLevel="0" collapsed="false">
      <c r="A200" s="6" t="s">
        <v>340</v>
      </c>
      <c r="C200" s="67" t="n">
        <f aca="false">-C197</f>
        <v>-1041.6</v>
      </c>
      <c r="D200" s="67" t="n">
        <f aca="false">C197-D197</f>
        <v>-173.600000000001</v>
      </c>
      <c r="E200" s="67" t="n">
        <f aca="false">D197-E197</f>
        <v>-666.399999999999</v>
      </c>
      <c r="F200" s="67" t="n">
        <f aca="false">E197-F197</f>
        <v>-235.200000000001</v>
      </c>
      <c r="G200" s="67" t="n">
        <f aca="false">F197-G197</f>
        <v>-235.199999999999</v>
      </c>
      <c r="H200" s="67" t="n">
        <f aca="false">G197-H197</f>
        <v>-235.2</v>
      </c>
      <c r="I200" s="67" t="n">
        <f aca="false">H197-I197</f>
        <v>-235.200000000001</v>
      </c>
      <c r="J200" s="67" t="n">
        <f aca="false">I197-J197</f>
        <v>0</v>
      </c>
      <c r="K200" s="67" t="n">
        <f aca="false">J197-K197</f>
        <v>0</v>
      </c>
      <c r="L200" s="67" t="n">
        <f aca="false">K197-L197</f>
        <v>0</v>
      </c>
      <c r="M200" s="67" t="n">
        <f aca="false">L197-M197</f>
        <v>0</v>
      </c>
      <c r="N200" s="67" t="n">
        <f aca="false">M197-N197</f>
        <v>739.2</v>
      </c>
      <c r="O200" s="67" t="n">
        <f aca="false">N197-O197</f>
        <v>-135.51888</v>
      </c>
      <c r="P200" s="67" t="n">
        <f aca="false">O197-P197</f>
        <v>0</v>
      </c>
      <c r="Q200" s="67" t="n">
        <f aca="false">P197-Q197</f>
        <v>-784.21728</v>
      </c>
      <c r="R200" s="67" t="n">
        <f aca="false">Q197-R197</f>
        <v>0</v>
      </c>
      <c r="S200" s="67" t="n">
        <f aca="false">R197-S197</f>
        <v>0</v>
      </c>
      <c r="T200" s="67" t="n">
        <f aca="false">S197-T197</f>
        <v>0</v>
      </c>
      <c r="U200" s="67" t="n">
        <f aca="false">T197-U197</f>
        <v>0</v>
      </c>
      <c r="V200" s="67" t="n">
        <f aca="false">U197-V197</f>
        <v>0</v>
      </c>
      <c r="W200" s="67" t="n">
        <f aca="false">V197-W197</f>
        <v>0</v>
      </c>
      <c r="X200" s="67" t="n">
        <f aca="false">W197-X197</f>
        <v>0</v>
      </c>
      <c r="Y200" s="67" t="n">
        <f aca="false">X197-Y197</f>
        <v>0</v>
      </c>
      <c r="Z200" s="67" t="n">
        <f aca="false">Y197-Z197</f>
        <v>784.21728</v>
      </c>
      <c r="AA200" s="67" t="n">
        <f aca="false">Z197-AA197</f>
        <v>-144.477117792</v>
      </c>
      <c r="AB200" s="67" t="n">
        <f aca="false">AA197-AB197</f>
        <v>0</v>
      </c>
      <c r="AC200" s="67" t="n">
        <f aca="false">AB197-AC197</f>
        <v>-831.976112352</v>
      </c>
      <c r="AD200" s="67" t="n">
        <f aca="false">AC197-AD197</f>
        <v>0</v>
      </c>
      <c r="AE200" s="67" t="n">
        <f aca="false">AD197-AE197</f>
        <v>0</v>
      </c>
      <c r="AF200" s="67" t="n">
        <f aca="false">AE197-AF197</f>
        <v>0</v>
      </c>
      <c r="AG200" s="67" t="n">
        <f aca="false">AF197-AG197</f>
        <v>0</v>
      </c>
      <c r="AH200" s="67" t="n">
        <f aca="false">AG197-AH197</f>
        <v>0</v>
      </c>
      <c r="AI200" s="67" t="n">
        <f aca="false">AH197-AI197</f>
        <v>0</v>
      </c>
      <c r="AJ200" s="67" t="n">
        <f aca="false">AI197-AJ197</f>
        <v>0</v>
      </c>
      <c r="AK200" s="67" t="n">
        <f aca="false">AJ197-AK197</f>
        <v>0</v>
      </c>
      <c r="AL200" s="67" t="n">
        <f aca="false">AK197-AL197</f>
        <v>831.976112352</v>
      </c>
    </row>
    <row r="201" customFormat="false" ht="15" hidden="false" customHeight="false" outlineLevel="0" collapsed="false">
      <c r="A201" s="6" t="s">
        <v>341</v>
      </c>
      <c r="C201" s="67" t="n">
        <f aca="false">-C198</f>
        <v>-430.8144</v>
      </c>
      <c r="D201" s="67" t="n">
        <f aca="false">C198-D198</f>
        <v>-71.8024000000001</v>
      </c>
      <c r="E201" s="67" t="n">
        <f aca="false">D198-E198</f>
        <v>-264.5576</v>
      </c>
      <c r="F201" s="67" t="n">
        <f aca="false">E198-F198</f>
        <v>-95.8968000000001</v>
      </c>
      <c r="G201" s="67" t="n">
        <f aca="false">F198-G198</f>
        <v>-95.8967999999998</v>
      </c>
      <c r="H201" s="67" t="n">
        <f aca="false">G198-H198</f>
        <v>-95.8968000000001</v>
      </c>
      <c r="I201" s="67" t="n">
        <f aca="false">H198-I198</f>
        <v>-95.8968000000004</v>
      </c>
      <c r="J201" s="67" t="n">
        <f aca="false">I198-J198</f>
        <v>0</v>
      </c>
      <c r="K201" s="67" t="n">
        <f aca="false">J198-K198</f>
        <v>0</v>
      </c>
      <c r="L201" s="67" t="n">
        <f aca="false">K198-L198</f>
        <v>0</v>
      </c>
      <c r="M201" s="67" t="n">
        <f aca="false">L198-M198</f>
        <v>0</v>
      </c>
      <c r="N201" s="67" t="n">
        <f aca="false">M198-N198</f>
        <v>289.1328</v>
      </c>
      <c r="O201" s="67" t="n">
        <f aca="false">N198-O198</f>
        <v>-56.82144192</v>
      </c>
      <c r="P201" s="67" t="n">
        <f aca="false">O198-P198</f>
        <v>0</v>
      </c>
      <c r="Q201" s="67" t="n">
        <f aca="false">P198-Q198</f>
        <v>-306.74098752</v>
      </c>
      <c r="R201" s="67" t="n">
        <f aca="false">Q198-R198</f>
        <v>0</v>
      </c>
      <c r="S201" s="67" t="n">
        <f aca="false">R198-S198</f>
        <v>0</v>
      </c>
      <c r="T201" s="67" t="n">
        <f aca="false">S198-T198</f>
        <v>0</v>
      </c>
      <c r="U201" s="67" t="n">
        <f aca="false">T198-U198</f>
        <v>0</v>
      </c>
      <c r="V201" s="67" t="n">
        <f aca="false">U198-V198</f>
        <v>0</v>
      </c>
      <c r="W201" s="67" t="n">
        <f aca="false">V198-W198</f>
        <v>0</v>
      </c>
      <c r="X201" s="67" t="n">
        <f aca="false">W198-X198</f>
        <v>0</v>
      </c>
      <c r="Y201" s="67" t="n">
        <f aca="false">X198-Y198</f>
        <v>0</v>
      </c>
      <c r="Z201" s="67" t="n">
        <f aca="false">Y198-Z198</f>
        <v>306.74098752</v>
      </c>
      <c r="AA201" s="67" t="n">
        <f aca="false">Z198-AA198</f>
        <v>-60.6362499449278</v>
      </c>
      <c r="AB201" s="67" t="n">
        <f aca="false">AA198-AB198</f>
        <v>0</v>
      </c>
      <c r="AC201" s="67" t="n">
        <f aca="false">AB198-AC198</f>
        <v>-325.421513659968</v>
      </c>
      <c r="AD201" s="67" t="n">
        <f aca="false">AC198-AD198</f>
        <v>0</v>
      </c>
      <c r="AE201" s="67" t="n">
        <f aca="false">AD198-AE198</f>
        <v>0</v>
      </c>
      <c r="AF201" s="67" t="n">
        <f aca="false">AE198-AF198</f>
        <v>0</v>
      </c>
      <c r="AG201" s="67" t="n">
        <f aca="false">AF198-AG198</f>
        <v>0</v>
      </c>
      <c r="AH201" s="67" t="n">
        <f aca="false">AG198-AH198</f>
        <v>0</v>
      </c>
      <c r="AI201" s="67" t="n">
        <f aca="false">AH198-AI198</f>
        <v>0</v>
      </c>
      <c r="AJ201" s="67" t="n">
        <f aca="false">AI198-AJ198</f>
        <v>0</v>
      </c>
      <c r="AK201" s="67" t="n">
        <f aca="false">AJ198-AK198</f>
        <v>0</v>
      </c>
      <c r="AL201" s="67" t="n">
        <f aca="false">AK198-AL198</f>
        <v>325.421513659968</v>
      </c>
    </row>
    <row r="202" customFormat="false" ht="15" hidden="false" customHeight="false" outlineLevel="0" collapsed="false">
      <c r="A202" s="6" t="s">
        <v>342</v>
      </c>
      <c r="C202" s="67" t="n">
        <f aca="false">C199</f>
        <v>1005.2336</v>
      </c>
      <c r="D202" s="67" t="n">
        <f aca="false">D199-C199</f>
        <v>167.538933333334</v>
      </c>
      <c r="E202" s="67" t="n">
        <f aca="false">E199-D199</f>
        <v>617.301066666666</v>
      </c>
      <c r="F202" s="67" t="n">
        <f aca="false">F199-E199</f>
        <v>223.7592</v>
      </c>
      <c r="G202" s="67" t="n">
        <f aca="false">G199-F199</f>
        <v>223.7592</v>
      </c>
      <c r="H202" s="67" t="n">
        <f aca="false">H199-G199</f>
        <v>223.7592</v>
      </c>
      <c r="I202" s="67" t="n">
        <f aca="false">I199-H199</f>
        <v>223.7592</v>
      </c>
      <c r="J202" s="67" t="n">
        <f aca="false">J199-I199</f>
        <v>0</v>
      </c>
      <c r="K202" s="67" t="n">
        <f aca="false">K199-J199</f>
        <v>0</v>
      </c>
      <c r="L202" s="67" t="n">
        <f aca="false">L199-K199</f>
        <v>0</v>
      </c>
      <c r="M202" s="67" t="n">
        <f aca="false">M199-L199</f>
        <v>0</v>
      </c>
      <c r="N202" s="67" t="n">
        <f aca="false">N199-M199</f>
        <v>-674.6432</v>
      </c>
      <c r="O202" s="67" t="n">
        <f aca="false">O199-N199</f>
        <v>132.58336448</v>
      </c>
      <c r="P202" s="67" t="n">
        <f aca="false">P199-O199</f>
        <v>0</v>
      </c>
      <c r="Q202" s="67" t="n">
        <f aca="false">Q199-P199</f>
        <v>715.72897088</v>
      </c>
      <c r="R202" s="67" t="n">
        <f aca="false">R199-Q199</f>
        <v>0</v>
      </c>
      <c r="S202" s="67" t="n">
        <f aca="false">S199-R199</f>
        <v>0</v>
      </c>
      <c r="T202" s="67" t="n">
        <f aca="false">T199-S199</f>
        <v>0</v>
      </c>
      <c r="U202" s="67" t="n">
        <f aca="false">U199-T199</f>
        <v>0</v>
      </c>
      <c r="V202" s="67" t="n">
        <f aca="false">V199-U199</f>
        <v>0</v>
      </c>
      <c r="W202" s="67" t="n">
        <f aca="false">W199-V199</f>
        <v>0</v>
      </c>
      <c r="X202" s="67" t="n">
        <f aca="false">X199-W199</f>
        <v>0</v>
      </c>
      <c r="Y202" s="67" t="n">
        <f aca="false">Y199-X199</f>
        <v>0</v>
      </c>
      <c r="Z202" s="67" t="n">
        <f aca="false">Z199-Y199</f>
        <v>-715.72897088</v>
      </c>
      <c r="AA202" s="67" t="n">
        <f aca="false">AA199-Z199</f>
        <v>141.484583204831</v>
      </c>
      <c r="AB202" s="67" t="n">
        <f aca="false">AB199-AA199</f>
        <v>0</v>
      </c>
      <c r="AC202" s="67" t="n">
        <f aca="false">AC199-AB199</f>
        <v>759.316865206592</v>
      </c>
      <c r="AD202" s="67" t="n">
        <f aca="false">AD199-AC199</f>
        <v>0</v>
      </c>
      <c r="AE202" s="67" t="n">
        <f aca="false">AE199-AD199</f>
        <v>0</v>
      </c>
      <c r="AF202" s="67" t="n">
        <f aca="false">AF199-AE199</f>
        <v>0</v>
      </c>
      <c r="AG202" s="67" t="n">
        <f aca="false">AG199-AF199</f>
        <v>0</v>
      </c>
      <c r="AH202" s="67" t="n">
        <f aca="false">AH199-AG199</f>
        <v>0</v>
      </c>
      <c r="AI202" s="67" t="n">
        <f aca="false">AI199-AH199</f>
        <v>0</v>
      </c>
      <c r="AJ202" s="67" t="n">
        <f aca="false">AJ199-AI199</f>
        <v>0</v>
      </c>
      <c r="AK202" s="67" t="n">
        <f aca="false">AK199-AJ199</f>
        <v>0</v>
      </c>
      <c r="AL202" s="67" t="n">
        <f aca="false">AL199-AK199</f>
        <v>-759.316865206592</v>
      </c>
    </row>
    <row r="204" customFormat="false" ht="15.75" hidden="false" customHeight="true" outlineLevel="0" collapsed="false">
      <c r="A204" s="7" t="s">
        <v>416</v>
      </c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</row>
    <row r="205" customFormat="false" ht="15" hidden="false" customHeight="false" outlineLevel="0" collapsed="false">
      <c r="A205" s="4" t="s">
        <v>52</v>
      </c>
      <c r="C205" s="73" t="n">
        <f aca="false">C177-C186+C200+C201+C202</f>
        <v>-8928.99146666667</v>
      </c>
      <c r="D205" s="73" t="n">
        <f aca="false">D177-D186+D200+D201+D202</f>
        <v>-7525.57313333333</v>
      </c>
      <c r="E205" s="73" t="n">
        <f aca="false">E177-E186+E200+E201+E202</f>
        <v>-3969.1922</v>
      </c>
      <c r="F205" s="73" t="n">
        <f aca="false">F177-F186+F200+F201+F202</f>
        <v>-2368.09126666667</v>
      </c>
      <c r="G205" s="73" t="n">
        <f aca="false">G177-G186+G200+G201+G202</f>
        <v>-973.30926666667</v>
      </c>
      <c r="H205" s="73" t="n">
        <f aca="false">H177-H186+H200+H201+H202</f>
        <v>421.472733333329</v>
      </c>
      <c r="I205" s="73" t="n">
        <f aca="false">I177-I186+I200+I201+I202</f>
        <v>1816.25473333333</v>
      </c>
      <c r="J205" s="73" t="n">
        <f aca="false">J177-J186+J200+J201+J202</f>
        <v>1934.84233333333</v>
      </c>
      <c r="K205" s="73" t="n">
        <f aca="false">K177-K186+K200+K201+K202</f>
        <v>1946.09233333333</v>
      </c>
      <c r="L205" s="73" t="n">
        <f aca="false">L177-L186+L200+L201+L202</f>
        <v>1957.34233333333</v>
      </c>
      <c r="M205" s="73" t="n">
        <f aca="false">M177-M186+M200+M201+M202</f>
        <v>1968.59233333333</v>
      </c>
      <c r="N205" s="73" t="n">
        <f aca="false">N177-N186+N200+N201+N202</f>
        <v>-1939.14006666667</v>
      </c>
      <c r="O205" s="73" t="n">
        <f aca="false">O177-O186+O200+O201+O202</f>
        <v>-1957.78324330667</v>
      </c>
      <c r="P205" s="73" t="n">
        <f aca="false">P177-P186+P200+P201+P202</f>
        <v>-1886.77628586667</v>
      </c>
      <c r="Q205" s="73" t="n">
        <f aca="false">Q177-Q186+Q200+Q201+Q202</f>
        <v>2289.16734229333</v>
      </c>
      <c r="R205" s="73" t="n">
        <f aca="false">R177-R186+R200+R201+R202</f>
        <v>2675.64663893333</v>
      </c>
      <c r="S205" s="73" t="n">
        <f aca="false">S177-S186+S200+S201+S202</f>
        <v>2686.89663893333</v>
      </c>
      <c r="T205" s="73" t="n">
        <f aca="false">T177-T186+T200+T201+T202</f>
        <v>2698.14663893333</v>
      </c>
      <c r="U205" s="73" t="n">
        <f aca="false">U177-U186+U200+U201+U202</f>
        <v>2709.39663893333</v>
      </c>
      <c r="V205" s="73" t="n">
        <f aca="false">V177-V186+V200+V201+V202</f>
        <v>2720.64663893333</v>
      </c>
      <c r="W205" s="73" t="n">
        <f aca="false">W177-W186+W200+W201+W202</f>
        <v>2731.89663893333</v>
      </c>
      <c r="X205" s="73" t="n">
        <f aca="false">X177-X186+X200+X201+X202</f>
        <v>2743.14663893333</v>
      </c>
      <c r="Y205" s="73" t="n">
        <f aca="false">Y177-Y186+Y200+Y201+Y202</f>
        <v>2754.39663893333</v>
      </c>
      <c r="Z205" s="73" t="n">
        <f aca="false">Z177-Z186+Z200+Z201+Z202</f>
        <v>-1399.04698922667</v>
      </c>
      <c r="AA205" s="73" t="n">
        <f aca="false">AA177-AA186+AA200+AA201+AA202</f>
        <v>-1404.24850842805</v>
      </c>
      <c r="AB205" s="73" t="n">
        <f aca="false">AB177-AB186+AB200+AB201+AB202</f>
        <v>-1329.36972389595</v>
      </c>
      <c r="AC205" s="73" t="n">
        <f aca="false">AC177-AC186+AC200+AC201+AC202</f>
        <v>3107.460302219</v>
      </c>
      <c r="AD205" s="73" t="n">
        <f aca="false">AD177-AD186+AD200+AD201+AD202</f>
        <v>3516.79106302437</v>
      </c>
      <c r="AE205" s="73" t="n">
        <f aca="false">AE177-AE186+AE200+AE201+AE202</f>
        <v>3528.04106302437</v>
      </c>
      <c r="AF205" s="73" t="n">
        <f aca="false">AF177-AF186+AF200+AF201+AF202</f>
        <v>3539.29106302437</v>
      </c>
      <c r="AG205" s="73" t="n">
        <f aca="false">AG177-AG186+AG200+AG201+AG202</f>
        <v>3550.54106302437</v>
      </c>
      <c r="AH205" s="73" t="n">
        <f aca="false">AH177-AH186+AH200+AH201+AH202</f>
        <v>3561.79106302437</v>
      </c>
      <c r="AI205" s="73" t="n">
        <f aca="false">AI177-AI186+AI200+AI201+AI202</f>
        <v>3573.04106302437</v>
      </c>
      <c r="AJ205" s="73" t="n">
        <f aca="false">AJ177-AJ186+AJ200+AJ201+AJ202</f>
        <v>3584.29106302437</v>
      </c>
      <c r="AK205" s="73" t="n">
        <f aca="false">AK177-AK186+AK200+AK201+AK202</f>
        <v>3595.54106302437</v>
      </c>
      <c r="AL205" s="73" t="n">
        <f aca="false">AL177-AL186+AL200+AL201+AL202</f>
        <v>-818.788963090575</v>
      </c>
    </row>
    <row r="206" customFormat="false" ht="15" hidden="false" customHeight="false" outlineLevel="0" collapsed="false">
      <c r="A206" s="6" t="s">
        <v>417</v>
      </c>
      <c r="C206" s="67" t="n">
        <f aca="false">-C184</f>
        <v>-138000</v>
      </c>
      <c r="D206" s="67" t="n">
        <f aca="false">-D184</f>
        <v>-0</v>
      </c>
      <c r="E206" s="67" t="n">
        <f aca="false">-E184</f>
        <v>-0</v>
      </c>
      <c r="F206" s="67" t="n">
        <f aca="false">-F184</f>
        <v>-0</v>
      </c>
      <c r="G206" s="67" t="n">
        <f aca="false">-G184</f>
        <v>-0</v>
      </c>
      <c r="H206" s="67" t="n">
        <f aca="false">-H184</f>
        <v>-0</v>
      </c>
      <c r="I206" s="67" t="n">
        <f aca="false">-I184</f>
        <v>-0</v>
      </c>
      <c r="J206" s="67" t="n">
        <f aca="false">-J184</f>
        <v>-0</v>
      </c>
      <c r="K206" s="67" t="n">
        <f aca="false">-K184</f>
        <v>-0</v>
      </c>
      <c r="L206" s="67" t="n">
        <f aca="false">-L184</f>
        <v>-0</v>
      </c>
      <c r="M206" s="67" t="n">
        <f aca="false">-M184</f>
        <v>-0</v>
      </c>
      <c r="N206" s="67" t="n">
        <f aca="false">-N184</f>
        <v>-0</v>
      </c>
      <c r="O206" s="67" t="n">
        <f aca="false">-O184</f>
        <v>-2500</v>
      </c>
      <c r="P206" s="67" t="n">
        <f aca="false">-P184</f>
        <v>-0</v>
      </c>
      <c r="Q206" s="67" t="n">
        <f aca="false">-Q184</f>
        <v>-0</v>
      </c>
      <c r="R206" s="67" t="n">
        <f aca="false">-R184</f>
        <v>-0</v>
      </c>
      <c r="S206" s="67" t="n">
        <f aca="false">-S184</f>
        <v>-0</v>
      </c>
      <c r="T206" s="67" t="n">
        <f aca="false">-T184</f>
        <v>-0</v>
      </c>
      <c r="U206" s="67" t="n">
        <f aca="false">-U184</f>
        <v>-0</v>
      </c>
      <c r="V206" s="67" t="n">
        <f aca="false">-V184</f>
        <v>-0</v>
      </c>
      <c r="W206" s="67" t="n">
        <f aca="false">-W184</f>
        <v>-0</v>
      </c>
      <c r="X206" s="67" t="n">
        <f aca="false">-X184</f>
        <v>-0</v>
      </c>
      <c r="Y206" s="67" t="n">
        <f aca="false">-Y184</f>
        <v>-0</v>
      </c>
      <c r="Z206" s="67" t="n">
        <f aca="false">-Z184</f>
        <v>-0</v>
      </c>
      <c r="AA206" s="67" t="n">
        <f aca="false">-AA184</f>
        <v>-2500</v>
      </c>
      <c r="AB206" s="67" t="n">
        <f aca="false">-AB184</f>
        <v>-0</v>
      </c>
      <c r="AC206" s="67" t="n">
        <f aca="false">-AC184</f>
        <v>-0</v>
      </c>
      <c r="AD206" s="67" t="n">
        <f aca="false">-AD184</f>
        <v>-0</v>
      </c>
      <c r="AE206" s="67" t="n">
        <f aca="false">-AE184</f>
        <v>-0</v>
      </c>
      <c r="AF206" s="67" t="n">
        <f aca="false">-AF184</f>
        <v>-0</v>
      </c>
      <c r="AG206" s="67" t="n">
        <f aca="false">-AG184</f>
        <v>-0</v>
      </c>
      <c r="AH206" s="67" t="n">
        <f aca="false">-AH184</f>
        <v>-0</v>
      </c>
      <c r="AI206" s="67" t="n">
        <f aca="false">-AI184</f>
        <v>-0</v>
      </c>
      <c r="AJ206" s="67" t="n">
        <f aca="false">-AJ184</f>
        <v>-0</v>
      </c>
      <c r="AK206" s="67" t="n">
        <f aca="false">-AK184</f>
        <v>-0</v>
      </c>
      <c r="AL206" s="67" t="n">
        <f aca="false">-AL184</f>
        <v>-0</v>
      </c>
    </row>
    <row r="207" customFormat="false" ht="15" hidden="false" customHeight="false" outlineLevel="0" collapsed="false">
      <c r="A207" s="6" t="s">
        <v>64</v>
      </c>
      <c r="C207" s="67" t="n">
        <f aca="false">IF(C$126=1,Inputs!$C$71,0)</f>
        <v>100000</v>
      </c>
      <c r="D207" s="67" t="n">
        <f aca="false">IF(D$126=1,Inputs!$C$71,0)</f>
        <v>0</v>
      </c>
      <c r="E207" s="67" t="n">
        <f aca="false">IF(E$126=1,Inputs!$C$71,0)</f>
        <v>0</v>
      </c>
      <c r="F207" s="67" t="n">
        <f aca="false">IF(F$126=1,Inputs!$C$71,0)</f>
        <v>0</v>
      </c>
      <c r="G207" s="67" t="n">
        <f aca="false">IF(G$126=1,Inputs!$C$71,0)</f>
        <v>0</v>
      </c>
      <c r="H207" s="67" t="n">
        <f aca="false">IF(H$126=1,Inputs!$C$71,0)</f>
        <v>0</v>
      </c>
      <c r="I207" s="67" t="n">
        <f aca="false">IF(I$126=1,Inputs!$C$71,0)</f>
        <v>0</v>
      </c>
      <c r="J207" s="67" t="n">
        <f aca="false">IF(J$126=1,Inputs!$C$71,0)</f>
        <v>0</v>
      </c>
      <c r="K207" s="67" t="n">
        <f aca="false">IF(K$126=1,Inputs!$C$71,0)</f>
        <v>0</v>
      </c>
      <c r="L207" s="67" t="n">
        <f aca="false">IF(L$126=1,Inputs!$C$71,0)</f>
        <v>0</v>
      </c>
      <c r="M207" s="67" t="n">
        <f aca="false">IF(M$126=1,Inputs!$C$71,0)</f>
        <v>0</v>
      </c>
      <c r="N207" s="67" t="n">
        <f aca="false">IF(N$126=1,Inputs!$C$71,0)</f>
        <v>0</v>
      </c>
      <c r="O207" s="67" t="n">
        <f aca="false">IF(O$126=1,Inputs!$C$71,0)</f>
        <v>0</v>
      </c>
      <c r="P207" s="67" t="n">
        <f aca="false">IF(P$126=1,Inputs!$C$71,0)</f>
        <v>0</v>
      </c>
      <c r="Q207" s="67" t="n">
        <f aca="false">IF(Q$126=1,Inputs!$C$71,0)</f>
        <v>0</v>
      </c>
      <c r="R207" s="67" t="n">
        <f aca="false">IF(R$126=1,Inputs!$C$71,0)</f>
        <v>0</v>
      </c>
      <c r="S207" s="67" t="n">
        <f aca="false">IF(S$126=1,Inputs!$C$71,0)</f>
        <v>0</v>
      </c>
      <c r="T207" s="67" t="n">
        <f aca="false">IF(T$126=1,Inputs!$C$71,0)</f>
        <v>0</v>
      </c>
      <c r="U207" s="67" t="n">
        <f aca="false">IF(U$126=1,Inputs!$C$71,0)</f>
        <v>0</v>
      </c>
      <c r="V207" s="67" t="n">
        <f aca="false">IF(V$126=1,Inputs!$C$71,0)</f>
        <v>0</v>
      </c>
      <c r="W207" s="67" t="n">
        <f aca="false">IF(W$126=1,Inputs!$C$71,0)</f>
        <v>0</v>
      </c>
      <c r="X207" s="67" t="n">
        <f aca="false">IF(X$126=1,Inputs!$C$71,0)</f>
        <v>0</v>
      </c>
      <c r="Y207" s="67" t="n">
        <f aca="false">IF(Y$126=1,Inputs!$C$71,0)</f>
        <v>0</v>
      </c>
      <c r="Z207" s="67" t="n">
        <f aca="false">IF(Z$126=1,Inputs!$C$71,0)</f>
        <v>0</v>
      </c>
      <c r="AA207" s="67" t="n">
        <f aca="false">IF(AA$126=1,Inputs!$C$71,0)</f>
        <v>0</v>
      </c>
      <c r="AB207" s="67" t="n">
        <f aca="false">IF(AB$126=1,Inputs!$C$71,0)</f>
        <v>0</v>
      </c>
      <c r="AC207" s="67" t="n">
        <f aca="false">IF(AC$126=1,Inputs!$C$71,0)</f>
        <v>0</v>
      </c>
      <c r="AD207" s="67" t="n">
        <f aca="false">IF(AD$126=1,Inputs!$C$71,0)</f>
        <v>0</v>
      </c>
      <c r="AE207" s="67" t="n">
        <f aca="false">IF(AE$126=1,Inputs!$C$71,0)</f>
        <v>0</v>
      </c>
      <c r="AF207" s="67" t="n">
        <f aca="false">IF(AF$126=1,Inputs!$C$71,0)</f>
        <v>0</v>
      </c>
      <c r="AG207" s="67" t="n">
        <f aca="false">IF(AG$126=1,Inputs!$C$71,0)</f>
        <v>0</v>
      </c>
      <c r="AH207" s="67" t="n">
        <f aca="false">IF(AH$126=1,Inputs!$C$71,0)</f>
        <v>0</v>
      </c>
      <c r="AI207" s="67" t="n">
        <f aca="false">IF(AI$126=1,Inputs!$C$71,0)</f>
        <v>0</v>
      </c>
      <c r="AJ207" s="67" t="n">
        <f aca="false">IF(AJ$126=1,Inputs!$C$71,0)</f>
        <v>0</v>
      </c>
      <c r="AK207" s="67" t="n">
        <f aca="false">IF(AK$126=1,Inputs!$C$71,0)</f>
        <v>0</v>
      </c>
      <c r="AL207" s="67" t="n">
        <f aca="false">IF(AL$126=1,Inputs!$C$71,0)</f>
        <v>0</v>
      </c>
    </row>
    <row r="208" customFormat="false" ht="15" hidden="false" customHeight="false" outlineLevel="0" collapsed="false">
      <c r="A208" s="6" t="s">
        <v>54</v>
      </c>
      <c r="C208" s="67" t="n">
        <f aca="false">C207+C192+C193</f>
        <v>190000</v>
      </c>
      <c r="D208" s="67" t="n">
        <f aca="false">D207+D192+D193</f>
        <v>-1500</v>
      </c>
      <c r="E208" s="67" t="n">
        <f aca="false">E207+E192+E193</f>
        <v>-1500</v>
      </c>
      <c r="F208" s="67" t="n">
        <f aca="false">F207+F192+F193</f>
        <v>-1500</v>
      </c>
      <c r="G208" s="67" t="n">
        <f aca="false">G207+G192+G193</f>
        <v>-1500</v>
      </c>
      <c r="H208" s="67" t="n">
        <f aca="false">H207+H192+H193</f>
        <v>-1500</v>
      </c>
      <c r="I208" s="67" t="n">
        <f aca="false">I207+I192+I193</f>
        <v>-1500</v>
      </c>
      <c r="J208" s="67" t="n">
        <f aca="false">J207+J192+J193</f>
        <v>-1500</v>
      </c>
      <c r="K208" s="67" t="n">
        <f aca="false">K207+K192+K193</f>
        <v>-1500</v>
      </c>
      <c r="L208" s="67" t="n">
        <f aca="false">L207+L192+L193</f>
        <v>-1500</v>
      </c>
      <c r="M208" s="67" t="n">
        <f aca="false">M207+M192+M193</f>
        <v>-1500</v>
      </c>
      <c r="N208" s="67" t="n">
        <f aca="false">N207+N192+N193</f>
        <v>-1500</v>
      </c>
      <c r="O208" s="67" t="n">
        <f aca="false">O207+O192+O193</f>
        <v>-1500</v>
      </c>
      <c r="P208" s="67" t="n">
        <f aca="false">P207+P192+P193</f>
        <v>-1500</v>
      </c>
      <c r="Q208" s="67" t="n">
        <f aca="false">Q207+Q192+Q193</f>
        <v>-1500</v>
      </c>
      <c r="R208" s="67" t="n">
        <f aca="false">R207+R192+R193</f>
        <v>-1500</v>
      </c>
      <c r="S208" s="67" t="n">
        <f aca="false">S207+S192+S193</f>
        <v>-1500</v>
      </c>
      <c r="T208" s="67" t="n">
        <f aca="false">T207+T192+T193</f>
        <v>-1500</v>
      </c>
      <c r="U208" s="67" t="n">
        <f aca="false">U207+U192+U193</f>
        <v>-1500</v>
      </c>
      <c r="V208" s="67" t="n">
        <f aca="false">V207+V192+V193</f>
        <v>-1500</v>
      </c>
      <c r="W208" s="67" t="n">
        <f aca="false">W207+W192+W193</f>
        <v>-1500</v>
      </c>
      <c r="X208" s="67" t="n">
        <f aca="false">X207+X192+X193</f>
        <v>-1500</v>
      </c>
      <c r="Y208" s="67" t="n">
        <f aca="false">Y207+Y192+Y193</f>
        <v>-1500</v>
      </c>
      <c r="Z208" s="67" t="n">
        <f aca="false">Z207+Z192+Z193</f>
        <v>-1500</v>
      </c>
      <c r="AA208" s="67" t="n">
        <f aca="false">AA207+AA192+AA193</f>
        <v>-1500</v>
      </c>
      <c r="AB208" s="67" t="n">
        <f aca="false">AB207+AB192+AB193</f>
        <v>-1500</v>
      </c>
      <c r="AC208" s="67" t="n">
        <f aca="false">AC207+AC192+AC193</f>
        <v>-1500</v>
      </c>
      <c r="AD208" s="67" t="n">
        <f aca="false">AD207+AD192+AD193</f>
        <v>-1500</v>
      </c>
      <c r="AE208" s="67" t="n">
        <f aca="false">AE207+AE192+AE193</f>
        <v>-1500</v>
      </c>
      <c r="AF208" s="67" t="n">
        <f aca="false">AF207+AF192+AF193</f>
        <v>-1500</v>
      </c>
      <c r="AG208" s="67" t="n">
        <f aca="false">AG207+AG192+AG193</f>
        <v>-1500</v>
      </c>
      <c r="AH208" s="67" t="n">
        <f aca="false">AH207+AH192+AH193</f>
        <v>-1500</v>
      </c>
      <c r="AI208" s="67" t="n">
        <f aca="false">AI207+AI192+AI193</f>
        <v>-1500</v>
      </c>
      <c r="AJ208" s="67" t="n">
        <f aca="false">AJ207+AJ192+AJ193</f>
        <v>-1500</v>
      </c>
      <c r="AK208" s="67" t="n">
        <f aca="false">AK207+AK192+AK193</f>
        <v>-1500</v>
      </c>
      <c r="AL208" s="67" t="n">
        <f aca="false">AL207+AL192+AL193</f>
        <v>-1500</v>
      </c>
    </row>
    <row r="209" customFormat="false" ht="15" hidden="false" customHeight="false" outlineLevel="0" collapsed="false">
      <c r="A209" s="113" t="s">
        <v>418</v>
      </c>
      <c r="C209" s="68" t="n">
        <f aca="false">C205+C206+C208</f>
        <v>43071.0085333333</v>
      </c>
      <c r="D209" s="68" t="n">
        <f aca="false">D205+D206+D208</f>
        <v>-9025.57313333333</v>
      </c>
      <c r="E209" s="68" t="n">
        <f aca="false">E205+E206+E208</f>
        <v>-5469.1922</v>
      </c>
      <c r="F209" s="68" t="n">
        <f aca="false">F205+F206+F208</f>
        <v>-3868.09126666667</v>
      </c>
      <c r="G209" s="68" t="n">
        <f aca="false">G205+G206+G208</f>
        <v>-2473.30926666667</v>
      </c>
      <c r="H209" s="68" t="n">
        <f aca="false">H205+H206+H208</f>
        <v>-1078.52726666667</v>
      </c>
      <c r="I209" s="68" t="n">
        <f aca="false">I205+I206+I208</f>
        <v>316.25473333333</v>
      </c>
      <c r="J209" s="68" t="n">
        <f aca="false">J205+J206+J208</f>
        <v>434.84233333333</v>
      </c>
      <c r="K209" s="68" t="n">
        <f aca="false">K205+K206+K208</f>
        <v>446.09233333333</v>
      </c>
      <c r="L209" s="68" t="n">
        <f aca="false">L205+L206+L208</f>
        <v>457.34233333333</v>
      </c>
      <c r="M209" s="68" t="n">
        <f aca="false">M205+M206+M208</f>
        <v>468.59233333333</v>
      </c>
      <c r="N209" s="68" t="n">
        <f aca="false">N205+N206+N208</f>
        <v>-3439.14006666667</v>
      </c>
      <c r="O209" s="68" t="n">
        <f aca="false">O205+O206+O208</f>
        <v>-5957.78324330667</v>
      </c>
      <c r="P209" s="68" t="n">
        <f aca="false">P205+P206+P208</f>
        <v>-3386.77628586667</v>
      </c>
      <c r="Q209" s="68" t="n">
        <f aca="false">Q205+Q206+Q208</f>
        <v>789.167342293331</v>
      </c>
      <c r="R209" s="68" t="n">
        <f aca="false">R205+R206+R208</f>
        <v>1175.64663893333</v>
      </c>
      <c r="S209" s="68" t="n">
        <f aca="false">S205+S206+S208</f>
        <v>1186.89663893333</v>
      </c>
      <c r="T209" s="68" t="n">
        <f aca="false">T205+T206+T208</f>
        <v>1198.14663893333</v>
      </c>
      <c r="U209" s="68" t="n">
        <f aca="false">U205+U206+U208</f>
        <v>1209.39663893333</v>
      </c>
      <c r="V209" s="68" t="n">
        <f aca="false">V205+V206+V208</f>
        <v>1220.64663893333</v>
      </c>
      <c r="W209" s="68" t="n">
        <f aca="false">W205+W206+W208</f>
        <v>1231.89663893333</v>
      </c>
      <c r="X209" s="68" t="n">
        <f aca="false">X205+X206+X208</f>
        <v>1243.14663893333</v>
      </c>
      <c r="Y209" s="68" t="n">
        <f aca="false">Y205+Y206+Y208</f>
        <v>1254.39663893333</v>
      </c>
      <c r="Z209" s="68" t="n">
        <f aca="false">Z205+Z206+Z208</f>
        <v>-2899.04698922667</v>
      </c>
      <c r="AA209" s="68" t="n">
        <f aca="false">AA205+AA206+AA208</f>
        <v>-5404.24850842805</v>
      </c>
      <c r="AB209" s="68" t="n">
        <f aca="false">AB205+AB206+AB208</f>
        <v>-2829.36972389595</v>
      </c>
      <c r="AC209" s="68" t="n">
        <f aca="false">AC205+AC206+AC208</f>
        <v>1607.460302219</v>
      </c>
      <c r="AD209" s="68" t="n">
        <f aca="false">AD205+AD206+AD208</f>
        <v>2016.79106302437</v>
      </c>
      <c r="AE209" s="68" t="n">
        <f aca="false">AE205+AE206+AE208</f>
        <v>2028.04106302437</v>
      </c>
      <c r="AF209" s="68" t="n">
        <f aca="false">AF205+AF206+AF208</f>
        <v>2039.29106302437</v>
      </c>
      <c r="AG209" s="68" t="n">
        <f aca="false">AG205+AG206+AG208</f>
        <v>2050.54106302437</v>
      </c>
      <c r="AH209" s="68" t="n">
        <f aca="false">AH205+AH206+AH208</f>
        <v>2061.79106302437</v>
      </c>
      <c r="AI209" s="68" t="n">
        <f aca="false">AI205+AI206+AI208</f>
        <v>2073.04106302437</v>
      </c>
      <c r="AJ209" s="68" t="n">
        <f aca="false">AJ205+AJ206+AJ208</f>
        <v>2084.29106302437</v>
      </c>
      <c r="AK209" s="68" t="n">
        <f aca="false">AK205+AK206+AK208</f>
        <v>2095.54106302437</v>
      </c>
      <c r="AL209" s="68" t="n">
        <f aca="false">AL205+AL206+AL208</f>
        <v>-2318.78896309057</v>
      </c>
    </row>
    <row r="210" customFormat="false" ht="15" hidden="false" customHeight="false" outlineLevel="0" collapsed="false">
      <c r="A210" s="6" t="s">
        <v>343</v>
      </c>
      <c r="C210" s="67" t="n">
        <f aca="false">0</f>
        <v>0</v>
      </c>
      <c r="D210" s="67" t="n">
        <f aca="false">C211</f>
        <v>43071.0085333333</v>
      </c>
      <c r="E210" s="67" t="n">
        <f aca="false">D211</f>
        <v>34045.4354</v>
      </c>
      <c r="F210" s="67" t="n">
        <f aca="false">E211</f>
        <v>28576.2432</v>
      </c>
      <c r="G210" s="67" t="n">
        <f aca="false">F211</f>
        <v>24708.1519333333</v>
      </c>
      <c r="H210" s="67" t="n">
        <f aca="false">G211</f>
        <v>22234.8426666667</v>
      </c>
      <c r="I210" s="67" t="n">
        <f aca="false">H211</f>
        <v>21156.3154</v>
      </c>
      <c r="J210" s="67" t="n">
        <f aca="false">I211</f>
        <v>21472.5701333333</v>
      </c>
      <c r="K210" s="67" t="n">
        <f aca="false">J211</f>
        <v>21907.4124666667</v>
      </c>
      <c r="L210" s="67" t="n">
        <f aca="false">K211</f>
        <v>22353.5048</v>
      </c>
      <c r="M210" s="67" t="n">
        <f aca="false">L211</f>
        <v>22810.8471333333</v>
      </c>
      <c r="N210" s="67" t="n">
        <f aca="false">M211</f>
        <v>23279.4394666666</v>
      </c>
      <c r="O210" s="67" t="n">
        <f aca="false">N211</f>
        <v>19840.2994</v>
      </c>
      <c r="P210" s="67" t="n">
        <f aca="false">O211</f>
        <v>13882.5161566933</v>
      </c>
      <c r="Q210" s="67" t="n">
        <f aca="false">P211</f>
        <v>10495.7398708266</v>
      </c>
      <c r="R210" s="67" t="n">
        <f aca="false">Q211</f>
        <v>11284.90721312</v>
      </c>
      <c r="S210" s="67" t="n">
        <f aca="false">R211</f>
        <v>12460.5538520533</v>
      </c>
      <c r="T210" s="67" t="n">
        <f aca="false">S211</f>
        <v>13647.4504909866</v>
      </c>
      <c r="U210" s="67" t="n">
        <f aca="false">T211</f>
        <v>14845.59712992</v>
      </c>
      <c r="V210" s="67" t="n">
        <f aca="false">U211</f>
        <v>16054.9937688533</v>
      </c>
      <c r="W210" s="67" t="n">
        <f aca="false">V211</f>
        <v>17275.6404077866</v>
      </c>
      <c r="X210" s="67" t="n">
        <f aca="false">W211</f>
        <v>18507.53704672</v>
      </c>
      <c r="Y210" s="67" t="n">
        <f aca="false">X211</f>
        <v>19750.6836856533</v>
      </c>
      <c r="Z210" s="67" t="n">
        <f aca="false">Y211</f>
        <v>21005.0803245866</v>
      </c>
      <c r="AA210" s="67" t="n">
        <f aca="false">Z211</f>
        <v>18106.0333353599</v>
      </c>
      <c r="AB210" s="67" t="n">
        <f aca="false">AA211</f>
        <v>12701.7848269319</v>
      </c>
      <c r="AC210" s="67" t="n">
        <f aca="false">AB211</f>
        <v>9872.41510303594</v>
      </c>
      <c r="AD210" s="67" t="n">
        <f aca="false">AC211</f>
        <v>11479.8754052549</v>
      </c>
      <c r="AE210" s="67" t="n">
        <f aca="false">AD211</f>
        <v>13496.6664682793</v>
      </c>
      <c r="AF210" s="67" t="n">
        <f aca="false">AE211</f>
        <v>15524.7075313037</v>
      </c>
      <c r="AG210" s="67" t="n">
        <f aca="false">AF211</f>
        <v>17563.9985943281</v>
      </c>
      <c r="AH210" s="67" t="n">
        <f aca="false">AG211</f>
        <v>19614.5396573524</v>
      </c>
      <c r="AI210" s="67" t="n">
        <f aca="false">AH211</f>
        <v>21676.3307203768</v>
      </c>
      <c r="AJ210" s="67" t="n">
        <f aca="false">AI211</f>
        <v>23749.3717834012</v>
      </c>
      <c r="AK210" s="67" t="n">
        <f aca="false">AJ211</f>
        <v>25833.6628464256</v>
      </c>
      <c r="AL210" s="67" t="n">
        <f aca="false">AK211</f>
        <v>27929.2039094499</v>
      </c>
    </row>
    <row r="211" customFormat="false" ht="15" hidden="false" customHeight="false" outlineLevel="0" collapsed="false">
      <c r="A211" s="113" t="s">
        <v>87</v>
      </c>
      <c r="C211" s="68" t="n">
        <f aca="false">C210+C209</f>
        <v>43071.0085333333</v>
      </c>
      <c r="D211" s="68" t="n">
        <f aca="false">D210+D209</f>
        <v>34045.4354</v>
      </c>
      <c r="E211" s="68" t="n">
        <f aca="false">E210+E209</f>
        <v>28576.2432</v>
      </c>
      <c r="F211" s="68" t="n">
        <f aca="false">F210+F209</f>
        <v>24708.1519333333</v>
      </c>
      <c r="G211" s="68" t="n">
        <f aca="false">G210+G209</f>
        <v>22234.8426666667</v>
      </c>
      <c r="H211" s="68" t="n">
        <f aca="false">H210+H209</f>
        <v>21156.3154</v>
      </c>
      <c r="I211" s="68" t="n">
        <f aca="false">I210+I209</f>
        <v>21472.5701333333</v>
      </c>
      <c r="J211" s="68" t="n">
        <f aca="false">J210+J209</f>
        <v>21907.4124666667</v>
      </c>
      <c r="K211" s="68" t="n">
        <f aca="false">K210+K209</f>
        <v>22353.5048</v>
      </c>
      <c r="L211" s="68" t="n">
        <f aca="false">L210+L209</f>
        <v>22810.8471333333</v>
      </c>
      <c r="M211" s="68" t="n">
        <f aca="false">M210+M209</f>
        <v>23279.4394666666</v>
      </c>
      <c r="N211" s="68" t="n">
        <f aca="false">N210+N209</f>
        <v>19840.2994</v>
      </c>
      <c r="O211" s="68" t="n">
        <f aca="false">O210+O209</f>
        <v>13882.5161566933</v>
      </c>
      <c r="P211" s="68" t="n">
        <f aca="false">P210+P209</f>
        <v>10495.7398708266</v>
      </c>
      <c r="Q211" s="68" t="n">
        <f aca="false">Q210+Q209</f>
        <v>11284.90721312</v>
      </c>
      <c r="R211" s="68" t="n">
        <f aca="false">R210+R209</f>
        <v>12460.5538520533</v>
      </c>
      <c r="S211" s="68" t="n">
        <f aca="false">S210+S209</f>
        <v>13647.4504909866</v>
      </c>
      <c r="T211" s="68" t="n">
        <f aca="false">T210+T209</f>
        <v>14845.59712992</v>
      </c>
      <c r="U211" s="68" t="n">
        <f aca="false">U210+U209</f>
        <v>16054.9937688533</v>
      </c>
      <c r="V211" s="68" t="n">
        <f aca="false">V210+V209</f>
        <v>17275.6404077866</v>
      </c>
      <c r="W211" s="68" t="n">
        <f aca="false">W210+W209</f>
        <v>18507.53704672</v>
      </c>
      <c r="X211" s="68" t="n">
        <f aca="false">X210+X209</f>
        <v>19750.6836856533</v>
      </c>
      <c r="Y211" s="68" t="n">
        <f aca="false">Y210+Y209</f>
        <v>21005.0803245866</v>
      </c>
      <c r="Z211" s="68" t="n">
        <f aca="false">Z210+Z209</f>
        <v>18106.0333353599</v>
      </c>
      <c r="AA211" s="68" t="n">
        <f aca="false">AA210+AA209</f>
        <v>12701.7848269319</v>
      </c>
      <c r="AB211" s="68" t="n">
        <f aca="false">AB210+AB209</f>
        <v>9872.41510303594</v>
      </c>
      <c r="AC211" s="68" t="n">
        <f aca="false">AC210+AC209</f>
        <v>11479.8754052549</v>
      </c>
      <c r="AD211" s="68" t="n">
        <f aca="false">AD210+AD209</f>
        <v>13496.6664682793</v>
      </c>
      <c r="AE211" s="68" t="n">
        <f aca="false">AE210+AE209</f>
        <v>15524.7075313037</v>
      </c>
      <c r="AF211" s="68" t="n">
        <f aca="false">AF210+AF209</f>
        <v>17563.9985943281</v>
      </c>
      <c r="AG211" s="68" t="n">
        <f aca="false">AG210+AG209</f>
        <v>19614.5396573524</v>
      </c>
      <c r="AH211" s="68" t="n">
        <f aca="false">AH210+AH209</f>
        <v>21676.3307203768</v>
      </c>
      <c r="AI211" s="68" t="n">
        <f aca="false">AI210+AI209</f>
        <v>23749.3717834012</v>
      </c>
      <c r="AJ211" s="68" t="n">
        <f aca="false">AJ210+AJ209</f>
        <v>25833.6628464256</v>
      </c>
      <c r="AK211" s="68" t="n">
        <f aca="false">AK210+AK209</f>
        <v>27929.2039094499</v>
      </c>
      <c r="AL211" s="68" t="n">
        <f aca="false">AL210+AL209</f>
        <v>25610.4149463593</v>
      </c>
    </row>
    <row r="212" customFormat="false" ht="15" hidden="false" customHeight="false" outlineLevel="0" collapsed="false">
      <c r="A212" s="117" t="s">
        <v>419</v>
      </c>
      <c r="C212" s="116" t="n">
        <f aca="false">IF(C168&gt;0,1,0)</f>
        <v>0</v>
      </c>
      <c r="D212" s="116" t="n">
        <f aca="false">IF(D168&gt;0,1,0)</f>
        <v>0</v>
      </c>
      <c r="E212" s="116" t="n">
        <f aca="false">IF(E168&gt;0,1,0)</f>
        <v>0</v>
      </c>
      <c r="F212" s="116" t="n">
        <f aca="false">IF(F168&gt;0,1,0)</f>
        <v>0</v>
      </c>
      <c r="G212" s="116" t="n">
        <f aca="false">IF(G168&gt;0,1,0)</f>
        <v>0</v>
      </c>
      <c r="H212" s="116" t="n">
        <f aca="false">IF(H168&gt;0,1,0)</f>
        <v>1</v>
      </c>
      <c r="I212" s="116" t="n">
        <f aca="false">IF(I168&gt;0,1,0)</f>
        <v>1</v>
      </c>
      <c r="J212" s="116" t="n">
        <f aca="false">IF(J168&gt;0,1,0)</f>
        <v>1</v>
      </c>
      <c r="K212" s="116" t="n">
        <f aca="false">IF(K168&gt;0,1,0)</f>
        <v>1</v>
      </c>
      <c r="L212" s="116" t="n">
        <f aca="false">IF(L168&gt;0,1,0)</f>
        <v>1</v>
      </c>
      <c r="M212" s="116" t="n">
        <f aca="false">IF(M168&gt;0,1,0)</f>
        <v>1</v>
      </c>
      <c r="N212" s="116" t="n">
        <f aca="false">IF(N168&gt;0,1,0)</f>
        <v>0</v>
      </c>
      <c r="O212" s="116" t="n">
        <f aca="false">IF(O168&gt;0,1,0)</f>
        <v>0</v>
      </c>
      <c r="P212" s="116" t="n">
        <f aca="false">IF(P168&gt;0,1,0)</f>
        <v>0</v>
      </c>
      <c r="Q212" s="116" t="n">
        <f aca="false">IF(Q168&gt;0,1,0)</f>
        <v>1</v>
      </c>
      <c r="R212" s="116" t="n">
        <f aca="false">IF(R168&gt;0,1,0)</f>
        <v>1</v>
      </c>
      <c r="S212" s="116" t="n">
        <f aca="false">IF(S168&gt;0,1,0)</f>
        <v>1</v>
      </c>
      <c r="T212" s="116" t="n">
        <f aca="false">IF(T168&gt;0,1,0)</f>
        <v>1</v>
      </c>
      <c r="U212" s="116" t="n">
        <f aca="false">IF(U168&gt;0,1,0)</f>
        <v>1</v>
      </c>
      <c r="V212" s="116" t="n">
        <f aca="false">IF(V168&gt;0,1,0)</f>
        <v>1</v>
      </c>
      <c r="W212" s="116" t="n">
        <f aca="false">IF(W168&gt;0,1,0)</f>
        <v>1</v>
      </c>
      <c r="X212" s="116" t="n">
        <f aca="false">IF(X168&gt;0,1,0)</f>
        <v>1</v>
      </c>
      <c r="Y212" s="116" t="n">
        <f aca="false">IF(Y168&gt;0,1,0)</f>
        <v>1</v>
      </c>
      <c r="Z212" s="116" t="n">
        <f aca="false">IF(Z168&gt;0,1,0)</f>
        <v>0</v>
      </c>
      <c r="AA212" s="116" t="n">
        <f aca="false">IF(AA168&gt;0,1,0)</f>
        <v>0</v>
      </c>
      <c r="AB212" s="116" t="n">
        <f aca="false">IF(AB168&gt;0,1,0)</f>
        <v>0</v>
      </c>
      <c r="AC212" s="116" t="n">
        <f aca="false">IF(AC168&gt;0,1,0)</f>
        <v>1</v>
      </c>
      <c r="AD212" s="116" t="n">
        <f aca="false">IF(AD168&gt;0,1,0)</f>
        <v>1</v>
      </c>
      <c r="AE212" s="116" t="n">
        <f aca="false">IF(AE168&gt;0,1,0)</f>
        <v>1</v>
      </c>
      <c r="AF212" s="116" t="n">
        <f aca="false">IF(AF168&gt;0,1,0)</f>
        <v>1</v>
      </c>
      <c r="AG212" s="116" t="n">
        <f aca="false">IF(AG168&gt;0,1,0)</f>
        <v>1</v>
      </c>
      <c r="AH212" s="116" t="n">
        <f aca="false">IF(AH168&gt;0,1,0)</f>
        <v>1</v>
      </c>
      <c r="AI212" s="116" t="n">
        <f aca="false">IF(AI168&gt;0,1,0)</f>
        <v>1</v>
      </c>
      <c r="AJ212" s="116" t="n">
        <f aca="false">IF(AJ168&gt;0,1,0)</f>
        <v>1</v>
      </c>
      <c r="AK212" s="116" t="n">
        <f aca="false">IF(AK168&gt;0,1,0)</f>
        <v>1</v>
      </c>
      <c r="AL212" s="116" t="n">
        <f aca="false">IF(AL168&gt;0,1,0)</f>
        <v>0</v>
      </c>
    </row>
    <row r="214" customFormat="false" ht="15.75" hidden="false" customHeight="true" outlineLevel="0" collapsed="false">
      <c r="A214" s="7" t="s">
        <v>420</v>
      </c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</row>
    <row r="215" customFormat="false" ht="15" hidden="false" customHeight="false" outlineLevel="0" collapsed="false">
      <c r="A215" s="117" t="s">
        <v>421</v>
      </c>
      <c r="C215" s="116" t="n">
        <f aca="false">IF(C177&gt;0,1,0)</f>
        <v>0</v>
      </c>
      <c r="D215" s="116" t="n">
        <f aca="false">IF(D177&gt;0,1,0)</f>
        <v>0</v>
      </c>
      <c r="E215" s="116" t="n">
        <f aca="false">IF(E177&gt;0,1,0)</f>
        <v>0</v>
      </c>
      <c r="F215" s="116" t="n">
        <f aca="false">IF(F177&gt;0,1,0)</f>
        <v>0</v>
      </c>
      <c r="G215" s="116" t="n">
        <f aca="false">IF(G177&gt;0,1,0)</f>
        <v>0</v>
      </c>
      <c r="H215" s="116" t="n">
        <f aca="false">IF(H177&gt;0,1,0)</f>
        <v>0</v>
      </c>
      <c r="I215" s="116" t="n">
        <f aca="false">IF(I177&gt;0,1,0)</f>
        <v>1</v>
      </c>
      <c r="J215" s="116" t="n">
        <f aca="false">IF(J177&gt;0,1,0)</f>
        <v>1</v>
      </c>
      <c r="K215" s="116" t="n">
        <f aca="false">IF(K177&gt;0,1,0)</f>
        <v>1</v>
      </c>
      <c r="L215" s="116" t="n">
        <f aca="false">IF(L177&gt;0,1,0)</f>
        <v>1</v>
      </c>
      <c r="M215" s="116" t="n">
        <f aca="false">IF(M177&gt;0,1,0)</f>
        <v>1</v>
      </c>
      <c r="N215" s="116" t="n">
        <f aca="false">IF(N177&gt;0,1,0)</f>
        <v>0</v>
      </c>
      <c r="O215" s="116" t="n">
        <f aca="false">IF(O177&gt;0,1,0)</f>
        <v>0</v>
      </c>
      <c r="P215" s="116" t="n">
        <f aca="false">IF(P177&gt;0,1,0)</f>
        <v>0</v>
      </c>
      <c r="Q215" s="116" t="n">
        <f aca="false">IF(Q177&gt;0,1,0)</f>
        <v>1</v>
      </c>
      <c r="R215" s="116" t="n">
        <f aca="false">IF(R177&gt;0,1,0)</f>
        <v>1</v>
      </c>
      <c r="S215" s="116" t="n">
        <f aca="false">IF(S177&gt;0,1,0)</f>
        <v>1</v>
      </c>
      <c r="T215" s="116" t="n">
        <f aca="false">IF(T177&gt;0,1,0)</f>
        <v>1</v>
      </c>
      <c r="U215" s="116" t="n">
        <f aca="false">IF(U177&gt;0,1,0)</f>
        <v>1</v>
      </c>
      <c r="V215" s="116" t="n">
        <f aca="false">IF(V177&gt;0,1,0)</f>
        <v>1</v>
      </c>
      <c r="W215" s="116" t="n">
        <f aca="false">IF(W177&gt;0,1,0)</f>
        <v>1</v>
      </c>
      <c r="X215" s="116" t="n">
        <f aca="false">IF(X177&gt;0,1,0)</f>
        <v>1</v>
      </c>
      <c r="Y215" s="116" t="n">
        <f aca="false">IF(Y177&gt;0,1,0)</f>
        <v>1</v>
      </c>
      <c r="Z215" s="116" t="n">
        <f aca="false">IF(Z177&gt;0,1,0)</f>
        <v>0</v>
      </c>
      <c r="AA215" s="116" t="n">
        <f aca="false">IF(AA177&gt;0,1,0)</f>
        <v>0</v>
      </c>
      <c r="AB215" s="116" t="n">
        <f aca="false">IF(AB177&gt;0,1,0)</f>
        <v>0</v>
      </c>
      <c r="AC215" s="116" t="n">
        <f aca="false">IF(AC177&gt;0,1,0)</f>
        <v>1</v>
      </c>
      <c r="AD215" s="116" t="n">
        <f aca="false">IF(AD177&gt;0,1,0)</f>
        <v>1</v>
      </c>
      <c r="AE215" s="116" t="n">
        <f aca="false">IF(AE177&gt;0,1,0)</f>
        <v>1</v>
      </c>
      <c r="AF215" s="116" t="n">
        <f aca="false">IF(AF177&gt;0,1,0)</f>
        <v>1</v>
      </c>
      <c r="AG215" s="116" t="n">
        <f aca="false">IF(AG177&gt;0,1,0)</f>
        <v>1</v>
      </c>
      <c r="AH215" s="116" t="n">
        <f aca="false">IF(AH177&gt;0,1,0)</f>
        <v>1</v>
      </c>
      <c r="AI215" s="116" t="n">
        <f aca="false">IF(AI177&gt;0,1,0)</f>
        <v>1</v>
      </c>
      <c r="AJ215" s="116" t="n">
        <f aca="false">IF(AJ177&gt;0,1,0)</f>
        <v>1</v>
      </c>
      <c r="AK215" s="116" t="n">
        <f aca="false">IF(AK177&gt;0,1,0)</f>
        <v>1</v>
      </c>
      <c r="AL215" s="116" t="n">
        <f aca="false">IF(AL177&gt;0,1,0)</f>
        <v>0</v>
      </c>
    </row>
    <row r="216" customFormat="false" ht="15" hidden="false" customHeight="false" outlineLevel="0" collapsed="false">
      <c r="A216" s="6" t="s">
        <v>422</v>
      </c>
      <c r="C216" s="67" t="n">
        <f aca="false">C205+C206</f>
        <v>-146928.991466667</v>
      </c>
      <c r="D216" s="67" t="n">
        <f aca="false">D205+D206</f>
        <v>-7525.57313333333</v>
      </c>
      <c r="E216" s="67" t="n">
        <f aca="false">E205+E206</f>
        <v>-3969.1922</v>
      </c>
      <c r="F216" s="67" t="n">
        <f aca="false">F205+F206</f>
        <v>-2368.09126666667</v>
      </c>
      <c r="G216" s="67" t="n">
        <f aca="false">G205+G206</f>
        <v>-973.30926666667</v>
      </c>
      <c r="H216" s="67" t="n">
        <f aca="false">H205+H206</f>
        <v>421.472733333329</v>
      </c>
      <c r="I216" s="67" t="n">
        <f aca="false">I205+I206</f>
        <v>1816.25473333333</v>
      </c>
      <c r="J216" s="67" t="n">
        <f aca="false">J205+J206</f>
        <v>1934.84233333333</v>
      </c>
      <c r="K216" s="67" t="n">
        <f aca="false">K205+K206</f>
        <v>1946.09233333333</v>
      </c>
      <c r="L216" s="67" t="n">
        <f aca="false">L205+L206</f>
        <v>1957.34233333333</v>
      </c>
      <c r="M216" s="67" t="n">
        <f aca="false">M205+M206</f>
        <v>1968.59233333333</v>
      </c>
      <c r="N216" s="67" t="n">
        <f aca="false">N205+N206</f>
        <v>-1939.14006666667</v>
      </c>
      <c r="O216" s="67" t="n">
        <f aca="false">O205+O206</f>
        <v>-4457.78324330667</v>
      </c>
      <c r="P216" s="67" t="n">
        <f aca="false">P205+P206</f>
        <v>-1886.77628586667</v>
      </c>
      <c r="Q216" s="67" t="n">
        <f aca="false">Q205+Q206</f>
        <v>2289.16734229333</v>
      </c>
      <c r="R216" s="67" t="n">
        <f aca="false">R205+R206</f>
        <v>2675.64663893333</v>
      </c>
      <c r="S216" s="67" t="n">
        <f aca="false">S205+S206</f>
        <v>2686.89663893333</v>
      </c>
      <c r="T216" s="67" t="n">
        <f aca="false">T205+T206</f>
        <v>2698.14663893333</v>
      </c>
      <c r="U216" s="67" t="n">
        <f aca="false">U205+U206</f>
        <v>2709.39663893333</v>
      </c>
      <c r="V216" s="67" t="n">
        <f aca="false">V205+V206</f>
        <v>2720.64663893333</v>
      </c>
      <c r="W216" s="67" t="n">
        <f aca="false">W205+W206</f>
        <v>2731.89663893333</v>
      </c>
      <c r="X216" s="67" t="n">
        <f aca="false">X205+X206</f>
        <v>2743.14663893333</v>
      </c>
      <c r="Y216" s="67" t="n">
        <f aca="false">Y205+Y206</f>
        <v>2754.39663893333</v>
      </c>
      <c r="Z216" s="67" t="n">
        <f aca="false">Z205+Z206</f>
        <v>-1399.04698922667</v>
      </c>
      <c r="AA216" s="67" t="n">
        <f aca="false">AA205+AA206</f>
        <v>-3904.24850842805</v>
      </c>
      <c r="AB216" s="67" t="n">
        <f aca="false">AB205+AB206</f>
        <v>-1329.36972389595</v>
      </c>
      <c r="AC216" s="67" t="n">
        <f aca="false">AC205+AC206</f>
        <v>3107.460302219</v>
      </c>
      <c r="AD216" s="67" t="n">
        <f aca="false">AD205+AD206</f>
        <v>3516.79106302437</v>
      </c>
      <c r="AE216" s="67" t="n">
        <f aca="false">AE205+AE206</f>
        <v>3528.04106302437</v>
      </c>
      <c r="AF216" s="67" t="n">
        <f aca="false">AF205+AF206</f>
        <v>3539.29106302437</v>
      </c>
      <c r="AG216" s="67" t="n">
        <f aca="false">AG205+AG206</f>
        <v>3550.54106302437</v>
      </c>
      <c r="AH216" s="67" t="n">
        <f aca="false">AH205+AH206</f>
        <v>3561.79106302437</v>
      </c>
      <c r="AI216" s="67" t="n">
        <f aca="false">AI205+AI206</f>
        <v>3573.04106302437</v>
      </c>
      <c r="AJ216" s="67" t="n">
        <f aca="false">AJ205+AJ206</f>
        <v>3584.29106302437</v>
      </c>
      <c r="AK216" s="67" t="n">
        <f aca="false">AK205+AK206</f>
        <v>3595.54106302437</v>
      </c>
      <c r="AL216" s="67" t="n">
        <f aca="false">AL205+AL206</f>
        <v>-818.788963090575</v>
      </c>
    </row>
    <row r="217" customFormat="false" ht="15" hidden="false" customHeight="false" outlineLevel="0" collapsed="false">
      <c r="A217" s="6" t="s">
        <v>423</v>
      </c>
      <c r="C217" s="67" t="n">
        <f aca="false">C216</f>
        <v>-146928.991466667</v>
      </c>
      <c r="D217" s="67" t="n">
        <f aca="false">C217+D216</f>
        <v>-154454.5646</v>
      </c>
      <c r="E217" s="67" t="n">
        <f aca="false">D217+E216</f>
        <v>-158423.7568</v>
      </c>
      <c r="F217" s="67" t="n">
        <f aca="false">E217+F216</f>
        <v>-160791.848066667</v>
      </c>
      <c r="G217" s="67" t="n">
        <f aca="false">F217+G216</f>
        <v>-161765.157333333</v>
      </c>
      <c r="H217" s="67" t="n">
        <f aca="false">G217+H216</f>
        <v>-161343.6846</v>
      </c>
      <c r="I217" s="67" t="n">
        <f aca="false">H217+I216</f>
        <v>-159527.429866667</v>
      </c>
      <c r="J217" s="67" t="n">
        <f aca="false">I217+J216</f>
        <v>-157592.587533333</v>
      </c>
      <c r="K217" s="67" t="n">
        <f aca="false">J217+K216</f>
        <v>-155646.4952</v>
      </c>
      <c r="L217" s="67" t="n">
        <f aca="false">K217+L216</f>
        <v>-153689.152866667</v>
      </c>
      <c r="M217" s="67" t="n">
        <f aca="false">L217+M216</f>
        <v>-151720.560533333</v>
      </c>
      <c r="N217" s="67" t="n">
        <f aca="false">M217+N216</f>
        <v>-153659.7006</v>
      </c>
      <c r="O217" s="67" t="n">
        <f aca="false">N217+O216</f>
        <v>-158117.483843307</v>
      </c>
      <c r="P217" s="67" t="n">
        <f aca="false">O217+P216</f>
        <v>-160004.260129173</v>
      </c>
      <c r="Q217" s="67" t="n">
        <f aca="false">P217+Q216</f>
        <v>-157715.09278688</v>
      </c>
      <c r="R217" s="67" t="n">
        <f aca="false">Q217+R216</f>
        <v>-155039.446147947</v>
      </c>
      <c r="S217" s="67" t="n">
        <f aca="false">R217+S216</f>
        <v>-152352.549509013</v>
      </c>
      <c r="T217" s="67" t="n">
        <f aca="false">S217+T216</f>
        <v>-149654.40287008</v>
      </c>
      <c r="U217" s="67" t="n">
        <f aca="false">T217+U216</f>
        <v>-146945.006231147</v>
      </c>
      <c r="V217" s="67" t="n">
        <f aca="false">U217+V216</f>
        <v>-144224.359592213</v>
      </c>
      <c r="W217" s="67" t="n">
        <f aca="false">V217+W216</f>
        <v>-141492.46295328</v>
      </c>
      <c r="X217" s="67" t="n">
        <f aca="false">W217+X216</f>
        <v>-138749.316314347</v>
      </c>
      <c r="Y217" s="67" t="n">
        <f aca="false">X217+Y216</f>
        <v>-135994.919675413</v>
      </c>
      <c r="Z217" s="67" t="n">
        <f aca="false">Y217+Z216</f>
        <v>-137393.96666464</v>
      </c>
      <c r="AA217" s="67" t="n">
        <f aca="false">Z217+AA216</f>
        <v>-141298.215173068</v>
      </c>
      <c r="AB217" s="67" t="n">
        <f aca="false">AA217+AB216</f>
        <v>-142627.584896964</v>
      </c>
      <c r="AC217" s="67" t="n">
        <f aca="false">AB217+AC216</f>
        <v>-139520.124594745</v>
      </c>
      <c r="AD217" s="67" t="n">
        <f aca="false">AC217+AD216</f>
        <v>-136003.333531721</v>
      </c>
      <c r="AE217" s="67" t="n">
        <f aca="false">AD217+AE216</f>
        <v>-132475.292468696</v>
      </c>
      <c r="AF217" s="67" t="n">
        <f aca="false">AE217+AF216</f>
        <v>-128936.001405672</v>
      </c>
      <c r="AG217" s="67" t="n">
        <f aca="false">AF217+AG216</f>
        <v>-125385.460342647</v>
      </c>
      <c r="AH217" s="67" t="n">
        <f aca="false">AG217+AH216</f>
        <v>-121823.669279623</v>
      </c>
      <c r="AI217" s="67" t="n">
        <f aca="false">AH217+AI216</f>
        <v>-118250.628216599</v>
      </c>
      <c r="AJ217" s="67" t="n">
        <f aca="false">AI217+AJ216</f>
        <v>-114666.337153574</v>
      </c>
      <c r="AK217" s="67" t="n">
        <f aca="false">AJ217+AK216</f>
        <v>-111070.79609055</v>
      </c>
      <c r="AL217" s="67" t="n">
        <f aca="false">AK217+AL216</f>
        <v>-111889.585053641</v>
      </c>
    </row>
    <row r="218" customFormat="false" ht="15" hidden="false" customHeight="false" outlineLevel="0" collapsed="false">
      <c r="A218" s="117" t="s">
        <v>424</v>
      </c>
      <c r="C218" s="67" t="n">
        <f aca="false">C217</f>
        <v>-146928.991466667</v>
      </c>
      <c r="D218" s="67" t="n">
        <f aca="false">MIN(C218,D217)</f>
        <v>-154454.5646</v>
      </c>
      <c r="E218" s="67" t="n">
        <f aca="false">MIN(D218,E217)</f>
        <v>-158423.7568</v>
      </c>
      <c r="F218" s="67" t="n">
        <f aca="false">MIN(E218,F217)</f>
        <v>-160791.848066667</v>
      </c>
      <c r="G218" s="67" t="n">
        <f aca="false">MIN(F218,G217)</f>
        <v>-161765.157333333</v>
      </c>
      <c r="H218" s="67" t="n">
        <f aca="false">MIN(G218,H217)</f>
        <v>-161765.157333333</v>
      </c>
      <c r="I218" s="67" t="n">
        <f aca="false">MIN(H218,I217)</f>
        <v>-161765.157333333</v>
      </c>
      <c r="J218" s="67" t="n">
        <f aca="false">MIN(I218,J217)</f>
        <v>-161765.157333333</v>
      </c>
      <c r="K218" s="67" t="n">
        <f aca="false">MIN(J218,K217)</f>
        <v>-161765.157333333</v>
      </c>
      <c r="L218" s="67" t="n">
        <f aca="false">MIN(K218,L217)</f>
        <v>-161765.157333333</v>
      </c>
      <c r="M218" s="67" t="n">
        <f aca="false">MIN(L218,M217)</f>
        <v>-161765.157333333</v>
      </c>
      <c r="N218" s="67" t="n">
        <f aca="false">MIN(M218,N217)</f>
        <v>-161765.157333333</v>
      </c>
      <c r="O218" s="67" t="n">
        <f aca="false">MIN(N218,O217)</f>
        <v>-161765.157333333</v>
      </c>
      <c r="P218" s="67" t="n">
        <f aca="false">MIN(O218,P217)</f>
        <v>-161765.157333333</v>
      </c>
      <c r="Q218" s="67" t="n">
        <f aca="false">MIN(P218,Q217)</f>
        <v>-161765.157333333</v>
      </c>
      <c r="R218" s="67" t="n">
        <f aca="false">MIN(Q218,R217)</f>
        <v>-161765.157333333</v>
      </c>
      <c r="S218" s="67" t="n">
        <f aca="false">MIN(R218,S217)</f>
        <v>-161765.157333333</v>
      </c>
      <c r="T218" s="67" t="n">
        <f aca="false">MIN(S218,T217)</f>
        <v>-161765.157333333</v>
      </c>
      <c r="U218" s="67" t="n">
        <f aca="false">MIN(T218,U217)</f>
        <v>-161765.157333333</v>
      </c>
      <c r="V218" s="67" t="n">
        <f aca="false">MIN(U218,V217)</f>
        <v>-161765.157333333</v>
      </c>
      <c r="W218" s="67" t="n">
        <f aca="false">MIN(V218,W217)</f>
        <v>-161765.157333333</v>
      </c>
      <c r="X218" s="67" t="n">
        <f aca="false">MIN(W218,X217)</f>
        <v>-161765.157333333</v>
      </c>
      <c r="Y218" s="67" t="n">
        <f aca="false">MIN(X218,Y217)</f>
        <v>-161765.157333333</v>
      </c>
      <c r="Z218" s="67" t="n">
        <f aca="false">MIN(Y218,Z217)</f>
        <v>-161765.157333333</v>
      </c>
      <c r="AA218" s="67" t="n">
        <f aca="false">MIN(Z218,AA217)</f>
        <v>-161765.157333333</v>
      </c>
      <c r="AB218" s="67" t="n">
        <f aca="false">MIN(AA218,AB217)</f>
        <v>-161765.157333333</v>
      </c>
      <c r="AC218" s="67" t="n">
        <f aca="false">MIN(AB218,AC217)</f>
        <v>-161765.157333333</v>
      </c>
      <c r="AD218" s="67" t="n">
        <f aca="false">MIN(AC218,AD217)</f>
        <v>-161765.157333333</v>
      </c>
      <c r="AE218" s="67" t="n">
        <f aca="false">MIN(AD218,AE217)</f>
        <v>-161765.157333333</v>
      </c>
      <c r="AF218" s="67" t="n">
        <f aca="false">MIN(AE218,AF217)</f>
        <v>-161765.157333333</v>
      </c>
      <c r="AG218" s="67" t="n">
        <f aca="false">MIN(AF218,AG217)</f>
        <v>-161765.157333333</v>
      </c>
      <c r="AH218" s="67" t="n">
        <f aca="false">MIN(AG218,AH217)</f>
        <v>-161765.157333333</v>
      </c>
      <c r="AI218" s="67" t="n">
        <f aca="false">MIN(AH218,AI217)</f>
        <v>-161765.157333333</v>
      </c>
      <c r="AJ218" s="67" t="n">
        <f aca="false">MIN(AI218,AJ217)</f>
        <v>-161765.157333333</v>
      </c>
      <c r="AK218" s="67" t="n">
        <f aca="false">MIN(AJ218,AK217)</f>
        <v>-161765.157333333</v>
      </c>
      <c r="AL218" s="67" t="n">
        <f aca="false">MIN(AK218,AL217)</f>
        <v>-161765.157333333</v>
      </c>
    </row>
    <row r="219" customFormat="false" ht="15" hidden="false" customHeight="false" outlineLevel="0" collapsed="false">
      <c r="A219" s="117" t="s">
        <v>425</v>
      </c>
      <c r="C219" s="116" t="n">
        <f aca="false">IF(AND(C217&gt;=0,C218&lt;0),1,0)</f>
        <v>0</v>
      </c>
      <c r="D219" s="116" t="n">
        <f aca="false">IF(AND(D217&gt;=0,D218&lt;0),1,0)</f>
        <v>0</v>
      </c>
      <c r="E219" s="116" t="n">
        <f aca="false">IF(AND(E217&gt;=0,E218&lt;0),1,0)</f>
        <v>0</v>
      </c>
      <c r="F219" s="116" t="n">
        <f aca="false">IF(AND(F217&gt;=0,F218&lt;0),1,0)</f>
        <v>0</v>
      </c>
      <c r="G219" s="116" t="n">
        <f aca="false">IF(AND(G217&gt;=0,G218&lt;0),1,0)</f>
        <v>0</v>
      </c>
      <c r="H219" s="116" t="n">
        <f aca="false">IF(AND(H217&gt;=0,H218&lt;0),1,0)</f>
        <v>0</v>
      </c>
      <c r="I219" s="116" t="n">
        <f aca="false">IF(AND(I217&gt;=0,I218&lt;0),1,0)</f>
        <v>0</v>
      </c>
      <c r="J219" s="116" t="n">
        <f aca="false">IF(AND(J217&gt;=0,J218&lt;0),1,0)</f>
        <v>0</v>
      </c>
      <c r="K219" s="116" t="n">
        <f aca="false">IF(AND(K217&gt;=0,K218&lt;0),1,0)</f>
        <v>0</v>
      </c>
      <c r="L219" s="116" t="n">
        <f aca="false">IF(AND(L217&gt;=0,L218&lt;0),1,0)</f>
        <v>0</v>
      </c>
      <c r="M219" s="116" t="n">
        <f aca="false">IF(AND(M217&gt;=0,M218&lt;0),1,0)</f>
        <v>0</v>
      </c>
      <c r="N219" s="116" t="n">
        <f aca="false">IF(AND(N217&gt;=0,N218&lt;0),1,0)</f>
        <v>0</v>
      </c>
      <c r="O219" s="116" t="n">
        <f aca="false">IF(AND(O217&gt;=0,O218&lt;0),1,0)</f>
        <v>0</v>
      </c>
      <c r="P219" s="116" t="n">
        <f aca="false">IF(AND(P217&gt;=0,P218&lt;0),1,0)</f>
        <v>0</v>
      </c>
      <c r="Q219" s="116" t="n">
        <f aca="false">IF(AND(Q217&gt;=0,Q218&lt;0),1,0)</f>
        <v>0</v>
      </c>
      <c r="R219" s="116" t="n">
        <f aca="false">IF(AND(R217&gt;=0,R218&lt;0),1,0)</f>
        <v>0</v>
      </c>
      <c r="S219" s="116" t="n">
        <f aca="false">IF(AND(S217&gt;=0,S218&lt;0),1,0)</f>
        <v>0</v>
      </c>
      <c r="T219" s="116" t="n">
        <f aca="false">IF(AND(T217&gt;=0,T218&lt;0),1,0)</f>
        <v>0</v>
      </c>
      <c r="U219" s="116" t="n">
        <f aca="false">IF(AND(U217&gt;=0,U218&lt;0),1,0)</f>
        <v>0</v>
      </c>
      <c r="V219" s="116" t="n">
        <f aca="false">IF(AND(V217&gt;=0,V218&lt;0),1,0)</f>
        <v>0</v>
      </c>
      <c r="W219" s="116" t="n">
        <f aca="false">IF(AND(W217&gt;=0,W218&lt;0),1,0)</f>
        <v>0</v>
      </c>
      <c r="X219" s="116" t="n">
        <f aca="false">IF(AND(X217&gt;=0,X218&lt;0),1,0)</f>
        <v>0</v>
      </c>
      <c r="Y219" s="116" t="n">
        <f aca="false">IF(AND(Y217&gt;=0,Y218&lt;0),1,0)</f>
        <v>0</v>
      </c>
      <c r="Z219" s="116" t="n">
        <f aca="false">IF(AND(Z217&gt;=0,Z218&lt;0),1,0)</f>
        <v>0</v>
      </c>
      <c r="AA219" s="116" t="n">
        <f aca="false">IF(AND(AA217&gt;=0,AA218&lt;0),1,0)</f>
        <v>0</v>
      </c>
      <c r="AB219" s="116" t="n">
        <f aca="false">IF(AND(AB217&gt;=0,AB218&lt;0),1,0)</f>
        <v>0</v>
      </c>
      <c r="AC219" s="116" t="n">
        <f aca="false">IF(AND(AC217&gt;=0,AC218&lt;0),1,0)</f>
        <v>0</v>
      </c>
      <c r="AD219" s="116" t="n">
        <f aca="false">IF(AND(AD217&gt;=0,AD218&lt;0),1,0)</f>
        <v>0</v>
      </c>
      <c r="AE219" s="116" t="n">
        <f aca="false">IF(AND(AE217&gt;=0,AE218&lt;0),1,0)</f>
        <v>0</v>
      </c>
      <c r="AF219" s="116" t="n">
        <f aca="false">IF(AND(AF217&gt;=0,AF218&lt;0),1,0)</f>
        <v>0</v>
      </c>
      <c r="AG219" s="116" t="n">
        <f aca="false">IF(AND(AG217&gt;=0,AG218&lt;0),1,0)</f>
        <v>0</v>
      </c>
      <c r="AH219" s="116" t="n">
        <f aca="false">IF(AND(AH217&gt;=0,AH218&lt;0),1,0)</f>
        <v>0</v>
      </c>
      <c r="AI219" s="116" t="n">
        <f aca="false">IF(AND(AI217&gt;=0,AI218&lt;0),1,0)</f>
        <v>0</v>
      </c>
      <c r="AJ219" s="116" t="n">
        <f aca="false">IF(AND(AJ217&gt;=0,AJ218&lt;0),1,0)</f>
        <v>0</v>
      </c>
      <c r="AK219" s="116" t="n">
        <f aca="false">IF(AND(AK217&gt;=0,AK218&lt;0),1,0)</f>
        <v>0</v>
      </c>
      <c r="AL219" s="116" t="n">
        <f aca="false">IF(AND(AL217&gt;=0,AL218&lt;0),1,0)</f>
        <v>0</v>
      </c>
    </row>
    <row r="220" customFormat="false" ht="15" hidden="false" customHeight="false" outlineLevel="0" collapsed="false">
      <c r="A220" s="6" t="s">
        <v>426</v>
      </c>
      <c r="C220" s="67" t="n">
        <f aca="false">C205-C172*(1-Inputs!$C$83)+C206</f>
        <v>-146395.741466667</v>
      </c>
      <c r="D220" s="67" t="n">
        <f aca="false">D205-D172*(1-Inputs!$C$83)+D206</f>
        <v>-6996.76688333333</v>
      </c>
      <c r="E220" s="67" t="n">
        <f aca="false">E205-E172*(1-Inputs!$C$83)+E206</f>
        <v>-3449.27345</v>
      </c>
      <c r="F220" s="67" t="n">
        <f aca="false">F205-F172*(1-Inputs!$C$83)+F206</f>
        <v>-1857.06001666667</v>
      </c>
      <c r="G220" s="67" t="n">
        <f aca="false">G205-G172*(1-Inputs!$C$83)+G206</f>
        <v>-471.16551666667</v>
      </c>
      <c r="H220" s="67" t="n">
        <f aca="false">H205-H172*(1-Inputs!$C$83)+H206</f>
        <v>914.728983333329</v>
      </c>
      <c r="I220" s="67" t="n">
        <f aca="false">I205-I172*(1-Inputs!$C$83)+I206</f>
        <v>2300.62348333333</v>
      </c>
      <c r="J220" s="67" t="n">
        <f aca="false">J205-J172*(1-Inputs!$C$83)+J206</f>
        <v>2410.32358333333</v>
      </c>
      <c r="K220" s="67" t="n">
        <f aca="false">K205-K172*(1-Inputs!$C$83)+K206</f>
        <v>2412.68608333333</v>
      </c>
      <c r="L220" s="67" t="n">
        <f aca="false">L205-L172*(1-Inputs!$C$83)+L206</f>
        <v>2415.04858333333</v>
      </c>
      <c r="M220" s="67" t="n">
        <f aca="false">M205-M172*(1-Inputs!$C$83)+M206</f>
        <v>2417.41108333333</v>
      </c>
      <c r="N220" s="67" t="n">
        <f aca="false">N205-N172*(1-Inputs!$C$83)+N206</f>
        <v>-1499.20881666667</v>
      </c>
      <c r="O220" s="67" t="n">
        <f aca="false">O205-O172*(1-Inputs!$C$83)+O206</f>
        <v>-4026.73949330667</v>
      </c>
      <c r="P220" s="67" t="n">
        <f aca="false">P205-P172*(1-Inputs!$C$83)+P206</f>
        <v>-1464.62003586667</v>
      </c>
      <c r="Q220" s="67" t="n">
        <f aca="false">Q205-Q172*(1-Inputs!$C$83)+Q206</f>
        <v>2702.43609229333</v>
      </c>
      <c r="R220" s="67" t="n">
        <f aca="false">R205-R172*(1-Inputs!$C$83)+R206</f>
        <v>3080.02788893333</v>
      </c>
      <c r="S220" s="67" t="n">
        <f aca="false">S205-S172*(1-Inputs!$C$83)+S206</f>
        <v>3082.39038893333</v>
      </c>
      <c r="T220" s="67" t="n">
        <f aca="false">T205-T172*(1-Inputs!$C$83)+T206</f>
        <v>3084.75288893333</v>
      </c>
      <c r="U220" s="67" t="n">
        <f aca="false">U205-U172*(1-Inputs!$C$83)+U206</f>
        <v>3087.11538893333</v>
      </c>
      <c r="V220" s="67" t="n">
        <f aca="false">V205-V172*(1-Inputs!$C$83)+V206</f>
        <v>3089.47788893333</v>
      </c>
      <c r="W220" s="67" t="n">
        <f aca="false">W205-W172*(1-Inputs!$C$83)+W206</f>
        <v>3091.84038893333</v>
      </c>
      <c r="X220" s="67" t="n">
        <f aca="false">X205-X172*(1-Inputs!$C$83)+X206</f>
        <v>3094.20288893333</v>
      </c>
      <c r="Y220" s="67" t="n">
        <f aca="false">Y205-Y172*(1-Inputs!$C$83)+Y206</f>
        <v>3096.56538893333</v>
      </c>
      <c r="Z220" s="67" t="n">
        <f aca="false">Z205-Z172*(1-Inputs!$C$83)+Z206</f>
        <v>-1065.76573922667</v>
      </c>
      <c r="AA220" s="67" t="n">
        <f aca="false">AA205-AA172*(1-Inputs!$C$83)+AA206</f>
        <v>-3579.85475842805</v>
      </c>
      <c r="AB220" s="67" t="n">
        <f aca="false">AB205-AB172*(1-Inputs!$C$83)+AB206</f>
        <v>-1013.86347389595</v>
      </c>
      <c r="AC220" s="67" t="n">
        <f aca="false">AC205-AC172*(1-Inputs!$C$83)+AC206</f>
        <v>3414.079052219</v>
      </c>
      <c r="AD220" s="67" t="n">
        <f aca="false">AD205-AD172*(1-Inputs!$C$83)+AD206</f>
        <v>3814.52231302437</v>
      </c>
      <c r="AE220" s="67" t="n">
        <f aca="false">AE205-AE172*(1-Inputs!$C$83)+AE206</f>
        <v>3816.88481302437</v>
      </c>
      <c r="AF220" s="67" t="n">
        <f aca="false">AF205-AF172*(1-Inputs!$C$83)+AF206</f>
        <v>3819.24731302437</v>
      </c>
      <c r="AG220" s="67" t="n">
        <f aca="false">AG205-AG172*(1-Inputs!$C$83)+AG206</f>
        <v>3821.60981302437</v>
      </c>
      <c r="AH220" s="67" t="n">
        <f aca="false">AH205-AH172*(1-Inputs!$C$83)+AH206</f>
        <v>3823.97231302437</v>
      </c>
      <c r="AI220" s="67" t="n">
        <f aca="false">AI205-AI172*(1-Inputs!$C$83)+AI206</f>
        <v>3826.33481302437</v>
      </c>
      <c r="AJ220" s="67" t="n">
        <f aca="false">AJ205-AJ172*(1-Inputs!$C$83)+AJ206</f>
        <v>3828.69731302437</v>
      </c>
      <c r="AK220" s="67" t="n">
        <f aca="false">AK205-AK172*(1-Inputs!$C$83)+AK206</f>
        <v>3831.05981302437</v>
      </c>
      <c r="AL220" s="67" t="n">
        <f aca="false">AL205-AL172*(1-Inputs!$C$83)+AL206</f>
        <v>-592.157713090575</v>
      </c>
    </row>
    <row r="222" customFormat="false" ht="15.75" hidden="false" customHeight="true" outlineLevel="0" collapsed="false">
      <c r="A222" s="7" t="s">
        <v>427</v>
      </c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</row>
    <row r="223" customFormat="false" ht="15" hidden="false" customHeight="false" outlineLevel="0" collapsed="false">
      <c r="A223" s="6" t="s">
        <v>97</v>
      </c>
      <c r="C223" s="67" t="n">
        <f aca="false">C207</f>
        <v>100000</v>
      </c>
      <c r="D223" s="67" t="n">
        <f aca="false">C223+D207</f>
        <v>100000</v>
      </c>
      <c r="E223" s="67" t="n">
        <f aca="false">D223+E207</f>
        <v>100000</v>
      </c>
      <c r="F223" s="67" t="n">
        <f aca="false">E223+F207</f>
        <v>100000</v>
      </c>
      <c r="G223" s="67" t="n">
        <f aca="false">F223+G207</f>
        <v>100000</v>
      </c>
      <c r="H223" s="67" t="n">
        <f aca="false">G223+H207</f>
        <v>100000</v>
      </c>
      <c r="I223" s="67" t="n">
        <f aca="false">H223+I207</f>
        <v>100000</v>
      </c>
      <c r="J223" s="67" t="n">
        <f aca="false">I223+J207</f>
        <v>100000</v>
      </c>
      <c r="K223" s="67" t="n">
        <f aca="false">J223+K207</f>
        <v>100000</v>
      </c>
      <c r="L223" s="67" t="n">
        <f aca="false">K223+L207</f>
        <v>100000</v>
      </c>
      <c r="M223" s="67" t="n">
        <f aca="false">L223+M207</f>
        <v>100000</v>
      </c>
      <c r="N223" s="67" t="n">
        <f aca="false">M223+N207</f>
        <v>100000</v>
      </c>
      <c r="O223" s="67" t="n">
        <f aca="false">N223+O207</f>
        <v>100000</v>
      </c>
      <c r="P223" s="67" t="n">
        <f aca="false">O223+P207</f>
        <v>100000</v>
      </c>
      <c r="Q223" s="67" t="n">
        <f aca="false">P223+Q207</f>
        <v>100000</v>
      </c>
      <c r="R223" s="67" t="n">
        <f aca="false">Q223+R207</f>
        <v>100000</v>
      </c>
      <c r="S223" s="67" t="n">
        <f aca="false">R223+S207</f>
        <v>100000</v>
      </c>
      <c r="T223" s="67" t="n">
        <f aca="false">S223+T207</f>
        <v>100000</v>
      </c>
      <c r="U223" s="67" t="n">
        <f aca="false">T223+U207</f>
        <v>100000</v>
      </c>
      <c r="V223" s="67" t="n">
        <f aca="false">U223+V207</f>
        <v>100000</v>
      </c>
      <c r="W223" s="67" t="n">
        <f aca="false">V223+W207</f>
        <v>100000</v>
      </c>
      <c r="X223" s="67" t="n">
        <f aca="false">W223+X207</f>
        <v>100000</v>
      </c>
      <c r="Y223" s="67" t="n">
        <f aca="false">X223+Y207</f>
        <v>100000</v>
      </c>
      <c r="Z223" s="67" t="n">
        <f aca="false">Y223+Z207</f>
        <v>100000</v>
      </c>
      <c r="AA223" s="67" t="n">
        <f aca="false">Z223+AA207</f>
        <v>100000</v>
      </c>
      <c r="AB223" s="67" t="n">
        <f aca="false">AA223+AB207</f>
        <v>100000</v>
      </c>
      <c r="AC223" s="67" t="n">
        <f aca="false">AB223+AC207</f>
        <v>100000</v>
      </c>
      <c r="AD223" s="67" t="n">
        <f aca="false">AC223+AD207</f>
        <v>100000</v>
      </c>
      <c r="AE223" s="67" t="n">
        <f aca="false">AD223+AE207</f>
        <v>100000</v>
      </c>
      <c r="AF223" s="67" t="n">
        <f aca="false">AE223+AF207</f>
        <v>100000</v>
      </c>
      <c r="AG223" s="67" t="n">
        <f aca="false">AF223+AG207</f>
        <v>100000</v>
      </c>
      <c r="AH223" s="67" t="n">
        <f aca="false">AG223+AH207</f>
        <v>100000</v>
      </c>
      <c r="AI223" s="67" t="n">
        <f aca="false">AH223+AI207</f>
        <v>100000</v>
      </c>
      <c r="AJ223" s="67" t="n">
        <f aca="false">AI223+AJ207</f>
        <v>100000</v>
      </c>
      <c r="AK223" s="67" t="n">
        <f aca="false">AJ223+AK207</f>
        <v>100000</v>
      </c>
      <c r="AL223" s="67" t="n">
        <f aca="false">AK223+AL207</f>
        <v>100000</v>
      </c>
    </row>
    <row r="224" customFormat="false" ht="15" hidden="false" customHeight="false" outlineLevel="0" collapsed="false">
      <c r="A224" s="6" t="s">
        <v>98</v>
      </c>
      <c r="C224" s="67" t="n">
        <f aca="false">C177</f>
        <v>-10104.6678095238</v>
      </c>
      <c r="D224" s="67" t="n">
        <f aca="false">C224+D177</f>
        <v>-19195.2346190476</v>
      </c>
      <c r="E224" s="67" t="n">
        <f aca="false">D224+E177</f>
        <v>-24493.6274285714</v>
      </c>
      <c r="F224" s="67" t="n">
        <f aca="false">E224+F177</f>
        <v>-28397.2382380952</v>
      </c>
      <c r="G224" s="67" t="n">
        <f aca="false">F224+G177</f>
        <v>-30906.0670476191</v>
      </c>
      <c r="H224" s="67" t="n">
        <f aca="false">G224+H177</f>
        <v>-32020.1138571429</v>
      </c>
      <c r="I224" s="67" t="n">
        <f aca="false">H224+I177</f>
        <v>-31739.3786666667</v>
      </c>
      <c r="J224" s="67" t="n">
        <f aca="false">I224+J177</f>
        <v>-31447.3934761905</v>
      </c>
      <c r="K224" s="67" t="n">
        <f aca="false">J224+K177</f>
        <v>-31144.1582857143</v>
      </c>
      <c r="L224" s="67" t="n">
        <f aca="false">K224+L177</f>
        <v>-30829.6730952381</v>
      </c>
      <c r="M224" s="67" t="n">
        <f aca="false">L224+M177</f>
        <v>-30503.9379047619</v>
      </c>
      <c r="N224" s="67" t="n">
        <f aca="false">M224+N177</f>
        <v>-34439.6247142857</v>
      </c>
      <c r="O224" s="67" t="n">
        <f aca="false">N224+O177</f>
        <v>-38010.2700477714</v>
      </c>
      <c r="P224" s="67" t="n">
        <f aca="false">O224+P177</f>
        <v>-41569.6653812572</v>
      </c>
      <c r="Q224" s="67" t="n">
        <f aca="false">P224+Q177</f>
        <v>-40577.8877899429</v>
      </c>
      <c r="R224" s="67" t="n">
        <f aca="false">Q224+R177</f>
        <v>-39574.8601986286</v>
      </c>
      <c r="S224" s="67" t="n">
        <f aca="false">R224+S177</f>
        <v>-38560.5826073143</v>
      </c>
      <c r="T224" s="67" t="n">
        <f aca="false">S224+T177</f>
        <v>-37535.055016</v>
      </c>
      <c r="U224" s="67" t="n">
        <f aca="false">T224+U177</f>
        <v>-36498.2774246857</v>
      </c>
      <c r="V224" s="67" t="n">
        <f aca="false">U224+V177</f>
        <v>-35450.2498333715</v>
      </c>
      <c r="W224" s="67" t="n">
        <f aca="false">V224+W177</f>
        <v>-34390.9722420572</v>
      </c>
      <c r="X224" s="67" t="n">
        <f aca="false">W224+X177</f>
        <v>-33320.4446507429</v>
      </c>
      <c r="Y224" s="67" t="n">
        <f aca="false">X224+Y177</f>
        <v>-32238.6670594286</v>
      </c>
      <c r="Z224" s="67" t="n">
        <f aca="false">Y224+Z177</f>
        <v>-35685.5623929143</v>
      </c>
      <c r="AA224" s="67" t="n">
        <f aca="false">Z224+AA177</f>
        <v>-38728.5630691912</v>
      </c>
      <c r="AB224" s="67" t="n">
        <f aca="false">AA224+AB177</f>
        <v>-41760.3137454681</v>
      </c>
      <c r="AC224" s="67" t="n">
        <f aca="false">AB224+AC177</f>
        <v>-39957.1536348247</v>
      </c>
      <c r="AD224" s="67" t="n">
        <f aca="false">AC224+AD177</f>
        <v>-38142.7435241813</v>
      </c>
      <c r="AE224" s="67" t="n">
        <f aca="false">AD224+AE177</f>
        <v>-36317.0834135379</v>
      </c>
      <c r="AF224" s="67" t="n">
        <f aca="false">AE224+AF177</f>
        <v>-34480.1733028944</v>
      </c>
      <c r="AG224" s="67" t="n">
        <f aca="false">AF224+AG177</f>
        <v>-32632.013192251</v>
      </c>
      <c r="AH224" s="67" t="n">
        <f aca="false">AG224+AH177</f>
        <v>-30772.6030816076</v>
      </c>
      <c r="AI224" s="67" t="n">
        <f aca="false">AH224+AI177</f>
        <v>-28901.9429709642</v>
      </c>
      <c r="AJ224" s="67" t="n">
        <f aca="false">AI224+AJ177</f>
        <v>-27020.0328603208</v>
      </c>
      <c r="AK224" s="67" t="n">
        <f aca="false">AJ224+AK177</f>
        <v>-25126.8727496773</v>
      </c>
      <c r="AL224" s="67" t="n">
        <f aca="false">AK224+AL177</f>
        <v>-28046.1234259542</v>
      </c>
    </row>
    <row r="225" customFormat="false" ht="15" hidden="false" customHeight="false" outlineLevel="0" collapsed="false">
      <c r="A225" s="4" t="s">
        <v>93</v>
      </c>
      <c r="C225" s="73" t="n">
        <f aca="false">C211+C197+C198+C188</f>
        <v>180900.565790476</v>
      </c>
      <c r="D225" s="73" t="n">
        <f aca="false">D211+D197+D198+D188</f>
        <v>170477.537914286</v>
      </c>
      <c r="E225" s="73" t="n">
        <f aca="false">E211+E197+E198+E188</f>
        <v>164296.446171429</v>
      </c>
      <c r="F225" s="73" t="n">
        <f aca="false">F211+F197+F198+F188</f>
        <v>159116.594561905</v>
      </c>
      <c r="G225" s="73" t="n">
        <f aca="false">G211+G197+G198+G188</f>
        <v>155331.524952381</v>
      </c>
      <c r="H225" s="73" t="n">
        <f aca="false">H211+H197+H198+H188</f>
        <v>152941.237342857</v>
      </c>
      <c r="I225" s="73" t="n">
        <f aca="false">I211+I197+I198+I188</f>
        <v>151945.731733333</v>
      </c>
      <c r="J225" s="73" t="n">
        <f aca="false">J211+J197+J198+J188</f>
        <v>150737.71692381</v>
      </c>
      <c r="K225" s="73" t="n">
        <f aca="false">K211+K197+K198+K188</f>
        <v>149540.952114286</v>
      </c>
      <c r="L225" s="73" t="n">
        <f aca="false">L211+L197+L198+L188</f>
        <v>148355.437304762</v>
      </c>
      <c r="M225" s="73" t="n">
        <f aca="false">M211+M197+M198+M188</f>
        <v>147181.172495238</v>
      </c>
      <c r="N225" s="73" t="n">
        <f aca="false">N211+N197+N198+N188</f>
        <v>141070.842485714</v>
      </c>
      <c r="O225" s="73" t="n">
        <f aca="false">O211+O197+O198+O188</f>
        <v>136132.780516709</v>
      </c>
      <c r="P225" s="73" t="n">
        <f aca="false">P211+P197+P198+P188</f>
        <v>131073.385183223</v>
      </c>
      <c r="Q225" s="73" t="n">
        <f aca="false">Q211+Q197+Q198+Q188</f>
        <v>131280.891745417</v>
      </c>
      <c r="R225" s="73" t="n">
        <f aca="false">R211+R197+R198+R188</f>
        <v>130783.919336731</v>
      </c>
      <c r="S225" s="73" t="n">
        <f aca="false">S211+S197+S198+S188</f>
        <v>130298.196928046</v>
      </c>
      <c r="T225" s="73" t="n">
        <f aca="false">T211+T197+T198+T188</f>
        <v>129823.72451936</v>
      </c>
      <c r="U225" s="73" t="n">
        <f aca="false">U211+U197+U198+U188</f>
        <v>129360.502110674</v>
      </c>
      <c r="V225" s="73" t="n">
        <f aca="false">V211+V197+V198+V188</f>
        <v>128908.529701989</v>
      </c>
      <c r="W225" s="73" t="n">
        <f aca="false">W211+W197+W198+W188</f>
        <v>128467.807293303</v>
      </c>
      <c r="X225" s="73" t="n">
        <f aca="false">X211+X197+X198+X188</f>
        <v>128038.334884617</v>
      </c>
      <c r="Y225" s="73" t="n">
        <f aca="false">Y211+Y197+Y198+Y188</f>
        <v>127620.112475931</v>
      </c>
      <c r="Z225" s="73" t="n">
        <f aca="false">Z211+Z197+Z198+Z188</f>
        <v>121957.488171566</v>
      </c>
      <c r="AA225" s="73" t="n">
        <f aca="false">AA211+AA197+AA198+AA188</f>
        <v>117555.972078494</v>
      </c>
      <c r="AB225" s="73" t="n">
        <f aca="false">AB211+AB197+AB198+AB188</f>
        <v>113024.221402217</v>
      </c>
      <c r="AC225" s="73" t="n">
        <f aca="false">AC211+AC197+AC198+AC188</f>
        <v>114086.698378067</v>
      </c>
      <c r="AD225" s="73" t="n">
        <f aca="false">AD211+AD197+AD198+AD188</f>
        <v>114401.10848871</v>
      </c>
      <c r="AE225" s="73" t="n">
        <f aca="false">AE211+AE197+AE198+AE188</f>
        <v>114726.768599354</v>
      </c>
      <c r="AF225" s="73" t="n">
        <f aca="false">AF211+AF197+AF198+AF188</f>
        <v>115063.678709997</v>
      </c>
      <c r="AG225" s="73" t="n">
        <f aca="false">AG211+AG197+AG198+AG188</f>
        <v>115411.83882064</v>
      </c>
      <c r="AH225" s="73" t="n">
        <f aca="false">AH211+AH197+AH198+AH188</f>
        <v>115771.248931284</v>
      </c>
      <c r="AI225" s="73" t="n">
        <f aca="false">AI211+AI197+AI198+AI188</f>
        <v>116141.909041927</v>
      </c>
      <c r="AJ225" s="73" t="n">
        <f aca="false">AJ211+AJ197+AJ198+AJ188</f>
        <v>116523.819152571</v>
      </c>
      <c r="AK225" s="73" t="n">
        <f aca="false">AK211+AK197+AK198+AK188</f>
        <v>116916.979263214</v>
      </c>
      <c r="AL225" s="73" t="n">
        <f aca="false">AL211+AL197+AL198+AL188</f>
        <v>111738.411721731</v>
      </c>
    </row>
    <row r="226" customFormat="false" ht="15" hidden="false" customHeight="false" outlineLevel="0" collapsed="false">
      <c r="A226" s="6" t="s">
        <v>96</v>
      </c>
      <c r="C226" s="67" t="n">
        <f aca="false">C199+C194</f>
        <v>91005.2336</v>
      </c>
      <c r="D226" s="67" t="n">
        <f aca="false">D199+D194</f>
        <v>89672.7725333333</v>
      </c>
      <c r="E226" s="67" t="n">
        <f aca="false">E199+E194</f>
        <v>88790.0736</v>
      </c>
      <c r="F226" s="67" t="n">
        <f aca="false">F199+F194</f>
        <v>87513.8328</v>
      </c>
      <c r="G226" s="67" t="n">
        <f aca="false">G199+G194</f>
        <v>86237.592</v>
      </c>
      <c r="H226" s="67" t="n">
        <f aca="false">H199+H194</f>
        <v>84961.3512</v>
      </c>
      <c r="I226" s="67" t="n">
        <f aca="false">I199+I194</f>
        <v>83685.1104</v>
      </c>
      <c r="J226" s="67" t="n">
        <f aca="false">J199+J194</f>
        <v>82185.1104</v>
      </c>
      <c r="K226" s="67" t="n">
        <f aca="false">K199+K194</f>
        <v>80685.1104</v>
      </c>
      <c r="L226" s="67" t="n">
        <f aca="false">L199+L194</f>
        <v>79185.1104</v>
      </c>
      <c r="M226" s="67" t="n">
        <f aca="false">M199+M194</f>
        <v>77685.1104</v>
      </c>
      <c r="N226" s="67" t="n">
        <f aca="false">N199+N194</f>
        <v>75510.4672</v>
      </c>
      <c r="O226" s="67" t="n">
        <f aca="false">O199+O194</f>
        <v>74143.05056448</v>
      </c>
      <c r="P226" s="67" t="n">
        <f aca="false">P199+P194</f>
        <v>72643.05056448</v>
      </c>
      <c r="Q226" s="67" t="n">
        <f aca="false">Q199+Q194</f>
        <v>71858.77953536</v>
      </c>
      <c r="R226" s="67" t="n">
        <f aca="false">R199+R194</f>
        <v>70358.77953536</v>
      </c>
      <c r="S226" s="67" t="n">
        <f aca="false">S199+S194</f>
        <v>68858.77953536</v>
      </c>
      <c r="T226" s="67" t="n">
        <f aca="false">T199+T194</f>
        <v>67358.77953536</v>
      </c>
      <c r="U226" s="67" t="n">
        <f aca="false">U199+U194</f>
        <v>65858.77953536</v>
      </c>
      <c r="V226" s="67" t="n">
        <f aca="false">V199+V194</f>
        <v>64358.77953536</v>
      </c>
      <c r="W226" s="67" t="n">
        <f aca="false">W199+W194</f>
        <v>62858.77953536</v>
      </c>
      <c r="X226" s="67" t="n">
        <f aca="false">X199+X194</f>
        <v>61358.77953536</v>
      </c>
      <c r="Y226" s="67" t="n">
        <f aca="false">Y199+Y194</f>
        <v>59858.77953536</v>
      </c>
      <c r="Z226" s="67" t="n">
        <f aca="false">Z199+Z194</f>
        <v>57643.05056448</v>
      </c>
      <c r="AA226" s="67" t="n">
        <f aca="false">AA199+AA194</f>
        <v>56284.5351476848</v>
      </c>
      <c r="AB226" s="67" t="n">
        <f aca="false">AB199+AB194</f>
        <v>54784.5351476848</v>
      </c>
      <c r="AC226" s="67" t="n">
        <f aca="false">AC199+AC194</f>
        <v>54043.8520128914</v>
      </c>
      <c r="AD226" s="67" t="n">
        <f aca="false">AD199+AD194</f>
        <v>52543.8520128914</v>
      </c>
      <c r="AE226" s="67" t="n">
        <f aca="false">AE199+AE194</f>
        <v>51043.8520128914</v>
      </c>
      <c r="AF226" s="67" t="n">
        <f aca="false">AF199+AF194</f>
        <v>49543.8520128914</v>
      </c>
      <c r="AG226" s="67" t="n">
        <f aca="false">AG199+AG194</f>
        <v>48043.8520128914</v>
      </c>
      <c r="AH226" s="67" t="n">
        <f aca="false">AH199+AH194</f>
        <v>46543.8520128914</v>
      </c>
      <c r="AI226" s="67" t="n">
        <f aca="false">AI199+AI194</f>
        <v>45043.8520128914</v>
      </c>
      <c r="AJ226" s="67" t="n">
        <f aca="false">AJ199+AJ194</f>
        <v>43543.8520128914</v>
      </c>
      <c r="AK226" s="67" t="n">
        <f aca="false">AK199+AK194</f>
        <v>42043.8520128914</v>
      </c>
      <c r="AL226" s="67" t="n">
        <f aca="false">AL199+AL194</f>
        <v>39784.5351476848</v>
      </c>
    </row>
    <row r="227" customFormat="false" ht="15" hidden="false" customHeight="false" outlineLevel="0" collapsed="false">
      <c r="A227" s="6" t="s">
        <v>99</v>
      </c>
      <c r="C227" s="67" t="n">
        <f aca="false">C223+C224</f>
        <v>89895.3321904762</v>
      </c>
      <c r="D227" s="67" t="n">
        <f aca="false">D223+D224</f>
        <v>80804.7653809524</v>
      </c>
      <c r="E227" s="67" t="n">
        <f aca="false">E223+E224</f>
        <v>75506.3725714286</v>
      </c>
      <c r="F227" s="67" t="n">
        <f aca="false">F223+F224</f>
        <v>71602.7617619048</v>
      </c>
      <c r="G227" s="67" t="n">
        <f aca="false">G223+G224</f>
        <v>69093.9329523809</v>
      </c>
      <c r="H227" s="67" t="n">
        <f aca="false">H223+H224</f>
        <v>67979.8861428571</v>
      </c>
      <c r="I227" s="67" t="n">
        <f aca="false">I223+I224</f>
        <v>68260.6213333333</v>
      </c>
      <c r="J227" s="67" t="n">
        <f aca="false">J223+J224</f>
        <v>68552.6065238095</v>
      </c>
      <c r="K227" s="67" t="n">
        <f aca="false">K223+K224</f>
        <v>68855.8417142857</v>
      </c>
      <c r="L227" s="67" t="n">
        <f aca="false">L223+L224</f>
        <v>69170.3269047619</v>
      </c>
      <c r="M227" s="67" t="n">
        <f aca="false">M223+M224</f>
        <v>69496.0620952381</v>
      </c>
      <c r="N227" s="67" t="n">
        <f aca="false">N223+N224</f>
        <v>65560.3752857143</v>
      </c>
      <c r="O227" s="67" t="n">
        <f aca="false">O223+O224</f>
        <v>61989.7299522286</v>
      </c>
      <c r="P227" s="67" t="n">
        <f aca="false">P223+P224</f>
        <v>58430.3346187428</v>
      </c>
      <c r="Q227" s="67" t="n">
        <f aca="false">Q223+Q224</f>
        <v>59422.1122100571</v>
      </c>
      <c r="R227" s="67" t="n">
        <f aca="false">R223+R224</f>
        <v>60425.1398013714</v>
      </c>
      <c r="S227" s="67" t="n">
        <f aca="false">S223+S224</f>
        <v>61439.4173926857</v>
      </c>
      <c r="T227" s="67" t="n">
        <f aca="false">T223+T224</f>
        <v>62464.944984</v>
      </c>
      <c r="U227" s="67" t="n">
        <f aca="false">U223+U224</f>
        <v>63501.7225753143</v>
      </c>
      <c r="V227" s="67" t="n">
        <f aca="false">V223+V224</f>
        <v>64549.7501666285</v>
      </c>
      <c r="W227" s="67" t="n">
        <f aca="false">W223+W224</f>
        <v>65609.0277579428</v>
      </c>
      <c r="X227" s="67" t="n">
        <f aca="false">X223+X224</f>
        <v>66679.5553492571</v>
      </c>
      <c r="Y227" s="67" t="n">
        <f aca="false">Y223+Y224</f>
        <v>67761.3329405714</v>
      </c>
      <c r="Z227" s="67" t="n">
        <f aca="false">Z223+Z224</f>
        <v>64314.4376070857</v>
      </c>
      <c r="AA227" s="67" t="n">
        <f aca="false">AA223+AA224</f>
        <v>61271.4369308088</v>
      </c>
      <c r="AB227" s="67" t="n">
        <f aca="false">AB223+AB224</f>
        <v>58239.6862545319</v>
      </c>
      <c r="AC227" s="67" t="n">
        <f aca="false">AC223+AC224</f>
        <v>60042.8463651753</v>
      </c>
      <c r="AD227" s="67" t="n">
        <f aca="false">AD223+AD224</f>
        <v>61857.2564758187</v>
      </c>
      <c r="AE227" s="67" t="n">
        <f aca="false">AE223+AE224</f>
        <v>63682.9165864621</v>
      </c>
      <c r="AF227" s="67" t="n">
        <f aca="false">AF223+AF224</f>
        <v>65519.8266971056</v>
      </c>
      <c r="AG227" s="67" t="n">
        <f aca="false">AG223+AG224</f>
        <v>67367.986807749</v>
      </c>
      <c r="AH227" s="67" t="n">
        <f aca="false">AH223+AH224</f>
        <v>69227.3969183924</v>
      </c>
      <c r="AI227" s="67" t="n">
        <f aca="false">AI223+AI224</f>
        <v>71098.0570290358</v>
      </c>
      <c r="AJ227" s="67" t="n">
        <f aca="false">AJ223+AJ224</f>
        <v>72979.9671396792</v>
      </c>
      <c r="AK227" s="67" t="n">
        <f aca="false">AK223+AK224</f>
        <v>74873.1272503227</v>
      </c>
      <c r="AL227" s="67" t="n">
        <f aca="false">AL223+AL224</f>
        <v>71953.8765740458</v>
      </c>
    </row>
    <row r="228" customFormat="false" ht="15" hidden="false" customHeight="false" outlineLevel="0" collapsed="false">
      <c r="A228" s="4" t="s">
        <v>100</v>
      </c>
      <c r="C228" s="73" t="n">
        <f aca="false">C226+C227</f>
        <v>180900.565790476</v>
      </c>
      <c r="D228" s="73" t="n">
        <f aca="false">D226+D227</f>
        <v>170477.537914286</v>
      </c>
      <c r="E228" s="73" t="n">
        <f aca="false">E226+E227</f>
        <v>164296.446171429</v>
      </c>
      <c r="F228" s="73" t="n">
        <f aca="false">F226+F227</f>
        <v>159116.594561905</v>
      </c>
      <c r="G228" s="73" t="n">
        <f aca="false">G226+G227</f>
        <v>155331.524952381</v>
      </c>
      <c r="H228" s="73" t="n">
        <f aca="false">H226+H227</f>
        <v>152941.237342857</v>
      </c>
      <c r="I228" s="73" t="n">
        <f aca="false">I226+I227</f>
        <v>151945.731733333</v>
      </c>
      <c r="J228" s="73" t="n">
        <f aca="false">J226+J227</f>
        <v>150737.71692381</v>
      </c>
      <c r="K228" s="73" t="n">
        <f aca="false">K226+K227</f>
        <v>149540.952114286</v>
      </c>
      <c r="L228" s="73" t="n">
        <f aca="false">L226+L227</f>
        <v>148355.437304762</v>
      </c>
      <c r="M228" s="73" t="n">
        <f aca="false">M226+M227</f>
        <v>147181.172495238</v>
      </c>
      <c r="N228" s="73" t="n">
        <f aca="false">N226+N227</f>
        <v>141070.842485714</v>
      </c>
      <c r="O228" s="73" t="n">
        <f aca="false">O226+O227</f>
        <v>136132.780516709</v>
      </c>
      <c r="P228" s="73" t="n">
        <f aca="false">P226+P227</f>
        <v>131073.385183223</v>
      </c>
      <c r="Q228" s="73" t="n">
        <f aca="false">Q226+Q227</f>
        <v>131280.891745417</v>
      </c>
      <c r="R228" s="73" t="n">
        <f aca="false">R226+R227</f>
        <v>130783.919336731</v>
      </c>
      <c r="S228" s="73" t="n">
        <f aca="false">S226+S227</f>
        <v>130298.196928046</v>
      </c>
      <c r="T228" s="73" t="n">
        <f aca="false">T226+T227</f>
        <v>129823.72451936</v>
      </c>
      <c r="U228" s="73" t="n">
        <f aca="false">U226+U227</f>
        <v>129360.502110674</v>
      </c>
      <c r="V228" s="73" t="n">
        <f aca="false">V226+V227</f>
        <v>128908.529701989</v>
      </c>
      <c r="W228" s="73" t="n">
        <f aca="false">W226+W227</f>
        <v>128467.807293303</v>
      </c>
      <c r="X228" s="73" t="n">
        <f aca="false">X226+X227</f>
        <v>128038.334884617</v>
      </c>
      <c r="Y228" s="73" t="n">
        <f aca="false">Y226+Y227</f>
        <v>127620.112475931</v>
      </c>
      <c r="Z228" s="73" t="n">
        <f aca="false">Z226+Z227</f>
        <v>121957.488171566</v>
      </c>
      <c r="AA228" s="73" t="n">
        <f aca="false">AA226+AA227</f>
        <v>117555.972078494</v>
      </c>
      <c r="AB228" s="73" t="n">
        <f aca="false">AB226+AB227</f>
        <v>113024.221402217</v>
      </c>
      <c r="AC228" s="73" t="n">
        <f aca="false">AC226+AC227</f>
        <v>114086.698378067</v>
      </c>
      <c r="AD228" s="73" t="n">
        <f aca="false">AD226+AD227</f>
        <v>114401.10848871</v>
      </c>
      <c r="AE228" s="73" t="n">
        <f aca="false">AE226+AE227</f>
        <v>114726.768599354</v>
      </c>
      <c r="AF228" s="73" t="n">
        <f aca="false">AF226+AF227</f>
        <v>115063.678709997</v>
      </c>
      <c r="AG228" s="73" t="n">
        <f aca="false">AG226+AG227</f>
        <v>115411.83882064</v>
      </c>
      <c r="AH228" s="73" t="n">
        <f aca="false">AH226+AH227</f>
        <v>115771.248931284</v>
      </c>
      <c r="AI228" s="73" t="n">
        <f aca="false">AI226+AI227</f>
        <v>116141.909041927</v>
      </c>
      <c r="AJ228" s="73" t="n">
        <f aca="false">AJ226+AJ227</f>
        <v>116523.819152571</v>
      </c>
      <c r="AK228" s="73" t="n">
        <f aca="false">AK226+AK227</f>
        <v>116916.979263214</v>
      </c>
      <c r="AL228" s="73" t="n">
        <f aca="false">AL226+AL227</f>
        <v>111738.411721731</v>
      </c>
    </row>
    <row r="229" customFormat="false" ht="15" hidden="false" customHeight="false" outlineLevel="0" collapsed="false">
      <c r="A229" s="6" t="s">
        <v>428</v>
      </c>
      <c r="C229" s="67" t="n">
        <f aca="false">C225-C228</f>
        <v>0</v>
      </c>
      <c r="D229" s="67" t="n">
        <f aca="false">D225-D228</f>
        <v>0</v>
      </c>
      <c r="E229" s="67" t="n">
        <f aca="false">E225-E228</f>
        <v>0</v>
      </c>
      <c r="F229" s="67" t="n">
        <f aca="false">F225-F228</f>
        <v>0</v>
      </c>
      <c r="G229" s="67" t="n">
        <f aca="false">G225-G228</f>
        <v>0</v>
      </c>
      <c r="H229" s="67" t="n">
        <f aca="false">H225-H228</f>
        <v>0</v>
      </c>
      <c r="I229" s="67" t="n">
        <f aca="false">I225-I228</f>
        <v>0</v>
      </c>
      <c r="J229" s="67" t="n">
        <f aca="false">J225-J228</f>
        <v>0</v>
      </c>
      <c r="K229" s="67" t="n">
        <f aca="false">K225-K228</f>
        <v>0</v>
      </c>
      <c r="L229" s="67" t="n">
        <f aca="false">L225-L228</f>
        <v>0</v>
      </c>
      <c r="M229" s="67" t="n">
        <f aca="false">M225-M228</f>
        <v>0</v>
      </c>
      <c r="N229" s="67" t="n">
        <f aca="false">N225-N228</f>
        <v>0</v>
      </c>
      <c r="O229" s="67" t="n">
        <f aca="false">O225-O228</f>
        <v>0</v>
      </c>
      <c r="P229" s="67" t="n">
        <f aca="false">P225-P228</f>
        <v>0</v>
      </c>
      <c r="Q229" s="67" t="n">
        <f aca="false">Q225-Q228</f>
        <v>0</v>
      </c>
      <c r="R229" s="67" t="n">
        <f aca="false">R225-R228</f>
        <v>0</v>
      </c>
      <c r="S229" s="67" t="n">
        <f aca="false">S225-S228</f>
        <v>0</v>
      </c>
      <c r="T229" s="67" t="n">
        <f aca="false">T225-T228</f>
        <v>0</v>
      </c>
      <c r="U229" s="67" t="n">
        <f aca="false">U225-U228</f>
        <v>0</v>
      </c>
      <c r="V229" s="67" t="n">
        <f aca="false">V225-V228</f>
        <v>0</v>
      </c>
      <c r="W229" s="67" t="n">
        <f aca="false">W225-W228</f>
        <v>0</v>
      </c>
      <c r="X229" s="67" t="n">
        <f aca="false">X225-X228</f>
        <v>0</v>
      </c>
      <c r="Y229" s="67" t="n">
        <f aca="false">Y225-Y228</f>
        <v>0</v>
      </c>
      <c r="Z229" s="67" t="n">
        <f aca="false">Z225-Z228</f>
        <v>0</v>
      </c>
      <c r="AA229" s="67" t="n">
        <f aca="false">AA225-AA228</f>
        <v>0</v>
      </c>
      <c r="AB229" s="67" t="n">
        <f aca="false">AB225-AB228</f>
        <v>0</v>
      </c>
      <c r="AC229" s="67" t="n">
        <f aca="false">AC225-AC228</f>
        <v>0</v>
      </c>
      <c r="AD229" s="67" t="n">
        <f aca="false">AD225-AD228</f>
        <v>0</v>
      </c>
      <c r="AE229" s="67" t="n">
        <f aca="false">AE225-AE228</f>
        <v>0</v>
      </c>
      <c r="AF229" s="67" t="n">
        <f aca="false">AF225-AF228</f>
        <v>0</v>
      </c>
      <c r="AG229" s="67" t="n">
        <f aca="false">AG225-AG228</f>
        <v>0</v>
      </c>
      <c r="AH229" s="67" t="n">
        <f aca="false">AH225-AH228</f>
        <v>0</v>
      </c>
      <c r="AI229" s="67" t="n">
        <f aca="false">AI225-AI228</f>
        <v>0</v>
      </c>
      <c r="AJ229" s="67" t="n">
        <f aca="false">AJ225-AJ228</f>
        <v>0</v>
      </c>
      <c r="AK229" s="67" t="n">
        <f aca="false">AK225-AK228</f>
        <v>0</v>
      </c>
      <c r="AL229" s="67" t="n">
        <f aca="false">AL225-AL228</f>
        <v>0</v>
      </c>
    </row>
    <row r="231" customFormat="false" ht="15.75" hidden="false" customHeight="true" outlineLevel="0" collapsed="false">
      <c r="A231" s="7" t="s">
        <v>430</v>
      </c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</row>
    <row r="232" customFormat="false" ht="15" hidden="false" customHeight="false" outlineLevel="0" collapsed="false">
      <c r="A232" s="6" t="s">
        <v>431</v>
      </c>
      <c r="C232" s="118" t="n">
        <f aca="false">Inputs!$C$55*(1+Inputs!$C$57)^(C$127-1)*MAX(0,MIN(1,C$126*1-Inputs!$C$58+1))/1</f>
        <v>1</v>
      </c>
      <c r="D232" s="118" t="n">
        <f aca="false">Inputs!$C$55*(1+Inputs!$C$57)^(D$127-1)*MAX(0,MIN(1,D$126*1-Inputs!$C$58+1))/1</f>
        <v>1</v>
      </c>
      <c r="E232" s="118" t="n">
        <f aca="false">Inputs!$C$55*(1+Inputs!$C$57)^(E$127-1)*MAX(0,MIN(1,E$126*1-Inputs!$C$58+1))/1</f>
        <v>1</v>
      </c>
      <c r="F232" s="118" t="n">
        <f aca="false">Inputs!$C$55*(1+Inputs!$C$57)^(F$127-1)*MAX(0,MIN(1,F$126*1-Inputs!$C$58+1))/1</f>
        <v>1</v>
      </c>
      <c r="G232" s="118" t="n">
        <f aca="false">Inputs!$C$55*(1+Inputs!$C$57)^(G$127-1)*MAX(0,MIN(1,G$126*1-Inputs!$C$58+1))/1</f>
        <v>1</v>
      </c>
      <c r="H232" s="118" t="n">
        <f aca="false">Inputs!$C$55*(1+Inputs!$C$57)^(H$127-1)*MAX(0,MIN(1,H$126*1-Inputs!$C$58+1))/1</f>
        <v>1</v>
      </c>
      <c r="I232" s="118" t="n">
        <f aca="false">Inputs!$C$55*(1+Inputs!$C$57)^(I$127-1)*MAX(0,MIN(1,I$126*1-Inputs!$C$58+1))/1</f>
        <v>1</v>
      </c>
      <c r="J232" s="118" t="n">
        <f aca="false">Inputs!$C$55*(1+Inputs!$C$57)^(J$127-1)*MAX(0,MIN(1,J$126*1-Inputs!$C$58+1))/1</f>
        <v>1</v>
      </c>
      <c r="K232" s="118" t="n">
        <f aca="false">Inputs!$C$55*(1+Inputs!$C$57)^(K$127-1)*MAX(0,MIN(1,K$126*1-Inputs!$C$58+1))/1</f>
        <v>1</v>
      </c>
      <c r="L232" s="118" t="n">
        <f aca="false">Inputs!$C$55*(1+Inputs!$C$57)^(L$127-1)*MAX(0,MIN(1,L$126*1-Inputs!$C$58+1))/1</f>
        <v>1</v>
      </c>
      <c r="M232" s="118" t="n">
        <f aca="false">Inputs!$C$55*(1+Inputs!$C$57)^(M$127-1)*MAX(0,MIN(1,M$126*1-Inputs!$C$58+1))/1</f>
        <v>1</v>
      </c>
      <c r="N232" s="118" t="n">
        <f aca="false">Inputs!$C$55*(1+Inputs!$C$57)^(N$127-1)*MAX(0,MIN(1,N$126*1-Inputs!$C$58+1))/1</f>
        <v>1</v>
      </c>
      <c r="O232" s="118" t="n">
        <f aca="false">Inputs!$C$55*(1+Inputs!$C$57)^(O$127-1)*MAX(0,MIN(1,O$126*1-Inputs!$C$58+1))/1</f>
        <v>1</v>
      </c>
      <c r="P232" s="118" t="n">
        <f aca="false">Inputs!$C$55*(1+Inputs!$C$57)^(P$127-1)*MAX(0,MIN(1,P$126*1-Inputs!$C$58+1))/1</f>
        <v>1</v>
      </c>
      <c r="Q232" s="118" t="n">
        <f aca="false">Inputs!$C$55*(1+Inputs!$C$57)^(Q$127-1)*MAX(0,MIN(1,Q$126*1-Inputs!$C$58+1))/1</f>
        <v>1</v>
      </c>
      <c r="R232" s="118" t="n">
        <f aca="false">Inputs!$C$55*(1+Inputs!$C$57)^(R$127-1)*MAX(0,MIN(1,R$126*1-Inputs!$C$58+1))/1</f>
        <v>1</v>
      </c>
      <c r="S232" s="118" t="n">
        <f aca="false">Inputs!$C$55*(1+Inputs!$C$57)^(S$127-1)*MAX(0,MIN(1,S$126*1-Inputs!$C$58+1))/1</f>
        <v>1</v>
      </c>
      <c r="T232" s="118" t="n">
        <f aca="false">Inputs!$C$55*(1+Inputs!$C$57)^(T$127-1)*MAX(0,MIN(1,T$126*1-Inputs!$C$58+1))/1</f>
        <v>1</v>
      </c>
      <c r="U232" s="118" t="n">
        <f aca="false">Inputs!$C$55*(1+Inputs!$C$57)^(U$127-1)*MAX(0,MIN(1,U$126*1-Inputs!$C$58+1))/1</f>
        <v>1</v>
      </c>
      <c r="V232" s="118" t="n">
        <f aca="false">Inputs!$C$55*(1+Inputs!$C$57)^(V$127-1)*MAX(0,MIN(1,V$126*1-Inputs!$C$58+1))/1</f>
        <v>1</v>
      </c>
      <c r="W232" s="118" t="n">
        <f aca="false">Inputs!$C$55*(1+Inputs!$C$57)^(W$127-1)*MAX(0,MIN(1,W$126*1-Inputs!$C$58+1))/1</f>
        <v>1</v>
      </c>
      <c r="X232" s="118" t="n">
        <f aca="false">Inputs!$C$55*(1+Inputs!$C$57)^(X$127-1)*MAX(0,MIN(1,X$126*1-Inputs!$C$58+1))/1</f>
        <v>1</v>
      </c>
      <c r="Y232" s="118" t="n">
        <f aca="false">Inputs!$C$55*(1+Inputs!$C$57)^(Y$127-1)*MAX(0,MIN(1,Y$126*1-Inputs!$C$58+1))/1</f>
        <v>1</v>
      </c>
      <c r="Z232" s="118" t="n">
        <f aca="false">Inputs!$C$55*(1+Inputs!$C$57)^(Z$127-1)*MAX(0,MIN(1,Z$126*1-Inputs!$C$58+1))/1</f>
        <v>1</v>
      </c>
      <c r="AA232" s="118" t="n">
        <f aca="false">Inputs!$C$55*(1+Inputs!$C$57)^(AA$127-1)*MAX(0,MIN(1,AA$126*1-Inputs!$C$58+1))/1</f>
        <v>1</v>
      </c>
      <c r="AB232" s="118" t="n">
        <f aca="false">Inputs!$C$55*(1+Inputs!$C$57)^(AB$127-1)*MAX(0,MIN(1,AB$126*1-Inputs!$C$58+1))/1</f>
        <v>1</v>
      </c>
      <c r="AC232" s="118" t="n">
        <f aca="false">Inputs!$C$55*(1+Inputs!$C$57)^(AC$127-1)*MAX(0,MIN(1,AC$126*1-Inputs!$C$58+1))/1</f>
        <v>1</v>
      </c>
      <c r="AD232" s="118" t="n">
        <f aca="false">Inputs!$C$55*(1+Inputs!$C$57)^(AD$127-1)*MAX(0,MIN(1,AD$126*1-Inputs!$C$58+1))/1</f>
        <v>1</v>
      </c>
      <c r="AE232" s="118" t="n">
        <f aca="false">Inputs!$C$55*(1+Inputs!$C$57)^(AE$127-1)*MAX(0,MIN(1,AE$126*1-Inputs!$C$58+1))/1</f>
        <v>1</v>
      </c>
      <c r="AF232" s="118" t="n">
        <f aca="false">Inputs!$C$55*(1+Inputs!$C$57)^(AF$127-1)*MAX(0,MIN(1,AF$126*1-Inputs!$C$58+1))/1</f>
        <v>1</v>
      </c>
      <c r="AG232" s="118" t="n">
        <f aca="false">Inputs!$C$55*(1+Inputs!$C$57)^(AG$127-1)*MAX(0,MIN(1,AG$126*1-Inputs!$C$58+1))/1</f>
        <v>1</v>
      </c>
      <c r="AH232" s="118" t="n">
        <f aca="false">Inputs!$C$55*(1+Inputs!$C$57)^(AH$127-1)*MAX(0,MIN(1,AH$126*1-Inputs!$C$58+1))/1</f>
        <v>1</v>
      </c>
      <c r="AI232" s="118" t="n">
        <f aca="false">Inputs!$C$55*(1+Inputs!$C$57)^(AI$127-1)*MAX(0,MIN(1,AI$126*1-Inputs!$C$58+1))/1</f>
        <v>1</v>
      </c>
      <c r="AJ232" s="118" t="n">
        <f aca="false">Inputs!$C$55*(1+Inputs!$C$57)^(AJ$127-1)*MAX(0,MIN(1,AJ$126*1-Inputs!$C$58+1))/1</f>
        <v>1</v>
      </c>
      <c r="AK232" s="118" t="n">
        <f aca="false">Inputs!$C$55*(1+Inputs!$C$57)^(AK$127-1)*MAX(0,MIN(1,AK$126*1-Inputs!$C$58+1))/1</f>
        <v>1</v>
      </c>
      <c r="AL232" s="118" t="n">
        <f aca="false">Inputs!$C$55*(1+Inputs!$C$57)^(AL$127-1)*MAX(0,MIN(1,AL$126*1-Inputs!$C$58+1))/1</f>
        <v>1</v>
      </c>
    </row>
    <row r="233" customFormat="false" ht="15" hidden="false" customHeight="false" outlineLevel="0" collapsed="false">
      <c r="A233" s="6" t="s">
        <v>432</v>
      </c>
      <c r="C233" s="118" t="n">
        <f aca="false">Inputs!$C$59*(1+Inputs!$C$61)^(C$127-1)*MAX(0,MIN(1,C$126*1-Inputs!$C$62+1))/1</f>
        <v>1.2</v>
      </c>
      <c r="D233" s="118" t="n">
        <f aca="false">Inputs!$C$59*(1+Inputs!$C$61)^(D$127-1)*MAX(0,MIN(1,D$126*1-Inputs!$C$62+1))/1</f>
        <v>1.2</v>
      </c>
      <c r="E233" s="118" t="n">
        <f aca="false">Inputs!$C$59*(1+Inputs!$C$61)^(E$127-1)*MAX(0,MIN(1,E$126*1-Inputs!$C$62+1))/1</f>
        <v>1.2</v>
      </c>
      <c r="F233" s="118" t="n">
        <f aca="false">Inputs!$C$59*(1+Inputs!$C$61)^(F$127-1)*MAX(0,MIN(1,F$126*1-Inputs!$C$62+1))/1</f>
        <v>1.2</v>
      </c>
      <c r="G233" s="118" t="n">
        <f aca="false">Inputs!$C$59*(1+Inputs!$C$61)^(G$127-1)*MAX(0,MIN(1,G$126*1-Inputs!$C$62+1))/1</f>
        <v>1.2</v>
      </c>
      <c r="H233" s="118" t="n">
        <f aca="false">Inputs!$C$59*(1+Inputs!$C$61)^(H$127-1)*MAX(0,MIN(1,H$126*1-Inputs!$C$62+1))/1</f>
        <v>1.2</v>
      </c>
      <c r="I233" s="118" t="n">
        <f aca="false">Inputs!$C$59*(1+Inputs!$C$61)^(I$127-1)*MAX(0,MIN(1,I$126*1-Inputs!$C$62+1))/1</f>
        <v>1.2</v>
      </c>
      <c r="J233" s="118" t="n">
        <f aca="false">Inputs!$C$59*(1+Inputs!$C$61)^(J$127-1)*MAX(0,MIN(1,J$126*1-Inputs!$C$62+1))/1</f>
        <v>1.2</v>
      </c>
      <c r="K233" s="118" t="n">
        <f aca="false">Inputs!$C$59*(1+Inputs!$C$61)^(K$127-1)*MAX(0,MIN(1,K$126*1-Inputs!$C$62+1))/1</f>
        <v>1.2</v>
      </c>
      <c r="L233" s="118" t="n">
        <f aca="false">Inputs!$C$59*(1+Inputs!$C$61)^(L$127-1)*MAX(0,MIN(1,L$126*1-Inputs!$C$62+1))/1</f>
        <v>1.2</v>
      </c>
      <c r="M233" s="118" t="n">
        <f aca="false">Inputs!$C$59*(1+Inputs!$C$61)^(M$127-1)*MAX(0,MIN(1,M$126*1-Inputs!$C$62+1))/1</f>
        <v>1.2</v>
      </c>
      <c r="N233" s="118" t="n">
        <f aca="false">Inputs!$C$59*(1+Inputs!$C$61)^(N$127-1)*MAX(0,MIN(1,N$126*1-Inputs!$C$62+1))/1</f>
        <v>1.2</v>
      </c>
      <c r="O233" s="118" t="n">
        <f aca="false">Inputs!$C$59*(1+Inputs!$C$61)^(O$127-1)*MAX(0,MIN(1,O$126*1-Inputs!$C$62+1))/1</f>
        <v>1.2</v>
      </c>
      <c r="P233" s="118" t="n">
        <f aca="false">Inputs!$C$59*(1+Inputs!$C$61)^(P$127-1)*MAX(0,MIN(1,P$126*1-Inputs!$C$62+1))/1</f>
        <v>1.2</v>
      </c>
      <c r="Q233" s="118" t="n">
        <f aca="false">Inputs!$C$59*(1+Inputs!$C$61)^(Q$127-1)*MAX(0,MIN(1,Q$126*1-Inputs!$C$62+1))/1</f>
        <v>1.2</v>
      </c>
      <c r="R233" s="118" t="n">
        <f aca="false">Inputs!$C$59*(1+Inputs!$C$61)^(R$127-1)*MAX(0,MIN(1,R$126*1-Inputs!$C$62+1))/1</f>
        <v>1.2</v>
      </c>
      <c r="S233" s="118" t="n">
        <f aca="false">Inputs!$C$59*(1+Inputs!$C$61)^(S$127-1)*MAX(0,MIN(1,S$126*1-Inputs!$C$62+1))/1</f>
        <v>1.2</v>
      </c>
      <c r="T233" s="118" t="n">
        <f aca="false">Inputs!$C$59*(1+Inputs!$C$61)^(T$127-1)*MAX(0,MIN(1,T$126*1-Inputs!$C$62+1))/1</f>
        <v>1.2</v>
      </c>
      <c r="U233" s="118" t="n">
        <f aca="false">Inputs!$C$59*(1+Inputs!$C$61)^(U$127-1)*MAX(0,MIN(1,U$126*1-Inputs!$C$62+1))/1</f>
        <v>1.2</v>
      </c>
      <c r="V233" s="118" t="n">
        <f aca="false">Inputs!$C$59*(1+Inputs!$C$61)^(V$127-1)*MAX(0,MIN(1,V$126*1-Inputs!$C$62+1))/1</f>
        <v>1.2</v>
      </c>
      <c r="W233" s="118" t="n">
        <f aca="false">Inputs!$C$59*(1+Inputs!$C$61)^(W$127-1)*MAX(0,MIN(1,W$126*1-Inputs!$C$62+1))/1</f>
        <v>1.2</v>
      </c>
      <c r="X233" s="118" t="n">
        <f aca="false">Inputs!$C$59*(1+Inputs!$C$61)^(X$127-1)*MAX(0,MIN(1,X$126*1-Inputs!$C$62+1))/1</f>
        <v>1.2</v>
      </c>
      <c r="Y233" s="118" t="n">
        <f aca="false">Inputs!$C$59*(1+Inputs!$C$61)^(Y$127-1)*MAX(0,MIN(1,Y$126*1-Inputs!$C$62+1))/1</f>
        <v>1.2</v>
      </c>
      <c r="Z233" s="118" t="n">
        <f aca="false">Inputs!$C$59*(1+Inputs!$C$61)^(Z$127-1)*MAX(0,MIN(1,Z$126*1-Inputs!$C$62+1))/1</f>
        <v>1.2</v>
      </c>
      <c r="AA233" s="118" t="n">
        <f aca="false">Inputs!$C$59*(1+Inputs!$C$61)^(AA$127-1)*MAX(0,MIN(1,AA$126*1-Inputs!$C$62+1))/1</f>
        <v>1.2</v>
      </c>
      <c r="AB233" s="118" t="n">
        <f aca="false">Inputs!$C$59*(1+Inputs!$C$61)^(AB$127-1)*MAX(0,MIN(1,AB$126*1-Inputs!$C$62+1))/1</f>
        <v>1.2</v>
      </c>
      <c r="AC233" s="118" t="n">
        <f aca="false">Inputs!$C$59*(1+Inputs!$C$61)^(AC$127-1)*MAX(0,MIN(1,AC$126*1-Inputs!$C$62+1))/1</f>
        <v>1.2</v>
      </c>
      <c r="AD233" s="118" t="n">
        <f aca="false">Inputs!$C$59*(1+Inputs!$C$61)^(AD$127-1)*MAX(0,MIN(1,AD$126*1-Inputs!$C$62+1))/1</f>
        <v>1.2</v>
      </c>
      <c r="AE233" s="118" t="n">
        <f aca="false">Inputs!$C$59*(1+Inputs!$C$61)^(AE$127-1)*MAX(0,MIN(1,AE$126*1-Inputs!$C$62+1))/1</f>
        <v>1.2</v>
      </c>
      <c r="AF233" s="118" t="n">
        <f aca="false">Inputs!$C$59*(1+Inputs!$C$61)^(AF$127-1)*MAX(0,MIN(1,AF$126*1-Inputs!$C$62+1))/1</f>
        <v>1.2</v>
      </c>
      <c r="AG233" s="118" t="n">
        <f aca="false">Inputs!$C$59*(1+Inputs!$C$61)^(AG$127-1)*MAX(0,MIN(1,AG$126*1-Inputs!$C$62+1))/1</f>
        <v>1.2</v>
      </c>
      <c r="AH233" s="118" t="n">
        <f aca="false">Inputs!$C$59*(1+Inputs!$C$61)^(AH$127-1)*MAX(0,MIN(1,AH$126*1-Inputs!$C$62+1))/1</f>
        <v>1.2</v>
      </c>
      <c r="AI233" s="118" t="n">
        <f aca="false">Inputs!$C$59*(1+Inputs!$C$61)^(AI$127-1)*MAX(0,MIN(1,AI$126*1-Inputs!$C$62+1))/1</f>
        <v>1.2</v>
      </c>
      <c r="AJ233" s="118" t="n">
        <f aca="false">Inputs!$C$59*(1+Inputs!$C$61)^(AJ$127-1)*MAX(0,MIN(1,AJ$126*1-Inputs!$C$62+1))/1</f>
        <v>1.2</v>
      </c>
      <c r="AK233" s="118" t="n">
        <f aca="false">Inputs!$C$59*(1+Inputs!$C$61)^(AK$127-1)*MAX(0,MIN(1,AK$126*1-Inputs!$C$62+1))/1</f>
        <v>1.2</v>
      </c>
      <c r="AL233" s="118" t="n">
        <f aca="false">Inputs!$C$59*(1+Inputs!$C$61)^(AL$127-1)*MAX(0,MIN(1,AL$126*1-Inputs!$C$62+1))/1</f>
        <v>1.2</v>
      </c>
    </row>
    <row r="234" customFormat="false" ht="15" hidden="false" customHeight="false" outlineLevel="0" collapsed="false">
      <c r="A234" s="6" t="s">
        <v>433</v>
      </c>
      <c r="C234" s="118" t="n">
        <f aca="false">Inputs!$C$63*(1+Inputs!$C$65)^(C$127-1)*MAX(0,MIN(1,C$126*1-Inputs!$C$66+1))/1</f>
        <v>1</v>
      </c>
      <c r="D234" s="118" t="n">
        <f aca="false">Inputs!$C$63*(1+Inputs!$C$65)^(D$127-1)*MAX(0,MIN(1,D$126*1-Inputs!$C$66+1))/1</f>
        <v>1</v>
      </c>
      <c r="E234" s="118" t="n">
        <f aca="false">Inputs!$C$63*(1+Inputs!$C$65)^(E$127-1)*MAX(0,MIN(1,E$126*1-Inputs!$C$66+1))/1</f>
        <v>1</v>
      </c>
      <c r="F234" s="118" t="n">
        <f aca="false">Inputs!$C$63*(1+Inputs!$C$65)^(F$127-1)*MAX(0,MIN(1,F$126*1-Inputs!$C$66+1))/1</f>
        <v>1</v>
      </c>
      <c r="G234" s="118" t="n">
        <f aca="false">Inputs!$C$63*(1+Inputs!$C$65)^(G$127-1)*MAX(0,MIN(1,G$126*1-Inputs!$C$66+1))/1</f>
        <v>1</v>
      </c>
      <c r="H234" s="118" t="n">
        <f aca="false">Inputs!$C$63*(1+Inputs!$C$65)^(H$127-1)*MAX(0,MIN(1,H$126*1-Inputs!$C$66+1))/1</f>
        <v>1</v>
      </c>
      <c r="I234" s="118" t="n">
        <f aca="false">Inputs!$C$63*(1+Inputs!$C$65)^(I$127-1)*MAX(0,MIN(1,I$126*1-Inputs!$C$66+1))/1</f>
        <v>1</v>
      </c>
      <c r="J234" s="118" t="n">
        <f aca="false">Inputs!$C$63*(1+Inputs!$C$65)^(J$127-1)*MAX(0,MIN(1,J$126*1-Inputs!$C$66+1))/1</f>
        <v>1</v>
      </c>
      <c r="K234" s="118" t="n">
        <f aca="false">Inputs!$C$63*(1+Inputs!$C$65)^(K$127-1)*MAX(0,MIN(1,K$126*1-Inputs!$C$66+1))/1</f>
        <v>1</v>
      </c>
      <c r="L234" s="118" t="n">
        <f aca="false">Inputs!$C$63*(1+Inputs!$C$65)^(L$127-1)*MAX(0,MIN(1,L$126*1-Inputs!$C$66+1))/1</f>
        <v>1</v>
      </c>
      <c r="M234" s="118" t="n">
        <f aca="false">Inputs!$C$63*(1+Inputs!$C$65)^(M$127-1)*MAX(0,MIN(1,M$126*1-Inputs!$C$66+1))/1</f>
        <v>1</v>
      </c>
      <c r="N234" s="118" t="n">
        <f aca="false">Inputs!$C$63*(1+Inputs!$C$65)^(N$127-1)*MAX(0,MIN(1,N$126*1-Inputs!$C$66+1))/1</f>
        <v>1</v>
      </c>
      <c r="O234" s="118" t="n">
        <f aca="false">Inputs!$C$63*(1+Inputs!$C$65)^(O$127-1)*MAX(0,MIN(1,O$126*1-Inputs!$C$66+1))/1</f>
        <v>1</v>
      </c>
      <c r="P234" s="118" t="n">
        <f aca="false">Inputs!$C$63*(1+Inputs!$C$65)^(P$127-1)*MAX(0,MIN(1,P$126*1-Inputs!$C$66+1))/1</f>
        <v>1</v>
      </c>
      <c r="Q234" s="118" t="n">
        <f aca="false">Inputs!$C$63*(1+Inputs!$C$65)^(Q$127-1)*MAX(0,MIN(1,Q$126*1-Inputs!$C$66+1))/1</f>
        <v>1</v>
      </c>
      <c r="R234" s="118" t="n">
        <f aca="false">Inputs!$C$63*(1+Inputs!$C$65)^(R$127-1)*MAX(0,MIN(1,R$126*1-Inputs!$C$66+1))/1</f>
        <v>1</v>
      </c>
      <c r="S234" s="118" t="n">
        <f aca="false">Inputs!$C$63*(1+Inputs!$C$65)^(S$127-1)*MAX(0,MIN(1,S$126*1-Inputs!$C$66+1))/1</f>
        <v>1</v>
      </c>
      <c r="T234" s="118" t="n">
        <f aca="false">Inputs!$C$63*(1+Inputs!$C$65)^(T$127-1)*MAX(0,MIN(1,T$126*1-Inputs!$C$66+1))/1</f>
        <v>1</v>
      </c>
      <c r="U234" s="118" t="n">
        <f aca="false">Inputs!$C$63*(1+Inputs!$C$65)^(U$127-1)*MAX(0,MIN(1,U$126*1-Inputs!$C$66+1))/1</f>
        <v>1</v>
      </c>
      <c r="V234" s="118" t="n">
        <f aca="false">Inputs!$C$63*(1+Inputs!$C$65)^(V$127-1)*MAX(0,MIN(1,V$126*1-Inputs!$C$66+1))/1</f>
        <v>1</v>
      </c>
      <c r="W234" s="118" t="n">
        <f aca="false">Inputs!$C$63*(1+Inputs!$C$65)^(W$127-1)*MAX(0,MIN(1,W$126*1-Inputs!$C$66+1))/1</f>
        <v>1</v>
      </c>
      <c r="X234" s="118" t="n">
        <f aca="false">Inputs!$C$63*(1+Inputs!$C$65)^(X$127-1)*MAX(0,MIN(1,X$126*1-Inputs!$C$66+1))/1</f>
        <v>1</v>
      </c>
      <c r="Y234" s="118" t="n">
        <f aca="false">Inputs!$C$63*(1+Inputs!$C$65)^(Y$127-1)*MAX(0,MIN(1,Y$126*1-Inputs!$C$66+1))/1</f>
        <v>1</v>
      </c>
      <c r="Z234" s="118" t="n">
        <f aca="false">Inputs!$C$63*(1+Inputs!$C$65)^(Z$127-1)*MAX(0,MIN(1,Z$126*1-Inputs!$C$66+1))/1</f>
        <v>1</v>
      </c>
      <c r="AA234" s="118" t="n">
        <f aca="false">Inputs!$C$63*(1+Inputs!$C$65)^(AA$127-1)*MAX(0,MIN(1,AA$126*1-Inputs!$C$66+1))/1</f>
        <v>1</v>
      </c>
      <c r="AB234" s="118" t="n">
        <f aca="false">Inputs!$C$63*(1+Inputs!$C$65)^(AB$127-1)*MAX(0,MIN(1,AB$126*1-Inputs!$C$66+1))/1</f>
        <v>1</v>
      </c>
      <c r="AC234" s="118" t="n">
        <f aca="false">Inputs!$C$63*(1+Inputs!$C$65)^(AC$127-1)*MAX(0,MIN(1,AC$126*1-Inputs!$C$66+1))/1</f>
        <v>1</v>
      </c>
      <c r="AD234" s="118" t="n">
        <f aca="false">Inputs!$C$63*(1+Inputs!$C$65)^(AD$127-1)*MAX(0,MIN(1,AD$126*1-Inputs!$C$66+1))/1</f>
        <v>1</v>
      </c>
      <c r="AE234" s="118" t="n">
        <f aca="false">Inputs!$C$63*(1+Inputs!$C$65)^(AE$127-1)*MAX(0,MIN(1,AE$126*1-Inputs!$C$66+1))/1</f>
        <v>1</v>
      </c>
      <c r="AF234" s="118" t="n">
        <f aca="false">Inputs!$C$63*(1+Inputs!$C$65)^(AF$127-1)*MAX(0,MIN(1,AF$126*1-Inputs!$C$66+1))/1</f>
        <v>1</v>
      </c>
      <c r="AG234" s="118" t="n">
        <f aca="false">Inputs!$C$63*(1+Inputs!$C$65)^(AG$127-1)*MAX(0,MIN(1,AG$126*1-Inputs!$C$66+1))/1</f>
        <v>1</v>
      </c>
      <c r="AH234" s="118" t="n">
        <f aca="false">Inputs!$C$63*(1+Inputs!$C$65)^(AH$127-1)*MAX(0,MIN(1,AH$126*1-Inputs!$C$66+1))/1</f>
        <v>1</v>
      </c>
      <c r="AI234" s="118" t="n">
        <f aca="false">Inputs!$C$63*(1+Inputs!$C$65)^(AI$127-1)*MAX(0,MIN(1,AI$126*1-Inputs!$C$66+1))/1</f>
        <v>1</v>
      </c>
      <c r="AJ234" s="118" t="n">
        <f aca="false">Inputs!$C$63*(1+Inputs!$C$65)^(AJ$127-1)*MAX(0,MIN(1,AJ$126*1-Inputs!$C$66+1))/1</f>
        <v>1</v>
      </c>
      <c r="AK234" s="118" t="n">
        <f aca="false">Inputs!$C$63*(1+Inputs!$C$65)^(AK$127-1)*MAX(0,MIN(1,AK$126*1-Inputs!$C$66+1))/1</f>
        <v>1</v>
      </c>
      <c r="AL234" s="118" t="n">
        <f aca="false">Inputs!$C$63*(1+Inputs!$C$65)^(AL$127-1)*MAX(0,MIN(1,AL$126*1-Inputs!$C$66+1))/1</f>
        <v>1</v>
      </c>
    </row>
    <row r="235" customFormat="false" ht="15" hidden="false" customHeight="false" outlineLevel="0" collapsed="false">
      <c r="A235" s="113" t="s">
        <v>434</v>
      </c>
      <c r="C235" s="122" t="n">
        <f aca="false">C232+C233+C234</f>
        <v>3.2</v>
      </c>
      <c r="D235" s="122" t="n">
        <f aca="false">D232+D233+D234</f>
        <v>3.2</v>
      </c>
      <c r="E235" s="122" t="n">
        <f aca="false">E232+E233+E234</f>
        <v>3.2</v>
      </c>
      <c r="F235" s="122" t="n">
        <f aca="false">F232+F233+F234</f>
        <v>3.2</v>
      </c>
      <c r="G235" s="122" t="n">
        <f aca="false">G232+G233+G234</f>
        <v>3.2</v>
      </c>
      <c r="H235" s="122" t="n">
        <f aca="false">H232+H233+H234</f>
        <v>3.2</v>
      </c>
      <c r="I235" s="122" t="n">
        <f aca="false">I232+I233+I234</f>
        <v>3.2</v>
      </c>
      <c r="J235" s="122" t="n">
        <f aca="false">J232+J233+J234</f>
        <v>3.2</v>
      </c>
      <c r="K235" s="122" t="n">
        <f aca="false">K232+K233+K234</f>
        <v>3.2</v>
      </c>
      <c r="L235" s="122" t="n">
        <f aca="false">L232+L233+L234</f>
        <v>3.2</v>
      </c>
      <c r="M235" s="122" t="n">
        <f aca="false">M232+M233+M234</f>
        <v>3.2</v>
      </c>
      <c r="N235" s="122" t="n">
        <f aca="false">N232+N233+N234</f>
        <v>3.2</v>
      </c>
      <c r="O235" s="122" t="n">
        <f aca="false">O232+O233+O234</f>
        <v>3.2</v>
      </c>
      <c r="P235" s="122" t="n">
        <f aca="false">P232+P233+P234</f>
        <v>3.2</v>
      </c>
      <c r="Q235" s="122" t="n">
        <f aca="false">Q232+Q233+Q234</f>
        <v>3.2</v>
      </c>
      <c r="R235" s="122" t="n">
        <f aca="false">R232+R233+R234</f>
        <v>3.2</v>
      </c>
      <c r="S235" s="122" t="n">
        <f aca="false">S232+S233+S234</f>
        <v>3.2</v>
      </c>
      <c r="T235" s="122" t="n">
        <f aca="false">T232+T233+T234</f>
        <v>3.2</v>
      </c>
      <c r="U235" s="122" t="n">
        <f aca="false">U232+U233+U234</f>
        <v>3.2</v>
      </c>
      <c r="V235" s="122" t="n">
        <f aca="false">V232+V233+V234</f>
        <v>3.2</v>
      </c>
      <c r="W235" s="122" t="n">
        <f aca="false">W232+W233+W234</f>
        <v>3.2</v>
      </c>
      <c r="X235" s="122" t="n">
        <f aca="false">X232+X233+X234</f>
        <v>3.2</v>
      </c>
      <c r="Y235" s="122" t="n">
        <f aca="false">Y232+Y233+Y234</f>
        <v>3.2</v>
      </c>
      <c r="Z235" s="122" t="n">
        <f aca="false">Z232+Z233+Z234</f>
        <v>3.2</v>
      </c>
      <c r="AA235" s="122" t="n">
        <f aca="false">AA232+AA233+AA234</f>
        <v>3.2</v>
      </c>
      <c r="AB235" s="122" t="n">
        <f aca="false">AB232+AB233+AB234</f>
        <v>3.2</v>
      </c>
      <c r="AC235" s="122" t="n">
        <f aca="false">AC232+AC233+AC234</f>
        <v>3.2</v>
      </c>
      <c r="AD235" s="122" t="n">
        <f aca="false">AD232+AD233+AD234</f>
        <v>3.2</v>
      </c>
      <c r="AE235" s="122" t="n">
        <f aca="false">AE232+AE233+AE234</f>
        <v>3.2</v>
      </c>
      <c r="AF235" s="122" t="n">
        <f aca="false">AF232+AF233+AF234</f>
        <v>3.2</v>
      </c>
      <c r="AG235" s="122" t="n">
        <f aca="false">AG232+AG233+AG234</f>
        <v>3.2</v>
      </c>
      <c r="AH235" s="122" t="n">
        <f aca="false">AH232+AH233+AH234</f>
        <v>3.2</v>
      </c>
      <c r="AI235" s="122" t="n">
        <f aca="false">AI232+AI233+AI234</f>
        <v>3.2</v>
      </c>
      <c r="AJ235" s="122" t="n">
        <f aca="false">AJ232+AJ233+AJ234</f>
        <v>3.2</v>
      </c>
      <c r="AK235" s="122" t="n">
        <f aca="false">AK232+AK233+AK234</f>
        <v>3.2</v>
      </c>
      <c r="AL235" s="122" t="n">
        <f aca="false">AL232+AL233+AL234</f>
        <v>3.2</v>
      </c>
    </row>
    <row r="237" customFormat="false" ht="15.75" hidden="false" customHeight="true" outlineLevel="0" collapsed="false">
      <c r="A237" s="7" t="s">
        <v>435</v>
      </c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</row>
    <row r="238" customFormat="false" ht="15" hidden="false" customHeight="false" outlineLevel="0" collapsed="false">
      <c r="A238" s="6" t="s">
        <v>436</v>
      </c>
      <c r="C238" s="67" t="n">
        <f aca="false">-C232*Inputs!$C$56/12*1*(1+Inputs!$C$67)*(1+Inputs!$C$68)^(C$127-1)</f>
        <v>-3360</v>
      </c>
      <c r="D238" s="67" t="n">
        <f aca="false">-D232*Inputs!$C$56/12*1*(1+Inputs!$C$67)*(1+Inputs!$C$68)^(D$127-1)</f>
        <v>-3360</v>
      </c>
      <c r="E238" s="67" t="n">
        <f aca="false">-E232*Inputs!$C$56/12*1*(1+Inputs!$C$67)*(1+Inputs!$C$68)^(E$127-1)</f>
        <v>-3360</v>
      </c>
      <c r="F238" s="67" t="n">
        <f aca="false">-F232*Inputs!$C$56/12*1*(1+Inputs!$C$67)*(1+Inputs!$C$68)^(F$127-1)</f>
        <v>-3360</v>
      </c>
      <c r="G238" s="67" t="n">
        <f aca="false">-G232*Inputs!$C$56/12*1*(1+Inputs!$C$67)*(1+Inputs!$C$68)^(G$127-1)</f>
        <v>-3360</v>
      </c>
      <c r="H238" s="67" t="n">
        <f aca="false">-H232*Inputs!$C$56/12*1*(1+Inputs!$C$67)*(1+Inputs!$C$68)^(H$127-1)</f>
        <v>-3360</v>
      </c>
      <c r="I238" s="67" t="n">
        <f aca="false">-I232*Inputs!$C$56/12*1*(1+Inputs!$C$67)*(1+Inputs!$C$68)^(I$127-1)</f>
        <v>-3360</v>
      </c>
      <c r="J238" s="67" t="n">
        <f aca="false">-J232*Inputs!$C$56/12*1*(1+Inputs!$C$67)*(1+Inputs!$C$68)^(J$127-1)</f>
        <v>-3360</v>
      </c>
      <c r="K238" s="67" t="n">
        <f aca="false">-K232*Inputs!$C$56/12*1*(1+Inputs!$C$67)*(1+Inputs!$C$68)^(K$127-1)</f>
        <v>-3360</v>
      </c>
      <c r="L238" s="67" t="n">
        <f aca="false">-L232*Inputs!$C$56/12*1*(1+Inputs!$C$67)*(1+Inputs!$C$68)^(L$127-1)</f>
        <v>-3360</v>
      </c>
      <c r="M238" s="67" t="n">
        <f aca="false">-M232*Inputs!$C$56/12*1*(1+Inputs!$C$67)*(1+Inputs!$C$68)^(M$127-1)</f>
        <v>-3360</v>
      </c>
      <c r="N238" s="67" t="n">
        <f aca="false">-N232*Inputs!$C$56/12*1*(1+Inputs!$C$67)*(1+Inputs!$C$68)^(N$127-1)</f>
        <v>-3360</v>
      </c>
      <c r="O238" s="67" t="n">
        <f aca="false">-O232*Inputs!$C$56/12*1*(1+Inputs!$C$67)*(1+Inputs!$C$68)^(O$127-1)</f>
        <v>-3460.8</v>
      </c>
      <c r="P238" s="67" t="n">
        <f aca="false">-P232*Inputs!$C$56/12*1*(1+Inputs!$C$67)*(1+Inputs!$C$68)^(P$127-1)</f>
        <v>-3460.8</v>
      </c>
      <c r="Q238" s="67" t="n">
        <f aca="false">-Q232*Inputs!$C$56/12*1*(1+Inputs!$C$67)*(1+Inputs!$C$68)^(Q$127-1)</f>
        <v>-3460.8</v>
      </c>
      <c r="R238" s="67" t="n">
        <f aca="false">-R232*Inputs!$C$56/12*1*(1+Inputs!$C$67)*(1+Inputs!$C$68)^(R$127-1)</f>
        <v>-3460.8</v>
      </c>
      <c r="S238" s="67" t="n">
        <f aca="false">-S232*Inputs!$C$56/12*1*(1+Inputs!$C$67)*(1+Inputs!$C$68)^(S$127-1)</f>
        <v>-3460.8</v>
      </c>
      <c r="T238" s="67" t="n">
        <f aca="false">-T232*Inputs!$C$56/12*1*(1+Inputs!$C$67)*(1+Inputs!$C$68)^(T$127-1)</f>
        <v>-3460.8</v>
      </c>
      <c r="U238" s="67" t="n">
        <f aca="false">-U232*Inputs!$C$56/12*1*(1+Inputs!$C$67)*(1+Inputs!$C$68)^(U$127-1)</f>
        <v>-3460.8</v>
      </c>
      <c r="V238" s="67" t="n">
        <f aca="false">-V232*Inputs!$C$56/12*1*(1+Inputs!$C$67)*(1+Inputs!$C$68)^(V$127-1)</f>
        <v>-3460.8</v>
      </c>
      <c r="W238" s="67" t="n">
        <f aca="false">-W232*Inputs!$C$56/12*1*(1+Inputs!$C$67)*(1+Inputs!$C$68)^(W$127-1)</f>
        <v>-3460.8</v>
      </c>
      <c r="X238" s="67" t="n">
        <f aca="false">-X232*Inputs!$C$56/12*1*(1+Inputs!$C$67)*(1+Inputs!$C$68)^(X$127-1)</f>
        <v>-3460.8</v>
      </c>
      <c r="Y238" s="67" t="n">
        <f aca="false">-Y232*Inputs!$C$56/12*1*(1+Inputs!$C$67)*(1+Inputs!$C$68)^(Y$127-1)</f>
        <v>-3460.8</v>
      </c>
      <c r="Z238" s="67" t="n">
        <f aca="false">-Z232*Inputs!$C$56/12*1*(1+Inputs!$C$67)*(1+Inputs!$C$68)^(Z$127-1)</f>
        <v>-3460.8</v>
      </c>
      <c r="AA238" s="67" t="n">
        <f aca="false">-AA232*Inputs!$C$56/12*1*(1+Inputs!$C$67)*(1+Inputs!$C$68)^(AA$127-1)</f>
        <v>-3564.624</v>
      </c>
      <c r="AB238" s="67" t="n">
        <f aca="false">-AB232*Inputs!$C$56/12*1*(1+Inputs!$C$67)*(1+Inputs!$C$68)^(AB$127-1)</f>
        <v>-3564.624</v>
      </c>
      <c r="AC238" s="67" t="n">
        <f aca="false">-AC232*Inputs!$C$56/12*1*(1+Inputs!$C$67)*(1+Inputs!$C$68)^(AC$127-1)</f>
        <v>-3564.624</v>
      </c>
      <c r="AD238" s="67" t="n">
        <f aca="false">-AD232*Inputs!$C$56/12*1*(1+Inputs!$C$67)*(1+Inputs!$C$68)^(AD$127-1)</f>
        <v>-3564.624</v>
      </c>
      <c r="AE238" s="67" t="n">
        <f aca="false">-AE232*Inputs!$C$56/12*1*(1+Inputs!$C$67)*(1+Inputs!$C$68)^(AE$127-1)</f>
        <v>-3564.624</v>
      </c>
      <c r="AF238" s="67" t="n">
        <f aca="false">-AF232*Inputs!$C$56/12*1*(1+Inputs!$C$67)*(1+Inputs!$C$68)^(AF$127-1)</f>
        <v>-3564.624</v>
      </c>
      <c r="AG238" s="67" t="n">
        <f aca="false">-AG232*Inputs!$C$56/12*1*(1+Inputs!$C$67)*(1+Inputs!$C$68)^(AG$127-1)</f>
        <v>-3564.624</v>
      </c>
      <c r="AH238" s="67" t="n">
        <f aca="false">-AH232*Inputs!$C$56/12*1*(1+Inputs!$C$67)*(1+Inputs!$C$68)^(AH$127-1)</f>
        <v>-3564.624</v>
      </c>
      <c r="AI238" s="67" t="n">
        <f aca="false">-AI232*Inputs!$C$56/12*1*(1+Inputs!$C$67)*(1+Inputs!$C$68)^(AI$127-1)</f>
        <v>-3564.624</v>
      </c>
      <c r="AJ238" s="67" t="n">
        <f aca="false">-AJ232*Inputs!$C$56/12*1*(1+Inputs!$C$67)*(1+Inputs!$C$68)^(AJ$127-1)</f>
        <v>-3564.624</v>
      </c>
      <c r="AK238" s="67" t="n">
        <f aca="false">-AK232*Inputs!$C$56/12*1*(1+Inputs!$C$67)*(1+Inputs!$C$68)^(AK$127-1)</f>
        <v>-3564.624</v>
      </c>
      <c r="AL238" s="67" t="n">
        <f aca="false">-AL232*Inputs!$C$56/12*1*(1+Inputs!$C$67)*(1+Inputs!$C$68)^(AL$127-1)</f>
        <v>-3564.624</v>
      </c>
    </row>
    <row r="239" customFormat="false" ht="15" hidden="false" customHeight="false" outlineLevel="0" collapsed="false">
      <c r="A239" s="6" t="s">
        <v>437</v>
      </c>
      <c r="C239" s="67" t="n">
        <f aca="false">-C233*Inputs!$C$60/12*1*(1+Inputs!$C$67)*(1+Inputs!$C$68)^(C$127-1)</f>
        <v>-3808</v>
      </c>
      <c r="D239" s="67" t="n">
        <f aca="false">-D233*Inputs!$C$60/12*1*(1+Inputs!$C$67)*(1+Inputs!$C$68)^(D$127-1)</f>
        <v>-3808</v>
      </c>
      <c r="E239" s="67" t="n">
        <f aca="false">-E233*Inputs!$C$60/12*1*(1+Inputs!$C$67)*(1+Inputs!$C$68)^(E$127-1)</f>
        <v>-3808</v>
      </c>
      <c r="F239" s="67" t="n">
        <f aca="false">-F233*Inputs!$C$60/12*1*(1+Inputs!$C$67)*(1+Inputs!$C$68)^(F$127-1)</f>
        <v>-3808</v>
      </c>
      <c r="G239" s="67" t="n">
        <f aca="false">-G233*Inputs!$C$60/12*1*(1+Inputs!$C$67)*(1+Inputs!$C$68)^(G$127-1)</f>
        <v>-3808</v>
      </c>
      <c r="H239" s="67" t="n">
        <f aca="false">-H233*Inputs!$C$60/12*1*(1+Inputs!$C$67)*(1+Inputs!$C$68)^(H$127-1)</f>
        <v>-3808</v>
      </c>
      <c r="I239" s="67" t="n">
        <f aca="false">-I233*Inputs!$C$60/12*1*(1+Inputs!$C$67)*(1+Inputs!$C$68)^(I$127-1)</f>
        <v>-3808</v>
      </c>
      <c r="J239" s="67" t="n">
        <f aca="false">-J233*Inputs!$C$60/12*1*(1+Inputs!$C$67)*(1+Inputs!$C$68)^(J$127-1)</f>
        <v>-3808</v>
      </c>
      <c r="K239" s="67" t="n">
        <f aca="false">-K233*Inputs!$C$60/12*1*(1+Inputs!$C$67)*(1+Inputs!$C$68)^(K$127-1)</f>
        <v>-3808</v>
      </c>
      <c r="L239" s="67" t="n">
        <f aca="false">-L233*Inputs!$C$60/12*1*(1+Inputs!$C$67)*(1+Inputs!$C$68)^(L$127-1)</f>
        <v>-3808</v>
      </c>
      <c r="M239" s="67" t="n">
        <f aca="false">-M233*Inputs!$C$60/12*1*(1+Inputs!$C$67)*(1+Inputs!$C$68)^(M$127-1)</f>
        <v>-3808</v>
      </c>
      <c r="N239" s="67" t="n">
        <f aca="false">-N233*Inputs!$C$60/12*1*(1+Inputs!$C$67)*(1+Inputs!$C$68)^(N$127-1)</f>
        <v>-3808</v>
      </c>
      <c r="O239" s="67" t="n">
        <f aca="false">-O233*Inputs!$C$60/12*1*(1+Inputs!$C$67)*(1+Inputs!$C$68)^(O$127-1)</f>
        <v>-3922.24</v>
      </c>
      <c r="P239" s="67" t="n">
        <f aca="false">-P233*Inputs!$C$60/12*1*(1+Inputs!$C$67)*(1+Inputs!$C$68)^(P$127-1)</f>
        <v>-3922.24</v>
      </c>
      <c r="Q239" s="67" t="n">
        <f aca="false">-Q233*Inputs!$C$60/12*1*(1+Inputs!$C$67)*(1+Inputs!$C$68)^(Q$127-1)</f>
        <v>-3922.24</v>
      </c>
      <c r="R239" s="67" t="n">
        <f aca="false">-R233*Inputs!$C$60/12*1*(1+Inputs!$C$67)*(1+Inputs!$C$68)^(R$127-1)</f>
        <v>-3922.24</v>
      </c>
      <c r="S239" s="67" t="n">
        <f aca="false">-S233*Inputs!$C$60/12*1*(1+Inputs!$C$67)*(1+Inputs!$C$68)^(S$127-1)</f>
        <v>-3922.24</v>
      </c>
      <c r="T239" s="67" t="n">
        <f aca="false">-T233*Inputs!$C$60/12*1*(1+Inputs!$C$67)*(1+Inputs!$C$68)^(T$127-1)</f>
        <v>-3922.24</v>
      </c>
      <c r="U239" s="67" t="n">
        <f aca="false">-U233*Inputs!$C$60/12*1*(1+Inputs!$C$67)*(1+Inputs!$C$68)^(U$127-1)</f>
        <v>-3922.24</v>
      </c>
      <c r="V239" s="67" t="n">
        <f aca="false">-V233*Inputs!$C$60/12*1*(1+Inputs!$C$67)*(1+Inputs!$C$68)^(V$127-1)</f>
        <v>-3922.24</v>
      </c>
      <c r="W239" s="67" t="n">
        <f aca="false">-W233*Inputs!$C$60/12*1*(1+Inputs!$C$67)*(1+Inputs!$C$68)^(W$127-1)</f>
        <v>-3922.24</v>
      </c>
      <c r="X239" s="67" t="n">
        <f aca="false">-X233*Inputs!$C$60/12*1*(1+Inputs!$C$67)*(1+Inputs!$C$68)^(X$127-1)</f>
        <v>-3922.24</v>
      </c>
      <c r="Y239" s="67" t="n">
        <f aca="false">-Y233*Inputs!$C$60/12*1*(1+Inputs!$C$67)*(1+Inputs!$C$68)^(Y$127-1)</f>
        <v>-3922.24</v>
      </c>
      <c r="Z239" s="67" t="n">
        <f aca="false">-Z233*Inputs!$C$60/12*1*(1+Inputs!$C$67)*(1+Inputs!$C$68)^(Z$127-1)</f>
        <v>-3922.24</v>
      </c>
      <c r="AA239" s="67" t="n">
        <f aca="false">-AA233*Inputs!$C$60/12*1*(1+Inputs!$C$67)*(1+Inputs!$C$68)^(AA$127-1)</f>
        <v>-4039.9072</v>
      </c>
      <c r="AB239" s="67" t="n">
        <f aca="false">-AB233*Inputs!$C$60/12*1*(1+Inputs!$C$67)*(1+Inputs!$C$68)^(AB$127-1)</f>
        <v>-4039.9072</v>
      </c>
      <c r="AC239" s="67" t="n">
        <f aca="false">-AC233*Inputs!$C$60/12*1*(1+Inputs!$C$67)*(1+Inputs!$C$68)^(AC$127-1)</f>
        <v>-4039.9072</v>
      </c>
      <c r="AD239" s="67" t="n">
        <f aca="false">-AD233*Inputs!$C$60/12*1*(1+Inputs!$C$67)*(1+Inputs!$C$68)^(AD$127-1)</f>
        <v>-4039.9072</v>
      </c>
      <c r="AE239" s="67" t="n">
        <f aca="false">-AE233*Inputs!$C$60/12*1*(1+Inputs!$C$67)*(1+Inputs!$C$68)^(AE$127-1)</f>
        <v>-4039.9072</v>
      </c>
      <c r="AF239" s="67" t="n">
        <f aca="false">-AF233*Inputs!$C$60/12*1*(1+Inputs!$C$67)*(1+Inputs!$C$68)^(AF$127-1)</f>
        <v>-4039.9072</v>
      </c>
      <c r="AG239" s="67" t="n">
        <f aca="false">-AG233*Inputs!$C$60/12*1*(1+Inputs!$C$67)*(1+Inputs!$C$68)^(AG$127-1)</f>
        <v>-4039.9072</v>
      </c>
      <c r="AH239" s="67" t="n">
        <f aca="false">-AH233*Inputs!$C$60/12*1*(1+Inputs!$C$67)*(1+Inputs!$C$68)^(AH$127-1)</f>
        <v>-4039.9072</v>
      </c>
      <c r="AI239" s="67" t="n">
        <f aca="false">-AI233*Inputs!$C$60/12*1*(1+Inputs!$C$67)*(1+Inputs!$C$68)^(AI$127-1)</f>
        <v>-4039.9072</v>
      </c>
      <c r="AJ239" s="67" t="n">
        <f aca="false">-AJ233*Inputs!$C$60/12*1*(1+Inputs!$C$67)*(1+Inputs!$C$68)^(AJ$127-1)</f>
        <v>-4039.9072</v>
      </c>
      <c r="AK239" s="67" t="n">
        <f aca="false">-AK233*Inputs!$C$60/12*1*(1+Inputs!$C$67)*(1+Inputs!$C$68)^(AK$127-1)</f>
        <v>-4039.9072</v>
      </c>
      <c r="AL239" s="67" t="n">
        <f aca="false">-AL233*Inputs!$C$60/12*1*(1+Inputs!$C$67)*(1+Inputs!$C$68)^(AL$127-1)</f>
        <v>-4039.9072</v>
      </c>
    </row>
    <row r="240" customFormat="false" ht="15" hidden="false" customHeight="false" outlineLevel="0" collapsed="false">
      <c r="A240" s="6" t="s">
        <v>438</v>
      </c>
      <c r="C240" s="67" t="n">
        <f aca="false">-C234*Inputs!$C$64/12*1*(1+Inputs!$C$67)*(1+Inputs!$C$68)^(C$127-1)</f>
        <v>-2706.66666666667</v>
      </c>
      <c r="D240" s="67" t="n">
        <f aca="false">-D234*Inputs!$C$64/12*1*(1+Inputs!$C$67)*(1+Inputs!$C$68)^(D$127-1)</f>
        <v>-2706.66666666667</v>
      </c>
      <c r="E240" s="67" t="n">
        <f aca="false">-E234*Inputs!$C$64/12*1*(1+Inputs!$C$67)*(1+Inputs!$C$68)^(E$127-1)</f>
        <v>-2706.66666666667</v>
      </c>
      <c r="F240" s="67" t="n">
        <f aca="false">-F234*Inputs!$C$64/12*1*(1+Inputs!$C$67)*(1+Inputs!$C$68)^(F$127-1)</f>
        <v>-2706.66666666667</v>
      </c>
      <c r="G240" s="67" t="n">
        <f aca="false">-G234*Inputs!$C$64/12*1*(1+Inputs!$C$67)*(1+Inputs!$C$68)^(G$127-1)</f>
        <v>-2706.66666666667</v>
      </c>
      <c r="H240" s="67" t="n">
        <f aca="false">-H234*Inputs!$C$64/12*1*(1+Inputs!$C$67)*(1+Inputs!$C$68)^(H$127-1)</f>
        <v>-2706.66666666667</v>
      </c>
      <c r="I240" s="67" t="n">
        <f aca="false">-I234*Inputs!$C$64/12*1*(1+Inputs!$C$67)*(1+Inputs!$C$68)^(I$127-1)</f>
        <v>-2706.66666666667</v>
      </c>
      <c r="J240" s="67" t="n">
        <f aca="false">-J234*Inputs!$C$64/12*1*(1+Inputs!$C$67)*(1+Inputs!$C$68)^(J$127-1)</f>
        <v>-2706.66666666667</v>
      </c>
      <c r="K240" s="67" t="n">
        <f aca="false">-K234*Inputs!$C$64/12*1*(1+Inputs!$C$67)*(1+Inputs!$C$68)^(K$127-1)</f>
        <v>-2706.66666666667</v>
      </c>
      <c r="L240" s="67" t="n">
        <f aca="false">-L234*Inputs!$C$64/12*1*(1+Inputs!$C$67)*(1+Inputs!$C$68)^(L$127-1)</f>
        <v>-2706.66666666667</v>
      </c>
      <c r="M240" s="67" t="n">
        <f aca="false">-M234*Inputs!$C$64/12*1*(1+Inputs!$C$67)*(1+Inputs!$C$68)^(M$127-1)</f>
        <v>-2706.66666666667</v>
      </c>
      <c r="N240" s="67" t="n">
        <f aca="false">-N234*Inputs!$C$64/12*1*(1+Inputs!$C$67)*(1+Inputs!$C$68)^(N$127-1)</f>
        <v>-2706.66666666667</v>
      </c>
      <c r="O240" s="67" t="n">
        <f aca="false">-O234*Inputs!$C$64/12*1*(1+Inputs!$C$67)*(1+Inputs!$C$68)^(O$127-1)</f>
        <v>-2787.86666666667</v>
      </c>
      <c r="P240" s="67" t="n">
        <f aca="false">-P234*Inputs!$C$64/12*1*(1+Inputs!$C$67)*(1+Inputs!$C$68)^(P$127-1)</f>
        <v>-2787.86666666667</v>
      </c>
      <c r="Q240" s="67" t="n">
        <f aca="false">-Q234*Inputs!$C$64/12*1*(1+Inputs!$C$67)*(1+Inputs!$C$68)^(Q$127-1)</f>
        <v>-2787.86666666667</v>
      </c>
      <c r="R240" s="67" t="n">
        <f aca="false">-R234*Inputs!$C$64/12*1*(1+Inputs!$C$67)*(1+Inputs!$C$68)^(R$127-1)</f>
        <v>-2787.86666666667</v>
      </c>
      <c r="S240" s="67" t="n">
        <f aca="false">-S234*Inputs!$C$64/12*1*(1+Inputs!$C$67)*(1+Inputs!$C$68)^(S$127-1)</f>
        <v>-2787.86666666667</v>
      </c>
      <c r="T240" s="67" t="n">
        <f aca="false">-T234*Inputs!$C$64/12*1*(1+Inputs!$C$67)*(1+Inputs!$C$68)^(T$127-1)</f>
        <v>-2787.86666666667</v>
      </c>
      <c r="U240" s="67" t="n">
        <f aca="false">-U234*Inputs!$C$64/12*1*(1+Inputs!$C$67)*(1+Inputs!$C$68)^(U$127-1)</f>
        <v>-2787.86666666667</v>
      </c>
      <c r="V240" s="67" t="n">
        <f aca="false">-V234*Inputs!$C$64/12*1*(1+Inputs!$C$67)*(1+Inputs!$C$68)^(V$127-1)</f>
        <v>-2787.86666666667</v>
      </c>
      <c r="W240" s="67" t="n">
        <f aca="false">-W234*Inputs!$C$64/12*1*(1+Inputs!$C$67)*(1+Inputs!$C$68)^(W$127-1)</f>
        <v>-2787.86666666667</v>
      </c>
      <c r="X240" s="67" t="n">
        <f aca="false">-X234*Inputs!$C$64/12*1*(1+Inputs!$C$67)*(1+Inputs!$C$68)^(X$127-1)</f>
        <v>-2787.86666666667</v>
      </c>
      <c r="Y240" s="67" t="n">
        <f aca="false">-Y234*Inputs!$C$64/12*1*(1+Inputs!$C$67)*(1+Inputs!$C$68)^(Y$127-1)</f>
        <v>-2787.86666666667</v>
      </c>
      <c r="Z240" s="67" t="n">
        <f aca="false">-Z234*Inputs!$C$64/12*1*(1+Inputs!$C$67)*(1+Inputs!$C$68)^(Z$127-1)</f>
        <v>-2787.86666666667</v>
      </c>
      <c r="AA240" s="67" t="n">
        <f aca="false">-AA234*Inputs!$C$64/12*1*(1+Inputs!$C$67)*(1+Inputs!$C$68)^(AA$127-1)</f>
        <v>-2871.50266666667</v>
      </c>
      <c r="AB240" s="67" t="n">
        <f aca="false">-AB234*Inputs!$C$64/12*1*(1+Inputs!$C$67)*(1+Inputs!$C$68)^(AB$127-1)</f>
        <v>-2871.50266666667</v>
      </c>
      <c r="AC240" s="67" t="n">
        <f aca="false">-AC234*Inputs!$C$64/12*1*(1+Inputs!$C$67)*(1+Inputs!$C$68)^(AC$127-1)</f>
        <v>-2871.50266666667</v>
      </c>
      <c r="AD240" s="67" t="n">
        <f aca="false">-AD234*Inputs!$C$64/12*1*(1+Inputs!$C$67)*(1+Inputs!$C$68)^(AD$127-1)</f>
        <v>-2871.50266666667</v>
      </c>
      <c r="AE240" s="67" t="n">
        <f aca="false">-AE234*Inputs!$C$64/12*1*(1+Inputs!$C$67)*(1+Inputs!$C$68)^(AE$127-1)</f>
        <v>-2871.50266666667</v>
      </c>
      <c r="AF240" s="67" t="n">
        <f aca="false">-AF234*Inputs!$C$64/12*1*(1+Inputs!$C$67)*(1+Inputs!$C$68)^(AF$127-1)</f>
        <v>-2871.50266666667</v>
      </c>
      <c r="AG240" s="67" t="n">
        <f aca="false">-AG234*Inputs!$C$64/12*1*(1+Inputs!$C$67)*(1+Inputs!$C$68)^(AG$127-1)</f>
        <v>-2871.50266666667</v>
      </c>
      <c r="AH240" s="67" t="n">
        <f aca="false">-AH234*Inputs!$C$64/12*1*(1+Inputs!$C$67)*(1+Inputs!$C$68)^(AH$127-1)</f>
        <v>-2871.50266666667</v>
      </c>
      <c r="AI240" s="67" t="n">
        <f aca="false">-AI234*Inputs!$C$64/12*1*(1+Inputs!$C$67)*(1+Inputs!$C$68)^(AI$127-1)</f>
        <v>-2871.50266666667</v>
      </c>
      <c r="AJ240" s="67" t="n">
        <f aca="false">-AJ234*Inputs!$C$64/12*1*(1+Inputs!$C$67)*(1+Inputs!$C$68)^(AJ$127-1)</f>
        <v>-2871.50266666667</v>
      </c>
      <c r="AK240" s="67" t="n">
        <f aca="false">-AK234*Inputs!$C$64/12*1*(1+Inputs!$C$67)*(1+Inputs!$C$68)^(AK$127-1)</f>
        <v>-2871.50266666667</v>
      </c>
      <c r="AL240" s="67" t="n">
        <f aca="false">-AL234*Inputs!$C$64/12*1*(1+Inputs!$C$67)*(1+Inputs!$C$68)^(AL$127-1)</f>
        <v>-2871.50266666667</v>
      </c>
    </row>
    <row r="241" customFormat="false" ht="15" hidden="false" customHeight="false" outlineLevel="0" collapsed="false">
      <c r="A241" s="113" t="s">
        <v>439</v>
      </c>
      <c r="C241" s="68" t="n">
        <f aca="false">C238+C239+C240</f>
        <v>-9874.66666666667</v>
      </c>
      <c r="D241" s="68" t="n">
        <f aca="false">D238+D239+D240</f>
        <v>-9874.66666666667</v>
      </c>
      <c r="E241" s="68" t="n">
        <f aca="false">E238+E239+E240</f>
        <v>-9874.66666666667</v>
      </c>
      <c r="F241" s="68" t="n">
        <f aca="false">F238+F239+F240</f>
        <v>-9874.66666666667</v>
      </c>
      <c r="G241" s="68" t="n">
        <f aca="false">G238+G239+G240</f>
        <v>-9874.66666666667</v>
      </c>
      <c r="H241" s="68" t="n">
        <f aca="false">H238+H239+H240</f>
        <v>-9874.66666666667</v>
      </c>
      <c r="I241" s="68" t="n">
        <f aca="false">I238+I239+I240</f>
        <v>-9874.66666666667</v>
      </c>
      <c r="J241" s="68" t="n">
        <f aca="false">J238+J239+J240</f>
        <v>-9874.66666666667</v>
      </c>
      <c r="K241" s="68" t="n">
        <f aca="false">K238+K239+K240</f>
        <v>-9874.66666666667</v>
      </c>
      <c r="L241" s="68" t="n">
        <f aca="false">L238+L239+L240</f>
        <v>-9874.66666666667</v>
      </c>
      <c r="M241" s="68" t="n">
        <f aca="false">M238+M239+M240</f>
        <v>-9874.66666666667</v>
      </c>
      <c r="N241" s="68" t="n">
        <f aca="false">N238+N239+N240</f>
        <v>-9874.66666666667</v>
      </c>
      <c r="O241" s="68" t="n">
        <f aca="false">O238+O239+O240</f>
        <v>-10170.9066666667</v>
      </c>
      <c r="P241" s="68" t="n">
        <f aca="false">P238+P239+P240</f>
        <v>-10170.9066666667</v>
      </c>
      <c r="Q241" s="68" t="n">
        <f aca="false">Q238+Q239+Q240</f>
        <v>-10170.9066666667</v>
      </c>
      <c r="R241" s="68" t="n">
        <f aca="false">R238+R239+R240</f>
        <v>-10170.9066666667</v>
      </c>
      <c r="S241" s="68" t="n">
        <f aca="false">S238+S239+S240</f>
        <v>-10170.9066666667</v>
      </c>
      <c r="T241" s="68" t="n">
        <f aca="false">T238+T239+T240</f>
        <v>-10170.9066666667</v>
      </c>
      <c r="U241" s="68" t="n">
        <f aca="false">U238+U239+U240</f>
        <v>-10170.9066666667</v>
      </c>
      <c r="V241" s="68" t="n">
        <f aca="false">V238+V239+V240</f>
        <v>-10170.9066666667</v>
      </c>
      <c r="W241" s="68" t="n">
        <f aca="false">W238+W239+W240</f>
        <v>-10170.9066666667</v>
      </c>
      <c r="X241" s="68" t="n">
        <f aca="false">X238+X239+X240</f>
        <v>-10170.9066666667</v>
      </c>
      <c r="Y241" s="68" t="n">
        <f aca="false">Y238+Y239+Y240</f>
        <v>-10170.9066666667</v>
      </c>
      <c r="Z241" s="68" t="n">
        <f aca="false">Z238+Z239+Z240</f>
        <v>-10170.9066666667</v>
      </c>
      <c r="AA241" s="68" t="n">
        <f aca="false">AA238+AA239+AA240</f>
        <v>-10476.0338666667</v>
      </c>
      <c r="AB241" s="68" t="n">
        <f aca="false">AB238+AB239+AB240</f>
        <v>-10476.0338666667</v>
      </c>
      <c r="AC241" s="68" t="n">
        <f aca="false">AC238+AC239+AC240</f>
        <v>-10476.0338666667</v>
      </c>
      <c r="AD241" s="68" t="n">
        <f aca="false">AD238+AD239+AD240</f>
        <v>-10476.0338666667</v>
      </c>
      <c r="AE241" s="68" t="n">
        <f aca="false">AE238+AE239+AE240</f>
        <v>-10476.0338666667</v>
      </c>
      <c r="AF241" s="68" t="n">
        <f aca="false">AF238+AF239+AF240</f>
        <v>-10476.0338666667</v>
      </c>
      <c r="AG241" s="68" t="n">
        <f aca="false">AG238+AG239+AG240</f>
        <v>-10476.0338666667</v>
      </c>
      <c r="AH241" s="68" t="n">
        <f aca="false">AH238+AH239+AH240</f>
        <v>-10476.0338666667</v>
      </c>
      <c r="AI241" s="68" t="n">
        <f aca="false">AI238+AI239+AI240</f>
        <v>-10476.0338666667</v>
      </c>
      <c r="AJ241" s="68" t="n">
        <f aca="false">AJ238+AJ239+AJ240</f>
        <v>-10476.0338666667</v>
      </c>
      <c r="AK241" s="68" t="n">
        <f aca="false">AK238+AK239+AK240</f>
        <v>-10476.0338666667</v>
      </c>
      <c r="AL241" s="68" t="n">
        <f aca="false">AL238+AL239+AL240</f>
        <v>-10476.0338666667</v>
      </c>
    </row>
    <row r="244" customFormat="false" ht="15.75" hidden="false" customHeight="true" outlineLevel="0" collapsed="false">
      <c r="A244" s="7" t="s">
        <v>444</v>
      </c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</row>
    <row r="245" customFormat="false" ht="15" hidden="false" customHeight="false" outlineLevel="0" collapsed="false">
      <c r="A245" s="33" t="s">
        <v>347</v>
      </c>
      <c r="C245" s="35" t="s">
        <v>348</v>
      </c>
      <c r="D245" s="35" t="s">
        <v>349</v>
      </c>
      <c r="E245" s="35" t="s">
        <v>350</v>
      </c>
      <c r="F245" s="35" t="s">
        <v>351</v>
      </c>
      <c r="G245" s="35" t="s">
        <v>352</v>
      </c>
      <c r="H245" s="35" t="s">
        <v>353</v>
      </c>
      <c r="I245" s="35" t="s">
        <v>354</v>
      </c>
      <c r="J245" s="35" t="s">
        <v>355</v>
      </c>
      <c r="K245" s="35" t="s">
        <v>356</v>
      </c>
      <c r="L245" s="35" t="s">
        <v>357</v>
      </c>
      <c r="M245" s="35" t="s">
        <v>358</v>
      </c>
      <c r="N245" s="35" t="s">
        <v>359</v>
      </c>
      <c r="O245" s="35" t="s">
        <v>360</v>
      </c>
      <c r="P245" s="35" t="s">
        <v>361</v>
      </c>
      <c r="Q245" s="35" t="s">
        <v>362</v>
      </c>
      <c r="R245" s="35" t="s">
        <v>363</v>
      </c>
      <c r="S245" s="35" t="s">
        <v>364</v>
      </c>
      <c r="T245" s="35" t="s">
        <v>365</v>
      </c>
      <c r="U245" s="35" t="s">
        <v>366</v>
      </c>
      <c r="V245" s="35" t="s">
        <v>367</v>
      </c>
      <c r="W245" s="35" t="s">
        <v>368</v>
      </c>
      <c r="X245" s="35" t="s">
        <v>369</v>
      </c>
      <c r="Y245" s="35" t="s">
        <v>370</v>
      </c>
      <c r="Z245" s="35" t="s">
        <v>371</v>
      </c>
      <c r="AA245" s="35" t="s">
        <v>372</v>
      </c>
      <c r="AB245" s="35" t="s">
        <v>373</v>
      </c>
      <c r="AC245" s="35" t="s">
        <v>374</v>
      </c>
      <c r="AD245" s="35" t="s">
        <v>375</v>
      </c>
      <c r="AE245" s="35" t="s">
        <v>376</v>
      </c>
      <c r="AF245" s="35" t="s">
        <v>377</v>
      </c>
      <c r="AG245" s="35" t="s">
        <v>378</v>
      </c>
      <c r="AH245" s="35" t="s">
        <v>379</v>
      </c>
      <c r="AI245" s="35" t="s">
        <v>380</v>
      </c>
      <c r="AJ245" s="35" t="s">
        <v>381</v>
      </c>
      <c r="AK245" s="35" t="s">
        <v>382</v>
      </c>
      <c r="AL245" s="35" t="s">
        <v>383</v>
      </c>
    </row>
    <row r="246" customFormat="false" ht="15" hidden="false" customHeight="false" outlineLevel="0" collapsed="false">
      <c r="A246" s="72" t="s">
        <v>384</v>
      </c>
      <c r="C246" s="72" t="n">
        <v>1</v>
      </c>
      <c r="D246" s="72" t="n">
        <v>2</v>
      </c>
      <c r="E246" s="72" t="n">
        <v>3</v>
      </c>
      <c r="F246" s="72" t="n">
        <v>4</v>
      </c>
      <c r="G246" s="72" t="n">
        <v>5</v>
      </c>
      <c r="H246" s="72" t="n">
        <v>6</v>
      </c>
      <c r="I246" s="72" t="n">
        <v>7</v>
      </c>
      <c r="J246" s="72" t="n">
        <v>8</v>
      </c>
      <c r="K246" s="72" t="n">
        <v>9</v>
      </c>
      <c r="L246" s="72" t="n">
        <v>10</v>
      </c>
      <c r="M246" s="72" t="n">
        <v>11</v>
      </c>
      <c r="N246" s="72" t="n">
        <v>12</v>
      </c>
      <c r="O246" s="72" t="n">
        <v>13</v>
      </c>
      <c r="P246" s="72" t="n">
        <v>14</v>
      </c>
      <c r="Q246" s="72" t="n">
        <v>15</v>
      </c>
      <c r="R246" s="72" t="n">
        <v>16</v>
      </c>
      <c r="S246" s="72" t="n">
        <v>17</v>
      </c>
      <c r="T246" s="72" t="n">
        <v>18</v>
      </c>
      <c r="U246" s="72" t="n">
        <v>19</v>
      </c>
      <c r="V246" s="72" t="n">
        <v>20</v>
      </c>
      <c r="W246" s="72" t="n">
        <v>21</v>
      </c>
      <c r="X246" s="72" t="n">
        <v>22</v>
      </c>
      <c r="Y246" s="72" t="n">
        <v>23</v>
      </c>
      <c r="Z246" s="72" t="n">
        <v>24</v>
      </c>
      <c r="AA246" s="72" t="n">
        <v>25</v>
      </c>
      <c r="AB246" s="72" t="n">
        <v>26</v>
      </c>
      <c r="AC246" s="72" t="n">
        <v>27</v>
      </c>
      <c r="AD246" s="72" t="n">
        <v>28</v>
      </c>
      <c r="AE246" s="72" t="n">
        <v>29</v>
      </c>
      <c r="AF246" s="72" t="n">
        <v>30</v>
      </c>
      <c r="AG246" s="72" t="n">
        <v>31</v>
      </c>
      <c r="AH246" s="72" t="n">
        <v>32</v>
      </c>
      <c r="AI246" s="72" t="n">
        <v>33</v>
      </c>
      <c r="AJ246" s="72" t="n">
        <v>34</v>
      </c>
      <c r="AK246" s="72" t="n">
        <v>35</v>
      </c>
      <c r="AL246" s="72" t="n">
        <v>36</v>
      </c>
    </row>
    <row r="247" customFormat="false" ht="15" hidden="false" customHeight="false" outlineLevel="0" collapsed="false">
      <c r="A247" s="72" t="s">
        <v>154</v>
      </c>
      <c r="C247" s="72" t="n">
        <f aca="false">ROUNDUP(C246*1/12,0)</f>
        <v>1</v>
      </c>
      <c r="D247" s="72" t="n">
        <f aca="false">ROUNDUP(D246*1/12,0)</f>
        <v>1</v>
      </c>
      <c r="E247" s="72" t="n">
        <f aca="false">ROUNDUP(E246*1/12,0)</f>
        <v>1</v>
      </c>
      <c r="F247" s="72" t="n">
        <f aca="false">ROUNDUP(F246*1/12,0)</f>
        <v>1</v>
      </c>
      <c r="G247" s="72" t="n">
        <f aca="false">ROUNDUP(G246*1/12,0)</f>
        <v>1</v>
      </c>
      <c r="H247" s="72" t="n">
        <f aca="false">ROUNDUP(H246*1/12,0)</f>
        <v>1</v>
      </c>
      <c r="I247" s="72" t="n">
        <f aca="false">ROUNDUP(I246*1/12,0)</f>
        <v>1</v>
      </c>
      <c r="J247" s="72" t="n">
        <f aca="false">ROUNDUP(J246*1/12,0)</f>
        <v>1</v>
      </c>
      <c r="K247" s="72" t="n">
        <f aca="false">ROUNDUP(K246*1/12,0)</f>
        <v>1</v>
      </c>
      <c r="L247" s="72" t="n">
        <f aca="false">ROUNDUP(L246*1/12,0)</f>
        <v>1</v>
      </c>
      <c r="M247" s="72" t="n">
        <f aca="false">ROUNDUP(M246*1/12,0)</f>
        <v>1</v>
      </c>
      <c r="N247" s="72" t="n">
        <f aca="false">ROUNDUP(N246*1/12,0)</f>
        <v>1</v>
      </c>
      <c r="O247" s="72" t="n">
        <f aca="false">ROUNDUP(O246*1/12,0)</f>
        <v>2</v>
      </c>
      <c r="P247" s="72" t="n">
        <f aca="false">ROUNDUP(P246*1/12,0)</f>
        <v>2</v>
      </c>
      <c r="Q247" s="72" t="n">
        <f aca="false">ROUNDUP(Q246*1/12,0)</f>
        <v>2</v>
      </c>
      <c r="R247" s="72" t="n">
        <f aca="false">ROUNDUP(R246*1/12,0)</f>
        <v>2</v>
      </c>
      <c r="S247" s="72" t="n">
        <f aca="false">ROUNDUP(S246*1/12,0)</f>
        <v>2</v>
      </c>
      <c r="T247" s="72" t="n">
        <f aca="false">ROUNDUP(T246*1/12,0)</f>
        <v>2</v>
      </c>
      <c r="U247" s="72" t="n">
        <f aca="false">ROUNDUP(U246*1/12,0)</f>
        <v>2</v>
      </c>
      <c r="V247" s="72" t="n">
        <f aca="false">ROUNDUP(V246*1/12,0)</f>
        <v>2</v>
      </c>
      <c r="W247" s="72" t="n">
        <f aca="false">ROUNDUP(W246*1/12,0)</f>
        <v>2</v>
      </c>
      <c r="X247" s="72" t="n">
        <f aca="false">ROUNDUP(X246*1/12,0)</f>
        <v>2</v>
      </c>
      <c r="Y247" s="72" t="n">
        <f aca="false">ROUNDUP(Y246*1/12,0)</f>
        <v>2</v>
      </c>
      <c r="Z247" s="72" t="n">
        <f aca="false">ROUNDUP(Z246*1/12,0)</f>
        <v>2</v>
      </c>
      <c r="AA247" s="72" t="n">
        <f aca="false">ROUNDUP(AA246*1/12,0)</f>
        <v>3</v>
      </c>
      <c r="AB247" s="72" t="n">
        <f aca="false">ROUNDUP(AB246*1/12,0)</f>
        <v>3</v>
      </c>
      <c r="AC247" s="72" t="n">
        <f aca="false">ROUNDUP(AC246*1/12,0)</f>
        <v>3</v>
      </c>
      <c r="AD247" s="72" t="n">
        <f aca="false">ROUNDUP(AD246*1/12,0)</f>
        <v>3</v>
      </c>
      <c r="AE247" s="72" t="n">
        <f aca="false">ROUNDUP(AE246*1/12,0)</f>
        <v>3</v>
      </c>
      <c r="AF247" s="72" t="n">
        <f aca="false">ROUNDUP(AF246*1/12,0)</f>
        <v>3</v>
      </c>
      <c r="AG247" s="72" t="n">
        <f aca="false">ROUNDUP(AG246*1/12,0)</f>
        <v>3</v>
      </c>
      <c r="AH247" s="72" t="n">
        <f aca="false">ROUNDUP(AH246*1/12,0)</f>
        <v>3</v>
      </c>
      <c r="AI247" s="72" t="n">
        <f aca="false">ROUNDUP(AI246*1/12,0)</f>
        <v>3</v>
      </c>
      <c r="AJ247" s="72" t="n">
        <f aca="false">ROUNDUP(AJ246*1/12,0)</f>
        <v>3</v>
      </c>
      <c r="AK247" s="72" t="n">
        <f aca="false">ROUNDUP(AK246*1/12,0)</f>
        <v>3</v>
      </c>
      <c r="AL247" s="72" t="n">
        <f aca="false">ROUNDUP(AL246*1/12,0)</f>
        <v>3</v>
      </c>
    </row>
    <row r="249" customFormat="false" ht="15.75" hidden="false" customHeight="true" outlineLevel="0" collapsed="false">
      <c r="A249" s="7" t="s">
        <v>385</v>
      </c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</row>
    <row r="250" customFormat="false" ht="15" hidden="false" customHeight="false" outlineLevel="0" collapsed="false">
      <c r="A250" s="6" t="s">
        <v>386</v>
      </c>
      <c r="C250" s="116" t="n">
        <f aca="false">Inputs!$D$7+Inputs!$D$8*(C$247-1)</f>
        <v>1</v>
      </c>
      <c r="D250" s="116" t="n">
        <f aca="false">Inputs!$D$7+Inputs!$D$8*(D$247-1)</f>
        <v>1</v>
      </c>
      <c r="E250" s="116" t="n">
        <f aca="false">Inputs!$D$7+Inputs!$D$8*(E$247-1)</f>
        <v>1</v>
      </c>
      <c r="F250" s="116" t="n">
        <f aca="false">Inputs!$D$7+Inputs!$D$8*(F$247-1)</f>
        <v>1</v>
      </c>
      <c r="G250" s="116" t="n">
        <f aca="false">Inputs!$D$7+Inputs!$D$8*(G$247-1)</f>
        <v>1</v>
      </c>
      <c r="H250" s="116" t="n">
        <f aca="false">Inputs!$D$7+Inputs!$D$8*(H$247-1)</f>
        <v>1</v>
      </c>
      <c r="I250" s="116" t="n">
        <f aca="false">Inputs!$D$7+Inputs!$D$8*(I$247-1)</f>
        <v>1</v>
      </c>
      <c r="J250" s="116" t="n">
        <f aca="false">Inputs!$D$7+Inputs!$D$8*(J$247-1)</f>
        <v>1</v>
      </c>
      <c r="K250" s="116" t="n">
        <f aca="false">Inputs!$D$7+Inputs!$D$8*(K$247-1)</f>
        <v>1</v>
      </c>
      <c r="L250" s="116" t="n">
        <f aca="false">Inputs!$D$7+Inputs!$D$8*(L$247-1)</f>
        <v>1</v>
      </c>
      <c r="M250" s="116" t="n">
        <f aca="false">Inputs!$D$7+Inputs!$D$8*(M$247-1)</f>
        <v>1</v>
      </c>
      <c r="N250" s="116" t="n">
        <f aca="false">Inputs!$D$7+Inputs!$D$8*(N$247-1)</f>
        <v>1</v>
      </c>
      <c r="O250" s="116" t="n">
        <f aca="false">Inputs!$D$7+Inputs!$D$8*(O$247-1)</f>
        <v>1</v>
      </c>
      <c r="P250" s="116" t="n">
        <f aca="false">Inputs!$D$7+Inputs!$D$8*(P$247-1)</f>
        <v>1</v>
      </c>
      <c r="Q250" s="116" t="n">
        <f aca="false">Inputs!$D$7+Inputs!$D$8*(Q$247-1)</f>
        <v>1</v>
      </c>
      <c r="R250" s="116" t="n">
        <f aca="false">Inputs!$D$7+Inputs!$D$8*(R$247-1)</f>
        <v>1</v>
      </c>
      <c r="S250" s="116" t="n">
        <f aca="false">Inputs!$D$7+Inputs!$D$8*(S$247-1)</f>
        <v>1</v>
      </c>
      <c r="T250" s="116" t="n">
        <f aca="false">Inputs!$D$7+Inputs!$D$8*(T$247-1)</f>
        <v>1</v>
      </c>
      <c r="U250" s="116" t="n">
        <f aca="false">Inputs!$D$7+Inputs!$D$8*(U$247-1)</f>
        <v>1</v>
      </c>
      <c r="V250" s="116" t="n">
        <f aca="false">Inputs!$D$7+Inputs!$D$8*(V$247-1)</f>
        <v>1</v>
      </c>
      <c r="W250" s="116" t="n">
        <f aca="false">Inputs!$D$7+Inputs!$D$8*(W$247-1)</f>
        <v>1</v>
      </c>
      <c r="X250" s="116" t="n">
        <f aca="false">Inputs!$D$7+Inputs!$D$8*(X$247-1)</f>
        <v>1</v>
      </c>
      <c r="Y250" s="116" t="n">
        <f aca="false">Inputs!$D$7+Inputs!$D$8*(Y$247-1)</f>
        <v>1</v>
      </c>
      <c r="Z250" s="116" t="n">
        <f aca="false">Inputs!$D$7+Inputs!$D$8*(Z$247-1)</f>
        <v>1</v>
      </c>
      <c r="AA250" s="116" t="n">
        <f aca="false">Inputs!$D$7+Inputs!$D$8*(AA$247-1)</f>
        <v>1</v>
      </c>
      <c r="AB250" s="116" t="n">
        <f aca="false">Inputs!$D$7+Inputs!$D$8*(AB$247-1)</f>
        <v>1</v>
      </c>
      <c r="AC250" s="116" t="n">
        <f aca="false">Inputs!$D$7+Inputs!$D$8*(AC$247-1)</f>
        <v>1</v>
      </c>
      <c r="AD250" s="116" t="n">
        <f aca="false">Inputs!$D$7+Inputs!$D$8*(AD$247-1)</f>
        <v>1</v>
      </c>
      <c r="AE250" s="116" t="n">
        <f aca="false">Inputs!$D$7+Inputs!$D$8*(AE$247-1)</f>
        <v>1</v>
      </c>
      <c r="AF250" s="116" t="n">
        <f aca="false">Inputs!$D$7+Inputs!$D$8*(AF$247-1)</f>
        <v>1</v>
      </c>
      <c r="AG250" s="116" t="n">
        <f aca="false">Inputs!$D$7+Inputs!$D$8*(AG$247-1)</f>
        <v>1</v>
      </c>
      <c r="AH250" s="116" t="n">
        <f aca="false">Inputs!$D$7+Inputs!$D$8*(AH$247-1)</f>
        <v>1</v>
      </c>
      <c r="AI250" s="116" t="n">
        <f aca="false">Inputs!$D$7+Inputs!$D$8*(AI$247-1)</f>
        <v>1</v>
      </c>
      <c r="AJ250" s="116" t="n">
        <f aca="false">Inputs!$D$7+Inputs!$D$8*(AJ$247-1)</f>
        <v>1</v>
      </c>
      <c r="AK250" s="116" t="n">
        <f aca="false">Inputs!$D$7+Inputs!$D$8*(AK$247-1)</f>
        <v>1</v>
      </c>
      <c r="AL250" s="116" t="n">
        <f aca="false">Inputs!$D$7+Inputs!$D$8*(AL$247-1)</f>
        <v>1</v>
      </c>
    </row>
    <row r="251" customFormat="false" ht="15" hidden="false" customHeight="false" outlineLevel="0" collapsed="false">
      <c r="A251" s="117" t="s">
        <v>387</v>
      </c>
      <c r="C251" s="118" t="n">
        <f aca="false">MAX(0,MIN(1,Inputs!$D$13-(C$246-1)*1))</f>
        <v>1</v>
      </c>
      <c r="D251" s="118" t="n">
        <f aca="false">MAX(0,MIN(1,Inputs!$D$13-(D$246-1)*1))</f>
        <v>1</v>
      </c>
      <c r="E251" s="118" t="n">
        <f aca="false">MAX(0,MIN(1,Inputs!$D$13-(E$246-1)*1))</f>
        <v>1</v>
      </c>
      <c r="F251" s="118" t="n">
        <f aca="false">MAX(0,MIN(1,Inputs!$D$13-(F$246-1)*1))</f>
        <v>1</v>
      </c>
      <c r="G251" s="118" t="n">
        <f aca="false">MAX(0,MIN(1,Inputs!$D$13-(G$246-1)*1))</f>
        <v>0</v>
      </c>
      <c r="H251" s="118" t="n">
        <f aca="false">MAX(0,MIN(1,Inputs!$D$13-(H$246-1)*1))</f>
        <v>0</v>
      </c>
      <c r="I251" s="118" t="n">
        <f aca="false">MAX(0,MIN(1,Inputs!$D$13-(I$246-1)*1))</f>
        <v>0</v>
      </c>
      <c r="J251" s="118" t="n">
        <f aca="false">MAX(0,MIN(1,Inputs!$D$13-(J$246-1)*1))</f>
        <v>0</v>
      </c>
      <c r="K251" s="118" t="n">
        <f aca="false">MAX(0,MIN(1,Inputs!$D$13-(K$246-1)*1))</f>
        <v>0</v>
      </c>
      <c r="L251" s="118" t="n">
        <f aca="false">MAX(0,MIN(1,Inputs!$D$13-(L$246-1)*1))</f>
        <v>0</v>
      </c>
      <c r="M251" s="118" t="n">
        <f aca="false">MAX(0,MIN(1,Inputs!$D$13-(M$246-1)*1))</f>
        <v>0</v>
      </c>
      <c r="N251" s="118" t="n">
        <f aca="false">MAX(0,MIN(1,Inputs!$D$13-(N$246-1)*1))</f>
        <v>0</v>
      </c>
      <c r="O251" s="118" t="n">
        <f aca="false">MAX(0,MIN(1,Inputs!$D$13-(O$246-1)*1))</f>
        <v>0</v>
      </c>
      <c r="P251" s="118" t="n">
        <f aca="false">MAX(0,MIN(1,Inputs!$D$13-(P$246-1)*1))</f>
        <v>0</v>
      </c>
      <c r="Q251" s="118" t="n">
        <f aca="false">MAX(0,MIN(1,Inputs!$D$13-(Q$246-1)*1))</f>
        <v>0</v>
      </c>
      <c r="R251" s="118" t="n">
        <f aca="false">MAX(0,MIN(1,Inputs!$D$13-(R$246-1)*1))</f>
        <v>0</v>
      </c>
      <c r="S251" s="118" t="n">
        <f aca="false">MAX(0,MIN(1,Inputs!$D$13-(S$246-1)*1))</f>
        <v>0</v>
      </c>
      <c r="T251" s="118" t="n">
        <f aca="false">MAX(0,MIN(1,Inputs!$D$13-(T$246-1)*1))</f>
        <v>0</v>
      </c>
      <c r="U251" s="118" t="n">
        <f aca="false">MAX(0,MIN(1,Inputs!$D$13-(U$246-1)*1))</f>
        <v>0</v>
      </c>
      <c r="V251" s="118" t="n">
        <f aca="false">MAX(0,MIN(1,Inputs!$D$13-(V$246-1)*1))</f>
        <v>0</v>
      </c>
      <c r="W251" s="118" t="n">
        <f aca="false">MAX(0,MIN(1,Inputs!$D$13-(W$246-1)*1))</f>
        <v>0</v>
      </c>
      <c r="X251" s="118" t="n">
        <f aca="false">MAX(0,MIN(1,Inputs!$D$13-(X$246-1)*1))</f>
        <v>0</v>
      </c>
      <c r="Y251" s="118" t="n">
        <f aca="false">MAX(0,MIN(1,Inputs!$D$13-(Y$246-1)*1))</f>
        <v>0</v>
      </c>
      <c r="Z251" s="118" t="n">
        <f aca="false">MAX(0,MIN(1,Inputs!$D$13-(Z$246-1)*1))</f>
        <v>0</v>
      </c>
      <c r="AA251" s="118" t="n">
        <f aca="false">MAX(0,MIN(1,Inputs!$D$13-(AA$246-1)*1))</f>
        <v>0</v>
      </c>
      <c r="AB251" s="118" t="n">
        <f aca="false">MAX(0,MIN(1,Inputs!$D$13-(AB$246-1)*1))</f>
        <v>0</v>
      </c>
      <c r="AC251" s="118" t="n">
        <f aca="false">MAX(0,MIN(1,Inputs!$D$13-(AC$246-1)*1))</f>
        <v>0</v>
      </c>
      <c r="AD251" s="118" t="n">
        <f aca="false">MAX(0,MIN(1,Inputs!$D$13-(AD$246-1)*1))</f>
        <v>0</v>
      </c>
      <c r="AE251" s="118" t="n">
        <f aca="false">MAX(0,MIN(1,Inputs!$D$13-(AE$246-1)*1))</f>
        <v>0</v>
      </c>
      <c r="AF251" s="118" t="n">
        <f aca="false">MAX(0,MIN(1,Inputs!$D$13-(AF$246-1)*1))</f>
        <v>0</v>
      </c>
      <c r="AG251" s="118" t="n">
        <f aca="false">MAX(0,MIN(1,Inputs!$D$13-(AG$246-1)*1))</f>
        <v>0</v>
      </c>
      <c r="AH251" s="118" t="n">
        <f aca="false">MAX(0,MIN(1,Inputs!$D$13-(AH$246-1)*1))</f>
        <v>0</v>
      </c>
      <c r="AI251" s="118" t="n">
        <f aca="false">MAX(0,MIN(1,Inputs!$D$13-(AI$246-1)*1))</f>
        <v>0</v>
      </c>
      <c r="AJ251" s="118" t="n">
        <f aca="false">MAX(0,MIN(1,Inputs!$D$13-(AJ$246-1)*1))</f>
        <v>0</v>
      </c>
      <c r="AK251" s="118" t="n">
        <f aca="false">MAX(0,MIN(1,Inputs!$D$13-(AK$246-1)*1))</f>
        <v>0</v>
      </c>
      <c r="AL251" s="118" t="n">
        <f aca="false">MAX(0,MIN(1,Inputs!$D$13-(AL$246-1)*1))</f>
        <v>0</v>
      </c>
    </row>
    <row r="252" customFormat="false" ht="15" hidden="false" customHeight="false" outlineLevel="0" collapsed="false">
      <c r="A252" s="39" t="s">
        <v>388</v>
      </c>
      <c r="C252" s="74" t="n">
        <f aca="false">IF(Inputs!$D$13&lt;=0,1,(C251*Inputs!$D$14+(1-Inputs!$D$14)/MAX(1,Inputs!$D$13)*(C251*(C$246-1)*1+C251*(C251-1)/2)+1-C251)/1)</f>
        <v>0.6</v>
      </c>
      <c r="D252" s="74" t="n">
        <f aca="false">IF(Inputs!$D$13&lt;=0,1,(D251*Inputs!$D$14+(1-Inputs!$D$14)/MAX(1,Inputs!$D$13)*(D251*(D$246-1)*1+D251*(D251-1)/2)+1-D251)/1)</f>
        <v>0.7</v>
      </c>
      <c r="E252" s="74" t="n">
        <f aca="false">IF(Inputs!$D$13&lt;=0,1,(E251*Inputs!$D$14+(1-Inputs!$D$14)/MAX(1,Inputs!$D$13)*(E251*(E$246-1)*1+E251*(E251-1)/2)+1-E251)/1)</f>
        <v>0.8</v>
      </c>
      <c r="F252" s="74" t="n">
        <f aca="false">IF(Inputs!$D$13&lt;=0,1,(F251*Inputs!$D$14+(1-Inputs!$D$14)/MAX(1,Inputs!$D$13)*(F251*(F$246-1)*1+F251*(F251-1)/2)+1-F251)/1)</f>
        <v>0.9</v>
      </c>
      <c r="G252" s="74" t="n">
        <f aca="false">IF(Inputs!$D$13&lt;=0,1,(G251*Inputs!$D$14+(1-Inputs!$D$14)/MAX(1,Inputs!$D$13)*(G251*(G$246-1)*1+G251*(G251-1)/2)+1-G251)/1)</f>
        <v>1</v>
      </c>
      <c r="H252" s="74" t="n">
        <f aca="false">IF(Inputs!$D$13&lt;=0,1,(H251*Inputs!$D$14+(1-Inputs!$D$14)/MAX(1,Inputs!$D$13)*(H251*(H$246-1)*1+H251*(H251-1)/2)+1-H251)/1)</f>
        <v>1</v>
      </c>
      <c r="I252" s="74" t="n">
        <f aca="false">IF(Inputs!$D$13&lt;=0,1,(I251*Inputs!$D$14+(1-Inputs!$D$14)/MAX(1,Inputs!$D$13)*(I251*(I$246-1)*1+I251*(I251-1)/2)+1-I251)/1)</f>
        <v>1</v>
      </c>
      <c r="J252" s="74" t="n">
        <f aca="false">IF(Inputs!$D$13&lt;=0,1,(J251*Inputs!$D$14+(1-Inputs!$D$14)/MAX(1,Inputs!$D$13)*(J251*(J$246-1)*1+J251*(J251-1)/2)+1-J251)/1)</f>
        <v>1</v>
      </c>
      <c r="K252" s="74" t="n">
        <f aca="false">IF(Inputs!$D$13&lt;=0,1,(K251*Inputs!$D$14+(1-Inputs!$D$14)/MAX(1,Inputs!$D$13)*(K251*(K$246-1)*1+K251*(K251-1)/2)+1-K251)/1)</f>
        <v>1</v>
      </c>
      <c r="L252" s="74" t="n">
        <f aca="false">IF(Inputs!$D$13&lt;=0,1,(L251*Inputs!$D$14+(1-Inputs!$D$14)/MAX(1,Inputs!$D$13)*(L251*(L$246-1)*1+L251*(L251-1)/2)+1-L251)/1)</f>
        <v>1</v>
      </c>
      <c r="M252" s="74" t="n">
        <f aca="false">IF(Inputs!$D$13&lt;=0,1,(M251*Inputs!$D$14+(1-Inputs!$D$14)/MAX(1,Inputs!$D$13)*(M251*(M$246-1)*1+M251*(M251-1)/2)+1-M251)/1)</f>
        <v>1</v>
      </c>
      <c r="N252" s="74" t="n">
        <f aca="false">IF(Inputs!$D$13&lt;=0,1,(N251*Inputs!$D$14+(1-Inputs!$D$14)/MAX(1,Inputs!$D$13)*(N251*(N$246-1)*1+N251*(N251-1)/2)+1-N251)/1)</f>
        <v>1</v>
      </c>
      <c r="O252" s="74" t="n">
        <f aca="false">IF(Inputs!$D$13&lt;=0,1,(O251*Inputs!$D$14+(1-Inputs!$D$14)/MAX(1,Inputs!$D$13)*(O251*(O$246-1)*1+O251*(O251-1)/2)+1-O251)/1)</f>
        <v>1</v>
      </c>
      <c r="P252" s="74" t="n">
        <f aca="false">IF(Inputs!$D$13&lt;=0,1,(P251*Inputs!$D$14+(1-Inputs!$D$14)/MAX(1,Inputs!$D$13)*(P251*(P$246-1)*1+P251*(P251-1)/2)+1-P251)/1)</f>
        <v>1</v>
      </c>
      <c r="Q252" s="74" t="n">
        <f aca="false">IF(Inputs!$D$13&lt;=0,1,(Q251*Inputs!$D$14+(1-Inputs!$D$14)/MAX(1,Inputs!$D$13)*(Q251*(Q$246-1)*1+Q251*(Q251-1)/2)+1-Q251)/1)</f>
        <v>1</v>
      </c>
      <c r="R252" s="74" t="n">
        <f aca="false">IF(Inputs!$D$13&lt;=0,1,(R251*Inputs!$D$14+(1-Inputs!$D$14)/MAX(1,Inputs!$D$13)*(R251*(R$246-1)*1+R251*(R251-1)/2)+1-R251)/1)</f>
        <v>1</v>
      </c>
      <c r="S252" s="74" t="n">
        <f aca="false">IF(Inputs!$D$13&lt;=0,1,(S251*Inputs!$D$14+(1-Inputs!$D$14)/MAX(1,Inputs!$D$13)*(S251*(S$246-1)*1+S251*(S251-1)/2)+1-S251)/1)</f>
        <v>1</v>
      </c>
      <c r="T252" s="74" t="n">
        <f aca="false">IF(Inputs!$D$13&lt;=0,1,(T251*Inputs!$D$14+(1-Inputs!$D$14)/MAX(1,Inputs!$D$13)*(T251*(T$246-1)*1+T251*(T251-1)/2)+1-T251)/1)</f>
        <v>1</v>
      </c>
      <c r="U252" s="74" t="n">
        <f aca="false">IF(Inputs!$D$13&lt;=0,1,(U251*Inputs!$D$14+(1-Inputs!$D$14)/MAX(1,Inputs!$D$13)*(U251*(U$246-1)*1+U251*(U251-1)/2)+1-U251)/1)</f>
        <v>1</v>
      </c>
      <c r="V252" s="74" t="n">
        <f aca="false">IF(Inputs!$D$13&lt;=0,1,(V251*Inputs!$D$14+(1-Inputs!$D$14)/MAX(1,Inputs!$D$13)*(V251*(V$246-1)*1+V251*(V251-1)/2)+1-V251)/1)</f>
        <v>1</v>
      </c>
      <c r="W252" s="74" t="n">
        <f aca="false">IF(Inputs!$D$13&lt;=0,1,(W251*Inputs!$D$14+(1-Inputs!$D$14)/MAX(1,Inputs!$D$13)*(W251*(W$246-1)*1+W251*(W251-1)/2)+1-W251)/1)</f>
        <v>1</v>
      </c>
      <c r="X252" s="74" t="n">
        <f aca="false">IF(Inputs!$D$13&lt;=0,1,(X251*Inputs!$D$14+(1-Inputs!$D$14)/MAX(1,Inputs!$D$13)*(X251*(X$246-1)*1+X251*(X251-1)/2)+1-X251)/1)</f>
        <v>1</v>
      </c>
      <c r="Y252" s="74" t="n">
        <f aca="false">IF(Inputs!$D$13&lt;=0,1,(Y251*Inputs!$D$14+(1-Inputs!$D$14)/MAX(1,Inputs!$D$13)*(Y251*(Y$246-1)*1+Y251*(Y251-1)/2)+1-Y251)/1)</f>
        <v>1</v>
      </c>
      <c r="Z252" s="74" t="n">
        <f aca="false">IF(Inputs!$D$13&lt;=0,1,(Z251*Inputs!$D$14+(1-Inputs!$D$14)/MAX(1,Inputs!$D$13)*(Z251*(Z$246-1)*1+Z251*(Z251-1)/2)+1-Z251)/1)</f>
        <v>1</v>
      </c>
      <c r="AA252" s="74" t="n">
        <f aca="false">IF(Inputs!$D$13&lt;=0,1,(AA251*Inputs!$D$14+(1-Inputs!$D$14)/MAX(1,Inputs!$D$13)*(AA251*(AA$246-1)*1+AA251*(AA251-1)/2)+1-AA251)/1)</f>
        <v>1</v>
      </c>
      <c r="AB252" s="74" t="n">
        <f aca="false">IF(Inputs!$D$13&lt;=0,1,(AB251*Inputs!$D$14+(1-Inputs!$D$14)/MAX(1,Inputs!$D$13)*(AB251*(AB$246-1)*1+AB251*(AB251-1)/2)+1-AB251)/1)</f>
        <v>1</v>
      </c>
      <c r="AC252" s="74" t="n">
        <f aca="false">IF(Inputs!$D$13&lt;=0,1,(AC251*Inputs!$D$14+(1-Inputs!$D$14)/MAX(1,Inputs!$D$13)*(AC251*(AC$246-1)*1+AC251*(AC251-1)/2)+1-AC251)/1)</f>
        <v>1</v>
      </c>
      <c r="AD252" s="74" t="n">
        <f aca="false">IF(Inputs!$D$13&lt;=0,1,(AD251*Inputs!$D$14+(1-Inputs!$D$14)/MAX(1,Inputs!$D$13)*(AD251*(AD$246-1)*1+AD251*(AD251-1)/2)+1-AD251)/1)</f>
        <v>1</v>
      </c>
      <c r="AE252" s="74" t="n">
        <f aca="false">IF(Inputs!$D$13&lt;=0,1,(AE251*Inputs!$D$14+(1-Inputs!$D$14)/MAX(1,Inputs!$D$13)*(AE251*(AE$246-1)*1+AE251*(AE251-1)/2)+1-AE251)/1)</f>
        <v>1</v>
      </c>
      <c r="AF252" s="74" t="n">
        <f aca="false">IF(Inputs!$D$13&lt;=0,1,(AF251*Inputs!$D$14+(1-Inputs!$D$14)/MAX(1,Inputs!$D$13)*(AF251*(AF$246-1)*1+AF251*(AF251-1)/2)+1-AF251)/1)</f>
        <v>1</v>
      </c>
      <c r="AG252" s="74" t="n">
        <f aca="false">IF(Inputs!$D$13&lt;=0,1,(AG251*Inputs!$D$14+(1-Inputs!$D$14)/MAX(1,Inputs!$D$13)*(AG251*(AG$246-1)*1+AG251*(AG251-1)/2)+1-AG251)/1)</f>
        <v>1</v>
      </c>
      <c r="AH252" s="74" t="n">
        <f aca="false">IF(Inputs!$D$13&lt;=0,1,(AH251*Inputs!$D$14+(1-Inputs!$D$14)/MAX(1,Inputs!$D$13)*(AH251*(AH$246-1)*1+AH251*(AH251-1)/2)+1-AH251)/1)</f>
        <v>1</v>
      </c>
      <c r="AI252" s="74" t="n">
        <f aca="false">IF(Inputs!$D$13&lt;=0,1,(AI251*Inputs!$D$14+(1-Inputs!$D$14)/MAX(1,Inputs!$D$13)*(AI251*(AI$246-1)*1+AI251*(AI251-1)/2)+1-AI251)/1)</f>
        <v>1</v>
      </c>
      <c r="AJ252" s="74" t="n">
        <f aca="false">IF(Inputs!$D$13&lt;=0,1,(AJ251*Inputs!$D$14+(1-Inputs!$D$14)/MAX(1,Inputs!$D$13)*(AJ251*(AJ$246-1)*1+AJ251*(AJ251-1)/2)+1-AJ251)/1)</f>
        <v>1</v>
      </c>
      <c r="AK252" s="74" t="n">
        <f aca="false">IF(Inputs!$D$13&lt;=0,1,(AK251*Inputs!$D$14+(1-Inputs!$D$14)/MAX(1,Inputs!$D$13)*(AK251*(AK$246-1)*1+AK251*(AK251-1)/2)+1-AK251)/1)</f>
        <v>1</v>
      </c>
      <c r="AL252" s="74" t="n">
        <f aca="false">IF(Inputs!$D$13&lt;=0,1,(AL251*Inputs!$D$14+(1-Inputs!$D$14)/MAX(1,Inputs!$D$13)*(AL251*(AL$246-1)*1+AL251*(AL251-1)/2)+1-AL251)/1)</f>
        <v>1</v>
      </c>
    </row>
    <row r="253" customFormat="false" ht="15" hidden="false" customHeight="false" outlineLevel="0" collapsed="false">
      <c r="A253" s="6" t="s">
        <v>389</v>
      </c>
      <c r="C253" s="77" t="n">
        <f aca="false">IF(OR(MOD(C$246-1,12)&gt;=11,MOD(C$246-1,12)&lt;=1),1-Inputs!$D$10,1+Inputs!$D$10/3)</f>
        <v>0.8</v>
      </c>
      <c r="D253" s="77" t="n">
        <f aca="false">IF(OR(MOD(D$246-1,12)&gt;=11,MOD(D$246-1,12)&lt;=1),1-Inputs!$D$10,1+Inputs!$D$10/3)</f>
        <v>0.8</v>
      </c>
      <c r="E253" s="77" t="n">
        <f aca="false">IF(OR(MOD(E$246-1,12)&gt;=11,MOD(E$246-1,12)&lt;=1),1-Inputs!$D$10,1+Inputs!$D$10/3)</f>
        <v>1.06666666666667</v>
      </c>
      <c r="F253" s="77" t="n">
        <f aca="false">IF(OR(MOD(F$246-1,12)&gt;=11,MOD(F$246-1,12)&lt;=1),1-Inputs!$D$10,1+Inputs!$D$10/3)</f>
        <v>1.06666666666667</v>
      </c>
      <c r="G253" s="77" t="n">
        <f aca="false">IF(OR(MOD(G$246-1,12)&gt;=11,MOD(G$246-1,12)&lt;=1),1-Inputs!$D$10,1+Inputs!$D$10/3)</f>
        <v>1.06666666666667</v>
      </c>
      <c r="H253" s="77" t="n">
        <f aca="false">IF(OR(MOD(H$246-1,12)&gt;=11,MOD(H$246-1,12)&lt;=1),1-Inputs!$D$10,1+Inputs!$D$10/3)</f>
        <v>1.06666666666667</v>
      </c>
      <c r="I253" s="77" t="n">
        <f aca="false">IF(OR(MOD(I$246-1,12)&gt;=11,MOD(I$246-1,12)&lt;=1),1-Inputs!$D$10,1+Inputs!$D$10/3)</f>
        <v>1.06666666666667</v>
      </c>
      <c r="J253" s="77" t="n">
        <f aca="false">IF(OR(MOD(J$246-1,12)&gt;=11,MOD(J$246-1,12)&lt;=1),1-Inputs!$D$10,1+Inputs!$D$10/3)</f>
        <v>1.06666666666667</v>
      </c>
      <c r="K253" s="77" t="n">
        <f aca="false">IF(OR(MOD(K$246-1,12)&gt;=11,MOD(K$246-1,12)&lt;=1),1-Inputs!$D$10,1+Inputs!$D$10/3)</f>
        <v>1.06666666666667</v>
      </c>
      <c r="L253" s="77" t="n">
        <f aca="false">IF(OR(MOD(L$246-1,12)&gt;=11,MOD(L$246-1,12)&lt;=1),1-Inputs!$D$10,1+Inputs!$D$10/3)</f>
        <v>1.06666666666667</v>
      </c>
      <c r="M253" s="77" t="n">
        <f aca="false">IF(OR(MOD(M$246-1,12)&gt;=11,MOD(M$246-1,12)&lt;=1),1-Inputs!$D$10,1+Inputs!$D$10/3)</f>
        <v>1.06666666666667</v>
      </c>
      <c r="N253" s="77" t="n">
        <f aca="false">IF(OR(MOD(N$246-1,12)&gt;=11,MOD(N$246-1,12)&lt;=1),1-Inputs!$D$10,1+Inputs!$D$10/3)</f>
        <v>0.8</v>
      </c>
      <c r="O253" s="77" t="n">
        <f aca="false">IF(OR(MOD(O$246-1,12)&gt;=11,MOD(O$246-1,12)&lt;=1),1-Inputs!$D$10,1+Inputs!$D$10/3)</f>
        <v>0.8</v>
      </c>
      <c r="P253" s="77" t="n">
        <f aca="false">IF(OR(MOD(P$246-1,12)&gt;=11,MOD(P$246-1,12)&lt;=1),1-Inputs!$D$10,1+Inputs!$D$10/3)</f>
        <v>0.8</v>
      </c>
      <c r="Q253" s="77" t="n">
        <f aca="false">IF(OR(MOD(Q$246-1,12)&gt;=11,MOD(Q$246-1,12)&lt;=1),1-Inputs!$D$10,1+Inputs!$D$10/3)</f>
        <v>1.06666666666667</v>
      </c>
      <c r="R253" s="77" t="n">
        <f aca="false">IF(OR(MOD(R$246-1,12)&gt;=11,MOD(R$246-1,12)&lt;=1),1-Inputs!$D$10,1+Inputs!$D$10/3)</f>
        <v>1.06666666666667</v>
      </c>
      <c r="S253" s="77" t="n">
        <f aca="false">IF(OR(MOD(S$246-1,12)&gt;=11,MOD(S$246-1,12)&lt;=1),1-Inputs!$D$10,1+Inputs!$D$10/3)</f>
        <v>1.06666666666667</v>
      </c>
      <c r="T253" s="77" t="n">
        <f aca="false">IF(OR(MOD(T$246-1,12)&gt;=11,MOD(T$246-1,12)&lt;=1),1-Inputs!$D$10,1+Inputs!$D$10/3)</f>
        <v>1.06666666666667</v>
      </c>
      <c r="U253" s="77" t="n">
        <f aca="false">IF(OR(MOD(U$246-1,12)&gt;=11,MOD(U$246-1,12)&lt;=1),1-Inputs!$D$10,1+Inputs!$D$10/3)</f>
        <v>1.06666666666667</v>
      </c>
      <c r="V253" s="77" t="n">
        <f aca="false">IF(OR(MOD(V$246-1,12)&gt;=11,MOD(V$246-1,12)&lt;=1),1-Inputs!$D$10,1+Inputs!$D$10/3)</f>
        <v>1.06666666666667</v>
      </c>
      <c r="W253" s="77" t="n">
        <f aca="false">IF(OR(MOD(W$246-1,12)&gt;=11,MOD(W$246-1,12)&lt;=1),1-Inputs!$D$10,1+Inputs!$D$10/3)</f>
        <v>1.06666666666667</v>
      </c>
      <c r="X253" s="77" t="n">
        <f aca="false">IF(OR(MOD(X$246-1,12)&gt;=11,MOD(X$246-1,12)&lt;=1),1-Inputs!$D$10,1+Inputs!$D$10/3)</f>
        <v>1.06666666666667</v>
      </c>
      <c r="Y253" s="77" t="n">
        <f aca="false">IF(OR(MOD(Y$246-1,12)&gt;=11,MOD(Y$246-1,12)&lt;=1),1-Inputs!$D$10,1+Inputs!$D$10/3)</f>
        <v>1.06666666666667</v>
      </c>
      <c r="Z253" s="77" t="n">
        <f aca="false">IF(OR(MOD(Z$246-1,12)&gt;=11,MOD(Z$246-1,12)&lt;=1),1-Inputs!$D$10,1+Inputs!$D$10/3)</f>
        <v>0.8</v>
      </c>
      <c r="AA253" s="77" t="n">
        <f aca="false">IF(OR(MOD(AA$246-1,12)&gt;=11,MOD(AA$246-1,12)&lt;=1),1-Inputs!$D$10,1+Inputs!$D$10/3)</f>
        <v>0.8</v>
      </c>
      <c r="AB253" s="77" t="n">
        <f aca="false">IF(OR(MOD(AB$246-1,12)&gt;=11,MOD(AB$246-1,12)&lt;=1),1-Inputs!$D$10,1+Inputs!$D$10/3)</f>
        <v>0.8</v>
      </c>
      <c r="AC253" s="77" t="n">
        <f aca="false">IF(OR(MOD(AC$246-1,12)&gt;=11,MOD(AC$246-1,12)&lt;=1),1-Inputs!$D$10,1+Inputs!$D$10/3)</f>
        <v>1.06666666666667</v>
      </c>
      <c r="AD253" s="77" t="n">
        <f aca="false">IF(OR(MOD(AD$246-1,12)&gt;=11,MOD(AD$246-1,12)&lt;=1),1-Inputs!$D$10,1+Inputs!$D$10/3)</f>
        <v>1.06666666666667</v>
      </c>
      <c r="AE253" s="77" t="n">
        <f aca="false">IF(OR(MOD(AE$246-1,12)&gt;=11,MOD(AE$246-1,12)&lt;=1),1-Inputs!$D$10,1+Inputs!$D$10/3)</f>
        <v>1.06666666666667</v>
      </c>
      <c r="AF253" s="77" t="n">
        <f aca="false">IF(OR(MOD(AF$246-1,12)&gt;=11,MOD(AF$246-1,12)&lt;=1),1-Inputs!$D$10,1+Inputs!$D$10/3)</f>
        <v>1.06666666666667</v>
      </c>
      <c r="AG253" s="77" t="n">
        <f aca="false">IF(OR(MOD(AG$246-1,12)&gt;=11,MOD(AG$246-1,12)&lt;=1),1-Inputs!$D$10,1+Inputs!$D$10/3)</f>
        <v>1.06666666666667</v>
      </c>
      <c r="AH253" s="77" t="n">
        <f aca="false">IF(OR(MOD(AH$246-1,12)&gt;=11,MOD(AH$246-1,12)&lt;=1),1-Inputs!$D$10,1+Inputs!$D$10/3)</f>
        <v>1.06666666666667</v>
      </c>
      <c r="AI253" s="77" t="n">
        <f aca="false">IF(OR(MOD(AI$246-1,12)&gt;=11,MOD(AI$246-1,12)&lt;=1),1-Inputs!$D$10,1+Inputs!$D$10/3)</f>
        <v>1.06666666666667</v>
      </c>
      <c r="AJ253" s="77" t="n">
        <f aca="false">IF(OR(MOD(AJ$246-1,12)&gt;=11,MOD(AJ$246-1,12)&lt;=1),1-Inputs!$D$10,1+Inputs!$D$10/3)</f>
        <v>1.06666666666667</v>
      </c>
      <c r="AK253" s="77" t="n">
        <f aca="false">IF(OR(MOD(AK$246-1,12)&gt;=11,MOD(AK$246-1,12)&lt;=1),1-Inputs!$D$10,1+Inputs!$D$10/3)</f>
        <v>1.06666666666667</v>
      </c>
      <c r="AL253" s="77" t="n">
        <f aca="false">IF(OR(MOD(AL$246-1,12)&gt;=11,MOD(AL$246-1,12)&lt;=1),1-Inputs!$D$10,1+Inputs!$D$10/3)</f>
        <v>0.8</v>
      </c>
    </row>
    <row r="254" customFormat="false" ht="15" hidden="false" customHeight="false" outlineLevel="0" collapsed="false">
      <c r="A254" s="6" t="s">
        <v>390</v>
      </c>
      <c r="C254" s="118" t="n">
        <f aca="false">C250*Inputs!$D$9*1*C253</f>
        <v>15.2</v>
      </c>
      <c r="D254" s="118" t="n">
        <f aca="false">D250*Inputs!$D$9*1*D253</f>
        <v>15.2</v>
      </c>
      <c r="E254" s="118" t="n">
        <f aca="false">E250*Inputs!$D$9*1*E253</f>
        <v>20.2666666666667</v>
      </c>
      <c r="F254" s="118" t="n">
        <f aca="false">F250*Inputs!$D$9*1*F253</f>
        <v>20.2666666666667</v>
      </c>
      <c r="G254" s="118" t="n">
        <f aca="false">G250*Inputs!$D$9*1*G253</f>
        <v>20.2666666666667</v>
      </c>
      <c r="H254" s="118" t="n">
        <f aca="false">H250*Inputs!$D$9*1*H253</f>
        <v>20.2666666666667</v>
      </c>
      <c r="I254" s="118" t="n">
        <f aca="false">I250*Inputs!$D$9*1*I253</f>
        <v>20.2666666666667</v>
      </c>
      <c r="J254" s="118" t="n">
        <f aca="false">J250*Inputs!$D$9*1*J253</f>
        <v>20.2666666666667</v>
      </c>
      <c r="K254" s="118" t="n">
        <f aca="false">K250*Inputs!$D$9*1*K253</f>
        <v>20.2666666666667</v>
      </c>
      <c r="L254" s="118" t="n">
        <f aca="false">L250*Inputs!$D$9*1*L253</f>
        <v>20.2666666666667</v>
      </c>
      <c r="M254" s="118" t="n">
        <f aca="false">M250*Inputs!$D$9*1*M253</f>
        <v>20.2666666666667</v>
      </c>
      <c r="N254" s="118" t="n">
        <f aca="false">N250*Inputs!$D$9*1*N253</f>
        <v>15.2</v>
      </c>
      <c r="O254" s="118" t="n">
        <f aca="false">O250*Inputs!$D$9*1*O253</f>
        <v>15.2</v>
      </c>
      <c r="P254" s="118" t="n">
        <f aca="false">P250*Inputs!$D$9*1*P253</f>
        <v>15.2</v>
      </c>
      <c r="Q254" s="118" t="n">
        <f aca="false">Q250*Inputs!$D$9*1*Q253</f>
        <v>20.2666666666667</v>
      </c>
      <c r="R254" s="118" t="n">
        <f aca="false">R250*Inputs!$D$9*1*R253</f>
        <v>20.2666666666667</v>
      </c>
      <c r="S254" s="118" t="n">
        <f aca="false">S250*Inputs!$D$9*1*S253</f>
        <v>20.2666666666667</v>
      </c>
      <c r="T254" s="118" t="n">
        <f aca="false">T250*Inputs!$D$9*1*T253</f>
        <v>20.2666666666667</v>
      </c>
      <c r="U254" s="118" t="n">
        <f aca="false">U250*Inputs!$D$9*1*U253</f>
        <v>20.2666666666667</v>
      </c>
      <c r="V254" s="118" t="n">
        <f aca="false">V250*Inputs!$D$9*1*V253</f>
        <v>20.2666666666667</v>
      </c>
      <c r="W254" s="118" t="n">
        <f aca="false">W250*Inputs!$D$9*1*W253</f>
        <v>20.2666666666667</v>
      </c>
      <c r="X254" s="118" t="n">
        <f aca="false">X250*Inputs!$D$9*1*X253</f>
        <v>20.2666666666667</v>
      </c>
      <c r="Y254" s="118" t="n">
        <f aca="false">Y250*Inputs!$D$9*1*Y253</f>
        <v>20.2666666666667</v>
      </c>
      <c r="Z254" s="118" t="n">
        <f aca="false">Z250*Inputs!$D$9*1*Z253</f>
        <v>15.2</v>
      </c>
      <c r="AA254" s="118" t="n">
        <f aca="false">AA250*Inputs!$D$9*1*AA253</f>
        <v>15.2</v>
      </c>
      <c r="AB254" s="118" t="n">
        <f aca="false">AB250*Inputs!$D$9*1*AB253</f>
        <v>15.2</v>
      </c>
      <c r="AC254" s="118" t="n">
        <f aca="false">AC250*Inputs!$D$9*1*AC253</f>
        <v>20.2666666666667</v>
      </c>
      <c r="AD254" s="118" t="n">
        <f aca="false">AD250*Inputs!$D$9*1*AD253</f>
        <v>20.2666666666667</v>
      </c>
      <c r="AE254" s="118" t="n">
        <f aca="false">AE250*Inputs!$D$9*1*AE253</f>
        <v>20.2666666666667</v>
      </c>
      <c r="AF254" s="118" t="n">
        <f aca="false">AF250*Inputs!$D$9*1*AF253</f>
        <v>20.2666666666667</v>
      </c>
      <c r="AG254" s="118" t="n">
        <f aca="false">AG250*Inputs!$D$9*1*AG253</f>
        <v>20.2666666666667</v>
      </c>
      <c r="AH254" s="118" t="n">
        <f aca="false">AH250*Inputs!$D$9*1*AH253</f>
        <v>20.2666666666667</v>
      </c>
      <c r="AI254" s="118" t="n">
        <f aca="false">AI250*Inputs!$D$9*1*AI253</f>
        <v>20.2666666666667</v>
      </c>
      <c r="AJ254" s="118" t="n">
        <f aca="false">AJ250*Inputs!$D$9*1*AJ253</f>
        <v>20.2666666666667</v>
      </c>
      <c r="AK254" s="118" t="n">
        <f aca="false">AK250*Inputs!$D$9*1*AK253</f>
        <v>20.2666666666667</v>
      </c>
      <c r="AL254" s="118" t="n">
        <f aca="false">AL250*Inputs!$D$9*1*AL253</f>
        <v>15.2</v>
      </c>
    </row>
    <row r="255" customFormat="false" ht="15" hidden="false" customHeight="false" outlineLevel="0" collapsed="false">
      <c r="A255" s="6" t="s">
        <v>391</v>
      </c>
      <c r="C255" s="118" t="n">
        <f aca="false">C250*Inputs!$D$23*(1+Inputs!$D$24)^(C$247-1)*1*C252</f>
        <v>2.1</v>
      </c>
      <c r="D255" s="118" t="n">
        <f aca="false">D250*Inputs!$D$23*(1+Inputs!$D$24)^(D$247-1)*1*D252</f>
        <v>2.45</v>
      </c>
      <c r="E255" s="118" t="n">
        <f aca="false">E250*Inputs!$D$23*(1+Inputs!$D$24)^(E$247-1)*1*E252</f>
        <v>2.8</v>
      </c>
      <c r="F255" s="118" t="n">
        <f aca="false">F250*Inputs!$D$23*(1+Inputs!$D$24)^(F$247-1)*1*F252</f>
        <v>3.15</v>
      </c>
      <c r="G255" s="118" t="n">
        <f aca="false">G250*Inputs!$D$23*(1+Inputs!$D$24)^(G$247-1)*1*G252</f>
        <v>3.5</v>
      </c>
      <c r="H255" s="118" t="n">
        <f aca="false">H250*Inputs!$D$23*(1+Inputs!$D$24)^(H$247-1)*1*H252</f>
        <v>3.5</v>
      </c>
      <c r="I255" s="118" t="n">
        <f aca="false">I250*Inputs!$D$23*(1+Inputs!$D$24)^(I$247-1)*1*I252</f>
        <v>3.5</v>
      </c>
      <c r="J255" s="118" t="n">
        <f aca="false">J250*Inputs!$D$23*(1+Inputs!$D$24)^(J$247-1)*1*J252</f>
        <v>3.5</v>
      </c>
      <c r="K255" s="118" t="n">
        <f aca="false">K250*Inputs!$D$23*(1+Inputs!$D$24)^(K$247-1)*1*K252</f>
        <v>3.5</v>
      </c>
      <c r="L255" s="118" t="n">
        <f aca="false">L250*Inputs!$D$23*(1+Inputs!$D$24)^(L$247-1)*1*L252</f>
        <v>3.5</v>
      </c>
      <c r="M255" s="118" t="n">
        <f aca="false">M250*Inputs!$D$23*(1+Inputs!$D$24)^(M$247-1)*1*M252</f>
        <v>3.5</v>
      </c>
      <c r="N255" s="118" t="n">
        <f aca="false">N250*Inputs!$D$23*(1+Inputs!$D$24)^(N$247-1)*1*N252</f>
        <v>3.5</v>
      </c>
      <c r="O255" s="118" t="n">
        <f aca="false">O250*Inputs!$D$23*(1+Inputs!$D$24)^(O$247-1)*1*O252</f>
        <v>3.85</v>
      </c>
      <c r="P255" s="118" t="n">
        <f aca="false">P250*Inputs!$D$23*(1+Inputs!$D$24)^(P$247-1)*1*P252</f>
        <v>3.85</v>
      </c>
      <c r="Q255" s="118" t="n">
        <f aca="false">Q250*Inputs!$D$23*(1+Inputs!$D$24)^(Q$247-1)*1*Q252</f>
        <v>3.85</v>
      </c>
      <c r="R255" s="118" t="n">
        <f aca="false">R250*Inputs!$D$23*(1+Inputs!$D$24)^(R$247-1)*1*R252</f>
        <v>3.85</v>
      </c>
      <c r="S255" s="118" t="n">
        <f aca="false">S250*Inputs!$D$23*(1+Inputs!$D$24)^(S$247-1)*1*S252</f>
        <v>3.85</v>
      </c>
      <c r="T255" s="118" t="n">
        <f aca="false">T250*Inputs!$D$23*(1+Inputs!$D$24)^(T$247-1)*1*T252</f>
        <v>3.85</v>
      </c>
      <c r="U255" s="118" t="n">
        <f aca="false">U250*Inputs!$D$23*(1+Inputs!$D$24)^(U$247-1)*1*U252</f>
        <v>3.85</v>
      </c>
      <c r="V255" s="118" t="n">
        <f aca="false">V250*Inputs!$D$23*(1+Inputs!$D$24)^(V$247-1)*1*V252</f>
        <v>3.85</v>
      </c>
      <c r="W255" s="118" t="n">
        <f aca="false">W250*Inputs!$D$23*(1+Inputs!$D$24)^(W$247-1)*1*W252</f>
        <v>3.85</v>
      </c>
      <c r="X255" s="118" t="n">
        <f aca="false">X250*Inputs!$D$23*(1+Inputs!$D$24)^(X$247-1)*1*X252</f>
        <v>3.85</v>
      </c>
      <c r="Y255" s="118" t="n">
        <f aca="false">Y250*Inputs!$D$23*(1+Inputs!$D$24)^(Y$247-1)*1*Y252</f>
        <v>3.85</v>
      </c>
      <c r="Z255" s="118" t="n">
        <f aca="false">Z250*Inputs!$D$23*(1+Inputs!$D$24)^(Z$247-1)*1*Z252</f>
        <v>3.85</v>
      </c>
      <c r="AA255" s="118" t="n">
        <f aca="false">AA250*Inputs!$D$23*(1+Inputs!$D$24)^(AA$247-1)*1*AA252</f>
        <v>4.235</v>
      </c>
      <c r="AB255" s="118" t="n">
        <f aca="false">AB250*Inputs!$D$23*(1+Inputs!$D$24)^(AB$247-1)*1*AB252</f>
        <v>4.235</v>
      </c>
      <c r="AC255" s="118" t="n">
        <f aca="false">AC250*Inputs!$D$23*(1+Inputs!$D$24)^(AC$247-1)*1*AC252</f>
        <v>4.235</v>
      </c>
      <c r="AD255" s="118" t="n">
        <f aca="false">AD250*Inputs!$D$23*(1+Inputs!$D$24)^(AD$247-1)*1*AD252</f>
        <v>4.235</v>
      </c>
      <c r="AE255" s="118" t="n">
        <f aca="false">AE250*Inputs!$D$23*(1+Inputs!$D$24)^(AE$247-1)*1*AE252</f>
        <v>4.235</v>
      </c>
      <c r="AF255" s="118" t="n">
        <f aca="false">AF250*Inputs!$D$23*(1+Inputs!$D$24)^(AF$247-1)*1*AF252</f>
        <v>4.235</v>
      </c>
      <c r="AG255" s="118" t="n">
        <f aca="false">AG250*Inputs!$D$23*(1+Inputs!$D$24)^(AG$247-1)*1*AG252</f>
        <v>4.235</v>
      </c>
      <c r="AH255" s="118" t="n">
        <f aca="false">AH250*Inputs!$D$23*(1+Inputs!$D$24)^(AH$247-1)*1*AH252</f>
        <v>4.235</v>
      </c>
      <c r="AI255" s="118" t="n">
        <f aca="false">AI250*Inputs!$D$23*(1+Inputs!$D$24)^(AI$247-1)*1*AI252</f>
        <v>4.235</v>
      </c>
      <c r="AJ255" s="118" t="n">
        <f aca="false">AJ250*Inputs!$D$23*(1+Inputs!$D$24)^(AJ$247-1)*1*AJ252</f>
        <v>4.235</v>
      </c>
      <c r="AK255" s="118" t="n">
        <f aca="false">AK250*Inputs!$D$23*(1+Inputs!$D$24)^(AK$247-1)*1*AK252</f>
        <v>4.235</v>
      </c>
      <c r="AL255" s="118" t="n">
        <f aca="false">AL250*Inputs!$D$23*(1+Inputs!$D$24)^(AL$247-1)*1*AL252</f>
        <v>4.235</v>
      </c>
    </row>
    <row r="256" customFormat="false" ht="15" hidden="false" customHeight="false" outlineLevel="0" collapsed="false">
      <c r="A256" s="4" t="s">
        <v>392</v>
      </c>
      <c r="C256" s="119" t="n">
        <f aca="false">C254+C255</f>
        <v>17.3</v>
      </c>
      <c r="D256" s="119" t="n">
        <f aca="false">D254+D255</f>
        <v>17.65</v>
      </c>
      <c r="E256" s="119" t="n">
        <f aca="false">E254+E255</f>
        <v>23.0666666666667</v>
      </c>
      <c r="F256" s="119" t="n">
        <f aca="false">F254+F255</f>
        <v>23.4166666666667</v>
      </c>
      <c r="G256" s="119" t="n">
        <f aca="false">G254+G255</f>
        <v>23.7666666666667</v>
      </c>
      <c r="H256" s="119" t="n">
        <f aca="false">H254+H255</f>
        <v>23.7666666666667</v>
      </c>
      <c r="I256" s="119" t="n">
        <f aca="false">I254+I255</f>
        <v>23.7666666666667</v>
      </c>
      <c r="J256" s="119" t="n">
        <f aca="false">J254+J255</f>
        <v>23.7666666666667</v>
      </c>
      <c r="K256" s="119" t="n">
        <f aca="false">K254+K255</f>
        <v>23.7666666666667</v>
      </c>
      <c r="L256" s="119" t="n">
        <f aca="false">L254+L255</f>
        <v>23.7666666666667</v>
      </c>
      <c r="M256" s="119" t="n">
        <f aca="false">M254+M255</f>
        <v>23.7666666666667</v>
      </c>
      <c r="N256" s="119" t="n">
        <f aca="false">N254+N255</f>
        <v>18.7</v>
      </c>
      <c r="O256" s="119" t="n">
        <f aca="false">O254+O255</f>
        <v>19.05</v>
      </c>
      <c r="P256" s="119" t="n">
        <f aca="false">P254+P255</f>
        <v>19.05</v>
      </c>
      <c r="Q256" s="119" t="n">
        <f aca="false">Q254+Q255</f>
        <v>24.1166666666667</v>
      </c>
      <c r="R256" s="119" t="n">
        <f aca="false">R254+R255</f>
        <v>24.1166666666667</v>
      </c>
      <c r="S256" s="119" t="n">
        <f aca="false">S254+S255</f>
        <v>24.1166666666667</v>
      </c>
      <c r="T256" s="119" t="n">
        <f aca="false">T254+T255</f>
        <v>24.1166666666667</v>
      </c>
      <c r="U256" s="119" t="n">
        <f aca="false">U254+U255</f>
        <v>24.1166666666667</v>
      </c>
      <c r="V256" s="119" t="n">
        <f aca="false">V254+V255</f>
        <v>24.1166666666667</v>
      </c>
      <c r="W256" s="119" t="n">
        <f aca="false">W254+W255</f>
        <v>24.1166666666667</v>
      </c>
      <c r="X256" s="119" t="n">
        <f aca="false">X254+X255</f>
        <v>24.1166666666667</v>
      </c>
      <c r="Y256" s="119" t="n">
        <f aca="false">Y254+Y255</f>
        <v>24.1166666666667</v>
      </c>
      <c r="Z256" s="119" t="n">
        <f aca="false">Z254+Z255</f>
        <v>19.05</v>
      </c>
      <c r="AA256" s="119" t="n">
        <f aca="false">AA254+AA255</f>
        <v>19.435</v>
      </c>
      <c r="AB256" s="119" t="n">
        <f aca="false">AB254+AB255</f>
        <v>19.435</v>
      </c>
      <c r="AC256" s="119" t="n">
        <f aca="false">AC254+AC255</f>
        <v>24.5016666666667</v>
      </c>
      <c r="AD256" s="119" t="n">
        <f aca="false">AD254+AD255</f>
        <v>24.5016666666667</v>
      </c>
      <c r="AE256" s="119" t="n">
        <f aca="false">AE254+AE255</f>
        <v>24.5016666666667</v>
      </c>
      <c r="AF256" s="119" t="n">
        <f aca="false">AF254+AF255</f>
        <v>24.5016666666667</v>
      </c>
      <c r="AG256" s="119" t="n">
        <f aca="false">AG254+AG255</f>
        <v>24.5016666666667</v>
      </c>
      <c r="AH256" s="119" t="n">
        <f aca="false">AH254+AH255</f>
        <v>24.5016666666667</v>
      </c>
      <c r="AI256" s="119" t="n">
        <f aca="false">AI254+AI255</f>
        <v>24.5016666666667</v>
      </c>
      <c r="AJ256" s="119" t="n">
        <f aca="false">AJ254+AJ255</f>
        <v>24.5016666666667</v>
      </c>
      <c r="AK256" s="119" t="n">
        <f aca="false">AK254+AK255</f>
        <v>24.5016666666667</v>
      </c>
      <c r="AL256" s="119" t="n">
        <f aca="false">AL254+AL255</f>
        <v>19.435</v>
      </c>
    </row>
    <row r="257" customFormat="false" ht="15" hidden="false" customHeight="false" outlineLevel="0" collapsed="false">
      <c r="A257" s="6" t="s">
        <v>393</v>
      </c>
      <c r="C257" s="116" t="n">
        <f aca="false">C254*Inputs!$D$17*(1+Inputs!$D$18)^(C$247-1)*C252</f>
        <v>893.76</v>
      </c>
      <c r="D257" s="116" t="n">
        <f aca="false">D254*Inputs!$D$17*(1+Inputs!$D$18)^(D$247-1)*D252</f>
        <v>1042.72</v>
      </c>
      <c r="E257" s="116" t="n">
        <f aca="false">E254*Inputs!$D$17*(1+Inputs!$D$18)^(E$247-1)*E252</f>
        <v>1588.90666666667</v>
      </c>
      <c r="F257" s="116" t="n">
        <f aca="false">F254*Inputs!$D$17*(1+Inputs!$D$18)^(F$247-1)*F252</f>
        <v>1787.52</v>
      </c>
      <c r="G257" s="116" t="n">
        <f aca="false">G254*Inputs!$D$17*(1+Inputs!$D$18)^(G$247-1)*G252</f>
        <v>1986.13333333333</v>
      </c>
      <c r="H257" s="116" t="n">
        <f aca="false">H254*Inputs!$D$17*(1+Inputs!$D$18)^(H$247-1)*H252</f>
        <v>1986.13333333333</v>
      </c>
      <c r="I257" s="116" t="n">
        <f aca="false">I254*Inputs!$D$17*(1+Inputs!$D$18)^(I$247-1)*I252</f>
        <v>1986.13333333333</v>
      </c>
      <c r="J257" s="116" t="n">
        <f aca="false">J254*Inputs!$D$17*(1+Inputs!$D$18)^(J$247-1)*J252</f>
        <v>1986.13333333333</v>
      </c>
      <c r="K257" s="116" t="n">
        <f aca="false">K254*Inputs!$D$17*(1+Inputs!$D$18)^(K$247-1)*K252</f>
        <v>1986.13333333333</v>
      </c>
      <c r="L257" s="116" t="n">
        <f aca="false">L254*Inputs!$D$17*(1+Inputs!$D$18)^(L$247-1)*L252</f>
        <v>1986.13333333333</v>
      </c>
      <c r="M257" s="116" t="n">
        <f aca="false">M254*Inputs!$D$17*(1+Inputs!$D$18)^(M$247-1)*M252</f>
        <v>1986.13333333333</v>
      </c>
      <c r="N257" s="116" t="n">
        <f aca="false">N254*Inputs!$D$17*(1+Inputs!$D$18)^(N$247-1)*N252</f>
        <v>1489.6</v>
      </c>
      <c r="O257" s="116" t="n">
        <f aca="false">O254*Inputs!$D$17*(1+Inputs!$D$18)^(O$247-1)*O252</f>
        <v>1564.08</v>
      </c>
      <c r="P257" s="116" t="n">
        <f aca="false">P254*Inputs!$D$17*(1+Inputs!$D$18)^(P$247-1)*P252</f>
        <v>1564.08</v>
      </c>
      <c r="Q257" s="116" t="n">
        <f aca="false">Q254*Inputs!$D$17*(1+Inputs!$D$18)^(Q$247-1)*Q252</f>
        <v>2085.44</v>
      </c>
      <c r="R257" s="116" t="n">
        <f aca="false">R254*Inputs!$D$17*(1+Inputs!$D$18)^(R$247-1)*R252</f>
        <v>2085.44</v>
      </c>
      <c r="S257" s="116" t="n">
        <f aca="false">S254*Inputs!$D$17*(1+Inputs!$D$18)^(S$247-1)*S252</f>
        <v>2085.44</v>
      </c>
      <c r="T257" s="116" t="n">
        <f aca="false">T254*Inputs!$D$17*(1+Inputs!$D$18)^(T$247-1)*T252</f>
        <v>2085.44</v>
      </c>
      <c r="U257" s="116" t="n">
        <f aca="false">U254*Inputs!$D$17*(1+Inputs!$D$18)^(U$247-1)*U252</f>
        <v>2085.44</v>
      </c>
      <c r="V257" s="116" t="n">
        <f aca="false">V254*Inputs!$D$17*(1+Inputs!$D$18)^(V$247-1)*V252</f>
        <v>2085.44</v>
      </c>
      <c r="W257" s="116" t="n">
        <f aca="false">W254*Inputs!$D$17*(1+Inputs!$D$18)^(W$247-1)*W252</f>
        <v>2085.44</v>
      </c>
      <c r="X257" s="116" t="n">
        <f aca="false">X254*Inputs!$D$17*(1+Inputs!$D$18)^(X$247-1)*X252</f>
        <v>2085.44</v>
      </c>
      <c r="Y257" s="116" t="n">
        <f aca="false">Y254*Inputs!$D$17*(1+Inputs!$D$18)^(Y$247-1)*Y252</f>
        <v>2085.44</v>
      </c>
      <c r="Z257" s="116" t="n">
        <f aca="false">Z254*Inputs!$D$17*(1+Inputs!$D$18)^(Z$247-1)*Z252</f>
        <v>1564.08</v>
      </c>
      <c r="AA257" s="116" t="n">
        <f aca="false">AA254*Inputs!$D$17*(1+Inputs!$D$18)^(AA$247-1)*AA252</f>
        <v>1642.284</v>
      </c>
      <c r="AB257" s="116" t="n">
        <f aca="false">AB254*Inputs!$D$17*(1+Inputs!$D$18)^(AB$247-1)*AB252</f>
        <v>1642.284</v>
      </c>
      <c r="AC257" s="116" t="n">
        <f aca="false">AC254*Inputs!$D$17*(1+Inputs!$D$18)^(AC$247-1)*AC252</f>
        <v>2189.712</v>
      </c>
      <c r="AD257" s="116" t="n">
        <f aca="false">AD254*Inputs!$D$17*(1+Inputs!$D$18)^(AD$247-1)*AD252</f>
        <v>2189.712</v>
      </c>
      <c r="AE257" s="116" t="n">
        <f aca="false">AE254*Inputs!$D$17*(1+Inputs!$D$18)^(AE$247-1)*AE252</f>
        <v>2189.712</v>
      </c>
      <c r="AF257" s="116" t="n">
        <f aca="false">AF254*Inputs!$D$17*(1+Inputs!$D$18)^(AF$247-1)*AF252</f>
        <v>2189.712</v>
      </c>
      <c r="AG257" s="116" t="n">
        <f aca="false">AG254*Inputs!$D$17*(1+Inputs!$D$18)^(AG$247-1)*AG252</f>
        <v>2189.712</v>
      </c>
      <c r="AH257" s="116" t="n">
        <f aca="false">AH254*Inputs!$D$17*(1+Inputs!$D$18)^(AH$247-1)*AH252</f>
        <v>2189.712</v>
      </c>
      <c r="AI257" s="116" t="n">
        <f aca="false">AI254*Inputs!$D$17*(1+Inputs!$D$18)^(AI$247-1)*AI252</f>
        <v>2189.712</v>
      </c>
      <c r="AJ257" s="116" t="n">
        <f aca="false">AJ254*Inputs!$D$17*(1+Inputs!$D$18)^(AJ$247-1)*AJ252</f>
        <v>2189.712</v>
      </c>
      <c r="AK257" s="116" t="n">
        <f aca="false">AK254*Inputs!$D$17*(1+Inputs!$D$18)^(AK$247-1)*AK252</f>
        <v>2189.712</v>
      </c>
      <c r="AL257" s="116" t="n">
        <f aca="false">AL254*Inputs!$D$17*(1+Inputs!$D$18)^(AL$247-1)*AL252</f>
        <v>1642.284</v>
      </c>
    </row>
    <row r="258" customFormat="false" ht="15" hidden="false" customHeight="false" outlineLevel="0" collapsed="false">
      <c r="A258" s="6" t="s">
        <v>394</v>
      </c>
      <c r="C258" s="116" t="n">
        <f aca="false">C255*Inputs!$D$26</f>
        <v>210</v>
      </c>
      <c r="D258" s="116" t="n">
        <f aca="false">D255*Inputs!$D$26</f>
        <v>245</v>
      </c>
      <c r="E258" s="116" t="n">
        <f aca="false">E255*Inputs!$D$26</f>
        <v>280</v>
      </c>
      <c r="F258" s="116" t="n">
        <f aca="false">F255*Inputs!$D$26</f>
        <v>315</v>
      </c>
      <c r="G258" s="116" t="n">
        <f aca="false">G255*Inputs!$D$26</f>
        <v>350</v>
      </c>
      <c r="H258" s="116" t="n">
        <f aca="false">H255*Inputs!$D$26</f>
        <v>350</v>
      </c>
      <c r="I258" s="116" t="n">
        <f aca="false">I255*Inputs!$D$26</f>
        <v>350</v>
      </c>
      <c r="J258" s="116" t="n">
        <f aca="false">J255*Inputs!$D$26</f>
        <v>350</v>
      </c>
      <c r="K258" s="116" t="n">
        <f aca="false">K255*Inputs!$D$26</f>
        <v>350</v>
      </c>
      <c r="L258" s="116" t="n">
        <f aca="false">L255*Inputs!$D$26</f>
        <v>350</v>
      </c>
      <c r="M258" s="116" t="n">
        <f aca="false">M255*Inputs!$D$26</f>
        <v>350</v>
      </c>
      <c r="N258" s="116" t="n">
        <f aca="false">N255*Inputs!$D$26</f>
        <v>350</v>
      </c>
      <c r="O258" s="116" t="n">
        <f aca="false">O255*Inputs!$D$26</f>
        <v>385</v>
      </c>
      <c r="P258" s="116" t="n">
        <f aca="false">P255*Inputs!$D$26</f>
        <v>385</v>
      </c>
      <c r="Q258" s="116" t="n">
        <f aca="false">Q255*Inputs!$D$26</f>
        <v>385</v>
      </c>
      <c r="R258" s="116" t="n">
        <f aca="false">R255*Inputs!$D$26</f>
        <v>385</v>
      </c>
      <c r="S258" s="116" t="n">
        <f aca="false">S255*Inputs!$D$26</f>
        <v>385</v>
      </c>
      <c r="T258" s="116" t="n">
        <f aca="false">T255*Inputs!$D$26</f>
        <v>385</v>
      </c>
      <c r="U258" s="116" t="n">
        <f aca="false">U255*Inputs!$D$26</f>
        <v>385</v>
      </c>
      <c r="V258" s="116" t="n">
        <f aca="false">V255*Inputs!$D$26</f>
        <v>385</v>
      </c>
      <c r="W258" s="116" t="n">
        <f aca="false">W255*Inputs!$D$26</f>
        <v>385</v>
      </c>
      <c r="X258" s="116" t="n">
        <f aca="false">X255*Inputs!$D$26</f>
        <v>385</v>
      </c>
      <c r="Y258" s="116" t="n">
        <f aca="false">Y255*Inputs!$D$26</f>
        <v>385</v>
      </c>
      <c r="Z258" s="116" t="n">
        <f aca="false">Z255*Inputs!$D$26</f>
        <v>385</v>
      </c>
      <c r="AA258" s="116" t="n">
        <f aca="false">AA255*Inputs!$D$26</f>
        <v>423.5</v>
      </c>
      <c r="AB258" s="116" t="n">
        <f aca="false">AB255*Inputs!$D$26</f>
        <v>423.5</v>
      </c>
      <c r="AC258" s="116" t="n">
        <f aca="false">AC255*Inputs!$D$26</f>
        <v>423.5</v>
      </c>
      <c r="AD258" s="116" t="n">
        <f aca="false">AD255*Inputs!$D$26</f>
        <v>423.5</v>
      </c>
      <c r="AE258" s="116" t="n">
        <f aca="false">AE255*Inputs!$D$26</f>
        <v>423.5</v>
      </c>
      <c r="AF258" s="116" t="n">
        <f aca="false">AF255*Inputs!$D$26</f>
        <v>423.5</v>
      </c>
      <c r="AG258" s="116" t="n">
        <f aca="false">AG255*Inputs!$D$26</f>
        <v>423.5</v>
      </c>
      <c r="AH258" s="116" t="n">
        <f aca="false">AH255*Inputs!$D$26</f>
        <v>423.5</v>
      </c>
      <c r="AI258" s="116" t="n">
        <f aca="false">AI255*Inputs!$D$26</f>
        <v>423.5</v>
      </c>
      <c r="AJ258" s="116" t="n">
        <f aca="false">AJ255*Inputs!$D$26</f>
        <v>423.5</v>
      </c>
      <c r="AK258" s="116" t="n">
        <f aca="false">AK255*Inputs!$D$26</f>
        <v>423.5</v>
      </c>
      <c r="AL258" s="116" t="n">
        <f aca="false">AL255*Inputs!$D$26</f>
        <v>423.5</v>
      </c>
    </row>
    <row r="259" customFormat="false" ht="15" hidden="false" customHeight="false" outlineLevel="0" collapsed="false">
      <c r="A259" s="4" t="s">
        <v>395</v>
      </c>
      <c r="C259" s="120" t="n">
        <f aca="false">C257+C258</f>
        <v>1103.76</v>
      </c>
      <c r="D259" s="120" t="n">
        <f aca="false">D257+D258</f>
        <v>1287.72</v>
      </c>
      <c r="E259" s="120" t="n">
        <f aca="false">E257+E258</f>
        <v>1868.90666666667</v>
      </c>
      <c r="F259" s="120" t="n">
        <f aca="false">F257+F258</f>
        <v>2102.52</v>
      </c>
      <c r="G259" s="120" t="n">
        <f aca="false">G257+G258</f>
        <v>2336.13333333333</v>
      </c>
      <c r="H259" s="120" t="n">
        <f aca="false">H257+H258</f>
        <v>2336.13333333333</v>
      </c>
      <c r="I259" s="120" t="n">
        <f aca="false">I257+I258</f>
        <v>2336.13333333333</v>
      </c>
      <c r="J259" s="120" t="n">
        <f aca="false">J257+J258</f>
        <v>2336.13333333333</v>
      </c>
      <c r="K259" s="120" t="n">
        <f aca="false">K257+K258</f>
        <v>2336.13333333333</v>
      </c>
      <c r="L259" s="120" t="n">
        <f aca="false">L257+L258</f>
        <v>2336.13333333333</v>
      </c>
      <c r="M259" s="120" t="n">
        <f aca="false">M257+M258</f>
        <v>2336.13333333333</v>
      </c>
      <c r="N259" s="120" t="n">
        <f aca="false">N257+N258</f>
        <v>1839.6</v>
      </c>
      <c r="O259" s="120" t="n">
        <f aca="false">O257+O258</f>
        <v>1949.08</v>
      </c>
      <c r="P259" s="120" t="n">
        <f aca="false">P257+P258</f>
        <v>1949.08</v>
      </c>
      <c r="Q259" s="120" t="n">
        <f aca="false">Q257+Q258</f>
        <v>2470.44</v>
      </c>
      <c r="R259" s="120" t="n">
        <f aca="false">R257+R258</f>
        <v>2470.44</v>
      </c>
      <c r="S259" s="120" t="n">
        <f aca="false">S257+S258</f>
        <v>2470.44</v>
      </c>
      <c r="T259" s="120" t="n">
        <f aca="false">T257+T258</f>
        <v>2470.44</v>
      </c>
      <c r="U259" s="120" t="n">
        <f aca="false">U257+U258</f>
        <v>2470.44</v>
      </c>
      <c r="V259" s="120" t="n">
        <f aca="false">V257+V258</f>
        <v>2470.44</v>
      </c>
      <c r="W259" s="120" t="n">
        <f aca="false">W257+W258</f>
        <v>2470.44</v>
      </c>
      <c r="X259" s="120" t="n">
        <f aca="false">X257+X258</f>
        <v>2470.44</v>
      </c>
      <c r="Y259" s="120" t="n">
        <f aca="false">Y257+Y258</f>
        <v>2470.44</v>
      </c>
      <c r="Z259" s="120" t="n">
        <f aca="false">Z257+Z258</f>
        <v>1949.08</v>
      </c>
      <c r="AA259" s="120" t="n">
        <f aca="false">AA257+AA258</f>
        <v>2065.784</v>
      </c>
      <c r="AB259" s="120" t="n">
        <f aca="false">AB257+AB258</f>
        <v>2065.784</v>
      </c>
      <c r="AC259" s="120" t="n">
        <f aca="false">AC257+AC258</f>
        <v>2613.212</v>
      </c>
      <c r="AD259" s="120" t="n">
        <f aca="false">AD257+AD258</f>
        <v>2613.212</v>
      </c>
      <c r="AE259" s="120" t="n">
        <f aca="false">AE257+AE258</f>
        <v>2613.212</v>
      </c>
      <c r="AF259" s="120" t="n">
        <f aca="false">AF257+AF258</f>
        <v>2613.212</v>
      </c>
      <c r="AG259" s="120" t="n">
        <f aca="false">AG257+AG258</f>
        <v>2613.212</v>
      </c>
      <c r="AH259" s="120" t="n">
        <f aca="false">AH257+AH258</f>
        <v>2613.212</v>
      </c>
      <c r="AI259" s="120" t="n">
        <f aca="false">AI257+AI258</f>
        <v>2613.212</v>
      </c>
      <c r="AJ259" s="120" t="n">
        <f aca="false">AJ257+AJ258</f>
        <v>2613.212</v>
      </c>
      <c r="AK259" s="120" t="n">
        <f aca="false">AK257+AK258</f>
        <v>2613.212</v>
      </c>
      <c r="AL259" s="120" t="n">
        <f aca="false">AL257+AL258</f>
        <v>2065.784</v>
      </c>
    </row>
    <row r="261" customFormat="false" ht="15.75" hidden="false" customHeight="true" outlineLevel="0" collapsed="false">
      <c r="A261" s="7" t="s">
        <v>44</v>
      </c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</row>
    <row r="262" customFormat="false" ht="15" hidden="false" customHeight="false" outlineLevel="0" collapsed="false">
      <c r="A262" s="6" t="s">
        <v>396</v>
      </c>
      <c r="C262" s="121" t="n">
        <f aca="false">Inputs!$D$19*(1+Inputs!$D$20)^(C$247-1)</f>
        <v>15</v>
      </c>
      <c r="D262" s="121" t="n">
        <f aca="false">Inputs!$D$19*(1+Inputs!$D$20)^(D$247-1)</f>
        <v>15</v>
      </c>
      <c r="E262" s="121" t="n">
        <f aca="false">Inputs!$D$19*(1+Inputs!$D$20)^(E$247-1)</f>
        <v>15</v>
      </c>
      <c r="F262" s="121" t="n">
        <f aca="false">Inputs!$D$19*(1+Inputs!$D$20)^(F$247-1)</f>
        <v>15</v>
      </c>
      <c r="G262" s="121" t="n">
        <f aca="false">Inputs!$D$19*(1+Inputs!$D$20)^(G$247-1)</f>
        <v>15</v>
      </c>
      <c r="H262" s="121" t="n">
        <f aca="false">Inputs!$D$19*(1+Inputs!$D$20)^(H$247-1)</f>
        <v>15</v>
      </c>
      <c r="I262" s="121" t="n">
        <f aca="false">Inputs!$D$19*(1+Inputs!$D$20)^(I$247-1)</f>
        <v>15</v>
      </c>
      <c r="J262" s="121" t="n">
        <f aca="false">Inputs!$D$19*(1+Inputs!$D$20)^(J$247-1)</f>
        <v>15</v>
      </c>
      <c r="K262" s="121" t="n">
        <f aca="false">Inputs!$D$19*(1+Inputs!$D$20)^(K$247-1)</f>
        <v>15</v>
      </c>
      <c r="L262" s="121" t="n">
        <f aca="false">Inputs!$D$19*(1+Inputs!$D$20)^(L$247-1)</f>
        <v>15</v>
      </c>
      <c r="M262" s="121" t="n">
        <f aca="false">Inputs!$D$19*(1+Inputs!$D$20)^(M$247-1)</f>
        <v>15</v>
      </c>
      <c r="N262" s="121" t="n">
        <f aca="false">Inputs!$D$19*(1+Inputs!$D$20)^(N$247-1)</f>
        <v>15</v>
      </c>
      <c r="O262" s="121" t="n">
        <f aca="false">Inputs!$D$19*(1+Inputs!$D$20)^(O$247-1)</f>
        <v>15.6</v>
      </c>
      <c r="P262" s="121" t="n">
        <f aca="false">Inputs!$D$19*(1+Inputs!$D$20)^(P$247-1)</f>
        <v>15.6</v>
      </c>
      <c r="Q262" s="121" t="n">
        <f aca="false">Inputs!$D$19*(1+Inputs!$D$20)^(Q$247-1)</f>
        <v>15.6</v>
      </c>
      <c r="R262" s="121" t="n">
        <f aca="false">Inputs!$D$19*(1+Inputs!$D$20)^(R$247-1)</f>
        <v>15.6</v>
      </c>
      <c r="S262" s="121" t="n">
        <f aca="false">Inputs!$D$19*(1+Inputs!$D$20)^(S$247-1)</f>
        <v>15.6</v>
      </c>
      <c r="T262" s="121" t="n">
        <f aca="false">Inputs!$D$19*(1+Inputs!$D$20)^(T$247-1)</f>
        <v>15.6</v>
      </c>
      <c r="U262" s="121" t="n">
        <f aca="false">Inputs!$D$19*(1+Inputs!$D$20)^(U$247-1)</f>
        <v>15.6</v>
      </c>
      <c r="V262" s="121" t="n">
        <f aca="false">Inputs!$D$19*(1+Inputs!$D$20)^(V$247-1)</f>
        <v>15.6</v>
      </c>
      <c r="W262" s="121" t="n">
        <f aca="false">Inputs!$D$19*(1+Inputs!$D$20)^(W$247-1)</f>
        <v>15.6</v>
      </c>
      <c r="X262" s="121" t="n">
        <f aca="false">Inputs!$D$19*(1+Inputs!$D$20)^(X$247-1)</f>
        <v>15.6</v>
      </c>
      <c r="Y262" s="121" t="n">
        <f aca="false">Inputs!$D$19*(1+Inputs!$D$20)^(Y$247-1)</f>
        <v>15.6</v>
      </c>
      <c r="Z262" s="121" t="n">
        <f aca="false">Inputs!$D$19*(1+Inputs!$D$20)^(Z$247-1)</f>
        <v>15.6</v>
      </c>
      <c r="AA262" s="121" t="n">
        <f aca="false">Inputs!$D$19*(1+Inputs!$D$20)^(AA$247-1)</f>
        <v>16.224</v>
      </c>
      <c r="AB262" s="121" t="n">
        <f aca="false">Inputs!$D$19*(1+Inputs!$D$20)^(AB$247-1)</f>
        <v>16.224</v>
      </c>
      <c r="AC262" s="121" t="n">
        <f aca="false">Inputs!$D$19*(1+Inputs!$D$20)^(AC$247-1)</f>
        <v>16.224</v>
      </c>
      <c r="AD262" s="121" t="n">
        <f aca="false">Inputs!$D$19*(1+Inputs!$D$20)^(AD$247-1)</f>
        <v>16.224</v>
      </c>
      <c r="AE262" s="121" t="n">
        <f aca="false">Inputs!$D$19*(1+Inputs!$D$20)^(AE$247-1)</f>
        <v>16.224</v>
      </c>
      <c r="AF262" s="121" t="n">
        <f aca="false">Inputs!$D$19*(1+Inputs!$D$20)^(AF$247-1)</f>
        <v>16.224</v>
      </c>
      <c r="AG262" s="121" t="n">
        <f aca="false">Inputs!$D$19*(1+Inputs!$D$20)^(AG$247-1)</f>
        <v>16.224</v>
      </c>
      <c r="AH262" s="121" t="n">
        <f aca="false">Inputs!$D$19*(1+Inputs!$D$20)^(AH$247-1)</f>
        <v>16.224</v>
      </c>
      <c r="AI262" s="121" t="n">
        <f aca="false">Inputs!$D$19*(1+Inputs!$D$20)^(AI$247-1)</f>
        <v>16.224</v>
      </c>
      <c r="AJ262" s="121" t="n">
        <f aca="false">Inputs!$D$19*(1+Inputs!$D$20)^(AJ$247-1)</f>
        <v>16.224</v>
      </c>
      <c r="AK262" s="121" t="n">
        <f aca="false">Inputs!$D$19*(1+Inputs!$D$20)^(AK$247-1)</f>
        <v>16.224</v>
      </c>
      <c r="AL262" s="121" t="n">
        <f aca="false">Inputs!$D$19*(1+Inputs!$D$20)^(AL$247-1)</f>
        <v>16.224</v>
      </c>
    </row>
    <row r="263" customFormat="false" ht="15" hidden="false" customHeight="false" outlineLevel="0" collapsed="false">
      <c r="A263" s="6" t="s">
        <v>397</v>
      </c>
      <c r="C263" s="67" t="n">
        <f aca="false">Inputs!$D$25*(1+Inputs!$D$20)^(C$247-1)</f>
        <v>1550</v>
      </c>
      <c r="D263" s="67" t="n">
        <f aca="false">Inputs!$D$25*(1+Inputs!$D$20)^(D$247-1)</f>
        <v>1550</v>
      </c>
      <c r="E263" s="67" t="n">
        <f aca="false">Inputs!$D$25*(1+Inputs!$D$20)^(E$247-1)</f>
        <v>1550</v>
      </c>
      <c r="F263" s="67" t="n">
        <f aca="false">Inputs!$D$25*(1+Inputs!$D$20)^(F$247-1)</f>
        <v>1550</v>
      </c>
      <c r="G263" s="67" t="n">
        <f aca="false">Inputs!$D$25*(1+Inputs!$D$20)^(G$247-1)</f>
        <v>1550</v>
      </c>
      <c r="H263" s="67" t="n">
        <f aca="false">Inputs!$D$25*(1+Inputs!$D$20)^(H$247-1)</f>
        <v>1550</v>
      </c>
      <c r="I263" s="67" t="n">
        <f aca="false">Inputs!$D$25*(1+Inputs!$D$20)^(I$247-1)</f>
        <v>1550</v>
      </c>
      <c r="J263" s="67" t="n">
        <f aca="false">Inputs!$D$25*(1+Inputs!$D$20)^(J$247-1)</f>
        <v>1550</v>
      </c>
      <c r="K263" s="67" t="n">
        <f aca="false">Inputs!$D$25*(1+Inputs!$D$20)^(K$247-1)</f>
        <v>1550</v>
      </c>
      <c r="L263" s="67" t="n">
        <f aca="false">Inputs!$D$25*(1+Inputs!$D$20)^(L$247-1)</f>
        <v>1550</v>
      </c>
      <c r="M263" s="67" t="n">
        <f aca="false">Inputs!$D$25*(1+Inputs!$D$20)^(M$247-1)</f>
        <v>1550</v>
      </c>
      <c r="N263" s="67" t="n">
        <f aca="false">Inputs!$D$25*(1+Inputs!$D$20)^(N$247-1)</f>
        <v>1550</v>
      </c>
      <c r="O263" s="67" t="n">
        <f aca="false">Inputs!$D$25*(1+Inputs!$D$20)^(O$247-1)</f>
        <v>1612</v>
      </c>
      <c r="P263" s="67" t="n">
        <f aca="false">Inputs!$D$25*(1+Inputs!$D$20)^(P$247-1)</f>
        <v>1612</v>
      </c>
      <c r="Q263" s="67" t="n">
        <f aca="false">Inputs!$D$25*(1+Inputs!$D$20)^(Q$247-1)</f>
        <v>1612</v>
      </c>
      <c r="R263" s="67" t="n">
        <f aca="false">Inputs!$D$25*(1+Inputs!$D$20)^(R$247-1)</f>
        <v>1612</v>
      </c>
      <c r="S263" s="67" t="n">
        <f aca="false">Inputs!$D$25*(1+Inputs!$D$20)^(S$247-1)</f>
        <v>1612</v>
      </c>
      <c r="T263" s="67" t="n">
        <f aca="false">Inputs!$D$25*(1+Inputs!$D$20)^(T$247-1)</f>
        <v>1612</v>
      </c>
      <c r="U263" s="67" t="n">
        <f aca="false">Inputs!$D$25*(1+Inputs!$D$20)^(U$247-1)</f>
        <v>1612</v>
      </c>
      <c r="V263" s="67" t="n">
        <f aca="false">Inputs!$D$25*(1+Inputs!$D$20)^(V$247-1)</f>
        <v>1612</v>
      </c>
      <c r="W263" s="67" t="n">
        <f aca="false">Inputs!$D$25*(1+Inputs!$D$20)^(W$247-1)</f>
        <v>1612</v>
      </c>
      <c r="X263" s="67" t="n">
        <f aca="false">Inputs!$D$25*(1+Inputs!$D$20)^(X$247-1)</f>
        <v>1612</v>
      </c>
      <c r="Y263" s="67" t="n">
        <f aca="false">Inputs!$D$25*(1+Inputs!$D$20)^(Y$247-1)</f>
        <v>1612</v>
      </c>
      <c r="Z263" s="67" t="n">
        <f aca="false">Inputs!$D$25*(1+Inputs!$D$20)^(Z$247-1)</f>
        <v>1612</v>
      </c>
      <c r="AA263" s="67" t="n">
        <f aca="false">Inputs!$D$25*(1+Inputs!$D$20)^(AA$247-1)</f>
        <v>1676.48</v>
      </c>
      <c r="AB263" s="67" t="n">
        <f aca="false">Inputs!$D$25*(1+Inputs!$D$20)^(AB$247-1)</f>
        <v>1676.48</v>
      </c>
      <c r="AC263" s="67" t="n">
        <f aca="false">Inputs!$D$25*(1+Inputs!$D$20)^(AC$247-1)</f>
        <v>1676.48</v>
      </c>
      <c r="AD263" s="67" t="n">
        <f aca="false">Inputs!$D$25*(1+Inputs!$D$20)^(AD$247-1)</f>
        <v>1676.48</v>
      </c>
      <c r="AE263" s="67" t="n">
        <f aca="false">Inputs!$D$25*(1+Inputs!$D$20)^(AE$247-1)</f>
        <v>1676.48</v>
      </c>
      <c r="AF263" s="67" t="n">
        <f aca="false">Inputs!$D$25*(1+Inputs!$D$20)^(AF$247-1)</f>
        <v>1676.48</v>
      </c>
      <c r="AG263" s="67" t="n">
        <f aca="false">Inputs!$D$25*(1+Inputs!$D$20)^(AG$247-1)</f>
        <v>1676.48</v>
      </c>
      <c r="AH263" s="67" t="n">
        <f aca="false">Inputs!$D$25*(1+Inputs!$D$20)^(AH$247-1)</f>
        <v>1676.48</v>
      </c>
      <c r="AI263" s="67" t="n">
        <f aca="false">Inputs!$D$25*(1+Inputs!$D$20)^(AI$247-1)</f>
        <v>1676.48</v>
      </c>
      <c r="AJ263" s="67" t="n">
        <f aca="false">Inputs!$D$25*(1+Inputs!$D$20)^(AJ$247-1)</f>
        <v>1676.48</v>
      </c>
      <c r="AK263" s="67" t="n">
        <f aca="false">Inputs!$D$25*(1+Inputs!$D$20)^(AK$247-1)</f>
        <v>1676.48</v>
      </c>
      <c r="AL263" s="67" t="n">
        <f aca="false">Inputs!$D$25*(1+Inputs!$D$20)^(AL$247-1)</f>
        <v>1676.48</v>
      </c>
    </row>
    <row r="264" customFormat="false" ht="15" hidden="false" customHeight="false" outlineLevel="0" collapsed="false">
      <c r="A264" s="6" t="s">
        <v>234</v>
      </c>
      <c r="C264" s="67" t="n">
        <f aca="false">C257*C262</f>
        <v>13406.4</v>
      </c>
      <c r="D264" s="67" t="n">
        <f aca="false">D257*D262</f>
        <v>15640.8</v>
      </c>
      <c r="E264" s="67" t="n">
        <f aca="false">E257*E262</f>
        <v>23833.6</v>
      </c>
      <c r="F264" s="67" t="n">
        <f aca="false">F257*F262</f>
        <v>26812.8</v>
      </c>
      <c r="G264" s="67" t="n">
        <f aca="false">G257*G262</f>
        <v>29792</v>
      </c>
      <c r="H264" s="67" t="n">
        <f aca="false">H257*H262</f>
        <v>29792</v>
      </c>
      <c r="I264" s="67" t="n">
        <f aca="false">I257*I262</f>
        <v>29792</v>
      </c>
      <c r="J264" s="67" t="n">
        <f aca="false">J257*J262</f>
        <v>29792</v>
      </c>
      <c r="K264" s="67" t="n">
        <f aca="false">K257*K262</f>
        <v>29792</v>
      </c>
      <c r="L264" s="67" t="n">
        <f aca="false">L257*L262</f>
        <v>29792</v>
      </c>
      <c r="M264" s="67" t="n">
        <f aca="false">M257*M262</f>
        <v>29792</v>
      </c>
      <c r="N264" s="67" t="n">
        <f aca="false">N257*N262</f>
        <v>22344</v>
      </c>
      <c r="O264" s="67" t="n">
        <f aca="false">O257*O262</f>
        <v>24399.648</v>
      </c>
      <c r="P264" s="67" t="n">
        <f aca="false">P257*P262</f>
        <v>24399.648</v>
      </c>
      <c r="Q264" s="67" t="n">
        <f aca="false">Q257*Q262</f>
        <v>32532.864</v>
      </c>
      <c r="R264" s="67" t="n">
        <f aca="false">R257*R262</f>
        <v>32532.864</v>
      </c>
      <c r="S264" s="67" t="n">
        <f aca="false">S257*S262</f>
        <v>32532.864</v>
      </c>
      <c r="T264" s="67" t="n">
        <f aca="false">T257*T262</f>
        <v>32532.864</v>
      </c>
      <c r="U264" s="67" t="n">
        <f aca="false">U257*U262</f>
        <v>32532.864</v>
      </c>
      <c r="V264" s="67" t="n">
        <f aca="false">V257*V262</f>
        <v>32532.864</v>
      </c>
      <c r="W264" s="67" t="n">
        <f aca="false">W257*W262</f>
        <v>32532.864</v>
      </c>
      <c r="X264" s="67" t="n">
        <f aca="false">X257*X262</f>
        <v>32532.864</v>
      </c>
      <c r="Y264" s="67" t="n">
        <f aca="false">Y257*Y262</f>
        <v>32532.864</v>
      </c>
      <c r="Z264" s="67" t="n">
        <f aca="false">Z257*Z262</f>
        <v>24399.648</v>
      </c>
      <c r="AA264" s="67" t="n">
        <f aca="false">AA257*AA262</f>
        <v>26644.415616</v>
      </c>
      <c r="AB264" s="67" t="n">
        <f aca="false">AB257*AB262</f>
        <v>26644.415616</v>
      </c>
      <c r="AC264" s="67" t="n">
        <f aca="false">AC257*AC262</f>
        <v>35525.887488</v>
      </c>
      <c r="AD264" s="67" t="n">
        <f aca="false">AD257*AD262</f>
        <v>35525.887488</v>
      </c>
      <c r="AE264" s="67" t="n">
        <f aca="false">AE257*AE262</f>
        <v>35525.887488</v>
      </c>
      <c r="AF264" s="67" t="n">
        <f aca="false">AF257*AF262</f>
        <v>35525.887488</v>
      </c>
      <c r="AG264" s="67" t="n">
        <f aca="false">AG257*AG262</f>
        <v>35525.887488</v>
      </c>
      <c r="AH264" s="67" t="n">
        <f aca="false">AH257*AH262</f>
        <v>35525.887488</v>
      </c>
      <c r="AI264" s="67" t="n">
        <f aca="false">AI257*AI262</f>
        <v>35525.887488</v>
      </c>
      <c r="AJ264" s="67" t="n">
        <f aca="false">AJ257*AJ262</f>
        <v>35525.887488</v>
      </c>
      <c r="AK264" s="67" t="n">
        <f aca="false">AK257*AK262</f>
        <v>35525.887488</v>
      </c>
      <c r="AL264" s="67" t="n">
        <f aca="false">AL257*AL262</f>
        <v>26644.415616</v>
      </c>
    </row>
    <row r="265" customFormat="false" ht="15" hidden="false" customHeight="false" outlineLevel="0" collapsed="false">
      <c r="A265" s="6" t="s">
        <v>235</v>
      </c>
      <c r="C265" s="67" t="n">
        <f aca="false">C255*C263</f>
        <v>3255</v>
      </c>
      <c r="D265" s="67" t="n">
        <f aca="false">D255*D263</f>
        <v>3797.5</v>
      </c>
      <c r="E265" s="67" t="n">
        <f aca="false">E255*E263</f>
        <v>4340</v>
      </c>
      <c r="F265" s="67" t="n">
        <f aca="false">F255*F263</f>
        <v>4882.5</v>
      </c>
      <c r="G265" s="67" t="n">
        <f aca="false">G255*G263</f>
        <v>5425</v>
      </c>
      <c r="H265" s="67" t="n">
        <f aca="false">H255*H263</f>
        <v>5425</v>
      </c>
      <c r="I265" s="67" t="n">
        <f aca="false">I255*I263</f>
        <v>5425</v>
      </c>
      <c r="J265" s="67" t="n">
        <f aca="false">J255*J263</f>
        <v>5425</v>
      </c>
      <c r="K265" s="67" t="n">
        <f aca="false">K255*K263</f>
        <v>5425</v>
      </c>
      <c r="L265" s="67" t="n">
        <f aca="false">L255*L263</f>
        <v>5425</v>
      </c>
      <c r="M265" s="67" t="n">
        <f aca="false">M255*M263</f>
        <v>5425</v>
      </c>
      <c r="N265" s="67" t="n">
        <f aca="false">N255*N263</f>
        <v>5425</v>
      </c>
      <c r="O265" s="67" t="n">
        <f aca="false">O255*O263</f>
        <v>6206.2</v>
      </c>
      <c r="P265" s="67" t="n">
        <f aca="false">P255*P263</f>
        <v>6206.2</v>
      </c>
      <c r="Q265" s="67" t="n">
        <f aca="false">Q255*Q263</f>
        <v>6206.2</v>
      </c>
      <c r="R265" s="67" t="n">
        <f aca="false">R255*R263</f>
        <v>6206.2</v>
      </c>
      <c r="S265" s="67" t="n">
        <f aca="false">S255*S263</f>
        <v>6206.2</v>
      </c>
      <c r="T265" s="67" t="n">
        <f aca="false">T255*T263</f>
        <v>6206.2</v>
      </c>
      <c r="U265" s="67" t="n">
        <f aca="false">U255*U263</f>
        <v>6206.2</v>
      </c>
      <c r="V265" s="67" t="n">
        <f aca="false">V255*V263</f>
        <v>6206.2</v>
      </c>
      <c r="W265" s="67" t="n">
        <f aca="false">W255*W263</f>
        <v>6206.2</v>
      </c>
      <c r="X265" s="67" t="n">
        <f aca="false">X255*X263</f>
        <v>6206.2</v>
      </c>
      <c r="Y265" s="67" t="n">
        <f aca="false">Y255*Y263</f>
        <v>6206.2</v>
      </c>
      <c r="Z265" s="67" t="n">
        <f aca="false">Z255*Z263</f>
        <v>6206.2</v>
      </c>
      <c r="AA265" s="67" t="n">
        <f aca="false">AA255*AA263</f>
        <v>7099.8928</v>
      </c>
      <c r="AB265" s="67" t="n">
        <f aca="false">AB255*AB263</f>
        <v>7099.8928</v>
      </c>
      <c r="AC265" s="67" t="n">
        <f aca="false">AC255*AC263</f>
        <v>7099.8928</v>
      </c>
      <c r="AD265" s="67" t="n">
        <f aca="false">AD255*AD263</f>
        <v>7099.8928</v>
      </c>
      <c r="AE265" s="67" t="n">
        <f aca="false">AE255*AE263</f>
        <v>7099.8928</v>
      </c>
      <c r="AF265" s="67" t="n">
        <f aca="false">AF255*AF263</f>
        <v>7099.8928</v>
      </c>
      <c r="AG265" s="67" t="n">
        <f aca="false">AG255*AG263</f>
        <v>7099.8928</v>
      </c>
      <c r="AH265" s="67" t="n">
        <f aca="false">AH255*AH263</f>
        <v>7099.8928</v>
      </c>
      <c r="AI265" s="67" t="n">
        <f aca="false">AI255*AI263</f>
        <v>7099.8928</v>
      </c>
      <c r="AJ265" s="67" t="n">
        <f aca="false">AJ255*AJ263</f>
        <v>7099.8928</v>
      </c>
      <c r="AK265" s="67" t="n">
        <f aca="false">AK255*AK263</f>
        <v>7099.8928</v>
      </c>
      <c r="AL265" s="67" t="n">
        <f aca="false">AL255*AL263</f>
        <v>7099.8928</v>
      </c>
    </row>
    <row r="266" customFormat="false" ht="15" hidden="false" customHeight="false" outlineLevel="0" collapsed="false">
      <c r="A266" s="113" t="s">
        <v>44</v>
      </c>
      <c r="C266" s="68" t="n">
        <f aca="false">C264+C265</f>
        <v>16661.4</v>
      </c>
      <c r="D266" s="68" t="n">
        <f aca="false">D264+D265</f>
        <v>19438.3</v>
      </c>
      <c r="E266" s="68" t="n">
        <f aca="false">E264+E265</f>
        <v>28173.6</v>
      </c>
      <c r="F266" s="68" t="n">
        <f aca="false">F264+F265</f>
        <v>31695.3</v>
      </c>
      <c r="G266" s="68" t="n">
        <f aca="false">G264+G265</f>
        <v>35217</v>
      </c>
      <c r="H266" s="68" t="n">
        <f aca="false">H264+H265</f>
        <v>35217</v>
      </c>
      <c r="I266" s="68" t="n">
        <f aca="false">I264+I265</f>
        <v>35217</v>
      </c>
      <c r="J266" s="68" t="n">
        <f aca="false">J264+J265</f>
        <v>35217</v>
      </c>
      <c r="K266" s="68" t="n">
        <f aca="false">K264+K265</f>
        <v>35217</v>
      </c>
      <c r="L266" s="68" t="n">
        <f aca="false">L264+L265</f>
        <v>35217</v>
      </c>
      <c r="M266" s="68" t="n">
        <f aca="false">M264+M265</f>
        <v>35217</v>
      </c>
      <c r="N266" s="68" t="n">
        <f aca="false">N264+N265</f>
        <v>27769</v>
      </c>
      <c r="O266" s="68" t="n">
        <f aca="false">O264+O265</f>
        <v>30605.848</v>
      </c>
      <c r="P266" s="68" t="n">
        <f aca="false">P264+P265</f>
        <v>30605.848</v>
      </c>
      <c r="Q266" s="68" t="n">
        <f aca="false">Q264+Q265</f>
        <v>38739.064</v>
      </c>
      <c r="R266" s="68" t="n">
        <f aca="false">R264+R265</f>
        <v>38739.064</v>
      </c>
      <c r="S266" s="68" t="n">
        <f aca="false">S264+S265</f>
        <v>38739.064</v>
      </c>
      <c r="T266" s="68" t="n">
        <f aca="false">T264+T265</f>
        <v>38739.064</v>
      </c>
      <c r="U266" s="68" t="n">
        <f aca="false">U264+U265</f>
        <v>38739.064</v>
      </c>
      <c r="V266" s="68" t="n">
        <f aca="false">V264+V265</f>
        <v>38739.064</v>
      </c>
      <c r="W266" s="68" t="n">
        <f aca="false">W264+W265</f>
        <v>38739.064</v>
      </c>
      <c r="X266" s="68" t="n">
        <f aca="false">X264+X265</f>
        <v>38739.064</v>
      </c>
      <c r="Y266" s="68" t="n">
        <f aca="false">Y264+Y265</f>
        <v>38739.064</v>
      </c>
      <c r="Z266" s="68" t="n">
        <f aca="false">Z264+Z265</f>
        <v>30605.848</v>
      </c>
      <c r="AA266" s="68" t="n">
        <f aca="false">AA264+AA265</f>
        <v>33744.308416</v>
      </c>
      <c r="AB266" s="68" t="n">
        <f aca="false">AB264+AB265</f>
        <v>33744.308416</v>
      </c>
      <c r="AC266" s="68" t="n">
        <f aca="false">AC264+AC265</f>
        <v>42625.780288</v>
      </c>
      <c r="AD266" s="68" t="n">
        <f aca="false">AD264+AD265</f>
        <v>42625.780288</v>
      </c>
      <c r="AE266" s="68" t="n">
        <f aca="false">AE264+AE265</f>
        <v>42625.780288</v>
      </c>
      <c r="AF266" s="68" t="n">
        <f aca="false">AF264+AF265</f>
        <v>42625.780288</v>
      </c>
      <c r="AG266" s="68" t="n">
        <f aca="false">AG264+AG265</f>
        <v>42625.780288</v>
      </c>
      <c r="AH266" s="68" t="n">
        <f aca="false">AH264+AH265</f>
        <v>42625.780288</v>
      </c>
      <c r="AI266" s="68" t="n">
        <f aca="false">AI264+AI265</f>
        <v>42625.780288</v>
      </c>
      <c r="AJ266" s="68" t="n">
        <f aca="false">AJ264+AJ265</f>
        <v>42625.780288</v>
      </c>
      <c r="AK266" s="68" t="n">
        <f aca="false">AK264+AK265</f>
        <v>42625.780288</v>
      </c>
      <c r="AL266" s="68" t="n">
        <f aca="false">AL264+AL265</f>
        <v>33744.308416</v>
      </c>
    </row>
    <row r="268" customFormat="false" ht="15.75" hidden="false" customHeight="true" outlineLevel="0" collapsed="false">
      <c r="A268" s="7" t="s">
        <v>76</v>
      </c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</row>
    <row r="269" customFormat="false" ht="15" hidden="false" customHeight="false" outlineLevel="0" collapsed="false">
      <c r="A269" s="6" t="s">
        <v>398</v>
      </c>
      <c r="C269" s="67" t="n">
        <f aca="false">-C266*Inputs!$D$29</f>
        <v>-5248.341</v>
      </c>
      <c r="D269" s="67" t="n">
        <f aca="false">-D266*Inputs!$D$29</f>
        <v>-6123.0645</v>
      </c>
      <c r="E269" s="67" t="n">
        <f aca="false">-E266*Inputs!$D$29</f>
        <v>-8874.684</v>
      </c>
      <c r="F269" s="67" t="n">
        <f aca="false">-F266*Inputs!$D$29</f>
        <v>-9984.0195</v>
      </c>
      <c r="G269" s="67" t="n">
        <f aca="false">-G266*Inputs!$D$29</f>
        <v>-11093.355</v>
      </c>
      <c r="H269" s="67" t="n">
        <f aca="false">-H266*Inputs!$D$29</f>
        <v>-11093.355</v>
      </c>
      <c r="I269" s="67" t="n">
        <f aca="false">-I266*Inputs!$D$29</f>
        <v>-11093.355</v>
      </c>
      <c r="J269" s="67" t="n">
        <f aca="false">-J266*Inputs!$D$29</f>
        <v>-11093.355</v>
      </c>
      <c r="K269" s="67" t="n">
        <f aca="false">-K266*Inputs!$D$29</f>
        <v>-11093.355</v>
      </c>
      <c r="L269" s="67" t="n">
        <f aca="false">-L266*Inputs!$D$29</f>
        <v>-11093.355</v>
      </c>
      <c r="M269" s="67" t="n">
        <f aca="false">-M266*Inputs!$D$29</f>
        <v>-11093.355</v>
      </c>
      <c r="N269" s="67" t="n">
        <f aca="false">-N266*Inputs!$D$29</f>
        <v>-8747.235</v>
      </c>
      <c r="O269" s="67" t="n">
        <f aca="false">-O266*Inputs!$D$29</f>
        <v>-9640.84212</v>
      </c>
      <c r="P269" s="67" t="n">
        <f aca="false">-P266*Inputs!$D$29</f>
        <v>-9640.84212</v>
      </c>
      <c r="Q269" s="67" t="n">
        <f aca="false">-Q266*Inputs!$D$29</f>
        <v>-12202.80516</v>
      </c>
      <c r="R269" s="67" t="n">
        <f aca="false">-R266*Inputs!$D$29</f>
        <v>-12202.80516</v>
      </c>
      <c r="S269" s="67" t="n">
        <f aca="false">-S266*Inputs!$D$29</f>
        <v>-12202.80516</v>
      </c>
      <c r="T269" s="67" t="n">
        <f aca="false">-T266*Inputs!$D$29</f>
        <v>-12202.80516</v>
      </c>
      <c r="U269" s="67" t="n">
        <f aca="false">-U266*Inputs!$D$29</f>
        <v>-12202.80516</v>
      </c>
      <c r="V269" s="67" t="n">
        <f aca="false">-V266*Inputs!$D$29</f>
        <v>-12202.80516</v>
      </c>
      <c r="W269" s="67" t="n">
        <f aca="false">-W266*Inputs!$D$29</f>
        <v>-12202.80516</v>
      </c>
      <c r="X269" s="67" t="n">
        <f aca="false">-X266*Inputs!$D$29</f>
        <v>-12202.80516</v>
      </c>
      <c r="Y269" s="67" t="n">
        <f aca="false">-Y266*Inputs!$D$29</f>
        <v>-12202.80516</v>
      </c>
      <c r="Z269" s="67" t="n">
        <f aca="false">-Z266*Inputs!$D$29</f>
        <v>-9640.84212</v>
      </c>
      <c r="AA269" s="67" t="n">
        <f aca="false">-AA266*Inputs!$D$29</f>
        <v>-10629.45715104</v>
      </c>
      <c r="AB269" s="67" t="n">
        <f aca="false">-AB266*Inputs!$D$29</f>
        <v>-10629.45715104</v>
      </c>
      <c r="AC269" s="67" t="n">
        <f aca="false">-AC266*Inputs!$D$29</f>
        <v>-13427.12079072</v>
      </c>
      <c r="AD269" s="67" t="n">
        <f aca="false">-AD266*Inputs!$D$29</f>
        <v>-13427.12079072</v>
      </c>
      <c r="AE269" s="67" t="n">
        <f aca="false">-AE266*Inputs!$D$29</f>
        <v>-13427.12079072</v>
      </c>
      <c r="AF269" s="67" t="n">
        <f aca="false">-AF266*Inputs!$D$29</f>
        <v>-13427.12079072</v>
      </c>
      <c r="AG269" s="67" t="n">
        <f aca="false">-AG266*Inputs!$D$29</f>
        <v>-13427.12079072</v>
      </c>
      <c r="AH269" s="67" t="n">
        <f aca="false">-AH266*Inputs!$D$29</f>
        <v>-13427.12079072</v>
      </c>
      <c r="AI269" s="67" t="n">
        <f aca="false">-AI266*Inputs!$D$29</f>
        <v>-13427.12079072</v>
      </c>
      <c r="AJ269" s="67" t="n">
        <f aca="false">-AJ266*Inputs!$D$29</f>
        <v>-13427.12079072</v>
      </c>
      <c r="AK269" s="67" t="n">
        <f aca="false">-AK266*Inputs!$D$29</f>
        <v>-13427.12079072</v>
      </c>
      <c r="AL269" s="67" t="n">
        <f aca="false">-AL266*Inputs!$D$29</f>
        <v>-10629.45715104</v>
      </c>
    </row>
    <row r="270" customFormat="false" ht="15" hidden="false" customHeight="false" outlineLevel="0" collapsed="false">
      <c r="A270" s="6" t="s">
        <v>399</v>
      </c>
      <c r="C270" s="67" t="n">
        <f aca="false">-C259*Inputs!$D$30*(1+Inputs!$D$34)^(C$247-1)</f>
        <v>-441.504</v>
      </c>
      <c r="D270" s="67" t="n">
        <f aca="false">-D259*Inputs!$D$30*(1+Inputs!$D$34)^(D$247-1)</f>
        <v>-515.088</v>
      </c>
      <c r="E270" s="67" t="n">
        <f aca="false">-E259*Inputs!$D$30*(1+Inputs!$D$34)^(E$247-1)</f>
        <v>-747.562666666667</v>
      </c>
      <c r="F270" s="67" t="n">
        <f aca="false">-F259*Inputs!$D$30*(1+Inputs!$D$34)^(F$247-1)</f>
        <v>-841.008</v>
      </c>
      <c r="G270" s="67" t="n">
        <f aca="false">-G259*Inputs!$D$30*(1+Inputs!$D$34)^(G$247-1)</f>
        <v>-934.453333333333</v>
      </c>
      <c r="H270" s="67" t="n">
        <f aca="false">-H259*Inputs!$D$30*(1+Inputs!$D$34)^(H$247-1)</f>
        <v>-934.453333333333</v>
      </c>
      <c r="I270" s="67" t="n">
        <f aca="false">-I259*Inputs!$D$30*(1+Inputs!$D$34)^(I$247-1)</f>
        <v>-934.453333333333</v>
      </c>
      <c r="J270" s="67" t="n">
        <f aca="false">-J259*Inputs!$D$30*(1+Inputs!$D$34)^(J$247-1)</f>
        <v>-934.453333333333</v>
      </c>
      <c r="K270" s="67" t="n">
        <f aca="false">-K259*Inputs!$D$30*(1+Inputs!$D$34)^(K$247-1)</f>
        <v>-934.453333333333</v>
      </c>
      <c r="L270" s="67" t="n">
        <f aca="false">-L259*Inputs!$D$30*(1+Inputs!$D$34)^(L$247-1)</f>
        <v>-934.453333333333</v>
      </c>
      <c r="M270" s="67" t="n">
        <f aca="false">-M259*Inputs!$D$30*(1+Inputs!$D$34)^(M$247-1)</f>
        <v>-934.453333333333</v>
      </c>
      <c r="N270" s="67" t="n">
        <f aca="false">-N259*Inputs!$D$30*(1+Inputs!$D$34)^(N$247-1)</f>
        <v>-735.84</v>
      </c>
      <c r="O270" s="67" t="n">
        <f aca="false">-O259*Inputs!$D$30*(1+Inputs!$D$34)^(O$247-1)</f>
        <v>-799.1228</v>
      </c>
      <c r="P270" s="67" t="n">
        <f aca="false">-P259*Inputs!$D$30*(1+Inputs!$D$34)^(P$247-1)</f>
        <v>-799.1228</v>
      </c>
      <c r="Q270" s="67" t="n">
        <f aca="false">-Q259*Inputs!$D$30*(1+Inputs!$D$34)^(Q$247-1)</f>
        <v>-1012.8804</v>
      </c>
      <c r="R270" s="67" t="n">
        <f aca="false">-R259*Inputs!$D$30*(1+Inputs!$D$34)^(R$247-1)</f>
        <v>-1012.8804</v>
      </c>
      <c r="S270" s="67" t="n">
        <f aca="false">-S259*Inputs!$D$30*(1+Inputs!$D$34)^(S$247-1)</f>
        <v>-1012.8804</v>
      </c>
      <c r="T270" s="67" t="n">
        <f aca="false">-T259*Inputs!$D$30*(1+Inputs!$D$34)^(T$247-1)</f>
        <v>-1012.8804</v>
      </c>
      <c r="U270" s="67" t="n">
        <f aca="false">-U259*Inputs!$D$30*(1+Inputs!$D$34)^(U$247-1)</f>
        <v>-1012.8804</v>
      </c>
      <c r="V270" s="67" t="n">
        <f aca="false">-V259*Inputs!$D$30*(1+Inputs!$D$34)^(V$247-1)</f>
        <v>-1012.8804</v>
      </c>
      <c r="W270" s="67" t="n">
        <f aca="false">-W259*Inputs!$D$30*(1+Inputs!$D$34)^(W$247-1)</f>
        <v>-1012.8804</v>
      </c>
      <c r="X270" s="67" t="n">
        <f aca="false">-X259*Inputs!$D$30*(1+Inputs!$D$34)^(X$247-1)</f>
        <v>-1012.8804</v>
      </c>
      <c r="Y270" s="67" t="n">
        <f aca="false">-Y259*Inputs!$D$30*(1+Inputs!$D$34)^(Y$247-1)</f>
        <v>-1012.8804</v>
      </c>
      <c r="Z270" s="67" t="n">
        <f aca="false">-Z259*Inputs!$D$30*(1+Inputs!$D$34)^(Z$247-1)</f>
        <v>-799.1228</v>
      </c>
      <c r="AA270" s="67" t="n">
        <f aca="false">-AA259*Inputs!$D$30*(1+Inputs!$D$34)^(AA$247-1)</f>
        <v>-868.145726</v>
      </c>
      <c r="AB270" s="67" t="n">
        <f aca="false">-AB259*Inputs!$D$30*(1+Inputs!$D$34)^(AB$247-1)</f>
        <v>-868.145726</v>
      </c>
      <c r="AC270" s="67" t="n">
        <f aca="false">-AC259*Inputs!$D$30*(1+Inputs!$D$34)^(AC$247-1)</f>
        <v>-1098.202343</v>
      </c>
      <c r="AD270" s="67" t="n">
        <f aca="false">-AD259*Inputs!$D$30*(1+Inputs!$D$34)^(AD$247-1)</f>
        <v>-1098.202343</v>
      </c>
      <c r="AE270" s="67" t="n">
        <f aca="false">-AE259*Inputs!$D$30*(1+Inputs!$D$34)^(AE$247-1)</f>
        <v>-1098.202343</v>
      </c>
      <c r="AF270" s="67" t="n">
        <f aca="false">-AF259*Inputs!$D$30*(1+Inputs!$D$34)^(AF$247-1)</f>
        <v>-1098.202343</v>
      </c>
      <c r="AG270" s="67" t="n">
        <f aca="false">-AG259*Inputs!$D$30*(1+Inputs!$D$34)^(AG$247-1)</f>
        <v>-1098.202343</v>
      </c>
      <c r="AH270" s="67" t="n">
        <f aca="false">-AH259*Inputs!$D$30*(1+Inputs!$D$34)^(AH$247-1)</f>
        <v>-1098.202343</v>
      </c>
      <c r="AI270" s="67" t="n">
        <f aca="false">-AI259*Inputs!$D$30*(1+Inputs!$D$34)^(AI$247-1)</f>
        <v>-1098.202343</v>
      </c>
      <c r="AJ270" s="67" t="n">
        <f aca="false">-AJ259*Inputs!$D$30*(1+Inputs!$D$34)^(AJ$247-1)</f>
        <v>-1098.202343</v>
      </c>
      <c r="AK270" s="67" t="n">
        <f aca="false">-AK259*Inputs!$D$30*(1+Inputs!$D$34)^(AK$247-1)</f>
        <v>-1098.202343</v>
      </c>
      <c r="AL270" s="67" t="n">
        <f aca="false">-AL259*Inputs!$D$30*(1+Inputs!$D$34)^(AL$247-1)</f>
        <v>-868.145726</v>
      </c>
    </row>
    <row r="271" customFormat="false" ht="15" hidden="false" customHeight="false" outlineLevel="0" collapsed="false">
      <c r="A271" s="6" t="s">
        <v>239</v>
      </c>
      <c r="C271" s="67" t="n">
        <f aca="false">C269+C270</f>
        <v>-5689.845</v>
      </c>
      <c r="D271" s="67" t="n">
        <f aca="false">D269+D270</f>
        <v>-6638.1525</v>
      </c>
      <c r="E271" s="67" t="n">
        <f aca="false">E269+E270</f>
        <v>-9622.24666666667</v>
      </c>
      <c r="F271" s="67" t="n">
        <f aca="false">F269+F270</f>
        <v>-10825.0275</v>
      </c>
      <c r="G271" s="67" t="n">
        <f aca="false">G269+G270</f>
        <v>-12027.8083333333</v>
      </c>
      <c r="H271" s="67" t="n">
        <f aca="false">H269+H270</f>
        <v>-12027.8083333333</v>
      </c>
      <c r="I271" s="67" t="n">
        <f aca="false">I269+I270</f>
        <v>-12027.8083333333</v>
      </c>
      <c r="J271" s="67" t="n">
        <f aca="false">J269+J270</f>
        <v>-12027.8083333333</v>
      </c>
      <c r="K271" s="67" t="n">
        <f aca="false">K269+K270</f>
        <v>-12027.8083333333</v>
      </c>
      <c r="L271" s="67" t="n">
        <f aca="false">L269+L270</f>
        <v>-12027.8083333333</v>
      </c>
      <c r="M271" s="67" t="n">
        <f aca="false">M269+M270</f>
        <v>-12027.8083333333</v>
      </c>
      <c r="N271" s="67" t="n">
        <f aca="false">N269+N270</f>
        <v>-9483.075</v>
      </c>
      <c r="O271" s="67" t="n">
        <f aca="false">O269+O270</f>
        <v>-10439.96492</v>
      </c>
      <c r="P271" s="67" t="n">
        <f aca="false">P269+P270</f>
        <v>-10439.96492</v>
      </c>
      <c r="Q271" s="67" t="n">
        <f aca="false">Q269+Q270</f>
        <v>-13215.68556</v>
      </c>
      <c r="R271" s="67" t="n">
        <f aca="false">R269+R270</f>
        <v>-13215.68556</v>
      </c>
      <c r="S271" s="67" t="n">
        <f aca="false">S269+S270</f>
        <v>-13215.68556</v>
      </c>
      <c r="T271" s="67" t="n">
        <f aca="false">T269+T270</f>
        <v>-13215.68556</v>
      </c>
      <c r="U271" s="67" t="n">
        <f aca="false">U269+U270</f>
        <v>-13215.68556</v>
      </c>
      <c r="V271" s="67" t="n">
        <f aca="false">V269+V270</f>
        <v>-13215.68556</v>
      </c>
      <c r="W271" s="67" t="n">
        <f aca="false">W269+W270</f>
        <v>-13215.68556</v>
      </c>
      <c r="X271" s="67" t="n">
        <f aca="false">X269+X270</f>
        <v>-13215.68556</v>
      </c>
      <c r="Y271" s="67" t="n">
        <f aca="false">Y269+Y270</f>
        <v>-13215.68556</v>
      </c>
      <c r="Z271" s="67" t="n">
        <f aca="false">Z269+Z270</f>
        <v>-10439.96492</v>
      </c>
      <c r="AA271" s="67" t="n">
        <f aca="false">AA269+AA270</f>
        <v>-11497.60287704</v>
      </c>
      <c r="AB271" s="67" t="n">
        <f aca="false">AB269+AB270</f>
        <v>-11497.60287704</v>
      </c>
      <c r="AC271" s="67" t="n">
        <f aca="false">AC269+AC270</f>
        <v>-14525.32313372</v>
      </c>
      <c r="AD271" s="67" t="n">
        <f aca="false">AD269+AD270</f>
        <v>-14525.32313372</v>
      </c>
      <c r="AE271" s="67" t="n">
        <f aca="false">AE269+AE270</f>
        <v>-14525.32313372</v>
      </c>
      <c r="AF271" s="67" t="n">
        <f aca="false">AF269+AF270</f>
        <v>-14525.32313372</v>
      </c>
      <c r="AG271" s="67" t="n">
        <f aca="false">AG269+AG270</f>
        <v>-14525.32313372</v>
      </c>
      <c r="AH271" s="67" t="n">
        <f aca="false">AH269+AH270</f>
        <v>-14525.32313372</v>
      </c>
      <c r="AI271" s="67" t="n">
        <f aca="false">AI269+AI270</f>
        <v>-14525.32313372</v>
      </c>
      <c r="AJ271" s="67" t="n">
        <f aca="false">AJ269+AJ270</f>
        <v>-14525.32313372</v>
      </c>
      <c r="AK271" s="67" t="n">
        <f aca="false">AK269+AK270</f>
        <v>-14525.32313372</v>
      </c>
      <c r="AL271" s="67" t="n">
        <f aca="false">AL269+AL270</f>
        <v>-11497.60287704</v>
      </c>
    </row>
    <row r="272" customFormat="false" ht="15" hidden="false" customHeight="false" outlineLevel="0" collapsed="false">
      <c r="A272" s="6" t="s">
        <v>400</v>
      </c>
      <c r="C272" s="67" t="n">
        <f aca="false">-C266*Inputs!$D$31</f>
        <v>-449.8578</v>
      </c>
      <c r="D272" s="67" t="n">
        <f aca="false">-D266*Inputs!$D$31</f>
        <v>-524.8341</v>
      </c>
      <c r="E272" s="67" t="n">
        <f aca="false">-E266*Inputs!$D$31</f>
        <v>-760.6872</v>
      </c>
      <c r="F272" s="67" t="n">
        <f aca="false">-F266*Inputs!$D$31</f>
        <v>-855.7731</v>
      </c>
      <c r="G272" s="67" t="n">
        <f aca="false">-G266*Inputs!$D$31</f>
        <v>-950.859</v>
      </c>
      <c r="H272" s="67" t="n">
        <f aca="false">-H266*Inputs!$D$31</f>
        <v>-950.859</v>
      </c>
      <c r="I272" s="67" t="n">
        <f aca="false">-I266*Inputs!$D$31</f>
        <v>-950.859</v>
      </c>
      <c r="J272" s="67" t="n">
        <f aca="false">-J266*Inputs!$D$31</f>
        <v>-950.859</v>
      </c>
      <c r="K272" s="67" t="n">
        <f aca="false">-K266*Inputs!$D$31</f>
        <v>-950.859</v>
      </c>
      <c r="L272" s="67" t="n">
        <f aca="false">-L266*Inputs!$D$31</f>
        <v>-950.859</v>
      </c>
      <c r="M272" s="67" t="n">
        <f aca="false">-M266*Inputs!$D$31</f>
        <v>-950.859</v>
      </c>
      <c r="N272" s="67" t="n">
        <f aca="false">-N266*Inputs!$D$31</f>
        <v>-749.763</v>
      </c>
      <c r="O272" s="67" t="n">
        <f aca="false">-O266*Inputs!$D$31</f>
        <v>-826.357896</v>
      </c>
      <c r="P272" s="67" t="n">
        <f aca="false">-P266*Inputs!$D$31</f>
        <v>-826.357896</v>
      </c>
      <c r="Q272" s="67" t="n">
        <f aca="false">-Q266*Inputs!$D$31</f>
        <v>-1045.954728</v>
      </c>
      <c r="R272" s="67" t="n">
        <f aca="false">-R266*Inputs!$D$31</f>
        <v>-1045.954728</v>
      </c>
      <c r="S272" s="67" t="n">
        <f aca="false">-S266*Inputs!$D$31</f>
        <v>-1045.954728</v>
      </c>
      <c r="T272" s="67" t="n">
        <f aca="false">-T266*Inputs!$D$31</f>
        <v>-1045.954728</v>
      </c>
      <c r="U272" s="67" t="n">
        <f aca="false">-U266*Inputs!$D$31</f>
        <v>-1045.954728</v>
      </c>
      <c r="V272" s="67" t="n">
        <f aca="false">-V266*Inputs!$D$31</f>
        <v>-1045.954728</v>
      </c>
      <c r="W272" s="67" t="n">
        <f aca="false">-W266*Inputs!$D$31</f>
        <v>-1045.954728</v>
      </c>
      <c r="X272" s="67" t="n">
        <f aca="false">-X266*Inputs!$D$31</f>
        <v>-1045.954728</v>
      </c>
      <c r="Y272" s="67" t="n">
        <f aca="false">-Y266*Inputs!$D$31</f>
        <v>-1045.954728</v>
      </c>
      <c r="Z272" s="67" t="n">
        <f aca="false">-Z266*Inputs!$D$31</f>
        <v>-826.357896</v>
      </c>
      <c r="AA272" s="67" t="n">
        <f aca="false">-AA266*Inputs!$D$31</f>
        <v>-911.096327232</v>
      </c>
      <c r="AB272" s="67" t="n">
        <f aca="false">-AB266*Inputs!$D$31</f>
        <v>-911.096327232</v>
      </c>
      <c r="AC272" s="67" t="n">
        <f aca="false">-AC266*Inputs!$D$31</f>
        <v>-1150.896067776</v>
      </c>
      <c r="AD272" s="67" t="n">
        <f aca="false">-AD266*Inputs!$D$31</f>
        <v>-1150.896067776</v>
      </c>
      <c r="AE272" s="67" t="n">
        <f aca="false">-AE266*Inputs!$D$31</f>
        <v>-1150.896067776</v>
      </c>
      <c r="AF272" s="67" t="n">
        <f aca="false">-AF266*Inputs!$D$31</f>
        <v>-1150.896067776</v>
      </c>
      <c r="AG272" s="67" t="n">
        <f aca="false">-AG266*Inputs!$D$31</f>
        <v>-1150.896067776</v>
      </c>
      <c r="AH272" s="67" t="n">
        <f aca="false">-AH266*Inputs!$D$31</f>
        <v>-1150.896067776</v>
      </c>
      <c r="AI272" s="67" t="n">
        <f aca="false">-AI266*Inputs!$D$31</f>
        <v>-1150.896067776</v>
      </c>
      <c r="AJ272" s="67" t="n">
        <f aca="false">-AJ266*Inputs!$D$31</f>
        <v>-1150.896067776</v>
      </c>
      <c r="AK272" s="67" t="n">
        <f aca="false">-AK266*Inputs!$D$31</f>
        <v>-1150.896067776</v>
      </c>
      <c r="AL272" s="67" t="n">
        <f aca="false">-AL266*Inputs!$D$31</f>
        <v>-911.096327232</v>
      </c>
    </row>
    <row r="273" customFormat="false" ht="15" hidden="false" customHeight="false" outlineLevel="0" collapsed="false">
      <c r="A273" s="6" t="s">
        <v>401</v>
      </c>
      <c r="C273" s="67" t="n">
        <f aca="false">-C265*Inputs!$D$32-C255*Inputs!$D$33*(1+Inputs!$D$34)^(C$247-1)</f>
        <v>-265.65</v>
      </c>
      <c r="D273" s="67" t="n">
        <f aca="false">-D265*Inputs!$D$32-D255*Inputs!$D$33*(1+Inputs!$D$34)^(D$247-1)</f>
        <v>-309.925</v>
      </c>
      <c r="E273" s="67" t="n">
        <f aca="false">-E265*Inputs!$D$32-E255*Inputs!$D$33*(1+Inputs!$D$34)^(E$247-1)</f>
        <v>-354.2</v>
      </c>
      <c r="F273" s="67" t="n">
        <f aca="false">-F265*Inputs!$D$32-F255*Inputs!$D$33*(1+Inputs!$D$34)^(F$247-1)</f>
        <v>-398.475</v>
      </c>
      <c r="G273" s="67" t="n">
        <f aca="false">-G265*Inputs!$D$32-G255*Inputs!$D$33*(1+Inputs!$D$34)^(G$247-1)</f>
        <v>-442.75</v>
      </c>
      <c r="H273" s="67" t="n">
        <f aca="false">-H265*Inputs!$D$32-H255*Inputs!$D$33*(1+Inputs!$D$34)^(H$247-1)</f>
        <v>-442.75</v>
      </c>
      <c r="I273" s="67" t="n">
        <f aca="false">-I265*Inputs!$D$32-I255*Inputs!$D$33*(1+Inputs!$D$34)^(I$247-1)</f>
        <v>-442.75</v>
      </c>
      <c r="J273" s="67" t="n">
        <f aca="false">-J265*Inputs!$D$32-J255*Inputs!$D$33*(1+Inputs!$D$34)^(J$247-1)</f>
        <v>-442.75</v>
      </c>
      <c r="K273" s="67" t="n">
        <f aca="false">-K265*Inputs!$D$32-K255*Inputs!$D$33*(1+Inputs!$D$34)^(K$247-1)</f>
        <v>-442.75</v>
      </c>
      <c r="L273" s="67" t="n">
        <f aca="false">-L265*Inputs!$D$32-L255*Inputs!$D$33*(1+Inputs!$D$34)^(L$247-1)</f>
        <v>-442.75</v>
      </c>
      <c r="M273" s="67" t="n">
        <f aca="false">-M265*Inputs!$D$32-M255*Inputs!$D$33*(1+Inputs!$D$34)^(M$247-1)</f>
        <v>-442.75</v>
      </c>
      <c r="N273" s="67" t="n">
        <f aca="false">-N265*Inputs!$D$32-N255*Inputs!$D$33*(1+Inputs!$D$34)^(N$247-1)</f>
        <v>-442.75</v>
      </c>
      <c r="O273" s="67" t="n">
        <f aca="false">-O265*Inputs!$D$32-O255*Inputs!$D$33*(1+Inputs!$D$34)^(O$247-1)</f>
        <v>-501.886</v>
      </c>
      <c r="P273" s="67" t="n">
        <f aca="false">-P265*Inputs!$D$32-P255*Inputs!$D$33*(1+Inputs!$D$34)^(P$247-1)</f>
        <v>-501.886</v>
      </c>
      <c r="Q273" s="67" t="n">
        <f aca="false">-Q265*Inputs!$D$32-Q255*Inputs!$D$33*(1+Inputs!$D$34)^(Q$247-1)</f>
        <v>-501.886</v>
      </c>
      <c r="R273" s="67" t="n">
        <f aca="false">-R265*Inputs!$D$32-R255*Inputs!$D$33*(1+Inputs!$D$34)^(R$247-1)</f>
        <v>-501.886</v>
      </c>
      <c r="S273" s="67" t="n">
        <f aca="false">-S265*Inputs!$D$32-S255*Inputs!$D$33*(1+Inputs!$D$34)^(S$247-1)</f>
        <v>-501.886</v>
      </c>
      <c r="T273" s="67" t="n">
        <f aca="false">-T265*Inputs!$D$32-T255*Inputs!$D$33*(1+Inputs!$D$34)^(T$247-1)</f>
        <v>-501.886</v>
      </c>
      <c r="U273" s="67" t="n">
        <f aca="false">-U265*Inputs!$D$32-U255*Inputs!$D$33*(1+Inputs!$D$34)^(U$247-1)</f>
        <v>-501.886</v>
      </c>
      <c r="V273" s="67" t="n">
        <f aca="false">-V265*Inputs!$D$32-V255*Inputs!$D$33*(1+Inputs!$D$34)^(V$247-1)</f>
        <v>-501.886</v>
      </c>
      <c r="W273" s="67" t="n">
        <f aca="false">-W265*Inputs!$D$32-W255*Inputs!$D$33*(1+Inputs!$D$34)^(W$247-1)</f>
        <v>-501.886</v>
      </c>
      <c r="X273" s="67" t="n">
        <f aca="false">-X265*Inputs!$D$32-X255*Inputs!$D$33*(1+Inputs!$D$34)^(X$247-1)</f>
        <v>-501.886</v>
      </c>
      <c r="Y273" s="67" t="n">
        <f aca="false">-Y265*Inputs!$D$32-Y255*Inputs!$D$33*(1+Inputs!$D$34)^(Y$247-1)</f>
        <v>-501.886</v>
      </c>
      <c r="Z273" s="67" t="n">
        <f aca="false">-Z265*Inputs!$D$32-Z255*Inputs!$D$33*(1+Inputs!$D$34)^(Z$247-1)</f>
        <v>-501.886</v>
      </c>
      <c r="AA273" s="67" t="n">
        <f aca="false">-AA265*Inputs!$D$32-AA255*Inputs!$D$33*(1+Inputs!$D$34)^(AA$247-1)</f>
        <v>-568.948534</v>
      </c>
      <c r="AB273" s="67" t="n">
        <f aca="false">-AB265*Inputs!$D$32-AB255*Inputs!$D$33*(1+Inputs!$D$34)^(AB$247-1)</f>
        <v>-568.948534</v>
      </c>
      <c r="AC273" s="67" t="n">
        <f aca="false">-AC265*Inputs!$D$32-AC255*Inputs!$D$33*(1+Inputs!$D$34)^(AC$247-1)</f>
        <v>-568.948534</v>
      </c>
      <c r="AD273" s="67" t="n">
        <f aca="false">-AD265*Inputs!$D$32-AD255*Inputs!$D$33*(1+Inputs!$D$34)^(AD$247-1)</f>
        <v>-568.948534</v>
      </c>
      <c r="AE273" s="67" t="n">
        <f aca="false">-AE265*Inputs!$D$32-AE255*Inputs!$D$33*(1+Inputs!$D$34)^(AE$247-1)</f>
        <v>-568.948534</v>
      </c>
      <c r="AF273" s="67" t="n">
        <f aca="false">-AF265*Inputs!$D$32-AF255*Inputs!$D$33*(1+Inputs!$D$34)^(AF$247-1)</f>
        <v>-568.948534</v>
      </c>
      <c r="AG273" s="67" t="n">
        <f aca="false">-AG265*Inputs!$D$32-AG255*Inputs!$D$33*(1+Inputs!$D$34)^(AG$247-1)</f>
        <v>-568.948534</v>
      </c>
      <c r="AH273" s="67" t="n">
        <f aca="false">-AH265*Inputs!$D$32-AH255*Inputs!$D$33*(1+Inputs!$D$34)^(AH$247-1)</f>
        <v>-568.948534</v>
      </c>
      <c r="AI273" s="67" t="n">
        <f aca="false">-AI265*Inputs!$D$32-AI255*Inputs!$D$33*(1+Inputs!$D$34)^(AI$247-1)</f>
        <v>-568.948534</v>
      </c>
      <c r="AJ273" s="67" t="n">
        <f aca="false">-AJ265*Inputs!$D$32-AJ255*Inputs!$D$33*(1+Inputs!$D$34)^(AJ$247-1)</f>
        <v>-568.948534</v>
      </c>
      <c r="AK273" s="67" t="n">
        <f aca="false">-AK265*Inputs!$D$32-AK255*Inputs!$D$33*(1+Inputs!$D$34)^(AK$247-1)</f>
        <v>-568.948534</v>
      </c>
      <c r="AL273" s="67" t="n">
        <f aca="false">-AL265*Inputs!$D$32-AL255*Inputs!$D$33*(1+Inputs!$D$34)^(AL$247-1)</f>
        <v>-568.948534</v>
      </c>
    </row>
    <row r="274" customFormat="false" ht="15" hidden="false" customHeight="false" outlineLevel="0" collapsed="false">
      <c r="A274" s="4" t="s">
        <v>76</v>
      </c>
      <c r="C274" s="73" t="n">
        <f aca="false">C271+C272+C273</f>
        <v>-6405.3528</v>
      </c>
      <c r="D274" s="73" t="n">
        <f aca="false">D271+D272+D273</f>
        <v>-7472.9116</v>
      </c>
      <c r="E274" s="73" t="n">
        <f aca="false">E271+E272+E273</f>
        <v>-10737.1338666667</v>
      </c>
      <c r="F274" s="73" t="n">
        <f aca="false">F271+F272+F273</f>
        <v>-12079.2756</v>
      </c>
      <c r="G274" s="73" t="n">
        <f aca="false">G271+G272+G273</f>
        <v>-13421.4173333333</v>
      </c>
      <c r="H274" s="73" t="n">
        <f aca="false">H271+H272+H273</f>
        <v>-13421.4173333333</v>
      </c>
      <c r="I274" s="73" t="n">
        <f aca="false">I271+I272+I273</f>
        <v>-13421.4173333333</v>
      </c>
      <c r="J274" s="73" t="n">
        <f aca="false">J271+J272+J273</f>
        <v>-13421.4173333333</v>
      </c>
      <c r="K274" s="73" t="n">
        <f aca="false">K271+K272+K273</f>
        <v>-13421.4173333333</v>
      </c>
      <c r="L274" s="73" t="n">
        <f aca="false">L271+L272+L273</f>
        <v>-13421.4173333333</v>
      </c>
      <c r="M274" s="73" t="n">
        <f aca="false">M271+M272+M273</f>
        <v>-13421.4173333333</v>
      </c>
      <c r="N274" s="73" t="n">
        <f aca="false">N271+N272+N273</f>
        <v>-10675.588</v>
      </c>
      <c r="O274" s="73" t="n">
        <f aca="false">O271+O272+O273</f>
        <v>-11768.208816</v>
      </c>
      <c r="P274" s="73" t="n">
        <f aca="false">P271+P272+P273</f>
        <v>-11768.208816</v>
      </c>
      <c r="Q274" s="73" t="n">
        <f aca="false">Q271+Q272+Q273</f>
        <v>-14763.526288</v>
      </c>
      <c r="R274" s="73" t="n">
        <f aca="false">R271+R272+R273</f>
        <v>-14763.526288</v>
      </c>
      <c r="S274" s="73" t="n">
        <f aca="false">S271+S272+S273</f>
        <v>-14763.526288</v>
      </c>
      <c r="T274" s="73" t="n">
        <f aca="false">T271+T272+T273</f>
        <v>-14763.526288</v>
      </c>
      <c r="U274" s="73" t="n">
        <f aca="false">U271+U272+U273</f>
        <v>-14763.526288</v>
      </c>
      <c r="V274" s="73" t="n">
        <f aca="false">V271+V272+V273</f>
        <v>-14763.526288</v>
      </c>
      <c r="W274" s="73" t="n">
        <f aca="false">W271+W272+W273</f>
        <v>-14763.526288</v>
      </c>
      <c r="X274" s="73" t="n">
        <f aca="false">X271+X272+X273</f>
        <v>-14763.526288</v>
      </c>
      <c r="Y274" s="73" t="n">
        <f aca="false">Y271+Y272+Y273</f>
        <v>-14763.526288</v>
      </c>
      <c r="Z274" s="73" t="n">
        <f aca="false">Z271+Z272+Z273</f>
        <v>-11768.208816</v>
      </c>
      <c r="AA274" s="73" t="n">
        <f aca="false">AA271+AA272+AA273</f>
        <v>-12977.647738272</v>
      </c>
      <c r="AB274" s="73" t="n">
        <f aca="false">AB271+AB272+AB273</f>
        <v>-12977.647738272</v>
      </c>
      <c r="AC274" s="73" t="n">
        <f aca="false">AC271+AC272+AC273</f>
        <v>-16245.167735496</v>
      </c>
      <c r="AD274" s="73" t="n">
        <f aca="false">AD271+AD272+AD273</f>
        <v>-16245.167735496</v>
      </c>
      <c r="AE274" s="73" t="n">
        <f aca="false">AE271+AE272+AE273</f>
        <v>-16245.167735496</v>
      </c>
      <c r="AF274" s="73" t="n">
        <f aca="false">AF271+AF272+AF273</f>
        <v>-16245.167735496</v>
      </c>
      <c r="AG274" s="73" t="n">
        <f aca="false">AG271+AG272+AG273</f>
        <v>-16245.167735496</v>
      </c>
      <c r="AH274" s="73" t="n">
        <f aca="false">AH271+AH272+AH273</f>
        <v>-16245.167735496</v>
      </c>
      <c r="AI274" s="73" t="n">
        <f aca="false">AI271+AI272+AI273</f>
        <v>-16245.167735496</v>
      </c>
      <c r="AJ274" s="73" t="n">
        <f aca="false">AJ271+AJ272+AJ273</f>
        <v>-16245.167735496</v>
      </c>
      <c r="AK274" s="73" t="n">
        <f aca="false">AK271+AK272+AK273</f>
        <v>-16245.167735496</v>
      </c>
      <c r="AL274" s="73" t="n">
        <f aca="false">AL271+AL272+AL273</f>
        <v>-12977.647738272</v>
      </c>
    </row>
    <row r="275" customFormat="false" ht="15" hidden="false" customHeight="false" outlineLevel="0" collapsed="false">
      <c r="A275" s="113" t="s">
        <v>45</v>
      </c>
      <c r="C275" s="68" t="n">
        <f aca="false">C266+C274</f>
        <v>10256.0472</v>
      </c>
      <c r="D275" s="68" t="n">
        <f aca="false">D266+D274</f>
        <v>11965.3884</v>
      </c>
      <c r="E275" s="68" t="n">
        <f aca="false">E266+E274</f>
        <v>17436.4661333333</v>
      </c>
      <c r="F275" s="68" t="n">
        <f aca="false">F266+F274</f>
        <v>19616.0244</v>
      </c>
      <c r="G275" s="68" t="n">
        <f aca="false">G266+G274</f>
        <v>21795.5826666667</v>
      </c>
      <c r="H275" s="68" t="n">
        <f aca="false">H266+H274</f>
        <v>21795.5826666667</v>
      </c>
      <c r="I275" s="68" t="n">
        <f aca="false">I266+I274</f>
        <v>21795.5826666667</v>
      </c>
      <c r="J275" s="68" t="n">
        <f aca="false">J266+J274</f>
        <v>21795.5826666667</v>
      </c>
      <c r="K275" s="68" t="n">
        <f aca="false">K266+K274</f>
        <v>21795.5826666667</v>
      </c>
      <c r="L275" s="68" t="n">
        <f aca="false">L266+L274</f>
        <v>21795.5826666667</v>
      </c>
      <c r="M275" s="68" t="n">
        <f aca="false">M266+M274</f>
        <v>21795.5826666667</v>
      </c>
      <c r="N275" s="68" t="n">
        <f aca="false">N266+N274</f>
        <v>17093.412</v>
      </c>
      <c r="O275" s="68" t="n">
        <f aca="false">O266+O274</f>
        <v>18837.639184</v>
      </c>
      <c r="P275" s="68" t="n">
        <f aca="false">P266+P274</f>
        <v>18837.639184</v>
      </c>
      <c r="Q275" s="68" t="n">
        <f aca="false">Q266+Q274</f>
        <v>23975.537712</v>
      </c>
      <c r="R275" s="68" t="n">
        <f aca="false">R266+R274</f>
        <v>23975.537712</v>
      </c>
      <c r="S275" s="68" t="n">
        <f aca="false">S266+S274</f>
        <v>23975.537712</v>
      </c>
      <c r="T275" s="68" t="n">
        <f aca="false">T266+T274</f>
        <v>23975.537712</v>
      </c>
      <c r="U275" s="68" t="n">
        <f aca="false">U266+U274</f>
        <v>23975.537712</v>
      </c>
      <c r="V275" s="68" t="n">
        <f aca="false">V266+V274</f>
        <v>23975.537712</v>
      </c>
      <c r="W275" s="68" t="n">
        <f aca="false">W266+W274</f>
        <v>23975.537712</v>
      </c>
      <c r="X275" s="68" t="n">
        <f aca="false">X266+X274</f>
        <v>23975.537712</v>
      </c>
      <c r="Y275" s="68" t="n">
        <f aca="false">Y266+Y274</f>
        <v>23975.537712</v>
      </c>
      <c r="Z275" s="68" t="n">
        <f aca="false">Z266+Z274</f>
        <v>18837.639184</v>
      </c>
      <c r="AA275" s="68" t="n">
        <f aca="false">AA266+AA274</f>
        <v>20766.660677728</v>
      </c>
      <c r="AB275" s="68" t="n">
        <f aca="false">AB266+AB274</f>
        <v>20766.660677728</v>
      </c>
      <c r="AC275" s="68" t="n">
        <f aca="false">AC266+AC274</f>
        <v>26380.612552504</v>
      </c>
      <c r="AD275" s="68" t="n">
        <f aca="false">AD266+AD274</f>
        <v>26380.612552504</v>
      </c>
      <c r="AE275" s="68" t="n">
        <f aca="false">AE266+AE274</f>
        <v>26380.612552504</v>
      </c>
      <c r="AF275" s="68" t="n">
        <f aca="false">AF266+AF274</f>
        <v>26380.612552504</v>
      </c>
      <c r="AG275" s="68" t="n">
        <f aca="false">AG266+AG274</f>
        <v>26380.612552504</v>
      </c>
      <c r="AH275" s="68" t="n">
        <f aca="false">AH266+AH274</f>
        <v>26380.612552504</v>
      </c>
      <c r="AI275" s="68" t="n">
        <f aca="false">AI266+AI274</f>
        <v>26380.612552504</v>
      </c>
      <c r="AJ275" s="68" t="n">
        <f aca="false">AJ266+AJ274</f>
        <v>26380.612552504</v>
      </c>
      <c r="AK275" s="68" t="n">
        <f aca="false">AK266+AK274</f>
        <v>26380.612552504</v>
      </c>
      <c r="AL275" s="68" t="n">
        <f aca="false">AL266+AL274</f>
        <v>20766.660677728</v>
      </c>
    </row>
    <row r="277" customFormat="false" ht="15.75" hidden="false" customHeight="true" outlineLevel="0" collapsed="false">
      <c r="A277" s="7" t="s">
        <v>47</v>
      </c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</row>
    <row r="278" customFormat="false" ht="15" hidden="false" customHeight="false" outlineLevel="0" collapsed="false">
      <c r="A278" s="6" t="s">
        <v>330</v>
      </c>
      <c r="C278" s="67" t="n">
        <f aca="false">C361</f>
        <v>-9874.66666666667</v>
      </c>
      <c r="D278" s="67" t="n">
        <f aca="false">D361</f>
        <v>-9874.66666666667</v>
      </c>
      <c r="E278" s="67" t="n">
        <f aca="false">E361</f>
        <v>-9874.66666666667</v>
      </c>
      <c r="F278" s="67" t="n">
        <f aca="false">F361</f>
        <v>-9874.66666666667</v>
      </c>
      <c r="G278" s="67" t="n">
        <f aca="false">G361</f>
        <v>-9874.66666666667</v>
      </c>
      <c r="H278" s="67" t="n">
        <f aca="false">H361</f>
        <v>-9874.66666666667</v>
      </c>
      <c r="I278" s="67" t="n">
        <f aca="false">I361</f>
        <v>-9874.66666666667</v>
      </c>
      <c r="J278" s="67" t="n">
        <f aca="false">J361</f>
        <v>-9874.66666666667</v>
      </c>
      <c r="K278" s="67" t="n">
        <f aca="false">K361</f>
        <v>-9874.66666666667</v>
      </c>
      <c r="L278" s="67" t="n">
        <f aca="false">L361</f>
        <v>-9874.66666666667</v>
      </c>
      <c r="M278" s="67" t="n">
        <f aca="false">M361</f>
        <v>-9874.66666666667</v>
      </c>
      <c r="N278" s="67" t="n">
        <f aca="false">N361</f>
        <v>-9874.66666666667</v>
      </c>
      <c r="O278" s="67" t="n">
        <f aca="false">O361</f>
        <v>-10170.9066666667</v>
      </c>
      <c r="P278" s="67" t="n">
        <f aca="false">P361</f>
        <v>-10170.9066666667</v>
      </c>
      <c r="Q278" s="67" t="n">
        <f aca="false">Q361</f>
        <v>-10170.9066666667</v>
      </c>
      <c r="R278" s="67" t="n">
        <f aca="false">R361</f>
        <v>-10170.9066666667</v>
      </c>
      <c r="S278" s="67" t="n">
        <f aca="false">S361</f>
        <v>-10170.9066666667</v>
      </c>
      <c r="T278" s="67" t="n">
        <f aca="false">T361</f>
        <v>-10170.9066666667</v>
      </c>
      <c r="U278" s="67" t="n">
        <f aca="false">U361</f>
        <v>-10170.9066666667</v>
      </c>
      <c r="V278" s="67" t="n">
        <f aca="false">V361</f>
        <v>-10170.9066666667</v>
      </c>
      <c r="W278" s="67" t="n">
        <f aca="false">W361</f>
        <v>-10170.9066666667</v>
      </c>
      <c r="X278" s="67" t="n">
        <f aca="false">X361</f>
        <v>-10170.9066666667</v>
      </c>
      <c r="Y278" s="67" t="n">
        <f aca="false">Y361</f>
        <v>-10170.9066666667</v>
      </c>
      <c r="Z278" s="67" t="n">
        <f aca="false">Z361</f>
        <v>-10170.9066666667</v>
      </c>
      <c r="AA278" s="67" t="n">
        <f aca="false">AA361</f>
        <v>-10476.0338666667</v>
      </c>
      <c r="AB278" s="67" t="n">
        <f aca="false">AB361</f>
        <v>-10476.0338666667</v>
      </c>
      <c r="AC278" s="67" t="n">
        <f aca="false">AC361</f>
        <v>-10476.0338666667</v>
      </c>
      <c r="AD278" s="67" t="n">
        <f aca="false">AD361</f>
        <v>-10476.0338666667</v>
      </c>
      <c r="AE278" s="67" t="n">
        <f aca="false">AE361</f>
        <v>-10476.0338666667</v>
      </c>
      <c r="AF278" s="67" t="n">
        <f aca="false">AF361</f>
        <v>-10476.0338666667</v>
      </c>
      <c r="AG278" s="67" t="n">
        <f aca="false">AG361</f>
        <v>-10476.0338666667</v>
      </c>
      <c r="AH278" s="67" t="n">
        <f aca="false">AH361</f>
        <v>-10476.0338666667</v>
      </c>
      <c r="AI278" s="67" t="n">
        <f aca="false">AI361</f>
        <v>-10476.0338666667</v>
      </c>
      <c r="AJ278" s="67" t="n">
        <f aca="false">AJ361</f>
        <v>-10476.0338666667</v>
      </c>
      <c r="AK278" s="67" t="n">
        <f aca="false">AK361</f>
        <v>-10476.0338666667</v>
      </c>
      <c r="AL278" s="67" t="n">
        <f aca="false">AL361</f>
        <v>-10476.0338666667</v>
      </c>
    </row>
    <row r="279" customFormat="false" ht="15" hidden="false" customHeight="false" outlineLevel="0" collapsed="false">
      <c r="A279" s="6" t="s">
        <v>331</v>
      </c>
      <c r="C279" s="67" t="n">
        <f aca="false">-Inputs!$D$37*C250*(1+Inputs!$D$34)^(C$247-1)*1</f>
        <v>-850</v>
      </c>
      <c r="D279" s="67" t="n">
        <f aca="false">-Inputs!$D$37*D250*(1+Inputs!$D$34)^(D$247-1)*1</f>
        <v>-850</v>
      </c>
      <c r="E279" s="67" t="n">
        <f aca="false">-Inputs!$D$37*E250*(1+Inputs!$D$34)^(E$247-1)*1</f>
        <v>-850</v>
      </c>
      <c r="F279" s="67" t="n">
        <f aca="false">-Inputs!$D$37*F250*(1+Inputs!$D$34)^(F$247-1)*1</f>
        <v>-850</v>
      </c>
      <c r="G279" s="67" t="n">
        <f aca="false">-Inputs!$D$37*G250*(1+Inputs!$D$34)^(G$247-1)*1</f>
        <v>-850</v>
      </c>
      <c r="H279" s="67" t="n">
        <f aca="false">-Inputs!$D$37*H250*(1+Inputs!$D$34)^(H$247-1)*1</f>
        <v>-850</v>
      </c>
      <c r="I279" s="67" t="n">
        <f aca="false">-Inputs!$D$37*I250*(1+Inputs!$D$34)^(I$247-1)*1</f>
        <v>-850</v>
      </c>
      <c r="J279" s="67" t="n">
        <f aca="false">-Inputs!$D$37*J250*(1+Inputs!$D$34)^(J$247-1)*1</f>
        <v>-850</v>
      </c>
      <c r="K279" s="67" t="n">
        <f aca="false">-Inputs!$D$37*K250*(1+Inputs!$D$34)^(K$247-1)*1</f>
        <v>-850</v>
      </c>
      <c r="L279" s="67" t="n">
        <f aca="false">-Inputs!$D$37*L250*(1+Inputs!$D$34)^(L$247-1)*1</f>
        <v>-850</v>
      </c>
      <c r="M279" s="67" t="n">
        <f aca="false">-Inputs!$D$37*M250*(1+Inputs!$D$34)^(M$247-1)*1</f>
        <v>-850</v>
      </c>
      <c r="N279" s="67" t="n">
        <f aca="false">-Inputs!$D$37*N250*(1+Inputs!$D$34)^(N$247-1)*1</f>
        <v>-850</v>
      </c>
      <c r="O279" s="67" t="n">
        <f aca="false">-Inputs!$D$37*O250*(1+Inputs!$D$34)^(O$247-1)*1</f>
        <v>-871.25</v>
      </c>
      <c r="P279" s="67" t="n">
        <f aca="false">-Inputs!$D$37*P250*(1+Inputs!$D$34)^(P$247-1)*1</f>
        <v>-871.25</v>
      </c>
      <c r="Q279" s="67" t="n">
        <f aca="false">-Inputs!$D$37*Q250*(1+Inputs!$D$34)^(Q$247-1)*1</f>
        <v>-871.25</v>
      </c>
      <c r="R279" s="67" t="n">
        <f aca="false">-Inputs!$D$37*R250*(1+Inputs!$D$34)^(R$247-1)*1</f>
        <v>-871.25</v>
      </c>
      <c r="S279" s="67" t="n">
        <f aca="false">-Inputs!$D$37*S250*(1+Inputs!$D$34)^(S$247-1)*1</f>
        <v>-871.25</v>
      </c>
      <c r="T279" s="67" t="n">
        <f aca="false">-Inputs!$D$37*T250*(1+Inputs!$D$34)^(T$247-1)*1</f>
        <v>-871.25</v>
      </c>
      <c r="U279" s="67" t="n">
        <f aca="false">-Inputs!$D$37*U250*(1+Inputs!$D$34)^(U$247-1)*1</f>
        <v>-871.25</v>
      </c>
      <c r="V279" s="67" t="n">
        <f aca="false">-Inputs!$D$37*V250*(1+Inputs!$D$34)^(V$247-1)*1</f>
        <v>-871.25</v>
      </c>
      <c r="W279" s="67" t="n">
        <f aca="false">-Inputs!$D$37*W250*(1+Inputs!$D$34)^(W$247-1)*1</f>
        <v>-871.25</v>
      </c>
      <c r="X279" s="67" t="n">
        <f aca="false">-Inputs!$D$37*X250*(1+Inputs!$D$34)^(X$247-1)*1</f>
        <v>-871.25</v>
      </c>
      <c r="Y279" s="67" t="n">
        <f aca="false">-Inputs!$D$37*Y250*(1+Inputs!$D$34)^(Y$247-1)*1</f>
        <v>-871.25</v>
      </c>
      <c r="Z279" s="67" t="n">
        <f aca="false">-Inputs!$D$37*Z250*(1+Inputs!$D$34)^(Z$247-1)*1</f>
        <v>-871.25</v>
      </c>
      <c r="AA279" s="67" t="n">
        <f aca="false">-Inputs!$D$37*AA250*(1+Inputs!$D$34)^(AA$247-1)*1</f>
        <v>-893.03125</v>
      </c>
      <c r="AB279" s="67" t="n">
        <f aca="false">-Inputs!$D$37*AB250*(1+Inputs!$D$34)^(AB$247-1)*1</f>
        <v>-893.03125</v>
      </c>
      <c r="AC279" s="67" t="n">
        <f aca="false">-Inputs!$D$37*AC250*(1+Inputs!$D$34)^(AC$247-1)*1</f>
        <v>-893.03125</v>
      </c>
      <c r="AD279" s="67" t="n">
        <f aca="false">-Inputs!$D$37*AD250*(1+Inputs!$D$34)^(AD$247-1)*1</f>
        <v>-893.03125</v>
      </c>
      <c r="AE279" s="67" t="n">
        <f aca="false">-Inputs!$D$37*AE250*(1+Inputs!$D$34)^(AE$247-1)*1</f>
        <v>-893.03125</v>
      </c>
      <c r="AF279" s="67" t="n">
        <f aca="false">-Inputs!$D$37*AF250*(1+Inputs!$D$34)^(AF$247-1)*1</f>
        <v>-893.03125</v>
      </c>
      <c r="AG279" s="67" t="n">
        <f aca="false">-Inputs!$D$37*AG250*(1+Inputs!$D$34)^(AG$247-1)*1</f>
        <v>-893.03125</v>
      </c>
      <c r="AH279" s="67" t="n">
        <f aca="false">-Inputs!$D$37*AH250*(1+Inputs!$D$34)^(AH$247-1)*1</f>
        <v>-893.03125</v>
      </c>
      <c r="AI279" s="67" t="n">
        <f aca="false">-Inputs!$D$37*AI250*(1+Inputs!$D$34)^(AI$247-1)*1</f>
        <v>-893.03125</v>
      </c>
      <c r="AJ279" s="67" t="n">
        <f aca="false">-Inputs!$D$37*AJ250*(1+Inputs!$D$34)^(AJ$247-1)*1</f>
        <v>-893.03125</v>
      </c>
      <c r="AK279" s="67" t="n">
        <f aca="false">-Inputs!$D$37*AK250*(1+Inputs!$D$34)^(AK$247-1)*1</f>
        <v>-893.03125</v>
      </c>
      <c r="AL279" s="67" t="n">
        <f aca="false">-Inputs!$D$37*AL250*(1+Inputs!$D$34)^(AL$247-1)*1</f>
        <v>-893.03125</v>
      </c>
    </row>
    <row r="280" customFormat="false" ht="15" hidden="false" customHeight="false" outlineLevel="0" collapsed="false">
      <c r="A280" s="6" t="s">
        <v>332</v>
      </c>
      <c r="C280" s="67" t="n">
        <f aca="false">-Inputs!$D$38*C250*(1+Inputs!$D$34)^(C$247-1)*1</f>
        <v>-360</v>
      </c>
      <c r="D280" s="67" t="n">
        <f aca="false">-Inputs!$D$38*D250*(1+Inputs!$D$34)^(D$247-1)*1</f>
        <v>-360</v>
      </c>
      <c r="E280" s="67" t="n">
        <f aca="false">-Inputs!$D$38*E250*(1+Inputs!$D$34)^(E$247-1)*1</f>
        <v>-360</v>
      </c>
      <c r="F280" s="67" t="n">
        <f aca="false">-Inputs!$D$38*F250*(1+Inputs!$D$34)^(F$247-1)*1</f>
        <v>-360</v>
      </c>
      <c r="G280" s="67" t="n">
        <f aca="false">-Inputs!$D$38*G250*(1+Inputs!$D$34)^(G$247-1)*1</f>
        <v>-360</v>
      </c>
      <c r="H280" s="67" t="n">
        <f aca="false">-Inputs!$D$38*H250*(1+Inputs!$D$34)^(H$247-1)*1</f>
        <v>-360</v>
      </c>
      <c r="I280" s="67" t="n">
        <f aca="false">-Inputs!$D$38*I250*(1+Inputs!$D$34)^(I$247-1)*1</f>
        <v>-360</v>
      </c>
      <c r="J280" s="67" t="n">
        <f aca="false">-Inputs!$D$38*J250*(1+Inputs!$D$34)^(J$247-1)*1</f>
        <v>-360</v>
      </c>
      <c r="K280" s="67" t="n">
        <f aca="false">-Inputs!$D$38*K250*(1+Inputs!$D$34)^(K$247-1)*1</f>
        <v>-360</v>
      </c>
      <c r="L280" s="67" t="n">
        <f aca="false">-Inputs!$D$38*L250*(1+Inputs!$D$34)^(L$247-1)*1</f>
        <v>-360</v>
      </c>
      <c r="M280" s="67" t="n">
        <f aca="false">-Inputs!$D$38*M250*(1+Inputs!$D$34)^(M$247-1)*1</f>
        <v>-360</v>
      </c>
      <c r="N280" s="67" t="n">
        <f aca="false">-Inputs!$D$38*N250*(1+Inputs!$D$34)^(N$247-1)*1</f>
        <v>-360</v>
      </c>
      <c r="O280" s="67" t="n">
        <f aca="false">-Inputs!$D$38*O250*(1+Inputs!$D$34)^(O$247-1)*1</f>
        <v>-369</v>
      </c>
      <c r="P280" s="67" t="n">
        <f aca="false">-Inputs!$D$38*P250*(1+Inputs!$D$34)^(P$247-1)*1</f>
        <v>-369</v>
      </c>
      <c r="Q280" s="67" t="n">
        <f aca="false">-Inputs!$D$38*Q250*(1+Inputs!$D$34)^(Q$247-1)*1</f>
        <v>-369</v>
      </c>
      <c r="R280" s="67" t="n">
        <f aca="false">-Inputs!$D$38*R250*(1+Inputs!$D$34)^(R$247-1)*1</f>
        <v>-369</v>
      </c>
      <c r="S280" s="67" t="n">
        <f aca="false">-Inputs!$D$38*S250*(1+Inputs!$D$34)^(S$247-1)*1</f>
        <v>-369</v>
      </c>
      <c r="T280" s="67" t="n">
        <f aca="false">-Inputs!$D$38*T250*(1+Inputs!$D$34)^(T$247-1)*1</f>
        <v>-369</v>
      </c>
      <c r="U280" s="67" t="n">
        <f aca="false">-Inputs!$D$38*U250*(1+Inputs!$D$34)^(U$247-1)*1</f>
        <v>-369</v>
      </c>
      <c r="V280" s="67" t="n">
        <f aca="false">-Inputs!$D$38*V250*(1+Inputs!$D$34)^(V$247-1)*1</f>
        <v>-369</v>
      </c>
      <c r="W280" s="67" t="n">
        <f aca="false">-Inputs!$D$38*W250*(1+Inputs!$D$34)^(W$247-1)*1</f>
        <v>-369</v>
      </c>
      <c r="X280" s="67" t="n">
        <f aca="false">-Inputs!$D$38*X250*(1+Inputs!$D$34)^(X$247-1)*1</f>
        <v>-369</v>
      </c>
      <c r="Y280" s="67" t="n">
        <f aca="false">-Inputs!$D$38*Y250*(1+Inputs!$D$34)^(Y$247-1)*1</f>
        <v>-369</v>
      </c>
      <c r="Z280" s="67" t="n">
        <f aca="false">-Inputs!$D$38*Z250*(1+Inputs!$D$34)^(Z$247-1)*1</f>
        <v>-369</v>
      </c>
      <c r="AA280" s="67" t="n">
        <f aca="false">-Inputs!$D$38*AA250*(1+Inputs!$D$34)^(AA$247-1)*1</f>
        <v>-378.225</v>
      </c>
      <c r="AB280" s="67" t="n">
        <f aca="false">-Inputs!$D$38*AB250*(1+Inputs!$D$34)^(AB$247-1)*1</f>
        <v>-378.225</v>
      </c>
      <c r="AC280" s="67" t="n">
        <f aca="false">-Inputs!$D$38*AC250*(1+Inputs!$D$34)^(AC$247-1)*1</f>
        <v>-378.225</v>
      </c>
      <c r="AD280" s="67" t="n">
        <f aca="false">-Inputs!$D$38*AD250*(1+Inputs!$D$34)^(AD$247-1)*1</f>
        <v>-378.225</v>
      </c>
      <c r="AE280" s="67" t="n">
        <f aca="false">-Inputs!$D$38*AE250*(1+Inputs!$D$34)^(AE$247-1)*1</f>
        <v>-378.225</v>
      </c>
      <c r="AF280" s="67" t="n">
        <f aca="false">-Inputs!$D$38*AF250*(1+Inputs!$D$34)^(AF$247-1)*1</f>
        <v>-378.225</v>
      </c>
      <c r="AG280" s="67" t="n">
        <f aca="false">-Inputs!$D$38*AG250*(1+Inputs!$D$34)^(AG$247-1)*1</f>
        <v>-378.225</v>
      </c>
      <c r="AH280" s="67" t="n">
        <f aca="false">-Inputs!$D$38*AH250*(1+Inputs!$D$34)^(AH$247-1)*1</f>
        <v>-378.225</v>
      </c>
      <c r="AI280" s="67" t="n">
        <f aca="false">-Inputs!$D$38*AI250*(1+Inputs!$D$34)^(AI$247-1)*1</f>
        <v>-378.225</v>
      </c>
      <c r="AJ280" s="67" t="n">
        <f aca="false">-Inputs!$D$38*AJ250*(1+Inputs!$D$34)^(AJ$247-1)*1</f>
        <v>-378.225</v>
      </c>
      <c r="AK280" s="67" t="n">
        <f aca="false">-Inputs!$D$38*AK250*(1+Inputs!$D$34)^(AK$247-1)*1</f>
        <v>-378.225</v>
      </c>
      <c r="AL280" s="67" t="n">
        <f aca="false">-Inputs!$D$38*AL250*(1+Inputs!$D$34)^(AL$247-1)*1</f>
        <v>-378.225</v>
      </c>
    </row>
    <row r="281" customFormat="false" ht="15" hidden="false" customHeight="false" outlineLevel="0" collapsed="false">
      <c r="A281" s="6" t="s">
        <v>333</v>
      </c>
      <c r="C281" s="67" t="n">
        <f aca="false">-Inputs!$D$39*C250*(1+Inputs!$D$34)^(C$247-1)*1</f>
        <v>-420</v>
      </c>
      <c r="D281" s="67" t="n">
        <f aca="false">-Inputs!$D$39*D250*(1+Inputs!$D$34)^(D$247-1)*1</f>
        <v>-420</v>
      </c>
      <c r="E281" s="67" t="n">
        <f aca="false">-Inputs!$D$39*E250*(1+Inputs!$D$34)^(E$247-1)*1</f>
        <v>-420</v>
      </c>
      <c r="F281" s="67" t="n">
        <f aca="false">-Inputs!$D$39*F250*(1+Inputs!$D$34)^(F$247-1)*1</f>
        <v>-420</v>
      </c>
      <c r="G281" s="67" t="n">
        <f aca="false">-Inputs!$D$39*G250*(1+Inputs!$D$34)^(G$247-1)*1</f>
        <v>-420</v>
      </c>
      <c r="H281" s="67" t="n">
        <f aca="false">-Inputs!$D$39*H250*(1+Inputs!$D$34)^(H$247-1)*1</f>
        <v>-420</v>
      </c>
      <c r="I281" s="67" t="n">
        <f aca="false">-Inputs!$D$39*I250*(1+Inputs!$D$34)^(I$247-1)*1</f>
        <v>-420</v>
      </c>
      <c r="J281" s="67" t="n">
        <f aca="false">-Inputs!$D$39*J250*(1+Inputs!$D$34)^(J$247-1)*1</f>
        <v>-420</v>
      </c>
      <c r="K281" s="67" t="n">
        <f aca="false">-Inputs!$D$39*K250*(1+Inputs!$D$34)^(K$247-1)*1</f>
        <v>-420</v>
      </c>
      <c r="L281" s="67" t="n">
        <f aca="false">-Inputs!$D$39*L250*(1+Inputs!$D$34)^(L$247-1)*1</f>
        <v>-420</v>
      </c>
      <c r="M281" s="67" t="n">
        <f aca="false">-Inputs!$D$39*M250*(1+Inputs!$D$34)^(M$247-1)*1</f>
        <v>-420</v>
      </c>
      <c r="N281" s="67" t="n">
        <f aca="false">-Inputs!$D$39*N250*(1+Inputs!$D$34)^(N$247-1)*1</f>
        <v>-420</v>
      </c>
      <c r="O281" s="67" t="n">
        <f aca="false">-Inputs!$D$39*O250*(1+Inputs!$D$34)^(O$247-1)*1</f>
        <v>-430.5</v>
      </c>
      <c r="P281" s="67" t="n">
        <f aca="false">-Inputs!$D$39*P250*(1+Inputs!$D$34)^(P$247-1)*1</f>
        <v>-430.5</v>
      </c>
      <c r="Q281" s="67" t="n">
        <f aca="false">-Inputs!$D$39*Q250*(1+Inputs!$D$34)^(Q$247-1)*1</f>
        <v>-430.5</v>
      </c>
      <c r="R281" s="67" t="n">
        <f aca="false">-Inputs!$D$39*R250*(1+Inputs!$D$34)^(R$247-1)*1</f>
        <v>-430.5</v>
      </c>
      <c r="S281" s="67" t="n">
        <f aca="false">-Inputs!$D$39*S250*(1+Inputs!$D$34)^(S$247-1)*1</f>
        <v>-430.5</v>
      </c>
      <c r="T281" s="67" t="n">
        <f aca="false">-Inputs!$D$39*T250*(1+Inputs!$D$34)^(T$247-1)*1</f>
        <v>-430.5</v>
      </c>
      <c r="U281" s="67" t="n">
        <f aca="false">-Inputs!$D$39*U250*(1+Inputs!$D$34)^(U$247-1)*1</f>
        <v>-430.5</v>
      </c>
      <c r="V281" s="67" t="n">
        <f aca="false">-Inputs!$D$39*V250*(1+Inputs!$D$34)^(V$247-1)*1</f>
        <v>-430.5</v>
      </c>
      <c r="W281" s="67" t="n">
        <f aca="false">-Inputs!$D$39*W250*(1+Inputs!$D$34)^(W$247-1)*1</f>
        <v>-430.5</v>
      </c>
      <c r="X281" s="67" t="n">
        <f aca="false">-Inputs!$D$39*X250*(1+Inputs!$D$34)^(X$247-1)*1</f>
        <v>-430.5</v>
      </c>
      <c r="Y281" s="67" t="n">
        <f aca="false">-Inputs!$D$39*Y250*(1+Inputs!$D$34)^(Y$247-1)*1</f>
        <v>-430.5</v>
      </c>
      <c r="Z281" s="67" t="n">
        <f aca="false">-Inputs!$D$39*Z250*(1+Inputs!$D$34)^(Z$247-1)*1</f>
        <v>-430.5</v>
      </c>
      <c r="AA281" s="67" t="n">
        <f aca="false">-Inputs!$D$39*AA250*(1+Inputs!$D$34)^(AA$247-1)*1</f>
        <v>-441.2625</v>
      </c>
      <c r="AB281" s="67" t="n">
        <f aca="false">-Inputs!$D$39*AB250*(1+Inputs!$D$34)^(AB$247-1)*1</f>
        <v>-441.2625</v>
      </c>
      <c r="AC281" s="67" t="n">
        <f aca="false">-Inputs!$D$39*AC250*(1+Inputs!$D$34)^(AC$247-1)*1</f>
        <v>-441.2625</v>
      </c>
      <c r="AD281" s="67" t="n">
        <f aca="false">-Inputs!$D$39*AD250*(1+Inputs!$D$34)^(AD$247-1)*1</f>
        <v>-441.2625</v>
      </c>
      <c r="AE281" s="67" t="n">
        <f aca="false">-Inputs!$D$39*AE250*(1+Inputs!$D$34)^(AE$247-1)*1</f>
        <v>-441.2625</v>
      </c>
      <c r="AF281" s="67" t="n">
        <f aca="false">-Inputs!$D$39*AF250*(1+Inputs!$D$34)^(AF$247-1)*1</f>
        <v>-441.2625</v>
      </c>
      <c r="AG281" s="67" t="n">
        <f aca="false">-Inputs!$D$39*AG250*(1+Inputs!$D$34)^(AG$247-1)*1</f>
        <v>-441.2625</v>
      </c>
      <c r="AH281" s="67" t="n">
        <f aca="false">-Inputs!$D$39*AH250*(1+Inputs!$D$34)^(AH$247-1)*1</f>
        <v>-441.2625</v>
      </c>
      <c r="AI281" s="67" t="n">
        <f aca="false">-Inputs!$D$39*AI250*(1+Inputs!$D$34)^(AI$247-1)*1</f>
        <v>-441.2625</v>
      </c>
      <c r="AJ281" s="67" t="n">
        <f aca="false">-Inputs!$D$39*AJ250*(1+Inputs!$D$34)^(AJ$247-1)*1</f>
        <v>-441.2625</v>
      </c>
      <c r="AK281" s="67" t="n">
        <f aca="false">-Inputs!$D$39*AK250*(1+Inputs!$D$34)^(AK$247-1)*1</f>
        <v>-441.2625</v>
      </c>
      <c r="AL281" s="67" t="n">
        <f aca="false">-Inputs!$D$39*AL250*(1+Inputs!$D$34)^(AL$247-1)*1</f>
        <v>-441.2625</v>
      </c>
    </row>
    <row r="282" customFormat="false" ht="15" hidden="false" customHeight="false" outlineLevel="0" collapsed="false">
      <c r="A282" s="6" t="s">
        <v>334</v>
      </c>
      <c r="C282" s="67" t="n">
        <f aca="false">-Inputs!$D$40*C256*(1+Inputs!$D$34)^(C$247-1)</f>
        <v>-622.8</v>
      </c>
      <c r="D282" s="67" t="n">
        <f aca="false">-Inputs!$D$40*D256*(1+Inputs!$D$34)^(D$247-1)</f>
        <v>-635.4</v>
      </c>
      <c r="E282" s="67" t="n">
        <f aca="false">-Inputs!$D$40*E256*(1+Inputs!$D$34)^(E$247-1)</f>
        <v>-830.4</v>
      </c>
      <c r="F282" s="67" t="n">
        <f aca="false">-Inputs!$D$40*F256*(1+Inputs!$D$34)^(F$247-1)</f>
        <v>-843</v>
      </c>
      <c r="G282" s="67" t="n">
        <f aca="false">-Inputs!$D$40*G256*(1+Inputs!$D$34)^(G$247-1)</f>
        <v>-855.6</v>
      </c>
      <c r="H282" s="67" t="n">
        <f aca="false">-Inputs!$D$40*H256*(1+Inputs!$D$34)^(H$247-1)</f>
        <v>-855.6</v>
      </c>
      <c r="I282" s="67" t="n">
        <f aca="false">-Inputs!$D$40*I256*(1+Inputs!$D$34)^(I$247-1)</f>
        <v>-855.6</v>
      </c>
      <c r="J282" s="67" t="n">
        <f aca="false">-Inputs!$D$40*J256*(1+Inputs!$D$34)^(J$247-1)</f>
        <v>-855.6</v>
      </c>
      <c r="K282" s="67" t="n">
        <f aca="false">-Inputs!$D$40*K256*(1+Inputs!$D$34)^(K$247-1)</f>
        <v>-855.6</v>
      </c>
      <c r="L282" s="67" t="n">
        <f aca="false">-Inputs!$D$40*L256*(1+Inputs!$D$34)^(L$247-1)</f>
        <v>-855.6</v>
      </c>
      <c r="M282" s="67" t="n">
        <f aca="false">-Inputs!$D$40*M256*(1+Inputs!$D$34)^(M$247-1)</f>
        <v>-855.6</v>
      </c>
      <c r="N282" s="67" t="n">
        <f aca="false">-Inputs!$D$40*N256*(1+Inputs!$D$34)^(N$247-1)</f>
        <v>-673.2</v>
      </c>
      <c r="O282" s="67" t="n">
        <f aca="false">-Inputs!$D$40*O256*(1+Inputs!$D$34)^(O$247-1)</f>
        <v>-702.945</v>
      </c>
      <c r="P282" s="67" t="n">
        <f aca="false">-Inputs!$D$40*P256*(1+Inputs!$D$34)^(P$247-1)</f>
        <v>-702.945</v>
      </c>
      <c r="Q282" s="67" t="n">
        <f aca="false">-Inputs!$D$40*Q256*(1+Inputs!$D$34)^(Q$247-1)</f>
        <v>-889.905</v>
      </c>
      <c r="R282" s="67" t="n">
        <f aca="false">-Inputs!$D$40*R256*(1+Inputs!$D$34)^(R$247-1)</f>
        <v>-889.905</v>
      </c>
      <c r="S282" s="67" t="n">
        <f aca="false">-Inputs!$D$40*S256*(1+Inputs!$D$34)^(S$247-1)</f>
        <v>-889.905</v>
      </c>
      <c r="T282" s="67" t="n">
        <f aca="false">-Inputs!$D$40*T256*(1+Inputs!$D$34)^(T$247-1)</f>
        <v>-889.905</v>
      </c>
      <c r="U282" s="67" t="n">
        <f aca="false">-Inputs!$D$40*U256*(1+Inputs!$D$34)^(U$247-1)</f>
        <v>-889.905</v>
      </c>
      <c r="V282" s="67" t="n">
        <f aca="false">-Inputs!$D$40*V256*(1+Inputs!$D$34)^(V$247-1)</f>
        <v>-889.905</v>
      </c>
      <c r="W282" s="67" t="n">
        <f aca="false">-Inputs!$D$40*W256*(1+Inputs!$D$34)^(W$247-1)</f>
        <v>-889.905</v>
      </c>
      <c r="X282" s="67" t="n">
        <f aca="false">-Inputs!$D$40*X256*(1+Inputs!$D$34)^(X$247-1)</f>
        <v>-889.905</v>
      </c>
      <c r="Y282" s="67" t="n">
        <f aca="false">-Inputs!$D$40*Y256*(1+Inputs!$D$34)^(Y$247-1)</f>
        <v>-889.905</v>
      </c>
      <c r="Z282" s="67" t="n">
        <f aca="false">-Inputs!$D$40*Z256*(1+Inputs!$D$34)^(Z$247-1)</f>
        <v>-702.945</v>
      </c>
      <c r="AA282" s="67" t="n">
        <f aca="false">-Inputs!$D$40*AA256*(1+Inputs!$D$34)^(AA$247-1)</f>
        <v>-735.0802875</v>
      </c>
      <c r="AB282" s="67" t="n">
        <f aca="false">-Inputs!$D$40*AB256*(1+Inputs!$D$34)^(AB$247-1)</f>
        <v>-735.0802875</v>
      </c>
      <c r="AC282" s="67" t="n">
        <f aca="false">-Inputs!$D$40*AC256*(1+Inputs!$D$34)^(AC$247-1)</f>
        <v>-926.7142875</v>
      </c>
      <c r="AD282" s="67" t="n">
        <f aca="false">-Inputs!$D$40*AD256*(1+Inputs!$D$34)^(AD$247-1)</f>
        <v>-926.7142875</v>
      </c>
      <c r="AE282" s="67" t="n">
        <f aca="false">-Inputs!$D$40*AE256*(1+Inputs!$D$34)^(AE$247-1)</f>
        <v>-926.7142875</v>
      </c>
      <c r="AF282" s="67" t="n">
        <f aca="false">-Inputs!$D$40*AF256*(1+Inputs!$D$34)^(AF$247-1)</f>
        <v>-926.7142875</v>
      </c>
      <c r="AG282" s="67" t="n">
        <f aca="false">-Inputs!$D$40*AG256*(1+Inputs!$D$34)^(AG$247-1)</f>
        <v>-926.7142875</v>
      </c>
      <c r="AH282" s="67" t="n">
        <f aca="false">-Inputs!$D$40*AH256*(1+Inputs!$D$34)^(AH$247-1)</f>
        <v>-926.7142875</v>
      </c>
      <c r="AI282" s="67" t="n">
        <f aca="false">-Inputs!$D$40*AI256*(1+Inputs!$D$34)^(AI$247-1)</f>
        <v>-926.7142875</v>
      </c>
      <c r="AJ282" s="67" t="n">
        <f aca="false">-Inputs!$D$40*AJ256*(1+Inputs!$D$34)^(AJ$247-1)</f>
        <v>-926.7142875</v>
      </c>
      <c r="AK282" s="67" t="n">
        <f aca="false">-Inputs!$D$40*AK256*(1+Inputs!$D$34)^(AK$247-1)</f>
        <v>-926.7142875</v>
      </c>
      <c r="AL282" s="67" t="n">
        <f aca="false">-Inputs!$D$40*AL256*(1+Inputs!$D$34)^(AL$247-1)</f>
        <v>-735.0802875</v>
      </c>
    </row>
    <row r="283" customFormat="false" ht="15" hidden="false" customHeight="false" outlineLevel="0" collapsed="false">
      <c r="A283" s="6" t="s">
        <v>335</v>
      </c>
      <c r="C283" s="67" t="n">
        <f aca="false">-Inputs!$D$41*C250*(1+Inputs!$D$34)^(C$247-1)*1</f>
        <v>-450</v>
      </c>
      <c r="D283" s="67" t="n">
        <f aca="false">-Inputs!$D$41*D250*(1+Inputs!$D$34)^(D$247-1)*1</f>
        <v>-450</v>
      </c>
      <c r="E283" s="67" t="n">
        <f aca="false">-Inputs!$D$41*E250*(1+Inputs!$D$34)^(E$247-1)*1</f>
        <v>-450</v>
      </c>
      <c r="F283" s="67" t="n">
        <f aca="false">-Inputs!$D$41*F250*(1+Inputs!$D$34)^(F$247-1)*1</f>
        <v>-450</v>
      </c>
      <c r="G283" s="67" t="n">
        <f aca="false">-Inputs!$D$41*G250*(1+Inputs!$D$34)^(G$247-1)*1</f>
        <v>-450</v>
      </c>
      <c r="H283" s="67" t="n">
        <f aca="false">-Inputs!$D$41*H250*(1+Inputs!$D$34)^(H$247-1)*1</f>
        <v>-450</v>
      </c>
      <c r="I283" s="67" t="n">
        <f aca="false">-Inputs!$D$41*I250*(1+Inputs!$D$34)^(I$247-1)*1</f>
        <v>-450</v>
      </c>
      <c r="J283" s="67" t="n">
        <f aca="false">-Inputs!$D$41*J250*(1+Inputs!$D$34)^(J$247-1)*1</f>
        <v>-450</v>
      </c>
      <c r="K283" s="67" t="n">
        <f aca="false">-Inputs!$D$41*K250*(1+Inputs!$D$34)^(K$247-1)*1</f>
        <v>-450</v>
      </c>
      <c r="L283" s="67" t="n">
        <f aca="false">-Inputs!$D$41*L250*(1+Inputs!$D$34)^(L$247-1)*1</f>
        <v>-450</v>
      </c>
      <c r="M283" s="67" t="n">
        <f aca="false">-Inputs!$D$41*M250*(1+Inputs!$D$34)^(M$247-1)*1</f>
        <v>-450</v>
      </c>
      <c r="N283" s="67" t="n">
        <f aca="false">-Inputs!$D$41*N250*(1+Inputs!$D$34)^(N$247-1)*1</f>
        <v>-450</v>
      </c>
      <c r="O283" s="67" t="n">
        <f aca="false">-Inputs!$D$41*O250*(1+Inputs!$D$34)^(O$247-1)*1</f>
        <v>-461.25</v>
      </c>
      <c r="P283" s="67" t="n">
        <f aca="false">-Inputs!$D$41*P250*(1+Inputs!$D$34)^(P$247-1)*1</f>
        <v>-461.25</v>
      </c>
      <c r="Q283" s="67" t="n">
        <f aca="false">-Inputs!$D$41*Q250*(1+Inputs!$D$34)^(Q$247-1)*1</f>
        <v>-461.25</v>
      </c>
      <c r="R283" s="67" t="n">
        <f aca="false">-Inputs!$D$41*R250*(1+Inputs!$D$34)^(R$247-1)*1</f>
        <v>-461.25</v>
      </c>
      <c r="S283" s="67" t="n">
        <f aca="false">-Inputs!$D$41*S250*(1+Inputs!$D$34)^(S$247-1)*1</f>
        <v>-461.25</v>
      </c>
      <c r="T283" s="67" t="n">
        <f aca="false">-Inputs!$D$41*T250*(1+Inputs!$D$34)^(T$247-1)*1</f>
        <v>-461.25</v>
      </c>
      <c r="U283" s="67" t="n">
        <f aca="false">-Inputs!$D$41*U250*(1+Inputs!$D$34)^(U$247-1)*1</f>
        <v>-461.25</v>
      </c>
      <c r="V283" s="67" t="n">
        <f aca="false">-Inputs!$D$41*V250*(1+Inputs!$D$34)^(V$247-1)*1</f>
        <v>-461.25</v>
      </c>
      <c r="W283" s="67" t="n">
        <f aca="false">-Inputs!$D$41*W250*(1+Inputs!$D$34)^(W$247-1)*1</f>
        <v>-461.25</v>
      </c>
      <c r="X283" s="67" t="n">
        <f aca="false">-Inputs!$D$41*X250*(1+Inputs!$D$34)^(X$247-1)*1</f>
        <v>-461.25</v>
      </c>
      <c r="Y283" s="67" t="n">
        <f aca="false">-Inputs!$D$41*Y250*(1+Inputs!$D$34)^(Y$247-1)*1</f>
        <v>-461.25</v>
      </c>
      <c r="Z283" s="67" t="n">
        <f aca="false">-Inputs!$D$41*Z250*(1+Inputs!$D$34)^(Z$247-1)*1</f>
        <v>-461.25</v>
      </c>
      <c r="AA283" s="67" t="n">
        <f aca="false">-Inputs!$D$41*AA250*(1+Inputs!$D$34)^(AA$247-1)*1</f>
        <v>-472.78125</v>
      </c>
      <c r="AB283" s="67" t="n">
        <f aca="false">-Inputs!$D$41*AB250*(1+Inputs!$D$34)^(AB$247-1)*1</f>
        <v>-472.78125</v>
      </c>
      <c r="AC283" s="67" t="n">
        <f aca="false">-Inputs!$D$41*AC250*(1+Inputs!$D$34)^(AC$247-1)*1</f>
        <v>-472.78125</v>
      </c>
      <c r="AD283" s="67" t="n">
        <f aca="false">-Inputs!$D$41*AD250*(1+Inputs!$D$34)^(AD$247-1)*1</f>
        <v>-472.78125</v>
      </c>
      <c r="AE283" s="67" t="n">
        <f aca="false">-Inputs!$D$41*AE250*(1+Inputs!$D$34)^(AE$247-1)*1</f>
        <v>-472.78125</v>
      </c>
      <c r="AF283" s="67" t="n">
        <f aca="false">-Inputs!$D$41*AF250*(1+Inputs!$D$34)^(AF$247-1)*1</f>
        <v>-472.78125</v>
      </c>
      <c r="AG283" s="67" t="n">
        <f aca="false">-Inputs!$D$41*AG250*(1+Inputs!$D$34)^(AG$247-1)*1</f>
        <v>-472.78125</v>
      </c>
      <c r="AH283" s="67" t="n">
        <f aca="false">-Inputs!$D$41*AH250*(1+Inputs!$D$34)^(AH$247-1)*1</f>
        <v>-472.78125</v>
      </c>
      <c r="AI283" s="67" t="n">
        <f aca="false">-Inputs!$D$41*AI250*(1+Inputs!$D$34)^(AI$247-1)*1</f>
        <v>-472.78125</v>
      </c>
      <c r="AJ283" s="67" t="n">
        <f aca="false">-Inputs!$D$41*AJ250*(1+Inputs!$D$34)^(AJ$247-1)*1</f>
        <v>-472.78125</v>
      </c>
      <c r="AK283" s="67" t="n">
        <f aca="false">-Inputs!$D$41*AK250*(1+Inputs!$D$34)^(AK$247-1)*1</f>
        <v>-472.78125</v>
      </c>
      <c r="AL283" s="67" t="n">
        <f aca="false">-Inputs!$D$41*AL250*(1+Inputs!$D$34)^(AL$247-1)*1</f>
        <v>-472.78125</v>
      </c>
    </row>
    <row r="284" customFormat="false" ht="15" hidden="false" customHeight="false" outlineLevel="0" collapsed="false">
      <c r="A284" s="6" t="s">
        <v>336</v>
      </c>
      <c r="C284" s="67" t="n">
        <f aca="false">-Inputs!$D$42*(1+Inputs!$D$34)^(C$247-1)*1</f>
        <v>-115</v>
      </c>
      <c r="D284" s="67" t="n">
        <f aca="false">-Inputs!$D$42*(1+Inputs!$D$34)^(D$247-1)*1</f>
        <v>-115</v>
      </c>
      <c r="E284" s="67" t="n">
        <f aca="false">-Inputs!$D$42*(1+Inputs!$D$34)^(E$247-1)*1</f>
        <v>-115</v>
      </c>
      <c r="F284" s="67" t="n">
        <f aca="false">-Inputs!$D$42*(1+Inputs!$D$34)^(F$247-1)*1</f>
        <v>-115</v>
      </c>
      <c r="G284" s="67" t="n">
        <f aca="false">-Inputs!$D$42*(1+Inputs!$D$34)^(G$247-1)*1</f>
        <v>-115</v>
      </c>
      <c r="H284" s="67" t="n">
        <f aca="false">-Inputs!$D$42*(1+Inputs!$D$34)^(H$247-1)*1</f>
        <v>-115</v>
      </c>
      <c r="I284" s="67" t="n">
        <f aca="false">-Inputs!$D$42*(1+Inputs!$D$34)^(I$247-1)*1</f>
        <v>-115</v>
      </c>
      <c r="J284" s="67" t="n">
        <f aca="false">-Inputs!$D$42*(1+Inputs!$D$34)^(J$247-1)*1</f>
        <v>-115</v>
      </c>
      <c r="K284" s="67" t="n">
        <f aca="false">-Inputs!$D$42*(1+Inputs!$D$34)^(K$247-1)*1</f>
        <v>-115</v>
      </c>
      <c r="L284" s="67" t="n">
        <f aca="false">-Inputs!$D$42*(1+Inputs!$D$34)^(L$247-1)*1</f>
        <v>-115</v>
      </c>
      <c r="M284" s="67" t="n">
        <f aca="false">-Inputs!$D$42*(1+Inputs!$D$34)^(M$247-1)*1</f>
        <v>-115</v>
      </c>
      <c r="N284" s="67" t="n">
        <f aca="false">-Inputs!$D$42*(1+Inputs!$D$34)^(N$247-1)*1</f>
        <v>-115</v>
      </c>
      <c r="O284" s="67" t="n">
        <f aca="false">-Inputs!$D$42*(1+Inputs!$D$34)^(O$247-1)*1</f>
        <v>-117.875</v>
      </c>
      <c r="P284" s="67" t="n">
        <f aca="false">-Inputs!$D$42*(1+Inputs!$D$34)^(P$247-1)*1</f>
        <v>-117.875</v>
      </c>
      <c r="Q284" s="67" t="n">
        <f aca="false">-Inputs!$D$42*(1+Inputs!$D$34)^(Q$247-1)*1</f>
        <v>-117.875</v>
      </c>
      <c r="R284" s="67" t="n">
        <f aca="false">-Inputs!$D$42*(1+Inputs!$D$34)^(R$247-1)*1</f>
        <v>-117.875</v>
      </c>
      <c r="S284" s="67" t="n">
        <f aca="false">-Inputs!$D$42*(1+Inputs!$D$34)^(S$247-1)*1</f>
        <v>-117.875</v>
      </c>
      <c r="T284" s="67" t="n">
        <f aca="false">-Inputs!$D$42*(1+Inputs!$D$34)^(T$247-1)*1</f>
        <v>-117.875</v>
      </c>
      <c r="U284" s="67" t="n">
        <f aca="false">-Inputs!$D$42*(1+Inputs!$D$34)^(U$247-1)*1</f>
        <v>-117.875</v>
      </c>
      <c r="V284" s="67" t="n">
        <f aca="false">-Inputs!$D$42*(1+Inputs!$D$34)^(V$247-1)*1</f>
        <v>-117.875</v>
      </c>
      <c r="W284" s="67" t="n">
        <f aca="false">-Inputs!$D$42*(1+Inputs!$D$34)^(W$247-1)*1</f>
        <v>-117.875</v>
      </c>
      <c r="X284" s="67" t="n">
        <f aca="false">-Inputs!$D$42*(1+Inputs!$D$34)^(X$247-1)*1</f>
        <v>-117.875</v>
      </c>
      <c r="Y284" s="67" t="n">
        <f aca="false">-Inputs!$D$42*(1+Inputs!$D$34)^(Y$247-1)*1</f>
        <v>-117.875</v>
      </c>
      <c r="Z284" s="67" t="n">
        <f aca="false">-Inputs!$D$42*(1+Inputs!$D$34)^(Z$247-1)*1</f>
        <v>-117.875</v>
      </c>
      <c r="AA284" s="67" t="n">
        <f aca="false">-Inputs!$D$42*(1+Inputs!$D$34)^(AA$247-1)*1</f>
        <v>-120.821875</v>
      </c>
      <c r="AB284" s="67" t="n">
        <f aca="false">-Inputs!$D$42*(1+Inputs!$D$34)^(AB$247-1)*1</f>
        <v>-120.821875</v>
      </c>
      <c r="AC284" s="67" t="n">
        <f aca="false">-Inputs!$D$42*(1+Inputs!$D$34)^(AC$247-1)*1</f>
        <v>-120.821875</v>
      </c>
      <c r="AD284" s="67" t="n">
        <f aca="false">-Inputs!$D$42*(1+Inputs!$D$34)^(AD$247-1)*1</f>
        <v>-120.821875</v>
      </c>
      <c r="AE284" s="67" t="n">
        <f aca="false">-Inputs!$D$42*(1+Inputs!$D$34)^(AE$247-1)*1</f>
        <v>-120.821875</v>
      </c>
      <c r="AF284" s="67" t="n">
        <f aca="false">-Inputs!$D$42*(1+Inputs!$D$34)^(AF$247-1)*1</f>
        <v>-120.821875</v>
      </c>
      <c r="AG284" s="67" t="n">
        <f aca="false">-Inputs!$D$42*(1+Inputs!$D$34)^(AG$247-1)*1</f>
        <v>-120.821875</v>
      </c>
      <c r="AH284" s="67" t="n">
        <f aca="false">-Inputs!$D$42*(1+Inputs!$D$34)^(AH$247-1)*1</f>
        <v>-120.821875</v>
      </c>
      <c r="AI284" s="67" t="n">
        <f aca="false">-Inputs!$D$42*(1+Inputs!$D$34)^(AI$247-1)*1</f>
        <v>-120.821875</v>
      </c>
      <c r="AJ284" s="67" t="n">
        <f aca="false">-Inputs!$D$42*(1+Inputs!$D$34)^(AJ$247-1)*1</f>
        <v>-120.821875</v>
      </c>
      <c r="AK284" s="67" t="n">
        <f aca="false">-Inputs!$D$42*(1+Inputs!$D$34)^(AK$247-1)*1</f>
        <v>-120.821875</v>
      </c>
      <c r="AL284" s="67" t="n">
        <f aca="false">-Inputs!$D$42*(1+Inputs!$D$34)^(AL$247-1)*1</f>
        <v>-120.821875</v>
      </c>
    </row>
    <row r="285" customFormat="false" ht="15" hidden="false" customHeight="false" outlineLevel="0" collapsed="false">
      <c r="A285" s="6" t="s">
        <v>337</v>
      </c>
      <c r="C285" s="67" t="n">
        <f aca="false">-Inputs!$D$43*(1+Inputs!$D$44)^(C$247-1)*1</f>
        <v>-600</v>
      </c>
      <c r="D285" s="67" t="n">
        <f aca="false">-Inputs!$D$43*(1+Inputs!$D$44)^(D$247-1)*1</f>
        <v>-600</v>
      </c>
      <c r="E285" s="67" t="n">
        <f aca="false">-Inputs!$D$43*(1+Inputs!$D$44)^(E$247-1)*1</f>
        <v>-600</v>
      </c>
      <c r="F285" s="67" t="n">
        <f aca="false">-Inputs!$D$43*(1+Inputs!$D$44)^(F$247-1)*1</f>
        <v>-600</v>
      </c>
      <c r="G285" s="67" t="n">
        <f aca="false">-Inputs!$D$43*(1+Inputs!$D$44)^(G$247-1)*1</f>
        <v>-600</v>
      </c>
      <c r="H285" s="67" t="n">
        <f aca="false">-Inputs!$D$43*(1+Inputs!$D$44)^(H$247-1)*1</f>
        <v>-600</v>
      </c>
      <c r="I285" s="67" t="n">
        <f aca="false">-Inputs!$D$43*(1+Inputs!$D$44)^(I$247-1)*1</f>
        <v>-600</v>
      </c>
      <c r="J285" s="67" t="n">
        <f aca="false">-Inputs!$D$43*(1+Inputs!$D$44)^(J$247-1)*1</f>
        <v>-600</v>
      </c>
      <c r="K285" s="67" t="n">
        <f aca="false">-Inputs!$D$43*(1+Inputs!$D$44)^(K$247-1)*1</f>
        <v>-600</v>
      </c>
      <c r="L285" s="67" t="n">
        <f aca="false">-Inputs!$D$43*(1+Inputs!$D$44)^(L$247-1)*1</f>
        <v>-600</v>
      </c>
      <c r="M285" s="67" t="n">
        <f aca="false">-Inputs!$D$43*(1+Inputs!$D$44)^(M$247-1)*1</f>
        <v>-600</v>
      </c>
      <c r="N285" s="67" t="n">
        <f aca="false">-Inputs!$D$43*(1+Inputs!$D$44)^(N$247-1)*1</f>
        <v>-600</v>
      </c>
      <c r="O285" s="67" t="n">
        <f aca="false">-Inputs!$D$43*(1+Inputs!$D$44)^(O$247-1)*1</f>
        <v>-600</v>
      </c>
      <c r="P285" s="67" t="n">
        <f aca="false">-Inputs!$D$43*(1+Inputs!$D$44)^(P$247-1)*1</f>
        <v>-600</v>
      </c>
      <c r="Q285" s="67" t="n">
        <f aca="false">-Inputs!$D$43*(1+Inputs!$D$44)^(Q$247-1)*1</f>
        <v>-600</v>
      </c>
      <c r="R285" s="67" t="n">
        <f aca="false">-Inputs!$D$43*(1+Inputs!$D$44)^(R$247-1)*1</f>
        <v>-600</v>
      </c>
      <c r="S285" s="67" t="n">
        <f aca="false">-Inputs!$D$43*(1+Inputs!$D$44)^(S$247-1)*1</f>
        <v>-600</v>
      </c>
      <c r="T285" s="67" t="n">
        <f aca="false">-Inputs!$D$43*(1+Inputs!$D$44)^(T$247-1)*1</f>
        <v>-600</v>
      </c>
      <c r="U285" s="67" t="n">
        <f aca="false">-Inputs!$D$43*(1+Inputs!$D$44)^(U$247-1)*1</f>
        <v>-600</v>
      </c>
      <c r="V285" s="67" t="n">
        <f aca="false">-Inputs!$D$43*(1+Inputs!$D$44)^(V$247-1)*1</f>
        <v>-600</v>
      </c>
      <c r="W285" s="67" t="n">
        <f aca="false">-Inputs!$D$43*(1+Inputs!$D$44)^(W$247-1)*1</f>
        <v>-600</v>
      </c>
      <c r="X285" s="67" t="n">
        <f aca="false">-Inputs!$D$43*(1+Inputs!$D$44)^(X$247-1)*1</f>
        <v>-600</v>
      </c>
      <c r="Y285" s="67" t="n">
        <f aca="false">-Inputs!$D$43*(1+Inputs!$D$44)^(Y$247-1)*1</f>
        <v>-600</v>
      </c>
      <c r="Z285" s="67" t="n">
        <f aca="false">-Inputs!$D$43*(1+Inputs!$D$44)^(Z$247-1)*1</f>
        <v>-600</v>
      </c>
      <c r="AA285" s="67" t="n">
        <f aca="false">-Inputs!$D$43*(1+Inputs!$D$44)^(AA$247-1)*1</f>
        <v>-600</v>
      </c>
      <c r="AB285" s="67" t="n">
        <f aca="false">-Inputs!$D$43*(1+Inputs!$D$44)^(AB$247-1)*1</f>
        <v>-600</v>
      </c>
      <c r="AC285" s="67" t="n">
        <f aca="false">-Inputs!$D$43*(1+Inputs!$D$44)^(AC$247-1)*1</f>
        <v>-600</v>
      </c>
      <c r="AD285" s="67" t="n">
        <f aca="false">-Inputs!$D$43*(1+Inputs!$D$44)^(AD$247-1)*1</f>
        <v>-600</v>
      </c>
      <c r="AE285" s="67" t="n">
        <f aca="false">-Inputs!$D$43*(1+Inputs!$D$44)^(AE$247-1)*1</f>
        <v>-600</v>
      </c>
      <c r="AF285" s="67" t="n">
        <f aca="false">-Inputs!$D$43*(1+Inputs!$D$44)^(AF$247-1)*1</f>
        <v>-600</v>
      </c>
      <c r="AG285" s="67" t="n">
        <f aca="false">-Inputs!$D$43*(1+Inputs!$D$44)^(AG$247-1)*1</f>
        <v>-600</v>
      </c>
      <c r="AH285" s="67" t="n">
        <f aca="false">-Inputs!$D$43*(1+Inputs!$D$44)^(AH$247-1)*1</f>
        <v>-600</v>
      </c>
      <c r="AI285" s="67" t="n">
        <f aca="false">-Inputs!$D$43*(1+Inputs!$D$44)^(AI$247-1)*1</f>
        <v>-600</v>
      </c>
      <c r="AJ285" s="67" t="n">
        <f aca="false">-Inputs!$D$43*(1+Inputs!$D$44)^(AJ$247-1)*1</f>
        <v>-600</v>
      </c>
      <c r="AK285" s="67" t="n">
        <f aca="false">-Inputs!$D$43*(1+Inputs!$D$44)^(AK$247-1)*1</f>
        <v>-600</v>
      </c>
      <c r="AL285" s="67" t="n">
        <f aca="false">-Inputs!$D$43*(1+Inputs!$D$44)^(AL$247-1)*1</f>
        <v>-600</v>
      </c>
    </row>
    <row r="286" customFormat="false" ht="15" hidden="false" customHeight="false" outlineLevel="0" collapsed="false">
      <c r="A286" s="6" t="s">
        <v>338</v>
      </c>
      <c r="C286" s="67" t="n">
        <f aca="false">-Inputs!$D$45*(1+Inputs!$D$34)^(C$247-1)*1</f>
        <v>-320</v>
      </c>
      <c r="D286" s="67" t="n">
        <f aca="false">-Inputs!$D$45*(1+Inputs!$D$34)^(D$247-1)*1</f>
        <v>-320</v>
      </c>
      <c r="E286" s="67" t="n">
        <f aca="false">-Inputs!$D$45*(1+Inputs!$D$34)^(E$247-1)*1</f>
        <v>-320</v>
      </c>
      <c r="F286" s="67" t="n">
        <f aca="false">-Inputs!$D$45*(1+Inputs!$D$34)^(F$247-1)*1</f>
        <v>-320</v>
      </c>
      <c r="G286" s="67" t="n">
        <f aca="false">-Inputs!$D$45*(1+Inputs!$D$34)^(G$247-1)*1</f>
        <v>-320</v>
      </c>
      <c r="H286" s="67" t="n">
        <f aca="false">-Inputs!$D$45*(1+Inputs!$D$34)^(H$247-1)*1</f>
        <v>-320</v>
      </c>
      <c r="I286" s="67" t="n">
        <f aca="false">-Inputs!$D$45*(1+Inputs!$D$34)^(I$247-1)*1</f>
        <v>-320</v>
      </c>
      <c r="J286" s="67" t="n">
        <f aca="false">-Inputs!$D$45*(1+Inputs!$D$34)^(J$247-1)*1</f>
        <v>-320</v>
      </c>
      <c r="K286" s="67" t="n">
        <f aca="false">-Inputs!$D$45*(1+Inputs!$D$34)^(K$247-1)*1</f>
        <v>-320</v>
      </c>
      <c r="L286" s="67" t="n">
        <f aca="false">-Inputs!$D$45*(1+Inputs!$D$34)^(L$247-1)*1</f>
        <v>-320</v>
      </c>
      <c r="M286" s="67" t="n">
        <f aca="false">-Inputs!$D$45*(1+Inputs!$D$34)^(M$247-1)*1</f>
        <v>-320</v>
      </c>
      <c r="N286" s="67" t="n">
        <f aca="false">-Inputs!$D$45*(1+Inputs!$D$34)^(N$247-1)*1</f>
        <v>-320</v>
      </c>
      <c r="O286" s="67" t="n">
        <f aca="false">-Inputs!$D$45*(1+Inputs!$D$34)^(O$247-1)*1</f>
        <v>-328</v>
      </c>
      <c r="P286" s="67" t="n">
        <f aca="false">-Inputs!$D$45*(1+Inputs!$D$34)^(P$247-1)*1</f>
        <v>-328</v>
      </c>
      <c r="Q286" s="67" t="n">
        <f aca="false">-Inputs!$D$45*(1+Inputs!$D$34)^(Q$247-1)*1</f>
        <v>-328</v>
      </c>
      <c r="R286" s="67" t="n">
        <f aca="false">-Inputs!$D$45*(1+Inputs!$D$34)^(R$247-1)*1</f>
        <v>-328</v>
      </c>
      <c r="S286" s="67" t="n">
        <f aca="false">-Inputs!$D$45*(1+Inputs!$D$34)^(S$247-1)*1</f>
        <v>-328</v>
      </c>
      <c r="T286" s="67" t="n">
        <f aca="false">-Inputs!$D$45*(1+Inputs!$D$34)^(T$247-1)*1</f>
        <v>-328</v>
      </c>
      <c r="U286" s="67" t="n">
        <f aca="false">-Inputs!$D$45*(1+Inputs!$D$34)^(U$247-1)*1</f>
        <v>-328</v>
      </c>
      <c r="V286" s="67" t="n">
        <f aca="false">-Inputs!$D$45*(1+Inputs!$D$34)^(V$247-1)*1</f>
        <v>-328</v>
      </c>
      <c r="W286" s="67" t="n">
        <f aca="false">-Inputs!$D$45*(1+Inputs!$D$34)^(W$247-1)*1</f>
        <v>-328</v>
      </c>
      <c r="X286" s="67" t="n">
        <f aca="false">-Inputs!$D$45*(1+Inputs!$D$34)^(X$247-1)*1</f>
        <v>-328</v>
      </c>
      <c r="Y286" s="67" t="n">
        <f aca="false">-Inputs!$D$45*(1+Inputs!$D$34)^(Y$247-1)*1</f>
        <v>-328</v>
      </c>
      <c r="Z286" s="67" t="n">
        <f aca="false">-Inputs!$D$45*(1+Inputs!$D$34)^(Z$247-1)*1</f>
        <v>-328</v>
      </c>
      <c r="AA286" s="67" t="n">
        <f aca="false">-Inputs!$D$45*(1+Inputs!$D$34)^(AA$247-1)*1</f>
        <v>-336.2</v>
      </c>
      <c r="AB286" s="67" t="n">
        <f aca="false">-Inputs!$D$45*(1+Inputs!$D$34)^(AB$247-1)*1</f>
        <v>-336.2</v>
      </c>
      <c r="AC286" s="67" t="n">
        <f aca="false">-Inputs!$D$45*(1+Inputs!$D$34)^(AC$247-1)*1</f>
        <v>-336.2</v>
      </c>
      <c r="AD286" s="67" t="n">
        <f aca="false">-Inputs!$D$45*(1+Inputs!$D$34)^(AD$247-1)*1</f>
        <v>-336.2</v>
      </c>
      <c r="AE286" s="67" t="n">
        <f aca="false">-Inputs!$D$45*(1+Inputs!$D$34)^(AE$247-1)*1</f>
        <v>-336.2</v>
      </c>
      <c r="AF286" s="67" t="n">
        <f aca="false">-Inputs!$D$45*(1+Inputs!$D$34)^(AF$247-1)*1</f>
        <v>-336.2</v>
      </c>
      <c r="AG286" s="67" t="n">
        <f aca="false">-Inputs!$D$45*(1+Inputs!$D$34)^(AG$247-1)*1</f>
        <v>-336.2</v>
      </c>
      <c r="AH286" s="67" t="n">
        <f aca="false">-Inputs!$D$45*(1+Inputs!$D$34)^(AH$247-1)*1</f>
        <v>-336.2</v>
      </c>
      <c r="AI286" s="67" t="n">
        <f aca="false">-Inputs!$D$45*(1+Inputs!$D$34)^(AI$247-1)*1</f>
        <v>-336.2</v>
      </c>
      <c r="AJ286" s="67" t="n">
        <f aca="false">-Inputs!$D$45*(1+Inputs!$D$34)^(AJ$247-1)*1</f>
        <v>-336.2</v>
      </c>
      <c r="AK286" s="67" t="n">
        <f aca="false">-Inputs!$D$45*(1+Inputs!$D$34)^(AK$247-1)*1</f>
        <v>-336.2</v>
      </c>
      <c r="AL286" s="67" t="n">
        <f aca="false">-Inputs!$D$45*(1+Inputs!$D$34)^(AL$247-1)*1</f>
        <v>-336.2</v>
      </c>
    </row>
    <row r="287" customFormat="false" ht="15" hidden="false" customHeight="false" outlineLevel="0" collapsed="false">
      <c r="A287" s="113" t="s">
        <v>77</v>
      </c>
      <c r="C287" s="68" t="n">
        <f aca="false">C278+C279+C280+C281+C282+C283+C284+C285+C286</f>
        <v>-13612.4666666667</v>
      </c>
      <c r="D287" s="68" t="n">
        <f aca="false">D278+D279+D280+D281+D282+D283+D284+D285+D286</f>
        <v>-13625.0666666667</v>
      </c>
      <c r="E287" s="68" t="n">
        <f aca="false">E278+E279+E280+E281+E282+E283+E284+E285+E286</f>
        <v>-13820.0666666667</v>
      </c>
      <c r="F287" s="68" t="n">
        <f aca="false">F278+F279+F280+F281+F282+F283+F284+F285+F286</f>
        <v>-13832.6666666667</v>
      </c>
      <c r="G287" s="68" t="n">
        <f aca="false">G278+G279+G280+G281+G282+G283+G284+G285+G286</f>
        <v>-13845.2666666667</v>
      </c>
      <c r="H287" s="68" t="n">
        <f aca="false">H278+H279+H280+H281+H282+H283+H284+H285+H286</f>
        <v>-13845.2666666667</v>
      </c>
      <c r="I287" s="68" t="n">
        <f aca="false">I278+I279+I280+I281+I282+I283+I284+I285+I286</f>
        <v>-13845.2666666667</v>
      </c>
      <c r="J287" s="68" t="n">
        <f aca="false">J278+J279+J280+J281+J282+J283+J284+J285+J286</f>
        <v>-13845.2666666667</v>
      </c>
      <c r="K287" s="68" t="n">
        <f aca="false">K278+K279+K280+K281+K282+K283+K284+K285+K286</f>
        <v>-13845.2666666667</v>
      </c>
      <c r="L287" s="68" t="n">
        <f aca="false">L278+L279+L280+L281+L282+L283+L284+L285+L286</f>
        <v>-13845.2666666667</v>
      </c>
      <c r="M287" s="68" t="n">
        <f aca="false">M278+M279+M280+M281+M282+M283+M284+M285+M286</f>
        <v>-13845.2666666667</v>
      </c>
      <c r="N287" s="68" t="n">
        <f aca="false">N278+N279+N280+N281+N282+N283+N284+N285+N286</f>
        <v>-13662.8666666667</v>
      </c>
      <c r="O287" s="68" t="n">
        <f aca="false">O278+O279+O280+O281+O282+O283+O284+O285+O286</f>
        <v>-14051.7266666667</v>
      </c>
      <c r="P287" s="68" t="n">
        <f aca="false">P278+P279+P280+P281+P282+P283+P284+P285+P286</f>
        <v>-14051.7266666667</v>
      </c>
      <c r="Q287" s="68" t="n">
        <f aca="false">Q278+Q279+Q280+Q281+Q282+Q283+Q284+Q285+Q286</f>
        <v>-14238.6866666667</v>
      </c>
      <c r="R287" s="68" t="n">
        <f aca="false">R278+R279+R280+R281+R282+R283+R284+R285+R286</f>
        <v>-14238.6866666667</v>
      </c>
      <c r="S287" s="68" t="n">
        <f aca="false">S278+S279+S280+S281+S282+S283+S284+S285+S286</f>
        <v>-14238.6866666667</v>
      </c>
      <c r="T287" s="68" t="n">
        <f aca="false">T278+T279+T280+T281+T282+T283+T284+T285+T286</f>
        <v>-14238.6866666667</v>
      </c>
      <c r="U287" s="68" t="n">
        <f aca="false">U278+U279+U280+U281+U282+U283+U284+U285+U286</f>
        <v>-14238.6866666667</v>
      </c>
      <c r="V287" s="68" t="n">
        <f aca="false">V278+V279+V280+V281+V282+V283+V284+V285+V286</f>
        <v>-14238.6866666667</v>
      </c>
      <c r="W287" s="68" t="n">
        <f aca="false">W278+W279+W280+W281+W282+W283+W284+W285+W286</f>
        <v>-14238.6866666667</v>
      </c>
      <c r="X287" s="68" t="n">
        <f aca="false">X278+X279+X280+X281+X282+X283+X284+X285+X286</f>
        <v>-14238.6866666667</v>
      </c>
      <c r="Y287" s="68" t="n">
        <f aca="false">Y278+Y279+Y280+Y281+Y282+Y283+Y284+Y285+Y286</f>
        <v>-14238.6866666667</v>
      </c>
      <c r="Z287" s="68" t="n">
        <f aca="false">Z278+Z279+Z280+Z281+Z282+Z283+Z284+Z285+Z286</f>
        <v>-14051.7266666667</v>
      </c>
      <c r="AA287" s="68" t="n">
        <f aca="false">AA278+AA279+AA280+AA281+AA282+AA283+AA284+AA285+AA286</f>
        <v>-14453.4360291667</v>
      </c>
      <c r="AB287" s="68" t="n">
        <f aca="false">AB278+AB279+AB280+AB281+AB282+AB283+AB284+AB285+AB286</f>
        <v>-14453.4360291667</v>
      </c>
      <c r="AC287" s="68" t="n">
        <f aca="false">AC278+AC279+AC280+AC281+AC282+AC283+AC284+AC285+AC286</f>
        <v>-14645.0700291667</v>
      </c>
      <c r="AD287" s="68" t="n">
        <f aca="false">AD278+AD279+AD280+AD281+AD282+AD283+AD284+AD285+AD286</f>
        <v>-14645.0700291667</v>
      </c>
      <c r="AE287" s="68" t="n">
        <f aca="false">AE278+AE279+AE280+AE281+AE282+AE283+AE284+AE285+AE286</f>
        <v>-14645.0700291667</v>
      </c>
      <c r="AF287" s="68" t="n">
        <f aca="false">AF278+AF279+AF280+AF281+AF282+AF283+AF284+AF285+AF286</f>
        <v>-14645.0700291667</v>
      </c>
      <c r="AG287" s="68" t="n">
        <f aca="false">AG278+AG279+AG280+AG281+AG282+AG283+AG284+AG285+AG286</f>
        <v>-14645.0700291667</v>
      </c>
      <c r="AH287" s="68" t="n">
        <f aca="false">AH278+AH279+AH280+AH281+AH282+AH283+AH284+AH285+AH286</f>
        <v>-14645.0700291667</v>
      </c>
      <c r="AI287" s="68" t="n">
        <f aca="false">AI278+AI279+AI280+AI281+AI282+AI283+AI284+AI285+AI286</f>
        <v>-14645.0700291667</v>
      </c>
      <c r="AJ287" s="68" t="n">
        <f aca="false">AJ278+AJ279+AJ280+AJ281+AJ282+AJ283+AJ284+AJ285+AJ286</f>
        <v>-14645.0700291667</v>
      </c>
      <c r="AK287" s="68" t="n">
        <f aca="false">AK278+AK279+AK280+AK281+AK282+AK283+AK284+AK285+AK286</f>
        <v>-14645.0700291667</v>
      </c>
      <c r="AL287" s="68" t="n">
        <f aca="false">AL278+AL279+AL280+AL281+AL282+AL283+AL284+AL285+AL286</f>
        <v>-14453.4360291667</v>
      </c>
    </row>
    <row r="288" customFormat="false" ht="15" hidden="false" customHeight="false" outlineLevel="0" collapsed="false">
      <c r="A288" s="113" t="s">
        <v>48</v>
      </c>
      <c r="C288" s="68" t="n">
        <f aca="false">C275+C287</f>
        <v>-3356.41946666666</v>
      </c>
      <c r="D288" s="68" t="n">
        <f aca="false">D275+D287</f>
        <v>-1659.67826666667</v>
      </c>
      <c r="E288" s="68" t="n">
        <f aca="false">E275+E287</f>
        <v>3616.39946666667</v>
      </c>
      <c r="F288" s="68" t="n">
        <f aca="false">F275+F287</f>
        <v>5783.35773333333</v>
      </c>
      <c r="G288" s="68" t="n">
        <f aca="false">G275+G287</f>
        <v>7950.316</v>
      </c>
      <c r="H288" s="68" t="n">
        <f aca="false">H275+H287</f>
        <v>7950.316</v>
      </c>
      <c r="I288" s="68" t="n">
        <f aca="false">I275+I287</f>
        <v>7950.316</v>
      </c>
      <c r="J288" s="68" t="n">
        <f aca="false">J275+J287</f>
        <v>7950.316</v>
      </c>
      <c r="K288" s="68" t="n">
        <f aca="false">K275+K287</f>
        <v>7950.316</v>
      </c>
      <c r="L288" s="68" t="n">
        <f aca="false">L275+L287</f>
        <v>7950.316</v>
      </c>
      <c r="M288" s="68" t="n">
        <f aca="false">M275+M287</f>
        <v>7950.316</v>
      </c>
      <c r="N288" s="68" t="n">
        <f aca="false">N275+N287</f>
        <v>3430.54533333334</v>
      </c>
      <c r="O288" s="68" t="n">
        <f aca="false">O275+O287</f>
        <v>4785.91251733334</v>
      </c>
      <c r="P288" s="68" t="n">
        <f aca="false">P275+P287</f>
        <v>4785.91251733334</v>
      </c>
      <c r="Q288" s="68" t="n">
        <f aca="false">Q275+Q287</f>
        <v>9736.85104533334</v>
      </c>
      <c r="R288" s="68" t="n">
        <f aca="false">R275+R287</f>
        <v>9736.85104533334</v>
      </c>
      <c r="S288" s="68" t="n">
        <f aca="false">S275+S287</f>
        <v>9736.85104533334</v>
      </c>
      <c r="T288" s="68" t="n">
        <f aca="false">T275+T287</f>
        <v>9736.85104533334</v>
      </c>
      <c r="U288" s="68" t="n">
        <f aca="false">U275+U287</f>
        <v>9736.85104533334</v>
      </c>
      <c r="V288" s="68" t="n">
        <f aca="false">V275+V287</f>
        <v>9736.85104533334</v>
      </c>
      <c r="W288" s="68" t="n">
        <f aca="false">W275+W287</f>
        <v>9736.85104533334</v>
      </c>
      <c r="X288" s="68" t="n">
        <f aca="false">X275+X287</f>
        <v>9736.85104533334</v>
      </c>
      <c r="Y288" s="68" t="n">
        <f aca="false">Y275+Y287</f>
        <v>9736.85104533334</v>
      </c>
      <c r="Z288" s="68" t="n">
        <f aca="false">Z275+Z287</f>
        <v>4785.91251733334</v>
      </c>
      <c r="AA288" s="68" t="n">
        <f aca="false">AA275+AA287</f>
        <v>6313.22464856133</v>
      </c>
      <c r="AB288" s="68" t="n">
        <f aca="false">AB275+AB287</f>
        <v>6313.22464856133</v>
      </c>
      <c r="AC288" s="68" t="n">
        <f aca="false">AC275+AC287</f>
        <v>11735.5425233373</v>
      </c>
      <c r="AD288" s="68" t="n">
        <f aca="false">AD275+AD287</f>
        <v>11735.5425233373</v>
      </c>
      <c r="AE288" s="68" t="n">
        <f aca="false">AE275+AE287</f>
        <v>11735.5425233373</v>
      </c>
      <c r="AF288" s="68" t="n">
        <f aca="false">AF275+AF287</f>
        <v>11735.5425233373</v>
      </c>
      <c r="AG288" s="68" t="n">
        <f aca="false">AG275+AG287</f>
        <v>11735.5425233373</v>
      </c>
      <c r="AH288" s="68" t="n">
        <f aca="false">AH275+AH287</f>
        <v>11735.5425233373</v>
      </c>
      <c r="AI288" s="68" t="n">
        <f aca="false">AI275+AI287</f>
        <v>11735.5425233373</v>
      </c>
      <c r="AJ288" s="68" t="n">
        <f aca="false">AJ275+AJ287</f>
        <v>11735.5425233373</v>
      </c>
      <c r="AK288" s="68" t="n">
        <f aca="false">AK275+AK287</f>
        <v>11735.5425233373</v>
      </c>
      <c r="AL288" s="68" t="n">
        <f aca="false">AL275+AL287</f>
        <v>6313.22464856133</v>
      </c>
    </row>
    <row r="290" customFormat="false" ht="15.75" hidden="false" customHeight="true" outlineLevel="0" collapsed="false">
      <c r="A290" s="7" t="s">
        <v>402</v>
      </c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</row>
    <row r="291" customFormat="false" ht="15" hidden="false" customHeight="false" outlineLevel="0" collapsed="false">
      <c r="A291" s="4" t="s">
        <v>79</v>
      </c>
      <c r="C291" s="73" t="n">
        <f aca="false">C288+C306</f>
        <v>-4999.27660952381</v>
      </c>
      <c r="D291" s="73" t="n">
        <f aca="false">D288+D306</f>
        <v>-3302.53540952381</v>
      </c>
      <c r="E291" s="73" t="n">
        <f aca="false">E288+E306</f>
        <v>1973.54232380952</v>
      </c>
      <c r="F291" s="73" t="n">
        <f aca="false">F288+F306</f>
        <v>4140.50059047618</v>
      </c>
      <c r="G291" s="73" t="n">
        <f aca="false">G288+G306</f>
        <v>6307.45885714286</v>
      </c>
      <c r="H291" s="73" t="n">
        <f aca="false">H288+H306</f>
        <v>6307.45885714286</v>
      </c>
      <c r="I291" s="73" t="n">
        <f aca="false">I288+I306</f>
        <v>6307.45885714286</v>
      </c>
      <c r="J291" s="73" t="n">
        <f aca="false">J288+J306</f>
        <v>6307.45885714286</v>
      </c>
      <c r="K291" s="73" t="n">
        <f aca="false">K288+K306</f>
        <v>6307.45885714286</v>
      </c>
      <c r="L291" s="73" t="n">
        <f aca="false">L288+L306</f>
        <v>6307.45885714286</v>
      </c>
      <c r="M291" s="73" t="n">
        <f aca="false">M288+M306</f>
        <v>6307.45885714286</v>
      </c>
      <c r="N291" s="73" t="n">
        <f aca="false">N288+N306</f>
        <v>1787.68819047619</v>
      </c>
      <c r="O291" s="73" t="n">
        <f aca="false">O288+O306</f>
        <v>3113.29346971429</v>
      </c>
      <c r="P291" s="73" t="n">
        <f aca="false">P288+P306</f>
        <v>3113.29346971429</v>
      </c>
      <c r="Q291" s="73" t="n">
        <f aca="false">Q288+Q306</f>
        <v>8064.23199771429</v>
      </c>
      <c r="R291" s="73" t="n">
        <f aca="false">R288+R306</f>
        <v>8064.23199771429</v>
      </c>
      <c r="S291" s="73" t="n">
        <f aca="false">S288+S306</f>
        <v>8064.23199771429</v>
      </c>
      <c r="T291" s="73" t="n">
        <f aca="false">T288+T306</f>
        <v>8064.23199771429</v>
      </c>
      <c r="U291" s="73" t="n">
        <f aca="false">U288+U306</f>
        <v>8064.23199771429</v>
      </c>
      <c r="V291" s="73" t="n">
        <f aca="false">V288+V306</f>
        <v>8064.23199771429</v>
      </c>
      <c r="W291" s="73" t="n">
        <f aca="false">W288+W306</f>
        <v>8064.23199771429</v>
      </c>
      <c r="X291" s="73" t="n">
        <f aca="false">X288+X306</f>
        <v>8064.23199771429</v>
      </c>
      <c r="Y291" s="73" t="n">
        <f aca="false">Y288+Y306</f>
        <v>8064.23199771429</v>
      </c>
      <c r="Z291" s="73" t="n">
        <f aca="false">Z288+Z306</f>
        <v>3113.29346971429</v>
      </c>
      <c r="AA291" s="73" t="n">
        <f aca="false">AA288+AA306</f>
        <v>4610.84369618038</v>
      </c>
      <c r="AB291" s="73" t="n">
        <f aca="false">AB288+AB306</f>
        <v>4610.84369618038</v>
      </c>
      <c r="AC291" s="73" t="n">
        <f aca="false">AC288+AC306</f>
        <v>10033.1615709564</v>
      </c>
      <c r="AD291" s="73" t="n">
        <f aca="false">AD288+AD306</f>
        <v>10033.1615709564</v>
      </c>
      <c r="AE291" s="73" t="n">
        <f aca="false">AE288+AE306</f>
        <v>10033.1615709564</v>
      </c>
      <c r="AF291" s="73" t="n">
        <f aca="false">AF288+AF306</f>
        <v>10033.1615709564</v>
      </c>
      <c r="AG291" s="73" t="n">
        <f aca="false">AG288+AG306</f>
        <v>10033.1615709564</v>
      </c>
      <c r="AH291" s="73" t="n">
        <f aca="false">AH288+AH306</f>
        <v>10033.1615709564</v>
      </c>
      <c r="AI291" s="73" t="n">
        <f aca="false">AI288+AI306</f>
        <v>10033.1615709564</v>
      </c>
      <c r="AJ291" s="73" t="n">
        <f aca="false">AJ288+AJ306</f>
        <v>10033.1615709564</v>
      </c>
      <c r="AK291" s="73" t="n">
        <f aca="false">AK288+AK306</f>
        <v>10033.1615709564</v>
      </c>
      <c r="AL291" s="73" t="n">
        <f aca="false">AL288+AL306</f>
        <v>4610.84369618038</v>
      </c>
    </row>
    <row r="292" customFormat="false" ht="15" hidden="false" customHeight="false" outlineLevel="0" collapsed="false">
      <c r="A292" s="6" t="s">
        <v>403</v>
      </c>
      <c r="C292" s="67" t="n">
        <f aca="false">-(C311+C312+C314)/2*Inputs!$D$73/12</f>
        <v>-675</v>
      </c>
      <c r="D292" s="67" t="n">
        <f aca="false">-(D311+D312+D314)/2*Inputs!$D$73/12</f>
        <v>-669.375</v>
      </c>
      <c r="E292" s="67" t="n">
        <f aca="false">-(E311+E312+E314)/2*Inputs!$D$73/12</f>
        <v>-658.125</v>
      </c>
      <c r="F292" s="67" t="n">
        <f aca="false">-(F311+F312+F314)/2*Inputs!$D$73/12</f>
        <v>-646.875</v>
      </c>
      <c r="G292" s="67" t="n">
        <f aca="false">-(G311+G312+G314)/2*Inputs!$D$73/12</f>
        <v>-635.625</v>
      </c>
      <c r="H292" s="67" t="n">
        <f aca="false">-(H311+H312+H314)/2*Inputs!$D$73/12</f>
        <v>-624.375</v>
      </c>
      <c r="I292" s="67" t="n">
        <f aca="false">-(I311+I312+I314)/2*Inputs!$D$73/12</f>
        <v>-613.125</v>
      </c>
      <c r="J292" s="67" t="n">
        <f aca="false">-(J311+J312+J314)/2*Inputs!$D$73/12</f>
        <v>-601.875</v>
      </c>
      <c r="K292" s="67" t="n">
        <f aca="false">-(K311+K312+K314)/2*Inputs!$D$73/12</f>
        <v>-590.625</v>
      </c>
      <c r="L292" s="67" t="n">
        <f aca="false">-(L311+L312+L314)/2*Inputs!$D$73/12</f>
        <v>-579.375</v>
      </c>
      <c r="M292" s="67" t="n">
        <f aca="false">-(M311+M312+M314)/2*Inputs!$D$73/12</f>
        <v>-568.125</v>
      </c>
      <c r="N292" s="67" t="n">
        <f aca="false">-(N311+N312+N314)/2*Inputs!$D$73/12</f>
        <v>-556.875</v>
      </c>
      <c r="O292" s="67" t="n">
        <f aca="false">-(O311+O312+O314)/2*Inputs!$D$73/12</f>
        <v>-545.625</v>
      </c>
      <c r="P292" s="67" t="n">
        <f aca="false">-(P311+P312+P314)/2*Inputs!$D$73/12</f>
        <v>-534.375</v>
      </c>
      <c r="Q292" s="67" t="n">
        <f aca="false">-(Q311+Q312+Q314)/2*Inputs!$D$73/12</f>
        <v>-523.125</v>
      </c>
      <c r="R292" s="67" t="n">
        <f aca="false">-(R311+R312+R314)/2*Inputs!$D$73/12</f>
        <v>-511.875</v>
      </c>
      <c r="S292" s="67" t="n">
        <f aca="false">-(S311+S312+S314)/2*Inputs!$D$73/12</f>
        <v>-500.625</v>
      </c>
      <c r="T292" s="67" t="n">
        <f aca="false">-(T311+T312+T314)/2*Inputs!$D$73/12</f>
        <v>-489.375</v>
      </c>
      <c r="U292" s="67" t="n">
        <f aca="false">-(U311+U312+U314)/2*Inputs!$D$73/12</f>
        <v>-478.125</v>
      </c>
      <c r="V292" s="67" t="n">
        <f aca="false">-(V311+V312+V314)/2*Inputs!$D$73/12</f>
        <v>-466.875</v>
      </c>
      <c r="W292" s="67" t="n">
        <f aca="false">-(W311+W312+W314)/2*Inputs!$D$73/12</f>
        <v>-455.625</v>
      </c>
      <c r="X292" s="67" t="n">
        <f aca="false">-(X311+X312+X314)/2*Inputs!$D$73/12</f>
        <v>-444.375</v>
      </c>
      <c r="Y292" s="67" t="n">
        <f aca="false">-(Y311+Y312+Y314)/2*Inputs!$D$73/12</f>
        <v>-433.125</v>
      </c>
      <c r="Z292" s="67" t="n">
        <f aca="false">-(Z311+Z312+Z314)/2*Inputs!$D$73/12</f>
        <v>-421.875</v>
      </c>
      <c r="AA292" s="67" t="n">
        <f aca="false">-(AA311+AA312+AA314)/2*Inputs!$D$73/12</f>
        <v>-410.625</v>
      </c>
      <c r="AB292" s="67" t="n">
        <f aca="false">-(AB311+AB312+AB314)/2*Inputs!$D$73/12</f>
        <v>-399.375</v>
      </c>
      <c r="AC292" s="67" t="n">
        <f aca="false">-(AC311+AC312+AC314)/2*Inputs!$D$73/12</f>
        <v>-388.125</v>
      </c>
      <c r="AD292" s="67" t="n">
        <f aca="false">-(AD311+AD312+AD314)/2*Inputs!$D$73/12</f>
        <v>-376.875</v>
      </c>
      <c r="AE292" s="67" t="n">
        <f aca="false">-(AE311+AE312+AE314)/2*Inputs!$D$73/12</f>
        <v>-365.625</v>
      </c>
      <c r="AF292" s="67" t="n">
        <f aca="false">-(AF311+AF312+AF314)/2*Inputs!$D$73/12</f>
        <v>-354.375</v>
      </c>
      <c r="AG292" s="67" t="n">
        <f aca="false">-(AG311+AG312+AG314)/2*Inputs!$D$73/12</f>
        <v>-343.125</v>
      </c>
      <c r="AH292" s="67" t="n">
        <f aca="false">-(AH311+AH312+AH314)/2*Inputs!$D$73/12</f>
        <v>-331.875</v>
      </c>
      <c r="AI292" s="67" t="n">
        <f aca="false">-(AI311+AI312+AI314)/2*Inputs!$D$73/12</f>
        <v>-320.625</v>
      </c>
      <c r="AJ292" s="67" t="n">
        <f aca="false">-(AJ311+AJ312+AJ314)/2*Inputs!$D$73/12</f>
        <v>-309.375</v>
      </c>
      <c r="AK292" s="67" t="n">
        <f aca="false">-(AK311+AK312+AK314)/2*Inputs!$D$73/12</f>
        <v>-298.125</v>
      </c>
      <c r="AL292" s="67" t="n">
        <f aca="false">-(AL311+AL312+AL314)/2*Inputs!$D$73/12</f>
        <v>-286.875</v>
      </c>
    </row>
    <row r="293" customFormat="false" ht="15" hidden="false" customHeight="false" outlineLevel="0" collapsed="false">
      <c r="A293" s="113" t="s">
        <v>81</v>
      </c>
      <c r="C293" s="68" t="n">
        <f aca="false">C291+C292</f>
        <v>-5674.27660952381</v>
      </c>
      <c r="D293" s="68" t="n">
        <f aca="false">D291+D292</f>
        <v>-3971.91040952381</v>
      </c>
      <c r="E293" s="68" t="n">
        <f aca="false">E291+E292</f>
        <v>1315.41732380952</v>
      </c>
      <c r="F293" s="68" t="n">
        <f aca="false">F291+F292</f>
        <v>3493.62559047618</v>
      </c>
      <c r="G293" s="68" t="n">
        <f aca="false">G291+G292</f>
        <v>5671.83385714286</v>
      </c>
      <c r="H293" s="68" t="n">
        <f aca="false">H291+H292</f>
        <v>5683.08385714286</v>
      </c>
      <c r="I293" s="68" t="n">
        <f aca="false">I291+I292</f>
        <v>5694.33385714286</v>
      </c>
      <c r="J293" s="68" t="n">
        <f aca="false">J291+J292</f>
        <v>5705.58385714286</v>
      </c>
      <c r="K293" s="68" t="n">
        <f aca="false">K291+K292</f>
        <v>5716.83385714286</v>
      </c>
      <c r="L293" s="68" t="n">
        <f aca="false">L291+L292</f>
        <v>5728.08385714286</v>
      </c>
      <c r="M293" s="68" t="n">
        <f aca="false">M291+M292</f>
        <v>5739.33385714286</v>
      </c>
      <c r="N293" s="68" t="n">
        <f aca="false">N291+N292</f>
        <v>1230.81319047619</v>
      </c>
      <c r="O293" s="68" t="n">
        <f aca="false">O291+O292</f>
        <v>2567.66846971429</v>
      </c>
      <c r="P293" s="68" t="n">
        <f aca="false">P291+P292</f>
        <v>2578.91846971429</v>
      </c>
      <c r="Q293" s="68" t="n">
        <f aca="false">Q291+Q292</f>
        <v>7541.10699771429</v>
      </c>
      <c r="R293" s="68" t="n">
        <f aca="false">R291+R292</f>
        <v>7552.35699771429</v>
      </c>
      <c r="S293" s="68" t="n">
        <f aca="false">S291+S292</f>
        <v>7563.60699771429</v>
      </c>
      <c r="T293" s="68" t="n">
        <f aca="false">T291+T292</f>
        <v>7574.85699771429</v>
      </c>
      <c r="U293" s="68" t="n">
        <f aca="false">U291+U292</f>
        <v>7586.10699771429</v>
      </c>
      <c r="V293" s="68" t="n">
        <f aca="false">V291+V292</f>
        <v>7597.35699771429</v>
      </c>
      <c r="W293" s="68" t="n">
        <f aca="false">W291+W292</f>
        <v>7608.60699771429</v>
      </c>
      <c r="X293" s="68" t="n">
        <f aca="false">X291+X292</f>
        <v>7619.85699771429</v>
      </c>
      <c r="Y293" s="68" t="n">
        <f aca="false">Y291+Y292</f>
        <v>7631.10699771429</v>
      </c>
      <c r="Z293" s="68" t="n">
        <f aca="false">Z291+Z292</f>
        <v>2691.41846971429</v>
      </c>
      <c r="AA293" s="68" t="n">
        <f aca="false">AA291+AA292</f>
        <v>4200.21869618038</v>
      </c>
      <c r="AB293" s="68" t="n">
        <f aca="false">AB291+AB292</f>
        <v>4211.46869618038</v>
      </c>
      <c r="AC293" s="68" t="n">
        <f aca="false">AC291+AC292</f>
        <v>9645.03657095638</v>
      </c>
      <c r="AD293" s="68" t="n">
        <f aca="false">AD291+AD292</f>
        <v>9656.28657095638</v>
      </c>
      <c r="AE293" s="68" t="n">
        <f aca="false">AE291+AE292</f>
        <v>9667.53657095638</v>
      </c>
      <c r="AF293" s="68" t="n">
        <f aca="false">AF291+AF292</f>
        <v>9678.78657095638</v>
      </c>
      <c r="AG293" s="68" t="n">
        <f aca="false">AG291+AG292</f>
        <v>9690.03657095638</v>
      </c>
      <c r="AH293" s="68" t="n">
        <f aca="false">AH291+AH292</f>
        <v>9701.28657095638</v>
      </c>
      <c r="AI293" s="68" t="n">
        <f aca="false">AI291+AI292</f>
        <v>9712.53657095638</v>
      </c>
      <c r="AJ293" s="68" t="n">
        <f aca="false">AJ291+AJ292</f>
        <v>9723.78657095638</v>
      </c>
      <c r="AK293" s="68" t="n">
        <f aca="false">AK291+AK292</f>
        <v>9735.03657095638</v>
      </c>
      <c r="AL293" s="68" t="n">
        <f aca="false">AL291+AL292</f>
        <v>4323.96869618038</v>
      </c>
    </row>
    <row r="294" customFormat="false" ht="15" hidden="false" customHeight="false" outlineLevel="0" collapsed="false">
      <c r="A294" s="117" t="s">
        <v>404</v>
      </c>
      <c r="C294" s="67" t="n">
        <f aca="false">C293</f>
        <v>-5674.27660952381</v>
      </c>
      <c r="D294" s="67" t="n">
        <f aca="false">C294+D293</f>
        <v>-9646.18701904762</v>
      </c>
      <c r="E294" s="67" t="n">
        <f aca="false">D294+E293</f>
        <v>-8330.76969523809</v>
      </c>
      <c r="F294" s="67" t="n">
        <f aca="false">E294+F293</f>
        <v>-4837.14410476191</v>
      </c>
      <c r="G294" s="67" t="n">
        <f aca="false">F294+G293</f>
        <v>834.689752380949</v>
      </c>
      <c r="H294" s="67" t="n">
        <f aca="false">G294+H293</f>
        <v>6517.77360952381</v>
      </c>
      <c r="I294" s="67" t="n">
        <f aca="false">H294+I293</f>
        <v>12212.1074666667</v>
      </c>
      <c r="J294" s="67" t="n">
        <f aca="false">I294+J293</f>
        <v>17917.6913238095</v>
      </c>
      <c r="K294" s="67" t="n">
        <f aca="false">J294+K293</f>
        <v>23634.5251809524</v>
      </c>
      <c r="L294" s="67" t="n">
        <f aca="false">K294+L293</f>
        <v>29362.6090380952</v>
      </c>
      <c r="M294" s="67" t="n">
        <f aca="false">L294+M293</f>
        <v>35101.9428952381</v>
      </c>
      <c r="N294" s="67" t="n">
        <f aca="false">M294+N293</f>
        <v>36332.7560857143</v>
      </c>
      <c r="O294" s="67" t="n">
        <f aca="false">N294+O293</f>
        <v>38900.4245554286</v>
      </c>
      <c r="P294" s="67" t="n">
        <f aca="false">O294+P293</f>
        <v>41479.3430251429</v>
      </c>
      <c r="Q294" s="67" t="n">
        <f aca="false">P294+Q293</f>
        <v>49020.4500228572</v>
      </c>
      <c r="R294" s="67" t="n">
        <f aca="false">Q294+R293</f>
        <v>56572.8070205715</v>
      </c>
      <c r="S294" s="67" t="n">
        <f aca="false">R294+S293</f>
        <v>64136.4140182857</v>
      </c>
      <c r="T294" s="67" t="n">
        <f aca="false">S294+T293</f>
        <v>71711.271016</v>
      </c>
      <c r="U294" s="67" t="n">
        <f aca="false">T294+U293</f>
        <v>79297.3780137143</v>
      </c>
      <c r="V294" s="67" t="n">
        <f aca="false">U294+V293</f>
        <v>86894.7350114286</v>
      </c>
      <c r="W294" s="67" t="n">
        <f aca="false">V294+W293</f>
        <v>94503.3420091429</v>
      </c>
      <c r="X294" s="67" t="n">
        <f aca="false">W294+X293</f>
        <v>102123.199006857</v>
      </c>
      <c r="Y294" s="67" t="n">
        <f aca="false">X294+Y293</f>
        <v>109754.306004571</v>
      </c>
      <c r="Z294" s="67" t="n">
        <f aca="false">Y294+Z293</f>
        <v>112445.724474286</v>
      </c>
      <c r="AA294" s="67" t="n">
        <f aca="false">Z294+AA293</f>
        <v>116645.943170466</v>
      </c>
      <c r="AB294" s="67" t="n">
        <f aca="false">AA294+AB293</f>
        <v>120857.411866647</v>
      </c>
      <c r="AC294" s="67" t="n">
        <f aca="false">AB294+AC293</f>
        <v>130502.448437603</v>
      </c>
      <c r="AD294" s="67" t="n">
        <f aca="false">AC294+AD293</f>
        <v>140158.735008559</v>
      </c>
      <c r="AE294" s="67" t="n">
        <f aca="false">AD294+AE293</f>
        <v>149826.271579516</v>
      </c>
      <c r="AF294" s="67" t="n">
        <f aca="false">AE294+AF293</f>
        <v>159505.058150472</v>
      </c>
      <c r="AG294" s="67" t="n">
        <f aca="false">AF294+AG293</f>
        <v>169195.094721428</v>
      </c>
      <c r="AH294" s="67" t="n">
        <f aca="false">AG294+AH293</f>
        <v>178896.381292385</v>
      </c>
      <c r="AI294" s="67" t="n">
        <f aca="false">AH294+AI293</f>
        <v>188608.917863341</v>
      </c>
      <c r="AJ294" s="67" t="n">
        <f aca="false">AI294+AJ293</f>
        <v>198332.704434298</v>
      </c>
      <c r="AK294" s="67" t="n">
        <f aca="false">AJ294+AK293</f>
        <v>208067.741005254</v>
      </c>
      <c r="AL294" s="67" t="n">
        <f aca="false">AK294+AL293</f>
        <v>212391.709701434</v>
      </c>
    </row>
    <row r="295" customFormat="false" ht="15" hidden="false" customHeight="false" outlineLevel="0" collapsed="false">
      <c r="A295" s="117" t="s">
        <v>405</v>
      </c>
      <c r="C295" s="67" t="n">
        <f aca="false">MAX(0,C294)</f>
        <v>0</v>
      </c>
      <c r="D295" s="67" t="n">
        <f aca="false">MAX(C295,D294)</f>
        <v>0</v>
      </c>
      <c r="E295" s="67" t="n">
        <f aca="false">MAX(D295,E294)</f>
        <v>0</v>
      </c>
      <c r="F295" s="67" t="n">
        <f aca="false">MAX(E295,F294)</f>
        <v>0</v>
      </c>
      <c r="G295" s="67" t="n">
        <f aca="false">MAX(F295,G294)</f>
        <v>834.689752380949</v>
      </c>
      <c r="H295" s="67" t="n">
        <f aca="false">MAX(G295,H294)</f>
        <v>6517.77360952381</v>
      </c>
      <c r="I295" s="67" t="n">
        <f aca="false">MAX(H295,I294)</f>
        <v>12212.1074666667</v>
      </c>
      <c r="J295" s="67" t="n">
        <f aca="false">MAX(I295,J294)</f>
        <v>17917.6913238095</v>
      </c>
      <c r="K295" s="67" t="n">
        <f aca="false">MAX(J295,K294)</f>
        <v>23634.5251809524</v>
      </c>
      <c r="L295" s="67" t="n">
        <f aca="false">MAX(K295,L294)</f>
        <v>29362.6090380952</v>
      </c>
      <c r="M295" s="67" t="n">
        <f aca="false">MAX(L295,M294)</f>
        <v>35101.9428952381</v>
      </c>
      <c r="N295" s="67" t="n">
        <f aca="false">MAX(M295,N294)</f>
        <v>36332.7560857143</v>
      </c>
      <c r="O295" s="67" t="n">
        <f aca="false">MAX(N295,O294)</f>
        <v>38900.4245554286</v>
      </c>
      <c r="P295" s="67" t="n">
        <f aca="false">MAX(O295,P294)</f>
        <v>41479.3430251429</v>
      </c>
      <c r="Q295" s="67" t="n">
        <f aca="false">MAX(P295,Q294)</f>
        <v>49020.4500228572</v>
      </c>
      <c r="R295" s="67" t="n">
        <f aca="false">MAX(Q295,R294)</f>
        <v>56572.8070205715</v>
      </c>
      <c r="S295" s="67" t="n">
        <f aca="false">MAX(R295,S294)</f>
        <v>64136.4140182857</v>
      </c>
      <c r="T295" s="67" t="n">
        <f aca="false">MAX(S295,T294)</f>
        <v>71711.271016</v>
      </c>
      <c r="U295" s="67" t="n">
        <f aca="false">MAX(T295,U294)</f>
        <v>79297.3780137143</v>
      </c>
      <c r="V295" s="67" t="n">
        <f aca="false">MAX(U295,V294)</f>
        <v>86894.7350114286</v>
      </c>
      <c r="W295" s="67" t="n">
        <f aca="false">MAX(V295,W294)</f>
        <v>94503.3420091429</v>
      </c>
      <c r="X295" s="67" t="n">
        <f aca="false">MAX(W295,X294)</f>
        <v>102123.199006857</v>
      </c>
      <c r="Y295" s="67" t="n">
        <f aca="false">MAX(X295,Y294)</f>
        <v>109754.306004571</v>
      </c>
      <c r="Z295" s="67" t="n">
        <f aca="false">MAX(Y295,Z294)</f>
        <v>112445.724474286</v>
      </c>
      <c r="AA295" s="67" t="n">
        <f aca="false">MAX(Z295,AA294)</f>
        <v>116645.943170466</v>
      </c>
      <c r="AB295" s="67" t="n">
        <f aca="false">MAX(AA295,AB294)</f>
        <v>120857.411866647</v>
      </c>
      <c r="AC295" s="67" t="n">
        <f aca="false">MAX(AB295,AC294)</f>
        <v>130502.448437603</v>
      </c>
      <c r="AD295" s="67" t="n">
        <f aca="false">MAX(AC295,AD294)</f>
        <v>140158.735008559</v>
      </c>
      <c r="AE295" s="67" t="n">
        <f aca="false">MAX(AD295,AE294)</f>
        <v>149826.271579516</v>
      </c>
      <c r="AF295" s="67" t="n">
        <f aca="false">MAX(AE295,AF294)</f>
        <v>159505.058150472</v>
      </c>
      <c r="AG295" s="67" t="n">
        <f aca="false">MAX(AF295,AG294)</f>
        <v>169195.094721428</v>
      </c>
      <c r="AH295" s="67" t="n">
        <f aca="false">MAX(AG295,AH294)</f>
        <v>178896.381292385</v>
      </c>
      <c r="AI295" s="67" t="n">
        <f aca="false">MAX(AH295,AI294)</f>
        <v>188608.917863341</v>
      </c>
      <c r="AJ295" s="67" t="n">
        <f aca="false">MAX(AI295,AJ294)</f>
        <v>198332.704434298</v>
      </c>
      <c r="AK295" s="67" t="n">
        <f aca="false">MAX(AJ295,AK294)</f>
        <v>208067.741005254</v>
      </c>
      <c r="AL295" s="67" t="n">
        <f aca="false">MAX(AK295,AL294)</f>
        <v>212391.709701434</v>
      </c>
    </row>
    <row r="296" customFormat="false" ht="15" hidden="false" customHeight="false" outlineLevel="0" collapsed="false">
      <c r="A296" s="6" t="s">
        <v>82</v>
      </c>
      <c r="C296" s="67" t="n">
        <f aca="false">-C295*Inputs!$D$83</f>
        <v>-0</v>
      </c>
      <c r="D296" s="67" t="n">
        <f aca="false">-(D295-C295)*Inputs!$D$83</f>
        <v>-0</v>
      </c>
      <c r="E296" s="67" t="n">
        <f aca="false">-(E295-D295)*Inputs!$D$83</f>
        <v>-0</v>
      </c>
      <c r="F296" s="67" t="n">
        <f aca="false">-(F295-E295)*Inputs!$D$83</f>
        <v>-0</v>
      </c>
      <c r="G296" s="67" t="n">
        <f aca="false">-(G295-F295)*Inputs!$D$83</f>
        <v>-175.284847999999</v>
      </c>
      <c r="H296" s="67" t="n">
        <f aca="false">-(H295-G295)*Inputs!$D$83</f>
        <v>-1193.44761</v>
      </c>
      <c r="I296" s="67" t="n">
        <f aca="false">-(I295-H295)*Inputs!$D$83</f>
        <v>-1195.81011</v>
      </c>
      <c r="J296" s="67" t="n">
        <f aca="false">-(J295-I295)*Inputs!$D$83</f>
        <v>-1198.17261</v>
      </c>
      <c r="K296" s="67" t="n">
        <f aca="false">-(K295-J295)*Inputs!$D$83</f>
        <v>-1200.53511</v>
      </c>
      <c r="L296" s="67" t="n">
        <f aca="false">-(L295-K295)*Inputs!$D$83</f>
        <v>-1202.89761</v>
      </c>
      <c r="M296" s="67" t="n">
        <f aca="false">-(M295-L295)*Inputs!$D$83</f>
        <v>-1205.26011</v>
      </c>
      <c r="N296" s="67" t="n">
        <f aca="false">-(N295-M295)*Inputs!$D$83</f>
        <v>-258.47077</v>
      </c>
      <c r="O296" s="67" t="n">
        <f aca="false">-(O295-N295)*Inputs!$D$83</f>
        <v>-539.210378640001</v>
      </c>
      <c r="P296" s="67" t="n">
        <f aca="false">-(P295-O295)*Inputs!$D$83</f>
        <v>-541.572878640001</v>
      </c>
      <c r="Q296" s="67" t="n">
        <f aca="false">-(Q295-P295)*Inputs!$D$83</f>
        <v>-1583.63246952</v>
      </c>
      <c r="R296" s="67" t="n">
        <f aca="false">-(R295-Q295)*Inputs!$D$83</f>
        <v>-1585.99496952</v>
      </c>
      <c r="S296" s="67" t="n">
        <f aca="false">-(S295-R295)*Inputs!$D$83</f>
        <v>-1588.35746952</v>
      </c>
      <c r="T296" s="67" t="n">
        <f aca="false">-(T295-S295)*Inputs!$D$83</f>
        <v>-1590.71996952</v>
      </c>
      <c r="U296" s="67" t="n">
        <f aca="false">-(U295-T295)*Inputs!$D$83</f>
        <v>-1593.08246952</v>
      </c>
      <c r="V296" s="67" t="n">
        <f aca="false">-(V295-U295)*Inputs!$D$83</f>
        <v>-1595.44496952</v>
      </c>
      <c r="W296" s="67" t="n">
        <f aca="false">-(W295-V295)*Inputs!$D$83</f>
        <v>-1597.80746952</v>
      </c>
      <c r="X296" s="67" t="n">
        <f aca="false">-(X295-W295)*Inputs!$D$83</f>
        <v>-1600.16996952</v>
      </c>
      <c r="Y296" s="67" t="n">
        <f aca="false">-(Y295-X295)*Inputs!$D$83</f>
        <v>-1602.53246952</v>
      </c>
      <c r="Z296" s="67" t="n">
        <f aca="false">-(Z295-Y295)*Inputs!$D$83</f>
        <v>-565.197878640001</v>
      </c>
      <c r="AA296" s="67" t="n">
        <f aca="false">-(AA295-Z295)*Inputs!$D$83</f>
        <v>-882.04592619788</v>
      </c>
      <c r="AB296" s="67" t="n">
        <f aca="false">-(AB295-AA295)*Inputs!$D$83</f>
        <v>-884.40842619788</v>
      </c>
      <c r="AC296" s="67" t="n">
        <f aca="false">-(AC295-AB295)*Inputs!$D$83</f>
        <v>-2025.45767990084</v>
      </c>
      <c r="AD296" s="67" t="n">
        <f aca="false">-(AD295-AC295)*Inputs!$D$83</f>
        <v>-2027.82017990084</v>
      </c>
      <c r="AE296" s="67" t="n">
        <f aca="false">-(AE295-AD295)*Inputs!$D$83</f>
        <v>-2030.18267990084</v>
      </c>
      <c r="AF296" s="67" t="n">
        <f aca="false">-(AF295-AE295)*Inputs!$D$83</f>
        <v>-2032.54517990084</v>
      </c>
      <c r="AG296" s="67" t="n">
        <f aca="false">-(AG295-AF295)*Inputs!$D$83</f>
        <v>-2034.90767990084</v>
      </c>
      <c r="AH296" s="67" t="n">
        <f aca="false">-(AH295-AG295)*Inputs!$D$83</f>
        <v>-2037.27017990084</v>
      </c>
      <c r="AI296" s="67" t="n">
        <f aca="false">-(AI295-AH295)*Inputs!$D$83</f>
        <v>-2039.63267990084</v>
      </c>
      <c r="AJ296" s="67" t="n">
        <f aca="false">-(AJ295-AI295)*Inputs!$D$83</f>
        <v>-2041.99517990084</v>
      </c>
      <c r="AK296" s="67" t="n">
        <f aca="false">-(AK295-AJ295)*Inputs!$D$83</f>
        <v>-2044.35767990084</v>
      </c>
      <c r="AL296" s="67" t="n">
        <f aca="false">-(AL295-AK295)*Inputs!$D$83</f>
        <v>-908.03342619788</v>
      </c>
    </row>
    <row r="297" customFormat="false" ht="15" hidden="false" customHeight="false" outlineLevel="0" collapsed="false">
      <c r="A297" s="113" t="s">
        <v>50</v>
      </c>
      <c r="C297" s="68" t="n">
        <f aca="false">C293+C296</f>
        <v>-5674.27660952381</v>
      </c>
      <c r="D297" s="68" t="n">
        <f aca="false">D293+D296</f>
        <v>-3971.91040952381</v>
      </c>
      <c r="E297" s="68" t="n">
        <f aca="false">E293+E296</f>
        <v>1315.41732380952</v>
      </c>
      <c r="F297" s="68" t="n">
        <f aca="false">F293+F296</f>
        <v>3493.62559047618</v>
      </c>
      <c r="G297" s="68" t="n">
        <f aca="false">G293+G296</f>
        <v>5496.54900914286</v>
      </c>
      <c r="H297" s="68" t="n">
        <f aca="false">H293+H296</f>
        <v>4489.63624714286</v>
      </c>
      <c r="I297" s="68" t="n">
        <f aca="false">I293+I296</f>
        <v>4498.52374714286</v>
      </c>
      <c r="J297" s="68" t="n">
        <f aca="false">J293+J296</f>
        <v>4507.41124714286</v>
      </c>
      <c r="K297" s="68" t="n">
        <f aca="false">K293+K296</f>
        <v>4516.29874714286</v>
      </c>
      <c r="L297" s="68" t="n">
        <f aca="false">L293+L296</f>
        <v>4525.18624714286</v>
      </c>
      <c r="M297" s="68" t="n">
        <f aca="false">M293+M296</f>
        <v>4534.07374714286</v>
      </c>
      <c r="N297" s="68" t="n">
        <f aca="false">N293+N296</f>
        <v>972.342420476193</v>
      </c>
      <c r="O297" s="68" t="n">
        <f aca="false">O293+O296</f>
        <v>2028.45809107429</v>
      </c>
      <c r="P297" s="68" t="n">
        <f aca="false">P293+P296</f>
        <v>2037.34559107429</v>
      </c>
      <c r="Q297" s="68" t="n">
        <f aca="false">Q293+Q296</f>
        <v>5957.47452819429</v>
      </c>
      <c r="R297" s="68" t="n">
        <f aca="false">R293+R296</f>
        <v>5966.36202819429</v>
      </c>
      <c r="S297" s="68" t="n">
        <f aca="false">S293+S296</f>
        <v>5975.24952819429</v>
      </c>
      <c r="T297" s="68" t="n">
        <f aca="false">T293+T296</f>
        <v>5984.13702819429</v>
      </c>
      <c r="U297" s="68" t="n">
        <f aca="false">U293+U296</f>
        <v>5993.02452819429</v>
      </c>
      <c r="V297" s="68" t="n">
        <f aca="false">V293+V296</f>
        <v>6001.91202819429</v>
      </c>
      <c r="W297" s="68" t="n">
        <f aca="false">W293+W296</f>
        <v>6010.79952819429</v>
      </c>
      <c r="X297" s="68" t="n">
        <f aca="false">X293+X296</f>
        <v>6019.68702819429</v>
      </c>
      <c r="Y297" s="68" t="n">
        <f aca="false">Y293+Y296</f>
        <v>6028.57452819429</v>
      </c>
      <c r="Z297" s="68" t="n">
        <f aca="false">Z293+Z296</f>
        <v>2126.22059107429</v>
      </c>
      <c r="AA297" s="68" t="n">
        <f aca="false">AA293+AA296</f>
        <v>3318.1727699825</v>
      </c>
      <c r="AB297" s="68" t="n">
        <f aca="false">AB293+AB296</f>
        <v>3327.0602699825</v>
      </c>
      <c r="AC297" s="68" t="n">
        <f aca="false">AC293+AC296</f>
        <v>7619.57889105554</v>
      </c>
      <c r="AD297" s="68" t="n">
        <f aca="false">AD293+AD296</f>
        <v>7628.46639105554</v>
      </c>
      <c r="AE297" s="68" t="n">
        <f aca="false">AE293+AE296</f>
        <v>7637.35389105554</v>
      </c>
      <c r="AF297" s="68" t="n">
        <f aca="false">AF293+AF296</f>
        <v>7646.24139105554</v>
      </c>
      <c r="AG297" s="68" t="n">
        <f aca="false">AG293+AG296</f>
        <v>7655.12889105554</v>
      </c>
      <c r="AH297" s="68" t="n">
        <f aca="false">AH293+AH296</f>
        <v>7664.01639105554</v>
      </c>
      <c r="AI297" s="68" t="n">
        <f aca="false">AI293+AI296</f>
        <v>7672.90389105554</v>
      </c>
      <c r="AJ297" s="68" t="n">
        <f aca="false">AJ293+AJ296</f>
        <v>7681.79139105554</v>
      </c>
      <c r="AK297" s="68" t="n">
        <f aca="false">AK293+AK296</f>
        <v>7690.67889105554</v>
      </c>
      <c r="AL297" s="68" t="n">
        <f aca="false">AL293+AL296</f>
        <v>3415.9352699825</v>
      </c>
    </row>
    <row r="299" customFormat="false" ht="15.75" hidden="false" customHeight="true" outlineLevel="0" collapsed="false">
      <c r="A299" s="7" t="s">
        <v>406</v>
      </c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</row>
    <row r="300" customFormat="false" ht="15" hidden="false" customHeight="false" outlineLevel="0" collapsed="false">
      <c r="A300" s="6" t="s">
        <v>407</v>
      </c>
      <c r="C300" s="67" t="n">
        <f aca="false">Inputs!$D$48*Inputs!$D$49</f>
        <v>95000</v>
      </c>
      <c r="D300" s="67" t="n">
        <f aca="false">IF(AND(D$247&gt;1,MOD(D$246-1,12)=0),Inputs!$D$8*Inputs!$D$49,0)</f>
        <v>0</v>
      </c>
      <c r="E300" s="67" t="n">
        <f aca="false">IF(AND(E$247&gt;1,MOD(E$246-1,12)=0),Inputs!$D$8*Inputs!$D$49,0)</f>
        <v>0</v>
      </c>
      <c r="F300" s="67" t="n">
        <f aca="false">IF(AND(F$247&gt;1,MOD(F$246-1,12)=0),Inputs!$D$8*Inputs!$D$49,0)</f>
        <v>0</v>
      </c>
      <c r="G300" s="67" t="n">
        <f aca="false">IF(AND(G$247&gt;1,MOD(G$246-1,12)=0),Inputs!$D$8*Inputs!$D$49,0)</f>
        <v>0</v>
      </c>
      <c r="H300" s="67" t="n">
        <f aca="false">IF(AND(H$247&gt;1,MOD(H$246-1,12)=0),Inputs!$D$8*Inputs!$D$49,0)</f>
        <v>0</v>
      </c>
      <c r="I300" s="67" t="n">
        <f aca="false">IF(AND(I$247&gt;1,MOD(I$246-1,12)=0),Inputs!$D$8*Inputs!$D$49,0)</f>
        <v>0</v>
      </c>
      <c r="J300" s="67" t="n">
        <f aca="false">IF(AND(J$247&gt;1,MOD(J$246-1,12)=0),Inputs!$D$8*Inputs!$D$49,0)</f>
        <v>0</v>
      </c>
      <c r="K300" s="67" t="n">
        <f aca="false">IF(AND(K$247&gt;1,MOD(K$246-1,12)=0),Inputs!$D$8*Inputs!$D$49,0)</f>
        <v>0</v>
      </c>
      <c r="L300" s="67" t="n">
        <f aca="false">IF(AND(L$247&gt;1,MOD(L$246-1,12)=0),Inputs!$D$8*Inputs!$D$49,0)</f>
        <v>0</v>
      </c>
      <c r="M300" s="67" t="n">
        <f aca="false">IF(AND(M$247&gt;1,MOD(M$246-1,12)=0),Inputs!$D$8*Inputs!$D$49,0)</f>
        <v>0</v>
      </c>
      <c r="N300" s="67" t="n">
        <f aca="false">IF(AND(N$247&gt;1,MOD(N$246-1,12)=0),Inputs!$D$8*Inputs!$D$49,0)</f>
        <v>0</v>
      </c>
      <c r="O300" s="67" t="n">
        <f aca="false">IF(AND(O$247&gt;1,MOD(O$246-1,12)=0),Inputs!$D$8*Inputs!$D$49,0)</f>
        <v>0</v>
      </c>
      <c r="P300" s="67" t="n">
        <f aca="false">IF(AND(P$247&gt;1,MOD(P$246-1,12)=0),Inputs!$D$8*Inputs!$D$49,0)</f>
        <v>0</v>
      </c>
      <c r="Q300" s="67" t="n">
        <f aca="false">IF(AND(Q$247&gt;1,MOD(Q$246-1,12)=0),Inputs!$D$8*Inputs!$D$49,0)</f>
        <v>0</v>
      </c>
      <c r="R300" s="67" t="n">
        <f aca="false">IF(AND(R$247&gt;1,MOD(R$246-1,12)=0),Inputs!$D$8*Inputs!$D$49,0)</f>
        <v>0</v>
      </c>
      <c r="S300" s="67" t="n">
        <f aca="false">IF(AND(S$247&gt;1,MOD(S$246-1,12)=0),Inputs!$D$8*Inputs!$D$49,0)</f>
        <v>0</v>
      </c>
      <c r="T300" s="67" t="n">
        <f aca="false">IF(AND(T$247&gt;1,MOD(T$246-1,12)=0),Inputs!$D$8*Inputs!$D$49,0)</f>
        <v>0</v>
      </c>
      <c r="U300" s="67" t="n">
        <f aca="false">IF(AND(U$247&gt;1,MOD(U$246-1,12)=0),Inputs!$D$8*Inputs!$D$49,0)</f>
        <v>0</v>
      </c>
      <c r="V300" s="67" t="n">
        <f aca="false">IF(AND(V$247&gt;1,MOD(V$246-1,12)=0),Inputs!$D$8*Inputs!$D$49,0)</f>
        <v>0</v>
      </c>
      <c r="W300" s="67" t="n">
        <f aca="false">IF(AND(W$247&gt;1,MOD(W$246-1,12)=0),Inputs!$D$8*Inputs!$D$49,0)</f>
        <v>0</v>
      </c>
      <c r="X300" s="67" t="n">
        <f aca="false">IF(AND(X$247&gt;1,MOD(X$246-1,12)=0),Inputs!$D$8*Inputs!$D$49,0)</f>
        <v>0</v>
      </c>
      <c r="Y300" s="67" t="n">
        <f aca="false">IF(AND(Y$247&gt;1,MOD(Y$246-1,12)=0),Inputs!$D$8*Inputs!$D$49,0)</f>
        <v>0</v>
      </c>
      <c r="Z300" s="67" t="n">
        <f aca="false">IF(AND(Z$247&gt;1,MOD(Z$246-1,12)=0),Inputs!$D$8*Inputs!$D$49,0)</f>
        <v>0</v>
      </c>
      <c r="AA300" s="67" t="n">
        <f aca="false">IF(AND(AA$247&gt;1,MOD(AA$246-1,12)=0),Inputs!$D$8*Inputs!$D$49,0)</f>
        <v>0</v>
      </c>
      <c r="AB300" s="67" t="n">
        <f aca="false">IF(AND(AB$247&gt;1,MOD(AB$246-1,12)=0),Inputs!$D$8*Inputs!$D$49,0)</f>
        <v>0</v>
      </c>
      <c r="AC300" s="67" t="n">
        <f aca="false">IF(AND(AC$247&gt;1,MOD(AC$246-1,12)=0),Inputs!$D$8*Inputs!$D$49,0)</f>
        <v>0</v>
      </c>
      <c r="AD300" s="67" t="n">
        <f aca="false">IF(AND(AD$247&gt;1,MOD(AD$246-1,12)=0),Inputs!$D$8*Inputs!$D$49,0)</f>
        <v>0</v>
      </c>
      <c r="AE300" s="67" t="n">
        <f aca="false">IF(AND(AE$247&gt;1,MOD(AE$246-1,12)=0),Inputs!$D$8*Inputs!$D$49,0)</f>
        <v>0</v>
      </c>
      <c r="AF300" s="67" t="n">
        <f aca="false">IF(AND(AF$247&gt;1,MOD(AF$246-1,12)=0),Inputs!$D$8*Inputs!$D$49,0)</f>
        <v>0</v>
      </c>
      <c r="AG300" s="67" t="n">
        <f aca="false">IF(AND(AG$247&gt;1,MOD(AG$246-1,12)=0),Inputs!$D$8*Inputs!$D$49,0)</f>
        <v>0</v>
      </c>
      <c r="AH300" s="67" t="n">
        <f aca="false">IF(AND(AH$247&gt;1,MOD(AH$246-1,12)=0),Inputs!$D$8*Inputs!$D$49,0)</f>
        <v>0</v>
      </c>
      <c r="AI300" s="67" t="n">
        <f aca="false">IF(AND(AI$247&gt;1,MOD(AI$246-1,12)=0),Inputs!$D$8*Inputs!$D$49,0)</f>
        <v>0</v>
      </c>
      <c r="AJ300" s="67" t="n">
        <f aca="false">IF(AND(AJ$247&gt;1,MOD(AJ$246-1,12)=0),Inputs!$D$8*Inputs!$D$49,0)</f>
        <v>0</v>
      </c>
      <c r="AK300" s="67" t="n">
        <f aca="false">IF(AND(AK$247&gt;1,MOD(AK$246-1,12)=0),Inputs!$D$8*Inputs!$D$49,0)</f>
        <v>0</v>
      </c>
      <c r="AL300" s="67" t="n">
        <f aca="false">IF(AND(AL$247&gt;1,MOD(AL$246-1,12)=0),Inputs!$D$8*Inputs!$D$49,0)</f>
        <v>0</v>
      </c>
    </row>
    <row r="301" customFormat="false" ht="15" hidden="false" customHeight="false" outlineLevel="0" collapsed="false">
      <c r="A301" s="6" t="s">
        <v>408</v>
      </c>
      <c r="C301" s="67" t="n">
        <f aca="false">Inputs!$D$48*Inputs!$D$50</f>
        <v>40000</v>
      </c>
      <c r="D301" s="67" t="n">
        <f aca="false">IF(AND(D$247&gt;1,MOD(D$246-1,12)=0),Inputs!$D$8*Inputs!$D$50,0)</f>
        <v>0</v>
      </c>
      <c r="E301" s="67" t="n">
        <f aca="false">IF(AND(E$247&gt;1,MOD(E$246-1,12)=0),Inputs!$D$8*Inputs!$D$50,0)</f>
        <v>0</v>
      </c>
      <c r="F301" s="67" t="n">
        <f aca="false">IF(AND(F$247&gt;1,MOD(F$246-1,12)=0),Inputs!$D$8*Inputs!$D$50,0)</f>
        <v>0</v>
      </c>
      <c r="G301" s="67" t="n">
        <f aca="false">IF(AND(G$247&gt;1,MOD(G$246-1,12)=0),Inputs!$D$8*Inputs!$D$50,0)</f>
        <v>0</v>
      </c>
      <c r="H301" s="67" t="n">
        <f aca="false">IF(AND(H$247&gt;1,MOD(H$246-1,12)=0),Inputs!$D$8*Inputs!$D$50,0)</f>
        <v>0</v>
      </c>
      <c r="I301" s="67" t="n">
        <f aca="false">IF(AND(I$247&gt;1,MOD(I$246-1,12)=0),Inputs!$D$8*Inputs!$D$50,0)</f>
        <v>0</v>
      </c>
      <c r="J301" s="67" t="n">
        <f aca="false">IF(AND(J$247&gt;1,MOD(J$246-1,12)=0),Inputs!$D$8*Inputs!$D$50,0)</f>
        <v>0</v>
      </c>
      <c r="K301" s="67" t="n">
        <f aca="false">IF(AND(K$247&gt;1,MOD(K$246-1,12)=0),Inputs!$D$8*Inputs!$D$50,0)</f>
        <v>0</v>
      </c>
      <c r="L301" s="67" t="n">
        <f aca="false">IF(AND(L$247&gt;1,MOD(L$246-1,12)=0),Inputs!$D$8*Inputs!$D$50,0)</f>
        <v>0</v>
      </c>
      <c r="M301" s="67" t="n">
        <f aca="false">IF(AND(M$247&gt;1,MOD(M$246-1,12)=0),Inputs!$D$8*Inputs!$D$50,0)</f>
        <v>0</v>
      </c>
      <c r="N301" s="67" t="n">
        <f aca="false">IF(AND(N$247&gt;1,MOD(N$246-1,12)=0),Inputs!$D$8*Inputs!$D$50,0)</f>
        <v>0</v>
      </c>
      <c r="O301" s="67" t="n">
        <f aca="false">IF(AND(O$247&gt;1,MOD(O$246-1,12)=0),Inputs!$D$8*Inputs!$D$50,0)</f>
        <v>0</v>
      </c>
      <c r="P301" s="67" t="n">
        <f aca="false">IF(AND(P$247&gt;1,MOD(P$246-1,12)=0),Inputs!$D$8*Inputs!$D$50,0)</f>
        <v>0</v>
      </c>
      <c r="Q301" s="67" t="n">
        <f aca="false">IF(AND(Q$247&gt;1,MOD(Q$246-1,12)=0),Inputs!$D$8*Inputs!$D$50,0)</f>
        <v>0</v>
      </c>
      <c r="R301" s="67" t="n">
        <f aca="false">IF(AND(R$247&gt;1,MOD(R$246-1,12)=0),Inputs!$D$8*Inputs!$D$50,0)</f>
        <v>0</v>
      </c>
      <c r="S301" s="67" t="n">
        <f aca="false">IF(AND(S$247&gt;1,MOD(S$246-1,12)=0),Inputs!$D$8*Inputs!$D$50,0)</f>
        <v>0</v>
      </c>
      <c r="T301" s="67" t="n">
        <f aca="false">IF(AND(T$247&gt;1,MOD(T$246-1,12)=0),Inputs!$D$8*Inputs!$D$50,0)</f>
        <v>0</v>
      </c>
      <c r="U301" s="67" t="n">
        <f aca="false">IF(AND(U$247&gt;1,MOD(U$246-1,12)=0),Inputs!$D$8*Inputs!$D$50,0)</f>
        <v>0</v>
      </c>
      <c r="V301" s="67" t="n">
        <f aca="false">IF(AND(V$247&gt;1,MOD(V$246-1,12)=0),Inputs!$D$8*Inputs!$D$50,0)</f>
        <v>0</v>
      </c>
      <c r="W301" s="67" t="n">
        <f aca="false">IF(AND(W$247&gt;1,MOD(W$246-1,12)=0),Inputs!$D$8*Inputs!$D$50,0)</f>
        <v>0</v>
      </c>
      <c r="X301" s="67" t="n">
        <f aca="false">IF(AND(X$247&gt;1,MOD(X$246-1,12)=0),Inputs!$D$8*Inputs!$D$50,0)</f>
        <v>0</v>
      </c>
      <c r="Y301" s="67" t="n">
        <f aca="false">IF(AND(Y$247&gt;1,MOD(Y$246-1,12)=0),Inputs!$D$8*Inputs!$D$50,0)</f>
        <v>0</v>
      </c>
      <c r="Z301" s="67" t="n">
        <f aca="false">IF(AND(Z$247&gt;1,MOD(Z$246-1,12)=0),Inputs!$D$8*Inputs!$D$50,0)</f>
        <v>0</v>
      </c>
      <c r="AA301" s="67" t="n">
        <f aca="false">IF(AND(AA$247&gt;1,MOD(AA$246-1,12)=0),Inputs!$D$8*Inputs!$D$50,0)</f>
        <v>0</v>
      </c>
      <c r="AB301" s="67" t="n">
        <f aca="false">IF(AND(AB$247&gt;1,MOD(AB$246-1,12)=0),Inputs!$D$8*Inputs!$D$50,0)</f>
        <v>0</v>
      </c>
      <c r="AC301" s="67" t="n">
        <f aca="false">IF(AND(AC$247&gt;1,MOD(AC$246-1,12)=0),Inputs!$D$8*Inputs!$D$50,0)</f>
        <v>0</v>
      </c>
      <c r="AD301" s="67" t="n">
        <f aca="false">IF(AND(AD$247&gt;1,MOD(AD$246-1,12)=0),Inputs!$D$8*Inputs!$D$50,0)</f>
        <v>0</v>
      </c>
      <c r="AE301" s="67" t="n">
        <f aca="false">IF(AND(AE$247&gt;1,MOD(AE$246-1,12)=0),Inputs!$D$8*Inputs!$D$50,0)</f>
        <v>0</v>
      </c>
      <c r="AF301" s="67" t="n">
        <f aca="false">IF(AND(AF$247&gt;1,MOD(AF$246-1,12)=0),Inputs!$D$8*Inputs!$D$50,0)</f>
        <v>0</v>
      </c>
      <c r="AG301" s="67" t="n">
        <f aca="false">IF(AND(AG$247&gt;1,MOD(AG$246-1,12)=0),Inputs!$D$8*Inputs!$D$50,0)</f>
        <v>0</v>
      </c>
      <c r="AH301" s="67" t="n">
        <f aca="false">IF(AND(AH$247&gt;1,MOD(AH$246-1,12)=0),Inputs!$D$8*Inputs!$D$50,0)</f>
        <v>0</v>
      </c>
      <c r="AI301" s="67" t="n">
        <f aca="false">IF(AND(AI$247&gt;1,MOD(AI$246-1,12)=0),Inputs!$D$8*Inputs!$D$50,0)</f>
        <v>0</v>
      </c>
      <c r="AJ301" s="67" t="n">
        <f aca="false">IF(AND(AJ$247&gt;1,MOD(AJ$246-1,12)=0),Inputs!$D$8*Inputs!$D$50,0)</f>
        <v>0</v>
      </c>
      <c r="AK301" s="67" t="n">
        <f aca="false">IF(AND(AK$247&gt;1,MOD(AK$246-1,12)=0),Inputs!$D$8*Inputs!$D$50,0)</f>
        <v>0</v>
      </c>
      <c r="AL301" s="67" t="n">
        <f aca="false">IF(AND(AL$247&gt;1,MOD(AL$246-1,12)=0),Inputs!$D$8*Inputs!$D$50,0)</f>
        <v>0</v>
      </c>
    </row>
    <row r="302" customFormat="false" ht="15" hidden="false" customHeight="false" outlineLevel="0" collapsed="false">
      <c r="A302" s="6" t="s">
        <v>409</v>
      </c>
      <c r="C302" s="67" t="n">
        <f aca="false">IF(C$246=1,Inputs!$D$51,0)</f>
        <v>3000</v>
      </c>
      <c r="D302" s="67" t="n">
        <f aca="false">IF(D$246=1,Inputs!$D$51,0)</f>
        <v>0</v>
      </c>
      <c r="E302" s="67" t="n">
        <f aca="false">IF(E$246=1,Inputs!$D$51,0)</f>
        <v>0</v>
      </c>
      <c r="F302" s="67" t="n">
        <f aca="false">IF(F$246=1,Inputs!$D$51,0)</f>
        <v>0</v>
      </c>
      <c r="G302" s="67" t="n">
        <f aca="false">IF(G$246=1,Inputs!$D$51,0)</f>
        <v>0</v>
      </c>
      <c r="H302" s="67" t="n">
        <f aca="false">IF(H$246=1,Inputs!$D$51,0)</f>
        <v>0</v>
      </c>
      <c r="I302" s="67" t="n">
        <f aca="false">IF(I$246=1,Inputs!$D$51,0)</f>
        <v>0</v>
      </c>
      <c r="J302" s="67" t="n">
        <f aca="false">IF(J$246=1,Inputs!$D$51,0)</f>
        <v>0</v>
      </c>
      <c r="K302" s="67" t="n">
        <f aca="false">IF(K$246=1,Inputs!$D$51,0)</f>
        <v>0</v>
      </c>
      <c r="L302" s="67" t="n">
        <f aca="false">IF(L$246=1,Inputs!$D$51,0)</f>
        <v>0</v>
      </c>
      <c r="M302" s="67" t="n">
        <f aca="false">IF(M$246=1,Inputs!$D$51,0)</f>
        <v>0</v>
      </c>
      <c r="N302" s="67" t="n">
        <f aca="false">IF(N$246=1,Inputs!$D$51,0)</f>
        <v>0</v>
      </c>
      <c r="O302" s="67" t="n">
        <f aca="false">IF(O$246=1,Inputs!$D$51,0)</f>
        <v>0</v>
      </c>
      <c r="P302" s="67" t="n">
        <f aca="false">IF(P$246=1,Inputs!$D$51,0)</f>
        <v>0</v>
      </c>
      <c r="Q302" s="67" t="n">
        <f aca="false">IF(Q$246=1,Inputs!$D$51,0)</f>
        <v>0</v>
      </c>
      <c r="R302" s="67" t="n">
        <f aca="false">IF(R$246=1,Inputs!$D$51,0)</f>
        <v>0</v>
      </c>
      <c r="S302" s="67" t="n">
        <f aca="false">IF(S$246=1,Inputs!$D$51,0)</f>
        <v>0</v>
      </c>
      <c r="T302" s="67" t="n">
        <f aca="false">IF(T$246=1,Inputs!$D$51,0)</f>
        <v>0</v>
      </c>
      <c r="U302" s="67" t="n">
        <f aca="false">IF(U$246=1,Inputs!$D$51,0)</f>
        <v>0</v>
      </c>
      <c r="V302" s="67" t="n">
        <f aca="false">IF(V$246=1,Inputs!$D$51,0)</f>
        <v>0</v>
      </c>
      <c r="W302" s="67" t="n">
        <f aca="false">IF(W$246=1,Inputs!$D$51,0)</f>
        <v>0</v>
      </c>
      <c r="X302" s="67" t="n">
        <f aca="false">IF(X$246=1,Inputs!$D$51,0)</f>
        <v>0</v>
      </c>
      <c r="Y302" s="67" t="n">
        <f aca="false">IF(Y$246=1,Inputs!$D$51,0)</f>
        <v>0</v>
      </c>
      <c r="Z302" s="67" t="n">
        <f aca="false">IF(Z$246=1,Inputs!$D$51,0)</f>
        <v>0</v>
      </c>
      <c r="AA302" s="67" t="n">
        <f aca="false">IF(AA$246=1,Inputs!$D$51,0)</f>
        <v>0</v>
      </c>
      <c r="AB302" s="67" t="n">
        <f aca="false">IF(AB$246=1,Inputs!$D$51,0)</f>
        <v>0</v>
      </c>
      <c r="AC302" s="67" t="n">
        <f aca="false">IF(AC$246=1,Inputs!$D$51,0)</f>
        <v>0</v>
      </c>
      <c r="AD302" s="67" t="n">
        <f aca="false">IF(AD$246=1,Inputs!$D$51,0)</f>
        <v>0</v>
      </c>
      <c r="AE302" s="67" t="n">
        <f aca="false">IF(AE$246=1,Inputs!$D$51,0)</f>
        <v>0</v>
      </c>
      <c r="AF302" s="67" t="n">
        <f aca="false">IF(AF$246=1,Inputs!$D$51,0)</f>
        <v>0</v>
      </c>
      <c r="AG302" s="67" t="n">
        <f aca="false">IF(AG$246=1,Inputs!$D$51,0)</f>
        <v>0</v>
      </c>
      <c r="AH302" s="67" t="n">
        <f aca="false">IF(AH$246=1,Inputs!$D$51,0)</f>
        <v>0</v>
      </c>
      <c r="AI302" s="67" t="n">
        <f aca="false">IF(AI$246=1,Inputs!$D$51,0)</f>
        <v>0</v>
      </c>
      <c r="AJ302" s="67" t="n">
        <f aca="false">IF(AJ$246=1,Inputs!$D$51,0)</f>
        <v>0</v>
      </c>
      <c r="AK302" s="67" t="n">
        <f aca="false">IF(AK$246=1,Inputs!$D$51,0)</f>
        <v>0</v>
      </c>
      <c r="AL302" s="67" t="n">
        <f aca="false">IF(AL$246=1,Inputs!$D$51,0)</f>
        <v>0</v>
      </c>
    </row>
    <row r="303" customFormat="false" ht="15" hidden="false" customHeight="false" outlineLevel="0" collapsed="false">
      <c r="A303" s="6" t="s">
        <v>410</v>
      </c>
      <c r="C303" s="67" t="n">
        <f aca="false">IF(AND(C$247&gt;1,MOD(C$246-1,12)=0),Inputs!$D$52*C250,0)</f>
        <v>0</v>
      </c>
      <c r="D303" s="67" t="n">
        <f aca="false">IF(AND(D$247&gt;1,MOD(D$246-1,12)=0),Inputs!$D$52*D250,0)</f>
        <v>0</v>
      </c>
      <c r="E303" s="67" t="n">
        <f aca="false">IF(AND(E$247&gt;1,MOD(E$246-1,12)=0),Inputs!$D$52*E250,0)</f>
        <v>0</v>
      </c>
      <c r="F303" s="67" t="n">
        <f aca="false">IF(AND(F$247&gt;1,MOD(F$246-1,12)=0),Inputs!$D$52*F250,0)</f>
        <v>0</v>
      </c>
      <c r="G303" s="67" t="n">
        <f aca="false">IF(AND(G$247&gt;1,MOD(G$246-1,12)=0),Inputs!$D$52*G250,0)</f>
        <v>0</v>
      </c>
      <c r="H303" s="67" t="n">
        <f aca="false">IF(AND(H$247&gt;1,MOD(H$246-1,12)=0),Inputs!$D$52*H250,0)</f>
        <v>0</v>
      </c>
      <c r="I303" s="67" t="n">
        <f aca="false">IF(AND(I$247&gt;1,MOD(I$246-1,12)=0),Inputs!$D$52*I250,0)</f>
        <v>0</v>
      </c>
      <c r="J303" s="67" t="n">
        <f aca="false">IF(AND(J$247&gt;1,MOD(J$246-1,12)=0),Inputs!$D$52*J250,0)</f>
        <v>0</v>
      </c>
      <c r="K303" s="67" t="n">
        <f aca="false">IF(AND(K$247&gt;1,MOD(K$246-1,12)=0),Inputs!$D$52*K250,0)</f>
        <v>0</v>
      </c>
      <c r="L303" s="67" t="n">
        <f aca="false">IF(AND(L$247&gt;1,MOD(L$246-1,12)=0),Inputs!$D$52*L250,0)</f>
        <v>0</v>
      </c>
      <c r="M303" s="67" t="n">
        <f aca="false">IF(AND(M$247&gt;1,MOD(M$246-1,12)=0),Inputs!$D$52*M250,0)</f>
        <v>0</v>
      </c>
      <c r="N303" s="67" t="n">
        <f aca="false">IF(AND(N$247&gt;1,MOD(N$246-1,12)=0),Inputs!$D$52*N250,0)</f>
        <v>0</v>
      </c>
      <c r="O303" s="67" t="n">
        <f aca="false">IF(AND(O$247&gt;1,MOD(O$246-1,12)=0),Inputs!$D$52*O250,0)</f>
        <v>2500</v>
      </c>
      <c r="P303" s="67" t="n">
        <f aca="false">IF(AND(P$247&gt;1,MOD(P$246-1,12)=0),Inputs!$D$52*P250,0)</f>
        <v>0</v>
      </c>
      <c r="Q303" s="67" t="n">
        <f aca="false">IF(AND(Q$247&gt;1,MOD(Q$246-1,12)=0),Inputs!$D$52*Q250,0)</f>
        <v>0</v>
      </c>
      <c r="R303" s="67" t="n">
        <f aca="false">IF(AND(R$247&gt;1,MOD(R$246-1,12)=0),Inputs!$D$52*R250,0)</f>
        <v>0</v>
      </c>
      <c r="S303" s="67" t="n">
        <f aca="false">IF(AND(S$247&gt;1,MOD(S$246-1,12)=0),Inputs!$D$52*S250,0)</f>
        <v>0</v>
      </c>
      <c r="T303" s="67" t="n">
        <f aca="false">IF(AND(T$247&gt;1,MOD(T$246-1,12)=0),Inputs!$D$52*T250,0)</f>
        <v>0</v>
      </c>
      <c r="U303" s="67" t="n">
        <f aca="false">IF(AND(U$247&gt;1,MOD(U$246-1,12)=0),Inputs!$D$52*U250,0)</f>
        <v>0</v>
      </c>
      <c r="V303" s="67" t="n">
        <f aca="false">IF(AND(V$247&gt;1,MOD(V$246-1,12)=0),Inputs!$D$52*V250,0)</f>
        <v>0</v>
      </c>
      <c r="W303" s="67" t="n">
        <f aca="false">IF(AND(W$247&gt;1,MOD(W$246-1,12)=0),Inputs!$D$52*W250,0)</f>
        <v>0</v>
      </c>
      <c r="X303" s="67" t="n">
        <f aca="false">IF(AND(X$247&gt;1,MOD(X$246-1,12)=0),Inputs!$D$52*X250,0)</f>
        <v>0</v>
      </c>
      <c r="Y303" s="67" t="n">
        <f aca="false">IF(AND(Y$247&gt;1,MOD(Y$246-1,12)=0),Inputs!$D$52*Y250,0)</f>
        <v>0</v>
      </c>
      <c r="Z303" s="67" t="n">
        <f aca="false">IF(AND(Z$247&gt;1,MOD(Z$246-1,12)=0),Inputs!$D$52*Z250,0)</f>
        <v>0</v>
      </c>
      <c r="AA303" s="67" t="n">
        <f aca="false">IF(AND(AA$247&gt;1,MOD(AA$246-1,12)=0),Inputs!$D$52*AA250,0)</f>
        <v>2500</v>
      </c>
      <c r="AB303" s="67" t="n">
        <f aca="false">IF(AND(AB$247&gt;1,MOD(AB$246-1,12)=0),Inputs!$D$52*AB250,0)</f>
        <v>0</v>
      </c>
      <c r="AC303" s="67" t="n">
        <f aca="false">IF(AND(AC$247&gt;1,MOD(AC$246-1,12)=0),Inputs!$D$52*AC250,0)</f>
        <v>0</v>
      </c>
      <c r="AD303" s="67" t="n">
        <f aca="false">IF(AND(AD$247&gt;1,MOD(AD$246-1,12)=0),Inputs!$D$52*AD250,0)</f>
        <v>0</v>
      </c>
      <c r="AE303" s="67" t="n">
        <f aca="false">IF(AND(AE$247&gt;1,MOD(AE$246-1,12)=0),Inputs!$D$52*AE250,0)</f>
        <v>0</v>
      </c>
      <c r="AF303" s="67" t="n">
        <f aca="false">IF(AND(AF$247&gt;1,MOD(AF$246-1,12)=0),Inputs!$D$52*AF250,0)</f>
        <v>0</v>
      </c>
      <c r="AG303" s="67" t="n">
        <f aca="false">IF(AND(AG$247&gt;1,MOD(AG$246-1,12)=0),Inputs!$D$52*AG250,0)</f>
        <v>0</v>
      </c>
      <c r="AH303" s="67" t="n">
        <f aca="false">IF(AND(AH$247&gt;1,MOD(AH$246-1,12)=0),Inputs!$D$52*AH250,0)</f>
        <v>0</v>
      </c>
      <c r="AI303" s="67" t="n">
        <f aca="false">IF(AND(AI$247&gt;1,MOD(AI$246-1,12)=0),Inputs!$D$52*AI250,0)</f>
        <v>0</v>
      </c>
      <c r="AJ303" s="67" t="n">
        <f aca="false">IF(AND(AJ$247&gt;1,MOD(AJ$246-1,12)=0),Inputs!$D$52*AJ250,0)</f>
        <v>0</v>
      </c>
      <c r="AK303" s="67" t="n">
        <f aca="false">IF(AND(AK$247&gt;1,MOD(AK$246-1,12)=0),Inputs!$D$52*AK250,0)</f>
        <v>0</v>
      </c>
      <c r="AL303" s="67" t="n">
        <f aca="false">IF(AND(AL$247&gt;1,MOD(AL$246-1,12)=0),Inputs!$D$52*AL250,0)</f>
        <v>0</v>
      </c>
    </row>
    <row r="304" customFormat="false" ht="15" hidden="false" customHeight="false" outlineLevel="0" collapsed="false">
      <c r="A304" s="4" t="s">
        <v>84</v>
      </c>
      <c r="C304" s="73" t="n">
        <f aca="false">C300+C301+C302+C303</f>
        <v>138000</v>
      </c>
      <c r="D304" s="73" t="n">
        <f aca="false">D300+D301+D302+D303</f>
        <v>0</v>
      </c>
      <c r="E304" s="73" t="n">
        <f aca="false">E300+E301+E302+E303</f>
        <v>0</v>
      </c>
      <c r="F304" s="73" t="n">
        <f aca="false">F300+F301+F302+F303</f>
        <v>0</v>
      </c>
      <c r="G304" s="73" t="n">
        <f aca="false">G300+G301+G302+G303</f>
        <v>0</v>
      </c>
      <c r="H304" s="73" t="n">
        <f aca="false">H300+H301+H302+H303</f>
        <v>0</v>
      </c>
      <c r="I304" s="73" t="n">
        <f aca="false">I300+I301+I302+I303</f>
        <v>0</v>
      </c>
      <c r="J304" s="73" t="n">
        <f aca="false">J300+J301+J302+J303</f>
        <v>0</v>
      </c>
      <c r="K304" s="73" t="n">
        <f aca="false">K300+K301+K302+K303</f>
        <v>0</v>
      </c>
      <c r="L304" s="73" t="n">
        <f aca="false">L300+L301+L302+L303</f>
        <v>0</v>
      </c>
      <c r="M304" s="73" t="n">
        <f aca="false">M300+M301+M302+M303</f>
        <v>0</v>
      </c>
      <c r="N304" s="73" t="n">
        <f aca="false">N300+N301+N302+N303</f>
        <v>0</v>
      </c>
      <c r="O304" s="73" t="n">
        <f aca="false">O300+O301+O302+O303</f>
        <v>2500</v>
      </c>
      <c r="P304" s="73" t="n">
        <f aca="false">P300+P301+P302+P303</f>
        <v>0</v>
      </c>
      <c r="Q304" s="73" t="n">
        <f aca="false">Q300+Q301+Q302+Q303</f>
        <v>0</v>
      </c>
      <c r="R304" s="73" t="n">
        <f aca="false">R300+R301+R302+R303</f>
        <v>0</v>
      </c>
      <c r="S304" s="73" t="n">
        <f aca="false">S300+S301+S302+S303</f>
        <v>0</v>
      </c>
      <c r="T304" s="73" t="n">
        <f aca="false">T300+T301+T302+T303</f>
        <v>0</v>
      </c>
      <c r="U304" s="73" t="n">
        <f aca="false">U300+U301+U302+U303</f>
        <v>0</v>
      </c>
      <c r="V304" s="73" t="n">
        <f aca="false">V300+V301+V302+V303</f>
        <v>0</v>
      </c>
      <c r="W304" s="73" t="n">
        <f aca="false">W300+W301+W302+W303</f>
        <v>0</v>
      </c>
      <c r="X304" s="73" t="n">
        <f aca="false">X300+X301+X302+X303</f>
        <v>0</v>
      </c>
      <c r="Y304" s="73" t="n">
        <f aca="false">Y300+Y301+Y302+Y303</f>
        <v>0</v>
      </c>
      <c r="Z304" s="73" t="n">
        <f aca="false">Z300+Z301+Z302+Z303</f>
        <v>0</v>
      </c>
      <c r="AA304" s="73" t="n">
        <f aca="false">AA300+AA301+AA302+AA303</f>
        <v>2500</v>
      </c>
      <c r="AB304" s="73" t="n">
        <f aca="false">AB300+AB301+AB302+AB303</f>
        <v>0</v>
      </c>
      <c r="AC304" s="73" t="n">
        <f aca="false">AC300+AC301+AC302+AC303</f>
        <v>0</v>
      </c>
      <c r="AD304" s="73" t="n">
        <f aca="false">AD300+AD301+AD302+AD303</f>
        <v>0</v>
      </c>
      <c r="AE304" s="73" t="n">
        <f aca="false">AE300+AE301+AE302+AE303</f>
        <v>0</v>
      </c>
      <c r="AF304" s="73" t="n">
        <f aca="false">AF300+AF301+AF302+AF303</f>
        <v>0</v>
      </c>
      <c r="AG304" s="73" t="n">
        <f aca="false">AG300+AG301+AG302+AG303</f>
        <v>0</v>
      </c>
      <c r="AH304" s="73" t="n">
        <f aca="false">AH300+AH301+AH302+AH303</f>
        <v>0</v>
      </c>
      <c r="AI304" s="73" t="n">
        <f aca="false">AI300+AI301+AI302+AI303</f>
        <v>0</v>
      </c>
      <c r="AJ304" s="73" t="n">
        <f aca="false">AJ300+AJ301+AJ302+AJ303</f>
        <v>0</v>
      </c>
      <c r="AK304" s="73" t="n">
        <f aca="false">AK300+AK301+AK302+AK303</f>
        <v>0</v>
      </c>
      <c r="AL304" s="73" t="n">
        <f aca="false">AL300+AL301+AL302+AL303</f>
        <v>0</v>
      </c>
    </row>
    <row r="305" customFormat="false" ht="15" hidden="false" customHeight="false" outlineLevel="0" collapsed="false">
      <c r="A305" s="6" t="s">
        <v>411</v>
      </c>
      <c r="C305" s="67" t="n">
        <f aca="false">C304</f>
        <v>138000</v>
      </c>
      <c r="D305" s="67" t="n">
        <f aca="false">C305+D304</f>
        <v>138000</v>
      </c>
      <c r="E305" s="67" t="n">
        <f aca="false">D305+E304</f>
        <v>138000</v>
      </c>
      <c r="F305" s="67" t="n">
        <f aca="false">E305+F304</f>
        <v>138000</v>
      </c>
      <c r="G305" s="67" t="n">
        <f aca="false">F305+G304</f>
        <v>138000</v>
      </c>
      <c r="H305" s="67" t="n">
        <f aca="false">G305+H304</f>
        <v>138000</v>
      </c>
      <c r="I305" s="67" t="n">
        <f aca="false">H305+I304</f>
        <v>138000</v>
      </c>
      <c r="J305" s="67" t="n">
        <f aca="false">I305+J304</f>
        <v>138000</v>
      </c>
      <c r="K305" s="67" t="n">
        <f aca="false">J305+K304</f>
        <v>138000</v>
      </c>
      <c r="L305" s="67" t="n">
        <f aca="false">K305+L304</f>
        <v>138000</v>
      </c>
      <c r="M305" s="67" t="n">
        <f aca="false">L305+M304</f>
        <v>138000</v>
      </c>
      <c r="N305" s="67" t="n">
        <f aca="false">M305+N304</f>
        <v>138000</v>
      </c>
      <c r="O305" s="67" t="n">
        <f aca="false">N305+O304</f>
        <v>140500</v>
      </c>
      <c r="P305" s="67" t="n">
        <f aca="false">O305+P304</f>
        <v>140500</v>
      </c>
      <c r="Q305" s="67" t="n">
        <f aca="false">P305+Q304</f>
        <v>140500</v>
      </c>
      <c r="R305" s="67" t="n">
        <f aca="false">Q305+R304</f>
        <v>140500</v>
      </c>
      <c r="S305" s="67" t="n">
        <f aca="false">R305+S304</f>
        <v>140500</v>
      </c>
      <c r="T305" s="67" t="n">
        <f aca="false">S305+T304</f>
        <v>140500</v>
      </c>
      <c r="U305" s="67" t="n">
        <f aca="false">T305+U304</f>
        <v>140500</v>
      </c>
      <c r="V305" s="67" t="n">
        <f aca="false">U305+V304</f>
        <v>140500</v>
      </c>
      <c r="W305" s="67" t="n">
        <f aca="false">V305+W304</f>
        <v>140500</v>
      </c>
      <c r="X305" s="67" t="n">
        <f aca="false">W305+X304</f>
        <v>140500</v>
      </c>
      <c r="Y305" s="67" t="n">
        <f aca="false">X305+Y304</f>
        <v>140500</v>
      </c>
      <c r="Z305" s="67" t="n">
        <f aca="false">Y305+Z304</f>
        <v>140500</v>
      </c>
      <c r="AA305" s="67" t="n">
        <f aca="false">Z305+AA304</f>
        <v>143000</v>
      </c>
      <c r="AB305" s="67" t="n">
        <f aca="false">AA305+AB304</f>
        <v>143000</v>
      </c>
      <c r="AC305" s="67" t="n">
        <f aca="false">AB305+AC304</f>
        <v>143000</v>
      </c>
      <c r="AD305" s="67" t="n">
        <f aca="false">AC305+AD304</f>
        <v>143000</v>
      </c>
      <c r="AE305" s="67" t="n">
        <f aca="false">AD305+AE304</f>
        <v>143000</v>
      </c>
      <c r="AF305" s="67" t="n">
        <f aca="false">AE305+AF304</f>
        <v>143000</v>
      </c>
      <c r="AG305" s="67" t="n">
        <f aca="false">AF305+AG304</f>
        <v>143000</v>
      </c>
      <c r="AH305" s="67" t="n">
        <f aca="false">AG305+AH304</f>
        <v>143000</v>
      </c>
      <c r="AI305" s="67" t="n">
        <f aca="false">AH305+AI304</f>
        <v>143000</v>
      </c>
      <c r="AJ305" s="67" t="n">
        <f aca="false">AI305+AJ304</f>
        <v>143000</v>
      </c>
      <c r="AK305" s="67" t="n">
        <f aca="false">AJ305+AK304</f>
        <v>143000</v>
      </c>
      <c r="AL305" s="67" t="n">
        <f aca="false">AK305+AL304</f>
        <v>143000</v>
      </c>
    </row>
    <row r="306" customFormat="false" ht="15" hidden="false" customHeight="false" outlineLevel="0" collapsed="false">
      <c r="A306" s="6" t="s">
        <v>78</v>
      </c>
      <c r="C306" s="67" t="n">
        <f aca="false">-MIN(C305/MAX(1,Inputs!$D$82*12),C304)</f>
        <v>-1642.85714285714</v>
      </c>
      <c r="D306" s="67" t="n">
        <f aca="false">-MIN(D305/MAX(1,Inputs!$D$82*12),C308+D304)</f>
        <v>-1642.85714285714</v>
      </c>
      <c r="E306" s="67" t="n">
        <f aca="false">-MIN(E305/MAX(1,Inputs!$D$82*12),D308+E304)</f>
        <v>-1642.85714285714</v>
      </c>
      <c r="F306" s="67" t="n">
        <f aca="false">-MIN(F305/MAX(1,Inputs!$D$82*12),E308+F304)</f>
        <v>-1642.85714285714</v>
      </c>
      <c r="G306" s="67" t="n">
        <f aca="false">-MIN(G305/MAX(1,Inputs!$D$82*12),F308+G304)</f>
        <v>-1642.85714285714</v>
      </c>
      <c r="H306" s="67" t="n">
        <f aca="false">-MIN(H305/MAX(1,Inputs!$D$82*12),G308+H304)</f>
        <v>-1642.85714285714</v>
      </c>
      <c r="I306" s="67" t="n">
        <f aca="false">-MIN(I305/MAX(1,Inputs!$D$82*12),H308+I304)</f>
        <v>-1642.85714285714</v>
      </c>
      <c r="J306" s="67" t="n">
        <f aca="false">-MIN(J305/MAX(1,Inputs!$D$82*12),I308+J304)</f>
        <v>-1642.85714285714</v>
      </c>
      <c r="K306" s="67" t="n">
        <f aca="false">-MIN(K305/MAX(1,Inputs!$D$82*12),J308+K304)</f>
        <v>-1642.85714285714</v>
      </c>
      <c r="L306" s="67" t="n">
        <f aca="false">-MIN(L305/MAX(1,Inputs!$D$82*12),K308+L304)</f>
        <v>-1642.85714285714</v>
      </c>
      <c r="M306" s="67" t="n">
        <f aca="false">-MIN(M305/MAX(1,Inputs!$D$82*12),L308+M304)</f>
        <v>-1642.85714285714</v>
      </c>
      <c r="N306" s="67" t="n">
        <f aca="false">-MIN(N305/MAX(1,Inputs!$D$82*12),M308+N304)</f>
        <v>-1642.85714285714</v>
      </c>
      <c r="O306" s="67" t="n">
        <f aca="false">-MIN(O305/MAX(1,Inputs!$D$82*12),N308+O304)</f>
        <v>-1672.61904761905</v>
      </c>
      <c r="P306" s="67" t="n">
        <f aca="false">-MIN(P305/MAX(1,Inputs!$D$82*12),O308+P304)</f>
        <v>-1672.61904761905</v>
      </c>
      <c r="Q306" s="67" t="n">
        <f aca="false">-MIN(Q305/MAX(1,Inputs!$D$82*12),P308+Q304)</f>
        <v>-1672.61904761905</v>
      </c>
      <c r="R306" s="67" t="n">
        <f aca="false">-MIN(R305/MAX(1,Inputs!$D$82*12),Q308+R304)</f>
        <v>-1672.61904761905</v>
      </c>
      <c r="S306" s="67" t="n">
        <f aca="false">-MIN(S305/MAX(1,Inputs!$D$82*12),R308+S304)</f>
        <v>-1672.61904761905</v>
      </c>
      <c r="T306" s="67" t="n">
        <f aca="false">-MIN(T305/MAX(1,Inputs!$D$82*12),S308+T304)</f>
        <v>-1672.61904761905</v>
      </c>
      <c r="U306" s="67" t="n">
        <f aca="false">-MIN(U305/MAX(1,Inputs!$D$82*12),T308+U304)</f>
        <v>-1672.61904761905</v>
      </c>
      <c r="V306" s="67" t="n">
        <f aca="false">-MIN(V305/MAX(1,Inputs!$D$82*12),U308+V304)</f>
        <v>-1672.61904761905</v>
      </c>
      <c r="W306" s="67" t="n">
        <f aca="false">-MIN(W305/MAX(1,Inputs!$D$82*12),V308+W304)</f>
        <v>-1672.61904761905</v>
      </c>
      <c r="X306" s="67" t="n">
        <f aca="false">-MIN(X305/MAX(1,Inputs!$D$82*12),W308+X304)</f>
        <v>-1672.61904761905</v>
      </c>
      <c r="Y306" s="67" t="n">
        <f aca="false">-MIN(Y305/MAX(1,Inputs!$D$82*12),X308+Y304)</f>
        <v>-1672.61904761905</v>
      </c>
      <c r="Z306" s="67" t="n">
        <f aca="false">-MIN(Z305/MAX(1,Inputs!$D$82*12),Y308+Z304)</f>
        <v>-1672.61904761905</v>
      </c>
      <c r="AA306" s="67" t="n">
        <f aca="false">-MIN(AA305/MAX(1,Inputs!$D$82*12),Z308+AA304)</f>
        <v>-1702.38095238095</v>
      </c>
      <c r="AB306" s="67" t="n">
        <f aca="false">-MIN(AB305/MAX(1,Inputs!$D$82*12),AA308+AB304)</f>
        <v>-1702.38095238095</v>
      </c>
      <c r="AC306" s="67" t="n">
        <f aca="false">-MIN(AC305/MAX(1,Inputs!$D$82*12),AB308+AC304)</f>
        <v>-1702.38095238095</v>
      </c>
      <c r="AD306" s="67" t="n">
        <f aca="false">-MIN(AD305/MAX(1,Inputs!$D$82*12),AC308+AD304)</f>
        <v>-1702.38095238095</v>
      </c>
      <c r="AE306" s="67" t="n">
        <f aca="false">-MIN(AE305/MAX(1,Inputs!$D$82*12),AD308+AE304)</f>
        <v>-1702.38095238095</v>
      </c>
      <c r="AF306" s="67" t="n">
        <f aca="false">-MIN(AF305/MAX(1,Inputs!$D$82*12),AE308+AF304)</f>
        <v>-1702.38095238095</v>
      </c>
      <c r="AG306" s="67" t="n">
        <f aca="false">-MIN(AG305/MAX(1,Inputs!$D$82*12),AF308+AG304)</f>
        <v>-1702.38095238095</v>
      </c>
      <c r="AH306" s="67" t="n">
        <f aca="false">-MIN(AH305/MAX(1,Inputs!$D$82*12),AG308+AH304)</f>
        <v>-1702.38095238095</v>
      </c>
      <c r="AI306" s="67" t="n">
        <f aca="false">-MIN(AI305/MAX(1,Inputs!$D$82*12),AH308+AI304)</f>
        <v>-1702.38095238095</v>
      </c>
      <c r="AJ306" s="67" t="n">
        <f aca="false">-MIN(AJ305/MAX(1,Inputs!$D$82*12),AI308+AJ304)</f>
        <v>-1702.38095238095</v>
      </c>
      <c r="AK306" s="67" t="n">
        <f aca="false">-MIN(AK305/MAX(1,Inputs!$D$82*12),AJ308+AK304)</f>
        <v>-1702.38095238095</v>
      </c>
      <c r="AL306" s="67" t="n">
        <f aca="false">-MIN(AL305/MAX(1,Inputs!$D$82*12),AK308+AL304)</f>
        <v>-1702.38095238095</v>
      </c>
    </row>
    <row r="307" customFormat="false" ht="15" hidden="false" customHeight="false" outlineLevel="0" collapsed="false">
      <c r="A307" s="6" t="s">
        <v>412</v>
      </c>
      <c r="C307" s="67" t="n">
        <f aca="false">C306</f>
        <v>-1642.85714285714</v>
      </c>
      <c r="D307" s="67" t="n">
        <f aca="false">C307+D306</f>
        <v>-3285.71428571429</v>
      </c>
      <c r="E307" s="67" t="n">
        <f aca="false">D307+E306</f>
        <v>-4928.57142857143</v>
      </c>
      <c r="F307" s="67" t="n">
        <f aca="false">E307+F306</f>
        <v>-6571.42857142857</v>
      </c>
      <c r="G307" s="67" t="n">
        <f aca="false">F307+G306</f>
        <v>-8214.28571428571</v>
      </c>
      <c r="H307" s="67" t="n">
        <f aca="false">G307+H306</f>
        <v>-9857.14285714286</v>
      </c>
      <c r="I307" s="67" t="n">
        <f aca="false">H307+I306</f>
        <v>-11500</v>
      </c>
      <c r="J307" s="67" t="n">
        <f aca="false">I307+J306</f>
        <v>-13142.8571428571</v>
      </c>
      <c r="K307" s="67" t="n">
        <f aca="false">J307+K306</f>
        <v>-14785.7142857143</v>
      </c>
      <c r="L307" s="67" t="n">
        <f aca="false">K307+L306</f>
        <v>-16428.5714285714</v>
      </c>
      <c r="M307" s="67" t="n">
        <f aca="false">L307+M306</f>
        <v>-18071.4285714286</v>
      </c>
      <c r="N307" s="67" t="n">
        <f aca="false">M307+N306</f>
        <v>-19714.2857142857</v>
      </c>
      <c r="O307" s="67" t="n">
        <f aca="false">N307+O306</f>
        <v>-21386.9047619048</v>
      </c>
      <c r="P307" s="67" t="n">
        <f aca="false">O307+P306</f>
        <v>-23059.5238095238</v>
      </c>
      <c r="Q307" s="67" t="n">
        <f aca="false">P307+Q306</f>
        <v>-24732.1428571428</v>
      </c>
      <c r="R307" s="67" t="n">
        <f aca="false">Q307+R306</f>
        <v>-26404.7619047619</v>
      </c>
      <c r="S307" s="67" t="n">
        <f aca="false">R307+S306</f>
        <v>-28077.3809523809</v>
      </c>
      <c r="T307" s="67" t="n">
        <f aca="false">S307+T306</f>
        <v>-29750</v>
      </c>
      <c r="U307" s="67" t="n">
        <f aca="false">T307+U306</f>
        <v>-31422.619047619</v>
      </c>
      <c r="V307" s="67" t="n">
        <f aca="false">U307+V306</f>
        <v>-33095.2380952381</v>
      </c>
      <c r="W307" s="67" t="n">
        <f aca="false">V307+W306</f>
        <v>-34767.8571428571</v>
      </c>
      <c r="X307" s="67" t="n">
        <f aca="false">W307+X306</f>
        <v>-36440.4761904762</v>
      </c>
      <c r="Y307" s="67" t="n">
        <f aca="false">X307+Y306</f>
        <v>-38113.0952380952</v>
      </c>
      <c r="Z307" s="67" t="n">
        <f aca="false">Y307+Z306</f>
        <v>-39785.7142857143</v>
      </c>
      <c r="AA307" s="67" t="n">
        <f aca="false">Z307+AA306</f>
        <v>-41488.0952380952</v>
      </c>
      <c r="AB307" s="67" t="n">
        <f aca="false">AA307+AB306</f>
        <v>-43190.4761904762</v>
      </c>
      <c r="AC307" s="67" t="n">
        <f aca="false">AB307+AC306</f>
        <v>-44892.8571428571</v>
      </c>
      <c r="AD307" s="67" t="n">
        <f aca="false">AC307+AD306</f>
        <v>-46595.2380952381</v>
      </c>
      <c r="AE307" s="67" t="n">
        <f aca="false">AD307+AE306</f>
        <v>-48297.619047619</v>
      </c>
      <c r="AF307" s="67" t="n">
        <f aca="false">AE307+AF306</f>
        <v>-50000</v>
      </c>
      <c r="AG307" s="67" t="n">
        <f aca="false">AF307+AG306</f>
        <v>-51702.3809523809</v>
      </c>
      <c r="AH307" s="67" t="n">
        <f aca="false">AG307+AH306</f>
        <v>-53404.7619047619</v>
      </c>
      <c r="AI307" s="67" t="n">
        <f aca="false">AH307+AI306</f>
        <v>-55107.1428571429</v>
      </c>
      <c r="AJ307" s="67" t="n">
        <f aca="false">AI307+AJ306</f>
        <v>-56809.5238095238</v>
      </c>
      <c r="AK307" s="67" t="n">
        <f aca="false">AJ307+AK306</f>
        <v>-58511.9047619048</v>
      </c>
      <c r="AL307" s="67" t="n">
        <f aca="false">AK307+AL306</f>
        <v>-60214.2857142857</v>
      </c>
    </row>
    <row r="308" customFormat="false" ht="15" hidden="false" customHeight="false" outlineLevel="0" collapsed="false">
      <c r="A308" s="4" t="s">
        <v>92</v>
      </c>
      <c r="C308" s="73" t="n">
        <f aca="false">C305+C307</f>
        <v>136357.142857143</v>
      </c>
      <c r="D308" s="73" t="n">
        <f aca="false">D305+D307</f>
        <v>134714.285714286</v>
      </c>
      <c r="E308" s="73" t="n">
        <f aca="false">E305+E307</f>
        <v>133071.428571429</v>
      </c>
      <c r="F308" s="73" t="n">
        <f aca="false">F305+F307</f>
        <v>131428.571428571</v>
      </c>
      <c r="G308" s="73" t="n">
        <f aca="false">G305+G307</f>
        <v>129785.714285714</v>
      </c>
      <c r="H308" s="73" t="n">
        <f aca="false">H305+H307</f>
        <v>128142.857142857</v>
      </c>
      <c r="I308" s="73" t="n">
        <f aca="false">I305+I307</f>
        <v>126500</v>
      </c>
      <c r="J308" s="73" t="n">
        <f aca="false">J305+J307</f>
        <v>124857.142857143</v>
      </c>
      <c r="K308" s="73" t="n">
        <f aca="false">K305+K307</f>
        <v>123214.285714286</v>
      </c>
      <c r="L308" s="73" t="n">
        <f aca="false">L305+L307</f>
        <v>121571.428571429</v>
      </c>
      <c r="M308" s="73" t="n">
        <f aca="false">M305+M307</f>
        <v>119928.571428571</v>
      </c>
      <c r="N308" s="73" t="n">
        <f aca="false">N305+N307</f>
        <v>118285.714285714</v>
      </c>
      <c r="O308" s="73" t="n">
        <f aca="false">O305+O307</f>
        <v>119113.095238095</v>
      </c>
      <c r="P308" s="73" t="n">
        <f aca="false">P305+P307</f>
        <v>117440.476190476</v>
      </c>
      <c r="Q308" s="73" t="n">
        <f aca="false">Q305+Q307</f>
        <v>115767.857142857</v>
      </c>
      <c r="R308" s="73" t="n">
        <f aca="false">R305+R307</f>
        <v>114095.238095238</v>
      </c>
      <c r="S308" s="73" t="n">
        <f aca="false">S305+S307</f>
        <v>112422.619047619</v>
      </c>
      <c r="T308" s="73" t="n">
        <f aca="false">T305+T307</f>
        <v>110750</v>
      </c>
      <c r="U308" s="73" t="n">
        <f aca="false">U305+U307</f>
        <v>109077.380952381</v>
      </c>
      <c r="V308" s="73" t="n">
        <f aca="false">V305+V307</f>
        <v>107404.761904762</v>
      </c>
      <c r="W308" s="73" t="n">
        <f aca="false">W305+W307</f>
        <v>105732.142857143</v>
      </c>
      <c r="X308" s="73" t="n">
        <f aca="false">X305+X307</f>
        <v>104059.523809524</v>
      </c>
      <c r="Y308" s="73" t="n">
        <f aca="false">Y305+Y307</f>
        <v>102386.904761905</v>
      </c>
      <c r="Z308" s="73" t="n">
        <f aca="false">Z305+Z307</f>
        <v>100714.285714286</v>
      </c>
      <c r="AA308" s="73" t="n">
        <f aca="false">AA305+AA307</f>
        <v>101511.904761905</v>
      </c>
      <c r="AB308" s="73" t="n">
        <f aca="false">AB305+AB307</f>
        <v>99809.5238095238</v>
      </c>
      <c r="AC308" s="73" t="n">
        <f aca="false">AC305+AC307</f>
        <v>98107.1428571429</v>
      </c>
      <c r="AD308" s="73" t="n">
        <f aca="false">AD305+AD307</f>
        <v>96404.7619047619</v>
      </c>
      <c r="AE308" s="73" t="n">
        <f aca="false">AE305+AE307</f>
        <v>94702.380952381</v>
      </c>
      <c r="AF308" s="73" t="n">
        <f aca="false">AF305+AF307</f>
        <v>93000</v>
      </c>
      <c r="AG308" s="73" t="n">
        <f aca="false">AG305+AG307</f>
        <v>91297.6190476191</v>
      </c>
      <c r="AH308" s="73" t="n">
        <f aca="false">AH305+AH307</f>
        <v>89595.2380952381</v>
      </c>
      <c r="AI308" s="73" t="n">
        <f aca="false">AI305+AI307</f>
        <v>87892.8571428572</v>
      </c>
      <c r="AJ308" s="73" t="n">
        <f aca="false">AJ305+AJ307</f>
        <v>86190.4761904762</v>
      </c>
      <c r="AK308" s="73" t="n">
        <f aca="false">AK305+AK307</f>
        <v>84488.0952380952</v>
      </c>
      <c r="AL308" s="73" t="n">
        <f aca="false">AL305+AL307</f>
        <v>82785.7142857143</v>
      </c>
    </row>
    <row r="310" customFormat="false" ht="15.75" hidden="false" customHeight="true" outlineLevel="0" collapsed="false">
      <c r="A310" s="7" t="s">
        <v>413</v>
      </c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</row>
    <row r="311" customFormat="false" ht="15" hidden="false" customHeight="false" outlineLevel="0" collapsed="false">
      <c r="A311" s="6" t="s">
        <v>414</v>
      </c>
      <c r="C311" s="67" t="n">
        <f aca="false">0</f>
        <v>0</v>
      </c>
      <c r="D311" s="67" t="n">
        <f aca="false">C314</f>
        <v>90000</v>
      </c>
      <c r="E311" s="67" t="n">
        <f aca="false">D314</f>
        <v>88500</v>
      </c>
      <c r="F311" s="67" t="n">
        <f aca="false">E314</f>
        <v>87000</v>
      </c>
      <c r="G311" s="67" t="n">
        <f aca="false">F314</f>
        <v>85500</v>
      </c>
      <c r="H311" s="67" t="n">
        <f aca="false">G314</f>
        <v>84000</v>
      </c>
      <c r="I311" s="67" t="n">
        <f aca="false">H314</f>
        <v>82500</v>
      </c>
      <c r="J311" s="67" t="n">
        <f aca="false">I314</f>
        <v>81000</v>
      </c>
      <c r="K311" s="67" t="n">
        <f aca="false">J314</f>
        <v>79500</v>
      </c>
      <c r="L311" s="67" t="n">
        <f aca="false">K314</f>
        <v>78000</v>
      </c>
      <c r="M311" s="67" t="n">
        <f aca="false">L314</f>
        <v>76500</v>
      </c>
      <c r="N311" s="67" t="n">
        <f aca="false">M314</f>
        <v>75000</v>
      </c>
      <c r="O311" s="67" t="n">
        <f aca="false">N314</f>
        <v>73500</v>
      </c>
      <c r="P311" s="67" t="n">
        <f aca="false">O314</f>
        <v>72000</v>
      </c>
      <c r="Q311" s="67" t="n">
        <f aca="false">P314</f>
        <v>70500</v>
      </c>
      <c r="R311" s="67" t="n">
        <f aca="false">Q314</f>
        <v>69000</v>
      </c>
      <c r="S311" s="67" t="n">
        <f aca="false">R314</f>
        <v>67500</v>
      </c>
      <c r="T311" s="67" t="n">
        <f aca="false">S314</f>
        <v>66000</v>
      </c>
      <c r="U311" s="67" t="n">
        <f aca="false">T314</f>
        <v>64500</v>
      </c>
      <c r="V311" s="67" t="n">
        <f aca="false">U314</f>
        <v>63000</v>
      </c>
      <c r="W311" s="67" t="n">
        <f aca="false">V314</f>
        <v>61500</v>
      </c>
      <c r="X311" s="67" t="n">
        <f aca="false">W314</f>
        <v>60000</v>
      </c>
      <c r="Y311" s="67" t="n">
        <f aca="false">X314</f>
        <v>58500</v>
      </c>
      <c r="Z311" s="67" t="n">
        <f aca="false">Y314</f>
        <v>57000</v>
      </c>
      <c r="AA311" s="67" t="n">
        <f aca="false">Z314</f>
        <v>55500</v>
      </c>
      <c r="AB311" s="67" t="n">
        <f aca="false">AA314</f>
        <v>54000</v>
      </c>
      <c r="AC311" s="67" t="n">
        <f aca="false">AB314</f>
        <v>52500</v>
      </c>
      <c r="AD311" s="67" t="n">
        <f aca="false">AC314</f>
        <v>51000</v>
      </c>
      <c r="AE311" s="67" t="n">
        <f aca="false">AD314</f>
        <v>49500</v>
      </c>
      <c r="AF311" s="67" t="n">
        <f aca="false">AE314</f>
        <v>48000</v>
      </c>
      <c r="AG311" s="67" t="n">
        <f aca="false">AF314</f>
        <v>46500</v>
      </c>
      <c r="AH311" s="67" t="n">
        <f aca="false">AG314</f>
        <v>45000</v>
      </c>
      <c r="AI311" s="67" t="n">
        <f aca="false">AH314</f>
        <v>43500</v>
      </c>
      <c r="AJ311" s="67" t="n">
        <f aca="false">AI314</f>
        <v>42000</v>
      </c>
      <c r="AK311" s="67" t="n">
        <f aca="false">AJ314</f>
        <v>40500</v>
      </c>
      <c r="AL311" s="67" t="n">
        <f aca="false">AK314</f>
        <v>39000</v>
      </c>
    </row>
    <row r="312" customFormat="false" ht="15" hidden="false" customHeight="false" outlineLevel="0" collapsed="false">
      <c r="A312" s="6" t="s">
        <v>85</v>
      </c>
      <c r="C312" s="67" t="n">
        <f aca="false">IF(C$246=1,Inputs!$D$72,0)</f>
        <v>90000</v>
      </c>
      <c r="D312" s="67" t="n">
        <f aca="false">IF(D$246=1,Inputs!$D$72,0)</f>
        <v>0</v>
      </c>
      <c r="E312" s="67" t="n">
        <f aca="false">IF(E$246=1,Inputs!$D$72,0)</f>
        <v>0</v>
      </c>
      <c r="F312" s="67" t="n">
        <f aca="false">IF(F$246=1,Inputs!$D$72,0)</f>
        <v>0</v>
      </c>
      <c r="G312" s="67" t="n">
        <f aca="false">IF(G$246=1,Inputs!$D$72,0)</f>
        <v>0</v>
      </c>
      <c r="H312" s="67" t="n">
        <f aca="false">IF(H$246=1,Inputs!$D$72,0)</f>
        <v>0</v>
      </c>
      <c r="I312" s="67" t="n">
        <f aca="false">IF(I$246=1,Inputs!$D$72,0)</f>
        <v>0</v>
      </c>
      <c r="J312" s="67" t="n">
        <f aca="false">IF(J$246=1,Inputs!$D$72,0)</f>
        <v>0</v>
      </c>
      <c r="K312" s="67" t="n">
        <f aca="false">IF(K$246=1,Inputs!$D$72,0)</f>
        <v>0</v>
      </c>
      <c r="L312" s="67" t="n">
        <f aca="false">IF(L$246=1,Inputs!$D$72,0)</f>
        <v>0</v>
      </c>
      <c r="M312" s="67" t="n">
        <f aca="false">IF(M$246=1,Inputs!$D$72,0)</f>
        <v>0</v>
      </c>
      <c r="N312" s="67" t="n">
        <f aca="false">IF(N$246=1,Inputs!$D$72,0)</f>
        <v>0</v>
      </c>
      <c r="O312" s="67" t="n">
        <f aca="false">IF(O$246=1,Inputs!$D$72,0)</f>
        <v>0</v>
      </c>
      <c r="P312" s="67" t="n">
        <f aca="false">IF(P$246=1,Inputs!$D$72,0)</f>
        <v>0</v>
      </c>
      <c r="Q312" s="67" t="n">
        <f aca="false">IF(Q$246=1,Inputs!$D$72,0)</f>
        <v>0</v>
      </c>
      <c r="R312" s="67" t="n">
        <f aca="false">IF(R$246=1,Inputs!$D$72,0)</f>
        <v>0</v>
      </c>
      <c r="S312" s="67" t="n">
        <f aca="false">IF(S$246=1,Inputs!$D$72,0)</f>
        <v>0</v>
      </c>
      <c r="T312" s="67" t="n">
        <f aca="false">IF(T$246=1,Inputs!$D$72,0)</f>
        <v>0</v>
      </c>
      <c r="U312" s="67" t="n">
        <f aca="false">IF(U$246=1,Inputs!$D$72,0)</f>
        <v>0</v>
      </c>
      <c r="V312" s="67" t="n">
        <f aca="false">IF(V$246=1,Inputs!$D$72,0)</f>
        <v>0</v>
      </c>
      <c r="W312" s="67" t="n">
        <f aca="false">IF(W$246=1,Inputs!$D$72,0)</f>
        <v>0</v>
      </c>
      <c r="X312" s="67" t="n">
        <f aca="false">IF(X$246=1,Inputs!$D$72,0)</f>
        <v>0</v>
      </c>
      <c r="Y312" s="67" t="n">
        <f aca="false">IF(Y$246=1,Inputs!$D$72,0)</f>
        <v>0</v>
      </c>
      <c r="Z312" s="67" t="n">
        <f aca="false">IF(Z$246=1,Inputs!$D$72,0)</f>
        <v>0</v>
      </c>
      <c r="AA312" s="67" t="n">
        <f aca="false">IF(AA$246=1,Inputs!$D$72,0)</f>
        <v>0</v>
      </c>
      <c r="AB312" s="67" t="n">
        <f aca="false">IF(AB$246=1,Inputs!$D$72,0)</f>
        <v>0</v>
      </c>
      <c r="AC312" s="67" t="n">
        <f aca="false">IF(AC$246=1,Inputs!$D$72,0)</f>
        <v>0</v>
      </c>
      <c r="AD312" s="67" t="n">
        <f aca="false">IF(AD$246=1,Inputs!$D$72,0)</f>
        <v>0</v>
      </c>
      <c r="AE312" s="67" t="n">
        <f aca="false">IF(AE$246=1,Inputs!$D$72,0)</f>
        <v>0</v>
      </c>
      <c r="AF312" s="67" t="n">
        <f aca="false">IF(AF$246=1,Inputs!$D$72,0)</f>
        <v>0</v>
      </c>
      <c r="AG312" s="67" t="n">
        <f aca="false">IF(AG$246=1,Inputs!$D$72,0)</f>
        <v>0</v>
      </c>
      <c r="AH312" s="67" t="n">
        <f aca="false">IF(AH$246=1,Inputs!$D$72,0)</f>
        <v>0</v>
      </c>
      <c r="AI312" s="67" t="n">
        <f aca="false">IF(AI$246=1,Inputs!$D$72,0)</f>
        <v>0</v>
      </c>
      <c r="AJ312" s="67" t="n">
        <f aca="false">IF(AJ$246=1,Inputs!$D$72,0)</f>
        <v>0</v>
      </c>
      <c r="AK312" s="67" t="n">
        <f aca="false">IF(AK$246=1,Inputs!$D$72,0)</f>
        <v>0</v>
      </c>
      <c r="AL312" s="67" t="n">
        <f aca="false">IF(AL$246=1,Inputs!$D$72,0)</f>
        <v>0</v>
      </c>
    </row>
    <row r="313" customFormat="false" ht="15" hidden="false" customHeight="false" outlineLevel="0" collapsed="false">
      <c r="A313" s="6" t="s">
        <v>86</v>
      </c>
      <c r="C313" s="67" t="n">
        <f aca="false">-MIN(C311,Inputs!$D$72/MAX(1,Inputs!$D$74*12))</f>
        <v>-0</v>
      </c>
      <c r="D313" s="67" t="n">
        <f aca="false">-MIN(D311,Inputs!$D$72/MAX(1,Inputs!$D$74*12))</f>
        <v>-1500</v>
      </c>
      <c r="E313" s="67" t="n">
        <f aca="false">-MIN(E311,Inputs!$D$72/MAX(1,Inputs!$D$74*12))</f>
        <v>-1500</v>
      </c>
      <c r="F313" s="67" t="n">
        <f aca="false">-MIN(F311,Inputs!$D$72/MAX(1,Inputs!$D$74*12))</f>
        <v>-1500</v>
      </c>
      <c r="G313" s="67" t="n">
        <f aca="false">-MIN(G311,Inputs!$D$72/MAX(1,Inputs!$D$74*12))</f>
        <v>-1500</v>
      </c>
      <c r="H313" s="67" t="n">
        <f aca="false">-MIN(H311,Inputs!$D$72/MAX(1,Inputs!$D$74*12))</f>
        <v>-1500</v>
      </c>
      <c r="I313" s="67" t="n">
        <f aca="false">-MIN(I311,Inputs!$D$72/MAX(1,Inputs!$D$74*12))</f>
        <v>-1500</v>
      </c>
      <c r="J313" s="67" t="n">
        <f aca="false">-MIN(J311,Inputs!$D$72/MAX(1,Inputs!$D$74*12))</f>
        <v>-1500</v>
      </c>
      <c r="K313" s="67" t="n">
        <f aca="false">-MIN(K311,Inputs!$D$72/MAX(1,Inputs!$D$74*12))</f>
        <v>-1500</v>
      </c>
      <c r="L313" s="67" t="n">
        <f aca="false">-MIN(L311,Inputs!$D$72/MAX(1,Inputs!$D$74*12))</f>
        <v>-1500</v>
      </c>
      <c r="M313" s="67" t="n">
        <f aca="false">-MIN(M311,Inputs!$D$72/MAX(1,Inputs!$D$74*12))</f>
        <v>-1500</v>
      </c>
      <c r="N313" s="67" t="n">
        <f aca="false">-MIN(N311,Inputs!$D$72/MAX(1,Inputs!$D$74*12))</f>
        <v>-1500</v>
      </c>
      <c r="O313" s="67" t="n">
        <f aca="false">-MIN(O311,Inputs!$D$72/MAX(1,Inputs!$D$74*12))</f>
        <v>-1500</v>
      </c>
      <c r="P313" s="67" t="n">
        <f aca="false">-MIN(P311,Inputs!$D$72/MAX(1,Inputs!$D$74*12))</f>
        <v>-1500</v>
      </c>
      <c r="Q313" s="67" t="n">
        <f aca="false">-MIN(Q311,Inputs!$D$72/MAX(1,Inputs!$D$74*12))</f>
        <v>-1500</v>
      </c>
      <c r="R313" s="67" t="n">
        <f aca="false">-MIN(R311,Inputs!$D$72/MAX(1,Inputs!$D$74*12))</f>
        <v>-1500</v>
      </c>
      <c r="S313" s="67" t="n">
        <f aca="false">-MIN(S311,Inputs!$D$72/MAX(1,Inputs!$D$74*12))</f>
        <v>-1500</v>
      </c>
      <c r="T313" s="67" t="n">
        <f aca="false">-MIN(T311,Inputs!$D$72/MAX(1,Inputs!$D$74*12))</f>
        <v>-1500</v>
      </c>
      <c r="U313" s="67" t="n">
        <f aca="false">-MIN(U311,Inputs!$D$72/MAX(1,Inputs!$D$74*12))</f>
        <v>-1500</v>
      </c>
      <c r="V313" s="67" t="n">
        <f aca="false">-MIN(V311,Inputs!$D$72/MAX(1,Inputs!$D$74*12))</f>
        <v>-1500</v>
      </c>
      <c r="W313" s="67" t="n">
        <f aca="false">-MIN(W311,Inputs!$D$72/MAX(1,Inputs!$D$74*12))</f>
        <v>-1500</v>
      </c>
      <c r="X313" s="67" t="n">
        <f aca="false">-MIN(X311,Inputs!$D$72/MAX(1,Inputs!$D$74*12))</f>
        <v>-1500</v>
      </c>
      <c r="Y313" s="67" t="n">
        <f aca="false">-MIN(Y311,Inputs!$D$72/MAX(1,Inputs!$D$74*12))</f>
        <v>-1500</v>
      </c>
      <c r="Z313" s="67" t="n">
        <f aca="false">-MIN(Z311,Inputs!$D$72/MAX(1,Inputs!$D$74*12))</f>
        <v>-1500</v>
      </c>
      <c r="AA313" s="67" t="n">
        <f aca="false">-MIN(AA311,Inputs!$D$72/MAX(1,Inputs!$D$74*12))</f>
        <v>-1500</v>
      </c>
      <c r="AB313" s="67" t="n">
        <f aca="false">-MIN(AB311,Inputs!$D$72/MAX(1,Inputs!$D$74*12))</f>
        <v>-1500</v>
      </c>
      <c r="AC313" s="67" t="n">
        <f aca="false">-MIN(AC311,Inputs!$D$72/MAX(1,Inputs!$D$74*12))</f>
        <v>-1500</v>
      </c>
      <c r="AD313" s="67" t="n">
        <f aca="false">-MIN(AD311,Inputs!$D$72/MAX(1,Inputs!$D$74*12))</f>
        <v>-1500</v>
      </c>
      <c r="AE313" s="67" t="n">
        <f aca="false">-MIN(AE311,Inputs!$D$72/MAX(1,Inputs!$D$74*12))</f>
        <v>-1500</v>
      </c>
      <c r="AF313" s="67" t="n">
        <f aca="false">-MIN(AF311,Inputs!$D$72/MAX(1,Inputs!$D$74*12))</f>
        <v>-1500</v>
      </c>
      <c r="AG313" s="67" t="n">
        <f aca="false">-MIN(AG311,Inputs!$D$72/MAX(1,Inputs!$D$74*12))</f>
        <v>-1500</v>
      </c>
      <c r="AH313" s="67" t="n">
        <f aca="false">-MIN(AH311,Inputs!$D$72/MAX(1,Inputs!$D$74*12))</f>
        <v>-1500</v>
      </c>
      <c r="AI313" s="67" t="n">
        <f aca="false">-MIN(AI311,Inputs!$D$72/MAX(1,Inputs!$D$74*12))</f>
        <v>-1500</v>
      </c>
      <c r="AJ313" s="67" t="n">
        <f aca="false">-MIN(AJ311,Inputs!$D$72/MAX(1,Inputs!$D$74*12))</f>
        <v>-1500</v>
      </c>
      <c r="AK313" s="67" t="n">
        <f aca="false">-MIN(AK311,Inputs!$D$72/MAX(1,Inputs!$D$74*12))</f>
        <v>-1500</v>
      </c>
      <c r="AL313" s="67" t="n">
        <f aca="false">-MIN(AL311,Inputs!$D$72/MAX(1,Inputs!$D$74*12))</f>
        <v>-1500</v>
      </c>
    </row>
    <row r="314" customFormat="false" ht="15" hidden="false" customHeight="false" outlineLevel="0" collapsed="false">
      <c r="A314" s="4" t="s">
        <v>415</v>
      </c>
      <c r="C314" s="73" t="n">
        <f aca="false">C311+C312+C313</f>
        <v>90000</v>
      </c>
      <c r="D314" s="73" t="n">
        <f aca="false">D311+D312+D313</f>
        <v>88500</v>
      </c>
      <c r="E314" s="73" t="n">
        <f aca="false">E311+E312+E313</f>
        <v>87000</v>
      </c>
      <c r="F314" s="73" t="n">
        <f aca="false">F311+F312+F313</f>
        <v>85500</v>
      </c>
      <c r="G314" s="73" t="n">
        <f aca="false">G311+G312+G313</f>
        <v>84000</v>
      </c>
      <c r="H314" s="73" t="n">
        <f aca="false">H311+H312+H313</f>
        <v>82500</v>
      </c>
      <c r="I314" s="73" t="n">
        <f aca="false">I311+I312+I313</f>
        <v>81000</v>
      </c>
      <c r="J314" s="73" t="n">
        <f aca="false">J311+J312+J313</f>
        <v>79500</v>
      </c>
      <c r="K314" s="73" t="n">
        <f aca="false">K311+K312+K313</f>
        <v>78000</v>
      </c>
      <c r="L314" s="73" t="n">
        <f aca="false">L311+L312+L313</f>
        <v>76500</v>
      </c>
      <c r="M314" s="73" t="n">
        <f aca="false">M311+M312+M313</f>
        <v>75000</v>
      </c>
      <c r="N314" s="73" t="n">
        <f aca="false">N311+N312+N313</f>
        <v>73500</v>
      </c>
      <c r="O314" s="73" t="n">
        <f aca="false">O311+O312+O313</f>
        <v>72000</v>
      </c>
      <c r="P314" s="73" t="n">
        <f aca="false">P311+P312+P313</f>
        <v>70500</v>
      </c>
      <c r="Q314" s="73" t="n">
        <f aca="false">Q311+Q312+Q313</f>
        <v>69000</v>
      </c>
      <c r="R314" s="73" t="n">
        <f aca="false">R311+R312+R313</f>
        <v>67500</v>
      </c>
      <c r="S314" s="73" t="n">
        <f aca="false">S311+S312+S313</f>
        <v>66000</v>
      </c>
      <c r="T314" s="73" t="n">
        <f aca="false">T311+T312+T313</f>
        <v>64500</v>
      </c>
      <c r="U314" s="73" t="n">
        <f aca="false">U311+U312+U313</f>
        <v>63000</v>
      </c>
      <c r="V314" s="73" t="n">
        <f aca="false">V311+V312+V313</f>
        <v>61500</v>
      </c>
      <c r="W314" s="73" t="n">
        <f aca="false">W311+W312+W313</f>
        <v>60000</v>
      </c>
      <c r="X314" s="73" t="n">
        <f aca="false">X311+X312+X313</f>
        <v>58500</v>
      </c>
      <c r="Y314" s="73" t="n">
        <f aca="false">Y311+Y312+Y313</f>
        <v>57000</v>
      </c>
      <c r="Z314" s="73" t="n">
        <f aca="false">Z311+Z312+Z313</f>
        <v>55500</v>
      </c>
      <c r="AA314" s="73" t="n">
        <f aca="false">AA311+AA312+AA313</f>
        <v>54000</v>
      </c>
      <c r="AB314" s="73" t="n">
        <f aca="false">AB311+AB312+AB313</f>
        <v>52500</v>
      </c>
      <c r="AC314" s="73" t="n">
        <f aca="false">AC311+AC312+AC313</f>
        <v>51000</v>
      </c>
      <c r="AD314" s="73" t="n">
        <f aca="false">AD311+AD312+AD313</f>
        <v>49500</v>
      </c>
      <c r="AE314" s="73" t="n">
        <f aca="false">AE311+AE312+AE313</f>
        <v>48000</v>
      </c>
      <c r="AF314" s="73" t="n">
        <f aca="false">AF311+AF312+AF313</f>
        <v>46500</v>
      </c>
      <c r="AG314" s="73" t="n">
        <f aca="false">AG311+AG312+AG313</f>
        <v>45000</v>
      </c>
      <c r="AH314" s="73" t="n">
        <f aca="false">AH311+AH312+AH313</f>
        <v>43500</v>
      </c>
      <c r="AI314" s="73" t="n">
        <f aca="false">AI311+AI312+AI313</f>
        <v>42000</v>
      </c>
      <c r="AJ314" s="73" t="n">
        <f aca="false">AJ311+AJ312+AJ313</f>
        <v>40500</v>
      </c>
      <c r="AK314" s="73" t="n">
        <f aca="false">AK311+AK312+AK313</f>
        <v>39000</v>
      </c>
      <c r="AL314" s="73" t="n">
        <f aca="false">AL311+AL312+AL313</f>
        <v>37500</v>
      </c>
    </row>
    <row r="316" customFormat="false" ht="15.75" hidden="false" customHeight="true" outlineLevel="0" collapsed="false">
      <c r="A316" s="7" t="s">
        <v>314</v>
      </c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</row>
    <row r="317" customFormat="false" ht="15" hidden="false" customHeight="false" outlineLevel="0" collapsed="false">
      <c r="A317" s="6" t="s">
        <v>90</v>
      </c>
      <c r="C317" s="67" t="n">
        <f aca="false">C266*Inputs!$D$77/30</f>
        <v>1666.14</v>
      </c>
      <c r="D317" s="67" t="n">
        <f aca="false">D266*Inputs!$D$77/30</f>
        <v>1943.83</v>
      </c>
      <c r="E317" s="67" t="n">
        <f aca="false">E266*Inputs!$D$77/30</f>
        <v>2817.36</v>
      </c>
      <c r="F317" s="67" t="n">
        <f aca="false">F266*Inputs!$D$77/30</f>
        <v>3169.53</v>
      </c>
      <c r="G317" s="67" t="n">
        <f aca="false">G266*Inputs!$D$77/30</f>
        <v>3521.7</v>
      </c>
      <c r="H317" s="67" t="n">
        <f aca="false">H266*Inputs!$D$77/30</f>
        <v>3521.7</v>
      </c>
      <c r="I317" s="67" t="n">
        <f aca="false">I266*Inputs!$D$77/30</f>
        <v>3521.7</v>
      </c>
      <c r="J317" s="67" t="n">
        <f aca="false">J266*Inputs!$D$77/30</f>
        <v>3521.7</v>
      </c>
      <c r="K317" s="67" t="n">
        <f aca="false">K266*Inputs!$D$77/30</f>
        <v>3521.7</v>
      </c>
      <c r="L317" s="67" t="n">
        <f aca="false">L266*Inputs!$D$77/30</f>
        <v>3521.7</v>
      </c>
      <c r="M317" s="67" t="n">
        <f aca="false">M266*Inputs!$D$77/30</f>
        <v>3521.7</v>
      </c>
      <c r="N317" s="67" t="n">
        <f aca="false">N266*Inputs!$D$77/30</f>
        <v>2776.9</v>
      </c>
      <c r="O317" s="67" t="n">
        <f aca="false">O266*Inputs!$D$77/30</f>
        <v>3060.5848</v>
      </c>
      <c r="P317" s="67" t="n">
        <f aca="false">P266*Inputs!$D$77/30</f>
        <v>3060.5848</v>
      </c>
      <c r="Q317" s="67" t="n">
        <f aca="false">Q266*Inputs!$D$77/30</f>
        <v>3873.9064</v>
      </c>
      <c r="R317" s="67" t="n">
        <f aca="false">R266*Inputs!$D$77/30</f>
        <v>3873.9064</v>
      </c>
      <c r="S317" s="67" t="n">
        <f aca="false">S266*Inputs!$D$77/30</f>
        <v>3873.9064</v>
      </c>
      <c r="T317" s="67" t="n">
        <f aca="false">T266*Inputs!$D$77/30</f>
        <v>3873.9064</v>
      </c>
      <c r="U317" s="67" t="n">
        <f aca="false">U266*Inputs!$D$77/30</f>
        <v>3873.9064</v>
      </c>
      <c r="V317" s="67" t="n">
        <f aca="false">V266*Inputs!$D$77/30</f>
        <v>3873.9064</v>
      </c>
      <c r="W317" s="67" t="n">
        <f aca="false">W266*Inputs!$D$77/30</f>
        <v>3873.9064</v>
      </c>
      <c r="X317" s="67" t="n">
        <f aca="false">X266*Inputs!$D$77/30</f>
        <v>3873.9064</v>
      </c>
      <c r="Y317" s="67" t="n">
        <f aca="false">Y266*Inputs!$D$77/30</f>
        <v>3873.9064</v>
      </c>
      <c r="Z317" s="67" t="n">
        <f aca="false">Z266*Inputs!$D$77/30</f>
        <v>3060.5848</v>
      </c>
      <c r="AA317" s="67" t="n">
        <f aca="false">AA266*Inputs!$D$77/30</f>
        <v>3374.4308416</v>
      </c>
      <c r="AB317" s="67" t="n">
        <f aca="false">AB266*Inputs!$D$77/30</f>
        <v>3374.4308416</v>
      </c>
      <c r="AC317" s="67" t="n">
        <f aca="false">AC266*Inputs!$D$77/30</f>
        <v>4262.5780288</v>
      </c>
      <c r="AD317" s="67" t="n">
        <f aca="false">AD266*Inputs!$D$77/30</f>
        <v>4262.5780288</v>
      </c>
      <c r="AE317" s="67" t="n">
        <f aca="false">AE266*Inputs!$D$77/30</f>
        <v>4262.5780288</v>
      </c>
      <c r="AF317" s="67" t="n">
        <f aca="false">AF266*Inputs!$D$77/30</f>
        <v>4262.5780288</v>
      </c>
      <c r="AG317" s="67" t="n">
        <f aca="false">AG266*Inputs!$D$77/30</f>
        <v>4262.5780288</v>
      </c>
      <c r="AH317" s="67" t="n">
        <f aca="false">AH266*Inputs!$D$77/30</f>
        <v>4262.5780288</v>
      </c>
      <c r="AI317" s="67" t="n">
        <f aca="false">AI266*Inputs!$D$77/30</f>
        <v>4262.5780288</v>
      </c>
      <c r="AJ317" s="67" t="n">
        <f aca="false">AJ266*Inputs!$D$77/30</f>
        <v>4262.5780288</v>
      </c>
      <c r="AK317" s="67" t="n">
        <f aca="false">AK266*Inputs!$D$77/30</f>
        <v>4262.5780288</v>
      </c>
      <c r="AL317" s="67" t="n">
        <f aca="false">AL266*Inputs!$D$77/30</f>
        <v>3374.4308416</v>
      </c>
    </row>
    <row r="318" customFormat="false" ht="15" hidden="false" customHeight="false" outlineLevel="0" collapsed="false">
      <c r="A318" s="6" t="s">
        <v>91</v>
      </c>
      <c r="C318" s="67" t="n">
        <f aca="false">-C274*Inputs!$D$78/30</f>
        <v>640.53528</v>
      </c>
      <c r="D318" s="67" t="n">
        <f aca="false">-D274*Inputs!$D$78/30</f>
        <v>747.29116</v>
      </c>
      <c r="E318" s="67" t="n">
        <f aca="false">-E274*Inputs!$D$78/30</f>
        <v>1073.71338666667</v>
      </c>
      <c r="F318" s="67" t="n">
        <f aca="false">-F274*Inputs!$D$78/30</f>
        <v>1207.92756</v>
      </c>
      <c r="G318" s="67" t="n">
        <f aca="false">-G274*Inputs!$D$78/30</f>
        <v>1342.14173333333</v>
      </c>
      <c r="H318" s="67" t="n">
        <f aca="false">-H274*Inputs!$D$78/30</f>
        <v>1342.14173333333</v>
      </c>
      <c r="I318" s="67" t="n">
        <f aca="false">-I274*Inputs!$D$78/30</f>
        <v>1342.14173333333</v>
      </c>
      <c r="J318" s="67" t="n">
        <f aca="false">-J274*Inputs!$D$78/30</f>
        <v>1342.14173333333</v>
      </c>
      <c r="K318" s="67" t="n">
        <f aca="false">-K274*Inputs!$D$78/30</f>
        <v>1342.14173333333</v>
      </c>
      <c r="L318" s="67" t="n">
        <f aca="false">-L274*Inputs!$D$78/30</f>
        <v>1342.14173333333</v>
      </c>
      <c r="M318" s="67" t="n">
        <f aca="false">-M274*Inputs!$D$78/30</f>
        <v>1342.14173333333</v>
      </c>
      <c r="N318" s="67" t="n">
        <f aca="false">-N274*Inputs!$D$78/30</f>
        <v>1067.5588</v>
      </c>
      <c r="O318" s="67" t="n">
        <f aca="false">-O274*Inputs!$D$78/30</f>
        <v>1176.8208816</v>
      </c>
      <c r="P318" s="67" t="n">
        <f aca="false">-P274*Inputs!$D$78/30</f>
        <v>1176.8208816</v>
      </c>
      <c r="Q318" s="67" t="n">
        <f aca="false">-Q274*Inputs!$D$78/30</f>
        <v>1476.3526288</v>
      </c>
      <c r="R318" s="67" t="n">
        <f aca="false">-R274*Inputs!$D$78/30</f>
        <v>1476.3526288</v>
      </c>
      <c r="S318" s="67" t="n">
        <f aca="false">-S274*Inputs!$D$78/30</f>
        <v>1476.3526288</v>
      </c>
      <c r="T318" s="67" t="n">
        <f aca="false">-T274*Inputs!$D$78/30</f>
        <v>1476.3526288</v>
      </c>
      <c r="U318" s="67" t="n">
        <f aca="false">-U274*Inputs!$D$78/30</f>
        <v>1476.3526288</v>
      </c>
      <c r="V318" s="67" t="n">
        <f aca="false">-V274*Inputs!$D$78/30</f>
        <v>1476.3526288</v>
      </c>
      <c r="W318" s="67" t="n">
        <f aca="false">-W274*Inputs!$D$78/30</f>
        <v>1476.3526288</v>
      </c>
      <c r="X318" s="67" t="n">
        <f aca="false">-X274*Inputs!$D$78/30</f>
        <v>1476.3526288</v>
      </c>
      <c r="Y318" s="67" t="n">
        <f aca="false">-Y274*Inputs!$D$78/30</f>
        <v>1476.3526288</v>
      </c>
      <c r="Z318" s="67" t="n">
        <f aca="false">-Z274*Inputs!$D$78/30</f>
        <v>1176.8208816</v>
      </c>
      <c r="AA318" s="67" t="n">
        <f aca="false">-AA274*Inputs!$D$78/30</f>
        <v>1297.7647738272</v>
      </c>
      <c r="AB318" s="67" t="n">
        <f aca="false">-AB274*Inputs!$D$78/30</f>
        <v>1297.7647738272</v>
      </c>
      <c r="AC318" s="67" t="n">
        <f aca="false">-AC274*Inputs!$D$78/30</f>
        <v>1624.5167735496</v>
      </c>
      <c r="AD318" s="67" t="n">
        <f aca="false">-AD274*Inputs!$D$78/30</f>
        <v>1624.5167735496</v>
      </c>
      <c r="AE318" s="67" t="n">
        <f aca="false">-AE274*Inputs!$D$78/30</f>
        <v>1624.5167735496</v>
      </c>
      <c r="AF318" s="67" t="n">
        <f aca="false">-AF274*Inputs!$D$78/30</f>
        <v>1624.5167735496</v>
      </c>
      <c r="AG318" s="67" t="n">
        <f aca="false">-AG274*Inputs!$D$78/30</f>
        <v>1624.5167735496</v>
      </c>
      <c r="AH318" s="67" t="n">
        <f aca="false">-AH274*Inputs!$D$78/30</f>
        <v>1624.5167735496</v>
      </c>
      <c r="AI318" s="67" t="n">
        <f aca="false">-AI274*Inputs!$D$78/30</f>
        <v>1624.5167735496</v>
      </c>
      <c r="AJ318" s="67" t="n">
        <f aca="false">-AJ274*Inputs!$D$78/30</f>
        <v>1624.5167735496</v>
      </c>
      <c r="AK318" s="67" t="n">
        <f aca="false">-AK274*Inputs!$D$78/30</f>
        <v>1624.5167735496</v>
      </c>
      <c r="AL318" s="67" t="n">
        <f aca="false">-AL274*Inputs!$D$78/30</f>
        <v>1297.7647738272</v>
      </c>
    </row>
    <row r="319" customFormat="false" ht="15" hidden="false" customHeight="false" outlineLevel="0" collapsed="false">
      <c r="A319" s="6" t="s">
        <v>94</v>
      </c>
      <c r="C319" s="67" t="n">
        <f aca="false">-C274*Inputs!$D$79/30</f>
        <v>1494.58232</v>
      </c>
      <c r="D319" s="67" t="n">
        <f aca="false">-D274*Inputs!$D$79/30</f>
        <v>1743.67937333333</v>
      </c>
      <c r="E319" s="67" t="n">
        <f aca="false">-E274*Inputs!$D$79/30</f>
        <v>2505.33123555556</v>
      </c>
      <c r="F319" s="67" t="n">
        <f aca="false">-F274*Inputs!$D$79/30</f>
        <v>2818.49764</v>
      </c>
      <c r="G319" s="67" t="n">
        <f aca="false">-G274*Inputs!$D$79/30</f>
        <v>3131.66404444444</v>
      </c>
      <c r="H319" s="67" t="n">
        <f aca="false">-H274*Inputs!$D$79/30</f>
        <v>3131.66404444444</v>
      </c>
      <c r="I319" s="67" t="n">
        <f aca="false">-I274*Inputs!$D$79/30</f>
        <v>3131.66404444444</v>
      </c>
      <c r="J319" s="67" t="n">
        <f aca="false">-J274*Inputs!$D$79/30</f>
        <v>3131.66404444444</v>
      </c>
      <c r="K319" s="67" t="n">
        <f aca="false">-K274*Inputs!$D$79/30</f>
        <v>3131.66404444444</v>
      </c>
      <c r="L319" s="67" t="n">
        <f aca="false">-L274*Inputs!$D$79/30</f>
        <v>3131.66404444444</v>
      </c>
      <c r="M319" s="67" t="n">
        <f aca="false">-M274*Inputs!$D$79/30</f>
        <v>3131.66404444444</v>
      </c>
      <c r="N319" s="67" t="n">
        <f aca="false">-N274*Inputs!$D$79/30</f>
        <v>2490.97053333333</v>
      </c>
      <c r="O319" s="67" t="n">
        <f aca="false">-O274*Inputs!$D$79/30</f>
        <v>2745.9153904</v>
      </c>
      <c r="P319" s="67" t="n">
        <f aca="false">-P274*Inputs!$D$79/30</f>
        <v>2745.9153904</v>
      </c>
      <c r="Q319" s="67" t="n">
        <f aca="false">-Q274*Inputs!$D$79/30</f>
        <v>3444.82280053333</v>
      </c>
      <c r="R319" s="67" t="n">
        <f aca="false">-R274*Inputs!$D$79/30</f>
        <v>3444.82280053333</v>
      </c>
      <c r="S319" s="67" t="n">
        <f aca="false">-S274*Inputs!$D$79/30</f>
        <v>3444.82280053333</v>
      </c>
      <c r="T319" s="67" t="n">
        <f aca="false">-T274*Inputs!$D$79/30</f>
        <v>3444.82280053333</v>
      </c>
      <c r="U319" s="67" t="n">
        <f aca="false">-U274*Inputs!$D$79/30</f>
        <v>3444.82280053333</v>
      </c>
      <c r="V319" s="67" t="n">
        <f aca="false">-V274*Inputs!$D$79/30</f>
        <v>3444.82280053333</v>
      </c>
      <c r="W319" s="67" t="n">
        <f aca="false">-W274*Inputs!$D$79/30</f>
        <v>3444.82280053333</v>
      </c>
      <c r="X319" s="67" t="n">
        <f aca="false">-X274*Inputs!$D$79/30</f>
        <v>3444.82280053333</v>
      </c>
      <c r="Y319" s="67" t="n">
        <f aca="false">-Y274*Inputs!$D$79/30</f>
        <v>3444.82280053333</v>
      </c>
      <c r="Z319" s="67" t="n">
        <f aca="false">-Z274*Inputs!$D$79/30</f>
        <v>2745.9153904</v>
      </c>
      <c r="AA319" s="67" t="n">
        <f aca="false">-AA274*Inputs!$D$79/30</f>
        <v>3028.1178055968</v>
      </c>
      <c r="AB319" s="67" t="n">
        <f aca="false">-AB274*Inputs!$D$79/30</f>
        <v>3028.1178055968</v>
      </c>
      <c r="AC319" s="67" t="n">
        <f aca="false">-AC274*Inputs!$D$79/30</f>
        <v>3790.5391382824</v>
      </c>
      <c r="AD319" s="67" t="n">
        <f aca="false">-AD274*Inputs!$D$79/30</f>
        <v>3790.5391382824</v>
      </c>
      <c r="AE319" s="67" t="n">
        <f aca="false">-AE274*Inputs!$D$79/30</f>
        <v>3790.5391382824</v>
      </c>
      <c r="AF319" s="67" t="n">
        <f aca="false">-AF274*Inputs!$D$79/30</f>
        <v>3790.5391382824</v>
      </c>
      <c r="AG319" s="67" t="n">
        <f aca="false">-AG274*Inputs!$D$79/30</f>
        <v>3790.5391382824</v>
      </c>
      <c r="AH319" s="67" t="n">
        <f aca="false">-AH274*Inputs!$D$79/30</f>
        <v>3790.5391382824</v>
      </c>
      <c r="AI319" s="67" t="n">
        <f aca="false">-AI274*Inputs!$D$79/30</f>
        <v>3790.5391382824</v>
      </c>
      <c r="AJ319" s="67" t="n">
        <f aca="false">-AJ274*Inputs!$D$79/30</f>
        <v>3790.5391382824</v>
      </c>
      <c r="AK319" s="67" t="n">
        <f aca="false">-AK274*Inputs!$D$79/30</f>
        <v>3790.5391382824</v>
      </c>
      <c r="AL319" s="67" t="n">
        <f aca="false">-AL274*Inputs!$D$79/30</f>
        <v>3028.1178055968</v>
      </c>
    </row>
    <row r="320" customFormat="false" ht="15" hidden="false" customHeight="false" outlineLevel="0" collapsed="false">
      <c r="A320" s="6" t="s">
        <v>340</v>
      </c>
      <c r="C320" s="67" t="n">
        <f aca="false">-C317</f>
        <v>-1666.14</v>
      </c>
      <c r="D320" s="67" t="n">
        <f aca="false">C317-D317</f>
        <v>-277.689999999999</v>
      </c>
      <c r="E320" s="67" t="n">
        <f aca="false">D317-E317</f>
        <v>-873.53</v>
      </c>
      <c r="F320" s="67" t="n">
        <f aca="false">E317-F317</f>
        <v>-352.17</v>
      </c>
      <c r="G320" s="67" t="n">
        <f aca="false">F317-G317</f>
        <v>-352.17</v>
      </c>
      <c r="H320" s="67" t="n">
        <f aca="false">G317-H317</f>
        <v>0</v>
      </c>
      <c r="I320" s="67" t="n">
        <f aca="false">H317-I317</f>
        <v>0</v>
      </c>
      <c r="J320" s="67" t="n">
        <f aca="false">I317-J317</f>
        <v>0</v>
      </c>
      <c r="K320" s="67" t="n">
        <f aca="false">J317-K317</f>
        <v>0</v>
      </c>
      <c r="L320" s="67" t="n">
        <f aca="false">K317-L317</f>
        <v>0</v>
      </c>
      <c r="M320" s="67" t="n">
        <f aca="false">L317-M317</f>
        <v>0</v>
      </c>
      <c r="N320" s="67" t="n">
        <f aca="false">M317-N317</f>
        <v>744.799999999999</v>
      </c>
      <c r="O320" s="67" t="n">
        <f aca="false">N317-O317</f>
        <v>-283.6848</v>
      </c>
      <c r="P320" s="67" t="n">
        <f aca="false">O317-P317</f>
        <v>0</v>
      </c>
      <c r="Q320" s="67" t="n">
        <f aca="false">P317-Q317</f>
        <v>-813.321599999999</v>
      </c>
      <c r="R320" s="67" t="n">
        <f aca="false">Q317-R317</f>
        <v>0</v>
      </c>
      <c r="S320" s="67" t="n">
        <f aca="false">R317-S317</f>
        <v>0</v>
      </c>
      <c r="T320" s="67" t="n">
        <f aca="false">S317-T317</f>
        <v>0</v>
      </c>
      <c r="U320" s="67" t="n">
        <f aca="false">T317-U317</f>
        <v>0</v>
      </c>
      <c r="V320" s="67" t="n">
        <f aca="false">U317-V317</f>
        <v>0</v>
      </c>
      <c r="W320" s="67" t="n">
        <f aca="false">V317-W317</f>
        <v>0</v>
      </c>
      <c r="X320" s="67" t="n">
        <f aca="false">W317-X317</f>
        <v>0</v>
      </c>
      <c r="Y320" s="67" t="n">
        <f aca="false">X317-Y317</f>
        <v>0</v>
      </c>
      <c r="Z320" s="67" t="n">
        <f aca="false">Y317-Z317</f>
        <v>813.321599999999</v>
      </c>
      <c r="AA320" s="67" t="n">
        <f aca="false">Z317-AA317</f>
        <v>-313.846041599999</v>
      </c>
      <c r="AB320" s="67" t="n">
        <f aca="false">AA317-AB317</f>
        <v>0</v>
      </c>
      <c r="AC320" s="67" t="n">
        <f aca="false">AB317-AC317</f>
        <v>-888.1471872</v>
      </c>
      <c r="AD320" s="67" t="n">
        <f aca="false">AC317-AD317</f>
        <v>0</v>
      </c>
      <c r="AE320" s="67" t="n">
        <f aca="false">AD317-AE317</f>
        <v>0</v>
      </c>
      <c r="AF320" s="67" t="n">
        <f aca="false">AE317-AF317</f>
        <v>0</v>
      </c>
      <c r="AG320" s="67" t="n">
        <f aca="false">AF317-AG317</f>
        <v>0</v>
      </c>
      <c r="AH320" s="67" t="n">
        <f aca="false">AG317-AH317</f>
        <v>0</v>
      </c>
      <c r="AI320" s="67" t="n">
        <f aca="false">AH317-AI317</f>
        <v>0</v>
      </c>
      <c r="AJ320" s="67" t="n">
        <f aca="false">AI317-AJ317</f>
        <v>0</v>
      </c>
      <c r="AK320" s="67" t="n">
        <f aca="false">AJ317-AK317</f>
        <v>0</v>
      </c>
      <c r="AL320" s="67" t="n">
        <f aca="false">AK317-AL317</f>
        <v>888.1471872</v>
      </c>
    </row>
    <row r="321" customFormat="false" ht="15" hidden="false" customHeight="false" outlineLevel="0" collapsed="false">
      <c r="A321" s="6" t="s">
        <v>341</v>
      </c>
      <c r="C321" s="67" t="n">
        <f aca="false">-C318</f>
        <v>-640.53528</v>
      </c>
      <c r="D321" s="67" t="n">
        <f aca="false">C318-D318</f>
        <v>-106.75588</v>
      </c>
      <c r="E321" s="67" t="n">
        <f aca="false">D318-E318</f>
        <v>-326.422226666667</v>
      </c>
      <c r="F321" s="67" t="n">
        <f aca="false">E318-F318</f>
        <v>-134.214173333333</v>
      </c>
      <c r="G321" s="67" t="n">
        <f aca="false">F318-G318</f>
        <v>-134.214173333334</v>
      </c>
      <c r="H321" s="67" t="n">
        <f aca="false">G318-H318</f>
        <v>0</v>
      </c>
      <c r="I321" s="67" t="n">
        <f aca="false">H318-I318</f>
        <v>0</v>
      </c>
      <c r="J321" s="67" t="n">
        <f aca="false">I318-J318</f>
        <v>0</v>
      </c>
      <c r="K321" s="67" t="n">
        <f aca="false">J318-K318</f>
        <v>0</v>
      </c>
      <c r="L321" s="67" t="n">
        <f aca="false">K318-L318</f>
        <v>0</v>
      </c>
      <c r="M321" s="67" t="n">
        <f aca="false">L318-M318</f>
        <v>0</v>
      </c>
      <c r="N321" s="67" t="n">
        <f aca="false">M318-N318</f>
        <v>274.582933333333</v>
      </c>
      <c r="O321" s="67" t="n">
        <f aca="false">N318-O318</f>
        <v>-109.2620816</v>
      </c>
      <c r="P321" s="67" t="n">
        <f aca="false">O318-P318</f>
        <v>0</v>
      </c>
      <c r="Q321" s="67" t="n">
        <f aca="false">P318-Q318</f>
        <v>-299.5317472</v>
      </c>
      <c r="R321" s="67" t="n">
        <f aca="false">Q318-R318</f>
        <v>0</v>
      </c>
      <c r="S321" s="67" t="n">
        <f aca="false">R318-S318</f>
        <v>0</v>
      </c>
      <c r="T321" s="67" t="n">
        <f aca="false">S318-T318</f>
        <v>0</v>
      </c>
      <c r="U321" s="67" t="n">
        <f aca="false">T318-U318</f>
        <v>0</v>
      </c>
      <c r="V321" s="67" t="n">
        <f aca="false">U318-V318</f>
        <v>0</v>
      </c>
      <c r="W321" s="67" t="n">
        <f aca="false">V318-W318</f>
        <v>0</v>
      </c>
      <c r="X321" s="67" t="n">
        <f aca="false">W318-X318</f>
        <v>0</v>
      </c>
      <c r="Y321" s="67" t="n">
        <f aca="false">X318-Y318</f>
        <v>0</v>
      </c>
      <c r="Z321" s="67" t="n">
        <f aca="false">Y318-Z318</f>
        <v>299.5317472</v>
      </c>
      <c r="AA321" s="67" t="n">
        <f aca="false">Z318-AA318</f>
        <v>-120.9438922272</v>
      </c>
      <c r="AB321" s="67" t="n">
        <f aca="false">AA318-AB318</f>
        <v>0</v>
      </c>
      <c r="AC321" s="67" t="n">
        <f aca="false">AB318-AC318</f>
        <v>-326.7519997224</v>
      </c>
      <c r="AD321" s="67" t="n">
        <f aca="false">AC318-AD318</f>
        <v>0</v>
      </c>
      <c r="AE321" s="67" t="n">
        <f aca="false">AD318-AE318</f>
        <v>0</v>
      </c>
      <c r="AF321" s="67" t="n">
        <f aca="false">AE318-AF318</f>
        <v>0</v>
      </c>
      <c r="AG321" s="67" t="n">
        <f aca="false">AF318-AG318</f>
        <v>0</v>
      </c>
      <c r="AH321" s="67" t="n">
        <f aca="false">AG318-AH318</f>
        <v>0</v>
      </c>
      <c r="AI321" s="67" t="n">
        <f aca="false">AH318-AI318</f>
        <v>0</v>
      </c>
      <c r="AJ321" s="67" t="n">
        <f aca="false">AI318-AJ318</f>
        <v>0</v>
      </c>
      <c r="AK321" s="67" t="n">
        <f aca="false">AJ318-AK318</f>
        <v>0</v>
      </c>
      <c r="AL321" s="67" t="n">
        <f aca="false">AK318-AL318</f>
        <v>326.7519997224</v>
      </c>
    </row>
    <row r="322" customFormat="false" ht="15" hidden="false" customHeight="false" outlineLevel="0" collapsed="false">
      <c r="A322" s="6" t="s">
        <v>342</v>
      </c>
      <c r="C322" s="67" t="n">
        <f aca="false">C319</f>
        <v>1494.58232</v>
      </c>
      <c r="D322" s="67" t="n">
        <f aca="false">D319-C319</f>
        <v>249.097053333333</v>
      </c>
      <c r="E322" s="67" t="n">
        <f aca="false">E319-D319</f>
        <v>761.651862222223</v>
      </c>
      <c r="F322" s="67" t="n">
        <f aca="false">F319-E319</f>
        <v>313.166404444444</v>
      </c>
      <c r="G322" s="67" t="n">
        <f aca="false">G319-F319</f>
        <v>313.166404444444</v>
      </c>
      <c r="H322" s="67" t="n">
        <f aca="false">H319-G319</f>
        <v>0</v>
      </c>
      <c r="I322" s="67" t="n">
        <f aca="false">I319-H319</f>
        <v>0</v>
      </c>
      <c r="J322" s="67" t="n">
        <f aca="false">J319-I319</f>
        <v>0</v>
      </c>
      <c r="K322" s="67" t="n">
        <f aca="false">K319-J319</f>
        <v>0</v>
      </c>
      <c r="L322" s="67" t="n">
        <f aca="false">L319-K319</f>
        <v>0</v>
      </c>
      <c r="M322" s="67" t="n">
        <f aca="false">M319-L319</f>
        <v>0</v>
      </c>
      <c r="N322" s="67" t="n">
        <f aca="false">N319-M319</f>
        <v>-640.693511111111</v>
      </c>
      <c r="O322" s="67" t="n">
        <f aca="false">O319-N319</f>
        <v>254.944857066666</v>
      </c>
      <c r="P322" s="67" t="n">
        <f aca="false">P319-O319</f>
        <v>0</v>
      </c>
      <c r="Q322" s="67" t="n">
        <f aca="false">Q319-P319</f>
        <v>698.907410133334</v>
      </c>
      <c r="R322" s="67" t="n">
        <f aca="false">R319-Q319</f>
        <v>0</v>
      </c>
      <c r="S322" s="67" t="n">
        <f aca="false">S319-R319</f>
        <v>0</v>
      </c>
      <c r="T322" s="67" t="n">
        <f aca="false">T319-S319</f>
        <v>0</v>
      </c>
      <c r="U322" s="67" t="n">
        <f aca="false">U319-T319</f>
        <v>0</v>
      </c>
      <c r="V322" s="67" t="n">
        <f aca="false">V319-U319</f>
        <v>0</v>
      </c>
      <c r="W322" s="67" t="n">
        <f aca="false">W319-V319</f>
        <v>0</v>
      </c>
      <c r="X322" s="67" t="n">
        <f aca="false">X319-W319</f>
        <v>0</v>
      </c>
      <c r="Y322" s="67" t="n">
        <f aca="false">Y319-X319</f>
        <v>0</v>
      </c>
      <c r="Z322" s="67" t="n">
        <f aca="false">Z319-Y319</f>
        <v>-698.907410133334</v>
      </c>
      <c r="AA322" s="67" t="n">
        <f aca="false">AA319-Z319</f>
        <v>282.2024151968</v>
      </c>
      <c r="AB322" s="67" t="n">
        <f aca="false">AB319-AA319</f>
        <v>0</v>
      </c>
      <c r="AC322" s="67" t="n">
        <f aca="false">AC319-AB319</f>
        <v>762.421332685601</v>
      </c>
      <c r="AD322" s="67" t="n">
        <f aca="false">AD319-AC319</f>
        <v>0</v>
      </c>
      <c r="AE322" s="67" t="n">
        <f aca="false">AE319-AD319</f>
        <v>0</v>
      </c>
      <c r="AF322" s="67" t="n">
        <f aca="false">AF319-AE319</f>
        <v>0</v>
      </c>
      <c r="AG322" s="67" t="n">
        <f aca="false">AG319-AF319</f>
        <v>0</v>
      </c>
      <c r="AH322" s="67" t="n">
        <f aca="false">AH319-AG319</f>
        <v>0</v>
      </c>
      <c r="AI322" s="67" t="n">
        <f aca="false">AI319-AH319</f>
        <v>0</v>
      </c>
      <c r="AJ322" s="67" t="n">
        <f aca="false">AJ319-AI319</f>
        <v>0</v>
      </c>
      <c r="AK322" s="67" t="n">
        <f aca="false">AK319-AJ319</f>
        <v>0</v>
      </c>
      <c r="AL322" s="67" t="n">
        <f aca="false">AL319-AK319</f>
        <v>-762.421332685601</v>
      </c>
    </row>
    <row r="324" customFormat="false" ht="15.75" hidden="false" customHeight="true" outlineLevel="0" collapsed="false">
      <c r="A324" s="7" t="s">
        <v>416</v>
      </c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</row>
    <row r="325" customFormat="false" ht="15" hidden="false" customHeight="false" outlineLevel="0" collapsed="false">
      <c r="A325" s="4" t="s">
        <v>52</v>
      </c>
      <c r="C325" s="73" t="n">
        <f aca="false">C297-C306+C320+C321+C322</f>
        <v>-4843.51242666666</v>
      </c>
      <c r="D325" s="73" t="n">
        <f aca="false">D297-D306+D320+D321+D322</f>
        <v>-2464.40209333333</v>
      </c>
      <c r="E325" s="73" t="n">
        <f aca="false">E297-E306+E320+E321+E322</f>
        <v>2519.97410222222</v>
      </c>
      <c r="F325" s="73" t="n">
        <f aca="false">F297-F306+F320+F321+F322</f>
        <v>4963.26496444444</v>
      </c>
      <c r="G325" s="73" t="n">
        <f aca="false">G297-G306+G320+G321+G322</f>
        <v>6966.18838311111</v>
      </c>
      <c r="H325" s="73" t="n">
        <f aca="false">H297-H306+H320+H321+H322</f>
        <v>6132.49339</v>
      </c>
      <c r="I325" s="73" t="n">
        <f aca="false">I297-I306+I320+I321+I322</f>
        <v>6141.38089</v>
      </c>
      <c r="J325" s="73" t="n">
        <f aca="false">J297-J306+J320+J321+J322</f>
        <v>6150.26839</v>
      </c>
      <c r="K325" s="73" t="n">
        <f aca="false">K297-K306+K320+K321+K322</f>
        <v>6159.15589</v>
      </c>
      <c r="L325" s="73" t="n">
        <f aca="false">L297-L306+L320+L321+L322</f>
        <v>6168.04339</v>
      </c>
      <c r="M325" s="73" t="n">
        <f aca="false">M297-M306+M320+M321+M322</f>
        <v>6176.93089</v>
      </c>
      <c r="N325" s="73" t="n">
        <f aca="false">N297-N306+N320+N321+N322</f>
        <v>2993.88898555556</v>
      </c>
      <c r="O325" s="73" t="n">
        <f aca="false">O297-O306+O320+O321+O322</f>
        <v>3563.07511416</v>
      </c>
      <c r="P325" s="73" t="n">
        <f aca="false">P297-P306+P320+P321+P322</f>
        <v>3709.96463869334</v>
      </c>
      <c r="Q325" s="73" t="n">
        <f aca="false">Q297-Q306+Q320+Q321+Q322</f>
        <v>7216.14763874667</v>
      </c>
      <c r="R325" s="73" t="n">
        <f aca="false">R297-R306+R320+R321+R322</f>
        <v>7638.98107581334</v>
      </c>
      <c r="S325" s="73" t="n">
        <f aca="false">S297-S306+S320+S321+S322</f>
        <v>7647.86857581334</v>
      </c>
      <c r="T325" s="73" t="n">
        <f aca="false">T297-T306+T320+T321+T322</f>
        <v>7656.75607581334</v>
      </c>
      <c r="U325" s="73" t="n">
        <f aca="false">U297-U306+U320+U321+U322</f>
        <v>7665.64357581334</v>
      </c>
      <c r="V325" s="73" t="n">
        <f aca="false">V297-V306+V320+V321+V322</f>
        <v>7674.53107581334</v>
      </c>
      <c r="W325" s="73" t="n">
        <f aca="false">W297-W306+W320+W321+W322</f>
        <v>7683.41857581334</v>
      </c>
      <c r="X325" s="73" t="n">
        <f aca="false">X297-X306+X320+X321+X322</f>
        <v>7692.30607581334</v>
      </c>
      <c r="Y325" s="73" t="n">
        <f aca="false">Y297-Y306+Y320+Y321+Y322</f>
        <v>7701.19357581334</v>
      </c>
      <c r="Z325" s="73" t="n">
        <f aca="false">Z297-Z306+Z320+Z321+Z322</f>
        <v>4212.78557576001</v>
      </c>
      <c r="AA325" s="73" t="n">
        <f aca="false">AA297-AA306+AA320+AA321+AA322</f>
        <v>4867.96620373305</v>
      </c>
      <c r="AB325" s="73" t="n">
        <f aca="false">AB297-AB306+AB320+AB321+AB322</f>
        <v>5029.44122236345</v>
      </c>
      <c r="AC325" s="73" t="n">
        <f aca="false">AC297-AC306+AC320+AC321+AC322</f>
        <v>8869.48198919969</v>
      </c>
      <c r="AD325" s="73" t="n">
        <f aca="false">AD297-AD306+AD320+AD321+AD322</f>
        <v>9330.84734343649</v>
      </c>
      <c r="AE325" s="73" t="n">
        <f aca="false">AE297-AE306+AE320+AE321+AE322</f>
        <v>9339.73484343649</v>
      </c>
      <c r="AF325" s="73" t="n">
        <f aca="false">AF297-AF306+AF320+AF321+AF322</f>
        <v>9348.6223434365</v>
      </c>
      <c r="AG325" s="73" t="n">
        <f aca="false">AG297-AG306+AG320+AG321+AG322</f>
        <v>9357.5098434365</v>
      </c>
      <c r="AH325" s="73" t="n">
        <f aca="false">AH297-AH306+AH320+AH321+AH322</f>
        <v>9366.39734343649</v>
      </c>
      <c r="AI325" s="73" t="n">
        <f aca="false">AI297-AI306+AI320+AI321+AI322</f>
        <v>9375.28484343649</v>
      </c>
      <c r="AJ325" s="73" t="n">
        <f aca="false">AJ297-AJ306+AJ320+AJ321+AJ322</f>
        <v>9384.17234343649</v>
      </c>
      <c r="AK325" s="73" t="n">
        <f aca="false">AK297-AK306+AK320+AK321+AK322</f>
        <v>9393.0598434365</v>
      </c>
      <c r="AL325" s="73" t="n">
        <f aca="false">AL297-AL306+AL320+AL321+AL322</f>
        <v>5570.79407660025</v>
      </c>
    </row>
    <row r="326" customFormat="false" ht="15" hidden="false" customHeight="false" outlineLevel="0" collapsed="false">
      <c r="A326" s="6" t="s">
        <v>417</v>
      </c>
      <c r="C326" s="67" t="n">
        <f aca="false">-C304</f>
        <v>-138000</v>
      </c>
      <c r="D326" s="67" t="n">
        <f aca="false">-D304</f>
        <v>-0</v>
      </c>
      <c r="E326" s="67" t="n">
        <f aca="false">-E304</f>
        <v>-0</v>
      </c>
      <c r="F326" s="67" t="n">
        <f aca="false">-F304</f>
        <v>-0</v>
      </c>
      <c r="G326" s="67" t="n">
        <f aca="false">-G304</f>
        <v>-0</v>
      </c>
      <c r="H326" s="67" t="n">
        <f aca="false">-H304</f>
        <v>-0</v>
      </c>
      <c r="I326" s="67" t="n">
        <f aca="false">-I304</f>
        <v>-0</v>
      </c>
      <c r="J326" s="67" t="n">
        <f aca="false">-J304</f>
        <v>-0</v>
      </c>
      <c r="K326" s="67" t="n">
        <f aca="false">-K304</f>
        <v>-0</v>
      </c>
      <c r="L326" s="67" t="n">
        <f aca="false">-L304</f>
        <v>-0</v>
      </c>
      <c r="M326" s="67" t="n">
        <f aca="false">-M304</f>
        <v>-0</v>
      </c>
      <c r="N326" s="67" t="n">
        <f aca="false">-N304</f>
        <v>-0</v>
      </c>
      <c r="O326" s="67" t="n">
        <f aca="false">-O304</f>
        <v>-2500</v>
      </c>
      <c r="P326" s="67" t="n">
        <f aca="false">-P304</f>
        <v>-0</v>
      </c>
      <c r="Q326" s="67" t="n">
        <f aca="false">-Q304</f>
        <v>-0</v>
      </c>
      <c r="R326" s="67" t="n">
        <f aca="false">-R304</f>
        <v>-0</v>
      </c>
      <c r="S326" s="67" t="n">
        <f aca="false">-S304</f>
        <v>-0</v>
      </c>
      <c r="T326" s="67" t="n">
        <f aca="false">-T304</f>
        <v>-0</v>
      </c>
      <c r="U326" s="67" t="n">
        <f aca="false">-U304</f>
        <v>-0</v>
      </c>
      <c r="V326" s="67" t="n">
        <f aca="false">-V304</f>
        <v>-0</v>
      </c>
      <c r="W326" s="67" t="n">
        <f aca="false">-W304</f>
        <v>-0</v>
      </c>
      <c r="X326" s="67" t="n">
        <f aca="false">-X304</f>
        <v>-0</v>
      </c>
      <c r="Y326" s="67" t="n">
        <f aca="false">-Y304</f>
        <v>-0</v>
      </c>
      <c r="Z326" s="67" t="n">
        <f aca="false">-Z304</f>
        <v>-0</v>
      </c>
      <c r="AA326" s="67" t="n">
        <f aca="false">-AA304</f>
        <v>-2500</v>
      </c>
      <c r="AB326" s="67" t="n">
        <f aca="false">-AB304</f>
        <v>-0</v>
      </c>
      <c r="AC326" s="67" t="n">
        <f aca="false">-AC304</f>
        <v>-0</v>
      </c>
      <c r="AD326" s="67" t="n">
        <f aca="false">-AD304</f>
        <v>-0</v>
      </c>
      <c r="AE326" s="67" t="n">
        <f aca="false">-AE304</f>
        <v>-0</v>
      </c>
      <c r="AF326" s="67" t="n">
        <f aca="false">-AF304</f>
        <v>-0</v>
      </c>
      <c r="AG326" s="67" t="n">
        <f aca="false">-AG304</f>
        <v>-0</v>
      </c>
      <c r="AH326" s="67" t="n">
        <f aca="false">-AH304</f>
        <v>-0</v>
      </c>
      <c r="AI326" s="67" t="n">
        <f aca="false">-AI304</f>
        <v>-0</v>
      </c>
      <c r="AJ326" s="67" t="n">
        <f aca="false">-AJ304</f>
        <v>-0</v>
      </c>
      <c r="AK326" s="67" t="n">
        <f aca="false">-AK304</f>
        <v>-0</v>
      </c>
      <c r="AL326" s="67" t="n">
        <f aca="false">-AL304</f>
        <v>-0</v>
      </c>
    </row>
    <row r="327" customFormat="false" ht="15" hidden="false" customHeight="false" outlineLevel="0" collapsed="false">
      <c r="A327" s="6" t="s">
        <v>64</v>
      </c>
      <c r="C327" s="67" t="n">
        <f aca="false">IF(C$246=1,Inputs!$D$71,0)</f>
        <v>100000</v>
      </c>
      <c r="D327" s="67" t="n">
        <f aca="false">IF(D$246=1,Inputs!$D$71,0)</f>
        <v>0</v>
      </c>
      <c r="E327" s="67" t="n">
        <f aca="false">IF(E$246=1,Inputs!$D$71,0)</f>
        <v>0</v>
      </c>
      <c r="F327" s="67" t="n">
        <f aca="false">IF(F$246=1,Inputs!$D$71,0)</f>
        <v>0</v>
      </c>
      <c r="G327" s="67" t="n">
        <f aca="false">IF(G$246=1,Inputs!$D$71,0)</f>
        <v>0</v>
      </c>
      <c r="H327" s="67" t="n">
        <f aca="false">IF(H$246=1,Inputs!$D$71,0)</f>
        <v>0</v>
      </c>
      <c r="I327" s="67" t="n">
        <f aca="false">IF(I$246=1,Inputs!$D$71,0)</f>
        <v>0</v>
      </c>
      <c r="J327" s="67" t="n">
        <f aca="false">IF(J$246=1,Inputs!$D$71,0)</f>
        <v>0</v>
      </c>
      <c r="K327" s="67" t="n">
        <f aca="false">IF(K$246=1,Inputs!$D$71,0)</f>
        <v>0</v>
      </c>
      <c r="L327" s="67" t="n">
        <f aca="false">IF(L$246=1,Inputs!$D$71,0)</f>
        <v>0</v>
      </c>
      <c r="M327" s="67" t="n">
        <f aca="false">IF(M$246=1,Inputs!$D$71,0)</f>
        <v>0</v>
      </c>
      <c r="N327" s="67" t="n">
        <f aca="false">IF(N$246=1,Inputs!$D$71,0)</f>
        <v>0</v>
      </c>
      <c r="O327" s="67" t="n">
        <f aca="false">IF(O$246=1,Inputs!$D$71,0)</f>
        <v>0</v>
      </c>
      <c r="P327" s="67" t="n">
        <f aca="false">IF(P$246=1,Inputs!$D$71,0)</f>
        <v>0</v>
      </c>
      <c r="Q327" s="67" t="n">
        <f aca="false">IF(Q$246=1,Inputs!$D$71,0)</f>
        <v>0</v>
      </c>
      <c r="R327" s="67" t="n">
        <f aca="false">IF(R$246=1,Inputs!$D$71,0)</f>
        <v>0</v>
      </c>
      <c r="S327" s="67" t="n">
        <f aca="false">IF(S$246=1,Inputs!$D$71,0)</f>
        <v>0</v>
      </c>
      <c r="T327" s="67" t="n">
        <f aca="false">IF(T$246=1,Inputs!$D$71,0)</f>
        <v>0</v>
      </c>
      <c r="U327" s="67" t="n">
        <f aca="false">IF(U$246=1,Inputs!$D$71,0)</f>
        <v>0</v>
      </c>
      <c r="V327" s="67" t="n">
        <f aca="false">IF(V$246=1,Inputs!$D$71,0)</f>
        <v>0</v>
      </c>
      <c r="W327" s="67" t="n">
        <f aca="false">IF(W$246=1,Inputs!$D$71,0)</f>
        <v>0</v>
      </c>
      <c r="X327" s="67" t="n">
        <f aca="false">IF(X$246=1,Inputs!$D$71,0)</f>
        <v>0</v>
      </c>
      <c r="Y327" s="67" t="n">
        <f aca="false">IF(Y$246=1,Inputs!$D$71,0)</f>
        <v>0</v>
      </c>
      <c r="Z327" s="67" t="n">
        <f aca="false">IF(Z$246=1,Inputs!$D$71,0)</f>
        <v>0</v>
      </c>
      <c r="AA327" s="67" t="n">
        <f aca="false">IF(AA$246=1,Inputs!$D$71,0)</f>
        <v>0</v>
      </c>
      <c r="AB327" s="67" t="n">
        <f aca="false">IF(AB$246=1,Inputs!$D$71,0)</f>
        <v>0</v>
      </c>
      <c r="AC327" s="67" t="n">
        <f aca="false">IF(AC$246=1,Inputs!$D$71,0)</f>
        <v>0</v>
      </c>
      <c r="AD327" s="67" t="n">
        <f aca="false">IF(AD$246=1,Inputs!$D$71,0)</f>
        <v>0</v>
      </c>
      <c r="AE327" s="67" t="n">
        <f aca="false">IF(AE$246=1,Inputs!$D$71,0)</f>
        <v>0</v>
      </c>
      <c r="AF327" s="67" t="n">
        <f aca="false">IF(AF$246=1,Inputs!$D$71,0)</f>
        <v>0</v>
      </c>
      <c r="AG327" s="67" t="n">
        <f aca="false">IF(AG$246=1,Inputs!$D$71,0)</f>
        <v>0</v>
      </c>
      <c r="AH327" s="67" t="n">
        <f aca="false">IF(AH$246=1,Inputs!$D$71,0)</f>
        <v>0</v>
      </c>
      <c r="AI327" s="67" t="n">
        <f aca="false">IF(AI$246=1,Inputs!$D$71,0)</f>
        <v>0</v>
      </c>
      <c r="AJ327" s="67" t="n">
        <f aca="false">IF(AJ$246=1,Inputs!$D$71,0)</f>
        <v>0</v>
      </c>
      <c r="AK327" s="67" t="n">
        <f aca="false">IF(AK$246=1,Inputs!$D$71,0)</f>
        <v>0</v>
      </c>
      <c r="AL327" s="67" t="n">
        <f aca="false">IF(AL$246=1,Inputs!$D$71,0)</f>
        <v>0</v>
      </c>
    </row>
    <row r="328" customFormat="false" ht="15" hidden="false" customHeight="false" outlineLevel="0" collapsed="false">
      <c r="A328" s="6" t="s">
        <v>54</v>
      </c>
      <c r="C328" s="67" t="n">
        <f aca="false">C327+C312+C313</f>
        <v>190000</v>
      </c>
      <c r="D328" s="67" t="n">
        <f aca="false">D327+D312+D313</f>
        <v>-1500</v>
      </c>
      <c r="E328" s="67" t="n">
        <f aca="false">E327+E312+E313</f>
        <v>-1500</v>
      </c>
      <c r="F328" s="67" t="n">
        <f aca="false">F327+F312+F313</f>
        <v>-1500</v>
      </c>
      <c r="G328" s="67" t="n">
        <f aca="false">G327+G312+G313</f>
        <v>-1500</v>
      </c>
      <c r="H328" s="67" t="n">
        <f aca="false">H327+H312+H313</f>
        <v>-1500</v>
      </c>
      <c r="I328" s="67" t="n">
        <f aca="false">I327+I312+I313</f>
        <v>-1500</v>
      </c>
      <c r="J328" s="67" t="n">
        <f aca="false">J327+J312+J313</f>
        <v>-1500</v>
      </c>
      <c r="K328" s="67" t="n">
        <f aca="false">K327+K312+K313</f>
        <v>-1500</v>
      </c>
      <c r="L328" s="67" t="n">
        <f aca="false">L327+L312+L313</f>
        <v>-1500</v>
      </c>
      <c r="M328" s="67" t="n">
        <f aca="false">M327+M312+M313</f>
        <v>-1500</v>
      </c>
      <c r="N328" s="67" t="n">
        <f aca="false">N327+N312+N313</f>
        <v>-1500</v>
      </c>
      <c r="O328" s="67" t="n">
        <f aca="false">O327+O312+O313</f>
        <v>-1500</v>
      </c>
      <c r="P328" s="67" t="n">
        <f aca="false">P327+P312+P313</f>
        <v>-1500</v>
      </c>
      <c r="Q328" s="67" t="n">
        <f aca="false">Q327+Q312+Q313</f>
        <v>-1500</v>
      </c>
      <c r="R328" s="67" t="n">
        <f aca="false">R327+R312+R313</f>
        <v>-1500</v>
      </c>
      <c r="S328" s="67" t="n">
        <f aca="false">S327+S312+S313</f>
        <v>-1500</v>
      </c>
      <c r="T328" s="67" t="n">
        <f aca="false">T327+T312+T313</f>
        <v>-1500</v>
      </c>
      <c r="U328" s="67" t="n">
        <f aca="false">U327+U312+U313</f>
        <v>-1500</v>
      </c>
      <c r="V328" s="67" t="n">
        <f aca="false">V327+V312+V313</f>
        <v>-1500</v>
      </c>
      <c r="W328" s="67" t="n">
        <f aca="false">W327+W312+W313</f>
        <v>-1500</v>
      </c>
      <c r="X328" s="67" t="n">
        <f aca="false">X327+X312+X313</f>
        <v>-1500</v>
      </c>
      <c r="Y328" s="67" t="n">
        <f aca="false">Y327+Y312+Y313</f>
        <v>-1500</v>
      </c>
      <c r="Z328" s="67" t="n">
        <f aca="false">Z327+Z312+Z313</f>
        <v>-1500</v>
      </c>
      <c r="AA328" s="67" t="n">
        <f aca="false">AA327+AA312+AA313</f>
        <v>-1500</v>
      </c>
      <c r="AB328" s="67" t="n">
        <f aca="false">AB327+AB312+AB313</f>
        <v>-1500</v>
      </c>
      <c r="AC328" s="67" t="n">
        <f aca="false">AC327+AC312+AC313</f>
        <v>-1500</v>
      </c>
      <c r="AD328" s="67" t="n">
        <f aca="false">AD327+AD312+AD313</f>
        <v>-1500</v>
      </c>
      <c r="AE328" s="67" t="n">
        <f aca="false">AE327+AE312+AE313</f>
        <v>-1500</v>
      </c>
      <c r="AF328" s="67" t="n">
        <f aca="false">AF327+AF312+AF313</f>
        <v>-1500</v>
      </c>
      <c r="AG328" s="67" t="n">
        <f aca="false">AG327+AG312+AG313</f>
        <v>-1500</v>
      </c>
      <c r="AH328" s="67" t="n">
        <f aca="false">AH327+AH312+AH313</f>
        <v>-1500</v>
      </c>
      <c r="AI328" s="67" t="n">
        <f aca="false">AI327+AI312+AI313</f>
        <v>-1500</v>
      </c>
      <c r="AJ328" s="67" t="n">
        <f aca="false">AJ327+AJ312+AJ313</f>
        <v>-1500</v>
      </c>
      <c r="AK328" s="67" t="n">
        <f aca="false">AK327+AK312+AK313</f>
        <v>-1500</v>
      </c>
      <c r="AL328" s="67" t="n">
        <f aca="false">AL327+AL312+AL313</f>
        <v>-1500</v>
      </c>
    </row>
    <row r="329" customFormat="false" ht="15" hidden="false" customHeight="false" outlineLevel="0" collapsed="false">
      <c r="A329" s="113" t="s">
        <v>418</v>
      </c>
      <c r="C329" s="68" t="n">
        <f aca="false">C325+C326+C328</f>
        <v>47156.4875733334</v>
      </c>
      <c r="D329" s="68" t="n">
        <f aca="false">D325+D326+D328</f>
        <v>-3964.40209333333</v>
      </c>
      <c r="E329" s="68" t="n">
        <f aca="false">E325+E326+E328</f>
        <v>1019.97410222222</v>
      </c>
      <c r="F329" s="68" t="n">
        <f aca="false">F325+F326+F328</f>
        <v>3463.26496444444</v>
      </c>
      <c r="G329" s="68" t="n">
        <f aca="false">G325+G326+G328</f>
        <v>5466.18838311111</v>
      </c>
      <c r="H329" s="68" t="n">
        <f aca="false">H325+H326+H328</f>
        <v>4632.49339</v>
      </c>
      <c r="I329" s="68" t="n">
        <f aca="false">I325+I326+I328</f>
        <v>4641.38089</v>
      </c>
      <c r="J329" s="68" t="n">
        <f aca="false">J325+J326+J328</f>
        <v>4650.26839</v>
      </c>
      <c r="K329" s="68" t="n">
        <f aca="false">K325+K326+K328</f>
        <v>4659.15589</v>
      </c>
      <c r="L329" s="68" t="n">
        <f aca="false">L325+L326+L328</f>
        <v>4668.04339</v>
      </c>
      <c r="M329" s="68" t="n">
        <f aca="false">M325+M326+M328</f>
        <v>4676.93089</v>
      </c>
      <c r="N329" s="68" t="n">
        <f aca="false">N325+N326+N328</f>
        <v>1493.88898555556</v>
      </c>
      <c r="O329" s="68" t="n">
        <f aca="false">O325+O326+O328</f>
        <v>-436.924885839996</v>
      </c>
      <c r="P329" s="68" t="n">
        <f aca="false">P325+P326+P328</f>
        <v>2209.96463869334</v>
      </c>
      <c r="Q329" s="68" t="n">
        <f aca="false">Q325+Q326+Q328</f>
        <v>5716.14763874667</v>
      </c>
      <c r="R329" s="68" t="n">
        <f aca="false">R325+R326+R328</f>
        <v>6138.98107581334</v>
      </c>
      <c r="S329" s="68" t="n">
        <f aca="false">S325+S326+S328</f>
        <v>6147.86857581334</v>
      </c>
      <c r="T329" s="68" t="n">
        <f aca="false">T325+T326+T328</f>
        <v>6156.75607581334</v>
      </c>
      <c r="U329" s="68" t="n">
        <f aca="false">U325+U326+U328</f>
        <v>6165.64357581334</v>
      </c>
      <c r="V329" s="68" t="n">
        <f aca="false">V325+V326+V328</f>
        <v>6174.53107581334</v>
      </c>
      <c r="W329" s="68" t="n">
        <f aca="false">W325+W326+W328</f>
        <v>6183.41857581334</v>
      </c>
      <c r="X329" s="68" t="n">
        <f aca="false">X325+X326+X328</f>
        <v>6192.30607581334</v>
      </c>
      <c r="Y329" s="68" t="n">
        <f aca="false">Y325+Y326+Y328</f>
        <v>6201.19357581334</v>
      </c>
      <c r="Z329" s="68" t="n">
        <f aca="false">Z325+Z326+Z328</f>
        <v>2712.78557576</v>
      </c>
      <c r="AA329" s="68" t="n">
        <f aca="false">AA325+AA326+AA328</f>
        <v>867.966203733051</v>
      </c>
      <c r="AB329" s="68" t="n">
        <f aca="false">AB325+AB326+AB328</f>
        <v>3529.44122236345</v>
      </c>
      <c r="AC329" s="68" t="n">
        <f aca="false">AC325+AC326+AC328</f>
        <v>7369.48198919969</v>
      </c>
      <c r="AD329" s="68" t="n">
        <f aca="false">AD325+AD326+AD328</f>
        <v>7830.84734343649</v>
      </c>
      <c r="AE329" s="68" t="n">
        <f aca="false">AE325+AE326+AE328</f>
        <v>7839.73484343649</v>
      </c>
      <c r="AF329" s="68" t="n">
        <f aca="false">AF325+AF326+AF328</f>
        <v>7848.6223434365</v>
      </c>
      <c r="AG329" s="68" t="n">
        <f aca="false">AG325+AG326+AG328</f>
        <v>7857.5098434365</v>
      </c>
      <c r="AH329" s="68" t="n">
        <f aca="false">AH325+AH326+AH328</f>
        <v>7866.39734343649</v>
      </c>
      <c r="AI329" s="68" t="n">
        <f aca="false">AI325+AI326+AI328</f>
        <v>7875.28484343649</v>
      </c>
      <c r="AJ329" s="68" t="n">
        <f aca="false">AJ325+AJ326+AJ328</f>
        <v>7884.17234343649</v>
      </c>
      <c r="AK329" s="68" t="n">
        <f aca="false">AK325+AK326+AK328</f>
        <v>7893.0598434365</v>
      </c>
      <c r="AL329" s="68" t="n">
        <f aca="false">AL325+AL326+AL328</f>
        <v>4070.79407660025</v>
      </c>
    </row>
    <row r="330" customFormat="false" ht="15" hidden="false" customHeight="false" outlineLevel="0" collapsed="false">
      <c r="A330" s="6" t="s">
        <v>343</v>
      </c>
      <c r="C330" s="67" t="n">
        <f aca="false">0</f>
        <v>0</v>
      </c>
      <c r="D330" s="67" t="n">
        <f aca="false">C331</f>
        <v>47156.4875733334</v>
      </c>
      <c r="E330" s="67" t="n">
        <f aca="false">D331</f>
        <v>43192.08548</v>
      </c>
      <c r="F330" s="67" t="n">
        <f aca="false">E331</f>
        <v>44212.0595822222</v>
      </c>
      <c r="G330" s="67" t="n">
        <f aca="false">F331</f>
        <v>47675.3245466667</v>
      </c>
      <c r="H330" s="67" t="n">
        <f aca="false">G331</f>
        <v>53141.5129297778</v>
      </c>
      <c r="I330" s="67" t="n">
        <f aca="false">H331</f>
        <v>57774.0063197778</v>
      </c>
      <c r="J330" s="67" t="n">
        <f aca="false">I331</f>
        <v>62415.3872097778</v>
      </c>
      <c r="K330" s="67" t="n">
        <f aca="false">J331</f>
        <v>67065.6555997778</v>
      </c>
      <c r="L330" s="67" t="n">
        <f aca="false">K331</f>
        <v>71724.8114897778</v>
      </c>
      <c r="M330" s="67" t="n">
        <f aca="false">L331</f>
        <v>76392.8548797778</v>
      </c>
      <c r="N330" s="67" t="n">
        <f aca="false">M331</f>
        <v>81069.7857697778</v>
      </c>
      <c r="O330" s="67" t="n">
        <f aca="false">N331</f>
        <v>82563.6747553334</v>
      </c>
      <c r="P330" s="67" t="n">
        <f aca="false">O331</f>
        <v>82126.7498694934</v>
      </c>
      <c r="Q330" s="67" t="n">
        <f aca="false">P331</f>
        <v>84336.7145081867</v>
      </c>
      <c r="R330" s="67" t="n">
        <f aca="false">Q331</f>
        <v>90052.8621469334</v>
      </c>
      <c r="S330" s="67" t="n">
        <f aca="false">R331</f>
        <v>96191.8432227467</v>
      </c>
      <c r="T330" s="67" t="n">
        <f aca="false">S331</f>
        <v>102339.71179856</v>
      </c>
      <c r="U330" s="67" t="n">
        <f aca="false">T331</f>
        <v>108496.467874373</v>
      </c>
      <c r="V330" s="67" t="n">
        <f aca="false">U331</f>
        <v>114662.111450187</v>
      </c>
      <c r="W330" s="67" t="n">
        <f aca="false">V331</f>
        <v>120836.642526</v>
      </c>
      <c r="X330" s="67" t="n">
        <f aca="false">W331</f>
        <v>127020.061101813</v>
      </c>
      <c r="Y330" s="67" t="n">
        <f aca="false">X331</f>
        <v>133212.367177627</v>
      </c>
      <c r="Z330" s="67" t="n">
        <f aca="false">Y331</f>
        <v>139413.56075344</v>
      </c>
      <c r="AA330" s="67" t="n">
        <f aca="false">Z331</f>
        <v>142126.3463292</v>
      </c>
      <c r="AB330" s="67" t="n">
        <f aca="false">AA331</f>
        <v>142994.312532933</v>
      </c>
      <c r="AC330" s="67" t="n">
        <f aca="false">AB331</f>
        <v>146523.753755297</v>
      </c>
      <c r="AD330" s="67" t="n">
        <f aca="false">AC331</f>
        <v>153893.235744496</v>
      </c>
      <c r="AE330" s="67" t="n">
        <f aca="false">AD331</f>
        <v>161724.083087933</v>
      </c>
      <c r="AF330" s="67" t="n">
        <f aca="false">AE331</f>
        <v>169563.817931369</v>
      </c>
      <c r="AG330" s="67" t="n">
        <f aca="false">AF331</f>
        <v>177412.440274806</v>
      </c>
      <c r="AH330" s="67" t="n">
        <f aca="false">AG331</f>
        <v>185269.950118242</v>
      </c>
      <c r="AI330" s="67" t="n">
        <f aca="false">AH331</f>
        <v>193136.347461679</v>
      </c>
      <c r="AJ330" s="67" t="n">
        <f aca="false">AI331</f>
        <v>201011.632305115</v>
      </c>
      <c r="AK330" s="67" t="n">
        <f aca="false">AJ331</f>
        <v>208895.804648552</v>
      </c>
      <c r="AL330" s="67" t="n">
        <f aca="false">AK331</f>
        <v>216788.864491988</v>
      </c>
    </row>
    <row r="331" customFormat="false" ht="15" hidden="false" customHeight="false" outlineLevel="0" collapsed="false">
      <c r="A331" s="113" t="s">
        <v>87</v>
      </c>
      <c r="C331" s="68" t="n">
        <f aca="false">C330+C329</f>
        <v>47156.4875733334</v>
      </c>
      <c r="D331" s="68" t="n">
        <f aca="false">D330+D329</f>
        <v>43192.08548</v>
      </c>
      <c r="E331" s="68" t="n">
        <f aca="false">E330+E329</f>
        <v>44212.0595822222</v>
      </c>
      <c r="F331" s="68" t="n">
        <f aca="false">F330+F329</f>
        <v>47675.3245466667</v>
      </c>
      <c r="G331" s="68" t="n">
        <f aca="false">G330+G329</f>
        <v>53141.5129297778</v>
      </c>
      <c r="H331" s="68" t="n">
        <f aca="false">H330+H329</f>
        <v>57774.0063197778</v>
      </c>
      <c r="I331" s="68" t="n">
        <f aca="false">I330+I329</f>
        <v>62415.3872097778</v>
      </c>
      <c r="J331" s="68" t="n">
        <f aca="false">J330+J329</f>
        <v>67065.6555997778</v>
      </c>
      <c r="K331" s="68" t="n">
        <f aca="false">K330+K329</f>
        <v>71724.8114897778</v>
      </c>
      <c r="L331" s="68" t="n">
        <f aca="false">L330+L329</f>
        <v>76392.8548797778</v>
      </c>
      <c r="M331" s="68" t="n">
        <f aca="false">M330+M329</f>
        <v>81069.7857697778</v>
      </c>
      <c r="N331" s="68" t="n">
        <f aca="false">N330+N329</f>
        <v>82563.6747553334</v>
      </c>
      <c r="O331" s="68" t="n">
        <f aca="false">O330+O329</f>
        <v>82126.7498694934</v>
      </c>
      <c r="P331" s="68" t="n">
        <f aca="false">P330+P329</f>
        <v>84336.7145081867</v>
      </c>
      <c r="Q331" s="68" t="n">
        <f aca="false">Q330+Q329</f>
        <v>90052.8621469334</v>
      </c>
      <c r="R331" s="68" t="n">
        <f aca="false">R330+R329</f>
        <v>96191.8432227467</v>
      </c>
      <c r="S331" s="68" t="n">
        <f aca="false">S330+S329</f>
        <v>102339.71179856</v>
      </c>
      <c r="T331" s="68" t="n">
        <f aca="false">T330+T329</f>
        <v>108496.467874373</v>
      </c>
      <c r="U331" s="68" t="n">
        <f aca="false">U330+U329</f>
        <v>114662.111450187</v>
      </c>
      <c r="V331" s="68" t="n">
        <f aca="false">V330+V329</f>
        <v>120836.642526</v>
      </c>
      <c r="W331" s="68" t="n">
        <f aca="false">W330+W329</f>
        <v>127020.061101813</v>
      </c>
      <c r="X331" s="68" t="n">
        <f aca="false">X330+X329</f>
        <v>133212.367177627</v>
      </c>
      <c r="Y331" s="68" t="n">
        <f aca="false">Y330+Y329</f>
        <v>139413.56075344</v>
      </c>
      <c r="Z331" s="68" t="n">
        <f aca="false">Z330+Z329</f>
        <v>142126.3463292</v>
      </c>
      <c r="AA331" s="68" t="n">
        <f aca="false">AA330+AA329</f>
        <v>142994.312532933</v>
      </c>
      <c r="AB331" s="68" t="n">
        <f aca="false">AB330+AB329</f>
        <v>146523.753755297</v>
      </c>
      <c r="AC331" s="68" t="n">
        <f aca="false">AC330+AC329</f>
        <v>153893.235744496</v>
      </c>
      <c r="AD331" s="68" t="n">
        <f aca="false">AD330+AD329</f>
        <v>161724.083087933</v>
      </c>
      <c r="AE331" s="68" t="n">
        <f aca="false">AE330+AE329</f>
        <v>169563.817931369</v>
      </c>
      <c r="AF331" s="68" t="n">
        <f aca="false">AF330+AF329</f>
        <v>177412.440274806</v>
      </c>
      <c r="AG331" s="68" t="n">
        <f aca="false">AG330+AG329</f>
        <v>185269.950118242</v>
      </c>
      <c r="AH331" s="68" t="n">
        <f aca="false">AH330+AH329</f>
        <v>193136.347461679</v>
      </c>
      <c r="AI331" s="68" t="n">
        <f aca="false">AI330+AI329</f>
        <v>201011.632305115</v>
      </c>
      <c r="AJ331" s="68" t="n">
        <f aca="false">AJ330+AJ329</f>
        <v>208895.804648552</v>
      </c>
      <c r="AK331" s="68" t="n">
        <f aca="false">AK330+AK329</f>
        <v>216788.864491988</v>
      </c>
      <c r="AL331" s="68" t="n">
        <f aca="false">AL330+AL329</f>
        <v>220859.658568589</v>
      </c>
    </row>
    <row r="332" customFormat="false" ht="15" hidden="false" customHeight="false" outlineLevel="0" collapsed="false">
      <c r="A332" s="117" t="s">
        <v>419</v>
      </c>
      <c r="C332" s="116" t="n">
        <f aca="false">IF(C288&gt;0,1,0)</f>
        <v>0</v>
      </c>
      <c r="D332" s="116" t="n">
        <f aca="false">IF(D288&gt;0,1,0)</f>
        <v>0</v>
      </c>
      <c r="E332" s="116" t="n">
        <f aca="false">IF(E288&gt;0,1,0)</f>
        <v>1</v>
      </c>
      <c r="F332" s="116" t="n">
        <f aca="false">IF(F288&gt;0,1,0)</f>
        <v>1</v>
      </c>
      <c r="G332" s="116" t="n">
        <f aca="false">IF(G288&gt;0,1,0)</f>
        <v>1</v>
      </c>
      <c r="H332" s="116" t="n">
        <f aca="false">IF(H288&gt;0,1,0)</f>
        <v>1</v>
      </c>
      <c r="I332" s="116" t="n">
        <f aca="false">IF(I288&gt;0,1,0)</f>
        <v>1</v>
      </c>
      <c r="J332" s="116" t="n">
        <f aca="false">IF(J288&gt;0,1,0)</f>
        <v>1</v>
      </c>
      <c r="K332" s="116" t="n">
        <f aca="false">IF(K288&gt;0,1,0)</f>
        <v>1</v>
      </c>
      <c r="L332" s="116" t="n">
        <f aca="false">IF(L288&gt;0,1,0)</f>
        <v>1</v>
      </c>
      <c r="M332" s="116" t="n">
        <f aca="false">IF(M288&gt;0,1,0)</f>
        <v>1</v>
      </c>
      <c r="N332" s="116" t="n">
        <f aca="false">IF(N288&gt;0,1,0)</f>
        <v>1</v>
      </c>
      <c r="O332" s="116" t="n">
        <f aca="false">IF(O288&gt;0,1,0)</f>
        <v>1</v>
      </c>
      <c r="P332" s="116" t="n">
        <f aca="false">IF(P288&gt;0,1,0)</f>
        <v>1</v>
      </c>
      <c r="Q332" s="116" t="n">
        <f aca="false">IF(Q288&gt;0,1,0)</f>
        <v>1</v>
      </c>
      <c r="R332" s="116" t="n">
        <f aca="false">IF(R288&gt;0,1,0)</f>
        <v>1</v>
      </c>
      <c r="S332" s="116" t="n">
        <f aca="false">IF(S288&gt;0,1,0)</f>
        <v>1</v>
      </c>
      <c r="T332" s="116" t="n">
        <f aca="false">IF(T288&gt;0,1,0)</f>
        <v>1</v>
      </c>
      <c r="U332" s="116" t="n">
        <f aca="false">IF(U288&gt;0,1,0)</f>
        <v>1</v>
      </c>
      <c r="V332" s="116" t="n">
        <f aca="false">IF(V288&gt;0,1,0)</f>
        <v>1</v>
      </c>
      <c r="W332" s="116" t="n">
        <f aca="false">IF(W288&gt;0,1,0)</f>
        <v>1</v>
      </c>
      <c r="X332" s="116" t="n">
        <f aca="false">IF(X288&gt;0,1,0)</f>
        <v>1</v>
      </c>
      <c r="Y332" s="116" t="n">
        <f aca="false">IF(Y288&gt;0,1,0)</f>
        <v>1</v>
      </c>
      <c r="Z332" s="116" t="n">
        <f aca="false">IF(Z288&gt;0,1,0)</f>
        <v>1</v>
      </c>
      <c r="AA332" s="116" t="n">
        <f aca="false">IF(AA288&gt;0,1,0)</f>
        <v>1</v>
      </c>
      <c r="AB332" s="116" t="n">
        <f aca="false">IF(AB288&gt;0,1,0)</f>
        <v>1</v>
      </c>
      <c r="AC332" s="116" t="n">
        <f aca="false">IF(AC288&gt;0,1,0)</f>
        <v>1</v>
      </c>
      <c r="AD332" s="116" t="n">
        <f aca="false">IF(AD288&gt;0,1,0)</f>
        <v>1</v>
      </c>
      <c r="AE332" s="116" t="n">
        <f aca="false">IF(AE288&gt;0,1,0)</f>
        <v>1</v>
      </c>
      <c r="AF332" s="116" t="n">
        <f aca="false">IF(AF288&gt;0,1,0)</f>
        <v>1</v>
      </c>
      <c r="AG332" s="116" t="n">
        <f aca="false">IF(AG288&gt;0,1,0)</f>
        <v>1</v>
      </c>
      <c r="AH332" s="116" t="n">
        <f aca="false">IF(AH288&gt;0,1,0)</f>
        <v>1</v>
      </c>
      <c r="AI332" s="116" t="n">
        <f aca="false">IF(AI288&gt;0,1,0)</f>
        <v>1</v>
      </c>
      <c r="AJ332" s="116" t="n">
        <f aca="false">IF(AJ288&gt;0,1,0)</f>
        <v>1</v>
      </c>
      <c r="AK332" s="116" t="n">
        <f aca="false">IF(AK288&gt;0,1,0)</f>
        <v>1</v>
      </c>
      <c r="AL332" s="116" t="n">
        <f aca="false">IF(AL288&gt;0,1,0)</f>
        <v>1</v>
      </c>
    </row>
    <row r="334" customFormat="false" ht="15.75" hidden="false" customHeight="true" outlineLevel="0" collapsed="false">
      <c r="A334" s="7" t="s">
        <v>420</v>
      </c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</row>
    <row r="335" customFormat="false" ht="15" hidden="false" customHeight="false" outlineLevel="0" collapsed="false">
      <c r="A335" s="117" t="s">
        <v>421</v>
      </c>
      <c r="C335" s="116" t="n">
        <f aca="false">IF(C297&gt;0,1,0)</f>
        <v>0</v>
      </c>
      <c r="D335" s="116" t="n">
        <f aca="false">IF(D297&gt;0,1,0)</f>
        <v>0</v>
      </c>
      <c r="E335" s="116" t="n">
        <f aca="false">IF(E297&gt;0,1,0)</f>
        <v>1</v>
      </c>
      <c r="F335" s="116" t="n">
        <f aca="false">IF(F297&gt;0,1,0)</f>
        <v>1</v>
      </c>
      <c r="G335" s="116" t="n">
        <f aca="false">IF(G297&gt;0,1,0)</f>
        <v>1</v>
      </c>
      <c r="H335" s="116" t="n">
        <f aca="false">IF(H297&gt;0,1,0)</f>
        <v>1</v>
      </c>
      <c r="I335" s="116" t="n">
        <f aca="false">IF(I297&gt;0,1,0)</f>
        <v>1</v>
      </c>
      <c r="J335" s="116" t="n">
        <f aca="false">IF(J297&gt;0,1,0)</f>
        <v>1</v>
      </c>
      <c r="K335" s="116" t="n">
        <f aca="false">IF(K297&gt;0,1,0)</f>
        <v>1</v>
      </c>
      <c r="L335" s="116" t="n">
        <f aca="false">IF(L297&gt;0,1,0)</f>
        <v>1</v>
      </c>
      <c r="M335" s="116" t="n">
        <f aca="false">IF(M297&gt;0,1,0)</f>
        <v>1</v>
      </c>
      <c r="N335" s="116" t="n">
        <f aca="false">IF(N297&gt;0,1,0)</f>
        <v>1</v>
      </c>
      <c r="O335" s="116" t="n">
        <f aca="false">IF(O297&gt;0,1,0)</f>
        <v>1</v>
      </c>
      <c r="P335" s="116" t="n">
        <f aca="false">IF(P297&gt;0,1,0)</f>
        <v>1</v>
      </c>
      <c r="Q335" s="116" t="n">
        <f aca="false">IF(Q297&gt;0,1,0)</f>
        <v>1</v>
      </c>
      <c r="R335" s="116" t="n">
        <f aca="false">IF(R297&gt;0,1,0)</f>
        <v>1</v>
      </c>
      <c r="S335" s="116" t="n">
        <f aca="false">IF(S297&gt;0,1,0)</f>
        <v>1</v>
      </c>
      <c r="T335" s="116" t="n">
        <f aca="false">IF(T297&gt;0,1,0)</f>
        <v>1</v>
      </c>
      <c r="U335" s="116" t="n">
        <f aca="false">IF(U297&gt;0,1,0)</f>
        <v>1</v>
      </c>
      <c r="V335" s="116" t="n">
        <f aca="false">IF(V297&gt;0,1,0)</f>
        <v>1</v>
      </c>
      <c r="W335" s="116" t="n">
        <f aca="false">IF(W297&gt;0,1,0)</f>
        <v>1</v>
      </c>
      <c r="X335" s="116" t="n">
        <f aca="false">IF(X297&gt;0,1,0)</f>
        <v>1</v>
      </c>
      <c r="Y335" s="116" t="n">
        <f aca="false">IF(Y297&gt;0,1,0)</f>
        <v>1</v>
      </c>
      <c r="Z335" s="116" t="n">
        <f aca="false">IF(Z297&gt;0,1,0)</f>
        <v>1</v>
      </c>
      <c r="AA335" s="116" t="n">
        <f aca="false">IF(AA297&gt;0,1,0)</f>
        <v>1</v>
      </c>
      <c r="AB335" s="116" t="n">
        <f aca="false">IF(AB297&gt;0,1,0)</f>
        <v>1</v>
      </c>
      <c r="AC335" s="116" t="n">
        <f aca="false">IF(AC297&gt;0,1,0)</f>
        <v>1</v>
      </c>
      <c r="AD335" s="116" t="n">
        <f aca="false">IF(AD297&gt;0,1,0)</f>
        <v>1</v>
      </c>
      <c r="AE335" s="116" t="n">
        <f aca="false">IF(AE297&gt;0,1,0)</f>
        <v>1</v>
      </c>
      <c r="AF335" s="116" t="n">
        <f aca="false">IF(AF297&gt;0,1,0)</f>
        <v>1</v>
      </c>
      <c r="AG335" s="116" t="n">
        <f aca="false">IF(AG297&gt;0,1,0)</f>
        <v>1</v>
      </c>
      <c r="AH335" s="116" t="n">
        <f aca="false">IF(AH297&gt;0,1,0)</f>
        <v>1</v>
      </c>
      <c r="AI335" s="116" t="n">
        <f aca="false">IF(AI297&gt;0,1,0)</f>
        <v>1</v>
      </c>
      <c r="AJ335" s="116" t="n">
        <f aca="false">IF(AJ297&gt;0,1,0)</f>
        <v>1</v>
      </c>
      <c r="AK335" s="116" t="n">
        <f aca="false">IF(AK297&gt;0,1,0)</f>
        <v>1</v>
      </c>
      <c r="AL335" s="116" t="n">
        <f aca="false">IF(AL297&gt;0,1,0)</f>
        <v>1</v>
      </c>
    </row>
    <row r="336" customFormat="false" ht="15" hidden="false" customHeight="false" outlineLevel="0" collapsed="false">
      <c r="A336" s="6" t="s">
        <v>422</v>
      </c>
      <c r="C336" s="67" t="n">
        <f aca="false">C325+C326</f>
        <v>-142843.512426667</v>
      </c>
      <c r="D336" s="67" t="n">
        <f aca="false">D325+D326</f>
        <v>-2464.40209333333</v>
      </c>
      <c r="E336" s="67" t="n">
        <f aca="false">E325+E326</f>
        <v>2519.97410222222</v>
      </c>
      <c r="F336" s="67" t="n">
        <f aca="false">F325+F326</f>
        <v>4963.26496444444</v>
      </c>
      <c r="G336" s="67" t="n">
        <f aca="false">G325+G326</f>
        <v>6966.18838311111</v>
      </c>
      <c r="H336" s="67" t="n">
        <f aca="false">H325+H326</f>
        <v>6132.49339</v>
      </c>
      <c r="I336" s="67" t="n">
        <f aca="false">I325+I326</f>
        <v>6141.38089</v>
      </c>
      <c r="J336" s="67" t="n">
        <f aca="false">J325+J326</f>
        <v>6150.26839</v>
      </c>
      <c r="K336" s="67" t="n">
        <f aca="false">K325+K326</f>
        <v>6159.15589</v>
      </c>
      <c r="L336" s="67" t="n">
        <f aca="false">L325+L326</f>
        <v>6168.04339</v>
      </c>
      <c r="M336" s="67" t="n">
        <f aca="false">M325+M326</f>
        <v>6176.93089</v>
      </c>
      <c r="N336" s="67" t="n">
        <f aca="false">N325+N326</f>
        <v>2993.88898555556</v>
      </c>
      <c r="O336" s="67" t="n">
        <f aca="false">O325+O326</f>
        <v>1063.07511416</v>
      </c>
      <c r="P336" s="67" t="n">
        <f aca="false">P325+P326</f>
        <v>3709.96463869334</v>
      </c>
      <c r="Q336" s="67" t="n">
        <f aca="false">Q325+Q326</f>
        <v>7216.14763874667</v>
      </c>
      <c r="R336" s="67" t="n">
        <f aca="false">R325+R326</f>
        <v>7638.98107581334</v>
      </c>
      <c r="S336" s="67" t="n">
        <f aca="false">S325+S326</f>
        <v>7647.86857581334</v>
      </c>
      <c r="T336" s="67" t="n">
        <f aca="false">T325+T326</f>
        <v>7656.75607581334</v>
      </c>
      <c r="U336" s="67" t="n">
        <f aca="false">U325+U326</f>
        <v>7665.64357581334</v>
      </c>
      <c r="V336" s="67" t="n">
        <f aca="false">V325+V326</f>
        <v>7674.53107581334</v>
      </c>
      <c r="W336" s="67" t="n">
        <f aca="false">W325+W326</f>
        <v>7683.41857581334</v>
      </c>
      <c r="X336" s="67" t="n">
        <f aca="false">X325+X326</f>
        <v>7692.30607581334</v>
      </c>
      <c r="Y336" s="67" t="n">
        <f aca="false">Y325+Y326</f>
        <v>7701.19357581334</v>
      </c>
      <c r="Z336" s="67" t="n">
        <f aca="false">Z325+Z326</f>
        <v>4212.78557576001</v>
      </c>
      <c r="AA336" s="67" t="n">
        <f aca="false">AA325+AA326</f>
        <v>2367.96620373305</v>
      </c>
      <c r="AB336" s="67" t="n">
        <f aca="false">AB325+AB326</f>
        <v>5029.44122236345</v>
      </c>
      <c r="AC336" s="67" t="n">
        <f aca="false">AC325+AC326</f>
        <v>8869.48198919969</v>
      </c>
      <c r="AD336" s="67" t="n">
        <f aca="false">AD325+AD326</f>
        <v>9330.84734343649</v>
      </c>
      <c r="AE336" s="67" t="n">
        <f aca="false">AE325+AE326</f>
        <v>9339.73484343649</v>
      </c>
      <c r="AF336" s="67" t="n">
        <f aca="false">AF325+AF326</f>
        <v>9348.6223434365</v>
      </c>
      <c r="AG336" s="67" t="n">
        <f aca="false">AG325+AG326</f>
        <v>9357.5098434365</v>
      </c>
      <c r="AH336" s="67" t="n">
        <f aca="false">AH325+AH326</f>
        <v>9366.39734343649</v>
      </c>
      <c r="AI336" s="67" t="n">
        <f aca="false">AI325+AI326</f>
        <v>9375.28484343649</v>
      </c>
      <c r="AJ336" s="67" t="n">
        <f aca="false">AJ325+AJ326</f>
        <v>9384.17234343649</v>
      </c>
      <c r="AK336" s="67" t="n">
        <f aca="false">AK325+AK326</f>
        <v>9393.0598434365</v>
      </c>
      <c r="AL336" s="67" t="n">
        <f aca="false">AL325+AL326</f>
        <v>5570.79407660025</v>
      </c>
    </row>
    <row r="337" customFormat="false" ht="15" hidden="false" customHeight="false" outlineLevel="0" collapsed="false">
      <c r="A337" s="6" t="s">
        <v>423</v>
      </c>
      <c r="C337" s="67" t="n">
        <f aca="false">C336</f>
        <v>-142843.512426667</v>
      </c>
      <c r="D337" s="67" t="n">
        <f aca="false">C337+D336</f>
        <v>-145307.91452</v>
      </c>
      <c r="E337" s="67" t="n">
        <f aca="false">D337+E336</f>
        <v>-142787.940417778</v>
      </c>
      <c r="F337" s="67" t="n">
        <f aca="false">E337+F336</f>
        <v>-137824.675453333</v>
      </c>
      <c r="G337" s="67" t="n">
        <f aca="false">F337+G336</f>
        <v>-130858.487070222</v>
      </c>
      <c r="H337" s="67" t="n">
        <f aca="false">G337+H336</f>
        <v>-124725.993680222</v>
      </c>
      <c r="I337" s="67" t="n">
        <f aca="false">H337+I336</f>
        <v>-118584.612790222</v>
      </c>
      <c r="J337" s="67" t="n">
        <f aca="false">I337+J336</f>
        <v>-112434.344400222</v>
      </c>
      <c r="K337" s="67" t="n">
        <f aca="false">J337+K336</f>
        <v>-106275.188510222</v>
      </c>
      <c r="L337" s="67" t="n">
        <f aca="false">K337+L336</f>
        <v>-100107.145120222</v>
      </c>
      <c r="M337" s="67" t="n">
        <f aca="false">L337+M336</f>
        <v>-93930.2142302222</v>
      </c>
      <c r="N337" s="67" t="n">
        <f aca="false">M337+N336</f>
        <v>-90936.3252446666</v>
      </c>
      <c r="O337" s="67" t="n">
        <f aca="false">N337+O336</f>
        <v>-89873.2501305066</v>
      </c>
      <c r="P337" s="67" t="n">
        <f aca="false">O337+P336</f>
        <v>-86163.2854918133</v>
      </c>
      <c r="Q337" s="67" t="n">
        <f aca="false">P337+Q336</f>
        <v>-78947.1378530666</v>
      </c>
      <c r="R337" s="67" t="n">
        <f aca="false">Q337+R336</f>
        <v>-71308.1567772533</v>
      </c>
      <c r="S337" s="67" t="n">
        <f aca="false">R337+S336</f>
        <v>-63660.28820144</v>
      </c>
      <c r="T337" s="67" t="n">
        <f aca="false">S337+T336</f>
        <v>-56003.5321256266</v>
      </c>
      <c r="U337" s="67" t="n">
        <f aca="false">T337+U336</f>
        <v>-48337.8885498133</v>
      </c>
      <c r="V337" s="67" t="n">
        <f aca="false">U337+V336</f>
        <v>-40663.3574739999</v>
      </c>
      <c r="W337" s="67" t="n">
        <f aca="false">V337+W336</f>
        <v>-32979.9388981866</v>
      </c>
      <c r="X337" s="67" t="n">
        <f aca="false">W337+X336</f>
        <v>-25287.6328223733</v>
      </c>
      <c r="Y337" s="67" t="n">
        <f aca="false">X337+Y336</f>
        <v>-17586.4392465599</v>
      </c>
      <c r="Z337" s="67" t="n">
        <f aca="false">Y337+Z336</f>
        <v>-13373.6536707999</v>
      </c>
      <c r="AA337" s="67" t="n">
        <f aca="false">Z337+AA336</f>
        <v>-11005.6874670669</v>
      </c>
      <c r="AB337" s="67" t="n">
        <f aca="false">AA337+AB336</f>
        <v>-5976.24624470343</v>
      </c>
      <c r="AC337" s="67" t="n">
        <f aca="false">AB337+AC336</f>
        <v>2893.23574449627</v>
      </c>
      <c r="AD337" s="67" t="n">
        <f aca="false">AC337+AD336</f>
        <v>12224.0830879328</v>
      </c>
      <c r="AE337" s="67" t="n">
        <f aca="false">AD337+AE336</f>
        <v>21563.8179313693</v>
      </c>
      <c r="AF337" s="67" t="n">
        <f aca="false">AE337+AF336</f>
        <v>30912.4402748057</v>
      </c>
      <c r="AG337" s="67" t="n">
        <f aca="false">AF337+AG336</f>
        <v>40269.9501182422</v>
      </c>
      <c r="AH337" s="67" t="n">
        <f aca="false">AG337+AH336</f>
        <v>49636.3474616787</v>
      </c>
      <c r="AI337" s="67" t="n">
        <f aca="false">AH337+AI336</f>
        <v>59011.6323051152</v>
      </c>
      <c r="AJ337" s="67" t="n">
        <f aca="false">AI337+AJ336</f>
        <v>68395.8046485517</v>
      </c>
      <c r="AK337" s="67" t="n">
        <f aca="false">AJ337+AK336</f>
        <v>77788.8644919882</v>
      </c>
      <c r="AL337" s="67" t="n">
        <f aca="false">AK337+AL336</f>
        <v>83359.6585685885</v>
      </c>
    </row>
    <row r="338" customFormat="false" ht="15" hidden="false" customHeight="false" outlineLevel="0" collapsed="false">
      <c r="A338" s="117" t="s">
        <v>424</v>
      </c>
      <c r="C338" s="67" t="n">
        <f aca="false">C337</f>
        <v>-142843.512426667</v>
      </c>
      <c r="D338" s="67" t="n">
        <f aca="false">MIN(C338,D337)</f>
        <v>-145307.91452</v>
      </c>
      <c r="E338" s="67" t="n">
        <f aca="false">MIN(D338,E337)</f>
        <v>-145307.91452</v>
      </c>
      <c r="F338" s="67" t="n">
        <f aca="false">MIN(E338,F337)</f>
        <v>-145307.91452</v>
      </c>
      <c r="G338" s="67" t="n">
        <f aca="false">MIN(F338,G337)</f>
        <v>-145307.91452</v>
      </c>
      <c r="H338" s="67" t="n">
        <f aca="false">MIN(G338,H337)</f>
        <v>-145307.91452</v>
      </c>
      <c r="I338" s="67" t="n">
        <f aca="false">MIN(H338,I337)</f>
        <v>-145307.91452</v>
      </c>
      <c r="J338" s="67" t="n">
        <f aca="false">MIN(I338,J337)</f>
        <v>-145307.91452</v>
      </c>
      <c r="K338" s="67" t="n">
        <f aca="false">MIN(J338,K337)</f>
        <v>-145307.91452</v>
      </c>
      <c r="L338" s="67" t="n">
        <f aca="false">MIN(K338,L337)</f>
        <v>-145307.91452</v>
      </c>
      <c r="M338" s="67" t="n">
        <f aca="false">MIN(L338,M337)</f>
        <v>-145307.91452</v>
      </c>
      <c r="N338" s="67" t="n">
        <f aca="false">MIN(M338,N337)</f>
        <v>-145307.91452</v>
      </c>
      <c r="O338" s="67" t="n">
        <f aca="false">MIN(N338,O337)</f>
        <v>-145307.91452</v>
      </c>
      <c r="P338" s="67" t="n">
        <f aca="false">MIN(O338,P337)</f>
        <v>-145307.91452</v>
      </c>
      <c r="Q338" s="67" t="n">
        <f aca="false">MIN(P338,Q337)</f>
        <v>-145307.91452</v>
      </c>
      <c r="R338" s="67" t="n">
        <f aca="false">MIN(Q338,R337)</f>
        <v>-145307.91452</v>
      </c>
      <c r="S338" s="67" t="n">
        <f aca="false">MIN(R338,S337)</f>
        <v>-145307.91452</v>
      </c>
      <c r="T338" s="67" t="n">
        <f aca="false">MIN(S338,T337)</f>
        <v>-145307.91452</v>
      </c>
      <c r="U338" s="67" t="n">
        <f aca="false">MIN(T338,U337)</f>
        <v>-145307.91452</v>
      </c>
      <c r="V338" s="67" t="n">
        <f aca="false">MIN(U338,V337)</f>
        <v>-145307.91452</v>
      </c>
      <c r="W338" s="67" t="n">
        <f aca="false">MIN(V338,W337)</f>
        <v>-145307.91452</v>
      </c>
      <c r="X338" s="67" t="n">
        <f aca="false">MIN(W338,X337)</f>
        <v>-145307.91452</v>
      </c>
      <c r="Y338" s="67" t="n">
        <f aca="false">MIN(X338,Y337)</f>
        <v>-145307.91452</v>
      </c>
      <c r="Z338" s="67" t="n">
        <f aca="false">MIN(Y338,Z337)</f>
        <v>-145307.91452</v>
      </c>
      <c r="AA338" s="67" t="n">
        <f aca="false">MIN(Z338,AA337)</f>
        <v>-145307.91452</v>
      </c>
      <c r="AB338" s="67" t="n">
        <f aca="false">MIN(AA338,AB337)</f>
        <v>-145307.91452</v>
      </c>
      <c r="AC338" s="67" t="n">
        <f aca="false">MIN(AB338,AC337)</f>
        <v>-145307.91452</v>
      </c>
      <c r="AD338" s="67" t="n">
        <f aca="false">MIN(AC338,AD337)</f>
        <v>-145307.91452</v>
      </c>
      <c r="AE338" s="67" t="n">
        <f aca="false">MIN(AD338,AE337)</f>
        <v>-145307.91452</v>
      </c>
      <c r="AF338" s="67" t="n">
        <f aca="false">MIN(AE338,AF337)</f>
        <v>-145307.91452</v>
      </c>
      <c r="AG338" s="67" t="n">
        <f aca="false">MIN(AF338,AG337)</f>
        <v>-145307.91452</v>
      </c>
      <c r="AH338" s="67" t="n">
        <f aca="false">MIN(AG338,AH337)</f>
        <v>-145307.91452</v>
      </c>
      <c r="AI338" s="67" t="n">
        <f aca="false">MIN(AH338,AI337)</f>
        <v>-145307.91452</v>
      </c>
      <c r="AJ338" s="67" t="n">
        <f aca="false">MIN(AI338,AJ337)</f>
        <v>-145307.91452</v>
      </c>
      <c r="AK338" s="67" t="n">
        <f aca="false">MIN(AJ338,AK337)</f>
        <v>-145307.91452</v>
      </c>
      <c r="AL338" s="67" t="n">
        <f aca="false">MIN(AK338,AL337)</f>
        <v>-145307.91452</v>
      </c>
    </row>
    <row r="339" customFormat="false" ht="15" hidden="false" customHeight="false" outlineLevel="0" collapsed="false">
      <c r="A339" s="117" t="s">
        <v>425</v>
      </c>
      <c r="C339" s="116" t="n">
        <f aca="false">IF(AND(C337&gt;=0,C338&lt;0),1,0)</f>
        <v>0</v>
      </c>
      <c r="D339" s="116" t="n">
        <f aca="false">IF(AND(D337&gt;=0,D338&lt;0),1,0)</f>
        <v>0</v>
      </c>
      <c r="E339" s="116" t="n">
        <f aca="false">IF(AND(E337&gt;=0,E338&lt;0),1,0)</f>
        <v>0</v>
      </c>
      <c r="F339" s="116" t="n">
        <f aca="false">IF(AND(F337&gt;=0,F338&lt;0),1,0)</f>
        <v>0</v>
      </c>
      <c r="G339" s="116" t="n">
        <f aca="false">IF(AND(G337&gt;=0,G338&lt;0),1,0)</f>
        <v>0</v>
      </c>
      <c r="H339" s="116" t="n">
        <f aca="false">IF(AND(H337&gt;=0,H338&lt;0),1,0)</f>
        <v>0</v>
      </c>
      <c r="I339" s="116" t="n">
        <f aca="false">IF(AND(I337&gt;=0,I338&lt;0),1,0)</f>
        <v>0</v>
      </c>
      <c r="J339" s="116" t="n">
        <f aca="false">IF(AND(J337&gt;=0,J338&lt;0),1,0)</f>
        <v>0</v>
      </c>
      <c r="K339" s="116" t="n">
        <f aca="false">IF(AND(K337&gt;=0,K338&lt;0),1,0)</f>
        <v>0</v>
      </c>
      <c r="L339" s="116" t="n">
        <f aca="false">IF(AND(L337&gt;=0,L338&lt;0),1,0)</f>
        <v>0</v>
      </c>
      <c r="M339" s="116" t="n">
        <f aca="false">IF(AND(M337&gt;=0,M338&lt;0),1,0)</f>
        <v>0</v>
      </c>
      <c r="N339" s="116" t="n">
        <f aca="false">IF(AND(N337&gt;=0,N338&lt;0),1,0)</f>
        <v>0</v>
      </c>
      <c r="O339" s="116" t="n">
        <f aca="false">IF(AND(O337&gt;=0,O338&lt;0),1,0)</f>
        <v>0</v>
      </c>
      <c r="P339" s="116" t="n">
        <f aca="false">IF(AND(P337&gt;=0,P338&lt;0),1,0)</f>
        <v>0</v>
      </c>
      <c r="Q339" s="116" t="n">
        <f aca="false">IF(AND(Q337&gt;=0,Q338&lt;0),1,0)</f>
        <v>0</v>
      </c>
      <c r="R339" s="116" t="n">
        <f aca="false">IF(AND(R337&gt;=0,R338&lt;0),1,0)</f>
        <v>0</v>
      </c>
      <c r="S339" s="116" t="n">
        <f aca="false">IF(AND(S337&gt;=0,S338&lt;0),1,0)</f>
        <v>0</v>
      </c>
      <c r="T339" s="116" t="n">
        <f aca="false">IF(AND(T337&gt;=0,T338&lt;0),1,0)</f>
        <v>0</v>
      </c>
      <c r="U339" s="116" t="n">
        <f aca="false">IF(AND(U337&gt;=0,U338&lt;0),1,0)</f>
        <v>0</v>
      </c>
      <c r="V339" s="116" t="n">
        <f aca="false">IF(AND(V337&gt;=0,V338&lt;0),1,0)</f>
        <v>0</v>
      </c>
      <c r="W339" s="116" t="n">
        <f aca="false">IF(AND(W337&gt;=0,W338&lt;0),1,0)</f>
        <v>0</v>
      </c>
      <c r="X339" s="116" t="n">
        <f aca="false">IF(AND(X337&gt;=0,X338&lt;0),1,0)</f>
        <v>0</v>
      </c>
      <c r="Y339" s="116" t="n">
        <f aca="false">IF(AND(Y337&gt;=0,Y338&lt;0),1,0)</f>
        <v>0</v>
      </c>
      <c r="Z339" s="116" t="n">
        <f aca="false">IF(AND(Z337&gt;=0,Z338&lt;0),1,0)</f>
        <v>0</v>
      </c>
      <c r="AA339" s="116" t="n">
        <f aca="false">IF(AND(AA337&gt;=0,AA338&lt;0),1,0)</f>
        <v>0</v>
      </c>
      <c r="AB339" s="116" t="n">
        <f aca="false">IF(AND(AB337&gt;=0,AB338&lt;0),1,0)</f>
        <v>0</v>
      </c>
      <c r="AC339" s="116" t="n">
        <f aca="false">IF(AND(AC337&gt;=0,AC338&lt;0),1,0)</f>
        <v>1</v>
      </c>
      <c r="AD339" s="116" t="n">
        <f aca="false">IF(AND(AD337&gt;=0,AD338&lt;0),1,0)</f>
        <v>1</v>
      </c>
      <c r="AE339" s="116" t="n">
        <f aca="false">IF(AND(AE337&gt;=0,AE338&lt;0),1,0)</f>
        <v>1</v>
      </c>
      <c r="AF339" s="116" t="n">
        <f aca="false">IF(AND(AF337&gt;=0,AF338&lt;0),1,0)</f>
        <v>1</v>
      </c>
      <c r="AG339" s="116" t="n">
        <f aca="false">IF(AND(AG337&gt;=0,AG338&lt;0),1,0)</f>
        <v>1</v>
      </c>
      <c r="AH339" s="116" t="n">
        <f aca="false">IF(AND(AH337&gt;=0,AH338&lt;0),1,0)</f>
        <v>1</v>
      </c>
      <c r="AI339" s="116" t="n">
        <f aca="false">IF(AND(AI337&gt;=0,AI338&lt;0),1,0)</f>
        <v>1</v>
      </c>
      <c r="AJ339" s="116" t="n">
        <f aca="false">IF(AND(AJ337&gt;=0,AJ338&lt;0),1,0)</f>
        <v>1</v>
      </c>
      <c r="AK339" s="116" t="n">
        <f aca="false">IF(AND(AK337&gt;=0,AK338&lt;0),1,0)</f>
        <v>1</v>
      </c>
      <c r="AL339" s="116" t="n">
        <f aca="false">IF(AND(AL337&gt;=0,AL338&lt;0),1,0)</f>
        <v>1</v>
      </c>
    </row>
    <row r="340" customFormat="false" ht="15" hidden="false" customHeight="false" outlineLevel="0" collapsed="false">
      <c r="A340" s="6" t="s">
        <v>426</v>
      </c>
      <c r="C340" s="67" t="n">
        <f aca="false">C325-C292*(1-Inputs!$D$83)+C326</f>
        <v>-142310.262426667</v>
      </c>
      <c r="D340" s="67" t="n">
        <f aca="false">D325-D292*(1-Inputs!$D$83)+D326</f>
        <v>-1935.59584333333</v>
      </c>
      <c r="E340" s="67" t="n">
        <f aca="false">E325-E292*(1-Inputs!$D$83)+E326</f>
        <v>3039.89285222222</v>
      </c>
      <c r="F340" s="67" t="n">
        <f aca="false">F325-F292*(1-Inputs!$D$83)+F326</f>
        <v>5474.29621444444</v>
      </c>
      <c r="G340" s="67" t="n">
        <f aca="false">G325-G292*(1-Inputs!$D$83)+G326</f>
        <v>7468.33213311111</v>
      </c>
      <c r="H340" s="67" t="n">
        <f aca="false">H325-H292*(1-Inputs!$D$83)+H326</f>
        <v>6625.74964</v>
      </c>
      <c r="I340" s="67" t="n">
        <f aca="false">I325-I292*(1-Inputs!$D$83)+I326</f>
        <v>6625.74964</v>
      </c>
      <c r="J340" s="67" t="n">
        <f aca="false">J325-J292*(1-Inputs!$D$83)+J326</f>
        <v>6625.74964</v>
      </c>
      <c r="K340" s="67" t="n">
        <f aca="false">K325-K292*(1-Inputs!$D$83)+K326</f>
        <v>6625.74964</v>
      </c>
      <c r="L340" s="67" t="n">
        <f aca="false">L325-L292*(1-Inputs!$D$83)+L326</f>
        <v>6625.74964</v>
      </c>
      <c r="M340" s="67" t="n">
        <f aca="false">M325-M292*(1-Inputs!$D$83)+M326</f>
        <v>6625.74964</v>
      </c>
      <c r="N340" s="67" t="n">
        <f aca="false">N325-N292*(1-Inputs!$D$83)+N326</f>
        <v>3433.82023555556</v>
      </c>
      <c r="O340" s="67" t="n">
        <f aca="false">O325-O292*(1-Inputs!$D$83)+O326</f>
        <v>1494.11886416</v>
      </c>
      <c r="P340" s="67" t="n">
        <f aca="false">P325-P292*(1-Inputs!$D$83)+P326</f>
        <v>4132.12088869334</v>
      </c>
      <c r="Q340" s="67" t="n">
        <f aca="false">Q325-Q292*(1-Inputs!$D$83)+Q326</f>
        <v>7629.41638874667</v>
      </c>
      <c r="R340" s="67" t="n">
        <f aca="false">R325-R292*(1-Inputs!$D$83)+R326</f>
        <v>8043.36232581334</v>
      </c>
      <c r="S340" s="67" t="n">
        <f aca="false">S325-S292*(1-Inputs!$D$83)+S326</f>
        <v>8043.36232581334</v>
      </c>
      <c r="T340" s="67" t="n">
        <f aca="false">T325-T292*(1-Inputs!$D$83)+T326</f>
        <v>8043.36232581334</v>
      </c>
      <c r="U340" s="67" t="n">
        <f aca="false">U325-U292*(1-Inputs!$D$83)+U326</f>
        <v>8043.36232581334</v>
      </c>
      <c r="V340" s="67" t="n">
        <f aca="false">V325-V292*(1-Inputs!$D$83)+V326</f>
        <v>8043.36232581334</v>
      </c>
      <c r="W340" s="67" t="n">
        <f aca="false">W325-W292*(1-Inputs!$D$83)+W326</f>
        <v>8043.36232581334</v>
      </c>
      <c r="X340" s="67" t="n">
        <f aca="false">X325-X292*(1-Inputs!$D$83)+X326</f>
        <v>8043.36232581334</v>
      </c>
      <c r="Y340" s="67" t="n">
        <f aca="false">Y325-Y292*(1-Inputs!$D$83)+Y326</f>
        <v>8043.36232581334</v>
      </c>
      <c r="Z340" s="67" t="n">
        <f aca="false">Z325-Z292*(1-Inputs!$D$83)+Z326</f>
        <v>4546.06682576001</v>
      </c>
      <c r="AA340" s="67" t="n">
        <f aca="false">AA325-AA292*(1-Inputs!$D$83)+AA326</f>
        <v>2692.35995373305</v>
      </c>
      <c r="AB340" s="67" t="n">
        <f aca="false">AB325-AB292*(1-Inputs!$D$83)+AB326</f>
        <v>5344.94747236345</v>
      </c>
      <c r="AC340" s="67" t="n">
        <f aca="false">AC325-AC292*(1-Inputs!$D$83)+AC326</f>
        <v>9176.10073919969</v>
      </c>
      <c r="AD340" s="67" t="n">
        <f aca="false">AD325-AD292*(1-Inputs!$D$83)+AD326</f>
        <v>9628.57859343649</v>
      </c>
      <c r="AE340" s="67" t="n">
        <f aca="false">AE325-AE292*(1-Inputs!$D$83)+AE326</f>
        <v>9628.57859343649</v>
      </c>
      <c r="AF340" s="67" t="n">
        <f aca="false">AF325-AF292*(1-Inputs!$D$83)+AF326</f>
        <v>9628.57859343649</v>
      </c>
      <c r="AG340" s="67" t="n">
        <f aca="false">AG325-AG292*(1-Inputs!$D$83)+AG326</f>
        <v>9628.5785934365</v>
      </c>
      <c r="AH340" s="67" t="n">
        <f aca="false">AH325-AH292*(1-Inputs!$D$83)+AH326</f>
        <v>9628.57859343649</v>
      </c>
      <c r="AI340" s="67" t="n">
        <f aca="false">AI325-AI292*(1-Inputs!$D$83)+AI326</f>
        <v>9628.57859343649</v>
      </c>
      <c r="AJ340" s="67" t="n">
        <f aca="false">AJ325-AJ292*(1-Inputs!$D$83)+AJ326</f>
        <v>9628.57859343649</v>
      </c>
      <c r="AK340" s="67" t="n">
        <f aca="false">AK325-AK292*(1-Inputs!$D$83)+AK326</f>
        <v>9628.57859343649</v>
      </c>
      <c r="AL340" s="67" t="n">
        <f aca="false">AL325-AL292*(1-Inputs!$D$83)+AL326</f>
        <v>5797.42532660025</v>
      </c>
    </row>
    <row r="342" customFormat="false" ht="15.75" hidden="false" customHeight="true" outlineLevel="0" collapsed="false">
      <c r="A342" s="7" t="s">
        <v>427</v>
      </c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</row>
    <row r="343" customFormat="false" ht="15" hidden="false" customHeight="false" outlineLevel="0" collapsed="false">
      <c r="A343" s="6" t="s">
        <v>97</v>
      </c>
      <c r="C343" s="67" t="n">
        <f aca="false">C327</f>
        <v>100000</v>
      </c>
      <c r="D343" s="67" t="n">
        <f aca="false">C343+D327</f>
        <v>100000</v>
      </c>
      <c r="E343" s="67" t="n">
        <f aca="false">D343+E327</f>
        <v>100000</v>
      </c>
      <c r="F343" s="67" t="n">
        <f aca="false">E343+F327</f>
        <v>100000</v>
      </c>
      <c r="G343" s="67" t="n">
        <f aca="false">F343+G327</f>
        <v>100000</v>
      </c>
      <c r="H343" s="67" t="n">
        <f aca="false">G343+H327</f>
        <v>100000</v>
      </c>
      <c r="I343" s="67" t="n">
        <f aca="false">H343+I327</f>
        <v>100000</v>
      </c>
      <c r="J343" s="67" t="n">
        <f aca="false">I343+J327</f>
        <v>100000</v>
      </c>
      <c r="K343" s="67" t="n">
        <f aca="false">J343+K327</f>
        <v>100000</v>
      </c>
      <c r="L343" s="67" t="n">
        <f aca="false">K343+L327</f>
        <v>100000</v>
      </c>
      <c r="M343" s="67" t="n">
        <f aca="false">L343+M327</f>
        <v>100000</v>
      </c>
      <c r="N343" s="67" t="n">
        <f aca="false">M343+N327</f>
        <v>100000</v>
      </c>
      <c r="O343" s="67" t="n">
        <f aca="false">N343+O327</f>
        <v>100000</v>
      </c>
      <c r="P343" s="67" t="n">
        <f aca="false">O343+P327</f>
        <v>100000</v>
      </c>
      <c r="Q343" s="67" t="n">
        <f aca="false">P343+Q327</f>
        <v>100000</v>
      </c>
      <c r="R343" s="67" t="n">
        <f aca="false">Q343+R327</f>
        <v>100000</v>
      </c>
      <c r="S343" s="67" t="n">
        <f aca="false">R343+S327</f>
        <v>100000</v>
      </c>
      <c r="T343" s="67" t="n">
        <f aca="false">S343+T327</f>
        <v>100000</v>
      </c>
      <c r="U343" s="67" t="n">
        <f aca="false">T343+U327</f>
        <v>100000</v>
      </c>
      <c r="V343" s="67" t="n">
        <f aca="false">U343+V327</f>
        <v>100000</v>
      </c>
      <c r="W343" s="67" t="n">
        <f aca="false">V343+W327</f>
        <v>100000</v>
      </c>
      <c r="X343" s="67" t="n">
        <f aca="false">W343+X327</f>
        <v>100000</v>
      </c>
      <c r="Y343" s="67" t="n">
        <f aca="false">X343+Y327</f>
        <v>100000</v>
      </c>
      <c r="Z343" s="67" t="n">
        <f aca="false">Y343+Z327</f>
        <v>100000</v>
      </c>
      <c r="AA343" s="67" t="n">
        <f aca="false">Z343+AA327</f>
        <v>100000</v>
      </c>
      <c r="AB343" s="67" t="n">
        <f aca="false">AA343+AB327</f>
        <v>100000</v>
      </c>
      <c r="AC343" s="67" t="n">
        <f aca="false">AB343+AC327</f>
        <v>100000</v>
      </c>
      <c r="AD343" s="67" t="n">
        <f aca="false">AC343+AD327</f>
        <v>100000</v>
      </c>
      <c r="AE343" s="67" t="n">
        <f aca="false">AD343+AE327</f>
        <v>100000</v>
      </c>
      <c r="AF343" s="67" t="n">
        <f aca="false">AE343+AF327</f>
        <v>100000</v>
      </c>
      <c r="AG343" s="67" t="n">
        <f aca="false">AF343+AG327</f>
        <v>100000</v>
      </c>
      <c r="AH343" s="67" t="n">
        <f aca="false">AG343+AH327</f>
        <v>100000</v>
      </c>
      <c r="AI343" s="67" t="n">
        <f aca="false">AH343+AI327</f>
        <v>100000</v>
      </c>
      <c r="AJ343" s="67" t="n">
        <f aca="false">AI343+AJ327</f>
        <v>100000</v>
      </c>
      <c r="AK343" s="67" t="n">
        <f aca="false">AJ343+AK327</f>
        <v>100000</v>
      </c>
      <c r="AL343" s="67" t="n">
        <f aca="false">AK343+AL327</f>
        <v>100000</v>
      </c>
    </row>
    <row r="344" customFormat="false" ht="15" hidden="false" customHeight="false" outlineLevel="0" collapsed="false">
      <c r="A344" s="6" t="s">
        <v>98</v>
      </c>
      <c r="C344" s="67" t="n">
        <f aca="false">C297</f>
        <v>-5674.27660952381</v>
      </c>
      <c r="D344" s="67" t="n">
        <f aca="false">C344+D297</f>
        <v>-9646.18701904762</v>
      </c>
      <c r="E344" s="67" t="n">
        <f aca="false">D344+E297</f>
        <v>-8330.76969523809</v>
      </c>
      <c r="F344" s="67" t="n">
        <f aca="false">E344+F297</f>
        <v>-4837.14410476191</v>
      </c>
      <c r="G344" s="67" t="n">
        <f aca="false">F344+G297</f>
        <v>659.40490438095</v>
      </c>
      <c r="H344" s="67" t="n">
        <f aca="false">G344+H297</f>
        <v>5149.04115152381</v>
      </c>
      <c r="I344" s="67" t="n">
        <f aca="false">H344+I297</f>
        <v>9647.56489866666</v>
      </c>
      <c r="J344" s="67" t="n">
        <f aca="false">I344+J297</f>
        <v>14154.9761458095</v>
      </c>
      <c r="K344" s="67" t="n">
        <f aca="false">J344+K297</f>
        <v>18671.2748929524</v>
      </c>
      <c r="L344" s="67" t="n">
        <f aca="false">K344+L297</f>
        <v>23196.4611400952</v>
      </c>
      <c r="M344" s="67" t="n">
        <f aca="false">L344+M297</f>
        <v>27730.5348872381</v>
      </c>
      <c r="N344" s="67" t="n">
        <f aca="false">M344+N297</f>
        <v>28702.8773077143</v>
      </c>
      <c r="O344" s="67" t="n">
        <f aca="false">N344+O297</f>
        <v>30731.3353987886</v>
      </c>
      <c r="P344" s="67" t="n">
        <f aca="false">O344+P297</f>
        <v>32768.6809898629</v>
      </c>
      <c r="Q344" s="67" t="n">
        <f aca="false">P344+Q297</f>
        <v>38726.1555180572</v>
      </c>
      <c r="R344" s="67" t="n">
        <f aca="false">Q344+R297</f>
        <v>44692.5175462514</v>
      </c>
      <c r="S344" s="67" t="n">
        <f aca="false">R344+S297</f>
        <v>50667.7670744457</v>
      </c>
      <c r="T344" s="67" t="n">
        <f aca="false">S344+T297</f>
        <v>56651.90410264</v>
      </c>
      <c r="U344" s="67" t="n">
        <f aca="false">T344+U297</f>
        <v>62644.9286308343</v>
      </c>
      <c r="V344" s="67" t="n">
        <f aca="false">U344+V297</f>
        <v>68646.8406590286</v>
      </c>
      <c r="W344" s="67" t="n">
        <f aca="false">V344+W297</f>
        <v>74657.6401872229</v>
      </c>
      <c r="X344" s="67" t="n">
        <f aca="false">W344+X297</f>
        <v>80677.3272154172</v>
      </c>
      <c r="Y344" s="67" t="n">
        <f aca="false">X344+Y297</f>
        <v>86705.9017436115</v>
      </c>
      <c r="Z344" s="67" t="n">
        <f aca="false">Y344+Z297</f>
        <v>88832.1223346858</v>
      </c>
      <c r="AA344" s="67" t="n">
        <f aca="false">Z344+AA297</f>
        <v>92150.2951046683</v>
      </c>
      <c r="AB344" s="67" t="n">
        <f aca="false">AA344+AB297</f>
        <v>95477.3553746508</v>
      </c>
      <c r="AC344" s="67" t="n">
        <f aca="false">AB344+AC297</f>
        <v>103096.934265706</v>
      </c>
      <c r="AD344" s="67" t="n">
        <f aca="false">AC344+AD297</f>
        <v>110725.400656762</v>
      </c>
      <c r="AE344" s="67" t="n">
        <f aca="false">AD344+AE297</f>
        <v>118362.754547817</v>
      </c>
      <c r="AF344" s="67" t="n">
        <f aca="false">AE344+AF297</f>
        <v>126008.995938873</v>
      </c>
      <c r="AG344" s="67" t="n">
        <f aca="false">AF344+AG297</f>
        <v>133664.124829928</v>
      </c>
      <c r="AH344" s="67" t="n">
        <f aca="false">AG344+AH297</f>
        <v>141328.141220984</v>
      </c>
      <c r="AI344" s="67" t="n">
        <f aca="false">AH344+AI297</f>
        <v>149001.04511204</v>
      </c>
      <c r="AJ344" s="67" t="n">
        <f aca="false">AI344+AJ297</f>
        <v>156682.836503095</v>
      </c>
      <c r="AK344" s="67" t="n">
        <f aca="false">AJ344+AK297</f>
        <v>164373.515394151</v>
      </c>
      <c r="AL344" s="67" t="n">
        <f aca="false">AK344+AL297</f>
        <v>167789.450664133</v>
      </c>
    </row>
    <row r="345" customFormat="false" ht="15" hidden="false" customHeight="false" outlineLevel="0" collapsed="false">
      <c r="A345" s="4" t="s">
        <v>93</v>
      </c>
      <c r="C345" s="73" t="n">
        <f aca="false">C331+C317+C318+C308</f>
        <v>185820.305710476</v>
      </c>
      <c r="D345" s="73" t="n">
        <f aca="false">D331+D317+D318+D308</f>
        <v>180597.492354286</v>
      </c>
      <c r="E345" s="73" t="n">
        <f aca="false">E331+E317+E318+E308</f>
        <v>181174.561540318</v>
      </c>
      <c r="F345" s="73" t="n">
        <f aca="false">F331+F317+F318+F308</f>
        <v>183481.353535238</v>
      </c>
      <c r="G345" s="73" t="n">
        <f aca="false">G331+G317+G318+G308</f>
        <v>187791.068948825</v>
      </c>
      <c r="H345" s="73" t="n">
        <f aca="false">H331+H317+H318+H308</f>
        <v>190780.705195968</v>
      </c>
      <c r="I345" s="73" t="n">
        <f aca="false">I331+I317+I318+I308</f>
        <v>193779.228943111</v>
      </c>
      <c r="J345" s="73" t="n">
        <f aca="false">J331+J317+J318+J308</f>
        <v>196786.640190254</v>
      </c>
      <c r="K345" s="73" t="n">
        <f aca="false">K331+K317+K318+K308</f>
        <v>199802.938937397</v>
      </c>
      <c r="L345" s="73" t="n">
        <f aca="false">L331+L317+L318+L308</f>
        <v>202828.12518454</v>
      </c>
      <c r="M345" s="73" t="n">
        <f aca="false">M331+M317+M318+M308</f>
        <v>205862.198931683</v>
      </c>
      <c r="N345" s="73" t="n">
        <f aca="false">N331+N317+N318+N308</f>
        <v>204693.847841048</v>
      </c>
      <c r="O345" s="73" t="n">
        <f aca="false">O331+O317+O318+O308</f>
        <v>205477.250789189</v>
      </c>
      <c r="P345" s="73" t="n">
        <f aca="false">P331+P317+P318+P308</f>
        <v>206014.596380263</v>
      </c>
      <c r="Q345" s="73" t="n">
        <f aca="false">Q331+Q317+Q318+Q308</f>
        <v>211170.978318591</v>
      </c>
      <c r="R345" s="73" t="n">
        <f aca="false">R331+R317+R318+R308</f>
        <v>215637.340346785</v>
      </c>
      <c r="S345" s="73" t="n">
        <f aca="false">S331+S317+S318+S308</f>
        <v>220112.589874979</v>
      </c>
      <c r="T345" s="73" t="n">
        <f aca="false">T331+T317+T318+T308</f>
        <v>224596.726903173</v>
      </c>
      <c r="U345" s="73" t="n">
        <f aca="false">U331+U317+U318+U308</f>
        <v>229089.751431368</v>
      </c>
      <c r="V345" s="73" t="n">
        <f aca="false">V331+V317+V318+V308</f>
        <v>233591.663459562</v>
      </c>
      <c r="W345" s="73" t="n">
        <f aca="false">W331+W317+W318+W308</f>
        <v>238102.462987756</v>
      </c>
      <c r="X345" s="73" t="n">
        <f aca="false">X331+X317+X318+X308</f>
        <v>242622.150015951</v>
      </c>
      <c r="Y345" s="73" t="n">
        <f aca="false">Y331+Y317+Y318+Y308</f>
        <v>247150.724544145</v>
      </c>
      <c r="Z345" s="73" t="n">
        <f aca="false">Z331+Z317+Z318+Z308</f>
        <v>247078.037725086</v>
      </c>
      <c r="AA345" s="73" t="n">
        <f aca="false">AA331+AA317+AA318+AA308</f>
        <v>249178.412910265</v>
      </c>
      <c r="AB345" s="73" t="n">
        <f aca="false">AB331+AB317+AB318+AB308</f>
        <v>251005.473180248</v>
      </c>
      <c r="AC345" s="73" t="n">
        <f aca="false">AC331+AC317+AC318+AC308</f>
        <v>257887.473403989</v>
      </c>
      <c r="AD345" s="73" t="n">
        <f aca="false">AD331+AD317+AD318+AD308</f>
        <v>264015.939795044</v>
      </c>
      <c r="AE345" s="73" t="n">
        <f aca="false">AE331+AE317+AE318+AE308</f>
        <v>270153.2936861</v>
      </c>
      <c r="AF345" s="73" t="n">
        <f aca="false">AF331+AF317+AF318+AF308</f>
        <v>276299.535077155</v>
      </c>
      <c r="AG345" s="73" t="n">
        <f aca="false">AG331+AG317+AG318+AG308</f>
        <v>282454.663968211</v>
      </c>
      <c r="AH345" s="73" t="n">
        <f aca="false">AH331+AH317+AH318+AH308</f>
        <v>288618.680359266</v>
      </c>
      <c r="AI345" s="73" t="n">
        <f aca="false">AI331+AI317+AI318+AI308</f>
        <v>294791.584250322</v>
      </c>
      <c r="AJ345" s="73" t="n">
        <f aca="false">AJ331+AJ317+AJ318+AJ308</f>
        <v>300973.375641378</v>
      </c>
      <c r="AK345" s="73" t="n">
        <f aca="false">AK331+AK317+AK318+AK308</f>
        <v>307164.054532433</v>
      </c>
      <c r="AL345" s="73" t="n">
        <f aca="false">AL331+AL317+AL318+AL308</f>
        <v>308317.56846973</v>
      </c>
    </row>
    <row r="346" customFormat="false" ht="15" hidden="false" customHeight="false" outlineLevel="0" collapsed="false">
      <c r="A346" s="6" t="s">
        <v>96</v>
      </c>
      <c r="C346" s="67" t="n">
        <f aca="false">C319+C314</f>
        <v>91494.58232</v>
      </c>
      <c r="D346" s="67" t="n">
        <f aca="false">D319+D314</f>
        <v>90243.6793733333</v>
      </c>
      <c r="E346" s="67" t="n">
        <f aca="false">E319+E314</f>
        <v>89505.3312355556</v>
      </c>
      <c r="F346" s="67" t="n">
        <f aca="false">F319+F314</f>
        <v>88318.49764</v>
      </c>
      <c r="G346" s="67" t="n">
        <f aca="false">G319+G314</f>
        <v>87131.6640444445</v>
      </c>
      <c r="H346" s="67" t="n">
        <f aca="false">H319+H314</f>
        <v>85631.6640444445</v>
      </c>
      <c r="I346" s="67" t="n">
        <f aca="false">I319+I314</f>
        <v>84131.6640444445</v>
      </c>
      <c r="J346" s="67" t="n">
        <f aca="false">J319+J314</f>
        <v>82631.6640444445</v>
      </c>
      <c r="K346" s="67" t="n">
        <f aca="false">K319+K314</f>
        <v>81131.6640444445</v>
      </c>
      <c r="L346" s="67" t="n">
        <f aca="false">L319+L314</f>
        <v>79631.6640444445</v>
      </c>
      <c r="M346" s="67" t="n">
        <f aca="false">M319+M314</f>
        <v>78131.6640444445</v>
      </c>
      <c r="N346" s="67" t="n">
        <f aca="false">N319+N314</f>
        <v>75990.9705333333</v>
      </c>
      <c r="O346" s="67" t="n">
        <f aca="false">O319+O314</f>
        <v>74745.9153904</v>
      </c>
      <c r="P346" s="67" t="n">
        <f aca="false">P319+P314</f>
        <v>73245.9153904</v>
      </c>
      <c r="Q346" s="67" t="n">
        <f aca="false">Q319+Q314</f>
        <v>72444.8228005333</v>
      </c>
      <c r="R346" s="67" t="n">
        <f aca="false">R319+R314</f>
        <v>70944.8228005333</v>
      </c>
      <c r="S346" s="67" t="n">
        <f aca="false">S319+S314</f>
        <v>69444.8228005333</v>
      </c>
      <c r="T346" s="67" t="n">
        <f aca="false">T319+T314</f>
        <v>67944.8228005333</v>
      </c>
      <c r="U346" s="67" t="n">
        <f aca="false">U319+U314</f>
        <v>66444.8228005333</v>
      </c>
      <c r="V346" s="67" t="n">
        <f aca="false">V319+V314</f>
        <v>64944.8228005333</v>
      </c>
      <c r="W346" s="67" t="n">
        <f aca="false">W319+W314</f>
        <v>63444.8228005333</v>
      </c>
      <c r="X346" s="67" t="n">
        <f aca="false">X319+X314</f>
        <v>61944.8228005333</v>
      </c>
      <c r="Y346" s="67" t="n">
        <f aca="false">Y319+Y314</f>
        <v>60444.8228005333</v>
      </c>
      <c r="Z346" s="67" t="n">
        <f aca="false">Z319+Z314</f>
        <v>58245.9153904</v>
      </c>
      <c r="AA346" s="67" t="n">
        <f aca="false">AA319+AA314</f>
        <v>57028.1178055968</v>
      </c>
      <c r="AB346" s="67" t="n">
        <f aca="false">AB319+AB314</f>
        <v>55528.1178055968</v>
      </c>
      <c r="AC346" s="67" t="n">
        <f aca="false">AC319+AC314</f>
        <v>54790.5391382824</v>
      </c>
      <c r="AD346" s="67" t="n">
        <f aca="false">AD319+AD314</f>
        <v>53290.5391382824</v>
      </c>
      <c r="AE346" s="67" t="n">
        <f aca="false">AE319+AE314</f>
        <v>51790.5391382824</v>
      </c>
      <c r="AF346" s="67" t="n">
        <f aca="false">AF319+AF314</f>
        <v>50290.5391382824</v>
      </c>
      <c r="AG346" s="67" t="n">
        <f aca="false">AG319+AG314</f>
        <v>48790.5391382824</v>
      </c>
      <c r="AH346" s="67" t="n">
        <f aca="false">AH319+AH314</f>
        <v>47290.5391382824</v>
      </c>
      <c r="AI346" s="67" t="n">
        <f aca="false">AI319+AI314</f>
        <v>45790.5391382824</v>
      </c>
      <c r="AJ346" s="67" t="n">
        <f aca="false">AJ319+AJ314</f>
        <v>44290.5391382824</v>
      </c>
      <c r="AK346" s="67" t="n">
        <f aca="false">AK319+AK314</f>
        <v>42790.5391382824</v>
      </c>
      <c r="AL346" s="67" t="n">
        <f aca="false">AL319+AL314</f>
        <v>40528.1178055968</v>
      </c>
    </row>
    <row r="347" customFormat="false" ht="15" hidden="false" customHeight="false" outlineLevel="0" collapsed="false">
      <c r="A347" s="6" t="s">
        <v>99</v>
      </c>
      <c r="C347" s="67" t="n">
        <f aca="false">C343+C344</f>
        <v>94325.7233904762</v>
      </c>
      <c r="D347" s="67" t="n">
        <f aca="false">D343+D344</f>
        <v>90353.8129809524</v>
      </c>
      <c r="E347" s="67" t="n">
        <f aca="false">E343+E344</f>
        <v>91669.2303047619</v>
      </c>
      <c r="F347" s="67" t="n">
        <f aca="false">F343+F344</f>
        <v>95162.8558952381</v>
      </c>
      <c r="G347" s="67" t="n">
        <f aca="false">G343+G344</f>
        <v>100659.404904381</v>
      </c>
      <c r="H347" s="67" t="n">
        <f aca="false">H343+H344</f>
        <v>105149.041151524</v>
      </c>
      <c r="I347" s="67" t="n">
        <f aca="false">I343+I344</f>
        <v>109647.564898667</v>
      </c>
      <c r="J347" s="67" t="n">
        <f aca="false">J343+J344</f>
        <v>114154.97614581</v>
      </c>
      <c r="K347" s="67" t="n">
        <f aca="false">K343+K344</f>
        <v>118671.274892952</v>
      </c>
      <c r="L347" s="67" t="n">
        <f aca="false">L343+L344</f>
        <v>123196.461140095</v>
      </c>
      <c r="M347" s="67" t="n">
        <f aca="false">M343+M344</f>
        <v>127730.534887238</v>
      </c>
      <c r="N347" s="67" t="n">
        <f aca="false">N343+N344</f>
        <v>128702.877307714</v>
      </c>
      <c r="O347" s="67" t="n">
        <f aca="false">O343+O344</f>
        <v>130731.335398789</v>
      </c>
      <c r="P347" s="67" t="n">
        <f aca="false">P343+P344</f>
        <v>132768.680989863</v>
      </c>
      <c r="Q347" s="67" t="n">
        <f aca="false">Q343+Q344</f>
        <v>138726.155518057</v>
      </c>
      <c r="R347" s="67" t="n">
        <f aca="false">R343+R344</f>
        <v>144692.517546251</v>
      </c>
      <c r="S347" s="67" t="n">
        <f aca="false">S343+S344</f>
        <v>150667.767074446</v>
      </c>
      <c r="T347" s="67" t="n">
        <f aca="false">T343+T344</f>
        <v>156651.90410264</v>
      </c>
      <c r="U347" s="67" t="n">
        <f aca="false">U343+U344</f>
        <v>162644.928630834</v>
      </c>
      <c r="V347" s="67" t="n">
        <f aca="false">V343+V344</f>
        <v>168646.840659029</v>
      </c>
      <c r="W347" s="67" t="n">
        <f aca="false">W343+W344</f>
        <v>174657.640187223</v>
      </c>
      <c r="X347" s="67" t="n">
        <f aca="false">X343+X344</f>
        <v>180677.327215417</v>
      </c>
      <c r="Y347" s="67" t="n">
        <f aca="false">Y343+Y344</f>
        <v>186705.901743611</v>
      </c>
      <c r="Z347" s="67" t="n">
        <f aca="false">Z343+Z344</f>
        <v>188832.122334686</v>
      </c>
      <c r="AA347" s="67" t="n">
        <f aca="false">AA343+AA344</f>
        <v>192150.295104668</v>
      </c>
      <c r="AB347" s="67" t="n">
        <f aca="false">AB343+AB344</f>
        <v>195477.355374651</v>
      </c>
      <c r="AC347" s="67" t="n">
        <f aca="false">AC343+AC344</f>
        <v>203096.934265706</v>
      </c>
      <c r="AD347" s="67" t="n">
        <f aca="false">AD343+AD344</f>
        <v>210725.400656762</v>
      </c>
      <c r="AE347" s="67" t="n">
        <f aca="false">AE343+AE344</f>
        <v>218362.754547817</v>
      </c>
      <c r="AF347" s="67" t="n">
        <f aca="false">AF343+AF344</f>
        <v>226008.995938873</v>
      </c>
      <c r="AG347" s="67" t="n">
        <f aca="false">AG343+AG344</f>
        <v>233664.124829928</v>
      </c>
      <c r="AH347" s="67" t="n">
        <f aca="false">AH343+AH344</f>
        <v>241328.141220984</v>
      </c>
      <c r="AI347" s="67" t="n">
        <f aca="false">AI343+AI344</f>
        <v>249001.04511204</v>
      </c>
      <c r="AJ347" s="67" t="n">
        <f aca="false">AJ343+AJ344</f>
        <v>256682.836503095</v>
      </c>
      <c r="AK347" s="67" t="n">
        <f aca="false">AK343+AK344</f>
        <v>264373.515394151</v>
      </c>
      <c r="AL347" s="67" t="n">
        <f aca="false">AL343+AL344</f>
        <v>267789.450664133</v>
      </c>
    </row>
    <row r="348" customFormat="false" ht="15" hidden="false" customHeight="false" outlineLevel="0" collapsed="false">
      <c r="A348" s="4" t="s">
        <v>100</v>
      </c>
      <c r="C348" s="73" t="n">
        <f aca="false">C346+C347</f>
        <v>185820.305710476</v>
      </c>
      <c r="D348" s="73" t="n">
        <f aca="false">D346+D347</f>
        <v>180597.492354286</v>
      </c>
      <c r="E348" s="73" t="n">
        <f aca="false">E346+E347</f>
        <v>181174.561540317</v>
      </c>
      <c r="F348" s="73" t="n">
        <f aca="false">F346+F347</f>
        <v>183481.353535238</v>
      </c>
      <c r="G348" s="73" t="n">
        <f aca="false">G346+G347</f>
        <v>187791.068948825</v>
      </c>
      <c r="H348" s="73" t="n">
        <f aca="false">H346+H347</f>
        <v>190780.705195968</v>
      </c>
      <c r="I348" s="73" t="n">
        <f aca="false">I346+I347</f>
        <v>193779.228943111</v>
      </c>
      <c r="J348" s="73" t="n">
        <f aca="false">J346+J347</f>
        <v>196786.640190254</v>
      </c>
      <c r="K348" s="73" t="n">
        <f aca="false">K346+K347</f>
        <v>199802.938937397</v>
      </c>
      <c r="L348" s="73" t="n">
        <f aca="false">L346+L347</f>
        <v>202828.12518454</v>
      </c>
      <c r="M348" s="73" t="n">
        <f aca="false">M346+M347</f>
        <v>205862.198931683</v>
      </c>
      <c r="N348" s="73" t="n">
        <f aca="false">N346+N347</f>
        <v>204693.847841048</v>
      </c>
      <c r="O348" s="73" t="n">
        <f aca="false">O346+O347</f>
        <v>205477.250789189</v>
      </c>
      <c r="P348" s="73" t="n">
        <f aca="false">P346+P347</f>
        <v>206014.596380263</v>
      </c>
      <c r="Q348" s="73" t="n">
        <f aca="false">Q346+Q347</f>
        <v>211170.978318591</v>
      </c>
      <c r="R348" s="73" t="n">
        <f aca="false">R346+R347</f>
        <v>215637.340346785</v>
      </c>
      <c r="S348" s="73" t="n">
        <f aca="false">S346+S347</f>
        <v>220112.589874979</v>
      </c>
      <c r="T348" s="73" t="n">
        <f aca="false">T346+T347</f>
        <v>224596.726903173</v>
      </c>
      <c r="U348" s="73" t="n">
        <f aca="false">U346+U347</f>
        <v>229089.751431368</v>
      </c>
      <c r="V348" s="73" t="n">
        <f aca="false">V346+V347</f>
        <v>233591.663459562</v>
      </c>
      <c r="W348" s="73" t="n">
        <f aca="false">W346+W347</f>
        <v>238102.462987756</v>
      </c>
      <c r="X348" s="73" t="n">
        <f aca="false">X346+X347</f>
        <v>242622.150015951</v>
      </c>
      <c r="Y348" s="73" t="n">
        <f aca="false">Y346+Y347</f>
        <v>247150.724544145</v>
      </c>
      <c r="Z348" s="73" t="n">
        <f aca="false">Z346+Z347</f>
        <v>247078.037725086</v>
      </c>
      <c r="AA348" s="73" t="n">
        <f aca="false">AA346+AA347</f>
        <v>249178.412910265</v>
      </c>
      <c r="AB348" s="73" t="n">
        <f aca="false">AB346+AB347</f>
        <v>251005.473180248</v>
      </c>
      <c r="AC348" s="73" t="n">
        <f aca="false">AC346+AC347</f>
        <v>257887.473403989</v>
      </c>
      <c r="AD348" s="73" t="n">
        <f aca="false">AD346+AD347</f>
        <v>264015.939795044</v>
      </c>
      <c r="AE348" s="73" t="n">
        <f aca="false">AE346+AE347</f>
        <v>270153.2936861</v>
      </c>
      <c r="AF348" s="73" t="n">
        <f aca="false">AF346+AF347</f>
        <v>276299.535077155</v>
      </c>
      <c r="AG348" s="73" t="n">
        <f aca="false">AG346+AG347</f>
        <v>282454.663968211</v>
      </c>
      <c r="AH348" s="73" t="n">
        <f aca="false">AH346+AH347</f>
        <v>288618.680359266</v>
      </c>
      <c r="AI348" s="73" t="n">
        <f aca="false">AI346+AI347</f>
        <v>294791.584250322</v>
      </c>
      <c r="AJ348" s="73" t="n">
        <f aca="false">AJ346+AJ347</f>
        <v>300973.375641377</v>
      </c>
      <c r="AK348" s="73" t="n">
        <f aca="false">AK346+AK347</f>
        <v>307164.054532433</v>
      </c>
      <c r="AL348" s="73" t="n">
        <f aca="false">AL346+AL347</f>
        <v>308317.56846973</v>
      </c>
    </row>
    <row r="349" customFormat="false" ht="15" hidden="false" customHeight="false" outlineLevel="0" collapsed="false">
      <c r="A349" s="6" t="s">
        <v>428</v>
      </c>
      <c r="C349" s="67" t="n">
        <f aca="false">C345-C348</f>
        <v>0</v>
      </c>
      <c r="D349" s="67" t="n">
        <f aca="false">D345-D348</f>
        <v>0</v>
      </c>
      <c r="E349" s="67" t="n">
        <f aca="false">E345-E348</f>
        <v>0</v>
      </c>
      <c r="F349" s="67" t="n">
        <f aca="false">F345-F348</f>
        <v>0</v>
      </c>
      <c r="G349" s="67" t="n">
        <f aca="false">G345-G348</f>
        <v>0</v>
      </c>
      <c r="H349" s="67" t="n">
        <f aca="false">H345-H348</f>
        <v>0</v>
      </c>
      <c r="I349" s="67" t="n">
        <f aca="false">I345-I348</f>
        <v>0</v>
      </c>
      <c r="J349" s="67" t="n">
        <f aca="false">J345-J348</f>
        <v>0</v>
      </c>
      <c r="K349" s="67" t="n">
        <f aca="false">K345-K348</f>
        <v>0</v>
      </c>
      <c r="L349" s="67" t="n">
        <f aca="false">L345-L348</f>
        <v>0</v>
      </c>
      <c r="M349" s="67" t="n">
        <f aca="false">M345-M348</f>
        <v>0</v>
      </c>
      <c r="N349" s="67" t="n">
        <f aca="false">N345-N348</f>
        <v>0</v>
      </c>
      <c r="O349" s="67" t="n">
        <f aca="false">O345-O348</f>
        <v>0</v>
      </c>
      <c r="P349" s="67" t="n">
        <f aca="false">P345-P348</f>
        <v>0</v>
      </c>
      <c r="Q349" s="67" t="n">
        <f aca="false">Q345-Q348</f>
        <v>0</v>
      </c>
      <c r="R349" s="67" t="n">
        <f aca="false">R345-R348</f>
        <v>0</v>
      </c>
      <c r="S349" s="67" t="n">
        <f aca="false">S345-S348</f>
        <v>0</v>
      </c>
      <c r="T349" s="67" t="n">
        <f aca="false">T345-T348</f>
        <v>0</v>
      </c>
      <c r="U349" s="67" t="n">
        <f aca="false">U345-U348</f>
        <v>0</v>
      </c>
      <c r="V349" s="67" t="n">
        <f aca="false">V345-V348</f>
        <v>0</v>
      </c>
      <c r="W349" s="67" t="n">
        <f aca="false">W345-W348</f>
        <v>0</v>
      </c>
      <c r="X349" s="67" t="n">
        <f aca="false">X345-X348</f>
        <v>0</v>
      </c>
      <c r="Y349" s="67" t="n">
        <f aca="false">Y345-Y348</f>
        <v>0</v>
      </c>
      <c r="Z349" s="67" t="n">
        <f aca="false">Z345-Z348</f>
        <v>0</v>
      </c>
      <c r="AA349" s="67" t="n">
        <f aca="false">AA345-AA348</f>
        <v>0</v>
      </c>
      <c r="AB349" s="67" t="n">
        <f aca="false">AB345-AB348</f>
        <v>0</v>
      </c>
      <c r="AC349" s="67" t="n">
        <f aca="false">AC345-AC348</f>
        <v>0</v>
      </c>
      <c r="AD349" s="67" t="n">
        <f aca="false">AD345-AD348</f>
        <v>0</v>
      </c>
      <c r="AE349" s="67" t="n">
        <f aca="false">AE345-AE348</f>
        <v>0</v>
      </c>
      <c r="AF349" s="67" t="n">
        <f aca="false">AF345-AF348</f>
        <v>0</v>
      </c>
      <c r="AG349" s="67" t="n">
        <f aca="false">AG345-AG348</f>
        <v>0</v>
      </c>
      <c r="AH349" s="67" t="n">
        <f aca="false">AH345-AH348</f>
        <v>0</v>
      </c>
      <c r="AI349" s="67" t="n">
        <f aca="false">AI345-AI348</f>
        <v>0</v>
      </c>
      <c r="AJ349" s="67" t="n">
        <f aca="false">AJ345-AJ348</f>
        <v>0</v>
      </c>
      <c r="AK349" s="67" t="n">
        <f aca="false">AK345-AK348</f>
        <v>0</v>
      </c>
      <c r="AL349" s="67" t="n">
        <f aca="false">AL345-AL348</f>
        <v>0</v>
      </c>
    </row>
    <row r="351" customFormat="false" ht="15.75" hidden="false" customHeight="true" outlineLevel="0" collapsed="false">
      <c r="A351" s="7" t="s">
        <v>430</v>
      </c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</row>
    <row r="352" customFormat="false" ht="15" hidden="false" customHeight="false" outlineLevel="0" collapsed="false">
      <c r="A352" s="6" t="s">
        <v>431</v>
      </c>
      <c r="C352" s="118" t="n">
        <f aca="false">Inputs!$D$55*(1+Inputs!$D$57)^(C$247-1)*MAX(0,MIN(1,C$246*1-Inputs!$D$58+1))/1</f>
        <v>1</v>
      </c>
      <c r="D352" s="118" t="n">
        <f aca="false">Inputs!$D$55*(1+Inputs!$D$57)^(D$247-1)*MAX(0,MIN(1,D$246*1-Inputs!$D$58+1))/1</f>
        <v>1</v>
      </c>
      <c r="E352" s="118" t="n">
        <f aca="false">Inputs!$D$55*(1+Inputs!$D$57)^(E$247-1)*MAX(0,MIN(1,E$246*1-Inputs!$D$58+1))/1</f>
        <v>1</v>
      </c>
      <c r="F352" s="118" t="n">
        <f aca="false">Inputs!$D$55*(1+Inputs!$D$57)^(F$247-1)*MAX(0,MIN(1,F$246*1-Inputs!$D$58+1))/1</f>
        <v>1</v>
      </c>
      <c r="G352" s="118" t="n">
        <f aca="false">Inputs!$D$55*(1+Inputs!$D$57)^(G$247-1)*MAX(0,MIN(1,G$246*1-Inputs!$D$58+1))/1</f>
        <v>1</v>
      </c>
      <c r="H352" s="118" t="n">
        <f aca="false">Inputs!$D$55*(1+Inputs!$D$57)^(H$247-1)*MAX(0,MIN(1,H$246*1-Inputs!$D$58+1))/1</f>
        <v>1</v>
      </c>
      <c r="I352" s="118" t="n">
        <f aca="false">Inputs!$D$55*(1+Inputs!$D$57)^(I$247-1)*MAX(0,MIN(1,I$246*1-Inputs!$D$58+1))/1</f>
        <v>1</v>
      </c>
      <c r="J352" s="118" t="n">
        <f aca="false">Inputs!$D$55*(1+Inputs!$D$57)^(J$247-1)*MAX(0,MIN(1,J$246*1-Inputs!$D$58+1))/1</f>
        <v>1</v>
      </c>
      <c r="K352" s="118" t="n">
        <f aca="false">Inputs!$D$55*(1+Inputs!$D$57)^(K$247-1)*MAX(0,MIN(1,K$246*1-Inputs!$D$58+1))/1</f>
        <v>1</v>
      </c>
      <c r="L352" s="118" t="n">
        <f aca="false">Inputs!$D$55*(1+Inputs!$D$57)^(L$247-1)*MAX(0,MIN(1,L$246*1-Inputs!$D$58+1))/1</f>
        <v>1</v>
      </c>
      <c r="M352" s="118" t="n">
        <f aca="false">Inputs!$D$55*(1+Inputs!$D$57)^(M$247-1)*MAX(0,MIN(1,M$246*1-Inputs!$D$58+1))/1</f>
        <v>1</v>
      </c>
      <c r="N352" s="118" t="n">
        <f aca="false">Inputs!$D$55*(1+Inputs!$D$57)^(N$247-1)*MAX(0,MIN(1,N$246*1-Inputs!$D$58+1))/1</f>
        <v>1</v>
      </c>
      <c r="O352" s="118" t="n">
        <f aca="false">Inputs!$D$55*(1+Inputs!$D$57)^(O$247-1)*MAX(0,MIN(1,O$246*1-Inputs!$D$58+1))/1</f>
        <v>1</v>
      </c>
      <c r="P352" s="118" t="n">
        <f aca="false">Inputs!$D$55*(1+Inputs!$D$57)^(P$247-1)*MAX(0,MIN(1,P$246*1-Inputs!$D$58+1))/1</f>
        <v>1</v>
      </c>
      <c r="Q352" s="118" t="n">
        <f aca="false">Inputs!$D$55*(1+Inputs!$D$57)^(Q$247-1)*MAX(0,MIN(1,Q$246*1-Inputs!$D$58+1))/1</f>
        <v>1</v>
      </c>
      <c r="R352" s="118" t="n">
        <f aca="false">Inputs!$D$55*(1+Inputs!$D$57)^(R$247-1)*MAX(0,MIN(1,R$246*1-Inputs!$D$58+1))/1</f>
        <v>1</v>
      </c>
      <c r="S352" s="118" t="n">
        <f aca="false">Inputs!$D$55*(1+Inputs!$D$57)^(S$247-1)*MAX(0,MIN(1,S$246*1-Inputs!$D$58+1))/1</f>
        <v>1</v>
      </c>
      <c r="T352" s="118" t="n">
        <f aca="false">Inputs!$D$55*(1+Inputs!$D$57)^(T$247-1)*MAX(0,MIN(1,T$246*1-Inputs!$D$58+1))/1</f>
        <v>1</v>
      </c>
      <c r="U352" s="118" t="n">
        <f aca="false">Inputs!$D$55*(1+Inputs!$D$57)^(U$247-1)*MAX(0,MIN(1,U$246*1-Inputs!$D$58+1))/1</f>
        <v>1</v>
      </c>
      <c r="V352" s="118" t="n">
        <f aca="false">Inputs!$D$55*(1+Inputs!$D$57)^(V$247-1)*MAX(0,MIN(1,V$246*1-Inputs!$D$58+1))/1</f>
        <v>1</v>
      </c>
      <c r="W352" s="118" t="n">
        <f aca="false">Inputs!$D$55*(1+Inputs!$D$57)^(W$247-1)*MAX(0,MIN(1,W$246*1-Inputs!$D$58+1))/1</f>
        <v>1</v>
      </c>
      <c r="X352" s="118" t="n">
        <f aca="false">Inputs!$D$55*(1+Inputs!$D$57)^(X$247-1)*MAX(0,MIN(1,X$246*1-Inputs!$D$58+1))/1</f>
        <v>1</v>
      </c>
      <c r="Y352" s="118" t="n">
        <f aca="false">Inputs!$D$55*(1+Inputs!$D$57)^(Y$247-1)*MAX(0,MIN(1,Y$246*1-Inputs!$D$58+1))/1</f>
        <v>1</v>
      </c>
      <c r="Z352" s="118" t="n">
        <f aca="false">Inputs!$D$55*(1+Inputs!$D$57)^(Z$247-1)*MAX(0,MIN(1,Z$246*1-Inputs!$D$58+1))/1</f>
        <v>1</v>
      </c>
      <c r="AA352" s="118" t="n">
        <f aca="false">Inputs!$D$55*(1+Inputs!$D$57)^(AA$247-1)*MAX(0,MIN(1,AA$246*1-Inputs!$D$58+1))/1</f>
        <v>1</v>
      </c>
      <c r="AB352" s="118" t="n">
        <f aca="false">Inputs!$D$55*(1+Inputs!$D$57)^(AB$247-1)*MAX(0,MIN(1,AB$246*1-Inputs!$D$58+1))/1</f>
        <v>1</v>
      </c>
      <c r="AC352" s="118" t="n">
        <f aca="false">Inputs!$D$55*(1+Inputs!$D$57)^(AC$247-1)*MAX(0,MIN(1,AC$246*1-Inputs!$D$58+1))/1</f>
        <v>1</v>
      </c>
      <c r="AD352" s="118" t="n">
        <f aca="false">Inputs!$D$55*(1+Inputs!$D$57)^(AD$247-1)*MAX(0,MIN(1,AD$246*1-Inputs!$D$58+1))/1</f>
        <v>1</v>
      </c>
      <c r="AE352" s="118" t="n">
        <f aca="false">Inputs!$D$55*(1+Inputs!$D$57)^(AE$247-1)*MAX(0,MIN(1,AE$246*1-Inputs!$D$58+1))/1</f>
        <v>1</v>
      </c>
      <c r="AF352" s="118" t="n">
        <f aca="false">Inputs!$D$55*(1+Inputs!$D$57)^(AF$247-1)*MAX(0,MIN(1,AF$246*1-Inputs!$D$58+1))/1</f>
        <v>1</v>
      </c>
      <c r="AG352" s="118" t="n">
        <f aca="false">Inputs!$D$55*(1+Inputs!$D$57)^(AG$247-1)*MAX(0,MIN(1,AG$246*1-Inputs!$D$58+1))/1</f>
        <v>1</v>
      </c>
      <c r="AH352" s="118" t="n">
        <f aca="false">Inputs!$D$55*(1+Inputs!$D$57)^(AH$247-1)*MAX(0,MIN(1,AH$246*1-Inputs!$D$58+1))/1</f>
        <v>1</v>
      </c>
      <c r="AI352" s="118" t="n">
        <f aca="false">Inputs!$D$55*(1+Inputs!$D$57)^(AI$247-1)*MAX(0,MIN(1,AI$246*1-Inputs!$D$58+1))/1</f>
        <v>1</v>
      </c>
      <c r="AJ352" s="118" t="n">
        <f aca="false">Inputs!$D$55*(1+Inputs!$D$57)^(AJ$247-1)*MAX(0,MIN(1,AJ$246*1-Inputs!$D$58+1))/1</f>
        <v>1</v>
      </c>
      <c r="AK352" s="118" t="n">
        <f aca="false">Inputs!$D$55*(1+Inputs!$D$57)^(AK$247-1)*MAX(0,MIN(1,AK$246*1-Inputs!$D$58+1))/1</f>
        <v>1</v>
      </c>
      <c r="AL352" s="118" t="n">
        <f aca="false">Inputs!$D$55*(1+Inputs!$D$57)^(AL$247-1)*MAX(0,MIN(1,AL$246*1-Inputs!$D$58+1))/1</f>
        <v>1</v>
      </c>
    </row>
    <row r="353" customFormat="false" ht="15" hidden="false" customHeight="false" outlineLevel="0" collapsed="false">
      <c r="A353" s="6" t="s">
        <v>432</v>
      </c>
      <c r="C353" s="118" t="n">
        <f aca="false">Inputs!$D$59*(1+Inputs!$D$61)^(C$247-1)*MAX(0,MIN(1,C$246*1-Inputs!$D$62+1))/1</f>
        <v>1.2</v>
      </c>
      <c r="D353" s="118" t="n">
        <f aca="false">Inputs!$D$59*(1+Inputs!$D$61)^(D$247-1)*MAX(0,MIN(1,D$246*1-Inputs!$D$62+1))/1</f>
        <v>1.2</v>
      </c>
      <c r="E353" s="118" t="n">
        <f aca="false">Inputs!$D$59*(1+Inputs!$D$61)^(E$247-1)*MAX(0,MIN(1,E$246*1-Inputs!$D$62+1))/1</f>
        <v>1.2</v>
      </c>
      <c r="F353" s="118" t="n">
        <f aca="false">Inputs!$D$59*(1+Inputs!$D$61)^(F$247-1)*MAX(0,MIN(1,F$246*1-Inputs!$D$62+1))/1</f>
        <v>1.2</v>
      </c>
      <c r="G353" s="118" t="n">
        <f aca="false">Inputs!$D$59*(1+Inputs!$D$61)^(G$247-1)*MAX(0,MIN(1,G$246*1-Inputs!$D$62+1))/1</f>
        <v>1.2</v>
      </c>
      <c r="H353" s="118" t="n">
        <f aca="false">Inputs!$D$59*(1+Inputs!$D$61)^(H$247-1)*MAX(0,MIN(1,H$246*1-Inputs!$D$62+1))/1</f>
        <v>1.2</v>
      </c>
      <c r="I353" s="118" t="n">
        <f aca="false">Inputs!$D$59*(1+Inputs!$D$61)^(I$247-1)*MAX(0,MIN(1,I$246*1-Inputs!$D$62+1))/1</f>
        <v>1.2</v>
      </c>
      <c r="J353" s="118" t="n">
        <f aca="false">Inputs!$D$59*(1+Inputs!$D$61)^(J$247-1)*MAX(0,MIN(1,J$246*1-Inputs!$D$62+1))/1</f>
        <v>1.2</v>
      </c>
      <c r="K353" s="118" t="n">
        <f aca="false">Inputs!$D$59*(1+Inputs!$D$61)^(K$247-1)*MAX(0,MIN(1,K$246*1-Inputs!$D$62+1))/1</f>
        <v>1.2</v>
      </c>
      <c r="L353" s="118" t="n">
        <f aca="false">Inputs!$D$59*(1+Inputs!$D$61)^(L$247-1)*MAX(0,MIN(1,L$246*1-Inputs!$D$62+1))/1</f>
        <v>1.2</v>
      </c>
      <c r="M353" s="118" t="n">
        <f aca="false">Inputs!$D$59*(1+Inputs!$D$61)^(M$247-1)*MAX(0,MIN(1,M$246*1-Inputs!$D$62+1))/1</f>
        <v>1.2</v>
      </c>
      <c r="N353" s="118" t="n">
        <f aca="false">Inputs!$D$59*(1+Inputs!$D$61)^(N$247-1)*MAX(0,MIN(1,N$246*1-Inputs!$D$62+1))/1</f>
        <v>1.2</v>
      </c>
      <c r="O353" s="118" t="n">
        <f aca="false">Inputs!$D$59*(1+Inputs!$D$61)^(O$247-1)*MAX(0,MIN(1,O$246*1-Inputs!$D$62+1))/1</f>
        <v>1.2</v>
      </c>
      <c r="P353" s="118" t="n">
        <f aca="false">Inputs!$D$59*(1+Inputs!$D$61)^(P$247-1)*MAX(0,MIN(1,P$246*1-Inputs!$D$62+1))/1</f>
        <v>1.2</v>
      </c>
      <c r="Q353" s="118" t="n">
        <f aca="false">Inputs!$D$59*(1+Inputs!$D$61)^(Q$247-1)*MAX(0,MIN(1,Q$246*1-Inputs!$D$62+1))/1</f>
        <v>1.2</v>
      </c>
      <c r="R353" s="118" t="n">
        <f aca="false">Inputs!$D$59*(1+Inputs!$D$61)^(R$247-1)*MAX(0,MIN(1,R$246*1-Inputs!$D$62+1))/1</f>
        <v>1.2</v>
      </c>
      <c r="S353" s="118" t="n">
        <f aca="false">Inputs!$D$59*(1+Inputs!$D$61)^(S$247-1)*MAX(0,MIN(1,S$246*1-Inputs!$D$62+1))/1</f>
        <v>1.2</v>
      </c>
      <c r="T353" s="118" t="n">
        <f aca="false">Inputs!$D$59*(1+Inputs!$D$61)^(T$247-1)*MAX(0,MIN(1,T$246*1-Inputs!$D$62+1))/1</f>
        <v>1.2</v>
      </c>
      <c r="U353" s="118" t="n">
        <f aca="false">Inputs!$D$59*(1+Inputs!$D$61)^(U$247-1)*MAX(0,MIN(1,U$246*1-Inputs!$D$62+1))/1</f>
        <v>1.2</v>
      </c>
      <c r="V353" s="118" t="n">
        <f aca="false">Inputs!$D$59*(1+Inputs!$D$61)^(V$247-1)*MAX(0,MIN(1,V$246*1-Inputs!$D$62+1))/1</f>
        <v>1.2</v>
      </c>
      <c r="W353" s="118" t="n">
        <f aca="false">Inputs!$D$59*(1+Inputs!$D$61)^(W$247-1)*MAX(0,MIN(1,W$246*1-Inputs!$D$62+1))/1</f>
        <v>1.2</v>
      </c>
      <c r="X353" s="118" t="n">
        <f aca="false">Inputs!$D$59*(1+Inputs!$D$61)^(X$247-1)*MAX(0,MIN(1,X$246*1-Inputs!$D$62+1))/1</f>
        <v>1.2</v>
      </c>
      <c r="Y353" s="118" t="n">
        <f aca="false">Inputs!$D$59*(1+Inputs!$D$61)^(Y$247-1)*MAX(0,MIN(1,Y$246*1-Inputs!$D$62+1))/1</f>
        <v>1.2</v>
      </c>
      <c r="Z353" s="118" t="n">
        <f aca="false">Inputs!$D$59*(1+Inputs!$D$61)^(Z$247-1)*MAX(0,MIN(1,Z$246*1-Inputs!$D$62+1))/1</f>
        <v>1.2</v>
      </c>
      <c r="AA353" s="118" t="n">
        <f aca="false">Inputs!$D$59*(1+Inputs!$D$61)^(AA$247-1)*MAX(0,MIN(1,AA$246*1-Inputs!$D$62+1))/1</f>
        <v>1.2</v>
      </c>
      <c r="AB353" s="118" t="n">
        <f aca="false">Inputs!$D$59*(1+Inputs!$D$61)^(AB$247-1)*MAX(0,MIN(1,AB$246*1-Inputs!$D$62+1))/1</f>
        <v>1.2</v>
      </c>
      <c r="AC353" s="118" t="n">
        <f aca="false">Inputs!$D$59*(1+Inputs!$D$61)^(AC$247-1)*MAX(0,MIN(1,AC$246*1-Inputs!$D$62+1))/1</f>
        <v>1.2</v>
      </c>
      <c r="AD353" s="118" t="n">
        <f aca="false">Inputs!$D$59*(1+Inputs!$D$61)^(AD$247-1)*MAX(0,MIN(1,AD$246*1-Inputs!$D$62+1))/1</f>
        <v>1.2</v>
      </c>
      <c r="AE353" s="118" t="n">
        <f aca="false">Inputs!$D$59*(1+Inputs!$D$61)^(AE$247-1)*MAX(0,MIN(1,AE$246*1-Inputs!$D$62+1))/1</f>
        <v>1.2</v>
      </c>
      <c r="AF353" s="118" t="n">
        <f aca="false">Inputs!$D$59*(1+Inputs!$D$61)^(AF$247-1)*MAX(0,MIN(1,AF$246*1-Inputs!$D$62+1))/1</f>
        <v>1.2</v>
      </c>
      <c r="AG353" s="118" t="n">
        <f aca="false">Inputs!$D$59*(1+Inputs!$D$61)^(AG$247-1)*MAX(0,MIN(1,AG$246*1-Inputs!$D$62+1))/1</f>
        <v>1.2</v>
      </c>
      <c r="AH353" s="118" t="n">
        <f aca="false">Inputs!$D$59*(1+Inputs!$D$61)^(AH$247-1)*MAX(0,MIN(1,AH$246*1-Inputs!$D$62+1))/1</f>
        <v>1.2</v>
      </c>
      <c r="AI353" s="118" t="n">
        <f aca="false">Inputs!$D$59*(1+Inputs!$D$61)^(AI$247-1)*MAX(0,MIN(1,AI$246*1-Inputs!$D$62+1))/1</f>
        <v>1.2</v>
      </c>
      <c r="AJ353" s="118" t="n">
        <f aca="false">Inputs!$D$59*(1+Inputs!$D$61)^(AJ$247-1)*MAX(0,MIN(1,AJ$246*1-Inputs!$D$62+1))/1</f>
        <v>1.2</v>
      </c>
      <c r="AK353" s="118" t="n">
        <f aca="false">Inputs!$D$59*(1+Inputs!$D$61)^(AK$247-1)*MAX(0,MIN(1,AK$246*1-Inputs!$D$62+1))/1</f>
        <v>1.2</v>
      </c>
      <c r="AL353" s="118" t="n">
        <f aca="false">Inputs!$D$59*(1+Inputs!$D$61)^(AL$247-1)*MAX(0,MIN(1,AL$246*1-Inputs!$D$62+1))/1</f>
        <v>1.2</v>
      </c>
    </row>
    <row r="354" customFormat="false" ht="15" hidden="false" customHeight="false" outlineLevel="0" collapsed="false">
      <c r="A354" s="6" t="s">
        <v>433</v>
      </c>
      <c r="C354" s="118" t="n">
        <f aca="false">Inputs!$D$63*(1+Inputs!$D$65)^(C$247-1)*MAX(0,MIN(1,C$246*1-Inputs!$D$66+1))/1</f>
        <v>1</v>
      </c>
      <c r="D354" s="118" t="n">
        <f aca="false">Inputs!$D$63*(1+Inputs!$D$65)^(D$247-1)*MAX(0,MIN(1,D$246*1-Inputs!$D$66+1))/1</f>
        <v>1</v>
      </c>
      <c r="E354" s="118" t="n">
        <f aca="false">Inputs!$D$63*(1+Inputs!$D$65)^(E$247-1)*MAX(0,MIN(1,E$246*1-Inputs!$D$66+1))/1</f>
        <v>1</v>
      </c>
      <c r="F354" s="118" t="n">
        <f aca="false">Inputs!$D$63*(1+Inputs!$D$65)^(F$247-1)*MAX(0,MIN(1,F$246*1-Inputs!$D$66+1))/1</f>
        <v>1</v>
      </c>
      <c r="G354" s="118" t="n">
        <f aca="false">Inputs!$D$63*(1+Inputs!$D$65)^(G$247-1)*MAX(0,MIN(1,G$246*1-Inputs!$D$66+1))/1</f>
        <v>1</v>
      </c>
      <c r="H354" s="118" t="n">
        <f aca="false">Inputs!$D$63*(1+Inputs!$D$65)^(H$247-1)*MAX(0,MIN(1,H$246*1-Inputs!$D$66+1))/1</f>
        <v>1</v>
      </c>
      <c r="I354" s="118" t="n">
        <f aca="false">Inputs!$D$63*(1+Inputs!$D$65)^(I$247-1)*MAX(0,MIN(1,I$246*1-Inputs!$D$66+1))/1</f>
        <v>1</v>
      </c>
      <c r="J354" s="118" t="n">
        <f aca="false">Inputs!$D$63*(1+Inputs!$D$65)^(J$247-1)*MAX(0,MIN(1,J$246*1-Inputs!$D$66+1))/1</f>
        <v>1</v>
      </c>
      <c r="K354" s="118" t="n">
        <f aca="false">Inputs!$D$63*(1+Inputs!$D$65)^(K$247-1)*MAX(0,MIN(1,K$246*1-Inputs!$D$66+1))/1</f>
        <v>1</v>
      </c>
      <c r="L354" s="118" t="n">
        <f aca="false">Inputs!$D$63*(1+Inputs!$D$65)^(L$247-1)*MAX(0,MIN(1,L$246*1-Inputs!$D$66+1))/1</f>
        <v>1</v>
      </c>
      <c r="M354" s="118" t="n">
        <f aca="false">Inputs!$D$63*(1+Inputs!$D$65)^(M$247-1)*MAX(0,MIN(1,M$246*1-Inputs!$D$66+1))/1</f>
        <v>1</v>
      </c>
      <c r="N354" s="118" t="n">
        <f aca="false">Inputs!$D$63*(1+Inputs!$D$65)^(N$247-1)*MAX(0,MIN(1,N$246*1-Inputs!$D$66+1))/1</f>
        <v>1</v>
      </c>
      <c r="O354" s="118" t="n">
        <f aca="false">Inputs!$D$63*(1+Inputs!$D$65)^(O$247-1)*MAX(0,MIN(1,O$246*1-Inputs!$D$66+1))/1</f>
        <v>1</v>
      </c>
      <c r="P354" s="118" t="n">
        <f aca="false">Inputs!$D$63*(1+Inputs!$D$65)^(P$247-1)*MAX(0,MIN(1,P$246*1-Inputs!$D$66+1))/1</f>
        <v>1</v>
      </c>
      <c r="Q354" s="118" t="n">
        <f aca="false">Inputs!$D$63*(1+Inputs!$D$65)^(Q$247-1)*MAX(0,MIN(1,Q$246*1-Inputs!$D$66+1))/1</f>
        <v>1</v>
      </c>
      <c r="R354" s="118" t="n">
        <f aca="false">Inputs!$D$63*(1+Inputs!$D$65)^(R$247-1)*MAX(0,MIN(1,R$246*1-Inputs!$D$66+1))/1</f>
        <v>1</v>
      </c>
      <c r="S354" s="118" t="n">
        <f aca="false">Inputs!$D$63*(1+Inputs!$D$65)^(S$247-1)*MAX(0,MIN(1,S$246*1-Inputs!$D$66+1))/1</f>
        <v>1</v>
      </c>
      <c r="T354" s="118" t="n">
        <f aca="false">Inputs!$D$63*(1+Inputs!$D$65)^(T$247-1)*MAX(0,MIN(1,T$246*1-Inputs!$D$66+1))/1</f>
        <v>1</v>
      </c>
      <c r="U354" s="118" t="n">
        <f aca="false">Inputs!$D$63*(1+Inputs!$D$65)^(U$247-1)*MAX(0,MIN(1,U$246*1-Inputs!$D$66+1))/1</f>
        <v>1</v>
      </c>
      <c r="V354" s="118" t="n">
        <f aca="false">Inputs!$D$63*(1+Inputs!$D$65)^(V$247-1)*MAX(0,MIN(1,V$246*1-Inputs!$D$66+1))/1</f>
        <v>1</v>
      </c>
      <c r="W354" s="118" t="n">
        <f aca="false">Inputs!$D$63*(1+Inputs!$D$65)^(W$247-1)*MAX(0,MIN(1,W$246*1-Inputs!$D$66+1))/1</f>
        <v>1</v>
      </c>
      <c r="X354" s="118" t="n">
        <f aca="false">Inputs!$D$63*(1+Inputs!$D$65)^(X$247-1)*MAX(0,MIN(1,X$246*1-Inputs!$D$66+1))/1</f>
        <v>1</v>
      </c>
      <c r="Y354" s="118" t="n">
        <f aca="false">Inputs!$D$63*(1+Inputs!$D$65)^(Y$247-1)*MAX(0,MIN(1,Y$246*1-Inputs!$D$66+1))/1</f>
        <v>1</v>
      </c>
      <c r="Z354" s="118" t="n">
        <f aca="false">Inputs!$D$63*(1+Inputs!$D$65)^(Z$247-1)*MAX(0,MIN(1,Z$246*1-Inputs!$D$66+1))/1</f>
        <v>1</v>
      </c>
      <c r="AA354" s="118" t="n">
        <f aca="false">Inputs!$D$63*(1+Inputs!$D$65)^(AA$247-1)*MAX(0,MIN(1,AA$246*1-Inputs!$D$66+1))/1</f>
        <v>1</v>
      </c>
      <c r="AB354" s="118" t="n">
        <f aca="false">Inputs!$D$63*(1+Inputs!$D$65)^(AB$247-1)*MAX(0,MIN(1,AB$246*1-Inputs!$D$66+1))/1</f>
        <v>1</v>
      </c>
      <c r="AC354" s="118" t="n">
        <f aca="false">Inputs!$D$63*(1+Inputs!$D$65)^(AC$247-1)*MAX(0,MIN(1,AC$246*1-Inputs!$D$66+1))/1</f>
        <v>1</v>
      </c>
      <c r="AD354" s="118" t="n">
        <f aca="false">Inputs!$D$63*(1+Inputs!$D$65)^(AD$247-1)*MAX(0,MIN(1,AD$246*1-Inputs!$D$66+1))/1</f>
        <v>1</v>
      </c>
      <c r="AE354" s="118" t="n">
        <f aca="false">Inputs!$D$63*(1+Inputs!$D$65)^(AE$247-1)*MAX(0,MIN(1,AE$246*1-Inputs!$D$66+1))/1</f>
        <v>1</v>
      </c>
      <c r="AF354" s="118" t="n">
        <f aca="false">Inputs!$D$63*(1+Inputs!$D$65)^(AF$247-1)*MAX(0,MIN(1,AF$246*1-Inputs!$D$66+1))/1</f>
        <v>1</v>
      </c>
      <c r="AG354" s="118" t="n">
        <f aca="false">Inputs!$D$63*(1+Inputs!$D$65)^(AG$247-1)*MAX(0,MIN(1,AG$246*1-Inputs!$D$66+1))/1</f>
        <v>1</v>
      </c>
      <c r="AH354" s="118" t="n">
        <f aca="false">Inputs!$D$63*(1+Inputs!$D$65)^(AH$247-1)*MAX(0,MIN(1,AH$246*1-Inputs!$D$66+1))/1</f>
        <v>1</v>
      </c>
      <c r="AI354" s="118" t="n">
        <f aca="false">Inputs!$D$63*(1+Inputs!$D$65)^(AI$247-1)*MAX(0,MIN(1,AI$246*1-Inputs!$D$66+1))/1</f>
        <v>1</v>
      </c>
      <c r="AJ354" s="118" t="n">
        <f aca="false">Inputs!$D$63*(1+Inputs!$D$65)^(AJ$247-1)*MAX(0,MIN(1,AJ$246*1-Inputs!$D$66+1))/1</f>
        <v>1</v>
      </c>
      <c r="AK354" s="118" t="n">
        <f aca="false">Inputs!$D$63*(1+Inputs!$D$65)^(AK$247-1)*MAX(0,MIN(1,AK$246*1-Inputs!$D$66+1))/1</f>
        <v>1</v>
      </c>
      <c r="AL354" s="118" t="n">
        <f aca="false">Inputs!$D$63*(1+Inputs!$D$65)^(AL$247-1)*MAX(0,MIN(1,AL$246*1-Inputs!$D$66+1))/1</f>
        <v>1</v>
      </c>
    </row>
    <row r="355" customFormat="false" ht="15" hidden="false" customHeight="false" outlineLevel="0" collapsed="false">
      <c r="A355" s="113" t="s">
        <v>434</v>
      </c>
      <c r="C355" s="122" t="n">
        <f aca="false">C352+C353+C354</f>
        <v>3.2</v>
      </c>
      <c r="D355" s="122" t="n">
        <f aca="false">D352+D353+D354</f>
        <v>3.2</v>
      </c>
      <c r="E355" s="122" t="n">
        <f aca="false">E352+E353+E354</f>
        <v>3.2</v>
      </c>
      <c r="F355" s="122" t="n">
        <f aca="false">F352+F353+F354</f>
        <v>3.2</v>
      </c>
      <c r="G355" s="122" t="n">
        <f aca="false">G352+G353+G354</f>
        <v>3.2</v>
      </c>
      <c r="H355" s="122" t="n">
        <f aca="false">H352+H353+H354</f>
        <v>3.2</v>
      </c>
      <c r="I355" s="122" t="n">
        <f aca="false">I352+I353+I354</f>
        <v>3.2</v>
      </c>
      <c r="J355" s="122" t="n">
        <f aca="false">J352+J353+J354</f>
        <v>3.2</v>
      </c>
      <c r="K355" s="122" t="n">
        <f aca="false">K352+K353+K354</f>
        <v>3.2</v>
      </c>
      <c r="L355" s="122" t="n">
        <f aca="false">L352+L353+L354</f>
        <v>3.2</v>
      </c>
      <c r="M355" s="122" t="n">
        <f aca="false">M352+M353+M354</f>
        <v>3.2</v>
      </c>
      <c r="N355" s="122" t="n">
        <f aca="false">N352+N353+N354</f>
        <v>3.2</v>
      </c>
      <c r="O355" s="122" t="n">
        <f aca="false">O352+O353+O354</f>
        <v>3.2</v>
      </c>
      <c r="P355" s="122" t="n">
        <f aca="false">P352+P353+P354</f>
        <v>3.2</v>
      </c>
      <c r="Q355" s="122" t="n">
        <f aca="false">Q352+Q353+Q354</f>
        <v>3.2</v>
      </c>
      <c r="R355" s="122" t="n">
        <f aca="false">R352+R353+R354</f>
        <v>3.2</v>
      </c>
      <c r="S355" s="122" t="n">
        <f aca="false">S352+S353+S354</f>
        <v>3.2</v>
      </c>
      <c r="T355" s="122" t="n">
        <f aca="false">T352+T353+T354</f>
        <v>3.2</v>
      </c>
      <c r="U355" s="122" t="n">
        <f aca="false">U352+U353+U354</f>
        <v>3.2</v>
      </c>
      <c r="V355" s="122" t="n">
        <f aca="false">V352+V353+V354</f>
        <v>3.2</v>
      </c>
      <c r="W355" s="122" t="n">
        <f aca="false">W352+W353+W354</f>
        <v>3.2</v>
      </c>
      <c r="X355" s="122" t="n">
        <f aca="false">X352+X353+X354</f>
        <v>3.2</v>
      </c>
      <c r="Y355" s="122" t="n">
        <f aca="false">Y352+Y353+Y354</f>
        <v>3.2</v>
      </c>
      <c r="Z355" s="122" t="n">
        <f aca="false">Z352+Z353+Z354</f>
        <v>3.2</v>
      </c>
      <c r="AA355" s="122" t="n">
        <f aca="false">AA352+AA353+AA354</f>
        <v>3.2</v>
      </c>
      <c r="AB355" s="122" t="n">
        <f aca="false">AB352+AB353+AB354</f>
        <v>3.2</v>
      </c>
      <c r="AC355" s="122" t="n">
        <f aca="false">AC352+AC353+AC354</f>
        <v>3.2</v>
      </c>
      <c r="AD355" s="122" t="n">
        <f aca="false">AD352+AD353+AD354</f>
        <v>3.2</v>
      </c>
      <c r="AE355" s="122" t="n">
        <f aca="false">AE352+AE353+AE354</f>
        <v>3.2</v>
      </c>
      <c r="AF355" s="122" t="n">
        <f aca="false">AF352+AF353+AF354</f>
        <v>3.2</v>
      </c>
      <c r="AG355" s="122" t="n">
        <f aca="false">AG352+AG353+AG354</f>
        <v>3.2</v>
      </c>
      <c r="AH355" s="122" t="n">
        <f aca="false">AH352+AH353+AH354</f>
        <v>3.2</v>
      </c>
      <c r="AI355" s="122" t="n">
        <f aca="false">AI352+AI353+AI354</f>
        <v>3.2</v>
      </c>
      <c r="AJ355" s="122" t="n">
        <f aca="false">AJ352+AJ353+AJ354</f>
        <v>3.2</v>
      </c>
      <c r="AK355" s="122" t="n">
        <f aca="false">AK352+AK353+AK354</f>
        <v>3.2</v>
      </c>
      <c r="AL355" s="122" t="n">
        <f aca="false">AL352+AL353+AL354</f>
        <v>3.2</v>
      </c>
    </row>
    <row r="357" customFormat="false" ht="15.75" hidden="false" customHeight="true" outlineLevel="0" collapsed="false">
      <c r="A357" s="7" t="s">
        <v>435</v>
      </c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</row>
    <row r="358" customFormat="false" ht="15" hidden="false" customHeight="false" outlineLevel="0" collapsed="false">
      <c r="A358" s="6" t="s">
        <v>436</v>
      </c>
      <c r="C358" s="67" t="n">
        <f aca="false">-C352*Inputs!$D$56/12*1*(1+Inputs!$D$67)*(1+Inputs!$D$68)^(C$247-1)</f>
        <v>-3360</v>
      </c>
      <c r="D358" s="67" t="n">
        <f aca="false">-D352*Inputs!$D$56/12*1*(1+Inputs!$D$67)*(1+Inputs!$D$68)^(D$247-1)</f>
        <v>-3360</v>
      </c>
      <c r="E358" s="67" t="n">
        <f aca="false">-E352*Inputs!$D$56/12*1*(1+Inputs!$D$67)*(1+Inputs!$D$68)^(E$247-1)</f>
        <v>-3360</v>
      </c>
      <c r="F358" s="67" t="n">
        <f aca="false">-F352*Inputs!$D$56/12*1*(1+Inputs!$D$67)*(1+Inputs!$D$68)^(F$247-1)</f>
        <v>-3360</v>
      </c>
      <c r="G358" s="67" t="n">
        <f aca="false">-G352*Inputs!$D$56/12*1*(1+Inputs!$D$67)*(1+Inputs!$D$68)^(G$247-1)</f>
        <v>-3360</v>
      </c>
      <c r="H358" s="67" t="n">
        <f aca="false">-H352*Inputs!$D$56/12*1*(1+Inputs!$D$67)*(1+Inputs!$D$68)^(H$247-1)</f>
        <v>-3360</v>
      </c>
      <c r="I358" s="67" t="n">
        <f aca="false">-I352*Inputs!$D$56/12*1*(1+Inputs!$D$67)*(1+Inputs!$D$68)^(I$247-1)</f>
        <v>-3360</v>
      </c>
      <c r="J358" s="67" t="n">
        <f aca="false">-J352*Inputs!$D$56/12*1*(1+Inputs!$D$67)*(1+Inputs!$D$68)^(J$247-1)</f>
        <v>-3360</v>
      </c>
      <c r="K358" s="67" t="n">
        <f aca="false">-K352*Inputs!$D$56/12*1*(1+Inputs!$D$67)*(1+Inputs!$D$68)^(K$247-1)</f>
        <v>-3360</v>
      </c>
      <c r="L358" s="67" t="n">
        <f aca="false">-L352*Inputs!$D$56/12*1*(1+Inputs!$D$67)*(1+Inputs!$D$68)^(L$247-1)</f>
        <v>-3360</v>
      </c>
      <c r="M358" s="67" t="n">
        <f aca="false">-M352*Inputs!$D$56/12*1*(1+Inputs!$D$67)*(1+Inputs!$D$68)^(M$247-1)</f>
        <v>-3360</v>
      </c>
      <c r="N358" s="67" t="n">
        <f aca="false">-N352*Inputs!$D$56/12*1*(1+Inputs!$D$67)*(1+Inputs!$D$68)^(N$247-1)</f>
        <v>-3360</v>
      </c>
      <c r="O358" s="67" t="n">
        <f aca="false">-O352*Inputs!$D$56/12*1*(1+Inputs!$D$67)*(1+Inputs!$D$68)^(O$247-1)</f>
        <v>-3460.8</v>
      </c>
      <c r="P358" s="67" t="n">
        <f aca="false">-P352*Inputs!$D$56/12*1*(1+Inputs!$D$67)*(1+Inputs!$D$68)^(P$247-1)</f>
        <v>-3460.8</v>
      </c>
      <c r="Q358" s="67" t="n">
        <f aca="false">-Q352*Inputs!$D$56/12*1*(1+Inputs!$D$67)*(1+Inputs!$D$68)^(Q$247-1)</f>
        <v>-3460.8</v>
      </c>
      <c r="R358" s="67" t="n">
        <f aca="false">-R352*Inputs!$D$56/12*1*(1+Inputs!$D$67)*(1+Inputs!$D$68)^(R$247-1)</f>
        <v>-3460.8</v>
      </c>
      <c r="S358" s="67" t="n">
        <f aca="false">-S352*Inputs!$D$56/12*1*(1+Inputs!$D$67)*(1+Inputs!$D$68)^(S$247-1)</f>
        <v>-3460.8</v>
      </c>
      <c r="T358" s="67" t="n">
        <f aca="false">-T352*Inputs!$D$56/12*1*(1+Inputs!$D$67)*(1+Inputs!$D$68)^(T$247-1)</f>
        <v>-3460.8</v>
      </c>
      <c r="U358" s="67" t="n">
        <f aca="false">-U352*Inputs!$D$56/12*1*(1+Inputs!$D$67)*(1+Inputs!$D$68)^(U$247-1)</f>
        <v>-3460.8</v>
      </c>
      <c r="V358" s="67" t="n">
        <f aca="false">-V352*Inputs!$D$56/12*1*(1+Inputs!$D$67)*(1+Inputs!$D$68)^(V$247-1)</f>
        <v>-3460.8</v>
      </c>
      <c r="W358" s="67" t="n">
        <f aca="false">-W352*Inputs!$D$56/12*1*(1+Inputs!$D$67)*(1+Inputs!$D$68)^(W$247-1)</f>
        <v>-3460.8</v>
      </c>
      <c r="X358" s="67" t="n">
        <f aca="false">-X352*Inputs!$D$56/12*1*(1+Inputs!$D$67)*(1+Inputs!$D$68)^(X$247-1)</f>
        <v>-3460.8</v>
      </c>
      <c r="Y358" s="67" t="n">
        <f aca="false">-Y352*Inputs!$D$56/12*1*(1+Inputs!$D$67)*(1+Inputs!$D$68)^(Y$247-1)</f>
        <v>-3460.8</v>
      </c>
      <c r="Z358" s="67" t="n">
        <f aca="false">-Z352*Inputs!$D$56/12*1*(1+Inputs!$D$67)*(1+Inputs!$D$68)^(Z$247-1)</f>
        <v>-3460.8</v>
      </c>
      <c r="AA358" s="67" t="n">
        <f aca="false">-AA352*Inputs!$D$56/12*1*(1+Inputs!$D$67)*(1+Inputs!$D$68)^(AA$247-1)</f>
        <v>-3564.624</v>
      </c>
      <c r="AB358" s="67" t="n">
        <f aca="false">-AB352*Inputs!$D$56/12*1*(1+Inputs!$D$67)*(1+Inputs!$D$68)^(AB$247-1)</f>
        <v>-3564.624</v>
      </c>
      <c r="AC358" s="67" t="n">
        <f aca="false">-AC352*Inputs!$D$56/12*1*(1+Inputs!$D$67)*(1+Inputs!$D$68)^(AC$247-1)</f>
        <v>-3564.624</v>
      </c>
      <c r="AD358" s="67" t="n">
        <f aca="false">-AD352*Inputs!$D$56/12*1*(1+Inputs!$D$67)*(1+Inputs!$D$68)^(AD$247-1)</f>
        <v>-3564.624</v>
      </c>
      <c r="AE358" s="67" t="n">
        <f aca="false">-AE352*Inputs!$D$56/12*1*(1+Inputs!$D$67)*(1+Inputs!$D$68)^(AE$247-1)</f>
        <v>-3564.624</v>
      </c>
      <c r="AF358" s="67" t="n">
        <f aca="false">-AF352*Inputs!$D$56/12*1*(1+Inputs!$D$67)*(1+Inputs!$D$68)^(AF$247-1)</f>
        <v>-3564.624</v>
      </c>
      <c r="AG358" s="67" t="n">
        <f aca="false">-AG352*Inputs!$D$56/12*1*(1+Inputs!$D$67)*(1+Inputs!$D$68)^(AG$247-1)</f>
        <v>-3564.624</v>
      </c>
      <c r="AH358" s="67" t="n">
        <f aca="false">-AH352*Inputs!$D$56/12*1*(1+Inputs!$D$67)*(1+Inputs!$D$68)^(AH$247-1)</f>
        <v>-3564.624</v>
      </c>
      <c r="AI358" s="67" t="n">
        <f aca="false">-AI352*Inputs!$D$56/12*1*(1+Inputs!$D$67)*(1+Inputs!$D$68)^(AI$247-1)</f>
        <v>-3564.624</v>
      </c>
      <c r="AJ358" s="67" t="n">
        <f aca="false">-AJ352*Inputs!$D$56/12*1*(1+Inputs!$D$67)*(1+Inputs!$D$68)^(AJ$247-1)</f>
        <v>-3564.624</v>
      </c>
      <c r="AK358" s="67" t="n">
        <f aca="false">-AK352*Inputs!$D$56/12*1*(1+Inputs!$D$67)*(1+Inputs!$D$68)^(AK$247-1)</f>
        <v>-3564.624</v>
      </c>
      <c r="AL358" s="67" t="n">
        <f aca="false">-AL352*Inputs!$D$56/12*1*(1+Inputs!$D$67)*(1+Inputs!$D$68)^(AL$247-1)</f>
        <v>-3564.624</v>
      </c>
    </row>
    <row r="359" customFormat="false" ht="15" hidden="false" customHeight="false" outlineLevel="0" collapsed="false">
      <c r="A359" s="6" t="s">
        <v>437</v>
      </c>
      <c r="C359" s="67" t="n">
        <f aca="false">-C353*Inputs!$D$60/12*1*(1+Inputs!$D$67)*(1+Inputs!$D$68)^(C$247-1)</f>
        <v>-3808</v>
      </c>
      <c r="D359" s="67" t="n">
        <f aca="false">-D353*Inputs!$D$60/12*1*(1+Inputs!$D$67)*(1+Inputs!$D$68)^(D$247-1)</f>
        <v>-3808</v>
      </c>
      <c r="E359" s="67" t="n">
        <f aca="false">-E353*Inputs!$D$60/12*1*(1+Inputs!$D$67)*(1+Inputs!$D$68)^(E$247-1)</f>
        <v>-3808</v>
      </c>
      <c r="F359" s="67" t="n">
        <f aca="false">-F353*Inputs!$D$60/12*1*(1+Inputs!$D$67)*(1+Inputs!$D$68)^(F$247-1)</f>
        <v>-3808</v>
      </c>
      <c r="G359" s="67" t="n">
        <f aca="false">-G353*Inputs!$D$60/12*1*(1+Inputs!$D$67)*(1+Inputs!$D$68)^(G$247-1)</f>
        <v>-3808</v>
      </c>
      <c r="H359" s="67" t="n">
        <f aca="false">-H353*Inputs!$D$60/12*1*(1+Inputs!$D$67)*(1+Inputs!$D$68)^(H$247-1)</f>
        <v>-3808</v>
      </c>
      <c r="I359" s="67" t="n">
        <f aca="false">-I353*Inputs!$D$60/12*1*(1+Inputs!$D$67)*(1+Inputs!$D$68)^(I$247-1)</f>
        <v>-3808</v>
      </c>
      <c r="J359" s="67" t="n">
        <f aca="false">-J353*Inputs!$D$60/12*1*(1+Inputs!$D$67)*(1+Inputs!$D$68)^(J$247-1)</f>
        <v>-3808</v>
      </c>
      <c r="K359" s="67" t="n">
        <f aca="false">-K353*Inputs!$D$60/12*1*(1+Inputs!$D$67)*(1+Inputs!$D$68)^(K$247-1)</f>
        <v>-3808</v>
      </c>
      <c r="L359" s="67" t="n">
        <f aca="false">-L353*Inputs!$D$60/12*1*(1+Inputs!$D$67)*(1+Inputs!$D$68)^(L$247-1)</f>
        <v>-3808</v>
      </c>
      <c r="M359" s="67" t="n">
        <f aca="false">-M353*Inputs!$D$60/12*1*(1+Inputs!$D$67)*(1+Inputs!$D$68)^(M$247-1)</f>
        <v>-3808</v>
      </c>
      <c r="N359" s="67" t="n">
        <f aca="false">-N353*Inputs!$D$60/12*1*(1+Inputs!$D$67)*(1+Inputs!$D$68)^(N$247-1)</f>
        <v>-3808</v>
      </c>
      <c r="O359" s="67" t="n">
        <f aca="false">-O353*Inputs!$D$60/12*1*(1+Inputs!$D$67)*(1+Inputs!$D$68)^(O$247-1)</f>
        <v>-3922.24</v>
      </c>
      <c r="P359" s="67" t="n">
        <f aca="false">-P353*Inputs!$D$60/12*1*(1+Inputs!$D$67)*(1+Inputs!$D$68)^(P$247-1)</f>
        <v>-3922.24</v>
      </c>
      <c r="Q359" s="67" t="n">
        <f aca="false">-Q353*Inputs!$D$60/12*1*(1+Inputs!$D$67)*(1+Inputs!$D$68)^(Q$247-1)</f>
        <v>-3922.24</v>
      </c>
      <c r="R359" s="67" t="n">
        <f aca="false">-R353*Inputs!$D$60/12*1*(1+Inputs!$D$67)*(1+Inputs!$D$68)^(R$247-1)</f>
        <v>-3922.24</v>
      </c>
      <c r="S359" s="67" t="n">
        <f aca="false">-S353*Inputs!$D$60/12*1*(1+Inputs!$D$67)*(1+Inputs!$D$68)^(S$247-1)</f>
        <v>-3922.24</v>
      </c>
      <c r="T359" s="67" t="n">
        <f aca="false">-T353*Inputs!$D$60/12*1*(1+Inputs!$D$67)*(1+Inputs!$D$68)^(T$247-1)</f>
        <v>-3922.24</v>
      </c>
      <c r="U359" s="67" t="n">
        <f aca="false">-U353*Inputs!$D$60/12*1*(1+Inputs!$D$67)*(1+Inputs!$D$68)^(U$247-1)</f>
        <v>-3922.24</v>
      </c>
      <c r="V359" s="67" t="n">
        <f aca="false">-V353*Inputs!$D$60/12*1*(1+Inputs!$D$67)*(1+Inputs!$D$68)^(V$247-1)</f>
        <v>-3922.24</v>
      </c>
      <c r="W359" s="67" t="n">
        <f aca="false">-W353*Inputs!$D$60/12*1*(1+Inputs!$D$67)*(1+Inputs!$D$68)^(W$247-1)</f>
        <v>-3922.24</v>
      </c>
      <c r="X359" s="67" t="n">
        <f aca="false">-X353*Inputs!$D$60/12*1*(1+Inputs!$D$67)*(1+Inputs!$D$68)^(X$247-1)</f>
        <v>-3922.24</v>
      </c>
      <c r="Y359" s="67" t="n">
        <f aca="false">-Y353*Inputs!$D$60/12*1*(1+Inputs!$D$67)*(1+Inputs!$D$68)^(Y$247-1)</f>
        <v>-3922.24</v>
      </c>
      <c r="Z359" s="67" t="n">
        <f aca="false">-Z353*Inputs!$D$60/12*1*(1+Inputs!$D$67)*(1+Inputs!$D$68)^(Z$247-1)</f>
        <v>-3922.24</v>
      </c>
      <c r="AA359" s="67" t="n">
        <f aca="false">-AA353*Inputs!$D$60/12*1*(1+Inputs!$D$67)*(1+Inputs!$D$68)^(AA$247-1)</f>
        <v>-4039.9072</v>
      </c>
      <c r="AB359" s="67" t="n">
        <f aca="false">-AB353*Inputs!$D$60/12*1*(1+Inputs!$D$67)*(1+Inputs!$D$68)^(AB$247-1)</f>
        <v>-4039.9072</v>
      </c>
      <c r="AC359" s="67" t="n">
        <f aca="false">-AC353*Inputs!$D$60/12*1*(1+Inputs!$D$67)*(1+Inputs!$D$68)^(AC$247-1)</f>
        <v>-4039.9072</v>
      </c>
      <c r="AD359" s="67" t="n">
        <f aca="false">-AD353*Inputs!$D$60/12*1*(1+Inputs!$D$67)*(1+Inputs!$D$68)^(AD$247-1)</f>
        <v>-4039.9072</v>
      </c>
      <c r="AE359" s="67" t="n">
        <f aca="false">-AE353*Inputs!$D$60/12*1*(1+Inputs!$D$67)*(1+Inputs!$D$68)^(AE$247-1)</f>
        <v>-4039.9072</v>
      </c>
      <c r="AF359" s="67" t="n">
        <f aca="false">-AF353*Inputs!$D$60/12*1*(1+Inputs!$D$67)*(1+Inputs!$D$68)^(AF$247-1)</f>
        <v>-4039.9072</v>
      </c>
      <c r="AG359" s="67" t="n">
        <f aca="false">-AG353*Inputs!$D$60/12*1*(1+Inputs!$D$67)*(1+Inputs!$D$68)^(AG$247-1)</f>
        <v>-4039.9072</v>
      </c>
      <c r="AH359" s="67" t="n">
        <f aca="false">-AH353*Inputs!$D$60/12*1*(1+Inputs!$D$67)*(1+Inputs!$D$68)^(AH$247-1)</f>
        <v>-4039.9072</v>
      </c>
      <c r="AI359" s="67" t="n">
        <f aca="false">-AI353*Inputs!$D$60/12*1*(1+Inputs!$D$67)*(1+Inputs!$D$68)^(AI$247-1)</f>
        <v>-4039.9072</v>
      </c>
      <c r="AJ359" s="67" t="n">
        <f aca="false">-AJ353*Inputs!$D$60/12*1*(1+Inputs!$D$67)*(1+Inputs!$D$68)^(AJ$247-1)</f>
        <v>-4039.9072</v>
      </c>
      <c r="AK359" s="67" t="n">
        <f aca="false">-AK353*Inputs!$D$60/12*1*(1+Inputs!$D$67)*(1+Inputs!$D$68)^(AK$247-1)</f>
        <v>-4039.9072</v>
      </c>
      <c r="AL359" s="67" t="n">
        <f aca="false">-AL353*Inputs!$D$60/12*1*(1+Inputs!$D$67)*(1+Inputs!$D$68)^(AL$247-1)</f>
        <v>-4039.9072</v>
      </c>
    </row>
    <row r="360" customFormat="false" ht="15" hidden="false" customHeight="false" outlineLevel="0" collapsed="false">
      <c r="A360" s="6" t="s">
        <v>438</v>
      </c>
      <c r="C360" s="67" t="n">
        <f aca="false">-C354*Inputs!$D$64/12*1*(1+Inputs!$D$67)*(1+Inputs!$D$68)^(C$247-1)</f>
        <v>-2706.66666666667</v>
      </c>
      <c r="D360" s="67" t="n">
        <f aca="false">-D354*Inputs!$D$64/12*1*(1+Inputs!$D$67)*(1+Inputs!$D$68)^(D$247-1)</f>
        <v>-2706.66666666667</v>
      </c>
      <c r="E360" s="67" t="n">
        <f aca="false">-E354*Inputs!$D$64/12*1*(1+Inputs!$D$67)*(1+Inputs!$D$68)^(E$247-1)</f>
        <v>-2706.66666666667</v>
      </c>
      <c r="F360" s="67" t="n">
        <f aca="false">-F354*Inputs!$D$64/12*1*(1+Inputs!$D$67)*(1+Inputs!$D$68)^(F$247-1)</f>
        <v>-2706.66666666667</v>
      </c>
      <c r="G360" s="67" t="n">
        <f aca="false">-G354*Inputs!$D$64/12*1*(1+Inputs!$D$67)*(1+Inputs!$D$68)^(G$247-1)</f>
        <v>-2706.66666666667</v>
      </c>
      <c r="H360" s="67" t="n">
        <f aca="false">-H354*Inputs!$D$64/12*1*(1+Inputs!$D$67)*(1+Inputs!$D$68)^(H$247-1)</f>
        <v>-2706.66666666667</v>
      </c>
      <c r="I360" s="67" t="n">
        <f aca="false">-I354*Inputs!$D$64/12*1*(1+Inputs!$D$67)*(1+Inputs!$D$68)^(I$247-1)</f>
        <v>-2706.66666666667</v>
      </c>
      <c r="J360" s="67" t="n">
        <f aca="false">-J354*Inputs!$D$64/12*1*(1+Inputs!$D$67)*(1+Inputs!$D$68)^(J$247-1)</f>
        <v>-2706.66666666667</v>
      </c>
      <c r="K360" s="67" t="n">
        <f aca="false">-K354*Inputs!$D$64/12*1*(1+Inputs!$D$67)*(1+Inputs!$D$68)^(K$247-1)</f>
        <v>-2706.66666666667</v>
      </c>
      <c r="L360" s="67" t="n">
        <f aca="false">-L354*Inputs!$D$64/12*1*(1+Inputs!$D$67)*(1+Inputs!$D$68)^(L$247-1)</f>
        <v>-2706.66666666667</v>
      </c>
      <c r="M360" s="67" t="n">
        <f aca="false">-M354*Inputs!$D$64/12*1*(1+Inputs!$D$67)*(1+Inputs!$D$68)^(M$247-1)</f>
        <v>-2706.66666666667</v>
      </c>
      <c r="N360" s="67" t="n">
        <f aca="false">-N354*Inputs!$D$64/12*1*(1+Inputs!$D$67)*(1+Inputs!$D$68)^(N$247-1)</f>
        <v>-2706.66666666667</v>
      </c>
      <c r="O360" s="67" t="n">
        <f aca="false">-O354*Inputs!$D$64/12*1*(1+Inputs!$D$67)*(1+Inputs!$D$68)^(O$247-1)</f>
        <v>-2787.86666666667</v>
      </c>
      <c r="P360" s="67" t="n">
        <f aca="false">-P354*Inputs!$D$64/12*1*(1+Inputs!$D$67)*(1+Inputs!$D$68)^(P$247-1)</f>
        <v>-2787.86666666667</v>
      </c>
      <c r="Q360" s="67" t="n">
        <f aca="false">-Q354*Inputs!$D$64/12*1*(1+Inputs!$D$67)*(1+Inputs!$D$68)^(Q$247-1)</f>
        <v>-2787.86666666667</v>
      </c>
      <c r="R360" s="67" t="n">
        <f aca="false">-R354*Inputs!$D$64/12*1*(1+Inputs!$D$67)*(1+Inputs!$D$68)^(R$247-1)</f>
        <v>-2787.86666666667</v>
      </c>
      <c r="S360" s="67" t="n">
        <f aca="false">-S354*Inputs!$D$64/12*1*(1+Inputs!$D$67)*(1+Inputs!$D$68)^(S$247-1)</f>
        <v>-2787.86666666667</v>
      </c>
      <c r="T360" s="67" t="n">
        <f aca="false">-T354*Inputs!$D$64/12*1*(1+Inputs!$D$67)*(1+Inputs!$D$68)^(T$247-1)</f>
        <v>-2787.86666666667</v>
      </c>
      <c r="U360" s="67" t="n">
        <f aca="false">-U354*Inputs!$D$64/12*1*(1+Inputs!$D$67)*(1+Inputs!$D$68)^(U$247-1)</f>
        <v>-2787.86666666667</v>
      </c>
      <c r="V360" s="67" t="n">
        <f aca="false">-V354*Inputs!$D$64/12*1*(1+Inputs!$D$67)*(1+Inputs!$D$68)^(V$247-1)</f>
        <v>-2787.86666666667</v>
      </c>
      <c r="W360" s="67" t="n">
        <f aca="false">-W354*Inputs!$D$64/12*1*(1+Inputs!$D$67)*(1+Inputs!$D$68)^(W$247-1)</f>
        <v>-2787.86666666667</v>
      </c>
      <c r="X360" s="67" t="n">
        <f aca="false">-X354*Inputs!$D$64/12*1*(1+Inputs!$D$67)*(1+Inputs!$D$68)^(X$247-1)</f>
        <v>-2787.86666666667</v>
      </c>
      <c r="Y360" s="67" t="n">
        <f aca="false">-Y354*Inputs!$D$64/12*1*(1+Inputs!$D$67)*(1+Inputs!$D$68)^(Y$247-1)</f>
        <v>-2787.86666666667</v>
      </c>
      <c r="Z360" s="67" t="n">
        <f aca="false">-Z354*Inputs!$D$64/12*1*(1+Inputs!$D$67)*(1+Inputs!$D$68)^(Z$247-1)</f>
        <v>-2787.86666666667</v>
      </c>
      <c r="AA360" s="67" t="n">
        <f aca="false">-AA354*Inputs!$D$64/12*1*(1+Inputs!$D$67)*(1+Inputs!$D$68)^(AA$247-1)</f>
        <v>-2871.50266666667</v>
      </c>
      <c r="AB360" s="67" t="n">
        <f aca="false">-AB354*Inputs!$D$64/12*1*(1+Inputs!$D$67)*(1+Inputs!$D$68)^(AB$247-1)</f>
        <v>-2871.50266666667</v>
      </c>
      <c r="AC360" s="67" t="n">
        <f aca="false">-AC354*Inputs!$D$64/12*1*(1+Inputs!$D$67)*(1+Inputs!$D$68)^(AC$247-1)</f>
        <v>-2871.50266666667</v>
      </c>
      <c r="AD360" s="67" t="n">
        <f aca="false">-AD354*Inputs!$D$64/12*1*(1+Inputs!$D$67)*(1+Inputs!$D$68)^(AD$247-1)</f>
        <v>-2871.50266666667</v>
      </c>
      <c r="AE360" s="67" t="n">
        <f aca="false">-AE354*Inputs!$D$64/12*1*(1+Inputs!$D$67)*(1+Inputs!$D$68)^(AE$247-1)</f>
        <v>-2871.50266666667</v>
      </c>
      <c r="AF360" s="67" t="n">
        <f aca="false">-AF354*Inputs!$D$64/12*1*(1+Inputs!$D$67)*(1+Inputs!$D$68)^(AF$247-1)</f>
        <v>-2871.50266666667</v>
      </c>
      <c r="AG360" s="67" t="n">
        <f aca="false">-AG354*Inputs!$D$64/12*1*(1+Inputs!$D$67)*(1+Inputs!$D$68)^(AG$247-1)</f>
        <v>-2871.50266666667</v>
      </c>
      <c r="AH360" s="67" t="n">
        <f aca="false">-AH354*Inputs!$D$64/12*1*(1+Inputs!$D$67)*(1+Inputs!$D$68)^(AH$247-1)</f>
        <v>-2871.50266666667</v>
      </c>
      <c r="AI360" s="67" t="n">
        <f aca="false">-AI354*Inputs!$D$64/12*1*(1+Inputs!$D$67)*(1+Inputs!$D$68)^(AI$247-1)</f>
        <v>-2871.50266666667</v>
      </c>
      <c r="AJ360" s="67" t="n">
        <f aca="false">-AJ354*Inputs!$D$64/12*1*(1+Inputs!$D$67)*(1+Inputs!$D$68)^(AJ$247-1)</f>
        <v>-2871.50266666667</v>
      </c>
      <c r="AK360" s="67" t="n">
        <f aca="false">-AK354*Inputs!$D$64/12*1*(1+Inputs!$D$67)*(1+Inputs!$D$68)^(AK$247-1)</f>
        <v>-2871.50266666667</v>
      </c>
      <c r="AL360" s="67" t="n">
        <f aca="false">-AL354*Inputs!$D$64/12*1*(1+Inputs!$D$67)*(1+Inputs!$D$68)^(AL$247-1)</f>
        <v>-2871.50266666667</v>
      </c>
    </row>
    <row r="361" customFormat="false" ht="15" hidden="false" customHeight="false" outlineLevel="0" collapsed="false">
      <c r="A361" s="113" t="s">
        <v>439</v>
      </c>
      <c r="C361" s="68" t="n">
        <f aca="false">C358+C359+C360</f>
        <v>-9874.66666666667</v>
      </c>
      <c r="D361" s="68" t="n">
        <f aca="false">D358+D359+D360</f>
        <v>-9874.66666666667</v>
      </c>
      <c r="E361" s="68" t="n">
        <f aca="false">E358+E359+E360</f>
        <v>-9874.66666666667</v>
      </c>
      <c r="F361" s="68" t="n">
        <f aca="false">F358+F359+F360</f>
        <v>-9874.66666666667</v>
      </c>
      <c r="G361" s="68" t="n">
        <f aca="false">G358+G359+G360</f>
        <v>-9874.66666666667</v>
      </c>
      <c r="H361" s="68" t="n">
        <f aca="false">H358+H359+H360</f>
        <v>-9874.66666666667</v>
      </c>
      <c r="I361" s="68" t="n">
        <f aca="false">I358+I359+I360</f>
        <v>-9874.66666666667</v>
      </c>
      <c r="J361" s="68" t="n">
        <f aca="false">J358+J359+J360</f>
        <v>-9874.66666666667</v>
      </c>
      <c r="K361" s="68" t="n">
        <f aca="false">K358+K359+K360</f>
        <v>-9874.66666666667</v>
      </c>
      <c r="L361" s="68" t="n">
        <f aca="false">L358+L359+L360</f>
        <v>-9874.66666666667</v>
      </c>
      <c r="M361" s="68" t="n">
        <f aca="false">M358+M359+M360</f>
        <v>-9874.66666666667</v>
      </c>
      <c r="N361" s="68" t="n">
        <f aca="false">N358+N359+N360</f>
        <v>-9874.66666666667</v>
      </c>
      <c r="O361" s="68" t="n">
        <f aca="false">O358+O359+O360</f>
        <v>-10170.9066666667</v>
      </c>
      <c r="P361" s="68" t="n">
        <f aca="false">P358+P359+P360</f>
        <v>-10170.9066666667</v>
      </c>
      <c r="Q361" s="68" t="n">
        <f aca="false">Q358+Q359+Q360</f>
        <v>-10170.9066666667</v>
      </c>
      <c r="R361" s="68" t="n">
        <f aca="false">R358+R359+R360</f>
        <v>-10170.9066666667</v>
      </c>
      <c r="S361" s="68" t="n">
        <f aca="false">S358+S359+S360</f>
        <v>-10170.9066666667</v>
      </c>
      <c r="T361" s="68" t="n">
        <f aca="false">T358+T359+T360</f>
        <v>-10170.9066666667</v>
      </c>
      <c r="U361" s="68" t="n">
        <f aca="false">U358+U359+U360</f>
        <v>-10170.9066666667</v>
      </c>
      <c r="V361" s="68" t="n">
        <f aca="false">V358+V359+V360</f>
        <v>-10170.9066666667</v>
      </c>
      <c r="W361" s="68" t="n">
        <f aca="false">W358+W359+W360</f>
        <v>-10170.9066666667</v>
      </c>
      <c r="X361" s="68" t="n">
        <f aca="false">X358+X359+X360</f>
        <v>-10170.9066666667</v>
      </c>
      <c r="Y361" s="68" t="n">
        <f aca="false">Y358+Y359+Y360</f>
        <v>-10170.9066666667</v>
      </c>
      <c r="Z361" s="68" t="n">
        <f aca="false">Z358+Z359+Z360</f>
        <v>-10170.9066666667</v>
      </c>
      <c r="AA361" s="68" t="n">
        <f aca="false">AA358+AA359+AA360</f>
        <v>-10476.0338666667</v>
      </c>
      <c r="AB361" s="68" t="n">
        <f aca="false">AB358+AB359+AB360</f>
        <v>-10476.0338666667</v>
      </c>
      <c r="AC361" s="68" t="n">
        <f aca="false">AC358+AC359+AC360</f>
        <v>-10476.0338666667</v>
      </c>
      <c r="AD361" s="68" t="n">
        <f aca="false">AD358+AD359+AD360</f>
        <v>-10476.0338666667</v>
      </c>
      <c r="AE361" s="68" t="n">
        <f aca="false">AE358+AE359+AE360</f>
        <v>-10476.0338666667</v>
      </c>
      <c r="AF361" s="68" t="n">
        <f aca="false">AF358+AF359+AF360</f>
        <v>-10476.0338666667</v>
      </c>
      <c r="AG361" s="68" t="n">
        <f aca="false">AG358+AG359+AG360</f>
        <v>-10476.0338666667</v>
      </c>
      <c r="AH361" s="68" t="n">
        <f aca="false">AH358+AH359+AH360</f>
        <v>-10476.0338666667</v>
      </c>
      <c r="AI361" s="68" t="n">
        <f aca="false">AI358+AI359+AI360</f>
        <v>-10476.0338666667</v>
      </c>
      <c r="AJ361" s="68" t="n">
        <f aca="false">AJ358+AJ359+AJ360</f>
        <v>-10476.0338666667</v>
      </c>
      <c r="AK361" s="68" t="n">
        <f aca="false">AK358+AK359+AK360</f>
        <v>-10476.0338666667</v>
      </c>
      <c r="AL361" s="68" t="n">
        <f aca="false">AL358+AL359+AL360</f>
        <v>-10476.0338666667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8322A"/>
    <pageSetUpPr fitToPage="true"/>
  </sheetPr>
  <dimension ref="A1:E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2"/>
    <col collapsed="false" customWidth="true" hidden="false" outlineLevel="0" max="3" min="3" style="0" width="64"/>
  </cols>
  <sheetData>
    <row r="1" customFormat="false" ht="21.75" hidden="false" customHeight="true" outlineLevel="0" collapsed="false">
      <c r="A1" s="16" t="s">
        <v>5</v>
      </c>
      <c r="E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445</v>
      </c>
    </row>
    <row r="3" customFormat="false" ht="15" hidden="false" customHeight="false" outlineLevel="0" collapsed="false">
      <c r="A3" s="33" t="s">
        <v>446</v>
      </c>
      <c r="B3" s="33" t="s">
        <v>447</v>
      </c>
      <c r="C3" s="33" t="s">
        <v>448</v>
      </c>
    </row>
    <row r="4" customFormat="false" ht="15" hidden="false" customHeight="false" outlineLevel="0" collapsed="false">
      <c r="A4" s="6" t="s">
        <v>449</v>
      </c>
      <c r="B4" s="4" t="str">
        <f aca="false">IF(ABS(SUM('P&amp;L'!$B$5:$D$5)-SUM(Monthly!$C$24:$AL$24))&lt;0.5,"PASS","FAIL")</f>
        <v>PASS</v>
      </c>
      <c r="C4" s="18" t="s">
        <v>450</v>
      </c>
    </row>
    <row r="5" customFormat="false" ht="15" hidden="false" customHeight="false" outlineLevel="0" collapsed="false">
      <c r="A5" s="6" t="s">
        <v>451</v>
      </c>
      <c r="B5" s="4" t="str">
        <f aca="false">IF(ABS(SUM('P&amp;L'!$B$26:$D$26)-SUM(Monthly!$C$55:$AL$55))&lt;0.5,"PASS","FAIL")</f>
        <v>PASS</v>
      </c>
      <c r="C5" s="18" t="s">
        <v>452</v>
      </c>
    </row>
    <row r="6" customFormat="false" ht="15" hidden="false" customHeight="false" outlineLevel="0" collapsed="false">
      <c r="A6" s="6" t="s">
        <v>453</v>
      </c>
      <c r="B6" s="4" t="str">
        <f aca="false">IF(ABS(SUM(Monthly!$C$46:$AL$46)-SUM(Monthly!$C$33:$AL$33)-SUM(Monthly!$C$45:$AL$45))&lt;0.5,"PASS","FAIL")</f>
        <v>PASS</v>
      </c>
      <c r="C6" s="18" t="s">
        <v>454</v>
      </c>
    </row>
    <row r="7" customFormat="false" ht="15" hidden="false" customHeight="false" outlineLevel="0" collapsed="false">
      <c r="A7" s="6" t="s">
        <v>455</v>
      </c>
      <c r="B7" s="4" t="str">
        <f aca="false">IF(ABS(INDEX(Monthly!$C$89:$AL$89,36)-SUM(Monthly!$C$87:$AL$87))&lt;0.5,"PASS","FAIL")</f>
        <v>PASS</v>
      </c>
      <c r="C7" s="18" t="s">
        <v>456</v>
      </c>
    </row>
    <row r="8" customFormat="false" ht="15" hidden="false" customHeight="false" outlineLevel="0" collapsed="false">
      <c r="A8" s="6" t="s">
        <v>457</v>
      </c>
      <c r="B8" s="4" t="str">
        <f aca="false">IF(AND(ISNUMBER(Dashboard!B4),Dashboard!B4&gt;=1,Dashboard!B4&lt;=3,INT(Dashboard!B4)=Dashboard!B4),"PASS","FAIL")</f>
        <v>PASS</v>
      </c>
      <c r="C8" s="18" t="s">
        <v>458</v>
      </c>
    </row>
    <row r="9" customFormat="false" ht="15" hidden="false" customHeight="false" outlineLevel="0" collapsed="false">
      <c r="A9" s="6" t="s">
        <v>459</v>
      </c>
      <c r="B9" s="4" t="str">
        <f aca="false">IF(AND(Inputs!$B$9&lt;=Inputs!$C$9,Inputs!$C$9&lt;=Inputs!$D$9,Inputs!$B$10&gt;=Inputs!$C$10,Inputs!$C$10&gt;=Inputs!$D$10,Inputs!$B$13&gt;=Inputs!$C$13,Inputs!$C$13&gt;=Inputs!$D$13,Inputs!$B$14&lt;=Inputs!$C$14,Inputs!$C$14&lt;=Inputs!$D$14,Inputs!$B$17&lt;=Inputs!$C$17,Inputs!$C$17&lt;=Inputs!$D$17,Inputs!$B$18&lt;=Inputs!$C$18,Inputs!$C$18&lt;=Inputs!$D$18,Inputs!$B$19&lt;=Inputs!$C$19,Inputs!$C$19&lt;=Inputs!$D$19,Inputs!$B$20&lt;=Inputs!$C$20,Inputs!$C$20&lt;=Inputs!$D$20,Inputs!$B$23&lt;=Inputs!$C$23,Inputs!$C$23&lt;=Inputs!$D$23,Inputs!$B$24&lt;=Inputs!$C$24,Inputs!$C$24&lt;=Inputs!$D$24,Inputs!$B$25&lt;=Inputs!$C$25,Inputs!$C$25&lt;=Inputs!$D$25,Inputs!$B$29&gt;=Inputs!$C$29,Inputs!$C$29&gt;=Inputs!$D$29,Inputs!$B$30&gt;=Inputs!$C$30,Inputs!$C$30&gt;=Inputs!$D$30,Inputs!$B$31&gt;=Inputs!$C$31,Inputs!$C$31&gt;=Inputs!$D$31,Inputs!$B$32&gt;=Inputs!$C$32,Inputs!$C$32&gt;=Inputs!$D$32,Inputs!$B$33&gt;=Inputs!$C$33,Inputs!$C$33&gt;=Inputs!$D$33,Inputs!$B$34&gt;=Inputs!$C$34,Inputs!$C$34&gt;=Inputs!$D$34,Inputs!$B$55&lt;=Inputs!$C$55,Inputs!$C$55&lt;=Inputs!$D$55,Inputs!$B$57&lt;=Inputs!$C$57,Inputs!$C$57&lt;=Inputs!$D$57,Inputs!$B$59&lt;=Inputs!$C$59,Inputs!$C$59&lt;=Inputs!$D$59,Inputs!$B$61&lt;=Inputs!$C$61,Inputs!$C$61&lt;=Inputs!$D$61,Inputs!$B$63&lt;=Inputs!$C$63,Inputs!$C$63&lt;=Inputs!$D$63,Inputs!$B$65&lt;=Inputs!$C$65,Inputs!$C$65&lt;=Inputs!$D$65,Inputs!$B$89&gt;=Inputs!$C$89,Inputs!$C$89&gt;=Inputs!$D$89,Inputs!$B$90&lt;=Inputs!$C$90,Inputs!$C$90&lt;=Inputs!$D$90,Inputs!$B$91&lt;=Inputs!$C$91,Inputs!$C$91&lt;=Inputs!$D$91),"PASS","FAIL")</f>
        <v>PASS</v>
      </c>
      <c r="C9" s="18" t="s">
        <v>460</v>
      </c>
    </row>
    <row r="10" customFormat="false" ht="15" hidden="false" customHeight="false" outlineLevel="0" collapsed="false">
      <c r="A10" s="6" t="s">
        <v>461</v>
      </c>
      <c r="B10" s="4" t="str">
        <f aca="false">IF(AND(MIN('P&amp;L'!$B$8:$D$8)&gt;=0,MAX('P&amp;L'!$B$8:$D$8)&lt;=1),"PASS","FAIL")</f>
        <v>PASS</v>
      </c>
      <c r="C10" s="18" t="s">
        <v>462</v>
      </c>
    </row>
    <row r="11" customFormat="false" ht="15" hidden="false" customHeight="false" outlineLevel="0" collapsed="false">
      <c r="A11" s="6" t="s">
        <v>463</v>
      </c>
      <c r="B11" s="4" t="str">
        <f aca="false">IF(MIN(Monthly!$C$72:$AL$72)&gt;=-0.5,"PASS","FAIL")</f>
        <v>PASS</v>
      </c>
      <c r="C11" s="18" t="s">
        <v>464</v>
      </c>
    </row>
    <row r="12" customFormat="false" ht="15" hidden="false" customHeight="false" outlineLevel="0" collapsed="false">
      <c r="A12" s="6" t="s">
        <v>465</v>
      </c>
      <c r="B12" s="4" t="str">
        <f aca="false">IF(ABS('Break-even'!B18-('Break-even'!B16-'Break-even'!B10))&lt;0.5,"PASS","FAIL")</f>
        <v>PASS</v>
      </c>
      <c r="C12" s="18" t="s">
        <v>466</v>
      </c>
    </row>
    <row r="13" customFormat="false" ht="15" hidden="false" customHeight="false" outlineLevel="0" collapsed="false">
      <c r="A13" s="6" t="s">
        <v>467</v>
      </c>
      <c r="B13" s="4" t="str">
        <f aca="false">IF(ABS(Valuation!B23-NPV(Valuation!B6,Valuation!$B$17:$D$17))&lt;0.5,"PASS","FAIL")</f>
        <v>PASS</v>
      </c>
      <c r="C13" s="18" t="s">
        <v>468</v>
      </c>
    </row>
    <row r="14" customFormat="false" ht="15" hidden="false" customHeight="false" outlineLevel="0" collapsed="false">
      <c r="A14" s="6" t="s">
        <v>469</v>
      </c>
      <c r="B14" s="4" t="str">
        <f aca="false">IF(Valuation!B6&gt;Valuation!B7,"PASS","FAIL")</f>
        <v>PASS</v>
      </c>
      <c r="C14" s="18" t="s">
        <v>470</v>
      </c>
    </row>
    <row r="15" customFormat="false" ht="15" hidden="false" customHeight="false" outlineLevel="0" collapsed="false">
      <c r="A15" s="6" t="s">
        <v>471</v>
      </c>
      <c r="B15" s="4" t="str">
        <f aca="false">IF(ABS(Valuation!D36-Valuation!B27)&lt;0.5,"PASS","FAIL")</f>
        <v>PASS</v>
      </c>
      <c r="C15" s="18" t="s">
        <v>472</v>
      </c>
    </row>
    <row r="16" customFormat="false" ht="15" hidden="false" customHeight="false" outlineLevel="0" collapsed="false">
      <c r="A16" s="6" t="s">
        <v>473</v>
      </c>
      <c r="B16" s="4" t="str">
        <f aca="false">IF(Valuation!$D$17&gt;0,"PASS","WARN")</f>
        <v>PASS</v>
      </c>
      <c r="C16" s="18" t="s">
        <v>474</v>
      </c>
    </row>
    <row r="17" customFormat="false" ht="15" hidden="false" customHeight="false" outlineLevel="0" collapsed="false">
      <c r="A17" s="6" t="s">
        <v>475</v>
      </c>
      <c r="B17" s="4" t="str">
        <f aca="false">IF(ABS('Sources &amp; Uses'!B21-'Sources &amp; Uses'!B28)&lt;0.5,"PASS","FAIL")</f>
        <v>PASS</v>
      </c>
      <c r="C17" s="18" t="s">
        <v>476</v>
      </c>
    </row>
    <row r="18" customFormat="false" ht="15" hidden="false" customHeight="false" outlineLevel="0" collapsed="false">
      <c r="A18" s="6" t="s">
        <v>477</v>
      </c>
      <c r="B18" s="4" t="str">
        <f aca="false">IF(SUMPRODUCT(--ISERROR(Monthly!$C$4:$AL$107))+SUMPRODUCT(--ISERROR(Headcount!$C$4:$AL$17))+SUMPRODUCT(--ISERROR('P&amp;L'!$B$3:$D$27))+SUMPRODUCT(--ISERROR('Cash Flow'!$B$3:$D$18))+SUMPRODUCT(--ISERROR('Balance Sheet'!$B$3:$D$17))+SUMPRODUCT(--ISERROR(KPIs!$B$27:$D$47))+SUMPRODUCT(--ISERROR('Break-even'!$B$26:$D$33))+SUMPRODUCT(--ISERROR(Valuation!$B$14:$D$19))+SUMPRODUCT(--ISERROR('Break-even'!$B$3:$D$35))+SUMPRODUCT(--ISERROR(Valuation!$A$3:$F$40))+SUMPRODUCT(--ISERROR('Sources &amp; Uses'!$B$3:$C$30))+SUMPRODUCT(--ISERROR(Dashboard!$A$6:$W$44))+SUMPRODUCT(--ISERROR(Summary!$A$5:$S$52))+SUMPRODUCT(--ISERROR(KPIs!$A$4:$E$47))+SUMPRODUCT(--ISERROR('Scenario calc'!$C$6:$AL$121))+SUMPRODUCT(--ISERROR('Scenario calc'!$C$126:$AL$241))+SUMPRODUCT(--ISERROR('Scenario calc'!$C$246:$AL$361))+SUMPRODUCT(--ISERROR(Scenarios!$B$5:$E$50))=0,"PASS","FAIL")</f>
        <v>PASS</v>
      </c>
      <c r="C18" s="18" t="s">
        <v>478</v>
      </c>
    </row>
    <row r="19" customFormat="false" ht="15" hidden="false" customHeight="false" outlineLevel="0" collapsed="false">
      <c r="A19" s="6" t="s">
        <v>479</v>
      </c>
      <c r="B19" s="4" t="str">
        <f aca="false">IF(IFERROR(AND(SUMPRODUCT(--(ABS(Summary!$B$7:$D$7-'P&amp;L'!$B$5:$D$5)&gt;0.5))=0,SUMPRODUCT(--(ABS(Summary!$B$19:$D$19-'P&amp;L'!$B$26:$D$26)&gt;0.5))=0,SUMPRODUCT(--(ABS(Summary!$B$31:$D$31-'Cash Flow'!$B$18:$D$18)&gt;0.5))=0,SUMPRODUCT(--(ABS(Summary!$B$41:$D$41-'Balance Sheet'!$B$5:$D$5)&gt;0.5))=0,ABS(SUM(Summary!$H$7:$S$7)-INDEX(Summary!$B$7:$D$7,Summary!$R$2))&lt;0.5,ABS(SUM(Summary!$H$19:$S$19)-INDEX(Summary!$B$19:$D$19,Summary!$R$2))&lt;0.5,ABS(Summary!$S$31-INDEX(Summary!$B$31:$D$31,Summary!$R$2))&lt;0.5),FALSE()),"PASS","FAIL")</f>
        <v>PASS</v>
      </c>
      <c r="C19" s="18" t="s">
        <v>480</v>
      </c>
    </row>
    <row r="20" customFormat="false" ht="15" hidden="false" customHeight="false" outlineLevel="0" collapsed="false">
      <c r="A20" s="6" t="s">
        <v>481</v>
      </c>
      <c r="B20" s="4" t="str">
        <f aca="false">IF(SUMPRODUCT(--(ABS(KPIs!$B$24:$D$24)&gt;0.000000001))&gt;0,"FAIL",IF(SUMPRODUCT(ISNUMBER(KPIs!$B$23:$D$23)*ISNUMBER(KPIs!$B$16:$D$16))=0,"n/a","PASS"))</f>
        <v>PASS</v>
      </c>
      <c r="C20" s="18" t="s">
        <v>482</v>
      </c>
    </row>
    <row r="21" customFormat="false" ht="15" hidden="false" customHeight="false" outlineLevel="0" collapsed="false">
      <c r="A21" s="6" t="s">
        <v>483</v>
      </c>
      <c r="B21" s="4" t="str">
        <f aca="false">IF(IFERROR(AND(ABS(Scenarios!E17-INDEX(Scenarios!B17:D17,1,Dashboard!$B$4))&lt;0.5,ABS(Scenarios!E18-INDEX(Scenarios!B18:D18,1,Dashboard!$B$4))&lt;0.5,ABS(Scenarios!E19-INDEX(Scenarios!B19:D19,1,Dashboard!$B$4))&lt;0.5,ABS(Scenarios!E20-INDEX(Scenarios!B20:D20,1,Dashboard!$B$4))&lt;0.000001,ABS(Scenarios!E21-INDEX(Scenarios!B21:D21,1,Dashboard!$B$4))&lt;0.5,ABS(Scenarios!E22-INDEX(Scenarios!B22:D22,1,Dashboard!$B$4))&lt;0.5,ABS(Scenarios!E23-INDEX(Scenarios!B23:D23,1,Dashboard!$B$4))&lt;0.5,ABS(Scenarios!E24-INDEX(Scenarios!B24:D24,1,Dashboard!$B$4))&lt;0.5,ABS(Scenarios!E25-INDEX(Scenarios!B25:D25,1,Dashboard!$B$4))&lt;0.5,ABS(Scenarios!E26-INDEX(Scenarios!B26:D26,1,Dashboard!$B$4))&lt;0.5),FALSE()),"PASS","FAIL")</f>
        <v>PASS</v>
      </c>
      <c r="C21" s="18" t="s">
        <v>484</v>
      </c>
    </row>
    <row r="22" customFormat="false" ht="15" hidden="false" customHeight="false" outlineLevel="0" collapsed="false">
      <c r="A22" s="6" t="s">
        <v>485</v>
      </c>
      <c r="B22" s="4" t="str">
        <f aca="false">IF(SUMPRODUCT(--(ABS(Monthly!$C$107:$AL$107)&gt;0.5))=0,"PASS","FAIL")</f>
        <v>PASS</v>
      </c>
      <c r="C22" s="18" t="s">
        <v>486</v>
      </c>
    </row>
    <row r="23" customFormat="false" ht="15" hidden="false" customHeight="false" outlineLevel="0" collapsed="false">
      <c r="A23" s="6" t="s">
        <v>487</v>
      </c>
      <c r="B23" s="4" t="str">
        <f aca="false">IF(MIN(Monthly!$C$89:$AL$89)&gt;=0,"PASS","WARN")</f>
        <v>PASS</v>
      </c>
      <c r="C23" s="18" t="s">
        <v>488</v>
      </c>
    </row>
    <row r="25" customFormat="false" ht="15" hidden="false" customHeight="false" outlineLevel="0" collapsed="false">
      <c r="A25" s="70" t="s">
        <v>489</v>
      </c>
      <c r="B25" s="70" t="str">
        <f aca="false">IF(COUNTIF(B4:B23,"FAIL")&gt;0,"FAIL",IF(COUNTIF(B4:B23,"WARN")&gt;0,"PASS WITH WARNINGS","PASS"))</f>
        <v>PASS</v>
      </c>
      <c r="C25" s="123"/>
    </row>
  </sheetData>
  <conditionalFormatting sqref="B4:B25">
    <cfRule type="expression" priority="2" aboveAverage="0" equalAverage="0" bottom="0" percent="0" rank="0" text="" dxfId="0">
      <formula>ISNUMBER(SEARCH("FAIL",B4))</formula>
    </cfRule>
    <cfRule type="expression" priority="3" aboveAverage="0" equalAverage="0" bottom="0" percent="0" rank="0" text="" dxfId="1">
      <formula>ISNUMBER(SEARCH("WARN",B4))</formula>
    </cfRule>
    <cfRule type="expression" priority="4" aboveAverage="0" equalAverage="0" bottom="0" percent="0" rank="0" text="" dxfId="2">
      <formula>B4="PASS"</formula>
    </cfRule>
  </conditionalFormatting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2026-10-22T08:39:54Z</dcterms:created>
  <dc:creator/>
  <dc:description/>
  <dc:language>en-US</dc:language>
  <cp:lastModifiedBy/>
  <dcterms:modified xsi:type="dcterms:W3CDTF">2026-10-22T08:39:55Z</dcterms:modified>
  <cp:revision>0</cp:revision>
  <dc:subject/>
  <dc:title>Food truck financial model (planning)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