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<sst xmlns="http://schemas.openxmlformats.org/spreadsheetml/2006/main" count="1372" uniqueCount="523">
  <si>
    <t xml:space="preserve">Childcare centre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</si>
  <si>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</si>
  <si>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</si>
  <si>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</si>
  <si>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</si>
  <si>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</si>
  <si>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</si>
  <si>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</si>
  <si>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</si>
  <si>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</si>
  <si>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</si>
  <si>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</si>
  <si>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</si>
  <si>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</si>
  <si>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</si>
  <si>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</si>
  <si>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</si>
  <si>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</si>
  <si>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</si>
  <si>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</si>
  <si>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</si>
  <si>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</si>
  <si>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</si>
  <si>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</si>
  <si>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</si>
  <si>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</si>
  <si>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</si>
  <si>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</si>
  <si>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</si>
  <si>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</si>
  <si>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</si>
  <si>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</si>
  <si>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</si>
  <si>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</si>
  <si>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</si>
  <si>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</si>
  <si>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</si>
  <si>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</si>
  <si>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</si>
  <si>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</si>
  <si>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</si>
  <si>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</si>
  <si>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</si>
  <si>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</si>
  <si>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</si>
  <si>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</si>
  <si>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</si>
  <si>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</si>
  <si>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</si>
  <si>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</si>
  <si>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</si>
  <si>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</si>
  <si>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</si>
  <si>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</si>
  <si>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</si>
  <si>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</si>
  <si>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</si>
  <si>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Childcare metrics</t>
  </si>
  <si>
    <t xml:space="preserve">Children enrolled (year end)</t>
  </si>
  <si>
    <t xml:space="preserve">Occupancy (child-months ÷ place-months)</t>
  </si>
  <si>
    <t xml:space="preserve">Teacher payroll, % of revenue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</si>
  <si>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</si>
  <si>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</si>
  <si>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</si>
  <si>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</si>
  <si>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</si>
  <si>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</si>
  <si>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</si>
  <si>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</si>
  <si>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</si>
  <si>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</si>
  <si>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</si>
  <si>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</si>
  <si>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</si>
  <si>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</si>
  <si>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</si>
  <si>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</si>
  <si>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</si>
  <si>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</si>
  <si>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</si>
  <si>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</si>
  <si>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</si>
  <si>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</si>
  <si>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</si>
  <si>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</si>
  <si>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</si>
  <si>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</si>
  <si>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</si>
  <si>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</si>
  <si>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</si>
  <si>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</si>
  <si>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</si>
  <si>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</si>
  <si>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</si>
  <si>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</si>
  <si>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</si>
  <si>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</si>
  <si>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</si>
  <si>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</si>
  <si>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</si>
  <si>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</si>
  <si>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</si>
  <si>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</si>
  <si>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</si>
  <si>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</si>
  <si>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</si>
  <si>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</si>
  <si>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</si>
  <si>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Licensed places (children) at start (#)</t>
  </si>
  <si>
    <t xml:space="preserve">Enrolment once full, % of licensed places (%)</t>
  </si>
  <si>
    <t xml:space="preserve">Tuition per infant / toddler per month (year 1) ($)</t>
  </si>
  <si>
    <t xml:space="preserve">Tuition per preschooler per month (year 1) ($)</t>
  </si>
  <si>
    <t xml:space="preserve">Children paid by subsidy / vouchers, % of enrolled (%)</t>
  </si>
  <si>
    <t xml:space="preserve">Rent per square foot per year (year 1)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</si>
  <si>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</si>
  <si>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</si>
  <si>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</si>
  <si>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</si>
  <si>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</si>
  <si>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</si>
  <si>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</si>
  <si>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</si>
  <si>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</si>
  <si>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</si>
  <si>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</si>
  <si>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</si>
  <si>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</si>
  <si>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</si>
  <si>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</si>
  <si>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</si>
  <si>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</si>
  <si>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</si>
  <si>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</si>
  <si>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</si>
  <si>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</si>
  <si>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</si>
  <si>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</si>
  <si>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</si>
  <si>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</si>
  <si>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</si>
  <si>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</si>
  <si>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</si>
  <si>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</si>
  <si>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</si>
  <si>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</si>
  <si>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</si>
  <si>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</si>
  <si>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</si>
  <si>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</si>
  <si>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</si>
  <si>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</si>
  <si>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</si>
  <si>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</si>
  <si>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</si>
  <si>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</si>
  <si>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</si>
  <si>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</si>
  <si>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</si>
  <si>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</si>
  <si>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</si>
  <si>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</si>
  <si>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</si>
  <si>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</si>
  <si>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</si>
  <si>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</si>
  <si>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</si>
  <si>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</si>
  <si>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</si>
  <si>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</si>
  <si>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</si>
  <si>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</si>
  <si>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</si>
  <si>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</si>
  <si>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</si>
  <si>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</si>
  <si>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</si>
  <si>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</si>
  <si>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</si>
  <si>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</si>
  <si>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</si>
  <si>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</si>
  <si>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</si>
  <si>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</si>
  <si>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</si>
  <si>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</si>
  <si>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</si>
  <si>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</si>
  <si>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</si>
  <si>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</si>
  <si>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</si>
  <si>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</si>
  <si>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</si>
  <si>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</si>
  <si>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</si>
  <si>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</si>
  <si>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</si>
  <si>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</si>
  <si>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</si>
  <si>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</si>
  <si>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</si>
  <si>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</si>
  <si>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</si>
  <si>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</si>
  <si>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</si>
  <si>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</si>
  <si>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</si>
  <si>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</si>
  <si>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</si>
  <si>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</si>
  <si>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</si>
  <si>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</si>
  <si>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</si>
  <si>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</si>
  <si>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</si>
  <si>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</si>
  <si>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Childcare centre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</si>
  <si>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</si>
  <si>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</si>
  <si>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</si>
  <si>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</si>
  <si>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</si>
  <si>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</si>
  <si>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</si>
  <si>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</si>
  <si>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</si>
  <si>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</si>
  <si>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</si>
  <si>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</si>
  <si>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</si>
  <si>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</si>
  <si>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</si>
  <si>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Childcare metrics ($'000; per-unit rows in $)</t>
  </si>
  <si>
    <t xml:space="preserve">Licensed places (year end)</t>
  </si>
  <si>
    <t xml:space="preserve">Licensed place-months</t>
  </si>
  <si>
    <t xml:space="preserve">Child-months enrolled</t>
  </si>
  <si>
    <t xml:space="preserve">Occupancy (child-months ÷ licensed place-months)</t>
  </si>
  <si>
    <t xml:space="preserve">New children enrolled</t>
  </si>
  <si>
    <t xml:space="preserve">Teachers on the floor (year end)</t>
  </si>
  <si>
    <t xml:space="preserve">Parent-paid tuition</t>
  </si>
  <si>
    <t xml:space="preserve">Subsidy &amp; voucher payments</t>
  </si>
  <si>
    <t xml:space="preserve">Subsidy &amp; vouchers, % of tuition revenue</t>
  </si>
  <si>
    <t xml:space="preserve">Registration fees</t>
  </si>
  <si>
    <t xml:space="preserve">Tuition revenue per child-month ($)</t>
  </si>
  <si>
    <t xml:space="preserve">Teacher payroll (with payroll taxes)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</si>
  <si>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</si>
  <si>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</si>
  <si>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</si>
  <si>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</si>
  <si>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Places &amp; enrolment</t>
  </si>
  <si>
    <t xml:space="preserve">Licensed places (children) at start</t>
  </si>
  <si>
    <t xml:space="preserve">#</t>
  </si>
  <si>
    <t xml:space="preserve">Licensed places added each year (from year 2)</t>
  </si>
  <si>
    <t xml:space="preserve">Low ≤ Base ≤ High</t>
  </si>
  <si>
    <t xml:space="preserve">Places for infants &amp; toddlers, % of licensed places</t>
  </si>
  <si>
    <t xml:space="preserve">%</t>
  </si>
  <si>
    <t xml:space="preserve">Enrolment once full, % of licensed places</t>
  </si>
  <si>
    <t xml:space="preserve">Enrolment in month 1, % of licensed places</t>
  </si>
  <si>
    <t xml:space="preserve">Months to reach full enrolment</t>
  </si>
  <si>
    <t xml:space="preserve">months</t>
  </si>
  <si>
    <t xml:space="preserve">Low ≥ Base ≥ High (lower is better)</t>
  </si>
  <si>
    <t xml:space="preserve">Operating days per month</t>
  </si>
  <si>
    <t xml:space="preserve">days</t>
  </si>
  <si>
    <t xml:space="preserve">Children leaving each year, % of enrolled (replaced by new)</t>
  </si>
  <si>
    <t xml:space="preserve">Tuition &amp; fees</t>
  </si>
  <si>
    <t xml:space="preserve">Tuition per infant / toddler per month (year 1)</t>
  </si>
  <si>
    <t xml:space="preserve">$</t>
  </si>
  <si>
    <t xml:space="preserve">Tuition per preschooler per month (year 1)</t>
  </si>
  <si>
    <t xml:space="preserve">Tuition and fee increase per year</t>
  </si>
  <si>
    <t xml:space="preserve">Sibling &amp; staff discounts, % of parent-paid tuition</t>
  </si>
  <si>
    <t xml:space="preserve">Registration fee per new child (year 1)</t>
  </si>
  <si>
    <t xml:space="preserve">Children paid by subsidy / vouchers, % of enrolled</t>
  </si>
  <si>
    <t xml:space="preserve">Subsidy payment, % of the list tuition</t>
  </si>
  <si>
    <t xml:space="preserve">Staffing by ratio</t>
  </si>
  <si>
    <t xml:space="preserve">Children per teacher, infants &amp; toddlers</t>
  </si>
  <si>
    <t xml:space="preserve">Children per teacher, preschool</t>
  </si>
  <si>
    <t xml:space="preserve">Coverage factor (teachers hired per teacher on the floor)</t>
  </si>
  <si>
    <t xml:space="preserve">x</t>
  </si>
  <si>
    <t xml:space="preserve">Teacher salary per FTE per year (year 1)</t>
  </si>
  <si>
    <t xml:space="preserve">Food per child per operating day (year 1)</t>
  </si>
  <si>
    <t xml:space="preserve">Supplies &amp; activities per child per month (year 1)</t>
  </si>
  <si>
    <t xml:space="preserve">Food, supplies &amp; utilities cost increase per year</t>
  </si>
  <si>
    <t xml:space="preserve">Operating costs</t>
  </si>
  <si>
    <t xml:space="preserve">Floor area per licensed place</t>
  </si>
  <si>
    <t xml:space="preserve">sq ft</t>
  </si>
  <si>
    <t xml:space="preserve">Rent per square foot per year (year 1)</t>
  </si>
  <si>
    <t xml:space="preserve">Rent increase per year</t>
  </si>
  <si>
    <t xml:space="preserve">Utilities &amp; cleaning per square foot per year (year 1)</t>
  </si>
  <si>
    <t xml:space="preserve">Insurance per month</t>
  </si>
  <si>
    <t xml:space="preserve">Licensing, background checks &amp; training per month</t>
  </si>
  <si>
    <t xml:space="preserve">Marketing budget per month (year 1)</t>
  </si>
  <si>
    <t xml:space="preserve">Marketing budget growth per year</t>
  </si>
  <si>
    <t xml:space="preserve">Parent app &amp; management software per month</t>
  </si>
  <si>
    <t xml:space="preserve">Card / ACH fees, % of parent-paid tuition</t>
  </si>
  <si>
    <t xml:space="preserve">Other G&amp;A per month (accounting, legal, bank)</t>
  </si>
  <si>
    <t xml:space="preserve">Capex</t>
  </si>
  <si>
    <t xml:space="preserve">Build-out per square foot (new places)</t>
  </si>
  <si>
    <t xml:space="preserve">Furniture &amp; equipment per licensed place</t>
  </si>
  <si>
    <t xml:space="preserve">Places already built out and equipped at start</t>
  </si>
  <si>
    <t xml:space="preserve">Playground &amp; outdoor area (month 1)</t>
  </si>
  <si>
    <t xml:space="preserve">Equipment replacement per licensed place per year (from year 2)</t>
  </si>
  <si>
    <t xml:space="preserve">Headcount</t>
  </si>
  <si>
    <t xml:space="preserve">Centre director: headcount (FTE)</t>
  </si>
  <si>
    <t xml:space="preserve">FTE</t>
  </si>
  <si>
    <t xml:space="preserve">Centre director: salary per FTE per year</t>
  </si>
  <si>
    <t xml:space="preserve">Centre director: headcount growth per year</t>
  </si>
  <si>
    <t xml:space="preserve">Centre director: first month on payroll</t>
  </si>
  <si>
    <t xml:space="preserve">month #</t>
  </si>
  <si>
    <t xml:space="preserve">Office &amp; enrolment coordinator: headcount (FTE)</t>
  </si>
  <si>
    <t xml:space="preserve">Office &amp; enrolment coordinator: salary per FTE per year</t>
  </si>
  <si>
    <t xml:space="preserve">Office &amp; enrolment coordinator: headcount growth per year</t>
  </si>
  <si>
    <t xml:space="preserve">Office &amp; enrolment coordinator: first month on payroll</t>
  </si>
  <si>
    <t xml:space="preserve">Cook / kitchen assistant: headcount (FTE)</t>
  </si>
  <si>
    <t xml:space="preserve">Cook / kitchen assistant: salary per FTE per year</t>
  </si>
  <si>
    <t xml:space="preserve">Cook / kitchen assistant: headcount growth per year</t>
  </si>
  <si>
    <t xml:space="preserve">Cook / kitchen assistant: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</si>
  <si>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</si>
  <si>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</si>
  <si>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</si>
  <si>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</si>
  <si>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</si>
  <si>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</si>
  <si>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</si>
  <si>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</si>
  <si>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</si>
  <si>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</si>
  <si>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</si>
  <si>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</si>
  <si>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</si>
  <si>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</si>
  <si>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</si>
  <si>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</si>
  <si>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</si>
  <si>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</si>
  <si>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</si>
  <si>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</si>
  <si>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</si>
  <si>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</si>
  <si>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</si>
  <si>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 (director, office, kitchen)</t>
  </si>
  <si>
    <t xml:space="preserve">Rent</t>
  </si>
  <si>
    <t xml:space="preserve">Utilities &amp; cleaning</t>
  </si>
  <si>
    <t xml:space="preserve">Insurance</t>
  </si>
  <si>
    <t xml:space="preserve">Licensing, background checks &amp; training</t>
  </si>
  <si>
    <t xml:space="preserve">Marketing</t>
  </si>
  <si>
    <t xml:space="preserve">Parent app &amp; management software</t>
  </si>
  <si>
    <t xml:space="preserve">Card / ACH fees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</si>
  <si>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</si>
  <si>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</si>
  <si>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</si>
  <si>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</si>
  <si>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</si>
  <si>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</si>
  <si>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</si>
  <si>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</si>
  <si>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</si>
  <si>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</si>
  <si>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</si>
  <si>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</si>
  <si>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</si>
  <si>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</si>
  <si>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</si>
  <si>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</si>
  <si>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</si>
  <si>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</si>
  <si>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</si>
  <si>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</si>
  <si>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</si>
  <si>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</si>
  <si>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</si>
  <si>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</si>
  <si>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</si>
  <si>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</si>
  <si>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</si>
  <si>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</si>
  <si>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</si>
  <si>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</si>
  <si>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</si>
  <si>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</si>
  <si>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</si>
  <si>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</si>
  <si>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</si>
  <si>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</si>
  <si>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</si>
  <si>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</si>
  <si>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</si>
  <si>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</si>
  <si>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</si>
  <si>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</si>
  <si>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</si>
  <si>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</si>
  <si>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</si>
  <si>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</si>
  <si>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</si>
  <si>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</si>
  <si>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</si>
  <si>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</si>
  <si>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</si>
  <si>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</si>
  <si>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</si>
  <si>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</si>
  <si>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</si>
  <si>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</si>
  <si>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</si>
  <si>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</si>
  <si>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</si>
  <si>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</si>
  <si>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</si>
  <si>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</si>
  <si>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</si>
  <si>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</si>
  <si>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</si>
  <si>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</si>
  <si>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</si>
  <si>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</si>
  <si>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</si>
  <si>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</si>
  <si>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</si>
  <si>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Licensed places</t>
  </si>
  <si>
    <t xml:space="preserve">Enrolment in month 1 (capped at the full level)</t>
  </si>
  <si>
    <t xml:space="preserve">Helper: months of the period still on the ramp-up</t>
  </si>
  <si>
    <t xml:space="preserve">Enrolment, average of the period (% of places)</t>
  </si>
  <si>
    <t xml:space="preserve">Enrolment at the end of the period (% of places)</t>
  </si>
  <si>
    <t xml:space="preserve">Infants &amp; toddlers enrolled (average)</t>
  </si>
  <si>
    <t xml:space="preserve">Preschoolers enrolled (average)</t>
  </si>
  <si>
    <t xml:space="preserve">Children enrolled (average)</t>
  </si>
  <si>
    <t xml:space="preserve">Children enrolled at the end of the period</t>
  </si>
  <si>
    <t xml:space="preserve">New children enrolled (fill-up and replacement of leavers)</t>
  </si>
  <si>
    <t xml:space="preserve">Teachers on the floor, infants &amp; toddlers</t>
  </si>
  <si>
    <t xml:space="preserve">Teachers on the floor, preschool</t>
  </si>
  <si>
    <t xml:space="preserve">Teachers on the floor</t>
  </si>
  <si>
    <t xml:space="preserve">Teaching FTE hired (with coverage)</t>
  </si>
  <si>
    <t xml:space="preserve">Tuition at list price</t>
  </si>
  <si>
    <t xml:space="preserve">Parent-paid tuition (after sibling &amp; staff discounts)</t>
  </si>
  <si>
    <t xml:space="preserve">Food</t>
  </si>
  <si>
    <t xml:space="preserve">Supplies &amp; activities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</si>
  <si>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</si>
  <si>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</si>
  <si>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</si>
  <si>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</si>
  <si>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</si>
  <si>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Build-out of new places</t>
  </si>
  <si>
    <t xml:space="preserve">Furniture &amp; equipment for new places</t>
  </si>
  <si>
    <t xml:space="preserve">Playground &amp; outdoor area</t>
  </si>
  <si>
    <t xml:space="preserve">Equipment replacement (first period of each year from year 2)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</si>
  <si>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</si>
  <si>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</si>
  <si>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</si>
  <si>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</si>
  <si>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</si>
  <si>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</si>
  <si>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</si>
  <si>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</si>
  <si>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</si>
  <si>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</si>
  <si>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</si>
  <si>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</si>
  <si>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</si>
  <si>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</si>
  <si>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</si>
  <si>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</si>
  <si>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</si>
  <si>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</si>
  <si>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</si>
  <si>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</si>
  <si>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Centre director — FTE</t>
  </si>
  <si>
    <t xml:space="preserve">Office &amp; enrolment coordinator — FTE</t>
  </si>
  <si>
    <t xml:space="preserve">Cook / kitchen assistant — FTE</t>
  </si>
  <si>
    <t xml:space="preserve">Total FTE</t>
  </si>
  <si>
    <t xml:space="preserve">Payroll cost (salary + taxes &amp; benefits)</t>
  </si>
  <si>
    <t xml:space="preserve">Centre director — payroll cost</t>
  </si>
  <si>
    <t xml:space="preserve">Office &amp; enrolment coordinator — payroll cost</t>
  </si>
  <si>
    <t xml:space="preserve">Cook / kitchen assistant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</si>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</sst>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#,##0;\(#,##0\);\-"/>
    <numFmt numFmtId="183" formatCode="0.0%;\(0.0%\);\-"/>
    <numFmt numFmtId="184" formatCode="\$#,##0;&quot;($&quot;#,##0\);\-"/>
    <numFmt numFmtId="185" formatCode="\$#,##0.00;&quot;($&quot;#,##0.00\);\-"/>
    <numFmt numFmtId="186" formatCode="0"/>
    <numFmt numFmtId="187" formatCode="0.0\x"/>
    <numFmt numFmtId="188" formatCode="0.000"/>
    <numFmt numFmtId="189" formatCode="0.0\x;\(0.0&quot;x)&quot;;\-"/>
    <numFmt numFmtId="190" formatCode="[&gt;=1000000]\$#,##0.0,,\M;[&gt;=1000]\$#,##0,\k;\$#,##0"/>
    <numFmt numFmtId="191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419706.375</c:v>
                </c:pt>
                <c:pt idx="1">
                  <c:v>725888.895</c:v>
                </c:pt>
                <c:pt idx="2">
                  <c:v>747148.3731</c:v>
                </c:pt>
                <c:pt idx="3">
                  <c:v>769562.824293</c:v>
                </c:pt>
                <c:pt idx="4">
                  <c:v>792649.70902179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-125850.99375</c:v>
                </c:pt>
                <c:pt idx="1">
                  <c:v>54057.2784999999</c:v>
                </c:pt>
                <c:pt idx="2">
                  <c:v>57501.808105</c:v>
                </c:pt>
                <c:pt idx="3">
                  <c:v>61566.86234815</c:v>
                </c:pt>
                <c:pt idx="4">
                  <c:v>65753.8682185944</c:v>
                </c:pt>
              </c:numCache>
            </c:numRef>
          </c:val>
        </c:ser>
        <c:gapWidth val="60"/>
        <c:overlap val="0"/>
        <c:axId val="86729622"/>
        <c:axId val="64234929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-0.299854853884457</c:v>
                </c:pt>
                <c:pt idx="1">
                  <c:v>0.0744704580444091</c:v>
                </c:pt>
                <c:pt idx="2">
                  <c:v>0.0769616988743731</c:v>
                </c:pt>
                <c:pt idx="3">
                  <c:v>0.0800023862960268</c:v>
                </c:pt>
                <c:pt idx="4">
                  <c:v>0.0829545100063701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612142"/>
        <c:axId val="52360917"/>
      </c:lineChart>
      <c:catAx>
        <c:axId val="8672962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234929"/>
        <c:crosses val="autoZero"/>
        <c:auto val="1"/>
        <c:lblAlgn val="ctr"/>
        <c:lblOffset val="100"/>
        <c:noMultiLvlLbl val="0"/>
      </c:catAx>
      <c:valAx>
        <c:axId val="642349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729622"/>
        <c:crosses val="autoZero"/>
        <c:crossBetween val="between"/>
      </c:valAx>
      <c:catAx>
        <c:axId val="3261214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360917"/>
        <c:crosses val="autoZero"/>
        <c:auto val="1"/>
        <c:lblAlgn val="ctr"/>
        <c:lblOffset val="100"/>
        <c:noMultiLvlLbl val="0"/>
      </c:catAx>
      <c:valAx>
        <c:axId val="523609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61214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-161309.301388889</c:v>
                </c:pt>
                <c:pt idx="1">
                  <c:v>35051.747</c:v>
                </c:pt>
                <c:pt idx="2">
                  <c:v>41791.0179308333</c:v>
                </c:pt>
                <c:pt idx="3">
                  <c:v>47839.7484687583</c:v>
                </c:pt>
                <c:pt idx="4">
                  <c:v>54009.940922821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-442000</c:v>
                </c:pt>
                <c:pt idx="1">
                  <c:v>-9000</c:v>
                </c:pt>
                <c:pt idx="2">
                  <c:v>-9000</c:v>
                </c:pt>
                <c:pt idx="3">
                  <c:v>-9000</c:v>
                </c:pt>
                <c:pt idx="4">
                  <c:v>-9000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677083.333333333</c:v>
                </c:pt>
                <c:pt idx="1">
                  <c:v>-25000</c:v>
                </c:pt>
                <c:pt idx="2">
                  <c:v>-25000</c:v>
                </c:pt>
                <c:pt idx="3">
                  <c:v>-25000</c:v>
                </c:pt>
                <c:pt idx="4">
                  <c:v>-25000</c:v>
                </c:pt>
              </c:numCache>
            </c:numRef>
          </c:val>
        </c:ser>
        <c:gapWidth val="60"/>
        <c:overlap val="0"/>
        <c:axId val="83622158"/>
        <c:axId val="10411454"/>
      </c:barChart>
      <c:catAx>
        <c:axId val="8362215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411454"/>
        <c:crosses val="autoZero"/>
        <c:auto val="1"/>
        <c:lblAlgn val="ctr"/>
        <c:lblOffset val="100"/>
        <c:noMultiLvlLbl val="0"/>
      </c:catAx>
      <c:valAx>
        <c:axId val="1041145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6221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73774.0319444445</c:v>
                </c:pt>
                <c:pt idx="1">
                  <c:v>74825.7789444444</c:v>
                </c:pt>
                <c:pt idx="2">
                  <c:v>82616.7968752778</c:v>
                </c:pt>
                <c:pt idx="3">
                  <c:v>96456.5453440361</c:v>
                </c:pt>
                <c:pt idx="4">
                  <c:v>116466.486266857</c:v>
                </c:pt>
              </c:numCache>
            </c:numRef>
          </c:val>
        </c:ser>
        <c:gapWidth val="60"/>
        <c:overlap val="0"/>
        <c:axId val="98428142"/>
        <c:axId val="86102118"/>
      </c:barChart>
      <c:catAx>
        <c:axId val="9842814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102118"/>
        <c:crosses val="autoZero"/>
        <c:auto val="1"/>
        <c:lblAlgn val="ctr"/>
        <c:lblOffset val="100"/>
        <c:noMultiLvlLbl val="0"/>
      </c:catAx>
      <c:valAx>
        <c:axId val="8610211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428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Children enrolled &amp;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Children enrolled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47.75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</c:numCache>
            </c:numRef>
          </c:val>
        </c:ser>
        <c:gapWidth val="60"/>
        <c:overlap val="0"/>
        <c:axId val="56818046"/>
        <c:axId val="53131694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Occupancy (child-months ÷ place-months)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0.497916666666667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341459"/>
        <c:axId val="17903207"/>
      </c:lineChart>
      <c:catAx>
        <c:axId val="5681804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131694"/>
        <c:crosses val="autoZero"/>
        <c:auto val="1"/>
        <c:lblAlgn val="ctr"/>
        <c:lblOffset val="100"/>
        <c:noMultiLvlLbl val="0"/>
      </c:catAx>
      <c:valAx>
        <c:axId val="5313169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818046"/>
        <c:crosses val="autoZero"/>
        <c:crossBetween val="between"/>
      </c:valAx>
      <c:catAx>
        <c:axId val="3434145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903207"/>
        <c:crosses val="autoZero"/>
        <c:auto val="1"/>
        <c:lblAlgn val="ctr"/>
        <c:lblOffset val="100"/>
        <c:noMultiLvlLbl val="0"/>
      </c:catAx>
      <c:valAx>
        <c:axId val="1790320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34145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15609</c:v>
                </c:pt>
                <c:pt idx="1">
                  <c:v>18036.4375</c:v>
                </c:pt>
                <c:pt idx="2">
                  <c:v>21776.375</c:v>
                </c:pt>
                <c:pt idx="3">
                  <c:v>25516.3125</c:v>
                </c:pt>
                <c:pt idx="4">
                  <c:v>29256.25</c:v>
                </c:pt>
                <c:pt idx="5">
                  <c:v>32996.1875</c:v>
                </c:pt>
                <c:pt idx="6">
                  <c:v>36736.125</c:v>
                </c:pt>
                <c:pt idx="7">
                  <c:v>40476.0625</c:v>
                </c:pt>
                <c:pt idx="8">
                  <c:v>44216</c:v>
                </c:pt>
                <c:pt idx="9">
                  <c:v>47955.9375</c:v>
                </c:pt>
                <c:pt idx="10">
                  <c:v>51695.875</c:v>
                </c:pt>
                <c:pt idx="11">
                  <c:v>55435.8125</c:v>
                </c:pt>
              </c:numCache>
            </c:numRef>
          </c:val>
        </c:ser>
        <c:gapWidth val="60"/>
        <c:overlap val="0"/>
        <c:axId val="76122613"/>
        <c:axId val="93139337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-17948.2166666667</c:v>
                </c:pt>
                <c:pt idx="1">
                  <c:v>-15963.0635416667</c:v>
                </c:pt>
                <c:pt idx="2">
                  <c:v>-20505.4104166667</c:v>
                </c:pt>
                <c:pt idx="3">
                  <c:v>-17207.7572916667</c:v>
                </c:pt>
                <c:pt idx="4">
                  <c:v>-13910.1041666667</c:v>
                </c:pt>
                <c:pt idx="5">
                  <c:v>-10612.4510416667</c:v>
                </c:pt>
                <c:pt idx="6">
                  <c:v>-7314.79791666667</c:v>
                </c:pt>
                <c:pt idx="7">
                  <c:v>-7937.14479166667</c:v>
                </c:pt>
                <c:pt idx="8">
                  <c:v>-8559.49166666667</c:v>
                </c:pt>
                <c:pt idx="9">
                  <c:v>-5261.83854166666</c:v>
                </c:pt>
                <c:pt idx="10">
                  <c:v>-1964.18541666666</c:v>
                </c:pt>
                <c:pt idx="11">
                  <c:v>1333.46770833334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-23298.2166666667</c:v>
                </c:pt>
                <c:pt idx="1">
                  <c:v>-21306.1190972222</c:v>
                </c:pt>
                <c:pt idx="2">
                  <c:v>-25834.5770833333</c:v>
                </c:pt>
                <c:pt idx="3">
                  <c:v>-22523.0350694444</c:v>
                </c:pt>
                <c:pt idx="4">
                  <c:v>-19211.4930555556</c:v>
                </c:pt>
                <c:pt idx="5">
                  <c:v>-15899.9510416667</c:v>
                </c:pt>
                <c:pt idx="6">
                  <c:v>-12588.4090277778</c:v>
                </c:pt>
                <c:pt idx="7">
                  <c:v>-13196.8670138889</c:v>
                </c:pt>
                <c:pt idx="8">
                  <c:v>-13805.325</c:v>
                </c:pt>
                <c:pt idx="9">
                  <c:v>-10493.7829861111</c:v>
                </c:pt>
                <c:pt idx="10">
                  <c:v>-7182.24097222222</c:v>
                </c:pt>
                <c:pt idx="11">
                  <c:v>-3870.69895833333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122613"/>
        <c:axId val="93139337"/>
      </c:lineChart>
      <c:catAx>
        <c:axId val="7612261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3139337"/>
        <c:crosses val="autoZero"/>
        <c:auto val="1"/>
        <c:lblAlgn val="ctr"/>
        <c:lblOffset val="100"/>
        <c:noMultiLvlLbl val="0"/>
      </c:catAx>
      <c:valAx>
        <c:axId val="931393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1226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-23923.3166666667</c:v>
                </c:pt>
                <c:pt idx="1">
                  <c:v>-18575.8753472222</c:v>
                </c:pt>
                <c:pt idx="2">
                  <c:v>-21582.4166666667</c:v>
                </c:pt>
                <c:pt idx="3">
                  <c:v>-20361.5413194444</c:v>
                </c:pt>
                <c:pt idx="4">
                  <c:v>-17049.9993055556</c:v>
                </c:pt>
                <c:pt idx="5">
                  <c:v>-13738.4572916667</c:v>
                </c:pt>
                <c:pt idx="6">
                  <c:v>-10426.9152777778</c:v>
                </c:pt>
                <c:pt idx="7">
                  <c:v>-9990.03993055557</c:v>
                </c:pt>
                <c:pt idx="8">
                  <c:v>-10598.4979166667</c:v>
                </c:pt>
                <c:pt idx="9">
                  <c:v>-8332.28923611111</c:v>
                </c:pt>
                <c:pt idx="10">
                  <c:v>-5020.74722222222</c:v>
                </c:pt>
                <c:pt idx="11">
                  <c:v>-1709.20520833333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-442000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700000</c:v>
                </c:pt>
                <c:pt idx="1">
                  <c:v>-2083.33333333333</c:v>
                </c:pt>
                <c:pt idx="2">
                  <c:v>-2083.33333333333</c:v>
                </c:pt>
                <c:pt idx="3">
                  <c:v>-2083.33333333333</c:v>
                </c:pt>
                <c:pt idx="4">
                  <c:v>-2083.33333333333</c:v>
                </c:pt>
                <c:pt idx="5">
                  <c:v>-2083.33333333333</c:v>
                </c:pt>
                <c:pt idx="6">
                  <c:v>-2083.33333333333</c:v>
                </c:pt>
                <c:pt idx="7">
                  <c:v>-2083.33333333333</c:v>
                </c:pt>
                <c:pt idx="8">
                  <c:v>-2083.33333333333</c:v>
                </c:pt>
                <c:pt idx="9">
                  <c:v>-2083.33333333333</c:v>
                </c:pt>
                <c:pt idx="10">
                  <c:v>-2083.33333333333</c:v>
                </c:pt>
                <c:pt idx="11">
                  <c:v>-2083.33333333333</c:v>
                </c:pt>
              </c:numCache>
            </c:numRef>
          </c:val>
        </c:ser>
        <c:gapWidth val="60"/>
        <c:overlap val="0"/>
        <c:axId val="56529081"/>
        <c:axId val="19588155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234076.683333333</c:v>
                </c:pt>
                <c:pt idx="1">
                  <c:v>213417.474652778</c:v>
                </c:pt>
                <c:pt idx="2">
                  <c:v>189751.724652778</c:v>
                </c:pt>
                <c:pt idx="3">
                  <c:v>167306.85</c:v>
                </c:pt>
                <c:pt idx="4">
                  <c:v>148173.517361111</c:v>
                </c:pt>
                <c:pt idx="5">
                  <c:v>132351.726736111</c:v>
                </c:pt>
                <c:pt idx="6">
                  <c:v>119841.478125</c:v>
                </c:pt>
                <c:pt idx="7">
                  <c:v>107768.104861111</c:v>
                </c:pt>
                <c:pt idx="8">
                  <c:v>95086.2736111111</c:v>
                </c:pt>
                <c:pt idx="9">
                  <c:v>84670.6510416667</c:v>
                </c:pt>
                <c:pt idx="10">
                  <c:v>77566.5704861111</c:v>
                </c:pt>
                <c:pt idx="11">
                  <c:v>73774.0319444445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200360"/>
        <c:axId val="84000629"/>
      </c:lineChart>
      <c:catAx>
        <c:axId val="5652908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588155"/>
        <c:crosses val="autoZero"/>
        <c:auto val="1"/>
        <c:lblAlgn val="ctr"/>
        <c:lblOffset val="100"/>
        <c:noMultiLvlLbl val="0"/>
      </c:catAx>
      <c:valAx>
        <c:axId val="1958815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529081"/>
        <c:crosses val="autoZero"/>
        <c:crossBetween val="between"/>
      </c:valAx>
      <c:catAx>
        <c:axId val="85200360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000629"/>
        <c:crosses val="autoZero"/>
        <c:auto val="1"/>
        <c:lblAlgn val="ctr"/>
        <c:lblOffset val="100"/>
        <c:noMultiLvlLbl val="0"/>
      </c:catAx>
      <c:valAx>
        <c:axId val="84000629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2003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234076.683333333</c:v>
                </c:pt>
                <c:pt idx="1">
                  <c:v>213417.474652778</c:v>
                </c:pt>
                <c:pt idx="2">
                  <c:v>189751.724652778</c:v>
                </c:pt>
                <c:pt idx="3">
                  <c:v>167306.85</c:v>
                </c:pt>
                <c:pt idx="4">
                  <c:v>148173.517361111</c:v>
                </c:pt>
                <c:pt idx="5">
                  <c:v>132351.726736111</c:v>
                </c:pt>
                <c:pt idx="6">
                  <c:v>119841.478125</c:v>
                </c:pt>
                <c:pt idx="7">
                  <c:v>107768.104861111</c:v>
                </c:pt>
                <c:pt idx="8">
                  <c:v>95086.2736111111</c:v>
                </c:pt>
                <c:pt idx="9">
                  <c:v>84670.6510416667</c:v>
                </c:pt>
                <c:pt idx="10">
                  <c:v>77566.5704861111</c:v>
                </c:pt>
                <c:pt idx="11">
                  <c:v>73774.0319444445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6763.9</c:v>
                </c:pt>
                <c:pt idx="1">
                  <c:v>7815.78958333333</c:v>
                </c:pt>
                <c:pt idx="2">
                  <c:v>9436.42916666667</c:v>
                </c:pt>
                <c:pt idx="3">
                  <c:v>11057.06875</c:v>
                </c:pt>
                <c:pt idx="4">
                  <c:v>12677.7083333333</c:v>
                </c:pt>
                <c:pt idx="5">
                  <c:v>14298.3479166667</c:v>
                </c:pt>
                <c:pt idx="6">
                  <c:v>15918.9875</c:v>
                </c:pt>
                <c:pt idx="7">
                  <c:v>17539.6270833333</c:v>
                </c:pt>
                <c:pt idx="8">
                  <c:v>19160.2666666667</c:v>
                </c:pt>
                <c:pt idx="9">
                  <c:v>20780.90625</c:v>
                </c:pt>
                <c:pt idx="10">
                  <c:v>22401.5458333333</c:v>
                </c:pt>
                <c:pt idx="11">
                  <c:v>24022.1854166667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438316.666666667</c:v>
                </c:pt>
                <c:pt idx="1">
                  <c:v>434633.333333333</c:v>
                </c:pt>
                <c:pt idx="2">
                  <c:v>430950</c:v>
                </c:pt>
                <c:pt idx="3">
                  <c:v>427266.666666667</c:v>
                </c:pt>
                <c:pt idx="4">
                  <c:v>423583.333333333</c:v>
                </c:pt>
                <c:pt idx="5">
                  <c:v>419900</c:v>
                </c:pt>
                <c:pt idx="6">
                  <c:v>416216.666666667</c:v>
                </c:pt>
                <c:pt idx="7">
                  <c:v>412533.333333333</c:v>
                </c:pt>
                <c:pt idx="8">
                  <c:v>408850</c:v>
                </c:pt>
                <c:pt idx="9">
                  <c:v>405166.666666667</c:v>
                </c:pt>
                <c:pt idx="10">
                  <c:v>401483.333333333</c:v>
                </c:pt>
                <c:pt idx="11">
                  <c:v>397800</c:v>
                </c:pt>
              </c:numCache>
            </c:numRef>
          </c:val>
        </c:ser>
        <c:gapWidth val="60"/>
        <c:overlap val="100"/>
        <c:axId val="14105637"/>
        <c:axId val="70265006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426701.783333333</c:v>
                </c:pt>
                <c:pt idx="1">
                  <c:v>405395.664236111</c:v>
                </c:pt>
                <c:pt idx="2">
                  <c:v>379561.087152778</c:v>
                </c:pt>
                <c:pt idx="3">
                  <c:v>357038.052083333</c:v>
                </c:pt>
                <c:pt idx="4">
                  <c:v>337826.559027778</c:v>
                </c:pt>
                <c:pt idx="5">
                  <c:v>321926.607986111</c:v>
                </c:pt>
                <c:pt idx="6">
                  <c:v>309338.198958333</c:v>
                </c:pt>
                <c:pt idx="7">
                  <c:v>296141.331944444</c:v>
                </c:pt>
                <c:pt idx="8">
                  <c:v>282336.006944444</c:v>
                </c:pt>
                <c:pt idx="9">
                  <c:v>271842.223958333</c:v>
                </c:pt>
                <c:pt idx="10">
                  <c:v>264659.982986111</c:v>
                </c:pt>
                <c:pt idx="11">
                  <c:v>260789.284027778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105637"/>
        <c:axId val="70265006"/>
      </c:lineChart>
      <c:catAx>
        <c:axId val="1410563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265006"/>
        <c:crosses val="autoZero"/>
        <c:auto val="1"/>
        <c:lblAlgn val="ctr"/>
        <c:lblOffset val="100"/>
        <c:noMultiLvlLbl val="0"/>
      </c:catAx>
      <c:valAx>
        <c:axId val="7026500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1056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267942.909</c:v>
                </c:pt>
                <c:pt idx="1">
                  <c:v>570948.2034375</c:v>
                </c:pt>
                <c:pt idx="2">
                  <c:v>633416.962815</c:v>
                </c:pt>
                <c:pt idx="3">
                  <c:v>649252.386885375</c:v>
                </c:pt>
                <c:pt idx="4">
                  <c:v>665483.696557509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419706.375</c:v>
                </c:pt>
                <c:pt idx="1">
                  <c:v>725888.895</c:v>
                </c:pt>
                <c:pt idx="2">
                  <c:v>747148.3731</c:v>
                </c:pt>
                <c:pt idx="3">
                  <c:v>769562.824293</c:v>
                </c:pt>
                <c:pt idx="4">
                  <c:v>792649.70902179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567743.87</c:v>
                </c:pt>
                <c:pt idx="1">
                  <c:v>828555.4368</c:v>
                </c:pt>
                <c:pt idx="2">
                  <c:v>861697.654272</c:v>
                </c:pt>
                <c:pt idx="3">
                  <c:v>896165.56044288</c:v>
                </c:pt>
                <c:pt idx="4">
                  <c:v>932012.182860595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849562"/>
        <c:axId val="65354495"/>
      </c:lineChart>
      <c:catAx>
        <c:axId val="7184956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354495"/>
        <c:crosses val="autoZero"/>
        <c:auto val="1"/>
        <c:lblAlgn val="ctr"/>
        <c:lblOffset val="100"/>
        <c:noMultiLvlLbl val="0"/>
      </c:catAx>
      <c:valAx>
        <c:axId val="6535449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8495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-228607.076526</c:v>
                </c:pt>
                <c:pt idx="1">
                  <c:v>-109978.915410625</c:v>
                </c:pt>
                <c:pt idx="2">
                  <c:v>-85835.8305604102</c:v>
                </c:pt>
                <c:pt idx="3">
                  <c:v>-89169.4755670606</c:v>
                </c:pt>
                <c:pt idx="4">
                  <c:v>-92680.5941761564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-125850.99375</c:v>
                </c:pt>
                <c:pt idx="1">
                  <c:v>54057.2784999999</c:v>
                </c:pt>
                <c:pt idx="2">
                  <c:v>57501.808105</c:v>
                </c:pt>
                <c:pt idx="3">
                  <c:v>61566.86234815</c:v>
                </c:pt>
                <c:pt idx="4">
                  <c:v>65753.8682185944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3918.8463466667</c:v>
                </c:pt>
                <c:pt idx="1">
                  <c:v>142946.2420352</c:v>
                </c:pt>
                <c:pt idx="2">
                  <c:v>157721.036436608</c:v>
                </c:pt>
                <c:pt idx="3">
                  <c:v>173264.930955672</c:v>
                </c:pt>
                <c:pt idx="4">
                  <c:v>189614.032847347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752733"/>
        <c:axId val="89207487"/>
      </c:lineChart>
      <c:catAx>
        <c:axId val="8575273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207487"/>
        <c:crosses val="autoZero"/>
        <c:auto val="1"/>
        <c:lblAlgn val="ctr"/>
        <c:lblOffset val="100"/>
        <c:noMultiLvlLbl val="0"/>
      </c:catAx>
      <c:valAx>
        <c:axId val="892074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7527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-291966.798748222</c:v>
                </c:pt>
                <c:pt idx="1">
                  <c:v>-172245.582077292</c:v>
                </c:pt>
                <c:pt idx="2">
                  <c:v>-147002.497227077</c:v>
                </c:pt>
                <c:pt idx="3">
                  <c:v>-149236.142233727</c:v>
                </c:pt>
                <c:pt idx="4">
                  <c:v>-151647.260842823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-189210.715972222</c:v>
                </c:pt>
                <c:pt idx="1">
                  <c:v>-8209.38816666671</c:v>
                </c:pt>
                <c:pt idx="2">
                  <c:v>-3664.85856166669</c:v>
                </c:pt>
                <c:pt idx="3">
                  <c:v>1500.19568148333</c:v>
                </c:pt>
                <c:pt idx="4">
                  <c:v>6787.20155192779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-59440.8758755555</c:v>
                </c:pt>
                <c:pt idx="1">
                  <c:v>76219.448475008</c:v>
                </c:pt>
                <c:pt idx="2">
                  <c:v>76277.9521182537</c:v>
                </c:pt>
                <c:pt idx="3">
                  <c:v>89426.6287883145</c:v>
                </c:pt>
                <c:pt idx="4">
                  <c:v>103211.419282738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096708"/>
        <c:axId val="1179493"/>
      </c:lineChart>
      <c:catAx>
        <c:axId val="1809670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79493"/>
        <c:crosses val="autoZero"/>
        <c:auto val="1"/>
        <c:lblAlgn val="ctr"/>
        <c:lblOffset val="100"/>
        <c:noMultiLvlLbl val="0"/>
      </c:catAx>
      <c:valAx>
        <c:axId val="117949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0967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-22127.596676</c:v>
                </c:pt>
                <c:pt idx="1">
                  <c:v>-187568.863633847</c:v>
                </c:pt>
                <c:pt idx="2">
                  <c:v>-322871.977831399</c:v>
                </c:pt>
                <c:pt idx="3">
                  <c:v>-459514.966106871</c:v>
                </c:pt>
                <c:pt idx="4">
                  <c:v>-597675.419198901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73774.0319444445</c:v>
                </c:pt>
                <c:pt idx="1">
                  <c:v>74825.7789444444</c:v>
                </c:pt>
                <c:pt idx="2">
                  <c:v>82616.7968752778</c:v>
                </c:pt>
                <c:pt idx="3">
                  <c:v>96456.5453440361</c:v>
                </c:pt>
                <c:pt idx="4">
                  <c:v>116466.486266857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199323.002568889</c:v>
                </c:pt>
                <c:pt idx="1">
                  <c:v>285739.17453723</c:v>
                </c:pt>
                <c:pt idx="2">
                  <c:v>373075.244139217</c:v>
                </c:pt>
                <c:pt idx="3">
                  <c:v>474419.765912801</c:v>
                </c:pt>
                <c:pt idx="4">
                  <c:v>590407.168226471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804495"/>
        <c:axId val="70425184"/>
      </c:lineChart>
      <c:catAx>
        <c:axId val="118044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425184"/>
        <c:crosses val="autoZero"/>
        <c:auto val="1"/>
        <c:lblAlgn val="ctr"/>
        <c:lblOffset val="100"/>
        <c:noMultiLvlLbl val="0"/>
      </c:catAx>
      <c:valAx>
        <c:axId val="7042518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8044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450000</c:v>
                </c:pt>
                <c:pt idx="1">
                  <c:v>250000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161309.301388889</c:v>
                </c:pt>
                <c:pt idx="1">
                  <c:v>442000</c:v>
                </c:pt>
                <c:pt idx="2">
                  <c:v>22916.6666666667</c:v>
                </c:pt>
                <c:pt idx="3">
                  <c:v>73774.0319444445</c:v>
                </c:pt>
              </c:numCache>
            </c:numRef>
          </c:val>
        </c:ser>
        <c:gapWidth val="60"/>
        <c:overlap val="0"/>
        <c:axId val="9732245"/>
        <c:axId val="31414555"/>
      </c:barChart>
      <c:catAx>
        <c:axId val="973224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414555"/>
        <c:crosses val="autoZero"/>
        <c:auto val="1"/>
        <c:lblAlgn val="ctr"/>
        <c:lblOffset val="100"/>
        <c:noMultiLvlLbl val="0"/>
      </c:catAx>
      <c:valAx>
        <c:axId val="3141455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32245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0.407612047827484</c:v>
                </c:pt>
                <c:pt idx="1">
                  <c:v>0.500518271463569</c:v>
                </c:pt>
                <c:pt idx="2">
                  <c:v>0.50017252175691</c:v>
                </c:pt>
                <c:pt idx="3">
                  <c:v>0.500172521756911</c:v>
                </c:pt>
                <c:pt idx="4">
                  <c:v>0.50017252175691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-0.299854853884457</c:v>
                </c:pt>
                <c:pt idx="1">
                  <c:v>0.0744704580444091</c:v>
                </c:pt>
                <c:pt idx="2">
                  <c:v>0.0769616988743731</c:v>
                </c:pt>
                <c:pt idx="3">
                  <c:v>0.0800023862960268</c:v>
                </c:pt>
                <c:pt idx="4">
                  <c:v>0.0829545100063701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-0.450816873992496</c:v>
                </c:pt>
                <c:pt idx="1">
                  <c:v>-0.0113094279623422</c:v>
                </c:pt>
                <c:pt idx="2">
                  <c:v>-0.00490512820962293</c:v>
                </c:pt>
                <c:pt idx="3">
                  <c:v>0.00194941287978868</c:v>
                </c:pt>
                <c:pt idx="4">
                  <c:v>0.00856267462748947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069411"/>
        <c:axId val="85937962"/>
      </c:lineChart>
      <c:catAx>
        <c:axId val="4706941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937962"/>
        <c:crosses val="autoZero"/>
        <c:auto val="1"/>
        <c:lblAlgn val="ctr"/>
        <c:lblOffset val="100"/>
        <c:noMultiLvlLbl val="0"/>
      </c:catAx>
      <c:valAx>
        <c:axId val="859379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0694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-0.379565771609904</c:v>
                </c:pt>
                <c:pt idx="1">
                  <c:v>-0.0176264828989113</c:v>
                </c:pt>
                <c:pt idx="2">
                  <c:v>-0.00837855850146443</c:v>
                </c:pt>
                <c:pt idx="3">
                  <c:v>0.00362145915465485</c:v>
                </c:pt>
                <c:pt idx="4">
                  <c:v>0.0171224692913574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-0.725531022785693</c:v>
                </c:pt>
                <c:pt idx="1">
                  <c:v>-0.0325021440787231</c:v>
                </c:pt>
                <c:pt idx="2">
                  <c:v>-0.0147233313078545</c:v>
                </c:pt>
                <c:pt idx="3">
                  <c:v>0.00599083236121498</c:v>
                </c:pt>
                <c:pt idx="4">
                  <c:v>0.0263885587407252</c:v>
                </c:pt>
              </c:numCache>
            </c:numRef>
          </c:val>
        </c:ser>
        <c:gapWidth val="60"/>
        <c:overlap val="0"/>
        <c:axId val="71102705"/>
        <c:axId val="49854897"/>
      </c:barChart>
      <c:catAx>
        <c:axId val="7110270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854897"/>
        <c:crosses val="autoZero"/>
        <c:auto val="1"/>
        <c:lblAlgn val="ctr"/>
        <c:lblOffset val="100"/>
        <c:noMultiLvlLbl val="0"/>
      </c:catAx>
      <c:valAx>
        <c:axId val="498548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1027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Children enrolled and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Children enrolled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KPIs!$B$30:$F$30</c:f>
              <c:numCache>
                <c:formatCode>#,##0;\(#,##0\);\-</c:formatCode>
                <c:ptCount val="5"/>
                <c:pt idx="0">
                  <c:v>47.75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</c:numCache>
            </c:numRef>
          </c:val>
        </c:ser>
        <c:gapWidth val="60"/>
        <c:overlap val="0"/>
        <c:axId val="79460640"/>
        <c:axId val="28062600"/>
      </c:barChart>
      <c:lineChart>
        <c:grouping val="standard"/>
        <c:varyColors val="0"/>
        <c:ser>
          <c:idx val="1"/>
          <c:order val="1"/>
          <c:tx>
            <c:strRef>
              <c:f>KPIs!$A$33</c:f>
              <c:strCache>
                <c:ptCount val="1"/>
                <c:pt idx="0">
                  <c:v>Occupancy (child-months ÷ licensed place-months)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KPIs!$B$33:$F$33</c:f>
              <c:numCache>
                <c:formatCode>0.0%;\(0.0%\);\-</c:formatCode>
                <c:ptCount val="5"/>
                <c:pt idx="0">
                  <c:v>0.497916666666667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025454"/>
        <c:axId val="63333233"/>
      </c:lineChart>
      <c:catAx>
        <c:axId val="7946064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062600"/>
        <c:crosses val="autoZero"/>
        <c:auto val="1"/>
        <c:lblAlgn val="ctr"/>
        <c:lblOffset val="100"/>
        <c:noMultiLvlLbl val="0"/>
      </c:catAx>
      <c:valAx>
        <c:axId val="280626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460640"/>
        <c:crosses val="autoZero"/>
        <c:crossBetween val="between"/>
      </c:valAx>
      <c:catAx>
        <c:axId val="5202545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333233"/>
        <c:crosses val="autoZero"/>
        <c:auto val="1"/>
        <c:lblAlgn val="ctr"/>
        <c:lblOffset val="100"/>
        <c:noMultiLvlLbl val="0"/>
      </c:catAx>
      <c:valAx>
        <c:axId val="6333323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02545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Parent-paid tuition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KPIs!$B$37:$F$37</c:f>
              <c:numCache>
                <c:formatCode>\$#,##0,;"($"#,##0,\);\-</c:formatCode>
                <c:ptCount val="5"/>
                <c:pt idx="0">
                  <c:v>316734.75</c:v>
                </c:pt>
                <c:pt idx="1">
                  <c:v>556923.06</c:v>
                </c:pt>
                <c:pt idx="2">
                  <c:v>573630.7518</c:v>
                </c:pt>
                <c:pt idx="3">
                  <c:v>590839.674354</c:v>
                </c:pt>
                <c:pt idx="4">
                  <c:v>608564.86458462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Subsidy &amp; voucher payments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KPIs!$B$38:$F$38</c:f>
              <c:numCache>
                <c:formatCode>\$#,##0,;"($"#,##0,\);\-</c:formatCode>
                <c:ptCount val="5"/>
                <c:pt idx="0">
                  <c:v>94464.75</c:v>
                </c:pt>
                <c:pt idx="1">
                  <c:v>166099.86</c:v>
                </c:pt>
                <c:pt idx="2">
                  <c:v>171082.8558</c:v>
                </c:pt>
                <c:pt idx="3">
                  <c:v>176215.341474</c:v>
                </c:pt>
                <c:pt idx="4">
                  <c:v>181501.80171822</c:v>
                </c:pt>
              </c:numCache>
            </c:numRef>
          </c:val>
        </c:ser>
        <c:ser>
          <c:idx val="2"/>
          <c:order val="2"/>
          <c:tx>
            <c:strRef>
              <c:f>KPIs!$A$40</c:f>
              <c:strCache>
                <c:ptCount val="1"/>
                <c:pt idx="0">
                  <c:v>Registration fees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\$#,##0,;"($"#,##0,\);\-</c:formatCode>
                <c:ptCount val="5"/>
                <c:pt idx="0">
                  <c:v>8506.875</c:v>
                </c:pt>
                <c:pt idx="1">
                  <c:v>2865.975</c:v>
                </c:pt>
                <c:pt idx="2">
                  <c:v>2434.7655</c:v>
                </c:pt>
                <c:pt idx="3">
                  <c:v>2507.808465</c:v>
                </c:pt>
                <c:pt idx="4">
                  <c:v>2583.04271895</c:v>
                </c:pt>
              </c:numCache>
            </c:numRef>
          </c:val>
        </c:ser>
        <c:gapWidth val="60"/>
        <c:overlap val="100"/>
        <c:axId val="43445721"/>
        <c:axId val="63523005"/>
      </c:barChart>
      <c:catAx>
        <c:axId val="4344572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523005"/>
        <c:crosses val="autoZero"/>
        <c:auto val="1"/>
        <c:lblAlgn val="ctr"/>
        <c:lblOffset val="100"/>
        <c:noMultiLvlLbl val="0"/>
      </c:catAx>
      <c:valAx>
        <c:axId val="6352300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4457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792649.70902179</v>
      </c>
      <c r="B7" s="25"/>
      <c r="C7" s="26" t="n">
        <f aca="false">F17</f>
        <v>0.0829545100063701</v>
      </c>
      <c r="D7" s="26"/>
      <c r="E7" s="26"/>
      <c r="F7" s="26"/>
      <c r="H7" s="25" t="n">
        <f aca="false">F18</f>
        <v>6787.20155192779</v>
      </c>
      <c r="I7" s="25"/>
      <c r="J7" s="25"/>
      <c r="K7" s="25"/>
      <c r="L7" s="25" t="n">
        <f aca="false">F38</f>
        <v>64092.3562916667</v>
      </c>
      <c r="M7" s="25"/>
      <c r="N7" s="25"/>
      <c r="O7" s="25"/>
      <c r="P7" s="25" t="n">
        <f aca="false">F36</f>
        <v>709907.643708333</v>
      </c>
      <c r="Q7" s="25"/>
      <c r="R7" s="25"/>
      <c r="S7" s="25"/>
      <c r="T7" s="25" t="n">
        <f aca="false">F43</f>
        <v>-302247.252301988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0.172286961507464</v>
      </c>
      <c r="B8" s="27"/>
      <c r="C8" s="28" t="n">
        <f aca="false">F16</f>
        <v>65753.8682185944</v>
      </c>
      <c r="D8" s="28"/>
      <c r="E8" s="28"/>
      <c r="F8" s="28"/>
      <c r="H8" s="29" t="n">
        <f aca="false">F19</f>
        <v>0.00856267462748947</v>
      </c>
      <c r="I8" s="29"/>
      <c r="J8" s="29"/>
      <c r="K8" s="29"/>
      <c r="L8" s="30" t="n">
        <f aca="false">'Break-even'!B6</f>
        <v>13</v>
      </c>
      <c r="M8" s="30"/>
      <c r="N8" s="30"/>
      <c r="O8" s="30"/>
      <c r="P8" s="31" t="n">
        <f aca="false">IF(F37&gt;=0,"Covered by funding raised",-F37)</f>
        <v>9907.64370833337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SUMIF(Monthly!$C$5:$BJ$5,B$11,Monthly!$C$32:$BJ$32)</f>
        <v>419706.375</v>
      </c>
      <c r="C12" s="35" t="n">
        <f aca="false">SUMIF(Monthly!$C$5:$BJ$5,C$11,Monthly!$C$32:$BJ$32)</f>
        <v>725888.895</v>
      </c>
      <c r="D12" s="35" t="n">
        <f aca="false">SUMIF(Monthly!$C$5:$BJ$5,D$11,Monthly!$C$32:$BJ$32)</f>
        <v>747148.3731</v>
      </c>
      <c r="E12" s="35" t="n">
        <f aca="false">SUMIF(Monthly!$C$5:$BJ$5,E$11,Monthly!$C$32:$BJ$32)</f>
        <v>769562.824293</v>
      </c>
      <c r="F12" s="35" t="n">
        <f aca="false">SUMIF(Monthly!$C$5:$BJ$5,F$11,Monthly!$C$32:$BJ$32)</f>
        <v>792649.70902179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SUMIF(Monthly!$C$5:$BJ$5,B$11,Monthly!$C$39:$BJ$39)</f>
        <v>171077.375</v>
      </c>
      <c r="C13" s="37" t="n">
        <f aca="false">SUMIF(Monthly!$C$5:$BJ$5,C$11,Monthly!$C$39:$BJ$39)</f>
        <v>363320.655</v>
      </c>
      <c r="D13" s="37" t="n">
        <f aca="false">SUMIF(Monthly!$C$5:$BJ$5,D$11,Monthly!$C$39:$BJ$39)</f>
        <v>373703.0859</v>
      </c>
      <c r="E13" s="37" t="n">
        <f aca="false">SUMIF(Monthly!$C$5:$BJ$5,E$11,Monthly!$C$39:$BJ$39)</f>
        <v>384914.178477</v>
      </c>
      <c r="F13" s="37" t="n">
        <f aca="false">SUMIF(Monthly!$C$5:$BJ$5,F$11,Monthly!$C$39:$BJ$39)</f>
        <v>396461.60383131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0.407612047827484</v>
      </c>
      <c r="C14" s="39" t="n">
        <f aca="false">IF(C12=0,0,C13/C12)</f>
        <v>0.500518271463569</v>
      </c>
      <c r="D14" s="39" t="n">
        <f aca="false">IF(D12=0,0,D13/D12)</f>
        <v>0.50017252175691</v>
      </c>
      <c r="E14" s="39" t="n">
        <f aca="false">IF(E12=0,0,E13/E12)</f>
        <v>0.500172521756911</v>
      </c>
      <c r="F14" s="39" t="n">
        <f aca="false">IF(F12=0,0,F13/F12)</f>
        <v>0.50017252175691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SUMIF(Monthly!$C$5:$BJ$5,B$11,Monthly!$C$51:$BJ$51)</f>
        <v>-296928.36875</v>
      </c>
      <c r="C15" s="35" t="n">
        <f aca="false">SUMIF(Monthly!$C$5:$BJ$5,C$11,Monthly!$C$51:$BJ$51)</f>
        <v>-309263.3765</v>
      </c>
      <c r="D15" s="35" t="n">
        <f aca="false">SUMIF(Monthly!$C$5:$BJ$5,D$11,Monthly!$C$51:$BJ$51)</f>
        <v>-316201.277795</v>
      </c>
      <c r="E15" s="35" t="n">
        <f aca="false">SUMIF(Monthly!$C$5:$BJ$5,E$11,Monthly!$C$51:$BJ$51)</f>
        <v>-323347.31612885</v>
      </c>
      <c r="F15" s="35" t="n">
        <f aca="false">SUMIF(Monthly!$C$5:$BJ$5,F$11,Monthly!$C$51:$BJ$51)</f>
        <v>-330707.735612716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SUMIF(Monthly!$C$5:$BJ$5,B$11,Monthly!$C$52:$BJ$52)</f>
        <v>-125850.99375</v>
      </c>
      <c r="C16" s="37" t="n">
        <f aca="false">SUMIF(Monthly!$C$5:$BJ$5,C$11,Monthly!$C$52:$BJ$52)</f>
        <v>54057.2784999999</v>
      </c>
      <c r="D16" s="37" t="n">
        <f aca="false">SUMIF(Monthly!$C$5:$BJ$5,D$11,Monthly!$C$52:$BJ$52)</f>
        <v>57501.808105</v>
      </c>
      <c r="E16" s="37" t="n">
        <f aca="false">SUMIF(Monthly!$C$5:$BJ$5,E$11,Monthly!$C$52:$BJ$52)</f>
        <v>61566.86234815</v>
      </c>
      <c r="F16" s="37" t="n">
        <f aca="false">SUMIF(Monthly!$C$5:$BJ$5,F$11,Monthly!$C$52:$BJ$52)</f>
        <v>65753.8682185944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-0.299854853884457</v>
      </c>
      <c r="C17" s="39" t="n">
        <f aca="false">IF(C12=0,0,C16/C12)</f>
        <v>0.0744704580444091</v>
      </c>
      <c r="D17" s="39" t="n">
        <f aca="false">IF(D12=0,0,D16/D12)</f>
        <v>0.0769616988743731</v>
      </c>
      <c r="E17" s="39" t="n">
        <f aca="false">IF(E12=0,0,E16/E12)</f>
        <v>0.0800023862960268</v>
      </c>
      <c r="F17" s="39" t="n">
        <f aca="false">IF(F12=0,0,F16/F12)</f>
        <v>0.0829545100063701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SUMIF(Monthly!$C$5:$BJ$5,B$11,Monthly!$C$61:$BJ$61)</f>
        <v>-189210.715972222</v>
      </c>
      <c r="C18" s="41" t="n">
        <f aca="false">SUMIF(Monthly!$C$5:$BJ$5,C$11,Monthly!$C$61:$BJ$61)</f>
        <v>-8209.38816666671</v>
      </c>
      <c r="D18" s="41" t="n">
        <f aca="false">SUMIF(Monthly!$C$5:$BJ$5,D$11,Monthly!$C$61:$BJ$61)</f>
        <v>-3664.85856166669</v>
      </c>
      <c r="E18" s="41" t="n">
        <f aca="false">SUMIF(Monthly!$C$5:$BJ$5,E$11,Monthly!$C$61:$BJ$61)</f>
        <v>1500.19568148333</v>
      </c>
      <c r="F18" s="41" t="n">
        <f aca="false">SUMIF(Monthly!$C$5:$BJ$5,F$11,Monthly!$C$61:$BJ$61)</f>
        <v>6787.20155192779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-0.450816873992496</v>
      </c>
      <c r="C19" s="39" t="n">
        <f aca="false">IF(C12=0,0,C18/C12)</f>
        <v>-0.0113094279623422</v>
      </c>
      <c r="D19" s="39" t="n">
        <f aca="false">IF(D12=0,0,D18/D12)</f>
        <v>-0.00490512820962293</v>
      </c>
      <c r="E19" s="39" t="n">
        <f aca="false">IF(E12=0,0,E18/E12)</f>
        <v>0.00194941287978868</v>
      </c>
      <c r="F19" s="39" t="n">
        <f aca="false">IF(F12=0,0,F18/F12)</f>
        <v>0.00856267462748947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SUMIF(Monthly!$C$5:$BJ$5,B$11,Monthly!$C$89:$BJ$89)</f>
        <v>-161309.301388889</v>
      </c>
      <c r="C20" s="35" t="n">
        <f aca="false">SUMIF(Monthly!$C$5:$BJ$5,C$11,Monthly!$C$89:$BJ$89)</f>
        <v>35051.747</v>
      </c>
      <c r="D20" s="35" t="n">
        <f aca="false">SUMIF(Monthly!$C$5:$BJ$5,D$11,Monthly!$C$89:$BJ$89)</f>
        <v>41791.0179308333</v>
      </c>
      <c r="E20" s="35" t="n">
        <f aca="false">SUMIF(Monthly!$C$5:$BJ$5,E$11,Monthly!$C$89:$BJ$89)</f>
        <v>47839.7484687583</v>
      </c>
      <c r="F20" s="35" t="n">
        <f aca="false">SUMIF(Monthly!$C$5:$BJ$5,F$11,Monthly!$C$89:$BJ$89)</f>
        <v>54009.940922821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SUMIF(Monthly!$C$5:$BJ$5,B$11,Monthly!$C$90:$BJ$90)</f>
        <v>-442000</v>
      </c>
      <c r="C21" s="35" t="n">
        <f aca="false">SUMIF(Monthly!$C$5:$BJ$5,C$11,Monthly!$C$90:$BJ$90)</f>
        <v>-9000</v>
      </c>
      <c r="D21" s="35" t="n">
        <f aca="false">SUMIF(Monthly!$C$5:$BJ$5,D$11,Monthly!$C$90:$BJ$90)</f>
        <v>-9000</v>
      </c>
      <c r="E21" s="35" t="n">
        <f aca="false">SUMIF(Monthly!$C$5:$BJ$5,E$11,Monthly!$C$90:$BJ$90)</f>
        <v>-9000</v>
      </c>
      <c r="F21" s="35" t="n">
        <f aca="false">SUMIF(Monthly!$C$5:$BJ$5,F$11,Monthly!$C$90:$BJ$90)</f>
        <v>-9000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SUMIF(Monthly!$C$5:$BJ$5,B$11,Monthly!$C$92:$BJ$92)</f>
        <v>677083.333333333</v>
      </c>
      <c r="C22" s="35" t="n">
        <f aca="false">SUMIF(Monthly!$C$5:$BJ$5,C$11,Monthly!$C$92:$BJ$92)</f>
        <v>-25000</v>
      </c>
      <c r="D22" s="35" t="n">
        <f aca="false">SUMIF(Monthly!$C$5:$BJ$5,D$11,Monthly!$C$92:$BJ$92)</f>
        <v>-25000</v>
      </c>
      <c r="E22" s="35" t="n">
        <f aca="false">SUMIF(Monthly!$C$5:$BJ$5,E$11,Monthly!$C$92:$BJ$92)</f>
        <v>-25000</v>
      </c>
      <c r="F22" s="35" t="n">
        <f aca="false">SUMIF(Monthly!$C$5:$BJ$5,F$11,Monthly!$C$92:$BJ$92)</f>
        <v>-25000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SUMIF(Monthly!$C$5:$BJ$5,B$11,Monthly!$C$93:$BJ$93)</f>
        <v>73774.0319444445</v>
      </c>
      <c r="C23" s="37" t="n">
        <f aca="false">SUMIF(Monthly!$C$5:$BJ$5,C$11,Monthly!$C$93:$BJ$93)</f>
        <v>1051.74699999996</v>
      </c>
      <c r="D23" s="37" t="n">
        <f aca="false">SUMIF(Monthly!$C$5:$BJ$5,D$11,Monthly!$C$93:$BJ$93)</f>
        <v>7791.01793083331</v>
      </c>
      <c r="E23" s="37" t="n">
        <f aca="false">SUMIF(Monthly!$C$5:$BJ$5,E$11,Monthly!$C$93:$BJ$93)</f>
        <v>13839.7484687583</v>
      </c>
      <c r="F23" s="37" t="n">
        <f aca="false">SUMIF(Monthly!$C$5:$BJ$5,F$11,Monthly!$C$93:$BJ$93)</f>
        <v>20009.940922821</v>
      </c>
    </row>
    <row r="24" customFormat="false" ht="15" hidden="false" customHeight="false" outlineLevel="0" collapsed="false">
      <c r="A24" s="40" t="s">
        <v>56</v>
      </c>
      <c r="B24" s="41" t="n">
        <f aca="false">INDEX(Monthly!$C$95:$BJ$95,B$11*12)</f>
        <v>73774.0319444445</v>
      </c>
      <c r="C24" s="41" t="n">
        <f aca="false">INDEX(Monthly!$C$95:$BJ$95,C$11*12)</f>
        <v>74825.7789444444</v>
      </c>
      <c r="D24" s="41" t="n">
        <f aca="false">INDEX(Monthly!$C$95:$BJ$95,D$11*12)</f>
        <v>82616.7968752778</v>
      </c>
      <c r="E24" s="41" t="n">
        <f aca="false">INDEX(Monthly!$C$95:$BJ$95,E$11*12)</f>
        <v>96456.5453440361</v>
      </c>
      <c r="F24" s="41" t="n">
        <f aca="false">INDEX(Monthly!$C$95:$BJ$95,F$11*12)</f>
        <v>116466.486266857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KPIs!B30</f>
        <v>47.75</v>
      </c>
      <c r="C28" s="42" t="n">
        <f aca="false">KPIs!C30</f>
        <v>51</v>
      </c>
      <c r="D28" s="42" t="n">
        <f aca="false">KPIs!D30</f>
        <v>51</v>
      </c>
      <c r="E28" s="42" t="n">
        <f aca="false">KPIs!E30</f>
        <v>51</v>
      </c>
      <c r="F28" s="42" t="n">
        <f aca="false">KPIs!F30</f>
        <v>51</v>
      </c>
    </row>
    <row r="29" customFormat="false" ht="15" hidden="false" customHeight="false" outlineLevel="0" collapsed="false">
      <c r="A29" s="6" t="s">
        <v>59</v>
      </c>
      <c r="B29" s="43" t="n">
        <f aca="false">KPIs!B33</f>
        <v>0.497916666666667</v>
      </c>
      <c r="C29" s="43" t="n">
        <f aca="false">KPIs!C33</f>
        <v>0.85</v>
      </c>
      <c r="D29" s="43" t="n">
        <f aca="false">KPIs!D33</f>
        <v>0.85</v>
      </c>
      <c r="E29" s="43" t="n">
        <f aca="false">KPIs!E33</f>
        <v>0.85</v>
      </c>
      <c r="F29" s="43" t="n">
        <f aca="false">KPIs!F33</f>
        <v>0.85</v>
      </c>
    </row>
    <row r="30" customFormat="false" ht="15" hidden="false" customHeight="false" outlineLevel="0" collapsed="false">
      <c r="A30" s="6" t="s">
        <v>60</v>
      </c>
      <c r="B30" s="43" t="n">
        <f aca="false">KPIs!B43</f>
        <v>0.495012733604535</v>
      </c>
      <c r="C30" s="43" t="n">
        <f aca="false">KPIs!C43</f>
        <v>0.400484429507631</v>
      </c>
      <c r="D30" s="43" t="n">
        <f aca="false">KPIs!D43</f>
        <v>0.400761651608286</v>
      </c>
      <c r="E30" s="43" t="n">
        <f aca="false">KPIs!E43</f>
        <v>0.400761651608286</v>
      </c>
      <c r="F30" s="43" t="n">
        <f aca="false">KPIs!F43</f>
        <v>0.400761651608286</v>
      </c>
    </row>
    <row r="31" customFormat="false" ht="15" hidden="false" customHeight="false" outlineLevel="0" collapsed="false">
      <c r="A31" s="6" t="s">
        <v>61</v>
      </c>
      <c r="B31" s="44" t="n">
        <f aca="false">INDEX(Headcount!$C$11:$BJ$11,B$27*12)</f>
        <v>2</v>
      </c>
      <c r="C31" s="44" t="n">
        <f aca="false">INDEX(Headcount!$C$11:$BJ$11,C$27*12)</f>
        <v>2</v>
      </c>
      <c r="D31" s="44" t="n">
        <f aca="false">INDEX(Headcount!$C$11:$BJ$11,D$27*12)</f>
        <v>2</v>
      </c>
      <c r="E31" s="44" t="n">
        <f aca="false">INDEX(Headcount!$C$11:$BJ$11,E$27*12)</f>
        <v>2</v>
      </c>
      <c r="F31" s="44" t="n">
        <f aca="false">INDEX(Headcount!$C$11:$BJ$11,F$27*12)</f>
        <v>2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5"/>
      <c r="C34" s="45"/>
      <c r="D34" s="45"/>
      <c r="E34" s="45"/>
      <c r="F34" s="46" t="n">
        <f aca="false">Inputs!$E$73</f>
        <v>450000</v>
      </c>
    </row>
    <row r="35" customFormat="false" ht="15" hidden="false" customHeight="false" outlineLevel="0" collapsed="false">
      <c r="A35" s="6" t="s">
        <v>64</v>
      </c>
      <c r="B35" s="45"/>
      <c r="C35" s="45"/>
      <c r="D35" s="45"/>
      <c r="E35" s="45"/>
      <c r="F35" s="46" t="n">
        <f aca="false">Inputs!$E$74</f>
        <v>250000</v>
      </c>
    </row>
    <row r="36" customFormat="false" ht="15" hidden="false" customHeight="false" outlineLevel="0" collapsed="false">
      <c r="A36" s="6" t="s">
        <v>65</v>
      </c>
      <c r="B36" s="45"/>
      <c r="C36" s="45"/>
      <c r="D36" s="45"/>
      <c r="E36" s="45"/>
      <c r="F36" s="46" t="n">
        <f aca="false">'Break-even'!B12</f>
        <v>709907.643708333</v>
      </c>
    </row>
    <row r="37" customFormat="false" ht="15" hidden="false" customHeight="false" outlineLevel="0" collapsed="false">
      <c r="A37" s="36" t="s">
        <v>66</v>
      </c>
      <c r="B37" s="36"/>
      <c r="C37" s="36"/>
      <c r="D37" s="36"/>
      <c r="E37" s="36"/>
      <c r="F37" s="37" t="n">
        <f aca="false">'Break-even'!B17</f>
        <v>-9907.64370833337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13)</v>
      </c>
      <c r="B38" s="45"/>
      <c r="C38" s="45"/>
      <c r="D38" s="45"/>
      <c r="E38" s="45"/>
      <c r="F38" s="46" t="n">
        <f aca="false">'Break-even'!B18</f>
        <v>64092.3562916667</v>
      </c>
    </row>
    <row r="39" customFormat="false" ht="15" hidden="false" customHeight="false" outlineLevel="0" collapsed="false">
      <c r="A39" s="6" t="s">
        <v>67</v>
      </c>
      <c r="B39" s="45"/>
      <c r="C39" s="45"/>
      <c r="D39" s="45"/>
      <c r="E39" s="45"/>
      <c r="F39" s="47" t="n">
        <f aca="false">'Break-even'!B21</f>
        <v>12</v>
      </c>
    </row>
    <row r="40" customFormat="false" ht="15" hidden="false" customHeight="false" outlineLevel="0" collapsed="false">
      <c r="A40" s="6" t="s">
        <v>68</v>
      </c>
      <c r="B40" s="45"/>
      <c r="C40" s="45"/>
      <c r="D40" s="45"/>
      <c r="E40" s="45"/>
      <c r="F40" s="47" t="str">
        <f aca="false">'Break-even'!B23</f>
        <v>Not within horizon</v>
      </c>
    </row>
    <row r="41" customFormat="false" ht="15" hidden="false" customHeight="false" outlineLevel="0" collapsed="false">
      <c r="A41" s="6" t="s">
        <v>69</v>
      </c>
      <c r="B41" s="45"/>
      <c r="C41" s="45"/>
      <c r="D41" s="45"/>
      <c r="E41" s="45"/>
      <c r="F41" s="46" t="n">
        <f aca="false">Valuation!B27</f>
        <v>-306225.942163766</v>
      </c>
    </row>
    <row r="42" customFormat="false" ht="15" hidden="false" customHeight="false" outlineLevel="0" collapsed="false">
      <c r="A42" s="6" t="s">
        <v>70</v>
      </c>
      <c r="B42" s="45"/>
      <c r="C42" s="45"/>
      <c r="D42" s="45"/>
      <c r="E42" s="45"/>
      <c r="F42" s="46" t="n">
        <f aca="false">Valuation!C27</f>
        <v>-298268.562440211</v>
      </c>
    </row>
    <row r="43" customFormat="false" ht="15" hidden="false" customHeight="false" outlineLevel="0" collapsed="false">
      <c r="A43" s="40" t="s">
        <v>71</v>
      </c>
      <c r="B43" s="40"/>
      <c r="C43" s="40"/>
      <c r="D43" s="40"/>
      <c r="E43" s="40"/>
      <c r="F43" s="41" t="n">
        <f aca="false">Valuation!B30</f>
        <v>-302247.252301988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48" t="n">
        <v>1</v>
      </c>
      <c r="S2" s="48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49" t="n">
        <f aca="false">INDEX(Monthly!$C$4:$BJ$4,($R$2-1)*12+1)</f>
        <v>1</v>
      </c>
      <c r="I6" s="49" t="n">
        <f aca="false">INDEX(Monthly!$C$4:$BJ$4,($R$2-1)*12+2)</f>
        <v>2</v>
      </c>
      <c r="J6" s="49" t="n">
        <f aca="false">INDEX(Monthly!$C$4:$BJ$4,($R$2-1)*12+3)</f>
        <v>3</v>
      </c>
      <c r="K6" s="49" t="n">
        <f aca="false">INDEX(Monthly!$C$4:$BJ$4,($R$2-1)*12+4)</f>
        <v>4</v>
      </c>
      <c r="L6" s="49" t="n">
        <f aca="false">INDEX(Monthly!$C$4:$BJ$4,($R$2-1)*12+5)</f>
        <v>5</v>
      </c>
      <c r="M6" s="49" t="n">
        <f aca="false">INDEX(Monthly!$C$4:$BJ$4,($R$2-1)*12+6)</f>
        <v>6</v>
      </c>
      <c r="N6" s="49" t="n">
        <f aca="false">INDEX(Monthly!$C$4:$BJ$4,($R$2-1)*12+7)</f>
        <v>7</v>
      </c>
      <c r="O6" s="49" t="n">
        <f aca="false">INDEX(Monthly!$C$4:$BJ$4,($R$2-1)*12+8)</f>
        <v>8</v>
      </c>
      <c r="P6" s="49" t="n">
        <f aca="false">INDEX(Monthly!$C$4:$BJ$4,($R$2-1)*12+9)</f>
        <v>9</v>
      </c>
      <c r="Q6" s="49" t="n">
        <f aca="false">INDEX(Monthly!$C$4:$BJ$4,($R$2-1)*12+10)</f>
        <v>10</v>
      </c>
      <c r="R6" s="49" t="n">
        <f aca="false">INDEX(Monthly!$C$4:$BJ$4,($R$2-1)*12+11)</f>
        <v>11</v>
      </c>
      <c r="S6" s="49" t="n">
        <f aca="false">INDEX(Monthly!$C$4:$BJ$4,($R$2-1)*12+12)</f>
        <v>12</v>
      </c>
    </row>
    <row r="7" customFormat="false" ht="15" hidden="false" customHeight="false" outlineLevel="0" collapsed="false">
      <c r="A7" s="50" t="s">
        <v>44</v>
      </c>
      <c r="B7" s="35" t="n">
        <f aca="false">'P&amp;L'!B5</f>
        <v>419706.375</v>
      </c>
      <c r="C7" s="35" t="n">
        <f aca="false">'P&amp;L'!C5</f>
        <v>725888.895</v>
      </c>
      <c r="D7" s="35" t="n">
        <f aca="false">'P&amp;L'!D5</f>
        <v>747148.3731</v>
      </c>
      <c r="E7" s="35" t="n">
        <f aca="false">'P&amp;L'!E5</f>
        <v>769562.824293</v>
      </c>
      <c r="F7" s="35" t="n">
        <f aca="false">'P&amp;L'!F5</f>
        <v>792649.70902179</v>
      </c>
      <c r="H7" s="35" t="n">
        <f aca="false">INDEX(Monthly!$C$32:$BJ$32,($R$2-1)*12+1)</f>
        <v>15609</v>
      </c>
      <c r="I7" s="35" t="n">
        <f aca="false">INDEX(Monthly!$C$32:$BJ$32,($R$2-1)*12+2)</f>
        <v>18036.4375</v>
      </c>
      <c r="J7" s="35" t="n">
        <f aca="false">INDEX(Monthly!$C$32:$BJ$32,($R$2-1)*12+3)</f>
        <v>21776.375</v>
      </c>
      <c r="K7" s="35" t="n">
        <f aca="false">INDEX(Monthly!$C$32:$BJ$32,($R$2-1)*12+4)</f>
        <v>25516.3125</v>
      </c>
      <c r="L7" s="35" t="n">
        <f aca="false">INDEX(Monthly!$C$32:$BJ$32,($R$2-1)*12+5)</f>
        <v>29256.25</v>
      </c>
      <c r="M7" s="35" t="n">
        <f aca="false">INDEX(Monthly!$C$32:$BJ$32,($R$2-1)*12+6)</f>
        <v>32996.1875</v>
      </c>
      <c r="N7" s="35" t="n">
        <f aca="false">INDEX(Monthly!$C$32:$BJ$32,($R$2-1)*12+7)</f>
        <v>36736.125</v>
      </c>
      <c r="O7" s="35" t="n">
        <f aca="false">INDEX(Monthly!$C$32:$BJ$32,($R$2-1)*12+8)</f>
        <v>40476.0625</v>
      </c>
      <c r="P7" s="35" t="n">
        <f aca="false">INDEX(Monthly!$C$32:$BJ$32,($R$2-1)*12+9)</f>
        <v>44216</v>
      </c>
      <c r="Q7" s="35" t="n">
        <f aca="false">INDEX(Monthly!$C$32:$BJ$32,($R$2-1)*12+10)</f>
        <v>47955.9375</v>
      </c>
      <c r="R7" s="35" t="n">
        <f aca="false">INDEX(Monthly!$C$32:$BJ$32,($R$2-1)*12+11)</f>
        <v>51695.875</v>
      </c>
      <c r="S7" s="35" t="n">
        <f aca="false">INDEX(Monthly!$C$32:$BJ$32,($R$2-1)*12+12)</f>
        <v>55435.8125</v>
      </c>
    </row>
    <row r="8" customFormat="false" ht="15" hidden="false" customHeight="false" outlineLevel="0" collapsed="false">
      <c r="A8" s="50" t="s">
        <v>75</v>
      </c>
      <c r="B8" s="35" t="n">
        <f aca="false">'P&amp;L'!B6</f>
        <v>-248629</v>
      </c>
      <c r="C8" s="35" t="n">
        <f aca="false">'P&amp;L'!C6</f>
        <v>-362568.24</v>
      </c>
      <c r="D8" s="35" t="n">
        <f aca="false">'P&amp;L'!D6</f>
        <v>-373445.2872</v>
      </c>
      <c r="E8" s="35" t="n">
        <f aca="false">'P&amp;L'!E6</f>
        <v>-384648.645816</v>
      </c>
      <c r="F8" s="35" t="n">
        <f aca="false">'P&amp;L'!F6</f>
        <v>-396188.10519048</v>
      </c>
      <c r="H8" s="35" t="n">
        <f aca="false">INDEX(Monthly!$C$38:$BJ$38,($R$2-1)*12+1)</f>
        <v>-9208</v>
      </c>
      <c r="I8" s="35" t="n">
        <f aca="false">INDEX(Monthly!$C$38:$BJ$38,($R$2-1)*12+2)</f>
        <v>-9578.5</v>
      </c>
      <c r="J8" s="35" t="n">
        <f aca="false">INDEX(Monthly!$C$38:$BJ$38,($R$2-1)*12+3)</f>
        <v>-17789</v>
      </c>
      <c r="K8" s="35" t="n">
        <f aca="false">INDEX(Monthly!$C$38:$BJ$38,($R$2-1)*12+4)</f>
        <v>-18159.5</v>
      </c>
      <c r="L8" s="35" t="n">
        <f aca="false">INDEX(Monthly!$C$38:$BJ$38,($R$2-1)*12+5)</f>
        <v>-18530</v>
      </c>
      <c r="M8" s="35" t="n">
        <f aca="false">INDEX(Monthly!$C$38:$BJ$38,($R$2-1)*12+6)</f>
        <v>-18900.5</v>
      </c>
      <c r="N8" s="35" t="n">
        <f aca="false">INDEX(Monthly!$C$38:$BJ$38,($R$2-1)*12+7)</f>
        <v>-19271</v>
      </c>
      <c r="O8" s="35" t="n">
        <f aca="false">INDEX(Monthly!$C$38:$BJ$38,($R$2-1)*12+8)</f>
        <v>-23561.5</v>
      </c>
      <c r="P8" s="35" t="n">
        <f aca="false">INDEX(Monthly!$C$38:$BJ$38,($R$2-1)*12+9)</f>
        <v>-27852</v>
      </c>
      <c r="Q8" s="35" t="n">
        <f aca="false">INDEX(Monthly!$C$38:$BJ$38,($R$2-1)*12+10)</f>
        <v>-28222.5</v>
      </c>
      <c r="R8" s="35" t="n">
        <f aca="false">INDEX(Monthly!$C$38:$BJ$38,($R$2-1)*12+11)</f>
        <v>-28593</v>
      </c>
      <c r="S8" s="35" t="n">
        <f aca="false">INDEX(Monthly!$C$38:$BJ$38,($R$2-1)*12+12)</f>
        <v>-28963.5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171077.375</v>
      </c>
      <c r="C9" s="37" t="n">
        <f aca="false">'P&amp;L'!C7</f>
        <v>363320.655</v>
      </c>
      <c r="D9" s="37" t="n">
        <f aca="false">'P&amp;L'!D7</f>
        <v>373703.0859</v>
      </c>
      <c r="E9" s="37" t="n">
        <f aca="false">'P&amp;L'!E7</f>
        <v>384914.178477</v>
      </c>
      <c r="F9" s="37" t="n">
        <f aca="false">'P&amp;L'!F7</f>
        <v>396461.60383131</v>
      </c>
      <c r="H9" s="37" t="n">
        <f aca="false">INDEX(Monthly!$C$39:$BJ$39,($R$2-1)*12+1)</f>
        <v>6401</v>
      </c>
      <c r="I9" s="37" t="n">
        <f aca="false">INDEX(Monthly!$C$39:$BJ$39,($R$2-1)*12+2)</f>
        <v>8457.9375</v>
      </c>
      <c r="J9" s="37" t="n">
        <f aca="false">INDEX(Monthly!$C$39:$BJ$39,($R$2-1)*12+3)</f>
        <v>3987.375</v>
      </c>
      <c r="K9" s="37" t="n">
        <f aca="false">INDEX(Monthly!$C$39:$BJ$39,($R$2-1)*12+4)</f>
        <v>7356.8125</v>
      </c>
      <c r="L9" s="37" t="n">
        <f aca="false">INDEX(Monthly!$C$39:$BJ$39,($R$2-1)*12+5)</f>
        <v>10726.25</v>
      </c>
      <c r="M9" s="37" t="n">
        <f aca="false">INDEX(Monthly!$C$39:$BJ$39,($R$2-1)*12+6)</f>
        <v>14095.6875</v>
      </c>
      <c r="N9" s="37" t="n">
        <f aca="false">INDEX(Monthly!$C$39:$BJ$39,($R$2-1)*12+7)</f>
        <v>17465.125</v>
      </c>
      <c r="O9" s="37" t="n">
        <f aca="false">INDEX(Monthly!$C$39:$BJ$39,($R$2-1)*12+8)</f>
        <v>16914.5625</v>
      </c>
      <c r="P9" s="37" t="n">
        <f aca="false">INDEX(Monthly!$C$39:$BJ$39,($R$2-1)*12+9)</f>
        <v>16364</v>
      </c>
      <c r="Q9" s="37" t="n">
        <f aca="false">INDEX(Monthly!$C$39:$BJ$39,($R$2-1)*12+10)</f>
        <v>19733.4375</v>
      </c>
      <c r="R9" s="37" t="n">
        <f aca="false">INDEX(Monthly!$C$39:$BJ$39,($R$2-1)*12+11)</f>
        <v>23102.875</v>
      </c>
      <c r="S9" s="37" t="n">
        <f aca="false">INDEX(Monthly!$C$39:$BJ$39,($R$2-1)*12+12)</f>
        <v>26472.3125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0.407612047827484</v>
      </c>
      <c r="C10" s="39" t="n">
        <f aca="false">'P&amp;L'!C8</f>
        <v>0.500518271463569</v>
      </c>
      <c r="D10" s="39" t="n">
        <f aca="false">'P&amp;L'!D8</f>
        <v>0.50017252175691</v>
      </c>
      <c r="E10" s="39" t="n">
        <f aca="false">'P&amp;L'!E8</f>
        <v>0.500172521756911</v>
      </c>
      <c r="F10" s="39" t="n">
        <f aca="false">'P&amp;L'!F8</f>
        <v>0.50017252175691</v>
      </c>
      <c r="H10" s="39" t="n">
        <f aca="false">IF(H7=0,0,H9/H7)</f>
        <v>0.410083925940163</v>
      </c>
      <c r="I10" s="39" t="n">
        <f aca="false">IF(I7=0,0,I9/I7)</f>
        <v>0.468936146619863</v>
      </c>
      <c r="J10" s="39" t="n">
        <f aca="false">IF(J7=0,0,J9/J7)</f>
        <v>0.183105544426012</v>
      </c>
      <c r="K10" s="39" t="n">
        <f aca="false">IF(K7=0,0,K9/K7)</f>
        <v>0.288318012251966</v>
      </c>
      <c r="L10" s="39" t="n">
        <f aca="false">IF(L7=0,0,L9/L7)</f>
        <v>0.366631061738945</v>
      </c>
      <c r="M10" s="39" t="n">
        <f aca="false">IF(M7=0,0,M9/M7)</f>
        <v>0.427191399006325</v>
      </c>
      <c r="N10" s="39" t="n">
        <f aca="false">IF(N7=0,0,N9/N7)</f>
        <v>0.475420992279398</v>
      </c>
      <c r="O10" s="39" t="n">
        <f aca="false">IF(O7=0,0,O9/O7)</f>
        <v>0.417890512447944</v>
      </c>
      <c r="P10" s="39" t="n">
        <f aca="false">IF(P7=0,0,P9/P7)</f>
        <v>0.37009227428985</v>
      </c>
      <c r="Q10" s="39" t="n">
        <f aca="false">IF(Q7=0,0,Q9/Q7)</f>
        <v>0.411491017144645</v>
      </c>
      <c r="R10" s="39" t="n">
        <f aca="false">IF(R7=0,0,R9/R7)</f>
        <v>0.446899776819717</v>
      </c>
      <c r="S10" s="39" t="n">
        <f aca="false">IF(S7=0,0,S9/S7)</f>
        <v>0.47753088312722</v>
      </c>
    </row>
    <row r="11" customFormat="false" ht="15" hidden="false" customHeight="false" outlineLevel="0" collapsed="false">
      <c r="A11" s="50" t="s">
        <v>76</v>
      </c>
      <c r="B11" s="35" t="n">
        <f aca="false">'P&amp;L'!B18</f>
        <v>-296928.36875</v>
      </c>
      <c r="C11" s="35" t="n">
        <f aca="false">'P&amp;L'!C18</f>
        <v>-309263.3765</v>
      </c>
      <c r="D11" s="35" t="n">
        <f aca="false">'P&amp;L'!D18</f>
        <v>-316201.277795</v>
      </c>
      <c r="E11" s="35" t="n">
        <f aca="false">'P&amp;L'!E18</f>
        <v>-323347.31612885</v>
      </c>
      <c r="F11" s="35" t="n">
        <f aca="false">'P&amp;L'!F18</f>
        <v>-330707.735612716</v>
      </c>
      <c r="H11" s="35" t="n">
        <f aca="false">INDEX(Monthly!$C$51:$BJ$51,($R$2-1)*12+1)</f>
        <v>-24349.2166666667</v>
      </c>
      <c r="I11" s="35" t="n">
        <f aca="false">INDEX(Monthly!$C$51:$BJ$51,($R$2-1)*12+2)</f>
        <v>-24421.0010416667</v>
      </c>
      <c r="J11" s="35" t="n">
        <f aca="false">INDEX(Monthly!$C$51:$BJ$51,($R$2-1)*12+3)</f>
        <v>-24492.7854166667</v>
      </c>
      <c r="K11" s="35" t="n">
        <f aca="false">INDEX(Monthly!$C$51:$BJ$51,($R$2-1)*12+4)</f>
        <v>-24564.5697916667</v>
      </c>
      <c r="L11" s="35" t="n">
        <f aca="false">INDEX(Monthly!$C$51:$BJ$51,($R$2-1)*12+5)</f>
        <v>-24636.3541666667</v>
      </c>
      <c r="M11" s="35" t="n">
        <f aca="false">INDEX(Monthly!$C$51:$BJ$51,($R$2-1)*12+6)</f>
        <v>-24708.1385416667</v>
      </c>
      <c r="N11" s="35" t="n">
        <f aca="false">INDEX(Monthly!$C$51:$BJ$51,($R$2-1)*12+7)</f>
        <v>-24779.9229166667</v>
      </c>
      <c r="O11" s="35" t="n">
        <f aca="false">INDEX(Monthly!$C$51:$BJ$51,($R$2-1)*12+8)</f>
        <v>-24851.7072916667</v>
      </c>
      <c r="P11" s="35" t="n">
        <f aca="false">INDEX(Monthly!$C$51:$BJ$51,($R$2-1)*12+9)</f>
        <v>-24923.4916666667</v>
      </c>
      <c r="Q11" s="35" t="n">
        <f aca="false">INDEX(Monthly!$C$51:$BJ$51,($R$2-1)*12+10)</f>
        <v>-24995.2760416667</v>
      </c>
      <c r="R11" s="35" t="n">
        <f aca="false">INDEX(Monthly!$C$51:$BJ$51,($R$2-1)*12+11)</f>
        <v>-25067.0604166667</v>
      </c>
      <c r="S11" s="35" t="n">
        <f aca="false">INDEX(Monthly!$C$51:$BJ$51,($R$2-1)*12+12)</f>
        <v>-25138.8447916667</v>
      </c>
    </row>
    <row r="12" customFormat="false" ht="15" hidden="false" customHeight="false" outlineLevel="0" collapsed="false">
      <c r="A12" s="36" t="s">
        <v>48</v>
      </c>
      <c r="B12" s="37" t="n">
        <f aca="false">'P&amp;L'!B19</f>
        <v>-125850.99375</v>
      </c>
      <c r="C12" s="37" t="n">
        <f aca="false">'P&amp;L'!C19</f>
        <v>54057.2784999999</v>
      </c>
      <c r="D12" s="37" t="n">
        <f aca="false">'P&amp;L'!D19</f>
        <v>57501.808105</v>
      </c>
      <c r="E12" s="37" t="n">
        <f aca="false">'P&amp;L'!E19</f>
        <v>61566.86234815</v>
      </c>
      <c r="F12" s="37" t="n">
        <f aca="false">'P&amp;L'!F19</f>
        <v>65753.8682185944</v>
      </c>
      <c r="H12" s="37" t="n">
        <f aca="false">INDEX(Monthly!$C$52:$BJ$52,($R$2-1)*12+1)</f>
        <v>-17948.2166666667</v>
      </c>
      <c r="I12" s="37" t="n">
        <f aca="false">INDEX(Monthly!$C$52:$BJ$52,($R$2-1)*12+2)</f>
        <v>-15963.0635416667</v>
      </c>
      <c r="J12" s="37" t="n">
        <f aca="false">INDEX(Monthly!$C$52:$BJ$52,($R$2-1)*12+3)</f>
        <v>-20505.4104166667</v>
      </c>
      <c r="K12" s="37" t="n">
        <f aca="false">INDEX(Monthly!$C$52:$BJ$52,($R$2-1)*12+4)</f>
        <v>-17207.7572916667</v>
      </c>
      <c r="L12" s="37" t="n">
        <f aca="false">INDEX(Monthly!$C$52:$BJ$52,($R$2-1)*12+5)</f>
        <v>-13910.1041666667</v>
      </c>
      <c r="M12" s="37" t="n">
        <f aca="false">INDEX(Monthly!$C$52:$BJ$52,($R$2-1)*12+6)</f>
        <v>-10612.4510416667</v>
      </c>
      <c r="N12" s="37" t="n">
        <f aca="false">INDEX(Monthly!$C$52:$BJ$52,($R$2-1)*12+7)</f>
        <v>-7314.79791666667</v>
      </c>
      <c r="O12" s="37" t="n">
        <f aca="false">INDEX(Monthly!$C$52:$BJ$52,($R$2-1)*12+8)</f>
        <v>-7937.14479166667</v>
      </c>
      <c r="P12" s="37" t="n">
        <f aca="false">INDEX(Monthly!$C$52:$BJ$52,($R$2-1)*12+9)</f>
        <v>-8559.49166666667</v>
      </c>
      <c r="Q12" s="37" t="n">
        <f aca="false">INDEX(Monthly!$C$52:$BJ$52,($R$2-1)*12+10)</f>
        <v>-5261.83854166666</v>
      </c>
      <c r="R12" s="37" t="n">
        <f aca="false">INDEX(Monthly!$C$52:$BJ$52,($R$2-1)*12+11)</f>
        <v>-1964.18541666666</v>
      </c>
      <c r="S12" s="37" t="n">
        <f aca="false">INDEX(Monthly!$C$52:$BJ$52,($R$2-1)*12+12)</f>
        <v>1333.46770833334</v>
      </c>
    </row>
    <row r="13" customFormat="false" ht="15" hidden="false" customHeight="false" outlineLevel="0" collapsed="false">
      <c r="A13" s="38" t="s">
        <v>49</v>
      </c>
      <c r="B13" s="39" t="n">
        <f aca="false">'P&amp;L'!B20</f>
        <v>-0.299854853884457</v>
      </c>
      <c r="C13" s="39" t="n">
        <f aca="false">'P&amp;L'!C20</f>
        <v>0.0744704580444091</v>
      </c>
      <c r="D13" s="39" t="n">
        <f aca="false">'P&amp;L'!D20</f>
        <v>0.0769616988743731</v>
      </c>
      <c r="E13" s="39" t="n">
        <f aca="false">'P&amp;L'!E20</f>
        <v>0.0800023862960268</v>
      </c>
      <c r="F13" s="39" t="n">
        <f aca="false">'P&amp;L'!F20</f>
        <v>0.0829545100063701</v>
      </c>
      <c r="H13" s="39" t="n">
        <f aca="false">IF(H7=0,0,H12/H7)</f>
        <v>-1.14986332671322</v>
      </c>
      <c r="I13" s="39" t="n">
        <f aca="false">IF(I7=0,0,I12/I7)</f>
        <v>-0.885045261386383</v>
      </c>
      <c r="J13" s="39" t="n">
        <f aca="false">IF(J7=0,0,J12/J7)</f>
        <v>-0.941635621937383</v>
      </c>
      <c r="K13" s="39" t="n">
        <f aca="false">IF(K7=0,0,K12/K7)</f>
        <v>-0.674382604918586</v>
      </c>
      <c r="L13" s="39" t="n">
        <f aca="false">IF(L7=0,0,L12/L7)</f>
        <v>-0.475457523321228</v>
      </c>
      <c r="M13" s="39" t="n">
        <f aca="false">IF(M7=0,0,M12/M7)</f>
        <v>-0.321626583121661</v>
      </c>
      <c r="N13" s="39" t="n">
        <f aca="false">IF(N7=0,0,N12/N7)</f>
        <v>-0.199117297120115</v>
      </c>
      <c r="O13" s="39" t="n">
        <f aca="false">IF(O7=0,0,O12/O7)</f>
        <v>-0.196094785446748</v>
      </c>
      <c r="P13" s="39" t="n">
        <f aca="false">IF(P7=0,0,P12/P7)</f>
        <v>-0.193583582112056</v>
      </c>
      <c r="Q13" s="39" t="n">
        <f aca="false">IF(Q7=0,0,Q12/Q7)</f>
        <v>-0.109722357980525</v>
      </c>
      <c r="R13" s="39" t="n">
        <f aca="false">IF(R7=0,0,R12/R7)</f>
        <v>-0.0379950124969674</v>
      </c>
      <c r="S13" s="39" t="n">
        <f aca="false">IF(S7=0,0,S12/S7)</f>
        <v>0.0240542647108011</v>
      </c>
    </row>
    <row r="14" customFormat="false" ht="15" hidden="false" customHeight="false" outlineLevel="0" collapsed="false">
      <c r="A14" s="50" t="s">
        <v>77</v>
      </c>
      <c r="B14" s="35" t="n">
        <f aca="false">'P&amp;L'!B21</f>
        <v>-44200</v>
      </c>
      <c r="C14" s="35" t="n">
        <f aca="false">'P&amp;L'!C21</f>
        <v>-45100</v>
      </c>
      <c r="D14" s="35" t="n">
        <f aca="false">'P&amp;L'!D21</f>
        <v>-46000</v>
      </c>
      <c r="E14" s="35" t="n">
        <f aca="false">'P&amp;L'!E21</f>
        <v>-46900</v>
      </c>
      <c r="F14" s="35" t="n">
        <f aca="false">'P&amp;L'!F21</f>
        <v>-47800</v>
      </c>
      <c r="H14" s="35" t="n">
        <f aca="false">INDEX(Monthly!$C$70:$BJ$70,($R$2-1)*12+1)</f>
        <v>-3683.33333333333</v>
      </c>
      <c r="I14" s="35" t="n">
        <f aca="false">INDEX(Monthly!$C$70:$BJ$70,($R$2-1)*12+2)</f>
        <v>-3683.33333333333</v>
      </c>
      <c r="J14" s="35" t="n">
        <f aca="false">INDEX(Monthly!$C$70:$BJ$70,($R$2-1)*12+3)</f>
        <v>-3683.33333333333</v>
      </c>
      <c r="K14" s="35" t="n">
        <f aca="false">INDEX(Monthly!$C$70:$BJ$70,($R$2-1)*12+4)</f>
        <v>-3683.33333333333</v>
      </c>
      <c r="L14" s="35" t="n">
        <f aca="false">INDEX(Monthly!$C$70:$BJ$70,($R$2-1)*12+5)</f>
        <v>-3683.33333333333</v>
      </c>
      <c r="M14" s="35" t="n">
        <f aca="false">INDEX(Monthly!$C$70:$BJ$70,($R$2-1)*12+6)</f>
        <v>-3683.33333333333</v>
      </c>
      <c r="N14" s="35" t="n">
        <f aca="false">INDEX(Monthly!$C$70:$BJ$70,($R$2-1)*12+7)</f>
        <v>-3683.33333333333</v>
      </c>
      <c r="O14" s="35" t="n">
        <f aca="false">INDEX(Monthly!$C$70:$BJ$70,($R$2-1)*12+8)</f>
        <v>-3683.33333333333</v>
      </c>
      <c r="P14" s="35" t="n">
        <f aca="false">INDEX(Monthly!$C$70:$BJ$70,($R$2-1)*12+9)</f>
        <v>-3683.33333333333</v>
      </c>
      <c r="Q14" s="35" t="n">
        <f aca="false">INDEX(Monthly!$C$70:$BJ$70,($R$2-1)*12+10)</f>
        <v>-3683.33333333333</v>
      </c>
      <c r="R14" s="35" t="n">
        <f aca="false">INDEX(Monthly!$C$70:$BJ$70,($R$2-1)*12+11)</f>
        <v>-3683.33333333333</v>
      </c>
      <c r="S14" s="35" t="n">
        <f aca="false">INDEX(Monthly!$C$70:$BJ$70,($R$2-1)*12+12)</f>
        <v>-3683.33333333333</v>
      </c>
    </row>
    <row r="15" customFormat="false" ht="15" hidden="false" customHeight="false" outlineLevel="0" collapsed="false">
      <c r="A15" s="36" t="s">
        <v>78</v>
      </c>
      <c r="B15" s="37" t="n">
        <f aca="false">'P&amp;L'!B22</f>
        <v>-170050.99375</v>
      </c>
      <c r="C15" s="37" t="n">
        <f aca="false">'P&amp;L'!C22</f>
        <v>8957.27849999994</v>
      </c>
      <c r="D15" s="37" t="n">
        <f aca="false">'P&amp;L'!D22</f>
        <v>11501.808105</v>
      </c>
      <c r="E15" s="37" t="n">
        <f aca="false">'P&amp;L'!E22</f>
        <v>14666.86234815</v>
      </c>
      <c r="F15" s="37" t="n">
        <f aca="false">'P&amp;L'!F22</f>
        <v>17953.8682185944</v>
      </c>
      <c r="H15" s="37" t="n">
        <f aca="false">INDEX(Monthly!$C$55:$BJ$55,($R$2-1)*12+1)</f>
        <v>-21631.55</v>
      </c>
      <c r="I15" s="37" t="n">
        <f aca="false">INDEX(Monthly!$C$55:$BJ$55,($R$2-1)*12+2)</f>
        <v>-19646.396875</v>
      </c>
      <c r="J15" s="37" t="n">
        <f aca="false">INDEX(Monthly!$C$55:$BJ$55,($R$2-1)*12+3)</f>
        <v>-24188.74375</v>
      </c>
      <c r="K15" s="37" t="n">
        <f aca="false">INDEX(Monthly!$C$55:$BJ$55,($R$2-1)*12+4)</f>
        <v>-20891.090625</v>
      </c>
      <c r="L15" s="37" t="n">
        <f aca="false">INDEX(Monthly!$C$55:$BJ$55,($R$2-1)*12+5)</f>
        <v>-17593.4375</v>
      </c>
      <c r="M15" s="37" t="n">
        <f aca="false">INDEX(Monthly!$C$55:$BJ$55,($R$2-1)*12+6)</f>
        <v>-14295.784375</v>
      </c>
      <c r="N15" s="37" t="n">
        <f aca="false">INDEX(Monthly!$C$55:$BJ$55,($R$2-1)*12+7)</f>
        <v>-10998.13125</v>
      </c>
      <c r="O15" s="37" t="n">
        <f aca="false">INDEX(Monthly!$C$55:$BJ$55,($R$2-1)*12+8)</f>
        <v>-11620.478125</v>
      </c>
      <c r="P15" s="37" t="n">
        <f aca="false">INDEX(Monthly!$C$55:$BJ$55,($R$2-1)*12+9)</f>
        <v>-12242.825</v>
      </c>
      <c r="Q15" s="37" t="n">
        <f aca="false">INDEX(Monthly!$C$55:$BJ$55,($R$2-1)*12+10)</f>
        <v>-8945.171875</v>
      </c>
      <c r="R15" s="37" t="n">
        <f aca="false">INDEX(Monthly!$C$55:$BJ$55,($R$2-1)*12+11)</f>
        <v>-5647.51875</v>
      </c>
      <c r="S15" s="37" t="n">
        <f aca="false">INDEX(Monthly!$C$55:$BJ$55,($R$2-1)*12+12)</f>
        <v>-2349.865625</v>
      </c>
    </row>
    <row r="16" customFormat="false" ht="15" hidden="false" customHeight="false" outlineLevel="0" collapsed="false">
      <c r="A16" s="50" t="s">
        <v>79</v>
      </c>
      <c r="B16" s="35" t="n">
        <f aca="false">'P&amp;L'!B23</f>
        <v>-19159.7222222222</v>
      </c>
      <c r="C16" s="35" t="n">
        <f aca="false">'P&amp;L'!C23</f>
        <v>-17166.6666666667</v>
      </c>
      <c r="D16" s="35" t="n">
        <f aca="false">'P&amp;L'!D23</f>
        <v>-15166.6666666666</v>
      </c>
      <c r="E16" s="35" t="n">
        <f aca="false">'P&amp;L'!E23</f>
        <v>-13166.6666666666</v>
      </c>
      <c r="F16" s="35" t="n">
        <f aca="false">'P&amp;L'!F23</f>
        <v>-11166.6666666666</v>
      </c>
      <c r="H16" s="35" t="n">
        <f aca="false">INDEX(Monthly!$C$56:$BJ$56,($R$2-1)*12+1)</f>
        <v>-1666.66666666667</v>
      </c>
      <c r="I16" s="35" t="n">
        <f aca="false">INDEX(Monthly!$C$56:$BJ$56,($R$2-1)*12+2)</f>
        <v>-1659.72222222222</v>
      </c>
      <c r="J16" s="35" t="n">
        <f aca="false">INDEX(Monthly!$C$56:$BJ$56,($R$2-1)*12+3)</f>
        <v>-1645.83333333333</v>
      </c>
      <c r="K16" s="35" t="n">
        <f aca="false">INDEX(Monthly!$C$56:$BJ$56,($R$2-1)*12+4)</f>
        <v>-1631.94444444444</v>
      </c>
      <c r="L16" s="35" t="n">
        <f aca="false">INDEX(Monthly!$C$56:$BJ$56,($R$2-1)*12+5)</f>
        <v>-1618.05555555556</v>
      </c>
      <c r="M16" s="35" t="n">
        <f aca="false">INDEX(Monthly!$C$56:$BJ$56,($R$2-1)*12+6)</f>
        <v>-1604.16666666667</v>
      </c>
      <c r="N16" s="35" t="n">
        <f aca="false">INDEX(Monthly!$C$56:$BJ$56,($R$2-1)*12+7)</f>
        <v>-1590.27777777778</v>
      </c>
      <c r="O16" s="35" t="n">
        <f aca="false">INDEX(Monthly!$C$56:$BJ$56,($R$2-1)*12+8)</f>
        <v>-1576.38888888889</v>
      </c>
      <c r="P16" s="35" t="n">
        <f aca="false">INDEX(Monthly!$C$56:$BJ$56,($R$2-1)*12+9)</f>
        <v>-1562.5</v>
      </c>
      <c r="Q16" s="35" t="n">
        <f aca="false">INDEX(Monthly!$C$56:$BJ$56,($R$2-1)*12+10)</f>
        <v>-1548.61111111111</v>
      </c>
      <c r="R16" s="35" t="n">
        <f aca="false">INDEX(Monthly!$C$56:$BJ$56,($R$2-1)*12+11)</f>
        <v>-1534.72222222222</v>
      </c>
      <c r="S16" s="35" t="n">
        <f aca="false">INDEX(Monthly!$C$56:$BJ$56,($R$2-1)*12+12)</f>
        <v>-1520.83333333333</v>
      </c>
    </row>
    <row r="17" customFormat="false" ht="15" hidden="false" customHeight="false" outlineLevel="0" collapsed="false">
      <c r="A17" s="50" t="s">
        <v>80</v>
      </c>
      <c r="B17" s="35" t="n">
        <f aca="false">'P&amp;L'!B24</f>
        <v>-189210.715972222</v>
      </c>
      <c r="C17" s="35" t="n">
        <f aca="false">'P&amp;L'!C24</f>
        <v>-8209.38816666671</v>
      </c>
      <c r="D17" s="35" t="n">
        <f aca="false">'P&amp;L'!D24</f>
        <v>-3664.85856166669</v>
      </c>
      <c r="E17" s="35" t="n">
        <f aca="false">'P&amp;L'!E24</f>
        <v>1500.19568148333</v>
      </c>
      <c r="F17" s="35" t="n">
        <f aca="false">'P&amp;L'!F24</f>
        <v>6787.20155192779</v>
      </c>
      <c r="H17" s="35" t="n">
        <f aca="false">INDEX(Monthly!$C$57:$BJ$57,($R$2-1)*12+1)</f>
        <v>-23298.2166666667</v>
      </c>
      <c r="I17" s="35" t="n">
        <f aca="false">INDEX(Monthly!$C$57:$BJ$57,($R$2-1)*12+2)</f>
        <v>-21306.1190972222</v>
      </c>
      <c r="J17" s="35" t="n">
        <f aca="false">INDEX(Monthly!$C$57:$BJ$57,($R$2-1)*12+3)</f>
        <v>-25834.5770833333</v>
      </c>
      <c r="K17" s="35" t="n">
        <f aca="false">INDEX(Monthly!$C$57:$BJ$57,($R$2-1)*12+4)</f>
        <v>-22523.0350694444</v>
      </c>
      <c r="L17" s="35" t="n">
        <f aca="false">INDEX(Monthly!$C$57:$BJ$57,($R$2-1)*12+5)</f>
        <v>-19211.4930555556</v>
      </c>
      <c r="M17" s="35" t="n">
        <f aca="false">INDEX(Monthly!$C$57:$BJ$57,($R$2-1)*12+6)</f>
        <v>-15899.9510416667</v>
      </c>
      <c r="N17" s="35" t="n">
        <f aca="false">INDEX(Monthly!$C$57:$BJ$57,($R$2-1)*12+7)</f>
        <v>-12588.4090277778</v>
      </c>
      <c r="O17" s="35" t="n">
        <f aca="false">INDEX(Monthly!$C$57:$BJ$57,($R$2-1)*12+8)</f>
        <v>-13196.8670138889</v>
      </c>
      <c r="P17" s="35" t="n">
        <f aca="false">INDEX(Monthly!$C$57:$BJ$57,($R$2-1)*12+9)</f>
        <v>-13805.325</v>
      </c>
      <c r="Q17" s="35" t="n">
        <f aca="false">INDEX(Monthly!$C$57:$BJ$57,($R$2-1)*12+10)</f>
        <v>-10493.7829861111</v>
      </c>
      <c r="R17" s="35" t="n">
        <f aca="false">INDEX(Monthly!$C$57:$BJ$57,($R$2-1)*12+11)</f>
        <v>-7182.24097222222</v>
      </c>
      <c r="S17" s="35" t="n">
        <f aca="false">INDEX(Monthly!$C$57:$BJ$57,($R$2-1)*12+12)</f>
        <v>-3870.69895833333</v>
      </c>
    </row>
    <row r="18" customFormat="false" ht="15" hidden="false" customHeight="false" outlineLevel="0" collapsed="false">
      <c r="A18" s="50" t="s">
        <v>81</v>
      </c>
      <c r="B18" s="35" t="n">
        <f aca="false">'P&amp;L'!B25</f>
        <v>0</v>
      </c>
      <c r="C18" s="35" t="n">
        <f aca="false">'P&amp;L'!C25</f>
        <v>0</v>
      </c>
      <c r="D18" s="35" t="n">
        <f aca="false">'P&amp;L'!D25</f>
        <v>0</v>
      </c>
      <c r="E18" s="35" t="n">
        <f aca="false">'P&amp;L'!E25</f>
        <v>0</v>
      </c>
      <c r="F18" s="35" t="n">
        <f aca="false">'P&amp;L'!F25</f>
        <v>0</v>
      </c>
      <c r="H18" s="35" t="n">
        <f aca="false">INDEX(Monthly!$C$60:$BJ$60,($R$2-1)*12+1)</f>
        <v>-0</v>
      </c>
      <c r="I18" s="35" t="n">
        <f aca="false">INDEX(Monthly!$C$60:$BJ$60,($R$2-1)*12+2)</f>
        <v>-0</v>
      </c>
      <c r="J18" s="35" t="n">
        <f aca="false">INDEX(Monthly!$C$60:$BJ$60,($R$2-1)*12+3)</f>
        <v>-0</v>
      </c>
      <c r="K18" s="35" t="n">
        <f aca="false">INDEX(Monthly!$C$60:$BJ$60,($R$2-1)*12+4)</f>
        <v>-0</v>
      </c>
      <c r="L18" s="35" t="n">
        <f aca="false">INDEX(Monthly!$C$60:$BJ$60,($R$2-1)*12+5)</f>
        <v>-0</v>
      </c>
      <c r="M18" s="35" t="n">
        <f aca="false">INDEX(Monthly!$C$60:$BJ$60,($R$2-1)*12+6)</f>
        <v>-0</v>
      </c>
      <c r="N18" s="35" t="n">
        <f aca="false">INDEX(Monthly!$C$60:$BJ$60,($R$2-1)*12+7)</f>
        <v>-0</v>
      </c>
      <c r="O18" s="35" t="n">
        <f aca="false">INDEX(Monthly!$C$60:$BJ$60,($R$2-1)*12+8)</f>
        <v>-0</v>
      </c>
      <c r="P18" s="35" t="n">
        <f aca="false">INDEX(Monthly!$C$60:$BJ$60,($R$2-1)*12+9)</f>
        <v>-0</v>
      </c>
      <c r="Q18" s="35" t="n">
        <f aca="false">INDEX(Monthly!$C$60:$BJ$60,($R$2-1)*12+10)</f>
        <v>-0</v>
      </c>
      <c r="R18" s="35" t="n">
        <f aca="false">INDEX(Monthly!$C$60:$BJ$60,($R$2-1)*12+11)</f>
        <v>-0</v>
      </c>
      <c r="S18" s="35" t="n">
        <f aca="false">INDEX(Monthly!$C$60:$BJ$60,($R$2-1)*12+12)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'P&amp;L'!B26</f>
        <v>-189210.715972222</v>
      </c>
      <c r="C19" s="41" t="n">
        <f aca="false">'P&amp;L'!C26</f>
        <v>-8209.38816666671</v>
      </c>
      <c r="D19" s="41" t="n">
        <f aca="false">'P&amp;L'!D26</f>
        <v>-3664.85856166669</v>
      </c>
      <c r="E19" s="41" t="n">
        <f aca="false">'P&amp;L'!E26</f>
        <v>1500.19568148333</v>
      </c>
      <c r="F19" s="41" t="n">
        <f aca="false">'P&amp;L'!F26</f>
        <v>6787.20155192779</v>
      </c>
      <c r="H19" s="41" t="n">
        <f aca="false">INDEX(Monthly!$C$61:$BJ$61,($R$2-1)*12+1)</f>
        <v>-23298.2166666667</v>
      </c>
      <c r="I19" s="41" t="n">
        <f aca="false">INDEX(Monthly!$C$61:$BJ$61,($R$2-1)*12+2)</f>
        <v>-21306.1190972222</v>
      </c>
      <c r="J19" s="41" t="n">
        <f aca="false">INDEX(Monthly!$C$61:$BJ$61,($R$2-1)*12+3)</f>
        <v>-25834.5770833333</v>
      </c>
      <c r="K19" s="41" t="n">
        <f aca="false">INDEX(Monthly!$C$61:$BJ$61,($R$2-1)*12+4)</f>
        <v>-22523.0350694444</v>
      </c>
      <c r="L19" s="41" t="n">
        <f aca="false">INDEX(Monthly!$C$61:$BJ$61,($R$2-1)*12+5)</f>
        <v>-19211.4930555556</v>
      </c>
      <c r="M19" s="41" t="n">
        <f aca="false">INDEX(Monthly!$C$61:$BJ$61,($R$2-1)*12+6)</f>
        <v>-15899.9510416667</v>
      </c>
      <c r="N19" s="41" t="n">
        <f aca="false">INDEX(Monthly!$C$61:$BJ$61,($R$2-1)*12+7)</f>
        <v>-12588.4090277778</v>
      </c>
      <c r="O19" s="41" t="n">
        <f aca="false">INDEX(Monthly!$C$61:$BJ$61,($R$2-1)*12+8)</f>
        <v>-13196.8670138889</v>
      </c>
      <c r="P19" s="41" t="n">
        <f aca="false">INDEX(Monthly!$C$61:$BJ$61,($R$2-1)*12+9)</f>
        <v>-13805.325</v>
      </c>
      <c r="Q19" s="41" t="n">
        <f aca="false">INDEX(Monthly!$C$61:$BJ$61,($R$2-1)*12+10)</f>
        <v>-10493.7829861111</v>
      </c>
      <c r="R19" s="41" t="n">
        <f aca="false">INDEX(Monthly!$C$61:$BJ$61,($R$2-1)*12+11)</f>
        <v>-7182.24097222222</v>
      </c>
      <c r="S19" s="41" t="n">
        <f aca="false">INDEX(Monthly!$C$61:$BJ$61,($R$2-1)*12+12)</f>
        <v>-3870.69895833333</v>
      </c>
    </row>
    <row r="20" customFormat="false" ht="15" hidden="false" customHeight="false" outlineLevel="0" collapsed="false">
      <c r="A20" s="38" t="s">
        <v>51</v>
      </c>
      <c r="B20" s="39" t="n">
        <f aca="false">'P&amp;L'!B27</f>
        <v>-0.450816873992496</v>
      </c>
      <c r="C20" s="39" t="n">
        <f aca="false">'P&amp;L'!C27</f>
        <v>-0.0113094279623422</v>
      </c>
      <c r="D20" s="39" t="n">
        <f aca="false">'P&amp;L'!D27</f>
        <v>-0.00490512820962293</v>
      </c>
      <c r="E20" s="39" t="n">
        <f aca="false">'P&amp;L'!E27</f>
        <v>0.00194941287978868</v>
      </c>
      <c r="F20" s="39" t="n">
        <f aca="false">'P&amp;L'!F27</f>
        <v>0.00856267462748947</v>
      </c>
      <c r="H20" s="39" t="n">
        <f aca="false">IF(H7=0,0,H19/H7)</f>
        <v>-1.49261430371367</v>
      </c>
      <c r="I20" s="39" t="n">
        <f aca="false">IF(I7=0,0,I19/I7)</f>
        <v>-1.18128200744866</v>
      </c>
      <c r="J20" s="39" t="n">
        <f aca="false">IF(J7=0,0,J19/J7)</f>
        <v>-1.18635801795907</v>
      </c>
      <c r="K20" s="39" t="n">
        <f aca="false">IF(K7=0,0,K19/K7)</f>
        <v>-0.882691614215199</v>
      </c>
      <c r="L20" s="39" t="n">
        <f aca="false">IF(L7=0,0,L19/L7)</f>
        <v>-0.65666286880771</v>
      </c>
      <c r="M20" s="39" t="n">
        <f aca="false">IF(M7=0,0,M19/M7)</f>
        <v>-0.481872369093147</v>
      </c>
      <c r="N20" s="39" t="n">
        <f aca="false">IF(N7=0,0,N19/N7)</f>
        <v>-0.342671118082753</v>
      </c>
      <c r="O20" s="39" t="n">
        <f aca="false">IF(O7=0,0,O19/O7)</f>
        <v>-0.326041274738344</v>
      </c>
      <c r="P20" s="39" t="n">
        <f aca="false">IF(P7=0,0,P19/P7)</f>
        <v>-0.312224647186539</v>
      </c>
      <c r="Q20" s="39" t="n">
        <f aca="false">IF(Q7=0,0,Q19/Q7)</f>
        <v>-0.218821350038483</v>
      </c>
      <c r="R20" s="39" t="n">
        <f aca="false">IF(R7=0,0,R19/R7)</f>
        <v>-0.138932573870202</v>
      </c>
      <c r="S20" s="39" t="n">
        <f aca="false">IF(S7=0,0,S19/S7)</f>
        <v>-0.0698230761627843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49" t="n">
        <f aca="false">INDEX(Monthly!$C$4:$BJ$4,($R$2-1)*12+1)</f>
        <v>1</v>
      </c>
      <c r="I23" s="49" t="n">
        <f aca="false">INDEX(Monthly!$C$4:$BJ$4,($R$2-1)*12+2)</f>
        <v>2</v>
      </c>
      <c r="J23" s="49" t="n">
        <f aca="false">INDEX(Monthly!$C$4:$BJ$4,($R$2-1)*12+3)</f>
        <v>3</v>
      </c>
      <c r="K23" s="49" t="n">
        <f aca="false">INDEX(Monthly!$C$4:$BJ$4,($R$2-1)*12+4)</f>
        <v>4</v>
      </c>
      <c r="L23" s="49" t="n">
        <f aca="false">INDEX(Monthly!$C$4:$BJ$4,($R$2-1)*12+5)</f>
        <v>5</v>
      </c>
      <c r="M23" s="49" t="n">
        <f aca="false">INDEX(Monthly!$C$4:$BJ$4,($R$2-1)*12+6)</f>
        <v>6</v>
      </c>
      <c r="N23" s="49" t="n">
        <f aca="false">INDEX(Monthly!$C$4:$BJ$4,($R$2-1)*12+7)</f>
        <v>7</v>
      </c>
      <c r="O23" s="49" t="n">
        <f aca="false">INDEX(Monthly!$C$4:$BJ$4,($R$2-1)*12+8)</f>
        <v>8</v>
      </c>
      <c r="P23" s="49" t="n">
        <f aca="false">INDEX(Monthly!$C$4:$BJ$4,($R$2-1)*12+9)</f>
        <v>9</v>
      </c>
      <c r="Q23" s="49" t="n">
        <f aca="false">INDEX(Monthly!$C$4:$BJ$4,($R$2-1)*12+10)</f>
        <v>10</v>
      </c>
      <c r="R23" s="49" t="n">
        <f aca="false">INDEX(Monthly!$C$4:$BJ$4,($R$2-1)*12+11)</f>
        <v>11</v>
      </c>
      <c r="S23" s="49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-161309.301388889</v>
      </c>
      <c r="C24" s="37" t="n">
        <f aca="false">'Cash Flow'!C10</f>
        <v>35051.747</v>
      </c>
      <c r="D24" s="37" t="n">
        <f aca="false">'Cash Flow'!D10</f>
        <v>41791.0179308333</v>
      </c>
      <c r="E24" s="37" t="n">
        <f aca="false">'Cash Flow'!E10</f>
        <v>47839.7484687583</v>
      </c>
      <c r="F24" s="37" t="n">
        <f aca="false">'Cash Flow'!F10</f>
        <v>54009.940922821</v>
      </c>
      <c r="H24" s="37" t="n">
        <f aca="false">INDEX(Monthly!$C$89:$BJ$89,($R$2-1)*12+1)</f>
        <v>-23923.3166666667</v>
      </c>
      <c r="I24" s="37" t="n">
        <f aca="false">INDEX(Monthly!$C$89:$BJ$89,($R$2-1)*12+2)</f>
        <v>-18575.8753472222</v>
      </c>
      <c r="J24" s="37" t="n">
        <f aca="false">INDEX(Monthly!$C$89:$BJ$89,($R$2-1)*12+3)</f>
        <v>-21582.4166666667</v>
      </c>
      <c r="K24" s="37" t="n">
        <f aca="false">INDEX(Monthly!$C$89:$BJ$89,($R$2-1)*12+4)</f>
        <v>-20361.5413194444</v>
      </c>
      <c r="L24" s="37" t="n">
        <f aca="false">INDEX(Monthly!$C$89:$BJ$89,($R$2-1)*12+5)</f>
        <v>-17049.9993055556</v>
      </c>
      <c r="M24" s="37" t="n">
        <f aca="false">INDEX(Monthly!$C$89:$BJ$89,($R$2-1)*12+6)</f>
        <v>-13738.4572916667</v>
      </c>
      <c r="N24" s="37" t="n">
        <f aca="false">INDEX(Monthly!$C$89:$BJ$89,($R$2-1)*12+7)</f>
        <v>-10426.9152777778</v>
      </c>
      <c r="O24" s="37" t="n">
        <f aca="false">INDEX(Monthly!$C$89:$BJ$89,($R$2-1)*12+8)</f>
        <v>-9990.03993055557</v>
      </c>
      <c r="P24" s="37" t="n">
        <f aca="false">INDEX(Monthly!$C$89:$BJ$89,($R$2-1)*12+9)</f>
        <v>-10598.4979166667</v>
      </c>
      <c r="Q24" s="37" t="n">
        <f aca="false">INDEX(Monthly!$C$89:$BJ$89,($R$2-1)*12+10)</f>
        <v>-8332.28923611111</v>
      </c>
      <c r="R24" s="37" t="n">
        <f aca="false">INDEX(Monthly!$C$89:$BJ$89,($R$2-1)*12+11)</f>
        <v>-5020.74722222222</v>
      </c>
      <c r="S24" s="37" t="n">
        <f aca="false">INDEX(Monthly!$C$89:$BJ$89,($R$2-1)*12+12)</f>
        <v>-1709.20520833333</v>
      </c>
    </row>
    <row r="25" customFormat="false" ht="15" hidden="false" customHeight="false" outlineLevel="0" collapsed="false">
      <c r="A25" s="50" t="s">
        <v>83</v>
      </c>
      <c r="B25" s="35" t="n">
        <f aca="false">'Cash Flow'!B11</f>
        <v>-442000</v>
      </c>
      <c r="C25" s="35" t="n">
        <f aca="false">'Cash Flow'!C11</f>
        <v>-9000</v>
      </c>
      <c r="D25" s="35" t="n">
        <f aca="false">'Cash Flow'!D11</f>
        <v>-9000</v>
      </c>
      <c r="E25" s="35" t="n">
        <f aca="false">'Cash Flow'!E11</f>
        <v>-9000</v>
      </c>
      <c r="F25" s="35" t="n">
        <f aca="false">'Cash Flow'!F11</f>
        <v>-9000</v>
      </c>
      <c r="H25" s="35" t="n">
        <f aca="false">INDEX(Monthly!$C$90:$BJ$90,($R$2-1)*12+1)</f>
        <v>-442000</v>
      </c>
      <c r="I25" s="35" t="n">
        <f aca="false">INDEX(Monthly!$C$90:$BJ$90,($R$2-1)*12+2)</f>
        <v>-0</v>
      </c>
      <c r="J25" s="35" t="n">
        <f aca="false">INDEX(Monthly!$C$90:$BJ$90,($R$2-1)*12+3)</f>
        <v>-0</v>
      </c>
      <c r="K25" s="35" t="n">
        <f aca="false">INDEX(Monthly!$C$90:$BJ$90,($R$2-1)*12+4)</f>
        <v>-0</v>
      </c>
      <c r="L25" s="35" t="n">
        <f aca="false">INDEX(Monthly!$C$90:$BJ$90,($R$2-1)*12+5)</f>
        <v>-0</v>
      </c>
      <c r="M25" s="35" t="n">
        <f aca="false">INDEX(Monthly!$C$90:$BJ$90,($R$2-1)*12+6)</f>
        <v>-0</v>
      </c>
      <c r="N25" s="35" t="n">
        <f aca="false">INDEX(Monthly!$C$90:$BJ$90,($R$2-1)*12+7)</f>
        <v>-0</v>
      </c>
      <c r="O25" s="35" t="n">
        <f aca="false">INDEX(Monthly!$C$90:$BJ$90,($R$2-1)*12+8)</f>
        <v>-0</v>
      </c>
      <c r="P25" s="35" t="n">
        <f aca="false">INDEX(Monthly!$C$90:$BJ$90,($R$2-1)*12+9)</f>
        <v>-0</v>
      </c>
      <c r="Q25" s="35" t="n">
        <f aca="false">INDEX(Monthly!$C$90:$BJ$90,($R$2-1)*12+10)</f>
        <v>-0</v>
      </c>
      <c r="R25" s="35" t="n">
        <f aca="false">INDEX(Monthly!$C$90:$BJ$90,($R$2-1)*12+11)</f>
        <v>-0</v>
      </c>
      <c r="S25" s="35" t="n">
        <f aca="false">INDEX(Monthly!$C$90:$BJ$90,($R$2-1)*12+12)</f>
        <v>-0</v>
      </c>
    </row>
    <row r="26" customFormat="false" ht="15" hidden="false" customHeight="false" outlineLevel="0" collapsed="false">
      <c r="A26" s="50" t="s">
        <v>63</v>
      </c>
      <c r="B26" s="35" t="n">
        <f aca="false">'Cash Flow'!B12</f>
        <v>450000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INDEX(Monthly!$C$91:$BJ$91,($R$2-1)*12+1)</f>
        <v>450000</v>
      </c>
      <c r="I26" s="35" t="n">
        <f aca="false">INDEX(Monthly!$C$91:$BJ$91,($R$2-1)*12+2)</f>
        <v>0</v>
      </c>
      <c r="J26" s="35" t="n">
        <f aca="false">INDEX(Monthly!$C$91:$BJ$91,($R$2-1)*12+3)</f>
        <v>0</v>
      </c>
      <c r="K26" s="35" t="n">
        <f aca="false">INDEX(Monthly!$C$91:$BJ$91,($R$2-1)*12+4)</f>
        <v>0</v>
      </c>
      <c r="L26" s="35" t="n">
        <f aca="false">INDEX(Monthly!$C$91:$BJ$91,($R$2-1)*12+5)</f>
        <v>0</v>
      </c>
      <c r="M26" s="35" t="n">
        <f aca="false">INDEX(Monthly!$C$91:$BJ$91,($R$2-1)*12+6)</f>
        <v>0</v>
      </c>
      <c r="N26" s="35" t="n">
        <f aca="false">INDEX(Monthly!$C$91:$BJ$91,($R$2-1)*12+7)</f>
        <v>0</v>
      </c>
      <c r="O26" s="35" t="n">
        <f aca="false">INDEX(Monthly!$C$91:$BJ$91,($R$2-1)*12+8)</f>
        <v>0</v>
      </c>
      <c r="P26" s="35" t="n">
        <f aca="false">INDEX(Monthly!$C$91:$BJ$91,($R$2-1)*12+9)</f>
        <v>0</v>
      </c>
      <c r="Q26" s="35" t="n">
        <f aca="false">INDEX(Monthly!$C$91:$BJ$91,($R$2-1)*12+10)</f>
        <v>0</v>
      </c>
      <c r="R26" s="35" t="n">
        <f aca="false">INDEX(Monthly!$C$91:$BJ$91,($R$2-1)*12+11)</f>
        <v>0</v>
      </c>
      <c r="S26" s="35" t="n">
        <f aca="false">INDEX(Monthly!$C$91:$BJ$91,($R$2-1)*12+12)</f>
        <v>0</v>
      </c>
    </row>
    <row r="27" customFormat="false" ht="15" hidden="false" customHeight="false" outlineLevel="0" collapsed="false">
      <c r="A27" s="50" t="s">
        <v>84</v>
      </c>
      <c r="B27" s="35" t="n">
        <f aca="false">'Cash Flow'!B13</f>
        <v>250000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INDEX(Monthly!$C$76:$BJ$76,($R$2-1)*12+1)</f>
        <v>250000</v>
      </c>
      <c r="I27" s="35" t="n">
        <f aca="false">INDEX(Monthly!$C$76:$BJ$76,($R$2-1)*12+2)</f>
        <v>0</v>
      </c>
      <c r="J27" s="35" t="n">
        <f aca="false">INDEX(Monthly!$C$76:$BJ$76,($R$2-1)*12+3)</f>
        <v>0</v>
      </c>
      <c r="K27" s="35" t="n">
        <f aca="false">INDEX(Monthly!$C$76:$BJ$76,($R$2-1)*12+4)</f>
        <v>0</v>
      </c>
      <c r="L27" s="35" t="n">
        <f aca="false">INDEX(Monthly!$C$76:$BJ$76,($R$2-1)*12+5)</f>
        <v>0</v>
      </c>
      <c r="M27" s="35" t="n">
        <f aca="false">INDEX(Monthly!$C$76:$BJ$76,($R$2-1)*12+6)</f>
        <v>0</v>
      </c>
      <c r="N27" s="35" t="n">
        <f aca="false">INDEX(Monthly!$C$76:$BJ$76,($R$2-1)*12+7)</f>
        <v>0</v>
      </c>
      <c r="O27" s="35" t="n">
        <f aca="false">INDEX(Monthly!$C$76:$BJ$76,($R$2-1)*12+8)</f>
        <v>0</v>
      </c>
      <c r="P27" s="35" t="n">
        <f aca="false">INDEX(Monthly!$C$76:$BJ$76,($R$2-1)*12+9)</f>
        <v>0</v>
      </c>
      <c r="Q27" s="35" t="n">
        <f aca="false">INDEX(Monthly!$C$76:$BJ$76,($R$2-1)*12+10)</f>
        <v>0</v>
      </c>
      <c r="R27" s="35" t="n">
        <f aca="false">INDEX(Monthly!$C$76:$BJ$76,($R$2-1)*12+11)</f>
        <v>0</v>
      </c>
      <c r="S27" s="35" t="n">
        <f aca="false">INDEX(Monthly!$C$76:$BJ$76,($R$2-1)*12+12)</f>
        <v>0</v>
      </c>
    </row>
    <row r="28" customFormat="false" ht="15" hidden="false" customHeight="false" outlineLevel="0" collapsed="false">
      <c r="A28" s="50" t="s">
        <v>85</v>
      </c>
      <c r="B28" s="35" t="n">
        <f aca="false">'Cash Flow'!B14</f>
        <v>-22916.6666666667</v>
      </c>
      <c r="C28" s="35" t="n">
        <f aca="false">'Cash Flow'!C14</f>
        <v>-25000</v>
      </c>
      <c r="D28" s="35" t="n">
        <f aca="false">'Cash Flow'!D14</f>
        <v>-25000</v>
      </c>
      <c r="E28" s="35" t="n">
        <f aca="false">'Cash Flow'!E14</f>
        <v>-25000</v>
      </c>
      <c r="F28" s="35" t="n">
        <f aca="false">'Cash Flow'!F14</f>
        <v>-25000</v>
      </c>
      <c r="H28" s="35" t="n">
        <f aca="false">INDEX(Monthly!$C$77:$BJ$77,($R$2-1)*12+1)</f>
        <v>-0</v>
      </c>
      <c r="I28" s="35" t="n">
        <f aca="false">INDEX(Monthly!$C$77:$BJ$77,($R$2-1)*12+2)</f>
        <v>-2083.33333333333</v>
      </c>
      <c r="J28" s="35" t="n">
        <f aca="false">INDEX(Monthly!$C$77:$BJ$77,($R$2-1)*12+3)</f>
        <v>-2083.33333333333</v>
      </c>
      <c r="K28" s="35" t="n">
        <f aca="false">INDEX(Monthly!$C$77:$BJ$77,($R$2-1)*12+4)</f>
        <v>-2083.33333333333</v>
      </c>
      <c r="L28" s="35" t="n">
        <f aca="false">INDEX(Monthly!$C$77:$BJ$77,($R$2-1)*12+5)</f>
        <v>-2083.33333333333</v>
      </c>
      <c r="M28" s="35" t="n">
        <f aca="false">INDEX(Monthly!$C$77:$BJ$77,($R$2-1)*12+6)</f>
        <v>-2083.33333333333</v>
      </c>
      <c r="N28" s="35" t="n">
        <f aca="false">INDEX(Monthly!$C$77:$BJ$77,($R$2-1)*12+7)</f>
        <v>-2083.33333333333</v>
      </c>
      <c r="O28" s="35" t="n">
        <f aca="false">INDEX(Monthly!$C$77:$BJ$77,($R$2-1)*12+8)</f>
        <v>-2083.33333333333</v>
      </c>
      <c r="P28" s="35" t="n">
        <f aca="false">INDEX(Monthly!$C$77:$BJ$77,($R$2-1)*12+9)</f>
        <v>-2083.33333333333</v>
      </c>
      <c r="Q28" s="35" t="n">
        <f aca="false">INDEX(Monthly!$C$77:$BJ$77,($R$2-1)*12+10)</f>
        <v>-2083.33333333333</v>
      </c>
      <c r="R28" s="35" t="n">
        <f aca="false">INDEX(Monthly!$C$77:$BJ$77,($R$2-1)*12+11)</f>
        <v>-2083.33333333333</v>
      </c>
      <c r="S28" s="35" t="n">
        <f aca="false">INDEX(Monthly!$C$77:$BJ$77,($R$2-1)*12+12)</f>
        <v>-2083.33333333333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677083.333333333</v>
      </c>
      <c r="C29" s="37" t="n">
        <f aca="false">'Cash Flow'!C15</f>
        <v>-25000</v>
      </c>
      <c r="D29" s="37" t="n">
        <f aca="false">'Cash Flow'!D15</f>
        <v>-25000</v>
      </c>
      <c r="E29" s="37" t="n">
        <f aca="false">'Cash Flow'!E15</f>
        <v>-25000</v>
      </c>
      <c r="F29" s="37" t="n">
        <f aca="false">'Cash Flow'!F15</f>
        <v>-25000</v>
      </c>
      <c r="H29" s="37" t="n">
        <f aca="false">INDEX(Monthly!$C$92:$BJ$92,($R$2-1)*12+1)</f>
        <v>700000</v>
      </c>
      <c r="I29" s="37" t="n">
        <f aca="false">INDEX(Monthly!$C$92:$BJ$92,($R$2-1)*12+2)</f>
        <v>-2083.33333333333</v>
      </c>
      <c r="J29" s="37" t="n">
        <f aca="false">INDEX(Monthly!$C$92:$BJ$92,($R$2-1)*12+3)</f>
        <v>-2083.33333333333</v>
      </c>
      <c r="K29" s="37" t="n">
        <f aca="false">INDEX(Monthly!$C$92:$BJ$92,($R$2-1)*12+4)</f>
        <v>-2083.33333333333</v>
      </c>
      <c r="L29" s="37" t="n">
        <f aca="false">INDEX(Monthly!$C$92:$BJ$92,($R$2-1)*12+5)</f>
        <v>-2083.33333333333</v>
      </c>
      <c r="M29" s="37" t="n">
        <f aca="false">INDEX(Monthly!$C$92:$BJ$92,($R$2-1)*12+6)</f>
        <v>-2083.33333333333</v>
      </c>
      <c r="N29" s="37" t="n">
        <f aca="false">INDEX(Monthly!$C$92:$BJ$92,($R$2-1)*12+7)</f>
        <v>-2083.33333333333</v>
      </c>
      <c r="O29" s="37" t="n">
        <f aca="false">INDEX(Monthly!$C$92:$BJ$92,($R$2-1)*12+8)</f>
        <v>-2083.33333333333</v>
      </c>
      <c r="P29" s="37" t="n">
        <f aca="false">INDEX(Monthly!$C$92:$BJ$92,($R$2-1)*12+9)</f>
        <v>-2083.33333333333</v>
      </c>
      <c r="Q29" s="37" t="n">
        <f aca="false">INDEX(Monthly!$C$92:$BJ$92,($R$2-1)*12+10)</f>
        <v>-2083.33333333333</v>
      </c>
      <c r="R29" s="37" t="n">
        <f aca="false">INDEX(Monthly!$C$92:$BJ$92,($R$2-1)*12+11)</f>
        <v>-2083.33333333333</v>
      </c>
      <c r="S29" s="37" t="n">
        <f aca="false">INDEX(Monthly!$C$92:$BJ$92,($R$2-1)*12+12)</f>
        <v>-2083.33333333333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73774.0319444445</v>
      </c>
      <c r="C30" s="37" t="n">
        <f aca="false">'Cash Flow'!C16</f>
        <v>1051.74699999996</v>
      </c>
      <c r="D30" s="37" t="n">
        <f aca="false">'Cash Flow'!D16</f>
        <v>7791.01793083331</v>
      </c>
      <c r="E30" s="37" t="n">
        <f aca="false">'Cash Flow'!E16</f>
        <v>13839.7484687583</v>
      </c>
      <c r="F30" s="37" t="n">
        <f aca="false">'Cash Flow'!F16</f>
        <v>20009.940922821</v>
      </c>
      <c r="H30" s="37" t="n">
        <f aca="false">INDEX(Monthly!$C$93:$BJ$93,($R$2-1)*12+1)</f>
        <v>234076.683333333</v>
      </c>
      <c r="I30" s="37" t="n">
        <f aca="false">INDEX(Monthly!$C$93:$BJ$93,($R$2-1)*12+2)</f>
        <v>-20659.2086805556</v>
      </c>
      <c r="J30" s="37" t="n">
        <f aca="false">INDEX(Monthly!$C$93:$BJ$93,($R$2-1)*12+3)</f>
        <v>-23665.75</v>
      </c>
      <c r="K30" s="37" t="n">
        <f aca="false">INDEX(Monthly!$C$93:$BJ$93,($R$2-1)*12+4)</f>
        <v>-22444.8746527778</v>
      </c>
      <c r="L30" s="37" t="n">
        <f aca="false">INDEX(Monthly!$C$93:$BJ$93,($R$2-1)*12+5)</f>
        <v>-19133.3326388889</v>
      </c>
      <c r="M30" s="37" t="n">
        <f aca="false">INDEX(Monthly!$C$93:$BJ$93,($R$2-1)*12+6)</f>
        <v>-15821.790625</v>
      </c>
      <c r="N30" s="37" t="n">
        <f aca="false">INDEX(Monthly!$C$93:$BJ$93,($R$2-1)*12+7)</f>
        <v>-12510.2486111111</v>
      </c>
      <c r="O30" s="37" t="n">
        <f aca="false">INDEX(Monthly!$C$93:$BJ$93,($R$2-1)*12+8)</f>
        <v>-12073.3732638889</v>
      </c>
      <c r="P30" s="37" t="n">
        <f aca="false">INDEX(Monthly!$C$93:$BJ$93,($R$2-1)*12+9)</f>
        <v>-12681.83125</v>
      </c>
      <c r="Q30" s="37" t="n">
        <f aca="false">INDEX(Monthly!$C$93:$BJ$93,($R$2-1)*12+10)</f>
        <v>-10415.6225694444</v>
      </c>
      <c r="R30" s="37" t="n">
        <f aca="false">INDEX(Monthly!$C$93:$BJ$93,($R$2-1)*12+11)</f>
        <v>-7104.08055555555</v>
      </c>
      <c r="S30" s="37" t="n">
        <f aca="false">INDEX(Monthly!$C$93:$BJ$93,($R$2-1)*12+12)</f>
        <v>-3792.53854166666</v>
      </c>
    </row>
    <row r="31" customFormat="false" ht="15" hidden="false" customHeight="false" outlineLevel="0" collapsed="false">
      <c r="A31" s="40" t="s">
        <v>86</v>
      </c>
      <c r="B31" s="41" t="n">
        <f aca="false">'Cash Flow'!B18</f>
        <v>73774.0319444445</v>
      </c>
      <c r="C31" s="41" t="n">
        <f aca="false">'Cash Flow'!C18</f>
        <v>74825.7789444444</v>
      </c>
      <c r="D31" s="41" t="n">
        <f aca="false">'Cash Flow'!D18</f>
        <v>82616.7968752778</v>
      </c>
      <c r="E31" s="41" t="n">
        <f aca="false">'Cash Flow'!E18</f>
        <v>96456.5453440361</v>
      </c>
      <c r="F31" s="41" t="n">
        <f aca="false">'Cash Flow'!F18</f>
        <v>116466.486266857</v>
      </c>
      <c r="H31" s="41" t="n">
        <f aca="false">INDEX(Monthly!$C$95:$BJ$95,($R$2-1)*12+1)</f>
        <v>234076.683333333</v>
      </c>
      <c r="I31" s="41" t="n">
        <f aca="false">INDEX(Monthly!$C$95:$BJ$95,($R$2-1)*12+2)</f>
        <v>213417.474652778</v>
      </c>
      <c r="J31" s="41" t="n">
        <f aca="false">INDEX(Monthly!$C$95:$BJ$95,($R$2-1)*12+3)</f>
        <v>189751.724652778</v>
      </c>
      <c r="K31" s="41" t="n">
        <f aca="false">INDEX(Monthly!$C$95:$BJ$95,($R$2-1)*12+4)</f>
        <v>167306.85</v>
      </c>
      <c r="L31" s="41" t="n">
        <f aca="false">INDEX(Monthly!$C$95:$BJ$95,($R$2-1)*12+5)</f>
        <v>148173.517361111</v>
      </c>
      <c r="M31" s="41" t="n">
        <f aca="false">INDEX(Monthly!$C$95:$BJ$95,($R$2-1)*12+6)</f>
        <v>132351.726736111</v>
      </c>
      <c r="N31" s="41" t="n">
        <f aca="false">INDEX(Monthly!$C$95:$BJ$95,($R$2-1)*12+7)</f>
        <v>119841.478125</v>
      </c>
      <c r="O31" s="41" t="n">
        <f aca="false">INDEX(Monthly!$C$95:$BJ$95,($R$2-1)*12+8)</f>
        <v>107768.104861111</v>
      </c>
      <c r="P31" s="41" t="n">
        <f aca="false">INDEX(Monthly!$C$95:$BJ$95,($R$2-1)*12+9)</f>
        <v>95086.2736111111</v>
      </c>
      <c r="Q31" s="41" t="n">
        <f aca="false">INDEX(Monthly!$C$95:$BJ$95,($R$2-1)*12+10)</f>
        <v>84670.6510416667</v>
      </c>
      <c r="R31" s="41" t="n">
        <f aca="false">INDEX(Monthly!$C$95:$BJ$95,($R$2-1)*12+11)</f>
        <v>77566.5704861111</v>
      </c>
      <c r="S31" s="41" t="n">
        <f aca="false">INDEX(Monthly!$C$95:$BJ$95,($R$2-1)*12+12)</f>
        <v>73774.0319444445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49" t="n">
        <f aca="false">INDEX(Monthly!$C$4:$BJ$4,($R$2-1)*12+1)</f>
        <v>1</v>
      </c>
      <c r="I40" s="49" t="n">
        <f aca="false">INDEX(Monthly!$C$4:$BJ$4,($R$2-1)*12+2)</f>
        <v>2</v>
      </c>
      <c r="J40" s="49" t="n">
        <f aca="false">INDEX(Monthly!$C$4:$BJ$4,($R$2-1)*12+3)</f>
        <v>3</v>
      </c>
      <c r="K40" s="49" t="n">
        <f aca="false">INDEX(Monthly!$C$4:$BJ$4,($R$2-1)*12+4)</f>
        <v>4</v>
      </c>
      <c r="L40" s="49" t="n">
        <f aca="false">INDEX(Monthly!$C$4:$BJ$4,($R$2-1)*12+5)</f>
        <v>5</v>
      </c>
      <c r="M40" s="49" t="n">
        <f aca="false">INDEX(Monthly!$C$4:$BJ$4,($R$2-1)*12+6)</f>
        <v>6</v>
      </c>
      <c r="N40" s="49" t="n">
        <f aca="false">INDEX(Monthly!$C$4:$BJ$4,($R$2-1)*12+7)</f>
        <v>7</v>
      </c>
      <c r="O40" s="49" t="n">
        <f aca="false">INDEX(Monthly!$C$4:$BJ$4,($R$2-1)*12+8)</f>
        <v>8</v>
      </c>
      <c r="P40" s="49" t="n">
        <f aca="false">INDEX(Monthly!$C$4:$BJ$4,($R$2-1)*12+9)</f>
        <v>9</v>
      </c>
      <c r="Q40" s="49" t="n">
        <f aca="false">INDEX(Monthly!$C$4:$BJ$4,($R$2-1)*12+10)</f>
        <v>10</v>
      </c>
      <c r="R40" s="49" t="n">
        <f aca="false">INDEX(Monthly!$C$4:$BJ$4,($R$2-1)*12+11)</f>
        <v>11</v>
      </c>
      <c r="S40" s="49" t="n">
        <f aca="false">INDEX(Monthly!$C$4:$BJ$4,($R$2-1)*12+12)</f>
        <v>12</v>
      </c>
    </row>
    <row r="41" customFormat="false" ht="15" hidden="false" customHeight="false" outlineLevel="0" collapsed="false">
      <c r="A41" s="50" t="s">
        <v>88</v>
      </c>
      <c r="B41" s="35" t="n">
        <f aca="false">'Balance Sheet'!B5</f>
        <v>73774.0319444445</v>
      </c>
      <c r="C41" s="35" t="n">
        <f aca="false">'Balance Sheet'!C5</f>
        <v>74825.7789444444</v>
      </c>
      <c r="D41" s="35" t="n">
        <f aca="false">'Balance Sheet'!D5</f>
        <v>82616.7968752778</v>
      </c>
      <c r="E41" s="35" t="n">
        <f aca="false">'Balance Sheet'!E5</f>
        <v>96456.5453440361</v>
      </c>
      <c r="F41" s="35" t="n">
        <f aca="false">'Balance Sheet'!F5</f>
        <v>116466.486266857</v>
      </c>
      <c r="H41" s="35" t="n">
        <f aca="false">INDEX(Monthly!$C$95:$BJ$95,($R$2-1)*12+1)</f>
        <v>234076.683333333</v>
      </c>
      <c r="I41" s="35" t="n">
        <f aca="false">INDEX(Monthly!$C$95:$BJ$95,($R$2-1)*12+2)</f>
        <v>213417.474652778</v>
      </c>
      <c r="J41" s="35" t="n">
        <f aca="false">INDEX(Monthly!$C$95:$BJ$95,($R$2-1)*12+3)</f>
        <v>189751.724652778</v>
      </c>
      <c r="K41" s="35" t="n">
        <f aca="false">INDEX(Monthly!$C$95:$BJ$95,($R$2-1)*12+4)</f>
        <v>167306.85</v>
      </c>
      <c r="L41" s="35" t="n">
        <f aca="false">INDEX(Monthly!$C$95:$BJ$95,($R$2-1)*12+5)</f>
        <v>148173.517361111</v>
      </c>
      <c r="M41" s="35" t="n">
        <f aca="false">INDEX(Monthly!$C$95:$BJ$95,($R$2-1)*12+6)</f>
        <v>132351.726736111</v>
      </c>
      <c r="N41" s="35" t="n">
        <f aca="false">INDEX(Monthly!$C$95:$BJ$95,($R$2-1)*12+7)</f>
        <v>119841.478125</v>
      </c>
      <c r="O41" s="35" t="n">
        <f aca="false">INDEX(Monthly!$C$95:$BJ$95,($R$2-1)*12+8)</f>
        <v>107768.104861111</v>
      </c>
      <c r="P41" s="35" t="n">
        <f aca="false">INDEX(Monthly!$C$95:$BJ$95,($R$2-1)*12+9)</f>
        <v>95086.2736111111</v>
      </c>
      <c r="Q41" s="35" t="n">
        <f aca="false">INDEX(Monthly!$C$95:$BJ$95,($R$2-1)*12+10)</f>
        <v>84670.6510416667</v>
      </c>
      <c r="R41" s="35" t="n">
        <f aca="false">INDEX(Monthly!$C$95:$BJ$95,($R$2-1)*12+11)</f>
        <v>77566.5704861111</v>
      </c>
      <c r="S41" s="35" t="n">
        <f aca="false">INDEX(Monthly!$C$95:$BJ$95,($R$2-1)*12+12)</f>
        <v>73774.0319444445</v>
      </c>
    </row>
    <row r="42" customFormat="false" ht="15" hidden="false" customHeight="false" outlineLevel="0" collapsed="false">
      <c r="A42" s="50" t="s">
        <v>89</v>
      </c>
      <c r="B42" s="35" t="n">
        <f aca="false">'Balance Sheet'!B6</f>
        <v>24022.1854166667</v>
      </c>
      <c r="C42" s="35" t="n">
        <f aca="false">'Balance Sheet'!C6</f>
        <v>26194.52225</v>
      </c>
      <c r="D42" s="35" t="n">
        <f aca="false">'Balance Sheet'!D6</f>
        <v>26980.3579175</v>
      </c>
      <c r="E42" s="35" t="n">
        <f aca="false">'Balance Sheet'!E6</f>
        <v>27789.768655025</v>
      </c>
      <c r="F42" s="35" t="n">
        <f aca="false">'Balance Sheet'!F6</f>
        <v>28623.4617146758</v>
      </c>
      <c r="H42" s="35" t="n">
        <f aca="false">INDEX(Monthly!$C$81:$BJ$81,($R$2-1)*12+1)</f>
        <v>6763.9</v>
      </c>
      <c r="I42" s="35" t="n">
        <f aca="false">INDEX(Monthly!$C$81:$BJ$81,($R$2-1)*12+2)</f>
        <v>7815.78958333333</v>
      </c>
      <c r="J42" s="35" t="n">
        <f aca="false">INDEX(Monthly!$C$81:$BJ$81,($R$2-1)*12+3)</f>
        <v>9436.42916666667</v>
      </c>
      <c r="K42" s="35" t="n">
        <f aca="false">INDEX(Monthly!$C$81:$BJ$81,($R$2-1)*12+4)</f>
        <v>11057.06875</v>
      </c>
      <c r="L42" s="35" t="n">
        <f aca="false">INDEX(Monthly!$C$81:$BJ$81,($R$2-1)*12+5)</f>
        <v>12677.7083333333</v>
      </c>
      <c r="M42" s="35" t="n">
        <f aca="false">INDEX(Monthly!$C$81:$BJ$81,($R$2-1)*12+6)</f>
        <v>14298.3479166667</v>
      </c>
      <c r="N42" s="35" t="n">
        <f aca="false">INDEX(Monthly!$C$81:$BJ$81,($R$2-1)*12+7)</f>
        <v>15918.9875</v>
      </c>
      <c r="O42" s="35" t="n">
        <f aca="false">INDEX(Monthly!$C$81:$BJ$81,($R$2-1)*12+8)</f>
        <v>17539.6270833333</v>
      </c>
      <c r="P42" s="35" t="n">
        <f aca="false">INDEX(Monthly!$C$81:$BJ$81,($R$2-1)*12+9)</f>
        <v>19160.2666666667</v>
      </c>
      <c r="Q42" s="35" t="n">
        <f aca="false">INDEX(Monthly!$C$81:$BJ$81,($R$2-1)*12+10)</f>
        <v>20780.90625</v>
      </c>
      <c r="R42" s="35" t="n">
        <f aca="false">INDEX(Monthly!$C$81:$BJ$81,($R$2-1)*12+11)</f>
        <v>22401.5458333333</v>
      </c>
      <c r="S42" s="35" t="n">
        <f aca="false">INDEX(Monthly!$C$81:$BJ$81,($R$2-1)*12+12)</f>
        <v>24022.1854166667</v>
      </c>
    </row>
    <row r="43" customFormat="false" ht="15" hidden="false" customHeight="false" outlineLevel="0" collapsed="false">
      <c r="A43" s="50" t="s">
        <v>90</v>
      </c>
      <c r="B43" s="35" t="n">
        <f aca="false">'Balance Sheet'!B7</f>
        <v>2896.35</v>
      </c>
      <c r="C43" s="35" t="n">
        <f aca="false">'Balance Sheet'!C7</f>
        <v>3021.402</v>
      </c>
      <c r="D43" s="35" t="n">
        <f aca="false">'Balance Sheet'!D7</f>
        <v>3112.04406</v>
      </c>
      <c r="E43" s="35" t="n">
        <f aca="false">'Balance Sheet'!E7</f>
        <v>3205.4053818</v>
      </c>
      <c r="F43" s="35" t="n">
        <f aca="false">'Balance Sheet'!F7</f>
        <v>3301.567543254</v>
      </c>
      <c r="H43" s="35" t="n">
        <f aca="false">INDEX(Monthly!$C$82:$BJ$82,($R$2-1)*12+1)</f>
        <v>920.8</v>
      </c>
      <c r="I43" s="35" t="n">
        <f aca="false">INDEX(Monthly!$C$82:$BJ$82,($R$2-1)*12+2)</f>
        <v>957.85</v>
      </c>
      <c r="J43" s="35" t="n">
        <f aca="false">INDEX(Monthly!$C$82:$BJ$82,($R$2-1)*12+3)</f>
        <v>1778.9</v>
      </c>
      <c r="K43" s="35" t="n">
        <f aca="false">INDEX(Monthly!$C$82:$BJ$82,($R$2-1)*12+4)</f>
        <v>1815.95</v>
      </c>
      <c r="L43" s="35" t="n">
        <f aca="false">INDEX(Monthly!$C$82:$BJ$82,($R$2-1)*12+5)</f>
        <v>1853</v>
      </c>
      <c r="M43" s="35" t="n">
        <f aca="false">INDEX(Monthly!$C$82:$BJ$82,($R$2-1)*12+6)</f>
        <v>1890.05</v>
      </c>
      <c r="N43" s="35" t="n">
        <f aca="false">INDEX(Monthly!$C$82:$BJ$82,($R$2-1)*12+7)</f>
        <v>1927.1</v>
      </c>
      <c r="O43" s="35" t="n">
        <f aca="false">INDEX(Monthly!$C$82:$BJ$82,($R$2-1)*12+8)</f>
        <v>2356.15</v>
      </c>
      <c r="P43" s="35" t="n">
        <f aca="false">INDEX(Monthly!$C$82:$BJ$82,($R$2-1)*12+9)</f>
        <v>2785.2</v>
      </c>
      <c r="Q43" s="35" t="n">
        <f aca="false">INDEX(Monthly!$C$82:$BJ$82,($R$2-1)*12+10)</f>
        <v>2822.25</v>
      </c>
      <c r="R43" s="35" t="n">
        <f aca="false">INDEX(Monthly!$C$82:$BJ$82,($R$2-1)*12+11)</f>
        <v>2859.3</v>
      </c>
      <c r="S43" s="35" t="n">
        <f aca="false">INDEX(Monthly!$C$82:$BJ$82,($R$2-1)*12+12)</f>
        <v>2896.35</v>
      </c>
    </row>
    <row r="44" customFormat="false" ht="15" hidden="false" customHeight="false" outlineLevel="0" collapsed="false">
      <c r="A44" s="50" t="s">
        <v>91</v>
      </c>
      <c r="B44" s="35" t="n">
        <f aca="false">'Balance Sheet'!B8</f>
        <v>397800</v>
      </c>
      <c r="C44" s="35" t="n">
        <f aca="false">'Balance Sheet'!C8</f>
        <v>361700</v>
      </c>
      <c r="D44" s="35" t="n">
        <f aca="false">'Balance Sheet'!D8</f>
        <v>324700</v>
      </c>
      <c r="E44" s="35" t="n">
        <f aca="false">'Balance Sheet'!E8</f>
        <v>286800</v>
      </c>
      <c r="F44" s="35" t="n">
        <f aca="false">'Balance Sheet'!F8</f>
        <v>248000</v>
      </c>
      <c r="H44" s="35" t="n">
        <f aca="false">INDEX(Monthly!$C$72:$BJ$72,($R$2-1)*12+1)</f>
        <v>438316.666666667</v>
      </c>
      <c r="I44" s="35" t="n">
        <f aca="false">INDEX(Monthly!$C$72:$BJ$72,($R$2-1)*12+2)</f>
        <v>434633.333333333</v>
      </c>
      <c r="J44" s="35" t="n">
        <f aca="false">INDEX(Monthly!$C$72:$BJ$72,($R$2-1)*12+3)</f>
        <v>430950</v>
      </c>
      <c r="K44" s="35" t="n">
        <f aca="false">INDEX(Monthly!$C$72:$BJ$72,($R$2-1)*12+4)</f>
        <v>427266.666666667</v>
      </c>
      <c r="L44" s="35" t="n">
        <f aca="false">INDEX(Monthly!$C$72:$BJ$72,($R$2-1)*12+5)</f>
        <v>423583.333333333</v>
      </c>
      <c r="M44" s="35" t="n">
        <f aca="false">INDEX(Monthly!$C$72:$BJ$72,($R$2-1)*12+6)</f>
        <v>419900</v>
      </c>
      <c r="N44" s="35" t="n">
        <f aca="false">INDEX(Monthly!$C$72:$BJ$72,($R$2-1)*12+7)</f>
        <v>416216.666666667</v>
      </c>
      <c r="O44" s="35" t="n">
        <f aca="false">INDEX(Monthly!$C$72:$BJ$72,($R$2-1)*12+8)</f>
        <v>412533.333333333</v>
      </c>
      <c r="P44" s="35" t="n">
        <f aca="false">INDEX(Monthly!$C$72:$BJ$72,($R$2-1)*12+9)</f>
        <v>408850</v>
      </c>
      <c r="Q44" s="35" t="n">
        <f aca="false">INDEX(Monthly!$C$72:$BJ$72,($R$2-1)*12+10)</f>
        <v>405166.666666667</v>
      </c>
      <c r="R44" s="35" t="n">
        <f aca="false">INDEX(Monthly!$C$72:$BJ$72,($R$2-1)*12+11)</f>
        <v>401483.333333333</v>
      </c>
      <c r="S44" s="35" t="n">
        <f aca="false">INDEX(Monthly!$C$72:$BJ$72,($R$2-1)*12+12)</f>
        <v>397800</v>
      </c>
    </row>
    <row r="45" customFormat="false" ht="15" hidden="false" customHeight="false" outlineLevel="0" collapsed="false">
      <c r="A45" s="36" t="s">
        <v>92</v>
      </c>
      <c r="B45" s="37" t="n">
        <f aca="false">'Balance Sheet'!B9</f>
        <v>498492.567361111</v>
      </c>
      <c r="C45" s="37" t="n">
        <f aca="false">'Balance Sheet'!C9</f>
        <v>465741.703194444</v>
      </c>
      <c r="D45" s="37" t="n">
        <f aca="false">'Balance Sheet'!D9</f>
        <v>437409.198852778</v>
      </c>
      <c r="E45" s="37" t="n">
        <f aca="false">'Balance Sheet'!E9</f>
        <v>414251.719380861</v>
      </c>
      <c r="F45" s="37" t="n">
        <f aca="false">'Balance Sheet'!F9</f>
        <v>396391.515524787</v>
      </c>
      <c r="H45" s="37" t="n">
        <f aca="false">INDEX(Monthly!$C$109:$BJ$109,($R$2-1)*12+1)</f>
        <v>680078.05</v>
      </c>
      <c r="I45" s="37" t="n">
        <f aca="false">INDEX(Monthly!$C$109:$BJ$109,($R$2-1)*12+2)</f>
        <v>656824.447569444</v>
      </c>
      <c r="J45" s="37" t="n">
        <f aca="false">INDEX(Monthly!$C$109:$BJ$109,($R$2-1)*12+3)</f>
        <v>631917.053819445</v>
      </c>
      <c r="K45" s="37" t="n">
        <f aca="false">INDEX(Monthly!$C$109:$BJ$109,($R$2-1)*12+4)</f>
        <v>607446.535416667</v>
      </c>
      <c r="L45" s="37" t="n">
        <f aca="false">INDEX(Monthly!$C$109:$BJ$109,($R$2-1)*12+5)</f>
        <v>586287.559027778</v>
      </c>
      <c r="M45" s="37" t="n">
        <f aca="false">INDEX(Monthly!$C$109:$BJ$109,($R$2-1)*12+6)</f>
        <v>568440.124652778</v>
      </c>
      <c r="N45" s="37" t="n">
        <f aca="false">INDEX(Monthly!$C$109:$BJ$109,($R$2-1)*12+7)</f>
        <v>553904.232291667</v>
      </c>
      <c r="O45" s="37" t="n">
        <f aca="false">INDEX(Monthly!$C$109:$BJ$109,($R$2-1)*12+8)</f>
        <v>540197.215277778</v>
      </c>
      <c r="P45" s="37" t="n">
        <f aca="false">INDEX(Monthly!$C$109:$BJ$109,($R$2-1)*12+9)</f>
        <v>525881.740277778</v>
      </c>
      <c r="Q45" s="37" t="n">
        <f aca="false">INDEX(Monthly!$C$109:$BJ$109,($R$2-1)*12+10)</f>
        <v>513440.473958333</v>
      </c>
      <c r="R45" s="37" t="n">
        <f aca="false">INDEX(Monthly!$C$109:$BJ$109,($R$2-1)*12+11)</f>
        <v>504310.749652778</v>
      </c>
      <c r="S45" s="37" t="n">
        <f aca="false">INDEX(Monthly!$C$109:$BJ$109,($R$2-1)*12+12)</f>
        <v>498492.567361111</v>
      </c>
    </row>
    <row r="46" customFormat="false" ht="15" hidden="false" customHeight="false" outlineLevel="0" collapsed="false">
      <c r="A46" s="50" t="s">
        <v>93</v>
      </c>
      <c r="B46" s="35" t="n">
        <f aca="false">'Balance Sheet'!B10</f>
        <v>10619.95</v>
      </c>
      <c r="C46" s="35" t="n">
        <f aca="false">'Balance Sheet'!C10</f>
        <v>11078.474</v>
      </c>
      <c r="D46" s="35" t="n">
        <f aca="false">'Balance Sheet'!D10</f>
        <v>11410.82822</v>
      </c>
      <c r="E46" s="35" t="n">
        <f aca="false">'Balance Sheet'!E10</f>
        <v>11753.1530666</v>
      </c>
      <c r="F46" s="35" t="n">
        <f aca="false">'Balance Sheet'!F10</f>
        <v>12105.747658598</v>
      </c>
      <c r="H46" s="35" t="n">
        <f aca="false">INDEX(Monthly!$C$83:$BJ$83,($R$2-1)*12+1)</f>
        <v>3376.26666666667</v>
      </c>
      <c r="I46" s="35" t="n">
        <f aca="false">INDEX(Monthly!$C$83:$BJ$83,($R$2-1)*12+2)</f>
        <v>3512.11666666667</v>
      </c>
      <c r="J46" s="35" t="n">
        <f aca="false">INDEX(Monthly!$C$83:$BJ$83,($R$2-1)*12+3)</f>
        <v>6522.63333333333</v>
      </c>
      <c r="K46" s="35" t="n">
        <f aca="false">INDEX(Monthly!$C$83:$BJ$83,($R$2-1)*12+4)</f>
        <v>6658.48333333333</v>
      </c>
      <c r="L46" s="35" t="n">
        <f aca="false">INDEX(Monthly!$C$83:$BJ$83,($R$2-1)*12+5)</f>
        <v>6794.33333333333</v>
      </c>
      <c r="M46" s="35" t="n">
        <f aca="false">INDEX(Monthly!$C$83:$BJ$83,($R$2-1)*12+6)</f>
        <v>6930.18333333333</v>
      </c>
      <c r="N46" s="35" t="n">
        <f aca="false">INDEX(Monthly!$C$83:$BJ$83,($R$2-1)*12+7)</f>
        <v>7066.03333333333</v>
      </c>
      <c r="O46" s="35" t="n">
        <f aca="false">INDEX(Monthly!$C$83:$BJ$83,($R$2-1)*12+8)</f>
        <v>8639.21666666667</v>
      </c>
      <c r="P46" s="35" t="n">
        <f aca="false">INDEX(Monthly!$C$83:$BJ$83,($R$2-1)*12+9)</f>
        <v>10212.4</v>
      </c>
      <c r="Q46" s="35" t="n">
        <f aca="false">INDEX(Monthly!$C$83:$BJ$83,($R$2-1)*12+10)</f>
        <v>10348.25</v>
      </c>
      <c r="R46" s="35" t="n">
        <f aca="false">INDEX(Monthly!$C$83:$BJ$83,($R$2-1)*12+11)</f>
        <v>10484.1</v>
      </c>
      <c r="S46" s="35" t="n">
        <f aca="false">INDEX(Monthly!$C$83:$BJ$83,($R$2-1)*12+12)</f>
        <v>10619.95</v>
      </c>
    </row>
    <row r="47" customFormat="false" ht="15" hidden="false" customHeight="false" outlineLevel="0" collapsed="false">
      <c r="A47" s="50" t="s">
        <v>94</v>
      </c>
      <c r="B47" s="35" t="n">
        <f aca="false">'Balance Sheet'!B11</f>
        <v>227083.333333333</v>
      </c>
      <c r="C47" s="35" t="n">
        <f aca="false">'Balance Sheet'!C11</f>
        <v>202083.333333333</v>
      </c>
      <c r="D47" s="35" t="n">
        <f aca="false">'Balance Sheet'!D11</f>
        <v>177083.333333333</v>
      </c>
      <c r="E47" s="35" t="n">
        <f aca="false">'Balance Sheet'!E11</f>
        <v>152083.333333333</v>
      </c>
      <c r="F47" s="35" t="n">
        <f aca="false">'Balance Sheet'!F11</f>
        <v>127083.333333333</v>
      </c>
      <c r="H47" s="35" t="n">
        <f aca="false">INDEX(Monthly!$C$78:$BJ$78,($R$2-1)*12+1)</f>
        <v>250000</v>
      </c>
      <c r="I47" s="35" t="n">
        <f aca="false">INDEX(Monthly!$C$78:$BJ$78,($R$2-1)*12+2)</f>
        <v>247916.666666667</v>
      </c>
      <c r="J47" s="35" t="n">
        <f aca="false">INDEX(Monthly!$C$78:$BJ$78,($R$2-1)*12+3)</f>
        <v>245833.333333333</v>
      </c>
      <c r="K47" s="35" t="n">
        <f aca="false">INDEX(Monthly!$C$78:$BJ$78,($R$2-1)*12+4)</f>
        <v>243750</v>
      </c>
      <c r="L47" s="35" t="n">
        <f aca="false">INDEX(Monthly!$C$78:$BJ$78,($R$2-1)*12+5)</f>
        <v>241666.666666667</v>
      </c>
      <c r="M47" s="35" t="n">
        <f aca="false">INDEX(Monthly!$C$78:$BJ$78,($R$2-1)*12+6)</f>
        <v>239583.333333333</v>
      </c>
      <c r="N47" s="35" t="n">
        <f aca="false">INDEX(Monthly!$C$78:$BJ$78,($R$2-1)*12+7)</f>
        <v>237500</v>
      </c>
      <c r="O47" s="35" t="n">
        <f aca="false">INDEX(Monthly!$C$78:$BJ$78,($R$2-1)*12+8)</f>
        <v>235416.666666667</v>
      </c>
      <c r="P47" s="35" t="n">
        <f aca="false">INDEX(Monthly!$C$78:$BJ$78,($R$2-1)*12+9)</f>
        <v>233333.333333333</v>
      </c>
      <c r="Q47" s="35" t="n">
        <f aca="false">INDEX(Monthly!$C$78:$BJ$78,($R$2-1)*12+10)</f>
        <v>231250</v>
      </c>
      <c r="R47" s="35" t="n">
        <f aca="false">INDEX(Monthly!$C$78:$BJ$78,($R$2-1)*12+11)</f>
        <v>229166.666666667</v>
      </c>
      <c r="S47" s="35" t="n">
        <f aca="false">INDEX(Monthly!$C$78:$BJ$78,($R$2-1)*12+12)</f>
        <v>227083.333333333</v>
      </c>
    </row>
    <row r="48" customFormat="false" ht="15" hidden="false" customHeight="false" outlineLevel="0" collapsed="false">
      <c r="A48" s="36" t="s">
        <v>95</v>
      </c>
      <c r="B48" s="37" t="n">
        <f aca="false">'Balance Sheet'!B12</f>
        <v>237703.283333333</v>
      </c>
      <c r="C48" s="37" t="n">
        <f aca="false">'Balance Sheet'!C12</f>
        <v>213161.807333333</v>
      </c>
      <c r="D48" s="37" t="n">
        <f aca="false">'Balance Sheet'!D12</f>
        <v>188494.161553333</v>
      </c>
      <c r="E48" s="37" t="n">
        <f aca="false">'Balance Sheet'!E12</f>
        <v>163836.486399933</v>
      </c>
      <c r="F48" s="37" t="n">
        <f aca="false">'Balance Sheet'!F12</f>
        <v>139189.080991931</v>
      </c>
      <c r="H48" s="37" t="n">
        <f aca="false">INDEX(Monthly!$C$110:$BJ$110,($R$2-1)*12+1)</f>
        <v>253376.266666667</v>
      </c>
      <c r="I48" s="37" t="n">
        <f aca="false">INDEX(Monthly!$C$110:$BJ$110,($R$2-1)*12+2)</f>
        <v>251428.783333333</v>
      </c>
      <c r="J48" s="37" t="n">
        <f aca="false">INDEX(Monthly!$C$110:$BJ$110,($R$2-1)*12+3)</f>
        <v>252355.966666667</v>
      </c>
      <c r="K48" s="37" t="n">
        <f aca="false">INDEX(Monthly!$C$110:$BJ$110,($R$2-1)*12+4)</f>
        <v>250408.483333333</v>
      </c>
      <c r="L48" s="37" t="n">
        <f aca="false">INDEX(Monthly!$C$110:$BJ$110,($R$2-1)*12+5)</f>
        <v>248461</v>
      </c>
      <c r="M48" s="37" t="n">
        <f aca="false">INDEX(Monthly!$C$110:$BJ$110,($R$2-1)*12+6)</f>
        <v>246513.516666667</v>
      </c>
      <c r="N48" s="37" t="n">
        <f aca="false">INDEX(Monthly!$C$110:$BJ$110,($R$2-1)*12+7)</f>
        <v>244566.033333333</v>
      </c>
      <c r="O48" s="37" t="n">
        <f aca="false">INDEX(Monthly!$C$110:$BJ$110,($R$2-1)*12+8)</f>
        <v>244055.883333333</v>
      </c>
      <c r="P48" s="37" t="n">
        <f aca="false">INDEX(Monthly!$C$110:$BJ$110,($R$2-1)*12+9)</f>
        <v>243545.733333333</v>
      </c>
      <c r="Q48" s="37" t="n">
        <f aca="false">INDEX(Monthly!$C$110:$BJ$110,($R$2-1)*12+10)</f>
        <v>241598.25</v>
      </c>
      <c r="R48" s="37" t="n">
        <f aca="false">INDEX(Monthly!$C$110:$BJ$110,($R$2-1)*12+11)</f>
        <v>239650.766666667</v>
      </c>
      <c r="S48" s="37" t="n">
        <f aca="false">INDEX(Monthly!$C$110:$BJ$110,($R$2-1)*12+12)</f>
        <v>237703.283333333</v>
      </c>
    </row>
    <row r="49" customFormat="false" ht="15" hidden="false" customHeight="false" outlineLevel="0" collapsed="false">
      <c r="A49" s="50" t="s">
        <v>96</v>
      </c>
      <c r="B49" s="35" t="n">
        <f aca="false">'Balance Sheet'!B13</f>
        <v>450000</v>
      </c>
      <c r="C49" s="35" t="n">
        <f aca="false">'Balance Sheet'!C13</f>
        <v>450000</v>
      </c>
      <c r="D49" s="35" t="n">
        <f aca="false">'Balance Sheet'!D13</f>
        <v>450000</v>
      </c>
      <c r="E49" s="35" t="n">
        <f aca="false">'Balance Sheet'!E13</f>
        <v>450000</v>
      </c>
      <c r="F49" s="35" t="n">
        <f aca="false">'Balance Sheet'!F13</f>
        <v>450000</v>
      </c>
      <c r="H49" s="35" t="n">
        <f aca="false">INDEX(Monthly!$C$107:$BJ$107,($R$2-1)*12+1)</f>
        <v>450000</v>
      </c>
      <c r="I49" s="35" t="n">
        <f aca="false">INDEX(Monthly!$C$107:$BJ$107,($R$2-1)*12+2)</f>
        <v>450000</v>
      </c>
      <c r="J49" s="35" t="n">
        <f aca="false">INDEX(Monthly!$C$107:$BJ$107,($R$2-1)*12+3)</f>
        <v>450000</v>
      </c>
      <c r="K49" s="35" t="n">
        <f aca="false">INDEX(Monthly!$C$107:$BJ$107,($R$2-1)*12+4)</f>
        <v>450000</v>
      </c>
      <c r="L49" s="35" t="n">
        <f aca="false">INDEX(Monthly!$C$107:$BJ$107,($R$2-1)*12+5)</f>
        <v>450000</v>
      </c>
      <c r="M49" s="35" t="n">
        <f aca="false">INDEX(Monthly!$C$107:$BJ$107,($R$2-1)*12+6)</f>
        <v>450000</v>
      </c>
      <c r="N49" s="35" t="n">
        <f aca="false">INDEX(Monthly!$C$107:$BJ$107,($R$2-1)*12+7)</f>
        <v>450000</v>
      </c>
      <c r="O49" s="35" t="n">
        <f aca="false">INDEX(Monthly!$C$107:$BJ$107,($R$2-1)*12+8)</f>
        <v>450000</v>
      </c>
      <c r="P49" s="35" t="n">
        <f aca="false">INDEX(Monthly!$C$107:$BJ$107,($R$2-1)*12+9)</f>
        <v>450000</v>
      </c>
      <c r="Q49" s="35" t="n">
        <f aca="false">INDEX(Monthly!$C$107:$BJ$107,($R$2-1)*12+10)</f>
        <v>450000</v>
      </c>
      <c r="R49" s="35" t="n">
        <f aca="false">INDEX(Monthly!$C$107:$BJ$107,($R$2-1)*12+11)</f>
        <v>450000</v>
      </c>
      <c r="S49" s="35" t="n">
        <f aca="false">INDEX(Monthly!$C$107:$BJ$107,($R$2-1)*12+12)</f>
        <v>450000</v>
      </c>
    </row>
    <row r="50" customFormat="false" ht="15" hidden="false" customHeight="false" outlineLevel="0" collapsed="false">
      <c r="A50" s="50" t="s">
        <v>97</v>
      </c>
      <c r="B50" s="35" t="n">
        <f aca="false">'Balance Sheet'!B14</f>
        <v>-189210.715972222</v>
      </c>
      <c r="C50" s="35" t="n">
        <f aca="false">'Balance Sheet'!C14</f>
        <v>-197420.104138889</v>
      </c>
      <c r="D50" s="35" t="n">
        <f aca="false">'Balance Sheet'!D14</f>
        <v>-201084.962700556</v>
      </c>
      <c r="E50" s="35" t="n">
        <f aca="false">'Balance Sheet'!E14</f>
        <v>-199584.767019072</v>
      </c>
      <c r="F50" s="35" t="n">
        <f aca="false">'Balance Sheet'!F14</f>
        <v>-192797.565467144</v>
      </c>
      <c r="H50" s="35" t="n">
        <f aca="false">INDEX(Monthly!$C$108:$BJ$108,($R$2-1)*12+1)</f>
        <v>-23298.2166666667</v>
      </c>
      <c r="I50" s="35" t="n">
        <f aca="false">INDEX(Monthly!$C$108:$BJ$108,($R$2-1)*12+2)</f>
        <v>-44604.3357638889</v>
      </c>
      <c r="J50" s="35" t="n">
        <f aca="false">INDEX(Monthly!$C$108:$BJ$108,($R$2-1)*12+3)</f>
        <v>-70438.9128472222</v>
      </c>
      <c r="K50" s="35" t="n">
        <f aca="false">INDEX(Monthly!$C$108:$BJ$108,($R$2-1)*12+4)</f>
        <v>-92961.9479166667</v>
      </c>
      <c r="L50" s="35" t="n">
        <f aca="false">INDEX(Monthly!$C$108:$BJ$108,($R$2-1)*12+5)</f>
        <v>-112173.440972222</v>
      </c>
      <c r="M50" s="35" t="n">
        <f aca="false">INDEX(Monthly!$C$108:$BJ$108,($R$2-1)*12+6)</f>
        <v>-128073.392013889</v>
      </c>
      <c r="N50" s="35" t="n">
        <f aca="false">INDEX(Monthly!$C$108:$BJ$108,($R$2-1)*12+7)</f>
        <v>-140661.801041667</v>
      </c>
      <c r="O50" s="35" t="n">
        <f aca="false">INDEX(Monthly!$C$108:$BJ$108,($R$2-1)*12+8)</f>
        <v>-153858.668055556</v>
      </c>
      <c r="P50" s="35" t="n">
        <f aca="false">INDEX(Monthly!$C$108:$BJ$108,($R$2-1)*12+9)</f>
        <v>-167663.993055556</v>
      </c>
      <c r="Q50" s="35" t="n">
        <f aca="false">INDEX(Monthly!$C$108:$BJ$108,($R$2-1)*12+10)</f>
        <v>-178157.776041667</v>
      </c>
      <c r="R50" s="35" t="n">
        <f aca="false">INDEX(Monthly!$C$108:$BJ$108,($R$2-1)*12+11)</f>
        <v>-185340.017013889</v>
      </c>
      <c r="S50" s="35" t="n">
        <f aca="false">INDEX(Monthly!$C$108:$BJ$108,($R$2-1)*12+12)</f>
        <v>-189210.715972222</v>
      </c>
    </row>
    <row r="51" customFormat="false" ht="15" hidden="false" customHeight="false" outlineLevel="0" collapsed="false">
      <c r="A51" s="36" t="s">
        <v>98</v>
      </c>
      <c r="B51" s="37" t="n">
        <f aca="false">'Balance Sheet'!B15</f>
        <v>260789.284027778</v>
      </c>
      <c r="C51" s="37" t="n">
        <f aca="false">'Balance Sheet'!C15</f>
        <v>252579.895861111</v>
      </c>
      <c r="D51" s="37" t="n">
        <f aca="false">'Balance Sheet'!D15</f>
        <v>248915.037299444</v>
      </c>
      <c r="E51" s="37" t="n">
        <f aca="false">'Balance Sheet'!E15</f>
        <v>250415.232980928</v>
      </c>
      <c r="F51" s="37" t="n">
        <f aca="false">'Balance Sheet'!F15</f>
        <v>257202.434532856</v>
      </c>
      <c r="H51" s="37" t="n">
        <f aca="false">INDEX(Monthly!$C$111:$BJ$111,($R$2-1)*12+1)</f>
        <v>426701.783333333</v>
      </c>
      <c r="I51" s="37" t="n">
        <f aca="false">INDEX(Monthly!$C$111:$BJ$111,($R$2-1)*12+2)</f>
        <v>405395.664236111</v>
      </c>
      <c r="J51" s="37" t="n">
        <f aca="false">INDEX(Monthly!$C$111:$BJ$111,($R$2-1)*12+3)</f>
        <v>379561.087152778</v>
      </c>
      <c r="K51" s="37" t="n">
        <f aca="false">INDEX(Monthly!$C$111:$BJ$111,($R$2-1)*12+4)</f>
        <v>357038.052083333</v>
      </c>
      <c r="L51" s="37" t="n">
        <f aca="false">INDEX(Monthly!$C$111:$BJ$111,($R$2-1)*12+5)</f>
        <v>337826.559027778</v>
      </c>
      <c r="M51" s="37" t="n">
        <f aca="false">INDEX(Monthly!$C$111:$BJ$111,($R$2-1)*12+6)</f>
        <v>321926.607986111</v>
      </c>
      <c r="N51" s="37" t="n">
        <f aca="false">INDEX(Monthly!$C$111:$BJ$111,($R$2-1)*12+7)</f>
        <v>309338.198958333</v>
      </c>
      <c r="O51" s="37" t="n">
        <f aca="false">INDEX(Monthly!$C$111:$BJ$111,($R$2-1)*12+8)</f>
        <v>296141.331944444</v>
      </c>
      <c r="P51" s="37" t="n">
        <f aca="false">INDEX(Monthly!$C$111:$BJ$111,($R$2-1)*12+9)</f>
        <v>282336.006944444</v>
      </c>
      <c r="Q51" s="37" t="n">
        <f aca="false">INDEX(Monthly!$C$111:$BJ$111,($R$2-1)*12+10)</f>
        <v>271842.223958333</v>
      </c>
      <c r="R51" s="37" t="n">
        <f aca="false">INDEX(Monthly!$C$111:$BJ$111,($R$2-1)*12+11)</f>
        <v>264659.982986111</v>
      </c>
      <c r="S51" s="37" t="n">
        <f aca="false">INDEX(Monthly!$C$111:$BJ$111,($R$2-1)*12+12)</f>
        <v>260789.284027778</v>
      </c>
    </row>
    <row r="52" customFormat="false" ht="15" hidden="false" customHeight="false" outlineLevel="0" collapsed="false">
      <c r="A52" s="40" t="s">
        <v>99</v>
      </c>
      <c r="B52" s="41" t="n">
        <f aca="false">'Balance Sheet'!B16</f>
        <v>498492.567361111</v>
      </c>
      <c r="C52" s="41" t="n">
        <f aca="false">'Balance Sheet'!C16</f>
        <v>465741.703194444</v>
      </c>
      <c r="D52" s="41" t="n">
        <f aca="false">'Balance Sheet'!D16</f>
        <v>437409.198852777</v>
      </c>
      <c r="E52" s="41" t="n">
        <f aca="false">'Balance Sheet'!E16</f>
        <v>414251.719380861</v>
      </c>
      <c r="F52" s="41" t="n">
        <f aca="false">'Balance Sheet'!F16</f>
        <v>396391.515524786</v>
      </c>
      <c r="H52" s="41" t="n">
        <f aca="false">INDEX(Monthly!$C$112:$BJ$112,($R$2-1)*12+1)</f>
        <v>680078.05</v>
      </c>
      <c r="I52" s="41" t="n">
        <f aca="false">INDEX(Monthly!$C$112:$BJ$112,($R$2-1)*12+2)</f>
        <v>656824.447569444</v>
      </c>
      <c r="J52" s="41" t="n">
        <f aca="false">INDEX(Monthly!$C$112:$BJ$112,($R$2-1)*12+3)</f>
        <v>631917.053819444</v>
      </c>
      <c r="K52" s="41" t="n">
        <f aca="false">INDEX(Monthly!$C$112:$BJ$112,($R$2-1)*12+4)</f>
        <v>607446.535416667</v>
      </c>
      <c r="L52" s="41" t="n">
        <f aca="false">INDEX(Monthly!$C$112:$BJ$112,($R$2-1)*12+5)</f>
        <v>586287.559027778</v>
      </c>
      <c r="M52" s="41" t="n">
        <f aca="false">INDEX(Monthly!$C$112:$BJ$112,($R$2-1)*12+6)</f>
        <v>568440.124652778</v>
      </c>
      <c r="N52" s="41" t="n">
        <f aca="false">INDEX(Monthly!$C$112:$BJ$112,($R$2-1)*12+7)</f>
        <v>553904.232291667</v>
      </c>
      <c r="O52" s="41" t="n">
        <f aca="false">INDEX(Monthly!$C$112:$BJ$112,($R$2-1)*12+8)</f>
        <v>540197.215277778</v>
      </c>
      <c r="P52" s="41" t="n">
        <f aca="false">INDEX(Monthly!$C$112:$BJ$112,($R$2-1)*12+9)</f>
        <v>525881.740277778</v>
      </c>
      <c r="Q52" s="41" t="n">
        <f aca="false">INDEX(Monthly!$C$112:$BJ$112,($R$2-1)*12+10)</f>
        <v>513440.473958333</v>
      </c>
      <c r="R52" s="41" t="n">
        <f aca="false">INDEX(Monthly!$C$112:$BJ$112,($R$2-1)*12+11)</f>
        <v>504310.749652778</v>
      </c>
      <c r="S52" s="41" t="n">
        <f aca="false">INDEX(Monthly!$C$112:$BJ$112,($R$2-1)*12+12)</f>
        <v>498492.567361111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103</v>
      </c>
      <c r="B6" s="51" t="s">
        <v>104</v>
      </c>
      <c r="C6" s="51" t="s">
        <v>105</v>
      </c>
      <c r="D6" s="51" t="s">
        <v>106</v>
      </c>
      <c r="E6" s="51" t="s">
        <v>107</v>
      </c>
    </row>
    <row r="7" customFormat="false" ht="15" hidden="false" customHeight="false" outlineLevel="0" collapsed="false">
      <c r="A7" s="6" t="s">
        <v>108</v>
      </c>
      <c r="B7" s="52" t="n">
        <f aca="false">Inputs!$B$7</f>
        <v>60</v>
      </c>
      <c r="C7" s="52" t="n">
        <f aca="false">Inputs!$C$7</f>
        <v>60</v>
      </c>
      <c r="D7" s="52" t="n">
        <f aca="false">Inputs!$D$7</f>
        <v>60</v>
      </c>
      <c r="E7" s="53" t="n">
        <f aca="false">Inputs!$E$7</f>
        <v>60</v>
      </c>
    </row>
    <row r="8" customFormat="false" ht="15" hidden="false" customHeight="false" outlineLevel="0" collapsed="false">
      <c r="A8" s="6" t="s">
        <v>109</v>
      </c>
      <c r="B8" s="54" t="n">
        <f aca="false">Inputs!$B$10</f>
        <v>0.78</v>
      </c>
      <c r="C8" s="54" t="n">
        <f aca="false">Inputs!$C$10</f>
        <v>0.85</v>
      </c>
      <c r="D8" s="54" t="n">
        <f aca="false">Inputs!$D$10</f>
        <v>0.9</v>
      </c>
      <c r="E8" s="55" t="n">
        <f aca="false">Inputs!$E$10</f>
        <v>0.85</v>
      </c>
    </row>
    <row r="9" customFormat="false" ht="15" hidden="false" customHeight="false" outlineLevel="0" collapsed="false">
      <c r="A9" s="6" t="s">
        <v>110</v>
      </c>
      <c r="B9" s="56" t="n">
        <f aca="false">Inputs!$B$17</f>
        <v>1430</v>
      </c>
      <c r="C9" s="56" t="n">
        <f aca="false">Inputs!$C$17</f>
        <v>1500</v>
      </c>
      <c r="D9" s="56" t="n">
        <f aca="false">Inputs!$D$17</f>
        <v>1570</v>
      </c>
      <c r="E9" s="57" t="n">
        <f aca="false">Inputs!$E$17</f>
        <v>1500</v>
      </c>
    </row>
    <row r="10" customFormat="false" ht="15" hidden="false" customHeight="false" outlineLevel="0" collapsed="false">
      <c r="A10" s="6" t="s">
        <v>111</v>
      </c>
      <c r="B10" s="56" t="n">
        <f aca="false">Inputs!$B$18</f>
        <v>1040</v>
      </c>
      <c r="C10" s="56" t="n">
        <f aca="false">Inputs!$C$18</f>
        <v>1100</v>
      </c>
      <c r="D10" s="56" t="n">
        <f aca="false">Inputs!$D$18</f>
        <v>1160</v>
      </c>
      <c r="E10" s="57" t="n">
        <f aca="false">Inputs!$E$18</f>
        <v>1100</v>
      </c>
    </row>
    <row r="11" customFormat="false" ht="15" hidden="false" customHeight="false" outlineLevel="0" collapsed="false">
      <c r="A11" s="6" t="s">
        <v>112</v>
      </c>
      <c r="B11" s="54" t="n">
        <f aca="false">Inputs!$B$22</f>
        <v>0.25</v>
      </c>
      <c r="C11" s="54" t="n">
        <f aca="false">Inputs!$C$22</f>
        <v>0.25</v>
      </c>
      <c r="D11" s="54" t="n">
        <f aca="false">Inputs!$D$22</f>
        <v>0.25</v>
      </c>
      <c r="E11" s="55" t="n">
        <f aca="false">Inputs!$E$22</f>
        <v>0.25</v>
      </c>
    </row>
    <row r="12" customFormat="false" ht="15" hidden="false" customHeight="false" outlineLevel="0" collapsed="false">
      <c r="A12" s="6" t="s">
        <v>113</v>
      </c>
      <c r="B12" s="58" t="n">
        <f aca="false">Inputs!$B$38</f>
        <v>17</v>
      </c>
      <c r="C12" s="58" t="n">
        <f aca="false">Inputs!$C$38</f>
        <v>16</v>
      </c>
      <c r="D12" s="58" t="n">
        <f aca="false">Inputs!$D$38</f>
        <v>15</v>
      </c>
      <c r="E12" s="59" t="n">
        <f aca="false">Inputs!$E$38</f>
        <v>16</v>
      </c>
    </row>
    <row r="13" customFormat="false" ht="15" hidden="false" customHeight="false" outlineLevel="0" collapsed="false">
      <c r="A13" s="6" t="s">
        <v>114</v>
      </c>
      <c r="B13" s="56" t="n">
        <f aca="false">Inputs!$B$73</f>
        <v>450000</v>
      </c>
      <c r="C13" s="56" t="n">
        <f aca="false">Inputs!$C$73</f>
        <v>450000</v>
      </c>
      <c r="D13" s="56" t="n">
        <f aca="false">Inputs!$D$73</f>
        <v>450000</v>
      </c>
      <c r="E13" s="57" t="n">
        <f aca="false">Inputs!$E$73</f>
        <v>450000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116</v>
      </c>
      <c r="B16" s="51" t="s">
        <v>104</v>
      </c>
      <c r="C16" s="51" t="s">
        <v>105</v>
      </c>
      <c r="D16" s="51" t="s">
        <v>106</v>
      </c>
      <c r="E16" s="51" t="s">
        <v>107</v>
      </c>
    </row>
    <row r="17" customFormat="false" ht="15" hidden="false" customHeight="false" outlineLevel="0" collapsed="false">
      <c r="A17" s="6" t="s">
        <v>117</v>
      </c>
      <c r="B17" s="60" t="n">
        <f aca="false">F30</f>
        <v>665483.696557509</v>
      </c>
      <c r="C17" s="60" t="n">
        <f aca="false">F31</f>
        <v>792649.70902179</v>
      </c>
      <c r="D17" s="60" t="n">
        <f aca="false">F32</f>
        <v>932012.182860595</v>
      </c>
      <c r="E17" s="61" t="n">
        <f aca="false">'P&amp;L'!F5</f>
        <v>792649.70902179</v>
      </c>
    </row>
    <row r="18" customFormat="false" ht="15" hidden="false" customHeight="false" outlineLevel="0" collapsed="false">
      <c r="A18" s="6" t="s">
        <v>118</v>
      </c>
      <c r="B18" s="60" t="n">
        <f aca="false">SUM(B30:F30)</f>
        <v>2787044.15869538</v>
      </c>
      <c r="C18" s="60" t="n">
        <f aca="false">SUM(B31:F31)</f>
        <v>3454956.17641479</v>
      </c>
      <c r="D18" s="60" t="n">
        <f aca="false">SUM(B32:F32)</f>
        <v>4086174.70437548</v>
      </c>
      <c r="E18" s="61" t="n">
        <f aca="false">SUM('P&amp;L'!$B$5:$F$5)</f>
        <v>3454956.17641479</v>
      </c>
    </row>
    <row r="19" customFormat="false" ht="15" hidden="false" customHeight="false" outlineLevel="0" collapsed="false">
      <c r="A19" s="6" t="s">
        <v>119</v>
      </c>
      <c r="B19" s="60" t="n">
        <f aca="false">F36</f>
        <v>-92680.5941761564</v>
      </c>
      <c r="C19" s="60" t="n">
        <f aca="false">F37</f>
        <v>65753.8682185944</v>
      </c>
      <c r="D19" s="60" t="n">
        <f aca="false">F38</f>
        <v>189614.032847347</v>
      </c>
      <c r="E19" s="61" t="n">
        <f aca="false">'P&amp;L'!F19</f>
        <v>65753.8682185944</v>
      </c>
    </row>
    <row r="20" customFormat="false" ht="15" hidden="false" customHeight="false" outlineLevel="0" collapsed="false">
      <c r="A20" s="6" t="s">
        <v>120</v>
      </c>
      <c r="B20" s="62" t="n">
        <f aca="false">IF(B17=0,0,B19/B17)</f>
        <v>-0.139268016114572</v>
      </c>
      <c r="C20" s="62" t="n">
        <f aca="false">IF(C17=0,0,C19/C17)</f>
        <v>0.0829545100063701</v>
      </c>
      <c r="D20" s="62" t="n">
        <f aca="false">IF(D17=0,0,D19/D17)</f>
        <v>0.203445873706684</v>
      </c>
      <c r="E20" s="63" t="n">
        <f aca="false">IF(E17=0,0,E19/E17)</f>
        <v>0.0829545100063701</v>
      </c>
    </row>
    <row r="21" customFormat="false" ht="15" hidden="false" customHeight="false" outlineLevel="0" collapsed="false">
      <c r="A21" s="6" t="s">
        <v>121</v>
      </c>
      <c r="B21" s="60" t="n">
        <f aca="false">F42</f>
        <v>-151647.260842823</v>
      </c>
      <c r="C21" s="60" t="n">
        <f aca="false">F43</f>
        <v>6787.20155192779</v>
      </c>
      <c r="D21" s="60" t="n">
        <f aca="false">F44</f>
        <v>103211.419282738</v>
      </c>
      <c r="E21" s="61" t="n">
        <f aca="false">'P&amp;L'!F26</f>
        <v>6787.20155192779</v>
      </c>
    </row>
    <row r="22" customFormat="false" ht="15" hidden="false" customHeight="false" outlineLevel="0" collapsed="false">
      <c r="A22" s="6" t="s">
        <v>122</v>
      </c>
      <c r="B22" s="60" t="n">
        <f aca="false">SUM(B42:F42)</f>
        <v>-912098.281129141</v>
      </c>
      <c r="C22" s="60" t="n">
        <f aca="false">SUM(B43:F43)</f>
        <v>-192797.565467144</v>
      </c>
      <c r="D22" s="60" t="n">
        <f aca="false">SUM(B44:F44)</f>
        <v>285694.572788758</v>
      </c>
      <c r="E22" s="61" t="n">
        <f aca="false">SUM('P&amp;L'!$B$26:$F$26)</f>
        <v>-192797.565467144</v>
      </c>
    </row>
    <row r="23" customFormat="false" ht="15" hidden="false" customHeight="false" outlineLevel="0" collapsed="false">
      <c r="A23" s="6" t="s">
        <v>123</v>
      </c>
      <c r="B23" s="60" t="n">
        <f aca="false">F48</f>
        <v>-597675.419198901</v>
      </c>
      <c r="C23" s="60" t="n">
        <f aca="false">F49</f>
        <v>116466.486266857</v>
      </c>
      <c r="D23" s="60" t="n">
        <f aca="false">F50</f>
        <v>590407.168226471</v>
      </c>
      <c r="E23" s="61" t="n">
        <f aca="false">'Balance Sheet'!F5</f>
        <v>116466.486266857</v>
      </c>
    </row>
    <row r="24" customFormat="false" ht="15" hidden="false" customHeight="false" outlineLevel="0" collapsed="false">
      <c r="A24" s="6" t="s">
        <v>124</v>
      </c>
      <c r="B24" s="60" t="n">
        <f aca="false">MIN('Scenario calc'!$C$97:$BJ$97)</f>
        <v>-597675.419198901</v>
      </c>
      <c r="C24" s="60" t="n">
        <f aca="false">MIN('Scenario calc'!$C$223:$BJ$223)</f>
        <v>64092.3562916667</v>
      </c>
      <c r="D24" s="60" t="n">
        <f aca="false">MIN('Scenario calc'!$C$349:$BJ$349)</f>
        <v>173336.782405926</v>
      </c>
      <c r="E24" s="61" t="n">
        <f aca="false">'Break-even'!B18</f>
        <v>64092.3562916667</v>
      </c>
    </row>
    <row r="25" customFormat="false" ht="15" hidden="false" customHeight="false" outlineLevel="0" collapsed="false">
      <c r="A25" s="6" t="s">
        <v>125</v>
      </c>
      <c r="B25" s="64" t="n">
        <f aca="false">MATCH(MIN('Scenario calc'!$C$97:$BJ$97),'Scenario calc'!$C$97:$BJ$97,0)</f>
        <v>60</v>
      </c>
      <c r="C25" s="64" t="n">
        <f aca="false">MATCH(MIN('Scenario calc'!$C$223:$BJ$223),'Scenario calc'!$C$223:$BJ$223,0)</f>
        <v>13</v>
      </c>
      <c r="D25" s="64" t="n">
        <f aca="false">MATCH(MIN('Scenario calc'!$C$349:$BJ$349),'Scenario calc'!$C$349:$BJ$349,0)</f>
        <v>8</v>
      </c>
      <c r="E25" s="65" t="n">
        <f aca="false">'Break-even'!B6</f>
        <v>13</v>
      </c>
    </row>
    <row r="26" customFormat="false" ht="15" hidden="false" customHeight="false" outlineLevel="0" collapsed="false">
      <c r="A26" s="4" t="s">
        <v>65</v>
      </c>
      <c r="B26" s="60" t="n">
        <f aca="false">SUMPRODUCT(--('Scenario calc'!$C$6:$BJ$6&lt;=B25),'Scenario calc'!$C$70:$BJ$70)-SUMPRODUCT(--('Scenario calc'!$C$6:$BJ$6&lt;=B25),'Scenario calc'!$C$91:$BJ$91)-SUMPRODUCT(--('Scenario calc'!$C$6:$BJ$6&lt;=B25),'Scenario calc'!$C$79:$BJ$79)+Inputs!$B$88</f>
        <v>1371675.4191989</v>
      </c>
      <c r="C26" s="60" t="n">
        <f aca="false">SUMPRODUCT(--('Scenario calc'!$C$132:$BJ$132&lt;=C25),'Scenario calc'!$C$196:$BJ$196)-SUMPRODUCT(--('Scenario calc'!$C$132:$BJ$132&lt;=C25),'Scenario calc'!$C$217:$BJ$217)-SUMPRODUCT(--('Scenario calc'!$C$132:$BJ$132&lt;=C25),'Scenario calc'!$C$205:$BJ$205)+Inputs!$C$88</f>
        <v>709907.643708333</v>
      </c>
      <c r="D26" s="60" t="n">
        <f aca="false">SUMPRODUCT(--('Scenario calc'!$C$258:$BJ$258&lt;=D25),'Scenario calc'!$C$322:$BJ$322)-SUMPRODUCT(--('Scenario calc'!$C$258:$BJ$258&lt;=D25),'Scenario calc'!$C$343:$BJ$343)-SUMPRODUCT(--('Scenario calc'!$C$258:$BJ$258&lt;=D25),'Scenario calc'!$C$331:$BJ$331)+Inputs!$D$88</f>
        <v>600663.217594074</v>
      </c>
      <c r="E26" s="61" t="n">
        <f aca="false">'Break-even'!B12</f>
        <v>709907.643708333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104</v>
      </c>
      <c r="B30" s="60" t="n">
        <f aca="false">SUMIF('Scenario calc'!$C$7:$BJ$7,B$29,'Scenario calc'!$C$34:$BJ$34)</f>
        <v>267942.909</v>
      </c>
      <c r="C30" s="60" t="n">
        <f aca="false">SUMIF('Scenario calc'!$C$7:$BJ$7,C$29,'Scenario calc'!$C$34:$BJ$34)</f>
        <v>570948.2034375</v>
      </c>
      <c r="D30" s="60" t="n">
        <f aca="false">SUMIF('Scenario calc'!$C$7:$BJ$7,D$29,'Scenario calc'!$C$34:$BJ$34)</f>
        <v>633416.962815</v>
      </c>
      <c r="E30" s="60" t="n">
        <f aca="false">SUMIF('Scenario calc'!$C$7:$BJ$7,E$29,'Scenario calc'!$C$34:$BJ$34)</f>
        <v>649252.386885375</v>
      </c>
      <c r="F30" s="60" t="n">
        <f aca="false">SUMIF('Scenario calc'!$C$7:$BJ$7,F$29,'Scenario calc'!$C$34:$BJ$34)</f>
        <v>665483.696557509</v>
      </c>
    </row>
    <row r="31" customFormat="false" ht="15" hidden="false" customHeight="false" outlineLevel="0" collapsed="false">
      <c r="A31" s="6" t="s">
        <v>105</v>
      </c>
      <c r="B31" s="60" t="n">
        <f aca="false">SUMIF('Scenario calc'!$C$133:$BJ$133,B$29,'Scenario calc'!$C$160:$BJ$160)</f>
        <v>419706.375</v>
      </c>
      <c r="C31" s="60" t="n">
        <f aca="false">SUMIF('Scenario calc'!$C$133:$BJ$133,C$29,'Scenario calc'!$C$160:$BJ$160)</f>
        <v>725888.895</v>
      </c>
      <c r="D31" s="60" t="n">
        <f aca="false">SUMIF('Scenario calc'!$C$133:$BJ$133,D$29,'Scenario calc'!$C$160:$BJ$160)</f>
        <v>747148.3731</v>
      </c>
      <c r="E31" s="60" t="n">
        <f aca="false">SUMIF('Scenario calc'!$C$133:$BJ$133,E$29,'Scenario calc'!$C$160:$BJ$160)</f>
        <v>769562.824293</v>
      </c>
      <c r="F31" s="60" t="n">
        <f aca="false">SUMIF('Scenario calc'!$C$133:$BJ$133,F$29,'Scenario calc'!$C$160:$BJ$160)</f>
        <v>792649.70902179</v>
      </c>
    </row>
    <row r="32" customFormat="false" ht="15" hidden="false" customHeight="false" outlineLevel="0" collapsed="false">
      <c r="A32" s="6" t="s">
        <v>106</v>
      </c>
      <c r="B32" s="60" t="n">
        <f aca="false">SUMIF('Scenario calc'!$C$259:$BJ$259,B$29,'Scenario calc'!$C$286:$BJ$286)</f>
        <v>567743.87</v>
      </c>
      <c r="C32" s="60" t="n">
        <f aca="false">SUMIF('Scenario calc'!$C$259:$BJ$259,C$29,'Scenario calc'!$C$286:$BJ$286)</f>
        <v>828555.4368</v>
      </c>
      <c r="D32" s="60" t="n">
        <f aca="false">SUMIF('Scenario calc'!$C$259:$BJ$259,D$29,'Scenario calc'!$C$286:$BJ$286)</f>
        <v>861697.654272</v>
      </c>
      <c r="E32" s="60" t="n">
        <f aca="false">SUMIF('Scenario calc'!$C$259:$BJ$259,E$29,'Scenario calc'!$C$286:$BJ$286)</f>
        <v>896165.56044288</v>
      </c>
      <c r="F32" s="60" t="n">
        <f aca="false">SUMIF('Scenario calc'!$C$259:$BJ$259,F$29,'Scenario calc'!$C$286:$BJ$286)</f>
        <v>932012.182860595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104</v>
      </c>
      <c r="B36" s="60" t="n">
        <f aca="false">SUMIF('Scenario calc'!$C$7:$BJ$7,B$35,'Scenario calc'!$C$54:$BJ$54)</f>
        <v>-228607.076526</v>
      </c>
      <c r="C36" s="60" t="n">
        <f aca="false">SUMIF('Scenario calc'!$C$7:$BJ$7,C$35,'Scenario calc'!$C$54:$BJ$54)</f>
        <v>-109978.915410625</v>
      </c>
      <c r="D36" s="60" t="n">
        <f aca="false">SUMIF('Scenario calc'!$C$7:$BJ$7,D$35,'Scenario calc'!$C$54:$BJ$54)</f>
        <v>-85835.8305604102</v>
      </c>
      <c r="E36" s="60" t="n">
        <f aca="false">SUMIF('Scenario calc'!$C$7:$BJ$7,E$35,'Scenario calc'!$C$54:$BJ$54)</f>
        <v>-89169.4755670606</v>
      </c>
      <c r="F36" s="60" t="n">
        <f aca="false">SUMIF('Scenario calc'!$C$7:$BJ$7,F$35,'Scenario calc'!$C$54:$BJ$54)</f>
        <v>-92680.5941761564</v>
      </c>
    </row>
    <row r="37" customFormat="false" ht="15" hidden="false" customHeight="false" outlineLevel="0" collapsed="false">
      <c r="A37" s="6" t="s">
        <v>105</v>
      </c>
      <c r="B37" s="60" t="n">
        <f aca="false">SUMIF('Scenario calc'!$C$133:$BJ$133,B$35,'Scenario calc'!$C$180:$BJ$180)</f>
        <v>-125850.99375</v>
      </c>
      <c r="C37" s="60" t="n">
        <f aca="false">SUMIF('Scenario calc'!$C$133:$BJ$133,C$35,'Scenario calc'!$C$180:$BJ$180)</f>
        <v>54057.2784999999</v>
      </c>
      <c r="D37" s="60" t="n">
        <f aca="false">SUMIF('Scenario calc'!$C$133:$BJ$133,D$35,'Scenario calc'!$C$180:$BJ$180)</f>
        <v>57501.808105</v>
      </c>
      <c r="E37" s="60" t="n">
        <f aca="false">SUMIF('Scenario calc'!$C$133:$BJ$133,E$35,'Scenario calc'!$C$180:$BJ$180)</f>
        <v>61566.86234815</v>
      </c>
      <c r="F37" s="60" t="n">
        <f aca="false">SUMIF('Scenario calc'!$C$133:$BJ$133,F$35,'Scenario calc'!$C$180:$BJ$180)</f>
        <v>65753.8682185944</v>
      </c>
    </row>
    <row r="38" customFormat="false" ht="15" hidden="false" customHeight="false" outlineLevel="0" collapsed="false">
      <c r="A38" s="6" t="s">
        <v>106</v>
      </c>
      <c r="B38" s="60" t="n">
        <f aca="false">SUMIF('Scenario calc'!$C$259:$BJ$259,B$35,'Scenario calc'!$C$306:$BJ$306)</f>
        <v>3918.8463466667</v>
      </c>
      <c r="C38" s="60" t="n">
        <f aca="false">SUMIF('Scenario calc'!$C$259:$BJ$259,C$35,'Scenario calc'!$C$306:$BJ$306)</f>
        <v>142946.2420352</v>
      </c>
      <c r="D38" s="60" t="n">
        <f aca="false">SUMIF('Scenario calc'!$C$259:$BJ$259,D$35,'Scenario calc'!$C$306:$BJ$306)</f>
        <v>157721.036436608</v>
      </c>
      <c r="E38" s="60" t="n">
        <f aca="false">SUMIF('Scenario calc'!$C$259:$BJ$259,E$35,'Scenario calc'!$C$306:$BJ$306)</f>
        <v>173264.930955672</v>
      </c>
      <c r="F38" s="60" t="n">
        <f aca="false">SUMIF('Scenario calc'!$C$259:$BJ$259,F$35,'Scenario calc'!$C$306:$BJ$306)</f>
        <v>189614.032847347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104</v>
      </c>
      <c r="B42" s="60" t="n">
        <f aca="false">SUMIF('Scenario calc'!$C$7:$BJ$7,B$41,'Scenario calc'!$C$63:$BJ$63)</f>
        <v>-291966.798748222</v>
      </c>
      <c r="C42" s="60" t="n">
        <f aca="false">SUMIF('Scenario calc'!$C$7:$BJ$7,C$41,'Scenario calc'!$C$63:$BJ$63)</f>
        <v>-172245.582077292</v>
      </c>
      <c r="D42" s="60" t="n">
        <f aca="false">SUMIF('Scenario calc'!$C$7:$BJ$7,D$41,'Scenario calc'!$C$63:$BJ$63)</f>
        <v>-147002.497227077</v>
      </c>
      <c r="E42" s="60" t="n">
        <f aca="false">SUMIF('Scenario calc'!$C$7:$BJ$7,E$41,'Scenario calc'!$C$63:$BJ$63)</f>
        <v>-149236.142233727</v>
      </c>
      <c r="F42" s="60" t="n">
        <f aca="false">SUMIF('Scenario calc'!$C$7:$BJ$7,F$41,'Scenario calc'!$C$63:$BJ$63)</f>
        <v>-151647.260842823</v>
      </c>
    </row>
    <row r="43" customFormat="false" ht="15" hidden="false" customHeight="false" outlineLevel="0" collapsed="false">
      <c r="A43" s="6" t="s">
        <v>105</v>
      </c>
      <c r="B43" s="60" t="n">
        <f aca="false">SUMIF('Scenario calc'!$C$133:$BJ$133,B$41,'Scenario calc'!$C$189:$BJ$189)</f>
        <v>-189210.715972222</v>
      </c>
      <c r="C43" s="60" t="n">
        <f aca="false">SUMIF('Scenario calc'!$C$133:$BJ$133,C$41,'Scenario calc'!$C$189:$BJ$189)</f>
        <v>-8209.38816666671</v>
      </c>
      <c r="D43" s="60" t="n">
        <f aca="false">SUMIF('Scenario calc'!$C$133:$BJ$133,D$41,'Scenario calc'!$C$189:$BJ$189)</f>
        <v>-3664.85856166669</v>
      </c>
      <c r="E43" s="60" t="n">
        <f aca="false">SUMIF('Scenario calc'!$C$133:$BJ$133,E$41,'Scenario calc'!$C$189:$BJ$189)</f>
        <v>1500.19568148333</v>
      </c>
      <c r="F43" s="60" t="n">
        <f aca="false">SUMIF('Scenario calc'!$C$133:$BJ$133,F$41,'Scenario calc'!$C$189:$BJ$189)</f>
        <v>6787.20155192779</v>
      </c>
    </row>
    <row r="44" customFormat="false" ht="15" hidden="false" customHeight="false" outlineLevel="0" collapsed="false">
      <c r="A44" s="6" t="s">
        <v>106</v>
      </c>
      <c r="B44" s="60" t="n">
        <f aca="false">SUMIF('Scenario calc'!$C$259:$BJ$259,B$41,'Scenario calc'!$C$315:$BJ$315)</f>
        <v>-59440.8758755555</v>
      </c>
      <c r="C44" s="60" t="n">
        <f aca="false">SUMIF('Scenario calc'!$C$259:$BJ$259,C$41,'Scenario calc'!$C$315:$BJ$315)</f>
        <v>76219.448475008</v>
      </c>
      <c r="D44" s="60" t="n">
        <f aca="false">SUMIF('Scenario calc'!$C$259:$BJ$259,D$41,'Scenario calc'!$C$315:$BJ$315)</f>
        <v>76277.9521182537</v>
      </c>
      <c r="E44" s="60" t="n">
        <f aca="false">SUMIF('Scenario calc'!$C$259:$BJ$259,E$41,'Scenario calc'!$C$315:$BJ$315)</f>
        <v>89426.6287883145</v>
      </c>
      <c r="F44" s="60" t="n">
        <f aca="false">SUMIF('Scenario calc'!$C$259:$BJ$259,F$41,'Scenario calc'!$C$315:$BJ$315)</f>
        <v>103211.419282738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104</v>
      </c>
      <c r="B48" s="60" t="n">
        <f aca="false">INDEX('Scenario calc'!$C$97:$BJ$97,B$47*12)</f>
        <v>-22127.596676</v>
      </c>
      <c r="C48" s="60" t="n">
        <f aca="false">INDEX('Scenario calc'!$C$97:$BJ$97,C$47*12)</f>
        <v>-187568.863633847</v>
      </c>
      <c r="D48" s="60" t="n">
        <f aca="false">INDEX('Scenario calc'!$C$97:$BJ$97,D$47*12)</f>
        <v>-322871.977831399</v>
      </c>
      <c r="E48" s="60" t="n">
        <f aca="false">INDEX('Scenario calc'!$C$97:$BJ$97,E$47*12)</f>
        <v>-459514.966106871</v>
      </c>
      <c r="F48" s="60" t="n">
        <f aca="false">INDEX('Scenario calc'!$C$97:$BJ$97,F$47*12)</f>
        <v>-597675.419198901</v>
      </c>
    </row>
    <row r="49" customFormat="false" ht="15" hidden="false" customHeight="false" outlineLevel="0" collapsed="false">
      <c r="A49" s="6" t="s">
        <v>105</v>
      </c>
      <c r="B49" s="60" t="n">
        <f aca="false">INDEX('Scenario calc'!$C$223:$BJ$223,B$47*12)</f>
        <v>73774.0319444445</v>
      </c>
      <c r="C49" s="60" t="n">
        <f aca="false">INDEX('Scenario calc'!$C$223:$BJ$223,C$47*12)</f>
        <v>74825.7789444444</v>
      </c>
      <c r="D49" s="60" t="n">
        <f aca="false">INDEX('Scenario calc'!$C$223:$BJ$223,D$47*12)</f>
        <v>82616.7968752778</v>
      </c>
      <c r="E49" s="60" t="n">
        <f aca="false">INDEX('Scenario calc'!$C$223:$BJ$223,E$47*12)</f>
        <v>96456.5453440361</v>
      </c>
      <c r="F49" s="60" t="n">
        <f aca="false">INDEX('Scenario calc'!$C$223:$BJ$223,F$47*12)</f>
        <v>116466.486266857</v>
      </c>
    </row>
    <row r="50" customFormat="false" ht="15" hidden="false" customHeight="false" outlineLevel="0" collapsed="false">
      <c r="A50" s="6" t="s">
        <v>106</v>
      </c>
      <c r="B50" s="60" t="n">
        <f aca="false">INDEX('Scenario calc'!$C$349:$BJ$349,B$47*12)</f>
        <v>199323.002568889</v>
      </c>
      <c r="C50" s="60" t="n">
        <f aca="false">INDEX('Scenario calc'!$C$349:$BJ$349,C$47*12)</f>
        <v>285739.17453723</v>
      </c>
      <c r="D50" s="60" t="n">
        <f aca="false">INDEX('Scenario calc'!$C$349:$BJ$349,D$47*12)</f>
        <v>373075.244139217</v>
      </c>
      <c r="E50" s="60" t="n">
        <f aca="false">INDEX('Scenario calc'!$C$349:$BJ$349,E$47*12)</f>
        <v>474419.765912801</v>
      </c>
      <c r="F50" s="60" t="n">
        <f aca="false">INDEX('Scenario calc'!$C$349:$BJ$349,F$47*12)</f>
        <v>590407.168226471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125</v>
      </c>
      <c r="B6" s="64" t="n">
        <f aca="false">MATCH(MIN(Monthly!$C$95:$BJ$95),Monthly!$C$95:$BJ$95,0)</f>
        <v>13</v>
      </c>
    </row>
    <row r="7" customFormat="false" ht="15" hidden="false" customHeight="false" outlineLevel="0" collapsed="false">
      <c r="A7" s="6" t="s">
        <v>135</v>
      </c>
      <c r="B7" s="66" t="n">
        <f aca="false">SUMPRODUCT(--(Monthly!$C$4:$BJ$4&lt;=$B$6),Monthly!$C$68:$BJ$68)</f>
        <v>451000</v>
      </c>
    </row>
    <row r="8" customFormat="false" ht="15" hidden="false" customHeight="false" outlineLevel="0" collapsed="false">
      <c r="A8" s="6" t="s">
        <v>136</v>
      </c>
      <c r="B8" s="66" t="n">
        <f aca="false">-SUMPRODUCT(--(Monthly!$C$4:$BJ$4&lt;=$B$6),Monthly!$C$89:$BJ$89)</f>
        <v>159907.643708333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6" t="n">
        <f aca="false">-SUMPRODUCT(--(Monthly!$C$4:$BJ$4&lt;=$B$6),Monthly!$C$77:$BJ$77)</f>
        <v>25000</v>
      </c>
    </row>
    <row r="10" customFormat="false" ht="15" hidden="false" customHeight="false" outlineLevel="0" collapsed="false">
      <c r="A10" s="4" t="s">
        <v>139</v>
      </c>
      <c r="B10" s="67" t="n">
        <f aca="false">B7+B8+B9</f>
        <v>635907.643708333</v>
      </c>
    </row>
    <row r="11" customFormat="false" ht="15" hidden="false" customHeight="false" outlineLevel="0" collapsed="false">
      <c r="A11" s="6" t="s">
        <v>140</v>
      </c>
      <c r="B11" s="68" t="n">
        <f aca="false">Inputs!$E$88</f>
        <v>74000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7" t="n">
        <f aca="false">B10+B11</f>
        <v>709907.643708333</v>
      </c>
    </row>
    <row r="14" customFormat="false" ht="15" hidden="false" customHeight="false" outlineLevel="0" collapsed="false">
      <c r="A14" s="6" t="s">
        <v>63</v>
      </c>
      <c r="B14" s="68" t="n">
        <f aca="false">Inputs!$E$73</f>
        <v>450000</v>
      </c>
    </row>
    <row r="15" customFormat="false" ht="15" hidden="false" customHeight="false" outlineLevel="0" collapsed="false">
      <c r="A15" s="6" t="s">
        <v>64</v>
      </c>
      <c r="B15" s="68" t="n">
        <f aca="false">Inputs!$E$74</f>
        <v>250000</v>
      </c>
    </row>
    <row r="16" customFormat="false" ht="15" hidden="false" customHeight="false" outlineLevel="0" collapsed="false">
      <c r="A16" s="4" t="s">
        <v>143</v>
      </c>
      <c r="B16" s="67" t="n">
        <f aca="false">B14+B15</f>
        <v>700000</v>
      </c>
    </row>
    <row r="17" customFormat="false" ht="15" hidden="false" customHeight="false" outlineLevel="0" collapsed="false">
      <c r="A17" s="69" t="s">
        <v>66</v>
      </c>
      <c r="B17" s="70" t="n">
        <f aca="false">B16-B12</f>
        <v>-9907.64370833337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6" t="n">
        <f aca="false">MIN(Monthly!$C$95:$BJ$95)</f>
        <v>64092.3562916667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148</v>
      </c>
      <c r="B21" s="64" t="n">
        <f aca="false">IFERROR(MATCH(1,Monthly!$C$96:$BJ$96,0),"Not within horizon")</f>
        <v>12</v>
      </c>
    </row>
    <row r="22" customFormat="false" ht="15" hidden="false" customHeight="false" outlineLevel="0" collapsed="false">
      <c r="A22" s="6" t="s">
        <v>149</v>
      </c>
      <c r="B22" s="64" t="n">
        <f aca="false">IFERROR(MATCH(1,Monthly!$C$99:$BJ$99,0),"Not within horizon")</f>
        <v>37</v>
      </c>
    </row>
    <row r="23" customFormat="false" ht="15" hidden="false" customHeight="false" outlineLevel="0" collapsed="false">
      <c r="A23" s="6" t="s">
        <v>150</v>
      </c>
      <c r="B23" s="64" t="str">
        <f aca="false">IF(MIN(Monthly!$C$101:$BJ$101)&gt;=0,"No investment to pay back",IFERROR(MATCH(1,Monthly!$C$103:$BJ$103,0),"Not within horizon"))</f>
        <v>Not within horizon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1" t="s">
        <v>153</v>
      </c>
      <c r="B26" s="71" t="n">
        <v>1</v>
      </c>
      <c r="C26" s="71" t="n">
        <v>2</v>
      </c>
      <c r="D26" s="71" t="n">
        <v>3</v>
      </c>
      <c r="E26" s="71" t="n">
        <v>4</v>
      </c>
      <c r="F26" s="71" t="n">
        <v>5</v>
      </c>
    </row>
    <row r="27" customFormat="false" ht="15" hidden="false" customHeight="false" outlineLevel="0" collapsed="false">
      <c r="A27" s="33"/>
      <c r="B27" s="51" t="s">
        <v>154</v>
      </c>
      <c r="C27" s="51" t="s">
        <v>155</v>
      </c>
      <c r="D27" s="51" t="s">
        <v>156</v>
      </c>
      <c r="E27" s="51" t="s">
        <v>157</v>
      </c>
      <c r="F27" s="51" t="s">
        <v>158</v>
      </c>
    </row>
    <row r="28" customFormat="false" ht="15" hidden="false" customHeight="false" outlineLevel="0" collapsed="false">
      <c r="A28" s="4" t="s">
        <v>44</v>
      </c>
      <c r="B28" s="72" t="n">
        <f aca="false">SUMIF(Monthly!$C$5:$BJ$5,B$26,Monthly!$C$32:$BJ$32)</f>
        <v>419706.375</v>
      </c>
      <c r="C28" s="72" t="n">
        <f aca="false">SUMIF(Monthly!$C$5:$BJ$5,C$26,Monthly!$C$32:$BJ$32)</f>
        <v>725888.895</v>
      </c>
      <c r="D28" s="72" t="n">
        <f aca="false">SUMIF(Monthly!$C$5:$BJ$5,D$26,Monthly!$C$32:$BJ$32)</f>
        <v>747148.3731</v>
      </c>
      <c r="E28" s="72" t="n">
        <f aca="false">SUMIF(Monthly!$C$5:$BJ$5,E$26,Monthly!$C$32:$BJ$32)</f>
        <v>769562.824293</v>
      </c>
      <c r="F28" s="72" t="n">
        <f aca="false">SUMIF(Monthly!$C$5:$BJ$5,F$26,Monthly!$C$32:$BJ$32)</f>
        <v>792649.70902179</v>
      </c>
    </row>
    <row r="29" customFormat="false" ht="15" hidden="false" customHeight="false" outlineLevel="0" collapsed="false">
      <c r="A29" s="6" t="s">
        <v>45</v>
      </c>
      <c r="B29" s="66" t="n">
        <f aca="false">SUMIF(Monthly!$C$5:$BJ$5,B$26,Monthly!$C$39:$BJ$39)</f>
        <v>171077.375</v>
      </c>
      <c r="C29" s="66" t="n">
        <f aca="false">SUMIF(Monthly!$C$5:$BJ$5,C$26,Monthly!$C$39:$BJ$39)</f>
        <v>363320.655</v>
      </c>
      <c r="D29" s="66" t="n">
        <f aca="false">SUMIF(Monthly!$C$5:$BJ$5,D$26,Monthly!$C$39:$BJ$39)</f>
        <v>373703.0859</v>
      </c>
      <c r="E29" s="66" t="n">
        <f aca="false">SUMIF(Monthly!$C$5:$BJ$5,E$26,Monthly!$C$39:$BJ$39)</f>
        <v>384914.178477</v>
      </c>
      <c r="F29" s="66" t="n">
        <f aca="false">SUMIF(Monthly!$C$5:$BJ$5,F$26,Monthly!$C$39:$BJ$39)</f>
        <v>396461.60383131</v>
      </c>
    </row>
    <row r="30" customFormat="false" ht="15" hidden="false" customHeight="false" outlineLevel="0" collapsed="false">
      <c r="A30" s="38" t="s">
        <v>159</v>
      </c>
      <c r="B30" s="73" t="n">
        <f aca="false">IF(B28=0,0,B29/B28)</f>
        <v>0.407612047827484</v>
      </c>
      <c r="C30" s="73" t="n">
        <f aca="false">IF(C28=0,0,C29/C28)</f>
        <v>0.500518271463569</v>
      </c>
      <c r="D30" s="73" t="n">
        <f aca="false">IF(D28=0,0,D29/D28)</f>
        <v>0.50017252175691</v>
      </c>
      <c r="E30" s="73" t="n">
        <f aca="false">IF(E28=0,0,E29/E28)</f>
        <v>0.500172521756911</v>
      </c>
      <c r="F30" s="73" t="n">
        <f aca="false">IF(F28=0,0,F29/F28)</f>
        <v>0.50017252175691</v>
      </c>
    </row>
    <row r="31" customFormat="false" ht="15" hidden="false" customHeight="false" outlineLevel="0" collapsed="false">
      <c r="A31" s="6" t="s">
        <v>160</v>
      </c>
      <c r="B31" s="66" t="n">
        <f aca="false">-SUMIF(Monthly!$C$5:$BJ$5,B$26,Monthly!$C$51:$BJ$51)</f>
        <v>296928.36875</v>
      </c>
      <c r="C31" s="66" t="n">
        <f aca="false">-SUMIF(Monthly!$C$5:$BJ$5,C$26,Monthly!$C$51:$BJ$51)</f>
        <v>309263.3765</v>
      </c>
      <c r="D31" s="66" t="n">
        <f aca="false">-SUMIF(Monthly!$C$5:$BJ$5,D$26,Monthly!$C$51:$BJ$51)</f>
        <v>316201.277795</v>
      </c>
      <c r="E31" s="66" t="n">
        <f aca="false">-SUMIF(Monthly!$C$5:$BJ$5,E$26,Monthly!$C$51:$BJ$51)</f>
        <v>323347.31612885</v>
      </c>
      <c r="F31" s="66" t="n">
        <f aca="false">-SUMIF(Monthly!$C$5:$BJ$5,F$26,Monthly!$C$51:$BJ$51)</f>
        <v>330707.735612716</v>
      </c>
    </row>
    <row r="32" customFormat="false" ht="15" hidden="false" customHeight="false" outlineLevel="0" collapsed="false">
      <c r="A32" s="4" t="s">
        <v>161</v>
      </c>
      <c r="B32" s="72" t="n">
        <f aca="false">IF(B30&gt;0,B31/B30,"n/a")</f>
        <v>728458.273823326</v>
      </c>
      <c r="C32" s="72" t="n">
        <f aca="false">IF(C30&gt;0,C31/C30,"n/a")</f>
        <v>617886.287339084</v>
      </c>
      <c r="D32" s="72" t="n">
        <f aca="false">IF(D30&gt;0,D31/D30,"n/a")</f>
        <v>632184.424454803</v>
      </c>
      <c r="E32" s="72" t="n">
        <f aca="false">IF(E30&gt;0,E31/E30,"n/a")</f>
        <v>646471.571435107</v>
      </c>
      <c r="F32" s="72" t="n">
        <f aca="false">IF(F30&gt;0,F31/F30,"n/a")</f>
        <v>661187.332824819</v>
      </c>
    </row>
    <row r="33" customFormat="false" ht="15" hidden="false" customHeight="false" outlineLevel="0" collapsed="false">
      <c r="A33" s="38" t="s">
        <v>162</v>
      </c>
      <c r="B33" s="73" t="n">
        <f aca="false">IF(AND(ISNUMBER(B32),B28&gt;0),(B28-B32)/B28,"n/a")</f>
        <v>-0.735637858308266</v>
      </c>
      <c r="C33" s="73" t="n">
        <f aca="false">IF(AND(ISNUMBER(C32),C28&gt;0),(C28-C32)/C28,"n/a")</f>
        <v>0.148786692295267</v>
      </c>
      <c r="D33" s="73" t="n">
        <f aca="false">IF(AND(ISNUMBER(D32),D28&gt;0),(D28-D32)/D28,"n/a")</f>
        <v>0.153870305797761</v>
      </c>
      <c r="E33" s="73" t="n">
        <f aca="false">IF(AND(ISNUMBER(E32),E28&gt;0),(E28-E32)/E28,"n/a")</f>
        <v>0.159949583025892</v>
      </c>
      <c r="F33" s="73" t="n">
        <f aca="false">IF(AND(ISNUMBER(F32),F28&gt;0),(F28-F32)/F28,"n/a")</f>
        <v>0.16585179392699</v>
      </c>
    </row>
    <row r="35" customFormat="false" ht="15" hidden="false" customHeight="false" outlineLevel="0" collapsed="false">
      <c r="A35" s="3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164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165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167</v>
      </c>
      <c r="B6" s="74" t="n">
        <f aca="false">Inputs!$E$91</f>
        <v>0.25</v>
      </c>
    </row>
    <row r="7" customFormat="false" ht="15" hidden="false" customHeight="false" outlineLevel="0" collapsed="false">
      <c r="A7" s="38" t="s">
        <v>168</v>
      </c>
      <c r="B7" s="74" t="n">
        <f aca="false">Inputs!$E$92</f>
        <v>0.02</v>
      </c>
    </row>
    <row r="8" customFormat="false" ht="15" hidden="false" customHeight="false" outlineLevel="0" collapsed="false">
      <c r="A8" s="6" t="s">
        <v>169</v>
      </c>
      <c r="B8" s="75" t="n">
        <f aca="false">Inputs!$E$93</f>
        <v>4</v>
      </c>
    </row>
    <row r="9" customFormat="false" ht="15" hidden="false" customHeight="false" outlineLevel="0" collapsed="false">
      <c r="A9" s="38" t="s">
        <v>170</v>
      </c>
      <c r="B9" s="74" t="n">
        <f aca="false">Inputs!$E$85</f>
        <v>0.21</v>
      </c>
    </row>
    <row r="10" customFormat="false" ht="15" hidden="false" customHeight="false" outlineLevel="0" collapsed="false">
      <c r="A10" s="38" t="s">
        <v>171</v>
      </c>
      <c r="B10" s="74" t="n">
        <f aca="false">Inputs!$E$94</f>
        <v>0.01</v>
      </c>
    </row>
    <row r="11" customFormat="false" ht="15" hidden="false" customHeight="false" outlineLevel="0" collapsed="false">
      <c r="A11" s="38" t="s">
        <v>172</v>
      </c>
      <c r="B11" s="74" t="n">
        <f aca="false">Inputs!$E$95</f>
        <v>0.005</v>
      </c>
    </row>
    <row r="13" customFormat="false" ht="15.75" hidden="false" customHeight="true" outlineLevel="0" collapsed="false">
      <c r="A13" s="7" t="s">
        <v>173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1" t="s">
        <v>153</v>
      </c>
      <c r="B14" s="71" t="n">
        <v>1</v>
      </c>
      <c r="C14" s="71" t="n">
        <v>2</v>
      </c>
      <c r="D14" s="71" t="n">
        <v>3</v>
      </c>
      <c r="E14" s="71" t="n">
        <v>4</v>
      </c>
      <c r="F14" s="71" t="n">
        <v>5</v>
      </c>
    </row>
    <row r="15" customFormat="false" ht="15" hidden="false" customHeight="false" outlineLevel="0" collapsed="false">
      <c r="A15" s="33"/>
      <c r="B15" s="51" t="s">
        <v>154</v>
      </c>
      <c r="C15" s="51" t="s">
        <v>155</v>
      </c>
      <c r="D15" s="51" t="s">
        <v>156</v>
      </c>
      <c r="E15" s="51" t="s">
        <v>157</v>
      </c>
      <c r="F15" s="51" t="s">
        <v>158</v>
      </c>
    </row>
    <row r="16" customFormat="false" ht="15" hidden="false" customHeight="false" outlineLevel="0" collapsed="false">
      <c r="A16" s="6" t="s">
        <v>48</v>
      </c>
      <c r="B16" s="66" t="n">
        <f aca="false">SUMIF(Monthly!$C$5:$BJ$5,B$14,Monthly!$C$52:$BJ$52)</f>
        <v>-125850.99375</v>
      </c>
      <c r="C16" s="66" t="n">
        <f aca="false">SUMIF(Monthly!$C$5:$BJ$5,C$14,Monthly!$C$52:$BJ$52)</f>
        <v>54057.2784999999</v>
      </c>
      <c r="D16" s="66" t="n">
        <f aca="false">SUMIF(Monthly!$C$5:$BJ$5,D$14,Monthly!$C$52:$BJ$52)</f>
        <v>57501.808105</v>
      </c>
      <c r="E16" s="66" t="n">
        <f aca="false">SUMIF(Monthly!$C$5:$BJ$5,E$14,Monthly!$C$52:$BJ$52)</f>
        <v>61566.86234815</v>
      </c>
      <c r="F16" s="66" t="n">
        <f aca="false">SUMIF(Monthly!$C$5:$BJ$5,F$14,Monthly!$C$52:$BJ$52)</f>
        <v>65753.8682185944</v>
      </c>
    </row>
    <row r="17" customFormat="false" ht="15" hidden="false" customHeight="false" outlineLevel="0" collapsed="false">
      <c r="A17" s="4" t="s">
        <v>174</v>
      </c>
      <c r="B17" s="72" t="n">
        <f aca="false">SUMIF(Monthly!$C$5:$BJ$5,B$14,Monthly!$C$104:$BJ$104)</f>
        <v>-588173.120833333</v>
      </c>
      <c r="C17" s="72" t="n">
        <f aca="false">SUMIF(Monthly!$C$5:$BJ$5,C$14,Monthly!$C$104:$BJ$104)</f>
        <v>39613.4136666666</v>
      </c>
      <c r="D17" s="72" t="n">
        <f aca="false">SUMIF(Monthly!$C$5:$BJ$5,D$14,Monthly!$C$104:$BJ$104)</f>
        <v>44772.6845975</v>
      </c>
      <c r="E17" s="72" t="n">
        <f aca="false">SUMIF(Monthly!$C$5:$BJ$5,E$14,Monthly!$C$104:$BJ$104)</f>
        <v>49241.415135425</v>
      </c>
      <c r="F17" s="72" t="n">
        <f aca="false">SUMIF(Monthly!$C$5:$BJ$5,F$14,Monthly!$C$104:$BJ$104)</f>
        <v>53831.6075894877</v>
      </c>
    </row>
    <row r="18" customFormat="false" ht="15" hidden="false" customHeight="false" outlineLevel="0" collapsed="false">
      <c r="A18" s="6" t="s">
        <v>175</v>
      </c>
      <c r="B18" s="76" t="n">
        <f aca="false">1/(1+Inputs!$E$91)^B$14</f>
        <v>0.8</v>
      </c>
      <c r="C18" s="76" t="n">
        <f aca="false">1/(1+Inputs!$E$91)^C$14</f>
        <v>0.64</v>
      </c>
      <c r="D18" s="76" t="n">
        <f aca="false">1/(1+Inputs!$E$91)^D$14</f>
        <v>0.512</v>
      </c>
      <c r="E18" s="76" t="n">
        <f aca="false">1/(1+Inputs!$E$91)^E$14</f>
        <v>0.4096</v>
      </c>
      <c r="F18" s="76" t="n">
        <f aca="false">1/(1+Inputs!$E$91)^F$14</f>
        <v>0.32768</v>
      </c>
    </row>
    <row r="19" customFormat="false" ht="15" hidden="false" customHeight="false" outlineLevel="0" collapsed="false">
      <c r="A19" s="6" t="s">
        <v>176</v>
      </c>
      <c r="B19" s="66" t="n">
        <f aca="false">B17*B18</f>
        <v>-470538.496666667</v>
      </c>
      <c r="C19" s="66" t="n">
        <f aca="false">C17*C18</f>
        <v>25352.5847466666</v>
      </c>
      <c r="D19" s="66" t="n">
        <f aca="false">D17*D18</f>
        <v>22923.61451392</v>
      </c>
      <c r="E19" s="66" t="n">
        <f aca="false">E17*E18</f>
        <v>20169.2836394701</v>
      </c>
      <c r="F19" s="66" t="n">
        <f aca="false">F17*F18</f>
        <v>17639.5411749233</v>
      </c>
    </row>
    <row r="21" customFormat="false" ht="15.75" hidden="false" customHeight="true" outlineLevel="0" collapsed="false">
      <c r="A21" s="7" t="s">
        <v>177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1" t="s">
        <v>178</v>
      </c>
      <c r="C22" s="51" t="s">
        <v>179</v>
      </c>
    </row>
    <row r="23" customFormat="false" ht="15" hidden="false" customHeight="false" outlineLevel="0" collapsed="false">
      <c r="A23" s="6" t="s">
        <v>180</v>
      </c>
      <c r="B23" s="66" t="n">
        <f aca="false">SUM($B$19:$F$19)</f>
        <v>-384453.472591687</v>
      </c>
      <c r="C23" s="66" t="n">
        <f aca="false">B23</f>
        <v>-384453.472591687</v>
      </c>
    </row>
    <row r="24" customFormat="false" ht="15" hidden="false" customHeight="false" outlineLevel="0" collapsed="false">
      <c r="A24" s="6" t="s">
        <v>181</v>
      </c>
      <c r="B24" s="66" t="n">
        <f aca="false">$F$17</f>
        <v>53831.6075894877</v>
      </c>
      <c r="C24" s="66" t="n">
        <f aca="false">$F$16</f>
        <v>65753.8682185944</v>
      </c>
    </row>
    <row r="25" customFormat="false" ht="15" hidden="false" customHeight="false" outlineLevel="0" collapsed="false">
      <c r="A25" s="6" t="s">
        <v>182</v>
      </c>
      <c r="B25" s="66" t="n">
        <f aca="false">IF($B$6&gt;$B$7,B24*(1+$B$7)/($B$6-$B$7),0)</f>
        <v>238731.477135989</v>
      </c>
      <c r="C25" s="66" t="n">
        <f aca="false">C24*$B$8</f>
        <v>263015.472874378</v>
      </c>
    </row>
    <row r="26" customFormat="false" ht="15" hidden="false" customHeight="false" outlineLevel="0" collapsed="false">
      <c r="A26" s="6" t="s">
        <v>183</v>
      </c>
      <c r="B26" s="66" t="n">
        <f aca="false">B25/(1+$B$6)^$F$14</f>
        <v>78227.5304279208</v>
      </c>
      <c r="C26" s="66" t="n">
        <f aca="false">C25/(1+$B$6)^$F$14</f>
        <v>86184.9101514761</v>
      </c>
    </row>
    <row r="27" customFormat="false" ht="15" hidden="false" customHeight="false" outlineLevel="0" collapsed="false">
      <c r="A27" s="4" t="s">
        <v>177</v>
      </c>
      <c r="B27" s="67" t="n">
        <f aca="false">B23+B26</f>
        <v>-306225.942163766</v>
      </c>
      <c r="C27" s="67" t="n">
        <f aca="false">C23+C26</f>
        <v>-298268.562440211</v>
      </c>
    </row>
    <row r="28" customFormat="false" ht="15" hidden="false" customHeight="false" outlineLevel="0" collapsed="false">
      <c r="A28" s="38" t="s">
        <v>184</v>
      </c>
      <c r="B28" s="73" t="n">
        <f aca="false">IF(B27&lt;&gt;0,B26/B27,0)</f>
        <v>-0.255456901773808</v>
      </c>
      <c r="C28" s="73" t="n">
        <f aca="false">IF(C27&lt;&gt;0,C26/C27,0)</f>
        <v>-0.288950700826046</v>
      </c>
    </row>
    <row r="29" customFormat="false" ht="15" hidden="false" customHeight="false" outlineLevel="0" collapsed="false">
      <c r="A29" s="6" t="s">
        <v>185</v>
      </c>
      <c r="B29" s="77" t="n">
        <f aca="false">IF(C24&gt;0,B25/C24,"n/a")</f>
        <v>3.63068338949036</v>
      </c>
      <c r="C29" s="73" t="n">
        <f aca="false">IF(C25+B24&lt;&gt;0,(C25*$B$6-B24)/(C25+B24),"n/a")</f>
        <v>0.0376278064852373</v>
      </c>
    </row>
    <row r="30" customFormat="false" ht="15" hidden="false" customHeight="false" outlineLevel="0" collapsed="false">
      <c r="A30" s="69" t="s">
        <v>186</v>
      </c>
      <c r="B30" s="70" t="n">
        <f aca="false">AVERAGE(B27,C27)</f>
        <v>-302247.252301988</v>
      </c>
    </row>
    <row r="32" customFormat="false" ht="15.75" hidden="false" customHeight="true" outlineLevel="0" collapsed="false">
      <c r="A32" s="7" t="s">
        <v>187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188</v>
      </c>
      <c r="B33" s="78" t="n">
        <f aca="false">$B$7+(-2)*$B$11</f>
        <v>0.01</v>
      </c>
      <c r="C33" s="78" t="n">
        <f aca="false">$B$7+(-1)*$B$11</f>
        <v>0.015</v>
      </c>
      <c r="D33" s="78" t="n">
        <f aca="false">$B$7+(0)*$B$11</f>
        <v>0.02</v>
      </c>
      <c r="E33" s="78" t="n">
        <f aca="false">$B$7+(1)*$B$11</f>
        <v>0.025</v>
      </c>
      <c r="F33" s="78" t="n">
        <f aca="false">$B$7+(2)*$B$11</f>
        <v>0.03</v>
      </c>
    </row>
    <row r="34" customFormat="false" ht="15" hidden="false" customHeight="false" outlineLevel="0" collapsed="false">
      <c r="A34" s="73" t="n">
        <f aca="false">$B$6+(-2)*$B$10</f>
        <v>0.23</v>
      </c>
      <c r="B34" s="66" t="n">
        <f aca="false">IF($A34&gt;B$33,SUMPRODUCT($B$17:$F$17/(1+$A34)^$B$14:$F$14)+$F$17*(1+B$33)/($A34-B$33)/(1+$A34)^$F$14,"n/a")</f>
        <v>-299528.12960908</v>
      </c>
      <c r="C34" s="66" t="n">
        <f aca="false">IF($A34&gt;C$33,SUMPRODUCT($B$17:$F$17/(1+$A34)^$B$14:$F$14)+$F$17*(1+C$33)/($A34-C$33)/(1+$A34)^$F$14,"n/a")</f>
        <v>-297041.9885429</v>
      </c>
      <c r="D34" s="66" t="n">
        <f aca="false">IF($A34&gt;D$33,SUMPRODUCT($B$17:$F$17/(1+$A34)^$B$14:$F$14)+$F$17*(1+D$33)/($A34-D$33)/(1+$A34)^$F$14,"n/a")</f>
        <v>-294437.459806902</v>
      </c>
      <c r="E34" s="66" t="n">
        <f aca="false">IF($A34&gt;E$33,SUMPRODUCT($B$17:$F$17/(1+$A34)^$B$14:$F$14)+$F$17*(1+E$33)/($A34-E$33)/(1+$A34)^$F$14,"n/a")</f>
        <v>-291705.88088866</v>
      </c>
      <c r="F34" s="66" t="n">
        <f aca="false">IF($A34&gt;F$33,SUMPRODUCT($B$17:$F$17/(1+$A34)^$B$14:$F$14)+$F$17*(1+F$33)/($A34-F$33)/(1+$A34)^$F$14,"n/a")</f>
        <v>-288837.723024506</v>
      </c>
    </row>
    <row r="35" customFormat="false" ht="15" hidden="false" customHeight="false" outlineLevel="0" collapsed="false">
      <c r="A35" s="73" t="n">
        <f aca="false">$B$6+(-1)*$B$10</f>
        <v>0.24</v>
      </c>
      <c r="B35" s="66" t="n">
        <f aca="false">IF($A35&gt;B$33,SUMPRODUCT($B$17:$F$17/(1+$A35)^$B$14:$F$14)+$F$17*(1+B$33)/($A35-B$33)/(1+$A35)^$F$14,"n/a")</f>
        <v>-305262.326053445</v>
      </c>
      <c r="C35" s="66" t="n">
        <f aca="false">IF($A35&gt;C$33,SUMPRODUCT($B$17:$F$17/(1+$A35)^$B$14:$F$14)+$F$17*(1+C$33)/($A35-C$33)/(1+$A35)^$F$14,"n/a")</f>
        <v>-303062.388977437</v>
      </c>
      <c r="D35" s="66" t="n">
        <f aca="false">IF($A35&gt;D$33,SUMPRODUCT($B$17:$F$17/(1+$A35)^$B$14:$F$14)+$F$17*(1+D$33)/($A35-D$33)/(1+$A35)^$F$14,"n/a")</f>
        <v>-300762.454761612</v>
      </c>
      <c r="E35" s="66" t="n">
        <f aca="false">IF($A35&gt;E$33,SUMPRODUCT($B$17:$F$17/(1+$A35)^$B$14:$F$14)+$F$17*(1+E$33)/($A35-E$33)/(1+$A35)^$F$14,"n/a")</f>
        <v>-298355.546861329</v>
      </c>
      <c r="F35" s="66" t="n">
        <f aca="false">IF($A35&gt;F$33,SUMPRODUCT($B$17:$F$17/(1+$A35)^$B$14:$F$14)+$F$17*(1+F$33)/($A35-F$33)/(1+$A35)^$F$14,"n/a")</f>
        <v>-295834.024299128</v>
      </c>
    </row>
    <row r="36" customFormat="false" ht="15" hidden="false" customHeight="false" outlineLevel="0" collapsed="false">
      <c r="A36" s="73" t="n">
        <f aca="false">$B$6+(0)*$B$10</f>
        <v>0.25</v>
      </c>
      <c r="B36" s="66" t="n">
        <f aca="false">IF($A36&gt;B$33,SUMPRODUCT($B$17:$F$17/(1+$A36)^$B$14:$F$14)+$F$17*(1+B$33)/($A36-B$33)/(1+$A36)^$F$14,"n/a")</f>
        <v>-310220.403480551</v>
      </c>
      <c r="C36" s="66" t="n">
        <f aca="false">IF($A36&gt;C$33,SUMPRODUCT($B$17:$F$17/(1+$A36)^$B$14:$F$14)+$F$17*(1+C$33)/($A36-C$33)/(1+$A36)^$F$14,"n/a")</f>
        <v>-308265.667091486</v>
      </c>
      <c r="D36" s="66" t="n">
        <f aca="false">IF($A36&gt;D$33,SUMPRODUCT($B$17:$F$17/(1+$A36)^$B$14:$F$14)+$F$17*(1+D$33)/($A36-D$33)/(1+$A36)^$F$14,"n/a")</f>
        <v>-306225.942163766</v>
      </c>
      <c r="E36" s="66" t="n">
        <f aca="false">IF($A36&gt;E$33,SUMPRODUCT($B$17:$F$17/(1+$A36)^$B$14:$F$14)+$F$17*(1+E$33)/($A36-E$33)/(1+$A36)^$F$14,"n/a")</f>
        <v>-304095.562794814</v>
      </c>
      <c r="F36" s="66" t="n">
        <f aca="false">IF($A36&gt;F$33,SUMPRODUCT($B$17:$F$17/(1+$A36)^$B$14:$F$14)+$F$17*(1+F$33)/($A36-F$33)/(1+$A36)^$F$14,"n/a")</f>
        <v>-301868.348</v>
      </c>
    </row>
    <row r="37" customFormat="false" ht="15" hidden="false" customHeight="false" outlineLevel="0" collapsed="false">
      <c r="A37" s="73" t="n">
        <f aca="false">$B$6+(1)*$B$10</f>
        <v>0.26</v>
      </c>
      <c r="B37" s="66" t="n">
        <f aca="false">IF($A37&gt;B$33,SUMPRODUCT($B$17:$F$17/(1+$A37)^$B$14:$F$14)+$F$17*(1+B$33)/($A37-B$33)/(1+$A37)^$F$14,"n/a")</f>
        <v>-314502.663632838</v>
      </c>
      <c r="C37" s="66" t="n">
        <f aca="false">IF($A37&gt;C$33,SUMPRODUCT($B$17:$F$17/(1+$A37)^$B$14:$F$14)+$F$17*(1+C$33)/($A37-C$33)/(1+$A37)^$F$14,"n/a")</f>
        <v>-312759.175160226</v>
      </c>
      <c r="D37" s="66" t="n">
        <f aca="false">IF($A37&gt;D$33,SUMPRODUCT($B$17:$F$17/(1+$A37)^$B$14:$F$14)+$F$17*(1+D$33)/($A37-D$33)/(1+$A37)^$F$14,"n/a")</f>
        <v>-310943.041334589</v>
      </c>
      <c r="E37" s="66" t="n">
        <f aca="false">IF($A37&gt;E$33,SUMPRODUCT($B$17:$F$17/(1+$A37)^$B$14:$F$14)+$F$17*(1+E$33)/($A37-E$33)/(1+$A37)^$F$14,"n/a")</f>
        <v>-309049.625218499</v>
      </c>
      <c r="F37" s="66" t="n">
        <f aca="false">IF($A37&gt;F$33,SUMPRODUCT($B$17:$F$17/(1+$A37)^$B$14:$F$14)+$F$17*(1+F$33)/($A37-F$33)/(1+$A37)^$F$14,"n/a")</f>
        <v>-307073.886662579</v>
      </c>
    </row>
    <row r="38" customFormat="false" ht="15" hidden="false" customHeight="false" outlineLevel="0" collapsed="false">
      <c r="A38" s="73" t="n">
        <f aca="false">$B$6+(2)*$B$10</f>
        <v>0.27</v>
      </c>
      <c r="B38" s="66" t="n">
        <f aca="false">IF($A38&gt;B$33,SUMPRODUCT($B$17:$F$17/(1+$A38)^$B$14:$F$14)+$F$17*(1+B$33)/($A38-B$33)/(1+$A38)^$F$14,"n/a")</f>
        <v>-318193.745809193</v>
      </c>
      <c r="C38" s="66" t="n">
        <f aca="false">IF($A38&gt;C$33,SUMPRODUCT($B$17:$F$17/(1+$A38)^$B$14:$F$14)+$F$17*(1+C$33)/($A38-C$33)/(1+$A38)^$F$14,"n/a")</f>
        <v>-316633.191304734</v>
      </c>
      <c r="D38" s="66" t="n">
        <f aca="false">IF($A38&gt;D$33,SUMPRODUCT($B$17:$F$17/(1+$A38)^$B$14:$F$14)+$F$17*(1+D$33)/($A38-D$33)/(1+$A38)^$F$14,"n/a")</f>
        <v>-315010.214620096</v>
      </c>
      <c r="E38" s="66" t="n">
        <f aca="false">IF($A38&gt;E$33,SUMPRODUCT($B$17:$F$17/(1+$A38)^$B$14:$F$14)+$F$17*(1+E$33)/($A38-E$33)/(1+$A38)^$F$14,"n/a")</f>
        <v>-313320.993989147</v>
      </c>
      <c r="F38" s="66" t="n">
        <f aca="false">IF($A38&gt;F$33,SUMPRODUCT($B$17:$F$17/(1+$A38)^$B$14:$F$14)+$F$17*(1+F$33)/($A38-F$33)/(1+$A38)^$F$14,"n/a")</f>
        <v>-311561.389165242</v>
      </c>
    </row>
    <row r="40" customFormat="false" ht="15" hidden="false" customHeight="false" outlineLevel="0" collapsed="false">
      <c r="A40" s="38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190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191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192</v>
      </c>
      <c r="B5" s="7"/>
      <c r="C5" s="7"/>
    </row>
    <row r="6" customFormat="false" ht="15" hidden="false" customHeight="false" outlineLevel="0" collapsed="false">
      <c r="B6" s="51" t="s">
        <v>193</v>
      </c>
      <c r="C6" s="51" t="s">
        <v>194</v>
      </c>
    </row>
    <row r="7" customFormat="false" ht="15" hidden="false" customHeight="false" outlineLevel="0" collapsed="false">
      <c r="A7" s="6" t="s">
        <v>195</v>
      </c>
      <c r="B7" s="79" t="n">
        <f aca="false">Inputs!$E$73</f>
        <v>450000</v>
      </c>
      <c r="C7" s="73" t="n">
        <f aca="false">IF($B$9=0,0,B7/$B$9)</f>
        <v>0.642857142857143</v>
      </c>
    </row>
    <row r="8" customFormat="false" ht="15" hidden="false" customHeight="false" outlineLevel="0" collapsed="false">
      <c r="A8" s="6" t="s">
        <v>196</v>
      </c>
      <c r="B8" s="79" t="n">
        <f aca="false">Inputs!$E$74</f>
        <v>250000</v>
      </c>
      <c r="C8" s="73" t="n">
        <f aca="false">IF($B$9=0,0,B8/$B$9)</f>
        <v>0.357142857142857</v>
      </c>
    </row>
    <row r="9" customFormat="false" ht="15" hidden="false" customHeight="false" outlineLevel="0" collapsed="false">
      <c r="A9" s="4" t="s">
        <v>197</v>
      </c>
      <c r="B9" s="80" t="n">
        <f aca="false">B7+B8</f>
        <v>700000</v>
      </c>
      <c r="C9" s="81" t="n">
        <f aca="false">IF(B9=0,0,1)</f>
        <v>1</v>
      </c>
    </row>
    <row r="10" customFormat="false" ht="15" hidden="false" customHeight="false" outlineLevel="0" collapsed="false">
      <c r="A10" s="6" t="s">
        <v>198</v>
      </c>
      <c r="B10" s="77" t="n">
        <f aca="false">IF(B7&lt;=0,IF(B8&gt;0,"n/a",0),B8/B7)</f>
        <v>0.555555555555556</v>
      </c>
      <c r="D10" s="18" t="s">
        <v>199</v>
      </c>
    </row>
    <row r="11" customFormat="false" ht="15" hidden="false" customHeight="false" outlineLevel="0" collapsed="false">
      <c r="A11" s="6" t="s">
        <v>200</v>
      </c>
      <c r="B11" s="79" t="n">
        <f aca="false">'Break-even'!B12</f>
        <v>709907.643708333</v>
      </c>
    </row>
    <row r="12" customFormat="false" ht="15" hidden="false" customHeight="false" outlineLevel="0" collapsed="false">
      <c r="A12" s="69" t="s">
        <v>66</v>
      </c>
      <c r="B12" s="82" t="n">
        <f aca="false">'Break-even'!B17</f>
        <v>-9907.64370833337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201</v>
      </c>
      <c r="B15" s="83" t="n">
        <v>12</v>
      </c>
      <c r="D15" s="18" t="s">
        <v>202</v>
      </c>
    </row>
    <row r="16" customFormat="false" ht="15" hidden="false" customHeight="false" outlineLevel="0" collapsed="false">
      <c r="A16" s="6" t="s">
        <v>203</v>
      </c>
      <c r="B16" s="64" t="n">
        <f aca="false">MIN(60,MAX(1,ROUND(B15,0)))</f>
        <v>12</v>
      </c>
    </row>
    <row r="17" customFormat="false" ht="15" hidden="false" customHeight="false" outlineLevel="0" collapsed="false">
      <c r="A17" s="33" t="s">
        <v>204</v>
      </c>
      <c r="B17" s="51" t="s">
        <v>193</v>
      </c>
      <c r="C17" s="51" t="s">
        <v>194</v>
      </c>
    </row>
    <row r="18" customFormat="false" ht="15" hidden="false" customHeight="false" outlineLevel="0" collapsed="false">
      <c r="A18" s="6" t="s">
        <v>63</v>
      </c>
      <c r="B18" s="60" t="n">
        <f aca="false">SUMPRODUCT(--(Monthly!$C$4:$BJ$4&lt;=$B$16),Monthly!$C$91:$BJ$91)</f>
        <v>450000</v>
      </c>
      <c r="C18" s="73" t="n">
        <f aca="false">IF($B$21=0,0,B18/$B$21)</f>
        <v>0.642857142857143</v>
      </c>
    </row>
    <row r="19" customFormat="false" ht="15" hidden="false" customHeight="false" outlineLevel="0" collapsed="false">
      <c r="A19" s="6" t="s">
        <v>205</v>
      </c>
      <c r="B19" s="60" t="n">
        <f aca="false">SUMPRODUCT(--(Monthly!$C$4:$BJ$4&lt;=$B$16),Monthly!$C$76:$BJ$76)</f>
        <v>250000</v>
      </c>
      <c r="C19" s="73" t="n">
        <f aca="false">IF($B$21=0,0,B19/$B$21)</f>
        <v>0.357142857142857</v>
      </c>
    </row>
    <row r="20" customFormat="false" ht="15" hidden="false" customHeight="false" outlineLevel="0" collapsed="false">
      <c r="A20" s="6" t="s">
        <v>206</v>
      </c>
      <c r="B20" s="60" t="n">
        <f aca="false">MAX(0,SUMPRODUCT(--(Monthly!$C$4:$BJ$4&lt;=$B$16),Monthly!$C$89:$BJ$89))</f>
        <v>0</v>
      </c>
      <c r="C20" s="73" t="n">
        <f aca="false">IF($B$21=0,0,B20/$B$21)</f>
        <v>0</v>
      </c>
    </row>
    <row r="21" customFormat="false" ht="15" hidden="false" customHeight="false" outlineLevel="0" collapsed="false">
      <c r="A21" s="4" t="s">
        <v>207</v>
      </c>
      <c r="B21" s="80" t="n">
        <f aca="false">SUM(B18:B20)</f>
        <v>700000</v>
      </c>
      <c r="C21" s="81" t="n">
        <f aca="false">IF(B21=0,0,1)</f>
        <v>1</v>
      </c>
    </row>
    <row r="23" customFormat="false" ht="15" hidden="false" customHeight="false" outlineLevel="0" collapsed="false">
      <c r="A23" s="33" t="s">
        <v>208</v>
      </c>
      <c r="B23" s="51" t="s">
        <v>193</v>
      </c>
      <c r="C23" s="51" t="s">
        <v>194</v>
      </c>
    </row>
    <row r="24" customFormat="false" ht="15" hidden="false" customHeight="false" outlineLevel="0" collapsed="false">
      <c r="A24" s="6" t="s">
        <v>209</v>
      </c>
      <c r="B24" s="60" t="n">
        <f aca="false">MAX(0,-SUMPRODUCT(--(Monthly!$C$4:$BJ$4&lt;=$B$16),Monthly!$C$89:$BJ$89))</f>
        <v>161309.301388889</v>
      </c>
      <c r="C24" s="73" t="n">
        <f aca="false">IF($B$28=0,0,B24/$B$28)</f>
        <v>0.230441859126984</v>
      </c>
    </row>
    <row r="25" customFormat="false" ht="15" hidden="false" customHeight="false" outlineLevel="0" collapsed="false">
      <c r="A25" s="6" t="s">
        <v>83</v>
      </c>
      <c r="B25" s="60" t="n">
        <f aca="false">-SUMPRODUCT(--(Monthly!$C$4:$BJ$4&lt;=$B$16),Monthly!$C$90:$BJ$90)</f>
        <v>442000</v>
      </c>
      <c r="C25" s="73" t="n">
        <f aca="false">IF($B$28=0,0,B25/$B$28)</f>
        <v>0.631428571428571</v>
      </c>
    </row>
    <row r="26" customFormat="false" ht="15" hidden="false" customHeight="false" outlineLevel="0" collapsed="false">
      <c r="A26" s="6" t="s">
        <v>210</v>
      </c>
      <c r="B26" s="60" t="n">
        <f aca="false">-SUMPRODUCT(--(Monthly!$C$4:$BJ$4&lt;=$B$16),Monthly!$C$77:$BJ$77)</f>
        <v>22916.6666666667</v>
      </c>
      <c r="C26" s="73" t="n">
        <f aca="false">IF($B$28=0,0,B26/$B$28)</f>
        <v>0.0327380952380952</v>
      </c>
    </row>
    <row r="27" customFormat="false" ht="15" hidden="false" customHeight="false" outlineLevel="0" collapsed="false">
      <c r="A27" s="6" t="s">
        <v>211</v>
      </c>
      <c r="B27" s="60" t="n">
        <f aca="false">INDEX(Monthly!$C$95:$BJ$95,$B$16)</f>
        <v>73774.0319444445</v>
      </c>
      <c r="C27" s="73" t="n">
        <f aca="false">IF($B$28=0,0,B27/$B$28)</f>
        <v>0.105391474206349</v>
      </c>
    </row>
    <row r="28" customFormat="false" ht="15" hidden="false" customHeight="false" outlineLevel="0" collapsed="false">
      <c r="A28" s="4" t="s">
        <v>212</v>
      </c>
      <c r="B28" s="80" t="n">
        <f aca="false">SUM(B24:B27)</f>
        <v>700000</v>
      </c>
      <c r="C28" s="81" t="n">
        <f aca="false">IF(B28=0,0,1)</f>
        <v>1</v>
      </c>
    </row>
    <row r="29" customFormat="false" ht="15" hidden="false" customHeight="false" outlineLevel="0" collapsed="false">
      <c r="A29" s="6" t="s">
        <v>213</v>
      </c>
      <c r="B29" s="60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215</v>
      </c>
    </row>
    <row r="4" customFormat="false" ht="15.75" hidden="false" customHeight="true" outlineLevel="0" collapsed="false">
      <c r="A4" s="7" t="s">
        <v>216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1" t="s">
        <v>217</v>
      </c>
    </row>
    <row r="6" customFormat="false" ht="15" hidden="false" customHeight="false" outlineLevel="0" collapsed="false">
      <c r="A6" s="38" t="s">
        <v>218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0.729516009853317</v>
      </c>
      <c r="D6" s="39" t="n">
        <f aca="false">IF(N('P&amp;L'!C5)&lt;=0,"n/a",'P&amp;L'!D5/'P&amp;L'!C5-1)</f>
        <v>0.0292875097641492</v>
      </c>
      <c r="E6" s="39" t="n">
        <f aca="false">IF(N('P&amp;L'!D5)&lt;=0,"n/a",'P&amp;L'!E5/'P&amp;L'!D5-1)</f>
        <v>0.03</v>
      </c>
      <c r="F6" s="39" t="n">
        <f aca="false">IF(N('P&amp;L'!E5)&lt;=0,"n/a",'P&amp;L'!F5/'P&amp;L'!E5-1)</f>
        <v>0.03</v>
      </c>
      <c r="G6" s="84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0.407612047827484</v>
      </c>
      <c r="C7" s="39" t="n">
        <f aca="false">IF('P&amp;L'!C5&lt;=0,"n/a",'P&amp;L'!C7/'P&amp;L'!C5)</f>
        <v>0.500518271463569</v>
      </c>
      <c r="D7" s="39" t="n">
        <f aca="false">IF('P&amp;L'!D5&lt;=0,"n/a",'P&amp;L'!D7/'P&amp;L'!D5)</f>
        <v>0.50017252175691</v>
      </c>
      <c r="E7" s="39" t="n">
        <f aca="false">IF('P&amp;L'!E5&lt;=0,"n/a",'P&amp;L'!E7/'P&amp;L'!E5)</f>
        <v>0.500172521756911</v>
      </c>
      <c r="F7" s="39" t="n">
        <f aca="false">IF('P&amp;L'!F5&lt;=0,"n/a",'P&amp;L'!F7/'P&amp;L'!F5)</f>
        <v>0.50017252175691</v>
      </c>
      <c r="G7" s="84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IF('P&amp;L'!B5&lt;=0,"n/a",'P&amp;L'!B19/'P&amp;L'!B5)</f>
        <v>-0.299854853884457</v>
      </c>
      <c r="C8" s="39" t="n">
        <f aca="false">IF('P&amp;L'!C5&lt;=0,"n/a",'P&amp;L'!C19/'P&amp;L'!C5)</f>
        <v>0.0744704580444091</v>
      </c>
      <c r="D8" s="39" t="n">
        <f aca="false">IF('P&amp;L'!D5&lt;=0,"n/a",'P&amp;L'!D19/'P&amp;L'!D5)</f>
        <v>0.0769616988743731</v>
      </c>
      <c r="E8" s="39" t="n">
        <f aca="false">IF('P&amp;L'!E5&lt;=0,"n/a",'P&amp;L'!E19/'P&amp;L'!E5)</f>
        <v>0.0800023862960268</v>
      </c>
      <c r="F8" s="39" t="n">
        <f aca="false">IF('P&amp;L'!F5&lt;=0,"n/a",'P&amp;L'!F19/'P&amp;L'!F5)</f>
        <v>0.0829545100063701</v>
      </c>
      <c r="G8" s="84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IF('P&amp;L'!B5&lt;=0,"n/a",'P&amp;L'!B26/'P&amp;L'!B5)</f>
        <v>-0.450816873992496</v>
      </c>
      <c r="C9" s="39" t="n">
        <f aca="false">IF('P&amp;L'!C5&lt;=0,"n/a",'P&amp;L'!C26/'P&amp;L'!C5)</f>
        <v>-0.0113094279623422</v>
      </c>
      <c r="D9" s="39" t="n">
        <f aca="false">IF('P&amp;L'!D5&lt;=0,"n/a",'P&amp;L'!D26/'P&amp;L'!D5)</f>
        <v>-0.00490512820962293</v>
      </c>
      <c r="E9" s="39" t="n">
        <f aca="false">IF('P&amp;L'!E5&lt;=0,"n/a",'P&amp;L'!E26/'P&amp;L'!E5)</f>
        <v>0.00194941287978868</v>
      </c>
      <c r="F9" s="39" t="n">
        <f aca="false">IF('P&amp;L'!F5&lt;=0,"n/a",'P&amp;L'!F26/'P&amp;L'!F5)</f>
        <v>0.00856267462748947</v>
      </c>
      <c r="G9" s="84"/>
    </row>
    <row r="10" customFormat="false" ht="15" hidden="false" customHeight="false" outlineLevel="0" collapsed="false">
      <c r="A10" s="38" t="s">
        <v>219</v>
      </c>
      <c r="B10" s="39" t="n">
        <f aca="false">IF('P&amp;L'!B5&lt;=0,"n/a",-SUMIF(Headcount!$C$5:$BJ$5,B$5,Headcount!$C$17:$BJ$17)/'P&amp;L'!B5)</f>
        <v>0.261516161149566</v>
      </c>
      <c r="C10" s="39" t="n">
        <f aca="false">IF('P&amp;L'!C5&lt;=0,"n/a",-SUMIF(Headcount!$C$5:$BJ$5,C$5,Headcount!$C$17:$BJ$17)/'P&amp;L'!C5)</f>
        <v>0.155743944808523</v>
      </c>
      <c r="D10" s="39" t="n">
        <f aca="false">IF('P&amp;L'!D5&lt;=0,"n/a",-SUMIF(Headcount!$C$5:$BJ$5,D$5,Headcount!$C$17:$BJ$17)/'P&amp;L'!D5)</f>
        <v>0.155851753403222</v>
      </c>
      <c r="E10" s="39" t="n">
        <f aca="false">IF('P&amp;L'!E5&lt;=0,"n/a",-SUMIF(Headcount!$C$5:$BJ$5,E$5,Headcount!$C$17:$BJ$17)/'P&amp;L'!E5)</f>
        <v>0.155851753403222</v>
      </c>
      <c r="F10" s="39" t="n">
        <f aca="false">IF('P&amp;L'!F5&lt;=0,"n/a",-SUMIF(Headcount!$C$5:$BJ$5,F$5,Headcount!$C$17:$BJ$17)/'P&amp;L'!F5)</f>
        <v>0.155851753403222</v>
      </c>
      <c r="G10" s="84"/>
    </row>
    <row r="11" customFormat="false" ht="15" hidden="false" customHeight="false" outlineLevel="0" collapsed="false">
      <c r="A11" s="38" t="s">
        <v>220</v>
      </c>
      <c r="B11" s="39" t="n">
        <f aca="false">IF('P&amp;L'!B5&lt;=0,"n/a",-'P&amp;L'!B14/'P&amp;L'!B5)</f>
        <v>0.0714785425882559</v>
      </c>
      <c r="C11" s="39" t="n">
        <f aca="false">IF('P&amp;L'!C5&lt;=0,"n/a",-'P&amp;L'!C14/'P&amp;L'!C5)</f>
        <v>0.0413286388683491</v>
      </c>
      <c r="D11" s="39" t="n">
        <f aca="false">IF('P&amp;L'!D5&lt;=0,"n/a",-'P&amp;L'!D14/'P&amp;L'!D5)</f>
        <v>0.0401526672346575</v>
      </c>
      <c r="E11" s="39" t="n">
        <f aca="false">IF('P&amp;L'!E5&lt;=0,"n/a",-'P&amp;L'!E14/'P&amp;L'!E5)</f>
        <v>0.038983172072483</v>
      </c>
      <c r="F11" s="39" t="n">
        <f aca="false">IF('P&amp;L'!F5&lt;=0,"n/a",-'P&amp;L'!F14/'P&amp;L'!F5)</f>
        <v>0.0378477398761971</v>
      </c>
      <c r="G11" s="84"/>
    </row>
    <row r="12" customFormat="false" ht="15" hidden="false" customHeight="false" outlineLevel="0" collapsed="false">
      <c r="A12" s="38" t="s">
        <v>221</v>
      </c>
      <c r="B12" s="39" t="n">
        <f aca="false">IF('P&amp;L'!B5&lt;=0,"n/a",-'P&amp;L'!B18/'P&amp;L'!B5)</f>
        <v>0.707466901711941</v>
      </c>
      <c r="C12" s="39" t="n">
        <f aca="false">IF('P&amp;L'!C5&lt;=0,"n/a",-'P&amp;L'!C18/'P&amp;L'!C5)</f>
        <v>0.42604781341916</v>
      </c>
      <c r="D12" s="39" t="n">
        <f aca="false">IF('P&amp;L'!D5&lt;=0,"n/a",-'P&amp;L'!D18/'P&amp;L'!D5)</f>
        <v>0.423210822882537</v>
      </c>
      <c r="E12" s="39" t="n">
        <f aca="false">IF('P&amp;L'!E5&lt;=0,"n/a",-'P&amp;L'!E18/'P&amp;L'!E5)</f>
        <v>0.420170135460884</v>
      </c>
      <c r="F12" s="39" t="n">
        <f aca="false">IF('P&amp;L'!F5&lt;=0,"n/a",-'P&amp;L'!F18/'P&amp;L'!F5)</f>
        <v>0.41721801175054</v>
      </c>
      <c r="G12" s="84"/>
    </row>
    <row r="13" customFormat="false" ht="15" hidden="false" customHeight="false" outlineLevel="0" collapsed="false">
      <c r="A13" s="6" t="s">
        <v>222</v>
      </c>
      <c r="B13" s="85" t="n">
        <f aca="false">IF(('Balance Sheet'!B12-'Balance Sheet'!B11)&lt;=0,"n/a",('Balance Sheet'!B5+'Balance Sheet'!B6+'Balance Sheet'!B7)/('Balance Sheet'!B12-'Balance Sheet'!B11))</f>
        <v>9.48145399565074</v>
      </c>
      <c r="C13" s="85" t="n">
        <f aca="false">IF(('Balance Sheet'!C12-'Balance Sheet'!C11)&lt;=0,"n/a",('Balance Sheet'!C5+'Balance Sheet'!C6+'Balance Sheet'!C7)/('Balance Sheet'!C12-'Balance Sheet'!C11))</f>
        <v>9.39133884273633</v>
      </c>
      <c r="D13" s="85" t="n">
        <f aca="false">IF(('Balance Sheet'!D12-'Balance Sheet'!D11)&lt;=0,"n/a",('Balance Sheet'!D5+'Balance Sheet'!D6+'Balance Sheet'!D7)/('Balance Sheet'!D12-'Balance Sheet'!D11))</f>
        <v>9.87738985109162</v>
      </c>
      <c r="E13" s="85" t="n">
        <f aca="false">IF(('Balance Sheet'!E12-'Balance Sheet'!E11)&lt;=0,"n/a",('Balance Sheet'!E5+'Balance Sheet'!E6+'Balance Sheet'!E7)/('Balance Sheet'!E12-'Balance Sheet'!E11))</f>
        <v>10.8440448838408</v>
      </c>
      <c r="F13" s="85" t="n">
        <f aca="false">IF(('Balance Sheet'!F12-'Balance Sheet'!F11)&lt;=0,"n/a",('Balance Sheet'!F5+'Balance Sheet'!F6+'Balance Sheet'!F7)/('Balance Sheet'!F12-'Balance Sheet'!F11))</f>
        <v>12.2579389319579</v>
      </c>
      <c r="G13" s="86"/>
    </row>
    <row r="14" customFormat="false" ht="15" hidden="false" customHeight="false" outlineLevel="0" collapsed="false">
      <c r="A14" s="6" t="s">
        <v>223</v>
      </c>
      <c r="B14" s="85" t="n">
        <f aca="false">IF('Balance Sheet'!B15&lt;=0,"n/a",'Balance Sheet'!B11/'Balance Sheet'!B15)</f>
        <v>0.87075408094278</v>
      </c>
      <c r="C14" s="85" t="n">
        <f aca="false">IF('Balance Sheet'!C15&lt;=0,"n/a",'Balance Sheet'!C11/'Balance Sheet'!C15)</f>
        <v>0.800076873277575</v>
      </c>
      <c r="D14" s="85" t="n">
        <f aca="false">IF('Balance Sheet'!D15&lt;=0,"n/a",'Balance Sheet'!D11/'Balance Sheet'!D15)</f>
        <v>0.711420793434436</v>
      </c>
      <c r="E14" s="85" t="n">
        <f aca="false">IF('Balance Sheet'!E15&lt;=0,"n/a",'Balance Sheet'!E11/'Balance Sheet'!E15)</f>
        <v>0.607324608503014</v>
      </c>
      <c r="F14" s="85" t="n">
        <f aca="false">IF('Balance Sheet'!F15&lt;=0,"n/a",'Balance Sheet'!F11/'Balance Sheet'!F15)</f>
        <v>0.494098485359006</v>
      </c>
      <c r="G14" s="86"/>
    </row>
    <row r="15" customFormat="false" ht="15" hidden="false" customHeight="false" outlineLevel="0" collapsed="false">
      <c r="A15" s="38" t="s">
        <v>224</v>
      </c>
      <c r="B15" s="39" t="n">
        <f aca="false">IF('Balance Sheet'!B9&lt;=0,"n/a",'P&amp;L'!B26/'Balance Sheet'!B9)</f>
        <v>-0.379565771609904</v>
      </c>
      <c r="C15" s="39" t="n">
        <f aca="false">IF('Balance Sheet'!C9&lt;=0,"n/a",'P&amp;L'!C26/'Balance Sheet'!C9)</f>
        <v>-0.0176264828989113</v>
      </c>
      <c r="D15" s="39" t="n">
        <f aca="false">IF('Balance Sheet'!D9&lt;=0,"n/a",'P&amp;L'!D26/'Balance Sheet'!D9)</f>
        <v>-0.00837855850146443</v>
      </c>
      <c r="E15" s="39" t="n">
        <f aca="false">IF('Balance Sheet'!E9&lt;=0,"n/a",'P&amp;L'!E26/'Balance Sheet'!E9)</f>
        <v>0.00362145915465485</v>
      </c>
      <c r="F15" s="39" t="n">
        <f aca="false">IF('Balance Sheet'!F9&lt;=0,"n/a",'P&amp;L'!F26/'Balance Sheet'!F9)</f>
        <v>0.0171224692913574</v>
      </c>
      <c r="G15" s="84"/>
    </row>
    <row r="16" customFormat="false" ht="15" hidden="false" customHeight="false" outlineLevel="0" collapsed="false">
      <c r="A16" s="38" t="s">
        <v>225</v>
      </c>
      <c r="B16" s="39" t="n">
        <f aca="false">IF('Balance Sheet'!B15&lt;=0,"n/a",'P&amp;L'!B26/'Balance Sheet'!B15)</f>
        <v>-0.725531022785693</v>
      </c>
      <c r="C16" s="39" t="n">
        <f aca="false">IF('Balance Sheet'!C15&lt;=0,"n/a",'P&amp;L'!C26/'Balance Sheet'!C15)</f>
        <v>-0.0325021440787231</v>
      </c>
      <c r="D16" s="39" t="n">
        <f aca="false">IF('Balance Sheet'!D15&lt;=0,"n/a",'P&amp;L'!D26/'Balance Sheet'!D15)</f>
        <v>-0.0147233313078545</v>
      </c>
      <c r="E16" s="39" t="n">
        <f aca="false">IF('Balance Sheet'!E15&lt;=0,"n/a",'P&amp;L'!E26/'Balance Sheet'!E15)</f>
        <v>0.00599083236121498</v>
      </c>
      <c r="F16" s="39" t="n">
        <f aca="false">IF('Balance Sheet'!F15&lt;=0,"n/a",'P&amp;L'!F26/'Balance Sheet'!F15)</f>
        <v>0.0263885587407252</v>
      </c>
      <c r="G16" s="84"/>
    </row>
    <row r="18" customFormat="false" ht="15.75" hidden="false" customHeight="true" outlineLevel="0" collapsed="false">
      <c r="A18" s="7" t="s">
        <v>226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0" t="s">
        <v>51</v>
      </c>
      <c r="B20" s="39" t="n">
        <f aca="false">IF('P&amp;L'!B5&lt;=0,"n/a",'P&amp;L'!B26/'P&amp;L'!B5)</f>
        <v>-0.450816873992496</v>
      </c>
      <c r="C20" s="39" t="n">
        <f aca="false">IF('P&amp;L'!C5&lt;=0,"n/a",'P&amp;L'!C26/'P&amp;L'!C5)</f>
        <v>-0.0113094279623422</v>
      </c>
      <c r="D20" s="39" t="n">
        <f aca="false">IF('P&amp;L'!D5&lt;=0,"n/a",'P&amp;L'!D26/'P&amp;L'!D5)</f>
        <v>-0.00490512820962293</v>
      </c>
      <c r="E20" s="39" t="n">
        <f aca="false">IF('P&amp;L'!E5&lt;=0,"n/a",'P&amp;L'!E26/'P&amp;L'!E5)</f>
        <v>0.00194941287978868</v>
      </c>
      <c r="F20" s="39" t="n">
        <f aca="false">IF('P&amp;L'!F5&lt;=0,"n/a",'P&amp;L'!F26/'P&amp;L'!F5)</f>
        <v>0.00856267462748947</v>
      </c>
    </row>
    <row r="21" customFormat="false" ht="15" hidden="false" customHeight="false" outlineLevel="0" collapsed="false">
      <c r="A21" s="50" t="s">
        <v>227</v>
      </c>
      <c r="B21" s="85" t="n">
        <f aca="false">IF('Balance Sheet'!B9&lt;=0,"n/a",'P&amp;L'!B5/'Balance Sheet'!B9)</f>
        <v>0.841951119194847</v>
      </c>
      <c r="C21" s="85" t="n">
        <f aca="false">IF('Balance Sheet'!C9&lt;=0,"n/a",'P&amp;L'!C5/'Balance Sheet'!C9)</f>
        <v>1.55856538081355</v>
      </c>
      <c r="D21" s="85" t="n">
        <f aca="false">IF('Balance Sheet'!D9&lt;=0,"n/a",'P&amp;L'!D5/'Balance Sheet'!D9)</f>
        <v>1.70812222298844</v>
      </c>
      <c r="E21" s="85" t="n">
        <f aca="false">IF('Balance Sheet'!E9&lt;=0,"n/a",'P&amp;L'!E5/'Balance Sheet'!E9)</f>
        <v>1.85771787608555</v>
      </c>
      <c r="F21" s="85" t="n">
        <f aca="false">IF('Balance Sheet'!F9&lt;=0,"n/a",'P&amp;L'!F5/'Balance Sheet'!F9)</f>
        <v>1.99966366074307</v>
      </c>
    </row>
    <row r="22" customFormat="false" ht="15" hidden="false" customHeight="false" outlineLevel="0" collapsed="false">
      <c r="A22" s="50" t="s">
        <v>228</v>
      </c>
      <c r="B22" s="85" t="n">
        <f aca="false">IF('Balance Sheet'!B15&lt;=0,"n/a",'Balance Sheet'!B9/'Balance Sheet'!B15)</f>
        <v>1.91147642135485</v>
      </c>
      <c r="C22" s="85" t="n">
        <f aca="false">IF('Balance Sheet'!C15&lt;=0,"n/a",'Balance Sheet'!C9/'Balance Sheet'!C15)</f>
        <v>1.84393813928305</v>
      </c>
      <c r="D22" s="85" t="n">
        <f aca="false">IF('Balance Sheet'!D15&lt;=0,"n/a",'Balance Sheet'!D9/'Balance Sheet'!D15)</f>
        <v>1.75726305488959</v>
      </c>
      <c r="E22" s="85" t="n">
        <f aca="false">IF('Balance Sheet'!E15&lt;=0,"n/a",'Balance Sheet'!E9/'Balance Sheet'!E15)</f>
        <v>1.65425926549928</v>
      </c>
      <c r="F22" s="85" t="n">
        <f aca="false">IF('Balance Sheet'!F15&lt;=0,"n/a",'Balance Sheet'!F9/'Balance Sheet'!F15)</f>
        <v>1.54116548797345</v>
      </c>
    </row>
    <row r="23" customFormat="false" ht="15" hidden="false" customHeight="false" outlineLevel="0" collapsed="false">
      <c r="A23" s="40" t="s">
        <v>229</v>
      </c>
      <c r="B23" s="87" t="n">
        <f aca="false">IF(AND(ISNUMBER(B20),ISNUMBER(B21),ISNUMBER(B22)),B20*B21*B22,"n/a")</f>
        <v>-0.725531022785693</v>
      </c>
      <c r="C23" s="87" t="n">
        <f aca="false">IF(AND(ISNUMBER(C20),ISNUMBER(C21),ISNUMBER(C22)),C20*C21*C22,"n/a")</f>
        <v>-0.0325021440787231</v>
      </c>
      <c r="D23" s="87" t="n">
        <f aca="false">IF(AND(ISNUMBER(D20),ISNUMBER(D21),ISNUMBER(D22)),D20*D21*D22,"n/a")</f>
        <v>-0.0147233313078545</v>
      </c>
      <c r="E23" s="87" t="n">
        <f aca="false">IF(AND(ISNUMBER(E20),ISNUMBER(E21),ISNUMBER(E22)),E20*E21*E22,"n/a")</f>
        <v>0.00599083236121498</v>
      </c>
      <c r="F23" s="87" t="n">
        <f aca="false">IF(AND(ISNUMBER(F20),ISNUMBER(F21),ISNUMBER(F22)),F20*F21*F22,"n/a")</f>
        <v>0.0263885587407252</v>
      </c>
    </row>
    <row r="24" customFormat="false" ht="15" hidden="false" customHeight="false" outlineLevel="0" collapsed="false">
      <c r="A24" s="21" t="s">
        <v>230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231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1" t="s">
        <v>153</v>
      </c>
      <c r="B27" s="71" t="n">
        <v>1</v>
      </c>
      <c r="C27" s="71" t="n">
        <v>2</v>
      </c>
      <c r="D27" s="71" t="n">
        <v>3</v>
      </c>
      <c r="E27" s="71" t="n">
        <v>4</v>
      </c>
      <c r="F27" s="71" t="n">
        <v>5</v>
      </c>
    </row>
    <row r="28" customFormat="false" ht="15" hidden="false" customHeight="false" outlineLevel="0" collapsed="false">
      <c r="A28" s="33"/>
      <c r="B28" s="51" t="s">
        <v>154</v>
      </c>
      <c r="C28" s="51" t="s">
        <v>155</v>
      </c>
      <c r="D28" s="51" t="s">
        <v>156</v>
      </c>
      <c r="E28" s="51" t="s">
        <v>157</v>
      </c>
      <c r="F28" s="51" t="s">
        <v>158</v>
      </c>
      <c r="G28" s="51" t="s">
        <v>217</v>
      </c>
    </row>
    <row r="29" customFormat="false" ht="15" hidden="false" customHeight="false" outlineLevel="0" collapsed="false">
      <c r="A29" s="4" t="s">
        <v>232</v>
      </c>
      <c r="B29" s="88" t="n">
        <f aca="false">INDEX(Monthly!$C$8:$BJ$8,B$27*12)</f>
        <v>60</v>
      </c>
      <c r="C29" s="88" t="n">
        <f aca="false">INDEX(Monthly!$C$8:$BJ$8,C$27*12)</f>
        <v>60</v>
      </c>
      <c r="D29" s="88" t="n">
        <f aca="false">INDEX(Monthly!$C$8:$BJ$8,D$27*12)</f>
        <v>60</v>
      </c>
      <c r="E29" s="88" t="n">
        <f aca="false">INDEX(Monthly!$C$8:$BJ$8,E$27*12)</f>
        <v>60</v>
      </c>
      <c r="F29" s="88" t="n">
        <f aca="false">INDEX(Monthly!$C$8:$BJ$8,F$27*12)</f>
        <v>60</v>
      </c>
      <c r="G29" s="89"/>
    </row>
    <row r="30" customFormat="false" ht="15" hidden="false" customHeight="false" outlineLevel="0" collapsed="false">
      <c r="A30" s="4" t="s">
        <v>58</v>
      </c>
      <c r="B30" s="88" t="n">
        <f aca="false">INDEX(Monthly!$C$18:$BJ$18,B$27*12)</f>
        <v>47.75</v>
      </c>
      <c r="C30" s="88" t="n">
        <f aca="false">INDEX(Monthly!$C$18:$BJ$18,C$27*12)</f>
        <v>51</v>
      </c>
      <c r="D30" s="88" t="n">
        <f aca="false">INDEX(Monthly!$C$18:$BJ$18,D$27*12)</f>
        <v>51</v>
      </c>
      <c r="E30" s="88" t="n">
        <f aca="false">INDEX(Monthly!$C$18:$BJ$18,E$27*12)</f>
        <v>51</v>
      </c>
      <c r="F30" s="88" t="n">
        <f aca="false">INDEX(Monthly!$C$18:$BJ$18,F$27*12)</f>
        <v>51</v>
      </c>
      <c r="G30" s="89"/>
    </row>
    <row r="31" customFormat="false" ht="15" hidden="false" customHeight="false" outlineLevel="0" collapsed="false">
      <c r="A31" s="6" t="s">
        <v>233</v>
      </c>
      <c r="B31" s="90" t="n">
        <f aca="false">SUMIF(Monthly!$C$5:$BJ$5,B$27,Monthly!$C$17:$BJ$17)</f>
        <v>720</v>
      </c>
      <c r="C31" s="90" t="n">
        <f aca="false">SUMIF(Monthly!$C$5:$BJ$5,C$27,Monthly!$C$17:$BJ$17)</f>
        <v>720</v>
      </c>
      <c r="D31" s="90" t="n">
        <f aca="false">SUMIF(Monthly!$C$5:$BJ$5,D$27,Monthly!$C$17:$BJ$17)</f>
        <v>720</v>
      </c>
      <c r="E31" s="90" t="n">
        <f aca="false">SUMIF(Monthly!$C$5:$BJ$5,E$27,Monthly!$C$17:$BJ$17)</f>
        <v>720</v>
      </c>
      <c r="F31" s="90" t="n">
        <f aca="false">SUMIF(Monthly!$C$5:$BJ$5,F$27,Monthly!$C$17:$BJ$17)</f>
        <v>720</v>
      </c>
      <c r="G31" s="89"/>
    </row>
    <row r="32" customFormat="false" ht="15" hidden="false" customHeight="false" outlineLevel="0" collapsed="false">
      <c r="A32" s="6" t="s">
        <v>234</v>
      </c>
      <c r="B32" s="90" t="n">
        <f aca="false">SUMIF(Monthly!$C$5:$BJ$5,B$27,Monthly!$C$16:$BJ$16)</f>
        <v>358.5</v>
      </c>
      <c r="C32" s="90" t="n">
        <f aca="false">SUMIF(Monthly!$C$5:$BJ$5,C$27,Monthly!$C$16:$BJ$16)</f>
        <v>612</v>
      </c>
      <c r="D32" s="90" t="n">
        <f aca="false">SUMIF(Monthly!$C$5:$BJ$5,D$27,Monthly!$C$16:$BJ$16)</f>
        <v>612</v>
      </c>
      <c r="E32" s="90" t="n">
        <f aca="false">SUMIF(Monthly!$C$5:$BJ$5,E$27,Monthly!$C$16:$BJ$16)</f>
        <v>612</v>
      </c>
      <c r="F32" s="90" t="n">
        <f aca="false">SUMIF(Monthly!$C$5:$BJ$5,F$27,Monthly!$C$16:$BJ$16)</f>
        <v>612</v>
      </c>
      <c r="G32" s="89"/>
    </row>
    <row r="33" customFormat="false" ht="15" hidden="false" customHeight="false" outlineLevel="0" collapsed="false">
      <c r="A33" s="38" t="s">
        <v>235</v>
      </c>
      <c r="B33" s="91" t="n">
        <f aca="false">IF(B31=0,0,B32/B31)</f>
        <v>0.497916666666667</v>
      </c>
      <c r="C33" s="91" t="n">
        <f aca="false">IF(C31=0,0,C32/C31)</f>
        <v>0.85</v>
      </c>
      <c r="D33" s="91" t="n">
        <f aca="false">IF(D31=0,0,D32/D31)</f>
        <v>0.85</v>
      </c>
      <c r="E33" s="91" t="n">
        <f aca="false">IF(E31=0,0,E32/E31)</f>
        <v>0.85</v>
      </c>
      <c r="F33" s="91" t="n">
        <f aca="false">IF(F31=0,0,F32/F31)</f>
        <v>0.85</v>
      </c>
      <c r="G33" s="92"/>
    </row>
    <row r="34" customFormat="false" ht="15" hidden="false" customHeight="false" outlineLevel="0" collapsed="false">
      <c r="A34" s="6" t="s">
        <v>236</v>
      </c>
      <c r="B34" s="90" t="n">
        <f aca="false">SUMIF(Monthly!$C$5:$BJ$5,B$27,Monthly!$C$19:$BJ$19)</f>
        <v>56.7125</v>
      </c>
      <c r="C34" s="90" t="n">
        <f aca="false">SUMIF(Monthly!$C$5:$BJ$5,C$27,Monthly!$C$19:$BJ$19)</f>
        <v>18.55</v>
      </c>
      <c r="D34" s="90" t="n">
        <f aca="false">SUMIF(Monthly!$C$5:$BJ$5,D$27,Monthly!$C$19:$BJ$19)</f>
        <v>15.3</v>
      </c>
      <c r="E34" s="90" t="n">
        <f aca="false">SUMIF(Monthly!$C$5:$BJ$5,E$27,Monthly!$C$19:$BJ$19)</f>
        <v>15.3</v>
      </c>
      <c r="F34" s="90" t="n">
        <f aca="false">SUMIF(Monthly!$C$5:$BJ$5,F$27,Monthly!$C$19:$BJ$19)</f>
        <v>15.3</v>
      </c>
      <c r="G34" s="89"/>
    </row>
    <row r="35" customFormat="false" ht="15" hidden="false" customHeight="false" outlineLevel="0" collapsed="false">
      <c r="A35" s="6" t="s">
        <v>237</v>
      </c>
      <c r="B35" s="90" t="n">
        <f aca="false">INDEX(Monthly!$C$24:$BJ$24,B$27*12)</f>
        <v>6</v>
      </c>
      <c r="C35" s="90" t="n">
        <f aca="false">INDEX(Monthly!$C$24:$BJ$24,C$27*12)</f>
        <v>6</v>
      </c>
      <c r="D35" s="90" t="n">
        <f aca="false">INDEX(Monthly!$C$24:$BJ$24,D$27*12)</f>
        <v>6</v>
      </c>
      <c r="E35" s="90" t="n">
        <f aca="false">INDEX(Monthly!$C$24:$BJ$24,E$27*12)</f>
        <v>6</v>
      </c>
      <c r="F35" s="90" t="n">
        <f aca="false">INDEX(Monthly!$C$24:$BJ$24,F$27*12)</f>
        <v>6</v>
      </c>
      <c r="G35" s="89"/>
    </row>
    <row r="36" customFormat="false" ht="15" hidden="false" customHeight="false" outlineLevel="0" collapsed="false">
      <c r="A36" s="4" t="s">
        <v>44</v>
      </c>
      <c r="B36" s="93" t="n">
        <f aca="false">SUMIF(Monthly!$C$5:$BJ$5,B$27,Monthly!$C$32:$BJ$32)</f>
        <v>419706.375</v>
      </c>
      <c r="C36" s="93" t="n">
        <f aca="false">SUMIF(Monthly!$C$5:$BJ$5,C$27,Monthly!$C$32:$BJ$32)</f>
        <v>725888.895</v>
      </c>
      <c r="D36" s="93" t="n">
        <f aca="false">SUMIF(Monthly!$C$5:$BJ$5,D$27,Monthly!$C$32:$BJ$32)</f>
        <v>747148.3731</v>
      </c>
      <c r="E36" s="93" t="n">
        <f aca="false">SUMIF(Monthly!$C$5:$BJ$5,E$27,Monthly!$C$32:$BJ$32)</f>
        <v>769562.824293</v>
      </c>
      <c r="F36" s="93" t="n">
        <f aca="false">SUMIF(Monthly!$C$5:$BJ$5,F$27,Monthly!$C$32:$BJ$32)</f>
        <v>792649.70902179</v>
      </c>
      <c r="G36" s="94"/>
    </row>
    <row r="37" customFormat="false" ht="15" hidden="false" customHeight="false" outlineLevel="0" collapsed="false">
      <c r="A37" s="6" t="s">
        <v>238</v>
      </c>
      <c r="B37" s="35" t="n">
        <f aca="false">SUMIF(Monthly!$C$5:$BJ$5,B$27,Monthly!$C$29:$BJ$29)</f>
        <v>316734.75</v>
      </c>
      <c r="C37" s="35" t="n">
        <f aca="false">SUMIF(Monthly!$C$5:$BJ$5,C$27,Monthly!$C$29:$BJ$29)</f>
        <v>556923.06</v>
      </c>
      <c r="D37" s="35" t="n">
        <f aca="false">SUMIF(Monthly!$C$5:$BJ$5,D$27,Monthly!$C$29:$BJ$29)</f>
        <v>573630.7518</v>
      </c>
      <c r="E37" s="35" t="n">
        <f aca="false">SUMIF(Monthly!$C$5:$BJ$5,E$27,Monthly!$C$29:$BJ$29)</f>
        <v>590839.674354</v>
      </c>
      <c r="F37" s="35" t="n">
        <f aca="false">SUMIF(Monthly!$C$5:$BJ$5,F$27,Monthly!$C$29:$BJ$29)</f>
        <v>608564.86458462</v>
      </c>
      <c r="G37" s="94"/>
    </row>
    <row r="38" customFormat="false" ht="15" hidden="false" customHeight="false" outlineLevel="0" collapsed="false">
      <c r="A38" s="6" t="s">
        <v>239</v>
      </c>
      <c r="B38" s="35" t="n">
        <f aca="false">SUMIF(Monthly!$C$5:$BJ$5,B$27,Monthly!$C$30:$BJ$30)</f>
        <v>94464.75</v>
      </c>
      <c r="C38" s="35" t="n">
        <f aca="false">SUMIF(Monthly!$C$5:$BJ$5,C$27,Monthly!$C$30:$BJ$30)</f>
        <v>166099.86</v>
      </c>
      <c r="D38" s="35" t="n">
        <f aca="false">SUMIF(Monthly!$C$5:$BJ$5,D$27,Monthly!$C$30:$BJ$30)</f>
        <v>171082.8558</v>
      </c>
      <c r="E38" s="35" t="n">
        <f aca="false">SUMIF(Monthly!$C$5:$BJ$5,E$27,Monthly!$C$30:$BJ$30)</f>
        <v>176215.341474</v>
      </c>
      <c r="F38" s="35" t="n">
        <f aca="false">SUMIF(Monthly!$C$5:$BJ$5,F$27,Monthly!$C$30:$BJ$30)</f>
        <v>181501.80171822</v>
      </c>
      <c r="G38" s="94"/>
    </row>
    <row r="39" customFormat="false" ht="15" hidden="false" customHeight="false" outlineLevel="0" collapsed="false">
      <c r="A39" s="38" t="s">
        <v>240</v>
      </c>
      <c r="B39" s="91" t="n">
        <f aca="false">IF(B37+B38=0,0,B38/(B37+B38))</f>
        <v>0.22972972972973</v>
      </c>
      <c r="C39" s="91" t="n">
        <f aca="false">IF(C37+C38=0,0,C38/(C37+C38))</f>
        <v>0.22972972972973</v>
      </c>
      <c r="D39" s="91" t="n">
        <f aca="false">IF(D37+D38=0,0,D38/(D37+D38))</f>
        <v>0.22972972972973</v>
      </c>
      <c r="E39" s="91" t="n">
        <f aca="false">IF(E37+E38=0,0,E38/(E37+E38))</f>
        <v>0.22972972972973</v>
      </c>
      <c r="F39" s="91" t="n">
        <f aca="false">IF(F37+F38=0,0,F38/(F37+F38))</f>
        <v>0.22972972972973</v>
      </c>
      <c r="G39" s="92"/>
    </row>
    <row r="40" customFormat="false" ht="15" hidden="false" customHeight="false" outlineLevel="0" collapsed="false">
      <c r="A40" s="6" t="s">
        <v>241</v>
      </c>
      <c r="B40" s="35" t="n">
        <f aca="false">SUMIF(Monthly!$C$5:$BJ$5,B$27,Monthly!$C$31:$BJ$31)</f>
        <v>8506.875</v>
      </c>
      <c r="C40" s="35" t="n">
        <f aca="false">SUMIF(Monthly!$C$5:$BJ$5,C$27,Monthly!$C$31:$BJ$31)</f>
        <v>2865.975</v>
      </c>
      <c r="D40" s="35" t="n">
        <f aca="false">SUMIF(Monthly!$C$5:$BJ$5,D$27,Monthly!$C$31:$BJ$31)</f>
        <v>2434.7655</v>
      </c>
      <c r="E40" s="35" t="n">
        <f aca="false">SUMIF(Monthly!$C$5:$BJ$5,E$27,Monthly!$C$31:$BJ$31)</f>
        <v>2507.808465</v>
      </c>
      <c r="F40" s="35" t="n">
        <f aca="false">SUMIF(Monthly!$C$5:$BJ$5,F$27,Monthly!$C$31:$BJ$31)</f>
        <v>2583.04271895</v>
      </c>
      <c r="G40" s="94"/>
    </row>
    <row r="41" customFormat="false" ht="15" hidden="false" customHeight="false" outlineLevel="0" collapsed="false">
      <c r="A41" s="6" t="s">
        <v>242</v>
      </c>
      <c r="B41" s="95" t="n">
        <f aca="false">IF(B32=0,0,(B37+B38)/B32)</f>
        <v>1147</v>
      </c>
      <c r="C41" s="95" t="n">
        <f aca="false">IF(C32=0,0,(C37+C38)/C32)</f>
        <v>1181.41</v>
      </c>
      <c r="D41" s="95" t="n">
        <f aca="false">IF(D32=0,0,(D37+D38)/D32)</f>
        <v>1216.8523</v>
      </c>
      <c r="E41" s="95" t="n">
        <f aca="false">IF(E32=0,0,(E37+E38)/E32)</f>
        <v>1253.357869</v>
      </c>
      <c r="F41" s="95" t="n">
        <f aca="false">IF(F32=0,0,(F37+F38)/F32)</f>
        <v>1290.95860507</v>
      </c>
      <c r="G41" s="96"/>
    </row>
    <row r="42" customFormat="false" ht="15" hidden="false" customHeight="false" outlineLevel="0" collapsed="false">
      <c r="A42" s="6" t="s">
        <v>243</v>
      </c>
      <c r="B42" s="35" t="n">
        <f aca="false">SUMIF(Monthly!$C$5:$BJ$5,B$27,Monthly!$C$35:$BJ$35)</f>
        <v>-207760</v>
      </c>
      <c r="C42" s="35" t="n">
        <f aca="false">SUMIF(Monthly!$C$5:$BJ$5,C$27,Monthly!$C$35:$BJ$35)</f>
        <v>-290707.2</v>
      </c>
      <c r="D42" s="35" t="n">
        <f aca="false">SUMIF(Monthly!$C$5:$BJ$5,D$27,Monthly!$C$35:$BJ$35)</f>
        <v>-299428.416</v>
      </c>
      <c r="E42" s="35" t="n">
        <f aca="false">SUMIF(Monthly!$C$5:$BJ$5,E$27,Monthly!$C$35:$BJ$35)</f>
        <v>-308411.26848</v>
      </c>
      <c r="F42" s="35" t="n">
        <f aca="false">SUMIF(Monthly!$C$5:$BJ$5,F$27,Monthly!$C$35:$BJ$35)</f>
        <v>-317663.6065344</v>
      </c>
      <c r="G42" s="94"/>
    </row>
    <row r="43" customFormat="false" ht="15" hidden="false" customHeight="false" outlineLevel="0" collapsed="false">
      <c r="A43" s="38" t="s">
        <v>60</v>
      </c>
      <c r="B43" s="91" t="n">
        <f aca="false">IF(B36=0,0,-B42/B36)</f>
        <v>0.495012733604535</v>
      </c>
      <c r="C43" s="91" t="n">
        <f aca="false">IF(C36=0,0,-C42/C36)</f>
        <v>0.400484429507631</v>
      </c>
      <c r="D43" s="91" t="n">
        <f aca="false">IF(D36=0,0,-D42/D36)</f>
        <v>0.400761651608286</v>
      </c>
      <c r="E43" s="91" t="n">
        <f aca="false">IF(E36=0,0,-E42/E36)</f>
        <v>0.400761651608286</v>
      </c>
      <c r="F43" s="91" t="n">
        <f aca="false">IF(F36=0,0,-F42/F36)</f>
        <v>0.400761651608286</v>
      </c>
      <c r="G43" s="92"/>
    </row>
    <row r="44" customFormat="false" ht="15" hidden="false" customHeight="false" outlineLevel="0" collapsed="false">
      <c r="A44" s="6" t="s">
        <v>45</v>
      </c>
      <c r="B44" s="35" t="n">
        <f aca="false">SUMIF(Monthly!$C$5:$BJ$5,B$27,Monthly!$C$39:$BJ$39)</f>
        <v>171077.375</v>
      </c>
      <c r="C44" s="35" t="n">
        <f aca="false">SUMIF(Monthly!$C$5:$BJ$5,C$27,Monthly!$C$39:$BJ$39)</f>
        <v>363320.655</v>
      </c>
      <c r="D44" s="35" t="n">
        <f aca="false">SUMIF(Monthly!$C$5:$BJ$5,D$27,Monthly!$C$39:$BJ$39)</f>
        <v>373703.0859</v>
      </c>
      <c r="E44" s="35" t="n">
        <f aca="false">SUMIF(Monthly!$C$5:$BJ$5,E$27,Monthly!$C$39:$BJ$39)</f>
        <v>384914.178477</v>
      </c>
      <c r="F44" s="35" t="n">
        <f aca="false">SUMIF(Monthly!$C$5:$BJ$5,F$27,Monthly!$C$39:$BJ$39)</f>
        <v>396461.60383131</v>
      </c>
      <c r="G44" s="94"/>
    </row>
    <row r="45" customFormat="false" ht="15" hidden="false" customHeight="false" outlineLevel="0" collapsed="false">
      <c r="A45" s="38" t="s">
        <v>46</v>
      </c>
      <c r="B45" s="91" t="n">
        <f aca="false">IF(B36=0,0,B44/B36)</f>
        <v>0.407612047827484</v>
      </c>
      <c r="C45" s="91" t="n">
        <f aca="false">IF(C36=0,0,C44/C36)</f>
        <v>0.500518271463569</v>
      </c>
      <c r="D45" s="91" t="n">
        <f aca="false">IF(D36=0,0,D44/D36)</f>
        <v>0.50017252175691</v>
      </c>
      <c r="E45" s="91" t="n">
        <f aca="false">IF(E36=0,0,E44/E36)</f>
        <v>0.500172521756911</v>
      </c>
      <c r="F45" s="91" t="n">
        <f aca="false">IF(F36=0,0,F44/F36)</f>
        <v>0.50017252175691</v>
      </c>
      <c r="G45" s="92"/>
    </row>
    <row r="46" customFormat="false" ht="15" hidden="false" customHeight="false" outlineLevel="0" collapsed="false">
      <c r="A46" s="6" t="s">
        <v>48</v>
      </c>
      <c r="B46" s="35" t="n">
        <f aca="false">SUMIF(Monthly!$C$5:$BJ$5,B$27,Monthly!$C$52:$BJ$52)</f>
        <v>-125850.99375</v>
      </c>
      <c r="C46" s="35" t="n">
        <f aca="false">SUMIF(Monthly!$C$5:$BJ$5,C$27,Monthly!$C$52:$BJ$52)</f>
        <v>54057.2784999999</v>
      </c>
      <c r="D46" s="35" t="n">
        <f aca="false">SUMIF(Monthly!$C$5:$BJ$5,D$27,Monthly!$C$52:$BJ$52)</f>
        <v>57501.808105</v>
      </c>
      <c r="E46" s="35" t="n">
        <f aca="false">SUMIF(Monthly!$C$5:$BJ$5,E$27,Monthly!$C$52:$BJ$52)</f>
        <v>61566.86234815</v>
      </c>
      <c r="F46" s="35" t="n">
        <f aca="false">SUMIF(Monthly!$C$5:$BJ$5,F$27,Monthly!$C$52:$BJ$52)</f>
        <v>65753.8682185944</v>
      </c>
      <c r="G46" s="94"/>
    </row>
    <row r="47" customFormat="false" ht="15" hidden="false" customHeight="false" outlineLevel="0" collapsed="false">
      <c r="A47" s="38" t="s">
        <v>49</v>
      </c>
      <c r="B47" s="91" t="n">
        <f aca="false">IF(B36=0,0,B46/B36)</f>
        <v>-0.299854853884457</v>
      </c>
      <c r="C47" s="91" t="n">
        <f aca="false">IF(C36=0,0,C46/C36)</f>
        <v>0.0744704580444091</v>
      </c>
      <c r="D47" s="91" t="n">
        <f aca="false">IF(D36=0,0,D46/D36)</f>
        <v>0.0769616988743731</v>
      </c>
      <c r="E47" s="91" t="n">
        <f aca="false">IF(E36=0,0,E46/E36)</f>
        <v>0.0800023862960268</v>
      </c>
      <c r="F47" s="91" t="n">
        <f aca="false">IF(F36=0,0,F46/F36)</f>
        <v>0.0829545100063701</v>
      </c>
      <c r="G47" s="92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245</v>
      </c>
    </row>
    <row r="5" customFormat="false" ht="15" hidden="false" customHeight="false" outlineLevel="0" collapsed="false">
      <c r="A5" s="33" t="s">
        <v>103</v>
      </c>
      <c r="B5" s="51" t="s">
        <v>104</v>
      </c>
      <c r="C5" s="51" t="s">
        <v>105</v>
      </c>
      <c r="D5" s="51" t="s">
        <v>106</v>
      </c>
      <c r="E5" s="51" t="s">
        <v>107</v>
      </c>
      <c r="F5" s="33" t="s">
        <v>246</v>
      </c>
      <c r="G5" s="33" t="s">
        <v>247</v>
      </c>
    </row>
    <row r="6" customFormat="false" ht="15.75" hidden="false" customHeight="true" outlineLevel="0" collapsed="false">
      <c r="A6" s="7" t="s">
        <v>248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249</v>
      </c>
      <c r="B7" s="97" t="n">
        <v>60</v>
      </c>
      <c r="C7" s="97" t="n">
        <v>60</v>
      </c>
      <c r="D7" s="97" t="n">
        <v>60</v>
      </c>
      <c r="E7" s="98" t="n">
        <f aca="false">CHOOSE(Dashboard!$B$4,B7,C7,D7)</f>
        <v>60</v>
      </c>
      <c r="F7" s="38" t="s">
        <v>250</v>
      </c>
      <c r="G7" s="99"/>
    </row>
    <row r="8" customFormat="false" ht="15" hidden="false" customHeight="false" outlineLevel="0" collapsed="false">
      <c r="A8" s="6" t="s">
        <v>251</v>
      </c>
      <c r="B8" s="97" t="n">
        <v>0</v>
      </c>
      <c r="C8" s="97" t="n">
        <v>0</v>
      </c>
      <c r="D8" s="97" t="n">
        <v>0</v>
      </c>
      <c r="E8" s="98" t="n">
        <f aca="false">CHOOSE(Dashboard!$B$4,B8,C8,D8)</f>
        <v>0</v>
      </c>
      <c r="F8" s="38" t="s">
        <v>250</v>
      </c>
      <c r="G8" s="99" t="s">
        <v>252</v>
      </c>
    </row>
    <row r="9" customFormat="false" ht="15" hidden="false" customHeight="false" outlineLevel="0" collapsed="false">
      <c r="A9" s="6" t="s">
        <v>253</v>
      </c>
      <c r="B9" s="100" t="n">
        <v>0.35</v>
      </c>
      <c r="C9" s="100" t="n">
        <v>0.35</v>
      </c>
      <c r="D9" s="100" t="n">
        <v>0.35</v>
      </c>
      <c r="E9" s="101" t="n">
        <f aca="false">CHOOSE(Dashboard!$B$4,B9,C9,D9)</f>
        <v>0.35</v>
      </c>
      <c r="F9" s="38" t="s">
        <v>254</v>
      </c>
      <c r="G9" s="99"/>
    </row>
    <row r="10" customFormat="false" ht="15" hidden="false" customHeight="false" outlineLevel="0" collapsed="false">
      <c r="A10" s="6" t="s">
        <v>255</v>
      </c>
      <c r="B10" s="100" t="n">
        <v>0.78</v>
      </c>
      <c r="C10" s="100" t="n">
        <v>0.85</v>
      </c>
      <c r="D10" s="100" t="n">
        <v>0.9</v>
      </c>
      <c r="E10" s="101" t="n">
        <f aca="false">CHOOSE(Dashboard!$B$4,B10,C10,D10)</f>
        <v>0.85</v>
      </c>
      <c r="F10" s="38" t="s">
        <v>254</v>
      </c>
      <c r="G10" s="99" t="s">
        <v>252</v>
      </c>
    </row>
    <row r="11" customFormat="false" ht="15" hidden="false" customHeight="false" outlineLevel="0" collapsed="false">
      <c r="A11" s="6" t="s">
        <v>256</v>
      </c>
      <c r="B11" s="100" t="n">
        <v>0.15</v>
      </c>
      <c r="C11" s="100" t="n">
        <v>0.2</v>
      </c>
      <c r="D11" s="100" t="n">
        <v>0.25</v>
      </c>
      <c r="E11" s="101" t="n">
        <f aca="false">CHOOSE(Dashboard!$B$4,B11,C11,D11)</f>
        <v>0.2</v>
      </c>
      <c r="F11" s="38" t="s">
        <v>254</v>
      </c>
      <c r="G11" s="99" t="s">
        <v>252</v>
      </c>
    </row>
    <row r="12" customFormat="false" ht="15" hidden="false" customHeight="false" outlineLevel="0" collapsed="false">
      <c r="A12" s="6" t="s">
        <v>257</v>
      </c>
      <c r="B12" s="97" t="n">
        <v>18</v>
      </c>
      <c r="C12" s="97" t="n">
        <v>12</v>
      </c>
      <c r="D12" s="97" t="n">
        <v>9</v>
      </c>
      <c r="E12" s="98" t="n">
        <f aca="false">CHOOSE(Dashboard!$B$4,B12,C12,D12)</f>
        <v>12</v>
      </c>
      <c r="F12" s="38" t="s">
        <v>258</v>
      </c>
      <c r="G12" s="99" t="s">
        <v>259</v>
      </c>
    </row>
    <row r="13" customFormat="false" ht="15" hidden="false" customHeight="false" outlineLevel="0" collapsed="false">
      <c r="A13" s="6" t="s">
        <v>260</v>
      </c>
      <c r="B13" s="97" t="n">
        <v>21</v>
      </c>
      <c r="C13" s="97" t="n">
        <v>21</v>
      </c>
      <c r="D13" s="97" t="n">
        <v>21</v>
      </c>
      <c r="E13" s="98" t="n">
        <f aca="false">CHOOSE(Dashboard!$B$4,B13,C13,D13)</f>
        <v>21</v>
      </c>
      <c r="F13" s="38" t="s">
        <v>261</v>
      </c>
      <c r="G13" s="99"/>
    </row>
    <row r="14" customFormat="false" ht="15" hidden="false" customHeight="false" outlineLevel="0" collapsed="false">
      <c r="A14" s="6" t="s">
        <v>262</v>
      </c>
      <c r="B14" s="100" t="n">
        <v>0.35</v>
      </c>
      <c r="C14" s="100" t="n">
        <v>0.3</v>
      </c>
      <c r="D14" s="100" t="n">
        <v>0.25</v>
      </c>
      <c r="E14" s="101" t="n">
        <f aca="false">CHOOSE(Dashboard!$B$4,B14,C14,D14)</f>
        <v>0.3</v>
      </c>
      <c r="F14" s="38" t="s">
        <v>254</v>
      </c>
      <c r="G14" s="99" t="s">
        <v>259</v>
      </c>
    </row>
    <row r="16" customFormat="false" ht="15.75" hidden="false" customHeight="true" outlineLevel="0" collapsed="false">
      <c r="A16" s="7" t="s">
        <v>263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264</v>
      </c>
      <c r="B17" s="102" t="n">
        <v>1430</v>
      </c>
      <c r="C17" s="102" t="n">
        <v>1500</v>
      </c>
      <c r="D17" s="102" t="n">
        <v>1570</v>
      </c>
      <c r="E17" s="103" t="n">
        <f aca="false">CHOOSE(Dashboard!$B$4,B17,C17,D17)</f>
        <v>1500</v>
      </c>
      <c r="F17" s="38" t="s">
        <v>265</v>
      </c>
      <c r="G17" s="99" t="s">
        <v>252</v>
      </c>
    </row>
    <row r="18" customFormat="false" ht="15" hidden="false" customHeight="false" outlineLevel="0" collapsed="false">
      <c r="A18" s="6" t="s">
        <v>266</v>
      </c>
      <c r="B18" s="102" t="n">
        <v>1040</v>
      </c>
      <c r="C18" s="102" t="n">
        <v>1100</v>
      </c>
      <c r="D18" s="102" t="n">
        <v>1160</v>
      </c>
      <c r="E18" s="103" t="n">
        <f aca="false">CHOOSE(Dashboard!$B$4,B18,C18,D18)</f>
        <v>1100</v>
      </c>
      <c r="F18" s="38" t="s">
        <v>265</v>
      </c>
      <c r="G18" s="99" t="s">
        <v>252</v>
      </c>
    </row>
    <row r="19" customFormat="false" ht="15" hidden="false" customHeight="false" outlineLevel="0" collapsed="false">
      <c r="A19" s="6" t="s">
        <v>267</v>
      </c>
      <c r="B19" s="100" t="n">
        <v>0.025</v>
      </c>
      <c r="C19" s="100" t="n">
        <v>0.03</v>
      </c>
      <c r="D19" s="100" t="n">
        <v>0.04</v>
      </c>
      <c r="E19" s="101" t="n">
        <f aca="false">CHOOSE(Dashboard!$B$4,B19,C19,D19)</f>
        <v>0.03</v>
      </c>
      <c r="F19" s="38" t="s">
        <v>254</v>
      </c>
      <c r="G19" s="99" t="s">
        <v>252</v>
      </c>
    </row>
    <row r="20" customFormat="false" ht="15" hidden="false" customHeight="false" outlineLevel="0" collapsed="false">
      <c r="A20" s="6" t="s">
        <v>268</v>
      </c>
      <c r="B20" s="100" t="n">
        <v>0.06</v>
      </c>
      <c r="C20" s="100" t="n">
        <v>0.05</v>
      </c>
      <c r="D20" s="100" t="n">
        <v>0.04</v>
      </c>
      <c r="E20" s="101" t="n">
        <f aca="false">CHOOSE(Dashboard!$B$4,B20,C20,D20)</f>
        <v>0.05</v>
      </c>
      <c r="F20" s="38" t="s">
        <v>254</v>
      </c>
      <c r="G20" s="99" t="s">
        <v>259</v>
      </c>
    </row>
    <row r="21" customFormat="false" ht="15" hidden="false" customHeight="false" outlineLevel="0" collapsed="false">
      <c r="A21" s="6" t="s">
        <v>269</v>
      </c>
      <c r="B21" s="102" t="n">
        <v>100</v>
      </c>
      <c r="C21" s="102" t="n">
        <v>150</v>
      </c>
      <c r="D21" s="102" t="n">
        <v>200</v>
      </c>
      <c r="E21" s="103" t="n">
        <f aca="false">CHOOSE(Dashboard!$B$4,B21,C21,D21)</f>
        <v>150</v>
      </c>
      <c r="F21" s="38" t="s">
        <v>265</v>
      </c>
      <c r="G21" s="99" t="s">
        <v>252</v>
      </c>
    </row>
    <row r="22" customFormat="false" ht="15" hidden="false" customHeight="false" outlineLevel="0" collapsed="false">
      <c r="A22" s="6" t="s">
        <v>270</v>
      </c>
      <c r="B22" s="100" t="n">
        <v>0.25</v>
      </c>
      <c r="C22" s="100" t="n">
        <v>0.25</v>
      </c>
      <c r="D22" s="100" t="n">
        <v>0.25</v>
      </c>
      <c r="E22" s="101" t="n">
        <f aca="false">CHOOSE(Dashboard!$B$4,B22,C22,D22)</f>
        <v>0.25</v>
      </c>
      <c r="F22" s="38" t="s">
        <v>254</v>
      </c>
      <c r="G22" s="99"/>
    </row>
    <row r="23" customFormat="false" ht="15" hidden="false" customHeight="false" outlineLevel="0" collapsed="false">
      <c r="A23" s="6" t="s">
        <v>271</v>
      </c>
      <c r="B23" s="100" t="n">
        <v>0.82</v>
      </c>
      <c r="C23" s="100" t="n">
        <v>0.85</v>
      </c>
      <c r="D23" s="100" t="n">
        <v>0.88</v>
      </c>
      <c r="E23" s="101" t="n">
        <f aca="false">CHOOSE(Dashboard!$B$4,B23,C23,D23)</f>
        <v>0.85</v>
      </c>
      <c r="F23" s="38" t="s">
        <v>254</v>
      </c>
      <c r="G23" s="99" t="s">
        <v>252</v>
      </c>
    </row>
    <row r="25" customFormat="false" ht="15.75" hidden="false" customHeight="true" outlineLevel="0" collapsed="false">
      <c r="A25" s="7" t="s">
        <v>272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273</v>
      </c>
      <c r="B26" s="104" t="n">
        <v>6</v>
      </c>
      <c r="C26" s="104" t="n">
        <v>6</v>
      </c>
      <c r="D26" s="104" t="n">
        <v>6</v>
      </c>
      <c r="E26" s="105" t="n">
        <f aca="false">CHOOSE(Dashboard!$B$4,B26,C26,D26)</f>
        <v>6</v>
      </c>
      <c r="F26" s="38" t="s">
        <v>250</v>
      </c>
      <c r="G26" s="99"/>
    </row>
    <row r="27" customFormat="false" ht="15" hidden="false" customHeight="false" outlineLevel="0" collapsed="false">
      <c r="A27" s="6" t="s">
        <v>274</v>
      </c>
      <c r="B27" s="104" t="n">
        <v>12</v>
      </c>
      <c r="C27" s="104" t="n">
        <v>12</v>
      </c>
      <c r="D27" s="104" t="n">
        <v>12</v>
      </c>
      <c r="E27" s="105" t="n">
        <f aca="false">CHOOSE(Dashboard!$B$4,B27,C27,D27)</f>
        <v>12</v>
      </c>
      <c r="F27" s="38" t="s">
        <v>250</v>
      </c>
      <c r="G27" s="99"/>
    </row>
    <row r="28" customFormat="false" ht="15" hidden="false" customHeight="false" outlineLevel="0" collapsed="false">
      <c r="A28" s="6" t="s">
        <v>275</v>
      </c>
      <c r="B28" s="104" t="n">
        <v>1.25</v>
      </c>
      <c r="C28" s="104" t="n">
        <v>1.2</v>
      </c>
      <c r="D28" s="104" t="n">
        <v>1.15</v>
      </c>
      <c r="E28" s="105" t="n">
        <f aca="false">CHOOSE(Dashboard!$B$4,B28,C28,D28)</f>
        <v>1.2</v>
      </c>
      <c r="F28" s="38" t="s">
        <v>276</v>
      </c>
      <c r="G28" s="99" t="s">
        <v>259</v>
      </c>
    </row>
    <row r="29" customFormat="false" ht="15" hidden="false" customHeight="false" outlineLevel="0" collapsed="false">
      <c r="A29" s="6" t="s">
        <v>277</v>
      </c>
      <c r="B29" s="102" t="n">
        <v>36500</v>
      </c>
      <c r="C29" s="102" t="n">
        <v>35000</v>
      </c>
      <c r="D29" s="102" t="n">
        <v>33500</v>
      </c>
      <c r="E29" s="103" t="n">
        <f aca="false">CHOOSE(Dashboard!$B$4,B29,C29,D29)</f>
        <v>35000</v>
      </c>
      <c r="F29" s="38" t="s">
        <v>265</v>
      </c>
      <c r="G29" s="99" t="s">
        <v>259</v>
      </c>
    </row>
    <row r="31" customFormat="false" ht="15.75" hidden="false" customHeight="true" outlineLevel="0" collapsed="false">
      <c r="A31" s="7" t="s">
        <v>75</v>
      </c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6" t="s">
        <v>278</v>
      </c>
      <c r="B32" s="106" t="n">
        <v>4.2</v>
      </c>
      <c r="C32" s="106" t="n">
        <v>4</v>
      </c>
      <c r="D32" s="106" t="n">
        <v>3.8</v>
      </c>
      <c r="E32" s="107" t="n">
        <f aca="false">CHOOSE(Dashboard!$B$4,B32,C32,D32)</f>
        <v>4</v>
      </c>
      <c r="F32" s="38" t="s">
        <v>265</v>
      </c>
      <c r="G32" s="99" t="s">
        <v>259</v>
      </c>
    </row>
    <row r="33" customFormat="false" ht="15" hidden="false" customHeight="false" outlineLevel="0" collapsed="false">
      <c r="A33" s="6" t="s">
        <v>279</v>
      </c>
      <c r="B33" s="106" t="n">
        <v>33</v>
      </c>
      <c r="C33" s="106" t="n">
        <v>30</v>
      </c>
      <c r="D33" s="106" t="n">
        <v>27</v>
      </c>
      <c r="E33" s="107" t="n">
        <f aca="false">CHOOSE(Dashboard!$B$4,B33,C33,D33)</f>
        <v>30</v>
      </c>
      <c r="F33" s="38" t="s">
        <v>265</v>
      </c>
      <c r="G33" s="99" t="s">
        <v>259</v>
      </c>
    </row>
    <row r="34" customFormat="false" ht="15" hidden="false" customHeight="false" outlineLevel="0" collapsed="false">
      <c r="A34" s="6" t="s">
        <v>280</v>
      </c>
      <c r="B34" s="100" t="n">
        <v>0.03</v>
      </c>
      <c r="C34" s="100" t="n">
        <v>0.03</v>
      </c>
      <c r="D34" s="100" t="n">
        <v>0.03</v>
      </c>
      <c r="E34" s="101" t="n">
        <f aca="false">CHOOSE(Dashboard!$B$4,B34,C34,D34)</f>
        <v>0.03</v>
      </c>
      <c r="F34" s="38" t="s">
        <v>254</v>
      </c>
      <c r="G34" s="99"/>
    </row>
    <row r="36" customFormat="false" ht="15.75" hidden="false" customHeight="true" outlineLevel="0" collapsed="false">
      <c r="A36" s="7" t="s">
        <v>281</v>
      </c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6" t="s">
        <v>282</v>
      </c>
      <c r="B37" s="97" t="n">
        <v>75</v>
      </c>
      <c r="C37" s="97" t="n">
        <v>75</v>
      </c>
      <c r="D37" s="97" t="n">
        <v>75</v>
      </c>
      <c r="E37" s="98" t="n">
        <f aca="false">CHOOSE(Dashboard!$B$4,B37,C37,D37)</f>
        <v>75</v>
      </c>
      <c r="F37" s="38" t="s">
        <v>283</v>
      </c>
      <c r="G37" s="99"/>
    </row>
    <row r="38" customFormat="false" ht="15" hidden="false" customHeight="false" outlineLevel="0" collapsed="false">
      <c r="A38" s="6" t="s">
        <v>284</v>
      </c>
      <c r="B38" s="106" t="n">
        <v>17</v>
      </c>
      <c r="C38" s="106" t="n">
        <v>16</v>
      </c>
      <c r="D38" s="106" t="n">
        <v>15</v>
      </c>
      <c r="E38" s="107" t="n">
        <f aca="false">CHOOSE(Dashboard!$B$4,B38,C38,D38)</f>
        <v>16</v>
      </c>
      <c r="F38" s="38" t="s">
        <v>265</v>
      </c>
      <c r="G38" s="99" t="s">
        <v>259</v>
      </c>
    </row>
    <row r="39" customFormat="false" ht="15" hidden="false" customHeight="false" outlineLevel="0" collapsed="false">
      <c r="A39" s="6" t="s">
        <v>285</v>
      </c>
      <c r="B39" s="100" t="n">
        <v>0.03</v>
      </c>
      <c r="C39" s="100" t="n">
        <v>0.03</v>
      </c>
      <c r="D39" s="100" t="n">
        <v>0.03</v>
      </c>
      <c r="E39" s="101" t="n">
        <f aca="false">CHOOSE(Dashboard!$B$4,B39,C39,D39)</f>
        <v>0.03</v>
      </c>
      <c r="F39" s="38" t="s">
        <v>254</v>
      </c>
      <c r="G39" s="99"/>
    </row>
    <row r="40" customFormat="false" ht="15" hidden="false" customHeight="false" outlineLevel="0" collapsed="false">
      <c r="A40" s="6" t="s">
        <v>286</v>
      </c>
      <c r="B40" s="106" t="n">
        <v>6.8</v>
      </c>
      <c r="C40" s="106" t="n">
        <v>6.5</v>
      </c>
      <c r="D40" s="106" t="n">
        <v>6.2</v>
      </c>
      <c r="E40" s="107" t="n">
        <f aca="false">CHOOSE(Dashboard!$B$4,B40,C40,D40)</f>
        <v>6.5</v>
      </c>
      <c r="F40" s="38" t="s">
        <v>265</v>
      </c>
      <c r="G40" s="99" t="s">
        <v>259</v>
      </c>
    </row>
    <row r="41" customFormat="false" ht="15" hidden="false" customHeight="false" outlineLevel="0" collapsed="false">
      <c r="A41" s="6" t="s">
        <v>287</v>
      </c>
      <c r="B41" s="102" t="n">
        <v>1800</v>
      </c>
      <c r="C41" s="102" t="n">
        <v>1800</v>
      </c>
      <c r="D41" s="102" t="n">
        <v>1800</v>
      </c>
      <c r="E41" s="103" t="n">
        <f aca="false">CHOOSE(Dashboard!$B$4,B41,C41,D41)</f>
        <v>1800</v>
      </c>
      <c r="F41" s="38" t="s">
        <v>265</v>
      </c>
      <c r="G41" s="99"/>
    </row>
    <row r="42" customFormat="false" ht="15" hidden="false" customHeight="false" outlineLevel="0" collapsed="false">
      <c r="A42" s="6" t="s">
        <v>288</v>
      </c>
      <c r="B42" s="102" t="n">
        <v>600</v>
      </c>
      <c r="C42" s="102" t="n">
        <v>600</v>
      </c>
      <c r="D42" s="102" t="n">
        <v>600</v>
      </c>
      <c r="E42" s="103" t="n">
        <f aca="false">CHOOSE(Dashboard!$B$4,B42,C42,D42)</f>
        <v>600</v>
      </c>
      <c r="F42" s="38" t="s">
        <v>265</v>
      </c>
      <c r="G42" s="99"/>
    </row>
    <row r="43" customFormat="false" ht="15" hidden="false" customHeight="false" outlineLevel="0" collapsed="false">
      <c r="A43" s="6" t="s">
        <v>289</v>
      </c>
      <c r="B43" s="102" t="n">
        <v>2500</v>
      </c>
      <c r="C43" s="102" t="n">
        <v>2500</v>
      </c>
      <c r="D43" s="102" t="n">
        <v>2500</v>
      </c>
      <c r="E43" s="103" t="n">
        <f aca="false">CHOOSE(Dashboard!$B$4,B43,C43,D43)</f>
        <v>2500</v>
      </c>
      <c r="F43" s="38" t="s">
        <v>265</v>
      </c>
      <c r="G43" s="99"/>
    </row>
    <row r="44" customFormat="false" ht="15" hidden="false" customHeight="false" outlineLevel="0" collapsed="false">
      <c r="A44" s="6" t="s">
        <v>290</v>
      </c>
      <c r="B44" s="100" t="n">
        <v>0</v>
      </c>
      <c r="C44" s="100" t="n">
        <v>0</v>
      </c>
      <c r="D44" s="100" t="n">
        <v>0</v>
      </c>
      <c r="E44" s="101" t="n">
        <f aca="false">CHOOSE(Dashboard!$B$4,B44,C44,D44)</f>
        <v>0</v>
      </c>
      <c r="F44" s="38" t="s">
        <v>254</v>
      </c>
      <c r="G44" s="99"/>
    </row>
    <row r="45" customFormat="false" ht="15" hidden="false" customHeight="false" outlineLevel="0" collapsed="false">
      <c r="A45" s="6" t="s">
        <v>291</v>
      </c>
      <c r="B45" s="102" t="n">
        <v>400</v>
      </c>
      <c r="C45" s="102" t="n">
        <v>400</v>
      </c>
      <c r="D45" s="102" t="n">
        <v>400</v>
      </c>
      <c r="E45" s="103" t="n">
        <f aca="false">CHOOSE(Dashboard!$B$4,B45,C45,D45)</f>
        <v>400</v>
      </c>
      <c r="F45" s="38" t="s">
        <v>265</v>
      </c>
      <c r="G45" s="99"/>
    </row>
    <row r="46" customFormat="false" ht="15" hidden="false" customHeight="false" outlineLevel="0" collapsed="false">
      <c r="A46" s="6" t="s">
        <v>292</v>
      </c>
      <c r="B46" s="100" t="n">
        <v>0.028</v>
      </c>
      <c r="C46" s="100" t="n">
        <v>0.025</v>
      </c>
      <c r="D46" s="100" t="n">
        <v>0.022</v>
      </c>
      <c r="E46" s="101" t="n">
        <f aca="false">CHOOSE(Dashboard!$B$4,B46,C46,D46)</f>
        <v>0.025</v>
      </c>
      <c r="F46" s="38" t="s">
        <v>254</v>
      </c>
      <c r="G46" s="99" t="s">
        <v>259</v>
      </c>
    </row>
    <row r="47" customFormat="false" ht="15" hidden="false" customHeight="false" outlineLevel="0" collapsed="false">
      <c r="A47" s="6" t="s">
        <v>293</v>
      </c>
      <c r="B47" s="102" t="n">
        <v>1200</v>
      </c>
      <c r="C47" s="102" t="n">
        <v>1200</v>
      </c>
      <c r="D47" s="102" t="n">
        <v>1200</v>
      </c>
      <c r="E47" s="103" t="n">
        <f aca="false">CHOOSE(Dashboard!$B$4,B47,C47,D47)</f>
        <v>1200</v>
      </c>
      <c r="F47" s="38" t="s">
        <v>265</v>
      </c>
      <c r="G47" s="99"/>
    </row>
    <row r="49" customFormat="false" ht="15.75" hidden="false" customHeight="true" outlineLevel="0" collapsed="false">
      <c r="A49" s="7" t="s">
        <v>294</v>
      </c>
      <c r="B49" s="7"/>
      <c r="C49" s="7"/>
      <c r="D49" s="7"/>
      <c r="E49" s="7"/>
      <c r="F49" s="7"/>
      <c r="G49" s="7"/>
    </row>
    <row r="50" customFormat="false" ht="15" hidden="false" customHeight="false" outlineLevel="0" collapsed="false">
      <c r="A50" s="6" t="s">
        <v>295</v>
      </c>
      <c r="B50" s="106" t="n">
        <v>60</v>
      </c>
      <c r="C50" s="106" t="n">
        <v>60</v>
      </c>
      <c r="D50" s="106" t="n">
        <v>60</v>
      </c>
      <c r="E50" s="107" t="n">
        <f aca="false">CHOOSE(Dashboard!$B$4,B50,C50,D50)</f>
        <v>60</v>
      </c>
      <c r="F50" s="38" t="s">
        <v>265</v>
      </c>
      <c r="G50" s="99"/>
    </row>
    <row r="51" customFormat="false" ht="15" hidden="false" customHeight="false" outlineLevel="0" collapsed="false">
      <c r="A51" s="6" t="s">
        <v>296</v>
      </c>
      <c r="B51" s="102" t="n">
        <v>2200</v>
      </c>
      <c r="C51" s="102" t="n">
        <v>2200</v>
      </c>
      <c r="D51" s="102" t="n">
        <v>2200</v>
      </c>
      <c r="E51" s="103" t="n">
        <f aca="false">CHOOSE(Dashboard!$B$4,B51,C51,D51)</f>
        <v>2200</v>
      </c>
      <c r="F51" s="38" t="s">
        <v>265</v>
      </c>
      <c r="G51" s="99"/>
    </row>
    <row r="52" customFormat="false" ht="15" hidden="false" customHeight="false" outlineLevel="0" collapsed="false">
      <c r="A52" s="6" t="s">
        <v>297</v>
      </c>
      <c r="B52" s="97" t="n">
        <v>0</v>
      </c>
      <c r="C52" s="97" t="n">
        <v>0</v>
      </c>
      <c r="D52" s="97" t="n">
        <v>0</v>
      </c>
      <c r="E52" s="98" t="n">
        <f aca="false">CHOOSE(Dashboard!$B$4,B52,C52,D52)</f>
        <v>0</v>
      </c>
      <c r="F52" s="38" t="s">
        <v>250</v>
      </c>
      <c r="G52" s="99"/>
    </row>
    <row r="53" customFormat="false" ht="15" hidden="false" customHeight="false" outlineLevel="0" collapsed="false">
      <c r="A53" s="6" t="s">
        <v>298</v>
      </c>
      <c r="B53" s="102" t="n">
        <v>40000</v>
      </c>
      <c r="C53" s="102" t="n">
        <v>40000</v>
      </c>
      <c r="D53" s="102" t="n">
        <v>40000</v>
      </c>
      <c r="E53" s="103" t="n">
        <f aca="false">CHOOSE(Dashboard!$B$4,B53,C53,D53)</f>
        <v>40000</v>
      </c>
      <c r="F53" s="38" t="s">
        <v>265</v>
      </c>
      <c r="G53" s="99"/>
    </row>
    <row r="54" customFormat="false" ht="15" hidden="false" customHeight="false" outlineLevel="0" collapsed="false">
      <c r="A54" s="6" t="s">
        <v>299</v>
      </c>
      <c r="B54" s="102" t="n">
        <v>150</v>
      </c>
      <c r="C54" s="102" t="n">
        <v>150</v>
      </c>
      <c r="D54" s="102" t="n">
        <v>150</v>
      </c>
      <c r="E54" s="103" t="n">
        <f aca="false">CHOOSE(Dashboard!$B$4,B54,C54,D54)</f>
        <v>150</v>
      </c>
      <c r="F54" s="38" t="s">
        <v>265</v>
      </c>
      <c r="G54" s="99"/>
    </row>
    <row r="56" customFormat="false" ht="15.75" hidden="false" customHeight="true" outlineLevel="0" collapsed="false">
      <c r="A56" s="7" t="s">
        <v>300</v>
      </c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6" t="s">
        <v>301</v>
      </c>
      <c r="B57" s="104" t="n">
        <v>1</v>
      </c>
      <c r="C57" s="104" t="n">
        <v>1</v>
      </c>
      <c r="D57" s="104" t="n">
        <v>1</v>
      </c>
      <c r="E57" s="105" t="n">
        <f aca="false">CHOOSE(Dashboard!$B$4,B57,C57,D57)</f>
        <v>1</v>
      </c>
      <c r="F57" s="38" t="s">
        <v>302</v>
      </c>
      <c r="G57" s="99" t="s">
        <v>252</v>
      </c>
    </row>
    <row r="58" customFormat="false" ht="15" hidden="false" customHeight="false" outlineLevel="0" collapsed="false">
      <c r="A58" s="6" t="s">
        <v>303</v>
      </c>
      <c r="B58" s="102" t="n">
        <v>62000</v>
      </c>
      <c r="C58" s="102" t="n">
        <v>62000</v>
      </c>
      <c r="D58" s="102" t="n">
        <v>62000</v>
      </c>
      <c r="E58" s="103" t="n">
        <f aca="false">CHOOSE(Dashboard!$B$4,B58,C58,D58)</f>
        <v>62000</v>
      </c>
      <c r="F58" s="38" t="s">
        <v>265</v>
      </c>
      <c r="G58" s="99"/>
    </row>
    <row r="59" customFormat="false" ht="15" hidden="false" customHeight="false" outlineLevel="0" collapsed="false">
      <c r="A59" s="6" t="s">
        <v>304</v>
      </c>
      <c r="B59" s="100" t="n">
        <v>0</v>
      </c>
      <c r="C59" s="100" t="n">
        <v>0</v>
      </c>
      <c r="D59" s="100" t="n">
        <v>0</v>
      </c>
      <c r="E59" s="101" t="n">
        <f aca="false">CHOOSE(Dashboard!$B$4,B59,C59,D59)</f>
        <v>0</v>
      </c>
      <c r="F59" s="38" t="s">
        <v>254</v>
      </c>
      <c r="G59" s="99" t="s">
        <v>252</v>
      </c>
    </row>
    <row r="60" customFormat="false" ht="15" hidden="false" customHeight="false" outlineLevel="0" collapsed="false">
      <c r="A60" s="6" t="s">
        <v>305</v>
      </c>
      <c r="B60" s="97" t="n">
        <v>1</v>
      </c>
      <c r="C60" s="97" t="n">
        <v>1</v>
      </c>
      <c r="D60" s="97" t="n">
        <v>1</v>
      </c>
      <c r="E60" s="98" t="n">
        <f aca="false">CHOOSE(Dashboard!$B$4,B60,C60,D60)</f>
        <v>1</v>
      </c>
      <c r="F60" s="38" t="s">
        <v>306</v>
      </c>
      <c r="G60" s="99"/>
    </row>
    <row r="61" customFormat="false" ht="15" hidden="false" customHeight="false" outlineLevel="0" collapsed="false">
      <c r="A61" s="6" t="s">
        <v>307</v>
      </c>
      <c r="B61" s="104" t="n">
        <v>0.5</v>
      </c>
      <c r="C61" s="104" t="n">
        <v>0.5</v>
      </c>
      <c r="D61" s="104" t="n">
        <v>0.5</v>
      </c>
      <c r="E61" s="105" t="n">
        <f aca="false">CHOOSE(Dashboard!$B$4,B61,C61,D61)</f>
        <v>0.5</v>
      </c>
      <c r="F61" s="38" t="s">
        <v>302</v>
      </c>
      <c r="G61" s="99" t="s">
        <v>252</v>
      </c>
    </row>
    <row r="62" customFormat="false" ht="15" hidden="false" customHeight="false" outlineLevel="0" collapsed="false">
      <c r="A62" s="6" t="s">
        <v>308</v>
      </c>
      <c r="B62" s="102" t="n">
        <v>38000</v>
      </c>
      <c r="C62" s="102" t="n">
        <v>38000</v>
      </c>
      <c r="D62" s="102" t="n">
        <v>38000</v>
      </c>
      <c r="E62" s="103" t="n">
        <f aca="false">CHOOSE(Dashboard!$B$4,B62,C62,D62)</f>
        <v>38000</v>
      </c>
      <c r="F62" s="38" t="s">
        <v>265</v>
      </c>
      <c r="G62" s="99"/>
    </row>
    <row r="63" customFormat="false" ht="15" hidden="false" customHeight="false" outlineLevel="0" collapsed="false">
      <c r="A63" s="6" t="s">
        <v>309</v>
      </c>
      <c r="B63" s="100" t="n">
        <v>0</v>
      </c>
      <c r="C63" s="100" t="n">
        <v>0</v>
      </c>
      <c r="D63" s="100" t="n">
        <v>0</v>
      </c>
      <c r="E63" s="101" t="n">
        <f aca="false">CHOOSE(Dashboard!$B$4,B63,C63,D63)</f>
        <v>0</v>
      </c>
      <c r="F63" s="38" t="s">
        <v>254</v>
      </c>
      <c r="G63" s="99" t="s">
        <v>252</v>
      </c>
    </row>
    <row r="64" customFormat="false" ht="15" hidden="false" customHeight="false" outlineLevel="0" collapsed="false">
      <c r="A64" s="6" t="s">
        <v>310</v>
      </c>
      <c r="B64" s="97" t="n">
        <v>1</v>
      </c>
      <c r="C64" s="97" t="n">
        <v>1</v>
      </c>
      <c r="D64" s="97" t="n">
        <v>1</v>
      </c>
      <c r="E64" s="98" t="n">
        <f aca="false">CHOOSE(Dashboard!$B$4,B64,C64,D64)</f>
        <v>1</v>
      </c>
      <c r="F64" s="38" t="s">
        <v>306</v>
      </c>
      <c r="G64" s="99"/>
    </row>
    <row r="65" customFormat="false" ht="15" hidden="false" customHeight="false" outlineLevel="0" collapsed="false">
      <c r="A65" s="6" t="s">
        <v>311</v>
      </c>
      <c r="B65" s="104" t="n">
        <v>0.5</v>
      </c>
      <c r="C65" s="104" t="n">
        <v>0.5</v>
      </c>
      <c r="D65" s="104" t="n">
        <v>0.5</v>
      </c>
      <c r="E65" s="105" t="n">
        <f aca="false">CHOOSE(Dashboard!$B$4,B65,C65,D65)</f>
        <v>0.5</v>
      </c>
      <c r="F65" s="38" t="s">
        <v>302</v>
      </c>
      <c r="G65" s="99" t="s">
        <v>252</v>
      </c>
    </row>
    <row r="66" customFormat="false" ht="15" hidden="false" customHeight="false" outlineLevel="0" collapsed="false">
      <c r="A66" s="6" t="s">
        <v>312</v>
      </c>
      <c r="B66" s="102" t="n">
        <v>34000</v>
      </c>
      <c r="C66" s="102" t="n">
        <v>34000</v>
      </c>
      <c r="D66" s="102" t="n">
        <v>34000</v>
      </c>
      <c r="E66" s="103" t="n">
        <f aca="false">CHOOSE(Dashboard!$B$4,B66,C66,D66)</f>
        <v>34000</v>
      </c>
      <c r="F66" s="38" t="s">
        <v>265</v>
      </c>
      <c r="G66" s="99"/>
    </row>
    <row r="67" customFormat="false" ht="15" hidden="false" customHeight="false" outlineLevel="0" collapsed="false">
      <c r="A67" s="6" t="s">
        <v>313</v>
      </c>
      <c r="B67" s="100" t="n">
        <v>0</v>
      </c>
      <c r="C67" s="100" t="n">
        <v>0</v>
      </c>
      <c r="D67" s="100" t="n">
        <v>0</v>
      </c>
      <c r="E67" s="101" t="n">
        <f aca="false">CHOOSE(Dashboard!$B$4,B67,C67,D67)</f>
        <v>0</v>
      </c>
      <c r="F67" s="38" t="s">
        <v>254</v>
      </c>
      <c r="G67" s="99" t="s">
        <v>252</v>
      </c>
    </row>
    <row r="68" customFormat="false" ht="15" hidden="false" customHeight="false" outlineLevel="0" collapsed="false">
      <c r="A68" s="6" t="s">
        <v>314</v>
      </c>
      <c r="B68" s="97" t="n">
        <v>1</v>
      </c>
      <c r="C68" s="97" t="n">
        <v>1</v>
      </c>
      <c r="D68" s="97" t="n">
        <v>1</v>
      </c>
      <c r="E68" s="98" t="n">
        <f aca="false">CHOOSE(Dashboard!$B$4,B68,C68,D68)</f>
        <v>1</v>
      </c>
      <c r="F68" s="38" t="s">
        <v>306</v>
      </c>
      <c r="G68" s="99"/>
    </row>
    <row r="69" customFormat="false" ht="15" hidden="false" customHeight="false" outlineLevel="0" collapsed="false">
      <c r="A69" s="6" t="s">
        <v>315</v>
      </c>
      <c r="B69" s="100" t="n">
        <v>0.12</v>
      </c>
      <c r="C69" s="100" t="n">
        <v>0.12</v>
      </c>
      <c r="D69" s="100" t="n">
        <v>0.12</v>
      </c>
      <c r="E69" s="101" t="n">
        <f aca="false">CHOOSE(Dashboard!$B$4,B69,C69,D69)</f>
        <v>0.12</v>
      </c>
      <c r="F69" s="38" t="s">
        <v>254</v>
      </c>
      <c r="G69" s="99"/>
    </row>
    <row r="70" customFormat="false" ht="15" hidden="false" customHeight="false" outlineLevel="0" collapsed="false">
      <c r="A70" s="6" t="s">
        <v>316</v>
      </c>
      <c r="B70" s="100" t="n">
        <v>0.03</v>
      </c>
      <c r="C70" s="100" t="n">
        <v>0.03</v>
      </c>
      <c r="D70" s="100" t="n">
        <v>0.03</v>
      </c>
      <c r="E70" s="101" t="n">
        <f aca="false">CHOOSE(Dashboard!$B$4,B70,C70,D70)</f>
        <v>0.03</v>
      </c>
      <c r="F70" s="38" t="s">
        <v>254</v>
      </c>
      <c r="G70" s="99"/>
    </row>
    <row r="72" customFormat="false" ht="15.75" hidden="false" customHeight="true" outlineLevel="0" collapsed="false">
      <c r="A72" s="7" t="s">
        <v>317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318</v>
      </c>
      <c r="B73" s="102" t="n">
        <v>450000</v>
      </c>
      <c r="C73" s="102" t="n">
        <v>450000</v>
      </c>
      <c r="D73" s="102" t="n">
        <v>450000</v>
      </c>
      <c r="E73" s="103" t="n">
        <f aca="false">CHOOSE(Dashboard!$B$4,B73,C73,D73)</f>
        <v>450000</v>
      </c>
      <c r="F73" s="38" t="s">
        <v>265</v>
      </c>
      <c r="G73" s="99"/>
    </row>
    <row r="74" customFormat="false" ht="15" hidden="false" customHeight="false" outlineLevel="0" collapsed="false">
      <c r="A74" s="6" t="s">
        <v>319</v>
      </c>
      <c r="B74" s="102" t="n">
        <v>250000</v>
      </c>
      <c r="C74" s="102" t="n">
        <v>250000</v>
      </c>
      <c r="D74" s="102" t="n">
        <v>250000</v>
      </c>
      <c r="E74" s="103" t="n">
        <f aca="false">CHOOSE(Dashboard!$B$4,B74,C74,D74)</f>
        <v>250000</v>
      </c>
      <c r="F74" s="38" t="s">
        <v>265</v>
      </c>
      <c r="G74" s="99"/>
    </row>
    <row r="75" customFormat="false" ht="15" hidden="false" customHeight="false" outlineLevel="0" collapsed="false">
      <c r="A75" s="6" t="s">
        <v>320</v>
      </c>
      <c r="B75" s="100" t="n">
        <v>0.08</v>
      </c>
      <c r="C75" s="100" t="n">
        <v>0.08</v>
      </c>
      <c r="D75" s="100" t="n">
        <v>0.08</v>
      </c>
      <c r="E75" s="101" t="n">
        <f aca="false">CHOOSE(Dashboard!$B$4,B75,C75,D75)</f>
        <v>0.08</v>
      </c>
      <c r="F75" s="38" t="s">
        <v>254</v>
      </c>
      <c r="G75" s="99"/>
    </row>
    <row r="76" customFormat="false" ht="15" hidden="false" customHeight="false" outlineLevel="0" collapsed="false">
      <c r="A76" s="6" t="s">
        <v>321</v>
      </c>
      <c r="B76" s="97" t="n">
        <v>10</v>
      </c>
      <c r="C76" s="97" t="n">
        <v>10</v>
      </c>
      <c r="D76" s="97" t="n">
        <v>10</v>
      </c>
      <c r="E76" s="98" t="n">
        <f aca="false">CHOOSE(Dashboard!$B$4,B76,C76,D76)</f>
        <v>10</v>
      </c>
      <c r="F76" s="38" t="s">
        <v>322</v>
      </c>
      <c r="G76" s="99"/>
    </row>
    <row r="78" customFormat="false" ht="15.75" hidden="false" customHeight="true" outlineLevel="0" collapsed="false">
      <c r="A78" s="7" t="s">
        <v>323</v>
      </c>
      <c r="B78" s="7"/>
      <c r="C78" s="7"/>
      <c r="D78" s="7"/>
      <c r="E78" s="7"/>
      <c r="F78" s="7"/>
      <c r="G78" s="7"/>
    </row>
    <row r="79" customFormat="false" ht="15" hidden="false" customHeight="false" outlineLevel="0" collapsed="false">
      <c r="A79" s="6" t="s">
        <v>324</v>
      </c>
      <c r="B79" s="97" t="n">
        <v>13</v>
      </c>
      <c r="C79" s="97" t="n">
        <v>13</v>
      </c>
      <c r="D79" s="97" t="n">
        <v>13</v>
      </c>
      <c r="E79" s="98" t="n">
        <f aca="false">CHOOSE(Dashboard!$B$4,B79,C79,D79)</f>
        <v>13</v>
      </c>
      <c r="F79" s="38" t="s">
        <v>261</v>
      </c>
      <c r="G79" s="99"/>
    </row>
    <row r="80" customFormat="false" ht="15" hidden="false" customHeight="false" outlineLevel="0" collapsed="false">
      <c r="A80" s="6" t="s">
        <v>325</v>
      </c>
      <c r="B80" s="97" t="n">
        <v>3</v>
      </c>
      <c r="C80" s="97" t="n">
        <v>3</v>
      </c>
      <c r="D80" s="97" t="n">
        <v>3</v>
      </c>
      <c r="E80" s="98" t="n">
        <f aca="false">CHOOSE(Dashboard!$B$4,B80,C80,D80)</f>
        <v>3</v>
      </c>
      <c r="F80" s="38" t="s">
        <v>261</v>
      </c>
      <c r="G80" s="99"/>
    </row>
    <row r="81" customFormat="false" ht="15" hidden="false" customHeight="false" outlineLevel="0" collapsed="false">
      <c r="A81" s="6" t="s">
        <v>326</v>
      </c>
      <c r="B81" s="97" t="n">
        <v>11</v>
      </c>
      <c r="C81" s="97" t="n">
        <v>11</v>
      </c>
      <c r="D81" s="97" t="n">
        <v>11</v>
      </c>
      <c r="E81" s="98" t="n">
        <f aca="false">CHOOSE(Dashboard!$B$4,B81,C81,D81)</f>
        <v>11</v>
      </c>
      <c r="F81" s="38" t="s">
        <v>261</v>
      </c>
      <c r="G81" s="99"/>
    </row>
    <row r="83" customFormat="false" ht="15.75" hidden="false" customHeight="true" outlineLevel="0" collapsed="false">
      <c r="A83" s="7" t="s">
        <v>327</v>
      </c>
      <c r="B83" s="7"/>
      <c r="C83" s="7"/>
      <c r="D83" s="7"/>
      <c r="E83" s="7"/>
      <c r="F83" s="7"/>
      <c r="G83" s="7"/>
    </row>
    <row r="84" customFormat="false" ht="15" hidden="false" customHeight="false" outlineLevel="0" collapsed="false">
      <c r="A84" s="6" t="s">
        <v>328</v>
      </c>
      <c r="B84" s="97" t="n">
        <v>10</v>
      </c>
      <c r="C84" s="97" t="n">
        <v>10</v>
      </c>
      <c r="D84" s="97" t="n">
        <v>10</v>
      </c>
      <c r="E84" s="98" t="n">
        <f aca="false">CHOOSE(Dashboard!$B$4,B84,C84,D84)</f>
        <v>10</v>
      </c>
      <c r="F84" s="38" t="s">
        <v>322</v>
      </c>
      <c r="G84" s="99"/>
    </row>
    <row r="85" customFormat="false" ht="15" hidden="false" customHeight="false" outlineLevel="0" collapsed="false">
      <c r="A85" s="6" t="s">
        <v>329</v>
      </c>
      <c r="B85" s="100" t="n">
        <v>0.21</v>
      </c>
      <c r="C85" s="100" t="n">
        <v>0.21</v>
      </c>
      <c r="D85" s="100" t="n">
        <v>0.21</v>
      </c>
      <c r="E85" s="101" t="n">
        <f aca="false">CHOOSE(Dashboard!$B$4,B85,C85,D85)</f>
        <v>0.21</v>
      </c>
      <c r="F85" s="38" t="s">
        <v>254</v>
      </c>
      <c r="G85" s="99"/>
    </row>
    <row r="87" customFormat="false" ht="15.75" hidden="false" customHeight="true" outlineLevel="0" collapsed="false">
      <c r="A87" s="7" t="s">
        <v>330</v>
      </c>
      <c r="B87" s="7"/>
      <c r="C87" s="7"/>
      <c r="D87" s="7"/>
      <c r="E87" s="7"/>
      <c r="F87" s="7"/>
      <c r="G87" s="7"/>
    </row>
    <row r="88" customFormat="false" ht="15" hidden="false" customHeight="false" outlineLevel="0" collapsed="false">
      <c r="A88" s="6" t="s">
        <v>140</v>
      </c>
      <c r="B88" s="102" t="n">
        <v>74000</v>
      </c>
      <c r="C88" s="102" t="n">
        <v>74000</v>
      </c>
      <c r="D88" s="102" t="n">
        <v>74000</v>
      </c>
      <c r="E88" s="103" t="n">
        <f aca="false">CHOOSE(Dashboard!$B$4,B88,C88,D88)</f>
        <v>74000</v>
      </c>
      <c r="F88" s="38" t="s">
        <v>265</v>
      </c>
      <c r="G88" s="99" t="s">
        <v>331</v>
      </c>
    </row>
    <row r="90" customFormat="false" ht="15.75" hidden="false" customHeight="true" outlineLevel="0" collapsed="false">
      <c r="A90" s="7" t="s">
        <v>332</v>
      </c>
      <c r="B90" s="7"/>
      <c r="C90" s="7"/>
      <c r="D90" s="7"/>
      <c r="E90" s="7"/>
      <c r="F90" s="7"/>
      <c r="G90" s="7"/>
    </row>
    <row r="91" customFormat="false" ht="15" hidden="false" customHeight="false" outlineLevel="0" collapsed="false">
      <c r="A91" s="6" t="s">
        <v>167</v>
      </c>
      <c r="B91" s="100" t="n">
        <v>0.3</v>
      </c>
      <c r="C91" s="100" t="n">
        <v>0.25</v>
      </c>
      <c r="D91" s="100" t="n">
        <v>0.2</v>
      </c>
      <c r="E91" s="101" t="n">
        <f aca="false">CHOOSE(Dashboard!$B$4,B91,C91,D91)</f>
        <v>0.25</v>
      </c>
      <c r="F91" s="38" t="s">
        <v>254</v>
      </c>
      <c r="G91" s="99" t="s">
        <v>259</v>
      </c>
    </row>
    <row r="92" customFormat="false" ht="15" hidden="false" customHeight="false" outlineLevel="0" collapsed="false">
      <c r="A92" s="6" t="s">
        <v>333</v>
      </c>
      <c r="B92" s="100" t="n">
        <v>0.01</v>
      </c>
      <c r="C92" s="100" t="n">
        <v>0.02</v>
      </c>
      <c r="D92" s="100" t="n">
        <v>0.03</v>
      </c>
      <c r="E92" s="101" t="n">
        <f aca="false">CHOOSE(Dashboard!$B$4,B92,C92,D92)</f>
        <v>0.02</v>
      </c>
      <c r="F92" s="38" t="s">
        <v>254</v>
      </c>
      <c r="G92" s="99" t="s">
        <v>252</v>
      </c>
    </row>
    <row r="93" customFormat="false" ht="15" hidden="false" customHeight="false" outlineLevel="0" collapsed="false">
      <c r="A93" s="6" t="s">
        <v>169</v>
      </c>
      <c r="B93" s="108" t="n">
        <v>3</v>
      </c>
      <c r="C93" s="108" t="n">
        <v>4</v>
      </c>
      <c r="D93" s="108" t="n">
        <v>5</v>
      </c>
      <c r="E93" s="109" t="n">
        <f aca="false">CHOOSE(Dashboard!$B$4,B93,C93,D93)</f>
        <v>4</v>
      </c>
      <c r="F93" s="38" t="s">
        <v>276</v>
      </c>
      <c r="G93" s="99" t="s">
        <v>252</v>
      </c>
    </row>
    <row r="94" customFormat="false" ht="15" hidden="false" customHeight="false" outlineLevel="0" collapsed="false">
      <c r="A94" s="6" t="s">
        <v>334</v>
      </c>
      <c r="B94" s="100" t="n">
        <v>0.01</v>
      </c>
      <c r="C94" s="100" t="n">
        <v>0.01</v>
      </c>
      <c r="D94" s="100" t="n">
        <v>0.01</v>
      </c>
      <c r="E94" s="101" t="n">
        <f aca="false">CHOOSE(Dashboard!$B$4,B94,C94,D94)</f>
        <v>0.01</v>
      </c>
      <c r="F94" s="38" t="s">
        <v>254</v>
      </c>
      <c r="G94" s="99"/>
    </row>
    <row r="95" customFormat="false" ht="15" hidden="false" customHeight="false" outlineLevel="0" collapsed="false">
      <c r="A95" s="6" t="s">
        <v>335</v>
      </c>
      <c r="B95" s="100" t="n">
        <v>0.005</v>
      </c>
      <c r="C95" s="100" t="n">
        <v>0.005</v>
      </c>
      <c r="D95" s="100" t="n">
        <v>0.005</v>
      </c>
      <c r="E95" s="101" t="n">
        <f aca="false">CHOOSE(Dashboard!$B$4,B95,C95,D95)</f>
        <v>0.005</v>
      </c>
      <c r="F95" s="38" t="s">
        <v>254</v>
      </c>
      <c r="G95" s="99"/>
    </row>
    <row r="97" customFormat="false" ht="15" hidden="false" customHeight="false" outlineLevel="0" collapsed="false">
      <c r="A97" s="21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337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  <c r="E3" s="71" t="n">
        <v>4</v>
      </c>
      <c r="F3" s="71" t="n">
        <v>5</v>
      </c>
    </row>
    <row r="4" customFormat="false" ht="15" hidden="false" customHeight="false" outlineLevel="0" collapsed="false">
      <c r="A4" s="33"/>
      <c r="B4" s="51" t="s">
        <v>154</v>
      </c>
      <c r="C4" s="51" t="s">
        <v>155</v>
      </c>
      <c r="D4" s="51" t="s">
        <v>156</v>
      </c>
      <c r="E4" s="51" t="s">
        <v>157</v>
      </c>
      <c r="F4" s="51" t="s">
        <v>158</v>
      </c>
    </row>
    <row r="5" customFormat="false" ht="15" hidden="false" customHeight="false" outlineLevel="0" collapsed="false">
      <c r="A5" s="4" t="s">
        <v>44</v>
      </c>
      <c r="B5" s="72" t="n">
        <f aca="false">SUMIF(Monthly!$C$5:$BJ$5,B$3,Monthly!$C$32:$BJ$32)</f>
        <v>419706.375</v>
      </c>
      <c r="C5" s="72" t="n">
        <f aca="false">SUMIF(Monthly!$C$5:$BJ$5,C$3,Monthly!$C$32:$BJ$32)</f>
        <v>725888.895</v>
      </c>
      <c r="D5" s="72" t="n">
        <f aca="false">SUMIF(Monthly!$C$5:$BJ$5,D$3,Monthly!$C$32:$BJ$32)</f>
        <v>747148.3731</v>
      </c>
      <c r="E5" s="72" t="n">
        <f aca="false">SUMIF(Monthly!$C$5:$BJ$5,E$3,Monthly!$C$32:$BJ$32)</f>
        <v>769562.824293</v>
      </c>
      <c r="F5" s="72" t="n">
        <f aca="false">SUMIF(Monthly!$C$5:$BJ$5,F$3,Monthly!$C$32:$BJ$32)</f>
        <v>792649.70902179</v>
      </c>
    </row>
    <row r="6" customFormat="false" ht="15" hidden="false" customHeight="false" outlineLevel="0" collapsed="false">
      <c r="A6" s="6" t="s">
        <v>75</v>
      </c>
      <c r="B6" s="66" t="n">
        <f aca="false">SUMIF(Monthly!$C$5:$BJ$5,B$3,Monthly!$C$38:$BJ$38)</f>
        <v>-248629</v>
      </c>
      <c r="C6" s="66" t="n">
        <f aca="false">SUMIF(Monthly!$C$5:$BJ$5,C$3,Monthly!$C$38:$BJ$38)</f>
        <v>-362568.24</v>
      </c>
      <c r="D6" s="66" t="n">
        <f aca="false">SUMIF(Monthly!$C$5:$BJ$5,D$3,Monthly!$C$38:$BJ$38)</f>
        <v>-373445.2872</v>
      </c>
      <c r="E6" s="66" t="n">
        <f aca="false">SUMIF(Monthly!$C$5:$BJ$5,E$3,Monthly!$C$38:$BJ$38)</f>
        <v>-384648.645816</v>
      </c>
      <c r="F6" s="66" t="n">
        <f aca="false">SUMIF(Monthly!$C$5:$BJ$5,F$3,Monthly!$C$38:$BJ$38)</f>
        <v>-396188.10519048</v>
      </c>
    </row>
    <row r="7" customFormat="false" ht="15" hidden="false" customHeight="false" outlineLevel="0" collapsed="false">
      <c r="A7" s="110" t="s">
        <v>45</v>
      </c>
      <c r="B7" s="67" t="n">
        <f aca="false">SUMIF(Monthly!$C$5:$BJ$5,B$3,Monthly!$C$39:$BJ$39)</f>
        <v>171077.375</v>
      </c>
      <c r="C7" s="67" t="n">
        <f aca="false">SUMIF(Monthly!$C$5:$BJ$5,C$3,Monthly!$C$39:$BJ$39)</f>
        <v>363320.655</v>
      </c>
      <c r="D7" s="67" t="n">
        <f aca="false">SUMIF(Monthly!$C$5:$BJ$5,D$3,Monthly!$C$39:$BJ$39)</f>
        <v>373703.0859</v>
      </c>
      <c r="E7" s="67" t="n">
        <f aca="false">SUMIF(Monthly!$C$5:$BJ$5,E$3,Monthly!$C$39:$BJ$39)</f>
        <v>384914.178477</v>
      </c>
      <c r="F7" s="67" t="n">
        <f aca="false">SUMIF(Monthly!$C$5:$BJ$5,F$3,Monthly!$C$39:$BJ$39)</f>
        <v>396461.60383131</v>
      </c>
    </row>
    <row r="8" customFormat="false" ht="15" hidden="false" customHeight="false" outlineLevel="0" collapsed="false">
      <c r="A8" s="38" t="s">
        <v>46</v>
      </c>
      <c r="B8" s="73" t="n">
        <f aca="false">IF(B5=0,0,B7/B5)</f>
        <v>0.407612047827484</v>
      </c>
      <c r="C8" s="73" t="n">
        <f aca="false">IF(C5=0,0,C7/C5)</f>
        <v>0.500518271463569</v>
      </c>
      <c r="D8" s="73" t="n">
        <f aca="false">IF(D5=0,0,D7/D5)</f>
        <v>0.50017252175691</v>
      </c>
      <c r="E8" s="73" t="n">
        <f aca="false">IF(E5=0,0,E7/E5)</f>
        <v>0.500172521756911</v>
      </c>
      <c r="F8" s="73" t="n">
        <f aca="false">IF(F5=0,0,F7/F5)</f>
        <v>0.50017252175691</v>
      </c>
    </row>
    <row r="9" customFormat="false" ht="15" hidden="false" customHeight="false" outlineLevel="0" collapsed="false">
      <c r="A9" s="6" t="s">
        <v>338</v>
      </c>
      <c r="B9" s="66" t="n">
        <f aca="false">SUMIF(Monthly!$C$5:$BJ$5,B$3,Monthly!$C$42:$BJ$42)</f>
        <v>-109760</v>
      </c>
      <c r="C9" s="66" t="n">
        <f aca="false">SUMIF(Monthly!$C$5:$BJ$5,C$3,Monthly!$C$42:$BJ$42)</f>
        <v>-113052.8</v>
      </c>
      <c r="D9" s="66" t="n">
        <f aca="false">SUMIF(Monthly!$C$5:$BJ$5,D$3,Monthly!$C$42:$BJ$42)</f>
        <v>-116444.384</v>
      </c>
      <c r="E9" s="66" t="n">
        <f aca="false">SUMIF(Monthly!$C$5:$BJ$5,E$3,Monthly!$C$42:$BJ$42)</f>
        <v>-119937.71552</v>
      </c>
      <c r="F9" s="66" t="n">
        <f aca="false">SUMIF(Monthly!$C$5:$BJ$5,F$3,Monthly!$C$42:$BJ$42)</f>
        <v>-123535.8469856</v>
      </c>
    </row>
    <row r="10" customFormat="false" ht="15" hidden="false" customHeight="false" outlineLevel="0" collapsed="false">
      <c r="A10" s="6" t="s">
        <v>339</v>
      </c>
      <c r="B10" s="66" t="n">
        <f aca="false">SUMIF(Monthly!$C$5:$BJ$5,B$3,Monthly!$C$43:$BJ$43)</f>
        <v>-72000</v>
      </c>
      <c r="C10" s="66" t="n">
        <f aca="false">SUMIF(Monthly!$C$5:$BJ$5,C$3,Monthly!$C$43:$BJ$43)</f>
        <v>-74160</v>
      </c>
      <c r="D10" s="66" t="n">
        <f aca="false">SUMIF(Monthly!$C$5:$BJ$5,D$3,Monthly!$C$43:$BJ$43)</f>
        <v>-76384.8</v>
      </c>
      <c r="E10" s="66" t="n">
        <f aca="false">SUMIF(Monthly!$C$5:$BJ$5,E$3,Monthly!$C$43:$BJ$43)</f>
        <v>-78676.344</v>
      </c>
      <c r="F10" s="66" t="n">
        <f aca="false">SUMIF(Monthly!$C$5:$BJ$5,F$3,Monthly!$C$43:$BJ$43)</f>
        <v>-81036.63432</v>
      </c>
    </row>
    <row r="11" customFormat="false" ht="15" hidden="false" customHeight="false" outlineLevel="0" collapsed="false">
      <c r="A11" s="6" t="s">
        <v>340</v>
      </c>
      <c r="B11" s="66" t="n">
        <f aca="false">SUMIF(Monthly!$C$5:$BJ$5,B$3,Monthly!$C$44:$BJ$44)</f>
        <v>-29250</v>
      </c>
      <c r="C11" s="66" t="n">
        <f aca="false">SUMIF(Monthly!$C$5:$BJ$5,C$3,Monthly!$C$44:$BJ$44)</f>
        <v>-30127.5</v>
      </c>
      <c r="D11" s="66" t="n">
        <f aca="false">SUMIF(Monthly!$C$5:$BJ$5,D$3,Monthly!$C$44:$BJ$44)</f>
        <v>-31031.325</v>
      </c>
      <c r="E11" s="66" t="n">
        <f aca="false">SUMIF(Monthly!$C$5:$BJ$5,E$3,Monthly!$C$44:$BJ$44)</f>
        <v>-31962.26475</v>
      </c>
      <c r="F11" s="66" t="n">
        <f aca="false">SUMIF(Monthly!$C$5:$BJ$5,F$3,Monthly!$C$44:$BJ$44)</f>
        <v>-32921.1326925</v>
      </c>
    </row>
    <row r="12" customFormat="false" ht="15" hidden="false" customHeight="false" outlineLevel="0" collapsed="false">
      <c r="A12" s="6" t="s">
        <v>341</v>
      </c>
      <c r="B12" s="66" t="n">
        <f aca="false">SUMIF(Monthly!$C$5:$BJ$5,B$3,Monthly!$C$45:$BJ$45)</f>
        <v>-21600</v>
      </c>
      <c r="C12" s="66" t="n">
        <f aca="false">SUMIF(Monthly!$C$5:$BJ$5,C$3,Monthly!$C$45:$BJ$45)</f>
        <v>-21600</v>
      </c>
      <c r="D12" s="66" t="n">
        <f aca="false">SUMIF(Monthly!$C$5:$BJ$5,D$3,Monthly!$C$45:$BJ$45)</f>
        <v>-21600</v>
      </c>
      <c r="E12" s="66" t="n">
        <f aca="false">SUMIF(Monthly!$C$5:$BJ$5,E$3,Monthly!$C$45:$BJ$45)</f>
        <v>-21600</v>
      </c>
      <c r="F12" s="66" t="n">
        <f aca="false">SUMIF(Monthly!$C$5:$BJ$5,F$3,Monthly!$C$45:$BJ$45)</f>
        <v>-21600</v>
      </c>
    </row>
    <row r="13" customFormat="false" ht="15" hidden="false" customHeight="false" outlineLevel="0" collapsed="false">
      <c r="A13" s="6" t="s">
        <v>342</v>
      </c>
      <c r="B13" s="66" t="n">
        <f aca="false">SUMIF(Monthly!$C$5:$BJ$5,B$3,Monthly!$C$46:$BJ$46)</f>
        <v>-7200</v>
      </c>
      <c r="C13" s="66" t="n">
        <f aca="false">SUMIF(Monthly!$C$5:$BJ$5,C$3,Monthly!$C$46:$BJ$46)</f>
        <v>-7200</v>
      </c>
      <c r="D13" s="66" t="n">
        <f aca="false">SUMIF(Monthly!$C$5:$BJ$5,D$3,Monthly!$C$46:$BJ$46)</f>
        <v>-7200</v>
      </c>
      <c r="E13" s="66" t="n">
        <f aca="false">SUMIF(Monthly!$C$5:$BJ$5,E$3,Monthly!$C$46:$BJ$46)</f>
        <v>-7200</v>
      </c>
      <c r="F13" s="66" t="n">
        <f aca="false">SUMIF(Monthly!$C$5:$BJ$5,F$3,Monthly!$C$46:$BJ$46)</f>
        <v>-7200</v>
      </c>
    </row>
    <row r="14" customFormat="false" ht="15" hidden="false" customHeight="false" outlineLevel="0" collapsed="false">
      <c r="A14" s="6" t="s">
        <v>343</v>
      </c>
      <c r="B14" s="66" t="n">
        <f aca="false">SUMIF(Monthly!$C$5:$BJ$5,B$3,Monthly!$C$47:$BJ$47)</f>
        <v>-30000</v>
      </c>
      <c r="C14" s="66" t="n">
        <f aca="false">SUMIF(Monthly!$C$5:$BJ$5,C$3,Monthly!$C$47:$BJ$47)</f>
        <v>-30000</v>
      </c>
      <c r="D14" s="66" t="n">
        <f aca="false">SUMIF(Monthly!$C$5:$BJ$5,D$3,Monthly!$C$47:$BJ$47)</f>
        <v>-30000</v>
      </c>
      <c r="E14" s="66" t="n">
        <f aca="false">SUMIF(Monthly!$C$5:$BJ$5,E$3,Monthly!$C$47:$BJ$47)</f>
        <v>-30000</v>
      </c>
      <c r="F14" s="66" t="n">
        <f aca="false">SUMIF(Monthly!$C$5:$BJ$5,F$3,Monthly!$C$47:$BJ$47)</f>
        <v>-30000</v>
      </c>
    </row>
    <row r="15" customFormat="false" ht="15" hidden="false" customHeight="false" outlineLevel="0" collapsed="false">
      <c r="A15" s="6" t="s">
        <v>344</v>
      </c>
      <c r="B15" s="66" t="n">
        <f aca="false">SUMIF(Monthly!$C$5:$BJ$5,B$3,Monthly!$C$48:$BJ$48)</f>
        <v>-4800</v>
      </c>
      <c r="C15" s="66" t="n">
        <f aca="false">SUMIF(Monthly!$C$5:$BJ$5,C$3,Monthly!$C$48:$BJ$48)</f>
        <v>-4800</v>
      </c>
      <c r="D15" s="66" t="n">
        <f aca="false">SUMIF(Monthly!$C$5:$BJ$5,D$3,Monthly!$C$48:$BJ$48)</f>
        <v>-4800</v>
      </c>
      <c r="E15" s="66" t="n">
        <f aca="false">SUMIF(Monthly!$C$5:$BJ$5,E$3,Monthly!$C$48:$BJ$48)</f>
        <v>-4800</v>
      </c>
      <c r="F15" s="66" t="n">
        <f aca="false">SUMIF(Monthly!$C$5:$BJ$5,F$3,Monthly!$C$48:$BJ$48)</f>
        <v>-4800</v>
      </c>
    </row>
    <row r="16" customFormat="false" ht="15" hidden="false" customHeight="false" outlineLevel="0" collapsed="false">
      <c r="A16" s="6" t="s">
        <v>345</v>
      </c>
      <c r="B16" s="66" t="n">
        <f aca="false">SUMIF(Monthly!$C$5:$BJ$5,B$3,Monthly!$C$49:$BJ$49)</f>
        <v>-7918.36875</v>
      </c>
      <c r="C16" s="66" t="n">
        <f aca="false">SUMIF(Monthly!$C$5:$BJ$5,C$3,Monthly!$C$49:$BJ$49)</f>
        <v>-13923.0765</v>
      </c>
      <c r="D16" s="66" t="n">
        <f aca="false">SUMIF(Monthly!$C$5:$BJ$5,D$3,Monthly!$C$49:$BJ$49)</f>
        <v>-14340.768795</v>
      </c>
      <c r="E16" s="66" t="n">
        <f aca="false">SUMIF(Monthly!$C$5:$BJ$5,E$3,Monthly!$C$49:$BJ$49)</f>
        <v>-14770.99185885</v>
      </c>
      <c r="F16" s="66" t="n">
        <f aca="false">SUMIF(Monthly!$C$5:$BJ$5,F$3,Monthly!$C$49:$BJ$49)</f>
        <v>-15214.1216146155</v>
      </c>
    </row>
    <row r="17" customFormat="false" ht="15" hidden="false" customHeight="false" outlineLevel="0" collapsed="false">
      <c r="A17" s="6" t="s">
        <v>346</v>
      </c>
      <c r="B17" s="66" t="n">
        <f aca="false">SUMIF(Monthly!$C$5:$BJ$5,B$3,Monthly!$C$50:$BJ$50)</f>
        <v>-14400</v>
      </c>
      <c r="C17" s="66" t="n">
        <f aca="false">SUMIF(Monthly!$C$5:$BJ$5,C$3,Monthly!$C$50:$BJ$50)</f>
        <v>-14400</v>
      </c>
      <c r="D17" s="66" t="n">
        <f aca="false">SUMIF(Monthly!$C$5:$BJ$5,D$3,Monthly!$C$50:$BJ$50)</f>
        <v>-14400</v>
      </c>
      <c r="E17" s="66" t="n">
        <f aca="false">SUMIF(Monthly!$C$5:$BJ$5,E$3,Monthly!$C$50:$BJ$50)</f>
        <v>-14400</v>
      </c>
      <c r="F17" s="66" t="n">
        <f aca="false">SUMIF(Monthly!$C$5:$BJ$5,F$3,Monthly!$C$50:$BJ$50)</f>
        <v>-14400</v>
      </c>
    </row>
    <row r="18" customFormat="false" ht="15" hidden="false" customHeight="false" outlineLevel="0" collapsed="false">
      <c r="A18" s="110" t="s">
        <v>76</v>
      </c>
      <c r="B18" s="67" t="n">
        <f aca="false">SUMIF(Monthly!$C$5:$BJ$5,B$3,Monthly!$C$51:$BJ$51)</f>
        <v>-296928.36875</v>
      </c>
      <c r="C18" s="67" t="n">
        <f aca="false">SUMIF(Monthly!$C$5:$BJ$5,C$3,Monthly!$C$51:$BJ$51)</f>
        <v>-309263.3765</v>
      </c>
      <c r="D18" s="67" t="n">
        <f aca="false">SUMIF(Monthly!$C$5:$BJ$5,D$3,Monthly!$C$51:$BJ$51)</f>
        <v>-316201.277795</v>
      </c>
      <c r="E18" s="67" t="n">
        <f aca="false">SUMIF(Monthly!$C$5:$BJ$5,E$3,Monthly!$C$51:$BJ$51)</f>
        <v>-323347.31612885</v>
      </c>
      <c r="F18" s="67" t="n">
        <f aca="false">SUMIF(Monthly!$C$5:$BJ$5,F$3,Monthly!$C$51:$BJ$51)</f>
        <v>-330707.735612716</v>
      </c>
    </row>
    <row r="19" customFormat="false" ht="15" hidden="false" customHeight="false" outlineLevel="0" collapsed="false">
      <c r="A19" s="110" t="s">
        <v>48</v>
      </c>
      <c r="B19" s="67" t="n">
        <f aca="false">SUMIF(Monthly!$C$5:$BJ$5,B$3,Monthly!$C$52:$BJ$52)</f>
        <v>-125850.99375</v>
      </c>
      <c r="C19" s="67" t="n">
        <f aca="false">SUMIF(Monthly!$C$5:$BJ$5,C$3,Monthly!$C$52:$BJ$52)</f>
        <v>54057.2784999999</v>
      </c>
      <c r="D19" s="67" t="n">
        <f aca="false">SUMIF(Monthly!$C$5:$BJ$5,D$3,Monthly!$C$52:$BJ$52)</f>
        <v>57501.808105</v>
      </c>
      <c r="E19" s="67" t="n">
        <f aca="false">SUMIF(Monthly!$C$5:$BJ$5,E$3,Monthly!$C$52:$BJ$52)</f>
        <v>61566.86234815</v>
      </c>
      <c r="F19" s="67" t="n">
        <f aca="false">SUMIF(Monthly!$C$5:$BJ$5,F$3,Monthly!$C$52:$BJ$52)</f>
        <v>65753.8682185944</v>
      </c>
    </row>
    <row r="20" customFormat="false" ht="15" hidden="false" customHeight="false" outlineLevel="0" collapsed="false">
      <c r="A20" s="38" t="s">
        <v>49</v>
      </c>
      <c r="B20" s="73" t="n">
        <f aca="false">IF(B5=0,0,B19/B5)</f>
        <v>-0.299854853884457</v>
      </c>
      <c r="C20" s="73" t="n">
        <f aca="false">IF(C5=0,0,C19/C5)</f>
        <v>0.0744704580444091</v>
      </c>
      <c r="D20" s="73" t="n">
        <f aca="false">IF(D5=0,0,D19/D5)</f>
        <v>0.0769616988743731</v>
      </c>
      <c r="E20" s="73" t="n">
        <f aca="false">IF(E5=0,0,E19/E5)</f>
        <v>0.0800023862960268</v>
      </c>
      <c r="F20" s="73" t="n">
        <f aca="false">IF(F5=0,0,F19/F5)</f>
        <v>0.0829545100063701</v>
      </c>
    </row>
    <row r="21" customFormat="false" ht="15" hidden="false" customHeight="false" outlineLevel="0" collapsed="false">
      <c r="A21" s="6" t="s">
        <v>77</v>
      </c>
      <c r="B21" s="66" t="n">
        <f aca="false">SUMIF(Monthly!$C$5:$BJ$5,B$3,Monthly!$C$70:$BJ$70)</f>
        <v>-44200</v>
      </c>
      <c r="C21" s="66" t="n">
        <f aca="false">SUMIF(Monthly!$C$5:$BJ$5,C$3,Monthly!$C$70:$BJ$70)</f>
        <v>-45100</v>
      </c>
      <c r="D21" s="66" t="n">
        <f aca="false">SUMIF(Monthly!$C$5:$BJ$5,D$3,Monthly!$C$70:$BJ$70)</f>
        <v>-46000</v>
      </c>
      <c r="E21" s="66" t="n">
        <f aca="false">SUMIF(Monthly!$C$5:$BJ$5,E$3,Monthly!$C$70:$BJ$70)</f>
        <v>-46900</v>
      </c>
      <c r="F21" s="66" t="n">
        <f aca="false">SUMIF(Monthly!$C$5:$BJ$5,F$3,Monthly!$C$70:$BJ$70)</f>
        <v>-47800</v>
      </c>
    </row>
    <row r="22" customFormat="false" ht="15" hidden="false" customHeight="false" outlineLevel="0" collapsed="false">
      <c r="A22" s="4" t="s">
        <v>78</v>
      </c>
      <c r="B22" s="72" t="n">
        <f aca="false">SUMIF(Monthly!$C$5:$BJ$5,B$3,Monthly!$C$55:$BJ$55)</f>
        <v>-170050.99375</v>
      </c>
      <c r="C22" s="72" t="n">
        <f aca="false">SUMIF(Monthly!$C$5:$BJ$5,C$3,Monthly!$C$55:$BJ$55)</f>
        <v>8957.27849999994</v>
      </c>
      <c r="D22" s="72" t="n">
        <f aca="false">SUMIF(Monthly!$C$5:$BJ$5,D$3,Monthly!$C$55:$BJ$55)</f>
        <v>11501.808105</v>
      </c>
      <c r="E22" s="72" t="n">
        <f aca="false">SUMIF(Monthly!$C$5:$BJ$5,E$3,Monthly!$C$55:$BJ$55)</f>
        <v>14666.86234815</v>
      </c>
      <c r="F22" s="72" t="n">
        <f aca="false">SUMIF(Monthly!$C$5:$BJ$5,F$3,Monthly!$C$55:$BJ$55)</f>
        <v>17953.8682185944</v>
      </c>
    </row>
    <row r="23" customFormat="false" ht="15" hidden="false" customHeight="false" outlineLevel="0" collapsed="false">
      <c r="A23" s="6" t="s">
        <v>79</v>
      </c>
      <c r="B23" s="66" t="n">
        <f aca="false">SUMIF(Monthly!$C$5:$BJ$5,B$3,Monthly!$C$56:$BJ$56)</f>
        <v>-19159.7222222222</v>
      </c>
      <c r="C23" s="66" t="n">
        <f aca="false">SUMIF(Monthly!$C$5:$BJ$5,C$3,Monthly!$C$56:$BJ$56)</f>
        <v>-17166.6666666667</v>
      </c>
      <c r="D23" s="66" t="n">
        <f aca="false">SUMIF(Monthly!$C$5:$BJ$5,D$3,Monthly!$C$56:$BJ$56)</f>
        <v>-15166.6666666666</v>
      </c>
      <c r="E23" s="66" t="n">
        <f aca="false">SUMIF(Monthly!$C$5:$BJ$5,E$3,Monthly!$C$56:$BJ$56)</f>
        <v>-13166.6666666666</v>
      </c>
      <c r="F23" s="66" t="n">
        <f aca="false">SUMIF(Monthly!$C$5:$BJ$5,F$3,Monthly!$C$56:$BJ$56)</f>
        <v>-11166.6666666666</v>
      </c>
    </row>
    <row r="24" customFormat="false" ht="15" hidden="false" customHeight="false" outlineLevel="0" collapsed="false">
      <c r="A24" s="111" t="s">
        <v>80</v>
      </c>
      <c r="B24" s="112" t="n">
        <f aca="false">SUMIF(Monthly!$C$5:$BJ$5,B$3,Monthly!$C$57:$BJ$57)</f>
        <v>-189210.715972222</v>
      </c>
      <c r="C24" s="112" t="n">
        <f aca="false">SUMIF(Monthly!$C$5:$BJ$5,C$3,Monthly!$C$57:$BJ$57)</f>
        <v>-8209.38816666671</v>
      </c>
      <c r="D24" s="112" t="n">
        <f aca="false">SUMIF(Monthly!$C$5:$BJ$5,D$3,Monthly!$C$57:$BJ$57)</f>
        <v>-3664.85856166669</v>
      </c>
      <c r="E24" s="112" t="n">
        <f aca="false">SUMIF(Monthly!$C$5:$BJ$5,E$3,Monthly!$C$57:$BJ$57)</f>
        <v>1500.19568148333</v>
      </c>
      <c r="F24" s="112" t="n">
        <f aca="false">SUMIF(Monthly!$C$5:$BJ$5,F$3,Monthly!$C$57:$BJ$57)</f>
        <v>6787.20155192779</v>
      </c>
    </row>
    <row r="25" customFormat="false" ht="15" hidden="false" customHeight="false" outlineLevel="0" collapsed="false">
      <c r="A25" s="6" t="s">
        <v>81</v>
      </c>
      <c r="B25" s="66" t="n">
        <f aca="false">SUMIF(Monthly!$C$5:$BJ$5,B$3,Monthly!$C$60:$BJ$60)</f>
        <v>0</v>
      </c>
      <c r="C25" s="66" t="n">
        <f aca="false">SUMIF(Monthly!$C$5:$BJ$5,C$3,Monthly!$C$60:$BJ$60)</f>
        <v>0</v>
      </c>
      <c r="D25" s="66" t="n">
        <f aca="false">SUMIF(Monthly!$C$5:$BJ$5,D$3,Monthly!$C$60:$BJ$60)</f>
        <v>0</v>
      </c>
      <c r="E25" s="66" t="n">
        <f aca="false">SUMIF(Monthly!$C$5:$BJ$5,E$3,Monthly!$C$60:$BJ$60)</f>
        <v>0</v>
      </c>
      <c r="F25" s="66" t="n">
        <f aca="false">SUMIF(Monthly!$C$5:$BJ$5,F$3,Monthly!$C$60:$BJ$60)</f>
        <v>0</v>
      </c>
    </row>
    <row r="26" customFormat="false" ht="15" hidden="false" customHeight="false" outlineLevel="0" collapsed="false">
      <c r="A26" s="69" t="s">
        <v>50</v>
      </c>
      <c r="B26" s="70" t="n">
        <f aca="false">SUMIF(Monthly!$C$5:$BJ$5,B$3,Monthly!$C$61:$BJ$61)</f>
        <v>-189210.715972222</v>
      </c>
      <c r="C26" s="70" t="n">
        <f aca="false">SUMIF(Monthly!$C$5:$BJ$5,C$3,Monthly!$C$61:$BJ$61)</f>
        <v>-8209.38816666671</v>
      </c>
      <c r="D26" s="70" t="n">
        <f aca="false">SUMIF(Monthly!$C$5:$BJ$5,D$3,Monthly!$C$61:$BJ$61)</f>
        <v>-3664.85856166669</v>
      </c>
      <c r="E26" s="70" t="n">
        <f aca="false">SUMIF(Monthly!$C$5:$BJ$5,E$3,Monthly!$C$61:$BJ$61)</f>
        <v>1500.19568148333</v>
      </c>
      <c r="F26" s="70" t="n">
        <f aca="false">SUMIF(Monthly!$C$5:$BJ$5,F$3,Monthly!$C$61:$BJ$61)</f>
        <v>6787.20155192779</v>
      </c>
    </row>
    <row r="27" customFormat="false" ht="15" hidden="false" customHeight="false" outlineLevel="0" collapsed="false">
      <c r="A27" s="38" t="s">
        <v>51</v>
      </c>
      <c r="B27" s="73" t="n">
        <f aca="false">IF(B5=0,0,B26/B5)</f>
        <v>-0.450816873992496</v>
      </c>
      <c r="C27" s="73" t="n">
        <f aca="false">IF(C5=0,0,C26/C5)</f>
        <v>-0.0113094279623422</v>
      </c>
      <c r="D27" s="73" t="n">
        <f aca="false">IF(D5=0,0,D26/D5)</f>
        <v>-0.00490512820962293</v>
      </c>
      <c r="E27" s="73" t="n">
        <f aca="false">IF(E5=0,0,E26/E5)</f>
        <v>0.00194941287978868</v>
      </c>
      <c r="F27" s="73" t="n">
        <f aca="false">IF(F5=0,0,F26/F5)</f>
        <v>0.00856267462748947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337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  <c r="E3" s="71" t="n">
        <v>4</v>
      </c>
      <c r="F3" s="71" t="n">
        <v>5</v>
      </c>
    </row>
    <row r="4" customFormat="false" ht="15" hidden="false" customHeight="false" outlineLevel="0" collapsed="false">
      <c r="A4" s="33"/>
      <c r="B4" s="51" t="s">
        <v>154</v>
      </c>
      <c r="C4" s="51" t="s">
        <v>155</v>
      </c>
      <c r="D4" s="51" t="s">
        <v>156</v>
      </c>
      <c r="E4" s="51" t="s">
        <v>157</v>
      </c>
      <c r="F4" s="51" t="s">
        <v>158</v>
      </c>
    </row>
    <row r="5" customFormat="false" ht="15" hidden="false" customHeight="false" outlineLevel="0" collapsed="false">
      <c r="A5" s="6" t="s">
        <v>50</v>
      </c>
      <c r="B5" s="66" t="n">
        <f aca="false">SUMIF(Monthly!$C$5:$BJ$5,B$3,Monthly!$C$61:$BJ$61)</f>
        <v>-189210.715972222</v>
      </c>
      <c r="C5" s="66" t="n">
        <f aca="false">SUMIF(Monthly!$C$5:$BJ$5,C$3,Monthly!$C$61:$BJ$61)</f>
        <v>-8209.38816666671</v>
      </c>
      <c r="D5" s="66" t="n">
        <f aca="false">SUMIF(Monthly!$C$5:$BJ$5,D$3,Monthly!$C$61:$BJ$61)</f>
        <v>-3664.85856166669</v>
      </c>
      <c r="E5" s="66" t="n">
        <f aca="false">SUMIF(Monthly!$C$5:$BJ$5,E$3,Monthly!$C$61:$BJ$61)</f>
        <v>1500.19568148333</v>
      </c>
      <c r="F5" s="66" t="n">
        <f aca="false">SUMIF(Monthly!$C$5:$BJ$5,F$3,Monthly!$C$61:$BJ$61)</f>
        <v>6787.20155192779</v>
      </c>
    </row>
    <row r="6" customFormat="false" ht="15" hidden="false" customHeight="false" outlineLevel="0" collapsed="false">
      <c r="A6" s="6" t="s">
        <v>347</v>
      </c>
      <c r="B6" s="66" t="n">
        <f aca="false">-SUMIF(Monthly!$C$5:$BJ$5,B$3,Monthly!$C$70:$BJ$70)</f>
        <v>44200</v>
      </c>
      <c r="C6" s="66" t="n">
        <f aca="false">-SUMIF(Monthly!$C$5:$BJ$5,C$3,Monthly!$C$70:$BJ$70)</f>
        <v>45100</v>
      </c>
      <c r="D6" s="66" t="n">
        <f aca="false">-SUMIF(Monthly!$C$5:$BJ$5,D$3,Monthly!$C$70:$BJ$70)</f>
        <v>46000</v>
      </c>
      <c r="E6" s="66" t="n">
        <f aca="false">-SUMIF(Monthly!$C$5:$BJ$5,E$3,Monthly!$C$70:$BJ$70)</f>
        <v>46900</v>
      </c>
      <c r="F6" s="66" t="n">
        <f aca="false">-SUMIF(Monthly!$C$5:$BJ$5,F$3,Monthly!$C$70:$BJ$70)</f>
        <v>47800</v>
      </c>
    </row>
    <row r="7" customFormat="false" ht="15" hidden="false" customHeight="false" outlineLevel="0" collapsed="false">
      <c r="A7" s="6" t="s">
        <v>348</v>
      </c>
      <c r="B7" s="66" t="n">
        <f aca="false">SUMIF(Monthly!$C$5:$BJ$5,B$3,Monthly!$C$84:$BJ$84)</f>
        <v>-24022.1854166667</v>
      </c>
      <c r="C7" s="66" t="n">
        <f aca="false">SUMIF(Monthly!$C$5:$BJ$5,C$3,Monthly!$C$84:$BJ$84)</f>
        <v>-2172.33683333333</v>
      </c>
      <c r="D7" s="66" t="n">
        <f aca="false">SUMIF(Monthly!$C$5:$BJ$5,D$3,Monthly!$C$84:$BJ$84)</f>
        <v>-785.8356675</v>
      </c>
      <c r="E7" s="66" t="n">
        <f aca="false">SUMIF(Monthly!$C$5:$BJ$5,E$3,Monthly!$C$84:$BJ$84)</f>
        <v>-809.410737524999</v>
      </c>
      <c r="F7" s="66" t="n">
        <f aca="false">SUMIF(Monthly!$C$5:$BJ$5,F$3,Monthly!$C$84:$BJ$84)</f>
        <v>-833.693059650756</v>
      </c>
    </row>
    <row r="8" customFormat="false" ht="15" hidden="false" customHeight="false" outlineLevel="0" collapsed="false">
      <c r="A8" s="6" t="s">
        <v>349</v>
      </c>
      <c r="B8" s="66" t="n">
        <f aca="false">SUMIF(Monthly!$C$5:$BJ$5,B$3,Monthly!$C$85:$BJ$85)</f>
        <v>-2896.35</v>
      </c>
      <c r="C8" s="66" t="n">
        <f aca="false">SUMIF(Monthly!$C$5:$BJ$5,C$3,Monthly!$C$85:$BJ$85)</f>
        <v>-125.052000000001</v>
      </c>
      <c r="D8" s="66" t="n">
        <f aca="false">SUMIF(Monthly!$C$5:$BJ$5,D$3,Monthly!$C$85:$BJ$85)</f>
        <v>-90.6420599999992</v>
      </c>
      <c r="E8" s="66" t="n">
        <f aca="false">SUMIF(Monthly!$C$5:$BJ$5,E$3,Monthly!$C$85:$BJ$85)</f>
        <v>-93.3613218000005</v>
      </c>
      <c r="F8" s="66" t="n">
        <f aca="false">SUMIF(Monthly!$C$5:$BJ$5,F$3,Monthly!$C$85:$BJ$85)</f>
        <v>-96.1621614540004</v>
      </c>
    </row>
    <row r="9" customFormat="false" ht="15" hidden="false" customHeight="false" outlineLevel="0" collapsed="false">
      <c r="A9" s="6" t="s">
        <v>350</v>
      </c>
      <c r="B9" s="66" t="n">
        <f aca="false">SUMIF(Monthly!$C$5:$BJ$5,B$3,Monthly!$C$86:$BJ$86)</f>
        <v>10619.95</v>
      </c>
      <c r="C9" s="66" t="n">
        <f aca="false">SUMIF(Monthly!$C$5:$BJ$5,C$3,Monthly!$C$86:$BJ$86)</f>
        <v>458.524000000001</v>
      </c>
      <c r="D9" s="66" t="n">
        <f aca="false">SUMIF(Monthly!$C$5:$BJ$5,D$3,Monthly!$C$86:$BJ$86)</f>
        <v>332.354219999997</v>
      </c>
      <c r="E9" s="66" t="n">
        <f aca="false">SUMIF(Monthly!$C$5:$BJ$5,E$3,Monthly!$C$86:$BJ$86)</f>
        <v>342.324846600002</v>
      </c>
      <c r="F9" s="66" t="n">
        <f aca="false">SUMIF(Monthly!$C$5:$BJ$5,F$3,Monthly!$C$86:$BJ$86)</f>
        <v>352.594591998002</v>
      </c>
    </row>
    <row r="10" customFormat="false" ht="15" hidden="false" customHeight="false" outlineLevel="0" collapsed="false">
      <c r="A10" s="110" t="s">
        <v>52</v>
      </c>
      <c r="B10" s="67" t="n">
        <f aca="false">SUMIF(Monthly!$C$5:$BJ$5,B$3,Monthly!$C$89:$BJ$89)</f>
        <v>-161309.301388889</v>
      </c>
      <c r="C10" s="67" t="n">
        <f aca="false">SUMIF(Monthly!$C$5:$BJ$5,C$3,Monthly!$C$89:$BJ$89)</f>
        <v>35051.747</v>
      </c>
      <c r="D10" s="67" t="n">
        <f aca="false">SUMIF(Monthly!$C$5:$BJ$5,D$3,Monthly!$C$89:$BJ$89)</f>
        <v>41791.0179308333</v>
      </c>
      <c r="E10" s="67" t="n">
        <f aca="false">SUMIF(Monthly!$C$5:$BJ$5,E$3,Monthly!$C$89:$BJ$89)</f>
        <v>47839.7484687583</v>
      </c>
      <c r="F10" s="67" t="n">
        <f aca="false">SUMIF(Monthly!$C$5:$BJ$5,F$3,Monthly!$C$89:$BJ$89)</f>
        <v>54009.940922821</v>
      </c>
    </row>
    <row r="11" customFormat="false" ht="15" hidden="false" customHeight="false" outlineLevel="0" collapsed="false">
      <c r="A11" s="6" t="s">
        <v>83</v>
      </c>
      <c r="B11" s="66" t="n">
        <f aca="false">SUMIF(Monthly!$C$5:$BJ$5,B$3,Monthly!$C$90:$BJ$90)</f>
        <v>-442000</v>
      </c>
      <c r="C11" s="66" t="n">
        <f aca="false">SUMIF(Monthly!$C$5:$BJ$5,C$3,Monthly!$C$90:$BJ$90)</f>
        <v>-9000</v>
      </c>
      <c r="D11" s="66" t="n">
        <f aca="false">SUMIF(Monthly!$C$5:$BJ$5,D$3,Monthly!$C$90:$BJ$90)</f>
        <v>-9000</v>
      </c>
      <c r="E11" s="66" t="n">
        <f aca="false">SUMIF(Monthly!$C$5:$BJ$5,E$3,Monthly!$C$90:$BJ$90)</f>
        <v>-9000</v>
      </c>
      <c r="F11" s="66" t="n">
        <f aca="false">SUMIF(Monthly!$C$5:$BJ$5,F$3,Monthly!$C$90:$BJ$90)</f>
        <v>-9000</v>
      </c>
    </row>
    <row r="12" customFormat="false" ht="15" hidden="false" customHeight="false" outlineLevel="0" collapsed="false">
      <c r="A12" s="6" t="s">
        <v>63</v>
      </c>
      <c r="B12" s="66" t="n">
        <f aca="false">SUMIF(Monthly!$C$5:$BJ$5,B$3,Monthly!$C$91:$BJ$91)</f>
        <v>450000</v>
      </c>
      <c r="C12" s="66" t="n">
        <f aca="false">SUMIF(Monthly!$C$5:$BJ$5,C$3,Monthly!$C$91:$BJ$91)</f>
        <v>0</v>
      </c>
      <c r="D12" s="66" t="n">
        <f aca="false">SUMIF(Monthly!$C$5:$BJ$5,D$3,Monthly!$C$91:$BJ$91)</f>
        <v>0</v>
      </c>
      <c r="E12" s="66" t="n">
        <f aca="false">SUMIF(Monthly!$C$5:$BJ$5,E$3,Monthly!$C$91:$BJ$91)</f>
        <v>0</v>
      </c>
      <c r="F12" s="66" t="n">
        <f aca="false">SUMIF(Monthly!$C$5:$BJ$5,F$3,Monthly!$C$91:$BJ$91)</f>
        <v>0</v>
      </c>
    </row>
    <row r="13" customFormat="false" ht="15" hidden="false" customHeight="false" outlineLevel="0" collapsed="false">
      <c r="A13" s="6" t="s">
        <v>84</v>
      </c>
      <c r="B13" s="66" t="n">
        <f aca="false">SUMIF(Monthly!$C$5:$BJ$5,B$3,Monthly!$C$76:$BJ$76)</f>
        <v>250000</v>
      </c>
      <c r="C13" s="66" t="n">
        <f aca="false">SUMIF(Monthly!$C$5:$BJ$5,C$3,Monthly!$C$76:$BJ$76)</f>
        <v>0</v>
      </c>
      <c r="D13" s="66" t="n">
        <f aca="false">SUMIF(Monthly!$C$5:$BJ$5,D$3,Monthly!$C$76:$BJ$76)</f>
        <v>0</v>
      </c>
      <c r="E13" s="66" t="n">
        <f aca="false">SUMIF(Monthly!$C$5:$BJ$5,E$3,Monthly!$C$76:$BJ$76)</f>
        <v>0</v>
      </c>
      <c r="F13" s="66" t="n">
        <f aca="false">SUMIF(Monthly!$C$5:$BJ$5,F$3,Monthly!$C$76:$BJ$76)</f>
        <v>0</v>
      </c>
    </row>
    <row r="14" customFormat="false" ht="15" hidden="false" customHeight="false" outlineLevel="0" collapsed="false">
      <c r="A14" s="6" t="s">
        <v>85</v>
      </c>
      <c r="B14" s="66" t="n">
        <f aca="false">SUMIF(Monthly!$C$5:$BJ$5,B$3,Monthly!$C$77:$BJ$77)</f>
        <v>-22916.6666666667</v>
      </c>
      <c r="C14" s="66" t="n">
        <f aca="false">SUMIF(Monthly!$C$5:$BJ$5,C$3,Monthly!$C$77:$BJ$77)</f>
        <v>-25000</v>
      </c>
      <c r="D14" s="66" t="n">
        <f aca="false">SUMIF(Monthly!$C$5:$BJ$5,D$3,Monthly!$C$77:$BJ$77)</f>
        <v>-25000</v>
      </c>
      <c r="E14" s="66" t="n">
        <f aca="false">SUMIF(Monthly!$C$5:$BJ$5,E$3,Monthly!$C$77:$BJ$77)</f>
        <v>-25000</v>
      </c>
      <c r="F14" s="66" t="n">
        <f aca="false">SUMIF(Monthly!$C$5:$BJ$5,F$3,Monthly!$C$77:$BJ$77)</f>
        <v>-25000</v>
      </c>
    </row>
    <row r="15" customFormat="false" ht="15" hidden="false" customHeight="false" outlineLevel="0" collapsed="false">
      <c r="A15" s="110" t="s">
        <v>54</v>
      </c>
      <c r="B15" s="67" t="n">
        <f aca="false">SUMIF(Monthly!$C$5:$BJ$5,B$3,Monthly!$C$92:$BJ$92)</f>
        <v>677083.333333333</v>
      </c>
      <c r="C15" s="67" t="n">
        <f aca="false">SUMIF(Monthly!$C$5:$BJ$5,C$3,Monthly!$C$92:$BJ$92)</f>
        <v>-25000</v>
      </c>
      <c r="D15" s="67" t="n">
        <f aca="false">SUMIF(Monthly!$C$5:$BJ$5,D$3,Monthly!$C$92:$BJ$92)</f>
        <v>-25000</v>
      </c>
      <c r="E15" s="67" t="n">
        <f aca="false">SUMIF(Monthly!$C$5:$BJ$5,E$3,Monthly!$C$92:$BJ$92)</f>
        <v>-25000</v>
      </c>
      <c r="F15" s="67" t="n">
        <f aca="false">SUMIF(Monthly!$C$5:$BJ$5,F$3,Monthly!$C$92:$BJ$92)</f>
        <v>-25000</v>
      </c>
    </row>
    <row r="16" customFormat="false" ht="15" hidden="false" customHeight="false" outlineLevel="0" collapsed="false">
      <c r="A16" s="4" t="s">
        <v>55</v>
      </c>
      <c r="B16" s="72" t="n">
        <f aca="false">SUMIF(Monthly!$C$5:$BJ$5,B$3,Monthly!$C$93:$BJ$93)</f>
        <v>73774.0319444445</v>
      </c>
      <c r="C16" s="72" t="n">
        <f aca="false">SUMIF(Monthly!$C$5:$BJ$5,C$3,Monthly!$C$93:$BJ$93)</f>
        <v>1051.74699999996</v>
      </c>
      <c r="D16" s="72" t="n">
        <f aca="false">SUMIF(Monthly!$C$5:$BJ$5,D$3,Monthly!$C$93:$BJ$93)</f>
        <v>7791.01793083331</v>
      </c>
      <c r="E16" s="72" t="n">
        <f aca="false">SUMIF(Monthly!$C$5:$BJ$5,E$3,Monthly!$C$93:$BJ$93)</f>
        <v>13839.7484687583</v>
      </c>
      <c r="F16" s="72" t="n">
        <f aca="false">SUMIF(Monthly!$C$5:$BJ$5,F$3,Monthly!$C$93:$BJ$93)</f>
        <v>20009.940922821</v>
      </c>
    </row>
    <row r="17" customFormat="false" ht="15" hidden="false" customHeight="false" outlineLevel="0" collapsed="false">
      <c r="A17" s="6" t="s">
        <v>351</v>
      </c>
      <c r="B17" s="66" t="n">
        <f aca="false">INDEX(Monthly!$C$94:$BJ$94,(B$3-1)*12+1)</f>
        <v>0</v>
      </c>
      <c r="C17" s="66" t="n">
        <f aca="false">INDEX(Monthly!$C$94:$BJ$94,(C$3-1)*12+1)</f>
        <v>73774.0319444445</v>
      </c>
      <c r="D17" s="66" t="n">
        <f aca="false">INDEX(Monthly!$C$94:$BJ$94,(D$3-1)*12+1)</f>
        <v>74825.7789444444</v>
      </c>
      <c r="E17" s="66" t="n">
        <f aca="false">INDEX(Monthly!$C$94:$BJ$94,(E$3-1)*12+1)</f>
        <v>82616.7968752778</v>
      </c>
      <c r="F17" s="66" t="n">
        <f aca="false">INDEX(Monthly!$C$94:$BJ$94,(F$3-1)*12+1)</f>
        <v>96456.5453440361</v>
      </c>
    </row>
    <row r="18" customFormat="false" ht="15" hidden="false" customHeight="false" outlineLevel="0" collapsed="false">
      <c r="A18" s="69" t="s">
        <v>86</v>
      </c>
      <c r="B18" s="70" t="n">
        <f aca="false">INDEX(Monthly!$C$95:$BJ$95,B$3*12)</f>
        <v>73774.0319444445</v>
      </c>
      <c r="C18" s="70" t="n">
        <f aca="false">INDEX(Monthly!$C$95:$BJ$95,C$3*12)</f>
        <v>74825.7789444444</v>
      </c>
      <c r="D18" s="70" t="n">
        <f aca="false">INDEX(Monthly!$C$95:$BJ$95,D$3*12)</f>
        <v>82616.7968752778</v>
      </c>
      <c r="E18" s="70" t="n">
        <f aca="false">INDEX(Monthly!$C$95:$BJ$95,E$3*12)</f>
        <v>96456.5453440361</v>
      </c>
      <c r="F18" s="70" t="n">
        <f aca="false">INDEX(Monthly!$C$95:$BJ$95,F$3*12)</f>
        <v>116466.486266857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337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  <c r="E3" s="71" t="n">
        <v>4</v>
      </c>
      <c r="F3" s="71" t="n">
        <v>5</v>
      </c>
    </row>
    <row r="4" customFormat="false" ht="15" hidden="false" customHeight="false" outlineLevel="0" collapsed="false">
      <c r="A4" s="33"/>
      <c r="B4" s="51" t="s">
        <v>154</v>
      </c>
      <c r="C4" s="51" t="s">
        <v>155</v>
      </c>
      <c r="D4" s="51" t="s">
        <v>156</v>
      </c>
      <c r="E4" s="51" t="s">
        <v>157</v>
      </c>
      <c r="F4" s="51" t="s">
        <v>158</v>
      </c>
    </row>
    <row r="5" customFormat="false" ht="15" hidden="false" customHeight="false" outlineLevel="0" collapsed="false">
      <c r="A5" s="6" t="s">
        <v>88</v>
      </c>
      <c r="B5" s="66" t="n">
        <f aca="false">INDEX(Monthly!$C$95:$BJ$95,B$3*12)</f>
        <v>73774.0319444445</v>
      </c>
      <c r="C5" s="66" t="n">
        <f aca="false">INDEX(Monthly!$C$95:$BJ$95,C$3*12)</f>
        <v>74825.7789444444</v>
      </c>
      <c r="D5" s="66" t="n">
        <f aca="false">INDEX(Monthly!$C$95:$BJ$95,D$3*12)</f>
        <v>82616.7968752778</v>
      </c>
      <c r="E5" s="66" t="n">
        <f aca="false">INDEX(Monthly!$C$95:$BJ$95,E$3*12)</f>
        <v>96456.5453440361</v>
      </c>
      <c r="F5" s="66" t="n">
        <f aca="false">INDEX(Monthly!$C$95:$BJ$95,F$3*12)</f>
        <v>116466.486266857</v>
      </c>
    </row>
    <row r="6" customFormat="false" ht="15" hidden="false" customHeight="false" outlineLevel="0" collapsed="false">
      <c r="A6" s="6" t="s">
        <v>89</v>
      </c>
      <c r="B6" s="66" t="n">
        <f aca="false">INDEX(Monthly!$C$81:$BJ$81,B$3*12)</f>
        <v>24022.1854166667</v>
      </c>
      <c r="C6" s="66" t="n">
        <f aca="false">INDEX(Monthly!$C$81:$BJ$81,C$3*12)</f>
        <v>26194.52225</v>
      </c>
      <c r="D6" s="66" t="n">
        <f aca="false">INDEX(Monthly!$C$81:$BJ$81,D$3*12)</f>
        <v>26980.3579175</v>
      </c>
      <c r="E6" s="66" t="n">
        <f aca="false">INDEX(Monthly!$C$81:$BJ$81,E$3*12)</f>
        <v>27789.768655025</v>
      </c>
      <c r="F6" s="66" t="n">
        <f aca="false">INDEX(Monthly!$C$81:$BJ$81,F$3*12)</f>
        <v>28623.4617146758</v>
      </c>
    </row>
    <row r="7" customFormat="false" ht="15" hidden="false" customHeight="false" outlineLevel="0" collapsed="false">
      <c r="A7" s="6" t="s">
        <v>90</v>
      </c>
      <c r="B7" s="66" t="n">
        <f aca="false">INDEX(Monthly!$C$82:$BJ$82,B$3*12)</f>
        <v>2896.35</v>
      </c>
      <c r="C7" s="66" t="n">
        <f aca="false">INDEX(Monthly!$C$82:$BJ$82,C$3*12)</f>
        <v>3021.402</v>
      </c>
      <c r="D7" s="66" t="n">
        <f aca="false">INDEX(Monthly!$C$82:$BJ$82,D$3*12)</f>
        <v>3112.04406</v>
      </c>
      <c r="E7" s="66" t="n">
        <f aca="false">INDEX(Monthly!$C$82:$BJ$82,E$3*12)</f>
        <v>3205.4053818</v>
      </c>
      <c r="F7" s="66" t="n">
        <f aca="false">INDEX(Monthly!$C$82:$BJ$82,F$3*12)</f>
        <v>3301.567543254</v>
      </c>
    </row>
    <row r="8" customFormat="false" ht="15" hidden="false" customHeight="false" outlineLevel="0" collapsed="false">
      <c r="A8" s="6" t="s">
        <v>91</v>
      </c>
      <c r="B8" s="66" t="n">
        <f aca="false">INDEX(Monthly!$C$72:$BJ$72,B$3*12)</f>
        <v>397800</v>
      </c>
      <c r="C8" s="66" t="n">
        <f aca="false">INDEX(Monthly!$C$72:$BJ$72,C$3*12)</f>
        <v>361700</v>
      </c>
      <c r="D8" s="66" t="n">
        <f aca="false">INDEX(Monthly!$C$72:$BJ$72,D$3*12)</f>
        <v>324700</v>
      </c>
      <c r="E8" s="66" t="n">
        <f aca="false">INDEX(Monthly!$C$72:$BJ$72,E$3*12)</f>
        <v>286800</v>
      </c>
      <c r="F8" s="66" t="n">
        <f aca="false">INDEX(Monthly!$C$72:$BJ$72,F$3*12)</f>
        <v>248000</v>
      </c>
    </row>
    <row r="9" customFormat="false" ht="15" hidden="false" customHeight="false" outlineLevel="0" collapsed="false">
      <c r="A9" s="110" t="s">
        <v>92</v>
      </c>
      <c r="B9" s="67" t="n">
        <f aca="false">INDEX(Monthly!$C$109:$BJ$109,B$3*12)</f>
        <v>498492.567361111</v>
      </c>
      <c r="C9" s="67" t="n">
        <f aca="false">INDEX(Monthly!$C$109:$BJ$109,C$3*12)</f>
        <v>465741.703194444</v>
      </c>
      <c r="D9" s="67" t="n">
        <f aca="false">INDEX(Monthly!$C$109:$BJ$109,D$3*12)</f>
        <v>437409.198852778</v>
      </c>
      <c r="E9" s="67" t="n">
        <f aca="false">INDEX(Monthly!$C$109:$BJ$109,E$3*12)</f>
        <v>414251.719380861</v>
      </c>
      <c r="F9" s="67" t="n">
        <f aca="false">INDEX(Monthly!$C$109:$BJ$109,F$3*12)</f>
        <v>396391.515524787</v>
      </c>
    </row>
    <row r="10" customFormat="false" ht="15" hidden="false" customHeight="false" outlineLevel="0" collapsed="false">
      <c r="A10" s="6" t="s">
        <v>93</v>
      </c>
      <c r="B10" s="66" t="n">
        <f aca="false">INDEX(Monthly!$C$83:$BJ$83,B$3*12)</f>
        <v>10619.95</v>
      </c>
      <c r="C10" s="66" t="n">
        <f aca="false">INDEX(Monthly!$C$83:$BJ$83,C$3*12)</f>
        <v>11078.474</v>
      </c>
      <c r="D10" s="66" t="n">
        <f aca="false">INDEX(Monthly!$C$83:$BJ$83,D$3*12)</f>
        <v>11410.82822</v>
      </c>
      <c r="E10" s="66" t="n">
        <f aca="false">INDEX(Monthly!$C$83:$BJ$83,E$3*12)</f>
        <v>11753.1530666</v>
      </c>
      <c r="F10" s="66" t="n">
        <f aca="false">INDEX(Monthly!$C$83:$BJ$83,F$3*12)</f>
        <v>12105.747658598</v>
      </c>
    </row>
    <row r="11" customFormat="false" ht="15" hidden="false" customHeight="false" outlineLevel="0" collapsed="false">
      <c r="A11" s="6" t="s">
        <v>94</v>
      </c>
      <c r="B11" s="66" t="n">
        <f aca="false">INDEX(Monthly!$C$78:$BJ$78,B$3*12)</f>
        <v>227083.333333333</v>
      </c>
      <c r="C11" s="66" t="n">
        <f aca="false">INDEX(Monthly!$C$78:$BJ$78,C$3*12)</f>
        <v>202083.333333333</v>
      </c>
      <c r="D11" s="66" t="n">
        <f aca="false">INDEX(Monthly!$C$78:$BJ$78,D$3*12)</f>
        <v>177083.333333333</v>
      </c>
      <c r="E11" s="66" t="n">
        <f aca="false">INDEX(Monthly!$C$78:$BJ$78,E$3*12)</f>
        <v>152083.333333333</v>
      </c>
      <c r="F11" s="66" t="n">
        <f aca="false">INDEX(Monthly!$C$78:$BJ$78,F$3*12)</f>
        <v>127083.333333333</v>
      </c>
    </row>
    <row r="12" customFormat="false" ht="15" hidden="false" customHeight="false" outlineLevel="0" collapsed="false">
      <c r="A12" s="111" t="s">
        <v>95</v>
      </c>
      <c r="B12" s="112" t="n">
        <f aca="false">INDEX(Monthly!$C$110:$BJ$110,B$3*12)</f>
        <v>237703.283333333</v>
      </c>
      <c r="C12" s="112" t="n">
        <f aca="false">INDEX(Monthly!$C$110:$BJ$110,C$3*12)</f>
        <v>213161.807333333</v>
      </c>
      <c r="D12" s="112" t="n">
        <f aca="false">INDEX(Monthly!$C$110:$BJ$110,D$3*12)</f>
        <v>188494.161553333</v>
      </c>
      <c r="E12" s="112" t="n">
        <f aca="false">INDEX(Monthly!$C$110:$BJ$110,E$3*12)</f>
        <v>163836.486399933</v>
      </c>
      <c r="F12" s="112" t="n">
        <f aca="false">INDEX(Monthly!$C$110:$BJ$110,F$3*12)</f>
        <v>139189.080991931</v>
      </c>
    </row>
    <row r="13" customFormat="false" ht="15" hidden="false" customHeight="false" outlineLevel="0" collapsed="false">
      <c r="A13" s="6" t="s">
        <v>96</v>
      </c>
      <c r="B13" s="66" t="n">
        <f aca="false">INDEX(Monthly!$C$107:$BJ$107,B$3*12)</f>
        <v>450000</v>
      </c>
      <c r="C13" s="66" t="n">
        <f aca="false">INDEX(Monthly!$C$107:$BJ$107,C$3*12)</f>
        <v>450000</v>
      </c>
      <c r="D13" s="66" t="n">
        <f aca="false">INDEX(Monthly!$C$107:$BJ$107,D$3*12)</f>
        <v>450000</v>
      </c>
      <c r="E13" s="66" t="n">
        <f aca="false">INDEX(Monthly!$C$107:$BJ$107,E$3*12)</f>
        <v>450000</v>
      </c>
      <c r="F13" s="66" t="n">
        <f aca="false">INDEX(Monthly!$C$107:$BJ$107,F$3*12)</f>
        <v>450000</v>
      </c>
    </row>
    <row r="14" customFormat="false" ht="15" hidden="false" customHeight="false" outlineLevel="0" collapsed="false">
      <c r="A14" s="6" t="s">
        <v>97</v>
      </c>
      <c r="B14" s="66" t="n">
        <f aca="false">INDEX(Monthly!$C$108:$BJ$108,B$3*12)</f>
        <v>-189210.715972222</v>
      </c>
      <c r="C14" s="66" t="n">
        <f aca="false">INDEX(Monthly!$C$108:$BJ$108,C$3*12)</f>
        <v>-197420.104138889</v>
      </c>
      <c r="D14" s="66" t="n">
        <f aca="false">INDEX(Monthly!$C$108:$BJ$108,D$3*12)</f>
        <v>-201084.962700556</v>
      </c>
      <c r="E14" s="66" t="n">
        <f aca="false">INDEX(Monthly!$C$108:$BJ$108,E$3*12)</f>
        <v>-199584.767019072</v>
      </c>
      <c r="F14" s="66" t="n">
        <f aca="false">INDEX(Monthly!$C$108:$BJ$108,F$3*12)</f>
        <v>-192797.565467144</v>
      </c>
    </row>
    <row r="15" customFormat="false" ht="15" hidden="false" customHeight="false" outlineLevel="0" collapsed="false">
      <c r="A15" s="111" t="s">
        <v>98</v>
      </c>
      <c r="B15" s="112" t="n">
        <f aca="false">INDEX(Monthly!$C$111:$BJ$111,B$3*12)</f>
        <v>260789.284027778</v>
      </c>
      <c r="C15" s="112" t="n">
        <f aca="false">INDEX(Monthly!$C$111:$BJ$111,C$3*12)</f>
        <v>252579.895861111</v>
      </c>
      <c r="D15" s="112" t="n">
        <f aca="false">INDEX(Monthly!$C$111:$BJ$111,D$3*12)</f>
        <v>248915.037299444</v>
      </c>
      <c r="E15" s="112" t="n">
        <f aca="false">INDEX(Monthly!$C$111:$BJ$111,E$3*12)</f>
        <v>250415.232980928</v>
      </c>
      <c r="F15" s="112" t="n">
        <f aca="false">INDEX(Monthly!$C$111:$BJ$111,F$3*12)</f>
        <v>257202.434532856</v>
      </c>
    </row>
    <row r="16" customFormat="false" ht="15" hidden="false" customHeight="false" outlineLevel="0" collapsed="false">
      <c r="A16" s="69" t="s">
        <v>99</v>
      </c>
      <c r="B16" s="70" t="n">
        <f aca="false">INDEX(Monthly!$C$112:$BJ$112,B$3*12)</f>
        <v>498492.567361111</v>
      </c>
      <c r="C16" s="70" t="n">
        <f aca="false">INDEX(Monthly!$C$112:$BJ$112,C$3*12)</f>
        <v>465741.703194444</v>
      </c>
      <c r="D16" s="70" t="n">
        <f aca="false">INDEX(Monthly!$C$112:$BJ$112,D$3*12)</f>
        <v>437409.198852777</v>
      </c>
      <c r="E16" s="70" t="n">
        <f aca="false">INDEX(Monthly!$C$112:$BJ$112,E$3*12)</f>
        <v>414251.719380861</v>
      </c>
      <c r="F16" s="70" t="n">
        <f aca="false">INDEX(Monthly!$C$112:$BJ$112,F$3*12)</f>
        <v>396391.515524786</v>
      </c>
    </row>
    <row r="17" customFormat="false" ht="15" hidden="false" customHeight="false" outlineLevel="0" collapsed="false">
      <c r="A17" s="6" t="s">
        <v>352</v>
      </c>
      <c r="B17" s="66" t="n">
        <f aca="false">INDEX(Monthly!$C$113:$BJ$113,B$3*12)</f>
        <v>0</v>
      </c>
      <c r="C17" s="66" t="n">
        <f aca="false">INDEX(Monthly!$C$113:$BJ$113,C$3*12)</f>
        <v>0</v>
      </c>
      <c r="D17" s="66" t="n">
        <f aca="false">INDEX(Monthly!$C$113:$BJ$113,D$3*12)</f>
        <v>0</v>
      </c>
      <c r="E17" s="66" t="n">
        <f aca="false">INDEX(Monthly!$C$113:$BJ$113,E$3*12)</f>
        <v>0</v>
      </c>
      <c r="F17" s="66" t="n">
        <f aca="false">INDEX(Monthly!$C$113:$BJ$113,F$3*12)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353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354</v>
      </c>
    </row>
    <row r="3" customFormat="false" ht="15" hidden="false" customHeight="false" outlineLevel="0" collapsed="false">
      <c r="A3" s="33" t="s">
        <v>355</v>
      </c>
      <c r="C3" s="51" t="s">
        <v>356</v>
      </c>
      <c r="D3" s="51" t="s">
        <v>357</v>
      </c>
      <c r="E3" s="51" t="s">
        <v>358</v>
      </c>
      <c r="F3" s="51" t="s">
        <v>359</v>
      </c>
      <c r="G3" s="51" t="s">
        <v>360</v>
      </c>
      <c r="H3" s="51" t="s">
        <v>361</v>
      </c>
      <c r="I3" s="51" t="s">
        <v>362</v>
      </c>
      <c r="J3" s="51" t="s">
        <v>363</v>
      </c>
      <c r="K3" s="51" t="s">
        <v>364</v>
      </c>
      <c r="L3" s="51" t="s">
        <v>365</v>
      </c>
      <c r="M3" s="51" t="s">
        <v>366</v>
      </c>
      <c r="N3" s="51" t="s">
        <v>367</v>
      </c>
      <c r="O3" s="51" t="s">
        <v>368</v>
      </c>
      <c r="P3" s="51" t="s">
        <v>369</v>
      </c>
      <c r="Q3" s="51" t="s">
        <v>370</v>
      </c>
      <c r="R3" s="51" t="s">
        <v>371</v>
      </c>
      <c r="S3" s="51" t="s">
        <v>372</v>
      </c>
      <c r="T3" s="51" t="s">
        <v>373</v>
      </c>
      <c r="U3" s="51" t="s">
        <v>374</v>
      </c>
      <c r="V3" s="51" t="s">
        <v>375</v>
      </c>
      <c r="W3" s="51" t="s">
        <v>376</v>
      </c>
      <c r="X3" s="51" t="s">
        <v>377</v>
      </c>
      <c r="Y3" s="51" t="s">
        <v>378</v>
      </c>
      <c r="Z3" s="51" t="s">
        <v>379</v>
      </c>
      <c r="AA3" s="51" t="s">
        <v>380</v>
      </c>
      <c r="AB3" s="51" t="s">
        <v>381</v>
      </c>
      <c r="AC3" s="51" t="s">
        <v>382</v>
      </c>
      <c r="AD3" s="51" t="s">
        <v>383</v>
      </c>
      <c r="AE3" s="51" t="s">
        <v>384</v>
      </c>
      <c r="AF3" s="51" t="s">
        <v>385</v>
      </c>
      <c r="AG3" s="51" t="s">
        <v>386</v>
      </c>
      <c r="AH3" s="51" t="s">
        <v>387</v>
      </c>
      <c r="AI3" s="51" t="s">
        <v>388</v>
      </c>
      <c r="AJ3" s="51" t="s">
        <v>389</v>
      </c>
      <c r="AK3" s="51" t="s">
        <v>390</v>
      </c>
      <c r="AL3" s="51" t="s">
        <v>391</v>
      </c>
      <c r="AM3" s="51" t="s">
        <v>392</v>
      </c>
      <c r="AN3" s="51" t="s">
        <v>393</v>
      </c>
      <c r="AO3" s="51" t="s">
        <v>394</v>
      </c>
      <c r="AP3" s="51" t="s">
        <v>395</v>
      </c>
      <c r="AQ3" s="51" t="s">
        <v>396</v>
      </c>
      <c r="AR3" s="51" t="s">
        <v>397</v>
      </c>
      <c r="AS3" s="51" t="s">
        <v>398</v>
      </c>
      <c r="AT3" s="51" t="s">
        <v>399</v>
      </c>
      <c r="AU3" s="51" t="s">
        <v>400</v>
      </c>
      <c r="AV3" s="51" t="s">
        <v>401</v>
      </c>
      <c r="AW3" s="51" t="s">
        <v>402</v>
      </c>
      <c r="AX3" s="51" t="s">
        <v>403</v>
      </c>
      <c r="AY3" s="51" t="s">
        <v>404</v>
      </c>
      <c r="AZ3" s="51" t="s">
        <v>405</v>
      </c>
      <c r="BA3" s="51" t="s">
        <v>406</v>
      </c>
      <c r="BB3" s="51" t="s">
        <v>407</v>
      </c>
      <c r="BC3" s="51" t="s">
        <v>408</v>
      </c>
      <c r="BD3" s="51" t="s">
        <v>409</v>
      </c>
      <c r="BE3" s="51" t="s">
        <v>410</v>
      </c>
      <c r="BF3" s="51" t="s">
        <v>411</v>
      </c>
      <c r="BG3" s="51" t="s">
        <v>412</v>
      </c>
      <c r="BH3" s="51" t="s">
        <v>413</v>
      </c>
      <c r="BI3" s="51" t="s">
        <v>414</v>
      </c>
      <c r="BJ3" s="51" t="s">
        <v>415</v>
      </c>
    </row>
    <row r="4" customFormat="false" ht="15" hidden="false" customHeight="false" outlineLevel="0" collapsed="false">
      <c r="A4" s="71" t="s">
        <v>416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  <c r="AM4" s="71" t="n">
        <v>37</v>
      </c>
      <c r="AN4" s="71" t="n">
        <v>38</v>
      </c>
      <c r="AO4" s="71" t="n">
        <v>39</v>
      </c>
      <c r="AP4" s="71" t="n">
        <v>40</v>
      </c>
      <c r="AQ4" s="71" t="n">
        <v>41</v>
      </c>
      <c r="AR4" s="71" t="n">
        <v>42</v>
      </c>
      <c r="AS4" s="71" t="n">
        <v>43</v>
      </c>
      <c r="AT4" s="71" t="n">
        <v>44</v>
      </c>
      <c r="AU4" s="71" t="n">
        <v>45</v>
      </c>
      <c r="AV4" s="71" t="n">
        <v>46</v>
      </c>
      <c r="AW4" s="71" t="n">
        <v>47</v>
      </c>
      <c r="AX4" s="71" t="n">
        <v>48</v>
      </c>
      <c r="AY4" s="71" t="n">
        <v>49</v>
      </c>
      <c r="AZ4" s="71" t="n">
        <v>50</v>
      </c>
      <c r="BA4" s="71" t="n">
        <v>51</v>
      </c>
      <c r="BB4" s="71" t="n">
        <v>52</v>
      </c>
      <c r="BC4" s="71" t="n">
        <v>53</v>
      </c>
      <c r="BD4" s="71" t="n">
        <v>54</v>
      </c>
      <c r="BE4" s="71" t="n">
        <v>55</v>
      </c>
      <c r="BF4" s="71" t="n">
        <v>56</v>
      </c>
      <c r="BG4" s="71" t="n">
        <v>57</v>
      </c>
      <c r="BH4" s="71" t="n">
        <v>58</v>
      </c>
      <c r="BI4" s="71" t="n">
        <v>59</v>
      </c>
      <c r="BJ4" s="71" t="n">
        <v>60</v>
      </c>
    </row>
    <row r="5" customFormat="false" ht="15" hidden="false" customHeight="false" outlineLevel="0" collapsed="false">
      <c r="A5" s="71" t="s">
        <v>153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  <c r="AM5" s="71" t="n">
        <f aca="false">ROUNDUP(AM4*1/12,0)</f>
        <v>4</v>
      </c>
      <c r="AN5" s="71" t="n">
        <f aca="false">ROUNDUP(AN4*1/12,0)</f>
        <v>4</v>
      </c>
      <c r="AO5" s="71" t="n">
        <f aca="false">ROUNDUP(AO4*1/12,0)</f>
        <v>4</v>
      </c>
      <c r="AP5" s="71" t="n">
        <f aca="false">ROUNDUP(AP4*1/12,0)</f>
        <v>4</v>
      </c>
      <c r="AQ5" s="71" t="n">
        <f aca="false">ROUNDUP(AQ4*1/12,0)</f>
        <v>4</v>
      </c>
      <c r="AR5" s="71" t="n">
        <f aca="false">ROUNDUP(AR4*1/12,0)</f>
        <v>4</v>
      </c>
      <c r="AS5" s="71" t="n">
        <f aca="false">ROUNDUP(AS4*1/12,0)</f>
        <v>4</v>
      </c>
      <c r="AT5" s="71" t="n">
        <f aca="false">ROUNDUP(AT4*1/12,0)</f>
        <v>4</v>
      </c>
      <c r="AU5" s="71" t="n">
        <f aca="false">ROUNDUP(AU4*1/12,0)</f>
        <v>4</v>
      </c>
      <c r="AV5" s="71" t="n">
        <f aca="false">ROUNDUP(AV4*1/12,0)</f>
        <v>4</v>
      </c>
      <c r="AW5" s="71" t="n">
        <f aca="false">ROUNDUP(AW4*1/12,0)</f>
        <v>4</v>
      </c>
      <c r="AX5" s="71" t="n">
        <f aca="false">ROUNDUP(AX4*1/12,0)</f>
        <v>4</v>
      </c>
      <c r="AY5" s="71" t="n">
        <f aca="false">ROUNDUP(AY4*1/12,0)</f>
        <v>5</v>
      </c>
      <c r="AZ5" s="71" t="n">
        <f aca="false">ROUNDUP(AZ4*1/12,0)</f>
        <v>5</v>
      </c>
      <c r="BA5" s="71" t="n">
        <f aca="false">ROUNDUP(BA4*1/12,0)</f>
        <v>5</v>
      </c>
      <c r="BB5" s="71" t="n">
        <f aca="false">ROUNDUP(BB4*1/12,0)</f>
        <v>5</v>
      </c>
      <c r="BC5" s="71" t="n">
        <f aca="false">ROUNDUP(BC4*1/12,0)</f>
        <v>5</v>
      </c>
      <c r="BD5" s="71" t="n">
        <f aca="false">ROUNDUP(BD4*1/12,0)</f>
        <v>5</v>
      </c>
      <c r="BE5" s="71" t="n">
        <f aca="false">ROUNDUP(BE4*1/12,0)</f>
        <v>5</v>
      </c>
      <c r="BF5" s="71" t="n">
        <f aca="false">ROUNDUP(BF4*1/12,0)</f>
        <v>5</v>
      </c>
      <c r="BG5" s="71" t="n">
        <f aca="false">ROUNDUP(BG4*1/12,0)</f>
        <v>5</v>
      </c>
      <c r="BH5" s="71" t="n">
        <f aca="false">ROUNDUP(BH4*1/12,0)</f>
        <v>5</v>
      </c>
      <c r="BI5" s="71" t="n">
        <f aca="false">ROUNDUP(BI4*1/12,0)</f>
        <v>5</v>
      </c>
      <c r="BJ5" s="71" t="n">
        <f aca="false">ROUNDUP(BJ4*1/12,0)</f>
        <v>5</v>
      </c>
    </row>
    <row r="7" customFormat="false" ht="15.75" hidden="false" customHeight="true" outlineLevel="0" collapsed="false">
      <c r="A7" s="7" t="s">
        <v>248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417</v>
      </c>
      <c r="C8" s="113" t="n">
        <f aca="false">Inputs!$E$7+Inputs!$E$8*(C$5-1)</f>
        <v>60</v>
      </c>
      <c r="D8" s="113" t="n">
        <f aca="false">Inputs!$E$7+Inputs!$E$8*(D$5-1)</f>
        <v>60</v>
      </c>
      <c r="E8" s="113" t="n">
        <f aca="false">Inputs!$E$7+Inputs!$E$8*(E$5-1)</f>
        <v>60</v>
      </c>
      <c r="F8" s="113" t="n">
        <f aca="false">Inputs!$E$7+Inputs!$E$8*(F$5-1)</f>
        <v>60</v>
      </c>
      <c r="G8" s="113" t="n">
        <f aca="false">Inputs!$E$7+Inputs!$E$8*(G$5-1)</f>
        <v>60</v>
      </c>
      <c r="H8" s="113" t="n">
        <f aca="false">Inputs!$E$7+Inputs!$E$8*(H$5-1)</f>
        <v>60</v>
      </c>
      <c r="I8" s="113" t="n">
        <f aca="false">Inputs!$E$7+Inputs!$E$8*(I$5-1)</f>
        <v>60</v>
      </c>
      <c r="J8" s="113" t="n">
        <f aca="false">Inputs!$E$7+Inputs!$E$8*(J$5-1)</f>
        <v>60</v>
      </c>
      <c r="K8" s="113" t="n">
        <f aca="false">Inputs!$E$7+Inputs!$E$8*(K$5-1)</f>
        <v>60</v>
      </c>
      <c r="L8" s="113" t="n">
        <f aca="false">Inputs!$E$7+Inputs!$E$8*(L$5-1)</f>
        <v>60</v>
      </c>
      <c r="M8" s="113" t="n">
        <f aca="false">Inputs!$E$7+Inputs!$E$8*(M$5-1)</f>
        <v>60</v>
      </c>
      <c r="N8" s="113" t="n">
        <f aca="false">Inputs!$E$7+Inputs!$E$8*(N$5-1)</f>
        <v>60</v>
      </c>
      <c r="O8" s="113" t="n">
        <f aca="false">Inputs!$E$7+Inputs!$E$8*(O$5-1)</f>
        <v>60</v>
      </c>
      <c r="P8" s="113" t="n">
        <f aca="false">Inputs!$E$7+Inputs!$E$8*(P$5-1)</f>
        <v>60</v>
      </c>
      <c r="Q8" s="113" t="n">
        <f aca="false">Inputs!$E$7+Inputs!$E$8*(Q$5-1)</f>
        <v>60</v>
      </c>
      <c r="R8" s="113" t="n">
        <f aca="false">Inputs!$E$7+Inputs!$E$8*(R$5-1)</f>
        <v>60</v>
      </c>
      <c r="S8" s="113" t="n">
        <f aca="false">Inputs!$E$7+Inputs!$E$8*(S$5-1)</f>
        <v>60</v>
      </c>
      <c r="T8" s="113" t="n">
        <f aca="false">Inputs!$E$7+Inputs!$E$8*(T$5-1)</f>
        <v>60</v>
      </c>
      <c r="U8" s="113" t="n">
        <f aca="false">Inputs!$E$7+Inputs!$E$8*(U$5-1)</f>
        <v>60</v>
      </c>
      <c r="V8" s="113" t="n">
        <f aca="false">Inputs!$E$7+Inputs!$E$8*(V$5-1)</f>
        <v>60</v>
      </c>
      <c r="W8" s="113" t="n">
        <f aca="false">Inputs!$E$7+Inputs!$E$8*(W$5-1)</f>
        <v>60</v>
      </c>
      <c r="X8" s="113" t="n">
        <f aca="false">Inputs!$E$7+Inputs!$E$8*(X$5-1)</f>
        <v>60</v>
      </c>
      <c r="Y8" s="113" t="n">
        <f aca="false">Inputs!$E$7+Inputs!$E$8*(Y$5-1)</f>
        <v>60</v>
      </c>
      <c r="Z8" s="113" t="n">
        <f aca="false">Inputs!$E$7+Inputs!$E$8*(Z$5-1)</f>
        <v>60</v>
      </c>
      <c r="AA8" s="113" t="n">
        <f aca="false">Inputs!$E$7+Inputs!$E$8*(AA$5-1)</f>
        <v>60</v>
      </c>
      <c r="AB8" s="113" t="n">
        <f aca="false">Inputs!$E$7+Inputs!$E$8*(AB$5-1)</f>
        <v>60</v>
      </c>
      <c r="AC8" s="113" t="n">
        <f aca="false">Inputs!$E$7+Inputs!$E$8*(AC$5-1)</f>
        <v>60</v>
      </c>
      <c r="AD8" s="113" t="n">
        <f aca="false">Inputs!$E$7+Inputs!$E$8*(AD$5-1)</f>
        <v>60</v>
      </c>
      <c r="AE8" s="113" t="n">
        <f aca="false">Inputs!$E$7+Inputs!$E$8*(AE$5-1)</f>
        <v>60</v>
      </c>
      <c r="AF8" s="113" t="n">
        <f aca="false">Inputs!$E$7+Inputs!$E$8*(AF$5-1)</f>
        <v>60</v>
      </c>
      <c r="AG8" s="113" t="n">
        <f aca="false">Inputs!$E$7+Inputs!$E$8*(AG$5-1)</f>
        <v>60</v>
      </c>
      <c r="AH8" s="113" t="n">
        <f aca="false">Inputs!$E$7+Inputs!$E$8*(AH$5-1)</f>
        <v>60</v>
      </c>
      <c r="AI8" s="113" t="n">
        <f aca="false">Inputs!$E$7+Inputs!$E$8*(AI$5-1)</f>
        <v>60</v>
      </c>
      <c r="AJ8" s="113" t="n">
        <f aca="false">Inputs!$E$7+Inputs!$E$8*(AJ$5-1)</f>
        <v>60</v>
      </c>
      <c r="AK8" s="113" t="n">
        <f aca="false">Inputs!$E$7+Inputs!$E$8*(AK$5-1)</f>
        <v>60</v>
      </c>
      <c r="AL8" s="113" t="n">
        <f aca="false">Inputs!$E$7+Inputs!$E$8*(AL$5-1)</f>
        <v>60</v>
      </c>
      <c r="AM8" s="113" t="n">
        <f aca="false">Inputs!$E$7+Inputs!$E$8*(AM$5-1)</f>
        <v>60</v>
      </c>
      <c r="AN8" s="113" t="n">
        <f aca="false">Inputs!$E$7+Inputs!$E$8*(AN$5-1)</f>
        <v>60</v>
      </c>
      <c r="AO8" s="113" t="n">
        <f aca="false">Inputs!$E$7+Inputs!$E$8*(AO$5-1)</f>
        <v>60</v>
      </c>
      <c r="AP8" s="113" t="n">
        <f aca="false">Inputs!$E$7+Inputs!$E$8*(AP$5-1)</f>
        <v>60</v>
      </c>
      <c r="AQ8" s="113" t="n">
        <f aca="false">Inputs!$E$7+Inputs!$E$8*(AQ$5-1)</f>
        <v>60</v>
      </c>
      <c r="AR8" s="113" t="n">
        <f aca="false">Inputs!$E$7+Inputs!$E$8*(AR$5-1)</f>
        <v>60</v>
      </c>
      <c r="AS8" s="113" t="n">
        <f aca="false">Inputs!$E$7+Inputs!$E$8*(AS$5-1)</f>
        <v>60</v>
      </c>
      <c r="AT8" s="113" t="n">
        <f aca="false">Inputs!$E$7+Inputs!$E$8*(AT$5-1)</f>
        <v>60</v>
      </c>
      <c r="AU8" s="113" t="n">
        <f aca="false">Inputs!$E$7+Inputs!$E$8*(AU$5-1)</f>
        <v>60</v>
      </c>
      <c r="AV8" s="113" t="n">
        <f aca="false">Inputs!$E$7+Inputs!$E$8*(AV$5-1)</f>
        <v>60</v>
      </c>
      <c r="AW8" s="113" t="n">
        <f aca="false">Inputs!$E$7+Inputs!$E$8*(AW$5-1)</f>
        <v>60</v>
      </c>
      <c r="AX8" s="113" t="n">
        <f aca="false">Inputs!$E$7+Inputs!$E$8*(AX$5-1)</f>
        <v>60</v>
      </c>
      <c r="AY8" s="113" t="n">
        <f aca="false">Inputs!$E$7+Inputs!$E$8*(AY$5-1)</f>
        <v>60</v>
      </c>
      <c r="AZ8" s="113" t="n">
        <f aca="false">Inputs!$E$7+Inputs!$E$8*(AZ$5-1)</f>
        <v>60</v>
      </c>
      <c r="BA8" s="113" t="n">
        <f aca="false">Inputs!$E$7+Inputs!$E$8*(BA$5-1)</f>
        <v>60</v>
      </c>
      <c r="BB8" s="113" t="n">
        <f aca="false">Inputs!$E$7+Inputs!$E$8*(BB$5-1)</f>
        <v>60</v>
      </c>
      <c r="BC8" s="113" t="n">
        <f aca="false">Inputs!$E$7+Inputs!$E$8*(BC$5-1)</f>
        <v>60</v>
      </c>
      <c r="BD8" s="113" t="n">
        <f aca="false">Inputs!$E$7+Inputs!$E$8*(BD$5-1)</f>
        <v>60</v>
      </c>
      <c r="BE8" s="113" t="n">
        <f aca="false">Inputs!$E$7+Inputs!$E$8*(BE$5-1)</f>
        <v>60</v>
      </c>
      <c r="BF8" s="113" t="n">
        <f aca="false">Inputs!$E$7+Inputs!$E$8*(BF$5-1)</f>
        <v>60</v>
      </c>
      <c r="BG8" s="113" t="n">
        <f aca="false">Inputs!$E$7+Inputs!$E$8*(BG$5-1)</f>
        <v>60</v>
      </c>
      <c r="BH8" s="113" t="n">
        <f aca="false">Inputs!$E$7+Inputs!$E$8*(BH$5-1)</f>
        <v>60</v>
      </c>
      <c r="BI8" s="113" t="n">
        <f aca="false">Inputs!$E$7+Inputs!$E$8*(BI$5-1)</f>
        <v>60</v>
      </c>
      <c r="BJ8" s="113" t="n">
        <f aca="false">Inputs!$E$7+Inputs!$E$8*(BJ$5-1)</f>
        <v>60</v>
      </c>
    </row>
    <row r="9" customFormat="false" ht="15" hidden="false" customHeight="false" outlineLevel="0" collapsed="false">
      <c r="A9" s="38" t="s">
        <v>418</v>
      </c>
      <c r="C9" s="73" t="n">
        <f aca="false">MIN(Inputs!$E$11,Inputs!$E$10)</f>
        <v>0.2</v>
      </c>
      <c r="D9" s="73" t="n">
        <f aca="false">MIN(Inputs!$E$11,Inputs!$E$10)</f>
        <v>0.2</v>
      </c>
      <c r="E9" s="73" t="n">
        <f aca="false">MIN(Inputs!$E$11,Inputs!$E$10)</f>
        <v>0.2</v>
      </c>
      <c r="F9" s="73" t="n">
        <f aca="false">MIN(Inputs!$E$11,Inputs!$E$10)</f>
        <v>0.2</v>
      </c>
      <c r="G9" s="73" t="n">
        <f aca="false">MIN(Inputs!$E$11,Inputs!$E$10)</f>
        <v>0.2</v>
      </c>
      <c r="H9" s="73" t="n">
        <f aca="false">MIN(Inputs!$E$11,Inputs!$E$10)</f>
        <v>0.2</v>
      </c>
      <c r="I9" s="73" t="n">
        <f aca="false">MIN(Inputs!$E$11,Inputs!$E$10)</f>
        <v>0.2</v>
      </c>
      <c r="J9" s="73" t="n">
        <f aca="false">MIN(Inputs!$E$11,Inputs!$E$10)</f>
        <v>0.2</v>
      </c>
      <c r="K9" s="73" t="n">
        <f aca="false">MIN(Inputs!$E$11,Inputs!$E$10)</f>
        <v>0.2</v>
      </c>
      <c r="L9" s="73" t="n">
        <f aca="false">MIN(Inputs!$E$11,Inputs!$E$10)</f>
        <v>0.2</v>
      </c>
      <c r="M9" s="73" t="n">
        <f aca="false">MIN(Inputs!$E$11,Inputs!$E$10)</f>
        <v>0.2</v>
      </c>
      <c r="N9" s="73" t="n">
        <f aca="false">MIN(Inputs!$E$11,Inputs!$E$10)</f>
        <v>0.2</v>
      </c>
      <c r="O9" s="73" t="n">
        <f aca="false">MIN(Inputs!$E$11,Inputs!$E$10)</f>
        <v>0.2</v>
      </c>
      <c r="P9" s="73" t="n">
        <f aca="false">MIN(Inputs!$E$11,Inputs!$E$10)</f>
        <v>0.2</v>
      </c>
      <c r="Q9" s="73" t="n">
        <f aca="false">MIN(Inputs!$E$11,Inputs!$E$10)</f>
        <v>0.2</v>
      </c>
      <c r="R9" s="73" t="n">
        <f aca="false">MIN(Inputs!$E$11,Inputs!$E$10)</f>
        <v>0.2</v>
      </c>
      <c r="S9" s="73" t="n">
        <f aca="false">MIN(Inputs!$E$11,Inputs!$E$10)</f>
        <v>0.2</v>
      </c>
      <c r="T9" s="73" t="n">
        <f aca="false">MIN(Inputs!$E$11,Inputs!$E$10)</f>
        <v>0.2</v>
      </c>
      <c r="U9" s="73" t="n">
        <f aca="false">MIN(Inputs!$E$11,Inputs!$E$10)</f>
        <v>0.2</v>
      </c>
      <c r="V9" s="73" t="n">
        <f aca="false">MIN(Inputs!$E$11,Inputs!$E$10)</f>
        <v>0.2</v>
      </c>
      <c r="W9" s="73" t="n">
        <f aca="false">MIN(Inputs!$E$11,Inputs!$E$10)</f>
        <v>0.2</v>
      </c>
      <c r="X9" s="73" t="n">
        <f aca="false">MIN(Inputs!$E$11,Inputs!$E$10)</f>
        <v>0.2</v>
      </c>
      <c r="Y9" s="73" t="n">
        <f aca="false">MIN(Inputs!$E$11,Inputs!$E$10)</f>
        <v>0.2</v>
      </c>
      <c r="Z9" s="73" t="n">
        <f aca="false">MIN(Inputs!$E$11,Inputs!$E$10)</f>
        <v>0.2</v>
      </c>
      <c r="AA9" s="73" t="n">
        <f aca="false">MIN(Inputs!$E$11,Inputs!$E$10)</f>
        <v>0.2</v>
      </c>
      <c r="AB9" s="73" t="n">
        <f aca="false">MIN(Inputs!$E$11,Inputs!$E$10)</f>
        <v>0.2</v>
      </c>
      <c r="AC9" s="73" t="n">
        <f aca="false">MIN(Inputs!$E$11,Inputs!$E$10)</f>
        <v>0.2</v>
      </c>
      <c r="AD9" s="73" t="n">
        <f aca="false">MIN(Inputs!$E$11,Inputs!$E$10)</f>
        <v>0.2</v>
      </c>
      <c r="AE9" s="73" t="n">
        <f aca="false">MIN(Inputs!$E$11,Inputs!$E$10)</f>
        <v>0.2</v>
      </c>
      <c r="AF9" s="73" t="n">
        <f aca="false">MIN(Inputs!$E$11,Inputs!$E$10)</f>
        <v>0.2</v>
      </c>
      <c r="AG9" s="73" t="n">
        <f aca="false">MIN(Inputs!$E$11,Inputs!$E$10)</f>
        <v>0.2</v>
      </c>
      <c r="AH9" s="73" t="n">
        <f aca="false">MIN(Inputs!$E$11,Inputs!$E$10)</f>
        <v>0.2</v>
      </c>
      <c r="AI9" s="73" t="n">
        <f aca="false">MIN(Inputs!$E$11,Inputs!$E$10)</f>
        <v>0.2</v>
      </c>
      <c r="AJ9" s="73" t="n">
        <f aca="false">MIN(Inputs!$E$11,Inputs!$E$10)</f>
        <v>0.2</v>
      </c>
      <c r="AK9" s="73" t="n">
        <f aca="false">MIN(Inputs!$E$11,Inputs!$E$10)</f>
        <v>0.2</v>
      </c>
      <c r="AL9" s="73" t="n">
        <f aca="false">MIN(Inputs!$E$11,Inputs!$E$10)</f>
        <v>0.2</v>
      </c>
      <c r="AM9" s="73" t="n">
        <f aca="false">MIN(Inputs!$E$11,Inputs!$E$10)</f>
        <v>0.2</v>
      </c>
      <c r="AN9" s="73" t="n">
        <f aca="false">MIN(Inputs!$E$11,Inputs!$E$10)</f>
        <v>0.2</v>
      </c>
      <c r="AO9" s="73" t="n">
        <f aca="false">MIN(Inputs!$E$11,Inputs!$E$10)</f>
        <v>0.2</v>
      </c>
      <c r="AP9" s="73" t="n">
        <f aca="false">MIN(Inputs!$E$11,Inputs!$E$10)</f>
        <v>0.2</v>
      </c>
      <c r="AQ9" s="73" t="n">
        <f aca="false">MIN(Inputs!$E$11,Inputs!$E$10)</f>
        <v>0.2</v>
      </c>
      <c r="AR9" s="73" t="n">
        <f aca="false">MIN(Inputs!$E$11,Inputs!$E$10)</f>
        <v>0.2</v>
      </c>
      <c r="AS9" s="73" t="n">
        <f aca="false">MIN(Inputs!$E$11,Inputs!$E$10)</f>
        <v>0.2</v>
      </c>
      <c r="AT9" s="73" t="n">
        <f aca="false">MIN(Inputs!$E$11,Inputs!$E$10)</f>
        <v>0.2</v>
      </c>
      <c r="AU9" s="73" t="n">
        <f aca="false">MIN(Inputs!$E$11,Inputs!$E$10)</f>
        <v>0.2</v>
      </c>
      <c r="AV9" s="73" t="n">
        <f aca="false">MIN(Inputs!$E$11,Inputs!$E$10)</f>
        <v>0.2</v>
      </c>
      <c r="AW9" s="73" t="n">
        <f aca="false">MIN(Inputs!$E$11,Inputs!$E$10)</f>
        <v>0.2</v>
      </c>
      <c r="AX9" s="73" t="n">
        <f aca="false">MIN(Inputs!$E$11,Inputs!$E$10)</f>
        <v>0.2</v>
      </c>
      <c r="AY9" s="73" t="n">
        <f aca="false">MIN(Inputs!$E$11,Inputs!$E$10)</f>
        <v>0.2</v>
      </c>
      <c r="AZ9" s="73" t="n">
        <f aca="false">MIN(Inputs!$E$11,Inputs!$E$10)</f>
        <v>0.2</v>
      </c>
      <c r="BA9" s="73" t="n">
        <f aca="false">MIN(Inputs!$E$11,Inputs!$E$10)</f>
        <v>0.2</v>
      </c>
      <c r="BB9" s="73" t="n">
        <f aca="false">MIN(Inputs!$E$11,Inputs!$E$10)</f>
        <v>0.2</v>
      </c>
      <c r="BC9" s="73" t="n">
        <f aca="false">MIN(Inputs!$E$11,Inputs!$E$10)</f>
        <v>0.2</v>
      </c>
      <c r="BD9" s="73" t="n">
        <f aca="false">MIN(Inputs!$E$11,Inputs!$E$10)</f>
        <v>0.2</v>
      </c>
      <c r="BE9" s="73" t="n">
        <f aca="false">MIN(Inputs!$E$11,Inputs!$E$10)</f>
        <v>0.2</v>
      </c>
      <c r="BF9" s="73" t="n">
        <f aca="false">MIN(Inputs!$E$11,Inputs!$E$10)</f>
        <v>0.2</v>
      </c>
      <c r="BG9" s="73" t="n">
        <f aca="false">MIN(Inputs!$E$11,Inputs!$E$10)</f>
        <v>0.2</v>
      </c>
      <c r="BH9" s="73" t="n">
        <f aca="false">MIN(Inputs!$E$11,Inputs!$E$10)</f>
        <v>0.2</v>
      </c>
      <c r="BI9" s="73" t="n">
        <f aca="false">MIN(Inputs!$E$11,Inputs!$E$10)</f>
        <v>0.2</v>
      </c>
      <c r="BJ9" s="73" t="n">
        <f aca="false">MIN(Inputs!$E$11,Inputs!$E$10)</f>
        <v>0.2</v>
      </c>
    </row>
    <row r="10" customFormat="false" ht="15" hidden="false" customHeight="false" outlineLevel="0" collapsed="false">
      <c r="A10" s="114" t="s">
        <v>419</v>
      </c>
      <c r="C10" s="115" t="n">
        <f aca="false">MAX(0,MIN(1,Inputs!$E$12-(C$4-1)*1))</f>
        <v>1</v>
      </c>
      <c r="D10" s="115" t="n">
        <f aca="false">MAX(0,MIN(1,Inputs!$E$12-(D$4-1)*1))</f>
        <v>1</v>
      </c>
      <c r="E10" s="115" t="n">
        <f aca="false">MAX(0,MIN(1,Inputs!$E$12-(E$4-1)*1))</f>
        <v>1</v>
      </c>
      <c r="F10" s="115" t="n">
        <f aca="false">MAX(0,MIN(1,Inputs!$E$12-(F$4-1)*1))</f>
        <v>1</v>
      </c>
      <c r="G10" s="115" t="n">
        <f aca="false">MAX(0,MIN(1,Inputs!$E$12-(G$4-1)*1))</f>
        <v>1</v>
      </c>
      <c r="H10" s="115" t="n">
        <f aca="false">MAX(0,MIN(1,Inputs!$E$12-(H$4-1)*1))</f>
        <v>1</v>
      </c>
      <c r="I10" s="115" t="n">
        <f aca="false">MAX(0,MIN(1,Inputs!$E$12-(I$4-1)*1))</f>
        <v>1</v>
      </c>
      <c r="J10" s="115" t="n">
        <f aca="false">MAX(0,MIN(1,Inputs!$E$12-(J$4-1)*1))</f>
        <v>1</v>
      </c>
      <c r="K10" s="115" t="n">
        <f aca="false">MAX(0,MIN(1,Inputs!$E$12-(K$4-1)*1))</f>
        <v>1</v>
      </c>
      <c r="L10" s="115" t="n">
        <f aca="false">MAX(0,MIN(1,Inputs!$E$12-(L$4-1)*1))</f>
        <v>1</v>
      </c>
      <c r="M10" s="115" t="n">
        <f aca="false">MAX(0,MIN(1,Inputs!$E$12-(M$4-1)*1))</f>
        <v>1</v>
      </c>
      <c r="N10" s="115" t="n">
        <f aca="false">MAX(0,MIN(1,Inputs!$E$12-(N$4-1)*1))</f>
        <v>1</v>
      </c>
      <c r="O10" s="115" t="n">
        <f aca="false">MAX(0,MIN(1,Inputs!$E$12-(O$4-1)*1))</f>
        <v>0</v>
      </c>
      <c r="P10" s="115" t="n">
        <f aca="false">MAX(0,MIN(1,Inputs!$E$12-(P$4-1)*1))</f>
        <v>0</v>
      </c>
      <c r="Q10" s="115" t="n">
        <f aca="false">MAX(0,MIN(1,Inputs!$E$12-(Q$4-1)*1))</f>
        <v>0</v>
      </c>
      <c r="R10" s="115" t="n">
        <f aca="false">MAX(0,MIN(1,Inputs!$E$12-(R$4-1)*1))</f>
        <v>0</v>
      </c>
      <c r="S10" s="115" t="n">
        <f aca="false">MAX(0,MIN(1,Inputs!$E$12-(S$4-1)*1))</f>
        <v>0</v>
      </c>
      <c r="T10" s="115" t="n">
        <f aca="false">MAX(0,MIN(1,Inputs!$E$12-(T$4-1)*1))</f>
        <v>0</v>
      </c>
      <c r="U10" s="115" t="n">
        <f aca="false">MAX(0,MIN(1,Inputs!$E$12-(U$4-1)*1))</f>
        <v>0</v>
      </c>
      <c r="V10" s="115" t="n">
        <f aca="false">MAX(0,MIN(1,Inputs!$E$12-(V$4-1)*1))</f>
        <v>0</v>
      </c>
      <c r="W10" s="115" t="n">
        <f aca="false">MAX(0,MIN(1,Inputs!$E$12-(W$4-1)*1))</f>
        <v>0</v>
      </c>
      <c r="X10" s="115" t="n">
        <f aca="false">MAX(0,MIN(1,Inputs!$E$12-(X$4-1)*1))</f>
        <v>0</v>
      </c>
      <c r="Y10" s="115" t="n">
        <f aca="false">MAX(0,MIN(1,Inputs!$E$12-(Y$4-1)*1))</f>
        <v>0</v>
      </c>
      <c r="Z10" s="115" t="n">
        <f aca="false">MAX(0,MIN(1,Inputs!$E$12-(Z$4-1)*1))</f>
        <v>0</v>
      </c>
      <c r="AA10" s="115" t="n">
        <f aca="false">MAX(0,MIN(1,Inputs!$E$12-(AA$4-1)*1))</f>
        <v>0</v>
      </c>
      <c r="AB10" s="115" t="n">
        <f aca="false">MAX(0,MIN(1,Inputs!$E$12-(AB$4-1)*1))</f>
        <v>0</v>
      </c>
      <c r="AC10" s="115" t="n">
        <f aca="false">MAX(0,MIN(1,Inputs!$E$12-(AC$4-1)*1))</f>
        <v>0</v>
      </c>
      <c r="AD10" s="115" t="n">
        <f aca="false">MAX(0,MIN(1,Inputs!$E$12-(AD$4-1)*1))</f>
        <v>0</v>
      </c>
      <c r="AE10" s="115" t="n">
        <f aca="false">MAX(0,MIN(1,Inputs!$E$12-(AE$4-1)*1))</f>
        <v>0</v>
      </c>
      <c r="AF10" s="115" t="n">
        <f aca="false">MAX(0,MIN(1,Inputs!$E$12-(AF$4-1)*1))</f>
        <v>0</v>
      </c>
      <c r="AG10" s="115" t="n">
        <f aca="false">MAX(0,MIN(1,Inputs!$E$12-(AG$4-1)*1))</f>
        <v>0</v>
      </c>
      <c r="AH10" s="115" t="n">
        <f aca="false">MAX(0,MIN(1,Inputs!$E$12-(AH$4-1)*1))</f>
        <v>0</v>
      </c>
      <c r="AI10" s="115" t="n">
        <f aca="false">MAX(0,MIN(1,Inputs!$E$12-(AI$4-1)*1))</f>
        <v>0</v>
      </c>
      <c r="AJ10" s="115" t="n">
        <f aca="false">MAX(0,MIN(1,Inputs!$E$12-(AJ$4-1)*1))</f>
        <v>0</v>
      </c>
      <c r="AK10" s="115" t="n">
        <f aca="false">MAX(0,MIN(1,Inputs!$E$12-(AK$4-1)*1))</f>
        <v>0</v>
      </c>
      <c r="AL10" s="115" t="n">
        <f aca="false">MAX(0,MIN(1,Inputs!$E$12-(AL$4-1)*1))</f>
        <v>0</v>
      </c>
      <c r="AM10" s="115" t="n">
        <f aca="false">MAX(0,MIN(1,Inputs!$E$12-(AM$4-1)*1))</f>
        <v>0</v>
      </c>
      <c r="AN10" s="115" t="n">
        <f aca="false">MAX(0,MIN(1,Inputs!$E$12-(AN$4-1)*1))</f>
        <v>0</v>
      </c>
      <c r="AO10" s="115" t="n">
        <f aca="false">MAX(0,MIN(1,Inputs!$E$12-(AO$4-1)*1))</f>
        <v>0</v>
      </c>
      <c r="AP10" s="115" t="n">
        <f aca="false">MAX(0,MIN(1,Inputs!$E$12-(AP$4-1)*1))</f>
        <v>0</v>
      </c>
      <c r="AQ10" s="115" t="n">
        <f aca="false">MAX(0,MIN(1,Inputs!$E$12-(AQ$4-1)*1))</f>
        <v>0</v>
      </c>
      <c r="AR10" s="115" t="n">
        <f aca="false">MAX(0,MIN(1,Inputs!$E$12-(AR$4-1)*1))</f>
        <v>0</v>
      </c>
      <c r="AS10" s="115" t="n">
        <f aca="false">MAX(0,MIN(1,Inputs!$E$12-(AS$4-1)*1))</f>
        <v>0</v>
      </c>
      <c r="AT10" s="115" t="n">
        <f aca="false">MAX(0,MIN(1,Inputs!$E$12-(AT$4-1)*1))</f>
        <v>0</v>
      </c>
      <c r="AU10" s="115" t="n">
        <f aca="false">MAX(0,MIN(1,Inputs!$E$12-(AU$4-1)*1))</f>
        <v>0</v>
      </c>
      <c r="AV10" s="115" t="n">
        <f aca="false">MAX(0,MIN(1,Inputs!$E$12-(AV$4-1)*1))</f>
        <v>0</v>
      </c>
      <c r="AW10" s="115" t="n">
        <f aca="false">MAX(0,MIN(1,Inputs!$E$12-(AW$4-1)*1))</f>
        <v>0</v>
      </c>
      <c r="AX10" s="115" t="n">
        <f aca="false">MAX(0,MIN(1,Inputs!$E$12-(AX$4-1)*1))</f>
        <v>0</v>
      </c>
      <c r="AY10" s="115" t="n">
        <f aca="false">MAX(0,MIN(1,Inputs!$E$12-(AY$4-1)*1))</f>
        <v>0</v>
      </c>
      <c r="AZ10" s="115" t="n">
        <f aca="false">MAX(0,MIN(1,Inputs!$E$12-(AZ$4-1)*1))</f>
        <v>0</v>
      </c>
      <c r="BA10" s="115" t="n">
        <f aca="false">MAX(0,MIN(1,Inputs!$E$12-(BA$4-1)*1))</f>
        <v>0</v>
      </c>
      <c r="BB10" s="115" t="n">
        <f aca="false">MAX(0,MIN(1,Inputs!$E$12-(BB$4-1)*1))</f>
        <v>0</v>
      </c>
      <c r="BC10" s="115" t="n">
        <f aca="false">MAX(0,MIN(1,Inputs!$E$12-(BC$4-1)*1))</f>
        <v>0</v>
      </c>
      <c r="BD10" s="115" t="n">
        <f aca="false">MAX(0,MIN(1,Inputs!$E$12-(BD$4-1)*1))</f>
        <v>0</v>
      </c>
      <c r="BE10" s="115" t="n">
        <f aca="false">MAX(0,MIN(1,Inputs!$E$12-(BE$4-1)*1))</f>
        <v>0</v>
      </c>
      <c r="BF10" s="115" t="n">
        <f aca="false">MAX(0,MIN(1,Inputs!$E$12-(BF$4-1)*1))</f>
        <v>0</v>
      </c>
      <c r="BG10" s="115" t="n">
        <f aca="false">MAX(0,MIN(1,Inputs!$E$12-(BG$4-1)*1))</f>
        <v>0</v>
      </c>
      <c r="BH10" s="115" t="n">
        <f aca="false">MAX(0,MIN(1,Inputs!$E$12-(BH$4-1)*1))</f>
        <v>0</v>
      </c>
      <c r="BI10" s="115" t="n">
        <f aca="false">MAX(0,MIN(1,Inputs!$E$12-(BI$4-1)*1))</f>
        <v>0</v>
      </c>
      <c r="BJ10" s="115" t="n">
        <f aca="false">MAX(0,MIN(1,Inputs!$E$12-(BJ$4-1)*1))</f>
        <v>0</v>
      </c>
    </row>
    <row r="11" customFormat="false" ht="15" hidden="false" customHeight="false" outlineLevel="0" collapsed="false">
      <c r="A11" s="38" t="s">
        <v>420</v>
      </c>
      <c r="C11" s="73" t="n">
        <f aca="false">(C10*C9+(Inputs!$E$10-C9)/MAX(1,Inputs!$E$12)*(C10*(C$4-1)*1+C10*(C10-1)/2)+(1-C10)*Inputs!$E$10)/1</f>
        <v>0.2</v>
      </c>
      <c r="D11" s="73" t="n">
        <f aca="false">(D10*D9+(Inputs!$E$10-D9)/MAX(1,Inputs!$E$12)*(D10*(D$4-1)*1+D10*(D10-1)/2)+(1-D10)*Inputs!$E$10)/1</f>
        <v>0.254166666666667</v>
      </c>
      <c r="E11" s="73" t="n">
        <f aca="false">(E10*E9+(Inputs!$E$10-E9)/MAX(1,Inputs!$E$12)*(E10*(E$4-1)*1+E10*(E10-1)/2)+(1-E10)*Inputs!$E$10)/1</f>
        <v>0.308333333333333</v>
      </c>
      <c r="F11" s="73" t="n">
        <f aca="false">(F10*F9+(Inputs!$E$10-F9)/MAX(1,Inputs!$E$12)*(F10*(F$4-1)*1+F10*(F10-1)/2)+(1-F10)*Inputs!$E$10)/1</f>
        <v>0.3625</v>
      </c>
      <c r="G11" s="73" t="n">
        <f aca="false">(G10*G9+(Inputs!$E$10-G9)/MAX(1,Inputs!$E$12)*(G10*(G$4-1)*1+G10*(G10-1)/2)+(1-G10)*Inputs!$E$10)/1</f>
        <v>0.416666666666667</v>
      </c>
      <c r="H11" s="73" t="n">
        <f aca="false">(H10*H9+(Inputs!$E$10-H9)/MAX(1,Inputs!$E$12)*(H10*(H$4-1)*1+H10*(H10-1)/2)+(1-H10)*Inputs!$E$10)/1</f>
        <v>0.470833333333333</v>
      </c>
      <c r="I11" s="73" t="n">
        <f aca="false">(I10*I9+(Inputs!$E$10-I9)/MAX(1,Inputs!$E$12)*(I10*(I$4-1)*1+I10*(I10-1)/2)+(1-I10)*Inputs!$E$10)/1</f>
        <v>0.525</v>
      </c>
      <c r="J11" s="73" t="n">
        <f aca="false">(J10*J9+(Inputs!$E$10-J9)/MAX(1,Inputs!$E$12)*(J10*(J$4-1)*1+J10*(J10-1)/2)+(1-J10)*Inputs!$E$10)/1</f>
        <v>0.579166666666667</v>
      </c>
      <c r="K11" s="73" t="n">
        <f aca="false">(K10*K9+(Inputs!$E$10-K9)/MAX(1,Inputs!$E$12)*(K10*(K$4-1)*1+K10*(K10-1)/2)+(1-K10)*Inputs!$E$10)/1</f>
        <v>0.633333333333333</v>
      </c>
      <c r="L11" s="73" t="n">
        <f aca="false">(L10*L9+(Inputs!$E$10-L9)/MAX(1,Inputs!$E$12)*(L10*(L$4-1)*1+L10*(L10-1)/2)+(1-L10)*Inputs!$E$10)/1</f>
        <v>0.6875</v>
      </c>
      <c r="M11" s="73" t="n">
        <f aca="false">(M10*M9+(Inputs!$E$10-M9)/MAX(1,Inputs!$E$12)*(M10*(M$4-1)*1+M10*(M10-1)/2)+(1-M10)*Inputs!$E$10)/1</f>
        <v>0.741666666666667</v>
      </c>
      <c r="N11" s="73" t="n">
        <f aca="false">(N10*N9+(Inputs!$E$10-N9)/MAX(1,Inputs!$E$12)*(N10*(N$4-1)*1+N10*(N10-1)/2)+(1-N10)*Inputs!$E$10)/1</f>
        <v>0.795833333333333</v>
      </c>
      <c r="O11" s="73" t="n">
        <f aca="false">(O10*O9+(Inputs!$E$10-O9)/MAX(1,Inputs!$E$12)*(O10*(O$4-1)*1+O10*(O10-1)/2)+(1-O10)*Inputs!$E$10)/1</f>
        <v>0.85</v>
      </c>
      <c r="P11" s="73" t="n">
        <f aca="false">(P10*P9+(Inputs!$E$10-P9)/MAX(1,Inputs!$E$12)*(P10*(P$4-1)*1+P10*(P10-1)/2)+(1-P10)*Inputs!$E$10)/1</f>
        <v>0.85</v>
      </c>
      <c r="Q11" s="73" t="n">
        <f aca="false">(Q10*Q9+(Inputs!$E$10-Q9)/MAX(1,Inputs!$E$12)*(Q10*(Q$4-1)*1+Q10*(Q10-1)/2)+(1-Q10)*Inputs!$E$10)/1</f>
        <v>0.85</v>
      </c>
      <c r="R11" s="73" t="n">
        <f aca="false">(R10*R9+(Inputs!$E$10-R9)/MAX(1,Inputs!$E$12)*(R10*(R$4-1)*1+R10*(R10-1)/2)+(1-R10)*Inputs!$E$10)/1</f>
        <v>0.85</v>
      </c>
      <c r="S11" s="73" t="n">
        <f aca="false">(S10*S9+(Inputs!$E$10-S9)/MAX(1,Inputs!$E$12)*(S10*(S$4-1)*1+S10*(S10-1)/2)+(1-S10)*Inputs!$E$10)/1</f>
        <v>0.85</v>
      </c>
      <c r="T11" s="73" t="n">
        <f aca="false">(T10*T9+(Inputs!$E$10-T9)/MAX(1,Inputs!$E$12)*(T10*(T$4-1)*1+T10*(T10-1)/2)+(1-T10)*Inputs!$E$10)/1</f>
        <v>0.85</v>
      </c>
      <c r="U11" s="73" t="n">
        <f aca="false">(U10*U9+(Inputs!$E$10-U9)/MAX(1,Inputs!$E$12)*(U10*(U$4-1)*1+U10*(U10-1)/2)+(1-U10)*Inputs!$E$10)/1</f>
        <v>0.85</v>
      </c>
      <c r="V11" s="73" t="n">
        <f aca="false">(V10*V9+(Inputs!$E$10-V9)/MAX(1,Inputs!$E$12)*(V10*(V$4-1)*1+V10*(V10-1)/2)+(1-V10)*Inputs!$E$10)/1</f>
        <v>0.85</v>
      </c>
      <c r="W11" s="73" t="n">
        <f aca="false">(W10*W9+(Inputs!$E$10-W9)/MAX(1,Inputs!$E$12)*(W10*(W$4-1)*1+W10*(W10-1)/2)+(1-W10)*Inputs!$E$10)/1</f>
        <v>0.85</v>
      </c>
      <c r="X11" s="73" t="n">
        <f aca="false">(X10*X9+(Inputs!$E$10-X9)/MAX(1,Inputs!$E$12)*(X10*(X$4-1)*1+X10*(X10-1)/2)+(1-X10)*Inputs!$E$10)/1</f>
        <v>0.85</v>
      </c>
      <c r="Y11" s="73" t="n">
        <f aca="false">(Y10*Y9+(Inputs!$E$10-Y9)/MAX(1,Inputs!$E$12)*(Y10*(Y$4-1)*1+Y10*(Y10-1)/2)+(1-Y10)*Inputs!$E$10)/1</f>
        <v>0.85</v>
      </c>
      <c r="Z11" s="73" t="n">
        <f aca="false">(Z10*Z9+(Inputs!$E$10-Z9)/MAX(1,Inputs!$E$12)*(Z10*(Z$4-1)*1+Z10*(Z10-1)/2)+(1-Z10)*Inputs!$E$10)/1</f>
        <v>0.85</v>
      </c>
      <c r="AA11" s="73" t="n">
        <f aca="false">(AA10*AA9+(Inputs!$E$10-AA9)/MAX(1,Inputs!$E$12)*(AA10*(AA$4-1)*1+AA10*(AA10-1)/2)+(1-AA10)*Inputs!$E$10)/1</f>
        <v>0.85</v>
      </c>
      <c r="AB11" s="73" t="n">
        <f aca="false">(AB10*AB9+(Inputs!$E$10-AB9)/MAX(1,Inputs!$E$12)*(AB10*(AB$4-1)*1+AB10*(AB10-1)/2)+(1-AB10)*Inputs!$E$10)/1</f>
        <v>0.85</v>
      </c>
      <c r="AC11" s="73" t="n">
        <f aca="false">(AC10*AC9+(Inputs!$E$10-AC9)/MAX(1,Inputs!$E$12)*(AC10*(AC$4-1)*1+AC10*(AC10-1)/2)+(1-AC10)*Inputs!$E$10)/1</f>
        <v>0.85</v>
      </c>
      <c r="AD11" s="73" t="n">
        <f aca="false">(AD10*AD9+(Inputs!$E$10-AD9)/MAX(1,Inputs!$E$12)*(AD10*(AD$4-1)*1+AD10*(AD10-1)/2)+(1-AD10)*Inputs!$E$10)/1</f>
        <v>0.85</v>
      </c>
      <c r="AE11" s="73" t="n">
        <f aca="false">(AE10*AE9+(Inputs!$E$10-AE9)/MAX(1,Inputs!$E$12)*(AE10*(AE$4-1)*1+AE10*(AE10-1)/2)+(1-AE10)*Inputs!$E$10)/1</f>
        <v>0.85</v>
      </c>
      <c r="AF11" s="73" t="n">
        <f aca="false">(AF10*AF9+(Inputs!$E$10-AF9)/MAX(1,Inputs!$E$12)*(AF10*(AF$4-1)*1+AF10*(AF10-1)/2)+(1-AF10)*Inputs!$E$10)/1</f>
        <v>0.85</v>
      </c>
      <c r="AG11" s="73" t="n">
        <f aca="false">(AG10*AG9+(Inputs!$E$10-AG9)/MAX(1,Inputs!$E$12)*(AG10*(AG$4-1)*1+AG10*(AG10-1)/2)+(1-AG10)*Inputs!$E$10)/1</f>
        <v>0.85</v>
      </c>
      <c r="AH11" s="73" t="n">
        <f aca="false">(AH10*AH9+(Inputs!$E$10-AH9)/MAX(1,Inputs!$E$12)*(AH10*(AH$4-1)*1+AH10*(AH10-1)/2)+(1-AH10)*Inputs!$E$10)/1</f>
        <v>0.85</v>
      </c>
      <c r="AI11" s="73" t="n">
        <f aca="false">(AI10*AI9+(Inputs!$E$10-AI9)/MAX(1,Inputs!$E$12)*(AI10*(AI$4-1)*1+AI10*(AI10-1)/2)+(1-AI10)*Inputs!$E$10)/1</f>
        <v>0.85</v>
      </c>
      <c r="AJ11" s="73" t="n">
        <f aca="false">(AJ10*AJ9+(Inputs!$E$10-AJ9)/MAX(1,Inputs!$E$12)*(AJ10*(AJ$4-1)*1+AJ10*(AJ10-1)/2)+(1-AJ10)*Inputs!$E$10)/1</f>
        <v>0.85</v>
      </c>
      <c r="AK11" s="73" t="n">
        <f aca="false">(AK10*AK9+(Inputs!$E$10-AK9)/MAX(1,Inputs!$E$12)*(AK10*(AK$4-1)*1+AK10*(AK10-1)/2)+(1-AK10)*Inputs!$E$10)/1</f>
        <v>0.85</v>
      </c>
      <c r="AL11" s="73" t="n">
        <f aca="false">(AL10*AL9+(Inputs!$E$10-AL9)/MAX(1,Inputs!$E$12)*(AL10*(AL$4-1)*1+AL10*(AL10-1)/2)+(1-AL10)*Inputs!$E$10)/1</f>
        <v>0.85</v>
      </c>
      <c r="AM11" s="73" t="n">
        <f aca="false">(AM10*AM9+(Inputs!$E$10-AM9)/MAX(1,Inputs!$E$12)*(AM10*(AM$4-1)*1+AM10*(AM10-1)/2)+(1-AM10)*Inputs!$E$10)/1</f>
        <v>0.85</v>
      </c>
      <c r="AN11" s="73" t="n">
        <f aca="false">(AN10*AN9+(Inputs!$E$10-AN9)/MAX(1,Inputs!$E$12)*(AN10*(AN$4-1)*1+AN10*(AN10-1)/2)+(1-AN10)*Inputs!$E$10)/1</f>
        <v>0.85</v>
      </c>
      <c r="AO11" s="73" t="n">
        <f aca="false">(AO10*AO9+(Inputs!$E$10-AO9)/MAX(1,Inputs!$E$12)*(AO10*(AO$4-1)*1+AO10*(AO10-1)/2)+(1-AO10)*Inputs!$E$10)/1</f>
        <v>0.85</v>
      </c>
      <c r="AP11" s="73" t="n">
        <f aca="false">(AP10*AP9+(Inputs!$E$10-AP9)/MAX(1,Inputs!$E$12)*(AP10*(AP$4-1)*1+AP10*(AP10-1)/2)+(1-AP10)*Inputs!$E$10)/1</f>
        <v>0.85</v>
      </c>
      <c r="AQ11" s="73" t="n">
        <f aca="false">(AQ10*AQ9+(Inputs!$E$10-AQ9)/MAX(1,Inputs!$E$12)*(AQ10*(AQ$4-1)*1+AQ10*(AQ10-1)/2)+(1-AQ10)*Inputs!$E$10)/1</f>
        <v>0.85</v>
      </c>
      <c r="AR11" s="73" t="n">
        <f aca="false">(AR10*AR9+(Inputs!$E$10-AR9)/MAX(1,Inputs!$E$12)*(AR10*(AR$4-1)*1+AR10*(AR10-1)/2)+(1-AR10)*Inputs!$E$10)/1</f>
        <v>0.85</v>
      </c>
      <c r="AS11" s="73" t="n">
        <f aca="false">(AS10*AS9+(Inputs!$E$10-AS9)/MAX(1,Inputs!$E$12)*(AS10*(AS$4-1)*1+AS10*(AS10-1)/2)+(1-AS10)*Inputs!$E$10)/1</f>
        <v>0.85</v>
      </c>
      <c r="AT11" s="73" t="n">
        <f aca="false">(AT10*AT9+(Inputs!$E$10-AT9)/MAX(1,Inputs!$E$12)*(AT10*(AT$4-1)*1+AT10*(AT10-1)/2)+(1-AT10)*Inputs!$E$10)/1</f>
        <v>0.85</v>
      </c>
      <c r="AU11" s="73" t="n">
        <f aca="false">(AU10*AU9+(Inputs!$E$10-AU9)/MAX(1,Inputs!$E$12)*(AU10*(AU$4-1)*1+AU10*(AU10-1)/2)+(1-AU10)*Inputs!$E$10)/1</f>
        <v>0.85</v>
      </c>
      <c r="AV11" s="73" t="n">
        <f aca="false">(AV10*AV9+(Inputs!$E$10-AV9)/MAX(1,Inputs!$E$12)*(AV10*(AV$4-1)*1+AV10*(AV10-1)/2)+(1-AV10)*Inputs!$E$10)/1</f>
        <v>0.85</v>
      </c>
      <c r="AW11" s="73" t="n">
        <f aca="false">(AW10*AW9+(Inputs!$E$10-AW9)/MAX(1,Inputs!$E$12)*(AW10*(AW$4-1)*1+AW10*(AW10-1)/2)+(1-AW10)*Inputs!$E$10)/1</f>
        <v>0.85</v>
      </c>
      <c r="AX11" s="73" t="n">
        <f aca="false">(AX10*AX9+(Inputs!$E$10-AX9)/MAX(1,Inputs!$E$12)*(AX10*(AX$4-1)*1+AX10*(AX10-1)/2)+(1-AX10)*Inputs!$E$10)/1</f>
        <v>0.85</v>
      </c>
      <c r="AY11" s="73" t="n">
        <f aca="false">(AY10*AY9+(Inputs!$E$10-AY9)/MAX(1,Inputs!$E$12)*(AY10*(AY$4-1)*1+AY10*(AY10-1)/2)+(1-AY10)*Inputs!$E$10)/1</f>
        <v>0.85</v>
      </c>
      <c r="AZ11" s="73" t="n">
        <f aca="false">(AZ10*AZ9+(Inputs!$E$10-AZ9)/MAX(1,Inputs!$E$12)*(AZ10*(AZ$4-1)*1+AZ10*(AZ10-1)/2)+(1-AZ10)*Inputs!$E$10)/1</f>
        <v>0.85</v>
      </c>
      <c r="BA11" s="73" t="n">
        <f aca="false">(BA10*BA9+(Inputs!$E$10-BA9)/MAX(1,Inputs!$E$12)*(BA10*(BA$4-1)*1+BA10*(BA10-1)/2)+(1-BA10)*Inputs!$E$10)/1</f>
        <v>0.85</v>
      </c>
      <c r="BB11" s="73" t="n">
        <f aca="false">(BB10*BB9+(Inputs!$E$10-BB9)/MAX(1,Inputs!$E$12)*(BB10*(BB$4-1)*1+BB10*(BB10-1)/2)+(1-BB10)*Inputs!$E$10)/1</f>
        <v>0.85</v>
      </c>
      <c r="BC11" s="73" t="n">
        <f aca="false">(BC10*BC9+(Inputs!$E$10-BC9)/MAX(1,Inputs!$E$12)*(BC10*(BC$4-1)*1+BC10*(BC10-1)/2)+(1-BC10)*Inputs!$E$10)/1</f>
        <v>0.85</v>
      </c>
      <c r="BD11" s="73" t="n">
        <f aca="false">(BD10*BD9+(Inputs!$E$10-BD9)/MAX(1,Inputs!$E$12)*(BD10*(BD$4-1)*1+BD10*(BD10-1)/2)+(1-BD10)*Inputs!$E$10)/1</f>
        <v>0.85</v>
      </c>
      <c r="BE11" s="73" t="n">
        <f aca="false">(BE10*BE9+(Inputs!$E$10-BE9)/MAX(1,Inputs!$E$12)*(BE10*(BE$4-1)*1+BE10*(BE10-1)/2)+(1-BE10)*Inputs!$E$10)/1</f>
        <v>0.85</v>
      </c>
      <c r="BF11" s="73" t="n">
        <f aca="false">(BF10*BF9+(Inputs!$E$10-BF9)/MAX(1,Inputs!$E$12)*(BF10*(BF$4-1)*1+BF10*(BF10-1)/2)+(1-BF10)*Inputs!$E$10)/1</f>
        <v>0.85</v>
      </c>
      <c r="BG11" s="73" t="n">
        <f aca="false">(BG10*BG9+(Inputs!$E$10-BG9)/MAX(1,Inputs!$E$12)*(BG10*(BG$4-1)*1+BG10*(BG10-1)/2)+(1-BG10)*Inputs!$E$10)/1</f>
        <v>0.85</v>
      </c>
      <c r="BH11" s="73" t="n">
        <f aca="false">(BH10*BH9+(Inputs!$E$10-BH9)/MAX(1,Inputs!$E$12)*(BH10*(BH$4-1)*1+BH10*(BH10-1)/2)+(1-BH10)*Inputs!$E$10)/1</f>
        <v>0.85</v>
      </c>
      <c r="BI11" s="73" t="n">
        <f aca="false">(BI10*BI9+(Inputs!$E$10-BI9)/MAX(1,Inputs!$E$12)*(BI10*(BI$4-1)*1+BI10*(BI10-1)/2)+(1-BI10)*Inputs!$E$10)/1</f>
        <v>0.85</v>
      </c>
      <c r="BJ11" s="73" t="n">
        <f aca="false">(BJ10*BJ9+(Inputs!$E$10-BJ9)/MAX(1,Inputs!$E$12)*(BJ10*(BJ$4-1)*1+BJ10*(BJ10-1)/2)+(1-BJ10)*Inputs!$E$10)/1</f>
        <v>0.85</v>
      </c>
    </row>
    <row r="12" customFormat="false" ht="15" hidden="false" customHeight="false" outlineLevel="0" collapsed="false">
      <c r="A12" s="38" t="s">
        <v>421</v>
      </c>
      <c r="C12" s="73" t="n">
        <f aca="false">IF(Inputs!$E$12&lt;=0,Inputs!$E$10,C9+(Inputs!$E$10-C9)*MIN(1,(C$4*1-1)/MAX(1,Inputs!$E$12)))</f>
        <v>0.2</v>
      </c>
      <c r="D12" s="73" t="n">
        <f aca="false">IF(Inputs!$E$12&lt;=0,Inputs!$E$10,D9+(Inputs!$E$10-D9)*MIN(1,(D$4*1-1)/MAX(1,Inputs!$E$12)))</f>
        <v>0.254166666666667</v>
      </c>
      <c r="E12" s="73" t="n">
        <f aca="false">IF(Inputs!$E$12&lt;=0,Inputs!$E$10,E9+(Inputs!$E$10-E9)*MIN(1,(E$4*1-1)/MAX(1,Inputs!$E$12)))</f>
        <v>0.308333333333333</v>
      </c>
      <c r="F12" s="73" t="n">
        <f aca="false">IF(Inputs!$E$12&lt;=0,Inputs!$E$10,F9+(Inputs!$E$10-F9)*MIN(1,(F$4*1-1)/MAX(1,Inputs!$E$12)))</f>
        <v>0.3625</v>
      </c>
      <c r="G12" s="73" t="n">
        <f aca="false">IF(Inputs!$E$12&lt;=0,Inputs!$E$10,G9+(Inputs!$E$10-G9)*MIN(1,(G$4*1-1)/MAX(1,Inputs!$E$12)))</f>
        <v>0.416666666666667</v>
      </c>
      <c r="H12" s="73" t="n">
        <f aca="false">IF(Inputs!$E$12&lt;=0,Inputs!$E$10,H9+(Inputs!$E$10-H9)*MIN(1,(H$4*1-1)/MAX(1,Inputs!$E$12)))</f>
        <v>0.470833333333333</v>
      </c>
      <c r="I12" s="73" t="n">
        <f aca="false">IF(Inputs!$E$12&lt;=0,Inputs!$E$10,I9+(Inputs!$E$10-I9)*MIN(1,(I$4*1-1)/MAX(1,Inputs!$E$12)))</f>
        <v>0.525</v>
      </c>
      <c r="J12" s="73" t="n">
        <f aca="false">IF(Inputs!$E$12&lt;=0,Inputs!$E$10,J9+(Inputs!$E$10-J9)*MIN(1,(J$4*1-1)/MAX(1,Inputs!$E$12)))</f>
        <v>0.579166666666667</v>
      </c>
      <c r="K12" s="73" t="n">
        <f aca="false">IF(Inputs!$E$12&lt;=0,Inputs!$E$10,K9+(Inputs!$E$10-K9)*MIN(1,(K$4*1-1)/MAX(1,Inputs!$E$12)))</f>
        <v>0.633333333333333</v>
      </c>
      <c r="L12" s="73" t="n">
        <f aca="false">IF(Inputs!$E$12&lt;=0,Inputs!$E$10,L9+(Inputs!$E$10-L9)*MIN(1,(L$4*1-1)/MAX(1,Inputs!$E$12)))</f>
        <v>0.6875</v>
      </c>
      <c r="M12" s="73" t="n">
        <f aca="false">IF(Inputs!$E$12&lt;=0,Inputs!$E$10,M9+(Inputs!$E$10-M9)*MIN(1,(M$4*1-1)/MAX(1,Inputs!$E$12)))</f>
        <v>0.741666666666667</v>
      </c>
      <c r="N12" s="73" t="n">
        <f aca="false">IF(Inputs!$E$12&lt;=0,Inputs!$E$10,N9+(Inputs!$E$10-N9)*MIN(1,(N$4*1-1)/MAX(1,Inputs!$E$12)))</f>
        <v>0.795833333333333</v>
      </c>
      <c r="O12" s="73" t="n">
        <f aca="false">IF(Inputs!$E$12&lt;=0,Inputs!$E$10,O9+(Inputs!$E$10-O9)*MIN(1,(O$4*1-1)/MAX(1,Inputs!$E$12)))</f>
        <v>0.85</v>
      </c>
      <c r="P12" s="73" t="n">
        <f aca="false">IF(Inputs!$E$12&lt;=0,Inputs!$E$10,P9+(Inputs!$E$10-P9)*MIN(1,(P$4*1-1)/MAX(1,Inputs!$E$12)))</f>
        <v>0.85</v>
      </c>
      <c r="Q12" s="73" t="n">
        <f aca="false">IF(Inputs!$E$12&lt;=0,Inputs!$E$10,Q9+(Inputs!$E$10-Q9)*MIN(1,(Q$4*1-1)/MAX(1,Inputs!$E$12)))</f>
        <v>0.85</v>
      </c>
      <c r="R12" s="73" t="n">
        <f aca="false">IF(Inputs!$E$12&lt;=0,Inputs!$E$10,R9+(Inputs!$E$10-R9)*MIN(1,(R$4*1-1)/MAX(1,Inputs!$E$12)))</f>
        <v>0.85</v>
      </c>
      <c r="S12" s="73" t="n">
        <f aca="false">IF(Inputs!$E$12&lt;=0,Inputs!$E$10,S9+(Inputs!$E$10-S9)*MIN(1,(S$4*1-1)/MAX(1,Inputs!$E$12)))</f>
        <v>0.85</v>
      </c>
      <c r="T12" s="73" t="n">
        <f aca="false">IF(Inputs!$E$12&lt;=0,Inputs!$E$10,T9+(Inputs!$E$10-T9)*MIN(1,(T$4*1-1)/MAX(1,Inputs!$E$12)))</f>
        <v>0.85</v>
      </c>
      <c r="U12" s="73" t="n">
        <f aca="false">IF(Inputs!$E$12&lt;=0,Inputs!$E$10,U9+(Inputs!$E$10-U9)*MIN(1,(U$4*1-1)/MAX(1,Inputs!$E$12)))</f>
        <v>0.85</v>
      </c>
      <c r="V12" s="73" t="n">
        <f aca="false">IF(Inputs!$E$12&lt;=0,Inputs!$E$10,V9+(Inputs!$E$10-V9)*MIN(1,(V$4*1-1)/MAX(1,Inputs!$E$12)))</f>
        <v>0.85</v>
      </c>
      <c r="W12" s="73" t="n">
        <f aca="false">IF(Inputs!$E$12&lt;=0,Inputs!$E$10,W9+(Inputs!$E$10-W9)*MIN(1,(W$4*1-1)/MAX(1,Inputs!$E$12)))</f>
        <v>0.85</v>
      </c>
      <c r="X12" s="73" t="n">
        <f aca="false">IF(Inputs!$E$12&lt;=0,Inputs!$E$10,X9+(Inputs!$E$10-X9)*MIN(1,(X$4*1-1)/MAX(1,Inputs!$E$12)))</f>
        <v>0.85</v>
      </c>
      <c r="Y12" s="73" t="n">
        <f aca="false">IF(Inputs!$E$12&lt;=0,Inputs!$E$10,Y9+(Inputs!$E$10-Y9)*MIN(1,(Y$4*1-1)/MAX(1,Inputs!$E$12)))</f>
        <v>0.85</v>
      </c>
      <c r="Z12" s="73" t="n">
        <f aca="false">IF(Inputs!$E$12&lt;=0,Inputs!$E$10,Z9+(Inputs!$E$10-Z9)*MIN(1,(Z$4*1-1)/MAX(1,Inputs!$E$12)))</f>
        <v>0.85</v>
      </c>
      <c r="AA12" s="73" t="n">
        <f aca="false">IF(Inputs!$E$12&lt;=0,Inputs!$E$10,AA9+(Inputs!$E$10-AA9)*MIN(1,(AA$4*1-1)/MAX(1,Inputs!$E$12)))</f>
        <v>0.85</v>
      </c>
      <c r="AB12" s="73" t="n">
        <f aca="false">IF(Inputs!$E$12&lt;=0,Inputs!$E$10,AB9+(Inputs!$E$10-AB9)*MIN(1,(AB$4*1-1)/MAX(1,Inputs!$E$12)))</f>
        <v>0.85</v>
      </c>
      <c r="AC12" s="73" t="n">
        <f aca="false">IF(Inputs!$E$12&lt;=0,Inputs!$E$10,AC9+(Inputs!$E$10-AC9)*MIN(1,(AC$4*1-1)/MAX(1,Inputs!$E$12)))</f>
        <v>0.85</v>
      </c>
      <c r="AD12" s="73" t="n">
        <f aca="false">IF(Inputs!$E$12&lt;=0,Inputs!$E$10,AD9+(Inputs!$E$10-AD9)*MIN(1,(AD$4*1-1)/MAX(1,Inputs!$E$12)))</f>
        <v>0.85</v>
      </c>
      <c r="AE12" s="73" t="n">
        <f aca="false">IF(Inputs!$E$12&lt;=0,Inputs!$E$10,AE9+(Inputs!$E$10-AE9)*MIN(1,(AE$4*1-1)/MAX(1,Inputs!$E$12)))</f>
        <v>0.85</v>
      </c>
      <c r="AF12" s="73" t="n">
        <f aca="false">IF(Inputs!$E$12&lt;=0,Inputs!$E$10,AF9+(Inputs!$E$10-AF9)*MIN(1,(AF$4*1-1)/MAX(1,Inputs!$E$12)))</f>
        <v>0.85</v>
      </c>
      <c r="AG12" s="73" t="n">
        <f aca="false">IF(Inputs!$E$12&lt;=0,Inputs!$E$10,AG9+(Inputs!$E$10-AG9)*MIN(1,(AG$4*1-1)/MAX(1,Inputs!$E$12)))</f>
        <v>0.85</v>
      </c>
      <c r="AH12" s="73" t="n">
        <f aca="false">IF(Inputs!$E$12&lt;=0,Inputs!$E$10,AH9+(Inputs!$E$10-AH9)*MIN(1,(AH$4*1-1)/MAX(1,Inputs!$E$12)))</f>
        <v>0.85</v>
      </c>
      <c r="AI12" s="73" t="n">
        <f aca="false">IF(Inputs!$E$12&lt;=0,Inputs!$E$10,AI9+(Inputs!$E$10-AI9)*MIN(1,(AI$4*1-1)/MAX(1,Inputs!$E$12)))</f>
        <v>0.85</v>
      </c>
      <c r="AJ12" s="73" t="n">
        <f aca="false">IF(Inputs!$E$12&lt;=0,Inputs!$E$10,AJ9+(Inputs!$E$10-AJ9)*MIN(1,(AJ$4*1-1)/MAX(1,Inputs!$E$12)))</f>
        <v>0.85</v>
      </c>
      <c r="AK12" s="73" t="n">
        <f aca="false">IF(Inputs!$E$12&lt;=0,Inputs!$E$10,AK9+(Inputs!$E$10-AK9)*MIN(1,(AK$4*1-1)/MAX(1,Inputs!$E$12)))</f>
        <v>0.85</v>
      </c>
      <c r="AL12" s="73" t="n">
        <f aca="false">IF(Inputs!$E$12&lt;=0,Inputs!$E$10,AL9+(Inputs!$E$10-AL9)*MIN(1,(AL$4*1-1)/MAX(1,Inputs!$E$12)))</f>
        <v>0.85</v>
      </c>
      <c r="AM12" s="73" t="n">
        <f aca="false">IF(Inputs!$E$12&lt;=0,Inputs!$E$10,AM9+(Inputs!$E$10-AM9)*MIN(1,(AM$4*1-1)/MAX(1,Inputs!$E$12)))</f>
        <v>0.85</v>
      </c>
      <c r="AN12" s="73" t="n">
        <f aca="false">IF(Inputs!$E$12&lt;=0,Inputs!$E$10,AN9+(Inputs!$E$10-AN9)*MIN(1,(AN$4*1-1)/MAX(1,Inputs!$E$12)))</f>
        <v>0.85</v>
      </c>
      <c r="AO12" s="73" t="n">
        <f aca="false">IF(Inputs!$E$12&lt;=0,Inputs!$E$10,AO9+(Inputs!$E$10-AO9)*MIN(1,(AO$4*1-1)/MAX(1,Inputs!$E$12)))</f>
        <v>0.85</v>
      </c>
      <c r="AP12" s="73" t="n">
        <f aca="false">IF(Inputs!$E$12&lt;=0,Inputs!$E$10,AP9+(Inputs!$E$10-AP9)*MIN(1,(AP$4*1-1)/MAX(1,Inputs!$E$12)))</f>
        <v>0.85</v>
      </c>
      <c r="AQ12" s="73" t="n">
        <f aca="false">IF(Inputs!$E$12&lt;=0,Inputs!$E$10,AQ9+(Inputs!$E$10-AQ9)*MIN(1,(AQ$4*1-1)/MAX(1,Inputs!$E$12)))</f>
        <v>0.85</v>
      </c>
      <c r="AR12" s="73" t="n">
        <f aca="false">IF(Inputs!$E$12&lt;=0,Inputs!$E$10,AR9+(Inputs!$E$10-AR9)*MIN(1,(AR$4*1-1)/MAX(1,Inputs!$E$12)))</f>
        <v>0.85</v>
      </c>
      <c r="AS12" s="73" t="n">
        <f aca="false">IF(Inputs!$E$12&lt;=0,Inputs!$E$10,AS9+(Inputs!$E$10-AS9)*MIN(1,(AS$4*1-1)/MAX(1,Inputs!$E$12)))</f>
        <v>0.85</v>
      </c>
      <c r="AT12" s="73" t="n">
        <f aca="false">IF(Inputs!$E$12&lt;=0,Inputs!$E$10,AT9+(Inputs!$E$10-AT9)*MIN(1,(AT$4*1-1)/MAX(1,Inputs!$E$12)))</f>
        <v>0.85</v>
      </c>
      <c r="AU12" s="73" t="n">
        <f aca="false">IF(Inputs!$E$12&lt;=0,Inputs!$E$10,AU9+(Inputs!$E$10-AU9)*MIN(1,(AU$4*1-1)/MAX(1,Inputs!$E$12)))</f>
        <v>0.85</v>
      </c>
      <c r="AV12" s="73" t="n">
        <f aca="false">IF(Inputs!$E$12&lt;=0,Inputs!$E$10,AV9+(Inputs!$E$10-AV9)*MIN(1,(AV$4*1-1)/MAX(1,Inputs!$E$12)))</f>
        <v>0.85</v>
      </c>
      <c r="AW12" s="73" t="n">
        <f aca="false">IF(Inputs!$E$12&lt;=0,Inputs!$E$10,AW9+(Inputs!$E$10-AW9)*MIN(1,(AW$4*1-1)/MAX(1,Inputs!$E$12)))</f>
        <v>0.85</v>
      </c>
      <c r="AX12" s="73" t="n">
        <f aca="false">IF(Inputs!$E$12&lt;=0,Inputs!$E$10,AX9+(Inputs!$E$10-AX9)*MIN(1,(AX$4*1-1)/MAX(1,Inputs!$E$12)))</f>
        <v>0.85</v>
      </c>
      <c r="AY12" s="73" t="n">
        <f aca="false">IF(Inputs!$E$12&lt;=0,Inputs!$E$10,AY9+(Inputs!$E$10-AY9)*MIN(1,(AY$4*1-1)/MAX(1,Inputs!$E$12)))</f>
        <v>0.85</v>
      </c>
      <c r="AZ12" s="73" t="n">
        <f aca="false">IF(Inputs!$E$12&lt;=0,Inputs!$E$10,AZ9+(Inputs!$E$10-AZ9)*MIN(1,(AZ$4*1-1)/MAX(1,Inputs!$E$12)))</f>
        <v>0.85</v>
      </c>
      <c r="BA12" s="73" t="n">
        <f aca="false">IF(Inputs!$E$12&lt;=0,Inputs!$E$10,BA9+(Inputs!$E$10-BA9)*MIN(1,(BA$4*1-1)/MAX(1,Inputs!$E$12)))</f>
        <v>0.85</v>
      </c>
      <c r="BB12" s="73" t="n">
        <f aca="false">IF(Inputs!$E$12&lt;=0,Inputs!$E$10,BB9+(Inputs!$E$10-BB9)*MIN(1,(BB$4*1-1)/MAX(1,Inputs!$E$12)))</f>
        <v>0.85</v>
      </c>
      <c r="BC12" s="73" t="n">
        <f aca="false">IF(Inputs!$E$12&lt;=0,Inputs!$E$10,BC9+(Inputs!$E$10-BC9)*MIN(1,(BC$4*1-1)/MAX(1,Inputs!$E$12)))</f>
        <v>0.85</v>
      </c>
      <c r="BD12" s="73" t="n">
        <f aca="false">IF(Inputs!$E$12&lt;=0,Inputs!$E$10,BD9+(Inputs!$E$10-BD9)*MIN(1,(BD$4*1-1)/MAX(1,Inputs!$E$12)))</f>
        <v>0.85</v>
      </c>
      <c r="BE12" s="73" t="n">
        <f aca="false">IF(Inputs!$E$12&lt;=0,Inputs!$E$10,BE9+(Inputs!$E$10-BE9)*MIN(1,(BE$4*1-1)/MAX(1,Inputs!$E$12)))</f>
        <v>0.85</v>
      </c>
      <c r="BF12" s="73" t="n">
        <f aca="false">IF(Inputs!$E$12&lt;=0,Inputs!$E$10,BF9+(Inputs!$E$10-BF9)*MIN(1,(BF$4*1-1)/MAX(1,Inputs!$E$12)))</f>
        <v>0.85</v>
      </c>
      <c r="BG12" s="73" t="n">
        <f aca="false">IF(Inputs!$E$12&lt;=0,Inputs!$E$10,BG9+(Inputs!$E$10-BG9)*MIN(1,(BG$4*1-1)/MAX(1,Inputs!$E$12)))</f>
        <v>0.85</v>
      </c>
      <c r="BH12" s="73" t="n">
        <f aca="false">IF(Inputs!$E$12&lt;=0,Inputs!$E$10,BH9+(Inputs!$E$10-BH9)*MIN(1,(BH$4*1-1)/MAX(1,Inputs!$E$12)))</f>
        <v>0.85</v>
      </c>
      <c r="BI12" s="73" t="n">
        <f aca="false">IF(Inputs!$E$12&lt;=0,Inputs!$E$10,BI9+(Inputs!$E$10-BI9)*MIN(1,(BI$4*1-1)/MAX(1,Inputs!$E$12)))</f>
        <v>0.85</v>
      </c>
      <c r="BJ12" s="73" t="n">
        <f aca="false">IF(Inputs!$E$12&lt;=0,Inputs!$E$10,BJ9+(Inputs!$E$10-BJ9)*MIN(1,(BJ$4*1-1)/MAX(1,Inputs!$E$12)))</f>
        <v>0.85</v>
      </c>
    </row>
    <row r="13" customFormat="false" ht="15" hidden="false" customHeight="false" outlineLevel="0" collapsed="false">
      <c r="A13" s="6" t="s">
        <v>422</v>
      </c>
      <c r="C13" s="115" t="n">
        <f aca="false">C8*Inputs!$E$9*C11</f>
        <v>4.2</v>
      </c>
      <c r="D13" s="115" t="n">
        <f aca="false">D8*Inputs!$E$9*D11</f>
        <v>5.3375</v>
      </c>
      <c r="E13" s="115" t="n">
        <f aca="false">E8*Inputs!$E$9*E11</f>
        <v>6.475</v>
      </c>
      <c r="F13" s="115" t="n">
        <f aca="false">F8*Inputs!$E$9*F11</f>
        <v>7.6125</v>
      </c>
      <c r="G13" s="115" t="n">
        <f aca="false">G8*Inputs!$E$9*G11</f>
        <v>8.75</v>
      </c>
      <c r="H13" s="115" t="n">
        <f aca="false">H8*Inputs!$E$9*H11</f>
        <v>9.8875</v>
      </c>
      <c r="I13" s="115" t="n">
        <f aca="false">I8*Inputs!$E$9*I11</f>
        <v>11.025</v>
      </c>
      <c r="J13" s="115" t="n">
        <f aca="false">J8*Inputs!$E$9*J11</f>
        <v>12.1625</v>
      </c>
      <c r="K13" s="115" t="n">
        <f aca="false">K8*Inputs!$E$9*K11</f>
        <v>13.3</v>
      </c>
      <c r="L13" s="115" t="n">
        <f aca="false">L8*Inputs!$E$9*L11</f>
        <v>14.4375</v>
      </c>
      <c r="M13" s="115" t="n">
        <f aca="false">M8*Inputs!$E$9*M11</f>
        <v>15.575</v>
      </c>
      <c r="N13" s="115" t="n">
        <f aca="false">N8*Inputs!$E$9*N11</f>
        <v>16.7125</v>
      </c>
      <c r="O13" s="115" t="n">
        <f aca="false">O8*Inputs!$E$9*O11</f>
        <v>17.85</v>
      </c>
      <c r="P13" s="115" t="n">
        <f aca="false">P8*Inputs!$E$9*P11</f>
        <v>17.85</v>
      </c>
      <c r="Q13" s="115" t="n">
        <f aca="false">Q8*Inputs!$E$9*Q11</f>
        <v>17.85</v>
      </c>
      <c r="R13" s="115" t="n">
        <f aca="false">R8*Inputs!$E$9*R11</f>
        <v>17.85</v>
      </c>
      <c r="S13" s="115" t="n">
        <f aca="false">S8*Inputs!$E$9*S11</f>
        <v>17.85</v>
      </c>
      <c r="T13" s="115" t="n">
        <f aca="false">T8*Inputs!$E$9*T11</f>
        <v>17.85</v>
      </c>
      <c r="U13" s="115" t="n">
        <f aca="false">U8*Inputs!$E$9*U11</f>
        <v>17.85</v>
      </c>
      <c r="V13" s="115" t="n">
        <f aca="false">V8*Inputs!$E$9*V11</f>
        <v>17.85</v>
      </c>
      <c r="W13" s="115" t="n">
        <f aca="false">W8*Inputs!$E$9*W11</f>
        <v>17.85</v>
      </c>
      <c r="X13" s="115" t="n">
        <f aca="false">X8*Inputs!$E$9*X11</f>
        <v>17.85</v>
      </c>
      <c r="Y13" s="115" t="n">
        <f aca="false">Y8*Inputs!$E$9*Y11</f>
        <v>17.85</v>
      </c>
      <c r="Z13" s="115" t="n">
        <f aca="false">Z8*Inputs!$E$9*Z11</f>
        <v>17.85</v>
      </c>
      <c r="AA13" s="115" t="n">
        <f aca="false">AA8*Inputs!$E$9*AA11</f>
        <v>17.85</v>
      </c>
      <c r="AB13" s="115" t="n">
        <f aca="false">AB8*Inputs!$E$9*AB11</f>
        <v>17.85</v>
      </c>
      <c r="AC13" s="115" t="n">
        <f aca="false">AC8*Inputs!$E$9*AC11</f>
        <v>17.85</v>
      </c>
      <c r="AD13" s="115" t="n">
        <f aca="false">AD8*Inputs!$E$9*AD11</f>
        <v>17.85</v>
      </c>
      <c r="AE13" s="115" t="n">
        <f aca="false">AE8*Inputs!$E$9*AE11</f>
        <v>17.85</v>
      </c>
      <c r="AF13" s="115" t="n">
        <f aca="false">AF8*Inputs!$E$9*AF11</f>
        <v>17.85</v>
      </c>
      <c r="AG13" s="115" t="n">
        <f aca="false">AG8*Inputs!$E$9*AG11</f>
        <v>17.85</v>
      </c>
      <c r="AH13" s="115" t="n">
        <f aca="false">AH8*Inputs!$E$9*AH11</f>
        <v>17.85</v>
      </c>
      <c r="AI13" s="115" t="n">
        <f aca="false">AI8*Inputs!$E$9*AI11</f>
        <v>17.85</v>
      </c>
      <c r="AJ13" s="115" t="n">
        <f aca="false">AJ8*Inputs!$E$9*AJ11</f>
        <v>17.85</v>
      </c>
      <c r="AK13" s="115" t="n">
        <f aca="false">AK8*Inputs!$E$9*AK11</f>
        <v>17.85</v>
      </c>
      <c r="AL13" s="115" t="n">
        <f aca="false">AL8*Inputs!$E$9*AL11</f>
        <v>17.85</v>
      </c>
      <c r="AM13" s="115" t="n">
        <f aca="false">AM8*Inputs!$E$9*AM11</f>
        <v>17.85</v>
      </c>
      <c r="AN13" s="115" t="n">
        <f aca="false">AN8*Inputs!$E$9*AN11</f>
        <v>17.85</v>
      </c>
      <c r="AO13" s="115" t="n">
        <f aca="false">AO8*Inputs!$E$9*AO11</f>
        <v>17.85</v>
      </c>
      <c r="AP13" s="115" t="n">
        <f aca="false">AP8*Inputs!$E$9*AP11</f>
        <v>17.85</v>
      </c>
      <c r="AQ13" s="115" t="n">
        <f aca="false">AQ8*Inputs!$E$9*AQ11</f>
        <v>17.85</v>
      </c>
      <c r="AR13" s="115" t="n">
        <f aca="false">AR8*Inputs!$E$9*AR11</f>
        <v>17.85</v>
      </c>
      <c r="AS13" s="115" t="n">
        <f aca="false">AS8*Inputs!$E$9*AS11</f>
        <v>17.85</v>
      </c>
      <c r="AT13" s="115" t="n">
        <f aca="false">AT8*Inputs!$E$9*AT11</f>
        <v>17.85</v>
      </c>
      <c r="AU13" s="115" t="n">
        <f aca="false">AU8*Inputs!$E$9*AU11</f>
        <v>17.85</v>
      </c>
      <c r="AV13" s="115" t="n">
        <f aca="false">AV8*Inputs!$E$9*AV11</f>
        <v>17.85</v>
      </c>
      <c r="AW13" s="115" t="n">
        <f aca="false">AW8*Inputs!$E$9*AW11</f>
        <v>17.85</v>
      </c>
      <c r="AX13" s="115" t="n">
        <f aca="false">AX8*Inputs!$E$9*AX11</f>
        <v>17.85</v>
      </c>
      <c r="AY13" s="115" t="n">
        <f aca="false">AY8*Inputs!$E$9*AY11</f>
        <v>17.85</v>
      </c>
      <c r="AZ13" s="115" t="n">
        <f aca="false">AZ8*Inputs!$E$9*AZ11</f>
        <v>17.85</v>
      </c>
      <c r="BA13" s="115" t="n">
        <f aca="false">BA8*Inputs!$E$9*BA11</f>
        <v>17.85</v>
      </c>
      <c r="BB13" s="115" t="n">
        <f aca="false">BB8*Inputs!$E$9*BB11</f>
        <v>17.85</v>
      </c>
      <c r="BC13" s="115" t="n">
        <f aca="false">BC8*Inputs!$E$9*BC11</f>
        <v>17.85</v>
      </c>
      <c r="BD13" s="115" t="n">
        <f aca="false">BD8*Inputs!$E$9*BD11</f>
        <v>17.85</v>
      </c>
      <c r="BE13" s="115" t="n">
        <f aca="false">BE8*Inputs!$E$9*BE11</f>
        <v>17.85</v>
      </c>
      <c r="BF13" s="115" t="n">
        <f aca="false">BF8*Inputs!$E$9*BF11</f>
        <v>17.85</v>
      </c>
      <c r="BG13" s="115" t="n">
        <f aca="false">BG8*Inputs!$E$9*BG11</f>
        <v>17.85</v>
      </c>
      <c r="BH13" s="115" t="n">
        <f aca="false">BH8*Inputs!$E$9*BH11</f>
        <v>17.85</v>
      </c>
      <c r="BI13" s="115" t="n">
        <f aca="false">BI8*Inputs!$E$9*BI11</f>
        <v>17.85</v>
      </c>
      <c r="BJ13" s="115" t="n">
        <f aca="false">BJ8*Inputs!$E$9*BJ11</f>
        <v>17.85</v>
      </c>
    </row>
    <row r="14" customFormat="false" ht="15" hidden="false" customHeight="false" outlineLevel="0" collapsed="false">
      <c r="A14" s="6" t="s">
        <v>423</v>
      </c>
      <c r="C14" s="115" t="n">
        <f aca="false">C8*(1-Inputs!$E$9)*C11</f>
        <v>7.8</v>
      </c>
      <c r="D14" s="115" t="n">
        <f aca="false">D8*(1-Inputs!$E$9)*D11</f>
        <v>9.9125</v>
      </c>
      <c r="E14" s="115" t="n">
        <f aca="false">E8*(1-Inputs!$E$9)*E11</f>
        <v>12.025</v>
      </c>
      <c r="F14" s="115" t="n">
        <f aca="false">F8*(1-Inputs!$E$9)*F11</f>
        <v>14.1375</v>
      </c>
      <c r="G14" s="115" t="n">
        <f aca="false">G8*(1-Inputs!$E$9)*G11</f>
        <v>16.25</v>
      </c>
      <c r="H14" s="115" t="n">
        <f aca="false">H8*(1-Inputs!$E$9)*H11</f>
        <v>18.3625</v>
      </c>
      <c r="I14" s="115" t="n">
        <f aca="false">I8*(1-Inputs!$E$9)*I11</f>
        <v>20.475</v>
      </c>
      <c r="J14" s="115" t="n">
        <f aca="false">J8*(1-Inputs!$E$9)*J11</f>
        <v>22.5875</v>
      </c>
      <c r="K14" s="115" t="n">
        <f aca="false">K8*(1-Inputs!$E$9)*K11</f>
        <v>24.7</v>
      </c>
      <c r="L14" s="115" t="n">
        <f aca="false">L8*(1-Inputs!$E$9)*L11</f>
        <v>26.8125</v>
      </c>
      <c r="M14" s="115" t="n">
        <f aca="false">M8*(1-Inputs!$E$9)*M11</f>
        <v>28.925</v>
      </c>
      <c r="N14" s="115" t="n">
        <f aca="false">N8*(1-Inputs!$E$9)*N11</f>
        <v>31.0375</v>
      </c>
      <c r="O14" s="115" t="n">
        <f aca="false">O8*(1-Inputs!$E$9)*O11</f>
        <v>33.15</v>
      </c>
      <c r="P14" s="115" t="n">
        <f aca="false">P8*(1-Inputs!$E$9)*P11</f>
        <v>33.15</v>
      </c>
      <c r="Q14" s="115" t="n">
        <f aca="false">Q8*(1-Inputs!$E$9)*Q11</f>
        <v>33.15</v>
      </c>
      <c r="R14" s="115" t="n">
        <f aca="false">R8*(1-Inputs!$E$9)*R11</f>
        <v>33.15</v>
      </c>
      <c r="S14" s="115" t="n">
        <f aca="false">S8*(1-Inputs!$E$9)*S11</f>
        <v>33.15</v>
      </c>
      <c r="T14" s="115" t="n">
        <f aca="false">T8*(1-Inputs!$E$9)*T11</f>
        <v>33.15</v>
      </c>
      <c r="U14" s="115" t="n">
        <f aca="false">U8*(1-Inputs!$E$9)*U11</f>
        <v>33.15</v>
      </c>
      <c r="V14" s="115" t="n">
        <f aca="false">V8*(1-Inputs!$E$9)*V11</f>
        <v>33.15</v>
      </c>
      <c r="W14" s="115" t="n">
        <f aca="false">W8*(1-Inputs!$E$9)*W11</f>
        <v>33.15</v>
      </c>
      <c r="X14" s="115" t="n">
        <f aca="false">X8*(1-Inputs!$E$9)*X11</f>
        <v>33.15</v>
      </c>
      <c r="Y14" s="115" t="n">
        <f aca="false">Y8*(1-Inputs!$E$9)*Y11</f>
        <v>33.15</v>
      </c>
      <c r="Z14" s="115" t="n">
        <f aca="false">Z8*(1-Inputs!$E$9)*Z11</f>
        <v>33.15</v>
      </c>
      <c r="AA14" s="115" t="n">
        <f aca="false">AA8*(1-Inputs!$E$9)*AA11</f>
        <v>33.15</v>
      </c>
      <c r="AB14" s="115" t="n">
        <f aca="false">AB8*(1-Inputs!$E$9)*AB11</f>
        <v>33.15</v>
      </c>
      <c r="AC14" s="115" t="n">
        <f aca="false">AC8*(1-Inputs!$E$9)*AC11</f>
        <v>33.15</v>
      </c>
      <c r="AD14" s="115" t="n">
        <f aca="false">AD8*(1-Inputs!$E$9)*AD11</f>
        <v>33.15</v>
      </c>
      <c r="AE14" s="115" t="n">
        <f aca="false">AE8*(1-Inputs!$E$9)*AE11</f>
        <v>33.15</v>
      </c>
      <c r="AF14" s="115" t="n">
        <f aca="false">AF8*(1-Inputs!$E$9)*AF11</f>
        <v>33.15</v>
      </c>
      <c r="AG14" s="115" t="n">
        <f aca="false">AG8*(1-Inputs!$E$9)*AG11</f>
        <v>33.15</v>
      </c>
      <c r="AH14" s="115" t="n">
        <f aca="false">AH8*(1-Inputs!$E$9)*AH11</f>
        <v>33.15</v>
      </c>
      <c r="AI14" s="115" t="n">
        <f aca="false">AI8*(1-Inputs!$E$9)*AI11</f>
        <v>33.15</v>
      </c>
      <c r="AJ14" s="115" t="n">
        <f aca="false">AJ8*(1-Inputs!$E$9)*AJ11</f>
        <v>33.15</v>
      </c>
      <c r="AK14" s="115" t="n">
        <f aca="false">AK8*(1-Inputs!$E$9)*AK11</f>
        <v>33.15</v>
      </c>
      <c r="AL14" s="115" t="n">
        <f aca="false">AL8*(1-Inputs!$E$9)*AL11</f>
        <v>33.15</v>
      </c>
      <c r="AM14" s="115" t="n">
        <f aca="false">AM8*(1-Inputs!$E$9)*AM11</f>
        <v>33.15</v>
      </c>
      <c r="AN14" s="115" t="n">
        <f aca="false">AN8*(1-Inputs!$E$9)*AN11</f>
        <v>33.15</v>
      </c>
      <c r="AO14" s="115" t="n">
        <f aca="false">AO8*(1-Inputs!$E$9)*AO11</f>
        <v>33.15</v>
      </c>
      <c r="AP14" s="115" t="n">
        <f aca="false">AP8*(1-Inputs!$E$9)*AP11</f>
        <v>33.15</v>
      </c>
      <c r="AQ14" s="115" t="n">
        <f aca="false">AQ8*(1-Inputs!$E$9)*AQ11</f>
        <v>33.15</v>
      </c>
      <c r="AR14" s="115" t="n">
        <f aca="false">AR8*(1-Inputs!$E$9)*AR11</f>
        <v>33.15</v>
      </c>
      <c r="AS14" s="115" t="n">
        <f aca="false">AS8*(1-Inputs!$E$9)*AS11</f>
        <v>33.15</v>
      </c>
      <c r="AT14" s="115" t="n">
        <f aca="false">AT8*(1-Inputs!$E$9)*AT11</f>
        <v>33.15</v>
      </c>
      <c r="AU14" s="115" t="n">
        <f aca="false">AU8*(1-Inputs!$E$9)*AU11</f>
        <v>33.15</v>
      </c>
      <c r="AV14" s="115" t="n">
        <f aca="false">AV8*(1-Inputs!$E$9)*AV11</f>
        <v>33.15</v>
      </c>
      <c r="AW14" s="115" t="n">
        <f aca="false">AW8*(1-Inputs!$E$9)*AW11</f>
        <v>33.15</v>
      </c>
      <c r="AX14" s="115" t="n">
        <f aca="false">AX8*(1-Inputs!$E$9)*AX11</f>
        <v>33.15</v>
      </c>
      <c r="AY14" s="115" t="n">
        <f aca="false">AY8*(1-Inputs!$E$9)*AY11</f>
        <v>33.15</v>
      </c>
      <c r="AZ14" s="115" t="n">
        <f aca="false">AZ8*(1-Inputs!$E$9)*AZ11</f>
        <v>33.15</v>
      </c>
      <c r="BA14" s="115" t="n">
        <f aca="false">BA8*(1-Inputs!$E$9)*BA11</f>
        <v>33.15</v>
      </c>
      <c r="BB14" s="115" t="n">
        <f aca="false">BB8*(1-Inputs!$E$9)*BB11</f>
        <v>33.15</v>
      </c>
      <c r="BC14" s="115" t="n">
        <f aca="false">BC8*(1-Inputs!$E$9)*BC11</f>
        <v>33.15</v>
      </c>
      <c r="BD14" s="115" t="n">
        <f aca="false">BD8*(1-Inputs!$E$9)*BD11</f>
        <v>33.15</v>
      </c>
      <c r="BE14" s="115" t="n">
        <f aca="false">BE8*(1-Inputs!$E$9)*BE11</f>
        <v>33.15</v>
      </c>
      <c r="BF14" s="115" t="n">
        <f aca="false">BF8*(1-Inputs!$E$9)*BF11</f>
        <v>33.15</v>
      </c>
      <c r="BG14" s="115" t="n">
        <f aca="false">BG8*(1-Inputs!$E$9)*BG11</f>
        <v>33.15</v>
      </c>
      <c r="BH14" s="115" t="n">
        <f aca="false">BH8*(1-Inputs!$E$9)*BH11</f>
        <v>33.15</v>
      </c>
      <c r="BI14" s="115" t="n">
        <f aca="false">BI8*(1-Inputs!$E$9)*BI11</f>
        <v>33.15</v>
      </c>
      <c r="BJ14" s="115" t="n">
        <f aca="false">BJ8*(1-Inputs!$E$9)*BJ11</f>
        <v>33.15</v>
      </c>
    </row>
    <row r="15" customFormat="false" ht="15" hidden="false" customHeight="false" outlineLevel="0" collapsed="false">
      <c r="A15" s="4" t="s">
        <v>424</v>
      </c>
      <c r="C15" s="116" t="n">
        <f aca="false">C13+C14</f>
        <v>12</v>
      </c>
      <c r="D15" s="116" t="n">
        <f aca="false">D13+D14</f>
        <v>15.25</v>
      </c>
      <c r="E15" s="116" t="n">
        <f aca="false">E13+E14</f>
        <v>18.5</v>
      </c>
      <c r="F15" s="116" t="n">
        <f aca="false">F13+F14</f>
        <v>21.75</v>
      </c>
      <c r="G15" s="116" t="n">
        <f aca="false">G13+G14</f>
        <v>25</v>
      </c>
      <c r="H15" s="116" t="n">
        <f aca="false">H13+H14</f>
        <v>28.25</v>
      </c>
      <c r="I15" s="116" t="n">
        <f aca="false">I13+I14</f>
        <v>31.5</v>
      </c>
      <c r="J15" s="116" t="n">
        <f aca="false">J13+J14</f>
        <v>34.75</v>
      </c>
      <c r="K15" s="116" t="n">
        <f aca="false">K13+K14</f>
        <v>38</v>
      </c>
      <c r="L15" s="116" t="n">
        <f aca="false">L13+L14</f>
        <v>41.25</v>
      </c>
      <c r="M15" s="116" t="n">
        <f aca="false">M13+M14</f>
        <v>44.5</v>
      </c>
      <c r="N15" s="116" t="n">
        <f aca="false">N13+N14</f>
        <v>47.75</v>
      </c>
      <c r="O15" s="116" t="n">
        <f aca="false">O13+O14</f>
        <v>51</v>
      </c>
      <c r="P15" s="116" t="n">
        <f aca="false">P13+P14</f>
        <v>51</v>
      </c>
      <c r="Q15" s="116" t="n">
        <f aca="false">Q13+Q14</f>
        <v>51</v>
      </c>
      <c r="R15" s="116" t="n">
        <f aca="false">R13+R14</f>
        <v>51</v>
      </c>
      <c r="S15" s="116" t="n">
        <f aca="false">S13+S14</f>
        <v>51</v>
      </c>
      <c r="T15" s="116" t="n">
        <f aca="false">T13+T14</f>
        <v>51</v>
      </c>
      <c r="U15" s="116" t="n">
        <f aca="false">U13+U14</f>
        <v>51</v>
      </c>
      <c r="V15" s="116" t="n">
        <f aca="false">V13+V14</f>
        <v>51</v>
      </c>
      <c r="W15" s="116" t="n">
        <f aca="false">W13+W14</f>
        <v>51</v>
      </c>
      <c r="X15" s="116" t="n">
        <f aca="false">X13+X14</f>
        <v>51</v>
      </c>
      <c r="Y15" s="116" t="n">
        <f aca="false">Y13+Y14</f>
        <v>51</v>
      </c>
      <c r="Z15" s="116" t="n">
        <f aca="false">Z13+Z14</f>
        <v>51</v>
      </c>
      <c r="AA15" s="116" t="n">
        <f aca="false">AA13+AA14</f>
        <v>51</v>
      </c>
      <c r="AB15" s="116" t="n">
        <f aca="false">AB13+AB14</f>
        <v>51</v>
      </c>
      <c r="AC15" s="116" t="n">
        <f aca="false">AC13+AC14</f>
        <v>51</v>
      </c>
      <c r="AD15" s="116" t="n">
        <f aca="false">AD13+AD14</f>
        <v>51</v>
      </c>
      <c r="AE15" s="116" t="n">
        <f aca="false">AE13+AE14</f>
        <v>51</v>
      </c>
      <c r="AF15" s="116" t="n">
        <f aca="false">AF13+AF14</f>
        <v>51</v>
      </c>
      <c r="AG15" s="116" t="n">
        <f aca="false">AG13+AG14</f>
        <v>51</v>
      </c>
      <c r="AH15" s="116" t="n">
        <f aca="false">AH13+AH14</f>
        <v>51</v>
      </c>
      <c r="AI15" s="116" t="n">
        <f aca="false">AI13+AI14</f>
        <v>51</v>
      </c>
      <c r="AJ15" s="116" t="n">
        <f aca="false">AJ13+AJ14</f>
        <v>51</v>
      </c>
      <c r="AK15" s="116" t="n">
        <f aca="false">AK13+AK14</f>
        <v>51</v>
      </c>
      <c r="AL15" s="116" t="n">
        <f aca="false">AL13+AL14</f>
        <v>51</v>
      </c>
      <c r="AM15" s="116" t="n">
        <f aca="false">AM13+AM14</f>
        <v>51</v>
      </c>
      <c r="AN15" s="116" t="n">
        <f aca="false">AN13+AN14</f>
        <v>51</v>
      </c>
      <c r="AO15" s="116" t="n">
        <f aca="false">AO13+AO14</f>
        <v>51</v>
      </c>
      <c r="AP15" s="116" t="n">
        <f aca="false">AP13+AP14</f>
        <v>51</v>
      </c>
      <c r="AQ15" s="116" t="n">
        <f aca="false">AQ13+AQ14</f>
        <v>51</v>
      </c>
      <c r="AR15" s="116" t="n">
        <f aca="false">AR13+AR14</f>
        <v>51</v>
      </c>
      <c r="AS15" s="116" t="n">
        <f aca="false">AS13+AS14</f>
        <v>51</v>
      </c>
      <c r="AT15" s="116" t="n">
        <f aca="false">AT13+AT14</f>
        <v>51</v>
      </c>
      <c r="AU15" s="116" t="n">
        <f aca="false">AU13+AU14</f>
        <v>51</v>
      </c>
      <c r="AV15" s="116" t="n">
        <f aca="false">AV13+AV14</f>
        <v>51</v>
      </c>
      <c r="AW15" s="116" t="n">
        <f aca="false">AW13+AW14</f>
        <v>51</v>
      </c>
      <c r="AX15" s="116" t="n">
        <f aca="false">AX13+AX14</f>
        <v>51</v>
      </c>
      <c r="AY15" s="116" t="n">
        <f aca="false">AY13+AY14</f>
        <v>51</v>
      </c>
      <c r="AZ15" s="116" t="n">
        <f aca="false">AZ13+AZ14</f>
        <v>51</v>
      </c>
      <c r="BA15" s="116" t="n">
        <f aca="false">BA13+BA14</f>
        <v>51</v>
      </c>
      <c r="BB15" s="116" t="n">
        <f aca="false">BB13+BB14</f>
        <v>51</v>
      </c>
      <c r="BC15" s="116" t="n">
        <f aca="false">BC13+BC14</f>
        <v>51</v>
      </c>
      <c r="BD15" s="116" t="n">
        <f aca="false">BD13+BD14</f>
        <v>51</v>
      </c>
      <c r="BE15" s="116" t="n">
        <f aca="false">BE13+BE14</f>
        <v>51</v>
      </c>
      <c r="BF15" s="116" t="n">
        <f aca="false">BF13+BF14</f>
        <v>51</v>
      </c>
      <c r="BG15" s="116" t="n">
        <f aca="false">BG13+BG14</f>
        <v>51</v>
      </c>
      <c r="BH15" s="116" t="n">
        <f aca="false">BH13+BH14</f>
        <v>51</v>
      </c>
      <c r="BI15" s="116" t="n">
        <f aca="false">BI13+BI14</f>
        <v>51</v>
      </c>
      <c r="BJ15" s="116" t="n">
        <f aca="false">BJ13+BJ14</f>
        <v>51</v>
      </c>
    </row>
    <row r="16" customFormat="false" ht="15" hidden="false" customHeight="false" outlineLevel="0" collapsed="false">
      <c r="A16" s="6" t="s">
        <v>234</v>
      </c>
      <c r="C16" s="113" t="n">
        <f aca="false">C15*1</f>
        <v>12</v>
      </c>
      <c r="D16" s="113" t="n">
        <f aca="false">D15*1</f>
        <v>15.25</v>
      </c>
      <c r="E16" s="113" t="n">
        <f aca="false">E15*1</f>
        <v>18.5</v>
      </c>
      <c r="F16" s="113" t="n">
        <f aca="false">F15*1</f>
        <v>21.75</v>
      </c>
      <c r="G16" s="113" t="n">
        <f aca="false">G15*1</f>
        <v>25</v>
      </c>
      <c r="H16" s="113" t="n">
        <f aca="false">H15*1</f>
        <v>28.25</v>
      </c>
      <c r="I16" s="113" t="n">
        <f aca="false">I15*1</f>
        <v>31.5</v>
      </c>
      <c r="J16" s="113" t="n">
        <f aca="false">J15*1</f>
        <v>34.75</v>
      </c>
      <c r="K16" s="113" t="n">
        <f aca="false">K15*1</f>
        <v>38</v>
      </c>
      <c r="L16" s="113" t="n">
        <f aca="false">L15*1</f>
        <v>41.25</v>
      </c>
      <c r="M16" s="113" t="n">
        <f aca="false">M15*1</f>
        <v>44.5</v>
      </c>
      <c r="N16" s="113" t="n">
        <f aca="false">N15*1</f>
        <v>47.75</v>
      </c>
      <c r="O16" s="113" t="n">
        <f aca="false">O15*1</f>
        <v>51</v>
      </c>
      <c r="P16" s="113" t="n">
        <f aca="false">P15*1</f>
        <v>51</v>
      </c>
      <c r="Q16" s="113" t="n">
        <f aca="false">Q15*1</f>
        <v>51</v>
      </c>
      <c r="R16" s="113" t="n">
        <f aca="false">R15*1</f>
        <v>51</v>
      </c>
      <c r="S16" s="113" t="n">
        <f aca="false">S15*1</f>
        <v>51</v>
      </c>
      <c r="T16" s="113" t="n">
        <f aca="false">T15*1</f>
        <v>51</v>
      </c>
      <c r="U16" s="113" t="n">
        <f aca="false">U15*1</f>
        <v>51</v>
      </c>
      <c r="V16" s="113" t="n">
        <f aca="false">V15*1</f>
        <v>51</v>
      </c>
      <c r="W16" s="113" t="n">
        <f aca="false">W15*1</f>
        <v>51</v>
      </c>
      <c r="X16" s="113" t="n">
        <f aca="false">X15*1</f>
        <v>51</v>
      </c>
      <c r="Y16" s="113" t="n">
        <f aca="false">Y15*1</f>
        <v>51</v>
      </c>
      <c r="Z16" s="113" t="n">
        <f aca="false">Z15*1</f>
        <v>51</v>
      </c>
      <c r="AA16" s="113" t="n">
        <f aca="false">AA15*1</f>
        <v>51</v>
      </c>
      <c r="AB16" s="113" t="n">
        <f aca="false">AB15*1</f>
        <v>51</v>
      </c>
      <c r="AC16" s="113" t="n">
        <f aca="false">AC15*1</f>
        <v>51</v>
      </c>
      <c r="AD16" s="113" t="n">
        <f aca="false">AD15*1</f>
        <v>51</v>
      </c>
      <c r="AE16" s="113" t="n">
        <f aca="false">AE15*1</f>
        <v>51</v>
      </c>
      <c r="AF16" s="113" t="n">
        <f aca="false">AF15*1</f>
        <v>51</v>
      </c>
      <c r="AG16" s="113" t="n">
        <f aca="false">AG15*1</f>
        <v>51</v>
      </c>
      <c r="AH16" s="113" t="n">
        <f aca="false">AH15*1</f>
        <v>51</v>
      </c>
      <c r="AI16" s="113" t="n">
        <f aca="false">AI15*1</f>
        <v>51</v>
      </c>
      <c r="AJ16" s="113" t="n">
        <f aca="false">AJ15*1</f>
        <v>51</v>
      </c>
      <c r="AK16" s="113" t="n">
        <f aca="false">AK15*1</f>
        <v>51</v>
      </c>
      <c r="AL16" s="113" t="n">
        <f aca="false">AL15*1</f>
        <v>51</v>
      </c>
      <c r="AM16" s="113" t="n">
        <f aca="false">AM15*1</f>
        <v>51</v>
      </c>
      <c r="AN16" s="113" t="n">
        <f aca="false">AN15*1</f>
        <v>51</v>
      </c>
      <c r="AO16" s="113" t="n">
        <f aca="false">AO15*1</f>
        <v>51</v>
      </c>
      <c r="AP16" s="113" t="n">
        <f aca="false">AP15*1</f>
        <v>51</v>
      </c>
      <c r="AQ16" s="113" t="n">
        <f aca="false">AQ15*1</f>
        <v>51</v>
      </c>
      <c r="AR16" s="113" t="n">
        <f aca="false">AR15*1</f>
        <v>51</v>
      </c>
      <c r="AS16" s="113" t="n">
        <f aca="false">AS15*1</f>
        <v>51</v>
      </c>
      <c r="AT16" s="113" t="n">
        <f aca="false">AT15*1</f>
        <v>51</v>
      </c>
      <c r="AU16" s="113" t="n">
        <f aca="false">AU15*1</f>
        <v>51</v>
      </c>
      <c r="AV16" s="113" t="n">
        <f aca="false">AV15*1</f>
        <v>51</v>
      </c>
      <c r="AW16" s="113" t="n">
        <f aca="false">AW15*1</f>
        <v>51</v>
      </c>
      <c r="AX16" s="113" t="n">
        <f aca="false">AX15*1</f>
        <v>51</v>
      </c>
      <c r="AY16" s="113" t="n">
        <f aca="false">AY15*1</f>
        <v>51</v>
      </c>
      <c r="AZ16" s="113" t="n">
        <f aca="false">AZ15*1</f>
        <v>51</v>
      </c>
      <c r="BA16" s="113" t="n">
        <f aca="false">BA15*1</f>
        <v>51</v>
      </c>
      <c r="BB16" s="113" t="n">
        <f aca="false">BB15*1</f>
        <v>51</v>
      </c>
      <c r="BC16" s="113" t="n">
        <f aca="false">BC15*1</f>
        <v>51</v>
      </c>
      <c r="BD16" s="113" t="n">
        <f aca="false">BD15*1</f>
        <v>51</v>
      </c>
      <c r="BE16" s="113" t="n">
        <f aca="false">BE15*1</f>
        <v>51</v>
      </c>
      <c r="BF16" s="113" t="n">
        <f aca="false">BF15*1</f>
        <v>51</v>
      </c>
      <c r="BG16" s="113" t="n">
        <f aca="false">BG15*1</f>
        <v>51</v>
      </c>
      <c r="BH16" s="113" t="n">
        <f aca="false">BH15*1</f>
        <v>51</v>
      </c>
      <c r="BI16" s="113" t="n">
        <f aca="false">BI15*1</f>
        <v>51</v>
      </c>
      <c r="BJ16" s="113" t="n">
        <f aca="false">BJ15*1</f>
        <v>51</v>
      </c>
    </row>
    <row r="17" customFormat="false" ht="15" hidden="false" customHeight="false" outlineLevel="0" collapsed="false">
      <c r="A17" s="6" t="s">
        <v>233</v>
      </c>
      <c r="C17" s="113" t="n">
        <f aca="false">C8*1</f>
        <v>60</v>
      </c>
      <c r="D17" s="113" t="n">
        <f aca="false">D8*1</f>
        <v>60</v>
      </c>
      <c r="E17" s="113" t="n">
        <f aca="false">E8*1</f>
        <v>60</v>
      </c>
      <c r="F17" s="113" t="n">
        <f aca="false">F8*1</f>
        <v>60</v>
      </c>
      <c r="G17" s="113" t="n">
        <f aca="false">G8*1</f>
        <v>60</v>
      </c>
      <c r="H17" s="113" t="n">
        <f aca="false">H8*1</f>
        <v>60</v>
      </c>
      <c r="I17" s="113" t="n">
        <f aca="false">I8*1</f>
        <v>60</v>
      </c>
      <c r="J17" s="113" t="n">
        <f aca="false">J8*1</f>
        <v>60</v>
      </c>
      <c r="K17" s="113" t="n">
        <f aca="false">K8*1</f>
        <v>60</v>
      </c>
      <c r="L17" s="113" t="n">
        <f aca="false">L8*1</f>
        <v>60</v>
      </c>
      <c r="M17" s="113" t="n">
        <f aca="false">M8*1</f>
        <v>60</v>
      </c>
      <c r="N17" s="113" t="n">
        <f aca="false">N8*1</f>
        <v>60</v>
      </c>
      <c r="O17" s="113" t="n">
        <f aca="false">O8*1</f>
        <v>60</v>
      </c>
      <c r="P17" s="113" t="n">
        <f aca="false">P8*1</f>
        <v>60</v>
      </c>
      <c r="Q17" s="113" t="n">
        <f aca="false">Q8*1</f>
        <v>60</v>
      </c>
      <c r="R17" s="113" t="n">
        <f aca="false">R8*1</f>
        <v>60</v>
      </c>
      <c r="S17" s="113" t="n">
        <f aca="false">S8*1</f>
        <v>60</v>
      </c>
      <c r="T17" s="113" t="n">
        <f aca="false">T8*1</f>
        <v>60</v>
      </c>
      <c r="U17" s="113" t="n">
        <f aca="false">U8*1</f>
        <v>60</v>
      </c>
      <c r="V17" s="113" t="n">
        <f aca="false">V8*1</f>
        <v>60</v>
      </c>
      <c r="W17" s="113" t="n">
        <f aca="false">W8*1</f>
        <v>60</v>
      </c>
      <c r="X17" s="113" t="n">
        <f aca="false">X8*1</f>
        <v>60</v>
      </c>
      <c r="Y17" s="113" t="n">
        <f aca="false">Y8*1</f>
        <v>60</v>
      </c>
      <c r="Z17" s="113" t="n">
        <f aca="false">Z8*1</f>
        <v>60</v>
      </c>
      <c r="AA17" s="113" t="n">
        <f aca="false">AA8*1</f>
        <v>60</v>
      </c>
      <c r="AB17" s="113" t="n">
        <f aca="false">AB8*1</f>
        <v>60</v>
      </c>
      <c r="AC17" s="113" t="n">
        <f aca="false">AC8*1</f>
        <v>60</v>
      </c>
      <c r="AD17" s="113" t="n">
        <f aca="false">AD8*1</f>
        <v>60</v>
      </c>
      <c r="AE17" s="113" t="n">
        <f aca="false">AE8*1</f>
        <v>60</v>
      </c>
      <c r="AF17" s="113" t="n">
        <f aca="false">AF8*1</f>
        <v>60</v>
      </c>
      <c r="AG17" s="113" t="n">
        <f aca="false">AG8*1</f>
        <v>60</v>
      </c>
      <c r="AH17" s="113" t="n">
        <f aca="false">AH8*1</f>
        <v>60</v>
      </c>
      <c r="AI17" s="113" t="n">
        <f aca="false">AI8*1</f>
        <v>60</v>
      </c>
      <c r="AJ17" s="113" t="n">
        <f aca="false">AJ8*1</f>
        <v>60</v>
      </c>
      <c r="AK17" s="113" t="n">
        <f aca="false">AK8*1</f>
        <v>60</v>
      </c>
      <c r="AL17" s="113" t="n">
        <f aca="false">AL8*1</f>
        <v>60</v>
      </c>
      <c r="AM17" s="113" t="n">
        <f aca="false">AM8*1</f>
        <v>60</v>
      </c>
      <c r="AN17" s="113" t="n">
        <f aca="false">AN8*1</f>
        <v>60</v>
      </c>
      <c r="AO17" s="113" t="n">
        <f aca="false">AO8*1</f>
        <v>60</v>
      </c>
      <c r="AP17" s="113" t="n">
        <f aca="false">AP8*1</f>
        <v>60</v>
      </c>
      <c r="AQ17" s="113" t="n">
        <f aca="false">AQ8*1</f>
        <v>60</v>
      </c>
      <c r="AR17" s="113" t="n">
        <f aca="false">AR8*1</f>
        <v>60</v>
      </c>
      <c r="AS17" s="113" t="n">
        <f aca="false">AS8*1</f>
        <v>60</v>
      </c>
      <c r="AT17" s="113" t="n">
        <f aca="false">AT8*1</f>
        <v>60</v>
      </c>
      <c r="AU17" s="113" t="n">
        <f aca="false">AU8*1</f>
        <v>60</v>
      </c>
      <c r="AV17" s="113" t="n">
        <f aca="false">AV8*1</f>
        <v>60</v>
      </c>
      <c r="AW17" s="113" t="n">
        <f aca="false">AW8*1</f>
        <v>60</v>
      </c>
      <c r="AX17" s="113" t="n">
        <f aca="false">AX8*1</f>
        <v>60</v>
      </c>
      <c r="AY17" s="113" t="n">
        <f aca="false">AY8*1</f>
        <v>60</v>
      </c>
      <c r="AZ17" s="113" t="n">
        <f aca="false">AZ8*1</f>
        <v>60</v>
      </c>
      <c r="BA17" s="113" t="n">
        <f aca="false">BA8*1</f>
        <v>60</v>
      </c>
      <c r="BB17" s="113" t="n">
        <f aca="false">BB8*1</f>
        <v>60</v>
      </c>
      <c r="BC17" s="113" t="n">
        <f aca="false">BC8*1</f>
        <v>60</v>
      </c>
      <c r="BD17" s="113" t="n">
        <f aca="false">BD8*1</f>
        <v>60</v>
      </c>
      <c r="BE17" s="113" t="n">
        <f aca="false">BE8*1</f>
        <v>60</v>
      </c>
      <c r="BF17" s="113" t="n">
        <f aca="false">BF8*1</f>
        <v>60</v>
      </c>
      <c r="BG17" s="113" t="n">
        <f aca="false">BG8*1</f>
        <v>60</v>
      </c>
      <c r="BH17" s="113" t="n">
        <f aca="false">BH8*1</f>
        <v>60</v>
      </c>
      <c r="BI17" s="113" t="n">
        <f aca="false">BI8*1</f>
        <v>60</v>
      </c>
      <c r="BJ17" s="113" t="n">
        <f aca="false">BJ8*1</f>
        <v>60</v>
      </c>
    </row>
    <row r="18" customFormat="false" ht="15" hidden="false" customHeight="false" outlineLevel="0" collapsed="false">
      <c r="A18" s="6" t="s">
        <v>425</v>
      </c>
      <c r="C18" s="115" t="n">
        <f aca="false">C8*C12</f>
        <v>12</v>
      </c>
      <c r="D18" s="115" t="n">
        <f aca="false">D8*D12</f>
        <v>15.25</v>
      </c>
      <c r="E18" s="115" t="n">
        <f aca="false">E8*E12</f>
        <v>18.5</v>
      </c>
      <c r="F18" s="115" t="n">
        <f aca="false">F8*F12</f>
        <v>21.75</v>
      </c>
      <c r="G18" s="115" t="n">
        <f aca="false">G8*G12</f>
        <v>25</v>
      </c>
      <c r="H18" s="115" t="n">
        <f aca="false">H8*H12</f>
        <v>28.25</v>
      </c>
      <c r="I18" s="115" t="n">
        <f aca="false">I8*I12</f>
        <v>31.5</v>
      </c>
      <c r="J18" s="115" t="n">
        <f aca="false">J8*J12</f>
        <v>34.75</v>
      </c>
      <c r="K18" s="115" t="n">
        <f aca="false">K8*K12</f>
        <v>38</v>
      </c>
      <c r="L18" s="115" t="n">
        <f aca="false">L8*L12</f>
        <v>41.25</v>
      </c>
      <c r="M18" s="115" t="n">
        <f aca="false">M8*M12</f>
        <v>44.5</v>
      </c>
      <c r="N18" s="115" t="n">
        <f aca="false">N8*N12</f>
        <v>47.75</v>
      </c>
      <c r="O18" s="115" t="n">
        <f aca="false">O8*O12</f>
        <v>51</v>
      </c>
      <c r="P18" s="115" t="n">
        <f aca="false">P8*P12</f>
        <v>51</v>
      </c>
      <c r="Q18" s="115" t="n">
        <f aca="false">Q8*Q12</f>
        <v>51</v>
      </c>
      <c r="R18" s="115" t="n">
        <f aca="false">R8*R12</f>
        <v>51</v>
      </c>
      <c r="S18" s="115" t="n">
        <f aca="false">S8*S12</f>
        <v>51</v>
      </c>
      <c r="T18" s="115" t="n">
        <f aca="false">T8*T12</f>
        <v>51</v>
      </c>
      <c r="U18" s="115" t="n">
        <f aca="false">U8*U12</f>
        <v>51</v>
      </c>
      <c r="V18" s="115" t="n">
        <f aca="false">V8*V12</f>
        <v>51</v>
      </c>
      <c r="W18" s="115" t="n">
        <f aca="false">W8*W12</f>
        <v>51</v>
      </c>
      <c r="X18" s="115" t="n">
        <f aca="false">X8*X12</f>
        <v>51</v>
      </c>
      <c r="Y18" s="115" t="n">
        <f aca="false">Y8*Y12</f>
        <v>51</v>
      </c>
      <c r="Z18" s="115" t="n">
        <f aca="false">Z8*Z12</f>
        <v>51</v>
      </c>
      <c r="AA18" s="115" t="n">
        <f aca="false">AA8*AA12</f>
        <v>51</v>
      </c>
      <c r="AB18" s="115" t="n">
        <f aca="false">AB8*AB12</f>
        <v>51</v>
      </c>
      <c r="AC18" s="115" t="n">
        <f aca="false">AC8*AC12</f>
        <v>51</v>
      </c>
      <c r="AD18" s="115" t="n">
        <f aca="false">AD8*AD12</f>
        <v>51</v>
      </c>
      <c r="AE18" s="115" t="n">
        <f aca="false">AE8*AE12</f>
        <v>51</v>
      </c>
      <c r="AF18" s="115" t="n">
        <f aca="false">AF8*AF12</f>
        <v>51</v>
      </c>
      <c r="AG18" s="115" t="n">
        <f aca="false">AG8*AG12</f>
        <v>51</v>
      </c>
      <c r="AH18" s="115" t="n">
        <f aca="false">AH8*AH12</f>
        <v>51</v>
      </c>
      <c r="AI18" s="115" t="n">
        <f aca="false">AI8*AI12</f>
        <v>51</v>
      </c>
      <c r="AJ18" s="115" t="n">
        <f aca="false">AJ8*AJ12</f>
        <v>51</v>
      </c>
      <c r="AK18" s="115" t="n">
        <f aca="false">AK8*AK12</f>
        <v>51</v>
      </c>
      <c r="AL18" s="115" t="n">
        <f aca="false">AL8*AL12</f>
        <v>51</v>
      </c>
      <c r="AM18" s="115" t="n">
        <f aca="false">AM8*AM12</f>
        <v>51</v>
      </c>
      <c r="AN18" s="115" t="n">
        <f aca="false">AN8*AN12</f>
        <v>51</v>
      </c>
      <c r="AO18" s="115" t="n">
        <f aca="false">AO8*AO12</f>
        <v>51</v>
      </c>
      <c r="AP18" s="115" t="n">
        <f aca="false">AP8*AP12</f>
        <v>51</v>
      </c>
      <c r="AQ18" s="115" t="n">
        <f aca="false">AQ8*AQ12</f>
        <v>51</v>
      </c>
      <c r="AR18" s="115" t="n">
        <f aca="false">AR8*AR12</f>
        <v>51</v>
      </c>
      <c r="AS18" s="115" t="n">
        <f aca="false">AS8*AS12</f>
        <v>51</v>
      </c>
      <c r="AT18" s="115" t="n">
        <f aca="false">AT8*AT12</f>
        <v>51</v>
      </c>
      <c r="AU18" s="115" t="n">
        <f aca="false">AU8*AU12</f>
        <v>51</v>
      </c>
      <c r="AV18" s="115" t="n">
        <f aca="false">AV8*AV12</f>
        <v>51</v>
      </c>
      <c r="AW18" s="115" t="n">
        <f aca="false">AW8*AW12</f>
        <v>51</v>
      </c>
      <c r="AX18" s="115" t="n">
        <f aca="false">AX8*AX12</f>
        <v>51</v>
      </c>
      <c r="AY18" s="115" t="n">
        <f aca="false">AY8*AY12</f>
        <v>51</v>
      </c>
      <c r="AZ18" s="115" t="n">
        <f aca="false">AZ8*AZ12</f>
        <v>51</v>
      </c>
      <c r="BA18" s="115" t="n">
        <f aca="false">BA8*BA12</f>
        <v>51</v>
      </c>
      <c r="BB18" s="115" t="n">
        <f aca="false">BB8*BB12</f>
        <v>51</v>
      </c>
      <c r="BC18" s="115" t="n">
        <f aca="false">BC8*BC12</f>
        <v>51</v>
      </c>
      <c r="BD18" s="115" t="n">
        <f aca="false">BD8*BD12</f>
        <v>51</v>
      </c>
      <c r="BE18" s="115" t="n">
        <f aca="false">BE8*BE12</f>
        <v>51</v>
      </c>
      <c r="BF18" s="115" t="n">
        <f aca="false">BF8*BF12</f>
        <v>51</v>
      </c>
      <c r="BG18" s="115" t="n">
        <f aca="false">BG8*BG12</f>
        <v>51</v>
      </c>
      <c r="BH18" s="115" t="n">
        <f aca="false">BH8*BH12</f>
        <v>51</v>
      </c>
      <c r="BI18" s="115" t="n">
        <f aca="false">BI8*BI12</f>
        <v>51</v>
      </c>
      <c r="BJ18" s="115" t="n">
        <f aca="false">BJ8*BJ12</f>
        <v>51</v>
      </c>
    </row>
    <row r="19" customFormat="false" ht="15" hidden="false" customHeight="false" outlineLevel="0" collapsed="false">
      <c r="A19" s="6" t="s">
        <v>426</v>
      </c>
      <c r="C19" s="115" t="n">
        <f aca="false">MAX(0,C18)+C15*Inputs!$E$14*1/12</f>
        <v>12.3</v>
      </c>
      <c r="D19" s="115" t="n">
        <f aca="false">MAX(0,D18-C18)+D15*Inputs!$E$14*1/12</f>
        <v>3.63125</v>
      </c>
      <c r="E19" s="115" t="n">
        <f aca="false">MAX(0,E18-D18)+E15*Inputs!$E$14*1/12</f>
        <v>3.7125</v>
      </c>
      <c r="F19" s="115" t="n">
        <f aca="false">MAX(0,F18-E18)+F15*Inputs!$E$14*1/12</f>
        <v>3.79375</v>
      </c>
      <c r="G19" s="115" t="n">
        <f aca="false">MAX(0,G18-F18)+G15*Inputs!$E$14*1/12</f>
        <v>3.875</v>
      </c>
      <c r="H19" s="115" t="n">
        <f aca="false">MAX(0,H18-G18)+H15*Inputs!$E$14*1/12</f>
        <v>3.95625</v>
      </c>
      <c r="I19" s="115" t="n">
        <f aca="false">MAX(0,I18-H18)+I15*Inputs!$E$14*1/12</f>
        <v>4.03749999999999</v>
      </c>
      <c r="J19" s="115" t="n">
        <f aca="false">MAX(0,J18-I18)+J15*Inputs!$E$14*1/12</f>
        <v>4.11875000000001</v>
      </c>
      <c r="K19" s="115" t="n">
        <f aca="false">MAX(0,K18-J18)+K15*Inputs!$E$14*1/12</f>
        <v>4.2</v>
      </c>
      <c r="L19" s="115" t="n">
        <f aca="false">MAX(0,L18-K18)+L15*Inputs!$E$14*1/12</f>
        <v>4.28125</v>
      </c>
      <c r="M19" s="115" t="n">
        <f aca="false">MAX(0,M18-L18)+M15*Inputs!$E$14*1/12</f>
        <v>4.3625</v>
      </c>
      <c r="N19" s="115" t="n">
        <f aca="false">MAX(0,N18-M18)+N15*Inputs!$E$14*1/12</f>
        <v>4.44374999999999</v>
      </c>
      <c r="O19" s="115" t="n">
        <f aca="false">MAX(0,O18-N18)+O15*Inputs!$E$14*1/12</f>
        <v>4.525</v>
      </c>
      <c r="P19" s="115" t="n">
        <f aca="false">MAX(0,P18-O18)+P15*Inputs!$E$14*1/12</f>
        <v>1.275</v>
      </c>
      <c r="Q19" s="115" t="n">
        <f aca="false">MAX(0,Q18-P18)+Q15*Inputs!$E$14*1/12</f>
        <v>1.275</v>
      </c>
      <c r="R19" s="115" t="n">
        <f aca="false">MAX(0,R18-Q18)+R15*Inputs!$E$14*1/12</f>
        <v>1.275</v>
      </c>
      <c r="S19" s="115" t="n">
        <f aca="false">MAX(0,S18-R18)+S15*Inputs!$E$14*1/12</f>
        <v>1.275</v>
      </c>
      <c r="T19" s="115" t="n">
        <f aca="false">MAX(0,T18-S18)+T15*Inputs!$E$14*1/12</f>
        <v>1.275</v>
      </c>
      <c r="U19" s="115" t="n">
        <f aca="false">MAX(0,U18-T18)+U15*Inputs!$E$14*1/12</f>
        <v>1.275</v>
      </c>
      <c r="V19" s="115" t="n">
        <f aca="false">MAX(0,V18-U18)+V15*Inputs!$E$14*1/12</f>
        <v>1.275</v>
      </c>
      <c r="W19" s="115" t="n">
        <f aca="false">MAX(0,W18-V18)+W15*Inputs!$E$14*1/12</f>
        <v>1.275</v>
      </c>
      <c r="X19" s="115" t="n">
        <f aca="false">MAX(0,X18-W18)+X15*Inputs!$E$14*1/12</f>
        <v>1.275</v>
      </c>
      <c r="Y19" s="115" t="n">
        <f aca="false">MAX(0,Y18-X18)+Y15*Inputs!$E$14*1/12</f>
        <v>1.275</v>
      </c>
      <c r="Z19" s="115" t="n">
        <f aca="false">MAX(0,Z18-Y18)+Z15*Inputs!$E$14*1/12</f>
        <v>1.275</v>
      </c>
      <c r="AA19" s="115" t="n">
        <f aca="false">MAX(0,AA18-Z18)+AA15*Inputs!$E$14*1/12</f>
        <v>1.275</v>
      </c>
      <c r="AB19" s="115" t="n">
        <f aca="false">MAX(0,AB18-AA18)+AB15*Inputs!$E$14*1/12</f>
        <v>1.275</v>
      </c>
      <c r="AC19" s="115" t="n">
        <f aca="false">MAX(0,AC18-AB18)+AC15*Inputs!$E$14*1/12</f>
        <v>1.275</v>
      </c>
      <c r="AD19" s="115" t="n">
        <f aca="false">MAX(0,AD18-AC18)+AD15*Inputs!$E$14*1/12</f>
        <v>1.275</v>
      </c>
      <c r="AE19" s="115" t="n">
        <f aca="false">MAX(0,AE18-AD18)+AE15*Inputs!$E$14*1/12</f>
        <v>1.275</v>
      </c>
      <c r="AF19" s="115" t="n">
        <f aca="false">MAX(0,AF18-AE18)+AF15*Inputs!$E$14*1/12</f>
        <v>1.275</v>
      </c>
      <c r="AG19" s="115" t="n">
        <f aca="false">MAX(0,AG18-AF18)+AG15*Inputs!$E$14*1/12</f>
        <v>1.275</v>
      </c>
      <c r="AH19" s="115" t="n">
        <f aca="false">MAX(0,AH18-AG18)+AH15*Inputs!$E$14*1/12</f>
        <v>1.275</v>
      </c>
      <c r="AI19" s="115" t="n">
        <f aca="false">MAX(0,AI18-AH18)+AI15*Inputs!$E$14*1/12</f>
        <v>1.275</v>
      </c>
      <c r="AJ19" s="115" t="n">
        <f aca="false">MAX(0,AJ18-AI18)+AJ15*Inputs!$E$14*1/12</f>
        <v>1.275</v>
      </c>
      <c r="AK19" s="115" t="n">
        <f aca="false">MAX(0,AK18-AJ18)+AK15*Inputs!$E$14*1/12</f>
        <v>1.275</v>
      </c>
      <c r="AL19" s="115" t="n">
        <f aca="false">MAX(0,AL18-AK18)+AL15*Inputs!$E$14*1/12</f>
        <v>1.275</v>
      </c>
      <c r="AM19" s="115" t="n">
        <f aca="false">MAX(0,AM18-AL18)+AM15*Inputs!$E$14*1/12</f>
        <v>1.275</v>
      </c>
      <c r="AN19" s="115" t="n">
        <f aca="false">MAX(0,AN18-AM18)+AN15*Inputs!$E$14*1/12</f>
        <v>1.275</v>
      </c>
      <c r="AO19" s="115" t="n">
        <f aca="false">MAX(0,AO18-AN18)+AO15*Inputs!$E$14*1/12</f>
        <v>1.275</v>
      </c>
      <c r="AP19" s="115" t="n">
        <f aca="false">MAX(0,AP18-AO18)+AP15*Inputs!$E$14*1/12</f>
        <v>1.275</v>
      </c>
      <c r="AQ19" s="115" t="n">
        <f aca="false">MAX(0,AQ18-AP18)+AQ15*Inputs!$E$14*1/12</f>
        <v>1.275</v>
      </c>
      <c r="AR19" s="115" t="n">
        <f aca="false">MAX(0,AR18-AQ18)+AR15*Inputs!$E$14*1/12</f>
        <v>1.275</v>
      </c>
      <c r="AS19" s="115" t="n">
        <f aca="false">MAX(0,AS18-AR18)+AS15*Inputs!$E$14*1/12</f>
        <v>1.275</v>
      </c>
      <c r="AT19" s="115" t="n">
        <f aca="false">MAX(0,AT18-AS18)+AT15*Inputs!$E$14*1/12</f>
        <v>1.275</v>
      </c>
      <c r="AU19" s="115" t="n">
        <f aca="false">MAX(0,AU18-AT18)+AU15*Inputs!$E$14*1/12</f>
        <v>1.275</v>
      </c>
      <c r="AV19" s="115" t="n">
        <f aca="false">MAX(0,AV18-AU18)+AV15*Inputs!$E$14*1/12</f>
        <v>1.275</v>
      </c>
      <c r="AW19" s="115" t="n">
        <f aca="false">MAX(0,AW18-AV18)+AW15*Inputs!$E$14*1/12</f>
        <v>1.275</v>
      </c>
      <c r="AX19" s="115" t="n">
        <f aca="false">MAX(0,AX18-AW18)+AX15*Inputs!$E$14*1/12</f>
        <v>1.275</v>
      </c>
      <c r="AY19" s="115" t="n">
        <f aca="false">MAX(0,AY18-AX18)+AY15*Inputs!$E$14*1/12</f>
        <v>1.275</v>
      </c>
      <c r="AZ19" s="115" t="n">
        <f aca="false">MAX(0,AZ18-AY18)+AZ15*Inputs!$E$14*1/12</f>
        <v>1.275</v>
      </c>
      <c r="BA19" s="115" t="n">
        <f aca="false">MAX(0,BA18-AZ18)+BA15*Inputs!$E$14*1/12</f>
        <v>1.275</v>
      </c>
      <c r="BB19" s="115" t="n">
        <f aca="false">MAX(0,BB18-BA18)+BB15*Inputs!$E$14*1/12</f>
        <v>1.275</v>
      </c>
      <c r="BC19" s="115" t="n">
        <f aca="false">MAX(0,BC18-BB18)+BC15*Inputs!$E$14*1/12</f>
        <v>1.275</v>
      </c>
      <c r="BD19" s="115" t="n">
        <f aca="false">MAX(0,BD18-BC18)+BD15*Inputs!$E$14*1/12</f>
        <v>1.275</v>
      </c>
      <c r="BE19" s="115" t="n">
        <f aca="false">MAX(0,BE18-BD18)+BE15*Inputs!$E$14*1/12</f>
        <v>1.275</v>
      </c>
      <c r="BF19" s="115" t="n">
        <f aca="false">MAX(0,BF18-BE18)+BF15*Inputs!$E$14*1/12</f>
        <v>1.275</v>
      </c>
      <c r="BG19" s="115" t="n">
        <f aca="false">MAX(0,BG18-BF18)+BG15*Inputs!$E$14*1/12</f>
        <v>1.275</v>
      </c>
      <c r="BH19" s="115" t="n">
        <f aca="false">MAX(0,BH18-BG18)+BH15*Inputs!$E$14*1/12</f>
        <v>1.275</v>
      </c>
      <c r="BI19" s="115" t="n">
        <f aca="false">MAX(0,BI18-BH18)+BI15*Inputs!$E$14*1/12</f>
        <v>1.275</v>
      </c>
      <c r="BJ19" s="115" t="n">
        <f aca="false">MAX(0,BJ18-BI18)+BJ15*Inputs!$E$14*1/12</f>
        <v>1.275</v>
      </c>
    </row>
    <row r="21" customFormat="false" ht="15.75" hidden="false" customHeight="true" outlineLevel="0" collapsed="false">
      <c r="A21" s="7" t="s">
        <v>272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6" t="s">
        <v>427</v>
      </c>
      <c r="C22" s="113" t="n">
        <f aca="false">ROUNDUP(ROUND(C13/MAX(1,Inputs!$E$26),6),0)</f>
        <v>1</v>
      </c>
      <c r="D22" s="113" t="n">
        <f aca="false">ROUNDUP(ROUND(D13/MAX(1,Inputs!$E$26),6),0)</f>
        <v>1</v>
      </c>
      <c r="E22" s="113" t="n">
        <f aca="false">ROUNDUP(ROUND(E13/MAX(1,Inputs!$E$26),6),0)</f>
        <v>2</v>
      </c>
      <c r="F22" s="113" t="n">
        <f aca="false">ROUNDUP(ROUND(F13/MAX(1,Inputs!$E$26),6),0)</f>
        <v>2</v>
      </c>
      <c r="G22" s="113" t="n">
        <f aca="false">ROUNDUP(ROUND(G13/MAX(1,Inputs!$E$26),6),0)</f>
        <v>2</v>
      </c>
      <c r="H22" s="113" t="n">
        <f aca="false">ROUNDUP(ROUND(H13/MAX(1,Inputs!$E$26),6),0)</f>
        <v>2</v>
      </c>
      <c r="I22" s="113" t="n">
        <f aca="false">ROUNDUP(ROUND(I13/MAX(1,Inputs!$E$26),6),0)</f>
        <v>2</v>
      </c>
      <c r="J22" s="113" t="n">
        <f aca="false">ROUNDUP(ROUND(J13/MAX(1,Inputs!$E$26),6),0)</f>
        <v>3</v>
      </c>
      <c r="K22" s="113" t="n">
        <f aca="false">ROUNDUP(ROUND(K13/MAX(1,Inputs!$E$26),6),0)</f>
        <v>3</v>
      </c>
      <c r="L22" s="113" t="n">
        <f aca="false">ROUNDUP(ROUND(L13/MAX(1,Inputs!$E$26),6),0)</f>
        <v>3</v>
      </c>
      <c r="M22" s="113" t="n">
        <f aca="false">ROUNDUP(ROUND(M13/MAX(1,Inputs!$E$26),6),0)</f>
        <v>3</v>
      </c>
      <c r="N22" s="113" t="n">
        <f aca="false">ROUNDUP(ROUND(N13/MAX(1,Inputs!$E$26),6),0)</f>
        <v>3</v>
      </c>
      <c r="O22" s="113" t="n">
        <f aca="false">ROUNDUP(ROUND(O13/MAX(1,Inputs!$E$26),6),0)</f>
        <v>3</v>
      </c>
      <c r="P22" s="113" t="n">
        <f aca="false">ROUNDUP(ROUND(P13/MAX(1,Inputs!$E$26),6),0)</f>
        <v>3</v>
      </c>
      <c r="Q22" s="113" t="n">
        <f aca="false">ROUNDUP(ROUND(Q13/MAX(1,Inputs!$E$26),6),0)</f>
        <v>3</v>
      </c>
      <c r="R22" s="113" t="n">
        <f aca="false">ROUNDUP(ROUND(R13/MAX(1,Inputs!$E$26),6),0)</f>
        <v>3</v>
      </c>
      <c r="S22" s="113" t="n">
        <f aca="false">ROUNDUP(ROUND(S13/MAX(1,Inputs!$E$26),6),0)</f>
        <v>3</v>
      </c>
      <c r="T22" s="113" t="n">
        <f aca="false">ROUNDUP(ROUND(T13/MAX(1,Inputs!$E$26),6),0)</f>
        <v>3</v>
      </c>
      <c r="U22" s="113" t="n">
        <f aca="false">ROUNDUP(ROUND(U13/MAX(1,Inputs!$E$26),6),0)</f>
        <v>3</v>
      </c>
      <c r="V22" s="113" t="n">
        <f aca="false">ROUNDUP(ROUND(V13/MAX(1,Inputs!$E$26),6),0)</f>
        <v>3</v>
      </c>
      <c r="W22" s="113" t="n">
        <f aca="false">ROUNDUP(ROUND(W13/MAX(1,Inputs!$E$26),6),0)</f>
        <v>3</v>
      </c>
      <c r="X22" s="113" t="n">
        <f aca="false">ROUNDUP(ROUND(X13/MAX(1,Inputs!$E$26),6),0)</f>
        <v>3</v>
      </c>
      <c r="Y22" s="113" t="n">
        <f aca="false">ROUNDUP(ROUND(Y13/MAX(1,Inputs!$E$26),6),0)</f>
        <v>3</v>
      </c>
      <c r="Z22" s="113" t="n">
        <f aca="false">ROUNDUP(ROUND(Z13/MAX(1,Inputs!$E$26),6),0)</f>
        <v>3</v>
      </c>
      <c r="AA22" s="113" t="n">
        <f aca="false">ROUNDUP(ROUND(AA13/MAX(1,Inputs!$E$26),6),0)</f>
        <v>3</v>
      </c>
      <c r="AB22" s="113" t="n">
        <f aca="false">ROUNDUP(ROUND(AB13/MAX(1,Inputs!$E$26),6),0)</f>
        <v>3</v>
      </c>
      <c r="AC22" s="113" t="n">
        <f aca="false">ROUNDUP(ROUND(AC13/MAX(1,Inputs!$E$26),6),0)</f>
        <v>3</v>
      </c>
      <c r="AD22" s="113" t="n">
        <f aca="false">ROUNDUP(ROUND(AD13/MAX(1,Inputs!$E$26),6),0)</f>
        <v>3</v>
      </c>
      <c r="AE22" s="113" t="n">
        <f aca="false">ROUNDUP(ROUND(AE13/MAX(1,Inputs!$E$26),6),0)</f>
        <v>3</v>
      </c>
      <c r="AF22" s="113" t="n">
        <f aca="false">ROUNDUP(ROUND(AF13/MAX(1,Inputs!$E$26),6),0)</f>
        <v>3</v>
      </c>
      <c r="AG22" s="113" t="n">
        <f aca="false">ROUNDUP(ROUND(AG13/MAX(1,Inputs!$E$26),6),0)</f>
        <v>3</v>
      </c>
      <c r="AH22" s="113" t="n">
        <f aca="false">ROUNDUP(ROUND(AH13/MAX(1,Inputs!$E$26),6),0)</f>
        <v>3</v>
      </c>
      <c r="AI22" s="113" t="n">
        <f aca="false">ROUNDUP(ROUND(AI13/MAX(1,Inputs!$E$26),6),0)</f>
        <v>3</v>
      </c>
      <c r="AJ22" s="113" t="n">
        <f aca="false">ROUNDUP(ROUND(AJ13/MAX(1,Inputs!$E$26),6),0)</f>
        <v>3</v>
      </c>
      <c r="AK22" s="113" t="n">
        <f aca="false">ROUNDUP(ROUND(AK13/MAX(1,Inputs!$E$26),6),0)</f>
        <v>3</v>
      </c>
      <c r="AL22" s="113" t="n">
        <f aca="false">ROUNDUP(ROUND(AL13/MAX(1,Inputs!$E$26),6),0)</f>
        <v>3</v>
      </c>
      <c r="AM22" s="113" t="n">
        <f aca="false">ROUNDUP(ROUND(AM13/MAX(1,Inputs!$E$26),6),0)</f>
        <v>3</v>
      </c>
      <c r="AN22" s="113" t="n">
        <f aca="false">ROUNDUP(ROUND(AN13/MAX(1,Inputs!$E$26),6),0)</f>
        <v>3</v>
      </c>
      <c r="AO22" s="113" t="n">
        <f aca="false">ROUNDUP(ROUND(AO13/MAX(1,Inputs!$E$26),6),0)</f>
        <v>3</v>
      </c>
      <c r="AP22" s="113" t="n">
        <f aca="false">ROUNDUP(ROUND(AP13/MAX(1,Inputs!$E$26),6),0)</f>
        <v>3</v>
      </c>
      <c r="AQ22" s="113" t="n">
        <f aca="false">ROUNDUP(ROUND(AQ13/MAX(1,Inputs!$E$26),6),0)</f>
        <v>3</v>
      </c>
      <c r="AR22" s="113" t="n">
        <f aca="false">ROUNDUP(ROUND(AR13/MAX(1,Inputs!$E$26),6),0)</f>
        <v>3</v>
      </c>
      <c r="AS22" s="113" t="n">
        <f aca="false">ROUNDUP(ROUND(AS13/MAX(1,Inputs!$E$26),6),0)</f>
        <v>3</v>
      </c>
      <c r="AT22" s="113" t="n">
        <f aca="false">ROUNDUP(ROUND(AT13/MAX(1,Inputs!$E$26),6),0)</f>
        <v>3</v>
      </c>
      <c r="AU22" s="113" t="n">
        <f aca="false">ROUNDUP(ROUND(AU13/MAX(1,Inputs!$E$26),6),0)</f>
        <v>3</v>
      </c>
      <c r="AV22" s="113" t="n">
        <f aca="false">ROUNDUP(ROUND(AV13/MAX(1,Inputs!$E$26),6),0)</f>
        <v>3</v>
      </c>
      <c r="AW22" s="113" t="n">
        <f aca="false">ROUNDUP(ROUND(AW13/MAX(1,Inputs!$E$26),6),0)</f>
        <v>3</v>
      </c>
      <c r="AX22" s="113" t="n">
        <f aca="false">ROUNDUP(ROUND(AX13/MAX(1,Inputs!$E$26),6),0)</f>
        <v>3</v>
      </c>
      <c r="AY22" s="113" t="n">
        <f aca="false">ROUNDUP(ROUND(AY13/MAX(1,Inputs!$E$26),6),0)</f>
        <v>3</v>
      </c>
      <c r="AZ22" s="113" t="n">
        <f aca="false">ROUNDUP(ROUND(AZ13/MAX(1,Inputs!$E$26),6),0)</f>
        <v>3</v>
      </c>
      <c r="BA22" s="113" t="n">
        <f aca="false">ROUNDUP(ROUND(BA13/MAX(1,Inputs!$E$26),6),0)</f>
        <v>3</v>
      </c>
      <c r="BB22" s="113" t="n">
        <f aca="false">ROUNDUP(ROUND(BB13/MAX(1,Inputs!$E$26),6),0)</f>
        <v>3</v>
      </c>
      <c r="BC22" s="113" t="n">
        <f aca="false">ROUNDUP(ROUND(BC13/MAX(1,Inputs!$E$26),6),0)</f>
        <v>3</v>
      </c>
      <c r="BD22" s="113" t="n">
        <f aca="false">ROUNDUP(ROUND(BD13/MAX(1,Inputs!$E$26),6),0)</f>
        <v>3</v>
      </c>
      <c r="BE22" s="113" t="n">
        <f aca="false">ROUNDUP(ROUND(BE13/MAX(1,Inputs!$E$26),6),0)</f>
        <v>3</v>
      </c>
      <c r="BF22" s="113" t="n">
        <f aca="false">ROUNDUP(ROUND(BF13/MAX(1,Inputs!$E$26),6),0)</f>
        <v>3</v>
      </c>
      <c r="BG22" s="113" t="n">
        <f aca="false">ROUNDUP(ROUND(BG13/MAX(1,Inputs!$E$26),6),0)</f>
        <v>3</v>
      </c>
      <c r="BH22" s="113" t="n">
        <f aca="false">ROUNDUP(ROUND(BH13/MAX(1,Inputs!$E$26),6),0)</f>
        <v>3</v>
      </c>
      <c r="BI22" s="113" t="n">
        <f aca="false">ROUNDUP(ROUND(BI13/MAX(1,Inputs!$E$26),6),0)</f>
        <v>3</v>
      </c>
      <c r="BJ22" s="113" t="n">
        <f aca="false">ROUNDUP(ROUND(BJ13/MAX(1,Inputs!$E$26),6),0)</f>
        <v>3</v>
      </c>
    </row>
    <row r="23" customFormat="false" ht="15" hidden="false" customHeight="false" outlineLevel="0" collapsed="false">
      <c r="A23" s="6" t="s">
        <v>428</v>
      </c>
      <c r="C23" s="113" t="n">
        <f aca="false">ROUNDUP(ROUND(C14/MAX(1,Inputs!$E$27),6),0)</f>
        <v>1</v>
      </c>
      <c r="D23" s="113" t="n">
        <f aca="false">ROUNDUP(ROUND(D14/MAX(1,Inputs!$E$27),6),0)</f>
        <v>1</v>
      </c>
      <c r="E23" s="113" t="n">
        <f aca="false">ROUNDUP(ROUND(E14/MAX(1,Inputs!$E$27),6),0)</f>
        <v>2</v>
      </c>
      <c r="F23" s="113" t="n">
        <f aca="false">ROUNDUP(ROUND(F14/MAX(1,Inputs!$E$27),6),0)</f>
        <v>2</v>
      </c>
      <c r="G23" s="113" t="n">
        <f aca="false">ROUNDUP(ROUND(G14/MAX(1,Inputs!$E$27),6),0)</f>
        <v>2</v>
      </c>
      <c r="H23" s="113" t="n">
        <f aca="false">ROUNDUP(ROUND(H14/MAX(1,Inputs!$E$27),6),0)</f>
        <v>2</v>
      </c>
      <c r="I23" s="113" t="n">
        <f aca="false">ROUNDUP(ROUND(I14/MAX(1,Inputs!$E$27),6),0)</f>
        <v>2</v>
      </c>
      <c r="J23" s="113" t="n">
        <f aca="false">ROUNDUP(ROUND(J14/MAX(1,Inputs!$E$27),6),0)</f>
        <v>2</v>
      </c>
      <c r="K23" s="113" t="n">
        <f aca="false">ROUNDUP(ROUND(K14/MAX(1,Inputs!$E$27),6),0)</f>
        <v>3</v>
      </c>
      <c r="L23" s="113" t="n">
        <f aca="false">ROUNDUP(ROUND(L14/MAX(1,Inputs!$E$27),6),0)</f>
        <v>3</v>
      </c>
      <c r="M23" s="113" t="n">
        <f aca="false">ROUNDUP(ROUND(M14/MAX(1,Inputs!$E$27),6),0)</f>
        <v>3</v>
      </c>
      <c r="N23" s="113" t="n">
        <f aca="false">ROUNDUP(ROUND(N14/MAX(1,Inputs!$E$27),6),0)</f>
        <v>3</v>
      </c>
      <c r="O23" s="113" t="n">
        <f aca="false">ROUNDUP(ROUND(O14/MAX(1,Inputs!$E$27),6),0)</f>
        <v>3</v>
      </c>
      <c r="P23" s="113" t="n">
        <f aca="false">ROUNDUP(ROUND(P14/MAX(1,Inputs!$E$27),6),0)</f>
        <v>3</v>
      </c>
      <c r="Q23" s="113" t="n">
        <f aca="false">ROUNDUP(ROUND(Q14/MAX(1,Inputs!$E$27),6),0)</f>
        <v>3</v>
      </c>
      <c r="R23" s="113" t="n">
        <f aca="false">ROUNDUP(ROUND(R14/MAX(1,Inputs!$E$27),6),0)</f>
        <v>3</v>
      </c>
      <c r="S23" s="113" t="n">
        <f aca="false">ROUNDUP(ROUND(S14/MAX(1,Inputs!$E$27),6),0)</f>
        <v>3</v>
      </c>
      <c r="T23" s="113" t="n">
        <f aca="false">ROUNDUP(ROUND(T14/MAX(1,Inputs!$E$27),6),0)</f>
        <v>3</v>
      </c>
      <c r="U23" s="113" t="n">
        <f aca="false">ROUNDUP(ROUND(U14/MAX(1,Inputs!$E$27),6),0)</f>
        <v>3</v>
      </c>
      <c r="V23" s="113" t="n">
        <f aca="false">ROUNDUP(ROUND(V14/MAX(1,Inputs!$E$27),6),0)</f>
        <v>3</v>
      </c>
      <c r="W23" s="113" t="n">
        <f aca="false">ROUNDUP(ROUND(W14/MAX(1,Inputs!$E$27),6),0)</f>
        <v>3</v>
      </c>
      <c r="X23" s="113" t="n">
        <f aca="false">ROUNDUP(ROUND(X14/MAX(1,Inputs!$E$27),6),0)</f>
        <v>3</v>
      </c>
      <c r="Y23" s="113" t="n">
        <f aca="false">ROUNDUP(ROUND(Y14/MAX(1,Inputs!$E$27),6),0)</f>
        <v>3</v>
      </c>
      <c r="Z23" s="113" t="n">
        <f aca="false">ROUNDUP(ROUND(Z14/MAX(1,Inputs!$E$27),6),0)</f>
        <v>3</v>
      </c>
      <c r="AA23" s="113" t="n">
        <f aca="false">ROUNDUP(ROUND(AA14/MAX(1,Inputs!$E$27),6),0)</f>
        <v>3</v>
      </c>
      <c r="AB23" s="113" t="n">
        <f aca="false">ROUNDUP(ROUND(AB14/MAX(1,Inputs!$E$27),6),0)</f>
        <v>3</v>
      </c>
      <c r="AC23" s="113" t="n">
        <f aca="false">ROUNDUP(ROUND(AC14/MAX(1,Inputs!$E$27),6),0)</f>
        <v>3</v>
      </c>
      <c r="AD23" s="113" t="n">
        <f aca="false">ROUNDUP(ROUND(AD14/MAX(1,Inputs!$E$27),6),0)</f>
        <v>3</v>
      </c>
      <c r="AE23" s="113" t="n">
        <f aca="false">ROUNDUP(ROUND(AE14/MAX(1,Inputs!$E$27),6),0)</f>
        <v>3</v>
      </c>
      <c r="AF23" s="113" t="n">
        <f aca="false">ROUNDUP(ROUND(AF14/MAX(1,Inputs!$E$27),6),0)</f>
        <v>3</v>
      </c>
      <c r="AG23" s="113" t="n">
        <f aca="false">ROUNDUP(ROUND(AG14/MAX(1,Inputs!$E$27),6),0)</f>
        <v>3</v>
      </c>
      <c r="AH23" s="113" t="n">
        <f aca="false">ROUNDUP(ROUND(AH14/MAX(1,Inputs!$E$27),6),0)</f>
        <v>3</v>
      </c>
      <c r="AI23" s="113" t="n">
        <f aca="false">ROUNDUP(ROUND(AI14/MAX(1,Inputs!$E$27),6),0)</f>
        <v>3</v>
      </c>
      <c r="AJ23" s="113" t="n">
        <f aca="false">ROUNDUP(ROUND(AJ14/MAX(1,Inputs!$E$27),6),0)</f>
        <v>3</v>
      </c>
      <c r="AK23" s="113" t="n">
        <f aca="false">ROUNDUP(ROUND(AK14/MAX(1,Inputs!$E$27),6),0)</f>
        <v>3</v>
      </c>
      <c r="AL23" s="113" t="n">
        <f aca="false">ROUNDUP(ROUND(AL14/MAX(1,Inputs!$E$27),6),0)</f>
        <v>3</v>
      </c>
      <c r="AM23" s="113" t="n">
        <f aca="false">ROUNDUP(ROUND(AM14/MAX(1,Inputs!$E$27),6),0)</f>
        <v>3</v>
      </c>
      <c r="AN23" s="113" t="n">
        <f aca="false">ROUNDUP(ROUND(AN14/MAX(1,Inputs!$E$27),6),0)</f>
        <v>3</v>
      </c>
      <c r="AO23" s="113" t="n">
        <f aca="false">ROUNDUP(ROUND(AO14/MAX(1,Inputs!$E$27),6),0)</f>
        <v>3</v>
      </c>
      <c r="AP23" s="113" t="n">
        <f aca="false">ROUNDUP(ROUND(AP14/MAX(1,Inputs!$E$27),6),0)</f>
        <v>3</v>
      </c>
      <c r="AQ23" s="113" t="n">
        <f aca="false">ROUNDUP(ROUND(AQ14/MAX(1,Inputs!$E$27),6),0)</f>
        <v>3</v>
      </c>
      <c r="AR23" s="113" t="n">
        <f aca="false">ROUNDUP(ROUND(AR14/MAX(1,Inputs!$E$27),6),0)</f>
        <v>3</v>
      </c>
      <c r="AS23" s="113" t="n">
        <f aca="false">ROUNDUP(ROUND(AS14/MAX(1,Inputs!$E$27),6),0)</f>
        <v>3</v>
      </c>
      <c r="AT23" s="113" t="n">
        <f aca="false">ROUNDUP(ROUND(AT14/MAX(1,Inputs!$E$27),6),0)</f>
        <v>3</v>
      </c>
      <c r="AU23" s="113" t="n">
        <f aca="false">ROUNDUP(ROUND(AU14/MAX(1,Inputs!$E$27),6),0)</f>
        <v>3</v>
      </c>
      <c r="AV23" s="113" t="n">
        <f aca="false">ROUNDUP(ROUND(AV14/MAX(1,Inputs!$E$27),6),0)</f>
        <v>3</v>
      </c>
      <c r="AW23" s="113" t="n">
        <f aca="false">ROUNDUP(ROUND(AW14/MAX(1,Inputs!$E$27),6),0)</f>
        <v>3</v>
      </c>
      <c r="AX23" s="113" t="n">
        <f aca="false">ROUNDUP(ROUND(AX14/MAX(1,Inputs!$E$27),6),0)</f>
        <v>3</v>
      </c>
      <c r="AY23" s="113" t="n">
        <f aca="false">ROUNDUP(ROUND(AY14/MAX(1,Inputs!$E$27),6),0)</f>
        <v>3</v>
      </c>
      <c r="AZ23" s="113" t="n">
        <f aca="false">ROUNDUP(ROUND(AZ14/MAX(1,Inputs!$E$27),6),0)</f>
        <v>3</v>
      </c>
      <c r="BA23" s="113" t="n">
        <f aca="false">ROUNDUP(ROUND(BA14/MAX(1,Inputs!$E$27),6),0)</f>
        <v>3</v>
      </c>
      <c r="BB23" s="113" t="n">
        <f aca="false">ROUNDUP(ROUND(BB14/MAX(1,Inputs!$E$27),6),0)</f>
        <v>3</v>
      </c>
      <c r="BC23" s="113" t="n">
        <f aca="false">ROUNDUP(ROUND(BC14/MAX(1,Inputs!$E$27),6),0)</f>
        <v>3</v>
      </c>
      <c r="BD23" s="113" t="n">
        <f aca="false">ROUNDUP(ROUND(BD14/MAX(1,Inputs!$E$27),6),0)</f>
        <v>3</v>
      </c>
      <c r="BE23" s="113" t="n">
        <f aca="false">ROUNDUP(ROUND(BE14/MAX(1,Inputs!$E$27),6),0)</f>
        <v>3</v>
      </c>
      <c r="BF23" s="113" t="n">
        <f aca="false">ROUNDUP(ROUND(BF14/MAX(1,Inputs!$E$27),6),0)</f>
        <v>3</v>
      </c>
      <c r="BG23" s="113" t="n">
        <f aca="false">ROUNDUP(ROUND(BG14/MAX(1,Inputs!$E$27),6),0)</f>
        <v>3</v>
      </c>
      <c r="BH23" s="113" t="n">
        <f aca="false">ROUNDUP(ROUND(BH14/MAX(1,Inputs!$E$27),6),0)</f>
        <v>3</v>
      </c>
      <c r="BI23" s="113" t="n">
        <f aca="false">ROUNDUP(ROUND(BI14/MAX(1,Inputs!$E$27),6),0)</f>
        <v>3</v>
      </c>
      <c r="BJ23" s="113" t="n">
        <f aca="false">ROUNDUP(ROUND(BJ14/MAX(1,Inputs!$E$27),6),0)</f>
        <v>3</v>
      </c>
    </row>
    <row r="24" customFormat="false" ht="15" hidden="false" customHeight="false" outlineLevel="0" collapsed="false">
      <c r="A24" s="4" t="s">
        <v>429</v>
      </c>
      <c r="C24" s="117" t="n">
        <f aca="false">C22+C23</f>
        <v>2</v>
      </c>
      <c r="D24" s="117" t="n">
        <f aca="false">D22+D23</f>
        <v>2</v>
      </c>
      <c r="E24" s="117" t="n">
        <f aca="false">E22+E23</f>
        <v>4</v>
      </c>
      <c r="F24" s="117" t="n">
        <f aca="false">F22+F23</f>
        <v>4</v>
      </c>
      <c r="G24" s="117" t="n">
        <f aca="false">G22+G23</f>
        <v>4</v>
      </c>
      <c r="H24" s="117" t="n">
        <f aca="false">H22+H23</f>
        <v>4</v>
      </c>
      <c r="I24" s="117" t="n">
        <f aca="false">I22+I23</f>
        <v>4</v>
      </c>
      <c r="J24" s="117" t="n">
        <f aca="false">J22+J23</f>
        <v>5</v>
      </c>
      <c r="K24" s="117" t="n">
        <f aca="false">K22+K23</f>
        <v>6</v>
      </c>
      <c r="L24" s="117" t="n">
        <f aca="false">L22+L23</f>
        <v>6</v>
      </c>
      <c r="M24" s="117" t="n">
        <f aca="false">M22+M23</f>
        <v>6</v>
      </c>
      <c r="N24" s="117" t="n">
        <f aca="false">N22+N23</f>
        <v>6</v>
      </c>
      <c r="O24" s="117" t="n">
        <f aca="false">O22+O23</f>
        <v>6</v>
      </c>
      <c r="P24" s="117" t="n">
        <f aca="false">P22+P23</f>
        <v>6</v>
      </c>
      <c r="Q24" s="117" t="n">
        <f aca="false">Q22+Q23</f>
        <v>6</v>
      </c>
      <c r="R24" s="117" t="n">
        <f aca="false">R22+R23</f>
        <v>6</v>
      </c>
      <c r="S24" s="117" t="n">
        <f aca="false">S22+S23</f>
        <v>6</v>
      </c>
      <c r="T24" s="117" t="n">
        <f aca="false">T22+T23</f>
        <v>6</v>
      </c>
      <c r="U24" s="117" t="n">
        <f aca="false">U22+U23</f>
        <v>6</v>
      </c>
      <c r="V24" s="117" t="n">
        <f aca="false">V22+V23</f>
        <v>6</v>
      </c>
      <c r="W24" s="117" t="n">
        <f aca="false">W22+W23</f>
        <v>6</v>
      </c>
      <c r="X24" s="117" t="n">
        <f aca="false">X22+X23</f>
        <v>6</v>
      </c>
      <c r="Y24" s="117" t="n">
        <f aca="false">Y22+Y23</f>
        <v>6</v>
      </c>
      <c r="Z24" s="117" t="n">
        <f aca="false">Z22+Z23</f>
        <v>6</v>
      </c>
      <c r="AA24" s="117" t="n">
        <f aca="false">AA22+AA23</f>
        <v>6</v>
      </c>
      <c r="AB24" s="117" t="n">
        <f aca="false">AB22+AB23</f>
        <v>6</v>
      </c>
      <c r="AC24" s="117" t="n">
        <f aca="false">AC22+AC23</f>
        <v>6</v>
      </c>
      <c r="AD24" s="117" t="n">
        <f aca="false">AD22+AD23</f>
        <v>6</v>
      </c>
      <c r="AE24" s="117" t="n">
        <f aca="false">AE22+AE23</f>
        <v>6</v>
      </c>
      <c r="AF24" s="117" t="n">
        <f aca="false">AF22+AF23</f>
        <v>6</v>
      </c>
      <c r="AG24" s="117" t="n">
        <f aca="false">AG22+AG23</f>
        <v>6</v>
      </c>
      <c r="AH24" s="117" t="n">
        <f aca="false">AH22+AH23</f>
        <v>6</v>
      </c>
      <c r="AI24" s="117" t="n">
        <f aca="false">AI22+AI23</f>
        <v>6</v>
      </c>
      <c r="AJ24" s="117" t="n">
        <f aca="false">AJ22+AJ23</f>
        <v>6</v>
      </c>
      <c r="AK24" s="117" t="n">
        <f aca="false">AK22+AK23</f>
        <v>6</v>
      </c>
      <c r="AL24" s="117" t="n">
        <f aca="false">AL22+AL23</f>
        <v>6</v>
      </c>
      <c r="AM24" s="117" t="n">
        <f aca="false">AM22+AM23</f>
        <v>6</v>
      </c>
      <c r="AN24" s="117" t="n">
        <f aca="false">AN22+AN23</f>
        <v>6</v>
      </c>
      <c r="AO24" s="117" t="n">
        <f aca="false">AO22+AO23</f>
        <v>6</v>
      </c>
      <c r="AP24" s="117" t="n">
        <f aca="false">AP22+AP23</f>
        <v>6</v>
      </c>
      <c r="AQ24" s="117" t="n">
        <f aca="false">AQ22+AQ23</f>
        <v>6</v>
      </c>
      <c r="AR24" s="117" t="n">
        <f aca="false">AR22+AR23</f>
        <v>6</v>
      </c>
      <c r="AS24" s="117" t="n">
        <f aca="false">AS22+AS23</f>
        <v>6</v>
      </c>
      <c r="AT24" s="117" t="n">
        <f aca="false">AT22+AT23</f>
        <v>6</v>
      </c>
      <c r="AU24" s="117" t="n">
        <f aca="false">AU22+AU23</f>
        <v>6</v>
      </c>
      <c r="AV24" s="117" t="n">
        <f aca="false">AV22+AV23</f>
        <v>6</v>
      </c>
      <c r="AW24" s="117" t="n">
        <f aca="false">AW22+AW23</f>
        <v>6</v>
      </c>
      <c r="AX24" s="117" t="n">
        <f aca="false">AX22+AX23</f>
        <v>6</v>
      </c>
      <c r="AY24" s="117" t="n">
        <f aca="false">AY22+AY23</f>
        <v>6</v>
      </c>
      <c r="AZ24" s="117" t="n">
        <f aca="false">AZ22+AZ23</f>
        <v>6</v>
      </c>
      <c r="BA24" s="117" t="n">
        <f aca="false">BA22+BA23</f>
        <v>6</v>
      </c>
      <c r="BB24" s="117" t="n">
        <f aca="false">BB22+BB23</f>
        <v>6</v>
      </c>
      <c r="BC24" s="117" t="n">
        <f aca="false">BC22+BC23</f>
        <v>6</v>
      </c>
      <c r="BD24" s="117" t="n">
        <f aca="false">BD22+BD23</f>
        <v>6</v>
      </c>
      <c r="BE24" s="117" t="n">
        <f aca="false">BE22+BE23</f>
        <v>6</v>
      </c>
      <c r="BF24" s="117" t="n">
        <f aca="false">BF22+BF23</f>
        <v>6</v>
      </c>
      <c r="BG24" s="117" t="n">
        <f aca="false">BG22+BG23</f>
        <v>6</v>
      </c>
      <c r="BH24" s="117" t="n">
        <f aca="false">BH22+BH23</f>
        <v>6</v>
      </c>
      <c r="BI24" s="117" t="n">
        <f aca="false">BI22+BI23</f>
        <v>6</v>
      </c>
      <c r="BJ24" s="117" t="n">
        <f aca="false">BJ22+BJ23</f>
        <v>6</v>
      </c>
    </row>
    <row r="25" customFormat="false" ht="15" hidden="false" customHeight="false" outlineLevel="0" collapsed="false">
      <c r="A25" s="6" t="s">
        <v>430</v>
      </c>
      <c r="C25" s="115" t="n">
        <f aca="false">C24*Inputs!$E$28</f>
        <v>2.4</v>
      </c>
      <c r="D25" s="115" t="n">
        <f aca="false">D24*Inputs!$E$28</f>
        <v>2.4</v>
      </c>
      <c r="E25" s="115" t="n">
        <f aca="false">E24*Inputs!$E$28</f>
        <v>4.8</v>
      </c>
      <c r="F25" s="115" t="n">
        <f aca="false">F24*Inputs!$E$28</f>
        <v>4.8</v>
      </c>
      <c r="G25" s="115" t="n">
        <f aca="false">G24*Inputs!$E$28</f>
        <v>4.8</v>
      </c>
      <c r="H25" s="115" t="n">
        <f aca="false">H24*Inputs!$E$28</f>
        <v>4.8</v>
      </c>
      <c r="I25" s="115" t="n">
        <f aca="false">I24*Inputs!$E$28</f>
        <v>4.8</v>
      </c>
      <c r="J25" s="115" t="n">
        <f aca="false">J24*Inputs!$E$28</f>
        <v>6</v>
      </c>
      <c r="K25" s="115" t="n">
        <f aca="false">K24*Inputs!$E$28</f>
        <v>7.2</v>
      </c>
      <c r="L25" s="115" t="n">
        <f aca="false">L24*Inputs!$E$28</f>
        <v>7.2</v>
      </c>
      <c r="M25" s="115" t="n">
        <f aca="false">M24*Inputs!$E$28</f>
        <v>7.2</v>
      </c>
      <c r="N25" s="115" t="n">
        <f aca="false">N24*Inputs!$E$28</f>
        <v>7.2</v>
      </c>
      <c r="O25" s="115" t="n">
        <f aca="false">O24*Inputs!$E$28</f>
        <v>7.2</v>
      </c>
      <c r="P25" s="115" t="n">
        <f aca="false">P24*Inputs!$E$28</f>
        <v>7.2</v>
      </c>
      <c r="Q25" s="115" t="n">
        <f aca="false">Q24*Inputs!$E$28</f>
        <v>7.2</v>
      </c>
      <c r="R25" s="115" t="n">
        <f aca="false">R24*Inputs!$E$28</f>
        <v>7.2</v>
      </c>
      <c r="S25" s="115" t="n">
        <f aca="false">S24*Inputs!$E$28</f>
        <v>7.2</v>
      </c>
      <c r="T25" s="115" t="n">
        <f aca="false">T24*Inputs!$E$28</f>
        <v>7.2</v>
      </c>
      <c r="U25" s="115" t="n">
        <f aca="false">U24*Inputs!$E$28</f>
        <v>7.2</v>
      </c>
      <c r="V25" s="115" t="n">
        <f aca="false">V24*Inputs!$E$28</f>
        <v>7.2</v>
      </c>
      <c r="W25" s="115" t="n">
        <f aca="false">W24*Inputs!$E$28</f>
        <v>7.2</v>
      </c>
      <c r="X25" s="115" t="n">
        <f aca="false">X24*Inputs!$E$28</f>
        <v>7.2</v>
      </c>
      <c r="Y25" s="115" t="n">
        <f aca="false">Y24*Inputs!$E$28</f>
        <v>7.2</v>
      </c>
      <c r="Z25" s="115" t="n">
        <f aca="false">Z24*Inputs!$E$28</f>
        <v>7.2</v>
      </c>
      <c r="AA25" s="115" t="n">
        <f aca="false">AA24*Inputs!$E$28</f>
        <v>7.2</v>
      </c>
      <c r="AB25" s="115" t="n">
        <f aca="false">AB24*Inputs!$E$28</f>
        <v>7.2</v>
      </c>
      <c r="AC25" s="115" t="n">
        <f aca="false">AC24*Inputs!$E$28</f>
        <v>7.2</v>
      </c>
      <c r="AD25" s="115" t="n">
        <f aca="false">AD24*Inputs!$E$28</f>
        <v>7.2</v>
      </c>
      <c r="AE25" s="115" t="n">
        <f aca="false">AE24*Inputs!$E$28</f>
        <v>7.2</v>
      </c>
      <c r="AF25" s="115" t="n">
        <f aca="false">AF24*Inputs!$E$28</f>
        <v>7.2</v>
      </c>
      <c r="AG25" s="115" t="n">
        <f aca="false">AG24*Inputs!$E$28</f>
        <v>7.2</v>
      </c>
      <c r="AH25" s="115" t="n">
        <f aca="false">AH24*Inputs!$E$28</f>
        <v>7.2</v>
      </c>
      <c r="AI25" s="115" t="n">
        <f aca="false">AI24*Inputs!$E$28</f>
        <v>7.2</v>
      </c>
      <c r="AJ25" s="115" t="n">
        <f aca="false">AJ24*Inputs!$E$28</f>
        <v>7.2</v>
      </c>
      <c r="AK25" s="115" t="n">
        <f aca="false">AK24*Inputs!$E$28</f>
        <v>7.2</v>
      </c>
      <c r="AL25" s="115" t="n">
        <f aca="false">AL24*Inputs!$E$28</f>
        <v>7.2</v>
      </c>
      <c r="AM25" s="115" t="n">
        <f aca="false">AM24*Inputs!$E$28</f>
        <v>7.2</v>
      </c>
      <c r="AN25" s="115" t="n">
        <f aca="false">AN24*Inputs!$E$28</f>
        <v>7.2</v>
      </c>
      <c r="AO25" s="115" t="n">
        <f aca="false">AO24*Inputs!$E$28</f>
        <v>7.2</v>
      </c>
      <c r="AP25" s="115" t="n">
        <f aca="false">AP24*Inputs!$E$28</f>
        <v>7.2</v>
      </c>
      <c r="AQ25" s="115" t="n">
        <f aca="false">AQ24*Inputs!$E$28</f>
        <v>7.2</v>
      </c>
      <c r="AR25" s="115" t="n">
        <f aca="false">AR24*Inputs!$E$28</f>
        <v>7.2</v>
      </c>
      <c r="AS25" s="115" t="n">
        <f aca="false">AS24*Inputs!$E$28</f>
        <v>7.2</v>
      </c>
      <c r="AT25" s="115" t="n">
        <f aca="false">AT24*Inputs!$E$28</f>
        <v>7.2</v>
      </c>
      <c r="AU25" s="115" t="n">
        <f aca="false">AU24*Inputs!$E$28</f>
        <v>7.2</v>
      </c>
      <c r="AV25" s="115" t="n">
        <f aca="false">AV24*Inputs!$E$28</f>
        <v>7.2</v>
      </c>
      <c r="AW25" s="115" t="n">
        <f aca="false">AW24*Inputs!$E$28</f>
        <v>7.2</v>
      </c>
      <c r="AX25" s="115" t="n">
        <f aca="false">AX24*Inputs!$E$28</f>
        <v>7.2</v>
      </c>
      <c r="AY25" s="115" t="n">
        <f aca="false">AY24*Inputs!$E$28</f>
        <v>7.2</v>
      </c>
      <c r="AZ25" s="115" t="n">
        <f aca="false">AZ24*Inputs!$E$28</f>
        <v>7.2</v>
      </c>
      <c r="BA25" s="115" t="n">
        <f aca="false">BA24*Inputs!$E$28</f>
        <v>7.2</v>
      </c>
      <c r="BB25" s="115" t="n">
        <f aca="false">BB24*Inputs!$E$28</f>
        <v>7.2</v>
      </c>
      <c r="BC25" s="115" t="n">
        <f aca="false">BC24*Inputs!$E$28</f>
        <v>7.2</v>
      </c>
      <c r="BD25" s="115" t="n">
        <f aca="false">BD24*Inputs!$E$28</f>
        <v>7.2</v>
      </c>
      <c r="BE25" s="115" t="n">
        <f aca="false">BE24*Inputs!$E$28</f>
        <v>7.2</v>
      </c>
      <c r="BF25" s="115" t="n">
        <f aca="false">BF24*Inputs!$E$28</f>
        <v>7.2</v>
      </c>
      <c r="BG25" s="115" t="n">
        <f aca="false">BG24*Inputs!$E$28</f>
        <v>7.2</v>
      </c>
      <c r="BH25" s="115" t="n">
        <f aca="false">BH24*Inputs!$E$28</f>
        <v>7.2</v>
      </c>
      <c r="BI25" s="115" t="n">
        <f aca="false">BI24*Inputs!$E$28</f>
        <v>7.2</v>
      </c>
      <c r="BJ25" s="115" t="n">
        <f aca="false">BJ24*Inputs!$E$28</f>
        <v>7.2</v>
      </c>
    </row>
    <row r="27" customFormat="false" ht="15.75" hidden="false" customHeight="true" outlineLevel="0" collapsed="false">
      <c r="A27" s="7" t="s">
        <v>44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customFormat="false" ht="15" hidden="false" customHeight="false" outlineLevel="0" collapsed="false">
      <c r="A28" s="6" t="s">
        <v>431</v>
      </c>
      <c r="C28" s="66" t="n">
        <f aca="false">(C13*Inputs!$E$17+C14*Inputs!$E$18)*1*(1+Inputs!$E$19)^(C$5-1)</f>
        <v>14880</v>
      </c>
      <c r="D28" s="66" t="n">
        <f aca="false">(D13*Inputs!$E$17+D14*Inputs!$E$18)*1*(1+Inputs!$E$19)^(D$5-1)</f>
        <v>18910</v>
      </c>
      <c r="E28" s="66" t="n">
        <f aca="false">(E13*Inputs!$E$17+E14*Inputs!$E$18)*1*(1+Inputs!$E$19)^(E$5-1)</f>
        <v>22940</v>
      </c>
      <c r="F28" s="66" t="n">
        <f aca="false">(F13*Inputs!$E$17+F14*Inputs!$E$18)*1*(1+Inputs!$E$19)^(F$5-1)</f>
        <v>26970</v>
      </c>
      <c r="G28" s="66" t="n">
        <f aca="false">(G13*Inputs!$E$17+G14*Inputs!$E$18)*1*(1+Inputs!$E$19)^(G$5-1)</f>
        <v>31000</v>
      </c>
      <c r="H28" s="66" t="n">
        <f aca="false">(H13*Inputs!$E$17+H14*Inputs!$E$18)*1*(1+Inputs!$E$19)^(H$5-1)</f>
        <v>35030</v>
      </c>
      <c r="I28" s="66" t="n">
        <f aca="false">(I13*Inputs!$E$17+I14*Inputs!$E$18)*1*(1+Inputs!$E$19)^(I$5-1)</f>
        <v>39060</v>
      </c>
      <c r="J28" s="66" t="n">
        <f aca="false">(J13*Inputs!$E$17+J14*Inputs!$E$18)*1*(1+Inputs!$E$19)^(J$5-1)</f>
        <v>43090</v>
      </c>
      <c r="K28" s="66" t="n">
        <f aca="false">(K13*Inputs!$E$17+K14*Inputs!$E$18)*1*(1+Inputs!$E$19)^(K$5-1)</f>
        <v>47120</v>
      </c>
      <c r="L28" s="66" t="n">
        <f aca="false">(L13*Inputs!$E$17+L14*Inputs!$E$18)*1*(1+Inputs!$E$19)^(L$5-1)</f>
        <v>51150</v>
      </c>
      <c r="M28" s="66" t="n">
        <f aca="false">(M13*Inputs!$E$17+M14*Inputs!$E$18)*1*(1+Inputs!$E$19)^(M$5-1)</f>
        <v>55180</v>
      </c>
      <c r="N28" s="66" t="n">
        <f aca="false">(N13*Inputs!$E$17+N14*Inputs!$E$18)*1*(1+Inputs!$E$19)^(N$5-1)</f>
        <v>59210</v>
      </c>
      <c r="O28" s="66" t="n">
        <f aca="false">(O13*Inputs!$E$17+O14*Inputs!$E$18)*1*(1+Inputs!$E$19)^(O$5-1)</f>
        <v>65137.2</v>
      </c>
      <c r="P28" s="66" t="n">
        <f aca="false">(P13*Inputs!$E$17+P14*Inputs!$E$18)*1*(1+Inputs!$E$19)^(P$5-1)</f>
        <v>65137.2</v>
      </c>
      <c r="Q28" s="66" t="n">
        <f aca="false">(Q13*Inputs!$E$17+Q14*Inputs!$E$18)*1*(1+Inputs!$E$19)^(Q$5-1)</f>
        <v>65137.2</v>
      </c>
      <c r="R28" s="66" t="n">
        <f aca="false">(R13*Inputs!$E$17+R14*Inputs!$E$18)*1*(1+Inputs!$E$19)^(R$5-1)</f>
        <v>65137.2</v>
      </c>
      <c r="S28" s="66" t="n">
        <f aca="false">(S13*Inputs!$E$17+S14*Inputs!$E$18)*1*(1+Inputs!$E$19)^(S$5-1)</f>
        <v>65137.2</v>
      </c>
      <c r="T28" s="66" t="n">
        <f aca="false">(T13*Inputs!$E$17+T14*Inputs!$E$18)*1*(1+Inputs!$E$19)^(T$5-1)</f>
        <v>65137.2</v>
      </c>
      <c r="U28" s="66" t="n">
        <f aca="false">(U13*Inputs!$E$17+U14*Inputs!$E$18)*1*(1+Inputs!$E$19)^(U$5-1)</f>
        <v>65137.2</v>
      </c>
      <c r="V28" s="66" t="n">
        <f aca="false">(V13*Inputs!$E$17+V14*Inputs!$E$18)*1*(1+Inputs!$E$19)^(V$5-1)</f>
        <v>65137.2</v>
      </c>
      <c r="W28" s="66" t="n">
        <f aca="false">(W13*Inputs!$E$17+W14*Inputs!$E$18)*1*(1+Inputs!$E$19)^(W$5-1)</f>
        <v>65137.2</v>
      </c>
      <c r="X28" s="66" t="n">
        <f aca="false">(X13*Inputs!$E$17+X14*Inputs!$E$18)*1*(1+Inputs!$E$19)^(X$5-1)</f>
        <v>65137.2</v>
      </c>
      <c r="Y28" s="66" t="n">
        <f aca="false">(Y13*Inputs!$E$17+Y14*Inputs!$E$18)*1*(1+Inputs!$E$19)^(Y$5-1)</f>
        <v>65137.2</v>
      </c>
      <c r="Z28" s="66" t="n">
        <f aca="false">(Z13*Inputs!$E$17+Z14*Inputs!$E$18)*1*(1+Inputs!$E$19)^(Z$5-1)</f>
        <v>65137.2</v>
      </c>
      <c r="AA28" s="66" t="n">
        <f aca="false">(AA13*Inputs!$E$17+AA14*Inputs!$E$18)*1*(1+Inputs!$E$19)^(AA$5-1)</f>
        <v>67091.316</v>
      </c>
      <c r="AB28" s="66" t="n">
        <f aca="false">(AB13*Inputs!$E$17+AB14*Inputs!$E$18)*1*(1+Inputs!$E$19)^(AB$5-1)</f>
        <v>67091.316</v>
      </c>
      <c r="AC28" s="66" t="n">
        <f aca="false">(AC13*Inputs!$E$17+AC14*Inputs!$E$18)*1*(1+Inputs!$E$19)^(AC$5-1)</f>
        <v>67091.316</v>
      </c>
      <c r="AD28" s="66" t="n">
        <f aca="false">(AD13*Inputs!$E$17+AD14*Inputs!$E$18)*1*(1+Inputs!$E$19)^(AD$5-1)</f>
        <v>67091.316</v>
      </c>
      <c r="AE28" s="66" t="n">
        <f aca="false">(AE13*Inputs!$E$17+AE14*Inputs!$E$18)*1*(1+Inputs!$E$19)^(AE$5-1)</f>
        <v>67091.316</v>
      </c>
      <c r="AF28" s="66" t="n">
        <f aca="false">(AF13*Inputs!$E$17+AF14*Inputs!$E$18)*1*(1+Inputs!$E$19)^(AF$5-1)</f>
        <v>67091.316</v>
      </c>
      <c r="AG28" s="66" t="n">
        <f aca="false">(AG13*Inputs!$E$17+AG14*Inputs!$E$18)*1*(1+Inputs!$E$19)^(AG$5-1)</f>
        <v>67091.316</v>
      </c>
      <c r="AH28" s="66" t="n">
        <f aca="false">(AH13*Inputs!$E$17+AH14*Inputs!$E$18)*1*(1+Inputs!$E$19)^(AH$5-1)</f>
        <v>67091.316</v>
      </c>
      <c r="AI28" s="66" t="n">
        <f aca="false">(AI13*Inputs!$E$17+AI14*Inputs!$E$18)*1*(1+Inputs!$E$19)^(AI$5-1)</f>
        <v>67091.316</v>
      </c>
      <c r="AJ28" s="66" t="n">
        <f aca="false">(AJ13*Inputs!$E$17+AJ14*Inputs!$E$18)*1*(1+Inputs!$E$19)^(AJ$5-1)</f>
        <v>67091.316</v>
      </c>
      <c r="AK28" s="66" t="n">
        <f aca="false">(AK13*Inputs!$E$17+AK14*Inputs!$E$18)*1*(1+Inputs!$E$19)^(AK$5-1)</f>
        <v>67091.316</v>
      </c>
      <c r="AL28" s="66" t="n">
        <f aca="false">(AL13*Inputs!$E$17+AL14*Inputs!$E$18)*1*(1+Inputs!$E$19)^(AL$5-1)</f>
        <v>67091.316</v>
      </c>
      <c r="AM28" s="66" t="n">
        <f aca="false">(AM13*Inputs!$E$17+AM14*Inputs!$E$18)*1*(1+Inputs!$E$19)^(AM$5-1)</f>
        <v>69104.05548</v>
      </c>
      <c r="AN28" s="66" t="n">
        <f aca="false">(AN13*Inputs!$E$17+AN14*Inputs!$E$18)*1*(1+Inputs!$E$19)^(AN$5-1)</f>
        <v>69104.05548</v>
      </c>
      <c r="AO28" s="66" t="n">
        <f aca="false">(AO13*Inputs!$E$17+AO14*Inputs!$E$18)*1*(1+Inputs!$E$19)^(AO$5-1)</f>
        <v>69104.05548</v>
      </c>
      <c r="AP28" s="66" t="n">
        <f aca="false">(AP13*Inputs!$E$17+AP14*Inputs!$E$18)*1*(1+Inputs!$E$19)^(AP$5-1)</f>
        <v>69104.05548</v>
      </c>
      <c r="AQ28" s="66" t="n">
        <f aca="false">(AQ13*Inputs!$E$17+AQ14*Inputs!$E$18)*1*(1+Inputs!$E$19)^(AQ$5-1)</f>
        <v>69104.05548</v>
      </c>
      <c r="AR28" s="66" t="n">
        <f aca="false">(AR13*Inputs!$E$17+AR14*Inputs!$E$18)*1*(1+Inputs!$E$19)^(AR$5-1)</f>
        <v>69104.05548</v>
      </c>
      <c r="AS28" s="66" t="n">
        <f aca="false">(AS13*Inputs!$E$17+AS14*Inputs!$E$18)*1*(1+Inputs!$E$19)^(AS$5-1)</f>
        <v>69104.05548</v>
      </c>
      <c r="AT28" s="66" t="n">
        <f aca="false">(AT13*Inputs!$E$17+AT14*Inputs!$E$18)*1*(1+Inputs!$E$19)^(AT$5-1)</f>
        <v>69104.05548</v>
      </c>
      <c r="AU28" s="66" t="n">
        <f aca="false">(AU13*Inputs!$E$17+AU14*Inputs!$E$18)*1*(1+Inputs!$E$19)^(AU$5-1)</f>
        <v>69104.05548</v>
      </c>
      <c r="AV28" s="66" t="n">
        <f aca="false">(AV13*Inputs!$E$17+AV14*Inputs!$E$18)*1*(1+Inputs!$E$19)^(AV$5-1)</f>
        <v>69104.05548</v>
      </c>
      <c r="AW28" s="66" t="n">
        <f aca="false">(AW13*Inputs!$E$17+AW14*Inputs!$E$18)*1*(1+Inputs!$E$19)^(AW$5-1)</f>
        <v>69104.05548</v>
      </c>
      <c r="AX28" s="66" t="n">
        <f aca="false">(AX13*Inputs!$E$17+AX14*Inputs!$E$18)*1*(1+Inputs!$E$19)^(AX$5-1)</f>
        <v>69104.05548</v>
      </c>
      <c r="AY28" s="66" t="n">
        <f aca="false">(AY13*Inputs!$E$17+AY14*Inputs!$E$18)*1*(1+Inputs!$E$19)^(AY$5-1)</f>
        <v>71177.1771444</v>
      </c>
      <c r="AZ28" s="66" t="n">
        <f aca="false">(AZ13*Inputs!$E$17+AZ14*Inputs!$E$18)*1*(1+Inputs!$E$19)^(AZ$5-1)</f>
        <v>71177.1771444</v>
      </c>
      <c r="BA28" s="66" t="n">
        <f aca="false">(BA13*Inputs!$E$17+BA14*Inputs!$E$18)*1*(1+Inputs!$E$19)^(BA$5-1)</f>
        <v>71177.1771444</v>
      </c>
      <c r="BB28" s="66" t="n">
        <f aca="false">(BB13*Inputs!$E$17+BB14*Inputs!$E$18)*1*(1+Inputs!$E$19)^(BB$5-1)</f>
        <v>71177.1771444</v>
      </c>
      <c r="BC28" s="66" t="n">
        <f aca="false">(BC13*Inputs!$E$17+BC14*Inputs!$E$18)*1*(1+Inputs!$E$19)^(BC$5-1)</f>
        <v>71177.1771444</v>
      </c>
      <c r="BD28" s="66" t="n">
        <f aca="false">(BD13*Inputs!$E$17+BD14*Inputs!$E$18)*1*(1+Inputs!$E$19)^(BD$5-1)</f>
        <v>71177.1771444</v>
      </c>
      <c r="BE28" s="66" t="n">
        <f aca="false">(BE13*Inputs!$E$17+BE14*Inputs!$E$18)*1*(1+Inputs!$E$19)^(BE$5-1)</f>
        <v>71177.1771444</v>
      </c>
      <c r="BF28" s="66" t="n">
        <f aca="false">(BF13*Inputs!$E$17+BF14*Inputs!$E$18)*1*(1+Inputs!$E$19)^(BF$5-1)</f>
        <v>71177.1771444</v>
      </c>
      <c r="BG28" s="66" t="n">
        <f aca="false">(BG13*Inputs!$E$17+BG14*Inputs!$E$18)*1*(1+Inputs!$E$19)^(BG$5-1)</f>
        <v>71177.1771444</v>
      </c>
      <c r="BH28" s="66" t="n">
        <f aca="false">(BH13*Inputs!$E$17+BH14*Inputs!$E$18)*1*(1+Inputs!$E$19)^(BH$5-1)</f>
        <v>71177.1771444</v>
      </c>
      <c r="BI28" s="66" t="n">
        <f aca="false">(BI13*Inputs!$E$17+BI14*Inputs!$E$18)*1*(1+Inputs!$E$19)^(BI$5-1)</f>
        <v>71177.1771444</v>
      </c>
      <c r="BJ28" s="66" t="n">
        <f aca="false">(BJ13*Inputs!$E$17+BJ14*Inputs!$E$18)*1*(1+Inputs!$E$19)^(BJ$5-1)</f>
        <v>71177.1771444</v>
      </c>
    </row>
    <row r="29" customFormat="false" ht="15" hidden="false" customHeight="false" outlineLevel="0" collapsed="false">
      <c r="A29" s="6" t="s">
        <v>432</v>
      </c>
      <c r="C29" s="66" t="n">
        <f aca="false">C28*(1-Inputs!$E$22)*(1-Inputs!$E$20)</f>
        <v>10602</v>
      </c>
      <c r="D29" s="66" t="n">
        <f aca="false">D28*(1-Inputs!$E$22)*(1-Inputs!$E$20)</f>
        <v>13473.375</v>
      </c>
      <c r="E29" s="66" t="n">
        <f aca="false">E28*(1-Inputs!$E$22)*(1-Inputs!$E$20)</f>
        <v>16344.75</v>
      </c>
      <c r="F29" s="66" t="n">
        <f aca="false">F28*(1-Inputs!$E$22)*(1-Inputs!$E$20)</f>
        <v>19216.125</v>
      </c>
      <c r="G29" s="66" t="n">
        <f aca="false">G28*(1-Inputs!$E$22)*(1-Inputs!$E$20)</f>
        <v>22087.5</v>
      </c>
      <c r="H29" s="66" t="n">
        <f aca="false">H28*(1-Inputs!$E$22)*(1-Inputs!$E$20)</f>
        <v>24958.875</v>
      </c>
      <c r="I29" s="66" t="n">
        <f aca="false">I28*(1-Inputs!$E$22)*(1-Inputs!$E$20)</f>
        <v>27830.25</v>
      </c>
      <c r="J29" s="66" t="n">
        <f aca="false">J28*(1-Inputs!$E$22)*(1-Inputs!$E$20)</f>
        <v>30701.625</v>
      </c>
      <c r="K29" s="66" t="n">
        <f aca="false">K28*(1-Inputs!$E$22)*(1-Inputs!$E$20)</f>
        <v>33573</v>
      </c>
      <c r="L29" s="66" t="n">
        <f aca="false">L28*(1-Inputs!$E$22)*(1-Inputs!$E$20)</f>
        <v>36444.375</v>
      </c>
      <c r="M29" s="66" t="n">
        <f aca="false">M28*(1-Inputs!$E$22)*(1-Inputs!$E$20)</f>
        <v>39315.75</v>
      </c>
      <c r="N29" s="66" t="n">
        <f aca="false">N28*(1-Inputs!$E$22)*(1-Inputs!$E$20)</f>
        <v>42187.125</v>
      </c>
      <c r="O29" s="66" t="n">
        <f aca="false">O28*(1-Inputs!$E$22)*(1-Inputs!$E$20)</f>
        <v>46410.255</v>
      </c>
      <c r="P29" s="66" t="n">
        <f aca="false">P28*(1-Inputs!$E$22)*(1-Inputs!$E$20)</f>
        <v>46410.255</v>
      </c>
      <c r="Q29" s="66" t="n">
        <f aca="false">Q28*(1-Inputs!$E$22)*(1-Inputs!$E$20)</f>
        <v>46410.255</v>
      </c>
      <c r="R29" s="66" t="n">
        <f aca="false">R28*(1-Inputs!$E$22)*(1-Inputs!$E$20)</f>
        <v>46410.255</v>
      </c>
      <c r="S29" s="66" t="n">
        <f aca="false">S28*(1-Inputs!$E$22)*(1-Inputs!$E$20)</f>
        <v>46410.255</v>
      </c>
      <c r="T29" s="66" t="n">
        <f aca="false">T28*(1-Inputs!$E$22)*(1-Inputs!$E$20)</f>
        <v>46410.255</v>
      </c>
      <c r="U29" s="66" t="n">
        <f aca="false">U28*(1-Inputs!$E$22)*(1-Inputs!$E$20)</f>
        <v>46410.255</v>
      </c>
      <c r="V29" s="66" t="n">
        <f aca="false">V28*(1-Inputs!$E$22)*(1-Inputs!$E$20)</f>
        <v>46410.255</v>
      </c>
      <c r="W29" s="66" t="n">
        <f aca="false">W28*(1-Inputs!$E$22)*(1-Inputs!$E$20)</f>
        <v>46410.255</v>
      </c>
      <c r="X29" s="66" t="n">
        <f aca="false">X28*(1-Inputs!$E$22)*(1-Inputs!$E$20)</f>
        <v>46410.255</v>
      </c>
      <c r="Y29" s="66" t="n">
        <f aca="false">Y28*(1-Inputs!$E$22)*(1-Inputs!$E$20)</f>
        <v>46410.255</v>
      </c>
      <c r="Z29" s="66" t="n">
        <f aca="false">Z28*(1-Inputs!$E$22)*(1-Inputs!$E$20)</f>
        <v>46410.255</v>
      </c>
      <c r="AA29" s="66" t="n">
        <f aca="false">AA28*(1-Inputs!$E$22)*(1-Inputs!$E$20)</f>
        <v>47802.56265</v>
      </c>
      <c r="AB29" s="66" t="n">
        <f aca="false">AB28*(1-Inputs!$E$22)*(1-Inputs!$E$20)</f>
        <v>47802.56265</v>
      </c>
      <c r="AC29" s="66" t="n">
        <f aca="false">AC28*(1-Inputs!$E$22)*(1-Inputs!$E$20)</f>
        <v>47802.56265</v>
      </c>
      <c r="AD29" s="66" t="n">
        <f aca="false">AD28*(1-Inputs!$E$22)*(1-Inputs!$E$20)</f>
        <v>47802.56265</v>
      </c>
      <c r="AE29" s="66" t="n">
        <f aca="false">AE28*(1-Inputs!$E$22)*(1-Inputs!$E$20)</f>
        <v>47802.56265</v>
      </c>
      <c r="AF29" s="66" t="n">
        <f aca="false">AF28*(1-Inputs!$E$22)*(1-Inputs!$E$20)</f>
        <v>47802.56265</v>
      </c>
      <c r="AG29" s="66" t="n">
        <f aca="false">AG28*(1-Inputs!$E$22)*(1-Inputs!$E$20)</f>
        <v>47802.56265</v>
      </c>
      <c r="AH29" s="66" t="n">
        <f aca="false">AH28*(1-Inputs!$E$22)*(1-Inputs!$E$20)</f>
        <v>47802.56265</v>
      </c>
      <c r="AI29" s="66" t="n">
        <f aca="false">AI28*(1-Inputs!$E$22)*(1-Inputs!$E$20)</f>
        <v>47802.56265</v>
      </c>
      <c r="AJ29" s="66" t="n">
        <f aca="false">AJ28*(1-Inputs!$E$22)*(1-Inputs!$E$20)</f>
        <v>47802.56265</v>
      </c>
      <c r="AK29" s="66" t="n">
        <f aca="false">AK28*(1-Inputs!$E$22)*(1-Inputs!$E$20)</f>
        <v>47802.56265</v>
      </c>
      <c r="AL29" s="66" t="n">
        <f aca="false">AL28*(1-Inputs!$E$22)*(1-Inputs!$E$20)</f>
        <v>47802.56265</v>
      </c>
      <c r="AM29" s="66" t="n">
        <f aca="false">AM28*(1-Inputs!$E$22)*(1-Inputs!$E$20)</f>
        <v>49236.6395295</v>
      </c>
      <c r="AN29" s="66" t="n">
        <f aca="false">AN28*(1-Inputs!$E$22)*(1-Inputs!$E$20)</f>
        <v>49236.6395295</v>
      </c>
      <c r="AO29" s="66" t="n">
        <f aca="false">AO28*(1-Inputs!$E$22)*(1-Inputs!$E$20)</f>
        <v>49236.6395295</v>
      </c>
      <c r="AP29" s="66" t="n">
        <f aca="false">AP28*(1-Inputs!$E$22)*(1-Inputs!$E$20)</f>
        <v>49236.6395295</v>
      </c>
      <c r="AQ29" s="66" t="n">
        <f aca="false">AQ28*(1-Inputs!$E$22)*(1-Inputs!$E$20)</f>
        <v>49236.6395295</v>
      </c>
      <c r="AR29" s="66" t="n">
        <f aca="false">AR28*(1-Inputs!$E$22)*(1-Inputs!$E$20)</f>
        <v>49236.6395295</v>
      </c>
      <c r="AS29" s="66" t="n">
        <f aca="false">AS28*(1-Inputs!$E$22)*(1-Inputs!$E$20)</f>
        <v>49236.6395295</v>
      </c>
      <c r="AT29" s="66" t="n">
        <f aca="false">AT28*(1-Inputs!$E$22)*(1-Inputs!$E$20)</f>
        <v>49236.6395295</v>
      </c>
      <c r="AU29" s="66" t="n">
        <f aca="false">AU28*(1-Inputs!$E$22)*(1-Inputs!$E$20)</f>
        <v>49236.6395295</v>
      </c>
      <c r="AV29" s="66" t="n">
        <f aca="false">AV28*(1-Inputs!$E$22)*(1-Inputs!$E$20)</f>
        <v>49236.6395295</v>
      </c>
      <c r="AW29" s="66" t="n">
        <f aca="false">AW28*(1-Inputs!$E$22)*(1-Inputs!$E$20)</f>
        <v>49236.6395295</v>
      </c>
      <c r="AX29" s="66" t="n">
        <f aca="false">AX28*(1-Inputs!$E$22)*(1-Inputs!$E$20)</f>
        <v>49236.6395295</v>
      </c>
      <c r="AY29" s="66" t="n">
        <f aca="false">AY28*(1-Inputs!$E$22)*(1-Inputs!$E$20)</f>
        <v>50713.738715385</v>
      </c>
      <c r="AZ29" s="66" t="n">
        <f aca="false">AZ28*(1-Inputs!$E$22)*(1-Inputs!$E$20)</f>
        <v>50713.738715385</v>
      </c>
      <c r="BA29" s="66" t="n">
        <f aca="false">BA28*(1-Inputs!$E$22)*(1-Inputs!$E$20)</f>
        <v>50713.738715385</v>
      </c>
      <c r="BB29" s="66" t="n">
        <f aca="false">BB28*(1-Inputs!$E$22)*(1-Inputs!$E$20)</f>
        <v>50713.738715385</v>
      </c>
      <c r="BC29" s="66" t="n">
        <f aca="false">BC28*(1-Inputs!$E$22)*(1-Inputs!$E$20)</f>
        <v>50713.738715385</v>
      </c>
      <c r="BD29" s="66" t="n">
        <f aca="false">BD28*(1-Inputs!$E$22)*(1-Inputs!$E$20)</f>
        <v>50713.738715385</v>
      </c>
      <c r="BE29" s="66" t="n">
        <f aca="false">BE28*(1-Inputs!$E$22)*(1-Inputs!$E$20)</f>
        <v>50713.738715385</v>
      </c>
      <c r="BF29" s="66" t="n">
        <f aca="false">BF28*(1-Inputs!$E$22)*(1-Inputs!$E$20)</f>
        <v>50713.738715385</v>
      </c>
      <c r="BG29" s="66" t="n">
        <f aca="false">BG28*(1-Inputs!$E$22)*(1-Inputs!$E$20)</f>
        <v>50713.738715385</v>
      </c>
      <c r="BH29" s="66" t="n">
        <f aca="false">BH28*(1-Inputs!$E$22)*(1-Inputs!$E$20)</f>
        <v>50713.738715385</v>
      </c>
      <c r="BI29" s="66" t="n">
        <f aca="false">BI28*(1-Inputs!$E$22)*(1-Inputs!$E$20)</f>
        <v>50713.738715385</v>
      </c>
      <c r="BJ29" s="66" t="n">
        <f aca="false">BJ28*(1-Inputs!$E$22)*(1-Inputs!$E$20)</f>
        <v>50713.738715385</v>
      </c>
    </row>
    <row r="30" customFormat="false" ht="15" hidden="false" customHeight="false" outlineLevel="0" collapsed="false">
      <c r="A30" s="6" t="s">
        <v>239</v>
      </c>
      <c r="C30" s="66" t="n">
        <f aca="false">C28*Inputs!$E$22*Inputs!$E$23</f>
        <v>3162</v>
      </c>
      <c r="D30" s="66" t="n">
        <f aca="false">D28*Inputs!$E$22*Inputs!$E$23</f>
        <v>4018.375</v>
      </c>
      <c r="E30" s="66" t="n">
        <f aca="false">E28*Inputs!$E$22*Inputs!$E$23</f>
        <v>4874.75</v>
      </c>
      <c r="F30" s="66" t="n">
        <f aca="false">F28*Inputs!$E$22*Inputs!$E$23</f>
        <v>5731.125</v>
      </c>
      <c r="G30" s="66" t="n">
        <f aca="false">G28*Inputs!$E$22*Inputs!$E$23</f>
        <v>6587.5</v>
      </c>
      <c r="H30" s="66" t="n">
        <f aca="false">H28*Inputs!$E$22*Inputs!$E$23</f>
        <v>7443.875</v>
      </c>
      <c r="I30" s="66" t="n">
        <f aca="false">I28*Inputs!$E$22*Inputs!$E$23</f>
        <v>8300.25</v>
      </c>
      <c r="J30" s="66" t="n">
        <f aca="false">J28*Inputs!$E$22*Inputs!$E$23</f>
        <v>9156.625</v>
      </c>
      <c r="K30" s="66" t="n">
        <f aca="false">K28*Inputs!$E$22*Inputs!$E$23</f>
        <v>10013</v>
      </c>
      <c r="L30" s="66" t="n">
        <f aca="false">L28*Inputs!$E$22*Inputs!$E$23</f>
        <v>10869.375</v>
      </c>
      <c r="M30" s="66" t="n">
        <f aca="false">M28*Inputs!$E$22*Inputs!$E$23</f>
        <v>11725.75</v>
      </c>
      <c r="N30" s="66" t="n">
        <f aca="false">N28*Inputs!$E$22*Inputs!$E$23</f>
        <v>12582.125</v>
      </c>
      <c r="O30" s="66" t="n">
        <f aca="false">O28*Inputs!$E$22*Inputs!$E$23</f>
        <v>13841.655</v>
      </c>
      <c r="P30" s="66" t="n">
        <f aca="false">P28*Inputs!$E$22*Inputs!$E$23</f>
        <v>13841.655</v>
      </c>
      <c r="Q30" s="66" t="n">
        <f aca="false">Q28*Inputs!$E$22*Inputs!$E$23</f>
        <v>13841.655</v>
      </c>
      <c r="R30" s="66" t="n">
        <f aca="false">R28*Inputs!$E$22*Inputs!$E$23</f>
        <v>13841.655</v>
      </c>
      <c r="S30" s="66" t="n">
        <f aca="false">S28*Inputs!$E$22*Inputs!$E$23</f>
        <v>13841.655</v>
      </c>
      <c r="T30" s="66" t="n">
        <f aca="false">T28*Inputs!$E$22*Inputs!$E$23</f>
        <v>13841.655</v>
      </c>
      <c r="U30" s="66" t="n">
        <f aca="false">U28*Inputs!$E$22*Inputs!$E$23</f>
        <v>13841.655</v>
      </c>
      <c r="V30" s="66" t="n">
        <f aca="false">V28*Inputs!$E$22*Inputs!$E$23</f>
        <v>13841.655</v>
      </c>
      <c r="W30" s="66" t="n">
        <f aca="false">W28*Inputs!$E$22*Inputs!$E$23</f>
        <v>13841.655</v>
      </c>
      <c r="X30" s="66" t="n">
        <f aca="false">X28*Inputs!$E$22*Inputs!$E$23</f>
        <v>13841.655</v>
      </c>
      <c r="Y30" s="66" t="n">
        <f aca="false">Y28*Inputs!$E$22*Inputs!$E$23</f>
        <v>13841.655</v>
      </c>
      <c r="Z30" s="66" t="n">
        <f aca="false">Z28*Inputs!$E$22*Inputs!$E$23</f>
        <v>13841.655</v>
      </c>
      <c r="AA30" s="66" t="n">
        <f aca="false">AA28*Inputs!$E$22*Inputs!$E$23</f>
        <v>14256.90465</v>
      </c>
      <c r="AB30" s="66" t="n">
        <f aca="false">AB28*Inputs!$E$22*Inputs!$E$23</f>
        <v>14256.90465</v>
      </c>
      <c r="AC30" s="66" t="n">
        <f aca="false">AC28*Inputs!$E$22*Inputs!$E$23</f>
        <v>14256.90465</v>
      </c>
      <c r="AD30" s="66" t="n">
        <f aca="false">AD28*Inputs!$E$22*Inputs!$E$23</f>
        <v>14256.90465</v>
      </c>
      <c r="AE30" s="66" t="n">
        <f aca="false">AE28*Inputs!$E$22*Inputs!$E$23</f>
        <v>14256.90465</v>
      </c>
      <c r="AF30" s="66" t="n">
        <f aca="false">AF28*Inputs!$E$22*Inputs!$E$23</f>
        <v>14256.90465</v>
      </c>
      <c r="AG30" s="66" t="n">
        <f aca="false">AG28*Inputs!$E$22*Inputs!$E$23</f>
        <v>14256.90465</v>
      </c>
      <c r="AH30" s="66" t="n">
        <f aca="false">AH28*Inputs!$E$22*Inputs!$E$23</f>
        <v>14256.90465</v>
      </c>
      <c r="AI30" s="66" t="n">
        <f aca="false">AI28*Inputs!$E$22*Inputs!$E$23</f>
        <v>14256.90465</v>
      </c>
      <c r="AJ30" s="66" t="n">
        <f aca="false">AJ28*Inputs!$E$22*Inputs!$E$23</f>
        <v>14256.90465</v>
      </c>
      <c r="AK30" s="66" t="n">
        <f aca="false">AK28*Inputs!$E$22*Inputs!$E$23</f>
        <v>14256.90465</v>
      </c>
      <c r="AL30" s="66" t="n">
        <f aca="false">AL28*Inputs!$E$22*Inputs!$E$23</f>
        <v>14256.90465</v>
      </c>
      <c r="AM30" s="66" t="n">
        <f aca="false">AM28*Inputs!$E$22*Inputs!$E$23</f>
        <v>14684.6117895</v>
      </c>
      <c r="AN30" s="66" t="n">
        <f aca="false">AN28*Inputs!$E$22*Inputs!$E$23</f>
        <v>14684.6117895</v>
      </c>
      <c r="AO30" s="66" t="n">
        <f aca="false">AO28*Inputs!$E$22*Inputs!$E$23</f>
        <v>14684.6117895</v>
      </c>
      <c r="AP30" s="66" t="n">
        <f aca="false">AP28*Inputs!$E$22*Inputs!$E$23</f>
        <v>14684.6117895</v>
      </c>
      <c r="AQ30" s="66" t="n">
        <f aca="false">AQ28*Inputs!$E$22*Inputs!$E$23</f>
        <v>14684.6117895</v>
      </c>
      <c r="AR30" s="66" t="n">
        <f aca="false">AR28*Inputs!$E$22*Inputs!$E$23</f>
        <v>14684.6117895</v>
      </c>
      <c r="AS30" s="66" t="n">
        <f aca="false">AS28*Inputs!$E$22*Inputs!$E$23</f>
        <v>14684.6117895</v>
      </c>
      <c r="AT30" s="66" t="n">
        <f aca="false">AT28*Inputs!$E$22*Inputs!$E$23</f>
        <v>14684.6117895</v>
      </c>
      <c r="AU30" s="66" t="n">
        <f aca="false">AU28*Inputs!$E$22*Inputs!$E$23</f>
        <v>14684.6117895</v>
      </c>
      <c r="AV30" s="66" t="n">
        <f aca="false">AV28*Inputs!$E$22*Inputs!$E$23</f>
        <v>14684.6117895</v>
      </c>
      <c r="AW30" s="66" t="n">
        <f aca="false">AW28*Inputs!$E$22*Inputs!$E$23</f>
        <v>14684.6117895</v>
      </c>
      <c r="AX30" s="66" t="n">
        <f aca="false">AX28*Inputs!$E$22*Inputs!$E$23</f>
        <v>14684.6117895</v>
      </c>
      <c r="AY30" s="66" t="n">
        <f aca="false">AY28*Inputs!$E$22*Inputs!$E$23</f>
        <v>15125.150143185</v>
      </c>
      <c r="AZ30" s="66" t="n">
        <f aca="false">AZ28*Inputs!$E$22*Inputs!$E$23</f>
        <v>15125.150143185</v>
      </c>
      <c r="BA30" s="66" t="n">
        <f aca="false">BA28*Inputs!$E$22*Inputs!$E$23</f>
        <v>15125.150143185</v>
      </c>
      <c r="BB30" s="66" t="n">
        <f aca="false">BB28*Inputs!$E$22*Inputs!$E$23</f>
        <v>15125.150143185</v>
      </c>
      <c r="BC30" s="66" t="n">
        <f aca="false">BC28*Inputs!$E$22*Inputs!$E$23</f>
        <v>15125.150143185</v>
      </c>
      <c r="BD30" s="66" t="n">
        <f aca="false">BD28*Inputs!$E$22*Inputs!$E$23</f>
        <v>15125.150143185</v>
      </c>
      <c r="BE30" s="66" t="n">
        <f aca="false">BE28*Inputs!$E$22*Inputs!$E$23</f>
        <v>15125.150143185</v>
      </c>
      <c r="BF30" s="66" t="n">
        <f aca="false">BF28*Inputs!$E$22*Inputs!$E$23</f>
        <v>15125.150143185</v>
      </c>
      <c r="BG30" s="66" t="n">
        <f aca="false">BG28*Inputs!$E$22*Inputs!$E$23</f>
        <v>15125.150143185</v>
      </c>
      <c r="BH30" s="66" t="n">
        <f aca="false">BH28*Inputs!$E$22*Inputs!$E$23</f>
        <v>15125.150143185</v>
      </c>
      <c r="BI30" s="66" t="n">
        <f aca="false">BI28*Inputs!$E$22*Inputs!$E$23</f>
        <v>15125.150143185</v>
      </c>
      <c r="BJ30" s="66" t="n">
        <f aca="false">BJ28*Inputs!$E$22*Inputs!$E$23</f>
        <v>15125.150143185</v>
      </c>
    </row>
    <row r="31" customFormat="false" ht="15" hidden="false" customHeight="false" outlineLevel="0" collapsed="false">
      <c r="A31" s="6" t="s">
        <v>241</v>
      </c>
      <c r="C31" s="66" t="n">
        <f aca="false">C19*Inputs!$E$21*(1+Inputs!$E$19)^(C$5-1)</f>
        <v>1845</v>
      </c>
      <c r="D31" s="66" t="n">
        <f aca="false">D19*Inputs!$E$21*(1+Inputs!$E$19)^(D$5-1)</f>
        <v>544.6875</v>
      </c>
      <c r="E31" s="66" t="n">
        <f aca="false">E19*Inputs!$E$21*(1+Inputs!$E$19)^(E$5-1)</f>
        <v>556.875</v>
      </c>
      <c r="F31" s="66" t="n">
        <f aca="false">F19*Inputs!$E$21*(1+Inputs!$E$19)^(F$5-1)</f>
        <v>569.0625</v>
      </c>
      <c r="G31" s="66" t="n">
        <f aca="false">G19*Inputs!$E$21*(1+Inputs!$E$19)^(G$5-1)</f>
        <v>581.249999999999</v>
      </c>
      <c r="H31" s="66" t="n">
        <f aca="false">H19*Inputs!$E$21*(1+Inputs!$E$19)^(H$5-1)</f>
        <v>593.437500000001</v>
      </c>
      <c r="I31" s="66" t="n">
        <f aca="false">I19*Inputs!$E$21*(1+Inputs!$E$19)^(I$5-1)</f>
        <v>605.624999999999</v>
      </c>
      <c r="J31" s="66" t="n">
        <f aca="false">J19*Inputs!$E$21*(1+Inputs!$E$19)^(J$5-1)</f>
        <v>617.812500000001</v>
      </c>
      <c r="K31" s="66" t="n">
        <f aca="false">K19*Inputs!$E$21*(1+Inputs!$E$19)^(K$5-1)</f>
        <v>630</v>
      </c>
      <c r="L31" s="66" t="n">
        <f aca="false">L19*Inputs!$E$21*(1+Inputs!$E$19)^(L$5-1)</f>
        <v>642.1875</v>
      </c>
      <c r="M31" s="66" t="n">
        <f aca="false">M19*Inputs!$E$21*(1+Inputs!$E$19)^(M$5-1)</f>
        <v>654.375</v>
      </c>
      <c r="N31" s="66" t="n">
        <f aca="false">N19*Inputs!$E$21*(1+Inputs!$E$19)^(N$5-1)</f>
        <v>666.562499999999</v>
      </c>
      <c r="O31" s="66" t="n">
        <f aca="false">O19*Inputs!$E$21*(1+Inputs!$E$19)^(O$5-1)</f>
        <v>699.1125</v>
      </c>
      <c r="P31" s="66" t="n">
        <f aca="false">P19*Inputs!$E$21*(1+Inputs!$E$19)^(P$5-1)</f>
        <v>196.9875</v>
      </c>
      <c r="Q31" s="66" t="n">
        <f aca="false">Q19*Inputs!$E$21*(1+Inputs!$E$19)^(Q$5-1)</f>
        <v>196.9875</v>
      </c>
      <c r="R31" s="66" t="n">
        <f aca="false">R19*Inputs!$E$21*(1+Inputs!$E$19)^(R$5-1)</f>
        <v>196.9875</v>
      </c>
      <c r="S31" s="66" t="n">
        <f aca="false">S19*Inputs!$E$21*(1+Inputs!$E$19)^(S$5-1)</f>
        <v>196.9875</v>
      </c>
      <c r="T31" s="66" t="n">
        <f aca="false">T19*Inputs!$E$21*(1+Inputs!$E$19)^(T$5-1)</f>
        <v>196.9875</v>
      </c>
      <c r="U31" s="66" t="n">
        <f aca="false">U19*Inputs!$E$21*(1+Inputs!$E$19)^(U$5-1)</f>
        <v>196.9875</v>
      </c>
      <c r="V31" s="66" t="n">
        <f aca="false">V19*Inputs!$E$21*(1+Inputs!$E$19)^(V$5-1)</f>
        <v>196.9875</v>
      </c>
      <c r="W31" s="66" t="n">
        <f aca="false">W19*Inputs!$E$21*(1+Inputs!$E$19)^(W$5-1)</f>
        <v>196.9875</v>
      </c>
      <c r="X31" s="66" t="n">
        <f aca="false">X19*Inputs!$E$21*(1+Inputs!$E$19)^(X$5-1)</f>
        <v>196.9875</v>
      </c>
      <c r="Y31" s="66" t="n">
        <f aca="false">Y19*Inputs!$E$21*(1+Inputs!$E$19)^(Y$5-1)</f>
        <v>196.9875</v>
      </c>
      <c r="Z31" s="66" t="n">
        <f aca="false">Z19*Inputs!$E$21*(1+Inputs!$E$19)^(Z$5-1)</f>
        <v>196.9875</v>
      </c>
      <c r="AA31" s="66" t="n">
        <f aca="false">AA19*Inputs!$E$21*(1+Inputs!$E$19)^(AA$5-1)</f>
        <v>202.897125</v>
      </c>
      <c r="AB31" s="66" t="n">
        <f aca="false">AB19*Inputs!$E$21*(1+Inputs!$E$19)^(AB$5-1)</f>
        <v>202.897125</v>
      </c>
      <c r="AC31" s="66" t="n">
        <f aca="false">AC19*Inputs!$E$21*(1+Inputs!$E$19)^(AC$5-1)</f>
        <v>202.897125</v>
      </c>
      <c r="AD31" s="66" t="n">
        <f aca="false">AD19*Inputs!$E$21*(1+Inputs!$E$19)^(AD$5-1)</f>
        <v>202.897125</v>
      </c>
      <c r="AE31" s="66" t="n">
        <f aca="false">AE19*Inputs!$E$21*(1+Inputs!$E$19)^(AE$5-1)</f>
        <v>202.897125</v>
      </c>
      <c r="AF31" s="66" t="n">
        <f aca="false">AF19*Inputs!$E$21*(1+Inputs!$E$19)^(AF$5-1)</f>
        <v>202.897125</v>
      </c>
      <c r="AG31" s="66" t="n">
        <f aca="false">AG19*Inputs!$E$21*(1+Inputs!$E$19)^(AG$5-1)</f>
        <v>202.897125</v>
      </c>
      <c r="AH31" s="66" t="n">
        <f aca="false">AH19*Inputs!$E$21*(1+Inputs!$E$19)^(AH$5-1)</f>
        <v>202.897125</v>
      </c>
      <c r="AI31" s="66" t="n">
        <f aca="false">AI19*Inputs!$E$21*(1+Inputs!$E$19)^(AI$5-1)</f>
        <v>202.897125</v>
      </c>
      <c r="AJ31" s="66" t="n">
        <f aca="false">AJ19*Inputs!$E$21*(1+Inputs!$E$19)^(AJ$5-1)</f>
        <v>202.897125</v>
      </c>
      <c r="AK31" s="66" t="n">
        <f aca="false">AK19*Inputs!$E$21*(1+Inputs!$E$19)^(AK$5-1)</f>
        <v>202.897125</v>
      </c>
      <c r="AL31" s="66" t="n">
        <f aca="false">AL19*Inputs!$E$21*(1+Inputs!$E$19)^(AL$5-1)</f>
        <v>202.897125</v>
      </c>
      <c r="AM31" s="66" t="n">
        <f aca="false">AM19*Inputs!$E$21*(1+Inputs!$E$19)^(AM$5-1)</f>
        <v>208.98403875</v>
      </c>
      <c r="AN31" s="66" t="n">
        <f aca="false">AN19*Inputs!$E$21*(1+Inputs!$E$19)^(AN$5-1)</f>
        <v>208.98403875</v>
      </c>
      <c r="AO31" s="66" t="n">
        <f aca="false">AO19*Inputs!$E$21*(1+Inputs!$E$19)^(AO$5-1)</f>
        <v>208.98403875</v>
      </c>
      <c r="AP31" s="66" t="n">
        <f aca="false">AP19*Inputs!$E$21*(1+Inputs!$E$19)^(AP$5-1)</f>
        <v>208.98403875</v>
      </c>
      <c r="AQ31" s="66" t="n">
        <f aca="false">AQ19*Inputs!$E$21*(1+Inputs!$E$19)^(AQ$5-1)</f>
        <v>208.98403875</v>
      </c>
      <c r="AR31" s="66" t="n">
        <f aca="false">AR19*Inputs!$E$21*(1+Inputs!$E$19)^(AR$5-1)</f>
        <v>208.98403875</v>
      </c>
      <c r="AS31" s="66" t="n">
        <f aca="false">AS19*Inputs!$E$21*(1+Inputs!$E$19)^(AS$5-1)</f>
        <v>208.98403875</v>
      </c>
      <c r="AT31" s="66" t="n">
        <f aca="false">AT19*Inputs!$E$21*(1+Inputs!$E$19)^(AT$5-1)</f>
        <v>208.98403875</v>
      </c>
      <c r="AU31" s="66" t="n">
        <f aca="false">AU19*Inputs!$E$21*(1+Inputs!$E$19)^(AU$5-1)</f>
        <v>208.98403875</v>
      </c>
      <c r="AV31" s="66" t="n">
        <f aca="false">AV19*Inputs!$E$21*(1+Inputs!$E$19)^(AV$5-1)</f>
        <v>208.98403875</v>
      </c>
      <c r="AW31" s="66" t="n">
        <f aca="false">AW19*Inputs!$E$21*(1+Inputs!$E$19)^(AW$5-1)</f>
        <v>208.98403875</v>
      </c>
      <c r="AX31" s="66" t="n">
        <f aca="false">AX19*Inputs!$E$21*(1+Inputs!$E$19)^(AX$5-1)</f>
        <v>208.98403875</v>
      </c>
      <c r="AY31" s="66" t="n">
        <f aca="false">AY19*Inputs!$E$21*(1+Inputs!$E$19)^(AY$5-1)</f>
        <v>215.2535599125</v>
      </c>
      <c r="AZ31" s="66" t="n">
        <f aca="false">AZ19*Inputs!$E$21*(1+Inputs!$E$19)^(AZ$5-1)</f>
        <v>215.2535599125</v>
      </c>
      <c r="BA31" s="66" t="n">
        <f aca="false">BA19*Inputs!$E$21*(1+Inputs!$E$19)^(BA$5-1)</f>
        <v>215.2535599125</v>
      </c>
      <c r="BB31" s="66" t="n">
        <f aca="false">BB19*Inputs!$E$21*(1+Inputs!$E$19)^(BB$5-1)</f>
        <v>215.2535599125</v>
      </c>
      <c r="BC31" s="66" t="n">
        <f aca="false">BC19*Inputs!$E$21*(1+Inputs!$E$19)^(BC$5-1)</f>
        <v>215.2535599125</v>
      </c>
      <c r="BD31" s="66" t="n">
        <f aca="false">BD19*Inputs!$E$21*(1+Inputs!$E$19)^(BD$5-1)</f>
        <v>215.2535599125</v>
      </c>
      <c r="BE31" s="66" t="n">
        <f aca="false">BE19*Inputs!$E$21*(1+Inputs!$E$19)^(BE$5-1)</f>
        <v>215.2535599125</v>
      </c>
      <c r="BF31" s="66" t="n">
        <f aca="false">BF19*Inputs!$E$21*(1+Inputs!$E$19)^(BF$5-1)</f>
        <v>215.2535599125</v>
      </c>
      <c r="BG31" s="66" t="n">
        <f aca="false">BG19*Inputs!$E$21*(1+Inputs!$E$19)^(BG$5-1)</f>
        <v>215.2535599125</v>
      </c>
      <c r="BH31" s="66" t="n">
        <f aca="false">BH19*Inputs!$E$21*(1+Inputs!$E$19)^(BH$5-1)</f>
        <v>215.2535599125</v>
      </c>
      <c r="BI31" s="66" t="n">
        <f aca="false">BI19*Inputs!$E$21*(1+Inputs!$E$19)^(BI$5-1)</f>
        <v>215.2535599125</v>
      </c>
      <c r="BJ31" s="66" t="n">
        <f aca="false">BJ19*Inputs!$E$21*(1+Inputs!$E$19)^(BJ$5-1)</f>
        <v>215.2535599125</v>
      </c>
    </row>
    <row r="32" customFormat="false" ht="15" hidden="false" customHeight="false" outlineLevel="0" collapsed="false">
      <c r="A32" s="110" t="s">
        <v>44</v>
      </c>
      <c r="C32" s="67" t="n">
        <f aca="false">C29+C30+C31</f>
        <v>15609</v>
      </c>
      <c r="D32" s="67" t="n">
        <f aca="false">D29+D30+D31</f>
        <v>18036.4375</v>
      </c>
      <c r="E32" s="67" t="n">
        <f aca="false">E29+E30+E31</f>
        <v>21776.375</v>
      </c>
      <c r="F32" s="67" t="n">
        <f aca="false">F29+F30+F31</f>
        <v>25516.3125</v>
      </c>
      <c r="G32" s="67" t="n">
        <f aca="false">G29+G30+G31</f>
        <v>29256.25</v>
      </c>
      <c r="H32" s="67" t="n">
        <f aca="false">H29+H30+H31</f>
        <v>32996.1875</v>
      </c>
      <c r="I32" s="67" t="n">
        <f aca="false">I29+I30+I31</f>
        <v>36736.125</v>
      </c>
      <c r="J32" s="67" t="n">
        <f aca="false">J29+J30+J31</f>
        <v>40476.0625</v>
      </c>
      <c r="K32" s="67" t="n">
        <f aca="false">K29+K30+K31</f>
        <v>44216</v>
      </c>
      <c r="L32" s="67" t="n">
        <f aca="false">L29+L30+L31</f>
        <v>47955.9375</v>
      </c>
      <c r="M32" s="67" t="n">
        <f aca="false">M29+M30+M31</f>
        <v>51695.875</v>
      </c>
      <c r="N32" s="67" t="n">
        <f aca="false">N29+N30+N31</f>
        <v>55435.8125</v>
      </c>
      <c r="O32" s="67" t="n">
        <f aca="false">O29+O30+O31</f>
        <v>60951.0225</v>
      </c>
      <c r="P32" s="67" t="n">
        <f aca="false">P29+P30+P31</f>
        <v>60448.8975</v>
      </c>
      <c r="Q32" s="67" t="n">
        <f aca="false">Q29+Q30+Q31</f>
        <v>60448.8975</v>
      </c>
      <c r="R32" s="67" t="n">
        <f aca="false">R29+R30+R31</f>
        <v>60448.8975</v>
      </c>
      <c r="S32" s="67" t="n">
        <f aca="false">S29+S30+S31</f>
        <v>60448.8975</v>
      </c>
      <c r="T32" s="67" t="n">
        <f aca="false">T29+T30+T31</f>
        <v>60448.8975</v>
      </c>
      <c r="U32" s="67" t="n">
        <f aca="false">U29+U30+U31</f>
        <v>60448.8975</v>
      </c>
      <c r="V32" s="67" t="n">
        <f aca="false">V29+V30+V31</f>
        <v>60448.8975</v>
      </c>
      <c r="W32" s="67" t="n">
        <f aca="false">W29+W30+W31</f>
        <v>60448.8975</v>
      </c>
      <c r="X32" s="67" t="n">
        <f aca="false">X29+X30+X31</f>
        <v>60448.8975</v>
      </c>
      <c r="Y32" s="67" t="n">
        <f aca="false">Y29+Y30+Y31</f>
        <v>60448.8975</v>
      </c>
      <c r="Z32" s="67" t="n">
        <f aca="false">Z29+Z30+Z31</f>
        <v>60448.8975</v>
      </c>
      <c r="AA32" s="67" t="n">
        <f aca="false">AA29+AA30+AA31</f>
        <v>62262.364425</v>
      </c>
      <c r="AB32" s="67" t="n">
        <f aca="false">AB29+AB30+AB31</f>
        <v>62262.364425</v>
      </c>
      <c r="AC32" s="67" t="n">
        <f aca="false">AC29+AC30+AC31</f>
        <v>62262.364425</v>
      </c>
      <c r="AD32" s="67" t="n">
        <f aca="false">AD29+AD30+AD31</f>
        <v>62262.364425</v>
      </c>
      <c r="AE32" s="67" t="n">
        <f aca="false">AE29+AE30+AE31</f>
        <v>62262.364425</v>
      </c>
      <c r="AF32" s="67" t="n">
        <f aca="false">AF29+AF30+AF31</f>
        <v>62262.364425</v>
      </c>
      <c r="AG32" s="67" t="n">
        <f aca="false">AG29+AG30+AG31</f>
        <v>62262.364425</v>
      </c>
      <c r="AH32" s="67" t="n">
        <f aca="false">AH29+AH30+AH31</f>
        <v>62262.364425</v>
      </c>
      <c r="AI32" s="67" t="n">
        <f aca="false">AI29+AI30+AI31</f>
        <v>62262.364425</v>
      </c>
      <c r="AJ32" s="67" t="n">
        <f aca="false">AJ29+AJ30+AJ31</f>
        <v>62262.364425</v>
      </c>
      <c r="AK32" s="67" t="n">
        <f aca="false">AK29+AK30+AK31</f>
        <v>62262.364425</v>
      </c>
      <c r="AL32" s="67" t="n">
        <f aca="false">AL29+AL30+AL31</f>
        <v>62262.364425</v>
      </c>
      <c r="AM32" s="67" t="n">
        <f aca="false">AM29+AM30+AM31</f>
        <v>64130.23535775</v>
      </c>
      <c r="AN32" s="67" t="n">
        <f aca="false">AN29+AN30+AN31</f>
        <v>64130.23535775</v>
      </c>
      <c r="AO32" s="67" t="n">
        <f aca="false">AO29+AO30+AO31</f>
        <v>64130.23535775</v>
      </c>
      <c r="AP32" s="67" t="n">
        <f aca="false">AP29+AP30+AP31</f>
        <v>64130.23535775</v>
      </c>
      <c r="AQ32" s="67" t="n">
        <f aca="false">AQ29+AQ30+AQ31</f>
        <v>64130.23535775</v>
      </c>
      <c r="AR32" s="67" t="n">
        <f aca="false">AR29+AR30+AR31</f>
        <v>64130.23535775</v>
      </c>
      <c r="AS32" s="67" t="n">
        <f aca="false">AS29+AS30+AS31</f>
        <v>64130.23535775</v>
      </c>
      <c r="AT32" s="67" t="n">
        <f aca="false">AT29+AT30+AT31</f>
        <v>64130.23535775</v>
      </c>
      <c r="AU32" s="67" t="n">
        <f aca="false">AU29+AU30+AU31</f>
        <v>64130.23535775</v>
      </c>
      <c r="AV32" s="67" t="n">
        <f aca="false">AV29+AV30+AV31</f>
        <v>64130.23535775</v>
      </c>
      <c r="AW32" s="67" t="n">
        <f aca="false">AW29+AW30+AW31</f>
        <v>64130.23535775</v>
      </c>
      <c r="AX32" s="67" t="n">
        <f aca="false">AX29+AX30+AX31</f>
        <v>64130.23535775</v>
      </c>
      <c r="AY32" s="67" t="n">
        <f aca="false">AY29+AY30+AY31</f>
        <v>66054.1424184825</v>
      </c>
      <c r="AZ32" s="67" t="n">
        <f aca="false">AZ29+AZ30+AZ31</f>
        <v>66054.1424184825</v>
      </c>
      <c r="BA32" s="67" t="n">
        <f aca="false">BA29+BA30+BA31</f>
        <v>66054.1424184825</v>
      </c>
      <c r="BB32" s="67" t="n">
        <f aca="false">BB29+BB30+BB31</f>
        <v>66054.1424184825</v>
      </c>
      <c r="BC32" s="67" t="n">
        <f aca="false">BC29+BC30+BC31</f>
        <v>66054.1424184825</v>
      </c>
      <c r="BD32" s="67" t="n">
        <f aca="false">BD29+BD30+BD31</f>
        <v>66054.1424184825</v>
      </c>
      <c r="BE32" s="67" t="n">
        <f aca="false">BE29+BE30+BE31</f>
        <v>66054.1424184825</v>
      </c>
      <c r="BF32" s="67" t="n">
        <f aca="false">BF29+BF30+BF31</f>
        <v>66054.1424184825</v>
      </c>
      <c r="BG32" s="67" t="n">
        <f aca="false">BG29+BG30+BG31</f>
        <v>66054.1424184825</v>
      </c>
      <c r="BH32" s="67" t="n">
        <f aca="false">BH29+BH30+BH31</f>
        <v>66054.1424184825</v>
      </c>
      <c r="BI32" s="67" t="n">
        <f aca="false">BI29+BI30+BI31</f>
        <v>66054.1424184825</v>
      </c>
      <c r="BJ32" s="67" t="n">
        <f aca="false">BJ29+BJ30+BJ31</f>
        <v>66054.1424184825</v>
      </c>
    </row>
    <row r="34" customFormat="false" ht="15.75" hidden="false" customHeight="true" outlineLevel="0" collapsed="false">
      <c r="A34" s="7" t="s">
        <v>75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customFormat="false" ht="15" hidden="false" customHeight="false" outlineLevel="0" collapsed="false">
      <c r="A35" s="6" t="s">
        <v>243</v>
      </c>
      <c r="C35" s="66" t="n">
        <f aca="false">-C25*Inputs!$E$29/12*1*(1+Inputs!$E$69)*(1+Inputs!$E$70)^(C$5-1)</f>
        <v>-7840</v>
      </c>
      <c r="D35" s="66" t="n">
        <f aca="false">-D25*Inputs!$E$29/12*1*(1+Inputs!$E$69)*(1+Inputs!$E$70)^(D$5-1)</f>
        <v>-7840</v>
      </c>
      <c r="E35" s="66" t="n">
        <f aca="false">-E25*Inputs!$E$29/12*1*(1+Inputs!$E$69)*(1+Inputs!$E$70)^(E$5-1)</f>
        <v>-15680</v>
      </c>
      <c r="F35" s="66" t="n">
        <f aca="false">-F25*Inputs!$E$29/12*1*(1+Inputs!$E$69)*(1+Inputs!$E$70)^(F$5-1)</f>
        <v>-15680</v>
      </c>
      <c r="G35" s="66" t="n">
        <f aca="false">-G25*Inputs!$E$29/12*1*(1+Inputs!$E$69)*(1+Inputs!$E$70)^(G$5-1)</f>
        <v>-15680</v>
      </c>
      <c r="H35" s="66" t="n">
        <f aca="false">-H25*Inputs!$E$29/12*1*(1+Inputs!$E$69)*(1+Inputs!$E$70)^(H$5-1)</f>
        <v>-15680</v>
      </c>
      <c r="I35" s="66" t="n">
        <f aca="false">-I25*Inputs!$E$29/12*1*(1+Inputs!$E$69)*(1+Inputs!$E$70)^(I$5-1)</f>
        <v>-15680</v>
      </c>
      <c r="J35" s="66" t="n">
        <f aca="false">-J25*Inputs!$E$29/12*1*(1+Inputs!$E$69)*(1+Inputs!$E$70)^(J$5-1)</f>
        <v>-19600</v>
      </c>
      <c r="K35" s="66" t="n">
        <f aca="false">-K25*Inputs!$E$29/12*1*(1+Inputs!$E$69)*(1+Inputs!$E$70)^(K$5-1)</f>
        <v>-23520</v>
      </c>
      <c r="L35" s="66" t="n">
        <f aca="false">-L25*Inputs!$E$29/12*1*(1+Inputs!$E$69)*(1+Inputs!$E$70)^(L$5-1)</f>
        <v>-23520</v>
      </c>
      <c r="M35" s="66" t="n">
        <f aca="false">-M25*Inputs!$E$29/12*1*(1+Inputs!$E$69)*(1+Inputs!$E$70)^(M$5-1)</f>
        <v>-23520</v>
      </c>
      <c r="N35" s="66" t="n">
        <f aca="false">-N25*Inputs!$E$29/12*1*(1+Inputs!$E$69)*(1+Inputs!$E$70)^(N$5-1)</f>
        <v>-23520</v>
      </c>
      <c r="O35" s="66" t="n">
        <f aca="false">-O25*Inputs!$E$29/12*1*(1+Inputs!$E$69)*(1+Inputs!$E$70)^(O$5-1)</f>
        <v>-24225.6</v>
      </c>
      <c r="P35" s="66" t="n">
        <f aca="false">-P25*Inputs!$E$29/12*1*(1+Inputs!$E$69)*(1+Inputs!$E$70)^(P$5-1)</f>
        <v>-24225.6</v>
      </c>
      <c r="Q35" s="66" t="n">
        <f aca="false">-Q25*Inputs!$E$29/12*1*(1+Inputs!$E$69)*(1+Inputs!$E$70)^(Q$5-1)</f>
        <v>-24225.6</v>
      </c>
      <c r="R35" s="66" t="n">
        <f aca="false">-R25*Inputs!$E$29/12*1*(1+Inputs!$E$69)*(1+Inputs!$E$70)^(R$5-1)</f>
        <v>-24225.6</v>
      </c>
      <c r="S35" s="66" t="n">
        <f aca="false">-S25*Inputs!$E$29/12*1*(1+Inputs!$E$69)*(1+Inputs!$E$70)^(S$5-1)</f>
        <v>-24225.6</v>
      </c>
      <c r="T35" s="66" t="n">
        <f aca="false">-T25*Inputs!$E$29/12*1*(1+Inputs!$E$69)*(1+Inputs!$E$70)^(T$5-1)</f>
        <v>-24225.6</v>
      </c>
      <c r="U35" s="66" t="n">
        <f aca="false">-U25*Inputs!$E$29/12*1*(1+Inputs!$E$69)*(1+Inputs!$E$70)^(U$5-1)</f>
        <v>-24225.6</v>
      </c>
      <c r="V35" s="66" t="n">
        <f aca="false">-V25*Inputs!$E$29/12*1*(1+Inputs!$E$69)*(1+Inputs!$E$70)^(V$5-1)</f>
        <v>-24225.6</v>
      </c>
      <c r="W35" s="66" t="n">
        <f aca="false">-W25*Inputs!$E$29/12*1*(1+Inputs!$E$69)*(1+Inputs!$E$70)^(W$5-1)</f>
        <v>-24225.6</v>
      </c>
      <c r="X35" s="66" t="n">
        <f aca="false">-X25*Inputs!$E$29/12*1*(1+Inputs!$E$69)*(1+Inputs!$E$70)^(X$5-1)</f>
        <v>-24225.6</v>
      </c>
      <c r="Y35" s="66" t="n">
        <f aca="false">-Y25*Inputs!$E$29/12*1*(1+Inputs!$E$69)*(1+Inputs!$E$70)^(Y$5-1)</f>
        <v>-24225.6</v>
      </c>
      <c r="Z35" s="66" t="n">
        <f aca="false">-Z25*Inputs!$E$29/12*1*(1+Inputs!$E$69)*(1+Inputs!$E$70)^(Z$5-1)</f>
        <v>-24225.6</v>
      </c>
      <c r="AA35" s="66" t="n">
        <f aca="false">-AA25*Inputs!$E$29/12*1*(1+Inputs!$E$69)*(1+Inputs!$E$70)^(AA$5-1)</f>
        <v>-24952.368</v>
      </c>
      <c r="AB35" s="66" t="n">
        <f aca="false">-AB25*Inputs!$E$29/12*1*(1+Inputs!$E$69)*(1+Inputs!$E$70)^(AB$5-1)</f>
        <v>-24952.368</v>
      </c>
      <c r="AC35" s="66" t="n">
        <f aca="false">-AC25*Inputs!$E$29/12*1*(1+Inputs!$E$69)*(1+Inputs!$E$70)^(AC$5-1)</f>
        <v>-24952.368</v>
      </c>
      <c r="AD35" s="66" t="n">
        <f aca="false">-AD25*Inputs!$E$29/12*1*(1+Inputs!$E$69)*(1+Inputs!$E$70)^(AD$5-1)</f>
        <v>-24952.368</v>
      </c>
      <c r="AE35" s="66" t="n">
        <f aca="false">-AE25*Inputs!$E$29/12*1*(1+Inputs!$E$69)*(1+Inputs!$E$70)^(AE$5-1)</f>
        <v>-24952.368</v>
      </c>
      <c r="AF35" s="66" t="n">
        <f aca="false">-AF25*Inputs!$E$29/12*1*(1+Inputs!$E$69)*(1+Inputs!$E$70)^(AF$5-1)</f>
        <v>-24952.368</v>
      </c>
      <c r="AG35" s="66" t="n">
        <f aca="false">-AG25*Inputs!$E$29/12*1*(1+Inputs!$E$69)*(1+Inputs!$E$70)^(AG$5-1)</f>
        <v>-24952.368</v>
      </c>
      <c r="AH35" s="66" t="n">
        <f aca="false">-AH25*Inputs!$E$29/12*1*(1+Inputs!$E$69)*(1+Inputs!$E$70)^(AH$5-1)</f>
        <v>-24952.368</v>
      </c>
      <c r="AI35" s="66" t="n">
        <f aca="false">-AI25*Inputs!$E$29/12*1*(1+Inputs!$E$69)*(1+Inputs!$E$70)^(AI$5-1)</f>
        <v>-24952.368</v>
      </c>
      <c r="AJ35" s="66" t="n">
        <f aca="false">-AJ25*Inputs!$E$29/12*1*(1+Inputs!$E$69)*(1+Inputs!$E$70)^(AJ$5-1)</f>
        <v>-24952.368</v>
      </c>
      <c r="AK35" s="66" t="n">
        <f aca="false">-AK25*Inputs!$E$29/12*1*(1+Inputs!$E$69)*(1+Inputs!$E$70)^(AK$5-1)</f>
        <v>-24952.368</v>
      </c>
      <c r="AL35" s="66" t="n">
        <f aca="false">-AL25*Inputs!$E$29/12*1*(1+Inputs!$E$69)*(1+Inputs!$E$70)^(AL$5-1)</f>
        <v>-24952.368</v>
      </c>
      <c r="AM35" s="66" t="n">
        <f aca="false">-AM25*Inputs!$E$29/12*1*(1+Inputs!$E$69)*(1+Inputs!$E$70)^(AM$5-1)</f>
        <v>-25700.93904</v>
      </c>
      <c r="AN35" s="66" t="n">
        <f aca="false">-AN25*Inputs!$E$29/12*1*(1+Inputs!$E$69)*(1+Inputs!$E$70)^(AN$5-1)</f>
        <v>-25700.93904</v>
      </c>
      <c r="AO35" s="66" t="n">
        <f aca="false">-AO25*Inputs!$E$29/12*1*(1+Inputs!$E$69)*(1+Inputs!$E$70)^(AO$5-1)</f>
        <v>-25700.93904</v>
      </c>
      <c r="AP35" s="66" t="n">
        <f aca="false">-AP25*Inputs!$E$29/12*1*(1+Inputs!$E$69)*(1+Inputs!$E$70)^(AP$5-1)</f>
        <v>-25700.93904</v>
      </c>
      <c r="AQ35" s="66" t="n">
        <f aca="false">-AQ25*Inputs!$E$29/12*1*(1+Inputs!$E$69)*(1+Inputs!$E$70)^(AQ$5-1)</f>
        <v>-25700.93904</v>
      </c>
      <c r="AR35" s="66" t="n">
        <f aca="false">-AR25*Inputs!$E$29/12*1*(1+Inputs!$E$69)*(1+Inputs!$E$70)^(AR$5-1)</f>
        <v>-25700.93904</v>
      </c>
      <c r="AS35" s="66" t="n">
        <f aca="false">-AS25*Inputs!$E$29/12*1*(1+Inputs!$E$69)*(1+Inputs!$E$70)^(AS$5-1)</f>
        <v>-25700.93904</v>
      </c>
      <c r="AT35" s="66" t="n">
        <f aca="false">-AT25*Inputs!$E$29/12*1*(1+Inputs!$E$69)*(1+Inputs!$E$70)^(AT$5-1)</f>
        <v>-25700.93904</v>
      </c>
      <c r="AU35" s="66" t="n">
        <f aca="false">-AU25*Inputs!$E$29/12*1*(1+Inputs!$E$69)*(1+Inputs!$E$70)^(AU$5-1)</f>
        <v>-25700.93904</v>
      </c>
      <c r="AV35" s="66" t="n">
        <f aca="false">-AV25*Inputs!$E$29/12*1*(1+Inputs!$E$69)*(1+Inputs!$E$70)^(AV$5-1)</f>
        <v>-25700.93904</v>
      </c>
      <c r="AW35" s="66" t="n">
        <f aca="false">-AW25*Inputs!$E$29/12*1*(1+Inputs!$E$69)*(1+Inputs!$E$70)^(AW$5-1)</f>
        <v>-25700.93904</v>
      </c>
      <c r="AX35" s="66" t="n">
        <f aca="false">-AX25*Inputs!$E$29/12*1*(1+Inputs!$E$69)*(1+Inputs!$E$70)^(AX$5-1)</f>
        <v>-25700.93904</v>
      </c>
      <c r="AY35" s="66" t="n">
        <f aca="false">-AY25*Inputs!$E$29/12*1*(1+Inputs!$E$69)*(1+Inputs!$E$70)^(AY$5-1)</f>
        <v>-26471.9672112</v>
      </c>
      <c r="AZ35" s="66" t="n">
        <f aca="false">-AZ25*Inputs!$E$29/12*1*(1+Inputs!$E$69)*(1+Inputs!$E$70)^(AZ$5-1)</f>
        <v>-26471.9672112</v>
      </c>
      <c r="BA35" s="66" t="n">
        <f aca="false">-BA25*Inputs!$E$29/12*1*(1+Inputs!$E$69)*(1+Inputs!$E$70)^(BA$5-1)</f>
        <v>-26471.9672112</v>
      </c>
      <c r="BB35" s="66" t="n">
        <f aca="false">-BB25*Inputs!$E$29/12*1*(1+Inputs!$E$69)*(1+Inputs!$E$70)^(BB$5-1)</f>
        <v>-26471.9672112</v>
      </c>
      <c r="BC35" s="66" t="n">
        <f aca="false">-BC25*Inputs!$E$29/12*1*(1+Inputs!$E$69)*(1+Inputs!$E$70)^(BC$5-1)</f>
        <v>-26471.9672112</v>
      </c>
      <c r="BD35" s="66" t="n">
        <f aca="false">-BD25*Inputs!$E$29/12*1*(1+Inputs!$E$69)*(1+Inputs!$E$70)^(BD$5-1)</f>
        <v>-26471.9672112</v>
      </c>
      <c r="BE35" s="66" t="n">
        <f aca="false">-BE25*Inputs!$E$29/12*1*(1+Inputs!$E$69)*(1+Inputs!$E$70)^(BE$5-1)</f>
        <v>-26471.9672112</v>
      </c>
      <c r="BF35" s="66" t="n">
        <f aca="false">-BF25*Inputs!$E$29/12*1*(1+Inputs!$E$69)*(1+Inputs!$E$70)^(BF$5-1)</f>
        <v>-26471.9672112</v>
      </c>
      <c r="BG35" s="66" t="n">
        <f aca="false">-BG25*Inputs!$E$29/12*1*(1+Inputs!$E$69)*(1+Inputs!$E$70)^(BG$5-1)</f>
        <v>-26471.9672112</v>
      </c>
      <c r="BH35" s="66" t="n">
        <f aca="false">-BH25*Inputs!$E$29/12*1*(1+Inputs!$E$69)*(1+Inputs!$E$70)^(BH$5-1)</f>
        <v>-26471.9672112</v>
      </c>
      <c r="BI35" s="66" t="n">
        <f aca="false">-BI25*Inputs!$E$29/12*1*(1+Inputs!$E$69)*(1+Inputs!$E$70)^(BI$5-1)</f>
        <v>-26471.9672112</v>
      </c>
      <c r="BJ35" s="66" t="n">
        <f aca="false">-BJ25*Inputs!$E$29/12*1*(1+Inputs!$E$69)*(1+Inputs!$E$70)^(BJ$5-1)</f>
        <v>-26471.9672112</v>
      </c>
    </row>
    <row r="36" customFormat="false" ht="15" hidden="false" customHeight="false" outlineLevel="0" collapsed="false">
      <c r="A36" s="6" t="s">
        <v>433</v>
      </c>
      <c r="C36" s="66" t="n">
        <f aca="false">-C15*Inputs!$E$32*Inputs!$E$13*1*(1+Inputs!$E$34)^(C$5-1)</f>
        <v>-1008</v>
      </c>
      <c r="D36" s="66" t="n">
        <f aca="false">-D15*Inputs!$E$32*Inputs!$E$13*1*(1+Inputs!$E$34)^(D$5-1)</f>
        <v>-1281</v>
      </c>
      <c r="E36" s="66" t="n">
        <f aca="false">-E15*Inputs!$E$32*Inputs!$E$13*1*(1+Inputs!$E$34)^(E$5-1)</f>
        <v>-1554</v>
      </c>
      <c r="F36" s="66" t="n">
        <f aca="false">-F15*Inputs!$E$32*Inputs!$E$13*1*(1+Inputs!$E$34)^(F$5-1)</f>
        <v>-1827</v>
      </c>
      <c r="G36" s="66" t="n">
        <f aca="false">-G15*Inputs!$E$32*Inputs!$E$13*1*(1+Inputs!$E$34)^(G$5-1)</f>
        <v>-2100</v>
      </c>
      <c r="H36" s="66" t="n">
        <f aca="false">-H15*Inputs!$E$32*Inputs!$E$13*1*(1+Inputs!$E$34)^(H$5-1)</f>
        <v>-2373</v>
      </c>
      <c r="I36" s="66" t="n">
        <f aca="false">-I15*Inputs!$E$32*Inputs!$E$13*1*(1+Inputs!$E$34)^(I$5-1)</f>
        <v>-2646</v>
      </c>
      <c r="J36" s="66" t="n">
        <f aca="false">-J15*Inputs!$E$32*Inputs!$E$13*1*(1+Inputs!$E$34)^(J$5-1)</f>
        <v>-2919</v>
      </c>
      <c r="K36" s="66" t="n">
        <f aca="false">-K15*Inputs!$E$32*Inputs!$E$13*1*(1+Inputs!$E$34)^(K$5-1)</f>
        <v>-3192</v>
      </c>
      <c r="L36" s="66" t="n">
        <f aca="false">-L15*Inputs!$E$32*Inputs!$E$13*1*(1+Inputs!$E$34)^(L$5-1)</f>
        <v>-3465</v>
      </c>
      <c r="M36" s="66" t="n">
        <f aca="false">-M15*Inputs!$E$32*Inputs!$E$13*1*(1+Inputs!$E$34)^(M$5-1)</f>
        <v>-3738</v>
      </c>
      <c r="N36" s="66" t="n">
        <f aca="false">-N15*Inputs!$E$32*Inputs!$E$13*1*(1+Inputs!$E$34)^(N$5-1)</f>
        <v>-4011</v>
      </c>
      <c r="O36" s="66" t="n">
        <f aca="false">-O15*Inputs!$E$32*Inputs!$E$13*1*(1+Inputs!$E$34)^(O$5-1)</f>
        <v>-4412.52</v>
      </c>
      <c r="P36" s="66" t="n">
        <f aca="false">-P15*Inputs!$E$32*Inputs!$E$13*1*(1+Inputs!$E$34)^(P$5-1)</f>
        <v>-4412.52</v>
      </c>
      <c r="Q36" s="66" t="n">
        <f aca="false">-Q15*Inputs!$E$32*Inputs!$E$13*1*(1+Inputs!$E$34)^(Q$5-1)</f>
        <v>-4412.52</v>
      </c>
      <c r="R36" s="66" t="n">
        <f aca="false">-R15*Inputs!$E$32*Inputs!$E$13*1*(1+Inputs!$E$34)^(R$5-1)</f>
        <v>-4412.52</v>
      </c>
      <c r="S36" s="66" t="n">
        <f aca="false">-S15*Inputs!$E$32*Inputs!$E$13*1*(1+Inputs!$E$34)^(S$5-1)</f>
        <v>-4412.52</v>
      </c>
      <c r="T36" s="66" t="n">
        <f aca="false">-T15*Inputs!$E$32*Inputs!$E$13*1*(1+Inputs!$E$34)^(T$5-1)</f>
        <v>-4412.52</v>
      </c>
      <c r="U36" s="66" t="n">
        <f aca="false">-U15*Inputs!$E$32*Inputs!$E$13*1*(1+Inputs!$E$34)^(U$5-1)</f>
        <v>-4412.52</v>
      </c>
      <c r="V36" s="66" t="n">
        <f aca="false">-V15*Inputs!$E$32*Inputs!$E$13*1*(1+Inputs!$E$34)^(V$5-1)</f>
        <v>-4412.52</v>
      </c>
      <c r="W36" s="66" t="n">
        <f aca="false">-W15*Inputs!$E$32*Inputs!$E$13*1*(1+Inputs!$E$34)^(W$5-1)</f>
        <v>-4412.52</v>
      </c>
      <c r="X36" s="66" t="n">
        <f aca="false">-X15*Inputs!$E$32*Inputs!$E$13*1*(1+Inputs!$E$34)^(X$5-1)</f>
        <v>-4412.52</v>
      </c>
      <c r="Y36" s="66" t="n">
        <f aca="false">-Y15*Inputs!$E$32*Inputs!$E$13*1*(1+Inputs!$E$34)^(Y$5-1)</f>
        <v>-4412.52</v>
      </c>
      <c r="Z36" s="66" t="n">
        <f aca="false">-Z15*Inputs!$E$32*Inputs!$E$13*1*(1+Inputs!$E$34)^(Z$5-1)</f>
        <v>-4412.52</v>
      </c>
      <c r="AA36" s="66" t="n">
        <f aca="false">-AA15*Inputs!$E$32*Inputs!$E$13*1*(1+Inputs!$E$34)^(AA$5-1)</f>
        <v>-4544.8956</v>
      </c>
      <c r="AB36" s="66" t="n">
        <f aca="false">-AB15*Inputs!$E$32*Inputs!$E$13*1*(1+Inputs!$E$34)^(AB$5-1)</f>
        <v>-4544.8956</v>
      </c>
      <c r="AC36" s="66" t="n">
        <f aca="false">-AC15*Inputs!$E$32*Inputs!$E$13*1*(1+Inputs!$E$34)^(AC$5-1)</f>
        <v>-4544.8956</v>
      </c>
      <c r="AD36" s="66" t="n">
        <f aca="false">-AD15*Inputs!$E$32*Inputs!$E$13*1*(1+Inputs!$E$34)^(AD$5-1)</f>
        <v>-4544.8956</v>
      </c>
      <c r="AE36" s="66" t="n">
        <f aca="false">-AE15*Inputs!$E$32*Inputs!$E$13*1*(1+Inputs!$E$34)^(AE$5-1)</f>
        <v>-4544.8956</v>
      </c>
      <c r="AF36" s="66" t="n">
        <f aca="false">-AF15*Inputs!$E$32*Inputs!$E$13*1*(1+Inputs!$E$34)^(AF$5-1)</f>
        <v>-4544.8956</v>
      </c>
      <c r="AG36" s="66" t="n">
        <f aca="false">-AG15*Inputs!$E$32*Inputs!$E$13*1*(1+Inputs!$E$34)^(AG$5-1)</f>
        <v>-4544.8956</v>
      </c>
      <c r="AH36" s="66" t="n">
        <f aca="false">-AH15*Inputs!$E$32*Inputs!$E$13*1*(1+Inputs!$E$34)^(AH$5-1)</f>
        <v>-4544.8956</v>
      </c>
      <c r="AI36" s="66" t="n">
        <f aca="false">-AI15*Inputs!$E$32*Inputs!$E$13*1*(1+Inputs!$E$34)^(AI$5-1)</f>
        <v>-4544.8956</v>
      </c>
      <c r="AJ36" s="66" t="n">
        <f aca="false">-AJ15*Inputs!$E$32*Inputs!$E$13*1*(1+Inputs!$E$34)^(AJ$5-1)</f>
        <v>-4544.8956</v>
      </c>
      <c r="AK36" s="66" t="n">
        <f aca="false">-AK15*Inputs!$E$32*Inputs!$E$13*1*(1+Inputs!$E$34)^(AK$5-1)</f>
        <v>-4544.8956</v>
      </c>
      <c r="AL36" s="66" t="n">
        <f aca="false">-AL15*Inputs!$E$32*Inputs!$E$13*1*(1+Inputs!$E$34)^(AL$5-1)</f>
        <v>-4544.8956</v>
      </c>
      <c r="AM36" s="66" t="n">
        <f aca="false">-AM15*Inputs!$E$32*Inputs!$E$13*1*(1+Inputs!$E$34)^(AM$5-1)</f>
        <v>-4681.242468</v>
      </c>
      <c r="AN36" s="66" t="n">
        <f aca="false">-AN15*Inputs!$E$32*Inputs!$E$13*1*(1+Inputs!$E$34)^(AN$5-1)</f>
        <v>-4681.242468</v>
      </c>
      <c r="AO36" s="66" t="n">
        <f aca="false">-AO15*Inputs!$E$32*Inputs!$E$13*1*(1+Inputs!$E$34)^(AO$5-1)</f>
        <v>-4681.242468</v>
      </c>
      <c r="AP36" s="66" t="n">
        <f aca="false">-AP15*Inputs!$E$32*Inputs!$E$13*1*(1+Inputs!$E$34)^(AP$5-1)</f>
        <v>-4681.242468</v>
      </c>
      <c r="AQ36" s="66" t="n">
        <f aca="false">-AQ15*Inputs!$E$32*Inputs!$E$13*1*(1+Inputs!$E$34)^(AQ$5-1)</f>
        <v>-4681.242468</v>
      </c>
      <c r="AR36" s="66" t="n">
        <f aca="false">-AR15*Inputs!$E$32*Inputs!$E$13*1*(1+Inputs!$E$34)^(AR$5-1)</f>
        <v>-4681.242468</v>
      </c>
      <c r="AS36" s="66" t="n">
        <f aca="false">-AS15*Inputs!$E$32*Inputs!$E$13*1*(1+Inputs!$E$34)^(AS$5-1)</f>
        <v>-4681.242468</v>
      </c>
      <c r="AT36" s="66" t="n">
        <f aca="false">-AT15*Inputs!$E$32*Inputs!$E$13*1*(1+Inputs!$E$34)^(AT$5-1)</f>
        <v>-4681.242468</v>
      </c>
      <c r="AU36" s="66" t="n">
        <f aca="false">-AU15*Inputs!$E$32*Inputs!$E$13*1*(1+Inputs!$E$34)^(AU$5-1)</f>
        <v>-4681.242468</v>
      </c>
      <c r="AV36" s="66" t="n">
        <f aca="false">-AV15*Inputs!$E$32*Inputs!$E$13*1*(1+Inputs!$E$34)^(AV$5-1)</f>
        <v>-4681.242468</v>
      </c>
      <c r="AW36" s="66" t="n">
        <f aca="false">-AW15*Inputs!$E$32*Inputs!$E$13*1*(1+Inputs!$E$34)^(AW$5-1)</f>
        <v>-4681.242468</v>
      </c>
      <c r="AX36" s="66" t="n">
        <f aca="false">-AX15*Inputs!$E$32*Inputs!$E$13*1*(1+Inputs!$E$34)^(AX$5-1)</f>
        <v>-4681.242468</v>
      </c>
      <c r="AY36" s="66" t="n">
        <f aca="false">-AY15*Inputs!$E$32*Inputs!$E$13*1*(1+Inputs!$E$34)^(AY$5-1)</f>
        <v>-4821.67974204</v>
      </c>
      <c r="AZ36" s="66" t="n">
        <f aca="false">-AZ15*Inputs!$E$32*Inputs!$E$13*1*(1+Inputs!$E$34)^(AZ$5-1)</f>
        <v>-4821.67974204</v>
      </c>
      <c r="BA36" s="66" t="n">
        <f aca="false">-BA15*Inputs!$E$32*Inputs!$E$13*1*(1+Inputs!$E$34)^(BA$5-1)</f>
        <v>-4821.67974204</v>
      </c>
      <c r="BB36" s="66" t="n">
        <f aca="false">-BB15*Inputs!$E$32*Inputs!$E$13*1*(1+Inputs!$E$34)^(BB$5-1)</f>
        <v>-4821.67974204</v>
      </c>
      <c r="BC36" s="66" t="n">
        <f aca="false">-BC15*Inputs!$E$32*Inputs!$E$13*1*(1+Inputs!$E$34)^(BC$5-1)</f>
        <v>-4821.67974204</v>
      </c>
      <c r="BD36" s="66" t="n">
        <f aca="false">-BD15*Inputs!$E$32*Inputs!$E$13*1*(1+Inputs!$E$34)^(BD$5-1)</f>
        <v>-4821.67974204</v>
      </c>
      <c r="BE36" s="66" t="n">
        <f aca="false">-BE15*Inputs!$E$32*Inputs!$E$13*1*(1+Inputs!$E$34)^(BE$5-1)</f>
        <v>-4821.67974204</v>
      </c>
      <c r="BF36" s="66" t="n">
        <f aca="false">-BF15*Inputs!$E$32*Inputs!$E$13*1*(1+Inputs!$E$34)^(BF$5-1)</f>
        <v>-4821.67974204</v>
      </c>
      <c r="BG36" s="66" t="n">
        <f aca="false">-BG15*Inputs!$E$32*Inputs!$E$13*1*(1+Inputs!$E$34)^(BG$5-1)</f>
        <v>-4821.67974204</v>
      </c>
      <c r="BH36" s="66" t="n">
        <f aca="false">-BH15*Inputs!$E$32*Inputs!$E$13*1*(1+Inputs!$E$34)^(BH$5-1)</f>
        <v>-4821.67974204</v>
      </c>
      <c r="BI36" s="66" t="n">
        <f aca="false">-BI15*Inputs!$E$32*Inputs!$E$13*1*(1+Inputs!$E$34)^(BI$5-1)</f>
        <v>-4821.67974204</v>
      </c>
      <c r="BJ36" s="66" t="n">
        <f aca="false">-BJ15*Inputs!$E$32*Inputs!$E$13*1*(1+Inputs!$E$34)^(BJ$5-1)</f>
        <v>-4821.67974204</v>
      </c>
    </row>
    <row r="37" customFormat="false" ht="15" hidden="false" customHeight="false" outlineLevel="0" collapsed="false">
      <c r="A37" s="6" t="s">
        <v>434</v>
      </c>
      <c r="C37" s="66" t="n">
        <f aca="false">-C15*Inputs!$E$33*1*(1+Inputs!$E$34)^(C$5-1)</f>
        <v>-360</v>
      </c>
      <c r="D37" s="66" t="n">
        <f aca="false">-D15*Inputs!$E$33*1*(1+Inputs!$E$34)^(D$5-1)</f>
        <v>-457.5</v>
      </c>
      <c r="E37" s="66" t="n">
        <f aca="false">-E15*Inputs!$E$33*1*(1+Inputs!$E$34)^(E$5-1)</f>
        <v>-555</v>
      </c>
      <c r="F37" s="66" t="n">
        <f aca="false">-F15*Inputs!$E$33*1*(1+Inputs!$E$34)^(F$5-1)</f>
        <v>-652.5</v>
      </c>
      <c r="G37" s="66" t="n">
        <f aca="false">-G15*Inputs!$E$33*1*(1+Inputs!$E$34)^(G$5-1)</f>
        <v>-750</v>
      </c>
      <c r="H37" s="66" t="n">
        <f aca="false">-H15*Inputs!$E$33*1*(1+Inputs!$E$34)^(H$5-1)</f>
        <v>-847.5</v>
      </c>
      <c r="I37" s="66" t="n">
        <f aca="false">-I15*Inputs!$E$33*1*(1+Inputs!$E$34)^(I$5-1)</f>
        <v>-945</v>
      </c>
      <c r="J37" s="66" t="n">
        <f aca="false">-J15*Inputs!$E$33*1*(1+Inputs!$E$34)^(J$5-1)</f>
        <v>-1042.5</v>
      </c>
      <c r="K37" s="66" t="n">
        <f aca="false">-K15*Inputs!$E$33*1*(1+Inputs!$E$34)^(K$5-1)</f>
        <v>-1140</v>
      </c>
      <c r="L37" s="66" t="n">
        <f aca="false">-L15*Inputs!$E$33*1*(1+Inputs!$E$34)^(L$5-1)</f>
        <v>-1237.5</v>
      </c>
      <c r="M37" s="66" t="n">
        <f aca="false">-M15*Inputs!$E$33*1*(1+Inputs!$E$34)^(M$5-1)</f>
        <v>-1335</v>
      </c>
      <c r="N37" s="66" t="n">
        <f aca="false">-N15*Inputs!$E$33*1*(1+Inputs!$E$34)^(N$5-1)</f>
        <v>-1432.5</v>
      </c>
      <c r="O37" s="66" t="n">
        <f aca="false">-O15*Inputs!$E$33*1*(1+Inputs!$E$34)^(O$5-1)</f>
        <v>-1575.9</v>
      </c>
      <c r="P37" s="66" t="n">
        <f aca="false">-P15*Inputs!$E$33*1*(1+Inputs!$E$34)^(P$5-1)</f>
        <v>-1575.9</v>
      </c>
      <c r="Q37" s="66" t="n">
        <f aca="false">-Q15*Inputs!$E$33*1*(1+Inputs!$E$34)^(Q$5-1)</f>
        <v>-1575.9</v>
      </c>
      <c r="R37" s="66" t="n">
        <f aca="false">-R15*Inputs!$E$33*1*(1+Inputs!$E$34)^(R$5-1)</f>
        <v>-1575.9</v>
      </c>
      <c r="S37" s="66" t="n">
        <f aca="false">-S15*Inputs!$E$33*1*(1+Inputs!$E$34)^(S$5-1)</f>
        <v>-1575.9</v>
      </c>
      <c r="T37" s="66" t="n">
        <f aca="false">-T15*Inputs!$E$33*1*(1+Inputs!$E$34)^(T$5-1)</f>
        <v>-1575.9</v>
      </c>
      <c r="U37" s="66" t="n">
        <f aca="false">-U15*Inputs!$E$33*1*(1+Inputs!$E$34)^(U$5-1)</f>
        <v>-1575.9</v>
      </c>
      <c r="V37" s="66" t="n">
        <f aca="false">-V15*Inputs!$E$33*1*(1+Inputs!$E$34)^(V$5-1)</f>
        <v>-1575.9</v>
      </c>
      <c r="W37" s="66" t="n">
        <f aca="false">-W15*Inputs!$E$33*1*(1+Inputs!$E$34)^(W$5-1)</f>
        <v>-1575.9</v>
      </c>
      <c r="X37" s="66" t="n">
        <f aca="false">-X15*Inputs!$E$33*1*(1+Inputs!$E$34)^(X$5-1)</f>
        <v>-1575.9</v>
      </c>
      <c r="Y37" s="66" t="n">
        <f aca="false">-Y15*Inputs!$E$33*1*(1+Inputs!$E$34)^(Y$5-1)</f>
        <v>-1575.9</v>
      </c>
      <c r="Z37" s="66" t="n">
        <f aca="false">-Z15*Inputs!$E$33*1*(1+Inputs!$E$34)^(Z$5-1)</f>
        <v>-1575.9</v>
      </c>
      <c r="AA37" s="66" t="n">
        <f aca="false">-AA15*Inputs!$E$33*1*(1+Inputs!$E$34)^(AA$5-1)</f>
        <v>-1623.177</v>
      </c>
      <c r="AB37" s="66" t="n">
        <f aca="false">-AB15*Inputs!$E$33*1*(1+Inputs!$E$34)^(AB$5-1)</f>
        <v>-1623.177</v>
      </c>
      <c r="AC37" s="66" t="n">
        <f aca="false">-AC15*Inputs!$E$33*1*(1+Inputs!$E$34)^(AC$5-1)</f>
        <v>-1623.177</v>
      </c>
      <c r="AD37" s="66" t="n">
        <f aca="false">-AD15*Inputs!$E$33*1*(1+Inputs!$E$34)^(AD$5-1)</f>
        <v>-1623.177</v>
      </c>
      <c r="AE37" s="66" t="n">
        <f aca="false">-AE15*Inputs!$E$33*1*(1+Inputs!$E$34)^(AE$5-1)</f>
        <v>-1623.177</v>
      </c>
      <c r="AF37" s="66" t="n">
        <f aca="false">-AF15*Inputs!$E$33*1*(1+Inputs!$E$34)^(AF$5-1)</f>
        <v>-1623.177</v>
      </c>
      <c r="AG37" s="66" t="n">
        <f aca="false">-AG15*Inputs!$E$33*1*(1+Inputs!$E$34)^(AG$5-1)</f>
        <v>-1623.177</v>
      </c>
      <c r="AH37" s="66" t="n">
        <f aca="false">-AH15*Inputs!$E$33*1*(1+Inputs!$E$34)^(AH$5-1)</f>
        <v>-1623.177</v>
      </c>
      <c r="AI37" s="66" t="n">
        <f aca="false">-AI15*Inputs!$E$33*1*(1+Inputs!$E$34)^(AI$5-1)</f>
        <v>-1623.177</v>
      </c>
      <c r="AJ37" s="66" t="n">
        <f aca="false">-AJ15*Inputs!$E$33*1*(1+Inputs!$E$34)^(AJ$5-1)</f>
        <v>-1623.177</v>
      </c>
      <c r="AK37" s="66" t="n">
        <f aca="false">-AK15*Inputs!$E$33*1*(1+Inputs!$E$34)^(AK$5-1)</f>
        <v>-1623.177</v>
      </c>
      <c r="AL37" s="66" t="n">
        <f aca="false">-AL15*Inputs!$E$33*1*(1+Inputs!$E$34)^(AL$5-1)</f>
        <v>-1623.177</v>
      </c>
      <c r="AM37" s="66" t="n">
        <f aca="false">-AM15*Inputs!$E$33*1*(1+Inputs!$E$34)^(AM$5-1)</f>
        <v>-1671.87231</v>
      </c>
      <c r="AN37" s="66" t="n">
        <f aca="false">-AN15*Inputs!$E$33*1*(1+Inputs!$E$34)^(AN$5-1)</f>
        <v>-1671.87231</v>
      </c>
      <c r="AO37" s="66" t="n">
        <f aca="false">-AO15*Inputs!$E$33*1*(1+Inputs!$E$34)^(AO$5-1)</f>
        <v>-1671.87231</v>
      </c>
      <c r="AP37" s="66" t="n">
        <f aca="false">-AP15*Inputs!$E$33*1*(1+Inputs!$E$34)^(AP$5-1)</f>
        <v>-1671.87231</v>
      </c>
      <c r="AQ37" s="66" t="n">
        <f aca="false">-AQ15*Inputs!$E$33*1*(1+Inputs!$E$34)^(AQ$5-1)</f>
        <v>-1671.87231</v>
      </c>
      <c r="AR37" s="66" t="n">
        <f aca="false">-AR15*Inputs!$E$33*1*(1+Inputs!$E$34)^(AR$5-1)</f>
        <v>-1671.87231</v>
      </c>
      <c r="AS37" s="66" t="n">
        <f aca="false">-AS15*Inputs!$E$33*1*(1+Inputs!$E$34)^(AS$5-1)</f>
        <v>-1671.87231</v>
      </c>
      <c r="AT37" s="66" t="n">
        <f aca="false">-AT15*Inputs!$E$33*1*(1+Inputs!$E$34)^(AT$5-1)</f>
        <v>-1671.87231</v>
      </c>
      <c r="AU37" s="66" t="n">
        <f aca="false">-AU15*Inputs!$E$33*1*(1+Inputs!$E$34)^(AU$5-1)</f>
        <v>-1671.87231</v>
      </c>
      <c r="AV37" s="66" t="n">
        <f aca="false">-AV15*Inputs!$E$33*1*(1+Inputs!$E$34)^(AV$5-1)</f>
        <v>-1671.87231</v>
      </c>
      <c r="AW37" s="66" t="n">
        <f aca="false">-AW15*Inputs!$E$33*1*(1+Inputs!$E$34)^(AW$5-1)</f>
        <v>-1671.87231</v>
      </c>
      <c r="AX37" s="66" t="n">
        <f aca="false">-AX15*Inputs!$E$33*1*(1+Inputs!$E$34)^(AX$5-1)</f>
        <v>-1671.87231</v>
      </c>
      <c r="AY37" s="66" t="n">
        <f aca="false">-AY15*Inputs!$E$33*1*(1+Inputs!$E$34)^(AY$5-1)</f>
        <v>-1722.0284793</v>
      </c>
      <c r="AZ37" s="66" t="n">
        <f aca="false">-AZ15*Inputs!$E$33*1*(1+Inputs!$E$34)^(AZ$5-1)</f>
        <v>-1722.0284793</v>
      </c>
      <c r="BA37" s="66" t="n">
        <f aca="false">-BA15*Inputs!$E$33*1*(1+Inputs!$E$34)^(BA$5-1)</f>
        <v>-1722.0284793</v>
      </c>
      <c r="BB37" s="66" t="n">
        <f aca="false">-BB15*Inputs!$E$33*1*(1+Inputs!$E$34)^(BB$5-1)</f>
        <v>-1722.0284793</v>
      </c>
      <c r="BC37" s="66" t="n">
        <f aca="false">-BC15*Inputs!$E$33*1*(1+Inputs!$E$34)^(BC$5-1)</f>
        <v>-1722.0284793</v>
      </c>
      <c r="BD37" s="66" t="n">
        <f aca="false">-BD15*Inputs!$E$33*1*(1+Inputs!$E$34)^(BD$5-1)</f>
        <v>-1722.0284793</v>
      </c>
      <c r="BE37" s="66" t="n">
        <f aca="false">-BE15*Inputs!$E$33*1*(1+Inputs!$E$34)^(BE$5-1)</f>
        <v>-1722.0284793</v>
      </c>
      <c r="BF37" s="66" t="n">
        <f aca="false">-BF15*Inputs!$E$33*1*(1+Inputs!$E$34)^(BF$5-1)</f>
        <v>-1722.0284793</v>
      </c>
      <c r="BG37" s="66" t="n">
        <f aca="false">-BG15*Inputs!$E$33*1*(1+Inputs!$E$34)^(BG$5-1)</f>
        <v>-1722.0284793</v>
      </c>
      <c r="BH37" s="66" t="n">
        <f aca="false">-BH15*Inputs!$E$33*1*(1+Inputs!$E$34)^(BH$5-1)</f>
        <v>-1722.0284793</v>
      </c>
      <c r="BI37" s="66" t="n">
        <f aca="false">-BI15*Inputs!$E$33*1*(1+Inputs!$E$34)^(BI$5-1)</f>
        <v>-1722.0284793</v>
      </c>
      <c r="BJ37" s="66" t="n">
        <f aca="false">-BJ15*Inputs!$E$33*1*(1+Inputs!$E$34)^(BJ$5-1)</f>
        <v>-1722.0284793</v>
      </c>
    </row>
    <row r="38" customFormat="false" ht="15" hidden="false" customHeight="false" outlineLevel="0" collapsed="false">
      <c r="A38" s="4" t="s">
        <v>75</v>
      </c>
      <c r="C38" s="72" t="n">
        <f aca="false">C35+C36+C37</f>
        <v>-9208</v>
      </c>
      <c r="D38" s="72" t="n">
        <f aca="false">D35+D36+D37</f>
        <v>-9578.5</v>
      </c>
      <c r="E38" s="72" t="n">
        <f aca="false">E35+E36+E37</f>
        <v>-17789</v>
      </c>
      <c r="F38" s="72" t="n">
        <f aca="false">F35+F36+F37</f>
        <v>-18159.5</v>
      </c>
      <c r="G38" s="72" t="n">
        <f aca="false">G35+G36+G37</f>
        <v>-18530</v>
      </c>
      <c r="H38" s="72" t="n">
        <f aca="false">H35+H36+H37</f>
        <v>-18900.5</v>
      </c>
      <c r="I38" s="72" t="n">
        <f aca="false">I35+I36+I37</f>
        <v>-19271</v>
      </c>
      <c r="J38" s="72" t="n">
        <f aca="false">J35+J36+J37</f>
        <v>-23561.5</v>
      </c>
      <c r="K38" s="72" t="n">
        <f aca="false">K35+K36+K37</f>
        <v>-27852</v>
      </c>
      <c r="L38" s="72" t="n">
        <f aca="false">L35+L36+L37</f>
        <v>-28222.5</v>
      </c>
      <c r="M38" s="72" t="n">
        <f aca="false">M35+M36+M37</f>
        <v>-28593</v>
      </c>
      <c r="N38" s="72" t="n">
        <f aca="false">N35+N36+N37</f>
        <v>-28963.5</v>
      </c>
      <c r="O38" s="72" t="n">
        <f aca="false">O35+O36+O37</f>
        <v>-30214.02</v>
      </c>
      <c r="P38" s="72" t="n">
        <f aca="false">P35+P36+P37</f>
        <v>-30214.02</v>
      </c>
      <c r="Q38" s="72" t="n">
        <f aca="false">Q35+Q36+Q37</f>
        <v>-30214.02</v>
      </c>
      <c r="R38" s="72" t="n">
        <f aca="false">R35+R36+R37</f>
        <v>-30214.02</v>
      </c>
      <c r="S38" s="72" t="n">
        <f aca="false">S35+S36+S37</f>
        <v>-30214.02</v>
      </c>
      <c r="T38" s="72" t="n">
        <f aca="false">T35+T36+T37</f>
        <v>-30214.02</v>
      </c>
      <c r="U38" s="72" t="n">
        <f aca="false">U35+U36+U37</f>
        <v>-30214.02</v>
      </c>
      <c r="V38" s="72" t="n">
        <f aca="false">V35+V36+V37</f>
        <v>-30214.02</v>
      </c>
      <c r="W38" s="72" t="n">
        <f aca="false">W35+W36+W37</f>
        <v>-30214.02</v>
      </c>
      <c r="X38" s="72" t="n">
        <f aca="false">X35+X36+X37</f>
        <v>-30214.02</v>
      </c>
      <c r="Y38" s="72" t="n">
        <f aca="false">Y35+Y36+Y37</f>
        <v>-30214.02</v>
      </c>
      <c r="Z38" s="72" t="n">
        <f aca="false">Z35+Z36+Z37</f>
        <v>-30214.02</v>
      </c>
      <c r="AA38" s="72" t="n">
        <f aca="false">AA35+AA36+AA37</f>
        <v>-31120.4406</v>
      </c>
      <c r="AB38" s="72" t="n">
        <f aca="false">AB35+AB36+AB37</f>
        <v>-31120.4406</v>
      </c>
      <c r="AC38" s="72" t="n">
        <f aca="false">AC35+AC36+AC37</f>
        <v>-31120.4406</v>
      </c>
      <c r="AD38" s="72" t="n">
        <f aca="false">AD35+AD36+AD37</f>
        <v>-31120.4406</v>
      </c>
      <c r="AE38" s="72" t="n">
        <f aca="false">AE35+AE36+AE37</f>
        <v>-31120.4406</v>
      </c>
      <c r="AF38" s="72" t="n">
        <f aca="false">AF35+AF36+AF37</f>
        <v>-31120.4406</v>
      </c>
      <c r="AG38" s="72" t="n">
        <f aca="false">AG35+AG36+AG37</f>
        <v>-31120.4406</v>
      </c>
      <c r="AH38" s="72" t="n">
        <f aca="false">AH35+AH36+AH37</f>
        <v>-31120.4406</v>
      </c>
      <c r="AI38" s="72" t="n">
        <f aca="false">AI35+AI36+AI37</f>
        <v>-31120.4406</v>
      </c>
      <c r="AJ38" s="72" t="n">
        <f aca="false">AJ35+AJ36+AJ37</f>
        <v>-31120.4406</v>
      </c>
      <c r="AK38" s="72" t="n">
        <f aca="false">AK35+AK36+AK37</f>
        <v>-31120.4406</v>
      </c>
      <c r="AL38" s="72" t="n">
        <f aca="false">AL35+AL36+AL37</f>
        <v>-31120.4406</v>
      </c>
      <c r="AM38" s="72" t="n">
        <f aca="false">AM35+AM36+AM37</f>
        <v>-32054.053818</v>
      </c>
      <c r="AN38" s="72" t="n">
        <f aca="false">AN35+AN36+AN37</f>
        <v>-32054.053818</v>
      </c>
      <c r="AO38" s="72" t="n">
        <f aca="false">AO35+AO36+AO37</f>
        <v>-32054.053818</v>
      </c>
      <c r="AP38" s="72" t="n">
        <f aca="false">AP35+AP36+AP37</f>
        <v>-32054.053818</v>
      </c>
      <c r="AQ38" s="72" t="n">
        <f aca="false">AQ35+AQ36+AQ37</f>
        <v>-32054.053818</v>
      </c>
      <c r="AR38" s="72" t="n">
        <f aca="false">AR35+AR36+AR37</f>
        <v>-32054.053818</v>
      </c>
      <c r="AS38" s="72" t="n">
        <f aca="false">AS35+AS36+AS37</f>
        <v>-32054.053818</v>
      </c>
      <c r="AT38" s="72" t="n">
        <f aca="false">AT35+AT36+AT37</f>
        <v>-32054.053818</v>
      </c>
      <c r="AU38" s="72" t="n">
        <f aca="false">AU35+AU36+AU37</f>
        <v>-32054.053818</v>
      </c>
      <c r="AV38" s="72" t="n">
        <f aca="false">AV35+AV36+AV37</f>
        <v>-32054.053818</v>
      </c>
      <c r="AW38" s="72" t="n">
        <f aca="false">AW35+AW36+AW37</f>
        <v>-32054.053818</v>
      </c>
      <c r="AX38" s="72" t="n">
        <f aca="false">AX35+AX36+AX37</f>
        <v>-32054.053818</v>
      </c>
      <c r="AY38" s="72" t="n">
        <f aca="false">AY35+AY36+AY37</f>
        <v>-33015.67543254</v>
      </c>
      <c r="AZ38" s="72" t="n">
        <f aca="false">AZ35+AZ36+AZ37</f>
        <v>-33015.67543254</v>
      </c>
      <c r="BA38" s="72" t="n">
        <f aca="false">BA35+BA36+BA37</f>
        <v>-33015.67543254</v>
      </c>
      <c r="BB38" s="72" t="n">
        <f aca="false">BB35+BB36+BB37</f>
        <v>-33015.67543254</v>
      </c>
      <c r="BC38" s="72" t="n">
        <f aca="false">BC35+BC36+BC37</f>
        <v>-33015.67543254</v>
      </c>
      <c r="BD38" s="72" t="n">
        <f aca="false">BD35+BD36+BD37</f>
        <v>-33015.67543254</v>
      </c>
      <c r="BE38" s="72" t="n">
        <f aca="false">BE35+BE36+BE37</f>
        <v>-33015.67543254</v>
      </c>
      <c r="BF38" s="72" t="n">
        <f aca="false">BF35+BF36+BF37</f>
        <v>-33015.67543254</v>
      </c>
      <c r="BG38" s="72" t="n">
        <f aca="false">BG35+BG36+BG37</f>
        <v>-33015.67543254</v>
      </c>
      <c r="BH38" s="72" t="n">
        <f aca="false">BH35+BH36+BH37</f>
        <v>-33015.67543254</v>
      </c>
      <c r="BI38" s="72" t="n">
        <f aca="false">BI35+BI36+BI37</f>
        <v>-33015.67543254</v>
      </c>
      <c r="BJ38" s="72" t="n">
        <f aca="false">BJ35+BJ36+BJ37</f>
        <v>-33015.67543254</v>
      </c>
    </row>
    <row r="39" customFormat="false" ht="15" hidden="false" customHeight="false" outlineLevel="0" collapsed="false">
      <c r="A39" s="110" t="s">
        <v>45</v>
      </c>
      <c r="C39" s="67" t="n">
        <f aca="false">C32+C38</f>
        <v>6401</v>
      </c>
      <c r="D39" s="67" t="n">
        <f aca="false">D32+D38</f>
        <v>8457.9375</v>
      </c>
      <c r="E39" s="67" t="n">
        <f aca="false">E32+E38</f>
        <v>3987.375</v>
      </c>
      <c r="F39" s="67" t="n">
        <f aca="false">F32+F38</f>
        <v>7356.8125</v>
      </c>
      <c r="G39" s="67" t="n">
        <f aca="false">G32+G38</f>
        <v>10726.25</v>
      </c>
      <c r="H39" s="67" t="n">
        <f aca="false">H32+H38</f>
        <v>14095.6875</v>
      </c>
      <c r="I39" s="67" t="n">
        <f aca="false">I32+I38</f>
        <v>17465.125</v>
      </c>
      <c r="J39" s="67" t="n">
        <f aca="false">J32+J38</f>
        <v>16914.5625</v>
      </c>
      <c r="K39" s="67" t="n">
        <f aca="false">K32+K38</f>
        <v>16364</v>
      </c>
      <c r="L39" s="67" t="n">
        <f aca="false">L32+L38</f>
        <v>19733.4375</v>
      </c>
      <c r="M39" s="67" t="n">
        <f aca="false">M32+M38</f>
        <v>23102.875</v>
      </c>
      <c r="N39" s="67" t="n">
        <f aca="false">N32+N38</f>
        <v>26472.3125</v>
      </c>
      <c r="O39" s="67" t="n">
        <f aca="false">O32+O38</f>
        <v>30737.0025</v>
      </c>
      <c r="P39" s="67" t="n">
        <f aca="false">P32+P38</f>
        <v>30234.8775</v>
      </c>
      <c r="Q39" s="67" t="n">
        <f aca="false">Q32+Q38</f>
        <v>30234.8775</v>
      </c>
      <c r="R39" s="67" t="n">
        <f aca="false">R32+R38</f>
        <v>30234.8775</v>
      </c>
      <c r="S39" s="67" t="n">
        <f aca="false">S32+S38</f>
        <v>30234.8775</v>
      </c>
      <c r="T39" s="67" t="n">
        <f aca="false">T32+T38</f>
        <v>30234.8775</v>
      </c>
      <c r="U39" s="67" t="n">
        <f aca="false">U32+U38</f>
        <v>30234.8775</v>
      </c>
      <c r="V39" s="67" t="n">
        <f aca="false">V32+V38</f>
        <v>30234.8775</v>
      </c>
      <c r="W39" s="67" t="n">
        <f aca="false">W32+W38</f>
        <v>30234.8775</v>
      </c>
      <c r="X39" s="67" t="n">
        <f aca="false">X32+X38</f>
        <v>30234.8775</v>
      </c>
      <c r="Y39" s="67" t="n">
        <f aca="false">Y32+Y38</f>
        <v>30234.8775</v>
      </c>
      <c r="Z39" s="67" t="n">
        <f aca="false">Z32+Z38</f>
        <v>30234.8775</v>
      </c>
      <c r="AA39" s="67" t="n">
        <f aca="false">AA32+AA38</f>
        <v>31141.923825</v>
      </c>
      <c r="AB39" s="67" t="n">
        <f aca="false">AB32+AB38</f>
        <v>31141.923825</v>
      </c>
      <c r="AC39" s="67" t="n">
        <f aca="false">AC32+AC38</f>
        <v>31141.923825</v>
      </c>
      <c r="AD39" s="67" t="n">
        <f aca="false">AD32+AD38</f>
        <v>31141.923825</v>
      </c>
      <c r="AE39" s="67" t="n">
        <f aca="false">AE32+AE38</f>
        <v>31141.923825</v>
      </c>
      <c r="AF39" s="67" t="n">
        <f aca="false">AF32+AF38</f>
        <v>31141.923825</v>
      </c>
      <c r="AG39" s="67" t="n">
        <f aca="false">AG32+AG38</f>
        <v>31141.923825</v>
      </c>
      <c r="AH39" s="67" t="n">
        <f aca="false">AH32+AH38</f>
        <v>31141.923825</v>
      </c>
      <c r="AI39" s="67" t="n">
        <f aca="false">AI32+AI38</f>
        <v>31141.923825</v>
      </c>
      <c r="AJ39" s="67" t="n">
        <f aca="false">AJ32+AJ38</f>
        <v>31141.923825</v>
      </c>
      <c r="AK39" s="67" t="n">
        <f aca="false">AK32+AK38</f>
        <v>31141.923825</v>
      </c>
      <c r="AL39" s="67" t="n">
        <f aca="false">AL32+AL38</f>
        <v>31141.923825</v>
      </c>
      <c r="AM39" s="67" t="n">
        <f aca="false">AM32+AM38</f>
        <v>32076.18153975</v>
      </c>
      <c r="AN39" s="67" t="n">
        <f aca="false">AN32+AN38</f>
        <v>32076.18153975</v>
      </c>
      <c r="AO39" s="67" t="n">
        <f aca="false">AO32+AO38</f>
        <v>32076.18153975</v>
      </c>
      <c r="AP39" s="67" t="n">
        <f aca="false">AP32+AP38</f>
        <v>32076.18153975</v>
      </c>
      <c r="AQ39" s="67" t="n">
        <f aca="false">AQ32+AQ38</f>
        <v>32076.18153975</v>
      </c>
      <c r="AR39" s="67" t="n">
        <f aca="false">AR32+AR38</f>
        <v>32076.18153975</v>
      </c>
      <c r="AS39" s="67" t="n">
        <f aca="false">AS32+AS38</f>
        <v>32076.18153975</v>
      </c>
      <c r="AT39" s="67" t="n">
        <f aca="false">AT32+AT38</f>
        <v>32076.18153975</v>
      </c>
      <c r="AU39" s="67" t="n">
        <f aca="false">AU32+AU38</f>
        <v>32076.18153975</v>
      </c>
      <c r="AV39" s="67" t="n">
        <f aca="false">AV32+AV38</f>
        <v>32076.18153975</v>
      </c>
      <c r="AW39" s="67" t="n">
        <f aca="false">AW32+AW38</f>
        <v>32076.18153975</v>
      </c>
      <c r="AX39" s="67" t="n">
        <f aca="false">AX32+AX38</f>
        <v>32076.18153975</v>
      </c>
      <c r="AY39" s="67" t="n">
        <f aca="false">AY32+AY38</f>
        <v>33038.4669859425</v>
      </c>
      <c r="AZ39" s="67" t="n">
        <f aca="false">AZ32+AZ38</f>
        <v>33038.4669859425</v>
      </c>
      <c r="BA39" s="67" t="n">
        <f aca="false">BA32+BA38</f>
        <v>33038.4669859425</v>
      </c>
      <c r="BB39" s="67" t="n">
        <f aca="false">BB32+BB38</f>
        <v>33038.4669859425</v>
      </c>
      <c r="BC39" s="67" t="n">
        <f aca="false">BC32+BC38</f>
        <v>33038.4669859425</v>
      </c>
      <c r="BD39" s="67" t="n">
        <f aca="false">BD32+BD38</f>
        <v>33038.4669859425</v>
      </c>
      <c r="BE39" s="67" t="n">
        <f aca="false">BE32+BE38</f>
        <v>33038.4669859425</v>
      </c>
      <c r="BF39" s="67" t="n">
        <f aca="false">BF32+BF38</f>
        <v>33038.4669859425</v>
      </c>
      <c r="BG39" s="67" t="n">
        <f aca="false">BG32+BG38</f>
        <v>33038.4669859425</v>
      </c>
      <c r="BH39" s="67" t="n">
        <f aca="false">BH32+BH38</f>
        <v>33038.4669859425</v>
      </c>
      <c r="BI39" s="67" t="n">
        <f aca="false">BI32+BI38</f>
        <v>33038.4669859425</v>
      </c>
      <c r="BJ39" s="67" t="n">
        <f aca="false">BJ32+BJ38</f>
        <v>33038.4669859425</v>
      </c>
    </row>
    <row r="41" customFormat="false" ht="15.75" hidden="false" customHeight="true" outlineLevel="0" collapsed="false">
      <c r="A41" s="7" t="s">
        <v>47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6" t="s">
        <v>338</v>
      </c>
      <c r="C42" s="68" t="n">
        <f aca="false">Headcount!C17</f>
        <v>-9146.66666666667</v>
      </c>
      <c r="D42" s="68" t="n">
        <f aca="false">Headcount!D17</f>
        <v>-9146.66666666667</v>
      </c>
      <c r="E42" s="68" t="n">
        <f aca="false">Headcount!E17</f>
        <v>-9146.66666666667</v>
      </c>
      <c r="F42" s="68" t="n">
        <f aca="false">Headcount!F17</f>
        <v>-9146.66666666667</v>
      </c>
      <c r="G42" s="68" t="n">
        <f aca="false">Headcount!G17</f>
        <v>-9146.66666666667</v>
      </c>
      <c r="H42" s="68" t="n">
        <f aca="false">Headcount!H17</f>
        <v>-9146.66666666667</v>
      </c>
      <c r="I42" s="68" t="n">
        <f aca="false">Headcount!I17</f>
        <v>-9146.66666666667</v>
      </c>
      <c r="J42" s="68" t="n">
        <f aca="false">Headcount!J17</f>
        <v>-9146.66666666667</v>
      </c>
      <c r="K42" s="68" t="n">
        <f aca="false">Headcount!K17</f>
        <v>-9146.66666666667</v>
      </c>
      <c r="L42" s="68" t="n">
        <f aca="false">Headcount!L17</f>
        <v>-9146.66666666667</v>
      </c>
      <c r="M42" s="68" t="n">
        <f aca="false">Headcount!M17</f>
        <v>-9146.66666666667</v>
      </c>
      <c r="N42" s="68" t="n">
        <f aca="false">Headcount!N17</f>
        <v>-9146.66666666667</v>
      </c>
      <c r="O42" s="68" t="n">
        <f aca="false">Headcount!O17</f>
        <v>-9421.06666666667</v>
      </c>
      <c r="P42" s="68" t="n">
        <f aca="false">Headcount!P17</f>
        <v>-9421.06666666667</v>
      </c>
      <c r="Q42" s="68" t="n">
        <f aca="false">Headcount!Q17</f>
        <v>-9421.06666666667</v>
      </c>
      <c r="R42" s="68" t="n">
        <f aca="false">Headcount!R17</f>
        <v>-9421.06666666667</v>
      </c>
      <c r="S42" s="68" t="n">
        <f aca="false">Headcount!S17</f>
        <v>-9421.06666666667</v>
      </c>
      <c r="T42" s="68" t="n">
        <f aca="false">Headcount!T17</f>
        <v>-9421.06666666667</v>
      </c>
      <c r="U42" s="68" t="n">
        <f aca="false">Headcount!U17</f>
        <v>-9421.06666666667</v>
      </c>
      <c r="V42" s="68" t="n">
        <f aca="false">Headcount!V17</f>
        <v>-9421.06666666667</v>
      </c>
      <c r="W42" s="68" t="n">
        <f aca="false">Headcount!W17</f>
        <v>-9421.06666666667</v>
      </c>
      <c r="X42" s="68" t="n">
        <f aca="false">Headcount!X17</f>
        <v>-9421.06666666667</v>
      </c>
      <c r="Y42" s="68" t="n">
        <f aca="false">Headcount!Y17</f>
        <v>-9421.06666666667</v>
      </c>
      <c r="Z42" s="68" t="n">
        <f aca="false">Headcount!Z17</f>
        <v>-9421.06666666667</v>
      </c>
      <c r="AA42" s="68" t="n">
        <f aca="false">Headcount!AA17</f>
        <v>-9703.69866666667</v>
      </c>
      <c r="AB42" s="68" t="n">
        <f aca="false">Headcount!AB17</f>
        <v>-9703.69866666667</v>
      </c>
      <c r="AC42" s="68" t="n">
        <f aca="false">Headcount!AC17</f>
        <v>-9703.69866666667</v>
      </c>
      <c r="AD42" s="68" t="n">
        <f aca="false">Headcount!AD17</f>
        <v>-9703.69866666667</v>
      </c>
      <c r="AE42" s="68" t="n">
        <f aca="false">Headcount!AE17</f>
        <v>-9703.69866666667</v>
      </c>
      <c r="AF42" s="68" t="n">
        <f aca="false">Headcount!AF17</f>
        <v>-9703.69866666667</v>
      </c>
      <c r="AG42" s="68" t="n">
        <f aca="false">Headcount!AG17</f>
        <v>-9703.69866666667</v>
      </c>
      <c r="AH42" s="68" t="n">
        <f aca="false">Headcount!AH17</f>
        <v>-9703.69866666667</v>
      </c>
      <c r="AI42" s="68" t="n">
        <f aca="false">Headcount!AI17</f>
        <v>-9703.69866666667</v>
      </c>
      <c r="AJ42" s="68" t="n">
        <f aca="false">Headcount!AJ17</f>
        <v>-9703.69866666667</v>
      </c>
      <c r="AK42" s="68" t="n">
        <f aca="false">Headcount!AK17</f>
        <v>-9703.69866666667</v>
      </c>
      <c r="AL42" s="68" t="n">
        <f aca="false">Headcount!AL17</f>
        <v>-9703.69866666667</v>
      </c>
      <c r="AM42" s="68" t="n">
        <f aca="false">Headcount!AM17</f>
        <v>-9994.80962666667</v>
      </c>
      <c r="AN42" s="68" t="n">
        <f aca="false">Headcount!AN17</f>
        <v>-9994.80962666667</v>
      </c>
      <c r="AO42" s="68" t="n">
        <f aca="false">Headcount!AO17</f>
        <v>-9994.80962666667</v>
      </c>
      <c r="AP42" s="68" t="n">
        <f aca="false">Headcount!AP17</f>
        <v>-9994.80962666667</v>
      </c>
      <c r="AQ42" s="68" t="n">
        <f aca="false">Headcount!AQ17</f>
        <v>-9994.80962666667</v>
      </c>
      <c r="AR42" s="68" t="n">
        <f aca="false">Headcount!AR17</f>
        <v>-9994.80962666667</v>
      </c>
      <c r="AS42" s="68" t="n">
        <f aca="false">Headcount!AS17</f>
        <v>-9994.80962666667</v>
      </c>
      <c r="AT42" s="68" t="n">
        <f aca="false">Headcount!AT17</f>
        <v>-9994.80962666667</v>
      </c>
      <c r="AU42" s="68" t="n">
        <f aca="false">Headcount!AU17</f>
        <v>-9994.80962666667</v>
      </c>
      <c r="AV42" s="68" t="n">
        <f aca="false">Headcount!AV17</f>
        <v>-9994.80962666667</v>
      </c>
      <c r="AW42" s="68" t="n">
        <f aca="false">Headcount!AW17</f>
        <v>-9994.80962666667</v>
      </c>
      <c r="AX42" s="68" t="n">
        <f aca="false">Headcount!AX17</f>
        <v>-9994.80962666667</v>
      </c>
      <c r="AY42" s="68" t="n">
        <f aca="false">Headcount!AY17</f>
        <v>-10294.6539154667</v>
      </c>
      <c r="AZ42" s="68" t="n">
        <f aca="false">Headcount!AZ17</f>
        <v>-10294.6539154667</v>
      </c>
      <c r="BA42" s="68" t="n">
        <f aca="false">Headcount!BA17</f>
        <v>-10294.6539154667</v>
      </c>
      <c r="BB42" s="68" t="n">
        <f aca="false">Headcount!BB17</f>
        <v>-10294.6539154667</v>
      </c>
      <c r="BC42" s="68" t="n">
        <f aca="false">Headcount!BC17</f>
        <v>-10294.6539154667</v>
      </c>
      <c r="BD42" s="68" t="n">
        <f aca="false">Headcount!BD17</f>
        <v>-10294.6539154667</v>
      </c>
      <c r="BE42" s="68" t="n">
        <f aca="false">Headcount!BE17</f>
        <v>-10294.6539154667</v>
      </c>
      <c r="BF42" s="68" t="n">
        <f aca="false">Headcount!BF17</f>
        <v>-10294.6539154667</v>
      </c>
      <c r="BG42" s="68" t="n">
        <f aca="false">Headcount!BG17</f>
        <v>-10294.6539154667</v>
      </c>
      <c r="BH42" s="68" t="n">
        <f aca="false">Headcount!BH17</f>
        <v>-10294.6539154667</v>
      </c>
      <c r="BI42" s="68" t="n">
        <f aca="false">Headcount!BI17</f>
        <v>-10294.6539154667</v>
      </c>
      <c r="BJ42" s="68" t="n">
        <f aca="false">Headcount!BJ17</f>
        <v>-10294.6539154667</v>
      </c>
    </row>
    <row r="43" customFormat="false" ht="15" hidden="false" customHeight="false" outlineLevel="0" collapsed="false">
      <c r="A43" s="6" t="s">
        <v>339</v>
      </c>
      <c r="C43" s="66" t="n">
        <f aca="false">-C8*Inputs!$E$37*Inputs!$E$38/12*(1+Inputs!$E$39)^(C$5-1)*1</f>
        <v>-6000</v>
      </c>
      <c r="D43" s="66" t="n">
        <f aca="false">-D8*Inputs!$E$37*Inputs!$E$38/12*(1+Inputs!$E$39)^(D$5-1)*1</f>
        <v>-6000</v>
      </c>
      <c r="E43" s="66" t="n">
        <f aca="false">-E8*Inputs!$E$37*Inputs!$E$38/12*(1+Inputs!$E$39)^(E$5-1)*1</f>
        <v>-6000</v>
      </c>
      <c r="F43" s="66" t="n">
        <f aca="false">-F8*Inputs!$E$37*Inputs!$E$38/12*(1+Inputs!$E$39)^(F$5-1)*1</f>
        <v>-6000</v>
      </c>
      <c r="G43" s="66" t="n">
        <f aca="false">-G8*Inputs!$E$37*Inputs!$E$38/12*(1+Inputs!$E$39)^(G$5-1)*1</f>
        <v>-6000</v>
      </c>
      <c r="H43" s="66" t="n">
        <f aca="false">-H8*Inputs!$E$37*Inputs!$E$38/12*(1+Inputs!$E$39)^(H$5-1)*1</f>
        <v>-6000</v>
      </c>
      <c r="I43" s="66" t="n">
        <f aca="false">-I8*Inputs!$E$37*Inputs!$E$38/12*(1+Inputs!$E$39)^(I$5-1)*1</f>
        <v>-6000</v>
      </c>
      <c r="J43" s="66" t="n">
        <f aca="false">-J8*Inputs!$E$37*Inputs!$E$38/12*(1+Inputs!$E$39)^(J$5-1)*1</f>
        <v>-6000</v>
      </c>
      <c r="K43" s="66" t="n">
        <f aca="false">-K8*Inputs!$E$37*Inputs!$E$38/12*(1+Inputs!$E$39)^(K$5-1)*1</f>
        <v>-6000</v>
      </c>
      <c r="L43" s="66" t="n">
        <f aca="false">-L8*Inputs!$E$37*Inputs!$E$38/12*(1+Inputs!$E$39)^(L$5-1)*1</f>
        <v>-6000</v>
      </c>
      <c r="M43" s="66" t="n">
        <f aca="false">-M8*Inputs!$E$37*Inputs!$E$38/12*(1+Inputs!$E$39)^(M$5-1)*1</f>
        <v>-6000</v>
      </c>
      <c r="N43" s="66" t="n">
        <f aca="false">-N8*Inputs!$E$37*Inputs!$E$38/12*(1+Inputs!$E$39)^(N$5-1)*1</f>
        <v>-6000</v>
      </c>
      <c r="O43" s="66" t="n">
        <f aca="false">-O8*Inputs!$E$37*Inputs!$E$38/12*(1+Inputs!$E$39)^(O$5-1)*1</f>
        <v>-6180</v>
      </c>
      <c r="P43" s="66" t="n">
        <f aca="false">-P8*Inputs!$E$37*Inputs!$E$38/12*(1+Inputs!$E$39)^(P$5-1)*1</f>
        <v>-6180</v>
      </c>
      <c r="Q43" s="66" t="n">
        <f aca="false">-Q8*Inputs!$E$37*Inputs!$E$38/12*(1+Inputs!$E$39)^(Q$5-1)*1</f>
        <v>-6180</v>
      </c>
      <c r="R43" s="66" t="n">
        <f aca="false">-R8*Inputs!$E$37*Inputs!$E$38/12*(1+Inputs!$E$39)^(R$5-1)*1</f>
        <v>-6180</v>
      </c>
      <c r="S43" s="66" t="n">
        <f aca="false">-S8*Inputs!$E$37*Inputs!$E$38/12*(1+Inputs!$E$39)^(S$5-1)*1</f>
        <v>-6180</v>
      </c>
      <c r="T43" s="66" t="n">
        <f aca="false">-T8*Inputs!$E$37*Inputs!$E$38/12*(1+Inputs!$E$39)^(T$5-1)*1</f>
        <v>-6180</v>
      </c>
      <c r="U43" s="66" t="n">
        <f aca="false">-U8*Inputs!$E$37*Inputs!$E$38/12*(1+Inputs!$E$39)^(U$5-1)*1</f>
        <v>-6180</v>
      </c>
      <c r="V43" s="66" t="n">
        <f aca="false">-V8*Inputs!$E$37*Inputs!$E$38/12*(1+Inputs!$E$39)^(V$5-1)*1</f>
        <v>-6180</v>
      </c>
      <c r="W43" s="66" t="n">
        <f aca="false">-W8*Inputs!$E$37*Inputs!$E$38/12*(1+Inputs!$E$39)^(W$5-1)*1</f>
        <v>-6180</v>
      </c>
      <c r="X43" s="66" t="n">
        <f aca="false">-X8*Inputs!$E$37*Inputs!$E$38/12*(1+Inputs!$E$39)^(X$5-1)*1</f>
        <v>-6180</v>
      </c>
      <c r="Y43" s="66" t="n">
        <f aca="false">-Y8*Inputs!$E$37*Inputs!$E$38/12*(1+Inputs!$E$39)^(Y$5-1)*1</f>
        <v>-6180</v>
      </c>
      <c r="Z43" s="66" t="n">
        <f aca="false">-Z8*Inputs!$E$37*Inputs!$E$38/12*(1+Inputs!$E$39)^(Z$5-1)*1</f>
        <v>-6180</v>
      </c>
      <c r="AA43" s="66" t="n">
        <f aca="false">-AA8*Inputs!$E$37*Inputs!$E$38/12*(1+Inputs!$E$39)^(AA$5-1)*1</f>
        <v>-6365.4</v>
      </c>
      <c r="AB43" s="66" t="n">
        <f aca="false">-AB8*Inputs!$E$37*Inputs!$E$38/12*(1+Inputs!$E$39)^(AB$5-1)*1</f>
        <v>-6365.4</v>
      </c>
      <c r="AC43" s="66" t="n">
        <f aca="false">-AC8*Inputs!$E$37*Inputs!$E$38/12*(1+Inputs!$E$39)^(AC$5-1)*1</f>
        <v>-6365.4</v>
      </c>
      <c r="AD43" s="66" t="n">
        <f aca="false">-AD8*Inputs!$E$37*Inputs!$E$38/12*(1+Inputs!$E$39)^(AD$5-1)*1</f>
        <v>-6365.4</v>
      </c>
      <c r="AE43" s="66" t="n">
        <f aca="false">-AE8*Inputs!$E$37*Inputs!$E$38/12*(1+Inputs!$E$39)^(AE$5-1)*1</f>
        <v>-6365.4</v>
      </c>
      <c r="AF43" s="66" t="n">
        <f aca="false">-AF8*Inputs!$E$37*Inputs!$E$38/12*(1+Inputs!$E$39)^(AF$5-1)*1</f>
        <v>-6365.4</v>
      </c>
      <c r="AG43" s="66" t="n">
        <f aca="false">-AG8*Inputs!$E$37*Inputs!$E$38/12*(1+Inputs!$E$39)^(AG$5-1)*1</f>
        <v>-6365.4</v>
      </c>
      <c r="AH43" s="66" t="n">
        <f aca="false">-AH8*Inputs!$E$37*Inputs!$E$38/12*(1+Inputs!$E$39)^(AH$5-1)*1</f>
        <v>-6365.4</v>
      </c>
      <c r="AI43" s="66" t="n">
        <f aca="false">-AI8*Inputs!$E$37*Inputs!$E$38/12*(1+Inputs!$E$39)^(AI$5-1)*1</f>
        <v>-6365.4</v>
      </c>
      <c r="AJ43" s="66" t="n">
        <f aca="false">-AJ8*Inputs!$E$37*Inputs!$E$38/12*(1+Inputs!$E$39)^(AJ$5-1)*1</f>
        <v>-6365.4</v>
      </c>
      <c r="AK43" s="66" t="n">
        <f aca="false">-AK8*Inputs!$E$37*Inputs!$E$38/12*(1+Inputs!$E$39)^(AK$5-1)*1</f>
        <v>-6365.4</v>
      </c>
      <c r="AL43" s="66" t="n">
        <f aca="false">-AL8*Inputs!$E$37*Inputs!$E$38/12*(1+Inputs!$E$39)^(AL$5-1)*1</f>
        <v>-6365.4</v>
      </c>
      <c r="AM43" s="66" t="n">
        <f aca="false">-AM8*Inputs!$E$37*Inputs!$E$38/12*(1+Inputs!$E$39)^(AM$5-1)*1</f>
        <v>-6556.362</v>
      </c>
      <c r="AN43" s="66" t="n">
        <f aca="false">-AN8*Inputs!$E$37*Inputs!$E$38/12*(1+Inputs!$E$39)^(AN$5-1)*1</f>
        <v>-6556.362</v>
      </c>
      <c r="AO43" s="66" t="n">
        <f aca="false">-AO8*Inputs!$E$37*Inputs!$E$38/12*(1+Inputs!$E$39)^(AO$5-1)*1</f>
        <v>-6556.362</v>
      </c>
      <c r="AP43" s="66" t="n">
        <f aca="false">-AP8*Inputs!$E$37*Inputs!$E$38/12*(1+Inputs!$E$39)^(AP$5-1)*1</f>
        <v>-6556.362</v>
      </c>
      <c r="AQ43" s="66" t="n">
        <f aca="false">-AQ8*Inputs!$E$37*Inputs!$E$38/12*(1+Inputs!$E$39)^(AQ$5-1)*1</f>
        <v>-6556.362</v>
      </c>
      <c r="AR43" s="66" t="n">
        <f aca="false">-AR8*Inputs!$E$37*Inputs!$E$38/12*(1+Inputs!$E$39)^(AR$5-1)*1</f>
        <v>-6556.362</v>
      </c>
      <c r="AS43" s="66" t="n">
        <f aca="false">-AS8*Inputs!$E$37*Inputs!$E$38/12*(1+Inputs!$E$39)^(AS$5-1)*1</f>
        <v>-6556.362</v>
      </c>
      <c r="AT43" s="66" t="n">
        <f aca="false">-AT8*Inputs!$E$37*Inputs!$E$38/12*(1+Inputs!$E$39)^(AT$5-1)*1</f>
        <v>-6556.362</v>
      </c>
      <c r="AU43" s="66" t="n">
        <f aca="false">-AU8*Inputs!$E$37*Inputs!$E$38/12*(1+Inputs!$E$39)^(AU$5-1)*1</f>
        <v>-6556.362</v>
      </c>
      <c r="AV43" s="66" t="n">
        <f aca="false">-AV8*Inputs!$E$37*Inputs!$E$38/12*(1+Inputs!$E$39)^(AV$5-1)*1</f>
        <v>-6556.362</v>
      </c>
      <c r="AW43" s="66" t="n">
        <f aca="false">-AW8*Inputs!$E$37*Inputs!$E$38/12*(1+Inputs!$E$39)^(AW$5-1)*1</f>
        <v>-6556.362</v>
      </c>
      <c r="AX43" s="66" t="n">
        <f aca="false">-AX8*Inputs!$E$37*Inputs!$E$38/12*(1+Inputs!$E$39)^(AX$5-1)*1</f>
        <v>-6556.362</v>
      </c>
      <c r="AY43" s="66" t="n">
        <f aca="false">-AY8*Inputs!$E$37*Inputs!$E$38/12*(1+Inputs!$E$39)^(AY$5-1)*1</f>
        <v>-6753.05286</v>
      </c>
      <c r="AZ43" s="66" t="n">
        <f aca="false">-AZ8*Inputs!$E$37*Inputs!$E$38/12*(1+Inputs!$E$39)^(AZ$5-1)*1</f>
        <v>-6753.05286</v>
      </c>
      <c r="BA43" s="66" t="n">
        <f aca="false">-BA8*Inputs!$E$37*Inputs!$E$38/12*(1+Inputs!$E$39)^(BA$5-1)*1</f>
        <v>-6753.05286</v>
      </c>
      <c r="BB43" s="66" t="n">
        <f aca="false">-BB8*Inputs!$E$37*Inputs!$E$38/12*(1+Inputs!$E$39)^(BB$5-1)*1</f>
        <v>-6753.05286</v>
      </c>
      <c r="BC43" s="66" t="n">
        <f aca="false">-BC8*Inputs!$E$37*Inputs!$E$38/12*(1+Inputs!$E$39)^(BC$5-1)*1</f>
        <v>-6753.05286</v>
      </c>
      <c r="BD43" s="66" t="n">
        <f aca="false">-BD8*Inputs!$E$37*Inputs!$E$38/12*(1+Inputs!$E$39)^(BD$5-1)*1</f>
        <v>-6753.05286</v>
      </c>
      <c r="BE43" s="66" t="n">
        <f aca="false">-BE8*Inputs!$E$37*Inputs!$E$38/12*(1+Inputs!$E$39)^(BE$5-1)*1</f>
        <v>-6753.05286</v>
      </c>
      <c r="BF43" s="66" t="n">
        <f aca="false">-BF8*Inputs!$E$37*Inputs!$E$38/12*(1+Inputs!$E$39)^(BF$5-1)*1</f>
        <v>-6753.05286</v>
      </c>
      <c r="BG43" s="66" t="n">
        <f aca="false">-BG8*Inputs!$E$37*Inputs!$E$38/12*(1+Inputs!$E$39)^(BG$5-1)*1</f>
        <v>-6753.05286</v>
      </c>
      <c r="BH43" s="66" t="n">
        <f aca="false">-BH8*Inputs!$E$37*Inputs!$E$38/12*(1+Inputs!$E$39)^(BH$5-1)*1</f>
        <v>-6753.05286</v>
      </c>
      <c r="BI43" s="66" t="n">
        <f aca="false">-BI8*Inputs!$E$37*Inputs!$E$38/12*(1+Inputs!$E$39)^(BI$5-1)*1</f>
        <v>-6753.05286</v>
      </c>
      <c r="BJ43" s="66" t="n">
        <f aca="false">-BJ8*Inputs!$E$37*Inputs!$E$38/12*(1+Inputs!$E$39)^(BJ$5-1)*1</f>
        <v>-6753.05286</v>
      </c>
    </row>
    <row r="44" customFormat="false" ht="15" hidden="false" customHeight="false" outlineLevel="0" collapsed="false">
      <c r="A44" s="6" t="s">
        <v>340</v>
      </c>
      <c r="C44" s="66" t="n">
        <f aca="false">-C8*Inputs!$E$37*Inputs!$E$40/12*(1+Inputs!$E$34)^(C$5-1)*1</f>
        <v>-2437.5</v>
      </c>
      <c r="D44" s="66" t="n">
        <f aca="false">-D8*Inputs!$E$37*Inputs!$E$40/12*(1+Inputs!$E$34)^(D$5-1)*1</f>
        <v>-2437.5</v>
      </c>
      <c r="E44" s="66" t="n">
        <f aca="false">-E8*Inputs!$E$37*Inputs!$E$40/12*(1+Inputs!$E$34)^(E$5-1)*1</f>
        <v>-2437.5</v>
      </c>
      <c r="F44" s="66" t="n">
        <f aca="false">-F8*Inputs!$E$37*Inputs!$E$40/12*(1+Inputs!$E$34)^(F$5-1)*1</f>
        <v>-2437.5</v>
      </c>
      <c r="G44" s="66" t="n">
        <f aca="false">-G8*Inputs!$E$37*Inputs!$E$40/12*(1+Inputs!$E$34)^(G$5-1)*1</f>
        <v>-2437.5</v>
      </c>
      <c r="H44" s="66" t="n">
        <f aca="false">-H8*Inputs!$E$37*Inputs!$E$40/12*(1+Inputs!$E$34)^(H$5-1)*1</f>
        <v>-2437.5</v>
      </c>
      <c r="I44" s="66" t="n">
        <f aca="false">-I8*Inputs!$E$37*Inputs!$E$40/12*(1+Inputs!$E$34)^(I$5-1)*1</f>
        <v>-2437.5</v>
      </c>
      <c r="J44" s="66" t="n">
        <f aca="false">-J8*Inputs!$E$37*Inputs!$E$40/12*(1+Inputs!$E$34)^(J$5-1)*1</f>
        <v>-2437.5</v>
      </c>
      <c r="K44" s="66" t="n">
        <f aca="false">-K8*Inputs!$E$37*Inputs!$E$40/12*(1+Inputs!$E$34)^(K$5-1)*1</f>
        <v>-2437.5</v>
      </c>
      <c r="L44" s="66" t="n">
        <f aca="false">-L8*Inputs!$E$37*Inputs!$E$40/12*(1+Inputs!$E$34)^(L$5-1)*1</f>
        <v>-2437.5</v>
      </c>
      <c r="M44" s="66" t="n">
        <f aca="false">-M8*Inputs!$E$37*Inputs!$E$40/12*(1+Inputs!$E$34)^(M$5-1)*1</f>
        <v>-2437.5</v>
      </c>
      <c r="N44" s="66" t="n">
        <f aca="false">-N8*Inputs!$E$37*Inputs!$E$40/12*(1+Inputs!$E$34)^(N$5-1)*1</f>
        <v>-2437.5</v>
      </c>
      <c r="O44" s="66" t="n">
        <f aca="false">-O8*Inputs!$E$37*Inputs!$E$40/12*(1+Inputs!$E$34)^(O$5-1)*1</f>
        <v>-2510.625</v>
      </c>
      <c r="P44" s="66" t="n">
        <f aca="false">-P8*Inputs!$E$37*Inputs!$E$40/12*(1+Inputs!$E$34)^(P$5-1)*1</f>
        <v>-2510.625</v>
      </c>
      <c r="Q44" s="66" t="n">
        <f aca="false">-Q8*Inputs!$E$37*Inputs!$E$40/12*(1+Inputs!$E$34)^(Q$5-1)*1</f>
        <v>-2510.625</v>
      </c>
      <c r="R44" s="66" t="n">
        <f aca="false">-R8*Inputs!$E$37*Inputs!$E$40/12*(1+Inputs!$E$34)^(R$5-1)*1</f>
        <v>-2510.625</v>
      </c>
      <c r="S44" s="66" t="n">
        <f aca="false">-S8*Inputs!$E$37*Inputs!$E$40/12*(1+Inputs!$E$34)^(S$5-1)*1</f>
        <v>-2510.625</v>
      </c>
      <c r="T44" s="66" t="n">
        <f aca="false">-T8*Inputs!$E$37*Inputs!$E$40/12*(1+Inputs!$E$34)^(T$5-1)*1</f>
        <v>-2510.625</v>
      </c>
      <c r="U44" s="66" t="n">
        <f aca="false">-U8*Inputs!$E$37*Inputs!$E$40/12*(1+Inputs!$E$34)^(U$5-1)*1</f>
        <v>-2510.625</v>
      </c>
      <c r="V44" s="66" t="n">
        <f aca="false">-V8*Inputs!$E$37*Inputs!$E$40/12*(1+Inputs!$E$34)^(V$5-1)*1</f>
        <v>-2510.625</v>
      </c>
      <c r="W44" s="66" t="n">
        <f aca="false">-W8*Inputs!$E$37*Inputs!$E$40/12*(1+Inputs!$E$34)^(W$5-1)*1</f>
        <v>-2510.625</v>
      </c>
      <c r="X44" s="66" t="n">
        <f aca="false">-X8*Inputs!$E$37*Inputs!$E$40/12*(1+Inputs!$E$34)^(X$5-1)*1</f>
        <v>-2510.625</v>
      </c>
      <c r="Y44" s="66" t="n">
        <f aca="false">-Y8*Inputs!$E$37*Inputs!$E$40/12*(1+Inputs!$E$34)^(Y$5-1)*1</f>
        <v>-2510.625</v>
      </c>
      <c r="Z44" s="66" t="n">
        <f aca="false">-Z8*Inputs!$E$37*Inputs!$E$40/12*(1+Inputs!$E$34)^(Z$5-1)*1</f>
        <v>-2510.625</v>
      </c>
      <c r="AA44" s="66" t="n">
        <f aca="false">-AA8*Inputs!$E$37*Inputs!$E$40/12*(1+Inputs!$E$34)^(AA$5-1)*1</f>
        <v>-2585.94375</v>
      </c>
      <c r="AB44" s="66" t="n">
        <f aca="false">-AB8*Inputs!$E$37*Inputs!$E$40/12*(1+Inputs!$E$34)^(AB$5-1)*1</f>
        <v>-2585.94375</v>
      </c>
      <c r="AC44" s="66" t="n">
        <f aca="false">-AC8*Inputs!$E$37*Inputs!$E$40/12*(1+Inputs!$E$34)^(AC$5-1)*1</f>
        <v>-2585.94375</v>
      </c>
      <c r="AD44" s="66" t="n">
        <f aca="false">-AD8*Inputs!$E$37*Inputs!$E$40/12*(1+Inputs!$E$34)^(AD$5-1)*1</f>
        <v>-2585.94375</v>
      </c>
      <c r="AE44" s="66" t="n">
        <f aca="false">-AE8*Inputs!$E$37*Inputs!$E$40/12*(1+Inputs!$E$34)^(AE$5-1)*1</f>
        <v>-2585.94375</v>
      </c>
      <c r="AF44" s="66" t="n">
        <f aca="false">-AF8*Inputs!$E$37*Inputs!$E$40/12*(1+Inputs!$E$34)^(AF$5-1)*1</f>
        <v>-2585.94375</v>
      </c>
      <c r="AG44" s="66" t="n">
        <f aca="false">-AG8*Inputs!$E$37*Inputs!$E$40/12*(1+Inputs!$E$34)^(AG$5-1)*1</f>
        <v>-2585.94375</v>
      </c>
      <c r="AH44" s="66" t="n">
        <f aca="false">-AH8*Inputs!$E$37*Inputs!$E$40/12*(1+Inputs!$E$34)^(AH$5-1)*1</f>
        <v>-2585.94375</v>
      </c>
      <c r="AI44" s="66" t="n">
        <f aca="false">-AI8*Inputs!$E$37*Inputs!$E$40/12*(1+Inputs!$E$34)^(AI$5-1)*1</f>
        <v>-2585.94375</v>
      </c>
      <c r="AJ44" s="66" t="n">
        <f aca="false">-AJ8*Inputs!$E$37*Inputs!$E$40/12*(1+Inputs!$E$34)^(AJ$5-1)*1</f>
        <v>-2585.94375</v>
      </c>
      <c r="AK44" s="66" t="n">
        <f aca="false">-AK8*Inputs!$E$37*Inputs!$E$40/12*(1+Inputs!$E$34)^(AK$5-1)*1</f>
        <v>-2585.94375</v>
      </c>
      <c r="AL44" s="66" t="n">
        <f aca="false">-AL8*Inputs!$E$37*Inputs!$E$40/12*(1+Inputs!$E$34)^(AL$5-1)*1</f>
        <v>-2585.94375</v>
      </c>
      <c r="AM44" s="66" t="n">
        <f aca="false">-AM8*Inputs!$E$37*Inputs!$E$40/12*(1+Inputs!$E$34)^(AM$5-1)*1</f>
        <v>-2663.5220625</v>
      </c>
      <c r="AN44" s="66" t="n">
        <f aca="false">-AN8*Inputs!$E$37*Inputs!$E$40/12*(1+Inputs!$E$34)^(AN$5-1)*1</f>
        <v>-2663.5220625</v>
      </c>
      <c r="AO44" s="66" t="n">
        <f aca="false">-AO8*Inputs!$E$37*Inputs!$E$40/12*(1+Inputs!$E$34)^(AO$5-1)*1</f>
        <v>-2663.5220625</v>
      </c>
      <c r="AP44" s="66" t="n">
        <f aca="false">-AP8*Inputs!$E$37*Inputs!$E$40/12*(1+Inputs!$E$34)^(AP$5-1)*1</f>
        <v>-2663.5220625</v>
      </c>
      <c r="AQ44" s="66" t="n">
        <f aca="false">-AQ8*Inputs!$E$37*Inputs!$E$40/12*(1+Inputs!$E$34)^(AQ$5-1)*1</f>
        <v>-2663.5220625</v>
      </c>
      <c r="AR44" s="66" t="n">
        <f aca="false">-AR8*Inputs!$E$37*Inputs!$E$40/12*(1+Inputs!$E$34)^(AR$5-1)*1</f>
        <v>-2663.5220625</v>
      </c>
      <c r="AS44" s="66" t="n">
        <f aca="false">-AS8*Inputs!$E$37*Inputs!$E$40/12*(1+Inputs!$E$34)^(AS$5-1)*1</f>
        <v>-2663.5220625</v>
      </c>
      <c r="AT44" s="66" t="n">
        <f aca="false">-AT8*Inputs!$E$37*Inputs!$E$40/12*(1+Inputs!$E$34)^(AT$5-1)*1</f>
        <v>-2663.5220625</v>
      </c>
      <c r="AU44" s="66" t="n">
        <f aca="false">-AU8*Inputs!$E$37*Inputs!$E$40/12*(1+Inputs!$E$34)^(AU$5-1)*1</f>
        <v>-2663.5220625</v>
      </c>
      <c r="AV44" s="66" t="n">
        <f aca="false">-AV8*Inputs!$E$37*Inputs!$E$40/12*(1+Inputs!$E$34)^(AV$5-1)*1</f>
        <v>-2663.5220625</v>
      </c>
      <c r="AW44" s="66" t="n">
        <f aca="false">-AW8*Inputs!$E$37*Inputs!$E$40/12*(1+Inputs!$E$34)^(AW$5-1)*1</f>
        <v>-2663.5220625</v>
      </c>
      <c r="AX44" s="66" t="n">
        <f aca="false">-AX8*Inputs!$E$37*Inputs!$E$40/12*(1+Inputs!$E$34)^(AX$5-1)*1</f>
        <v>-2663.5220625</v>
      </c>
      <c r="AY44" s="66" t="n">
        <f aca="false">-AY8*Inputs!$E$37*Inputs!$E$40/12*(1+Inputs!$E$34)^(AY$5-1)*1</f>
        <v>-2743.427724375</v>
      </c>
      <c r="AZ44" s="66" t="n">
        <f aca="false">-AZ8*Inputs!$E$37*Inputs!$E$40/12*(1+Inputs!$E$34)^(AZ$5-1)*1</f>
        <v>-2743.427724375</v>
      </c>
      <c r="BA44" s="66" t="n">
        <f aca="false">-BA8*Inputs!$E$37*Inputs!$E$40/12*(1+Inputs!$E$34)^(BA$5-1)*1</f>
        <v>-2743.427724375</v>
      </c>
      <c r="BB44" s="66" t="n">
        <f aca="false">-BB8*Inputs!$E$37*Inputs!$E$40/12*(1+Inputs!$E$34)^(BB$5-1)*1</f>
        <v>-2743.427724375</v>
      </c>
      <c r="BC44" s="66" t="n">
        <f aca="false">-BC8*Inputs!$E$37*Inputs!$E$40/12*(1+Inputs!$E$34)^(BC$5-1)*1</f>
        <v>-2743.427724375</v>
      </c>
      <c r="BD44" s="66" t="n">
        <f aca="false">-BD8*Inputs!$E$37*Inputs!$E$40/12*(1+Inputs!$E$34)^(BD$5-1)*1</f>
        <v>-2743.427724375</v>
      </c>
      <c r="BE44" s="66" t="n">
        <f aca="false">-BE8*Inputs!$E$37*Inputs!$E$40/12*(1+Inputs!$E$34)^(BE$5-1)*1</f>
        <v>-2743.427724375</v>
      </c>
      <c r="BF44" s="66" t="n">
        <f aca="false">-BF8*Inputs!$E$37*Inputs!$E$40/12*(1+Inputs!$E$34)^(BF$5-1)*1</f>
        <v>-2743.427724375</v>
      </c>
      <c r="BG44" s="66" t="n">
        <f aca="false">-BG8*Inputs!$E$37*Inputs!$E$40/12*(1+Inputs!$E$34)^(BG$5-1)*1</f>
        <v>-2743.427724375</v>
      </c>
      <c r="BH44" s="66" t="n">
        <f aca="false">-BH8*Inputs!$E$37*Inputs!$E$40/12*(1+Inputs!$E$34)^(BH$5-1)*1</f>
        <v>-2743.427724375</v>
      </c>
      <c r="BI44" s="66" t="n">
        <f aca="false">-BI8*Inputs!$E$37*Inputs!$E$40/12*(1+Inputs!$E$34)^(BI$5-1)*1</f>
        <v>-2743.427724375</v>
      </c>
      <c r="BJ44" s="66" t="n">
        <f aca="false">-BJ8*Inputs!$E$37*Inputs!$E$40/12*(1+Inputs!$E$34)^(BJ$5-1)*1</f>
        <v>-2743.427724375</v>
      </c>
    </row>
    <row r="45" customFormat="false" ht="15" hidden="false" customHeight="false" outlineLevel="0" collapsed="false">
      <c r="A45" s="6" t="s">
        <v>341</v>
      </c>
      <c r="C45" s="66" t="n">
        <f aca="false">-Inputs!$E$41*1</f>
        <v>-1800</v>
      </c>
      <c r="D45" s="66" t="n">
        <f aca="false">-Inputs!$E$41*1</f>
        <v>-1800</v>
      </c>
      <c r="E45" s="66" t="n">
        <f aca="false">-Inputs!$E$41*1</f>
        <v>-1800</v>
      </c>
      <c r="F45" s="66" t="n">
        <f aca="false">-Inputs!$E$41*1</f>
        <v>-1800</v>
      </c>
      <c r="G45" s="66" t="n">
        <f aca="false">-Inputs!$E$41*1</f>
        <v>-1800</v>
      </c>
      <c r="H45" s="66" t="n">
        <f aca="false">-Inputs!$E$41*1</f>
        <v>-1800</v>
      </c>
      <c r="I45" s="66" t="n">
        <f aca="false">-Inputs!$E$41*1</f>
        <v>-1800</v>
      </c>
      <c r="J45" s="66" t="n">
        <f aca="false">-Inputs!$E$41*1</f>
        <v>-1800</v>
      </c>
      <c r="K45" s="66" t="n">
        <f aca="false">-Inputs!$E$41*1</f>
        <v>-1800</v>
      </c>
      <c r="L45" s="66" t="n">
        <f aca="false">-Inputs!$E$41*1</f>
        <v>-1800</v>
      </c>
      <c r="M45" s="66" t="n">
        <f aca="false">-Inputs!$E$41*1</f>
        <v>-1800</v>
      </c>
      <c r="N45" s="66" t="n">
        <f aca="false">-Inputs!$E$41*1</f>
        <v>-1800</v>
      </c>
      <c r="O45" s="66" t="n">
        <f aca="false">-Inputs!$E$41*1</f>
        <v>-1800</v>
      </c>
      <c r="P45" s="66" t="n">
        <f aca="false">-Inputs!$E$41*1</f>
        <v>-1800</v>
      </c>
      <c r="Q45" s="66" t="n">
        <f aca="false">-Inputs!$E$41*1</f>
        <v>-1800</v>
      </c>
      <c r="R45" s="66" t="n">
        <f aca="false">-Inputs!$E$41*1</f>
        <v>-1800</v>
      </c>
      <c r="S45" s="66" t="n">
        <f aca="false">-Inputs!$E$41*1</f>
        <v>-1800</v>
      </c>
      <c r="T45" s="66" t="n">
        <f aca="false">-Inputs!$E$41*1</f>
        <v>-1800</v>
      </c>
      <c r="U45" s="66" t="n">
        <f aca="false">-Inputs!$E$41*1</f>
        <v>-1800</v>
      </c>
      <c r="V45" s="66" t="n">
        <f aca="false">-Inputs!$E$41*1</f>
        <v>-1800</v>
      </c>
      <c r="W45" s="66" t="n">
        <f aca="false">-Inputs!$E$41*1</f>
        <v>-1800</v>
      </c>
      <c r="X45" s="66" t="n">
        <f aca="false">-Inputs!$E$41*1</f>
        <v>-1800</v>
      </c>
      <c r="Y45" s="66" t="n">
        <f aca="false">-Inputs!$E$41*1</f>
        <v>-1800</v>
      </c>
      <c r="Z45" s="66" t="n">
        <f aca="false">-Inputs!$E$41*1</f>
        <v>-1800</v>
      </c>
      <c r="AA45" s="66" t="n">
        <f aca="false">-Inputs!$E$41*1</f>
        <v>-1800</v>
      </c>
      <c r="AB45" s="66" t="n">
        <f aca="false">-Inputs!$E$41*1</f>
        <v>-1800</v>
      </c>
      <c r="AC45" s="66" t="n">
        <f aca="false">-Inputs!$E$41*1</f>
        <v>-1800</v>
      </c>
      <c r="AD45" s="66" t="n">
        <f aca="false">-Inputs!$E$41*1</f>
        <v>-1800</v>
      </c>
      <c r="AE45" s="66" t="n">
        <f aca="false">-Inputs!$E$41*1</f>
        <v>-1800</v>
      </c>
      <c r="AF45" s="66" t="n">
        <f aca="false">-Inputs!$E$41*1</f>
        <v>-1800</v>
      </c>
      <c r="AG45" s="66" t="n">
        <f aca="false">-Inputs!$E$41*1</f>
        <v>-1800</v>
      </c>
      <c r="AH45" s="66" t="n">
        <f aca="false">-Inputs!$E$41*1</f>
        <v>-1800</v>
      </c>
      <c r="AI45" s="66" t="n">
        <f aca="false">-Inputs!$E$41*1</f>
        <v>-1800</v>
      </c>
      <c r="AJ45" s="66" t="n">
        <f aca="false">-Inputs!$E$41*1</f>
        <v>-1800</v>
      </c>
      <c r="AK45" s="66" t="n">
        <f aca="false">-Inputs!$E$41*1</f>
        <v>-1800</v>
      </c>
      <c r="AL45" s="66" t="n">
        <f aca="false">-Inputs!$E$41*1</f>
        <v>-1800</v>
      </c>
      <c r="AM45" s="66" t="n">
        <f aca="false">-Inputs!$E$41*1</f>
        <v>-1800</v>
      </c>
      <c r="AN45" s="66" t="n">
        <f aca="false">-Inputs!$E$41*1</f>
        <v>-1800</v>
      </c>
      <c r="AO45" s="66" t="n">
        <f aca="false">-Inputs!$E$41*1</f>
        <v>-1800</v>
      </c>
      <c r="AP45" s="66" t="n">
        <f aca="false">-Inputs!$E$41*1</f>
        <v>-1800</v>
      </c>
      <c r="AQ45" s="66" t="n">
        <f aca="false">-Inputs!$E$41*1</f>
        <v>-1800</v>
      </c>
      <c r="AR45" s="66" t="n">
        <f aca="false">-Inputs!$E$41*1</f>
        <v>-1800</v>
      </c>
      <c r="AS45" s="66" t="n">
        <f aca="false">-Inputs!$E$41*1</f>
        <v>-1800</v>
      </c>
      <c r="AT45" s="66" t="n">
        <f aca="false">-Inputs!$E$41*1</f>
        <v>-1800</v>
      </c>
      <c r="AU45" s="66" t="n">
        <f aca="false">-Inputs!$E$41*1</f>
        <v>-1800</v>
      </c>
      <c r="AV45" s="66" t="n">
        <f aca="false">-Inputs!$E$41*1</f>
        <v>-1800</v>
      </c>
      <c r="AW45" s="66" t="n">
        <f aca="false">-Inputs!$E$41*1</f>
        <v>-1800</v>
      </c>
      <c r="AX45" s="66" t="n">
        <f aca="false">-Inputs!$E$41*1</f>
        <v>-1800</v>
      </c>
      <c r="AY45" s="66" t="n">
        <f aca="false">-Inputs!$E$41*1</f>
        <v>-1800</v>
      </c>
      <c r="AZ45" s="66" t="n">
        <f aca="false">-Inputs!$E$41*1</f>
        <v>-1800</v>
      </c>
      <c r="BA45" s="66" t="n">
        <f aca="false">-Inputs!$E$41*1</f>
        <v>-1800</v>
      </c>
      <c r="BB45" s="66" t="n">
        <f aca="false">-Inputs!$E$41*1</f>
        <v>-1800</v>
      </c>
      <c r="BC45" s="66" t="n">
        <f aca="false">-Inputs!$E$41*1</f>
        <v>-1800</v>
      </c>
      <c r="BD45" s="66" t="n">
        <f aca="false">-Inputs!$E$41*1</f>
        <v>-1800</v>
      </c>
      <c r="BE45" s="66" t="n">
        <f aca="false">-Inputs!$E$41*1</f>
        <v>-1800</v>
      </c>
      <c r="BF45" s="66" t="n">
        <f aca="false">-Inputs!$E$41*1</f>
        <v>-1800</v>
      </c>
      <c r="BG45" s="66" t="n">
        <f aca="false">-Inputs!$E$41*1</f>
        <v>-1800</v>
      </c>
      <c r="BH45" s="66" t="n">
        <f aca="false">-Inputs!$E$41*1</f>
        <v>-1800</v>
      </c>
      <c r="BI45" s="66" t="n">
        <f aca="false">-Inputs!$E$41*1</f>
        <v>-1800</v>
      </c>
      <c r="BJ45" s="66" t="n">
        <f aca="false">-Inputs!$E$41*1</f>
        <v>-1800</v>
      </c>
    </row>
    <row r="46" customFormat="false" ht="15" hidden="false" customHeight="false" outlineLevel="0" collapsed="false">
      <c r="A46" s="6" t="s">
        <v>342</v>
      </c>
      <c r="C46" s="66" t="n">
        <f aca="false">-Inputs!$E$42*1</f>
        <v>-600</v>
      </c>
      <c r="D46" s="66" t="n">
        <f aca="false">-Inputs!$E$42*1</f>
        <v>-600</v>
      </c>
      <c r="E46" s="66" t="n">
        <f aca="false">-Inputs!$E$42*1</f>
        <v>-600</v>
      </c>
      <c r="F46" s="66" t="n">
        <f aca="false">-Inputs!$E$42*1</f>
        <v>-600</v>
      </c>
      <c r="G46" s="66" t="n">
        <f aca="false">-Inputs!$E$42*1</f>
        <v>-600</v>
      </c>
      <c r="H46" s="66" t="n">
        <f aca="false">-Inputs!$E$42*1</f>
        <v>-600</v>
      </c>
      <c r="I46" s="66" t="n">
        <f aca="false">-Inputs!$E$42*1</f>
        <v>-600</v>
      </c>
      <c r="J46" s="66" t="n">
        <f aca="false">-Inputs!$E$42*1</f>
        <v>-600</v>
      </c>
      <c r="K46" s="66" t="n">
        <f aca="false">-Inputs!$E$42*1</f>
        <v>-600</v>
      </c>
      <c r="L46" s="66" t="n">
        <f aca="false">-Inputs!$E$42*1</f>
        <v>-600</v>
      </c>
      <c r="M46" s="66" t="n">
        <f aca="false">-Inputs!$E$42*1</f>
        <v>-600</v>
      </c>
      <c r="N46" s="66" t="n">
        <f aca="false">-Inputs!$E$42*1</f>
        <v>-600</v>
      </c>
      <c r="O46" s="66" t="n">
        <f aca="false">-Inputs!$E$42*1</f>
        <v>-600</v>
      </c>
      <c r="P46" s="66" t="n">
        <f aca="false">-Inputs!$E$42*1</f>
        <v>-600</v>
      </c>
      <c r="Q46" s="66" t="n">
        <f aca="false">-Inputs!$E$42*1</f>
        <v>-600</v>
      </c>
      <c r="R46" s="66" t="n">
        <f aca="false">-Inputs!$E$42*1</f>
        <v>-600</v>
      </c>
      <c r="S46" s="66" t="n">
        <f aca="false">-Inputs!$E$42*1</f>
        <v>-600</v>
      </c>
      <c r="T46" s="66" t="n">
        <f aca="false">-Inputs!$E$42*1</f>
        <v>-600</v>
      </c>
      <c r="U46" s="66" t="n">
        <f aca="false">-Inputs!$E$42*1</f>
        <v>-600</v>
      </c>
      <c r="V46" s="66" t="n">
        <f aca="false">-Inputs!$E$42*1</f>
        <v>-600</v>
      </c>
      <c r="W46" s="66" t="n">
        <f aca="false">-Inputs!$E$42*1</f>
        <v>-600</v>
      </c>
      <c r="X46" s="66" t="n">
        <f aca="false">-Inputs!$E$42*1</f>
        <v>-600</v>
      </c>
      <c r="Y46" s="66" t="n">
        <f aca="false">-Inputs!$E$42*1</f>
        <v>-600</v>
      </c>
      <c r="Z46" s="66" t="n">
        <f aca="false">-Inputs!$E$42*1</f>
        <v>-600</v>
      </c>
      <c r="AA46" s="66" t="n">
        <f aca="false">-Inputs!$E$42*1</f>
        <v>-600</v>
      </c>
      <c r="AB46" s="66" t="n">
        <f aca="false">-Inputs!$E$42*1</f>
        <v>-600</v>
      </c>
      <c r="AC46" s="66" t="n">
        <f aca="false">-Inputs!$E$42*1</f>
        <v>-600</v>
      </c>
      <c r="AD46" s="66" t="n">
        <f aca="false">-Inputs!$E$42*1</f>
        <v>-600</v>
      </c>
      <c r="AE46" s="66" t="n">
        <f aca="false">-Inputs!$E$42*1</f>
        <v>-600</v>
      </c>
      <c r="AF46" s="66" t="n">
        <f aca="false">-Inputs!$E$42*1</f>
        <v>-600</v>
      </c>
      <c r="AG46" s="66" t="n">
        <f aca="false">-Inputs!$E$42*1</f>
        <v>-600</v>
      </c>
      <c r="AH46" s="66" t="n">
        <f aca="false">-Inputs!$E$42*1</f>
        <v>-600</v>
      </c>
      <c r="AI46" s="66" t="n">
        <f aca="false">-Inputs!$E$42*1</f>
        <v>-600</v>
      </c>
      <c r="AJ46" s="66" t="n">
        <f aca="false">-Inputs!$E$42*1</f>
        <v>-600</v>
      </c>
      <c r="AK46" s="66" t="n">
        <f aca="false">-Inputs!$E$42*1</f>
        <v>-600</v>
      </c>
      <c r="AL46" s="66" t="n">
        <f aca="false">-Inputs!$E$42*1</f>
        <v>-600</v>
      </c>
      <c r="AM46" s="66" t="n">
        <f aca="false">-Inputs!$E$42*1</f>
        <v>-600</v>
      </c>
      <c r="AN46" s="66" t="n">
        <f aca="false">-Inputs!$E$42*1</f>
        <v>-600</v>
      </c>
      <c r="AO46" s="66" t="n">
        <f aca="false">-Inputs!$E$42*1</f>
        <v>-600</v>
      </c>
      <c r="AP46" s="66" t="n">
        <f aca="false">-Inputs!$E$42*1</f>
        <v>-600</v>
      </c>
      <c r="AQ46" s="66" t="n">
        <f aca="false">-Inputs!$E$42*1</f>
        <v>-600</v>
      </c>
      <c r="AR46" s="66" t="n">
        <f aca="false">-Inputs!$E$42*1</f>
        <v>-600</v>
      </c>
      <c r="AS46" s="66" t="n">
        <f aca="false">-Inputs!$E$42*1</f>
        <v>-600</v>
      </c>
      <c r="AT46" s="66" t="n">
        <f aca="false">-Inputs!$E$42*1</f>
        <v>-600</v>
      </c>
      <c r="AU46" s="66" t="n">
        <f aca="false">-Inputs!$E$42*1</f>
        <v>-600</v>
      </c>
      <c r="AV46" s="66" t="n">
        <f aca="false">-Inputs!$E$42*1</f>
        <v>-600</v>
      </c>
      <c r="AW46" s="66" t="n">
        <f aca="false">-Inputs!$E$42*1</f>
        <v>-600</v>
      </c>
      <c r="AX46" s="66" t="n">
        <f aca="false">-Inputs!$E$42*1</f>
        <v>-600</v>
      </c>
      <c r="AY46" s="66" t="n">
        <f aca="false">-Inputs!$E$42*1</f>
        <v>-600</v>
      </c>
      <c r="AZ46" s="66" t="n">
        <f aca="false">-Inputs!$E$42*1</f>
        <v>-600</v>
      </c>
      <c r="BA46" s="66" t="n">
        <f aca="false">-Inputs!$E$42*1</f>
        <v>-600</v>
      </c>
      <c r="BB46" s="66" t="n">
        <f aca="false">-Inputs!$E$42*1</f>
        <v>-600</v>
      </c>
      <c r="BC46" s="66" t="n">
        <f aca="false">-Inputs!$E$42*1</f>
        <v>-600</v>
      </c>
      <c r="BD46" s="66" t="n">
        <f aca="false">-Inputs!$E$42*1</f>
        <v>-600</v>
      </c>
      <c r="BE46" s="66" t="n">
        <f aca="false">-Inputs!$E$42*1</f>
        <v>-600</v>
      </c>
      <c r="BF46" s="66" t="n">
        <f aca="false">-Inputs!$E$42*1</f>
        <v>-600</v>
      </c>
      <c r="BG46" s="66" t="n">
        <f aca="false">-Inputs!$E$42*1</f>
        <v>-600</v>
      </c>
      <c r="BH46" s="66" t="n">
        <f aca="false">-Inputs!$E$42*1</f>
        <v>-600</v>
      </c>
      <c r="BI46" s="66" t="n">
        <f aca="false">-Inputs!$E$42*1</f>
        <v>-600</v>
      </c>
      <c r="BJ46" s="66" t="n">
        <f aca="false">-Inputs!$E$42*1</f>
        <v>-600</v>
      </c>
    </row>
    <row r="47" customFormat="false" ht="15" hidden="false" customHeight="false" outlineLevel="0" collapsed="false">
      <c r="A47" s="6" t="s">
        <v>343</v>
      </c>
      <c r="C47" s="66" t="n">
        <f aca="false">-Inputs!$E$43*(1+Inputs!$E$44)^(C$5-1)*1</f>
        <v>-2500</v>
      </c>
      <c r="D47" s="66" t="n">
        <f aca="false">-Inputs!$E$43*(1+Inputs!$E$44)^(D$5-1)*1</f>
        <v>-2500</v>
      </c>
      <c r="E47" s="66" t="n">
        <f aca="false">-Inputs!$E$43*(1+Inputs!$E$44)^(E$5-1)*1</f>
        <v>-2500</v>
      </c>
      <c r="F47" s="66" t="n">
        <f aca="false">-Inputs!$E$43*(1+Inputs!$E$44)^(F$5-1)*1</f>
        <v>-2500</v>
      </c>
      <c r="G47" s="66" t="n">
        <f aca="false">-Inputs!$E$43*(1+Inputs!$E$44)^(G$5-1)*1</f>
        <v>-2500</v>
      </c>
      <c r="H47" s="66" t="n">
        <f aca="false">-Inputs!$E$43*(1+Inputs!$E$44)^(H$5-1)*1</f>
        <v>-2500</v>
      </c>
      <c r="I47" s="66" t="n">
        <f aca="false">-Inputs!$E$43*(1+Inputs!$E$44)^(I$5-1)*1</f>
        <v>-2500</v>
      </c>
      <c r="J47" s="66" t="n">
        <f aca="false">-Inputs!$E$43*(1+Inputs!$E$44)^(J$5-1)*1</f>
        <v>-2500</v>
      </c>
      <c r="K47" s="66" t="n">
        <f aca="false">-Inputs!$E$43*(1+Inputs!$E$44)^(K$5-1)*1</f>
        <v>-2500</v>
      </c>
      <c r="L47" s="66" t="n">
        <f aca="false">-Inputs!$E$43*(1+Inputs!$E$44)^(L$5-1)*1</f>
        <v>-2500</v>
      </c>
      <c r="M47" s="66" t="n">
        <f aca="false">-Inputs!$E$43*(1+Inputs!$E$44)^(M$5-1)*1</f>
        <v>-2500</v>
      </c>
      <c r="N47" s="66" t="n">
        <f aca="false">-Inputs!$E$43*(1+Inputs!$E$44)^(N$5-1)*1</f>
        <v>-2500</v>
      </c>
      <c r="O47" s="66" t="n">
        <f aca="false">-Inputs!$E$43*(1+Inputs!$E$44)^(O$5-1)*1</f>
        <v>-2500</v>
      </c>
      <c r="P47" s="66" t="n">
        <f aca="false">-Inputs!$E$43*(1+Inputs!$E$44)^(P$5-1)*1</f>
        <v>-2500</v>
      </c>
      <c r="Q47" s="66" t="n">
        <f aca="false">-Inputs!$E$43*(1+Inputs!$E$44)^(Q$5-1)*1</f>
        <v>-2500</v>
      </c>
      <c r="R47" s="66" t="n">
        <f aca="false">-Inputs!$E$43*(1+Inputs!$E$44)^(R$5-1)*1</f>
        <v>-2500</v>
      </c>
      <c r="S47" s="66" t="n">
        <f aca="false">-Inputs!$E$43*(1+Inputs!$E$44)^(S$5-1)*1</f>
        <v>-2500</v>
      </c>
      <c r="T47" s="66" t="n">
        <f aca="false">-Inputs!$E$43*(1+Inputs!$E$44)^(T$5-1)*1</f>
        <v>-2500</v>
      </c>
      <c r="U47" s="66" t="n">
        <f aca="false">-Inputs!$E$43*(1+Inputs!$E$44)^(U$5-1)*1</f>
        <v>-2500</v>
      </c>
      <c r="V47" s="66" t="n">
        <f aca="false">-Inputs!$E$43*(1+Inputs!$E$44)^(V$5-1)*1</f>
        <v>-2500</v>
      </c>
      <c r="W47" s="66" t="n">
        <f aca="false">-Inputs!$E$43*(1+Inputs!$E$44)^(W$5-1)*1</f>
        <v>-2500</v>
      </c>
      <c r="X47" s="66" t="n">
        <f aca="false">-Inputs!$E$43*(1+Inputs!$E$44)^(X$5-1)*1</f>
        <v>-2500</v>
      </c>
      <c r="Y47" s="66" t="n">
        <f aca="false">-Inputs!$E$43*(1+Inputs!$E$44)^(Y$5-1)*1</f>
        <v>-2500</v>
      </c>
      <c r="Z47" s="66" t="n">
        <f aca="false">-Inputs!$E$43*(1+Inputs!$E$44)^(Z$5-1)*1</f>
        <v>-2500</v>
      </c>
      <c r="AA47" s="66" t="n">
        <f aca="false">-Inputs!$E$43*(1+Inputs!$E$44)^(AA$5-1)*1</f>
        <v>-2500</v>
      </c>
      <c r="AB47" s="66" t="n">
        <f aca="false">-Inputs!$E$43*(1+Inputs!$E$44)^(AB$5-1)*1</f>
        <v>-2500</v>
      </c>
      <c r="AC47" s="66" t="n">
        <f aca="false">-Inputs!$E$43*(1+Inputs!$E$44)^(AC$5-1)*1</f>
        <v>-2500</v>
      </c>
      <c r="AD47" s="66" t="n">
        <f aca="false">-Inputs!$E$43*(1+Inputs!$E$44)^(AD$5-1)*1</f>
        <v>-2500</v>
      </c>
      <c r="AE47" s="66" t="n">
        <f aca="false">-Inputs!$E$43*(1+Inputs!$E$44)^(AE$5-1)*1</f>
        <v>-2500</v>
      </c>
      <c r="AF47" s="66" t="n">
        <f aca="false">-Inputs!$E$43*(1+Inputs!$E$44)^(AF$5-1)*1</f>
        <v>-2500</v>
      </c>
      <c r="AG47" s="66" t="n">
        <f aca="false">-Inputs!$E$43*(1+Inputs!$E$44)^(AG$5-1)*1</f>
        <v>-2500</v>
      </c>
      <c r="AH47" s="66" t="n">
        <f aca="false">-Inputs!$E$43*(1+Inputs!$E$44)^(AH$5-1)*1</f>
        <v>-2500</v>
      </c>
      <c r="AI47" s="66" t="n">
        <f aca="false">-Inputs!$E$43*(1+Inputs!$E$44)^(AI$5-1)*1</f>
        <v>-2500</v>
      </c>
      <c r="AJ47" s="66" t="n">
        <f aca="false">-Inputs!$E$43*(1+Inputs!$E$44)^(AJ$5-1)*1</f>
        <v>-2500</v>
      </c>
      <c r="AK47" s="66" t="n">
        <f aca="false">-Inputs!$E$43*(1+Inputs!$E$44)^(AK$5-1)*1</f>
        <v>-2500</v>
      </c>
      <c r="AL47" s="66" t="n">
        <f aca="false">-Inputs!$E$43*(1+Inputs!$E$44)^(AL$5-1)*1</f>
        <v>-2500</v>
      </c>
      <c r="AM47" s="66" t="n">
        <f aca="false">-Inputs!$E$43*(1+Inputs!$E$44)^(AM$5-1)*1</f>
        <v>-2500</v>
      </c>
      <c r="AN47" s="66" t="n">
        <f aca="false">-Inputs!$E$43*(1+Inputs!$E$44)^(AN$5-1)*1</f>
        <v>-2500</v>
      </c>
      <c r="AO47" s="66" t="n">
        <f aca="false">-Inputs!$E$43*(1+Inputs!$E$44)^(AO$5-1)*1</f>
        <v>-2500</v>
      </c>
      <c r="AP47" s="66" t="n">
        <f aca="false">-Inputs!$E$43*(1+Inputs!$E$44)^(AP$5-1)*1</f>
        <v>-2500</v>
      </c>
      <c r="AQ47" s="66" t="n">
        <f aca="false">-Inputs!$E$43*(1+Inputs!$E$44)^(AQ$5-1)*1</f>
        <v>-2500</v>
      </c>
      <c r="AR47" s="66" t="n">
        <f aca="false">-Inputs!$E$43*(1+Inputs!$E$44)^(AR$5-1)*1</f>
        <v>-2500</v>
      </c>
      <c r="AS47" s="66" t="n">
        <f aca="false">-Inputs!$E$43*(1+Inputs!$E$44)^(AS$5-1)*1</f>
        <v>-2500</v>
      </c>
      <c r="AT47" s="66" t="n">
        <f aca="false">-Inputs!$E$43*(1+Inputs!$E$44)^(AT$5-1)*1</f>
        <v>-2500</v>
      </c>
      <c r="AU47" s="66" t="n">
        <f aca="false">-Inputs!$E$43*(1+Inputs!$E$44)^(AU$5-1)*1</f>
        <v>-2500</v>
      </c>
      <c r="AV47" s="66" t="n">
        <f aca="false">-Inputs!$E$43*(1+Inputs!$E$44)^(AV$5-1)*1</f>
        <v>-2500</v>
      </c>
      <c r="AW47" s="66" t="n">
        <f aca="false">-Inputs!$E$43*(1+Inputs!$E$44)^(AW$5-1)*1</f>
        <v>-2500</v>
      </c>
      <c r="AX47" s="66" t="n">
        <f aca="false">-Inputs!$E$43*(1+Inputs!$E$44)^(AX$5-1)*1</f>
        <v>-2500</v>
      </c>
      <c r="AY47" s="66" t="n">
        <f aca="false">-Inputs!$E$43*(1+Inputs!$E$44)^(AY$5-1)*1</f>
        <v>-2500</v>
      </c>
      <c r="AZ47" s="66" t="n">
        <f aca="false">-Inputs!$E$43*(1+Inputs!$E$44)^(AZ$5-1)*1</f>
        <v>-2500</v>
      </c>
      <c r="BA47" s="66" t="n">
        <f aca="false">-Inputs!$E$43*(1+Inputs!$E$44)^(BA$5-1)*1</f>
        <v>-2500</v>
      </c>
      <c r="BB47" s="66" t="n">
        <f aca="false">-Inputs!$E$43*(1+Inputs!$E$44)^(BB$5-1)*1</f>
        <v>-2500</v>
      </c>
      <c r="BC47" s="66" t="n">
        <f aca="false">-Inputs!$E$43*(1+Inputs!$E$44)^(BC$5-1)*1</f>
        <v>-2500</v>
      </c>
      <c r="BD47" s="66" t="n">
        <f aca="false">-Inputs!$E$43*(1+Inputs!$E$44)^(BD$5-1)*1</f>
        <v>-2500</v>
      </c>
      <c r="BE47" s="66" t="n">
        <f aca="false">-Inputs!$E$43*(1+Inputs!$E$44)^(BE$5-1)*1</f>
        <v>-2500</v>
      </c>
      <c r="BF47" s="66" t="n">
        <f aca="false">-Inputs!$E$43*(1+Inputs!$E$44)^(BF$5-1)*1</f>
        <v>-2500</v>
      </c>
      <c r="BG47" s="66" t="n">
        <f aca="false">-Inputs!$E$43*(1+Inputs!$E$44)^(BG$5-1)*1</f>
        <v>-2500</v>
      </c>
      <c r="BH47" s="66" t="n">
        <f aca="false">-Inputs!$E$43*(1+Inputs!$E$44)^(BH$5-1)*1</f>
        <v>-2500</v>
      </c>
      <c r="BI47" s="66" t="n">
        <f aca="false">-Inputs!$E$43*(1+Inputs!$E$44)^(BI$5-1)*1</f>
        <v>-2500</v>
      </c>
      <c r="BJ47" s="66" t="n">
        <f aca="false">-Inputs!$E$43*(1+Inputs!$E$44)^(BJ$5-1)*1</f>
        <v>-2500</v>
      </c>
    </row>
    <row r="48" customFormat="false" ht="15" hidden="false" customHeight="false" outlineLevel="0" collapsed="false">
      <c r="A48" s="6" t="s">
        <v>344</v>
      </c>
      <c r="C48" s="66" t="n">
        <f aca="false">-Inputs!$E$45*1</f>
        <v>-400</v>
      </c>
      <c r="D48" s="66" t="n">
        <f aca="false">-Inputs!$E$45*1</f>
        <v>-400</v>
      </c>
      <c r="E48" s="66" t="n">
        <f aca="false">-Inputs!$E$45*1</f>
        <v>-400</v>
      </c>
      <c r="F48" s="66" t="n">
        <f aca="false">-Inputs!$E$45*1</f>
        <v>-400</v>
      </c>
      <c r="G48" s="66" t="n">
        <f aca="false">-Inputs!$E$45*1</f>
        <v>-400</v>
      </c>
      <c r="H48" s="66" t="n">
        <f aca="false">-Inputs!$E$45*1</f>
        <v>-400</v>
      </c>
      <c r="I48" s="66" t="n">
        <f aca="false">-Inputs!$E$45*1</f>
        <v>-400</v>
      </c>
      <c r="J48" s="66" t="n">
        <f aca="false">-Inputs!$E$45*1</f>
        <v>-400</v>
      </c>
      <c r="K48" s="66" t="n">
        <f aca="false">-Inputs!$E$45*1</f>
        <v>-400</v>
      </c>
      <c r="L48" s="66" t="n">
        <f aca="false">-Inputs!$E$45*1</f>
        <v>-400</v>
      </c>
      <c r="M48" s="66" t="n">
        <f aca="false">-Inputs!$E$45*1</f>
        <v>-400</v>
      </c>
      <c r="N48" s="66" t="n">
        <f aca="false">-Inputs!$E$45*1</f>
        <v>-400</v>
      </c>
      <c r="O48" s="66" t="n">
        <f aca="false">-Inputs!$E$45*1</f>
        <v>-400</v>
      </c>
      <c r="P48" s="66" t="n">
        <f aca="false">-Inputs!$E$45*1</f>
        <v>-400</v>
      </c>
      <c r="Q48" s="66" t="n">
        <f aca="false">-Inputs!$E$45*1</f>
        <v>-400</v>
      </c>
      <c r="R48" s="66" t="n">
        <f aca="false">-Inputs!$E$45*1</f>
        <v>-400</v>
      </c>
      <c r="S48" s="66" t="n">
        <f aca="false">-Inputs!$E$45*1</f>
        <v>-400</v>
      </c>
      <c r="T48" s="66" t="n">
        <f aca="false">-Inputs!$E$45*1</f>
        <v>-400</v>
      </c>
      <c r="U48" s="66" t="n">
        <f aca="false">-Inputs!$E$45*1</f>
        <v>-400</v>
      </c>
      <c r="V48" s="66" t="n">
        <f aca="false">-Inputs!$E$45*1</f>
        <v>-400</v>
      </c>
      <c r="W48" s="66" t="n">
        <f aca="false">-Inputs!$E$45*1</f>
        <v>-400</v>
      </c>
      <c r="X48" s="66" t="n">
        <f aca="false">-Inputs!$E$45*1</f>
        <v>-400</v>
      </c>
      <c r="Y48" s="66" t="n">
        <f aca="false">-Inputs!$E$45*1</f>
        <v>-400</v>
      </c>
      <c r="Z48" s="66" t="n">
        <f aca="false">-Inputs!$E$45*1</f>
        <v>-400</v>
      </c>
      <c r="AA48" s="66" t="n">
        <f aca="false">-Inputs!$E$45*1</f>
        <v>-400</v>
      </c>
      <c r="AB48" s="66" t="n">
        <f aca="false">-Inputs!$E$45*1</f>
        <v>-400</v>
      </c>
      <c r="AC48" s="66" t="n">
        <f aca="false">-Inputs!$E$45*1</f>
        <v>-400</v>
      </c>
      <c r="AD48" s="66" t="n">
        <f aca="false">-Inputs!$E$45*1</f>
        <v>-400</v>
      </c>
      <c r="AE48" s="66" t="n">
        <f aca="false">-Inputs!$E$45*1</f>
        <v>-400</v>
      </c>
      <c r="AF48" s="66" t="n">
        <f aca="false">-Inputs!$E$45*1</f>
        <v>-400</v>
      </c>
      <c r="AG48" s="66" t="n">
        <f aca="false">-Inputs!$E$45*1</f>
        <v>-400</v>
      </c>
      <c r="AH48" s="66" t="n">
        <f aca="false">-Inputs!$E$45*1</f>
        <v>-400</v>
      </c>
      <c r="AI48" s="66" t="n">
        <f aca="false">-Inputs!$E$45*1</f>
        <v>-400</v>
      </c>
      <c r="AJ48" s="66" t="n">
        <f aca="false">-Inputs!$E$45*1</f>
        <v>-400</v>
      </c>
      <c r="AK48" s="66" t="n">
        <f aca="false">-Inputs!$E$45*1</f>
        <v>-400</v>
      </c>
      <c r="AL48" s="66" t="n">
        <f aca="false">-Inputs!$E$45*1</f>
        <v>-400</v>
      </c>
      <c r="AM48" s="66" t="n">
        <f aca="false">-Inputs!$E$45*1</f>
        <v>-400</v>
      </c>
      <c r="AN48" s="66" t="n">
        <f aca="false">-Inputs!$E$45*1</f>
        <v>-400</v>
      </c>
      <c r="AO48" s="66" t="n">
        <f aca="false">-Inputs!$E$45*1</f>
        <v>-400</v>
      </c>
      <c r="AP48" s="66" t="n">
        <f aca="false">-Inputs!$E$45*1</f>
        <v>-400</v>
      </c>
      <c r="AQ48" s="66" t="n">
        <f aca="false">-Inputs!$E$45*1</f>
        <v>-400</v>
      </c>
      <c r="AR48" s="66" t="n">
        <f aca="false">-Inputs!$E$45*1</f>
        <v>-400</v>
      </c>
      <c r="AS48" s="66" t="n">
        <f aca="false">-Inputs!$E$45*1</f>
        <v>-400</v>
      </c>
      <c r="AT48" s="66" t="n">
        <f aca="false">-Inputs!$E$45*1</f>
        <v>-400</v>
      </c>
      <c r="AU48" s="66" t="n">
        <f aca="false">-Inputs!$E$45*1</f>
        <v>-400</v>
      </c>
      <c r="AV48" s="66" t="n">
        <f aca="false">-Inputs!$E$45*1</f>
        <v>-400</v>
      </c>
      <c r="AW48" s="66" t="n">
        <f aca="false">-Inputs!$E$45*1</f>
        <v>-400</v>
      </c>
      <c r="AX48" s="66" t="n">
        <f aca="false">-Inputs!$E$45*1</f>
        <v>-400</v>
      </c>
      <c r="AY48" s="66" t="n">
        <f aca="false">-Inputs!$E$45*1</f>
        <v>-400</v>
      </c>
      <c r="AZ48" s="66" t="n">
        <f aca="false">-Inputs!$E$45*1</f>
        <v>-400</v>
      </c>
      <c r="BA48" s="66" t="n">
        <f aca="false">-Inputs!$E$45*1</f>
        <v>-400</v>
      </c>
      <c r="BB48" s="66" t="n">
        <f aca="false">-Inputs!$E$45*1</f>
        <v>-400</v>
      </c>
      <c r="BC48" s="66" t="n">
        <f aca="false">-Inputs!$E$45*1</f>
        <v>-400</v>
      </c>
      <c r="BD48" s="66" t="n">
        <f aca="false">-Inputs!$E$45*1</f>
        <v>-400</v>
      </c>
      <c r="BE48" s="66" t="n">
        <f aca="false">-Inputs!$E$45*1</f>
        <v>-400</v>
      </c>
      <c r="BF48" s="66" t="n">
        <f aca="false">-Inputs!$E$45*1</f>
        <v>-400</v>
      </c>
      <c r="BG48" s="66" t="n">
        <f aca="false">-Inputs!$E$45*1</f>
        <v>-400</v>
      </c>
      <c r="BH48" s="66" t="n">
        <f aca="false">-Inputs!$E$45*1</f>
        <v>-400</v>
      </c>
      <c r="BI48" s="66" t="n">
        <f aca="false">-Inputs!$E$45*1</f>
        <v>-400</v>
      </c>
      <c r="BJ48" s="66" t="n">
        <f aca="false">-Inputs!$E$45*1</f>
        <v>-400</v>
      </c>
    </row>
    <row r="49" customFormat="false" ht="15" hidden="false" customHeight="false" outlineLevel="0" collapsed="false">
      <c r="A49" s="6" t="s">
        <v>345</v>
      </c>
      <c r="C49" s="66" t="n">
        <f aca="false">-C29*Inputs!$E$46</f>
        <v>-265.05</v>
      </c>
      <c r="D49" s="66" t="n">
        <f aca="false">-D29*Inputs!$E$46</f>
        <v>-336.834375</v>
      </c>
      <c r="E49" s="66" t="n">
        <f aca="false">-E29*Inputs!$E$46</f>
        <v>-408.61875</v>
      </c>
      <c r="F49" s="66" t="n">
        <f aca="false">-F29*Inputs!$E$46</f>
        <v>-480.403125</v>
      </c>
      <c r="G49" s="66" t="n">
        <f aca="false">-G29*Inputs!$E$46</f>
        <v>-552.1875</v>
      </c>
      <c r="H49" s="66" t="n">
        <f aca="false">-H29*Inputs!$E$46</f>
        <v>-623.971875</v>
      </c>
      <c r="I49" s="66" t="n">
        <f aca="false">-I29*Inputs!$E$46</f>
        <v>-695.75625</v>
      </c>
      <c r="J49" s="66" t="n">
        <f aca="false">-J29*Inputs!$E$46</f>
        <v>-767.540625</v>
      </c>
      <c r="K49" s="66" t="n">
        <f aca="false">-K29*Inputs!$E$46</f>
        <v>-839.325</v>
      </c>
      <c r="L49" s="66" t="n">
        <f aca="false">-L29*Inputs!$E$46</f>
        <v>-911.109375</v>
      </c>
      <c r="M49" s="66" t="n">
        <f aca="false">-M29*Inputs!$E$46</f>
        <v>-982.89375</v>
      </c>
      <c r="N49" s="66" t="n">
        <f aca="false">-N29*Inputs!$E$46</f>
        <v>-1054.678125</v>
      </c>
      <c r="O49" s="66" t="n">
        <f aca="false">-O29*Inputs!$E$46</f>
        <v>-1160.256375</v>
      </c>
      <c r="P49" s="66" t="n">
        <f aca="false">-P29*Inputs!$E$46</f>
        <v>-1160.256375</v>
      </c>
      <c r="Q49" s="66" t="n">
        <f aca="false">-Q29*Inputs!$E$46</f>
        <v>-1160.256375</v>
      </c>
      <c r="R49" s="66" t="n">
        <f aca="false">-R29*Inputs!$E$46</f>
        <v>-1160.256375</v>
      </c>
      <c r="S49" s="66" t="n">
        <f aca="false">-S29*Inputs!$E$46</f>
        <v>-1160.256375</v>
      </c>
      <c r="T49" s="66" t="n">
        <f aca="false">-T29*Inputs!$E$46</f>
        <v>-1160.256375</v>
      </c>
      <c r="U49" s="66" t="n">
        <f aca="false">-U29*Inputs!$E$46</f>
        <v>-1160.256375</v>
      </c>
      <c r="V49" s="66" t="n">
        <f aca="false">-V29*Inputs!$E$46</f>
        <v>-1160.256375</v>
      </c>
      <c r="W49" s="66" t="n">
        <f aca="false">-W29*Inputs!$E$46</f>
        <v>-1160.256375</v>
      </c>
      <c r="X49" s="66" t="n">
        <f aca="false">-X29*Inputs!$E$46</f>
        <v>-1160.256375</v>
      </c>
      <c r="Y49" s="66" t="n">
        <f aca="false">-Y29*Inputs!$E$46</f>
        <v>-1160.256375</v>
      </c>
      <c r="Z49" s="66" t="n">
        <f aca="false">-Z29*Inputs!$E$46</f>
        <v>-1160.256375</v>
      </c>
      <c r="AA49" s="66" t="n">
        <f aca="false">-AA29*Inputs!$E$46</f>
        <v>-1195.06406625</v>
      </c>
      <c r="AB49" s="66" t="n">
        <f aca="false">-AB29*Inputs!$E$46</f>
        <v>-1195.06406625</v>
      </c>
      <c r="AC49" s="66" t="n">
        <f aca="false">-AC29*Inputs!$E$46</f>
        <v>-1195.06406625</v>
      </c>
      <c r="AD49" s="66" t="n">
        <f aca="false">-AD29*Inputs!$E$46</f>
        <v>-1195.06406625</v>
      </c>
      <c r="AE49" s="66" t="n">
        <f aca="false">-AE29*Inputs!$E$46</f>
        <v>-1195.06406625</v>
      </c>
      <c r="AF49" s="66" t="n">
        <f aca="false">-AF29*Inputs!$E$46</f>
        <v>-1195.06406625</v>
      </c>
      <c r="AG49" s="66" t="n">
        <f aca="false">-AG29*Inputs!$E$46</f>
        <v>-1195.06406625</v>
      </c>
      <c r="AH49" s="66" t="n">
        <f aca="false">-AH29*Inputs!$E$46</f>
        <v>-1195.06406625</v>
      </c>
      <c r="AI49" s="66" t="n">
        <f aca="false">-AI29*Inputs!$E$46</f>
        <v>-1195.06406625</v>
      </c>
      <c r="AJ49" s="66" t="n">
        <f aca="false">-AJ29*Inputs!$E$46</f>
        <v>-1195.06406625</v>
      </c>
      <c r="AK49" s="66" t="n">
        <f aca="false">-AK29*Inputs!$E$46</f>
        <v>-1195.06406625</v>
      </c>
      <c r="AL49" s="66" t="n">
        <f aca="false">-AL29*Inputs!$E$46</f>
        <v>-1195.06406625</v>
      </c>
      <c r="AM49" s="66" t="n">
        <f aca="false">-AM29*Inputs!$E$46</f>
        <v>-1230.9159882375</v>
      </c>
      <c r="AN49" s="66" t="n">
        <f aca="false">-AN29*Inputs!$E$46</f>
        <v>-1230.9159882375</v>
      </c>
      <c r="AO49" s="66" t="n">
        <f aca="false">-AO29*Inputs!$E$46</f>
        <v>-1230.9159882375</v>
      </c>
      <c r="AP49" s="66" t="n">
        <f aca="false">-AP29*Inputs!$E$46</f>
        <v>-1230.9159882375</v>
      </c>
      <c r="AQ49" s="66" t="n">
        <f aca="false">-AQ29*Inputs!$E$46</f>
        <v>-1230.9159882375</v>
      </c>
      <c r="AR49" s="66" t="n">
        <f aca="false">-AR29*Inputs!$E$46</f>
        <v>-1230.9159882375</v>
      </c>
      <c r="AS49" s="66" t="n">
        <f aca="false">-AS29*Inputs!$E$46</f>
        <v>-1230.9159882375</v>
      </c>
      <c r="AT49" s="66" t="n">
        <f aca="false">-AT29*Inputs!$E$46</f>
        <v>-1230.9159882375</v>
      </c>
      <c r="AU49" s="66" t="n">
        <f aca="false">-AU29*Inputs!$E$46</f>
        <v>-1230.9159882375</v>
      </c>
      <c r="AV49" s="66" t="n">
        <f aca="false">-AV29*Inputs!$E$46</f>
        <v>-1230.9159882375</v>
      </c>
      <c r="AW49" s="66" t="n">
        <f aca="false">-AW29*Inputs!$E$46</f>
        <v>-1230.9159882375</v>
      </c>
      <c r="AX49" s="66" t="n">
        <f aca="false">-AX29*Inputs!$E$46</f>
        <v>-1230.9159882375</v>
      </c>
      <c r="AY49" s="66" t="n">
        <f aca="false">-AY29*Inputs!$E$46</f>
        <v>-1267.84346788463</v>
      </c>
      <c r="AZ49" s="66" t="n">
        <f aca="false">-AZ29*Inputs!$E$46</f>
        <v>-1267.84346788463</v>
      </c>
      <c r="BA49" s="66" t="n">
        <f aca="false">-BA29*Inputs!$E$46</f>
        <v>-1267.84346788463</v>
      </c>
      <c r="BB49" s="66" t="n">
        <f aca="false">-BB29*Inputs!$E$46</f>
        <v>-1267.84346788463</v>
      </c>
      <c r="BC49" s="66" t="n">
        <f aca="false">-BC29*Inputs!$E$46</f>
        <v>-1267.84346788463</v>
      </c>
      <c r="BD49" s="66" t="n">
        <f aca="false">-BD29*Inputs!$E$46</f>
        <v>-1267.84346788463</v>
      </c>
      <c r="BE49" s="66" t="n">
        <f aca="false">-BE29*Inputs!$E$46</f>
        <v>-1267.84346788463</v>
      </c>
      <c r="BF49" s="66" t="n">
        <f aca="false">-BF29*Inputs!$E$46</f>
        <v>-1267.84346788463</v>
      </c>
      <c r="BG49" s="66" t="n">
        <f aca="false">-BG29*Inputs!$E$46</f>
        <v>-1267.84346788463</v>
      </c>
      <c r="BH49" s="66" t="n">
        <f aca="false">-BH29*Inputs!$E$46</f>
        <v>-1267.84346788463</v>
      </c>
      <c r="BI49" s="66" t="n">
        <f aca="false">-BI29*Inputs!$E$46</f>
        <v>-1267.84346788463</v>
      </c>
      <c r="BJ49" s="66" t="n">
        <f aca="false">-BJ29*Inputs!$E$46</f>
        <v>-1267.84346788463</v>
      </c>
    </row>
    <row r="50" customFormat="false" ht="15" hidden="false" customHeight="false" outlineLevel="0" collapsed="false">
      <c r="A50" s="6" t="s">
        <v>346</v>
      </c>
      <c r="C50" s="66" t="n">
        <f aca="false">-Inputs!$E$47*1</f>
        <v>-1200</v>
      </c>
      <c r="D50" s="66" t="n">
        <f aca="false">-Inputs!$E$47*1</f>
        <v>-1200</v>
      </c>
      <c r="E50" s="66" t="n">
        <f aca="false">-Inputs!$E$47*1</f>
        <v>-1200</v>
      </c>
      <c r="F50" s="66" t="n">
        <f aca="false">-Inputs!$E$47*1</f>
        <v>-1200</v>
      </c>
      <c r="G50" s="66" t="n">
        <f aca="false">-Inputs!$E$47*1</f>
        <v>-1200</v>
      </c>
      <c r="H50" s="66" t="n">
        <f aca="false">-Inputs!$E$47*1</f>
        <v>-1200</v>
      </c>
      <c r="I50" s="66" t="n">
        <f aca="false">-Inputs!$E$47*1</f>
        <v>-1200</v>
      </c>
      <c r="J50" s="66" t="n">
        <f aca="false">-Inputs!$E$47*1</f>
        <v>-1200</v>
      </c>
      <c r="K50" s="66" t="n">
        <f aca="false">-Inputs!$E$47*1</f>
        <v>-1200</v>
      </c>
      <c r="L50" s="66" t="n">
        <f aca="false">-Inputs!$E$47*1</f>
        <v>-1200</v>
      </c>
      <c r="M50" s="66" t="n">
        <f aca="false">-Inputs!$E$47*1</f>
        <v>-1200</v>
      </c>
      <c r="N50" s="66" t="n">
        <f aca="false">-Inputs!$E$47*1</f>
        <v>-1200</v>
      </c>
      <c r="O50" s="66" t="n">
        <f aca="false">-Inputs!$E$47*1</f>
        <v>-1200</v>
      </c>
      <c r="P50" s="66" t="n">
        <f aca="false">-Inputs!$E$47*1</f>
        <v>-1200</v>
      </c>
      <c r="Q50" s="66" t="n">
        <f aca="false">-Inputs!$E$47*1</f>
        <v>-1200</v>
      </c>
      <c r="R50" s="66" t="n">
        <f aca="false">-Inputs!$E$47*1</f>
        <v>-1200</v>
      </c>
      <c r="S50" s="66" t="n">
        <f aca="false">-Inputs!$E$47*1</f>
        <v>-1200</v>
      </c>
      <c r="T50" s="66" t="n">
        <f aca="false">-Inputs!$E$47*1</f>
        <v>-1200</v>
      </c>
      <c r="U50" s="66" t="n">
        <f aca="false">-Inputs!$E$47*1</f>
        <v>-1200</v>
      </c>
      <c r="V50" s="66" t="n">
        <f aca="false">-Inputs!$E$47*1</f>
        <v>-1200</v>
      </c>
      <c r="W50" s="66" t="n">
        <f aca="false">-Inputs!$E$47*1</f>
        <v>-1200</v>
      </c>
      <c r="X50" s="66" t="n">
        <f aca="false">-Inputs!$E$47*1</f>
        <v>-1200</v>
      </c>
      <c r="Y50" s="66" t="n">
        <f aca="false">-Inputs!$E$47*1</f>
        <v>-1200</v>
      </c>
      <c r="Z50" s="66" t="n">
        <f aca="false">-Inputs!$E$47*1</f>
        <v>-1200</v>
      </c>
      <c r="AA50" s="66" t="n">
        <f aca="false">-Inputs!$E$47*1</f>
        <v>-1200</v>
      </c>
      <c r="AB50" s="66" t="n">
        <f aca="false">-Inputs!$E$47*1</f>
        <v>-1200</v>
      </c>
      <c r="AC50" s="66" t="n">
        <f aca="false">-Inputs!$E$47*1</f>
        <v>-1200</v>
      </c>
      <c r="AD50" s="66" t="n">
        <f aca="false">-Inputs!$E$47*1</f>
        <v>-1200</v>
      </c>
      <c r="AE50" s="66" t="n">
        <f aca="false">-Inputs!$E$47*1</f>
        <v>-1200</v>
      </c>
      <c r="AF50" s="66" t="n">
        <f aca="false">-Inputs!$E$47*1</f>
        <v>-1200</v>
      </c>
      <c r="AG50" s="66" t="n">
        <f aca="false">-Inputs!$E$47*1</f>
        <v>-1200</v>
      </c>
      <c r="AH50" s="66" t="n">
        <f aca="false">-Inputs!$E$47*1</f>
        <v>-1200</v>
      </c>
      <c r="AI50" s="66" t="n">
        <f aca="false">-Inputs!$E$47*1</f>
        <v>-1200</v>
      </c>
      <c r="AJ50" s="66" t="n">
        <f aca="false">-Inputs!$E$47*1</f>
        <v>-1200</v>
      </c>
      <c r="AK50" s="66" t="n">
        <f aca="false">-Inputs!$E$47*1</f>
        <v>-1200</v>
      </c>
      <c r="AL50" s="66" t="n">
        <f aca="false">-Inputs!$E$47*1</f>
        <v>-1200</v>
      </c>
      <c r="AM50" s="66" t="n">
        <f aca="false">-Inputs!$E$47*1</f>
        <v>-1200</v>
      </c>
      <c r="AN50" s="66" t="n">
        <f aca="false">-Inputs!$E$47*1</f>
        <v>-1200</v>
      </c>
      <c r="AO50" s="66" t="n">
        <f aca="false">-Inputs!$E$47*1</f>
        <v>-1200</v>
      </c>
      <c r="AP50" s="66" t="n">
        <f aca="false">-Inputs!$E$47*1</f>
        <v>-1200</v>
      </c>
      <c r="AQ50" s="66" t="n">
        <f aca="false">-Inputs!$E$47*1</f>
        <v>-1200</v>
      </c>
      <c r="AR50" s="66" t="n">
        <f aca="false">-Inputs!$E$47*1</f>
        <v>-1200</v>
      </c>
      <c r="AS50" s="66" t="n">
        <f aca="false">-Inputs!$E$47*1</f>
        <v>-1200</v>
      </c>
      <c r="AT50" s="66" t="n">
        <f aca="false">-Inputs!$E$47*1</f>
        <v>-1200</v>
      </c>
      <c r="AU50" s="66" t="n">
        <f aca="false">-Inputs!$E$47*1</f>
        <v>-1200</v>
      </c>
      <c r="AV50" s="66" t="n">
        <f aca="false">-Inputs!$E$47*1</f>
        <v>-1200</v>
      </c>
      <c r="AW50" s="66" t="n">
        <f aca="false">-Inputs!$E$47*1</f>
        <v>-1200</v>
      </c>
      <c r="AX50" s="66" t="n">
        <f aca="false">-Inputs!$E$47*1</f>
        <v>-1200</v>
      </c>
      <c r="AY50" s="66" t="n">
        <f aca="false">-Inputs!$E$47*1</f>
        <v>-1200</v>
      </c>
      <c r="AZ50" s="66" t="n">
        <f aca="false">-Inputs!$E$47*1</f>
        <v>-1200</v>
      </c>
      <c r="BA50" s="66" t="n">
        <f aca="false">-Inputs!$E$47*1</f>
        <v>-1200</v>
      </c>
      <c r="BB50" s="66" t="n">
        <f aca="false">-Inputs!$E$47*1</f>
        <v>-1200</v>
      </c>
      <c r="BC50" s="66" t="n">
        <f aca="false">-Inputs!$E$47*1</f>
        <v>-1200</v>
      </c>
      <c r="BD50" s="66" t="n">
        <f aca="false">-Inputs!$E$47*1</f>
        <v>-1200</v>
      </c>
      <c r="BE50" s="66" t="n">
        <f aca="false">-Inputs!$E$47*1</f>
        <v>-1200</v>
      </c>
      <c r="BF50" s="66" t="n">
        <f aca="false">-Inputs!$E$47*1</f>
        <v>-1200</v>
      </c>
      <c r="BG50" s="66" t="n">
        <f aca="false">-Inputs!$E$47*1</f>
        <v>-1200</v>
      </c>
      <c r="BH50" s="66" t="n">
        <f aca="false">-Inputs!$E$47*1</f>
        <v>-1200</v>
      </c>
      <c r="BI50" s="66" t="n">
        <f aca="false">-Inputs!$E$47*1</f>
        <v>-1200</v>
      </c>
      <c r="BJ50" s="66" t="n">
        <f aca="false">-Inputs!$E$47*1</f>
        <v>-1200</v>
      </c>
    </row>
    <row r="51" customFormat="false" ht="15" hidden="false" customHeight="false" outlineLevel="0" collapsed="false">
      <c r="A51" s="110" t="s">
        <v>76</v>
      </c>
      <c r="C51" s="67" t="n">
        <f aca="false">C42+C43+C44+C45+C46+C47+C48+C49+C50</f>
        <v>-24349.2166666667</v>
      </c>
      <c r="D51" s="67" t="n">
        <f aca="false">D42+D43+D44+D45+D46+D47+D48+D49+D50</f>
        <v>-24421.0010416667</v>
      </c>
      <c r="E51" s="67" t="n">
        <f aca="false">E42+E43+E44+E45+E46+E47+E48+E49+E50</f>
        <v>-24492.7854166667</v>
      </c>
      <c r="F51" s="67" t="n">
        <f aca="false">F42+F43+F44+F45+F46+F47+F48+F49+F50</f>
        <v>-24564.5697916667</v>
      </c>
      <c r="G51" s="67" t="n">
        <f aca="false">G42+G43+G44+G45+G46+G47+G48+G49+G50</f>
        <v>-24636.3541666667</v>
      </c>
      <c r="H51" s="67" t="n">
        <f aca="false">H42+H43+H44+H45+H46+H47+H48+H49+H50</f>
        <v>-24708.1385416667</v>
      </c>
      <c r="I51" s="67" t="n">
        <f aca="false">I42+I43+I44+I45+I46+I47+I48+I49+I50</f>
        <v>-24779.9229166667</v>
      </c>
      <c r="J51" s="67" t="n">
        <f aca="false">J42+J43+J44+J45+J46+J47+J48+J49+J50</f>
        <v>-24851.7072916667</v>
      </c>
      <c r="K51" s="67" t="n">
        <f aca="false">K42+K43+K44+K45+K46+K47+K48+K49+K50</f>
        <v>-24923.4916666667</v>
      </c>
      <c r="L51" s="67" t="n">
        <f aca="false">L42+L43+L44+L45+L46+L47+L48+L49+L50</f>
        <v>-24995.2760416667</v>
      </c>
      <c r="M51" s="67" t="n">
        <f aca="false">M42+M43+M44+M45+M46+M47+M48+M49+M50</f>
        <v>-25067.0604166667</v>
      </c>
      <c r="N51" s="67" t="n">
        <f aca="false">N42+N43+N44+N45+N46+N47+N48+N49+N50</f>
        <v>-25138.8447916667</v>
      </c>
      <c r="O51" s="67" t="n">
        <f aca="false">O42+O43+O44+O45+O46+O47+O48+O49+O50</f>
        <v>-25771.9480416667</v>
      </c>
      <c r="P51" s="67" t="n">
        <f aca="false">P42+P43+P44+P45+P46+P47+P48+P49+P50</f>
        <v>-25771.9480416667</v>
      </c>
      <c r="Q51" s="67" t="n">
        <f aca="false">Q42+Q43+Q44+Q45+Q46+Q47+Q48+Q49+Q50</f>
        <v>-25771.9480416667</v>
      </c>
      <c r="R51" s="67" t="n">
        <f aca="false">R42+R43+R44+R45+R46+R47+R48+R49+R50</f>
        <v>-25771.9480416667</v>
      </c>
      <c r="S51" s="67" t="n">
        <f aca="false">S42+S43+S44+S45+S46+S47+S48+S49+S50</f>
        <v>-25771.9480416667</v>
      </c>
      <c r="T51" s="67" t="n">
        <f aca="false">T42+T43+T44+T45+T46+T47+T48+T49+T50</f>
        <v>-25771.9480416667</v>
      </c>
      <c r="U51" s="67" t="n">
        <f aca="false">U42+U43+U44+U45+U46+U47+U48+U49+U50</f>
        <v>-25771.9480416667</v>
      </c>
      <c r="V51" s="67" t="n">
        <f aca="false">V42+V43+V44+V45+V46+V47+V48+V49+V50</f>
        <v>-25771.9480416667</v>
      </c>
      <c r="W51" s="67" t="n">
        <f aca="false">W42+W43+W44+W45+W46+W47+W48+W49+W50</f>
        <v>-25771.9480416667</v>
      </c>
      <c r="X51" s="67" t="n">
        <f aca="false">X42+X43+X44+X45+X46+X47+X48+X49+X50</f>
        <v>-25771.9480416667</v>
      </c>
      <c r="Y51" s="67" t="n">
        <f aca="false">Y42+Y43+Y44+Y45+Y46+Y47+Y48+Y49+Y50</f>
        <v>-25771.9480416667</v>
      </c>
      <c r="Z51" s="67" t="n">
        <f aca="false">Z42+Z43+Z44+Z45+Z46+Z47+Z48+Z49+Z50</f>
        <v>-25771.9480416667</v>
      </c>
      <c r="AA51" s="67" t="n">
        <f aca="false">AA42+AA43+AA44+AA45+AA46+AA47+AA48+AA49+AA50</f>
        <v>-26350.1064829167</v>
      </c>
      <c r="AB51" s="67" t="n">
        <f aca="false">AB42+AB43+AB44+AB45+AB46+AB47+AB48+AB49+AB50</f>
        <v>-26350.1064829167</v>
      </c>
      <c r="AC51" s="67" t="n">
        <f aca="false">AC42+AC43+AC44+AC45+AC46+AC47+AC48+AC49+AC50</f>
        <v>-26350.1064829167</v>
      </c>
      <c r="AD51" s="67" t="n">
        <f aca="false">AD42+AD43+AD44+AD45+AD46+AD47+AD48+AD49+AD50</f>
        <v>-26350.1064829167</v>
      </c>
      <c r="AE51" s="67" t="n">
        <f aca="false">AE42+AE43+AE44+AE45+AE46+AE47+AE48+AE49+AE50</f>
        <v>-26350.1064829167</v>
      </c>
      <c r="AF51" s="67" t="n">
        <f aca="false">AF42+AF43+AF44+AF45+AF46+AF47+AF48+AF49+AF50</f>
        <v>-26350.1064829167</v>
      </c>
      <c r="AG51" s="67" t="n">
        <f aca="false">AG42+AG43+AG44+AG45+AG46+AG47+AG48+AG49+AG50</f>
        <v>-26350.1064829167</v>
      </c>
      <c r="AH51" s="67" t="n">
        <f aca="false">AH42+AH43+AH44+AH45+AH46+AH47+AH48+AH49+AH50</f>
        <v>-26350.1064829167</v>
      </c>
      <c r="AI51" s="67" t="n">
        <f aca="false">AI42+AI43+AI44+AI45+AI46+AI47+AI48+AI49+AI50</f>
        <v>-26350.1064829167</v>
      </c>
      <c r="AJ51" s="67" t="n">
        <f aca="false">AJ42+AJ43+AJ44+AJ45+AJ46+AJ47+AJ48+AJ49+AJ50</f>
        <v>-26350.1064829167</v>
      </c>
      <c r="AK51" s="67" t="n">
        <f aca="false">AK42+AK43+AK44+AK45+AK46+AK47+AK48+AK49+AK50</f>
        <v>-26350.1064829167</v>
      </c>
      <c r="AL51" s="67" t="n">
        <f aca="false">AL42+AL43+AL44+AL45+AL46+AL47+AL48+AL49+AL50</f>
        <v>-26350.1064829167</v>
      </c>
      <c r="AM51" s="67" t="n">
        <f aca="false">AM42+AM43+AM44+AM45+AM46+AM47+AM48+AM49+AM50</f>
        <v>-26945.6096774042</v>
      </c>
      <c r="AN51" s="67" t="n">
        <f aca="false">AN42+AN43+AN44+AN45+AN46+AN47+AN48+AN49+AN50</f>
        <v>-26945.6096774042</v>
      </c>
      <c r="AO51" s="67" t="n">
        <f aca="false">AO42+AO43+AO44+AO45+AO46+AO47+AO48+AO49+AO50</f>
        <v>-26945.6096774042</v>
      </c>
      <c r="AP51" s="67" t="n">
        <f aca="false">AP42+AP43+AP44+AP45+AP46+AP47+AP48+AP49+AP50</f>
        <v>-26945.6096774042</v>
      </c>
      <c r="AQ51" s="67" t="n">
        <f aca="false">AQ42+AQ43+AQ44+AQ45+AQ46+AQ47+AQ48+AQ49+AQ50</f>
        <v>-26945.6096774042</v>
      </c>
      <c r="AR51" s="67" t="n">
        <f aca="false">AR42+AR43+AR44+AR45+AR46+AR47+AR48+AR49+AR50</f>
        <v>-26945.6096774042</v>
      </c>
      <c r="AS51" s="67" t="n">
        <f aca="false">AS42+AS43+AS44+AS45+AS46+AS47+AS48+AS49+AS50</f>
        <v>-26945.6096774042</v>
      </c>
      <c r="AT51" s="67" t="n">
        <f aca="false">AT42+AT43+AT44+AT45+AT46+AT47+AT48+AT49+AT50</f>
        <v>-26945.6096774042</v>
      </c>
      <c r="AU51" s="67" t="n">
        <f aca="false">AU42+AU43+AU44+AU45+AU46+AU47+AU48+AU49+AU50</f>
        <v>-26945.6096774042</v>
      </c>
      <c r="AV51" s="67" t="n">
        <f aca="false">AV42+AV43+AV44+AV45+AV46+AV47+AV48+AV49+AV50</f>
        <v>-26945.6096774042</v>
      </c>
      <c r="AW51" s="67" t="n">
        <f aca="false">AW42+AW43+AW44+AW45+AW46+AW47+AW48+AW49+AW50</f>
        <v>-26945.6096774042</v>
      </c>
      <c r="AX51" s="67" t="n">
        <f aca="false">AX42+AX43+AX44+AX45+AX46+AX47+AX48+AX49+AX50</f>
        <v>-26945.6096774042</v>
      </c>
      <c r="AY51" s="67" t="n">
        <f aca="false">AY42+AY43+AY44+AY45+AY46+AY47+AY48+AY49+AY50</f>
        <v>-27558.9779677263</v>
      </c>
      <c r="AZ51" s="67" t="n">
        <f aca="false">AZ42+AZ43+AZ44+AZ45+AZ46+AZ47+AZ48+AZ49+AZ50</f>
        <v>-27558.9779677263</v>
      </c>
      <c r="BA51" s="67" t="n">
        <f aca="false">BA42+BA43+BA44+BA45+BA46+BA47+BA48+BA49+BA50</f>
        <v>-27558.9779677263</v>
      </c>
      <c r="BB51" s="67" t="n">
        <f aca="false">BB42+BB43+BB44+BB45+BB46+BB47+BB48+BB49+BB50</f>
        <v>-27558.9779677263</v>
      </c>
      <c r="BC51" s="67" t="n">
        <f aca="false">BC42+BC43+BC44+BC45+BC46+BC47+BC48+BC49+BC50</f>
        <v>-27558.9779677263</v>
      </c>
      <c r="BD51" s="67" t="n">
        <f aca="false">BD42+BD43+BD44+BD45+BD46+BD47+BD48+BD49+BD50</f>
        <v>-27558.9779677263</v>
      </c>
      <c r="BE51" s="67" t="n">
        <f aca="false">BE42+BE43+BE44+BE45+BE46+BE47+BE48+BE49+BE50</f>
        <v>-27558.9779677263</v>
      </c>
      <c r="BF51" s="67" t="n">
        <f aca="false">BF42+BF43+BF44+BF45+BF46+BF47+BF48+BF49+BF50</f>
        <v>-27558.9779677263</v>
      </c>
      <c r="BG51" s="67" t="n">
        <f aca="false">BG42+BG43+BG44+BG45+BG46+BG47+BG48+BG49+BG50</f>
        <v>-27558.9779677263</v>
      </c>
      <c r="BH51" s="67" t="n">
        <f aca="false">BH42+BH43+BH44+BH45+BH46+BH47+BH48+BH49+BH50</f>
        <v>-27558.9779677263</v>
      </c>
      <c r="BI51" s="67" t="n">
        <f aca="false">BI42+BI43+BI44+BI45+BI46+BI47+BI48+BI49+BI50</f>
        <v>-27558.9779677263</v>
      </c>
      <c r="BJ51" s="67" t="n">
        <f aca="false">BJ42+BJ43+BJ44+BJ45+BJ46+BJ47+BJ48+BJ49+BJ50</f>
        <v>-27558.9779677263</v>
      </c>
    </row>
    <row r="52" customFormat="false" ht="15" hidden="false" customHeight="false" outlineLevel="0" collapsed="false">
      <c r="A52" s="110" t="s">
        <v>48</v>
      </c>
      <c r="C52" s="67" t="n">
        <f aca="false">C39+C51</f>
        <v>-17948.2166666667</v>
      </c>
      <c r="D52" s="67" t="n">
        <f aca="false">D39+D51</f>
        <v>-15963.0635416667</v>
      </c>
      <c r="E52" s="67" t="n">
        <f aca="false">E39+E51</f>
        <v>-20505.4104166667</v>
      </c>
      <c r="F52" s="67" t="n">
        <f aca="false">F39+F51</f>
        <v>-17207.7572916667</v>
      </c>
      <c r="G52" s="67" t="n">
        <f aca="false">G39+G51</f>
        <v>-13910.1041666667</v>
      </c>
      <c r="H52" s="67" t="n">
        <f aca="false">H39+H51</f>
        <v>-10612.4510416667</v>
      </c>
      <c r="I52" s="67" t="n">
        <f aca="false">I39+I51</f>
        <v>-7314.79791666667</v>
      </c>
      <c r="J52" s="67" t="n">
        <f aca="false">J39+J51</f>
        <v>-7937.14479166667</v>
      </c>
      <c r="K52" s="67" t="n">
        <f aca="false">K39+K51</f>
        <v>-8559.49166666667</v>
      </c>
      <c r="L52" s="67" t="n">
        <f aca="false">L39+L51</f>
        <v>-5261.83854166666</v>
      </c>
      <c r="M52" s="67" t="n">
        <f aca="false">M39+M51</f>
        <v>-1964.18541666666</v>
      </c>
      <c r="N52" s="67" t="n">
        <f aca="false">N39+N51</f>
        <v>1333.46770833334</v>
      </c>
      <c r="O52" s="67" t="n">
        <f aca="false">O39+O51</f>
        <v>4965.05445833333</v>
      </c>
      <c r="P52" s="67" t="n">
        <f aca="false">P39+P51</f>
        <v>4462.92945833333</v>
      </c>
      <c r="Q52" s="67" t="n">
        <f aca="false">Q39+Q51</f>
        <v>4462.92945833333</v>
      </c>
      <c r="R52" s="67" t="n">
        <f aca="false">R39+R51</f>
        <v>4462.92945833333</v>
      </c>
      <c r="S52" s="67" t="n">
        <f aca="false">S39+S51</f>
        <v>4462.92945833333</v>
      </c>
      <c r="T52" s="67" t="n">
        <f aca="false">T39+T51</f>
        <v>4462.92945833333</v>
      </c>
      <c r="U52" s="67" t="n">
        <f aca="false">U39+U51</f>
        <v>4462.92945833333</v>
      </c>
      <c r="V52" s="67" t="n">
        <f aca="false">V39+V51</f>
        <v>4462.92945833333</v>
      </c>
      <c r="W52" s="67" t="n">
        <f aca="false">W39+W51</f>
        <v>4462.92945833333</v>
      </c>
      <c r="X52" s="67" t="n">
        <f aca="false">X39+X51</f>
        <v>4462.92945833333</v>
      </c>
      <c r="Y52" s="67" t="n">
        <f aca="false">Y39+Y51</f>
        <v>4462.92945833333</v>
      </c>
      <c r="Z52" s="67" t="n">
        <f aca="false">Z39+Z51</f>
        <v>4462.92945833333</v>
      </c>
      <c r="AA52" s="67" t="n">
        <f aca="false">AA39+AA51</f>
        <v>4791.81734208333</v>
      </c>
      <c r="AB52" s="67" t="n">
        <f aca="false">AB39+AB51</f>
        <v>4791.81734208333</v>
      </c>
      <c r="AC52" s="67" t="n">
        <f aca="false">AC39+AC51</f>
        <v>4791.81734208333</v>
      </c>
      <c r="AD52" s="67" t="n">
        <f aca="false">AD39+AD51</f>
        <v>4791.81734208333</v>
      </c>
      <c r="AE52" s="67" t="n">
        <f aca="false">AE39+AE51</f>
        <v>4791.81734208333</v>
      </c>
      <c r="AF52" s="67" t="n">
        <f aca="false">AF39+AF51</f>
        <v>4791.81734208333</v>
      </c>
      <c r="AG52" s="67" t="n">
        <f aca="false">AG39+AG51</f>
        <v>4791.81734208333</v>
      </c>
      <c r="AH52" s="67" t="n">
        <f aca="false">AH39+AH51</f>
        <v>4791.81734208333</v>
      </c>
      <c r="AI52" s="67" t="n">
        <f aca="false">AI39+AI51</f>
        <v>4791.81734208333</v>
      </c>
      <c r="AJ52" s="67" t="n">
        <f aca="false">AJ39+AJ51</f>
        <v>4791.81734208333</v>
      </c>
      <c r="AK52" s="67" t="n">
        <f aca="false">AK39+AK51</f>
        <v>4791.81734208333</v>
      </c>
      <c r="AL52" s="67" t="n">
        <f aca="false">AL39+AL51</f>
        <v>4791.81734208333</v>
      </c>
      <c r="AM52" s="67" t="n">
        <f aca="false">AM39+AM51</f>
        <v>5130.57186234583</v>
      </c>
      <c r="AN52" s="67" t="n">
        <f aca="false">AN39+AN51</f>
        <v>5130.57186234583</v>
      </c>
      <c r="AO52" s="67" t="n">
        <f aca="false">AO39+AO51</f>
        <v>5130.57186234583</v>
      </c>
      <c r="AP52" s="67" t="n">
        <f aca="false">AP39+AP51</f>
        <v>5130.57186234583</v>
      </c>
      <c r="AQ52" s="67" t="n">
        <f aca="false">AQ39+AQ51</f>
        <v>5130.57186234583</v>
      </c>
      <c r="AR52" s="67" t="n">
        <f aca="false">AR39+AR51</f>
        <v>5130.57186234583</v>
      </c>
      <c r="AS52" s="67" t="n">
        <f aca="false">AS39+AS51</f>
        <v>5130.57186234583</v>
      </c>
      <c r="AT52" s="67" t="n">
        <f aca="false">AT39+AT51</f>
        <v>5130.57186234583</v>
      </c>
      <c r="AU52" s="67" t="n">
        <f aca="false">AU39+AU51</f>
        <v>5130.57186234583</v>
      </c>
      <c r="AV52" s="67" t="n">
        <f aca="false">AV39+AV51</f>
        <v>5130.57186234583</v>
      </c>
      <c r="AW52" s="67" t="n">
        <f aca="false">AW39+AW51</f>
        <v>5130.57186234583</v>
      </c>
      <c r="AX52" s="67" t="n">
        <f aca="false">AX39+AX51</f>
        <v>5130.57186234583</v>
      </c>
      <c r="AY52" s="67" t="n">
        <f aca="false">AY39+AY51</f>
        <v>5479.4890182162</v>
      </c>
      <c r="AZ52" s="67" t="n">
        <f aca="false">AZ39+AZ51</f>
        <v>5479.4890182162</v>
      </c>
      <c r="BA52" s="67" t="n">
        <f aca="false">BA39+BA51</f>
        <v>5479.4890182162</v>
      </c>
      <c r="BB52" s="67" t="n">
        <f aca="false">BB39+BB51</f>
        <v>5479.4890182162</v>
      </c>
      <c r="BC52" s="67" t="n">
        <f aca="false">BC39+BC51</f>
        <v>5479.4890182162</v>
      </c>
      <c r="BD52" s="67" t="n">
        <f aca="false">BD39+BD51</f>
        <v>5479.4890182162</v>
      </c>
      <c r="BE52" s="67" t="n">
        <f aca="false">BE39+BE51</f>
        <v>5479.4890182162</v>
      </c>
      <c r="BF52" s="67" t="n">
        <f aca="false">BF39+BF51</f>
        <v>5479.4890182162</v>
      </c>
      <c r="BG52" s="67" t="n">
        <f aca="false">BG39+BG51</f>
        <v>5479.4890182162</v>
      </c>
      <c r="BH52" s="67" t="n">
        <f aca="false">BH39+BH51</f>
        <v>5479.4890182162</v>
      </c>
      <c r="BI52" s="67" t="n">
        <f aca="false">BI39+BI51</f>
        <v>5479.4890182162</v>
      </c>
      <c r="BJ52" s="67" t="n">
        <f aca="false">BJ39+BJ51</f>
        <v>5479.4890182162</v>
      </c>
    </row>
    <row r="54" customFormat="false" ht="15.75" hidden="false" customHeight="true" outlineLevel="0" collapsed="false">
      <c r="A54" s="7" t="s">
        <v>435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4" t="s">
        <v>78</v>
      </c>
      <c r="C55" s="72" t="n">
        <f aca="false">C52+C70</f>
        <v>-21631.55</v>
      </c>
      <c r="D55" s="72" t="n">
        <f aca="false">D52+D70</f>
        <v>-19646.396875</v>
      </c>
      <c r="E55" s="72" t="n">
        <f aca="false">E52+E70</f>
        <v>-24188.74375</v>
      </c>
      <c r="F55" s="72" t="n">
        <f aca="false">F52+F70</f>
        <v>-20891.090625</v>
      </c>
      <c r="G55" s="72" t="n">
        <f aca="false">G52+G70</f>
        <v>-17593.4375</v>
      </c>
      <c r="H55" s="72" t="n">
        <f aca="false">H52+H70</f>
        <v>-14295.784375</v>
      </c>
      <c r="I55" s="72" t="n">
        <f aca="false">I52+I70</f>
        <v>-10998.13125</v>
      </c>
      <c r="J55" s="72" t="n">
        <f aca="false">J52+J70</f>
        <v>-11620.478125</v>
      </c>
      <c r="K55" s="72" t="n">
        <f aca="false">K52+K70</f>
        <v>-12242.825</v>
      </c>
      <c r="L55" s="72" t="n">
        <f aca="false">L52+L70</f>
        <v>-8945.171875</v>
      </c>
      <c r="M55" s="72" t="n">
        <f aca="false">M52+M70</f>
        <v>-5647.51875</v>
      </c>
      <c r="N55" s="72" t="n">
        <f aca="false">N52+N70</f>
        <v>-2349.865625</v>
      </c>
      <c r="O55" s="72" t="n">
        <f aca="false">O52+O70</f>
        <v>1206.721125</v>
      </c>
      <c r="P55" s="72" t="n">
        <f aca="false">P52+P70</f>
        <v>704.596124999995</v>
      </c>
      <c r="Q55" s="72" t="n">
        <f aca="false">Q52+Q70</f>
        <v>704.596124999995</v>
      </c>
      <c r="R55" s="72" t="n">
        <f aca="false">R52+R70</f>
        <v>704.596124999995</v>
      </c>
      <c r="S55" s="72" t="n">
        <f aca="false">S52+S70</f>
        <v>704.596124999995</v>
      </c>
      <c r="T55" s="72" t="n">
        <f aca="false">T52+T70</f>
        <v>704.596124999995</v>
      </c>
      <c r="U55" s="72" t="n">
        <f aca="false">U52+U70</f>
        <v>704.596124999995</v>
      </c>
      <c r="V55" s="72" t="n">
        <f aca="false">V52+V70</f>
        <v>704.596124999995</v>
      </c>
      <c r="W55" s="72" t="n">
        <f aca="false">W52+W70</f>
        <v>704.596124999995</v>
      </c>
      <c r="X55" s="72" t="n">
        <f aca="false">X52+X70</f>
        <v>704.596124999995</v>
      </c>
      <c r="Y55" s="72" t="n">
        <f aca="false">Y52+Y70</f>
        <v>704.596124999995</v>
      </c>
      <c r="Z55" s="72" t="n">
        <f aca="false">Z52+Z70</f>
        <v>704.596124999995</v>
      </c>
      <c r="AA55" s="72" t="n">
        <f aca="false">AA52+AA70</f>
        <v>958.484008749997</v>
      </c>
      <c r="AB55" s="72" t="n">
        <f aca="false">AB52+AB70</f>
        <v>958.484008749997</v>
      </c>
      <c r="AC55" s="72" t="n">
        <f aca="false">AC52+AC70</f>
        <v>958.484008749997</v>
      </c>
      <c r="AD55" s="72" t="n">
        <f aca="false">AD52+AD70</f>
        <v>958.484008749997</v>
      </c>
      <c r="AE55" s="72" t="n">
        <f aca="false">AE52+AE70</f>
        <v>958.484008749997</v>
      </c>
      <c r="AF55" s="72" t="n">
        <f aca="false">AF52+AF70</f>
        <v>958.484008749997</v>
      </c>
      <c r="AG55" s="72" t="n">
        <f aca="false">AG52+AG70</f>
        <v>958.484008749997</v>
      </c>
      <c r="AH55" s="72" t="n">
        <f aca="false">AH52+AH70</f>
        <v>958.484008749997</v>
      </c>
      <c r="AI55" s="72" t="n">
        <f aca="false">AI52+AI70</f>
        <v>958.484008749997</v>
      </c>
      <c r="AJ55" s="72" t="n">
        <f aca="false">AJ52+AJ70</f>
        <v>958.484008749997</v>
      </c>
      <c r="AK55" s="72" t="n">
        <f aca="false">AK52+AK70</f>
        <v>958.484008749997</v>
      </c>
      <c r="AL55" s="72" t="n">
        <f aca="false">AL52+AL70</f>
        <v>958.484008749997</v>
      </c>
      <c r="AM55" s="72" t="n">
        <f aca="false">AM52+AM70</f>
        <v>1222.2385290125</v>
      </c>
      <c r="AN55" s="72" t="n">
        <f aca="false">AN52+AN70</f>
        <v>1222.2385290125</v>
      </c>
      <c r="AO55" s="72" t="n">
        <f aca="false">AO52+AO70</f>
        <v>1222.2385290125</v>
      </c>
      <c r="AP55" s="72" t="n">
        <f aca="false">AP52+AP70</f>
        <v>1222.2385290125</v>
      </c>
      <c r="AQ55" s="72" t="n">
        <f aca="false">AQ52+AQ70</f>
        <v>1222.2385290125</v>
      </c>
      <c r="AR55" s="72" t="n">
        <f aca="false">AR52+AR70</f>
        <v>1222.2385290125</v>
      </c>
      <c r="AS55" s="72" t="n">
        <f aca="false">AS52+AS70</f>
        <v>1222.2385290125</v>
      </c>
      <c r="AT55" s="72" t="n">
        <f aca="false">AT52+AT70</f>
        <v>1222.2385290125</v>
      </c>
      <c r="AU55" s="72" t="n">
        <f aca="false">AU52+AU70</f>
        <v>1222.2385290125</v>
      </c>
      <c r="AV55" s="72" t="n">
        <f aca="false">AV52+AV70</f>
        <v>1222.2385290125</v>
      </c>
      <c r="AW55" s="72" t="n">
        <f aca="false">AW52+AW70</f>
        <v>1222.2385290125</v>
      </c>
      <c r="AX55" s="72" t="n">
        <f aca="false">AX52+AX70</f>
        <v>1222.2385290125</v>
      </c>
      <c r="AY55" s="72" t="n">
        <f aca="false">AY52+AY70</f>
        <v>1496.15568488287</v>
      </c>
      <c r="AZ55" s="72" t="n">
        <f aca="false">AZ52+AZ70</f>
        <v>1496.15568488287</v>
      </c>
      <c r="BA55" s="72" t="n">
        <f aca="false">BA52+BA70</f>
        <v>1496.15568488287</v>
      </c>
      <c r="BB55" s="72" t="n">
        <f aca="false">BB52+BB70</f>
        <v>1496.15568488287</v>
      </c>
      <c r="BC55" s="72" t="n">
        <f aca="false">BC52+BC70</f>
        <v>1496.15568488287</v>
      </c>
      <c r="BD55" s="72" t="n">
        <f aca="false">BD52+BD70</f>
        <v>1496.15568488287</v>
      </c>
      <c r="BE55" s="72" t="n">
        <f aca="false">BE52+BE70</f>
        <v>1496.15568488287</v>
      </c>
      <c r="BF55" s="72" t="n">
        <f aca="false">BF52+BF70</f>
        <v>1496.15568488287</v>
      </c>
      <c r="BG55" s="72" t="n">
        <f aca="false">BG52+BG70</f>
        <v>1496.15568488287</v>
      </c>
      <c r="BH55" s="72" t="n">
        <f aca="false">BH52+BH70</f>
        <v>1496.15568488287</v>
      </c>
      <c r="BI55" s="72" t="n">
        <f aca="false">BI52+BI70</f>
        <v>1496.15568488287</v>
      </c>
      <c r="BJ55" s="72" t="n">
        <f aca="false">BJ52+BJ70</f>
        <v>1496.15568488287</v>
      </c>
    </row>
    <row r="56" customFormat="false" ht="15" hidden="false" customHeight="false" outlineLevel="0" collapsed="false">
      <c r="A56" s="6" t="s">
        <v>436</v>
      </c>
      <c r="C56" s="66" t="n">
        <f aca="false">-(C75+C76+C78)/2*Inputs!$E$75/12</f>
        <v>-1666.66666666667</v>
      </c>
      <c r="D56" s="66" t="n">
        <f aca="false">-(D75+D76+D78)/2*Inputs!$E$75/12</f>
        <v>-1659.72222222222</v>
      </c>
      <c r="E56" s="66" t="n">
        <f aca="false">-(E75+E76+E78)/2*Inputs!$E$75/12</f>
        <v>-1645.83333333333</v>
      </c>
      <c r="F56" s="66" t="n">
        <f aca="false">-(F75+F76+F78)/2*Inputs!$E$75/12</f>
        <v>-1631.94444444444</v>
      </c>
      <c r="G56" s="66" t="n">
        <f aca="false">-(G75+G76+G78)/2*Inputs!$E$75/12</f>
        <v>-1618.05555555556</v>
      </c>
      <c r="H56" s="66" t="n">
        <f aca="false">-(H75+H76+H78)/2*Inputs!$E$75/12</f>
        <v>-1604.16666666667</v>
      </c>
      <c r="I56" s="66" t="n">
        <f aca="false">-(I75+I76+I78)/2*Inputs!$E$75/12</f>
        <v>-1590.27777777778</v>
      </c>
      <c r="J56" s="66" t="n">
        <f aca="false">-(J75+J76+J78)/2*Inputs!$E$75/12</f>
        <v>-1576.38888888889</v>
      </c>
      <c r="K56" s="66" t="n">
        <f aca="false">-(K75+K76+K78)/2*Inputs!$E$75/12</f>
        <v>-1562.5</v>
      </c>
      <c r="L56" s="66" t="n">
        <f aca="false">-(L75+L76+L78)/2*Inputs!$E$75/12</f>
        <v>-1548.61111111111</v>
      </c>
      <c r="M56" s="66" t="n">
        <f aca="false">-(M75+M76+M78)/2*Inputs!$E$75/12</f>
        <v>-1534.72222222222</v>
      </c>
      <c r="N56" s="66" t="n">
        <f aca="false">-(N75+N76+N78)/2*Inputs!$E$75/12</f>
        <v>-1520.83333333333</v>
      </c>
      <c r="O56" s="66" t="n">
        <f aca="false">-(O75+O76+O78)/2*Inputs!$E$75/12</f>
        <v>-1506.94444444444</v>
      </c>
      <c r="P56" s="66" t="n">
        <f aca="false">-(P75+P76+P78)/2*Inputs!$E$75/12</f>
        <v>-1493.05555555555</v>
      </c>
      <c r="Q56" s="66" t="n">
        <f aca="false">-(Q75+Q76+Q78)/2*Inputs!$E$75/12</f>
        <v>-1479.16666666667</v>
      </c>
      <c r="R56" s="66" t="n">
        <f aca="false">-(R75+R76+R78)/2*Inputs!$E$75/12</f>
        <v>-1465.27777777778</v>
      </c>
      <c r="S56" s="66" t="n">
        <f aca="false">-(S75+S76+S78)/2*Inputs!$E$75/12</f>
        <v>-1451.38888888889</v>
      </c>
      <c r="T56" s="66" t="n">
        <f aca="false">-(T75+T76+T78)/2*Inputs!$E$75/12</f>
        <v>-1437.5</v>
      </c>
      <c r="U56" s="66" t="n">
        <f aca="false">-(U75+U76+U78)/2*Inputs!$E$75/12</f>
        <v>-1423.61111111111</v>
      </c>
      <c r="V56" s="66" t="n">
        <f aca="false">-(V75+V76+V78)/2*Inputs!$E$75/12</f>
        <v>-1409.72222222222</v>
      </c>
      <c r="W56" s="66" t="n">
        <f aca="false">-(W75+W76+W78)/2*Inputs!$E$75/12</f>
        <v>-1395.83333333333</v>
      </c>
      <c r="X56" s="66" t="n">
        <f aca="false">-(X75+X76+X78)/2*Inputs!$E$75/12</f>
        <v>-1381.94444444444</v>
      </c>
      <c r="Y56" s="66" t="n">
        <f aca="false">-(Y75+Y76+Y78)/2*Inputs!$E$75/12</f>
        <v>-1368.05555555555</v>
      </c>
      <c r="Z56" s="66" t="n">
        <f aca="false">-(Z75+Z76+Z78)/2*Inputs!$E$75/12</f>
        <v>-1354.16666666667</v>
      </c>
      <c r="AA56" s="66" t="n">
        <f aca="false">-(AA75+AA76+AA78)/2*Inputs!$E$75/12</f>
        <v>-1340.27777777778</v>
      </c>
      <c r="AB56" s="66" t="n">
        <f aca="false">-(AB75+AB76+AB78)/2*Inputs!$E$75/12</f>
        <v>-1326.38888888889</v>
      </c>
      <c r="AC56" s="66" t="n">
        <f aca="false">-(AC75+AC76+AC78)/2*Inputs!$E$75/12</f>
        <v>-1312.5</v>
      </c>
      <c r="AD56" s="66" t="n">
        <f aca="false">-(AD75+AD76+AD78)/2*Inputs!$E$75/12</f>
        <v>-1298.61111111111</v>
      </c>
      <c r="AE56" s="66" t="n">
        <f aca="false">-(AE75+AE76+AE78)/2*Inputs!$E$75/12</f>
        <v>-1284.72222222222</v>
      </c>
      <c r="AF56" s="66" t="n">
        <f aca="false">-(AF75+AF76+AF78)/2*Inputs!$E$75/12</f>
        <v>-1270.83333333333</v>
      </c>
      <c r="AG56" s="66" t="n">
        <f aca="false">-(AG75+AG76+AG78)/2*Inputs!$E$75/12</f>
        <v>-1256.94444444444</v>
      </c>
      <c r="AH56" s="66" t="n">
        <f aca="false">-(AH75+AH76+AH78)/2*Inputs!$E$75/12</f>
        <v>-1243.05555555555</v>
      </c>
      <c r="AI56" s="66" t="n">
        <f aca="false">-(AI75+AI76+AI78)/2*Inputs!$E$75/12</f>
        <v>-1229.16666666666</v>
      </c>
      <c r="AJ56" s="66" t="n">
        <f aca="false">-(AJ75+AJ76+AJ78)/2*Inputs!$E$75/12</f>
        <v>-1215.27777777778</v>
      </c>
      <c r="AK56" s="66" t="n">
        <f aca="false">-(AK75+AK76+AK78)/2*Inputs!$E$75/12</f>
        <v>-1201.38888888889</v>
      </c>
      <c r="AL56" s="66" t="n">
        <f aca="false">-(AL75+AL76+AL78)/2*Inputs!$E$75/12</f>
        <v>-1187.5</v>
      </c>
      <c r="AM56" s="66" t="n">
        <f aca="false">-(AM75+AM76+AM78)/2*Inputs!$E$75/12</f>
        <v>-1173.61111111111</v>
      </c>
      <c r="AN56" s="66" t="n">
        <f aca="false">-(AN75+AN76+AN78)/2*Inputs!$E$75/12</f>
        <v>-1159.72222222222</v>
      </c>
      <c r="AO56" s="66" t="n">
        <f aca="false">-(AO75+AO76+AO78)/2*Inputs!$E$75/12</f>
        <v>-1145.83333333333</v>
      </c>
      <c r="AP56" s="66" t="n">
        <f aca="false">-(AP75+AP76+AP78)/2*Inputs!$E$75/12</f>
        <v>-1131.94444444444</v>
      </c>
      <c r="AQ56" s="66" t="n">
        <f aca="false">-(AQ75+AQ76+AQ78)/2*Inputs!$E$75/12</f>
        <v>-1118.05555555555</v>
      </c>
      <c r="AR56" s="66" t="n">
        <f aca="false">-(AR75+AR76+AR78)/2*Inputs!$E$75/12</f>
        <v>-1104.16666666666</v>
      </c>
      <c r="AS56" s="66" t="n">
        <f aca="false">-(AS75+AS76+AS78)/2*Inputs!$E$75/12</f>
        <v>-1090.27777777778</v>
      </c>
      <c r="AT56" s="66" t="n">
        <f aca="false">-(AT75+AT76+AT78)/2*Inputs!$E$75/12</f>
        <v>-1076.38888888889</v>
      </c>
      <c r="AU56" s="66" t="n">
        <f aca="false">-(AU75+AU76+AU78)/2*Inputs!$E$75/12</f>
        <v>-1062.5</v>
      </c>
      <c r="AV56" s="66" t="n">
        <f aca="false">-(AV75+AV76+AV78)/2*Inputs!$E$75/12</f>
        <v>-1048.61111111111</v>
      </c>
      <c r="AW56" s="66" t="n">
        <f aca="false">-(AW75+AW76+AW78)/2*Inputs!$E$75/12</f>
        <v>-1034.72222222222</v>
      </c>
      <c r="AX56" s="66" t="n">
        <f aca="false">-(AX75+AX76+AX78)/2*Inputs!$E$75/12</f>
        <v>-1020.83333333333</v>
      </c>
      <c r="AY56" s="66" t="n">
        <f aca="false">-(AY75+AY76+AY78)/2*Inputs!$E$75/12</f>
        <v>-1006.94444444444</v>
      </c>
      <c r="AZ56" s="66" t="n">
        <f aca="false">-(AZ75+AZ76+AZ78)/2*Inputs!$E$75/12</f>
        <v>-993.055555555552</v>
      </c>
      <c r="BA56" s="66" t="n">
        <f aca="false">-(BA75+BA76+BA78)/2*Inputs!$E$75/12</f>
        <v>-979.166666666664</v>
      </c>
      <c r="BB56" s="66" t="n">
        <f aca="false">-(BB75+BB76+BB78)/2*Inputs!$E$75/12</f>
        <v>-965.277777777775</v>
      </c>
      <c r="BC56" s="66" t="n">
        <f aca="false">-(BC75+BC76+BC78)/2*Inputs!$E$75/12</f>
        <v>-951.388888888886</v>
      </c>
      <c r="BD56" s="66" t="n">
        <f aca="false">-(BD75+BD76+BD78)/2*Inputs!$E$75/12</f>
        <v>-937.499999999997</v>
      </c>
      <c r="BE56" s="66" t="n">
        <f aca="false">-(BE75+BE76+BE78)/2*Inputs!$E$75/12</f>
        <v>-923.611111111108</v>
      </c>
      <c r="BF56" s="66" t="n">
        <f aca="false">-(BF75+BF76+BF78)/2*Inputs!$E$75/12</f>
        <v>-909.722222222219</v>
      </c>
      <c r="BG56" s="66" t="n">
        <f aca="false">-(BG75+BG76+BG78)/2*Inputs!$E$75/12</f>
        <v>-895.83333333333</v>
      </c>
      <c r="BH56" s="66" t="n">
        <f aca="false">-(BH75+BH76+BH78)/2*Inputs!$E$75/12</f>
        <v>-881.944444444441</v>
      </c>
      <c r="BI56" s="66" t="n">
        <f aca="false">-(BI75+BI76+BI78)/2*Inputs!$E$75/12</f>
        <v>-868.055555555552</v>
      </c>
      <c r="BJ56" s="66" t="n">
        <f aca="false">-(BJ75+BJ76+BJ78)/2*Inputs!$E$75/12</f>
        <v>-854.166666666663</v>
      </c>
    </row>
    <row r="57" customFormat="false" ht="15" hidden="false" customHeight="false" outlineLevel="0" collapsed="false">
      <c r="A57" s="110" t="s">
        <v>80</v>
      </c>
      <c r="C57" s="67" t="n">
        <f aca="false">C55+C56</f>
        <v>-23298.2166666667</v>
      </c>
      <c r="D57" s="67" t="n">
        <f aca="false">D55+D56</f>
        <v>-21306.1190972222</v>
      </c>
      <c r="E57" s="67" t="n">
        <f aca="false">E55+E56</f>
        <v>-25834.5770833333</v>
      </c>
      <c r="F57" s="67" t="n">
        <f aca="false">F55+F56</f>
        <v>-22523.0350694444</v>
      </c>
      <c r="G57" s="67" t="n">
        <f aca="false">G55+G56</f>
        <v>-19211.4930555556</v>
      </c>
      <c r="H57" s="67" t="n">
        <f aca="false">H55+H56</f>
        <v>-15899.9510416667</v>
      </c>
      <c r="I57" s="67" t="n">
        <f aca="false">I55+I56</f>
        <v>-12588.4090277778</v>
      </c>
      <c r="J57" s="67" t="n">
        <f aca="false">J55+J56</f>
        <v>-13196.8670138889</v>
      </c>
      <c r="K57" s="67" t="n">
        <f aca="false">K55+K56</f>
        <v>-13805.325</v>
      </c>
      <c r="L57" s="67" t="n">
        <f aca="false">L55+L56</f>
        <v>-10493.7829861111</v>
      </c>
      <c r="M57" s="67" t="n">
        <f aca="false">M55+M56</f>
        <v>-7182.24097222222</v>
      </c>
      <c r="N57" s="67" t="n">
        <f aca="false">N55+N56</f>
        <v>-3870.69895833333</v>
      </c>
      <c r="O57" s="67" t="n">
        <f aca="false">O55+O56</f>
        <v>-300.223319444449</v>
      </c>
      <c r="P57" s="67" t="n">
        <f aca="false">P55+P56</f>
        <v>-788.45943055556</v>
      </c>
      <c r="Q57" s="67" t="n">
        <f aca="false">Q55+Q56</f>
        <v>-774.570541666671</v>
      </c>
      <c r="R57" s="67" t="n">
        <f aca="false">R55+R56</f>
        <v>-760.681652777782</v>
      </c>
      <c r="S57" s="67" t="n">
        <f aca="false">S55+S56</f>
        <v>-746.792763888893</v>
      </c>
      <c r="T57" s="67" t="n">
        <f aca="false">T55+T56</f>
        <v>-732.903875000004</v>
      </c>
      <c r="U57" s="67" t="n">
        <f aca="false">U55+U56</f>
        <v>-719.014986111115</v>
      </c>
      <c r="V57" s="67" t="n">
        <f aca="false">V55+V56</f>
        <v>-705.126097222226</v>
      </c>
      <c r="W57" s="67" t="n">
        <f aca="false">W55+W56</f>
        <v>-691.237208333337</v>
      </c>
      <c r="X57" s="67" t="n">
        <f aca="false">X55+X56</f>
        <v>-677.348319444448</v>
      </c>
      <c r="Y57" s="67" t="n">
        <f aca="false">Y55+Y56</f>
        <v>-663.459430555559</v>
      </c>
      <c r="Z57" s="67" t="n">
        <f aca="false">Z55+Z56</f>
        <v>-649.57054166667</v>
      </c>
      <c r="AA57" s="67" t="n">
        <f aca="false">AA55+AA56</f>
        <v>-381.79376902778</v>
      </c>
      <c r="AB57" s="67" t="n">
        <f aca="false">AB55+AB56</f>
        <v>-367.904880138891</v>
      </c>
      <c r="AC57" s="67" t="n">
        <f aca="false">AC55+AC56</f>
        <v>-354.015991250002</v>
      </c>
      <c r="AD57" s="67" t="n">
        <f aca="false">AD55+AD56</f>
        <v>-340.127102361113</v>
      </c>
      <c r="AE57" s="67" t="n">
        <f aca="false">AE55+AE56</f>
        <v>-326.238213472224</v>
      </c>
      <c r="AF57" s="67" t="n">
        <f aca="false">AF55+AF56</f>
        <v>-312.349324583335</v>
      </c>
      <c r="AG57" s="67" t="n">
        <f aca="false">AG55+AG56</f>
        <v>-298.460435694446</v>
      </c>
      <c r="AH57" s="67" t="n">
        <f aca="false">AH55+AH56</f>
        <v>-284.571546805557</v>
      </c>
      <c r="AI57" s="67" t="n">
        <f aca="false">AI55+AI56</f>
        <v>-270.682657916668</v>
      </c>
      <c r="AJ57" s="67" t="n">
        <f aca="false">AJ55+AJ56</f>
        <v>-256.793769027779</v>
      </c>
      <c r="AK57" s="67" t="n">
        <f aca="false">AK55+AK56</f>
        <v>-242.90488013889</v>
      </c>
      <c r="AL57" s="67" t="n">
        <f aca="false">AL55+AL56</f>
        <v>-229.015991250001</v>
      </c>
      <c r="AM57" s="67" t="n">
        <f aca="false">AM55+AM56</f>
        <v>48.6274179013883</v>
      </c>
      <c r="AN57" s="67" t="n">
        <f aca="false">AN55+AN56</f>
        <v>62.5163067902774</v>
      </c>
      <c r="AO57" s="67" t="n">
        <f aca="false">AO55+AO56</f>
        <v>76.4051956791661</v>
      </c>
      <c r="AP57" s="67" t="n">
        <f aca="false">AP55+AP56</f>
        <v>90.2940845680553</v>
      </c>
      <c r="AQ57" s="67" t="n">
        <f aca="false">AQ55+AQ56</f>
        <v>104.182973456944</v>
      </c>
      <c r="AR57" s="67" t="n">
        <f aca="false">AR55+AR56</f>
        <v>118.071862345833</v>
      </c>
      <c r="AS57" s="67" t="n">
        <f aca="false">AS55+AS56</f>
        <v>131.960751234722</v>
      </c>
      <c r="AT57" s="67" t="n">
        <f aca="false">AT55+AT56</f>
        <v>145.849640123611</v>
      </c>
      <c r="AU57" s="67" t="n">
        <f aca="false">AU55+AU56</f>
        <v>159.7385290125</v>
      </c>
      <c r="AV57" s="67" t="n">
        <f aca="false">AV55+AV56</f>
        <v>173.627417901389</v>
      </c>
      <c r="AW57" s="67" t="n">
        <f aca="false">AW55+AW56</f>
        <v>187.516306790278</v>
      </c>
      <c r="AX57" s="67" t="n">
        <f aca="false">AX55+AX56</f>
        <v>201.405195679167</v>
      </c>
      <c r="AY57" s="67" t="n">
        <f aca="false">AY55+AY56</f>
        <v>489.211240438427</v>
      </c>
      <c r="AZ57" s="67" t="n">
        <f aca="false">AZ55+AZ56</f>
        <v>503.100129327316</v>
      </c>
      <c r="BA57" s="67" t="n">
        <f aca="false">BA55+BA56</f>
        <v>516.989018216205</v>
      </c>
      <c r="BB57" s="67" t="n">
        <f aca="false">BB55+BB56</f>
        <v>530.877907105094</v>
      </c>
      <c r="BC57" s="67" t="n">
        <f aca="false">BC55+BC56</f>
        <v>544.766795993983</v>
      </c>
      <c r="BD57" s="67" t="n">
        <f aca="false">BD55+BD56</f>
        <v>558.655684882872</v>
      </c>
      <c r="BE57" s="67" t="n">
        <f aca="false">BE55+BE56</f>
        <v>572.54457377176</v>
      </c>
      <c r="BF57" s="67" t="n">
        <f aca="false">BF55+BF56</f>
        <v>586.43346266065</v>
      </c>
      <c r="BG57" s="67" t="n">
        <f aca="false">BG55+BG56</f>
        <v>600.322351549538</v>
      </c>
      <c r="BH57" s="67" t="n">
        <f aca="false">BH55+BH56</f>
        <v>614.211240438428</v>
      </c>
      <c r="BI57" s="67" t="n">
        <f aca="false">BI55+BI56</f>
        <v>628.100129327316</v>
      </c>
      <c r="BJ57" s="67" t="n">
        <f aca="false">BJ55+BJ56</f>
        <v>641.989018216205</v>
      </c>
    </row>
    <row r="58" customFormat="false" ht="15" hidden="false" customHeight="false" outlineLevel="0" collapsed="false">
      <c r="A58" s="114" t="s">
        <v>437</v>
      </c>
      <c r="C58" s="66" t="n">
        <f aca="false">C57</f>
        <v>-23298.2166666667</v>
      </c>
      <c r="D58" s="66" t="n">
        <f aca="false">C58+D57</f>
        <v>-44604.3357638889</v>
      </c>
      <c r="E58" s="66" t="n">
        <f aca="false">D58+E57</f>
        <v>-70438.9128472222</v>
      </c>
      <c r="F58" s="66" t="n">
        <f aca="false">E58+F57</f>
        <v>-92961.9479166667</v>
      </c>
      <c r="G58" s="66" t="n">
        <f aca="false">F58+G57</f>
        <v>-112173.440972222</v>
      </c>
      <c r="H58" s="66" t="n">
        <f aca="false">G58+H57</f>
        <v>-128073.392013889</v>
      </c>
      <c r="I58" s="66" t="n">
        <f aca="false">H58+I57</f>
        <v>-140661.801041667</v>
      </c>
      <c r="J58" s="66" t="n">
        <f aca="false">I58+J57</f>
        <v>-153858.668055556</v>
      </c>
      <c r="K58" s="66" t="n">
        <f aca="false">J58+K57</f>
        <v>-167663.993055556</v>
      </c>
      <c r="L58" s="66" t="n">
        <f aca="false">K58+L57</f>
        <v>-178157.776041667</v>
      </c>
      <c r="M58" s="66" t="n">
        <f aca="false">L58+M57</f>
        <v>-185340.017013889</v>
      </c>
      <c r="N58" s="66" t="n">
        <f aca="false">M58+N57</f>
        <v>-189210.715972222</v>
      </c>
      <c r="O58" s="66" t="n">
        <f aca="false">N58+O57</f>
        <v>-189510.939291667</v>
      </c>
      <c r="P58" s="66" t="n">
        <f aca="false">O58+P57</f>
        <v>-190299.398722222</v>
      </c>
      <c r="Q58" s="66" t="n">
        <f aca="false">P58+Q57</f>
        <v>-191073.969263889</v>
      </c>
      <c r="R58" s="66" t="n">
        <f aca="false">Q58+R57</f>
        <v>-191834.650916667</v>
      </c>
      <c r="S58" s="66" t="n">
        <f aca="false">R58+S57</f>
        <v>-192581.443680556</v>
      </c>
      <c r="T58" s="66" t="n">
        <f aca="false">S58+T57</f>
        <v>-193314.347555556</v>
      </c>
      <c r="U58" s="66" t="n">
        <f aca="false">T58+U57</f>
        <v>-194033.362541667</v>
      </c>
      <c r="V58" s="66" t="n">
        <f aca="false">U58+V57</f>
        <v>-194738.488638889</v>
      </c>
      <c r="W58" s="66" t="n">
        <f aca="false">V58+W57</f>
        <v>-195429.725847222</v>
      </c>
      <c r="X58" s="66" t="n">
        <f aca="false">W58+X57</f>
        <v>-196107.074166667</v>
      </c>
      <c r="Y58" s="66" t="n">
        <f aca="false">X58+Y57</f>
        <v>-196770.533597222</v>
      </c>
      <c r="Z58" s="66" t="n">
        <f aca="false">Y58+Z57</f>
        <v>-197420.104138889</v>
      </c>
      <c r="AA58" s="66" t="n">
        <f aca="false">Z58+AA57</f>
        <v>-197801.897907917</v>
      </c>
      <c r="AB58" s="66" t="n">
        <f aca="false">AA58+AB57</f>
        <v>-198169.802788056</v>
      </c>
      <c r="AC58" s="66" t="n">
        <f aca="false">AB58+AC57</f>
        <v>-198523.818779306</v>
      </c>
      <c r="AD58" s="66" t="n">
        <f aca="false">AC58+AD57</f>
        <v>-198863.945881667</v>
      </c>
      <c r="AE58" s="66" t="n">
        <f aca="false">AD58+AE57</f>
        <v>-199190.184095139</v>
      </c>
      <c r="AF58" s="66" t="n">
        <f aca="false">AE58+AF57</f>
        <v>-199502.533419722</v>
      </c>
      <c r="AG58" s="66" t="n">
        <f aca="false">AF58+AG57</f>
        <v>-199800.993855417</v>
      </c>
      <c r="AH58" s="66" t="n">
        <f aca="false">AG58+AH57</f>
        <v>-200085.565402222</v>
      </c>
      <c r="AI58" s="66" t="n">
        <f aca="false">AH58+AI57</f>
        <v>-200356.248060139</v>
      </c>
      <c r="AJ58" s="66" t="n">
        <f aca="false">AI58+AJ57</f>
        <v>-200613.041829167</v>
      </c>
      <c r="AK58" s="66" t="n">
        <f aca="false">AJ58+AK57</f>
        <v>-200855.946709306</v>
      </c>
      <c r="AL58" s="66" t="n">
        <f aca="false">AK58+AL57</f>
        <v>-201084.962700556</v>
      </c>
      <c r="AM58" s="66" t="n">
        <f aca="false">AL58+AM57</f>
        <v>-201036.335282654</v>
      </c>
      <c r="AN58" s="66" t="n">
        <f aca="false">AM58+AN57</f>
        <v>-200973.818975864</v>
      </c>
      <c r="AO58" s="66" t="n">
        <f aca="false">AN58+AO57</f>
        <v>-200897.413780185</v>
      </c>
      <c r="AP58" s="66" t="n">
        <f aca="false">AO58+AP57</f>
        <v>-200807.119695617</v>
      </c>
      <c r="AQ58" s="66" t="n">
        <f aca="false">AP58+AQ57</f>
        <v>-200702.93672216</v>
      </c>
      <c r="AR58" s="66" t="n">
        <f aca="false">AQ58+AR57</f>
        <v>-200584.864859814</v>
      </c>
      <c r="AS58" s="66" t="n">
        <f aca="false">AR58+AS57</f>
        <v>-200452.904108579</v>
      </c>
      <c r="AT58" s="66" t="n">
        <f aca="false">AS58+AT57</f>
        <v>-200307.054468456</v>
      </c>
      <c r="AU58" s="66" t="n">
        <f aca="false">AT58+AU57</f>
        <v>-200147.315939443</v>
      </c>
      <c r="AV58" s="66" t="n">
        <f aca="false">AU58+AV57</f>
        <v>-199973.688521542</v>
      </c>
      <c r="AW58" s="66" t="n">
        <f aca="false">AV58+AW57</f>
        <v>-199786.172214751</v>
      </c>
      <c r="AX58" s="66" t="n">
        <f aca="false">AW58+AX57</f>
        <v>-199584.767019072</v>
      </c>
      <c r="AY58" s="66" t="n">
        <f aca="false">AX58+AY57</f>
        <v>-199095.555778634</v>
      </c>
      <c r="AZ58" s="66" t="n">
        <f aca="false">AY58+AZ57</f>
        <v>-198592.455649307</v>
      </c>
      <c r="BA58" s="66" t="n">
        <f aca="false">AZ58+BA57</f>
        <v>-198075.46663109</v>
      </c>
      <c r="BB58" s="66" t="n">
        <f aca="false">BA58+BB57</f>
        <v>-197544.588723985</v>
      </c>
      <c r="BC58" s="66" t="n">
        <f aca="false">BB58+BC57</f>
        <v>-196999.821927991</v>
      </c>
      <c r="BD58" s="66" t="n">
        <f aca="false">BC58+BD57</f>
        <v>-196441.166243108</v>
      </c>
      <c r="BE58" s="66" t="n">
        <f aca="false">BD58+BE57</f>
        <v>-195868.621669337</v>
      </c>
      <c r="BF58" s="66" t="n">
        <f aca="false">BE58+BF57</f>
        <v>-195282.188206676</v>
      </c>
      <c r="BG58" s="66" t="n">
        <f aca="false">BF58+BG57</f>
        <v>-194681.865855126</v>
      </c>
      <c r="BH58" s="66" t="n">
        <f aca="false">BG58+BH57</f>
        <v>-194067.654614688</v>
      </c>
      <c r="BI58" s="66" t="n">
        <f aca="false">BH58+BI57</f>
        <v>-193439.554485361</v>
      </c>
      <c r="BJ58" s="66" t="n">
        <f aca="false">BI58+BJ57</f>
        <v>-192797.565467144</v>
      </c>
    </row>
    <row r="59" customFormat="false" ht="15" hidden="false" customHeight="false" outlineLevel="0" collapsed="false">
      <c r="A59" s="114" t="s">
        <v>438</v>
      </c>
      <c r="C59" s="66" t="n">
        <f aca="false">MAX(0,C58)</f>
        <v>0</v>
      </c>
      <c r="D59" s="66" t="n">
        <f aca="false">MAX(C59,D58)</f>
        <v>0</v>
      </c>
      <c r="E59" s="66" t="n">
        <f aca="false">MAX(D59,E58)</f>
        <v>0</v>
      </c>
      <c r="F59" s="66" t="n">
        <f aca="false">MAX(E59,F58)</f>
        <v>0</v>
      </c>
      <c r="G59" s="66" t="n">
        <f aca="false">MAX(F59,G58)</f>
        <v>0</v>
      </c>
      <c r="H59" s="66" t="n">
        <f aca="false">MAX(G59,H58)</f>
        <v>0</v>
      </c>
      <c r="I59" s="66" t="n">
        <f aca="false">MAX(H59,I58)</f>
        <v>0</v>
      </c>
      <c r="J59" s="66" t="n">
        <f aca="false">MAX(I59,J58)</f>
        <v>0</v>
      </c>
      <c r="K59" s="66" t="n">
        <f aca="false">MAX(J59,K58)</f>
        <v>0</v>
      </c>
      <c r="L59" s="66" t="n">
        <f aca="false">MAX(K59,L58)</f>
        <v>0</v>
      </c>
      <c r="M59" s="66" t="n">
        <f aca="false">MAX(L59,M58)</f>
        <v>0</v>
      </c>
      <c r="N59" s="66" t="n">
        <f aca="false">MAX(M59,N58)</f>
        <v>0</v>
      </c>
      <c r="O59" s="66" t="n">
        <f aca="false">MAX(N59,O58)</f>
        <v>0</v>
      </c>
      <c r="P59" s="66" t="n">
        <f aca="false">MAX(O59,P58)</f>
        <v>0</v>
      </c>
      <c r="Q59" s="66" t="n">
        <f aca="false">MAX(P59,Q58)</f>
        <v>0</v>
      </c>
      <c r="R59" s="66" t="n">
        <f aca="false">MAX(Q59,R58)</f>
        <v>0</v>
      </c>
      <c r="S59" s="66" t="n">
        <f aca="false">MAX(R59,S58)</f>
        <v>0</v>
      </c>
      <c r="T59" s="66" t="n">
        <f aca="false">MAX(S59,T58)</f>
        <v>0</v>
      </c>
      <c r="U59" s="66" t="n">
        <f aca="false">MAX(T59,U58)</f>
        <v>0</v>
      </c>
      <c r="V59" s="66" t="n">
        <f aca="false">MAX(U59,V58)</f>
        <v>0</v>
      </c>
      <c r="W59" s="66" t="n">
        <f aca="false">MAX(V59,W58)</f>
        <v>0</v>
      </c>
      <c r="X59" s="66" t="n">
        <f aca="false">MAX(W59,X58)</f>
        <v>0</v>
      </c>
      <c r="Y59" s="66" t="n">
        <f aca="false">MAX(X59,Y58)</f>
        <v>0</v>
      </c>
      <c r="Z59" s="66" t="n">
        <f aca="false">MAX(Y59,Z58)</f>
        <v>0</v>
      </c>
      <c r="AA59" s="66" t="n">
        <f aca="false">MAX(Z59,AA58)</f>
        <v>0</v>
      </c>
      <c r="AB59" s="66" t="n">
        <f aca="false">MAX(AA59,AB58)</f>
        <v>0</v>
      </c>
      <c r="AC59" s="66" t="n">
        <f aca="false">MAX(AB59,AC58)</f>
        <v>0</v>
      </c>
      <c r="AD59" s="66" t="n">
        <f aca="false">MAX(AC59,AD58)</f>
        <v>0</v>
      </c>
      <c r="AE59" s="66" t="n">
        <f aca="false">MAX(AD59,AE58)</f>
        <v>0</v>
      </c>
      <c r="AF59" s="66" t="n">
        <f aca="false">MAX(AE59,AF58)</f>
        <v>0</v>
      </c>
      <c r="AG59" s="66" t="n">
        <f aca="false">MAX(AF59,AG58)</f>
        <v>0</v>
      </c>
      <c r="AH59" s="66" t="n">
        <f aca="false">MAX(AG59,AH58)</f>
        <v>0</v>
      </c>
      <c r="AI59" s="66" t="n">
        <f aca="false">MAX(AH59,AI58)</f>
        <v>0</v>
      </c>
      <c r="AJ59" s="66" t="n">
        <f aca="false">MAX(AI59,AJ58)</f>
        <v>0</v>
      </c>
      <c r="AK59" s="66" t="n">
        <f aca="false">MAX(AJ59,AK58)</f>
        <v>0</v>
      </c>
      <c r="AL59" s="66" t="n">
        <f aca="false">MAX(AK59,AL58)</f>
        <v>0</v>
      </c>
      <c r="AM59" s="66" t="n">
        <f aca="false">MAX(AL59,AM58)</f>
        <v>0</v>
      </c>
      <c r="AN59" s="66" t="n">
        <f aca="false">MAX(AM59,AN58)</f>
        <v>0</v>
      </c>
      <c r="AO59" s="66" t="n">
        <f aca="false">MAX(AN59,AO58)</f>
        <v>0</v>
      </c>
      <c r="AP59" s="66" t="n">
        <f aca="false">MAX(AO59,AP58)</f>
        <v>0</v>
      </c>
      <c r="AQ59" s="66" t="n">
        <f aca="false">MAX(AP59,AQ58)</f>
        <v>0</v>
      </c>
      <c r="AR59" s="66" t="n">
        <f aca="false">MAX(AQ59,AR58)</f>
        <v>0</v>
      </c>
      <c r="AS59" s="66" t="n">
        <f aca="false">MAX(AR59,AS58)</f>
        <v>0</v>
      </c>
      <c r="AT59" s="66" t="n">
        <f aca="false">MAX(AS59,AT58)</f>
        <v>0</v>
      </c>
      <c r="AU59" s="66" t="n">
        <f aca="false">MAX(AT59,AU58)</f>
        <v>0</v>
      </c>
      <c r="AV59" s="66" t="n">
        <f aca="false">MAX(AU59,AV58)</f>
        <v>0</v>
      </c>
      <c r="AW59" s="66" t="n">
        <f aca="false">MAX(AV59,AW58)</f>
        <v>0</v>
      </c>
      <c r="AX59" s="66" t="n">
        <f aca="false">MAX(AW59,AX58)</f>
        <v>0</v>
      </c>
      <c r="AY59" s="66" t="n">
        <f aca="false">MAX(AX59,AY58)</f>
        <v>0</v>
      </c>
      <c r="AZ59" s="66" t="n">
        <f aca="false">MAX(AY59,AZ58)</f>
        <v>0</v>
      </c>
      <c r="BA59" s="66" t="n">
        <f aca="false">MAX(AZ59,BA58)</f>
        <v>0</v>
      </c>
      <c r="BB59" s="66" t="n">
        <f aca="false">MAX(BA59,BB58)</f>
        <v>0</v>
      </c>
      <c r="BC59" s="66" t="n">
        <f aca="false">MAX(BB59,BC58)</f>
        <v>0</v>
      </c>
      <c r="BD59" s="66" t="n">
        <f aca="false">MAX(BC59,BD58)</f>
        <v>0</v>
      </c>
      <c r="BE59" s="66" t="n">
        <f aca="false">MAX(BD59,BE58)</f>
        <v>0</v>
      </c>
      <c r="BF59" s="66" t="n">
        <f aca="false">MAX(BE59,BF58)</f>
        <v>0</v>
      </c>
      <c r="BG59" s="66" t="n">
        <f aca="false">MAX(BF59,BG58)</f>
        <v>0</v>
      </c>
      <c r="BH59" s="66" t="n">
        <f aca="false">MAX(BG59,BH58)</f>
        <v>0</v>
      </c>
      <c r="BI59" s="66" t="n">
        <f aca="false">MAX(BH59,BI58)</f>
        <v>0</v>
      </c>
      <c r="BJ59" s="66" t="n">
        <f aca="false">MAX(BI59,BJ58)</f>
        <v>0</v>
      </c>
    </row>
    <row r="60" customFormat="false" ht="15" hidden="false" customHeight="false" outlineLevel="0" collapsed="false">
      <c r="A60" s="6" t="s">
        <v>81</v>
      </c>
      <c r="C60" s="66" t="n">
        <f aca="false">-C59*Inputs!$E$85</f>
        <v>-0</v>
      </c>
      <c r="D60" s="66" t="n">
        <f aca="false">-(D59-C59)*Inputs!$E$85</f>
        <v>-0</v>
      </c>
      <c r="E60" s="66" t="n">
        <f aca="false">-(E59-D59)*Inputs!$E$85</f>
        <v>-0</v>
      </c>
      <c r="F60" s="66" t="n">
        <f aca="false">-(F59-E59)*Inputs!$E$85</f>
        <v>-0</v>
      </c>
      <c r="G60" s="66" t="n">
        <f aca="false">-(G59-F59)*Inputs!$E$85</f>
        <v>-0</v>
      </c>
      <c r="H60" s="66" t="n">
        <f aca="false">-(H59-G59)*Inputs!$E$85</f>
        <v>-0</v>
      </c>
      <c r="I60" s="66" t="n">
        <f aca="false">-(I59-H59)*Inputs!$E$85</f>
        <v>-0</v>
      </c>
      <c r="J60" s="66" t="n">
        <f aca="false">-(J59-I59)*Inputs!$E$85</f>
        <v>-0</v>
      </c>
      <c r="K60" s="66" t="n">
        <f aca="false">-(K59-J59)*Inputs!$E$85</f>
        <v>-0</v>
      </c>
      <c r="L60" s="66" t="n">
        <f aca="false">-(L59-K59)*Inputs!$E$85</f>
        <v>-0</v>
      </c>
      <c r="M60" s="66" t="n">
        <f aca="false">-(M59-L59)*Inputs!$E$85</f>
        <v>-0</v>
      </c>
      <c r="N60" s="66" t="n">
        <f aca="false">-(N59-M59)*Inputs!$E$85</f>
        <v>-0</v>
      </c>
      <c r="O60" s="66" t="n">
        <f aca="false">-(O59-N59)*Inputs!$E$85</f>
        <v>-0</v>
      </c>
      <c r="P60" s="66" t="n">
        <f aca="false">-(P59-O59)*Inputs!$E$85</f>
        <v>-0</v>
      </c>
      <c r="Q60" s="66" t="n">
        <f aca="false">-(Q59-P59)*Inputs!$E$85</f>
        <v>-0</v>
      </c>
      <c r="R60" s="66" t="n">
        <f aca="false">-(R59-Q59)*Inputs!$E$85</f>
        <v>-0</v>
      </c>
      <c r="S60" s="66" t="n">
        <f aca="false">-(S59-R59)*Inputs!$E$85</f>
        <v>-0</v>
      </c>
      <c r="T60" s="66" t="n">
        <f aca="false">-(T59-S59)*Inputs!$E$85</f>
        <v>-0</v>
      </c>
      <c r="U60" s="66" t="n">
        <f aca="false">-(U59-T59)*Inputs!$E$85</f>
        <v>-0</v>
      </c>
      <c r="V60" s="66" t="n">
        <f aca="false">-(V59-U59)*Inputs!$E$85</f>
        <v>-0</v>
      </c>
      <c r="W60" s="66" t="n">
        <f aca="false">-(W59-V59)*Inputs!$E$85</f>
        <v>-0</v>
      </c>
      <c r="X60" s="66" t="n">
        <f aca="false">-(X59-W59)*Inputs!$E$85</f>
        <v>-0</v>
      </c>
      <c r="Y60" s="66" t="n">
        <f aca="false">-(Y59-X59)*Inputs!$E$85</f>
        <v>-0</v>
      </c>
      <c r="Z60" s="66" t="n">
        <f aca="false">-(Z59-Y59)*Inputs!$E$85</f>
        <v>-0</v>
      </c>
      <c r="AA60" s="66" t="n">
        <f aca="false">-(AA59-Z59)*Inputs!$E$85</f>
        <v>-0</v>
      </c>
      <c r="AB60" s="66" t="n">
        <f aca="false">-(AB59-AA59)*Inputs!$E$85</f>
        <v>-0</v>
      </c>
      <c r="AC60" s="66" t="n">
        <f aca="false">-(AC59-AB59)*Inputs!$E$85</f>
        <v>-0</v>
      </c>
      <c r="AD60" s="66" t="n">
        <f aca="false">-(AD59-AC59)*Inputs!$E$85</f>
        <v>-0</v>
      </c>
      <c r="AE60" s="66" t="n">
        <f aca="false">-(AE59-AD59)*Inputs!$E$85</f>
        <v>-0</v>
      </c>
      <c r="AF60" s="66" t="n">
        <f aca="false">-(AF59-AE59)*Inputs!$E$85</f>
        <v>-0</v>
      </c>
      <c r="AG60" s="66" t="n">
        <f aca="false">-(AG59-AF59)*Inputs!$E$85</f>
        <v>-0</v>
      </c>
      <c r="AH60" s="66" t="n">
        <f aca="false">-(AH59-AG59)*Inputs!$E$85</f>
        <v>-0</v>
      </c>
      <c r="AI60" s="66" t="n">
        <f aca="false">-(AI59-AH59)*Inputs!$E$85</f>
        <v>-0</v>
      </c>
      <c r="AJ60" s="66" t="n">
        <f aca="false">-(AJ59-AI59)*Inputs!$E$85</f>
        <v>-0</v>
      </c>
      <c r="AK60" s="66" t="n">
        <f aca="false">-(AK59-AJ59)*Inputs!$E$85</f>
        <v>-0</v>
      </c>
      <c r="AL60" s="66" t="n">
        <f aca="false">-(AL59-AK59)*Inputs!$E$85</f>
        <v>-0</v>
      </c>
      <c r="AM60" s="66" t="n">
        <f aca="false">-(AM59-AL59)*Inputs!$E$85</f>
        <v>-0</v>
      </c>
      <c r="AN60" s="66" t="n">
        <f aca="false">-(AN59-AM59)*Inputs!$E$85</f>
        <v>-0</v>
      </c>
      <c r="AO60" s="66" t="n">
        <f aca="false">-(AO59-AN59)*Inputs!$E$85</f>
        <v>-0</v>
      </c>
      <c r="AP60" s="66" t="n">
        <f aca="false">-(AP59-AO59)*Inputs!$E$85</f>
        <v>-0</v>
      </c>
      <c r="AQ60" s="66" t="n">
        <f aca="false">-(AQ59-AP59)*Inputs!$E$85</f>
        <v>-0</v>
      </c>
      <c r="AR60" s="66" t="n">
        <f aca="false">-(AR59-AQ59)*Inputs!$E$85</f>
        <v>-0</v>
      </c>
      <c r="AS60" s="66" t="n">
        <f aca="false">-(AS59-AR59)*Inputs!$E$85</f>
        <v>-0</v>
      </c>
      <c r="AT60" s="66" t="n">
        <f aca="false">-(AT59-AS59)*Inputs!$E$85</f>
        <v>-0</v>
      </c>
      <c r="AU60" s="66" t="n">
        <f aca="false">-(AU59-AT59)*Inputs!$E$85</f>
        <v>-0</v>
      </c>
      <c r="AV60" s="66" t="n">
        <f aca="false">-(AV59-AU59)*Inputs!$E$85</f>
        <v>-0</v>
      </c>
      <c r="AW60" s="66" t="n">
        <f aca="false">-(AW59-AV59)*Inputs!$E$85</f>
        <v>-0</v>
      </c>
      <c r="AX60" s="66" t="n">
        <f aca="false">-(AX59-AW59)*Inputs!$E$85</f>
        <v>-0</v>
      </c>
      <c r="AY60" s="66" t="n">
        <f aca="false">-(AY59-AX59)*Inputs!$E$85</f>
        <v>-0</v>
      </c>
      <c r="AZ60" s="66" t="n">
        <f aca="false">-(AZ59-AY59)*Inputs!$E$85</f>
        <v>-0</v>
      </c>
      <c r="BA60" s="66" t="n">
        <f aca="false">-(BA59-AZ59)*Inputs!$E$85</f>
        <v>-0</v>
      </c>
      <c r="BB60" s="66" t="n">
        <f aca="false">-(BB59-BA59)*Inputs!$E$85</f>
        <v>-0</v>
      </c>
      <c r="BC60" s="66" t="n">
        <f aca="false">-(BC59-BB59)*Inputs!$E$85</f>
        <v>-0</v>
      </c>
      <c r="BD60" s="66" t="n">
        <f aca="false">-(BD59-BC59)*Inputs!$E$85</f>
        <v>-0</v>
      </c>
      <c r="BE60" s="66" t="n">
        <f aca="false">-(BE59-BD59)*Inputs!$E$85</f>
        <v>-0</v>
      </c>
      <c r="BF60" s="66" t="n">
        <f aca="false">-(BF59-BE59)*Inputs!$E$85</f>
        <v>-0</v>
      </c>
      <c r="BG60" s="66" t="n">
        <f aca="false">-(BG59-BF59)*Inputs!$E$85</f>
        <v>-0</v>
      </c>
      <c r="BH60" s="66" t="n">
        <f aca="false">-(BH59-BG59)*Inputs!$E$85</f>
        <v>-0</v>
      </c>
      <c r="BI60" s="66" t="n">
        <f aca="false">-(BI59-BH59)*Inputs!$E$85</f>
        <v>-0</v>
      </c>
      <c r="BJ60" s="66" t="n">
        <f aca="false">-(BJ59-BI59)*Inputs!$E$85</f>
        <v>-0</v>
      </c>
    </row>
    <row r="61" customFormat="false" ht="15" hidden="false" customHeight="false" outlineLevel="0" collapsed="false">
      <c r="A61" s="110" t="s">
        <v>50</v>
      </c>
      <c r="C61" s="67" t="n">
        <f aca="false">C57+C60</f>
        <v>-23298.2166666667</v>
      </c>
      <c r="D61" s="67" t="n">
        <f aca="false">D57+D60</f>
        <v>-21306.1190972222</v>
      </c>
      <c r="E61" s="67" t="n">
        <f aca="false">E57+E60</f>
        <v>-25834.5770833333</v>
      </c>
      <c r="F61" s="67" t="n">
        <f aca="false">F57+F60</f>
        <v>-22523.0350694444</v>
      </c>
      <c r="G61" s="67" t="n">
        <f aca="false">G57+G60</f>
        <v>-19211.4930555556</v>
      </c>
      <c r="H61" s="67" t="n">
        <f aca="false">H57+H60</f>
        <v>-15899.9510416667</v>
      </c>
      <c r="I61" s="67" t="n">
        <f aca="false">I57+I60</f>
        <v>-12588.4090277778</v>
      </c>
      <c r="J61" s="67" t="n">
        <f aca="false">J57+J60</f>
        <v>-13196.8670138889</v>
      </c>
      <c r="K61" s="67" t="n">
        <f aca="false">K57+K60</f>
        <v>-13805.325</v>
      </c>
      <c r="L61" s="67" t="n">
        <f aca="false">L57+L60</f>
        <v>-10493.7829861111</v>
      </c>
      <c r="M61" s="67" t="n">
        <f aca="false">M57+M60</f>
        <v>-7182.24097222222</v>
      </c>
      <c r="N61" s="67" t="n">
        <f aca="false">N57+N60</f>
        <v>-3870.69895833333</v>
      </c>
      <c r="O61" s="67" t="n">
        <f aca="false">O57+O60</f>
        <v>-300.223319444449</v>
      </c>
      <c r="P61" s="67" t="n">
        <f aca="false">P57+P60</f>
        <v>-788.45943055556</v>
      </c>
      <c r="Q61" s="67" t="n">
        <f aca="false">Q57+Q60</f>
        <v>-774.570541666671</v>
      </c>
      <c r="R61" s="67" t="n">
        <f aca="false">R57+R60</f>
        <v>-760.681652777782</v>
      </c>
      <c r="S61" s="67" t="n">
        <f aca="false">S57+S60</f>
        <v>-746.792763888893</v>
      </c>
      <c r="T61" s="67" t="n">
        <f aca="false">T57+T60</f>
        <v>-732.903875000004</v>
      </c>
      <c r="U61" s="67" t="n">
        <f aca="false">U57+U60</f>
        <v>-719.014986111115</v>
      </c>
      <c r="V61" s="67" t="n">
        <f aca="false">V57+V60</f>
        <v>-705.126097222226</v>
      </c>
      <c r="W61" s="67" t="n">
        <f aca="false">W57+W60</f>
        <v>-691.237208333337</v>
      </c>
      <c r="X61" s="67" t="n">
        <f aca="false">X57+X60</f>
        <v>-677.348319444448</v>
      </c>
      <c r="Y61" s="67" t="n">
        <f aca="false">Y57+Y60</f>
        <v>-663.459430555559</v>
      </c>
      <c r="Z61" s="67" t="n">
        <f aca="false">Z57+Z60</f>
        <v>-649.57054166667</v>
      </c>
      <c r="AA61" s="67" t="n">
        <f aca="false">AA57+AA60</f>
        <v>-381.79376902778</v>
      </c>
      <c r="AB61" s="67" t="n">
        <f aca="false">AB57+AB60</f>
        <v>-367.904880138891</v>
      </c>
      <c r="AC61" s="67" t="n">
        <f aca="false">AC57+AC60</f>
        <v>-354.015991250002</v>
      </c>
      <c r="AD61" s="67" t="n">
        <f aca="false">AD57+AD60</f>
        <v>-340.127102361113</v>
      </c>
      <c r="AE61" s="67" t="n">
        <f aca="false">AE57+AE60</f>
        <v>-326.238213472224</v>
      </c>
      <c r="AF61" s="67" t="n">
        <f aca="false">AF57+AF60</f>
        <v>-312.349324583335</v>
      </c>
      <c r="AG61" s="67" t="n">
        <f aca="false">AG57+AG60</f>
        <v>-298.460435694446</v>
      </c>
      <c r="AH61" s="67" t="n">
        <f aca="false">AH57+AH60</f>
        <v>-284.571546805557</v>
      </c>
      <c r="AI61" s="67" t="n">
        <f aca="false">AI57+AI60</f>
        <v>-270.682657916668</v>
      </c>
      <c r="AJ61" s="67" t="n">
        <f aca="false">AJ57+AJ60</f>
        <v>-256.793769027779</v>
      </c>
      <c r="AK61" s="67" t="n">
        <f aca="false">AK57+AK60</f>
        <v>-242.90488013889</v>
      </c>
      <c r="AL61" s="67" t="n">
        <f aca="false">AL57+AL60</f>
        <v>-229.015991250001</v>
      </c>
      <c r="AM61" s="67" t="n">
        <f aca="false">AM57+AM60</f>
        <v>48.6274179013883</v>
      </c>
      <c r="AN61" s="67" t="n">
        <f aca="false">AN57+AN60</f>
        <v>62.5163067902774</v>
      </c>
      <c r="AO61" s="67" t="n">
        <f aca="false">AO57+AO60</f>
        <v>76.4051956791661</v>
      </c>
      <c r="AP61" s="67" t="n">
        <f aca="false">AP57+AP60</f>
        <v>90.2940845680553</v>
      </c>
      <c r="AQ61" s="67" t="n">
        <f aca="false">AQ57+AQ60</f>
        <v>104.182973456944</v>
      </c>
      <c r="AR61" s="67" t="n">
        <f aca="false">AR57+AR60</f>
        <v>118.071862345833</v>
      </c>
      <c r="AS61" s="67" t="n">
        <f aca="false">AS57+AS60</f>
        <v>131.960751234722</v>
      </c>
      <c r="AT61" s="67" t="n">
        <f aca="false">AT57+AT60</f>
        <v>145.849640123611</v>
      </c>
      <c r="AU61" s="67" t="n">
        <f aca="false">AU57+AU60</f>
        <v>159.7385290125</v>
      </c>
      <c r="AV61" s="67" t="n">
        <f aca="false">AV57+AV60</f>
        <v>173.627417901389</v>
      </c>
      <c r="AW61" s="67" t="n">
        <f aca="false">AW57+AW60</f>
        <v>187.516306790278</v>
      </c>
      <c r="AX61" s="67" t="n">
        <f aca="false">AX57+AX60</f>
        <v>201.405195679167</v>
      </c>
      <c r="AY61" s="67" t="n">
        <f aca="false">AY57+AY60</f>
        <v>489.211240438427</v>
      </c>
      <c r="AZ61" s="67" t="n">
        <f aca="false">AZ57+AZ60</f>
        <v>503.100129327316</v>
      </c>
      <c r="BA61" s="67" t="n">
        <f aca="false">BA57+BA60</f>
        <v>516.989018216205</v>
      </c>
      <c r="BB61" s="67" t="n">
        <f aca="false">BB57+BB60</f>
        <v>530.877907105094</v>
      </c>
      <c r="BC61" s="67" t="n">
        <f aca="false">BC57+BC60</f>
        <v>544.766795993983</v>
      </c>
      <c r="BD61" s="67" t="n">
        <f aca="false">BD57+BD60</f>
        <v>558.655684882872</v>
      </c>
      <c r="BE61" s="67" t="n">
        <f aca="false">BE57+BE60</f>
        <v>572.54457377176</v>
      </c>
      <c r="BF61" s="67" t="n">
        <f aca="false">BF57+BF60</f>
        <v>586.43346266065</v>
      </c>
      <c r="BG61" s="67" t="n">
        <f aca="false">BG57+BG60</f>
        <v>600.322351549538</v>
      </c>
      <c r="BH61" s="67" t="n">
        <f aca="false">BH57+BH60</f>
        <v>614.211240438428</v>
      </c>
      <c r="BI61" s="67" t="n">
        <f aca="false">BI57+BI60</f>
        <v>628.100129327316</v>
      </c>
      <c r="BJ61" s="67" t="n">
        <f aca="false">BJ57+BJ60</f>
        <v>641.989018216205</v>
      </c>
    </row>
    <row r="63" customFormat="false" ht="15.75" hidden="false" customHeight="true" outlineLevel="0" collapsed="false">
      <c r="A63" s="7" t="s">
        <v>439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customFormat="false" ht="15" hidden="false" customHeight="false" outlineLevel="0" collapsed="false">
      <c r="A64" s="6" t="s">
        <v>440</v>
      </c>
      <c r="C64" s="66" t="n">
        <f aca="false">MAX(0,Inputs!$E$7-Inputs!$E$52)*Inputs!$E$37*Inputs!$E$50</f>
        <v>270000</v>
      </c>
      <c r="D64" s="66" t="n">
        <f aca="false">IF(AND(D$5&gt;1,MOD(D$4-1,12)=0),Inputs!$E$8,0)*Inputs!$E$37*Inputs!$E$50</f>
        <v>0</v>
      </c>
      <c r="E64" s="66" t="n">
        <f aca="false">IF(AND(E$5&gt;1,MOD(E$4-1,12)=0),Inputs!$E$8,0)*Inputs!$E$37*Inputs!$E$50</f>
        <v>0</v>
      </c>
      <c r="F64" s="66" t="n">
        <f aca="false">IF(AND(F$5&gt;1,MOD(F$4-1,12)=0),Inputs!$E$8,0)*Inputs!$E$37*Inputs!$E$50</f>
        <v>0</v>
      </c>
      <c r="G64" s="66" t="n">
        <f aca="false">IF(AND(G$5&gt;1,MOD(G$4-1,12)=0),Inputs!$E$8,0)*Inputs!$E$37*Inputs!$E$50</f>
        <v>0</v>
      </c>
      <c r="H64" s="66" t="n">
        <f aca="false">IF(AND(H$5&gt;1,MOD(H$4-1,12)=0),Inputs!$E$8,0)*Inputs!$E$37*Inputs!$E$50</f>
        <v>0</v>
      </c>
      <c r="I64" s="66" t="n">
        <f aca="false">IF(AND(I$5&gt;1,MOD(I$4-1,12)=0),Inputs!$E$8,0)*Inputs!$E$37*Inputs!$E$50</f>
        <v>0</v>
      </c>
      <c r="J64" s="66" t="n">
        <f aca="false">IF(AND(J$5&gt;1,MOD(J$4-1,12)=0),Inputs!$E$8,0)*Inputs!$E$37*Inputs!$E$50</f>
        <v>0</v>
      </c>
      <c r="K64" s="66" t="n">
        <f aca="false">IF(AND(K$5&gt;1,MOD(K$4-1,12)=0),Inputs!$E$8,0)*Inputs!$E$37*Inputs!$E$50</f>
        <v>0</v>
      </c>
      <c r="L64" s="66" t="n">
        <f aca="false">IF(AND(L$5&gt;1,MOD(L$4-1,12)=0),Inputs!$E$8,0)*Inputs!$E$37*Inputs!$E$50</f>
        <v>0</v>
      </c>
      <c r="M64" s="66" t="n">
        <f aca="false">IF(AND(M$5&gt;1,MOD(M$4-1,12)=0),Inputs!$E$8,0)*Inputs!$E$37*Inputs!$E$50</f>
        <v>0</v>
      </c>
      <c r="N64" s="66" t="n">
        <f aca="false">IF(AND(N$5&gt;1,MOD(N$4-1,12)=0),Inputs!$E$8,0)*Inputs!$E$37*Inputs!$E$50</f>
        <v>0</v>
      </c>
      <c r="O64" s="66" t="n">
        <f aca="false">IF(AND(O$5&gt;1,MOD(O$4-1,12)=0),Inputs!$E$8,0)*Inputs!$E$37*Inputs!$E$50</f>
        <v>0</v>
      </c>
      <c r="P64" s="66" t="n">
        <f aca="false">IF(AND(P$5&gt;1,MOD(P$4-1,12)=0),Inputs!$E$8,0)*Inputs!$E$37*Inputs!$E$50</f>
        <v>0</v>
      </c>
      <c r="Q64" s="66" t="n">
        <f aca="false">IF(AND(Q$5&gt;1,MOD(Q$4-1,12)=0),Inputs!$E$8,0)*Inputs!$E$37*Inputs!$E$50</f>
        <v>0</v>
      </c>
      <c r="R64" s="66" t="n">
        <f aca="false">IF(AND(R$5&gt;1,MOD(R$4-1,12)=0),Inputs!$E$8,0)*Inputs!$E$37*Inputs!$E$50</f>
        <v>0</v>
      </c>
      <c r="S64" s="66" t="n">
        <f aca="false">IF(AND(S$5&gt;1,MOD(S$4-1,12)=0),Inputs!$E$8,0)*Inputs!$E$37*Inputs!$E$50</f>
        <v>0</v>
      </c>
      <c r="T64" s="66" t="n">
        <f aca="false">IF(AND(T$5&gt;1,MOD(T$4-1,12)=0),Inputs!$E$8,0)*Inputs!$E$37*Inputs!$E$50</f>
        <v>0</v>
      </c>
      <c r="U64" s="66" t="n">
        <f aca="false">IF(AND(U$5&gt;1,MOD(U$4-1,12)=0),Inputs!$E$8,0)*Inputs!$E$37*Inputs!$E$50</f>
        <v>0</v>
      </c>
      <c r="V64" s="66" t="n">
        <f aca="false">IF(AND(V$5&gt;1,MOD(V$4-1,12)=0),Inputs!$E$8,0)*Inputs!$E$37*Inputs!$E$50</f>
        <v>0</v>
      </c>
      <c r="W64" s="66" t="n">
        <f aca="false">IF(AND(W$5&gt;1,MOD(W$4-1,12)=0),Inputs!$E$8,0)*Inputs!$E$37*Inputs!$E$50</f>
        <v>0</v>
      </c>
      <c r="X64" s="66" t="n">
        <f aca="false">IF(AND(X$5&gt;1,MOD(X$4-1,12)=0),Inputs!$E$8,0)*Inputs!$E$37*Inputs!$E$50</f>
        <v>0</v>
      </c>
      <c r="Y64" s="66" t="n">
        <f aca="false">IF(AND(Y$5&gt;1,MOD(Y$4-1,12)=0),Inputs!$E$8,0)*Inputs!$E$37*Inputs!$E$50</f>
        <v>0</v>
      </c>
      <c r="Z64" s="66" t="n">
        <f aca="false">IF(AND(Z$5&gt;1,MOD(Z$4-1,12)=0),Inputs!$E$8,0)*Inputs!$E$37*Inputs!$E$50</f>
        <v>0</v>
      </c>
      <c r="AA64" s="66" t="n">
        <f aca="false">IF(AND(AA$5&gt;1,MOD(AA$4-1,12)=0),Inputs!$E$8,0)*Inputs!$E$37*Inputs!$E$50</f>
        <v>0</v>
      </c>
      <c r="AB64" s="66" t="n">
        <f aca="false">IF(AND(AB$5&gt;1,MOD(AB$4-1,12)=0),Inputs!$E$8,0)*Inputs!$E$37*Inputs!$E$50</f>
        <v>0</v>
      </c>
      <c r="AC64" s="66" t="n">
        <f aca="false">IF(AND(AC$5&gt;1,MOD(AC$4-1,12)=0),Inputs!$E$8,0)*Inputs!$E$37*Inputs!$E$50</f>
        <v>0</v>
      </c>
      <c r="AD64" s="66" t="n">
        <f aca="false">IF(AND(AD$5&gt;1,MOD(AD$4-1,12)=0),Inputs!$E$8,0)*Inputs!$E$37*Inputs!$E$50</f>
        <v>0</v>
      </c>
      <c r="AE64" s="66" t="n">
        <f aca="false">IF(AND(AE$5&gt;1,MOD(AE$4-1,12)=0),Inputs!$E$8,0)*Inputs!$E$37*Inputs!$E$50</f>
        <v>0</v>
      </c>
      <c r="AF64" s="66" t="n">
        <f aca="false">IF(AND(AF$5&gt;1,MOD(AF$4-1,12)=0),Inputs!$E$8,0)*Inputs!$E$37*Inputs!$E$50</f>
        <v>0</v>
      </c>
      <c r="AG64" s="66" t="n">
        <f aca="false">IF(AND(AG$5&gt;1,MOD(AG$4-1,12)=0),Inputs!$E$8,0)*Inputs!$E$37*Inputs!$E$50</f>
        <v>0</v>
      </c>
      <c r="AH64" s="66" t="n">
        <f aca="false">IF(AND(AH$5&gt;1,MOD(AH$4-1,12)=0),Inputs!$E$8,0)*Inputs!$E$37*Inputs!$E$50</f>
        <v>0</v>
      </c>
      <c r="AI64" s="66" t="n">
        <f aca="false">IF(AND(AI$5&gt;1,MOD(AI$4-1,12)=0),Inputs!$E$8,0)*Inputs!$E$37*Inputs!$E$50</f>
        <v>0</v>
      </c>
      <c r="AJ64" s="66" t="n">
        <f aca="false">IF(AND(AJ$5&gt;1,MOD(AJ$4-1,12)=0),Inputs!$E$8,0)*Inputs!$E$37*Inputs!$E$50</f>
        <v>0</v>
      </c>
      <c r="AK64" s="66" t="n">
        <f aca="false">IF(AND(AK$5&gt;1,MOD(AK$4-1,12)=0),Inputs!$E$8,0)*Inputs!$E$37*Inputs!$E$50</f>
        <v>0</v>
      </c>
      <c r="AL64" s="66" t="n">
        <f aca="false">IF(AND(AL$5&gt;1,MOD(AL$4-1,12)=0),Inputs!$E$8,0)*Inputs!$E$37*Inputs!$E$50</f>
        <v>0</v>
      </c>
      <c r="AM64" s="66" t="n">
        <f aca="false">IF(AND(AM$5&gt;1,MOD(AM$4-1,12)=0),Inputs!$E$8,0)*Inputs!$E$37*Inputs!$E$50</f>
        <v>0</v>
      </c>
      <c r="AN64" s="66" t="n">
        <f aca="false">IF(AND(AN$5&gt;1,MOD(AN$4-1,12)=0),Inputs!$E$8,0)*Inputs!$E$37*Inputs!$E$50</f>
        <v>0</v>
      </c>
      <c r="AO64" s="66" t="n">
        <f aca="false">IF(AND(AO$5&gt;1,MOD(AO$4-1,12)=0),Inputs!$E$8,0)*Inputs!$E$37*Inputs!$E$50</f>
        <v>0</v>
      </c>
      <c r="AP64" s="66" t="n">
        <f aca="false">IF(AND(AP$5&gt;1,MOD(AP$4-1,12)=0),Inputs!$E$8,0)*Inputs!$E$37*Inputs!$E$50</f>
        <v>0</v>
      </c>
      <c r="AQ64" s="66" t="n">
        <f aca="false">IF(AND(AQ$5&gt;1,MOD(AQ$4-1,12)=0),Inputs!$E$8,0)*Inputs!$E$37*Inputs!$E$50</f>
        <v>0</v>
      </c>
      <c r="AR64" s="66" t="n">
        <f aca="false">IF(AND(AR$5&gt;1,MOD(AR$4-1,12)=0),Inputs!$E$8,0)*Inputs!$E$37*Inputs!$E$50</f>
        <v>0</v>
      </c>
      <c r="AS64" s="66" t="n">
        <f aca="false">IF(AND(AS$5&gt;1,MOD(AS$4-1,12)=0),Inputs!$E$8,0)*Inputs!$E$37*Inputs!$E$50</f>
        <v>0</v>
      </c>
      <c r="AT64" s="66" t="n">
        <f aca="false">IF(AND(AT$5&gt;1,MOD(AT$4-1,12)=0),Inputs!$E$8,0)*Inputs!$E$37*Inputs!$E$50</f>
        <v>0</v>
      </c>
      <c r="AU64" s="66" t="n">
        <f aca="false">IF(AND(AU$5&gt;1,MOD(AU$4-1,12)=0),Inputs!$E$8,0)*Inputs!$E$37*Inputs!$E$50</f>
        <v>0</v>
      </c>
      <c r="AV64" s="66" t="n">
        <f aca="false">IF(AND(AV$5&gt;1,MOD(AV$4-1,12)=0),Inputs!$E$8,0)*Inputs!$E$37*Inputs!$E$50</f>
        <v>0</v>
      </c>
      <c r="AW64" s="66" t="n">
        <f aca="false">IF(AND(AW$5&gt;1,MOD(AW$4-1,12)=0),Inputs!$E$8,0)*Inputs!$E$37*Inputs!$E$50</f>
        <v>0</v>
      </c>
      <c r="AX64" s="66" t="n">
        <f aca="false">IF(AND(AX$5&gt;1,MOD(AX$4-1,12)=0),Inputs!$E$8,0)*Inputs!$E$37*Inputs!$E$50</f>
        <v>0</v>
      </c>
      <c r="AY64" s="66" t="n">
        <f aca="false">IF(AND(AY$5&gt;1,MOD(AY$4-1,12)=0),Inputs!$E$8,0)*Inputs!$E$37*Inputs!$E$50</f>
        <v>0</v>
      </c>
      <c r="AZ64" s="66" t="n">
        <f aca="false">IF(AND(AZ$5&gt;1,MOD(AZ$4-1,12)=0),Inputs!$E$8,0)*Inputs!$E$37*Inputs!$E$50</f>
        <v>0</v>
      </c>
      <c r="BA64" s="66" t="n">
        <f aca="false">IF(AND(BA$5&gt;1,MOD(BA$4-1,12)=0),Inputs!$E$8,0)*Inputs!$E$37*Inputs!$E$50</f>
        <v>0</v>
      </c>
      <c r="BB64" s="66" t="n">
        <f aca="false">IF(AND(BB$5&gt;1,MOD(BB$4-1,12)=0),Inputs!$E$8,0)*Inputs!$E$37*Inputs!$E$50</f>
        <v>0</v>
      </c>
      <c r="BC64" s="66" t="n">
        <f aca="false">IF(AND(BC$5&gt;1,MOD(BC$4-1,12)=0),Inputs!$E$8,0)*Inputs!$E$37*Inputs!$E$50</f>
        <v>0</v>
      </c>
      <c r="BD64" s="66" t="n">
        <f aca="false">IF(AND(BD$5&gt;1,MOD(BD$4-1,12)=0),Inputs!$E$8,0)*Inputs!$E$37*Inputs!$E$50</f>
        <v>0</v>
      </c>
      <c r="BE64" s="66" t="n">
        <f aca="false">IF(AND(BE$5&gt;1,MOD(BE$4-1,12)=0),Inputs!$E$8,0)*Inputs!$E$37*Inputs!$E$50</f>
        <v>0</v>
      </c>
      <c r="BF64" s="66" t="n">
        <f aca="false">IF(AND(BF$5&gt;1,MOD(BF$4-1,12)=0),Inputs!$E$8,0)*Inputs!$E$37*Inputs!$E$50</f>
        <v>0</v>
      </c>
      <c r="BG64" s="66" t="n">
        <f aca="false">IF(AND(BG$5&gt;1,MOD(BG$4-1,12)=0),Inputs!$E$8,0)*Inputs!$E$37*Inputs!$E$50</f>
        <v>0</v>
      </c>
      <c r="BH64" s="66" t="n">
        <f aca="false">IF(AND(BH$5&gt;1,MOD(BH$4-1,12)=0),Inputs!$E$8,0)*Inputs!$E$37*Inputs!$E$50</f>
        <v>0</v>
      </c>
      <c r="BI64" s="66" t="n">
        <f aca="false">IF(AND(BI$5&gt;1,MOD(BI$4-1,12)=0),Inputs!$E$8,0)*Inputs!$E$37*Inputs!$E$50</f>
        <v>0</v>
      </c>
      <c r="BJ64" s="66" t="n">
        <f aca="false">IF(AND(BJ$5&gt;1,MOD(BJ$4-1,12)=0),Inputs!$E$8,0)*Inputs!$E$37*Inputs!$E$50</f>
        <v>0</v>
      </c>
    </row>
    <row r="65" customFormat="false" ht="15" hidden="false" customHeight="false" outlineLevel="0" collapsed="false">
      <c r="A65" s="6" t="s">
        <v>441</v>
      </c>
      <c r="C65" s="66" t="n">
        <f aca="false">MAX(0,Inputs!$E$7-Inputs!$E$52)*Inputs!$E$51</f>
        <v>132000</v>
      </c>
      <c r="D65" s="66" t="n">
        <f aca="false">IF(AND(D$5&gt;1,MOD(D$4-1,12)=0),Inputs!$E$8,0)*Inputs!$E$51</f>
        <v>0</v>
      </c>
      <c r="E65" s="66" t="n">
        <f aca="false">IF(AND(E$5&gt;1,MOD(E$4-1,12)=0),Inputs!$E$8,0)*Inputs!$E$51</f>
        <v>0</v>
      </c>
      <c r="F65" s="66" t="n">
        <f aca="false">IF(AND(F$5&gt;1,MOD(F$4-1,12)=0),Inputs!$E$8,0)*Inputs!$E$51</f>
        <v>0</v>
      </c>
      <c r="G65" s="66" t="n">
        <f aca="false">IF(AND(G$5&gt;1,MOD(G$4-1,12)=0),Inputs!$E$8,0)*Inputs!$E$51</f>
        <v>0</v>
      </c>
      <c r="H65" s="66" t="n">
        <f aca="false">IF(AND(H$5&gt;1,MOD(H$4-1,12)=0),Inputs!$E$8,0)*Inputs!$E$51</f>
        <v>0</v>
      </c>
      <c r="I65" s="66" t="n">
        <f aca="false">IF(AND(I$5&gt;1,MOD(I$4-1,12)=0),Inputs!$E$8,0)*Inputs!$E$51</f>
        <v>0</v>
      </c>
      <c r="J65" s="66" t="n">
        <f aca="false">IF(AND(J$5&gt;1,MOD(J$4-1,12)=0),Inputs!$E$8,0)*Inputs!$E$51</f>
        <v>0</v>
      </c>
      <c r="K65" s="66" t="n">
        <f aca="false">IF(AND(K$5&gt;1,MOD(K$4-1,12)=0),Inputs!$E$8,0)*Inputs!$E$51</f>
        <v>0</v>
      </c>
      <c r="L65" s="66" t="n">
        <f aca="false">IF(AND(L$5&gt;1,MOD(L$4-1,12)=0),Inputs!$E$8,0)*Inputs!$E$51</f>
        <v>0</v>
      </c>
      <c r="M65" s="66" t="n">
        <f aca="false">IF(AND(M$5&gt;1,MOD(M$4-1,12)=0),Inputs!$E$8,0)*Inputs!$E$51</f>
        <v>0</v>
      </c>
      <c r="N65" s="66" t="n">
        <f aca="false">IF(AND(N$5&gt;1,MOD(N$4-1,12)=0),Inputs!$E$8,0)*Inputs!$E$51</f>
        <v>0</v>
      </c>
      <c r="O65" s="66" t="n">
        <f aca="false">IF(AND(O$5&gt;1,MOD(O$4-1,12)=0),Inputs!$E$8,0)*Inputs!$E$51</f>
        <v>0</v>
      </c>
      <c r="P65" s="66" t="n">
        <f aca="false">IF(AND(P$5&gt;1,MOD(P$4-1,12)=0),Inputs!$E$8,0)*Inputs!$E$51</f>
        <v>0</v>
      </c>
      <c r="Q65" s="66" t="n">
        <f aca="false">IF(AND(Q$5&gt;1,MOD(Q$4-1,12)=0),Inputs!$E$8,0)*Inputs!$E$51</f>
        <v>0</v>
      </c>
      <c r="R65" s="66" t="n">
        <f aca="false">IF(AND(R$5&gt;1,MOD(R$4-1,12)=0),Inputs!$E$8,0)*Inputs!$E$51</f>
        <v>0</v>
      </c>
      <c r="S65" s="66" t="n">
        <f aca="false">IF(AND(S$5&gt;1,MOD(S$4-1,12)=0),Inputs!$E$8,0)*Inputs!$E$51</f>
        <v>0</v>
      </c>
      <c r="T65" s="66" t="n">
        <f aca="false">IF(AND(T$5&gt;1,MOD(T$4-1,12)=0),Inputs!$E$8,0)*Inputs!$E$51</f>
        <v>0</v>
      </c>
      <c r="U65" s="66" t="n">
        <f aca="false">IF(AND(U$5&gt;1,MOD(U$4-1,12)=0),Inputs!$E$8,0)*Inputs!$E$51</f>
        <v>0</v>
      </c>
      <c r="V65" s="66" t="n">
        <f aca="false">IF(AND(V$5&gt;1,MOD(V$4-1,12)=0),Inputs!$E$8,0)*Inputs!$E$51</f>
        <v>0</v>
      </c>
      <c r="W65" s="66" t="n">
        <f aca="false">IF(AND(W$5&gt;1,MOD(W$4-1,12)=0),Inputs!$E$8,0)*Inputs!$E$51</f>
        <v>0</v>
      </c>
      <c r="X65" s="66" t="n">
        <f aca="false">IF(AND(X$5&gt;1,MOD(X$4-1,12)=0),Inputs!$E$8,0)*Inputs!$E$51</f>
        <v>0</v>
      </c>
      <c r="Y65" s="66" t="n">
        <f aca="false">IF(AND(Y$5&gt;1,MOD(Y$4-1,12)=0),Inputs!$E$8,0)*Inputs!$E$51</f>
        <v>0</v>
      </c>
      <c r="Z65" s="66" t="n">
        <f aca="false">IF(AND(Z$5&gt;1,MOD(Z$4-1,12)=0),Inputs!$E$8,0)*Inputs!$E$51</f>
        <v>0</v>
      </c>
      <c r="AA65" s="66" t="n">
        <f aca="false">IF(AND(AA$5&gt;1,MOD(AA$4-1,12)=0),Inputs!$E$8,0)*Inputs!$E$51</f>
        <v>0</v>
      </c>
      <c r="AB65" s="66" t="n">
        <f aca="false">IF(AND(AB$5&gt;1,MOD(AB$4-1,12)=0),Inputs!$E$8,0)*Inputs!$E$51</f>
        <v>0</v>
      </c>
      <c r="AC65" s="66" t="n">
        <f aca="false">IF(AND(AC$5&gt;1,MOD(AC$4-1,12)=0),Inputs!$E$8,0)*Inputs!$E$51</f>
        <v>0</v>
      </c>
      <c r="AD65" s="66" t="n">
        <f aca="false">IF(AND(AD$5&gt;1,MOD(AD$4-1,12)=0),Inputs!$E$8,0)*Inputs!$E$51</f>
        <v>0</v>
      </c>
      <c r="AE65" s="66" t="n">
        <f aca="false">IF(AND(AE$5&gt;1,MOD(AE$4-1,12)=0),Inputs!$E$8,0)*Inputs!$E$51</f>
        <v>0</v>
      </c>
      <c r="AF65" s="66" t="n">
        <f aca="false">IF(AND(AF$5&gt;1,MOD(AF$4-1,12)=0),Inputs!$E$8,0)*Inputs!$E$51</f>
        <v>0</v>
      </c>
      <c r="AG65" s="66" t="n">
        <f aca="false">IF(AND(AG$5&gt;1,MOD(AG$4-1,12)=0),Inputs!$E$8,0)*Inputs!$E$51</f>
        <v>0</v>
      </c>
      <c r="AH65" s="66" t="n">
        <f aca="false">IF(AND(AH$5&gt;1,MOD(AH$4-1,12)=0),Inputs!$E$8,0)*Inputs!$E$51</f>
        <v>0</v>
      </c>
      <c r="AI65" s="66" t="n">
        <f aca="false">IF(AND(AI$5&gt;1,MOD(AI$4-1,12)=0),Inputs!$E$8,0)*Inputs!$E$51</f>
        <v>0</v>
      </c>
      <c r="AJ65" s="66" t="n">
        <f aca="false">IF(AND(AJ$5&gt;1,MOD(AJ$4-1,12)=0),Inputs!$E$8,0)*Inputs!$E$51</f>
        <v>0</v>
      </c>
      <c r="AK65" s="66" t="n">
        <f aca="false">IF(AND(AK$5&gt;1,MOD(AK$4-1,12)=0),Inputs!$E$8,0)*Inputs!$E$51</f>
        <v>0</v>
      </c>
      <c r="AL65" s="66" t="n">
        <f aca="false">IF(AND(AL$5&gt;1,MOD(AL$4-1,12)=0),Inputs!$E$8,0)*Inputs!$E$51</f>
        <v>0</v>
      </c>
      <c r="AM65" s="66" t="n">
        <f aca="false">IF(AND(AM$5&gt;1,MOD(AM$4-1,12)=0),Inputs!$E$8,0)*Inputs!$E$51</f>
        <v>0</v>
      </c>
      <c r="AN65" s="66" t="n">
        <f aca="false">IF(AND(AN$5&gt;1,MOD(AN$4-1,12)=0),Inputs!$E$8,0)*Inputs!$E$51</f>
        <v>0</v>
      </c>
      <c r="AO65" s="66" t="n">
        <f aca="false">IF(AND(AO$5&gt;1,MOD(AO$4-1,12)=0),Inputs!$E$8,0)*Inputs!$E$51</f>
        <v>0</v>
      </c>
      <c r="AP65" s="66" t="n">
        <f aca="false">IF(AND(AP$5&gt;1,MOD(AP$4-1,12)=0),Inputs!$E$8,0)*Inputs!$E$51</f>
        <v>0</v>
      </c>
      <c r="AQ65" s="66" t="n">
        <f aca="false">IF(AND(AQ$5&gt;1,MOD(AQ$4-1,12)=0),Inputs!$E$8,0)*Inputs!$E$51</f>
        <v>0</v>
      </c>
      <c r="AR65" s="66" t="n">
        <f aca="false">IF(AND(AR$5&gt;1,MOD(AR$4-1,12)=0),Inputs!$E$8,0)*Inputs!$E$51</f>
        <v>0</v>
      </c>
      <c r="AS65" s="66" t="n">
        <f aca="false">IF(AND(AS$5&gt;1,MOD(AS$4-1,12)=0),Inputs!$E$8,0)*Inputs!$E$51</f>
        <v>0</v>
      </c>
      <c r="AT65" s="66" t="n">
        <f aca="false">IF(AND(AT$5&gt;1,MOD(AT$4-1,12)=0),Inputs!$E$8,0)*Inputs!$E$51</f>
        <v>0</v>
      </c>
      <c r="AU65" s="66" t="n">
        <f aca="false">IF(AND(AU$5&gt;1,MOD(AU$4-1,12)=0),Inputs!$E$8,0)*Inputs!$E$51</f>
        <v>0</v>
      </c>
      <c r="AV65" s="66" t="n">
        <f aca="false">IF(AND(AV$5&gt;1,MOD(AV$4-1,12)=0),Inputs!$E$8,0)*Inputs!$E$51</f>
        <v>0</v>
      </c>
      <c r="AW65" s="66" t="n">
        <f aca="false">IF(AND(AW$5&gt;1,MOD(AW$4-1,12)=0),Inputs!$E$8,0)*Inputs!$E$51</f>
        <v>0</v>
      </c>
      <c r="AX65" s="66" t="n">
        <f aca="false">IF(AND(AX$5&gt;1,MOD(AX$4-1,12)=0),Inputs!$E$8,0)*Inputs!$E$51</f>
        <v>0</v>
      </c>
      <c r="AY65" s="66" t="n">
        <f aca="false">IF(AND(AY$5&gt;1,MOD(AY$4-1,12)=0),Inputs!$E$8,0)*Inputs!$E$51</f>
        <v>0</v>
      </c>
      <c r="AZ65" s="66" t="n">
        <f aca="false">IF(AND(AZ$5&gt;1,MOD(AZ$4-1,12)=0),Inputs!$E$8,0)*Inputs!$E$51</f>
        <v>0</v>
      </c>
      <c r="BA65" s="66" t="n">
        <f aca="false">IF(AND(BA$5&gt;1,MOD(BA$4-1,12)=0),Inputs!$E$8,0)*Inputs!$E$51</f>
        <v>0</v>
      </c>
      <c r="BB65" s="66" t="n">
        <f aca="false">IF(AND(BB$5&gt;1,MOD(BB$4-1,12)=0),Inputs!$E$8,0)*Inputs!$E$51</f>
        <v>0</v>
      </c>
      <c r="BC65" s="66" t="n">
        <f aca="false">IF(AND(BC$5&gt;1,MOD(BC$4-1,12)=0),Inputs!$E$8,0)*Inputs!$E$51</f>
        <v>0</v>
      </c>
      <c r="BD65" s="66" t="n">
        <f aca="false">IF(AND(BD$5&gt;1,MOD(BD$4-1,12)=0),Inputs!$E$8,0)*Inputs!$E$51</f>
        <v>0</v>
      </c>
      <c r="BE65" s="66" t="n">
        <f aca="false">IF(AND(BE$5&gt;1,MOD(BE$4-1,12)=0),Inputs!$E$8,0)*Inputs!$E$51</f>
        <v>0</v>
      </c>
      <c r="BF65" s="66" t="n">
        <f aca="false">IF(AND(BF$5&gt;1,MOD(BF$4-1,12)=0),Inputs!$E$8,0)*Inputs!$E$51</f>
        <v>0</v>
      </c>
      <c r="BG65" s="66" t="n">
        <f aca="false">IF(AND(BG$5&gt;1,MOD(BG$4-1,12)=0),Inputs!$E$8,0)*Inputs!$E$51</f>
        <v>0</v>
      </c>
      <c r="BH65" s="66" t="n">
        <f aca="false">IF(AND(BH$5&gt;1,MOD(BH$4-1,12)=0),Inputs!$E$8,0)*Inputs!$E$51</f>
        <v>0</v>
      </c>
      <c r="BI65" s="66" t="n">
        <f aca="false">IF(AND(BI$5&gt;1,MOD(BI$4-1,12)=0),Inputs!$E$8,0)*Inputs!$E$51</f>
        <v>0</v>
      </c>
      <c r="BJ65" s="66" t="n">
        <f aca="false">IF(AND(BJ$5&gt;1,MOD(BJ$4-1,12)=0),Inputs!$E$8,0)*Inputs!$E$51</f>
        <v>0</v>
      </c>
    </row>
    <row r="66" customFormat="false" ht="15" hidden="false" customHeight="false" outlineLevel="0" collapsed="false">
      <c r="A66" s="6" t="s">
        <v>442</v>
      </c>
      <c r="C66" s="66" t="n">
        <f aca="false">IF(C$4=1,Inputs!$E$53,0)</f>
        <v>40000</v>
      </c>
      <c r="D66" s="66" t="n">
        <f aca="false">IF(D$4=1,Inputs!$E$53,0)</f>
        <v>0</v>
      </c>
      <c r="E66" s="66" t="n">
        <f aca="false">IF(E$4=1,Inputs!$E$53,0)</f>
        <v>0</v>
      </c>
      <c r="F66" s="66" t="n">
        <f aca="false">IF(F$4=1,Inputs!$E$53,0)</f>
        <v>0</v>
      </c>
      <c r="G66" s="66" t="n">
        <f aca="false">IF(G$4=1,Inputs!$E$53,0)</f>
        <v>0</v>
      </c>
      <c r="H66" s="66" t="n">
        <f aca="false">IF(H$4=1,Inputs!$E$53,0)</f>
        <v>0</v>
      </c>
      <c r="I66" s="66" t="n">
        <f aca="false">IF(I$4=1,Inputs!$E$53,0)</f>
        <v>0</v>
      </c>
      <c r="J66" s="66" t="n">
        <f aca="false">IF(J$4=1,Inputs!$E$53,0)</f>
        <v>0</v>
      </c>
      <c r="K66" s="66" t="n">
        <f aca="false">IF(K$4=1,Inputs!$E$53,0)</f>
        <v>0</v>
      </c>
      <c r="L66" s="66" t="n">
        <f aca="false">IF(L$4=1,Inputs!$E$53,0)</f>
        <v>0</v>
      </c>
      <c r="M66" s="66" t="n">
        <f aca="false">IF(M$4=1,Inputs!$E$53,0)</f>
        <v>0</v>
      </c>
      <c r="N66" s="66" t="n">
        <f aca="false">IF(N$4=1,Inputs!$E$53,0)</f>
        <v>0</v>
      </c>
      <c r="O66" s="66" t="n">
        <f aca="false">IF(O$4=1,Inputs!$E$53,0)</f>
        <v>0</v>
      </c>
      <c r="P66" s="66" t="n">
        <f aca="false">IF(P$4=1,Inputs!$E$53,0)</f>
        <v>0</v>
      </c>
      <c r="Q66" s="66" t="n">
        <f aca="false">IF(Q$4=1,Inputs!$E$53,0)</f>
        <v>0</v>
      </c>
      <c r="R66" s="66" t="n">
        <f aca="false">IF(R$4=1,Inputs!$E$53,0)</f>
        <v>0</v>
      </c>
      <c r="S66" s="66" t="n">
        <f aca="false">IF(S$4=1,Inputs!$E$53,0)</f>
        <v>0</v>
      </c>
      <c r="T66" s="66" t="n">
        <f aca="false">IF(T$4=1,Inputs!$E$53,0)</f>
        <v>0</v>
      </c>
      <c r="U66" s="66" t="n">
        <f aca="false">IF(U$4=1,Inputs!$E$53,0)</f>
        <v>0</v>
      </c>
      <c r="V66" s="66" t="n">
        <f aca="false">IF(V$4=1,Inputs!$E$53,0)</f>
        <v>0</v>
      </c>
      <c r="W66" s="66" t="n">
        <f aca="false">IF(W$4=1,Inputs!$E$53,0)</f>
        <v>0</v>
      </c>
      <c r="X66" s="66" t="n">
        <f aca="false">IF(X$4=1,Inputs!$E$53,0)</f>
        <v>0</v>
      </c>
      <c r="Y66" s="66" t="n">
        <f aca="false">IF(Y$4=1,Inputs!$E$53,0)</f>
        <v>0</v>
      </c>
      <c r="Z66" s="66" t="n">
        <f aca="false">IF(Z$4=1,Inputs!$E$53,0)</f>
        <v>0</v>
      </c>
      <c r="AA66" s="66" t="n">
        <f aca="false">IF(AA$4=1,Inputs!$E$53,0)</f>
        <v>0</v>
      </c>
      <c r="AB66" s="66" t="n">
        <f aca="false">IF(AB$4=1,Inputs!$E$53,0)</f>
        <v>0</v>
      </c>
      <c r="AC66" s="66" t="n">
        <f aca="false">IF(AC$4=1,Inputs!$E$53,0)</f>
        <v>0</v>
      </c>
      <c r="AD66" s="66" t="n">
        <f aca="false">IF(AD$4=1,Inputs!$E$53,0)</f>
        <v>0</v>
      </c>
      <c r="AE66" s="66" t="n">
        <f aca="false">IF(AE$4=1,Inputs!$E$53,0)</f>
        <v>0</v>
      </c>
      <c r="AF66" s="66" t="n">
        <f aca="false">IF(AF$4=1,Inputs!$E$53,0)</f>
        <v>0</v>
      </c>
      <c r="AG66" s="66" t="n">
        <f aca="false">IF(AG$4=1,Inputs!$E$53,0)</f>
        <v>0</v>
      </c>
      <c r="AH66" s="66" t="n">
        <f aca="false">IF(AH$4=1,Inputs!$E$53,0)</f>
        <v>0</v>
      </c>
      <c r="AI66" s="66" t="n">
        <f aca="false">IF(AI$4=1,Inputs!$E$53,0)</f>
        <v>0</v>
      </c>
      <c r="AJ66" s="66" t="n">
        <f aca="false">IF(AJ$4=1,Inputs!$E$53,0)</f>
        <v>0</v>
      </c>
      <c r="AK66" s="66" t="n">
        <f aca="false">IF(AK$4=1,Inputs!$E$53,0)</f>
        <v>0</v>
      </c>
      <c r="AL66" s="66" t="n">
        <f aca="false">IF(AL$4=1,Inputs!$E$53,0)</f>
        <v>0</v>
      </c>
      <c r="AM66" s="66" t="n">
        <f aca="false">IF(AM$4=1,Inputs!$E$53,0)</f>
        <v>0</v>
      </c>
      <c r="AN66" s="66" t="n">
        <f aca="false">IF(AN$4=1,Inputs!$E$53,0)</f>
        <v>0</v>
      </c>
      <c r="AO66" s="66" t="n">
        <f aca="false">IF(AO$4=1,Inputs!$E$53,0)</f>
        <v>0</v>
      </c>
      <c r="AP66" s="66" t="n">
        <f aca="false">IF(AP$4=1,Inputs!$E$53,0)</f>
        <v>0</v>
      </c>
      <c r="AQ66" s="66" t="n">
        <f aca="false">IF(AQ$4=1,Inputs!$E$53,0)</f>
        <v>0</v>
      </c>
      <c r="AR66" s="66" t="n">
        <f aca="false">IF(AR$4=1,Inputs!$E$53,0)</f>
        <v>0</v>
      </c>
      <c r="AS66" s="66" t="n">
        <f aca="false">IF(AS$4=1,Inputs!$E$53,0)</f>
        <v>0</v>
      </c>
      <c r="AT66" s="66" t="n">
        <f aca="false">IF(AT$4=1,Inputs!$E$53,0)</f>
        <v>0</v>
      </c>
      <c r="AU66" s="66" t="n">
        <f aca="false">IF(AU$4=1,Inputs!$E$53,0)</f>
        <v>0</v>
      </c>
      <c r="AV66" s="66" t="n">
        <f aca="false">IF(AV$4=1,Inputs!$E$53,0)</f>
        <v>0</v>
      </c>
      <c r="AW66" s="66" t="n">
        <f aca="false">IF(AW$4=1,Inputs!$E$53,0)</f>
        <v>0</v>
      </c>
      <c r="AX66" s="66" t="n">
        <f aca="false">IF(AX$4=1,Inputs!$E$53,0)</f>
        <v>0</v>
      </c>
      <c r="AY66" s="66" t="n">
        <f aca="false">IF(AY$4=1,Inputs!$E$53,0)</f>
        <v>0</v>
      </c>
      <c r="AZ66" s="66" t="n">
        <f aca="false">IF(AZ$4=1,Inputs!$E$53,0)</f>
        <v>0</v>
      </c>
      <c r="BA66" s="66" t="n">
        <f aca="false">IF(BA$4=1,Inputs!$E$53,0)</f>
        <v>0</v>
      </c>
      <c r="BB66" s="66" t="n">
        <f aca="false">IF(BB$4=1,Inputs!$E$53,0)</f>
        <v>0</v>
      </c>
      <c r="BC66" s="66" t="n">
        <f aca="false">IF(BC$4=1,Inputs!$E$53,0)</f>
        <v>0</v>
      </c>
      <c r="BD66" s="66" t="n">
        <f aca="false">IF(BD$4=1,Inputs!$E$53,0)</f>
        <v>0</v>
      </c>
      <c r="BE66" s="66" t="n">
        <f aca="false">IF(BE$4=1,Inputs!$E$53,0)</f>
        <v>0</v>
      </c>
      <c r="BF66" s="66" t="n">
        <f aca="false">IF(BF$4=1,Inputs!$E$53,0)</f>
        <v>0</v>
      </c>
      <c r="BG66" s="66" t="n">
        <f aca="false">IF(BG$4=1,Inputs!$E$53,0)</f>
        <v>0</v>
      </c>
      <c r="BH66" s="66" t="n">
        <f aca="false">IF(BH$4=1,Inputs!$E$53,0)</f>
        <v>0</v>
      </c>
      <c r="BI66" s="66" t="n">
        <f aca="false">IF(BI$4=1,Inputs!$E$53,0)</f>
        <v>0</v>
      </c>
      <c r="BJ66" s="66" t="n">
        <f aca="false">IF(BJ$4=1,Inputs!$E$53,0)</f>
        <v>0</v>
      </c>
    </row>
    <row r="67" customFormat="false" ht="15" hidden="false" customHeight="false" outlineLevel="0" collapsed="false">
      <c r="A67" s="6" t="s">
        <v>443</v>
      </c>
      <c r="C67" s="66" t="n">
        <f aca="false">IF(AND(C$5&gt;1,MOD(C$4-1,12)=0),C8*Inputs!$E$54,0)</f>
        <v>0</v>
      </c>
      <c r="D67" s="66" t="n">
        <f aca="false">IF(AND(D$5&gt;1,MOD(D$4-1,12)=0),D8*Inputs!$E$54,0)</f>
        <v>0</v>
      </c>
      <c r="E67" s="66" t="n">
        <f aca="false">IF(AND(E$5&gt;1,MOD(E$4-1,12)=0),E8*Inputs!$E$54,0)</f>
        <v>0</v>
      </c>
      <c r="F67" s="66" t="n">
        <f aca="false">IF(AND(F$5&gt;1,MOD(F$4-1,12)=0),F8*Inputs!$E$54,0)</f>
        <v>0</v>
      </c>
      <c r="G67" s="66" t="n">
        <f aca="false">IF(AND(G$5&gt;1,MOD(G$4-1,12)=0),G8*Inputs!$E$54,0)</f>
        <v>0</v>
      </c>
      <c r="H67" s="66" t="n">
        <f aca="false">IF(AND(H$5&gt;1,MOD(H$4-1,12)=0),H8*Inputs!$E$54,0)</f>
        <v>0</v>
      </c>
      <c r="I67" s="66" t="n">
        <f aca="false">IF(AND(I$5&gt;1,MOD(I$4-1,12)=0),I8*Inputs!$E$54,0)</f>
        <v>0</v>
      </c>
      <c r="J67" s="66" t="n">
        <f aca="false">IF(AND(J$5&gt;1,MOD(J$4-1,12)=0),J8*Inputs!$E$54,0)</f>
        <v>0</v>
      </c>
      <c r="K67" s="66" t="n">
        <f aca="false">IF(AND(K$5&gt;1,MOD(K$4-1,12)=0),K8*Inputs!$E$54,0)</f>
        <v>0</v>
      </c>
      <c r="L67" s="66" t="n">
        <f aca="false">IF(AND(L$5&gt;1,MOD(L$4-1,12)=0),L8*Inputs!$E$54,0)</f>
        <v>0</v>
      </c>
      <c r="M67" s="66" t="n">
        <f aca="false">IF(AND(M$5&gt;1,MOD(M$4-1,12)=0),M8*Inputs!$E$54,0)</f>
        <v>0</v>
      </c>
      <c r="N67" s="66" t="n">
        <f aca="false">IF(AND(N$5&gt;1,MOD(N$4-1,12)=0),N8*Inputs!$E$54,0)</f>
        <v>0</v>
      </c>
      <c r="O67" s="66" t="n">
        <f aca="false">IF(AND(O$5&gt;1,MOD(O$4-1,12)=0),O8*Inputs!$E$54,0)</f>
        <v>9000</v>
      </c>
      <c r="P67" s="66" t="n">
        <f aca="false">IF(AND(P$5&gt;1,MOD(P$4-1,12)=0),P8*Inputs!$E$54,0)</f>
        <v>0</v>
      </c>
      <c r="Q67" s="66" t="n">
        <f aca="false">IF(AND(Q$5&gt;1,MOD(Q$4-1,12)=0),Q8*Inputs!$E$54,0)</f>
        <v>0</v>
      </c>
      <c r="R67" s="66" t="n">
        <f aca="false">IF(AND(R$5&gt;1,MOD(R$4-1,12)=0),R8*Inputs!$E$54,0)</f>
        <v>0</v>
      </c>
      <c r="S67" s="66" t="n">
        <f aca="false">IF(AND(S$5&gt;1,MOD(S$4-1,12)=0),S8*Inputs!$E$54,0)</f>
        <v>0</v>
      </c>
      <c r="T67" s="66" t="n">
        <f aca="false">IF(AND(T$5&gt;1,MOD(T$4-1,12)=0),T8*Inputs!$E$54,0)</f>
        <v>0</v>
      </c>
      <c r="U67" s="66" t="n">
        <f aca="false">IF(AND(U$5&gt;1,MOD(U$4-1,12)=0),U8*Inputs!$E$54,0)</f>
        <v>0</v>
      </c>
      <c r="V67" s="66" t="n">
        <f aca="false">IF(AND(V$5&gt;1,MOD(V$4-1,12)=0),V8*Inputs!$E$54,0)</f>
        <v>0</v>
      </c>
      <c r="W67" s="66" t="n">
        <f aca="false">IF(AND(W$5&gt;1,MOD(W$4-1,12)=0),W8*Inputs!$E$54,0)</f>
        <v>0</v>
      </c>
      <c r="X67" s="66" t="n">
        <f aca="false">IF(AND(X$5&gt;1,MOD(X$4-1,12)=0),X8*Inputs!$E$54,0)</f>
        <v>0</v>
      </c>
      <c r="Y67" s="66" t="n">
        <f aca="false">IF(AND(Y$5&gt;1,MOD(Y$4-1,12)=0),Y8*Inputs!$E$54,0)</f>
        <v>0</v>
      </c>
      <c r="Z67" s="66" t="n">
        <f aca="false">IF(AND(Z$5&gt;1,MOD(Z$4-1,12)=0),Z8*Inputs!$E$54,0)</f>
        <v>0</v>
      </c>
      <c r="AA67" s="66" t="n">
        <f aca="false">IF(AND(AA$5&gt;1,MOD(AA$4-1,12)=0),AA8*Inputs!$E$54,0)</f>
        <v>9000</v>
      </c>
      <c r="AB67" s="66" t="n">
        <f aca="false">IF(AND(AB$5&gt;1,MOD(AB$4-1,12)=0),AB8*Inputs!$E$54,0)</f>
        <v>0</v>
      </c>
      <c r="AC67" s="66" t="n">
        <f aca="false">IF(AND(AC$5&gt;1,MOD(AC$4-1,12)=0),AC8*Inputs!$E$54,0)</f>
        <v>0</v>
      </c>
      <c r="AD67" s="66" t="n">
        <f aca="false">IF(AND(AD$5&gt;1,MOD(AD$4-1,12)=0),AD8*Inputs!$E$54,0)</f>
        <v>0</v>
      </c>
      <c r="AE67" s="66" t="n">
        <f aca="false">IF(AND(AE$5&gt;1,MOD(AE$4-1,12)=0),AE8*Inputs!$E$54,0)</f>
        <v>0</v>
      </c>
      <c r="AF67" s="66" t="n">
        <f aca="false">IF(AND(AF$5&gt;1,MOD(AF$4-1,12)=0),AF8*Inputs!$E$54,0)</f>
        <v>0</v>
      </c>
      <c r="AG67" s="66" t="n">
        <f aca="false">IF(AND(AG$5&gt;1,MOD(AG$4-1,12)=0),AG8*Inputs!$E$54,0)</f>
        <v>0</v>
      </c>
      <c r="AH67" s="66" t="n">
        <f aca="false">IF(AND(AH$5&gt;1,MOD(AH$4-1,12)=0),AH8*Inputs!$E$54,0)</f>
        <v>0</v>
      </c>
      <c r="AI67" s="66" t="n">
        <f aca="false">IF(AND(AI$5&gt;1,MOD(AI$4-1,12)=0),AI8*Inputs!$E$54,0)</f>
        <v>0</v>
      </c>
      <c r="AJ67" s="66" t="n">
        <f aca="false">IF(AND(AJ$5&gt;1,MOD(AJ$4-1,12)=0),AJ8*Inputs!$E$54,0)</f>
        <v>0</v>
      </c>
      <c r="AK67" s="66" t="n">
        <f aca="false">IF(AND(AK$5&gt;1,MOD(AK$4-1,12)=0),AK8*Inputs!$E$54,0)</f>
        <v>0</v>
      </c>
      <c r="AL67" s="66" t="n">
        <f aca="false">IF(AND(AL$5&gt;1,MOD(AL$4-1,12)=0),AL8*Inputs!$E$54,0)</f>
        <v>0</v>
      </c>
      <c r="AM67" s="66" t="n">
        <f aca="false">IF(AND(AM$5&gt;1,MOD(AM$4-1,12)=0),AM8*Inputs!$E$54,0)</f>
        <v>9000</v>
      </c>
      <c r="AN67" s="66" t="n">
        <f aca="false">IF(AND(AN$5&gt;1,MOD(AN$4-1,12)=0),AN8*Inputs!$E$54,0)</f>
        <v>0</v>
      </c>
      <c r="AO67" s="66" t="n">
        <f aca="false">IF(AND(AO$5&gt;1,MOD(AO$4-1,12)=0),AO8*Inputs!$E$54,0)</f>
        <v>0</v>
      </c>
      <c r="AP67" s="66" t="n">
        <f aca="false">IF(AND(AP$5&gt;1,MOD(AP$4-1,12)=0),AP8*Inputs!$E$54,0)</f>
        <v>0</v>
      </c>
      <c r="AQ67" s="66" t="n">
        <f aca="false">IF(AND(AQ$5&gt;1,MOD(AQ$4-1,12)=0),AQ8*Inputs!$E$54,0)</f>
        <v>0</v>
      </c>
      <c r="AR67" s="66" t="n">
        <f aca="false">IF(AND(AR$5&gt;1,MOD(AR$4-1,12)=0),AR8*Inputs!$E$54,0)</f>
        <v>0</v>
      </c>
      <c r="AS67" s="66" t="n">
        <f aca="false">IF(AND(AS$5&gt;1,MOD(AS$4-1,12)=0),AS8*Inputs!$E$54,0)</f>
        <v>0</v>
      </c>
      <c r="AT67" s="66" t="n">
        <f aca="false">IF(AND(AT$5&gt;1,MOD(AT$4-1,12)=0),AT8*Inputs!$E$54,0)</f>
        <v>0</v>
      </c>
      <c r="AU67" s="66" t="n">
        <f aca="false">IF(AND(AU$5&gt;1,MOD(AU$4-1,12)=0),AU8*Inputs!$E$54,0)</f>
        <v>0</v>
      </c>
      <c r="AV67" s="66" t="n">
        <f aca="false">IF(AND(AV$5&gt;1,MOD(AV$4-1,12)=0),AV8*Inputs!$E$54,0)</f>
        <v>0</v>
      </c>
      <c r="AW67" s="66" t="n">
        <f aca="false">IF(AND(AW$5&gt;1,MOD(AW$4-1,12)=0),AW8*Inputs!$E$54,0)</f>
        <v>0</v>
      </c>
      <c r="AX67" s="66" t="n">
        <f aca="false">IF(AND(AX$5&gt;1,MOD(AX$4-1,12)=0),AX8*Inputs!$E$54,0)</f>
        <v>0</v>
      </c>
      <c r="AY67" s="66" t="n">
        <f aca="false">IF(AND(AY$5&gt;1,MOD(AY$4-1,12)=0),AY8*Inputs!$E$54,0)</f>
        <v>9000</v>
      </c>
      <c r="AZ67" s="66" t="n">
        <f aca="false">IF(AND(AZ$5&gt;1,MOD(AZ$4-1,12)=0),AZ8*Inputs!$E$54,0)</f>
        <v>0</v>
      </c>
      <c r="BA67" s="66" t="n">
        <f aca="false">IF(AND(BA$5&gt;1,MOD(BA$4-1,12)=0),BA8*Inputs!$E$54,0)</f>
        <v>0</v>
      </c>
      <c r="BB67" s="66" t="n">
        <f aca="false">IF(AND(BB$5&gt;1,MOD(BB$4-1,12)=0),BB8*Inputs!$E$54,0)</f>
        <v>0</v>
      </c>
      <c r="BC67" s="66" t="n">
        <f aca="false">IF(AND(BC$5&gt;1,MOD(BC$4-1,12)=0),BC8*Inputs!$E$54,0)</f>
        <v>0</v>
      </c>
      <c r="BD67" s="66" t="n">
        <f aca="false">IF(AND(BD$5&gt;1,MOD(BD$4-1,12)=0),BD8*Inputs!$E$54,0)</f>
        <v>0</v>
      </c>
      <c r="BE67" s="66" t="n">
        <f aca="false">IF(AND(BE$5&gt;1,MOD(BE$4-1,12)=0),BE8*Inputs!$E$54,0)</f>
        <v>0</v>
      </c>
      <c r="BF67" s="66" t="n">
        <f aca="false">IF(AND(BF$5&gt;1,MOD(BF$4-1,12)=0),BF8*Inputs!$E$54,0)</f>
        <v>0</v>
      </c>
      <c r="BG67" s="66" t="n">
        <f aca="false">IF(AND(BG$5&gt;1,MOD(BG$4-1,12)=0),BG8*Inputs!$E$54,0)</f>
        <v>0</v>
      </c>
      <c r="BH67" s="66" t="n">
        <f aca="false">IF(AND(BH$5&gt;1,MOD(BH$4-1,12)=0),BH8*Inputs!$E$54,0)</f>
        <v>0</v>
      </c>
      <c r="BI67" s="66" t="n">
        <f aca="false">IF(AND(BI$5&gt;1,MOD(BI$4-1,12)=0),BI8*Inputs!$E$54,0)</f>
        <v>0</v>
      </c>
      <c r="BJ67" s="66" t="n">
        <f aca="false">IF(AND(BJ$5&gt;1,MOD(BJ$4-1,12)=0),BJ8*Inputs!$E$54,0)</f>
        <v>0</v>
      </c>
    </row>
    <row r="68" customFormat="false" ht="15" hidden="false" customHeight="false" outlineLevel="0" collapsed="false">
      <c r="A68" s="4" t="s">
        <v>83</v>
      </c>
      <c r="C68" s="72" t="n">
        <f aca="false">C64+C65+C66+C67</f>
        <v>442000</v>
      </c>
      <c r="D68" s="72" t="n">
        <f aca="false">D64+D65+D66+D67</f>
        <v>0</v>
      </c>
      <c r="E68" s="72" t="n">
        <f aca="false">E64+E65+E66+E67</f>
        <v>0</v>
      </c>
      <c r="F68" s="72" t="n">
        <f aca="false">F64+F65+F66+F67</f>
        <v>0</v>
      </c>
      <c r="G68" s="72" t="n">
        <f aca="false">G64+G65+G66+G67</f>
        <v>0</v>
      </c>
      <c r="H68" s="72" t="n">
        <f aca="false">H64+H65+H66+H67</f>
        <v>0</v>
      </c>
      <c r="I68" s="72" t="n">
        <f aca="false">I64+I65+I66+I67</f>
        <v>0</v>
      </c>
      <c r="J68" s="72" t="n">
        <f aca="false">J64+J65+J66+J67</f>
        <v>0</v>
      </c>
      <c r="K68" s="72" t="n">
        <f aca="false">K64+K65+K66+K67</f>
        <v>0</v>
      </c>
      <c r="L68" s="72" t="n">
        <f aca="false">L64+L65+L66+L67</f>
        <v>0</v>
      </c>
      <c r="M68" s="72" t="n">
        <f aca="false">M64+M65+M66+M67</f>
        <v>0</v>
      </c>
      <c r="N68" s="72" t="n">
        <f aca="false">N64+N65+N66+N67</f>
        <v>0</v>
      </c>
      <c r="O68" s="72" t="n">
        <f aca="false">O64+O65+O66+O67</f>
        <v>9000</v>
      </c>
      <c r="P68" s="72" t="n">
        <f aca="false">P64+P65+P66+P67</f>
        <v>0</v>
      </c>
      <c r="Q68" s="72" t="n">
        <f aca="false">Q64+Q65+Q66+Q67</f>
        <v>0</v>
      </c>
      <c r="R68" s="72" t="n">
        <f aca="false">R64+R65+R66+R67</f>
        <v>0</v>
      </c>
      <c r="S68" s="72" t="n">
        <f aca="false">S64+S65+S66+S67</f>
        <v>0</v>
      </c>
      <c r="T68" s="72" t="n">
        <f aca="false">T64+T65+T66+T67</f>
        <v>0</v>
      </c>
      <c r="U68" s="72" t="n">
        <f aca="false">U64+U65+U66+U67</f>
        <v>0</v>
      </c>
      <c r="V68" s="72" t="n">
        <f aca="false">V64+V65+V66+V67</f>
        <v>0</v>
      </c>
      <c r="W68" s="72" t="n">
        <f aca="false">W64+W65+W66+W67</f>
        <v>0</v>
      </c>
      <c r="X68" s="72" t="n">
        <f aca="false">X64+X65+X66+X67</f>
        <v>0</v>
      </c>
      <c r="Y68" s="72" t="n">
        <f aca="false">Y64+Y65+Y66+Y67</f>
        <v>0</v>
      </c>
      <c r="Z68" s="72" t="n">
        <f aca="false">Z64+Z65+Z66+Z67</f>
        <v>0</v>
      </c>
      <c r="AA68" s="72" t="n">
        <f aca="false">AA64+AA65+AA66+AA67</f>
        <v>9000</v>
      </c>
      <c r="AB68" s="72" t="n">
        <f aca="false">AB64+AB65+AB66+AB67</f>
        <v>0</v>
      </c>
      <c r="AC68" s="72" t="n">
        <f aca="false">AC64+AC65+AC66+AC67</f>
        <v>0</v>
      </c>
      <c r="AD68" s="72" t="n">
        <f aca="false">AD64+AD65+AD66+AD67</f>
        <v>0</v>
      </c>
      <c r="AE68" s="72" t="n">
        <f aca="false">AE64+AE65+AE66+AE67</f>
        <v>0</v>
      </c>
      <c r="AF68" s="72" t="n">
        <f aca="false">AF64+AF65+AF66+AF67</f>
        <v>0</v>
      </c>
      <c r="AG68" s="72" t="n">
        <f aca="false">AG64+AG65+AG66+AG67</f>
        <v>0</v>
      </c>
      <c r="AH68" s="72" t="n">
        <f aca="false">AH64+AH65+AH66+AH67</f>
        <v>0</v>
      </c>
      <c r="AI68" s="72" t="n">
        <f aca="false">AI64+AI65+AI66+AI67</f>
        <v>0</v>
      </c>
      <c r="AJ68" s="72" t="n">
        <f aca="false">AJ64+AJ65+AJ66+AJ67</f>
        <v>0</v>
      </c>
      <c r="AK68" s="72" t="n">
        <f aca="false">AK64+AK65+AK66+AK67</f>
        <v>0</v>
      </c>
      <c r="AL68" s="72" t="n">
        <f aca="false">AL64+AL65+AL66+AL67</f>
        <v>0</v>
      </c>
      <c r="AM68" s="72" t="n">
        <f aca="false">AM64+AM65+AM66+AM67</f>
        <v>9000</v>
      </c>
      <c r="AN68" s="72" t="n">
        <f aca="false">AN64+AN65+AN66+AN67</f>
        <v>0</v>
      </c>
      <c r="AO68" s="72" t="n">
        <f aca="false">AO64+AO65+AO66+AO67</f>
        <v>0</v>
      </c>
      <c r="AP68" s="72" t="n">
        <f aca="false">AP64+AP65+AP66+AP67</f>
        <v>0</v>
      </c>
      <c r="AQ68" s="72" t="n">
        <f aca="false">AQ64+AQ65+AQ66+AQ67</f>
        <v>0</v>
      </c>
      <c r="AR68" s="72" t="n">
        <f aca="false">AR64+AR65+AR66+AR67</f>
        <v>0</v>
      </c>
      <c r="AS68" s="72" t="n">
        <f aca="false">AS64+AS65+AS66+AS67</f>
        <v>0</v>
      </c>
      <c r="AT68" s="72" t="n">
        <f aca="false">AT64+AT65+AT66+AT67</f>
        <v>0</v>
      </c>
      <c r="AU68" s="72" t="n">
        <f aca="false">AU64+AU65+AU66+AU67</f>
        <v>0</v>
      </c>
      <c r="AV68" s="72" t="n">
        <f aca="false">AV64+AV65+AV66+AV67</f>
        <v>0</v>
      </c>
      <c r="AW68" s="72" t="n">
        <f aca="false">AW64+AW65+AW66+AW67</f>
        <v>0</v>
      </c>
      <c r="AX68" s="72" t="n">
        <f aca="false">AX64+AX65+AX66+AX67</f>
        <v>0</v>
      </c>
      <c r="AY68" s="72" t="n">
        <f aca="false">AY64+AY65+AY66+AY67</f>
        <v>9000</v>
      </c>
      <c r="AZ68" s="72" t="n">
        <f aca="false">AZ64+AZ65+AZ66+AZ67</f>
        <v>0</v>
      </c>
      <c r="BA68" s="72" t="n">
        <f aca="false">BA64+BA65+BA66+BA67</f>
        <v>0</v>
      </c>
      <c r="BB68" s="72" t="n">
        <f aca="false">BB64+BB65+BB66+BB67</f>
        <v>0</v>
      </c>
      <c r="BC68" s="72" t="n">
        <f aca="false">BC64+BC65+BC66+BC67</f>
        <v>0</v>
      </c>
      <c r="BD68" s="72" t="n">
        <f aca="false">BD64+BD65+BD66+BD67</f>
        <v>0</v>
      </c>
      <c r="BE68" s="72" t="n">
        <f aca="false">BE64+BE65+BE66+BE67</f>
        <v>0</v>
      </c>
      <c r="BF68" s="72" t="n">
        <f aca="false">BF64+BF65+BF66+BF67</f>
        <v>0</v>
      </c>
      <c r="BG68" s="72" t="n">
        <f aca="false">BG64+BG65+BG66+BG67</f>
        <v>0</v>
      </c>
      <c r="BH68" s="72" t="n">
        <f aca="false">BH64+BH65+BH66+BH67</f>
        <v>0</v>
      </c>
      <c r="BI68" s="72" t="n">
        <f aca="false">BI64+BI65+BI66+BI67</f>
        <v>0</v>
      </c>
      <c r="BJ68" s="72" t="n">
        <f aca="false">BJ64+BJ65+BJ66+BJ67</f>
        <v>0</v>
      </c>
    </row>
    <row r="69" customFormat="false" ht="15" hidden="false" customHeight="false" outlineLevel="0" collapsed="false">
      <c r="A69" s="6" t="s">
        <v>444</v>
      </c>
      <c r="C69" s="66" t="n">
        <f aca="false">C68</f>
        <v>442000</v>
      </c>
      <c r="D69" s="66" t="n">
        <f aca="false">C69+D68</f>
        <v>442000</v>
      </c>
      <c r="E69" s="66" t="n">
        <f aca="false">D69+E68</f>
        <v>442000</v>
      </c>
      <c r="F69" s="66" t="n">
        <f aca="false">E69+F68</f>
        <v>442000</v>
      </c>
      <c r="G69" s="66" t="n">
        <f aca="false">F69+G68</f>
        <v>442000</v>
      </c>
      <c r="H69" s="66" t="n">
        <f aca="false">G69+H68</f>
        <v>442000</v>
      </c>
      <c r="I69" s="66" t="n">
        <f aca="false">H69+I68</f>
        <v>442000</v>
      </c>
      <c r="J69" s="66" t="n">
        <f aca="false">I69+J68</f>
        <v>442000</v>
      </c>
      <c r="K69" s="66" t="n">
        <f aca="false">J69+K68</f>
        <v>442000</v>
      </c>
      <c r="L69" s="66" t="n">
        <f aca="false">K69+L68</f>
        <v>442000</v>
      </c>
      <c r="M69" s="66" t="n">
        <f aca="false">L69+M68</f>
        <v>442000</v>
      </c>
      <c r="N69" s="66" t="n">
        <f aca="false">M69+N68</f>
        <v>442000</v>
      </c>
      <c r="O69" s="66" t="n">
        <f aca="false">N69+O68</f>
        <v>451000</v>
      </c>
      <c r="P69" s="66" t="n">
        <f aca="false">O69+P68</f>
        <v>451000</v>
      </c>
      <c r="Q69" s="66" t="n">
        <f aca="false">P69+Q68</f>
        <v>451000</v>
      </c>
      <c r="R69" s="66" t="n">
        <f aca="false">Q69+R68</f>
        <v>451000</v>
      </c>
      <c r="S69" s="66" t="n">
        <f aca="false">R69+S68</f>
        <v>451000</v>
      </c>
      <c r="T69" s="66" t="n">
        <f aca="false">S69+T68</f>
        <v>451000</v>
      </c>
      <c r="U69" s="66" t="n">
        <f aca="false">T69+U68</f>
        <v>451000</v>
      </c>
      <c r="V69" s="66" t="n">
        <f aca="false">U69+V68</f>
        <v>451000</v>
      </c>
      <c r="W69" s="66" t="n">
        <f aca="false">V69+W68</f>
        <v>451000</v>
      </c>
      <c r="X69" s="66" t="n">
        <f aca="false">W69+X68</f>
        <v>451000</v>
      </c>
      <c r="Y69" s="66" t="n">
        <f aca="false">X69+Y68</f>
        <v>451000</v>
      </c>
      <c r="Z69" s="66" t="n">
        <f aca="false">Y69+Z68</f>
        <v>451000</v>
      </c>
      <c r="AA69" s="66" t="n">
        <f aca="false">Z69+AA68</f>
        <v>460000</v>
      </c>
      <c r="AB69" s="66" t="n">
        <f aca="false">AA69+AB68</f>
        <v>460000</v>
      </c>
      <c r="AC69" s="66" t="n">
        <f aca="false">AB69+AC68</f>
        <v>460000</v>
      </c>
      <c r="AD69" s="66" t="n">
        <f aca="false">AC69+AD68</f>
        <v>460000</v>
      </c>
      <c r="AE69" s="66" t="n">
        <f aca="false">AD69+AE68</f>
        <v>460000</v>
      </c>
      <c r="AF69" s="66" t="n">
        <f aca="false">AE69+AF68</f>
        <v>460000</v>
      </c>
      <c r="AG69" s="66" t="n">
        <f aca="false">AF69+AG68</f>
        <v>460000</v>
      </c>
      <c r="AH69" s="66" t="n">
        <f aca="false">AG69+AH68</f>
        <v>460000</v>
      </c>
      <c r="AI69" s="66" t="n">
        <f aca="false">AH69+AI68</f>
        <v>460000</v>
      </c>
      <c r="AJ69" s="66" t="n">
        <f aca="false">AI69+AJ68</f>
        <v>460000</v>
      </c>
      <c r="AK69" s="66" t="n">
        <f aca="false">AJ69+AK68</f>
        <v>460000</v>
      </c>
      <c r="AL69" s="66" t="n">
        <f aca="false">AK69+AL68</f>
        <v>460000</v>
      </c>
      <c r="AM69" s="66" t="n">
        <f aca="false">AL69+AM68</f>
        <v>469000</v>
      </c>
      <c r="AN69" s="66" t="n">
        <f aca="false">AM69+AN68</f>
        <v>469000</v>
      </c>
      <c r="AO69" s="66" t="n">
        <f aca="false">AN69+AO68</f>
        <v>469000</v>
      </c>
      <c r="AP69" s="66" t="n">
        <f aca="false">AO69+AP68</f>
        <v>469000</v>
      </c>
      <c r="AQ69" s="66" t="n">
        <f aca="false">AP69+AQ68</f>
        <v>469000</v>
      </c>
      <c r="AR69" s="66" t="n">
        <f aca="false">AQ69+AR68</f>
        <v>469000</v>
      </c>
      <c r="AS69" s="66" t="n">
        <f aca="false">AR69+AS68</f>
        <v>469000</v>
      </c>
      <c r="AT69" s="66" t="n">
        <f aca="false">AS69+AT68</f>
        <v>469000</v>
      </c>
      <c r="AU69" s="66" t="n">
        <f aca="false">AT69+AU68</f>
        <v>469000</v>
      </c>
      <c r="AV69" s="66" t="n">
        <f aca="false">AU69+AV68</f>
        <v>469000</v>
      </c>
      <c r="AW69" s="66" t="n">
        <f aca="false">AV69+AW68</f>
        <v>469000</v>
      </c>
      <c r="AX69" s="66" t="n">
        <f aca="false">AW69+AX68</f>
        <v>469000</v>
      </c>
      <c r="AY69" s="66" t="n">
        <f aca="false">AX69+AY68</f>
        <v>478000</v>
      </c>
      <c r="AZ69" s="66" t="n">
        <f aca="false">AY69+AZ68</f>
        <v>478000</v>
      </c>
      <c r="BA69" s="66" t="n">
        <f aca="false">AZ69+BA68</f>
        <v>478000</v>
      </c>
      <c r="BB69" s="66" t="n">
        <f aca="false">BA69+BB68</f>
        <v>478000</v>
      </c>
      <c r="BC69" s="66" t="n">
        <f aca="false">BB69+BC68</f>
        <v>478000</v>
      </c>
      <c r="BD69" s="66" t="n">
        <f aca="false">BC69+BD68</f>
        <v>478000</v>
      </c>
      <c r="BE69" s="66" t="n">
        <f aca="false">BD69+BE68</f>
        <v>478000</v>
      </c>
      <c r="BF69" s="66" t="n">
        <f aca="false">BE69+BF68</f>
        <v>478000</v>
      </c>
      <c r="BG69" s="66" t="n">
        <f aca="false">BF69+BG68</f>
        <v>478000</v>
      </c>
      <c r="BH69" s="66" t="n">
        <f aca="false">BG69+BH68</f>
        <v>478000</v>
      </c>
      <c r="BI69" s="66" t="n">
        <f aca="false">BH69+BI68</f>
        <v>478000</v>
      </c>
      <c r="BJ69" s="66" t="n">
        <f aca="false">BI69+BJ68</f>
        <v>478000</v>
      </c>
    </row>
    <row r="70" customFormat="false" ht="15" hidden="false" customHeight="false" outlineLevel="0" collapsed="false">
      <c r="A70" s="6" t="s">
        <v>77</v>
      </c>
      <c r="C70" s="66" t="n">
        <f aca="false">-MIN(C69/MAX(1,Inputs!$E$84*12),C68)</f>
        <v>-3683.33333333333</v>
      </c>
      <c r="D70" s="66" t="n">
        <f aca="false">-MIN(D69/MAX(1,Inputs!$E$84*12),C72+D68)</f>
        <v>-3683.33333333333</v>
      </c>
      <c r="E70" s="66" t="n">
        <f aca="false">-MIN(E69/MAX(1,Inputs!$E$84*12),D72+E68)</f>
        <v>-3683.33333333333</v>
      </c>
      <c r="F70" s="66" t="n">
        <f aca="false">-MIN(F69/MAX(1,Inputs!$E$84*12),E72+F68)</f>
        <v>-3683.33333333333</v>
      </c>
      <c r="G70" s="66" t="n">
        <f aca="false">-MIN(G69/MAX(1,Inputs!$E$84*12),F72+G68)</f>
        <v>-3683.33333333333</v>
      </c>
      <c r="H70" s="66" t="n">
        <f aca="false">-MIN(H69/MAX(1,Inputs!$E$84*12),G72+H68)</f>
        <v>-3683.33333333333</v>
      </c>
      <c r="I70" s="66" t="n">
        <f aca="false">-MIN(I69/MAX(1,Inputs!$E$84*12),H72+I68)</f>
        <v>-3683.33333333333</v>
      </c>
      <c r="J70" s="66" t="n">
        <f aca="false">-MIN(J69/MAX(1,Inputs!$E$84*12),I72+J68)</f>
        <v>-3683.33333333333</v>
      </c>
      <c r="K70" s="66" t="n">
        <f aca="false">-MIN(K69/MAX(1,Inputs!$E$84*12),J72+K68)</f>
        <v>-3683.33333333333</v>
      </c>
      <c r="L70" s="66" t="n">
        <f aca="false">-MIN(L69/MAX(1,Inputs!$E$84*12),K72+L68)</f>
        <v>-3683.33333333333</v>
      </c>
      <c r="M70" s="66" t="n">
        <f aca="false">-MIN(M69/MAX(1,Inputs!$E$84*12),L72+M68)</f>
        <v>-3683.33333333333</v>
      </c>
      <c r="N70" s="66" t="n">
        <f aca="false">-MIN(N69/MAX(1,Inputs!$E$84*12),M72+N68)</f>
        <v>-3683.33333333333</v>
      </c>
      <c r="O70" s="66" t="n">
        <f aca="false">-MIN(O69/MAX(1,Inputs!$E$84*12),N72+O68)</f>
        <v>-3758.33333333333</v>
      </c>
      <c r="P70" s="66" t="n">
        <f aca="false">-MIN(P69/MAX(1,Inputs!$E$84*12),O72+P68)</f>
        <v>-3758.33333333333</v>
      </c>
      <c r="Q70" s="66" t="n">
        <f aca="false">-MIN(Q69/MAX(1,Inputs!$E$84*12),P72+Q68)</f>
        <v>-3758.33333333333</v>
      </c>
      <c r="R70" s="66" t="n">
        <f aca="false">-MIN(R69/MAX(1,Inputs!$E$84*12),Q72+R68)</f>
        <v>-3758.33333333333</v>
      </c>
      <c r="S70" s="66" t="n">
        <f aca="false">-MIN(S69/MAX(1,Inputs!$E$84*12),R72+S68)</f>
        <v>-3758.33333333333</v>
      </c>
      <c r="T70" s="66" t="n">
        <f aca="false">-MIN(T69/MAX(1,Inputs!$E$84*12),S72+T68)</f>
        <v>-3758.33333333333</v>
      </c>
      <c r="U70" s="66" t="n">
        <f aca="false">-MIN(U69/MAX(1,Inputs!$E$84*12),T72+U68)</f>
        <v>-3758.33333333333</v>
      </c>
      <c r="V70" s="66" t="n">
        <f aca="false">-MIN(V69/MAX(1,Inputs!$E$84*12),U72+V68)</f>
        <v>-3758.33333333333</v>
      </c>
      <c r="W70" s="66" t="n">
        <f aca="false">-MIN(W69/MAX(1,Inputs!$E$84*12),V72+W68)</f>
        <v>-3758.33333333333</v>
      </c>
      <c r="X70" s="66" t="n">
        <f aca="false">-MIN(X69/MAX(1,Inputs!$E$84*12),W72+X68)</f>
        <v>-3758.33333333333</v>
      </c>
      <c r="Y70" s="66" t="n">
        <f aca="false">-MIN(Y69/MAX(1,Inputs!$E$84*12),X72+Y68)</f>
        <v>-3758.33333333333</v>
      </c>
      <c r="Z70" s="66" t="n">
        <f aca="false">-MIN(Z69/MAX(1,Inputs!$E$84*12),Y72+Z68)</f>
        <v>-3758.33333333333</v>
      </c>
      <c r="AA70" s="66" t="n">
        <f aca="false">-MIN(AA69/MAX(1,Inputs!$E$84*12),Z72+AA68)</f>
        <v>-3833.33333333333</v>
      </c>
      <c r="AB70" s="66" t="n">
        <f aca="false">-MIN(AB69/MAX(1,Inputs!$E$84*12),AA72+AB68)</f>
        <v>-3833.33333333333</v>
      </c>
      <c r="AC70" s="66" t="n">
        <f aca="false">-MIN(AC69/MAX(1,Inputs!$E$84*12),AB72+AC68)</f>
        <v>-3833.33333333333</v>
      </c>
      <c r="AD70" s="66" t="n">
        <f aca="false">-MIN(AD69/MAX(1,Inputs!$E$84*12),AC72+AD68)</f>
        <v>-3833.33333333333</v>
      </c>
      <c r="AE70" s="66" t="n">
        <f aca="false">-MIN(AE69/MAX(1,Inputs!$E$84*12),AD72+AE68)</f>
        <v>-3833.33333333333</v>
      </c>
      <c r="AF70" s="66" t="n">
        <f aca="false">-MIN(AF69/MAX(1,Inputs!$E$84*12),AE72+AF68)</f>
        <v>-3833.33333333333</v>
      </c>
      <c r="AG70" s="66" t="n">
        <f aca="false">-MIN(AG69/MAX(1,Inputs!$E$84*12),AF72+AG68)</f>
        <v>-3833.33333333333</v>
      </c>
      <c r="AH70" s="66" t="n">
        <f aca="false">-MIN(AH69/MAX(1,Inputs!$E$84*12),AG72+AH68)</f>
        <v>-3833.33333333333</v>
      </c>
      <c r="AI70" s="66" t="n">
        <f aca="false">-MIN(AI69/MAX(1,Inputs!$E$84*12),AH72+AI68)</f>
        <v>-3833.33333333333</v>
      </c>
      <c r="AJ70" s="66" t="n">
        <f aca="false">-MIN(AJ69/MAX(1,Inputs!$E$84*12),AI72+AJ68)</f>
        <v>-3833.33333333333</v>
      </c>
      <c r="AK70" s="66" t="n">
        <f aca="false">-MIN(AK69/MAX(1,Inputs!$E$84*12),AJ72+AK68)</f>
        <v>-3833.33333333333</v>
      </c>
      <c r="AL70" s="66" t="n">
        <f aca="false">-MIN(AL69/MAX(1,Inputs!$E$84*12),AK72+AL68)</f>
        <v>-3833.33333333333</v>
      </c>
      <c r="AM70" s="66" t="n">
        <f aca="false">-MIN(AM69/MAX(1,Inputs!$E$84*12),AL72+AM68)</f>
        <v>-3908.33333333333</v>
      </c>
      <c r="AN70" s="66" t="n">
        <f aca="false">-MIN(AN69/MAX(1,Inputs!$E$84*12),AM72+AN68)</f>
        <v>-3908.33333333333</v>
      </c>
      <c r="AO70" s="66" t="n">
        <f aca="false">-MIN(AO69/MAX(1,Inputs!$E$84*12),AN72+AO68)</f>
        <v>-3908.33333333333</v>
      </c>
      <c r="AP70" s="66" t="n">
        <f aca="false">-MIN(AP69/MAX(1,Inputs!$E$84*12),AO72+AP68)</f>
        <v>-3908.33333333333</v>
      </c>
      <c r="AQ70" s="66" t="n">
        <f aca="false">-MIN(AQ69/MAX(1,Inputs!$E$84*12),AP72+AQ68)</f>
        <v>-3908.33333333333</v>
      </c>
      <c r="AR70" s="66" t="n">
        <f aca="false">-MIN(AR69/MAX(1,Inputs!$E$84*12),AQ72+AR68)</f>
        <v>-3908.33333333333</v>
      </c>
      <c r="AS70" s="66" t="n">
        <f aca="false">-MIN(AS69/MAX(1,Inputs!$E$84*12),AR72+AS68)</f>
        <v>-3908.33333333333</v>
      </c>
      <c r="AT70" s="66" t="n">
        <f aca="false">-MIN(AT69/MAX(1,Inputs!$E$84*12),AS72+AT68)</f>
        <v>-3908.33333333333</v>
      </c>
      <c r="AU70" s="66" t="n">
        <f aca="false">-MIN(AU69/MAX(1,Inputs!$E$84*12),AT72+AU68)</f>
        <v>-3908.33333333333</v>
      </c>
      <c r="AV70" s="66" t="n">
        <f aca="false">-MIN(AV69/MAX(1,Inputs!$E$84*12),AU72+AV68)</f>
        <v>-3908.33333333333</v>
      </c>
      <c r="AW70" s="66" t="n">
        <f aca="false">-MIN(AW69/MAX(1,Inputs!$E$84*12),AV72+AW68)</f>
        <v>-3908.33333333333</v>
      </c>
      <c r="AX70" s="66" t="n">
        <f aca="false">-MIN(AX69/MAX(1,Inputs!$E$84*12),AW72+AX68)</f>
        <v>-3908.33333333333</v>
      </c>
      <c r="AY70" s="66" t="n">
        <f aca="false">-MIN(AY69/MAX(1,Inputs!$E$84*12),AX72+AY68)</f>
        <v>-3983.33333333333</v>
      </c>
      <c r="AZ70" s="66" t="n">
        <f aca="false">-MIN(AZ69/MAX(1,Inputs!$E$84*12),AY72+AZ68)</f>
        <v>-3983.33333333333</v>
      </c>
      <c r="BA70" s="66" t="n">
        <f aca="false">-MIN(BA69/MAX(1,Inputs!$E$84*12),AZ72+BA68)</f>
        <v>-3983.33333333333</v>
      </c>
      <c r="BB70" s="66" t="n">
        <f aca="false">-MIN(BB69/MAX(1,Inputs!$E$84*12),BA72+BB68)</f>
        <v>-3983.33333333333</v>
      </c>
      <c r="BC70" s="66" t="n">
        <f aca="false">-MIN(BC69/MAX(1,Inputs!$E$84*12),BB72+BC68)</f>
        <v>-3983.33333333333</v>
      </c>
      <c r="BD70" s="66" t="n">
        <f aca="false">-MIN(BD69/MAX(1,Inputs!$E$84*12),BC72+BD68)</f>
        <v>-3983.33333333333</v>
      </c>
      <c r="BE70" s="66" t="n">
        <f aca="false">-MIN(BE69/MAX(1,Inputs!$E$84*12),BD72+BE68)</f>
        <v>-3983.33333333333</v>
      </c>
      <c r="BF70" s="66" t="n">
        <f aca="false">-MIN(BF69/MAX(1,Inputs!$E$84*12),BE72+BF68)</f>
        <v>-3983.33333333333</v>
      </c>
      <c r="BG70" s="66" t="n">
        <f aca="false">-MIN(BG69/MAX(1,Inputs!$E$84*12),BF72+BG68)</f>
        <v>-3983.33333333333</v>
      </c>
      <c r="BH70" s="66" t="n">
        <f aca="false">-MIN(BH69/MAX(1,Inputs!$E$84*12),BG72+BH68)</f>
        <v>-3983.33333333333</v>
      </c>
      <c r="BI70" s="66" t="n">
        <f aca="false">-MIN(BI69/MAX(1,Inputs!$E$84*12),BH72+BI68)</f>
        <v>-3983.33333333333</v>
      </c>
      <c r="BJ70" s="66" t="n">
        <f aca="false">-MIN(BJ69/MAX(1,Inputs!$E$84*12),BI72+BJ68)</f>
        <v>-3983.33333333333</v>
      </c>
    </row>
    <row r="71" customFormat="false" ht="15" hidden="false" customHeight="false" outlineLevel="0" collapsed="false">
      <c r="A71" s="6" t="s">
        <v>445</v>
      </c>
      <c r="C71" s="66" t="n">
        <f aca="false">C70</f>
        <v>-3683.33333333333</v>
      </c>
      <c r="D71" s="66" t="n">
        <f aca="false">C71+D70</f>
        <v>-7366.66666666667</v>
      </c>
      <c r="E71" s="66" t="n">
        <f aca="false">D71+E70</f>
        <v>-11050</v>
      </c>
      <c r="F71" s="66" t="n">
        <f aca="false">E71+F70</f>
        <v>-14733.3333333333</v>
      </c>
      <c r="G71" s="66" t="n">
        <f aca="false">F71+G70</f>
        <v>-18416.6666666667</v>
      </c>
      <c r="H71" s="66" t="n">
        <f aca="false">G71+H70</f>
        <v>-22100</v>
      </c>
      <c r="I71" s="66" t="n">
        <f aca="false">H71+I70</f>
        <v>-25783.3333333333</v>
      </c>
      <c r="J71" s="66" t="n">
        <f aca="false">I71+J70</f>
        <v>-29466.6666666667</v>
      </c>
      <c r="K71" s="66" t="n">
        <f aca="false">J71+K70</f>
        <v>-33150</v>
      </c>
      <c r="L71" s="66" t="n">
        <f aca="false">K71+L70</f>
        <v>-36833.3333333333</v>
      </c>
      <c r="M71" s="66" t="n">
        <f aca="false">L71+M70</f>
        <v>-40516.6666666667</v>
      </c>
      <c r="N71" s="66" t="n">
        <f aca="false">M71+N70</f>
        <v>-44200</v>
      </c>
      <c r="O71" s="66" t="n">
        <f aca="false">N71+O70</f>
        <v>-47958.3333333333</v>
      </c>
      <c r="P71" s="66" t="n">
        <f aca="false">O71+P70</f>
        <v>-51716.6666666667</v>
      </c>
      <c r="Q71" s="66" t="n">
        <f aca="false">P71+Q70</f>
        <v>-55475</v>
      </c>
      <c r="R71" s="66" t="n">
        <f aca="false">Q71+R70</f>
        <v>-59233.3333333334</v>
      </c>
      <c r="S71" s="66" t="n">
        <f aca="false">R71+S70</f>
        <v>-62991.6666666667</v>
      </c>
      <c r="T71" s="66" t="n">
        <f aca="false">S71+T70</f>
        <v>-66750</v>
      </c>
      <c r="U71" s="66" t="n">
        <f aca="false">T71+U70</f>
        <v>-70508.3333333333</v>
      </c>
      <c r="V71" s="66" t="n">
        <f aca="false">U71+V70</f>
        <v>-74266.6666666667</v>
      </c>
      <c r="W71" s="66" t="n">
        <f aca="false">V71+W70</f>
        <v>-78025</v>
      </c>
      <c r="X71" s="66" t="n">
        <f aca="false">W71+X70</f>
        <v>-81783.3333333333</v>
      </c>
      <c r="Y71" s="66" t="n">
        <f aca="false">X71+Y70</f>
        <v>-85541.6666666667</v>
      </c>
      <c r="Z71" s="66" t="n">
        <f aca="false">Y71+Z70</f>
        <v>-89300</v>
      </c>
      <c r="AA71" s="66" t="n">
        <f aca="false">Z71+AA70</f>
        <v>-93133.3333333333</v>
      </c>
      <c r="AB71" s="66" t="n">
        <f aca="false">AA71+AB70</f>
        <v>-96966.6666666666</v>
      </c>
      <c r="AC71" s="66" t="n">
        <f aca="false">AB71+AC70</f>
        <v>-100800</v>
      </c>
      <c r="AD71" s="66" t="n">
        <f aca="false">AC71+AD70</f>
        <v>-104633.333333333</v>
      </c>
      <c r="AE71" s="66" t="n">
        <f aca="false">AD71+AE70</f>
        <v>-108466.666666667</v>
      </c>
      <c r="AF71" s="66" t="n">
        <f aca="false">AE71+AF70</f>
        <v>-112300</v>
      </c>
      <c r="AG71" s="66" t="n">
        <f aca="false">AF71+AG70</f>
        <v>-116133.333333333</v>
      </c>
      <c r="AH71" s="66" t="n">
        <f aca="false">AG71+AH70</f>
        <v>-119966.666666667</v>
      </c>
      <c r="AI71" s="66" t="n">
        <f aca="false">AH71+AI70</f>
        <v>-123800</v>
      </c>
      <c r="AJ71" s="66" t="n">
        <f aca="false">AI71+AJ70</f>
        <v>-127633.333333333</v>
      </c>
      <c r="AK71" s="66" t="n">
        <f aca="false">AJ71+AK70</f>
        <v>-131466.666666667</v>
      </c>
      <c r="AL71" s="66" t="n">
        <f aca="false">AK71+AL70</f>
        <v>-135300</v>
      </c>
      <c r="AM71" s="66" t="n">
        <f aca="false">AL71+AM70</f>
        <v>-139208.333333333</v>
      </c>
      <c r="AN71" s="66" t="n">
        <f aca="false">AM71+AN70</f>
        <v>-143116.666666667</v>
      </c>
      <c r="AO71" s="66" t="n">
        <f aca="false">AN71+AO70</f>
        <v>-147025</v>
      </c>
      <c r="AP71" s="66" t="n">
        <f aca="false">AO71+AP70</f>
        <v>-150933.333333333</v>
      </c>
      <c r="AQ71" s="66" t="n">
        <f aca="false">AP71+AQ70</f>
        <v>-154841.666666667</v>
      </c>
      <c r="AR71" s="66" t="n">
        <f aca="false">AQ71+AR70</f>
        <v>-158750</v>
      </c>
      <c r="AS71" s="66" t="n">
        <f aca="false">AR71+AS70</f>
        <v>-162658.333333333</v>
      </c>
      <c r="AT71" s="66" t="n">
        <f aca="false">AS71+AT70</f>
        <v>-166566.666666667</v>
      </c>
      <c r="AU71" s="66" t="n">
        <f aca="false">AT71+AU70</f>
        <v>-170475</v>
      </c>
      <c r="AV71" s="66" t="n">
        <f aca="false">AU71+AV70</f>
        <v>-174383.333333333</v>
      </c>
      <c r="AW71" s="66" t="n">
        <f aca="false">AV71+AW70</f>
        <v>-178291.666666667</v>
      </c>
      <c r="AX71" s="66" t="n">
        <f aca="false">AW71+AX70</f>
        <v>-182200</v>
      </c>
      <c r="AY71" s="66" t="n">
        <f aca="false">AX71+AY70</f>
        <v>-186183.333333333</v>
      </c>
      <c r="AZ71" s="66" t="n">
        <f aca="false">AY71+AZ70</f>
        <v>-190166.666666667</v>
      </c>
      <c r="BA71" s="66" t="n">
        <f aca="false">AZ71+BA70</f>
        <v>-194150</v>
      </c>
      <c r="BB71" s="66" t="n">
        <f aca="false">BA71+BB70</f>
        <v>-198133.333333333</v>
      </c>
      <c r="BC71" s="66" t="n">
        <f aca="false">BB71+BC70</f>
        <v>-202116.666666667</v>
      </c>
      <c r="BD71" s="66" t="n">
        <f aca="false">BC71+BD70</f>
        <v>-206100</v>
      </c>
      <c r="BE71" s="66" t="n">
        <f aca="false">BD71+BE70</f>
        <v>-210083.333333333</v>
      </c>
      <c r="BF71" s="66" t="n">
        <f aca="false">BE71+BF70</f>
        <v>-214066.666666667</v>
      </c>
      <c r="BG71" s="66" t="n">
        <f aca="false">BF71+BG70</f>
        <v>-218050</v>
      </c>
      <c r="BH71" s="66" t="n">
        <f aca="false">BG71+BH70</f>
        <v>-222033.333333334</v>
      </c>
      <c r="BI71" s="66" t="n">
        <f aca="false">BH71+BI70</f>
        <v>-226016.666666667</v>
      </c>
      <c r="BJ71" s="66" t="n">
        <f aca="false">BI71+BJ70</f>
        <v>-230000</v>
      </c>
    </row>
    <row r="72" customFormat="false" ht="15" hidden="false" customHeight="false" outlineLevel="0" collapsed="false">
      <c r="A72" s="4" t="s">
        <v>91</v>
      </c>
      <c r="C72" s="72" t="n">
        <f aca="false">C69+C71</f>
        <v>438316.666666667</v>
      </c>
      <c r="D72" s="72" t="n">
        <f aca="false">D69+D71</f>
        <v>434633.333333333</v>
      </c>
      <c r="E72" s="72" t="n">
        <f aca="false">E69+E71</f>
        <v>430950</v>
      </c>
      <c r="F72" s="72" t="n">
        <f aca="false">F69+F71</f>
        <v>427266.666666667</v>
      </c>
      <c r="G72" s="72" t="n">
        <f aca="false">G69+G71</f>
        <v>423583.333333333</v>
      </c>
      <c r="H72" s="72" t="n">
        <f aca="false">H69+H71</f>
        <v>419900</v>
      </c>
      <c r="I72" s="72" t="n">
        <f aca="false">I69+I71</f>
        <v>416216.666666667</v>
      </c>
      <c r="J72" s="72" t="n">
        <f aca="false">J69+J71</f>
        <v>412533.333333333</v>
      </c>
      <c r="K72" s="72" t="n">
        <f aca="false">K69+K71</f>
        <v>408850</v>
      </c>
      <c r="L72" s="72" t="n">
        <f aca="false">L69+L71</f>
        <v>405166.666666667</v>
      </c>
      <c r="M72" s="72" t="n">
        <f aca="false">M69+M71</f>
        <v>401483.333333333</v>
      </c>
      <c r="N72" s="72" t="n">
        <f aca="false">N69+N71</f>
        <v>397800</v>
      </c>
      <c r="O72" s="72" t="n">
        <f aca="false">O69+O71</f>
        <v>403041.666666667</v>
      </c>
      <c r="P72" s="72" t="n">
        <f aca="false">P69+P71</f>
        <v>399283.333333333</v>
      </c>
      <c r="Q72" s="72" t="n">
        <f aca="false">Q69+Q71</f>
        <v>395525</v>
      </c>
      <c r="R72" s="72" t="n">
        <f aca="false">R69+R71</f>
        <v>391766.666666667</v>
      </c>
      <c r="S72" s="72" t="n">
        <f aca="false">S69+S71</f>
        <v>388008.333333333</v>
      </c>
      <c r="T72" s="72" t="n">
        <f aca="false">T69+T71</f>
        <v>384250</v>
      </c>
      <c r="U72" s="72" t="n">
        <f aca="false">U69+U71</f>
        <v>380491.666666667</v>
      </c>
      <c r="V72" s="72" t="n">
        <f aca="false">V69+V71</f>
        <v>376733.333333333</v>
      </c>
      <c r="W72" s="72" t="n">
        <f aca="false">W69+W71</f>
        <v>372975</v>
      </c>
      <c r="X72" s="72" t="n">
        <f aca="false">X69+X71</f>
        <v>369216.666666667</v>
      </c>
      <c r="Y72" s="72" t="n">
        <f aca="false">Y69+Y71</f>
        <v>365458.333333333</v>
      </c>
      <c r="Z72" s="72" t="n">
        <f aca="false">Z69+Z71</f>
        <v>361700</v>
      </c>
      <c r="AA72" s="72" t="n">
        <f aca="false">AA69+AA71</f>
        <v>366866.666666667</v>
      </c>
      <c r="AB72" s="72" t="n">
        <f aca="false">AB69+AB71</f>
        <v>363033.333333333</v>
      </c>
      <c r="AC72" s="72" t="n">
        <f aca="false">AC69+AC71</f>
        <v>359200</v>
      </c>
      <c r="AD72" s="72" t="n">
        <f aca="false">AD69+AD71</f>
        <v>355366.666666667</v>
      </c>
      <c r="AE72" s="72" t="n">
        <f aca="false">AE69+AE71</f>
        <v>351533.333333333</v>
      </c>
      <c r="AF72" s="72" t="n">
        <f aca="false">AF69+AF71</f>
        <v>347700</v>
      </c>
      <c r="AG72" s="72" t="n">
        <f aca="false">AG69+AG71</f>
        <v>343866.666666667</v>
      </c>
      <c r="AH72" s="72" t="n">
        <f aca="false">AH69+AH71</f>
        <v>340033.333333333</v>
      </c>
      <c r="AI72" s="72" t="n">
        <f aca="false">AI69+AI71</f>
        <v>336200</v>
      </c>
      <c r="AJ72" s="72" t="n">
        <f aca="false">AJ69+AJ71</f>
        <v>332366.666666667</v>
      </c>
      <c r="AK72" s="72" t="n">
        <f aca="false">AK69+AK71</f>
        <v>328533.333333333</v>
      </c>
      <c r="AL72" s="72" t="n">
        <f aca="false">AL69+AL71</f>
        <v>324700</v>
      </c>
      <c r="AM72" s="72" t="n">
        <f aca="false">AM69+AM71</f>
        <v>329791.666666667</v>
      </c>
      <c r="AN72" s="72" t="n">
        <f aca="false">AN69+AN71</f>
        <v>325883.333333333</v>
      </c>
      <c r="AO72" s="72" t="n">
        <f aca="false">AO69+AO71</f>
        <v>321975</v>
      </c>
      <c r="AP72" s="72" t="n">
        <f aca="false">AP69+AP71</f>
        <v>318066.666666667</v>
      </c>
      <c r="AQ72" s="72" t="n">
        <f aca="false">AQ69+AQ71</f>
        <v>314158.333333333</v>
      </c>
      <c r="AR72" s="72" t="n">
        <f aca="false">AR69+AR71</f>
        <v>310250</v>
      </c>
      <c r="AS72" s="72" t="n">
        <f aca="false">AS69+AS71</f>
        <v>306341.666666667</v>
      </c>
      <c r="AT72" s="72" t="n">
        <f aca="false">AT69+AT71</f>
        <v>302433.333333333</v>
      </c>
      <c r="AU72" s="72" t="n">
        <f aca="false">AU69+AU71</f>
        <v>298525</v>
      </c>
      <c r="AV72" s="72" t="n">
        <f aca="false">AV69+AV71</f>
        <v>294616.666666667</v>
      </c>
      <c r="AW72" s="72" t="n">
        <f aca="false">AW69+AW71</f>
        <v>290708.333333333</v>
      </c>
      <c r="AX72" s="72" t="n">
        <f aca="false">AX69+AX71</f>
        <v>286800</v>
      </c>
      <c r="AY72" s="72" t="n">
        <f aca="false">AY69+AY71</f>
        <v>291816.666666667</v>
      </c>
      <c r="AZ72" s="72" t="n">
        <f aca="false">AZ69+AZ71</f>
        <v>287833.333333333</v>
      </c>
      <c r="BA72" s="72" t="n">
        <f aca="false">BA69+BA71</f>
        <v>283850</v>
      </c>
      <c r="BB72" s="72" t="n">
        <f aca="false">BB69+BB71</f>
        <v>279866.666666667</v>
      </c>
      <c r="BC72" s="72" t="n">
        <f aca="false">BC69+BC71</f>
        <v>275883.333333333</v>
      </c>
      <c r="BD72" s="72" t="n">
        <f aca="false">BD69+BD71</f>
        <v>271900</v>
      </c>
      <c r="BE72" s="72" t="n">
        <f aca="false">BE69+BE71</f>
        <v>267916.666666667</v>
      </c>
      <c r="BF72" s="72" t="n">
        <f aca="false">BF69+BF71</f>
        <v>263933.333333333</v>
      </c>
      <c r="BG72" s="72" t="n">
        <f aca="false">BG69+BG71</f>
        <v>259950</v>
      </c>
      <c r="BH72" s="72" t="n">
        <f aca="false">BH69+BH71</f>
        <v>255966.666666667</v>
      </c>
      <c r="BI72" s="72" t="n">
        <f aca="false">BI69+BI71</f>
        <v>251983.333333333</v>
      </c>
      <c r="BJ72" s="72" t="n">
        <f aca="false">BJ69+BJ71</f>
        <v>248000</v>
      </c>
    </row>
    <row r="74" customFormat="false" ht="15.75" hidden="false" customHeight="true" outlineLevel="0" collapsed="false">
      <c r="A74" s="7" t="s">
        <v>446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447</v>
      </c>
      <c r="C75" s="66" t="n">
        <f aca="false">0</f>
        <v>0</v>
      </c>
      <c r="D75" s="66" t="n">
        <f aca="false">C78</f>
        <v>250000</v>
      </c>
      <c r="E75" s="66" t="n">
        <f aca="false">D78</f>
        <v>247916.666666667</v>
      </c>
      <c r="F75" s="66" t="n">
        <f aca="false">E78</f>
        <v>245833.333333333</v>
      </c>
      <c r="G75" s="66" t="n">
        <f aca="false">F78</f>
        <v>243750</v>
      </c>
      <c r="H75" s="66" t="n">
        <f aca="false">G78</f>
        <v>241666.666666667</v>
      </c>
      <c r="I75" s="66" t="n">
        <f aca="false">H78</f>
        <v>239583.333333333</v>
      </c>
      <c r="J75" s="66" t="n">
        <f aca="false">I78</f>
        <v>237500</v>
      </c>
      <c r="K75" s="66" t="n">
        <f aca="false">J78</f>
        <v>235416.666666667</v>
      </c>
      <c r="L75" s="66" t="n">
        <f aca="false">K78</f>
        <v>233333.333333333</v>
      </c>
      <c r="M75" s="66" t="n">
        <f aca="false">L78</f>
        <v>231250</v>
      </c>
      <c r="N75" s="66" t="n">
        <f aca="false">M78</f>
        <v>229166.666666667</v>
      </c>
      <c r="O75" s="66" t="n">
        <f aca="false">N78</f>
        <v>227083.333333333</v>
      </c>
      <c r="P75" s="66" t="n">
        <f aca="false">O78</f>
        <v>225000</v>
      </c>
      <c r="Q75" s="66" t="n">
        <f aca="false">P78</f>
        <v>222916.666666667</v>
      </c>
      <c r="R75" s="66" t="n">
        <f aca="false">Q78</f>
        <v>220833.333333333</v>
      </c>
      <c r="S75" s="66" t="n">
        <f aca="false">R78</f>
        <v>218750</v>
      </c>
      <c r="T75" s="66" t="n">
        <f aca="false">S78</f>
        <v>216666.666666667</v>
      </c>
      <c r="U75" s="66" t="n">
        <f aca="false">T78</f>
        <v>214583.333333333</v>
      </c>
      <c r="V75" s="66" t="n">
        <f aca="false">U78</f>
        <v>212500</v>
      </c>
      <c r="W75" s="66" t="n">
        <f aca="false">V78</f>
        <v>210416.666666666</v>
      </c>
      <c r="X75" s="66" t="n">
        <f aca="false">W78</f>
        <v>208333.333333333</v>
      </c>
      <c r="Y75" s="66" t="n">
        <f aca="false">X78</f>
        <v>206250</v>
      </c>
      <c r="Z75" s="66" t="n">
        <f aca="false">Y78</f>
        <v>204166.666666666</v>
      </c>
      <c r="AA75" s="66" t="n">
        <f aca="false">Z78</f>
        <v>202083.333333333</v>
      </c>
      <c r="AB75" s="66" t="n">
        <f aca="false">AA78</f>
        <v>200000</v>
      </c>
      <c r="AC75" s="66" t="n">
        <f aca="false">AB78</f>
        <v>197916.666666666</v>
      </c>
      <c r="AD75" s="66" t="n">
        <f aca="false">AC78</f>
        <v>195833.333333333</v>
      </c>
      <c r="AE75" s="66" t="n">
        <f aca="false">AD78</f>
        <v>193750</v>
      </c>
      <c r="AF75" s="66" t="n">
        <f aca="false">AE78</f>
        <v>191666.666666666</v>
      </c>
      <c r="AG75" s="66" t="n">
        <f aca="false">AF78</f>
        <v>189583.333333333</v>
      </c>
      <c r="AH75" s="66" t="n">
        <f aca="false">AG78</f>
        <v>187500</v>
      </c>
      <c r="AI75" s="66" t="n">
        <f aca="false">AH78</f>
        <v>185416.666666666</v>
      </c>
      <c r="AJ75" s="66" t="n">
        <f aca="false">AI78</f>
        <v>183333.333333333</v>
      </c>
      <c r="AK75" s="66" t="n">
        <f aca="false">AJ78</f>
        <v>181250</v>
      </c>
      <c r="AL75" s="66" t="n">
        <f aca="false">AK78</f>
        <v>179166.666666666</v>
      </c>
      <c r="AM75" s="66" t="n">
        <f aca="false">AL78</f>
        <v>177083.333333333</v>
      </c>
      <c r="AN75" s="66" t="n">
        <f aca="false">AM78</f>
        <v>175000</v>
      </c>
      <c r="AO75" s="66" t="n">
        <f aca="false">AN78</f>
        <v>172916.666666666</v>
      </c>
      <c r="AP75" s="66" t="n">
        <f aca="false">AO78</f>
        <v>170833.333333333</v>
      </c>
      <c r="AQ75" s="66" t="n">
        <f aca="false">AP78</f>
        <v>168750</v>
      </c>
      <c r="AR75" s="66" t="n">
        <f aca="false">AQ78</f>
        <v>166666.666666666</v>
      </c>
      <c r="AS75" s="66" t="n">
        <f aca="false">AR78</f>
        <v>164583.333333333</v>
      </c>
      <c r="AT75" s="66" t="n">
        <f aca="false">AS78</f>
        <v>162500</v>
      </c>
      <c r="AU75" s="66" t="n">
        <f aca="false">AT78</f>
        <v>160416.666666666</v>
      </c>
      <c r="AV75" s="66" t="n">
        <f aca="false">AU78</f>
        <v>158333.333333333</v>
      </c>
      <c r="AW75" s="66" t="n">
        <f aca="false">AV78</f>
        <v>156250</v>
      </c>
      <c r="AX75" s="66" t="n">
        <f aca="false">AW78</f>
        <v>154166.666666666</v>
      </c>
      <c r="AY75" s="66" t="n">
        <f aca="false">AX78</f>
        <v>152083.333333333</v>
      </c>
      <c r="AZ75" s="66" t="n">
        <f aca="false">AY78</f>
        <v>150000</v>
      </c>
      <c r="BA75" s="66" t="n">
        <f aca="false">AZ78</f>
        <v>147916.666666666</v>
      </c>
      <c r="BB75" s="66" t="n">
        <f aca="false">BA78</f>
        <v>145833.333333333</v>
      </c>
      <c r="BC75" s="66" t="n">
        <f aca="false">BB78</f>
        <v>143750</v>
      </c>
      <c r="BD75" s="66" t="n">
        <f aca="false">BC78</f>
        <v>141666.666666666</v>
      </c>
      <c r="BE75" s="66" t="n">
        <f aca="false">BD78</f>
        <v>139583.333333333</v>
      </c>
      <c r="BF75" s="66" t="n">
        <f aca="false">BE78</f>
        <v>137499.999999999</v>
      </c>
      <c r="BG75" s="66" t="n">
        <f aca="false">BF78</f>
        <v>135416.666666666</v>
      </c>
      <c r="BH75" s="66" t="n">
        <f aca="false">BG78</f>
        <v>133333.333333333</v>
      </c>
      <c r="BI75" s="66" t="n">
        <f aca="false">BH78</f>
        <v>131249.999999999</v>
      </c>
      <c r="BJ75" s="66" t="n">
        <f aca="false">BI78</f>
        <v>129166.666666666</v>
      </c>
    </row>
    <row r="76" customFormat="false" ht="15" hidden="false" customHeight="false" outlineLevel="0" collapsed="false">
      <c r="A76" s="6" t="s">
        <v>84</v>
      </c>
      <c r="C76" s="66" t="n">
        <f aca="false">IF(C$4=1,Inputs!$E$74,0)</f>
        <v>250000</v>
      </c>
      <c r="D76" s="66" t="n">
        <f aca="false">IF(D$4=1,Inputs!$E$74,0)</f>
        <v>0</v>
      </c>
      <c r="E76" s="66" t="n">
        <f aca="false">IF(E$4=1,Inputs!$E$74,0)</f>
        <v>0</v>
      </c>
      <c r="F76" s="66" t="n">
        <f aca="false">IF(F$4=1,Inputs!$E$74,0)</f>
        <v>0</v>
      </c>
      <c r="G76" s="66" t="n">
        <f aca="false">IF(G$4=1,Inputs!$E$74,0)</f>
        <v>0</v>
      </c>
      <c r="H76" s="66" t="n">
        <f aca="false">IF(H$4=1,Inputs!$E$74,0)</f>
        <v>0</v>
      </c>
      <c r="I76" s="66" t="n">
        <f aca="false">IF(I$4=1,Inputs!$E$74,0)</f>
        <v>0</v>
      </c>
      <c r="J76" s="66" t="n">
        <f aca="false">IF(J$4=1,Inputs!$E$74,0)</f>
        <v>0</v>
      </c>
      <c r="K76" s="66" t="n">
        <f aca="false">IF(K$4=1,Inputs!$E$74,0)</f>
        <v>0</v>
      </c>
      <c r="L76" s="66" t="n">
        <f aca="false">IF(L$4=1,Inputs!$E$74,0)</f>
        <v>0</v>
      </c>
      <c r="M76" s="66" t="n">
        <f aca="false">IF(M$4=1,Inputs!$E$74,0)</f>
        <v>0</v>
      </c>
      <c r="N76" s="66" t="n">
        <f aca="false">IF(N$4=1,Inputs!$E$74,0)</f>
        <v>0</v>
      </c>
      <c r="O76" s="66" t="n">
        <f aca="false">IF(O$4=1,Inputs!$E$74,0)</f>
        <v>0</v>
      </c>
      <c r="P76" s="66" t="n">
        <f aca="false">IF(P$4=1,Inputs!$E$74,0)</f>
        <v>0</v>
      </c>
      <c r="Q76" s="66" t="n">
        <f aca="false">IF(Q$4=1,Inputs!$E$74,0)</f>
        <v>0</v>
      </c>
      <c r="R76" s="66" t="n">
        <f aca="false">IF(R$4=1,Inputs!$E$74,0)</f>
        <v>0</v>
      </c>
      <c r="S76" s="66" t="n">
        <f aca="false">IF(S$4=1,Inputs!$E$74,0)</f>
        <v>0</v>
      </c>
      <c r="T76" s="66" t="n">
        <f aca="false">IF(T$4=1,Inputs!$E$74,0)</f>
        <v>0</v>
      </c>
      <c r="U76" s="66" t="n">
        <f aca="false">IF(U$4=1,Inputs!$E$74,0)</f>
        <v>0</v>
      </c>
      <c r="V76" s="66" t="n">
        <f aca="false">IF(V$4=1,Inputs!$E$74,0)</f>
        <v>0</v>
      </c>
      <c r="W76" s="66" t="n">
        <f aca="false">IF(W$4=1,Inputs!$E$74,0)</f>
        <v>0</v>
      </c>
      <c r="X76" s="66" t="n">
        <f aca="false">IF(X$4=1,Inputs!$E$74,0)</f>
        <v>0</v>
      </c>
      <c r="Y76" s="66" t="n">
        <f aca="false">IF(Y$4=1,Inputs!$E$74,0)</f>
        <v>0</v>
      </c>
      <c r="Z76" s="66" t="n">
        <f aca="false">IF(Z$4=1,Inputs!$E$74,0)</f>
        <v>0</v>
      </c>
      <c r="AA76" s="66" t="n">
        <f aca="false">IF(AA$4=1,Inputs!$E$74,0)</f>
        <v>0</v>
      </c>
      <c r="AB76" s="66" t="n">
        <f aca="false">IF(AB$4=1,Inputs!$E$74,0)</f>
        <v>0</v>
      </c>
      <c r="AC76" s="66" t="n">
        <f aca="false">IF(AC$4=1,Inputs!$E$74,0)</f>
        <v>0</v>
      </c>
      <c r="AD76" s="66" t="n">
        <f aca="false">IF(AD$4=1,Inputs!$E$74,0)</f>
        <v>0</v>
      </c>
      <c r="AE76" s="66" t="n">
        <f aca="false">IF(AE$4=1,Inputs!$E$74,0)</f>
        <v>0</v>
      </c>
      <c r="AF76" s="66" t="n">
        <f aca="false">IF(AF$4=1,Inputs!$E$74,0)</f>
        <v>0</v>
      </c>
      <c r="AG76" s="66" t="n">
        <f aca="false">IF(AG$4=1,Inputs!$E$74,0)</f>
        <v>0</v>
      </c>
      <c r="AH76" s="66" t="n">
        <f aca="false">IF(AH$4=1,Inputs!$E$74,0)</f>
        <v>0</v>
      </c>
      <c r="AI76" s="66" t="n">
        <f aca="false">IF(AI$4=1,Inputs!$E$74,0)</f>
        <v>0</v>
      </c>
      <c r="AJ76" s="66" t="n">
        <f aca="false">IF(AJ$4=1,Inputs!$E$74,0)</f>
        <v>0</v>
      </c>
      <c r="AK76" s="66" t="n">
        <f aca="false">IF(AK$4=1,Inputs!$E$74,0)</f>
        <v>0</v>
      </c>
      <c r="AL76" s="66" t="n">
        <f aca="false">IF(AL$4=1,Inputs!$E$74,0)</f>
        <v>0</v>
      </c>
      <c r="AM76" s="66" t="n">
        <f aca="false">IF(AM$4=1,Inputs!$E$74,0)</f>
        <v>0</v>
      </c>
      <c r="AN76" s="66" t="n">
        <f aca="false">IF(AN$4=1,Inputs!$E$74,0)</f>
        <v>0</v>
      </c>
      <c r="AO76" s="66" t="n">
        <f aca="false">IF(AO$4=1,Inputs!$E$74,0)</f>
        <v>0</v>
      </c>
      <c r="AP76" s="66" t="n">
        <f aca="false">IF(AP$4=1,Inputs!$E$74,0)</f>
        <v>0</v>
      </c>
      <c r="AQ76" s="66" t="n">
        <f aca="false">IF(AQ$4=1,Inputs!$E$74,0)</f>
        <v>0</v>
      </c>
      <c r="AR76" s="66" t="n">
        <f aca="false">IF(AR$4=1,Inputs!$E$74,0)</f>
        <v>0</v>
      </c>
      <c r="AS76" s="66" t="n">
        <f aca="false">IF(AS$4=1,Inputs!$E$74,0)</f>
        <v>0</v>
      </c>
      <c r="AT76" s="66" t="n">
        <f aca="false">IF(AT$4=1,Inputs!$E$74,0)</f>
        <v>0</v>
      </c>
      <c r="AU76" s="66" t="n">
        <f aca="false">IF(AU$4=1,Inputs!$E$74,0)</f>
        <v>0</v>
      </c>
      <c r="AV76" s="66" t="n">
        <f aca="false">IF(AV$4=1,Inputs!$E$74,0)</f>
        <v>0</v>
      </c>
      <c r="AW76" s="66" t="n">
        <f aca="false">IF(AW$4=1,Inputs!$E$74,0)</f>
        <v>0</v>
      </c>
      <c r="AX76" s="66" t="n">
        <f aca="false">IF(AX$4=1,Inputs!$E$74,0)</f>
        <v>0</v>
      </c>
      <c r="AY76" s="66" t="n">
        <f aca="false">IF(AY$4=1,Inputs!$E$74,0)</f>
        <v>0</v>
      </c>
      <c r="AZ76" s="66" t="n">
        <f aca="false">IF(AZ$4=1,Inputs!$E$74,0)</f>
        <v>0</v>
      </c>
      <c r="BA76" s="66" t="n">
        <f aca="false">IF(BA$4=1,Inputs!$E$74,0)</f>
        <v>0</v>
      </c>
      <c r="BB76" s="66" t="n">
        <f aca="false">IF(BB$4=1,Inputs!$E$74,0)</f>
        <v>0</v>
      </c>
      <c r="BC76" s="66" t="n">
        <f aca="false">IF(BC$4=1,Inputs!$E$74,0)</f>
        <v>0</v>
      </c>
      <c r="BD76" s="66" t="n">
        <f aca="false">IF(BD$4=1,Inputs!$E$74,0)</f>
        <v>0</v>
      </c>
      <c r="BE76" s="66" t="n">
        <f aca="false">IF(BE$4=1,Inputs!$E$74,0)</f>
        <v>0</v>
      </c>
      <c r="BF76" s="66" t="n">
        <f aca="false">IF(BF$4=1,Inputs!$E$74,0)</f>
        <v>0</v>
      </c>
      <c r="BG76" s="66" t="n">
        <f aca="false">IF(BG$4=1,Inputs!$E$74,0)</f>
        <v>0</v>
      </c>
      <c r="BH76" s="66" t="n">
        <f aca="false">IF(BH$4=1,Inputs!$E$74,0)</f>
        <v>0</v>
      </c>
      <c r="BI76" s="66" t="n">
        <f aca="false">IF(BI$4=1,Inputs!$E$74,0)</f>
        <v>0</v>
      </c>
      <c r="BJ76" s="66" t="n">
        <f aca="false">IF(BJ$4=1,Inputs!$E$74,0)</f>
        <v>0</v>
      </c>
    </row>
    <row r="77" customFormat="false" ht="15" hidden="false" customHeight="false" outlineLevel="0" collapsed="false">
      <c r="A77" s="6" t="s">
        <v>85</v>
      </c>
      <c r="C77" s="66" t="n">
        <f aca="false">-MIN(C75,Inputs!$E$74/MAX(1,Inputs!$E$76*12))</f>
        <v>-0</v>
      </c>
      <c r="D77" s="66" t="n">
        <f aca="false">-MIN(D75,Inputs!$E$74/MAX(1,Inputs!$E$76*12))</f>
        <v>-2083.33333333333</v>
      </c>
      <c r="E77" s="66" t="n">
        <f aca="false">-MIN(E75,Inputs!$E$74/MAX(1,Inputs!$E$76*12))</f>
        <v>-2083.33333333333</v>
      </c>
      <c r="F77" s="66" t="n">
        <f aca="false">-MIN(F75,Inputs!$E$74/MAX(1,Inputs!$E$76*12))</f>
        <v>-2083.33333333333</v>
      </c>
      <c r="G77" s="66" t="n">
        <f aca="false">-MIN(G75,Inputs!$E$74/MAX(1,Inputs!$E$76*12))</f>
        <v>-2083.33333333333</v>
      </c>
      <c r="H77" s="66" t="n">
        <f aca="false">-MIN(H75,Inputs!$E$74/MAX(1,Inputs!$E$76*12))</f>
        <v>-2083.33333333333</v>
      </c>
      <c r="I77" s="66" t="n">
        <f aca="false">-MIN(I75,Inputs!$E$74/MAX(1,Inputs!$E$76*12))</f>
        <v>-2083.33333333333</v>
      </c>
      <c r="J77" s="66" t="n">
        <f aca="false">-MIN(J75,Inputs!$E$74/MAX(1,Inputs!$E$76*12))</f>
        <v>-2083.33333333333</v>
      </c>
      <c r="K77" s="66" t="n">
        <f aca="false">-MIN(K75,Inputs!$E$74/MAX(1,Inputs!$E$76*12))</f>
        <v>-2083.33333333333</v>
      </c>
      <c r="L77" s="66" t="n">
        <f aca="false">-MIN(L75,Inputs!$E$74/MAX(1,Inputs!$E$76*12))</f>
        <v>-2083.33333333333</v>
      </c>
      <c r="M77" s="66" t="n">
        <f aca="false">-MIN(M75,Inputs!$E$74/MAX(1,Inputs!$E$76*12))</f>
        <v>-2083.33333333333</v>
      </c>
      <c r="N77" s="66" t="n">
        <f aca="false">-MIN(N75,Inputs!$E$74/MAX(1,Inputs!$E$76*12))</f>
        <v>-2083.33333333333</v>
      </c>
      <c r="O77" s="66" t="n">
        <f aca="false">-MIN(O75,Inputs!$E$74/MAX(1,Inputs!$E$76*12))</f>
        <v>-2083.33333333333</v>
      </c>
      <c r="P77" s="66" t="n">
        <f aca="false">-MIN(P75,Inputs!$E$74/MAX(1,Inputs!$E$76*12))</f>
        <v>-2083.33333333333</v>
      </c>
      <c r="Q77" s="66" t="n">
        <f aca="false">-MIN(Q75,Inputs!$E$74/MAX(1,Inputs!$E$76*12))</f>
        <v>-2083.33333333333</v>
      </c>
      <c r="R77" s="66" t="n">
        <f aca="false">-MIN(R75,Inputs!$E$74/MAX(1,Inputs!$E$76*12))</f>
        <v>-2083.33333333333</v>
      </c>
      <c r="S77" s="66" t="n">
        <f aca="false">-MIN(S75,Inputs!$E$74/MAX(1,Inputs!$E$76*12))</f>
        <v>-2083.33333333333</v>
      </c>
      <c r="T77" s="66" t="n">
        <f aca="false">-MIN(T75,Inputs!$E$74/MAX(1,Inputs!$E$76*12))</f>
        <v>-2083.33333333333</v>
      </c>
      <c r="U77" s="66" t="n">
        <f aca="false">-MIN(U75,Inputs!$E$74/MAX(1,Inputs!$E$76*12))</f>
        <v>-2083.33333333333</v>
      </c>
      <c r="V77" s="66" t="n">
        <f aca="false">-MIN(V75,Inputs!$E$74/MAX(1,Inputs!$E$76*12))</f>
        <v>-2083.33333333333</v>
      </c>
      <c r="W77" s="66" t="n">
        <f aca="false">-MIN(W75,Inputs!$E$74/MAX(1,Inputs!$E$76*12))</f>
        <v>-2083.33333333333</v>
      </c>
      <c r="X77" s="66" t="n">
        <f aca="false">-MIN(X75,Inputs!$E$74/MAX(1,Inputs!$E$76*12))</f>
        <v>-2083.33333333333</v>
      </c>
      <c r="Y77" s="66" t="n">
        <f aca="false">-MIN(Y75,Inputs!$E$74/MAX(1,Inputs!$E$76*12))</f>
        <v>-2083.33333333333</v>
      </c>
      <c r="Z77" s="66" t="n">
        <f aca="false">-MIN(Z75,Inputs!$E$74/MAX(1,Inputs!$E$76*12))</f>
        <v>-2083.33333333333</v>
      </c>
      <c r="AA77" s="66" t="n">
        <f aca="false">-MIN(AA75,Inputs!$E$74/MAX(1,Inputs!$E$76*12))</f>
        <v>-2083.33333333333</v>
      </c>
      <c r="AB77" s="66" t="n">
        <f aca="false">-MIN(AB75,Inputs!$E$74/MAX(1,Inputs!$E$76*12))</f>
        <v>-2083.33333333333</v>
      </c>
      <c r="AC77" s="66" t="n">
        <f aca="false">-MIN(AC75,Inputs!$E$74/MAX(1,Inputs!$E$76*12))</f>
        <v>-2083.33333333333</v>
      </c>
      <c r="AD77" s="66" t="n">
        <f aca="false">-MIN(AD75,Inputs!$E$74/MAX(1,Inputs!$E$76*12))</f>
        <v>-2083.33333333333</v>
      </c>
      <c r="AE77" s="66" t="n">
        <f aca="false">-MIN(AE75,Inputs!$E$74/MAX(1,Inputs!$E$76*12))</f>
        <v>-2083.33333333333</v>
      </c>
      <c r="AF77" s="66" t="n">
        <f aca="false">-MIN(AF75,Inputs!$E$74/MAX(1,Inputs!$E$76*12))</f>
        <v>-2083.33333333333</v>
      </c>
      <c r="AG77" s="66" t="n">
        <f aca="false">-MIN(AG75,Inputs!$E$74/MAX(1,Inputs!$E$76*12))</f>
        <v>-2083.33333333333</v>
      </c>
      <c r="AH77" s="66" t="n">
        <f aca="false">-MIN(AH75,Inputs!$E$74/MAX(1,Inputs!$E$76*12))</f>
        <v>-2083.33333333333</v>
      </c>
      <c r="AI77" s="66" t="n">
        <f aca="false">-MIN(AI75,Inputs!$E$74/MAX(1,Inputs!$E$76*12))</f>
        <v>-2083.33333333333</v>
      </c>
      <c r="AJ77" s="66" t="n">
        <f aca="false">-MIN(AJ75,Inputs!$E$74/MAX(1,Inputs!$E$76*12))</f>
        <v>-2083.33333333333</v>
      </c>
      <c r="AK77" s="66" t="n">
        <f aca="false">-MIN(AK75,Inputs!$E$74/MAX(1,Inputs!$E$76*12))</f>
        <v>-2083.33333333333</v>
      </c>
      <c r="AL77" s="66" t="n">
        <f aca="false">-MIN(AL75,Inputs!$E$74/MAX(1,Inputs!$E$76*12))</f>
        <v>-2083.33333333333</v>
      </c>
      <c r="AM77" s="66" t="n">
        <f aca="false">-MIN(AM75,Inputs!$E$74/MAX(1,Inputs!$E$76*12))</f>
        <v>-2083.33333333333</v>
      </c>
      <c r="AN77" s="66" t="n">
        <f aca="false">-MIN(AN75,Inputs!$E$74/MAX(1,Inputs!$E$76*12))</f>
        <v>-2083.33333333333</v>
      </c>
      <c r="AO77" s="66" t="n">
        <f aca="false">-MIN(AO75,Inputs!$E$74/MAX(1,Inputs!$E$76*12))</f>
        <v>-2083.33333333333</v>
      </c>
      <c r="AP77" s="66" t="n">
        <f aca="false">-MIN(AP75,Inputs!$E$74/MAX(1,Inputs!$E$76*12))</f>
        <v>-2083.33333333333</v>
      </c>
      <c r="AQ77" s="66" t="n">
        <f aca="false">-MIN(AQ75,Inputs!$E$74/MAX(1,Inputs!$E$76*12))</f>
        <v>-2083.33333333333</v>
      </c>
      <c r="AR77" s="66" t="n">
        <f aca="false">-MIN(AR75,Inputs!$E$74/MAX(1,Inputs!$E$76*12))</f>
        <v>-2083.33333333333</v>
      </c>
      <c r="AS77" s="66" t="n">
        <f aca="false">-MIN(AS75,Inputs!$E$74/MAX(1,Inputs!$E$76*12))</f>
        <v>-2083.33333333333</v>
      </c>
      <c r="AT77" s="66" t="n">
        <f aca="false">-MIN(AT75,Inputs!$E$74/MAX(1,Inputs!$E$76*12))</f>
        <v>-2083.33333333333</v>
      </c>
      <c r="AU77" s="66" t="n">
        <f aca="false">-MIN(AU75,Inputs!$E$74/MAX(1,Inputs!$E$76*12))</f>
        <v>-2083.33333333333</v>
      </c>
      <c r="AV77" s="66" t="n">
        <f aca="false">-MIN(AV75,Inputs!$E$74/MAX(1,Inputs!$E$76*12))</f>
        <v>-2083.33333333333</v>
      </c>
      <c r="AW77" s="66" t="n">
        <f aca="false">-MIN(AW75,Inputs!$E$74/MAX(1,Inputs!$E$76*12))</f>
        <v>-2083.33333333333</v>
      </c>
      <c r="AX77" s="66" t="n">
        <f aca="false">-MIN(AX75,Inputs!$E$74/MAX(1,Inputs!$E$76*12))</f>
        <v>-2083.33333333333</v>
      </c>
      <c r="AY77" s="66" t="n">
        <f aca="false">-MIN(AY75,Inputs!$E$74/MAX(1,Inputs!$E$76*12))</f>
        <v>-2083.33333333333</v>
      </c>
      <c r="AZ77" s="66" t="n">
        <f aca="false">-MIN(AZ75,Inputs!$E$74/MAX(1,Inputs!$E$76*12))</f>
        <v>-2083.33333333333</v>
      </c>
      <c r="BA77" s="66" t="n">
        <f aca="false">-MIN(BA75,Inputs!$E$74/MAX(1,Inputs!$E$76*12))</f>
        <v>-2083.33333333333</v>
      </c>
      <c r="BB77" s="66" t="n">
        <f aca="false">-MIN(BB75,Inputs!$E$74/MAX(1,Inputs!$E$76*12))</f>
        <v>-2083.33333333333</v>
      </c>
      <c r="BC77" s="66" t="n">
        <f aca="false">-MIN(BC75,Inputs!$E$74/MAX(1,Inputs!$E$76*12))</f>
        <v>-2083.33333333333</v>
      </c>
      <c r="BD77" s="66" t="n">
        <f aca="false">-MIN(BD75,Inputs!$E$74/MAX(1,Inputs!$E$76*12))</f>
        <v>-2083.33333333333</v>
      </c>
      <c r="BE77" s="66" t="n">
        <f aca="false">-MIN(BE75,Inputs!$E$74/MAX(1,Inputs!$E$76*12))</f>
        <v>-2083.33333333333</v>
      </c>
      <c r="BF77" s="66" t="n">
        <f aca="false">-MIN(BF75,Inputs!$E$74/MAX(1,Inputs!$E$76*12))</f>
        <v>-2083.33333333333</v>
      </c>
      <c r="BG77" s="66" t="n">
        <f aca="false">-MIN(BG75,Inputs!$E$74/MAX(1,Inputs!$E$76*12))</f>
        <v>-2083.33333333333</v>
      </c>
      <c r="BH77" s="66" t="n">
        <f aca="false">-MIN(BH75,Inputs!$E$74/MAX(1,Inputs!$E$76*12))</f>
        <v>-2083.33333333333</v>
      </c>
      <c r="BI77" s="66" t="n">
        <f aca="false">-MIN(BI75,Inputs!$E$74/MAX(1,Inputs!$E$76*12))</f>
        <v>-2083.33333333333</v>
      </c>
      <c r="BJ77" s="66" t="n">
        <f aca="false">-MIN(BJ75,Inputs!$E$74/MAX(1,Inputs!$E$76*12))</f>
        <v>-2083.33333333333</v>
      </c>
    </row>
    <row r="78" customFormat="false" ht="15" hidden="false" customHeight="false" outlineLevel="0" collapsed="false">
      <c r="A78" s="4" t="s">
        <v>448</v>
      </c>
      <c r="C78" s="72" t="n">
        <f aca="false">C75+C76+C77</f>
        <v>250000</v>
      </c>
      <c r="D78" s="72" t="n">
        <f aca="false">D75+D76+D77</f>
        <v>247916.666666667</v>
      </c>
      <c r="E78" s="72" t="n">
        <f aca="false">E75+E76+E77</f>
        <v>245833.333333333</v>
      </c>
      <c r="F78" s="72" t="n">
        <f aca="false">F75+F76+F77</f>
        <v>243750</v>
      </c>
      <c r="G78" s="72" t="n">
        <f aca="false">G75+G76+G77</f>
        <v>241666.666666667</v>
      </c>
      <c r="H78" s="72" t="n">
        <f aca="false">H75+H76+H77</f>
        <v>239583.333333333</v>
      </c>
      <c r="I78" s="72" t="n">
        <f aca="false">I75+I76+I77</f>
        <v>237500</v>
      </c>
      <c r="J78" s="72" t="n">
        <f aca="false">J75+J76+J77</f>
        <v>235416.666666667</v>
      </c>
      <c r="K78" s="72" t="n">
        <f aca="false">K75+K76+K77</f>
        <v>233333.333333333</v>
      </c>
      <c r="L78" s="72" t="n">
        <f aca="false">L75+L76+L77</f>
        <v>231250</v>
      </c>
      <c r="M78" s="72" t="n">
        <f aca="false">M75+M76+M77</f>
        <v>229166.666666667</v>
      </c>
      <c r="N78" s="72" t="n">
        <f aca="false">N75+N76+N77</f>
        <v>227083.333333333</v>
      </c>
      <c r="O78" s="72" t="n">
        <f aca="false">O75+O76+O77</f>
        <v>225000</v>
      </c>
      <c r="P78" s="72" t="n">
        <f aca="false">P75+P76+P77</f>
        <v>222916.666666667</v>
      </c>
      <c r="Q78" s="72" t="n">
        <f aca="false">Q75+Q76+Q77</f>
        <v>220833.333333333</v>
      </c>
      <c r="R78" s="72" t="n">
        <f aca="false">R75+R76+R77</f>
        <v>218750</v>
      </c>
      <c r="S78" s="72" t="n">
        <f aca="false">S75+S76+S77</f>
        <v>216666.666666667</v>
      </c>
      <c r="T78" s="72" t="n">
        <f aca="false">T75+T76+T77</f>
        <v>214583.333333333</v>
      </c>
      <c r="U78" s="72" t="n">
        <f aca="false">U75+U76+U77</f>
        <v>212500</v>
      </c>
      <c r="V78" s="72" t="n">
        <f aca="false">V75+V76+V77</f>
        <v>210416.666666666</v>
      </c>
      <c r="W78" s="72" t="n">
        <f aca="false">W75+W76+W77</f>
        <v>208333.333333333</v>
      </c>
      <c r="X78" s="72" t="n">
        <f aca="false">X75+X76+X77</f>
        <v>206250</v>
      </c>
      <c r="Y78" s="72" t="n">
        <f aca="false">Y75+Y76+Y77</f>
        <v>204166.666666666</v>
      </c>
      <c r="Z78" s="72" t="n">
        <f aca="false">Z75+Z76+Z77</f>
        <v>202083.333333333</v>
      </c>
      <c r="AA78" s="72" t="n">
        <f aca="false">AA75+AA76+AA77</f>
        <v>200000</v>
      </c>
      <c r="AB78" s="72" t="n">
        <f aca="false">AB75+AB76+AB77</f>
        <v>197916.666666666</v>
      </c>
      <c r="AC78" s="72" t="n">
        <f aca="false">AC75+AC76+AC77</f>
        <v>195833.333333333</v>
      </c>
      <c r="AD78" s="72" t="n">
        <f aca="false">AD75+AD76+AD77</f>
        <v>193750</v>
      </c>
      <c r="AE78" s="72" t="n">
        <f aca="false">AE75+AE76+AE77</f>
        <v>191666.666666666</v>
      </c>
      <c r="AF78" s="72" t="n">
        <f aca="false">AF75+AF76+AF77</f>
        <v>189583.333333333</v>
      </c>
      <c r="AG78" s="72" t="n">
        <f aca="false">AG75+AG76+AG77</f>
        <v>187500</v>
      </c>
      <c r="AH78" s="72" t="n">
        <f aca="false">AH75+AH76+AH77</f>
        <v>185416.666666666</v>
      </c>
      <c r="AI78" s="72" t="n">
        <f aca="false">AI75+AI76+AI77</f>
        <v>183333.333333333</v>
      </c>
      <c r="AJ78" s="72" t="n">
        <f aca="false">AJ75+AJ76+AJ77</f>
        <v>181250</v>
      </c>
      <c r="AK78" s="72" t="n">
        <f aca="false">AK75+AK76+AK77</f>
        <v>179166.666666666</v>
      </c>
      <c r="AL78" s="72" t="n">
        <f aca="false">AL75+AL76+AL77</f>
        <v>177083.333333333</v>
      </c>
      <c r="AM78" s="72" t="n">
        <f aca="false">AM75+AM76+AM77</f>
        <v>175000</v>
      </c>
      <c r="AN78" s="72" t="n">
        <f aca="false">AN75+AN76+AN77</f>
        <v>172916.666666666</v>
      </c>
      <c r="AO78" s="72" t="n">
        <f aca="false">AO75+AO76+AO77</f>
        <v>170833.333333333</v>
      </c>
      <c r="AP78" s="72" t="n">
        <f aca="false">AP75+AP76+AP77</f>
        <v>168750</v>
      </c>
      <c r="AQ78" s="72" t="n">
        <f aca="false">AQ75+AQ76+AQ77</f>
        <v>166666.666666666</v>
      </c>
      <c r="AR78" s="72" t="n">
        <f aca="false">AR75+AR76+AR77</f>
        <v>164583.333333333</v>
      </c>
      <c r="AS78" s="72" t="n">
        <f aca="false">AS75+AS76+AS77</f>
        <v>162500</v>
      </c>
      <c r="AT78" s="72" t="n">
        <f aca="false">AT75+AT76+AT77</f>
        <v>160416.666666666</v>
      </c>
      <c r="AU78" s="72" t="n">
        <f aca="false">AU75+AU76+AU77</f>
        <v>158333.333333333</v>
      </c>
      <c r="AV78" s="72" t="n">
        <f aca="false">AV75+AV76+AV77</f>
        <v>156250</v>
      </c>
      <c r="AW78" s="72" t="n">
        <f aca="false">AW75+AW76+AW77</f>
        <v>154166.666666666</v>
      </c>
      <c r="AX78" s="72" t="n">
        <f aca="false">AX75+AX76+AX77</f>
        <v>152083.333333333</v>
      </c>
      <c r="AY78" s="72" t="n">
        <f aca="false">AY75+AY76+AY77</f>
        <v>150000</v>
      </c>
      <c r="AZ78" s="72" t="n">
        <f aca="false">AZ75+AZ76+AZ77</f>
        <v>147916.666666666</v>
      </c>
      <c r="BA78" s="72" t="n">
        <f aca="false">BA75+BA76+BA77</f>
        <v>145833.333333333</v>
      </c>
      <c r="BB78" s="72" t="n">
        <f aca="false">BB75+BB76+BB77</f>
        <v>143750</v>
      </c>
      <c r="BC78" s="72" t="n">
        <f aca="false">BC75+BC76+BC77</f>
        <v>141666.666666666</v>
      </c>
      <c r="BD78" s="72" t="n">
        <f aca="false">BD75+BD76+BD77</f>
        <v>139583.333333333</v>
      </c>
      <c r="BE78" s="72" t="n">
        <f aca="false">BE75+BE76+BE77</f>
        <v>137499.999999999</v>
      </c>
      <c r="BF78" s="72" t="n">
        <f aca="false">BF75+BF76+BF77</f>
        <v>135416.666666666</v>
      </c>
      <c r="BG78" s="72" t="n">
        <f aca="false">BG75+BG76+BG77</f>
        <v>133333.333333333</v>
      </c>
      <c r="BH78" s="72" t="n">
        <f aca="false">BH75+BH76+BH77</f>
        <v>131249.999999999</v>
      </c>
      <c r="BI78" s="72" t="n">
        <f aca="false">BI75+BI76+BI77</f>
        <v>129166.666666666</v>
      </c>
      <c r="BJ78" s="72" t="n">
        <f aca="false">BJ75+BJ76+BJ77</f>
        <v>127083.333333333</v>
      </c>
    </row>
    <row r="80" customFormat="false" ht="15.75" hidden="false" customHeight="true" outlineLevel="0" collapsed="false">
      <c r="A80" s="7" t="s">
        <v>323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customFormat="false" ht="15" hidden="false" customHeight="false" outlineLevel="0" collapsed="false">
      <c r="A81" s="6" t="s">
        <v>89</v>
      </c>
      <c r="C81" s="66" t="n">
        <f aca="false">C32*Inputs!$E$79/30</f>
        <v>6763.9</v>
      </c>
      <c r="D81" s="66" t="n">
        <f aca="false">D32*Inputs!$E$79/30</f>
        <v>7815.78958333333</v>
      </c>
      <c r="E81" s="66" t="n">
        <f aca="false">E32*Inputs!$E$79/30</f>
        <v>9436.42916666667</v>
      </c>
      <c r="F81" s="66" t="n">
        <f aca="false">F32*Inputs!$E$79/30</f>
        <v>11057.06875</v>
      </c>
      <c r="G81" s="66" t="n">
        <f aca="false">G32*Inputs!$E$79/30</f>
        <v>12677.7083333333</v>
      </c>
      <c r="H81" s="66" t="n">
        <f aca="false">H32*Inputs!$E$79/30</f>
        <v>14298.3479166667</v>
      </c>
      <c r="I81" s="66" t="n">
        <f aca="false">I32*Inputs!$E$79/30</f>
        <v>15918.9875</v>
      </c>
      <c r="J81" s="66" t="n">
        <f aca="false">J32*Inputs!$E$79/30</f>
        <v>17539.6270833333</v>
      </c>
      <c r="K81" s="66" t="n">
        <f aca="false">K32*Inputs!$E$79/30</f>
        <v>19160.2666666667</v>
      </c>
      <c r="L81" s="66" t="n">
        <f aca="false">L32*Inputs!$E$79/30</f>
        <v>20780.90625</v>
      </c>
      <c r="M81" s="66" t="n">
        <f aca="false">M32*Inputs!$E$79/30</f>
        <v>22401.5458333333</v>
      </c>
      <c r="N81" s="66" t="n">
        <f aca="false">N32*Inputs!$E$79/30</f>
        <v>24022.1854166667</v>
      </c>
      <c r="O81" s="66" t="n">
        <f aca="false">O32*Inputs!$E$79/30</f>
        <v>26412.10975</v>
      </c>
      <c r="P81" s="66" t="n">
        <f aca="false">P32*Inputs!$E$79/30</f>
        <v>26194.52225</v>
      </c>
      <c r="Q81" s="66" t="n">
        <f aca="false">Q32*Inputs!$E$79/30</f>
        <v>26194.52225</v>
      </c>
      <c r="R81" s="66" t="n">
        <f aca="false">R32*Inputs!$E$79/30</f>
        <v>26194.52225</v>
      </c>
      <c r="S81" s="66" t="n">
        <f aca="false">S32*Inputs!$E$79/30</f>
        <v>26194.52225</v>
      </c>
      <c r="T81" s="66" t="n">
        <f aca="false">T32*Inputs!$E$79/30</f>
        <v>26194.52225</v>
      </c>
      <c r="U81" s="66" t="n">
        <f aca="false">U32*Inputs!$E$79/30</f>
        <v>26194.52225</v>
      </c>
      <c r="V81" s="66" t="n">
        <f aca="false">V32*Inputs!$E$79/30</f>
        <v>26194.52225</v>
      </c>
      <c r="W81" s="66" t="n">
        <f aca="false">W32*Inputs!$E$79/30</f>
        <v>26194.52225</v>
      </c>
      <c r="X81" s="66" t="n">
        <f aca="false">X32*Inputs!$E$79/30</f>
        <v>26194.52225</v>
      </c>
      <c r="Y81" s="66" t="n">
        <f aca="false">Y32*Inputs!$E$79/30</f>
        <v>26194.52225</v>
      </c>
      <c r="Z81" s="66" t="n">
        <f aca="false">Z32*Inputs!$E$79/30</f>
        <v>26194.52225</v>
      </c>
      <c r="AA81" s="66" t="n">
        <f aca="false">AA32*Inputs!$E$79/30</f>
        <v>26980.3579175</v>
      </c>
      <c r="AB81" s="66" t="n">
        <f aca="false">AB32*Inputs!$E$79/30</f>
        <v>26980.3579175</v>
      </c>
      <c r="AC81" s="66" t="n">
        <f aca="false">AC32*Inputs!$E$79/30</f>
        <v>26980.3579175</v>
      </c>
      <c r="AD81" s="66" t="n">
        <f aca="false">AD32*Inputs!$E$79/30</f>
        <v>26980.3579175</v>
      </c>
      <c r="AE81" s="66" t="n">
        <f aca="false">AE32*Inputs!$E$79/30</f>
        <v>26980.3579175</v>
      </c>
      <c r="AF81" s="66" t="n">
        <f aca="false">AF32*Inputs!$E$79/30</f>
        <v>26980.3579175</v>
      </c>
      <c r="AG81" s="66" t="n">
        <f aca="false">AG32*Inputs!$E$79/30</f>
        <v>26980.3579175</v>
      </c>
      <c r="AH81" s="66" t="n">
        <f aca="false">AH32*Inputs!$E$79/30</f>
        <v>26980.3579175</v>
      </c>
      <c r="AI81" s="66" t="n">
        <f aca="false">AI32*Inputs!$E$79/30</f>
        <v>26980.3579175</v>
      </c>
      <c r="AJ81" s="66" t="n">
        <f aca="false">AJ32*Inputs!$E$79/30</f>
        <v>26980.3579175</v>
      </c>
      <c r="AK81" s="66" t="n">
        <f aca="false">AK32*Inputs!$E$79/30</f>
        <v>26980.3579175</v>
      </c>
      <c r="AL81" s="66" t="n">
        <f aca="false">AL32*Inputs!$E$79/30</f>
        <v>26980.3579175</v>
      </c>
      <c r="AM81" s="66" t="n">
        <f aca="false">AM32*Inputs!$E$79/30</f>
        <v>27789.768655025</v>
      </c>
      <c r="AN81" s="66" t="n">
        <f aca="false">AN32*Inputs!$E$79/30</f>
        <v>27789.768655025</v>
      </c>
      <c r="AO81" s="66" t="n">
        <f aca="false">AO32*Inputs!$E$79/30</f>
        <v>27789.768655025</v>
      </c>
      <c r="AP81" s="66" t="n">
        <f aca="false">AP32*Inputs!$E$79/30</f>
        <v>27789.768655025</v>
      </c>
      <c r="AQ81" s="66" t="n">
        <f aca="false">AQ32*Inputs!$E$79/30</f>
        <v>27789.768655025</v>
      </c>
      <c r="AR81" s="66" t="n">
        <f aca="false">AR32*Inputs!$E$79/30</f>
        <v>27789.768655025</v>
      </c>
      <c r="AS81" s="66" t="n">
        <f aca="false">AS32*Inputs!$E$79/30</f>
        <v>27789.768655025</v>
      </c>
      <c r="AT81" s="66" t="n">
        <f aca="false">AT32*Inputs!$E$79/30</f>
        <v>27789.768655025</v>
      </c>
      <c r="AU81" s="66" t="n">
        <f aca="false">AU32*Inputs!$E$79/30</f>
        <v>27789.768655025</v>
      </c>
      <c r="AV81" s="66" t="n">
        <f aca="false">AV32*Inputs!$E$79/30</f>
        <v>27789.768655025</v>
      </c>
      <c r="AW81" s="66" t="n">
        <f aca="false">AW32*Inputs!$E$79/30</f>
        <v>27789.768655025</v>
      </c>
      <c r="AX81" s="66" t="n">
        <f aca="false">AX32*Inputs!$E$79/30</f>
        <v>27789.768655025</v>
      </c>
      <c r="AY81" s="66" t="n">
        <f aca="false">AY32*Inputs!$E$79/30</f>
        <v>28623.4617146758</v>
      </c>
      <c r="AZ81" s="66" t="n">
        <f aca="false">AZ32*Inputs!$E$79/30</f>
        <v>28623.4617146758</v>
      </c>
      <c r="BA81" s="66" t="n">
        <f aca="false">BA32*Inputs!$E$79/30</f>
        <v>28623.4617146758</v>
      </c>
      <c r="BB81" s="66" t="n">
        <f aca="false">BB32*Inputs!$E$79/30</f>
        <v>28623.4617146758</v>
      </c>
      <c r="BC81" s="66" t="n">
        <f aca="false">BC32*Inputs!$E$79/30</f>
        <v>28623.4617146758</v>
      </c>
      <c r="BD81" s="66" t="n">
        <f aca="false">BD32*Inputs!$E$79/30</f>
        <v>28623.4617146758</v>
      </c>
      <c r="BE81" s="66" t="n">
        <f aca="false">BE32*Inputs!$E$79/30</f>
        <v>28623.4617146758</v>
      </c>
      <c r="BF81" s="66" t="n">
        <f aca="false">BF32*Inputs!$E$79/30</f>
        <v>28623.4617146758</v>
      </c>
      <c r="BG81" s="66" t="n">
        <f aca="false">BG32*Inputs!$E$79/30</f>
        <v>28623.4617146758</v>
      </c>
      <c r="BH81" s="66" t="n">
        <f aca="false">BH32*Inputs!$E$79/30</f>
        <v>28623.4617146758</v>
      </c>
      <c r="BI81" s="66" t="n">
        <f aca="false">BI32*Inputs!$E$79/30</f>
        <v>28623.4617146758</v>
      </c>
      <c r="BJ81" s="66" t="n">
        <f aca="false">BJ32*Inputs!$E$79/30</f>
        <v>28623.4617146758</v>
      </c>
    </row>
    <row r="82" customFormat="false" ht="15" hidden="false" customHeight="false" outlineLevel="0" collapsed="false">
      <c r="A82" s="6" t="s">
        <v>90</v>
      </c>
      <c r="C82" s="66" t="n">
        <f aca="false">-C38*Inputs!$E$80/30</f>
        <v>920.8</v>
      </c>
      <c r="D82" s="66" t="n">
        <f aca="false">-D38*Inputs!$E$80/30</f>
        <v>957.85</v>
      </c>
      <c r="E82" s="66" t="n">
        <f aca="false">-E38*Inputs!$E$80/30</f>
        <v>1778.9</v>
      </c>
      <c r="F82" s="66" t="n">
        <f aca="false">-F38*Inputs!$E$80/30</f>
        <v>1815.95</v>
      </c>
      <c r="G82" s="66" t="n">
        <f aca="false">-G38*Inputs!$E$80/30</f>
        <v>1853</v>
      </c>
      <c r="H82" s="66" t="n">
        <f aca="false">-H38*Inputs!$E$80/30</f>
        <v>1890.05</v>
      </c>
      <c r="I82" s="66" t="n">
        <f aca="false">-I38*Inputs!$E$80/30</f>
        <v>1927.1</v>
      </c>
      <c r="J82" s="66" t="n">
        <f aca="false">-J38*Inputs!$E$80/30</f>
        <v>2356.15</v>
      </c>
      <c r="K82" s="66" t="n">
        <f aca="false">-K38*Inputs!$E$80/30</f>
        <v>2785.2</v>
      </c>
      <c r="L82" s="66" t="n">
        <f aca="false">-L38*Inputs!$E$80/30</f>
        <v>2822.25</v>
      </c>
      <c r="M82" s="66" t="n">
        <f aca="false">-M38*Inputs!$E$80/30</f>
        <v>2859.3</v>
      </c>
      <c r="N82" s="66" t="n">
        <f aca="false">-N38*Inputs!$E$80/30</f>
        <v>2896.35</v>
      </c>
      <c r="O82" s="66" t="n">
        <f aca="false">-O38*Inputs!$E$80/30</f>
        <v>3021.402</v>
      </c>
      <c r="P82" s="66" t="n">
        <f aca="false">-P38*Inputs!$E$80/30</f>
        <v>3021.402</v>
      </c>
      <c r="Q82" s="66" t="n">
        <f aca="false">-Q38*Inputs!$E$80/30</f>
        <v>3021.402</v>
      </c>
      <c r="R82" s="66" t="n">
        <f aca="false">-R38*Inputs!$E$80/30</f>
        <v>3021.402</v>
      </c>
      <c r="S82" s="66" t="n">
        <f aca="false">-S38*Inputs!$E$80/30</f>
        <v>3021.402</v>
      </c>
      <c r="T82" s="66" t="n">
        <f aca="false">-T38*Inputs!$E$80/30</f>
        <v>3021.402</v>
      </c>
      <c r="U82" s="66" t="n">
        <f aca="false">-U38*Inputs!$E$80/30</f>
        <v>3021.402</v>
      </c>
      <c r="V82" s="66" t="n">
        <f aca="false">-V38*Inputs!$E$80/30</f>
        <v>3021.402</v>
      </c>
      <c r="W82" s="66" t="n">
        <f aca="false">-W38*Inputs!$E$80/30</f>
        <v>3021.402</v>
      </c>
      <c r="X82" s="66" t="n">
        <f aca="false">-X38*Inputs!$E$80/30</f>
        <v>3021.402</v>
      </c>
      <c r="Y82" s="66" t="n">
        <f aca="false">-Y38*Inputs!$E$80/30</f>
        <v>3021.402</v>
      </c>
      <c r="Z82" s="66" t="n">
        <f aca="false">-Z38*Inputs!$E$80/30</f>
        <v>3021.402</v>
      </c>
      <c r="AA82" s="66" t="n">
        <f aca="false">-AA38*Inputs!$E$80/30</f>
        <v>3112.04406</v>
      </c>
      <c r="AB82" s="66" t="n">
        <f aca="false">-AB38*Inputs!$E$80/30</f>
        <v>3112.04406</v>
      </c>
      <c r="AC82" s="66" t="n">
        <f aca="false">-AC38*Inputs!$E$80/30</f>
        <v>3112.04406</v>
      </c>
      <c r="AD82" s="66" t="n">
        <f aca="false">-AD38*Inputs!$E$80/30</f>
        <v>3112.04406</v>
      </c>
      <c r="AE82" s="66" t="n">
        <f aca="false">-AE38*Inputs!$E$80/30</f>
        <v>3112.04406</v>
      </c>
      <c r="AF82" s="66" t="n">
        <f aca="false">-AF38*Inputs!$E$80/30</f>
        <v>3112.04406</v>
      </c>
      <c r="AG82" s="66" t="n">
        <f aca="false">-AG38*Inputs!$E$80/30</f>
        <v>3112.04406</v>
      </c>
      <c r="AH82" s="66" t="n">
        <f aca="false">-AH38*Inputs!$E$80/30</f>
        <v>3112.04406</v>
      </c>
      <c r="AI82" s="66" t="n">
        <f aca="false">-AI38*Inputs!$E$80/30</f>
        <v>3112.04406</v>
      </c>
      <c r="AJ82" s="66" t="n">
        <f aca="false">-AJ38*Inputs!$E$80/30</f>
        <v>3112.04406</v>
      </c>
      <c r="AK82" s="66" t="n">
        <f aca="false">-AK38*Inputs!$E$80/30</f>
        <v>3112.04406</v>
      </c>
      <c r="AL82" s="66" t="n">
        <f aca="false">-AL38*Inputs!$E$80/30</f>
        <v>3112.04406</v>
      </c>
      <c r="AM82" s="66" t="n">
        <f aca="false">-AM38*Inputs!$E$80/30</f>
        <v>3205.4053818</v>
      </c>
      <c r="AN82" s="66" t="n">
        <f aca="false">-AN38*Inputs!$E$80/30</f>
        <v>3205.4053818</v>
      </c>
      <c r="AO82" s="66" t="n">
        <f aca="false">-AO38*Inputs!$E$80/30</f>
        <v>3205.4053818</v>
      </c>
      <c r="AP82" s="66" t="n">
        <f aca="false">-AP38*Inputs!$E$80/30</f>
        <v>3205.4053818</v>
      </c>
      <c r="AQ82" s="66" t="n">
        <f aca="false">-AQ38*Inputs!$E$80/30</f>
        <v>3205.4053818</v>
      </c>
      <c r="AR82" s="66" t="n">
        <f aca="false">-AR38*Inputs!$E$80/30</f>
        <v>3205.4053818</v>
      </c>
      <c r="AS82" s="66" t="n">
        <f aca="false">-AS38*Inputs!$E$80/30</f>
        <v>3205.4053818</v>
      </c>
      <c r="AT82" s="66" t="n">
        <f aca="false">-AT38*Inputs!$E$80/30</f>
        <v>3205.4053818</v>
      </c>
      <c r="AU82" s="66" t="n">
        <f aca="false">-AU38*Inputs!$E$80/30</f>
        <v>3205.4053818</v>
      </c>
      <c r="AV82" s="66" t="n">
        <f aca="false">-AV38*Inputs!$E$80/30</f>
        <v>3205.4053818</v>
      </c>
      <c r="AW82" s="66" t="n">
        <f aca="false">-AW38*Inputs!$E$80/30</f>
        <v>3205.4053818</v>
      </c>
      <c r="AX82" s="66" t="n">
        <f aca="false">-AX38*Inputs!$E$80/30</f>
        <v>3205.4053818</v>
      </c>
      <c r="AY82" s="66" t="n">
        <f aca="false">-AY38*Inputs!$E$80/30</f>
        <v>3301.567543254</v>
      </c>
      <c r="AZ82" s="66" t="n">
        <f aca="false">-AZ38*Inputs!$E$80/30</f>
        <v>3301.567543254</v>
      </c>
      <c r="BA82" s="66" t="n">
        <f aca="false">-BA38*Inputs!$E$80/30</f>
        <v>3301.567543254</v>
      </c>
      <c r="BB82" s="66" t="n">
        <f aca="false">-BB38*Inputs!$E$80/30</f>
        <v>3301.567543254</v>
      </c>
      <c r="BC82" s="66" t="n">
        <f aca="false">-BC38*Inputs!$E$80/30</f>
        <v>3301.567543254</v>
      </c>
      <c r="BD82" s="66" t="n">
        <f aca="false">-BD38*Inputs!$E$80/30</f>
        <v>3301.567543254</v>
      </c>
      <c r="BE82" s="66" t="n">
        <f aca="false">-BE38*Inputs!$E$80/30</f>
        <v>3301.567543254</v>
      </c>
      <c r="BF82" s="66" t="n">
        <f aca="false">-BF38*Inputs!$E$80/30</f>
        <v>3301.567543254</v>
      </c>
      <c r="BG82" s="66" t="n">
        <f aca="false">-BG38*Inputs!$E$80/30</f>
        <v>3301.567543254</v>
      </c>
      <c r="BH82" s="66" t="n">
        <f aca="false">-BH38*Inputs!$E$80/30</f>
        <v>3301.567543254</v>
      </c>
      <c r="BI82" s="66" t="n">
        <f aca="false">-BI38*Inputs!$E$80/30</f>
        <v>3301.567543254</v>
      </c>
      <c r="BJ82" s="66" t="n">
        <f aca="false">-BJ38*Inputs!$E$80/30</f>
        <v>3301.567543254</v>
      </c>
    </row>
    <row r="83" customFormat="false" ht="15" hidden="false" customHeight="false" outlineLevel="0" collapsed="false">
      <c r="A83" s="6" t="s">
        <v>93</v>
      </c>
      <c r="C83" s="66" t="n">
        <f aca="false">-C38*Inputs!$E$81/30</f>
        <v>3376.26666666667</v>
      </c>
      <c r="D83" s="66" t="n">
        <f aca="false">-D38*Inputs!$E$81/30</f>
        <v>3512.11666666667</v>
      </c>
      <c r="E83" s="66" t="n">
        <f aca="false">-E38*Inputs!$E$81/30</f>
        <v>6522.63333333333</v>
      </c>
      <c r="F83" s="66" t="n">
        <f aca="false">-F38*Inputs!$E$81/30</f>
        <v>6658.48333333333</v>
      </c>
      <c r="G83" s="66" t="n">
        <f aca="false">-G38*Inputs!$E$81/30</f>
        <v>6794.33333333333</v>
      </c>
      <c r="H83" s="66" t="n">
        <f aca="false">-H38*Inputs!$E$81/30</f>
        <v>6930.18333333333</v>
      </c>
      <c r="I83" s="66" t="n">
        <f aca="false">-I38*Inputs!$E$81/30</f>
        <v>7066.03333333333</v>
      </c>
      <c r="J83" s="66" t="n">
        <f aca="false">-J38*Inputs!$E$81/30</f>
        <v>8639.21666666667</v>
      </c>
      <c r="K83" s="66" t="n">
        <f aca="false">-K38*Inputs!$E$81/30</f>
        <v>10212.4</v>
      </c>
      <c r="L83" s="66" t="n">
        <f aca="false">-L38*Inputs!$E$81/30</f>
        <v>10348.25</v>
      </c>
      <c r="M83" s="66" t="n">
        <f aca="false">-M38*Inputs!$E$81/30</f>
        <v>10484.1</v>
      </c>
      <c r="N83" s="66" t="n">
        <f aca="false">-N38*Inputs!$E$81/30</f>
        <v>10619.95</v>
      </c>
      <c r="O83" s="66" t="n">
        <f aca="false">-O38*Inputs!$E$81/30</f>
        <v>11078.474</v>
      </c>
      <c r="P83" s="66" t="n">
        <f aca="false">-P38*Inputs!$E$81/30</f>
        <v>11078.474</v>
      </c>
      <c r="Q83" s="66" t="n">
        <f aca="false">-Q38*Inputs!$E$81/30</f>
        <v>11078.474</v>
      </c>
      <c r="R83" s="66" t="n">
        <f aca="false">-R38*Inputs!$E$81/30</f>
        <v>11078.474</v>
      </c>
      <c r="S83" s="66" t="n">
        <f aca="false">-S38*Inputs!$E$81/30</f>
        <v>11078.474</v>
      </c>
      <c r="T83" s="66" t="n">
        <f aca="false">-T38*Inputs!$E$81/30</f>
        <v>11078.474</v>
      </c>
      <c r="U83" s="66" t="n">
        <f aca="false">-U38*Inputs!$E$81/30</f>
        <v>11078.474</v>
      </c>
      <c r="V83" s="66" t="n">
        <f aca="false">-V38*Inputs!$E$81/30</f>
        <v>11078.474</v>
      </c>
      <c r="W83" s="66" t="n">
        <f aca="false">-W38*Inputs!$E$81/30</f>
        <v>11078.474</v>
      </c>
      <c r="X83" s="66" t="n">
        <f aca="false">-X38*Inputs!$E$81/30</f>
        <v>11078.474</v>
      </c>
      <c r="Y83" s="66" t="n">
        <f aca="false">-Y38*Inputs!$E$81/30</f>
        <v>11078.474</v>
      </c>
      <c r="Z83" s="66" t="n">
        <f aca="false">-Z38*Inputs!$E$81/30</f>
        <v>11078.474</v>
      </c>
      <c r="AA83" s="66" t="n">
        <f aca="false">-AA38*Inputs!$E$81/30</f>
        <v>11410.82822</v>
      </c>
      <c r="AB83" s="66" t="n">
        <f aca="false">-AB38*Inputs!$E$81/30</f>
        <v>11410.82822</v>
      </c>
      <c r="AC83" s="66" t="n">
        <f aca="false">-AC38*Inputs!$E$81/30</f>
        <v>11410.82822</v>
      </c>
      <c r="AD83" s="66" t="n">
        <f aca="false">-AD38*Inputs!$E$81/30</f>
        <v>11410.82822</v>
      </c>
      <c r="AE83" s="66" t="n">
        <f aca="false">-AE38*Inputs!$E$81/30</f>
        <v>11410.82822</v>
      </c>
      <c r="AF83" s="66" t="n">
        <f aca="false">-AF38*Inputs!$E$81/30</f>
        <v>11410.82822</v>
      </c>
      <c r="AG83" s="66" t="n">
        <f aca="false">-AG38*Inputs!$E$81/30</f>
        <v>11410.82822</v>
      </c>
      <c r="AH83" s="66" t="n">
        <f aca="false">-AH38*Inputs!$E$81/30</f>
        <v>11410.82822</v>
      </c>
      <c r="AI83" s="66" t="n">
        <f aca="false">-AI38*Inputs!$E$81/30</f>
        <v>11410.82822</v>
      </c>
      <c r="AJ83" s="66" t="n">
        <f aca="false">-AJ38*Inputs!$E$81/30</f>
        <v>11410.82822</v>
      </c>
      <c r="AK83" s="66" t="n">
        <f aca="false">-AK38*Inputs!$E$81/30</f>
        <v>11410.82822</v>
      </c>
      <c r="AL83" s="66" t="n">
        <f aca="false">-AL38*Inputs!$E$81/30</f>
        <v>11410.82822</v>
      </c>
      <c r="AM83" s="66" t="n">
        <f aca="false">-AM38*Inputs!$E$81/30</f>
        <v>11753.1530666</v>
      </c>
      <c r="AN83" s="66" t="n">
        <f aca="false">-AN38*Inputs!$E$81/30</f>
        <v>11753.1530666</v>
      </c>
      <c r="AO83" s="66" t="n">
        <f aca="false">-AO38*Inputs!$E$81/30</f>
        <v>11753.1530666</v>
      </c>
      <c r="AP83" s="66" t="n">
        <f aca="false">-AP38*Inputs!$E$81/30</f>
        <v>11753.1530666</v>
      </c>
      <c r="AQ83" s="66" t="n">
        <f aca="false">-AQ38*Inputs!$E$81/30</f>
        <v>11753.1530666</v>
      </c>
      <c r="AR83" s="66" t="n">
        <f aca="false">-AR38*Inputs!$E$81/30</f>
        <v>11753.1530666</v>
      </c>
      <c r="AS83" s="66" t="n">
        <f aca="false">-AS38*Inputs!$E$81/30</f>
        <v>11753.1530666</v>
      </c>
      <c r="AT83" s="66" t="n">
        <f aca="false">-AT38*Inputs!$E$81/30</f>
        <v>11753.1530666</v>
      </c>
      <c r="AU83" s="66" t="n">
        <f aca="false">-AU38*Inputs!$E$81/30</f>
        <v>11753.1530666</v>
      </c>
      <c r="AV83" s="66" t="n">
        <f aca="false">-AV38*Inputs!$E$81/30</f>
        <v>11753.1530666</v>
      </c>
      <c r="AW83" s="66" t="n">
        <f aca="false">-AW38*Inputs!$E$81/30</f>
        <v>11753.1530666</v>
      </c>
      <c r="AX83" s="66" t="n">
        <f aca="false">-AX38*Inputs!$E$81/30</f>
        <v>11753.1530666</v>
      </c>
      <c r="AY83" s="66" t="n">
        <f aca="false">-AY38*Inputs!$E$81/30</f>
        <v>12105.747658598</v>
      </c>
      <c r="AZ83" s="66" t="n">
        <f aca="false">-AZ38*Inputs!$E$81/30</f>
        <v>12105.747658598</v>
      </c>
      <c r="BA83" s="66" t="n">
        <f aca="false">-BA38*Inputs!$E$81/30</f>
        <v>12105.747658598</v>
      </c>
      <c r="BB83" s="66" t="n">
        <f aca="false">-BB38*Inputs!$E$81/30</f>
        <v>12105.747658598</v>
      </c>
      <c r="BC83" s="66" t="n">
        <f aca="false">-BC38*Inputs!$E$81/30</f>
        <v>12105.747658598</v>
      </c>
      <c r="BD83" s="66" t="n">
        <f aca="false">-BD38*Inputs!$E$81/30</f>
        <v>12105.747658598</v>
      </c>
      <c r="BE83" s="66" t="n">
        <f aca="false">-BE38*Inputs!$E$81/30</f>
        <v>12105.747658598</v>
      </c>
      <c r="BF83" s="66" t="n">
        <f aca="false">-BF38*Inputs!$E$81/30</f>
        <v>12105.747658598</v>
      </c>
      <c r="BG83" s="66" t="n">
        <f aca="false">-BG38*Inputs!$E$81/30</f>
        <v>12105.747658598</v>
      </c>
      <c r="BH83" s="66" t="n">
        <f aca="false">-BH38*Inputs!$E$81/30</f>
        <v>12105.747658598</v>
      </c>
      <c r="BI83" s="66" t="n">
        <f aca="false">-BI38*Inputs!$E$81/30</f>
        <v>12105.747658598</v>
      </c>
      <c r="BJ83" s="66" t="n">
        <f aca="false">-BJ38*Inputs!$E$81/30</f>
        <v>12105.747658598</v>
      </c>
    </row>
    <row r="84" customFormat="false" ht="15" hidden="false" customHeight="false" outlineLevel="0" collapsed="false">
      <c r="A84" s="6" t="s">
        <v>348</v>
      </c>
      <c r="C84" s="66" t="n">
        <f aca="false">-C81</f>
        <v>-6763.9</v>
      </c>
      <c r="D84" s="66" t="n">
        <f aca="false">C81-D81</f>
        <v>-1051.88958333333</v>
      </c>
      <c r="E84" s="66" t="n">
        <f aca="false">D81-E81</f>
        <v>-1620.63958333333</v>
      </c>
      <c r="F84" s="66" t="n">
        <f aca="false">E81-F81</f>
        <v>-1620.63958333333</v>
      </c>
      <c r="G84" s="66" t="n">
        <f aca="false">F81-G81</f>
        <v>-1620.63958333333</v>
      </c>
      <c r="H84" s="66" t="n">
        <f aca="false">G81-H81</f>
        <v>-1620.63958333333</v>
      </c>
      <c r="I84" s="66" t="n">
        <f aca="false">H81-I81</f>
        <v>-1620.63958333333</v>
      </c>
      <c r="J84" s="66" t="n">
        <f aca="false">I81-J81</f>
        <v>-1620.63958333334</v>
      </c>
      <c r="K84" s="66" t="n">
        <f aca="false">J81-K81</f>
        <v>-1620.63958333333</v>
      </c>
      <c r="L84" s="66" t="n">
        <f aca="false">K81-L81</f>
        <v>-1620.63958333333</v>
      </c>
      <c r="M84" s="66" t="n">
        <f aca="false">L81-M81</f>
        <v>-1620.63958333333</v>
      </c>
      <c r="N84" s="66" t="n">
        <f aca="false">M81-N81</f>
        <v>-1620.63958333333</v>
      </c>
      <c r="O84" s="66" t="n">
        <f aca="false">N81-O81</f>
        <v>-2389.92433333333</v>
      </c>
      <c r="P84" s="66" t="n">
        <f aca="false">O81-P81</f>
        <v>217.587500000001</v>
      </c>
      <c r="Q84" s="66" t="n">
        <f aca="false">P81-Q81</f>
        <v>0</v>
      </c>
      <c r="R84" s="66" t="n">
        <f aca="false">Q81-R81</f>
        <v>0</v>
      </c>
      <c r="S84" s="66" t="n">
        <f aca="false">R81-S81</f>
        <v>0</v>
      </c>
      <c r="T84" s="66" t="n">
        <f aca="false">S81-T81</f>
        <v>0</v>
      </c>
      <c r="U84" s="66" t="n">
        <f aca="false">T81-U81</f>
        <v>0</v>
      </c>
      <c r="V84" s="66" t="n">
        <f aca="false">U81-V81</f>
        <v>0</v>
      </c>
      <c r="W84" s="66" t="n">
        <f aca="false">V81-W81</f>
        <v>0</v>
      </c>
      <c r="X84" s="66" t="n">
        <f aca="false">W81-X81</f>
        <v>0</v>
      </c>
      <c r="Y84" s="66" t="n">
        <f aca="false">X81-Y81</f>
        <v>0</v>
      </c>
      <c r="Z84" s="66" t="n">
        <f aca="false">Y81-Z81</f>
        <v>0</v>
      </c>
      <c r="AA84" s="66" t="n">
        <f aca="false">Z81-AA81</f>
        <v>-785.8356675</v>
      </c>
      <c r="AB84" s="66" t="n">
        <f aca="false">AA81-AB81</f>
        <v>0</v>
      </c>
      <c r="AC84" s="66" t="n">
        <f aca="false">AB81-AC81</f>
        <v>0</v>
      </c>
      <c r="AD84" s="66" t="n">
        <f aca="false">AC81-AD81</f>
        <v>0</v>
      </c>
      <c r="AE84" s="66" t="n">
        <f aca="false">AD81-AE81</f>
        <v>0</v>
      </c>
      <c r="AF84" s="66" t="n">
        <f aca="false">AE81-AF81</f>
        <v>0</v>
      </c>
      <c r="AG84" s="66" t="n">
        <f aca="false">AF81-AG81</f>
        <v>0</v>
      </c>
      <c r="AH84" s="66" t="n">
        <f aca="false">AG81-AH81</f>
        <v>0</v>
      </c>
      <c r="AI84" s="66" t="n">
        <f aca="false">AH81-AI81</f>
        <v>0</v>
      </c>
      <c r="AJ84" s="66" t="n">
        <f aca="false">AI81-AJ81</f>
        <v>0</v>
      </c>
      <c r="AK84" s="66" t="n">
        <f aca="false">AJ81-AK81</f>
        <v>0</v>
      </c>
      <c r="AL84" s="66" t="n">
        <f aca="false">AK81-AL81</f>
        <v>0</v>
      </c>
      <c r="AM84" s="66" t="n">
        <f aca="false">AL81-AM81</f>
        <v>-809.410737524999</v>
      </c>
      <c r="AN84" s="66" t="n">
        <f aca="false">AM81-AN81</f>
        <v>0</v>
      </c>
      <c r="AO84" s="66" t="n">
        <f aca="false">AN81-AO81</f>
        <v>0</v>
      </c>
      <c r="AP84" s="66" t="n">
        <f aca="false">AO81-AP81</f>
        <v>0</v>
      </c>
      <c r="AQ84" s="66" t="n">
        <f aca="false">AP81-AQ81</f>
        <v>0</v>
      </c>
      <c r="AR84" s="66" t="n">
        <f aca="false">AQ81-AR81</f>
        <v>0</v>
      </c>
      <c r="AS84" s="66" t="n">
        <f aca="false">AR81-AS81</f>
        <v>0</v>
      </c>
      <c r="AT84" s="66" t="n">
        <f aca="false">AS81-AT81</f>
        <v>0</v>
      </c>
      <c r="AU84" s="66" t="n">
        <f aca="false">AT81-AU81</f>
        <v>0</v>
      </c>
      <c r="AV84" s="66" t="n">
        <f aca="false">AU81-AV81</f>
        <v>0</v>
      </c>
      <c r="AW84" s="66" t="n">
        <f aca="false">AV81-AW81</f>
        <v>0</v>
      </c>
      <c r="AX84" s="66" t="n">
        <f aca="false">AW81-AX81</f>
        <v>0</v>
      </c>
      <c r="AY84" s="66" t="n">
        <f aca="false">AX81-AY81</f>
        <v>-833.693059650756</v>
      </c>
      <c r="AZ84" s="66" t="n">
        <f aca="false">AY81-AZ81</f>
        <v>0</v>
      </c>
      <c r="BA84" s="66" t="n">
        <f aca="false">AZ81-BA81</f>
        <v>0</v>
      </c>
      <c r="BB84" s="66" t="n">
        <f aca="false">BA81-BB81</f>
        <v>0</v>
      </c>
      <c r="BC84" s="66" t="n">
        <f aca="false">BB81-BC81</f>
        <v>0</v>
      </c>
      <c r="BD84" s="66" t="n">
        <f aca="false">BC81-BD81</f>
        <v>0</v>
      </c>
      <c r="BE84" s="66" t="n">
        <f aca="false">BD81-BE81</f>
        <v>0</v>
      </c>
      <c r="BF84" s="66" t="n">
        <f aca="false">BE81-BF81</f>
        <v>0</v>
      </c>
      <c r="BG84" s="66" t="n">
        <f aca="false">BF81-BG81</f>
        <v>0</v>
      </c>
      <c r="BH84" s="66" t="n">
        <f aca="false">BG81-BH81</f>
        <v>0</v>
      </c>
      <c r="BI84" s="66" t="n">
        <f aca="false">BH81-BI81</f>
        <v>0</v>
      </c>
      <c r="BJ84" s="66" t="n">
        <f aca="false">BI81-BJ81</f>
        <v>0</v>
      </c>
    </row>
    <row r="85" customFormat="false" ht="15" hidden="false" customHeight="false" outlineLevel="0" collapsed="false">
      <c r="A85" s="6" t="s">
        <v>349</v>
      </c>
      <c r="C85" s="66" t="n">
        <f aca="false">-C82</f>
        <v>-920.8</v>
      </c>
      <c r="D85" s="66" t="n">
        <f aca="false">C82-D82</f>
        <v>-37.0500000000001</v>
      </c>
      <c r="E85" s="66" t="n">
        <f aca="false">D82-E82</f>
        <v>-821.05</v>
      </c>
      <c r="F85" s="66" t="n">
        <f aca="false">E82-F82</f>
        <v>-37.05</v>
      </c>
      <c r="G85" s="66" t="n">
        <f aca="false">F82-G82</f>
        <v>-37.05</v>
      </c>
      <c r="H85" s="66" t="n">
        <f aca="false">G82-H82</f>
        <v>-37.05</v>
      </c>
      <c r="I85" s="66" t="n">
        <f aca="false">H82-I82</f>
        <v>-37.05</v>
      </c>
      <c r="J85" s="66" t="n">
        <f aca="false">I82-J82</f>
        <v>-429.050000000001</v>
      </c>
      <c r="K85" s="66" t="n">
        <f aca="false">J82-K82</f>
        <v>-429.049999999999</v>
      </c>
      <c r="L85" s="66" t="n">
        <f aca="false">K82-L82</f>
        <v>-37.0500000000002</v>
      </c>
      <c r="M85" s="66" t="n">
        <f aca="false">L82-M82</f>
        <v>-37.0500000000002</v>
      </c>
      <c r="N85" s="66" t="n">
        <f aca="false">M82-N82</f>
        <v>-37.0499999999997</v>
      </c>
      <c r="O85" s="66" t="n">
        <f aca="false">N82-O82</f>
        <v>-125.052000000001</v>
      </c>
      <c r="P85" s="66" t="n">
        <f aca="false">O82-P82</f>
        <v>0</v>
      </c>
      <c r="Q85" s="66" t="n">
        <f aca="false">P82-Q82</f>
        <v>0</v>
      </c>
      <c r="R85" s="66" t="n">
        <f aca="false">Q82-R82</f>
        <v>0</v>
      </c>
      <c r="S85" s="66" t="n">
        <f aca="false">R82-S82</f>
        <v>0</v>
      </c>
      <c r="T85" s="66" t="n">
        <f aca="false">S82-T82</f>
        <v>0</v>
      </c>
      <c r="U85" s="66" t="n">
        <f aca="false">T82-U82</f>
        <v>0</v>
      </c>
      <c r="V85" s="66" t="n">
        <f aca="false">U82-V82</f>
        <v>0</v>
      </c>
      <c r="W85" s="66" t="n">
        <f aca="false">V82-W82</f>
        <v>0</v>
      </c>
      <c r="X85" s="66" t="n">
        <f aca="false">W82-X82</f>
        <v>0</v>
      </c>
      <c r="Y85" s="66" t="n">
        <f aca="false">X82-Y82</f>
        <v>0</v>
      </c>
      <c r="Z85" s="66" t="n">
        <f aca="false">Y82-Z82</f>
        <v>0</v>
      </c>
      <c r="AA85" s="66" t="n">
        <f aca="false">Z82-AA82</f>
        <v>-90.6420599999992</v>
      </c>
      <c r="AB85" s="66" t="n">
        <f aca="false">AA82-AB82</f>
        <v>0</v>
      </c>
      <c r="AC85" s="66" t="n">
        <f aca="false">AB82-AC82</f>
        <v>0</v>
      </c>
      <c r="AD85" s="66" t="n">
        <f aca="false">AC82-AD82</f>
        <v>0</v>
      </c>
      <c r="AE85" s="66" t="n">
        <f aca="false">AD82-AE82</f>
        <v>0</v>
      </c>
      <c r="AF85" s="66" t="n">
        <f aca="false">AE82-AF82</f>
        <v>0</v>
      </c>
      <c r="AG85" s="66" t="n">
        <f aca="false">AF82-AG82</f>
        <v>0</v>
      </c>
      <c r="AH85" s="66" t="n">
        <f aca="false">AG82-AH82</f>
        <v>0</v>
      </c>
      <c r="AI85" s="66" t="n">
        <f aca="false">AH82-AI82</f>
        <v>0</v>
      </c>
      <c r="AJ85" s="66" t="n">
        <f aca="false">AI82-AJ82</f>
        <v>0</v>
      </c>
      <c r="AK85" s="66" t="n">
        <f aca="false">AJ82-AK82</f>
        <v>0</v>
      </c>
      <c r="AL85" s="66" t="n">
        <f aca="false">AK82-AL82</f>
        <v>0</v>
      </c>
      <c r="AM85" s="66" t="n">
        <f aca="false">AL82-AM82</f>
        <v>-93.3613218000005</v>
      </c>
      <c r="AN85" s="66" t="n">
        <f aca="false">AM82-AN82</f>
        <v>0</v>
      </c>
      <c r="AO85" s="66" t="n">
        <f aca="false">AN82-AO82</f>
        <v>0</v>
      </c>
      <c r="AP85" s="66" t="n">
        <f aca="false">AO82-AP82</f>
        <v>0</v>
      </c>
      <c r="AQ85" s="66" t="n">
        <f aca="false">AP82-AQ82</f>
        <v>0</v>
      </c>
      <c r="AR85" s="66" t="n">
        <f aca="false">AQ82-AR82</f>
        <v>0</v>
      </c>
      <c r="AS85" s="66" t="n">
        <f aca="false">AR82-AS82</f>
        <v>0</v>
      </c>
      <c r="AT85" s="66" t="n">
        <f aca="false">AS82-AT82</f>
        <v>0</v>
      </c>
      <c r="AU85" s="66" t="n">
        <f aca="false">AT82-AU82</f>
        <v>0</v>
      </c>
      <c r="AV85" s="66" t="n">
        <f aca="false">AU82-AV82</f>
        <v>0</v>
      </c>
      <c r="AW85" s="66" t="n">
        <f aca="false">AV82-AW82</f>
        <v>0</v>
      </c>
      <c r="AX85" s="66" t="n">
        <f aca="false">AW82-AX82</f>
        <v>0</v>
      </c>
      <c r="AY85" s="66" t="n">
        <f aca="false">AX82-AY82</f>
        <v>-96.1621614540004</v>
      </c>
      <c r="AZ85" s="66" t="n">
        <f aca="false">AY82-AZ82</f>
        <v>0</v>
      </c>
      <c r="BA85" s="66" t="n">
        <f aca="false">AZ82-BA82</f>
        <v>0</v>
      </c>
      <c r="BB85" s="66" t="n">
        <f aca="false">BA82-BB82</f>
        <v>0</v>
      </c>
      <c r="BC85" s="66" t="n">
        <f aca="false">BB82-BC82</f>
        <v>0</v>
      </c>
      <c r="BD85" s="66" t="n">
        <f aca="false">BC82-BD82</f>
        <v>0</v>
      </c>
      <c r="BE85" s="66" t="n">
        <f aca="false">BD82-BE82</f>
        <v>0</v>
      </c>
      <c r="BF85" s="66" t="n">
        <f aca="false">BE82-BF82</f>
        <v>0</v>
      </c>
      <c r="BG85" s="66" t="n">
        <f aca="false">BF82-BG82</f>
        <v>0</v>
      </c>
      <c r="BH85" s="66" t="n">
        <f aca="false">BG82-BH82</f>
        <v>0</v>
      </c>
      <c r="BI85" s="66" t="n">
        <f aca="false">BH82-BI82</f>
        <v>0</v>
      </c>
      <c r="BJ85" s="66" t="n">
        <f aca="false">BI82-BJ82</f>
        <v>0</v>
      </c>
    </row>
    <row r="86" customFormat="false" ht="15" hidden="false" customHeight="false" outlineLevel="0" collapsed="false">
      <c r="A86" s="6" t="s">
        <v>350</v>
      </c>
      <c r="C86" s="66" t="n">
        <f aca="false">C83</f>
        <v>3376.26666666667</v>
      </c>
      <c r="D86" s="66" t="n">
        <f aca="false">D83-C83</f>
        <v>135.85</v>
      </c>
      <c r="E86" s="66" t="n">
        <f aca="false">E83-D83</f>
        <v>3010.51666666667</v>
      </c>
      <c r="F86" s="66" t="n">
        <f aca="false">F83-E83</f>
        <v>135.85</v>
      </c>
      <c r="G86" s="66" t="n">
        <f aca="false">G83-F83</f>
        <v>135.849999999999</v>
      </c>
      <c r="H86" s="66" t="n">
        <f aca="false">H83-G83</f>
        <v>135.85</v>
      </c>
      <c r="I86" s="66" t="n">
        <f aca="false">I83-H83</f>
        <v>135.85</v>
      </c>
      <c r="J86" s="66" t="n">
        <f aca="false">J83-I83</f>
        <v>1573.18333333333</v>
      </c>
      <c r="K86" s="66" t="n">
        <f aca="false">K83-J83</f>
        <v>1573.18333333333</v>
      </c>
      <c r="L86" s="66" t="n">
        <f aca="false">L83-K83</f>
        <v>135.85</v>
      </c>
      <c r="M86" s="66" t="n">
        <f aca="false">M83-L83</f>
        <v>135.85</v>
      </c>
      <c r="N86" s="66" t="n">
        <f aca="false">N83-M83</f>
        <v>135.85</v>
      </c>
      <c r="O86" s="66" t="n">
        <f aca="false">O83-N83</f>
        <v>458.524000000001</v>
      </c>
      <c r="P86" s="66" t="n">
        <f aca="false">P83-O83</f>
        <v>0</v>
      </c>
      <c r="Q86" s="66" t="n">
        <f aca="false">Q83-P83</f>
        <v>0</v>
      </c>
      <c r="R86" s="66" t="n">
        <f aca="false">R83-Q83</f>
        <v>0</v>
      </c>
      <c r="S86" s="66" t="n">
        <f aca="false">S83-R83</f>
        <v>0</v>
      </c>
      <c r="T86" s="66" t="n">
        <f aca="false">T83-S83</f>
        <v>0</v>
      </c>
      <c r="U86" s="66" t="n">
        <f aca="false">U83-T83</f>
        <v>0</v>
      </c>
      <c r="V86" s="66" t="n">
        <f aca="false">V83-U83</f>
        <v>0</v>
      </c>
      <c r="W86" s="66" t="n">
        <f aca="false">W83-V83</f>
        <v>0</v>
      </c>
      <c r="X86" s="66" t="n">
        <f aca="false">X83-W83</f>
        <v>0</v>
      </c>
      <c r="Y86" s="66" t="n">
        <f aca="false">Y83-X83</f>
        <v>0</v>
      </c>
      <c r="Z86" s="66" t="n">
        <f aca="false">Z83-Y83</f>
        <v>0</v>
      </c>
      <c r="AA86" s="66" t="n">
        <f aca="false">AA83-Z83</f>
        <v>332.354219999997</v>
      </c>
      <c r="AB86" s="66" t="n">
        <f aca="false">AB83-AA83</f>
        <v>0</v>
      </c>
      <c r="AC86" s="66" t="n">
        <f aca="false">AC83-AB83</f>
        <v>0</v>
      </c>
      <c r="AD86" s="66" t="n">
        <f aca="false">AD83-AC83</f>
        <v>0</v>
      </c>
      <c r="AE86" s="66" t="n">
        <f aca="false">AE83-AD83</f>
        <v>0</v>
      </c>
      <c r="AF86" s="66" t="n">
        <f aca="false">AF83-AE83</f>
        <v>0</v>
      </c>
      <c r="AG86" s="66" t="n">
        <f aca="false">AG83-AF83</f>
        <v>0</v>
      </c>
      <c r="AH86" s="66" t="n">
        <f aca="false">AH83-AG83</f>
        <v>0</v>
      </c>
      <c r="AI86" s="66" t="n">
        <f aca="false">AI83-AH83</f>
        <v>0</v>
      </c>
      <c r="AJ86" s="66" t="n">
        <f aca="false">AJ83-AI83</f>
        <v>0</v>
      </c>
      <c r="AK86" s="66" t="n">
        <f aca="false">AK83-AJ83</f>
        <v>0</v>
      </c>
      <c r="AL86" s="66" t="n">
        <f aca="false">AL83-AK83</f>
        <v>0</v>
      </c>
      <c r="AM86" s="66" t="n">
        <f aca="false">AM83-AL83</f>
        <v>342.324846600002</v>
      </c>
      <c r="AN86" s="66" t="n">
        <f aca="false">AN83-AM83</f>
        <v>0</v>
      </c>
      <c r="AO86" s="66" t="n">
        <f aca="false">AO83-AN83</f>
        <v>0</v>
      </c>
      <c r="AP86" s="66" t="n">
        <f aca="false">AP83-AO83</f>
        <v>0</v>
      </c>
      <c r="AQ86" s="66" t="n">
        <f aca="false">AQ83-AP83</f>
        <v>0</v>
      </c>
      <c r="AR86" s="66" t="n">
        <f aca="false">AR83-AQ83</f>
        <v>0</v>
      </c>
      <c r="AS86" s="66" t="n">
        <f aca="false">AS83-AR83</f>
        <v>0</v>
      </c>
      <c r="AT86" s="66" t="n">
        <f aca="false">AT83-AS83</f>
        <v>0</v>
      </c>
      <c r="AU86" s="66" t="n">
        <f aca="false">AU83-AT83</f>
        <v>0</v>
      </c>
      <c r="AV86" s="66" t="n">
        <f aca="false">AV83-AU83</f>
        <v>0</v>
      </c>
      <c r="AW86" s="66" t="n">
        <f aca="false">AW83-AV83</f>
        <v>0</v>
      </c>
      <c r="AX86" s="66" t="n">
        <f aca="false">AX83-AW83</f>
        <v>0</v>
      </c>
      <c r="AY86" s="66" t="n">
        <f aca="false">AY83-AX83</f>
        <v>352.594591998002</v>
      </c>
      <c r="AZ86" s="66" t="n">
        <f aca="false">AZ83-AY83</f>
        <v>0</v>
      </c>
      <c r="BA86" s="66" t="n">
        <f aca="false">BA83-AZ83</f>
        <v>0</v>
      </c>
      <c r="BB86" s="66" t="n">
        <f aca="false">BB83-BA83</f>
        <v>0</v>
      </c>
      <c r="BC86" s="66" t="n">
        <f aca="false">BC83-BB83</f>
        <v>0</v>
      </c>
      <c r="BD86" s="66" t="n">
        <f aca="false">BD83-BC83</f>
        <v>0</v>
      </c>
      <c r="BE86" s="66" t="n">
        <f aca="false">BE83-BD83</f>
        <v>0</v>
      </c>
      <c r="BF86" s="66" t="n">
        <f aca="false">BF83-BE83</f>
        <v>0</v>
      </c>
      <c r="BG86" s="66" t="n">
        <f aca="false">BG83-BF83</f>
        <v>0</v>
      </c>
      <c r="BH86" s="66" t="n">
        <f aca="false">BH83-BG83</f>
        <v>0</v>
      </c>
      <c r="BI86" s="66" t="n">
        <f aca="false">BI83-BH83</f>
        <v>0</v>
      </c>
      <c r="BJ86" s="66" t="n">
        <f aca="false">BJ83-BI83</f>
        <v>0</v>
      </c>
    </row>
    <row r="88" customFormat="false" ht="15.75" hidden="false" customHeight="true" outlineLevel="0" collapsed="false">
      <c r="A88" s="7" t="s">
        <v>449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customFormat="false" ht="15" hidden="false" customHeight="false" outlineLevel="0" collapsed="false">
      <c r="A89" s="4" t="s">
        <v>52</v>
      </c>
      <c r="C89" s="72" t="n">
        <f aca="false">C61-C70+C84+C85+C86</f>
        <v>-23923.3166666667</v>
      </c>
      <c r="D89" s="72" t="n">
        <f aca="false">D61-D70+D84+D85+D86</f>
        <v>-18575.8753472222</v>
      </c>
      <c r="E89" s="72" t="n">
        <f aca="false">E61-E70+E84+E85+E86</f>
        <v>-21582.4166666667</v>
      </c>
      <c r="F89" s="72" t="n">
        <f aca="false">F61-F70+F84+F85+F86</f>
        <v>-20361.5413194444</v>
      </c>
      <c r="G89" s="72" t="n">
        <f aca="false">G61-G70+G84+G85+G86</f>
        <v>-17049.9993055556</v>
      </c>
      <c r="H89" s="72" t="n">
        <f aca="false">H61-H70+H84+H85+H86</f>
        <v>-13738.4572916667</v>
      </c>
      <c r="I89" s="72" t="n">
        <f aca="false">I61-I70+I84+I85+I86</f>
        <v>-10426.9152777778</v>
      </c>
      <c r="J89" s="72" t="n">
        <f aca="false">J61-J70+J84+J85+J86</f>
        <v>-9990.03993055557</v>
      </c>
      <c r="K89" s="72" t="n">
        <f aca="false">K61-K70+K84+K85+K86</f>
        <v>-10598.4979166667</v>
      </c>
      <c r="L89" s="72" t="n">
        <f aca="false">L61-L70+L84+L85+L86</f>
        <v>-8332.28923611111</v>
      </c>
      <c r="M89" s="72" t="n">
        <f aca="false">M61-M70+M84+M85+M86</f>
        <v>-5020.74722222222</v>
      </c>
      <c r="N89" s="72" t="n">
        <f aca="false">N61-N70+N84+N85+N86</f>
        <v>-1709.20520833333</v>
      </c>
      <c r="O89" s="72" t="n">
        <f aca="false">O61-O70+O84+O85+O86</f>
        <v>1401.65768055555</v>
      </c>
      <c r="P89" s="72" t="n">
        <f aca="false">P61-P70+P84+P85+P86</f>
        <v>3187.46140277778</v>
      </c>
      <c r="Q89" s="72" t="n">
        <f aca="false">Q61-Q70+Q84+Q85+Q86</f>
        <v>2983.76279166666</v>
      </c>
      <c r="R89" s="72" t="n">
        <f aca="false">R61-R70+R84+R85+R86</f>
        <v>2997.65168055555</v>
      </c>
      <c r="S89" s="72" t="n">
        <f aca="false">S61-S70+S84+S85+S86</f>
        <v>3011.54056944444</v>
      </c>
      <c r="T89" s="72" t="n">
        <f aca="false">T61-T70+T84+T85+T86</f>
        <v>3025.42945833333</v>
      </c>
      <c r="U89" s="72" t="n">
        <f aca="false">U61-U70+U84+U85+U86</f>
        <v>3039.31834722222</v>
      </c>
      <c r="V89" s="72" t="n">
        <f aca="false">V61-V70+V84+V85+V86</f>
        <v>3053.20723611111</v>
      </c>
      <c r="W89" s="72" t="n">
        <f aca="false">W61-W70+W84+W85+W86</f>
        <v>3067.096125</v>
      </c>
      <c r="X89" s="72" t="n">
        <f aca="false">X61-X70+X84+X85+X86</f>
        <v>3080.98501388889</v>
      </c>
      <c r="Y89" s="72" t="n">
        <f aca="false">Y61-Y70+Y84+Y85+Y86</f>
        <v>3094.87390277777</v>
      </c>
      <c r="Z89" s="72" t="n">
        <f aca="false">Z61-Z70+Z84+Z85+Z86</f>
        <v>3108.76279166666</v>
      </c>
      <c r="AA89" s="72" t="n">
        <f aca="false">AA61-AA70+AA84+AA85+AA86</f>
        <v>2907.41605680555</v>
      </c>
      <c r="AB89" s="72" t="n">
        <f aca="false">AB61-AB70+AB84+AB85+AB86</f>
        <v>3465.42845319444</v>
      </c>
      <c r="AC89" s="72" t="n">
        <f aca="false">AC61-AC70+AC84+AC85+AC86</f>
        <v>3479.31734208333</v>
      </c>
      <c r="AD89" s="72" t="n">
        <f aca="false">AD61-AD70+AD84+AD85+AD86</f>
        <v>3493.20623097222</v>
      </c>
      <c r="AE89" s="72" t="n">
        <f aca="false">AE61-AE70+AE84+AE85+AE86</f>
        <v>3507.09511986111</v>
      </c>
      <c r="AF89" s="72" t="n">
        <f aca="false">AF61-AF70+AF84+AF85+AF86</f>
        <v>3520.98400875</v>
      </c>
      <c r="AG89" s="72" t="n">
        <f aca="false">AG61-AG70+AG84+AG85+AG86</f>
        <v>3534.87289763889</v>
      </c>
      <c r="AH89" s="72" t="n">
        <f aca="false">AH61-AH70+AH84+AH85+AH86</f>
        <v>3548.76178652778</v>
      </c>
      <c r="AI89" s="72" t="n">
        <f aca="false">AI61-AI70+AI84+AI85+AI86</f>
        <v>3562.65067541667</v>
      </c>
      <c r="AJ89" s="72" t="n">
        <f aca="false">AJ61-AJ70+AJ84+AJ85+AJ86</f>
        <v>3576.53956430555</v>
      </c>
      <c r="AK89" s="72" t="n">
        <f aca="false">AK61-AK70+AK84+AK85+AK86</f>
        <v>3590.42845319444</v>
      </c>
      <c r="AL89" s="72" t="n">
        <f aca="false">AL61-AL70+AL84+AL85+AL86</f>
        <v>3604.31734208333</v>
      </c>
      <c r="AM89" s="72" t="n">
        <f aca="false">AM61-AM70+AM84+AM85+AM86</f>
        <v>3396.51353850973</v>
      </c>
      <c r="AN89" s="72" t="n">
        <f aca="false">AN61-AN70+AN84+AN85+AN86</f>
        <v>3970.84964012361</v>
      </c>
      <c r="AO89" s="72" t="n">
        <f aca="false">AO61-AO70+AO84+AO85+AO86</f>
        <v>3984.7385290125</v>
      </c>
      <c r="AP89" s="72" t="n">
        <f aca="false">AP61-AP70+AP84+AP85+AP86</f>
        <v>3998.62741790139</v>
      </c>
      <c r="AQ89" s="72" t="n">
        <f aca="false">AQ61-AQ70+AQ84+AQ85+AQ86</f>
        <v>4012.51630679028</v>
      </c>
      <c r="AR89" s="72" t="n">
        <f aca="false">AR61-AR70+AR84+AR85+AR86</f>
        <v>4026.40519567917</v>
      </c>
      <c r="AS89" s="72" t="n">
        <f aca="false">AS61-AS70+AS84+AS85+AS86</f>
        <v>4040.29408456806</v>
      </c>
      <c r="AT89" s="72" t="n">
        <f aca="false">AT61-AT70+AT84+AT85+AT86</f>
        <v>4054.18297345694</v>
      </c>
      <c r="AU89" s="72" t="n">
        <f aca="false">AU61-AU70+AU84+AU85+AU86</f>
        <v>4068.07186234583</v>
      </c>
      <c r="AV89" s="72" t="n">
        <f aca="false">AV61-AV70+AV84+AV85+AV86</f>
        <v>4081.96075123472</v>
      </c>
      <c r="AW89" s="72" t="n">
        <f aca="false">AW61-AW70+AW84+AW85+AW86</f>
        <v>4095.84964012361</v>
      </c>
      <c r="AX89" s="72" t="n">
        <f aca="false">AX61-AX70+AX84+AX85+AX86</f>
        <v>4109.7385290125</v>
      </c>
      <c r="AY89" s="72" t="n">
        <f aca="false">AY61-AY70+AY84+AY85+AY86</f>
        <v>3895.28394466501</v>
      </c>
      <c r="AZ89" s="72" t="n">
        <f aca="false">AZ61-AZ70+AZ84+AZ85+AZ86</f>
        <v>4486.43346266065</v>
      </c>
      <c r="BA89" s="72" t="n">
        <f aca="false">BA61-BA70+BA84+BA85+BA86</f>
        <v>4500.32235154954</v>
      </c>
      <c r="BB89" s="72" t="n">
        <f aca="false">BB61-BB70+BB84+BB85+BB86</f>
        <v>4514.21124043843</v>
      </c>
      <c r="BC89" s="72" t="n">
        <f aca="false">BC61-BC70+BC84+BC85+BC86</f>
        <v>4528.10012932732</v>
      </c>
      <c r="BD89" s="72" t="n">
        <f aca="false">BD61-BD70+BD84+BD85+BD86</f>
        <v>4541.98901821621</v>
      </c>
      <c r="BE89" s="72" t="n">
        <f aca="false">BE61-BE70+BE84+BE85+BE86</f>
        <v>4555.87790710509</v>
      </c>
      <c r="BF89" s="72" t="n">
        <f aca="false">BF61-BF70+BF84+BF85+BF86</f>
        <v>4569.76679599398</v>
      </c>
      <c r="BG89" s="72" t="n">
        <f aca="false">BG61-BG70+BG84+BG85+BG86</f>
        <v>4583.65568488287</v>
      </c>
      <c r="BH89" s="72" t="n">
        <f aca="false">BH61-BH70+BH84+BH85+BH86</f>
        <v>4597.54457377176</v>
      </c>
      <c r="BI89" s="72" t="n">
        <f aca="false">BI61-BI70+BI84+BI85+BI86</f>
        <v>4611.43346266065</v>
      </c>
      <c r="BJ89" s="72" t="n">
        <f aca="false">BJ61-BJ70+BJ84+BJ85+BJ86</f>
        <v>4625.32235154954</v>
      </c>
    </row>
    <row r="90" customFormat="false" ht="15" hidden="false" customHeight="false" outlineLevel="0" collapsed="false">
      <c r="A90" s="6" t="s">
        <v>450</v>
      </c>
      <c r="C90" s="66" t="n">
        <f aca="false">-C68</f>
        <v>-442000</v>
      </c>
      <c r="D90" s="66" t="n">
        <f aca="false">-D68</f>
        <v>-0</v>
      </c>
      <c r="E90" s="66" t="n">
        <f aca="false">-E68</f>
        <v>-0</v>
      </c>
      <c r="F90" s="66" t="n">
        <f aca="false">-F68</f>
        <v>-0</v>
      </c>
      <c r="G90" s="66" t="n">
        <f aca="false">-G68</f>
        <v>-0</v>
      </c>
      <c r="H90" s="66" t="n">
        <f aca="false">-H68</f>
        <v>-0</v>
      </c>
      <c r="I90" s="66" t="n">
        <f aca="false">-I68</f>
        <v>-0</v>
      </c>
      <c r="J90" s="66" t="n">
        <f aca="false">-J68</f>
        <v>-0</v>
      </c>
      <c r="K90" s="66" t="n">
        <f aca="false">-K68</f>
        <v>-0</v>
      </c>
      <c r="L90" s="66" t="n">
        <f aca="false">-L68</f>
        <v>-0</v>
      </c>
      <c r="M90" s="66" t="n">
        <f aca="false">-M68</f>
        <v>-0</v>
      </c>
      <c r="N90" s="66" t="n">
        <f aca="false">-N68</f>
        <v>-0</v>
      </c>
      <c r="O90" s="66" t="n">
        <f aca="false">-O68</f>
        <v>-9000</v>
      </c>
      <c r="P90" s="66" t="n">
        <f aca="false">-P68</f>
        <v>-0</v>
      </c>
      <c r="Q90" s="66" t="n">
        <f aca="false">-Q68</f>
        <v>-0</v>
      </c>
      <c r="R90" s="66" t="n">
        <f aca="false">-R68</f>
        <v>-0</v>
      </c>
      <c r="S90" s="66" t="n">
        <f aca="false">-S68</f>
        <v>-0</v>
      </c>
      <c r="T90" s="66" t="n">
        <f aca="false">-T68</f>
        <v>-0</v>
      </c>
      <c r="U90" s="66" t="n">
        <f aca="false">-U68</f>
        <v>-0</v>
      </c>
      <c r="V90" s="66" t="n">
        <f aca="false">-V68</f>
        <v>-0</v>
      </c>
      <c r="W90" s="66" t="n">
        <f aca="false">-W68</f>
        <v>-0</v>
      </c>
      <c r="X90" s="66" t="n">
        <f aca="false">-X68</f>
        <v>-0</v>
      </c>
      <c r="Y90" s="66" t="n">
        <f aca="false">-Y68</f>
        <v>-0</v>
      </c>
      <c r="Z90" s="66" t="n">
        <f aca="false">-Z68</f>
        <v>-0</v>
      </c>
      <c r="AA90" s="66" t="n">
        <f aca="false">-AA68</f>
        <v>-9000</v>
      </c>
      <c r="AB90" s="66" t="n">
        <f aca="false">-AB68</f>
        <v>-0</v>
      </c>
      <c r="AC90" s="66" t="n">
        <f aca="false">-AC68</f>
        <v>-0</v>
      </c>
      <c r="AD90" s="66" t="n">
        <f aca="false">-AD68</f>
        <v>-0</v>
      </c>
      <c r="AE90" s="66" t="n">
        <f aca="false">-AE68</f>
        <v>-0</v>
      </c>
      <c r="AF90" s="66" t="n">
        <f aca="false">-AF68</f>
        <v>-0</v>
      </c>
      <c r="AG90" s="66" t="n">
        <f aca="false">-AG68</f>
        <v>-0</v>
      </c>
      <c r="AH90" s="66" t="n">
        <f aca="false">-AH68</f>
        <v>-0</v>
      </c>
      <c r="AI90" s="66" t="n">
        <f aca="false">-AI68</f>
        <v>-0</v>
      </c>
      <c r="AJ90" s="66" t="n">
        <f aca="false">-AJ68</f>
        <v>-0</v>
      </c>
      <c r="AK90" s="66" t="n">
        <f aca="false">-AK68</f>
        <v>-0</v>
      </c>
      <c r="AL90" s="66" t="n">
        <f aca="false">-AL68</f>
        <v>-0</v>
      </c>
      <c r="AM90" s="66" t="n">
        <f aca="false">-AM68</f>
        <v>-9000</v>
      </c>
      <c r="AN90" s="66" t="n">
        <f aca="false">-AN68</f>
        <v>-0</v>
      </c>
      <c r="AO90" s="66" t="n">
        <f aca="false">-AO68</f>
        <v>-0</v>
      </c>
      <c r="AP90" s="66" t="n">
        <f aca="false">-AP68</f>
        <v>-0</v>
      </c>
      <c r="AQ90" s="66" t="n">
        <f aca="false">-AQ68</f>
        <v>-0</v>
      </c>
      <c r="AR90" s="66" t="n">
        <f aca="false">-AR68</f>
        <v>-0</v>
      </c>
      <c r="AS90" s="66" t="n">
        <f aca="false">-AS68</f>
        <v>-0</v>
      </c>
      <c r="AT90" s="66" t="n">
        <f aca="false">-AT68</f>
        <v>-0</v>
      </c>
      <c r="AU90" s="66" t="n">
        <f aca="false">-AU68</f>
        <v>-0</v>
      </c>
      <c r="AV90" s="66" t="n">
        <f aca="false">-AV68</f>
        <v>-0</v>
      </c>
      <c r="AW90" s="66" t="n">
        <f aca="false">-AW68</f>
        <v>-0</v>
      </c>
      <c r="AX90" s="66" t="n">
        <f aca="false">-AX68</f>
        <v>-0</v>
      </c>
      <c r="AY90" s="66" t="n">
        <f aca="false">-AY68</f>
        <v>-9000</v>
      </c>
      <c r="AZ90" s="66" t="n">
        <f aca="false">-AZ68</f>
        <v>-0</v>
      </c>
      <c r="BA90" s="66" t="n">
        <f aca="false">-BA68</f>
        <v>-0</v>
      </c>
      <c r="BB90" s="66" t="n">
        <f aca="false">-BB68</f>
        <v>-0</v>
      </c>
      <c r="BC90" s="66" t="n">
        <f aca="false">-BC68</f>
        <v>-0</v>
      </c>
      <c r="BD90" s="66" t="n">
        <f aca="false">-BD68</f>
        <v>-0</v>
      </c>
      <c r="BE90" s="66" t="n">
        <f aca="false">-BE68</f>
        <v>-0</v>
      </c>
      <c r="BF90" s="66" t="n">
        <f aca="false">-BF68</f>
        <v>-0</v>
      </c>
      <c r="BG90" s="66" t="n">
        <f aca="false">-BG68</f>
        <v>-0</v>
      </c>
      <c r="BH90" s="66" t="n">
        <f aca="false">-BH68</f>
        <v>-0</v>
      </c>
      <c r="BI90" s="66" t="n">
        <f aca="false">-BI68</f>
        <v>-0</v>
      </c>
      <c r="BJ90" s="66" t="n">
        <f aca="false">-BJ68</f>
        <v>-0</v>
      </c>
    </row>
    <row r="91" customFormat="false" ht="15" hidden="false" customHeight="false" outlineLevel="0" collapsed="false">
      <c r="A91" s="6" t="s">
        <v>63</v>
      </c>
      <c r="C91" s="66" t="n">
        <f aca="false">IF(C$4=1,Inputs!$E$73,0)</f>
        <v>450000</v>
      </c>
      <c r="D91" s="66" t="n">
        <f aca="false">IF(D$4=1,Inputs!$E$73,0)</f>
        <v>0</v>
      </c>
      <c r="E91" s="66" t="n">
        <f aca="false">IF(E$4=1,Inputs!$E$73,0)</f>
        <v>0</v>
      </c>
      <c r="F91" s="66" t="n">
        <f aca="false">IF(F$4=1,Inputs!$E$73,0)</f>
        <v>0</v>
      </c>
      <c r="G91" s="66" t="n">
        <f aca="false">IF(G$4=1,Inputs!$E$73,0)</f>
        <v>0</v>
      </c>
      <c r="H91" s="66" t="n">
        <f aca="false">IF(H$4=1,Inputs!$E$73,0)</f>
        <v>0</v>
      </c>
      <c r="I91" s="66" t="n">
        <f aca="false">IF(I$4=1,Inputs!$E$73,0)</f>
        <v>0</v>
      </c>
      <c r="J91" s="66" t="n">
        <f aca="false">IF(J$4=1,Inputs!$E$73,0)</f>
        <v>0</v>
      </c>
      <c r="K91" s="66" t="n">
        <f aca="false">IF(K$4=1,Inputs!$E$73,0)</f>
        <v>0</v>
      </c>
      <c r="L91" s="66" t="n">
        <f aca="false">IF(L$4=1,Inputs!$E$73,0)</f>
        <v>0</v>
      </c>
      <c r="M91" s="66" t="n">
        <f aca="false">IF(M$4=1,Inputs!$E$73,0)</f>
        <v>0</v>
      </c>
      <c r="N91" s="66" t="n">
        <f aca="false">IF(N$4=1,Inputs!$E$73,0)</f>
        <v>0</v>
      </c>
      <c r="O91" s="66" t="n">
        <f aca="false">IF(O$4=1,Inputs!$E$73,0)</f>
        <v>0</v>
      </c>
      <c r="P91" s="66" t="n">
        <f aca="false">IF(P$4=1,Inputs!$E$73,0)</f>
        <v>0</v>
      </c>
      <c r="Q91" s="66" t="n">
        <f aca="false">IF(Q$4=1,Inputs!$E$73,0)</f>
        <v>0</v>
      </c>
      <c r="R91" s="66" t="n">
        <f aca="false">IF(R$4=1,Inputs!$E$73,0)</f>
        <v>0</v>
      </c>
      <c r="S91" s="66" t="n">
        <f aca="false">IF(S$4=1,Inputs!$E$73,0)</f>
        <v>0</v>
      </c>
      <c r="T91" s="66" t="n">
        <f aca="false">IF(T$4=1,Inputs!$E$73,0)</f>
        <v>0</v>
      </c>
      <c r="U91" s="66" t="n">
        <f aca="false">IF(U$4=1,Inputs!$E$73,0)</f>
        <v>0</v>
      </c>
      <c r="V91" s="66" t="n">
        <f aca="false">IF(V$4=1,Inputs!$E$73,0)</f>
        <v>0</v>
      </c>
      <c r="W91" s="66" t="n">
        <f aca="false">IF(W$4=1,Inputs!$E$73,0)</f>
        <v>0</v>
      </c>
      <c r="X91" s="66" t="n">
        <f aca="false">IF(X$4=1,Inputs!$E$73,0)</f>
        <v>0</v>
      </c>
      <c r="Y91" s="66" t="n">
        <f aca="false">IF(Y$4=1,Inputs!$E$73,0)</f>
        <v>0</v>
      </c>
      <c r="Z91" s="66" t="n">
        <f aca="false">IF(Z$4=1,Inputs!$E$73,0)</f>
        <v>0</v>
      </c>
      <c r="AA91" s="66" t="n">
        <f aca="false">IF(AA$4=1,Inputs!$E$73,0)</f>
        <v>0</v>
      </c>
      <c r="AB91" s="66" t="n">
        <f aca="false">IF(AB$4=1,Inputs!$E$73,0)</f>
        <v>0</v>
      </c>
      <c r="AC91" s="66" t="n">
        <f aca="false">IF(AC$4=1,Inputs!$E$73,0)</f>
        <v>0</v>
      </c>
      <c r="AD91" s="66" t="n">
        <f aca="false">IF(AD$4=1,Inputs!$E$73,0)</f>
        <v>0</v>
      </c>
      <c r="AE91" s="66" t="n">
        <f aca="false">IF(AE$4=1,Inputs!$E$73,0)</f>
        <v>0</v>
      </c>
      <c r="AF91" s="66" t="n">
        <f aca="false">IF(AF$4=1,Inputs!$E$73,0)</f>
        <v>0</v>
      </c>
      <c r="AG91" s="66" t="n">
        <f aca="false">IF(AG$4=1,Inputs!$E$73,0)</f>
        <v>0</v>
      </c>
      <c r="AH91" s="66" t="n">
        <f aca="false">IF(AH$4=1,Inputs!$E$73,0)</f>
        <v>0</v>
      </c>
      <c r="AI91" s="66" t="n">
        <f aca="false">IF(AI$4=1,Inputs!$E$73,0)</f>
        <v>0</v>
      </c>
      <c r="AJ91" s="66" t="n">
        <f aca="false">IF(AJ$4=1,Inputs!$E$73,0)</f>
        <v>0</v>
      </c>
      <c r="AK91" s="66" t="n">
        <f aca="false">IF(AK$4=1,Inputs!$E$73,0)</f>
        <v>0</v>
      </c>
      <c r="AL91" s="66" t="n">
        <f aca="false">IF(AL$4=1,Inputs!$E$73,0)</f>
        <v>0</v>
      </c>
      <c r="AM91" s="66" t="n">
        <f aca="false">IF(AM$4=1,Inputs!$E$73,0)</f>
        <v>0</v>
      </c>
      <c r="AN91" s="66" t="n">
        <f aca="false">IF(AN$4=1,Inputs!$E$73,0)</f>
        <v>0</v>
      </c>
      <c r="AO91" s="66" t="n">
        <f aca="false">IF(AO$4=1,Inputs!$E$73,0)</f>
        <v>0</v>
      </c>
      <c r="AP91" s="66" t="n">
        <f aca="false">IF(AP$4=1,Inputs!$E$73,0)</f>
        <v>0</v>
      </c>
      <c r="AQ91" s="66" t="n">
        <f aca="false">IF(AQ$4=1,Inputs!$E$73,0)</f>
        <v>0</v>
      </c>
      <c r="AR91" s="66" t="n">
        <f aca="false">IF(AR$4=1,Inputs!$E$73,0)</f>
        <v>0</v>
      </c>
      <c r="AS91" s="66" t="n">
        <f aca="false">IF(AS$4=1,Inputs!$E$73,0)</f>
        <v>0</v>
      </c>
      <c r="AT91" s="66" t="n">
        <f aca="false">IF(AT$4=1,Inputs!$E$73,0)</f>
        <v>0</v>
      </c>
      <c r="AU91" s="66" t="n">
        <f aca="false">IF(AU$4=1,Inputs!$E$73,0)</f>
        <v>0</v>
      </c>
      <c r="AV91" s="66" t="n">
        <f aca="false">IF(AV$4=1,Inputs!$E$73,0)</f>
        <v>0</v>
      </c>
      <c r="AW91" s="66" t="n">
        <f aca="false">IF(AW$4=1,Inputs!$E$73,0)</f>
        <v>0</v>
      </c>
      <c r="AX91" s="66" t="n">
        <f aca="false">IF(AX$4=1,Inputs!$E$73,0)</f>
        <v>0</v>
      </c>
      <c r="AY91" s="66" t="n">
        <f aca="false">IF(AY$4=1,Inputs!$E$73,0)</f>
        <v>0</v>
      </c>
      <c r="AZ91" s="66" t="n">
        <f aca="false">IF(AZ$4=1,Inputs!$E$73,0)</f>
        <v>0</v>
      </c>
      <c r="BA91" s="66" t="n">
        <f aca="false">IF(BA$4=1,Inputs!$E$73,0)</f>
        <v>0</v>
      </c>
      <c r="BB91" s="66" t="n">
        <f aca="false">IF(BB$4=1,Inputs!$E$73,0)</f>
        <v>0</v>
      </c>
      <c r="BC91" s="66" t="n">
        <f aca="false">IF(BC$4=1,Inputs!$E$73,0)</f>
        <v>0</v>
      </c>
      <c r="BD91" s="66" t="n">
        <f aca="false">IF(BD$4=1,Inputs!$E$73,0)</f>
        <v>0</v>
      </c>
      <c r="BE91" s="66" t="n">
        <f aca="false">IF(BE$4=1,Inputs!$E$73,0)</f>
        <v>0</v>
      </c>
      <c r="BF91" s="66" t="n">
        <f aca="false">IF(BF$4=1,Inputs!$E$73,0)</f>
        <v>0</v>
      </c>
      <c r="BG91" s="66" t="n">
        <f aca="false">IF(BG$4=1,Inputs!$E$73,0)</f>
        <v>0</v>
      </c>
      <c r="BH91" s="66" t="n">
        <f aca="false">IF(BH$4=1,Inputs!$E$73,0)</f>
        <v>0</v>
      </c>
      <c r="BI91" s="66" t="n">
        <f aca="false">IF(BI$4=1,Inputs!$E$73,0)</f>
        <v>0</v>
      </c>
      <c r="BJ91" s="66" t="n">
        <f aca="false">IF(BJ$4=1,Inputs!$E$73,0)</f>
        <v>0</v>
      </c>
    </row>
    <row r="92" customFormat="false" ht="15" hidden="false" customHeight="false" outlineLevel="0" collapsed="false">
      <c r="A92" s="6" t="s">
        <v>54</v>
      </c>
      <c r="C92" s="66" t="n">
        <f aca="false">C91+C76+C77</f>
        <v>700000</v>
      </c>
      <c r="D92" s="66" t="n">
        <f aca="false">D91+D76+D77</f>
        <v>-2083.33333333333</v>
      </c>
      <c r="E92" s="66" t="n">
        <f aca="false">E91+E76+E77</f>
        <v>-2083.33333333333</v>
      </c>
      <c r="F92" s="66" t="n">
        <f aca="false">F91+F76+F77</f>
        <v>-2083.33333333333</v>
      </c>
      <c r="G92" s="66" t="n">
        <f aca="false">G91+G76+G77</f>
        <v>-2083.33333333333</v>
      </c>
      <c r="H92" s="66" t="n">
        <f aca="false">H91+H76+H77</f>
        <v>-2083.33333333333</v>
      </c>
      <c r="I92" s="66" t="n">
        <f aca="false">I91+I76+I77</f>
        <v>-2083.33333333333</v>
      </c>
      <c r="J92" s="66" t="n">
        <f aca="false">J91+J76+J77</f>
        <v>-2083.33333333333</v>
      </c>
      <c r="K92" s="66" t="n">
        <f aca="false">K91+K76+K77</f>
        <v>-2083.33333333333</v>
      </c>
      <c r="L92" s="66" t="n">
        <f aca="false">L91+L76+L77</f>
        <v>-2083.33333333333</v>
      </c>
      <c r="M92" s="66" t="n">
        <f aca="false">M91+M76+M77</f>
        <v>-2083.33333333333</v>
      </c>
      <c r="N92" s="66" t="n">
        <f aca="false">N91+N76+N77</f>
        <v>-2083.33333333333</v>
      </c>
      <c r="O92" s="66" t="n">
        <f aca="false">O91+O76+O77</f>
        <v>-2083.33333333333</v>
      </c>
      <c r="P92" s="66" t="n">
        <f aca="false">P91+P76+P77</f>
        <v>-2083.33333333333</v>
      </c>
      <c r="Q92" s="66" t="n">
        <f aca="false">Q91+Q76+Q77</f>
        <v>-2083.33333333333</v>
      </c>
      <c r="R92" s="66" t="n">
        <f aca="false">R91+R76+R77</f>
        <v>-2083.33333333333</v>
      </c>
      <c r="S92" s="66" t="n">
        <f aca="false">S91+S76+S77</f>
        <v>-2083.33333333333</v>
      </c>
      <c r="T92" s="66" t="n">
        <f aca="false">T91+T76+T77</f>
        <v>-2083.33333333333</v>
      </c>
      <c r="U92" s="66" t="n">
        <f aca="false">U91+U76+U77</f>
        <v>-2083.33333333333</v>
      </c>
      <c r="V92" s="66" t="n">
        <f aca="false">V91+V76+V77</f>
        <v>-2083.33333333333</v>
      </c>
      <c r="W92" s="66" t="n">
        <f aca="false">W91+W76+W77</f>
        <v>-2083.33333333333</v>
      </c>
      <c r="X92" s="66" t="n">
        <f aca="false">X91+X76+X77</f>
        <v>-2083.33333333333</v>
      </c>
      <c r="Y92" s="66" t="n">
        <f aca="false">Y91+Y76+Y77</f>
        <v>-2083.33333333333</v>
      </c>
      <c r="Z92" s="66" t="n">
        <f aca="false">Z91+Z76+Z77</f>
        <v>-2083.33333333333</v>
      </c>
      <c r="AA92" s="66" t="n">
        <f aca="false">AA91+AA76+AA77</f>
        <v>-2083.33333333333</v>
      </c>
      <c r="AB92" s="66" t="n">
        <f aca="false">AB91+AB76+AB77</f>
        <v>-2083.33333333333</v>
      </c>
      <c r="AC92" s="66" t="n">
        <f aca="false">AC91+AC76+AC77</f>
        <v>-2083.33333333333</v>
      </c>
      <c r="AD92" s="66" t="n">
        <f aca="false">AD91+AD76+AD77</f>
        <v>-2083.33333333333</v>
      </c>
      <c r="AE92" s="66" t="n">
        <f aca="false">AE91+AE76+AE77</f>
        <v>-2083.33333333333</v>
      </c>
      <c r="AF92" s="66" t="n">
        <f aca="false">AF91+AF76+AF77</f>
        <v>-2083.33333333333</v>
      </c>
      <c r="AG92" s="66" t="n">
        <f aca="false">AG91+AG76+AG77</f>
        <v>-2083.33333333333</v>
      </c>
      <c r="AH92" s="66" t="n">
        <f aca="false">AH91+AH76+AH77</f>
        <v>-2083.33333333333</v>
      </c>
      <c r="AI92" s="66" t="n">
        <f aca="false">AI91+AI76+AI77</f>
        <v>-2083.33333333333</v>
      </c>
      <c r="AJ92" s="66" t="n">
        <f aca="false">AJ91+AJ76+AJ77</f>
        <v>-2083.33333333333</v>
      </c>
      <c r="AK92" s="66" t="n">
        <f aca="false">AK91+AK76+AK77</f>
        <v>-2083.33333333333</v>
      </c>
      <c r="AL92" s="66" t="n">
        <f aca="false">AL91+AL76+AL77</f>
        <v>-2083.33333333333</v>
      </c>
      <c r="AM92" s="66" t="n">
        <f aca="false">AM91+AM76+AM77</f>
        <v>-2083.33333333333</v>
      </c>
      <c r="AN92" s="66" t="n">
        <f aca="false">AN91+AN76+AN77</f>
        <v>-2083.33333333333</v>
      </c>
      <c r="AO92" s="66" t="n">
        <f aca="false">AO91+AO76+AO77</f>
        <v>-2083.33333333333</v>
      </c>
      <c r="AP92" s="66" t="n">
        <f aca="false">AP91+AP76+AP77</f>
        <v>-2083.33333333333</v>
      </c>
      <c r="AQ92" s="66" t="n">
        <f aca="false">AQ91+AQ76+AQ77</f>
        <v>-2083.33333333333</v>
      </c>
      <c r="AR92" s="66" t="n">
        <f aca="false">AR91+AR76+AR77</f>
        <v>-2083.33333333333</v>
      </c>
      <c r="AS92" s="66" t="n">
        <f aca="false">AS91+AS76+AS77</f>
        <v>-2083.33333333333</v>
      </c>
      <c r="AT92" s="66" t="n">
        <f aca="false">AT91+AT76+AT77</f>
        <v>-2083.33333333333</v>
      </c>
      <c r="AU92" s="66" t="n">
        <f aca="false">AU91+AU76+AU77</f>
        <v>-2083.33333333333</v>
      </c>
      <c r="AV92" s="66" t="n">
        <f aca="false">AV91+AV76+AV77</f>
        <v>-2083.33333333333</v>
      </c>
      <c r="AW92" s="66" t="n">
        <f aca="false">AW91+AW76+AW77</f>
        <v>-2083.33333333333</v>
      </c>
      <c r="AX92" s="66" t="n">
        <f aca="false">AX91+AX76+AX77</f>
        <v>-2083.33333333333</v>
      </c>
      <c r="AY92" s="66" t="n">
        <f aca="false">AY91+AY76+AY77</f>
        <v>-2083.33333333333</v>
      </c>
      <c r="AZ92" s="66" t="n">
        <f aca="false">AZ91+AZ76+AZ77</f>
        <v>-2083.33333333333</v>
      </c>
      <c r="BA92" s="66" t="n">
        <f aca="false">BA91+BA76+BA77</f>
        <v>-2083.33333333333</v>
      </c>
      <c r="BB92" s="66" t="n">
        <f aca="false">BB91+BB76+BB77</f>
        <v>-2083.33333333333</v>
      </c>
      <c r="BC92" s="66" t="n">
        <f aca="false">BC91+BC76+BC77</f>
        <v>-2083.33333333333</v>
      </c>
      <c r="BD92" s="66" t="n">
        <f aca="false">BD91+BD76+BD77</f>
        <v>-2083.33333333333</v>
      </c>
      <c r="BE92" s="66" t="n">
        <f aca="false">BE91+BE76+BE77</f>
        <v>-2083.33333333333</v>
      </c>
      <c r="BF92" s="66" t="n">
        <f aca="false">BF91+BF76+BF77</f>
        <v>-2083.33333333333</v>
      </c>
      <c r="BG92" s="66" t="n">
        <f aca="false">BG91+BG76+BG77</f>
        <v>-2083.33333333333</v>
      </c>
      <c r="BH92" s="66" t="n">
        <f aca="false">BH91+BH76+BH77</f>
        <v>-2083.33333333333</v>
      </c>
      <c r="BI92" s="66" t="n">
        <f aca="false">BI91+BI76+BI77</f>
        <v>-2083.33333333333</v>
      </c>
      <c r="BJ92" s="66" t="n">
        <f aca="false">BJ91+BJ76+BJ77</f>
        <v>-2083.33333333333</v>
      </c>
    </row>
    <row r="93" customFormat="false" ht="15" hidden="false" customHeight="false" outlineLevel="0" collapsed="false">
      <c r="A93" s="110" t="s">
        <v>451</v>
      </c>
      <c r="C93" s="67" t="n">
        <f aca="false">C89+C90+C92</f>
        <v>234076.683333333</v>
      </c>
      <c r="D93" s="67" t="n">
        <f aca="false">D89+D90+D92</f>
        <v>-20659.2086805556</v>
      </c>
      <c r="E93" s="67" t="n">
        <f aca="false">E89+E90+E92</f>
        <v>-23665.75</v>
      </c>
      <c r="F93" s="67" t="n">
        <f aca="false">F89+F90+F92</f>
        <v>-22444.8746527778</v>
      </c>
      <c r="G93" s="67" t="n">
        <f aca="false">G89+G90+G92</f>
        <v>-19133.3326388889</v>
      </c>
      <c r="H93" s="67" t="n">
        <f aca="false">H89+H90+H92</f>
        <v>-15821.790625</v>
      </c>
      <c r="I93" s="67" t="n">
        <f aca="false">I89+I90+I92</f>
        <v>-12510.2486111111</v>
      </c>
      <c r="J93" s="67" t="n">
        <f aca="false">J89+J90+J92</f>
        <v>-12073.3732638889</v>
      </c>
      <c r="K93" s="67" t="n">
        <f aca="false">K89+K90+K92</f>
        <v>-12681.83125</v>
      </c>
      <c r="L93" s="67" t="n">
        <f aca="false">L89+L90+L92</f>
        <v>-10415.6225694444</v>
      </c>
      <c r="M93" s="67" t="n">
        <f aca="false">M89+M90+M92</f>
        <v>-7104.08055555555</v>
      </c>
      <c r="N93" s="67" t="n">
        <f aca="false">N89+N90+N92</f>
        <v>-3792.53854166666</v>
      </c>
      <c r="O93" s="67" t="n">
        <f aca="false">O89+O90+O92</f>
        <v>-9681.67565277778</v>
      </c>
      <c r="P93" s="67" t="n">
        <f aca="false">P89+P90+P92</f>
        <v>1104.12806944444</v>
      </c>
      <c r="Q93" s="67" t="n">
        <f aca="false">Q89+Q90+Q92</f>
        <v>900.429458333329</v>
      </c>
      <c r="R93" s="67" t="n">
        <f aca="false">R89+R90+R92</f>
        <v>914.318347222219</v>
      </c>
      <c r="S93" s="67" t="n">
        <f aca="false">S89+S90+S92</f>
        <v>928.207236111107</v>
      </c>
      <c r="T93" s="67" t="n">
        <f aca="false">T89+T90+T92</f>
        <v>942.096124999996</v>
      </c>
      <c r="U93" s="67" t="n">
        <f aca="false">U89+U90+U92</f>
        <v>955.985013888885</v>
      </c>
      <c r="V93" s="67" t="n">
        <f aca="false">V89+V90+V92</f>
        <v>969.873902777774</v>
      </c>
      <c r="W93" s="67" t="n">
        <f aca="false">W89+W90+W92</f>
        <v>983.762791666663</v>
      </c>
      <c r="X93" s="67" t="n">
        <f aca="false">X89+X90+X92</f>
        <v>997.651680555552</v>
      </c>
      <c r="Y93" s="67" t="n">
        <f aca="false">Y89+Y90+Y92</f>
        <v>1011.54056944444</v>
      </c>
      <c r="Z93" s="67" t="n">
        <f aca="false">Z89+Z90+Z92</f>
        <v>1025.42945833333</v>
      </c>
      <c r="AA93" s="67" t="n">
        <f aca="false">AA89+AA90+AA92</f>
        <v>-8175.91727652778</v>
      </c>
      <c r="AB93" s="67" t="n">
        <f aca="false">AB89+AB90+AB92</f>
        <v>1382.09511986111</v>
      </c>
      <c r="AC93" s="67" t="n">
        <f aca="false">AC89+AC90+AC92</f>
        <v>1395.98400875</v>
      </c>
      <c r="AD93" s="67" t="n">
        <f aca="false">AD89+AD90+AD92</f>
        <v>1409.87289763889</v>
      </c>
      <c r="AE93" s="67" t="n">
        <f aca="false">AE89+AE90+AE92</f>
        <v>1423.76178652778</v>
      </c>
      <c r="AF93" s="67" t="n">
        <f aca="false">AF89+AF90+AF92</f>
        <v>1437.65067541667</v>
      </c>
      <c r="AG93" s="67" t="n">
        <f aca="false">AG89+AG90+AG92</f>
        <v>1451.53956430555</v>
      </c>
      <c r="AH93" s="67" t="n">
        <f aca="false">AH89+AH90+AH92</f>
        <v>1465.42845319444</v>
      </c>
      <c r="AI93" s="67" t="n">
        <f aca="false">AI89+AI90+AI92</f>
        <v>1479.31734208333</v>
      </c>
      <c r="AJ93" s="67" t="n">
        <f aca="false">AJ89+AJ90+AJ92</f>
        <v>1493.20623097222</v>
      </c>
      <c r="AK93" s="67" t="n">
        <f aca="false">AK89+AK90+AK92</f>
        <v>1507.09511986111</v>
      </c>
      <c r="AL93" s="67" t="n">
        <f aca="false">AL89+AL90+AL92</f>
        <v>1520.98400875</v>
      </c>
      <c r="AM93" s="67" t="n">
        <f aca="false">AM89+AM90+AM92</f>
        <v>-7686.81979482361</v>
      </c>
      <c r="AN93" s="67" t="n">
        <f aca="false">AN89+AN90+AN92</f>
        <v>1887.51630679028</v>
      </c>
      <c r="AO93" s="67" t="n">
        <f aca="false">AO89+AO90+AO92</f>
        <v>1901.40519567917</v>
      </c>
      <c r="AP93" s="67" t="n">
        <f aca="false">AP89+AP90+AP92</f>
        <v>1915.29408456806</v>
      </c>
      <c r="AQ93" s="67" t="n">
        <f aca="false">AQ89+AQ90+AQ92</f>
        <v>1929.18297345694</v>
      </c>
      <c r="AR93" s="67" t="n">
        <f aca="false">AR89+AR90+AR92</f>
        <v>1943.07186234583</v>
      </c>
      <c r="AS93" s="67" t="n">
        <f aca="false">AS89+AS90+AS92</f>
        <v>1956.96075123472</v>
      </c>
      <c r="AT93" s="67" t="n">
        <f aca="false">AT89+AT90+AT92</f>
        <v>1970.84964012361</v>
      </c>
      <c r="AU93" s="67" t="n">
        <f aca="false">AU89+AU90+AU92</f>
        <v>1984.7385290125</v>
      </c>
      <c r="AV93" s="67" t="n">
        <f aca="false">AV89+AV90+AV92</f>
        <v>1998.62741790139</v>
      </c>
      <c r="AW93" s="67" t="n">
        <f aca="false">AW89+AW90+AW92</f>
        <v>2012.51630679028</v>
      </c>
      <c r="AX93" s="67" t="n">
        <f aca="false">AX89+AX90+AX92</f>
        <v>2026.40519567917</v>
      </c>
      <c r="AY93" s="67" t="n">
        <f aca="false">AY89+AY90+AY92</f>
        <v>-7188.04938866833</v>
      </c>
      <c r="AZ93" s="67" t="n">
        <f aca="false">AZ89+AZ90+AZ92</f>
        <v>2403.10012932732</v>
      </c>
      <c r="BA93" s="67" t="n">
        <f aca="false">BA89+BA90+BA92</f>
        <v>2416.98901821621</v>
      </c>
      <c r="BB93" s="67" t="n">
        <f aca="false">BB89+BB90+BB92</f>
        <v>2430.87790710509</v>
      </c>
      <c r="BC93" s="67" t="n">
        <f aca="false">BC89+BC90+BC92</f>
        <v>2444.76679599398</v>
      </c>
      <c r="BD93" s="67" t="n">
        <f aca="false">BD89+BD90+BD92</f>
        <v>2458.65568488287</v>
      </c>
      <c r="BE93" s="67" t="n">
        <f aca="false">BE89+BE90+BE92</f>
        <v>2472.54457377176</v>
      </c>
      <c r="BF93" s="67" t="n">
        <f aca="false">BF89+BF90+BF92</f>
        <v>2486.43346266065</v>
      </c>
      <c r="BG93" s="67" t="n">
        <f aca="false">BG89+BG90+BG92</f>
        <v>2500.32235154954</v>
      </c>
      <c r="BH93" s="67" t="n">
        <f aca="false">BH89+BH90+BH92</f>
        <v>2514.21124043843</v>
      </c>
      <c r="BI93" s="67" t="n">
        <f aca="false">BI89+BI90+BI92</f>
        <v>2528.10012932732</v>
      </c>
      <c r="BJ93" s="67" t="n">
        <f aca="false">BJ89+BJ90+BJ92</f>
        <v>2541.98901821621</v>
      </c>
    </row>
    <row r="94" customFormat="false" ht="15" hidden="false" customHeight="false" outlineLevel="0" collapsed="false">
      <c r="A94" s="6" t="s">
        <v>351</v>
      </c>
      <c r="C94" s="66" t="n">
        <f aca="false">0</f>
        <v>0</v>
      </c>
      <c r="D94" s="66" t="n">
        <f aca="false">C95</f>
        <v>234076.683333333</v>
      </c>
      <c r="E94" s="66" t="n">
        <f aca="false">D95</f>
        <v>213417.474652778</v>
      </c>
      <c r="F94" s="66" t="n">
        <f aca="false">E95</f>
        <v>189751.724652778</v>
      </c>
      <c r="G94" s="66" t="n">
        <f aca="false">F95</f>
        <v>167306.85</v>
      </c>
      <c r="H94" s="66" t="n">
        <f aca="false">G95</f>
        <v>148173.517361111</v>
      </c>
      <c r="I94" s="66" t="n">
        <f aca="false">H95</f>
        <v>132351.726736111</v>
      </c>
      <c r="J94" s="66" t="n">
        <f aca="false">I95</f>
        <v>119841.478125</v>
      </c>
      <c r="K94" s="66" t="n">
        <f aca="false">J95</f>
        <v>107768.104861111</v>
      </c>
      <c r="L94" s="66" t="n">
        <f aca="false">K95</f>
        <v>95086.2736111111</v>
      </c>
      <c r="M94" s="66" t="n">
        <f aca="false">L95</f>
        <v>84670.6510416667</v>
      </c>
      <c r="N94" s="66" t="n">
        <f aca="false">M95</f>
        <v>77566.5704861111</v>
      </c>
      <c r="O94" s="66" t="n">
        <f aca="false">N95</f>
        <v>73774.0319444445</v>
      </c>
      <c r="P94" s="66" t="n">
        <f aca="false">O95</f>
        <v>64092.3562916667</v>
      </c>
      <c r="Q94" s="66" t="n">
        <f aca="false">P95</f>
        <v>65196.4843611111</v>
      </c>
      <c r="R94" s="66" t="n">
        <f aca="false">Q95</f>
        <v>66096.9138194445</v>
      </c>
      <c r="S94" s="66" t="n">
        <f aca="false">R95</f>
        <v>67011.2321666667</v>
      </c>
      <c r="T94" s="66" t="n">
        <f aca="false">S95</f>
        <v>67939.4394027778</v>
      </c>
      <c r="U94" s="66" t="n">
        <f aca="false">T95</f>
        <v>68881.5355277778</v>
      </c>
      <c r="V94" s="66" t="n">
        <f aca="false">U95</f>
        <v>69837.5205416667</v>
      </c>
      <c r="W94" s="66" t="n">
        <f aca="false">V95</f>
        <v>70807.3944444445</v>
      </c>
      <c r="X94" s="66" t="n">
        <f aca="false">W95</f>
        <v>71791.1572361111</v>
      </c>
      <c r="Y94" s="66" t="n">
        <f aca="false">X95</f>
        <v>72788.8089166667</v>
      </c>
      <c r="Z94" s="66" t="n">
        <f aca="false">Y95</f>
        <v>73800.3494861111</v>
      </c>
      <c r="AA94" s="66" t="n">
        <f aca="false">Z95</f>
        <v>74825.7789444444</v>
      </c>
      <c r="AB94" s="66" t="n">
        <f aca="false">AA95</f>
        <v>66649.8616679167</v>
      </c>
      <c r="AC94" s="66" t="n">
        <f aca="false">AB95</f>
        <v>68031.9567877778</v>
      </c>
      <c r="AD94" s="66" t="n">
        <f aca="false">AC95</f>
        <v>69427.9407965278</v>
      </c>
      <c r="AE94" s="66" t="n">
        <f aca="false">AD95</f>
        <v>70837.8136941667</v>
      </c>
      <c r="AF94" s="66" t="n">
        <f aca="false">AE95</f>
        <v>72261.5754806944</v>
      </c>
      <c r="AG94" s="66" t="n">
        <f aca="false">AF95</f>
        <v>73699.2261561111</v>
      </c>
      <c r="AH94" s="66" t="n">
        <f aca="false">AG95</f>
        <v>75150.7657204167</v>
      </c>
      <c r="AI94" s="66" t="n">
        <f aca="false">AH95</f>
        <v>76616.1941736111</v>
      </c>
      <c r="AJ94" s="66" t="n">
        <f aca="false">AI95</f>
        <v>78095.5115156944</v>
      </c>
      <c r="AK94" s="66" t="n">
        <f aca="false">AJ95</f>
        <v>79588.7177466667</v>
      </c>
      <c r="AL94" s="66" t="n">
        <f aca="false">AK95</f>
        <v>81095.8128665278</v>
      </c>
      <c r="AM94" s="66" t="n">
        <f aca="false">AL95</f>
        <v>82616.7968752778</v>
      </c>
      <c r="AN94" s="66" t="n">
        <f aca="false">AM95</f>
        <v>74929.9770804542</v>
      </c>
      <c r="AO94" s="66" t="n">
        <f aca="false">AN95</f>
        <v>76817.4933872444</v>
      </c>
      <c r="AP94" s="66" t="n">
        <f aca="false">AO95</f>
        <v>78718.8985829236</v>
      </c>
      <c r="AQ94" s="66" t="n">
        <f aca="false">AP95</f>
        <v>80634.1926674917</v>
      </c>
      <c r="AR94" s="66" t="n">
        <f aca="false">AQ95</f>
        <v>82563.3756409486</v>
      </c>
      <c r="AS94" s="66" t="n">
        <f aca="false">AR95</f>
        <v>84506.4475032945</v>
      </c>
      <c r="AT94" s="66" t="n">
        <f aca="false">AS95</f>
        <v>86463.4082545292</v>
      </c>
      <c r="AU94" s="66" t="n">
        <f aca="false">AT95</f>
        <v>88434.2578946528</v>
      </c>
      <c r="AV94" s="66" t="n">
        <f aca="false">AU95</f>
        <v>90418.9964236653</v>
      </c>
      <c r="AW94" s="66" t="n">
        <f aca="false">AV95</f>
        <v>92417.6238415667</v>
      </c>
      <c r="AX94" s="66" t="n">
        <f aca="false">AW95</f>
        <v>94430.1401483569</v>
      </c>
      <c r="AY94" s="66" t="n">
        <f aca="false">AX95</f>
        <v>96456.5453440361</v>
      </c>
      <c r="AZ94" s="66" t="n">
        <f aca="false">AY95</f>
        <v>89268.4959553678</v>
      </c>
      <c r="BA94" s="66" t="n">
        <f aca="false">AZ95</f>
        <v>91671.5960846951</v>
      </c>
      <c r="BB94" s="66" t="n">
        <f aca="false">BA95</f>
        <v>94088.5851029113</v>
      </c>
      <c r="BC94" s="66" t="n">
        <f aca="false">BB95</f>
        <v>96519.4630100164</v>
      </c>
      <c r="BD94" s="66" t="n">
        <f aca="false">BC95</f>
        <v>98964.2298060104</v>
      </c>
      <c r="BE94" s="66" t="n">
        <f aca="false">BD95</f>
        <v>101422.885490893</v>
      </c>
      <c r="BF94" s="66" t="n">
        <f aca="false">BE95</f>
        <v>103895.430064665</v>
      </c>
      <c r="BG94" s="66" t="n">
        <f aca="false">BF95</f>
        <v>106381.863527326</v>
      </c>
      <c r="BH94" s="66" t="n">
        <f aca="false">BG95</f>
        <v>108882.185878875</v>
      </c>
      <c r="BI94" s="66" t="n">
        <f aca="false">BH95</f>
        <v>111396.397119314</v>
      </c>
      <c r="BJ94" s="66" t="n">
        <f aca="false">BI95</f>
        <v>113924.497248641</v>
      </c>
    </row>
    <row r="95" customFormat="false" ht="15" hidden="false" customHeight="false" outlineLevel="0" collapsed="false">
      <c r="A95" s="110" t="s">
        <v>86</v>
      </c>
      <c r="C95" s="67" t="n">
        <f aca="false">C94+C93</f>
        <v>234076.683333333</v>
      </c>
      <c r="D95" s="67" t="n">
        <f aca="false">D94+D93</f>
        <v>213417.474652778</v>
      </c>
      <c r="E95" s="67" t="n">
        <f aca="false">E94+E93</f>
        <v>189751.724652778</v>
      </c>
      <c r="F95" s="67" t="n">
        <f aca="false">F94+F93</f>
        <v>167306.85</v>
      </c>
      <c r="G95" s="67" t="n">
        <f aca="false">G94+G93</f>
        <v>148173.517361111</v>
      </c>
      <c r="H95" s="67" t="n">
        <f aca="false">H94+H93</f>
        <v>132351.726736111</v>
      </c>
      <c r="I95" s="67" t="n">
        <f aca="false">I94+I93</f>
        <v>119841.478125</v>
      </c>
      <c r="J95" s="67" t="n">
        <f aca="false">J94+J93</f>
        <v>107768.104861111</v>
      </c>
      <c r="K95" s="67" t="n">
        <f aca="false">K94+K93</f>
        <v>95086.2736111111</v>
      </c>
      <c r="L95" s="67" t="n">
        <f aca="false">L94+L93</f>
        <v>84670.6510416667</v>
      </c>
      <c r="M95" s="67" t="n">
        <f aca="false">M94+M93</f>
        <v>77566.5704861111</v>
      </c>
      <c r="N95" s="67" t="n">
        <f aca="false">N94+N93</f>
        <v>73774.0319444445</v>
      </c>
      <c r="O95" s="67" t="n">
        <f aca="false">O94+O93</f>
        <v>64092.3562916667</v>
      </c>
      <c r="P95" s="67" t="n">
        <f aca="false">P94+P93</f>
        <v>65196.4843611111</v>
      </c>
      <c r="Q95" s="67" t="n">
        <f aca="false">Q94+Q93</f>
        <v>66096.9138194445</v>
      </c>
      <c r="R95" s="67" t="n">
        <f aca="false">R94+R93</f>
        <v>67011.2321666667</v>
      </c>
      <c r="S95" s="67" t="n">
        <f aca="false">S94+S93</f>
        <v>67939.4394027778</v>
      </c>
      <c r="T95" s="67" t="n">
        <f aca="false">T94+T93</f>
        <v>68881.5355277778</v>
      </c>
      <c r="U95" s="67" t="n">
        <f aca="false">U94+U93</f>
        <v>69837.5205416667</v>
      </c>
      <c r="V95" s="67" t="n">
        <f aca="false">V94+V93</f>
        <v>70807.3944444445</v>
      </c>
      <c r="W95" s="67" t="n">
        <f aca="false">W94+W93</f>
        <v>71791.1572361111</v>
      </c>
      <c r="X95" s="67" t="n">
        <f aca="false">X94+X93</f>
        <v>72788.8089166667</v>
      </c>
      <c r="Y95" s="67" t="n">
        <f aca="false">Y94+Y93</f>
        <v>73800.3494861111</v>
      </c>
      <c r="Z95" s="67" t="n">
        <f aca="false">Z94+Z93</f>
        <v>74825.7789444444</v>
      </c>
      <c r="AA95" s="67" t="n">
        <f aca="false">AA94+AA93</f>
        <v>66649.8616679167</v>
      </c>
      <c r="AB95" s="67" t="n">
        <f aca="false">AB94+AB93</f>
        <v>68031.9567877778</v>
      </c>
      <c r="AC95" s="67" t="n">
        <f aca="false">AC94+AC93</f>
        <v>69427.9407965278</v>
      </c>
      <c r="AD95" s="67" t="n">
        <f aca="false">AD94+AD93</f>
        <v>70837.8136941667</v>
      </c>
      <c r="AE95" s="67" t="n">
        <f aca="false">AE94+AE93</f>
        <v>72261.5754806944</v>
      </c>
      <c r="AF95" s="67" t="n">
        <f aca="false">AF94+AF93</f>
        <v>73699.2261561111</v>
      </c>
      <c r="AG95" s="67" t="n">
        <f aca="false">AG94+AG93</f>
        <v>75150.7657204167</v>
      </c>
      <c r="AH95" s="67" t="n">
        <f aca="false">AH94+AH93</f>
        <v>76616.1941736111</v>
      </c>
      <c r="AI95" s="67" t="n">
        <f aca="false">AI94+AI93</f>
        <v>78095.5115156944</v>
      </c>
      <c r="AJ95" s="67" t="n">
        <f aca="false">AJ94+AJ93</f>
        <v>79588.7177466667</v>
      </c>
      <c r="AK95" s="67" t="n">
        <f aca="false">AK94+AK93</f>
        <v>81095.8128665278</v>
      </c>
      <c r="AL95" s="67" t="n">
        <f aca="false">AL94+AL93</f>
        <v>82616.7968752778</v>
      </c>
      <c r="AM95" s="67" t="n">
        <f aca="false">AM94+AM93</f>
        <v>74929.9770804542</v>
      </c>
      <c r="AN95" s="67" t="n">
        <f aca="false">AN94+AN93</f>
        <v>76817.4933872444</v>
      </c>
      <c r="AO95" s="67" t="n">
        <f aca="false">AO94+AO93</f>
        <v>78718.8985829236</v>
      </c>
      <c r="AP95" s="67" t="n">
        <f aca="false">AP94+AP93</f>
        <v>80634.1926674917</v>
      </c>
      <c r="AQ95" s="67" t="n">
        <f aca="false">AQ94+AQ93</f>
        <v>82563.3756409486</v>
      </c>
      <c r="AR95" s="67" t="n">
        <f aca="false">AR94+AR93</f>
        <v>84506.4475032945</v>
      </c>
      <c r="AS95" s="67" t="n">
        <f aca="false">AS94+AS93</f>
        <v>86463.4082545292</v>
      </c>
      <c r="AT95" s="67" t="n">
        <f aca="false">AT94+AT93</f>
        <v>88434.2578946528</v>
      </c>
      <c r="AU95" s="67" t="n">
        <f aca="false">AU94+AU93</f>
        <v>90418.9964236653</v>
      </c>
      <c r="AV95" s="67" t="n">
        <f aca="false">AV94+AV93</f>
        <v>92417.6238415667</v>
      </c>
      <c r="AW95" s="67" t="n">
        <f aca="false">AW94+AW93</f>
        <v>94430.1401483569</v>
      </c>
      <c r="AX95" s="67" t="n">
        <f aca="false">AX94+AX93</f>
        <v>96456.5453440361</v>
      </c>
      <c r="AY95" s="67" t="n">
        <f aca="false">AY94+AY93</f>
        <v>89268.4959553678</v>
      </c>
      <c r="AZ95" s="67" t="n">
        <f aca="false">AZ94+AZ93</f>
        <v>91671.5960846951</v>
      </c>
      <c r="BA95" s="67" t="n">
        <f aca="false">BA94+BA93</f>
        <v>94088.5851029113</v>
      </c>
      <c r="BB95" s="67" t="n">
        <f aca="false">BB94+BB93</f>
        <v>96519.4630100164</v>
      </c>
      <c r="BC95" s="67" t="n">
        <f aca="false">BC94+BC93</f>
        <v>98964.2298060104</v>
      </c>
      <c r="BD95" s="67" t="n">
        <f aca="false">BD94+BD93</f>
        <v>101422.885490893</v>
      </c>
      <c r="BE95" s="67" t="n">
        <f aca="false">BE94+BE93</f>
        <v>103895.430064665</v>
      </c>
      <c r="BF95" s="67" t="n">
        <f aca="false">BF94+BF93</f>
        <v>106381.863527326</v>
      </c>
      <c r="BG95" s="67" t="n">
        <f aca="false">BG94+BG93</f>
        <v>108882.185878875</v>
      </c>
      <c r="BH95" s="67" t="n">
        <f aca="false">BH94+BH93</f>
        <v>111396.397119314</v>
      </c>
      <c r="BI95" s="67" t="n">
        <f aca="false">BI94+BI93</f>
        <v>113924.497248641</v>
      </c>
      <c r="BJ95" s="67" t="n">
        <f aca="false">BJ94+BJ93</f>
        <v>116466.486266857</v>
      </c>
    </row>
    <row r="96" customFormat="false" ht="15" hidden="false" customHeight="false" outlineLevel="0" collapsed="false">
      <c r="A96" s="114" t="s">
        <v>452</v>
      </c>
      <c r="C96" s="113" t="n">
        <f aca="false">IF(C52&gt;0,1,0)</f>
        <v>0</v>
      </c>
      <c r="D96" s="113" t="n">
        <f aca="false">IF(D52&gt;0,1,0)</f>
        <v>0</v>
      </c>
      <c r="E96" s="113" t="n">
        <f aca="false">IF(E52&gt;0,1,0)</f>
        <v>0</v>
      </c>
      <c r="F96" s="113" t="n">
        <f aca="false">IF(F52&gt;0,1,0)</f>
        <v>0</v>
      </c>
      <c r="G96" s="113" t="n">
        <f aca="false">IF(G52&gt;0,1,0)</f>
        <v>0</v>
      </c>
      <c r="H96" s="113" t="n">
        <f aca="false">IF(H52&gt;0,1,0)</f>
        <v>0</v>
      </c>
      <c r="I96" s="113" t="n">
        <f aca="false">IF(I52&gt;0,1,0)</f>
        <v>0</v>
      </c>
      <c r="J96" s="113" t="n">
        <f aca="false">IF(J52&gt;0,1,0)</f>
        <v>0</v>
      </c>
      <c r="K96" s="113" t="n">
        <f aca="false">IF(K52&gt;0,1,0)</f>
        <v>0</v>
      </c>
      <c r="L96" s="113" t="n">
        <f aca="false">IF(L52&gt;0,1,0)</f>
        <v>0</v>
      </c>
      <c r="M96" s="113" t="n">
        <f aca="false">IF(M52&gt;0,1,0)</f>
        <v>0</v>
      </c>
      <c r="N96" s="113" t="n">
        <f aca="false">IF(N52&gt;0,1,0)</f>
        <v>1</v>
      </c>
      <c r="O96" s="113" t="n">
        <f aca="false">IF(O52&gt;0,1,0)</f>
        <v>1</v>
      </c>
      <c r="P96" s="113" t="n">
        <f aca="false">IF(P52&gt;0,1,0)</f>
        <v>1</v>
      </c>
      <c r="Q96" s="113" t="n">
        <f aca="false">IF(Q52&gt;0,1,0)</f>
        <v>1</v>
      </c>
      <c r="R96" s="113" t="n">
        <f aca="false">IF(R52&gt;0,1,0)</f>
        <v>1</v>
      </c>
      <c r="S96" s="113" t="n">
        <f aca="false">IF(S52&gt;0,1,0)</f>
        <v>1</v>
      </c>
      <c r="T96" s="113" t="n">
        <f aca="false">IF(T52&gt;0,1,0)</f>
        <v>1</v>
      </c>
      <c r="U96" s="113" t="n">
        <f aca="false">IF(U52&gt;0,1,0)</f>
        <v>1</v>
      </c>
      <c r="V96" s="113" t="n">
        <f aca="false">IF(V52&gt;0,1,0)</f>
        <v>1</v>
      </c>
      <c r="W96" s="113" t="n">
        <f aca="false">IF(W52&gt;0,1,0)</f>
        <v>1</v>
      </c>
      <c r="X96" s="113" t="n">
        <f aca="false">IF(X52&gt;0,1,0)</f>
        <v>1</v>
      </c>
      <c r="Y96" s="113" t="n">
        <f aca="false">IF(Y52&gt;0,1,0)</f>
        <v>1</v>
      </c>
      <c r="Z96" s="113" t="n">
        <f aca="false">IF(Z52&gt;0,1,0)</f>
        <v>1</v>
      </c>
      <c r="AA96" s="113" t="n">
        <f aca="false">IF(AA52&gt;0,1,0)</f>
        <v>1</v>
      </c>
      <c r="AB96" s="113" t="n">
        <f aca="false">IF(AB52&gt;0,1,0)</f>
        <v>1</v>
      </c>
      <c r="AC96" s="113" t="n">
        <f aca="false">IF(AC52&gt;0,1,0)</f>
        <v>1</v>
      </c>
      <c r="AD96" s="113" t="n">
        <f aca="false">IF(AD52&gt;0,1,0)</f>
        <v>1</v>
      </c>
      <c r="AE96" s="113" t="n">
        <f aca="false">IF(AE52&gt;0,1,0)</f>
        <v>1</v>
      </c>
      <c r="AF96" s="113" t="n">
        <f aca="false">IF(AF52&gt;0,1,0)</f>
        <v>1</v>
      </c>
      <c r="AG96" s="113" t="n">
        <f aca="false">IF(AG52&gt;0,1,0)</f>
        <v>1</v>
      </c>
      <c r="AH96" s="113" t="n">
        <f aca="false">IF(AH52&gt;0,1,0)</f>
        <v>1</v>
      </c>
      <c r="AI96" s="113" t="n">
        <f aca="false">IF(AI52&gt;0,1,0)</f>
        <v>1</v>
      </c>
      <c r="AJ96" s="113" t="n">
        <f aca="false">IF(AJ52&gt;0,1,0)</f>
        <v>1</v>
      </c>
      <c r="AK96" s="113" t="n">
        <f aca="false">IF(AK52&gt;0,1,0)</f>
        <v>1</v>
      </c>
      <c r="AL96" s="113" t="n">
        <f aca="false">IF(AL52&gt;0,1,0)</f>
        <v>1</v>
      </c>
      <c r="AM96" s="113" t="n">
        <f aca="false">IF(AM52&gt;0,1,0)</f>
        <v>1</v>
      </c>
      <c r="AN96" s="113" t="n">
        <f aca="false">IF(AN52&gt;0,1,0)</f>
        <v>1</v>
      </c>
      <c r="AO96" s="113" t="n">
        <f aca="false">IF(AO52&gt;0,1,0)</f>
        <v>1</v>
      </c>
      <c r="AP96" s="113" t="n">
        <f aca="false">IF(AP52&gt;0,1,0)</f>
        <v>1</v>
      </c>
      <c r="AQ96" s="113" t="n">
        <f aca="false">IF(AQ52&gt;0,1,0)</f>
        <v>1</v>
      </c>
      <c r="AR96" s="113" t="n">
        <f aca="false">IF(AR52&gt;0,1,0)</f>
        <v>1</v>
      </c>
      <c r="AS96" s="113" t="n">
        <f aca="false">IF(AS52&gt;0,1,0)</f>
        <v>1</v>
      </c>
      <c r="AT96" s="113" t="n">
        <f aca="false">IF(AT52&gt;0,1,0)</f>
        <v>1</v>
      </c>
      <c r="AU96" s="113" t="n">
        <f aca="false">IF(AU52&gt;0,1,0)</f>
        <v>1</v>
      </c>
      <c r="AV96" s="113" t="n">
        <f aca="false">IF(AV52&gt;0,1,0)</f>
        <v>1</v>
      </c>
      <c r="AW96" s="113" t="n">
        <f aca="false">IF(AW52&gt;0,1,0)</f>
        <v>1</v>
      </c>
      <c r="AX96" s="113" t="n">
        <f aca="false">IF(AX52&gt;0,1,0)</f>
        <v>1</v>
      </c>
      <c r="AY96" s="113" t="n">
        <f aca="false">IF(AY52&gt;0,1,0)</f>
        <v>1</v>
      </c>
      <c r="AZ96" s="113" t="n">
        <f aca="false">IF(AZ52&gt;0,1,0)</f>
        <v>1</v>
      </c>
      <c r="BA96" s="113" t="n">
        <f aca="false">IF(BA52&gt;0,1,0)</f>
        <v>1</v>
      </c>
      <c r="BB96" s="113" t="n">
        <f aca="false">IF(BB52&gt;0,1,0)</f>
        <v>1</v>
      </c>
      <c r="BC96" s="113" t="n">
        <f aca="false">IF(BC52&gt;0,1,0)</f>
        <v>1</v>
      </c>
      <c r="BD96" s="113" t="n">
        <f aca="false">IF(BD52&gt;0,1,0)</f>
        <v>1</v>
      </c>
      <c r="BE96" s="113" t="n">
        <f aca="false">IF(BE52&gt;0,1,0)</f>
        <v>1</v>
      </c>
      <c r="BF96" s="113" t="n">
        <f aca="false">IF(BF52&gt;0,1,0)</f>
        <v>1</v>
      </c>
      <c r="BG96" s="113" t="n">
        <f aca="false">IF(BG52&gt;0,1,0)</f>
        <v>1</v>
      </c>
      <c r="BH96" s="113" t="n">
        <f aca="false">IF(BH52&gt;0,1,0)</f>
        <v>1</v>
      </c>
      <c r="BI96" s="113" t="n">
        <f aca="false">IF(BI52&gt;0,1,0)</f>
        <v>1</v>
      </c>
      <c r="BJ96" s="113" t="n">
        <f aca="false">IF(BJ52&gt;0,1,0)</f>
        <v>1</v>
      </c>
    </row>
    <row r="98" customFormat="false" ht="15.75" hidden="false" customHeight="true" outlineLevel="0" collapsed="false">
      <c r="A98" s="7" t="s">
        <v>453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customFormat="false" ht="15" hidden="false" customHeight="false" outlineLevel="0" collapsed="false">
      <c r="A99" s="114" t="s">
        <v>454</v>
      </c>
      <c r="C99" s="113" t="n">
        <f aca="false">IF(C61&gt;0,1,0)</f>
        <v>0</v>
      </c>
      <c r="D99" s="113" t="n">
        <f aca="false">IF(D61&gt;0,1,0)</f>
        <v>0</v>
      </c>
      <c r="E99" s="113" t="n">
        <f aca="false">IF(E61&gt;0,1,0)</f>
        <v>0</v>
      </c>
      <c r="F99" s="113" t="n">
        <f aca="false">IF(F61&gt;0,1,0)</f>
        <v>0</v>
      </c>
      <c r="G99" s="113" t="n">
        <f aca="false">IF(G61&gt;0,1,0)</f>
        <v>0</v>
      </c>
      <c r="H99" s="113" t="n">
        <f aca="false">IF(H61&gt;0,1,0)</f>
        <v>0</v>
      </c>
      <c r="I99" s="113" t="n">
        <f aca="false">IF(I61&gt;0,1,0)</f>
        <v>0</v>
      </c>
      <c r="J99" s="113" t="n">
        <f aca="false">IF(J61&gt;0,1,0)</f>
        <v>0</v>
      </c>
      <c r="K99" s="113" t="n">
        <f aca="false">IF(K61&gt;0,1,0)</f>
        <v>0</v>
      </c>
      <c r="L99" s="113" t="n">
        <f aca="false">IF(L61&gt;0,1,0)</f>
        <v>0</v>
      </c>
      <c r="M99" s="113" t="n">
        <f aca="false">IF(M61&gt;0,1,0)</f>
        <v>0</v>
      </c>
      <c r="N99" s="113" t="n">
        <f aca="false">IF(N61&gt;0,1,0)</f>
        <v>0</v>
      </c>
      <c r="O99" s="113" t="n">
        <f aca="false">IF(O61&gt;0,1,0)</f>
        <v>0</v>
      </c>
      <c r="P99" s="113" t="n">
        <f aca="false">IF(P61&gt;0,1,0)</f>
        <v>0</v>
      </c>
      <c r="Q99" s="113" t="n">
        <f aca="false">IF(Q61&gt;0,1,0)</f>
        <v>0</v>
      </c>
      <c r="R99" s="113" t="n">
        <f aca="false">IF(R61&gt;0,1,0)</f>
        <v>0</v>
      </c>
      <c r="S99" s="113" t="n">
        <f aca="false">IF(S61&gt;0,1,0)</f>
        <v>0</v>
      </c>
      <c r="T99" s="113" t="n">
        <f aca="false">IF(T61&gt;0,1,0)</f>
        <v>0</v>
      </c>
      <c r="U99" s="113" t="n">
        <f aca="false">IF(U61&gt;0,1,0)</f>
        <v>0</v>
      </c>
      <c r="V99" s="113" t="n">
        <f aca="false">IF(V61&gt;0,1,0)</f>
        <v>0</v>
      </c>
      <c r="W99" s="113" t="n">
        <f aca="false">IF(W61&gt;0,1,0)</f>
        <v>0</v>
      </c>
      <c r="X99" s="113" t="n">
        <f aca="false">IF(X61&gt;0,1,0)</f>
        <v>0</v>
      </c>
      <c r="Y99" s="113" t="n">
        <f aca="false">IF(Y61&gt;0,1,0)</f>
        <v>0</v>
      </c>
      <c r="Z99" s="113" t="n">
        <f aca="false">IF(Z61&gt;0,1,0)</f>
        <v>0</v>
      </c>
      <c r="AA99" s="113" t="n">
        <f aca="false">IF(AA61&gt;0,1,0)</f>
        <v>0</v>
      </c>
      <c r="AB99" s="113" t="n">
        <f aca="false">IF(AB61&gt;0,1,0)</f>
        <v>0</v>
      </c>
      <c r="AC99" s="113" t="n">
        <f aca="false">IF(AC61&gt;0,1,0)</f>
        <v>0</v>
      </c>
      <c r="AD99" s="113" t="n">
        <f aca="false">IF(AD61&gt;0,1,0)</f>
        <v>0</v>
      </c>
      <c r="AE99" s="113" t="n">
        <f aca="false">IF(AE61&gt;0,1,0)</f>
        <v>0</v>
      </c>
      <c r="AF99" s="113" t="n">
        <f aca="false">IF(AF61&gt;0,1,0)</f>
        <v>0</v>
      </c>
      <c r="AG99" s="113" t="n">
        <f aca="false">IF(AG61&gt;0,1,0)</f>
        <v>0</v>
      </c>
      <c r="AH99" s="113" t="n">
        <f aca="false">IF(AH61&gt;0,1,0)</f>
        <v>0</v>
      </c>
      <c r="AI99" s="113" t="n">
        <f aca="false">IF(AI61&gt;0,1,0)</f>
        <v>0</v>
      </c>
      <c r="AJ99" s="113" t="n">
        <f aca="false">IF(AJ61&gt;0,1,0)</f>
        <v>0</v>
      </c>
      <c r="AK99" s="113" t="n">
        <f aca="false">IF(AK61&gt;0,1,0)</f>
        <v>0</v>
      </c>
      <c r="AL99" s="113" t="n">
        <f aca="false">IF(AL61&gt;0,1,0)</f>
        <v>0</v>
      </c>
      <c r="AM99" s="113" t="n">
        <f aca="false">IF(AM61&gt;0,1,0)</f>
        <v>1</v>
      </c>
      <c r="AN99" s="113" t="n">
        <f aca="false">IF(AN61&gt;0,1,0)</f>
        <v>1</v>
      </c>
      <c r="AO99" s="113" t="n">
        <f aca="false">IF(AO61&gt;0,1,0)</f>
        <v>1</v>
      </c>
      <c r="AP99" s="113" t="n">
        <f aca="false">IF(AP61&gt;0,1,0)</f>
        <v>1</v>
      </c>
      <c r="AQ99" s="113" t="n">
        <f aca="false">IF(AQ61&gt;0,1,0)</f>
        <v>1</v>
      </c>
      <c r="AR99" s="113" t="n">
        <f aca="false">IF(AR61&gt;0,1,0)</f>
        <v>1</v>
      </c>
      <c r="AS99" s="113" t="n">
        <f aca="false">IF(AS61&gt;0,1,0)</f>
        <v>1</v>
      </c>
      <c r="AT99" s="113" t="n">
        <f aca="false">IF(AT61&gt;0,1,0)</f>
        <v>1</v>
      </c>
      <c r="AU99" s="113" t="n">
        <f aca="false">IF(AU61&gt;0,1,0)</f>
        <v>1</v>
      </c>
      <c r="AV99" s="113" t="n">
        <f aca="false">IF(AV61&gt;0,1,0)</f>
        <v>1</v>
      </c>
      <c r="AW99" s="113" t="n">
        <f aca="false">IF(AW61&gt;0,1,0)</f>
        <v>1</v>
      </c>
      <c r="AX99" s="113" t="n">
        <f aca="false">IF(AX61&gt;0,1,0)</f>
        <v>1</v>
      </c>
      <c r="AY99" s="113" t="n">
        <f aca="false">IF(AY61&gt;0,1,0)</f>
        <v>1</v>
      </c>
      <c r="AZ99" s="113" t="n">
        <f aca="false">IF(AZ61&gt;0,1,0)</f>
        <v>1</v>
      </c>
      <c r="BA99" s="113" t="n">
        <f aca="false">IF(BA61&gt;0,1,0)</f>
        <v>1</v>
      </c>
      <c r="BB99" s="113" t="n">
        <f aca="false">IF(BB61&gt;0,1,0)</f>
        <v>1</v>
      </c>
      <c r="BC99" s="113" t="n">
        <f aca="false">IF(BC61&gt;0,1,0)</f>
        <v>1</v>
      </c>
      <c r="BD99" s="113" t="n">
        <f aca="false">IF(BD61&gt;0,1,0)</f>
        <v>1</v>
      </c>
      <c r="BE99" s="113" t="n">
        <f aca="false">IF(BE61&gt;0,1,0)</f>
        <v>1</v>
      </c>
      <c r="BF99" s="113" t="n">
        <f aca="false">IF(BF61&gt;0,1,0)</f>
        <v>1</v>
      </c>
      <c r="BG99" s="113" t="n">
        <f aca="false">IF(BG61&gt;0,1,0)</f>
        <v>1</v>
      </c>
      <c r="BH99" s="113" t="n">
        <f aca="false">IF(BH61&gt;0,1,0)</f>
        <v>1</v>
      </c>
      <c r="BI99" s="113" t="n">
        <f aca="false">IF(BI61&gt;0,1,0)</f>
        <v>1</v>
      </c>
      <c r="BJ99" s="113" t="n">
        <f aca="false">IF(BJ61&gt;0,1,0)</f>
        <v>1</v>
      </c>
    </row>
    <row r="100" customFormat="false" ht="15" hidden="false" customHeight="false" outlineLevel="0" collapsed="false">
      <c r="A100" s="6" t="s">
        <v>455</v>
      </c>
      <c r="C100" s="66" t="n">
        <f aca="false">C89+C90</f>
        <v>-465923.316666667</v>
      </c>
      <c r="D100" s="66" t="n">
        <f aca="false">D89+D90</f>
        <v>-18575.8753472222</v>
      </c>
      <c r="E100" s="66" t="n">
        <f aca="false">E89+E90</f>
        <v>-21582.4166666667</v>
      </c>
      <c r="F100" s="66" t="n">
        <f aca="false">F89+F90</f>
        <v>-20361.5413194444</v>
      </c>
      <c r="G100" s="66" t="n">
        <f aca="false">G89+G90</f>
        <v>-17049.9993055556</v>
      </c>
      <c r="H100" s="66" t="n">
        <f aca="false">H89+H90</f>
        <v>-13738.4572916667</v>
      </c>
      <c r="I100" s="66" t="n">
        <f aca="false">I89+I90</f>
        <v>-10426.9152777778</v>
      </c>
      <c r="J100" s="66" t="n">
        <f aca="false">J89+J90</f>
        <v>-9990.03993055557</v>
      </c>
      <c r="K100" s="66" t="n">
        <f aca="false">K89+K90</f>
        <v>-10598.4979166667</v>
      </c>
      <c r="L100" s="66" t="n">
        <f aca="false">L89+L90</f>
        <v>-8332.28923611111</v>
      </c>
      <c r="M100" s="66" t="n">
        <f aca="false">M89+M90</f>
        <v>-5020.74722222222</v>
      </c>
      <c r="N100" s="66" t="n">
        <f aca="false">N89+N90</f>
        <v>-1709.20520833333</v>
      </c>
      <c r="O100" s="66" t="n">
        <f aca="false">O89+O90</f>
        <v>-7598.34231944445</v>
      </c>
      <c r="P100" s="66" t="n">
        <f aca="false">P89+P90</f>
        <v>3187.46140277778</v>
      </c>
      <c r="Q100" s="66" t="n">
        <f aca="false">Q89+Q90</f>
        <v>2983.76279166666</v>
      </c>
      <c r="R100" s="66" t="n">
        <f aca="false">R89+R90</f>
        <v>2997.65168055555</v>
      </c>
      <c r="S100" s="66" t="n">
        <f aca="false">S89+S90</f>
        <v>3011.54056944444</v>
      </c>
      <c r="T100" s="66" t="n">
        <f aca="false">T89+T90</f>
        <v>3025.42945833333</v>
      </c>
      <c r="U100" s="66" t="n">
        <f aca="false">U89+U90</f>
        <v>3039.31834722222</v>
      </c>
      <c r="V100" s="66" t="n">
        <f aca="false">V89+V90</f>
        <v>3053.20723611111</v>
      </c>
      <c r="W100" s="66" t="n">
        <f aca="false">W89+W90</f>
        <v>3067.096125</v>
      </c>
      <c r="X100" s="66" t="n">
        <f aca="false">X89+X90</f>
        <v>3080.98501388889</v>
      </c>
      <c r="Y100" s="66" t="n">
        <f aca="false">Y89+Y90</f>
        <v>3094.87390277777</v>
      </c>
      <c r="Z100" s="66" t="n">
        <f aca="false">Z89+Z90</f>
        <v>3108.76279166666</v>
      </c>
      <c r="AA100" s="66" t="n">
        <f aca="false">AA89+AA90</f>
        <v>-6092.58394319445</v>
      </c>
      <c r="AB100" s="66" t="n">
        <f aca="false">AB89+AB90</f>
        <v>3465.42845319444</v>
      </c>
      <c r="AC100" s="66" t="n">
        <f aca="false">AC89+AC90</f>
        <v>3479.31734208333</v>
      </c>
      <c r="AD100" s="66" t="n">
        <f aca="false">AD89+AD90</f>
        <v>3493.20623097222</v>
      </c>
      <c r="AE100" s="66" t="n">
        <f aca="false">AE89+AE90</f>
        <v>3507.09511986111</v>
      </c>
      <c r="AF100" s="66" t="n">
        <f aca="false">AF89+AF90</f>
        <v>3520.98400875</v>
      </c>
      <c r="AG100" s="66" t="n">
        <f aca="false">AG89+AG90</f>
        <v>3534.87289763889</v>
      </c>
      <c r="AH100" s="66" t="n">
        <f aca="false">AH89+AH90</f>
        <v>3548.76178652778</v>
      </c>
      <c r="AI100" s="66" t="n">
        <f aca="false">AI89+AI90</f>
        <v>3562.65067541667</v>
      </c>
      <c r="AJ100" s="66" t="n">
        <f aca="false">AJ89+AJ90</f>
        <v>3576.53956430555</v>
      </c>
      <c r="AK100" s="66" t="n">
        <f aca="false">AK89+AK90</f>
        <v>3590.42845319444</v>
      </c>
      <c r="AL100" s="66" t="n">
        <f aca="false">AL89+AL90</f>
        <v>3604.31734208333</v>
      </c>
      <c r="AM100" s="66" t="n">
        <f aca="false">AM89+AM90</f>
        <v>-5603.48646149027</v>
      </c>
      <c r="AN100" s="66" t="n">
        <f aca="false">AN89+AN90</f>
        <v>3970.84964012361</v>
      </c>
      <c r="AO100" s="66" t="n">
        <f aca="false">AO89+AO90</f>
        <v>3984.7385290125</v>
      </c>
      <c r="AP100" s="66" t="n">
        <f aca="false">AP89+AP90</f>
        <v>3998.62741790139</v>
      </c>
      <c r="AQ100" s="66" t="n">
        <f aca="false">AQ89+AQ90</f>
        <v>4012.51630679028</v>
      </c>
      <c r="AR100" s="66" t="n">
        <f aca="false">AR89+AR90</f>
        <v>4026.40519567917</v>
      </c>
      <c r="AS100" s="66" t="n">
        <f aca="false">AS89+AS90</f>
        <v>4040.29408456806</v>
      </c>
      <c r="AT100" s="66" t="n">
        <f aca="false">AT89+AT90</f>
        <v>4054.18297345694</v>
      </c>
      <c r="AU100" s="66" t="n">
        <f aca="false">AU89+AU90</f>
        <v>4068.07186234583</v>
      </c>
      <c r="AV100" s="66" t="n">
        <f aca="false">AV89+AV90</f>
        <v>4081.96075123472</v>
      </c>
      <c r="AW100" s="66" t="n">
        <f aca="false">AW89+AW90</f>
        <v>4095.84964012361</v>
      </c>
      <c r="AX100" s="66" t="n">
        <f aca="false">AX89+AX90</f>
        <v>4109.7385290125</v>
      </c>
      <c r="AY100" s="66" t="n">
        <f aca="false">AY89+AY90</f>
        <v>-5104.71605533499</v>
      </c>
      <c r="AZ100" s="66" t="n">
        <f aca="false">AZ89+AZ90</f>
        <v>4486.43346266065</v>
      </c>
      <c r="BA100" s="66" t="n">
        <f aca="false">BA89+BA90</f>
        <v>4500.32235154954</v>
      </c>
      <c r="BB100" s="66" t="n">
        <f aca="false">BB89+BB90</f>
        <v>4514.21124043843</v>
      </c>
      <c r="BC100" s="66" t="n">
        <f aca="false">BC89+BC90</f>
        <v>4528.10012932732</v>
      </c>
      <c r="BD100" s="66" t="n">
        <f aca="false">BD89+BD90</f>
        <v>4541.98901821621</v>
      </c>
      <c r="BE100" s="66" t="n">
        <f aca="false">BE89+BE90</f>
        <v>4555.87790710509</v>
      </c>
      <c r="BF100" s="66" t="n">
        <f aca="false">BF89+BF90</f>
        <v>4569.76679599398</v>
      </c>
      <c r="BG100" s="66" t="n">
        <f aca="false">BG89+BG90</f>
        <v>4583.65568488287</v>
      </c>
      <c r="BH100" s="66" t="n">
        <f aca="false">BH89+BH90</f>
        <v>4597.54457377176</v>
      </c>
      <c r="BI100" s="66" t="n">
        <f aca="false">BI89+BI90</f>
        <v>4611.43346266065</v>
      </c>
      <c r="BJ100" s="66" t="n">
        <f aca="false">BJ89+BJ90</f>
        <v>4625.32235154954</v>
      </c>
    </row>
    <row r="101" customFormat="false" ht="15" hidden="false" customHeight="false" outlineLevel="0" collapsed="false">
      <c r="A101" s="6" t="s">
        <v>456</v>
      </c>
      <c r="C101" s="66" t="n">
        <f aca="false">C100</f>
        <v>-465923.316666667</v>
      </c>
      <c r="D101" s="66" t="n">
        <f aca="false">C101+D100</f>
        <v>-484499.192013889</v>
      </c>
      <c r="E101" s="66" t="n">
        <f aca="false">D101+E100</f>
        <v>-506081.608680556</v>
      </c>
      <c r="F101" s="66" t="n">
        <f aca="false">E101+F100</f>
        <v>-526443.15</v>
      </c>
      <c r="G101" s="66" t="n">
        <f aca="false">F101+G100</f>
        <v>-543493.149305556</v>
      </c>
      <c r="H101" s="66" t="n">
        <f aca="false">G101+H100</f>
        <v>-557231.606597222</v>
      </c>
      <c r="I101" s="66" t="n">
        <f aca="false">H101+I100</f>
        <v>-567658.521875</v>
      </c>
      <c r="J101" s="66" t="n">
        <f aca="false">I101+J100</f>
        <v>-577648.561805556</v>
      </c>
      <c r="K101" s="66" t="n">
        <f aca="false">J101+K100</f>
        <v>-588247.059722222</v>
      </c>
      <c r="L101" s="66" t="n">
        <f aca="false">K101+L100</f>
        <v>-596579.348958334</v>
      </c>
      <c r="M101" s="66" t="n">
        <f aca="false">L101+M100</f>
        <v>-601600.096180556</v>
      </c>
      <c r="N101" s="66" t="n">
        <f aca="false">M101+N100</f>
        <v>-603309.301388889</v>
      </c>
      <c r="O101" s="66" t="n">
        <f aca="false">N101+O100</f>
        <v>-610907.643708334</v>
      </c>
      <c r="P101" s="66" t="n">
        <f aca="false">O101+P100</f>
        <v>-607720.182305556</v>
      </c>
      <c r="Q101" s="66" t="n">
        <f aca="false">P101+Q100</f>
        <v>-604736.419513889</v>
      </c>
      <c r="R101" s="66" t="n">
        <f aca="false">Q101+R100</f>
        <v>-601738.767833334</v>
      </c>
      <c r="S101" s="66" t="n">
        <f aca="false">R101+S100</f>
        <v>-598727.227263889</v>
      </c>
      <c r="T101" s="66" t="n">
        <f aca="false">S101+T100</f>
        <v>-595701.797805556</v>
      </c>
      <c r="U101" s="66" t="n">
        <f aca="false">T101+U100</f>
        <v>-592662.479458334</v>
      </c>
      <c r="V101" s="66" t="n">
        <f aca="false">U101+V100</f>
        <v>-589609.272222222</v>
      </c>
      <c r="W101" s="66" t="n">
        <f aca="false">V101+W100</f>
        <v>-586542.176097222</v>
      </c>
      <c r="X101" s="66" t="n">
        <f aca="false">W101+X100</f>
        <v>-583461.191083334</v>
      </c>
      <c r="Y101" s="66" t="n">
        <f aca="false">X101+Y100</f>
        <v>-580366.317180556</v>
      </c>
      <c r="Z101" s="66" t="n">
        <f aca="false">Y101+Z100</f>
        <v>-577257.554388889</v>
      </c>
      <c r="AA101" s="66" t="n">
        <f aca="false">Z101+AA100</f>
        <v>-583350.138332084</v>
      </c>
      <c r="AB101" s="66" t="n">
        <f aca="false">AA101+AB100</f>
        <v>-579884.709878889</v>
      </c>
      <c r="AC101" s="66" t="n">
        <f aca="false">AB101+AC100</f>
        <v>-576405.392536806</v>
      </c>
      <c r="AD101" s="66" t="n">
        <f aca="false">AC101+AD100</f>
        <v>-572912.186305834</v>
      </c>
      <c r="AE101" s="66" t="n">
        <f aca="false">AD101+AE100</f>
        <v>-569405.091185972</v>
      </c>
      <c r="AF101" s="66" t="n">
        <f aca="false">AE101+AF100</f>
        <v>-565884.107177223</v>
      </c>
      <c r="AG101" s="66" t="n">
        <f aca="false">AF101+AG100</f>
        <v>-562349.234279584</v>
      </c>
      <c r="AH101" s="66" t="n">
        <f aca="false">AG101+AH100</f>
        <v>-558800.472493056</v>
      </c>
      <c r="AI101" s="66" t="n">
        <f aca="false">AH101+AI100</f>
        <v>-555237.821817639</v>
      </c>
      <c r="AJ101" s="66" t="n">
        <f aca="false">AI101+AJ100</f>
        <v>-551661.282253334</v>
      </c>
      <c r="AK101" s="66" t="n">
        <f aca="false">AJ101+AK100</f>
        <v>-548070.853800139</v>
      </c>
      <c r="AL101" s="66" t="n">
        <f aca="false">AK101+AL100</f>
        <v>-544466.536458056</v>
      </c>
      <c r="AM101" s="66" t="n">
        <f aca="false">AL101+AM100</f>
        <v>-550070.022919546</v>
      </c>
      <c r="AN101" s="66" t="n">
        <f aca="false">AM101+AN100</f>
        <v>-546099.173279422</v>
      </c>
      <c r="AO101" s="66" t="n">
        <f aca="false">AN101+AO100</f>
        <v>-542114.43475041</v>
      </c>
      <c r="AP101" s="66" t="n">
        <f aca="false">AO101+AP100</f>
        <v>-538115.807332508</v>
      </c>
      <c r="AQ101" s="66" t="n">
        <f aca="false">AP101+AQ100</f>
        <v>-534103.291025718</v>
      </c>
      <c r="AR101" s="66" t="n">
        <f aca="false">AQ101+AR100</f>
        <v>-530076.885830039</v>
      </c>
      <c r="AS101" s="66" t="n">
        <f aca="false">AR101+AS100</f>
        <v>-526036.591745471</v>
      </c>
      <c r="AT101" s="66" t="n">
        <f aca="false">AS101+AT100</f>
        <v>-521982.408772014</v>
      </c>
      <c r="AU101" s="66" t="n">
        <f aca="false">AT101+AU100</f>
        <v>-517914.336909668</v>
      </c>
      <c r="AV101" s="66" t="n">
        <f aca="false">AU101+AV100</f>
        <v>-513832.376158433</v>
      </c>
      <c r="AW101" s="66" t="n">
        <f aca="false">AV101+AW100</f>
        <v>-509736.52651831</v>
      </c>
      <c r="AX101" s="66" t="n">
        <f aca="false">AW101+AX100</f>
        <v>-505626.787989297</v>
      </c>
      <c r="AY101" s="66" t="n">
        <f aca="false">AX101+AY100</f>
        <v>-510731.504044632</v>
      </c>
      <c r="AZ101" s="66" t="n">
        <f aca="false">AY101+AZ100</f>
        <v>-506245.070581972</v>
      </c>
      <c r="BA101" s="66" t="n">
        <f aca="false">AZ101+BA100</f>
        <v>-501744.748230422</v>
      </c>
      <c r="BB101" s="66" t="n">
        <f aca="false">BA101+BB100</f>
        <v>-497230.536989984</v>
      </c>
      <c r="BC101" s="66" t="n">
        <f aca="false">BB101+BC100</f>
        <v>-492702.436860656</v>
      </c>
      <c r="BD101" s="66" t="n">
        <f aca="false">BC101+BD100</f>
        <v>-488160.44784244</v>
      </c>
      <c r="BE101" s="66" t="n">
        <f aca="false">BD101+BE100</f>
        <v>-483604.569935335</v>
      </c>
      <c r="BF101" s="66" t="n">
        <f aca="false">BE101+BF100</f>
        <v>-479034.803139341</v>
      </c>
      <c r="BG101" s="66" t="n">
        <f aca="false">BF101+BG100</f>
        <v>-474451.147454458</v>
      </c>
      <c r="BH101" s="66" t="n">
        <f aca="false">BG101+BH100</f>
        <v>-469853.602880686</v>
      </c>
      <c r="BI101" s="66" t="n">
        <f aca="false">BH101+BI100</f>
        <v>-465242.169418026</v>
      </c>
      <c r="BJ101" s="66" t="n">
        <f aca="false">BI101+BJ100</f>
        <v>-460616.847066476</v>
      </c>
    </row>
    <row r="102" customFormat="false" ht="15" hidden="false" customHeight="false" outlineLevel="0" collapsed="false">
      <c r="A102" s="114" t="s">
        <v>457</v>
      </c>
      <c r="C102" s="66" t="n">
        <f aca="false">C101</f>
        <v>-465923.316666667</v>
      </c>
      <c r="D102" s="66" t="n">
        <f aca="false">MIN(C102,D101)</f>
        <v>-484499.192013889</v>
      </c>
      <c r="E102" s="66" t="n">
        <f aca="false">MIN(D102,E101)</f>
        <v>-506081.608680556</v>
      </c>
      <c r="F102" s="66" t="n">
        <f aca="false">MIN(E102,F101)</f>
        <v>-526443.15</v>
      </c>
      <c r="G102" s="66" t="n">
        <f aca="false">MIN(F102,G101)</f>
        <v>-543493.149305556</v>
      </c>
      <c r="H102" s="66" t="n">
        <f aca="false">MIN(G102,H101)</f>
        <v>-557231.606597222</v>
      </c>
      <c r="I102" s="66" t="n">
        <f aca="false">MIN(H102,I101)</f>
        <v>-567658.521875</v>
      </c>
      <c r="J102" s="66" t="n">
        <f aca="false">MIN(I102,J101)</f>
        <v>-577648.561805556</v>
      </c>
      <c r="K102" s="66" t="n">
        <f aca="false">MIN(J102,K101)</f>
        <v>-588247.059722222</v>
      </c>
      <c r="L102" s="66" t="n">
        <f aca="false">MIN(K102,L101)</f>
        <v>-596579.348958334</v>
      </c>
      <c r="M102" s="66" t="n">
        <f aca="false">MIN(L102,M101)</f>
        <v>-601600.096180556</v>
      </c>
      <c r="N102" s="66" t="n">
        <f aca="false">MIN(M102,N101)</f>
        <v>-603309.301388889</v>
      </c>
      <c r="O102" s="66" t="n">
        <f aca="false">MIN(N102,O101)</f>
        <v>-610907.643708334</v>
      </c>
      <c r="P102" s="66" t="n">
        <f aca="false">MIN(O102,P101)</f>
        <v>-610907.643708334</v>
      </c>
      <c r="Q102" s="66" t="n">
        <f aca="false">MIN(P102,Q101)</f>
        <v>-610907.643708334</v>
      </c>
      <c r="R102" s="66" t="n">
        <f aca="false">MIN(Q102,R101)</f>
        <v>-610907.643708334</v>
      </c>
      <c r="S102" s="66" t="n">
        <f aca="false">MIN(R102,S101)</f>
        <v>-610907.643708334</v>
      </c>
      <c r="T102" s="66" t="n">
        <f aca="false">MIN(S102,T101)</f>
        <v>-610907.643708334</v>
      </c>
      <c r="U102" s="66" t="n">
        <f aca="false">MIN(T102,U101)</f>
        <v>-610907.643708334</v>
      </c>
      <c r="V102" s="66" t="n">
        <f aca="false">MIN(U102,V101)</f>
        <v>-610907.643708334</v>
      </c>
      <c r="W102" s="66" t="n">
        <f aca="false">MIN(V102,W101)</f>
        <v>-610907.643708334</v>
      </c>
      <c r="X102" s="66" t="n">
        <f aca="false">MIN(W102,X101)</f>
        <v>-610907.643708334</v>
      </c>
      <c r="Y102" s="66" t="n">
        <f aca="false">MIN(X102,Y101)</f>
        <v>-610907.643708334</v>
      </c>
      <c r="Z102" s="66" t="n">
        <f aca="false">MIN(Y102,Z101)</f>
        <v>-610907.643708334</v>
      </c>
      <c r="AA102" s="66" t="n">
        <f aca="false">MIN(Z102,AA101)</f>
        <v>-610907.643708334</v>
      </c>
      <c r="AB102" s="66" t="n">
        <f aca="false">MIN(AA102,AB101)</f>
        <v>-610907.643708334</v>
      </c>
      <c r="AC102" s="66" t="n">
        <f aca="false">MIN(AB102,AC101)</f>
        <v>-610907.643708334</v>
      </c>
      <c r="AD102" s="66" t="n">
        <f aca="false">MIN(AC102,AD101)</f>
        <v>-610907.643708334</v>
      </c>
      <c r="AE102" s="66" t="n">
        <f aca="false">MIN(AD102,AE101)</f>
        <v>-610907.643708334</v>
      </c>
      <c r="AF102" s="66" t="n">
        <f aca="false">MIN(AE102,AF101)</f>
        <v>-610907.643708334</v>
      </c>
      <c r="AG102" s="66" t="n">
        <f aca="false">MIN(AF102,AG101)</f>
        <v>-610907.643708334</v>
      </c>
      <c r="AH102" s="66" t="n">
        <f aca="false">MIN(AG102,AH101)</f>
        <v>-610907.643708334</v>
      </c>
      <c r="AI102" s="66" t="n">
        <f aca="false">MIN(AH102,AI101)</f>
        <v>-610907.643708334</v>
      </c>
      <c r="AJ102" s="66" t="n">
        <f aca="false">MIN(AI102,AJ101)</f>
        <v>-610907.643708334</v>
      </c>
      <c r="AK102" s="66" t="n">
        <f aca="false">MIN(AJ102,AK101)</f>
        <v>-610907.643708334</v>
      </c>
      <c r="AL102" s="66" t="n">
        <f aca="false">MIN(AK102,AL101)</f>
        <v>-610907.643708334</v>
      </c>
      <c r="AM102" s="66" t="n">
        <f aca="false">MIN(AL102,AM101)</f>
        <v>-610907.643708334</v>
      </c>
      <c r="AN102" s="66" t="n">
        <f aca="false">MIN(AM102,AN101)</f>
        <v>-610907.643708334</v>
      </c>
      <c r="AO102" s="66" t="n">
        <f aca="false">MIN(AN102,AO101)</f>
        <v>-610907.643708334</v>
      </c>
      <c r="AP102" s="66" t="n">
        <f aca="false">MIN(AO102,AP101)</f>
        <v>-610907.643708334</v>
      </c>
      <c r="AQ102" s="66" t="n">
        <f aca="false">MIN(AP102,AQ101)</f>
        <v>-610907.643708334</v>
      </c>
      <c r="AR102" s="66" t="n">
        <f aca="false">MIN(AQ102,AR101)</f>
        <v>-610907.643708334</v>
      </c>
      <c r="AS102" s="66" t="n">
        <f aca="false">MIN(AR102,AS101)</f>
        <v>-610907.643708334</v>
      </c>
      <c r="AT102" s="66" t="n">
        <f aca="false">MIN(AS102,AT101)</f>
        <v>-610907.643708334</v>
      </c>
      <c r="AU102" s="66" t="n">
        <f aca="false">MIN(AT102,AU101)</f>
        <v>-610907.643708334</v>
      </c>
      <c r="AV102" s="66" t="n">
        <f aca="false">MIN(AU102,AV101)</f>
        <v>-610907.643708334</v>
      </c>
      <c r="AW102" s="66" t="n">
        <f aca="false">MIN(AV102,AW101)</f>
        <v>-610907.643708334</v>
      </c>
      <c r="AX102" s="66" t="n">
        <f aca="false">MIN(AW102,AX101)</f>
        <v>-610907.643708334</v>
      </c>
      <c r="AY102" s="66" t="n">
        <f aca="false">MIN(AX102,AY101)</f>
        <v>-610907.643708334</v>
      </c>
      <c r="AZ102" s="66" t="n">
        <f aca="false">MIN(AY102,AZ101)</f>
        <v>-610907.643708334</v>
      </c>
      <c r="BA102" s="66" t="n">
        <f aca="false">MIN(AZ102,BA101)</f>
        <v>-610907.643708334</v>
      </c>
      <c r="BB102" s="66" t="n">
        <f aca="false">MIN(BA102,BB101)</f>
        <v>-610907.643708334</v>
      </c>
      <c r="BC102" s="66" t="n">
        <f aca="false">MIN(BB102,BC101)</f>
        <v>-610907.643708334</v>
      </c>
      <c r="BD102" s="66" t="n">
        <f aca="false">MIN(BC102,BD101)</f>
        <v>-610907.643708334</v>
      </c>
      <c r="BE102" s="66" t="n">
        <f aca="false">MIN(BD102,BE101)</f>
        <v>-610907.643708334</v>
      </c>
      <c r="BF102" s="66" t="n">
        <f aca="false">MIN(BE102,BF101)</f>
        <v>-610907.643708334</v>
      </c>
      <c r="BG102" s="66" t="n">
        <f aca="false">MIN(BF102,BG101)</f>
        <v>-610907.643708334</v>
      </c>
      <c r="BH102" s="66" t="n">
        <f aca="false">MIN(BG102,BH101)</f>
        <v>-610907.643708334</v>
      </c>
      <c r="BI102" s="66" t="n">
        <f aca="false">MIN(BH102,BI101)</f>
        <v>-610907.643708334</v>
      </c>
      <c r="BJ102" s="66" t="n">
        <f aca="false">MIN(BI102,BJ101)</f>
        <v>-610907.643708334</v>
      </c>
    </row>
    <row r="103" customFormat="false" ht="15" hidden="false" customHeight="false" outlineLevel="0" collapsed="false">
      <c r="A103" s="114" t="s">
        <v>458</v>
      </c>
      <c r="C103" s="113" t="n">
        <f aca="false">IF(AND(C101&gt;=0,C102&lt;0),1,0)</f>
        <v>0</v>
      </c>
      <c r="D103" s="113" t="n">
        <f aca="false">IF(AND(D101&gt;=0,D102&lt;0),1,0)</f>
        <v>0</v>
      </c>
      <c r="E103" s="113" t="n">
        <f aca="false">IF(AND(E101&gt;=0,E102&lt;0),1,0)</f>
        <v>0</v>
      </c>
      <c r="F103" s="113" t="n">
        <f aca="false">IF(AND(F101&gt;=0,F102&lt;0),1,0)</f>
        <v>0</v>
      </c>
      <c r="G103" s="113" t="n">
        <f aca="false">IF(AND(G101&gt;=0,G102&lt;0),1,0)</f>
        <v>0</v>
      </c>
      <c r="H103" s="113" t="n">
        <f aca="false">IF(AND(H101&gt;=0,H102&lt;0),1,0)</f>
        <v>0</v>
      </c>
      <c r="I103" s="113" t="n">
        <f aca="false">IF(AND(I101&gt;=0,I102&lt;0),1,0)</f>
        <v>0</v>
      </c>
      <c r="J103" s="113" t="n">
        <f aca="false">IF(AND(J101&gt;=0,J102&lt;0),1,0)</f>
        <v>0</v>
      </c>
      <c r="K103" s="113" t="n">
        <f aca="false">IF(AND(K101&gt;=0,K102&lt;0),1,0)</f>
        <v>0</v>
      </c>
      <c r="L103" s="113" t="n">
        <f aca="false">IF(AND(L101&gt;=0,L102&lt;0),1,0)</f>
        <v>0</v>
      </c>
      <c r="M103" s="113" t="n">
        <f aca="false">IF(AND(M101&gt;=0,M102&lt;0),1,0)</f>
        <v>0</v>
      </c>
      <c r="N103" s="113" t="n">
        <f aca="false">IF(AND(N101&gt;=0,N102&lt;0),1,0)</f>
        <v>0</v>
      </c>
      <c r="O103" s="113" t="n">
        <f aca="false">IF(AND(O101&gt;=0,O102&lt;0),1,0)</f>
        <v>0</v>
      </c>
      <c r="P103" s="113" t="n">
        <f aca="false">IF(AND(P101&gt;=0,P102&lt;0),1,0)</f>
        <v>0</v>
      </c>
      <c r="Q103" s="113" t="n">
        <f aca="false">IF(AND(Q101&gt;=0,Q102&lt;0),1,0)</f>
        <v>0</v>
      </c>
      <c r="R103" s="113" t="n">
        <f aca="false">IF(AND(R101&gt;=0,R102&lt;0),1,0)</f>
        <v>0</v>
      </c>
      <c r="S103" s="113" t="n">
        <f aca="false">IF(AND(S101&gt;=0,S102&lt;0),1,0)</f>
        <v>0</v>
      </c>
      <c r="T103" s="113" t="n">
        <f aca="false">IF(AND(T101&gt;=0,T102&lt;0),1,0)</f>
        <v>0</v>
      </c>
      <c r="U103" s="113" t="n">
        <f aca="false">IF(AND(U101&gt;=0,U102&lt;0),1,0)</f>
        <v>0</v>
      </c>
      <c r="V103" s="113" t="n">
        <f aca="false">IF(AND(V101&gt;=0,V102&lt;0),1,0)</f>
        <v>0</v>
      </c>
      <c r="W103" s="113" t="n">
        <f aca="false">IF(AND(W101&gt;=0,W102&lt;0),1,0)</f>
        <v>0</v>
      </c>
      <c r="X103" s="113" t="n">
        <f aca="false">IF(AND(X101&gt;=0,X102&lt;0),1,0)</f>
        <v>0</v>
      </c>
      <c r="Y103" s="113" t="n">
        <f aca="false">IF(AND(Y101&gt;=0,Y102&lt;0),1,0)</f>
        <v>0</v>
      </c>
      <c r="Z103" s="113" t="n">
        <f aca="false">IF(AND(Z101&gt;=0,Z102&lt;0),1,0)</f>
        <v>0</v>
      </c>
      <c r="AA103" s="113" t="n">
        <f aca="false">IF(AND(AA101&gt;=0,AA102&lt;0),1,0)</f>
        <v>0</v>
      </c>
      <c r="AB103" s="113" t="n">
        <f aca="false">IF(AND(AB101&gt;=0,AB102&lt;0),1,0)</f>
        <v>0</v>
      </c>
      <c r="AC103" s="113" t="n">
        <f aca="false">IF(AND(AC101&gt;=0,AC102&lt;0),1,0)</f>
        <v>0</v>
      </c>
      <c r="AD103" s="113" t="n">
        <f aca="false">IF(AND(AD101&gt;=0,AD102&lt;0),1,0)</f>
        <v>0</v>
      </c>
      <c r="AE103" s="113" t="n">
        <f aca="false">IF(AND(AE101&gt;=0,AE102&lt;0),1,0)</f>
        <v>0</v>
      </c>
      <c r="AF103" s="113" t="n">
        <f aca="false">IF(AND(AF101&gt;=0,AF102&lt;0),1,0)</f>
        <v>0</v>
      </c>
      <c r="AG103" s="113" t="n">
        <f aca="false">IF(AND(AG101&gt;=0,AG102&lt;0),1,0)</f>
        <v>0</v>
      </c>
      <c r="AH103" s="113" t="n">
        <f aca="false">IF(AND(AH101&gt;=0,AH102&lt;0),1,0)</f>
        <v>0</v>
      </c>
      <c r="AI103" s="113" t="n">
        <f aca="false">IF(AND(AI101&gt;=0,AI102&lt;0),1,0)</f>
        <v>0</v>
      </c>
      <c r="AJ103" s="113" t="n">
        <f aca="false">IF(AND(AJ101&gt;=0,AJ102&lt;0),1,0)</f>
        <v>0</v>
      </c>
      <c r="AK103" s="113" t="n">
        <f aca="false">IF(AND(AK101&gt;=0,AK102&lt;0),1,0)</f>
        <v>0</v>
      </c>
      <c r="AL103" s="113" t="n">
        <f aca="false">IF(AND(AL101&gt;=0,AL102&lt;0),1,0)</f>
        <v>0</v>
      </c>
      <c r="AM103" s="113" t="n">
        <f aca="false">IF(AND(AM101&gt;=0,AM102&lt;0),1,0)</f>
        <v>0</v>
      </c>
      <c r="AN103" s="113" t="n">
        <f aca="false">IF(AND(AN101&gt;=0,AN102&lt;0),1,0)</f>
        <v>0</v>
      </c>
      <c r="AO103" s="113" t="n">
        <f aca="false">IF(AND(AO101&gt;=0,AO102&lt;0),1,0)</f>
        <v>0</v>
      </c>
      <c r="AP103" s="113" t="n">
        <f aca="false">IF(AND(AP101&gt;=0,AP102&lt;0),1,0)</f>
        <v>0</v>
      </c>
      <c r="AQ103" s="113" t="n">
        <f aca="false">IF(AND(AQ101&gt;=0,AQ102&lt;0),1,0)</f>
        <v>0</v>
      </c>
      <c r="AR103" s="113" t="n">
        <f aca="false">IF(AND(AR101&gt;=0,AR102&lt;0),1,0)</f>
        <v>0</v>
      </c>
      <c r="AS103" s="113" t="n">
        <f aca="false">IF(AND(AS101&gt;=0,AS102&lt;0),1,0)</f>
        <v>0</v>
      </c>
      <c r="AT103" s="113" t="n">
        <f aca="false">IF(AND(AT101&gt;=0,AT102&lt;0),1,0)</f>
        <v>0</v>
      </c>
      <c r="AU103" s="113" t="n">
        <f aca="false">IF(AND(AU101&gt;=0,AU102&lt;0),1,0)</f>
        <v>0</v>
      </c>
      <c r="AV103" s="113" t="n">
        <f aca="false">IF(AND(AV101&gt;=0,AV102&lt;0),1,0)</f>
        <v>0</v>
      </c>
      <c r="AW103" s="113" t="n">
        <f aca="false">IF(AND(AW101&gt;=0,AW102&lt;0),1,0)</f>
        <v>0</v>
      </c>
      <c r="AX103" s="113" t="n">
        <f aca="false">IF(AND(AX101&gt;=0,AX102&lt;0),1,0)</f>
        <v>0</v>
      </c>
      <c r="AY103" s="113" t="n">
        <f aca="false">IF(AND(AY101&gt;=0,AY102&lt;0),1,0)</f>
        <v>0</v>
      </c>
      <c r="AZ103" s="113" t="n">
        <f aca="false">IF(AND(AZ101&gt;=0,AZ102&lt;0),1,0)</f>
        <v>0</v>
      </c>
      <c r="BA103" s="113" t="n">
        <f aca="false">IF(AND(BA101&gt;=0,BA102&lt;0),1,0)</f>
        <v>0</v>
      </c>
      <c r="BB103" s="113" t="n">
        <f aca="false">IF(AND(BB101&gt;=0,BB102&lt;0),1,0)</f>
        <v>0</v>
      </c>
      <c r="BC103" s="113" t="n">
        <f aca="false">IF(AND(BC101&gt;=0,BC102&lt;0),1,0)</f>
        <v>0</v>
      </c>
      <c r="BD103" s="113" t="n">
        <f aca="false">IF(AND(BD101&gt;=0,BD102&lt;0),1,0)</f>
        <v>0</v>
      </c>
      <c r="BE103" s="113" t="n">
        <f aca="false">IF(AND(BE101&gt;=0,BE102&lt;0),1,0)</f>
        <v>0</v>
      </c>
      <c r="BF103" s="113" t="n">
        <f aca="false">IF(AND(BF101&gt;=0,BF102&lt;0),1,0)</f>
        <v>0</v>
      </c>
      <c r="BG103" s="113" t="n">
        <f aca="false">IF(AND(BG101&gt;=0,BG102&lt;0),1,0)</f>
        <v>0</v>
      </c>
      <c r="BH103" s="113" t="n">
        <f aca="false">IF(AND(BH101&gt;=0,BH102&lt;0),1,0)</f>
        <v>0</v>
      </c>
      <c r="BI103" s="113" t="n">
        <f aca="false">IF(AND(BI101&gt;=0,BI102&lt;0),1,0)</f>
        <v>0</v>
      </c>
      <c r="BJ103" s="113" t="n">
        <f aca="false">IF(AND(BJ101&gt;=0,BJ102&lt;0),1,0)</f>
        <v>0</v>
      </c>
    </row>
    <row r="104" customFormat="false" ht="15" hidden="false" customHeight="false" outlineLevel="0" collapsed="false">
      <c r="A104" s="6" t="s">
        <v>459</v>
      </c>
      <c r="C104" s="66" t="n">
        <f aca="false">C89-C56*(1-Inputs!$E$85)+C90</f>
        <v>-464606.65</v>
      </c>
      <c r="D104" s="66" t="n">
        <f aca="false">D89-D56*(1-Inputs!$E$85)+D90</f>
        <v>-17264.6947916667</v>
      </c>
      <c r="E104" s="66" t="n">
        <f aca="false">E89-E56*(1-Inputs!$E$85)+E90</f>
        <v>-20282.2083333333</v>
      </c>
      <c r="F104" s="66" t="n">
        <f aca="false">F89-F56*(1-Inputs!$E$85)+F90</f>
        <v>-19072.3052083333</v>
      </c>
      <c r="G104" s="66" t="n">
        <f aca="false">G89-G56*(1-Inputs!$E$85)+G90</f>
        <v>-15771.7354166667</v>
      </c>
      <c r="H104" s="66" t="n">
        <f aca="false">H89-H56*(1-Inputs!$E$85)+H90</f>
        <v>-12471.165625</v>
      </c>
      <c r="I104" s="66" t="n">
        <f aca="false">I89-I56*(1-Inputs!$E$85)+I90</f>
        <v>-9170.59583333333</v>
      </c>
      <c r="J104" s="66" t="n">
        <f aca="false">J89-J56*(1-Inputs!$E$85)+J90</f>
        <v>-8744.69270833334</v>
      </c>
      <c r="K104" s="66" t="n">
        <f aca="false">K89-K56*(1-Inputs!$E$85)+K90</f>
        <v>-9364.12291666667</v>
      </c>
      <c r="L104" s="66" t="n">
        <f aca="false">L89-L56*(1-Inputs!$E$85)+L90</f>
        <v>-7108.88645833333</v>
      </c>
      <c r="M104" s="66" t="n">
        <f aca="false">M89-M56*(1-Inputs!$E$85)+M90</f>
        <v>-3808.31666666666</v>
      </c>
      <c r="N104" s="66" t="n">
        <f aca="false">N89-N56*(1-Inputs!$E$85)+N90</f>
        <v>-507.746874999995</v>
      </c>
      <c r="O104" s="66" t="n">
        <f aca="false">O89-O56*(1-Inputs!$E$85)+O90</f>
        <v>-6407.85620833334</v>
      </c>
      <c r="P104" s="66" t="n">
        <f aca="false">P89-P56*(1-Inputs!$E$85)+P90</f>
        <v>4366.97529166666</v>
      </c>
      <c r="Q104" s="66" t="n">
        <f aca="false">Q89-Q56*(1-Inputs!$E$85)+Q90</f>
        <v>4152.30445833333</v>
      </c>
      <c r="R104" s="66" t="n">
        <f aca="false">R89-R56*(1-Inputs!$E$85)+R90</f>
        <v>4155.221125</v>
      </c>
      <c r="S104" s="66" t="n">
        <f aca="false">S89-S56*(1-Inputs!$E$85)+S90</f>
        <v>4158.13779166666</v>
      </c>
      <c r="T104" s="66" t="n">
        <f aca="false">T89-T56*(1-Inputs!$E$85)+T90</f>
        <v>4161.05445833333</v>
      </c>
      <c r="U104" s="66" t="n">
        <f aca="false">U89-U56*(1-Inputs!$E$85)+U90</f>
        <v>4163.971125</v>
      </c>
      <c r="V104" s="66" t="n">
        <f aca="false">V89-V56*(1-Inputs!$E$85)+V90</f>
        <v>4166.88779166666</v>
      </c>
      <c r="W104" s="66" t="n">
        <f aca="false">W89-W56*(1-Inputs!$E$85)+W90</f>
        <v>4169.80445833333</v>
      </c>
      <c r="X104" s="66" t="n">
        <f aca="false">X89-X56*(1-Inputs!$E$85)+X90</f>
        <v>4172.721125</v>
      </c>
      <c r="Y104" s="66" t="n">
        <f aca="false">Y89-Y56*(1-Inputs!$E$85)+Y90</f>
        <v>4175.63779166666</v>
      </c>
      <c r="Z104" s="66" t="n">
        <f aca="false">Z89-Z56*(1-Inputs!$E$85)+Z90</f>
        <v>4178.55445833333</v>
      </c>
      <c r="AA104" s="66" t="n">
        <f aca="false">AA89-AA56*(1-Inputs!$E$85)+AA90</f>
        <v>-5033.76449875</v>
      </c>
      <c r="AB104" s="66" t="n">
        <f aca="false">AB89-AB56*(1-Inputs!$E$85)+AB90</f>
        <v>4513.27567541666</v>
      </c>
      <c r="AC104" s="66" t="n">
        <f aca="false">AC89-AC56*(1-Inputs!$E$85)+AC90</f>
        <v>4516.19234208333</v>
      </c>
      <c r="AD104" s="66" t="n">
        <f aca="false">AD89-AD56*(1-Inputs!$E$85)+AD90</f>
        <v>4519.10900875</v>
      </c>
      <c r="AE104" s="66" t="n">
        <f aca="false">AE89-AE56*(1-Inputs!$E$85)+AE90</f>
        <v>4522.02567541666</v>
      </c>
      <c r="AF104" s="66" t="n">
        <f aca="false">AF89-AF56*(1-Inputs!$E$85)+AF90</f>
        <v>4524.94234208333</v>
      </c>
      <c r="AG104" s="66" t="n">
        <f aca="false">AG89-AG56*(1-Inputs!$E$85)+AG90</f>
        <v>4527.85900875</v>
      </c>
      <c r="AH104" s="66" t="n">
        <f aca="false">AH89-AH56*(1-Inputs!$E$85)+AH90</f>
        <v>4530.77567541666</v>
      </c>
      <c r="AI104" s="66" t="n">
        <f aca="false">AI89-AI56*(1-Inputs!$E$85)+AI90</f>
        <v>4533.69234208333</v>
      </c>
      <c r="AJ104" s="66" t="n">
        <f aca="false">AJ89-AJ56*(1-Inputs!$E$85)+AJ90</f>
        <v>4536.60900875</v>
      </c>
      <c r="AK104" s="66" t="n">
        <f aca="false">AK89-AK56*(1-Inputs!$E$85)+AK90</f>
        <v>4539.52567541666</v>
      </c>
      <c r="AL104" s="66" t="n">
        <f aca="false">AL89-AL56*(1-Inputs!$E$85)+AL90</f>
        <v>4542.44234208333</v>
      </c>
      <c r="AM104" s="66" t="n">
        <f aca="false">AM89-AM56*(1-Inputs!$E$85)+AM90</f>
        <v>-4676.3336837125</v>
      </c>
      <c r="AN104" s="66" t="n">
        <f aca="false">AN89-AN56*(1-Inputs!$E$85)+AN90</f>
        <v>4887.03019567916</v>
      </c>
      <c r="AO104" s="66" t="n">
        <f aca="false">AO89-AO56*(1-Inputs!$E$85)+AO90</f>
        <v>4889.94686234583</v>
      </c>
      <c r="AP104" s="66" t="n">
        <f aca="false">AP89-AP56*(1-Inputs!$E$85)+AP90</f>
        <v>4892.8635290125</v>
      </c>
      <c r="AQ104" s="66" t="n">
        <f aca="false">AQ89-AQ56*(1-Inputs!$E$85)+AQ90</f>
        <v>4895.78019567916</v>
      </c>
      <c r="AR104" s="66" t="n">
        <f aca="false">AR89-AR56*(1-Inputs!$E$85)+AR90</f>
        <v>4898.69686234583</v>
      </c>
      <c r="AS104" s="66" t="n">
        <f aca="false">AS89-AS56*(1-Inputs!$E$85)+AS90</f>
        <v>4901.6135290125</v>
      </c>
      <c r="AT104" s="66" t="n">
        <f aca="false">AT89-AT56*(1-Inputs!$E$85)+AT90</f>
        <v>4904.53019567916</v>
      </c>
      <c r="AU104" s="66" t="n">
        <f aca="false">AU89-AU56*(1-Inputs!$E$85)+AU90</f>
        <v>4907.44686234583</v>
      </c>
      <c r="AV104" s="66" t="n">
        <f aca="false">AV89-AV56*(1-Inputs!$E$85)+AV90</f>
        <v>4910.3635290125</v>
      </c>
      <c r="AW104" s="66" t="n">
        <f aca="false">AW89-AW56*(1-Inputs!$E$85)+AW90</f>
        <v>4913.28019567916</v>
      </c>
      <c r="AX104" s="66" t="n">
        <f aca="false">AX89-AX56*(1-Inputs!$E$85)+AX90</f>
        <v>4916.19686234583</v>
      </c>
      <c r="AY104" s="66" t="n">
        <f aca="false">AY89-AY56*(1-Inputs!$E$85)+AY90</f>
        <v>-4309.22994422389</v>
      </c>
      <c r="AZ104" s="66" t="n">
        <f aca="false">AZ89-AZ56*(1-Inputs!$E$85)+AZ90</f>
        <v>5270.94735154954</v>
      </c>
      <c r="BA104" s="66" t="n">
        <f aca="false">BA89-BA56*(1-Inputs!$E$85)+BA90</f>
        <v>5273.8640182162</v>
      </c>
      <c r="BB104" s="66" t="n">
        <f aca="false">BB89-BB56*(1-Inputs!$E$85)+BB90</f>
        <v>5276.78068488287</v>
      </c>
      <c r="BC104" s="66" t="n">
        <f aca="false">BC89-BC56*(1-Inputs!$E$85)+BC90</f>
        <v>5279.69735154954</v>
      </c>
      <c r="BD104" s="66" t="n">
        <f aca="false">BD89-BD56*(1-Inputs!$E$85)+BD90</f>
        <v>5282.6140182162</v>
      </c>
      <c r="BE104" s="66" t="n">
        <f aca="false">BE89-BE56*(1-Inputs!$E$85)+BE90</f>
        <v>5285.53068488287</v>
      </c>
      <c r="BF104" s="66" t="n">
        <f aca="false">BF89-BF56*(1-Inputs!$E$85)+BF90</f>
        <v>5288.44735154954</v>
      </c>
      <c r="BG104" s="66" t="n">
        <f aca="false">BG89-BG56*(1-Inputs!$E$85)+BG90</f>
        <v>5291.3640182162</v>
      </c>
      <c r="BH104" s="66" t="n">
        <f aca="false">BH89-BH56*(1-Inputs!$E$85)+BH90</f>
        <v>5294.28068488287</v>
      </c>
      <c r="BI104" s="66" t="n">
        <f aca="false">BI89-BI56*(1-Inputs!$E$85)+BI90</f>
        <v>5297.19735154954</v>
      </c>
      <c r="BJ104" s="66" t="n">
        <f aca="false">BJ89-BJ56*(1-Inputs!$E$85)+BJ90</f>
        <v>5300.1140182162</v>
      </c>
    </row>
    <row r="106" customFormat="false" ht="15.75" hidden="false" customHeight="true" outlineLevel="0" collapsed="false">
      <c r="A106" s="7" t="s">
        <v>460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customFormat="false" ht="15" hidden="false" customHeight="false" outlineLevel="0" collapsed="false">
      <c r="A107" s="6" t="s">
        <v>96</v>
      </c>
      <c r="C107" s="66" t="n">
        <f aca="false">C91</f>
        <v>450000</v>
      </c>
      <c r="D107" s="66" t="n">
        <f aca="false">C107+D91</f>
        <v>450000</v>
      </c>
      <c r="E107" s="66" t="n">
        <f aca="false">D107+E91</f>
        <v>450000</v>
      </c>
      <c r="F107" s="66" t="n">
        <f aca="false">E107+F91</f>
        <v>450000</v>
      </c>
      <c r="G107" s="66" t="n">
        <f aca="false">F107+G91</f>
        <v>450000</v>
      </c>
      <c r="H107" s="66" t="n">
        <f aca="false">G107+H91</f>
        <v>450000</v>
      </c>
      <c r="I107" s="66" t="n">
        <f aca="false">H107+I91</f>
        <v>450000</v>
      </c>
      <c r="J107" s="66" t="n">
        <f aca="false">I107+J91</f>
        <v>450000</v>
      </c>
      <c r="K107" s="66" t="n">
        <f aca="false">J107+K91</f>
        <v>450000</v>
      </c>
      <c r="L107" s="66" t="n">
        <f aca="false">K107+L91</f>
        <v>450000</v>
      </c>
      <c r="M107" s="66" t="n">
        <f aca="false">L107+M91</f>
        <v>450000</v>
      </c>
      <c r="N107" s="66" t="n">
        <f aca="false">M107+N91</f>
        <v>450000</v>
      </c>
      <c r="O107" s="66" t="n">
        <f aca="false">N107+O91</f>
        <v>450000</v>
      </c>
      <c r="P107" s="66" t="n">
        <f aca="false">O107+P91</f>
        <v>450000</v>
      </c>
      <c r="Q107" s="66" t="n">
        <f aca="false">P107+Q91</f>
        <v>450000</v>
      </c>
      <c r="R107" s="66" t="n">
        <f aca="false">Q107+R91</f>
        <v>450000</v>
      </c>
      <c r="S107" s="66" t="n">
        <f aca="false">R107+S91</f>
        <v>450000</v>
      </c>
      <c r="T107" s="66" t="n">
        <f aca="false">S107+T91</f>
        <v>450000</v>
      </c>
      <c r="U107" s="66" t="n">
        <f aca="false">T107+U91</f>
        <v>450000</v>
      </c>
      <c r="V107" s="66" t="n">
        <f aca="false">U107+V91</f>
        <v>450000</v>
      </c>
      <c r="W107" s="66" t="n">
        <f aca="false">V107+W91</f>
        <v>450000</v>
      </c>
      <c r="X107" s="66" t="n">
        <f aca="false">W107+X91</f>
        <v>450000</v>
      </c>
      <c r="Y107" s="66" t="n">
        <f aca="false">X107+Y91</f>
        <v>450000</v>
      </c>
      <c r="Z107" s="66" t="n">
        <f aca="false">Y107+Z91</f>
        <v>450000</v>
      </c>
      <c r="AA107" s="66" t="n">
        <f aca="false">Z107+AA91</f>
        <v>450000</v>
      </c>
      <c r="AB107" s="66" t="n">
        <f aca="false">AA107+AB91</f>
        <v>450000</v>
      </c>
      <c r="AC107" s="66" t="n">
        <f aca="false">AB107+AC91</f>
        <v>450000</v>
      </c>
      <c r="AD107" s="66" t="n">
        <f aca="false">AC107+AD91</f>
        <v>450000</v>
      </c>
      <c r="AE107" s="66" t="n">
        <f aca="false">AD107+AE91</f>
        <v>450000</v>
      </c>
      <c r="AF107" s="66" t="n">
        <f aca="false">AE107+AF91</f>
        <v>450000</v>
      </c>
      <c r="AG107" s="66" t="n">
        <f aca="false">AF107+AG91</f>
        <v>450000</v>
      </c>
      <c r="AH107" s="66" t="n">
        <f aca="false">AG107+AH91</f>
        <v>450000</v>
      </c>
      <c r="AI107" s="66" t="n">
        <f aca="false">AH107+AI91</f>
        <v>450000</v>
      </c>
      <c r="AJ107" s="66" t="n">
        <f aca="false">AI107+AJ91</f>
        <v>450000</v>
      </c>
      <c r="AK107" s="66" t="n">
        <f aca="false">AJ107+AK91</f>
        <v>450000</v>
      </c>
      <c r="AL107" s="66" t="n">
        <f aca="false">AK107+AL91</f>
        <v>450000</v>
      </c>
      <c r="AM107" s="66" t="n">
        <f aca="false">AL107+AM91</f>
        <v>450000</v>
      </c>
      <c r="AN107" s="66" t="n">
        <f aca="false">AM107+AN91</f>
        <v>450000</v>
      </c>
      <c r="AO107" s="66" t="n">
        <f aca="false">AN107+AO91</f>
        <v>450000</v>
      </c>
      <c r="AP107" s="66" t="n">
        <f aca="false">AO107+AP91</f>
        <v>450000</v>
      </c>
      <c r="AQ107" s="66" t="n">
        <f aca="false">AP107+AQ91</f>
        <v>450000</v>
      </c>
      <c r="AR107" s="66" t="n">
        <f aca="false">AQ107+AR91</f>
        <v>450000</v>
      </c>
      <c r="AS107" s="66" t="n">
        <f aca="false">AR107+AS91</f>
        <v>450000</v>
      </c>
      <c r="AT107" s="66" t="n">
        <f aca="false">AS107+AT91</f>
        <v>450000</v>
      </c>
      <c r="AU107" s="66" t="n">
        <f aca="false">AT107+AU91</f>
        <v>450000</v>
      </c>
      <c r="AV107" s="66" t="n">
        <f aca="false">AU107+AV91</f>
        <v>450000</v>
      </c>
      <c r="AW107" s="66" t="n">
        <f aca="false">AV107+AW91</f>
        <v>450000</v>
      </c>
      <c r="AX107" s="66" t="n">
        <f aca="false">AW107+AX91</f>
        <v>450000</v>
      </c>
      <c r="AY107" s="66" t="n">
        <f aca="false">AX107+AY91</f>
        <v>450000</v>
      </c>
      <c r="AZ107" s="66" t="n">
        <f aca="false">AY107+AZ91</f>
        <v>450000</v>
      </c>
      <c r="BA107" s="66" t="n">
        <f aca="false">AZ107+BA91</f>
        <v>450000</v>
      </c>
      <c r="BB107" s="66" t="n">
        <f aca="false">BA107+BB91</f>
        <v>450000</v>
      </c>
      <c r="BC107" s="66" t="n">
        <f aca="false">BB107+BC91</f>
        <v>450000</v>
      </c>
      <c r="BD107" s="66" t="n">
        <f aca="false">BC107+BD91</f>
        <v>450000</v>
      </c>
      <c r="BE107" s="66" t="n">
        <f aca="false">BD107+BE91</f>
        <v>450000</v>
      </c>
      <c r="BF107" s="66" t="n">
        <f aca="false">BE107+BF91</f>
        <v>450000</v>
      </c>
      <c r="BG107" s="66" t="n">
        <f aca="false">BF107+BG91</f>
        <v>450000</v>
      </c>
      <c r="BH107" s="66" t="n">
        <f aca="false">BG107+BH91</f>
        <v>450000</v>
      </c>
      <c r="BI107" s="66" t="n">
        <f aca="false">BH107+BI91</f>
        <v>450000</v>
      </c>
      <c r="BJ107" s="66" t="n">
        <f aca="false">BI107+BJ91</f>
        <v>450000</v>
      </c>
    </row>
    <row r="108" customFormat="false" ht="15" hidden="false" customHeight="false" outlineLevel="0" collapsed="false">
      <c r="A108" s="6" t="s">
        <v>97</v>
      </c>
      <c r="C108" s="66" t="n">
        <f aca="false">C61</f>
        <v>-23298.2166666667</v>
      </c>
      <c r="D108" s="66" t="n">
        <f aca="false">C108+D61</f>
        <v>-44604.3357638889</v>
      </c>
      <c r="E108" s="66" t="n">
        <f aca="false">D108+E61</f>
        <v>-70438.9128472222</v>
      </c>
      <c r="F108" s="66" t="n">
        <f aca="false">E108+F61</f>
        <v>-92961.9479166667</v>
      </c>
      <c r="G108" s="66" t="n">
        <f aca="false">F108+G61</f>
        <v>-112173.440972222</v>
      </c>
      <c r="H108" s="66" t="n">
        <f aca="false">G108+H61</f>
        <v>-128073.392013889</v>
      </c>
      <c r="I108" s="66" t="n">
        <f aca="false">H108+I61</f>
        <v>-140661.801041667</v>
      </c>
      <c r="J108" s="66" t="n">
        <f aca="false">I108+J61</f>
        <v>-153858.668055556</v>
      </c>
      <c r="K108" s="66" t="n">
        <f aca="false">J108+K61</f>
        <v>-167663.993055556</v>
      </c>
      <c r="L108" s="66" t="n">
        <f aca="false">K108+L61</f>
        <v>-178157.776041667</v>
      </c>
      <c r="M108" s="66" t="n">
        <f aca="false">L108+M61</f>
        <v>-185340.017013889</v>
      </c>
      <c r="N108" s="66" t="n">
        <f aca="false">M108+N61</f>
        <v>-189210.715972222</v>
      </c>
      <c r="O108" s="66" t="n">
        <f aca="false">N108+O61</f>
        <v>-189510.939291667</v>
      </c>
      <c r="P108" s="66" t="n">
        <f aca="false">O108+P61</f>
        <v>-190299.398722222</v>
      </c>
      <c r="Q108" s="66" t="n">
        <f aca="false">P108+Q61</f>
        <v>-191073.969263889</v>
      </c>
      <c r="R108" s="66" t="n">
        <f aca="false">Q108+R61</f>
        <v>-191834.650916667</v>
      </c>
      <c r="S108" s="66" t="n">
        <f aca="false">R108+S61</f>
        <v>-192581.443680556</v>
      </c>
      <c r="T108" s="66" t="n">
        <f aca="false">S108+T61</f>
        <v>-193314.347555556</v>
      </c>
      <c r="U108" s="66" t="n">
        <f aca="false">T108+U61</f>
        <v>-194033.362541667</v>
      </c>
      <c r="V108" s="66" t="n">
        <f aca="false">U108+V61</f>
        <v>-194738.488638889</v>
      </c>
      <c r="W108" s="66" t="n">
        <f aca="false">V108+W61</f>
        <v>-195429.725847222</v>
      </c>
      <c r="X108" s="66" t="n">
        <f aca="false">W108+X61</f>
        <v>-196107.074166667</v>
      </c>
      <c r="Y108" s="66" t="n">
        <f aca="false">X108+Y61</f>
        <v>-196770.533597222</v>
      </c>
      <c r="Z108" s="66" t="n">
        <f aca="false">Y108+Z61</f>
        <v>-197420.104138889</v>
      </c>
      <c r="AA108" s="66" t="n">
        <f aca="false">Z108+AA61</f>
        <v>-197801.897907917</v>
      </c>
      <c r="AB108" s="66" t="n">
        <f aca="false">AA108+AB61</f>
        <v>-198169.802788056</v>
      </c>
      <c r="AC108" s="66" t="n">
        <f aca="false">AB108+AC61</f>
        <v>-198523.818779306</v>
      </c>
      <c r="AD108" s="66" t="n">
        <f aca="false">AC108+AD61</f>
        <v>-198863.945881667</v>
      </c>
      <c r="AE108" s="66" t="n">
        <f aca="false">AD108+AE61</f>
        <v>-199190.184095139</v>
      </c>
      <c r="AF108" s="66" t="n">
        <f aca="false">AE108+AF61</f>
        <v>-199502.533419722</v>
      </c>
      <c r="AG108" s="66" t="n">
        <f aca="false">AF108+AG61</f>
        <v>-199800.993855417</v>
      </c>
      <c r="AH108" s="66" t="n">
        <f aca="false">AG108+AH61</f>
        <v>-200085.565402222</v>
      </c>
      <c r="AI108" s="66" t="n">
        <f aca="false">AH108+AI61</f>
        <v>-200356.248060139</v>
      </c>
      <c r="AJ108" s="66" t="n">
        <f aca="false">AI108+AJ61</f>
        <v>-200613.041829167</v>
      </c>
      <c r="AK108" s="66" t="n">
        <f aca="false">AJ108+AK61</f>
        <v>-200855.946709306</v>
      </c>
      <c r="AL108" s="66" t="n">
        <f aca="false">AK108+AL61</f>
        <v>-201084.962700556</v>
      </c>
      <c r="AM108" s="66" t="n">
        <f aca="false">AL108+AM61</f>
        <v>-201036.335282654</v>
      </c>
      <c r="AN108" s="66" t="n">
        <f aca="false">AM108+AN61</f>
        <v>-200973.818975864</v>
      </c>
      <c r="AO108" s="66" t="n">
        <f aca="false">AN108+AO61</f>
        <v>-200897.413780185</v>
      </c>
      <c r="AP108" s="66" t="n">
        <f aca="false">AO108+AP61</f>
        <v>-200807.119695617</v>
      </c>
      <c r="AQ108" s="66" t="n">
        <f aca="false">AP108+AQ61</f>
        <v>-200702.93672216</v>
      </c>
      <c r="AR108" s="66" t="n">
        <f aca="false">AQ108+AR61</f>
        <v>-200584.864859814</v>
      </c>
      <c r="AS108" s="66" t="n">
        <f aca="false">AR108+AS61</f>
        <v>-200452.904108579</v>
      </c>
      <c r="AT108" s="66" t="n">
        <f aca="false">AS108+AT61</f>
        <v>-200307.054468456</v>
      </c>
      <c r="AU108" s="66" t="n">
        <f aca="false">AT108+AU61</f>
        <v>-200147.315939443</v>
      </c>
      <c r="AV108" s="66" t="n">
        <f aca="false">AU108+AV61</f>
        <v>-199973.688521542</v>
      </c>
      <c r="AW108" s="66" t="n">
        <f aca="false">AV108+AW61</f>
        <v>-199786.172214751</v>
      </c>
      <c r="AX108" s="66" t="n">
        <f aca="false">AW108+AX61</f>
        <v>-199584.767019072</v>
      </c>
      <c r="AY108" s="66" t="n">
        <f aca="false">AX108+AY61</f>
        <v>-199095.555778634</v>
      </c>
      <c r="AZ108" s="66" t="n">
        <f aca="false">AY108+AZ61</f>
        <v>-198592.455649307</v>
      </c>
      <c r="BA108" s="66" t="n">
        <f aca="false">AZ108+BA61</f>
        <v>-198075.46663109</v>
      </c>
      <c r="BB108" s="66" t="n">
        <f aca="false">BA108+BB61</f>
        <v>-197544.588723985</v>
      </c>
      <c r="BC108" s="66" t="n">
        <f aca="false">BB108+BC61</f>
        <v>-196999.821927991</v>
      </c>
      <c r="BD108" s="66" t="n">
        <f aca="false">BC108+BD61</f>
        <v>-196441.166243108</v>
      </c>
      <c r="BE108" s="66" t="n">
        <f aca="false">BD108+BE61</f>
        <v>-195868.621669337</v>
      </c>
      <c r="BF108" s="66" t="n">
        <f aca="false">BE108+BF61</f>
        <v>-195282.188206676</v>
      </c>
      <c r="BG108" s="66" t="n">
        <f aca="false">BF108+BG61</f>
        <v>-194681.865855126</v>
      </c>
      <c r="BH108" s="66" t="n">
        <f aca="false">BG108+BH61</f>
        <v>-194067.654614688</v>
      </c>
      <c r="BI108" s="66" t="n">
        <f aca="false">BH108+BI61</f>
        <v>-193439.554485361</v>
      </c>
      <c r="BJ108" s="66" t="n">
        <f aca="false">BI108+BJ61</f>
        <v>-192797.565467144</v>
      </c>
    </row>
    <row r="109" customFormat="false" ht="15" hidden="false" customHeight="false" outlineLevel="0" collapsed="false">
      <c r="A109" s="4" t="s">
        <v>92</v>
      </c>
      <c r="C109" s="72" t="n">
        <f aca="false">C95+C81+C82+C72</f>
        <v>680078.05</v>
      </c>
      <c r="D109" s="72" t="n">
        <f aca="false">D95+D81+D82+D72</f>
        <v>656824.447569444</v>
      </c>
      <c r="E109" s="72" t="n">
        <f aca="false">E95+E81+E82+E72</f>
        <v>631917.053819445</v>
      </c>
      <c r="F109" s="72" t="n">
        <f aca="false">F95+F81+F82+F72</f>
        <v>607446.535416667</v>
      </c>
      <c r="G109" s="72" t="n">
        <f aca="false">G95+G81+G82+G72</f>
        <v>586287.559027778</v>
      </c>
      <c r="H109" s="72" t="n">
        <f aca="false">H95+H81+H82+H72</f>
        <v>568440.124652778</v>
      </c>
      <c r="I109" s="72" t="n">
        <f aca="false">I95+I81+I82+I72</f>
        <v>553904.232291667</v>
      </c>
      <c r="J109" s="72" t="n">
        <f aca="false">J95+J81+J82+J72</f>
        <v>540197.215277778</v>
      </c>
      <c r="K109" s="72" t="n">
        <f aca="false">K95+K81+K82+K72</f>
        <v>525881.740277778</v>
      </c>
      <c r="L109" s="72" t="n">
        <f aca="false">L95+L81+L82+L72</f>
        <v>513440.473958333</v>
      </c>
      <c r="M109" s="72" t="n">
        <f aca="false">M95+M81+M82+M72</f>
        <v>504310.749652778</v>
      </c>
      <c r="N109" s="72" t="n">
        <f aca="false">N95+N81+N82+N72</f>
        <v>498492.567361111</v>
      </c>
      <c r="O109" s="72" t="n">
        <f aca="false">O95+O81+O82+O72</f>
        <v>496567.534708333</v>
      </c>
      <c r="P109" s="72" t="n">
        <f aca="false">P95+P81+P82+P72</f>
        <v>493695.741944445</v>
      </c>
      <c r="Q109" s="72" t="n">
        <f aca="false">Q95+Q81+Q82+Q72</f>
        <v>490837.838069444</v>
      </c>
      <c r="R109" s="72" t="n">
        <f aca="false">R95+R81+R82+R72</f>
        <v>487993.823083333</v>
      </c>
      <c r="S109" s="72" t="n">
        <f aca="false">S95+S81+S82+S72</f>
        <v>485163.696986111</v>
      </c>
      <c r="T109" s="72" t="n">
        <f aca="false">T95+T81+T82+T72</f>
        <v>482347.459777778</v>
      </c>
      <c r="U109" s="72" t="n">
        <f aca="false">U95+U81+U82+U72</f>
        <v>479545.111458333</v>
      </c>
      <c r="V109" s="72" t="n">
        <f aca="false">V95+V81+V82+V72</f>
        <v>476756.652027778</v>
      </c>
      <c r="W109" s="72" t="n">
        <f aca="false">W95+W81+W82+W72</f>
        <v>473982.081486111</v>
      </c>
      <c r="X109" s="72" t="n">
        <f aca="false">X95+X81+X82+X72</f>
        <v>471221.399833333</v>
      </c>
      <c r="Y109" s="72" t="n">
        <f aca="false">Y95+Y81+Y82+Y72</f>
        <v>468474.607069445</v>
      </c>
      <c r="Z109" s="72" t="n">
        <f aca="false">Z95+Z81+Z82+Z72</f>
        <v>465741.703194444</v>
      </c>
      <c r="AA109" s="72" t="n">
        <f aca="false">AA95+AA81+AA82+AA72</f>
        <v>463608.930312083</v>
      </c>
      <c r="AB109" s="72" t="n">
        <f aca="false">AB95+AB81+AB82+AB72</f>
        <v>461157.692098611</v>
      </c>
      <c r="AC109" s="72" t="n">
        <f aca="false">AC95+AC81+AC82+AC72</f>
        <v>458720.342774028</v>
      </c>
      <c r="AD109" s="72" t="n">
        <f aca="false">AD95+AD81+AD82+AD72</f>
        <v>456296.882338333</v>
      </c>
      <c r="AE109" s="72" t="n">
        <f aca="false">AE95+AE81+AE82+AE72</f>
        <v>453887.310791528</v>
      </c>
      <c r="AF109" s="72" t="n">
        <f aca="false">AF95+AF81+AF82+AF72</f>
        <v>451491.628133611</v>
      </c>
      <c r="AG109" s="72" t="n">
        <f aca="false">AG95+AG81+AG82+AG72</f>
        <v>449109.834364583</v>
      </c>
      <c r="AH109" s="72" t="n">
        <f aca="false">AH95+AH81+AH82+AH72</f>
        <v>446741.929484444</v>
      </c>
      <c r="AI109" s="72" t="n">
        <f aca="false">AI95+AI81+AI82+AI72</f>
        <v>444387.913493195</v>
      </c>
      <c r="AJ109" s="72" t="n">
        <f aca="false">AJ95+AJ81+AJ82+AJ72</f>
        <v>442047.786390833</v>
      </c>
      <c r="AK109" s="72" t="n">
        <f aca="false">AK95+AK81+AK82+AK72</f>
        <v>439721.548177361</v>
      </c>
      <c r="AL109" s="72" t="n">
        <f aca="false">AL95+AL81+AL82+AL72</f>
        <v>437409.198852778</v>
      </c>
      <c r="AM109" s="72" t="n">
        <f aca="false">AM95+AM81+AM82+AM72</f>
        <v>435716.817783946</v>
      </c>
      <c r="AN109" s="72" t="n">
        <f aca="false">AN95+AN81+AN82+AN72</f>
        <v>433696.000757403</v>
      </c>
      <c r="AO109" s="72" t="n">
        <f aca="false">AO95+AO81+AO82+AO72</f>
        <v>431689.072619749</v>
      </c>
      <c r="AP109" s="72" t="n">
        <f aca="false">AP95+AP81+AP82+AP72</f>
        <v>429696.033370983</v>
      </c>
      <c r="AQ109" s="72" t="n">
        <f aca="false">AQ95+AQ81+AQ82+AQ72</f>
        <v>427716.883011107</v>
      </c>
      <c r="AR109" s="72" t="n">
        <f aca="false">AR95+AR81+AR82+AR72</f>
        <v>425751.621540119</v>
      </c>
      <c r="AS109" s="72" t="n">
        <f aca="false">AS95+AS81+AS82+AS72</f>
        <v>423800.248958021</v>
      </c>
      <c r="AT109" s="72" t="n">
        <f aca="false">AT95+AT81+AT82+AT72</f>
        <v>421862.765264811</v>
      </c>
      <c r="AU109" s="72" t="n">
        <f aca="false">AU95+AU81+AU82+AU72</f>
        <v>419939.17046049</v>
      </c>
      <c r="AV109" s="72" t="n">
        <f aca="false">AV95+AV81+AV82+AV72</f>
        <v>418029.464545058</v>
      </c>
      <c r="AW109" s="72" t="n">
        <f aca="false">AW95+AW81+AW82+AW72</f>
        <v>416133.647518515</v>
      </c>
      <c r="AX109" s="72" t="n">
        <f aca="false">AX95+AX81+AX82+AX72</f>
        <v>414251.719380861</v>
      </c>
      <c r="AY109" s="72" t="n">
        <f aca="false">AY95+AY81+AY82+AY72</f>
        <v>413010.191879964</v>
      </c>
      <c r="AZ109" s="72" t="n">
        <f aca="false">AZ95+AZ81+AZ82+AZ72</f>
        <v>411429.958675958</v>
      </c>
      <c r="BA109" s="72" t="n">
        <f aca="false">BA95+BA81+BA82+BA72</f>
        <v>409863.614360841</v>
      </c>
      <c r="BB109" s="72" t="n">
        <f aca="false">BB95+BB81+BB82+BB72</f>
        <v>408311.158934613</v>
      </c>
      <c r="BC109" s="72" t="n">
        <f aca="false">BC95+BC81+BC82+BC72</f>
        <v>406772.592397273</v>
      </c>
      <c r="BD109" s="72" t="n">
        <f aca="false">BD95+BD81+BD82+BD72</f>
        <v>405247.914748823</v>
      </c>
      <c r="BE109" s="72" t="n">
        <f aca="false">BE95+BE81+BE82+BE72</f>
        <v>403737.125989261</v>
      </c>
      <c r="BF109" s="72" t="n">
        <f aca="false">BF95+BF81+BF82+BF72</f>
        <v>402240.226118589</v>
      </c>
      <c r="BG109" s="72" t="n">
        <f aca="false">BG95+BG81+BG82+BG72</f>
        <v>400757.215136805</v>
      </c>
      <c r="BH109" s="72" t="n">
        <f aca="false">BH95+BH81+BH82+BH72</f>
        <v>399288.09304391</v>
      </c>
      <c r="BI109" s="72" t="n">
        <f aca="false">BI95+BI81+BI82+BI72</f>
        <v>397832.859839904</v>
      </c>
      <c r="BJ109" s="72" t="n">
        <f aca="false">BJ95+BJ81+BJ82+BJ72</f>
        <v>396391.515524787</v>
      </c>
    </row>
    <row r="110" customFormat="false" ht="15" hidden="false" customHeight="false" outlineLevel="0" collapsed="false">
      <c r="A110" s="6" t="s">
        <v>95</v>
      </c>
      <c r="C110" s="66" t="n">
        <f aca="false">C83+C78</f>
        <v>253376.266666667</v>
      </c>
      <c r="D110" s="66" t="n">
        <f aca="false">D83+D78</f>
        <v>251428.783333333</v>
      </c>
      <c r="E110" s="66" t="n">
        <f aca="false">E83+E78</f>
        <v>252355.966666667</v>
      </c>
      <c r="F110" s="66" t="n">
        <f aca="false">F83+F78</f>
        <v>250408.483333333</v>
      </c>
      <c r="G110" s="66" t="n">
        <f aca="false">G83+G78</f>
        <v>248461</v>
      </c>
      <c r="H110" s="66" t="n">
        <f aca="false">H83+H78</f>
        <v>246513.516666667</v>
      </c>
      <c r="I110" s="66" t="n">
        <f aca="false">I83+I78</f>
        <v>244566.033333333</v>
      </c>
      <c r="J110" s="66" t="n">
        <f aca="false">J83+J78</f>
        <v>244055.883333333</v>
      </c>
      <c r="K110" s="66" t="n">
        <f aca="false">K83+K78</f>
        <v>243545.733333333</v>
      </c>
      <c r="L110" s="66" t="n">
        <f aca="false">L83+L78</f>
        <v>241598.25</v>
      </c>
      <c r="M110" s="66" t="n">
        <f aca="false">M83+M78</f>
        <v>239650.766666667</v>
      </c>
      <c r="N110" s="66" t="n">
        <f aca="false">N83+N78</f>
        <v>237703.283333333</v>
      </c>
      <c r="O110" s="66" t="n">
        <f aca="false">O83+O78</f>
        <v>236078.474</v>
      </c>
      <c r="P110" s="66" t="n">
        <f aca="false">P83+P78</f>
        <v>233995.140666667</v>
      </c>
      <c r="Q110" s="66" t="n">
        <f aca="false">Q83+Q78</f>
        <v>231911.807333333</v>
      </c>
      <c r="R110" s="66" t="n">
        <f aca="false">R83+R78</f>
        <v>229828.474</v>
      </c>
      <c r="S110" s="66" t="n">
        <f aca="false">S83+S78</f>
        <v>227745.140666667</v>
      </c>
      <c r="T110" s="66" t="n">
        <f aca="false">T83+T78</f>
        <v>225661.807333333</v>
      </c>
      <c r="U110" s="66" t="n">
        <f aca="false">U83+U78</f>
        <v>223578.474</v>
      </c>
      <c r="V110" s="66" t="n">
        <f aca="false">V83+V78</f>
        <v>221495.140666666</v>
      </c>
      <c r="W110" s="66" t="n">
        <f aca="false">W83+W78</f>
        <v>219411.807333333</v>
      </c>
      <c r="X110" s="66" t="n">
        <f aca="false">X83+X78</f>
        <v>217328.474</v>
      </c>
      <c r="Y110" s="66" t="n">
        <f aca="false">Y83+Y78</f>
        <v>215245.140666666</v>
      </c>
      <c r="Z110" s="66" t="n">
        <f aca="false">Z83+Z78</f>
        <v>213161.807333333</v>
      </c>
      <c r="AA110" s="66" t="n">
        <f aca="false">AA83+AA78</f>
        <v>211410.82822</v>
      </c>
      <c r="AB110" s="66" t="n">
        <f aca="false">AB83+AB78</f>
        <v>209327.494886666</v>
      </c>
      <c r="AC110" s="66" t="n">
        <f aca="false">AC83+AC78</f>
        <v>207244.161553333</v>
      </c>
      <c r="AD110" s="66" t="n">
        <f aca="false">AD83+AD78</f>
        <v>205160.82822</v>
      </c>
      <c r="AE110" s="66" t="n">
        <f aca="false">AE83+AE78</f>
        <v>203077.494886666</v>
      </c>
      <c r="AF110" s="66" t="n">
        <f aca="false">AF83+AF78</f>
        <v>200994.161553333</v>
      </c>
      <c r="AG110" s="66" t="n">
        <f aca="false">AG83+AG78</f>
        <v>198910.82822</v>
      </c>
      <c r="AH110" s="66" t="n">
        <f aca="false">AH83+AH78</f>
        <v>196827.494886666</v>
      </c>
      <c r="AI110" s="66" t="n">
        <f aca="false">AI83+AI78</f>
        <v>194744.161553333</v>
      </c>
      <c r="AJ110" s="66" t="n">
        <f aca="false">AJ83+AJ78</f>
        <v>192660.82822</v>
      </c>
      <c r="AK110" s="66" t="n">
        <f aca="false">AK83+AK78</f>
        <v>190577.494886666</v>
      </c>
      <c r="AL110" s="66" t="n">
        <f aca="false">AL83+AL78</f>
        <v>188494.161553333</v>
      </c>
      <c r="AM110" s="66" t="n">
        <f aca="false">AM83+AM78</f>
        <v>186753.1530666</v>
      </c>
      <c r="AN110" s="66" t="n">
        <f aca="false">AN83+AN78</f>
        <v>184669.819733266</v>
      </c>
      <c r="AO110" s="66" t="n">
        <f aca="false">AO83+AO78</f>
        <v>182586.486399933</v>
      </c>
      <c r="AP110" s="66" t="n">
        <f aca="false">AP83+AP78</f>
        <v>180503.1530666</v>
      </c>
      <c r="AQ110" s="66" t="n">
        <f aca="false">AQ83+AQ78</f>
        <v>178419.819733266</v>
      </c>
      <c r="AR110" s="66" t="n">
        <f aca="false">AR83+AR78</f>
        <v>176336.486399933</v>
      </c>
      <c r="AS110" s="66" t="n">
        <f aca="false">AS83+AS78</f>
        <v>174253.1530666</v>
      </c>
      <c r="AT110" s="66" t="n">
        <f aca="false">AT83+AT78</f>
        <v>172169.819733266</v>
      </c>
      <c r="AU110" s="66" t="n">
        <f aca="false">AU83+AU78</f>
        <v>170086.486399933</v>
      </c>
      <c r="AV110" s="66" t="n">
        <f aca="false">AV83+AV78</f>
        <v>168003.1530666</v>
      </c>
      <c r="AW110" s="66" t="n">
        <f aca="false">AW83+AW78</f>
        <v>165919.819733266</v>
      </c>
      <c r="AX110" s="66" t="n">
        <f aca="false">AX83+AX78</f>
        <v>163836.486399933</v>
      </c>
      <c r="AY110" s="66" t="n">
        <f aca="false">AY83+AY78</f>
        <v>162105.747658598</v>
      </c>
      <c r="AZ110" s="66" t="n">
        <f aca="false">AZ83+AZ78</f>
        <v>160022.414325264</v>
      </c>
      <c r="BA110" s="66" t="n">
        <f aca="false">BA83+BA78</f>
        <v>157939.080991931</v>
      </c>
      <c r="BB110" s="66" t="n">
        <f aca="false">BB83+BB78</f>
        <v>155855.747658598</v>
      </c>
      <c r="BC110" s="66" t="n">
        <f aca="false">BC83+BC78</f>
        <v>153772.414325264</v>
      </c>
      <c r="BD110" s="66" t="n">
        <f aca="false">BD83+BD78</f>
        <v>151689.080991931</v>
      </c>
      <c r="BE110" s="66" t="n">
        <f aca="false">BE83+BE78</f>
        <v>149605.747658597</v>
      </c>
      <c r="BF110" s="66" t="n">
        <f aca="false">BF83+BF78</f>
        <v>147522.414325264</v>
      </c>
      <c r="BG110" s="66" t="n">
        <f aca="false">BG83+BG78</f>
        <v>145439.080991931</v>
      </c>
      <c r="BH110" s="66" t="n">
        <f aca="false">BH83+BH78</f>
        <v>143355.747658597</v>
      </c>
      <c r="BI110" s="66" t="n">
        <f aca="false">BI83+BI78</f>
        <v>141272.414325264</v>
      </c>
      <c r="BJ110" s="66" t="n">
        <f aca="false">BJ83+BJ78</f>
        <v>139189.080991931</v>
      </c>
    </row>
    <row r="111" customFormat="false" ht="15" hidden="false" customHeight="false" outlineLevel="0" collapsed="false">
      <c r="A111" s="6" t="s">
        <v>98</v>
      </c>
      <c r="C111" s="66" t="n">
        <f aca="false">C107+C108</f>
        <v>426701.783333333</v>
      </c>
      <c r="D111" s="66" t="n">
        <f aca="false">D107+D108</f>
        <v>405395.664236111</v>
      </c>
      <c r="E111" s="66" t="n">
        <f aca="false">E107+E108</f>
        <v>379561.087152778</v>
      </c>
      <c r="F111" s="66" t="n">
        <f aca="false">F107+F108</f>
        <v>357038.052083333</v>
      </c>
      <c r="G111" s="66" t="n">
        <f aca="false">G107+G108</f>
        <v>337826.559027778</v>
      </c>
      <c r="H111" s="66" t="n">
        <f aca="false">H107+H108</f>
        <v>321926.607986111</v>
      </c>
      <c r="I111" s="66" t="n">
        <f aca="false">I107+I108</f>
        <v>309338.198958333</v>
      </c>
      <c r="J111" s="66" t="n">
        <f aca="false">J107+J108</f>
        <v>296141.331944444</v>
      </c>
      <c r="K111" s="66" t="n">
        <f aca="false">K107+K108</f>
        <v>282336.006944444</v>
      </c>
      <c r="L111" s="66" t="n">
        <f aca="false">L107+L108</f>
        <v>271842.223958333</v>
      </c>
      <c r="M111" s="66" t="n">
        <f aca="false">M107+M108</f>
        <v>264659.982986111</v>
      </c>
      <c r="N111" s="66" t="n">
        <f aca="false">N107+N108</f>
        <v>260789.284027778</v>
      </c>
      <c r="O111" s="66" t="n">
        <f aca="false">O107+O108</f>
        <v>260489.060708333</v>
      </c>
      <c r="P111" s="66" t="n">
        <f aca="false">P107+P108</f>
        <v>259700.601277778</v>
      </c>
      <c r="Q111" s="66" t="n">
        <f aca="false">Q107+Q108</f>
        <v>258926.030736111</v>
      </c>
      <c r="R111" s="66" t="n">
        <f aca="false">R107+R108</f>
        <v>258165.349083333</v>
      </c>
      <c r="S111" s="66" t="n">
        <f aca="false">S107+S108</f>
        <v>257418.556319444</v>
      </c>
      <c r="T111" s="66" t="n">
        <f aca="false">T107+T108</f>
        <v>256685.652444444</v>
      </c>
      <c r="U111" s="66" t="n">
        <f aca="false">U107+U108</f>
        <v>255966.637458333</v>
      </c>
      <c r="V111" s="66" t="n">
        <f aca="false">V107+V108</f>
        <v>255261.511361111</v>
      </c>
      <c r="W111" s="66" t="n">
        <f aca="false">W107+W108</f>
        <v>254570.274152778</v>
      </c>
      <c r="X111" s="66" t="n">
        <f aca="false">X107+X108</f>
        <v>253892.925833333</v>
      </c>
      <c r="Y111" s="66" t="n">
        <f aca="false">Y107+Y108</f>
        <v>253229.466402778</v>
      </c>
      <c r="Z111" s="66" t="n">
        <f aca="false">Z107+Z108</f>
        <v>252579.895861111</v>
      </c>
      <c r="AA111" s="66" t="n">
        <f aca="false">AA107+AA108</f>
        <v>252198.102092083</v>
      </c>
      <c r="AB111" s="66" t="n">
        <f aca="false">AB107+AB108</f>
        <v>251830.197211944</v>
      </c>
      <c r="AC111" s="66" t="n">
        <f aca="false">AC107+AC108</f>
        <v>251476.181220694</v>
      </c>
      <c r="AD111" s="66" t="n">
        <f aca="false">AD107+AD108</f>
        <v>251136.054118333</v>
      </c>
      <c r="AE111" s="66" t="n">
        <f aca="false">AE107+AE108</f>
        <v>250809.815904861</v>
      </c>
      <c r="AF111" s="66" t="n">
        <f aca="false">AF107+AF108</f>
        <v>250497.466580278</v>
      </c>
      <c r="AG111" s="66" t="n">
        <f aca="false">AG107+AG108</f>
        <v>250199.006144583</v>
      </c>
      <c r="AH111" s="66" t="n">
        <f aca="false">AH107+AH108</f>
        <v>249914.434597778</v>
      </c>
      <c r="AI111" s="66" t="n">
        <f aca="false">AI107+AI108</f>
        <v>249643.751939861</v>
      </c>
      <c r="AJ111" s="66" t="n">
        <f aca="false">AJ107+AJ108</f>
        <v>249386.958170833</v>
      </c>
      <c r="AK111" s="66" t="n">
        <f aca="false">AK107+AK108</f>
        <v>249144.053290694</v>
      </c>
      <c r="AL111" s="66" t="n">
        <f aca="false">AL107+AL108</f>
        <v>248915.037299444</v>
      </c>
      <c r="AM111" s="66" t="n">
        <f aca="false">AM107+AM108</f>
        <v>248963.664717346</v>
      </c>
      <c r="AN111" s="66" t="n">
        <f aca="false">AN107+AN108</f>
        <v>249026.181024136</v>
      </c>
      <c r="AO111" s="66" t="n">
        <f aca="false">AO107+AO108</f>
        <v>249102.586219815</v>
      </c>
      <c r="AP111" s="66" t="n">
        <f aca="false">AP107+AP108</f>
        <v>249192.880304383</v>
      </c>
      <c r="AQ111" s="66" t="n">
        <f aca="false">AQ107+AQ108</f>
        <v>249297.06327784</v>
      </c>
      <c r="AR111" s="66" t="n">
        <f aca="false">AR107+AR108</f>
        <v>249415.135140186</v>
      </c>
      <c r="AS111" s="66" t="n">
        <f aca="false">AS107+AS108</f>
        <v>249547.095891421</v>
      </c>
      <c r="AT111" s="66" t="n">
        <f aca="false">AT107+AT108</f>
        <v>249692.945531544</v>
      </c>
      <c r="AU111" s="66" t="n">
        <f aca="false">AU107+AU108</f>
        <v>249852.684060557</v>
      </c>
      <c r="AV111" s="66" t="n">
        <f aca="false">AV107+AV108</f>
        <v>250026.311478458</v>
      </c>
      <c r="AW111" s="66" t="n">
        <f aca="false">AW107+AW108</f>
        <v>250213.827785249</v>
      </c>
      <c r="AX111" s="66" t="n">
        <f aca="false">AX107+AX108</f>
        <v>250415.232980928</v>
      </c>
      <c r="AY111" s="66" t="n">
        <f aca="false">AY107+AY108</f>
        <v>250904.444221366</v>
      </c>
      <c r="AZ111" s="66" t="n">
        <f aca="false">AZ107+AZ108</f>
        <v>251407.544350693</v>
      </c>
      <c r="BA111" s="66" t="n">
        <f aca="false">BA107+BA108</f>
        <v>251924.53336891</v>
      </c>
      <c r="BB111" s="66" t="n">
        <f aca="false">BB107+BB108</f>
        <v>252455.411276015</v>
      </c>
      <c r="BC111" s="66" t="n">
        <f aca="false">BC107+BC108</f>
        <v>253000.178072009</v>
      </c>
      <c r="BD111" s="66" t="n">
        <f aca="false">BD107+BD108</f>
        <v>253558.833756892</v>
      </c>
      <c r="BE111" s="66" t="n">
        <f aca="false">BE107+BE108</f>
        <v>254131.378330663</v>
      </c>
      <c r="BF111" s="66" t="n">
        <f aca="false">BF107+BF108</f>
        <v>254717.811793324</v>
      </c>
      <c r="BG111" s="66" t="n">
        <f aca="false">BG107+BG108</f>
        <v>255318.134144874</v>
      </c>
      <c r="BH111" s="66" t="n">
        <f aca="false">BH107+BH108</f>
        <v>255932.345385312</v>
      </c>
      <c r="BI111" s="66" t="n">
        <f aca="false">BI107+BI108</f>
        <v>256560.445514639</v>
      </c>
      <c r="BJ111" s="66" t="n">
        <f aca="false">BJ107+BJ108</f>
        <v>257202.434532856</v>
      </c>
    </row>
    <row r="112" customFormat="false" ht="15" hidden="false" customHeight="false" outlineLevel="0" collapsed="false">
      <c r="A112" s="4" t="s">
        <v>99</v>
      </c>
      <c r="C112" s="72" t="n">
        <f aca="false">C110+C111</f>
        <v>680078.05</v>
      </c>
      <c r="D112" s="72" t="n">
        <f aca="false">D110+D111</f>
        <v>656824.447569444</v>
      </c>
      <c r="E112" s="72" t="n">
        <f aca="false">E110+E111</f>
        <v>631917.053819444</v>
      </c>
      <c r="F112" s="72" t="n">
        <f aca="false">F110+F111</f>
        <v>607446.535416667</v>
      </c>
      <c r="G112" s="72" t="n">
        <f aca="false">G110+G111</f>
        <v>586287.559027778</v>
      </c>
      <c r="H112" s="72" t="n">
        <f aca="false">H110+H111</f>
        <v>568440.124652778</v>
      </c>
      <c r="I112" s="72" t="n">
        <f aca="false">I110+I111</f>
        <v>553904.232291667</v>
      </c>
      <c r="J112" s="72" t="n">
        <f aca="false">J110+J111</f>
        <v>540197.215277778</v>
      </c>
      <c r="K112" s="72" t="n">
        <f aca="false">K110+K111</f>
        <v>525881.740277778</v>
      </c>
      <c r="L112" s="72" t="n">
        <f aca="false">L110+L111</f>
        <v>513440.473958333</v>
      </c>
      <c r="M112" s="72" t="n">
        <f aca="false">M110+M111</f>
        <v>504310.749652778</v>
      </c>
      <c r="N112" s="72" t="n">
        <f aca="false">N110+N111</f>
        <v>498492.567361111</v>
      </c>
      <c r="O112" s="72" t="n">
        <f aca="false">O110+O111</f>
        <v>496567.534708333</v>
      </c>
      <c r="P112" s="72" t="n">
        <f aca="false">P110+P111</f>
        <v>493695.741944444</v>
      </c>
      <c r="Q112" s="72" t="n">
        <f aca="false">Q110+Q111</f>
        <v>490837.838069444</v>
      </c>
      <c r="R112" s="72" t="n">
        <f aca="false">R110+R111</f>
        <v>487993.823083333</v>
      </c>
      <c r="S112" s="72" t="n">
        <f aca="false">S110+S111</f>
        <v>485163.696986111</v>
      </c>
      <c r="T112" s="72" t="n">
        <f aca="false">T110+T111</f>
        <v>482347.459777778</v>
      </c>
      <c r="U112" s="72" t="n">
        <f aca="false">U110+U111</f>
        <v>479545.111458333</v>
      </c>
      <c r="V112" s="72" t="n">
        <f aca="false">V110+V111</f>
        <v>476756.652027778</v>
      </c>
      <c r="W112" s="72" t="n">
        <f aca="false">W110+W111</f>
        <v>473982.081486111</v>
      </c>
      <c r="X112" s="72" t="n">
        <f aca="false">X110+X111</f>
        <v>471221.399833333</v>
      </c>
      <c r="Y112" s="72" t="n">
        <f aca="false">Y110+Y111</f>
        <v>468474.607069444</v>
      </c>
      <c r="Z112" s="72" t="n">
        <f aca="false">Z110+Z111</f>
        <v>465741.703194444</v>
      </c>
      <c r="AA112" s="72" t="n">
        <f aca="false">AA110+AA111</f>
        <v>463608.930312083</v>
      </c>
      <c r="AB112" s="72" t="n">
        <f aca="false">AB110+AB111</f>
        <v>461157.692098611</v>
      </c>
      <c r="AC112" s="72" t="n">
        <f aca="false">AC110+AC111</f>
        <v>458720.342774028</v>
      </c>
      <c r="AD112" s="72" t="n">
        <f aca="false">AD110+AD111</f>
        <v>456296.882338333</v>
      </c>
      <c r="AE112" s="72" t="n">
        <f aca="false">AE110+AE111</f>
        <v>453887.310791527</v>
      </c>
      <c r="AF112" s="72" t="n">
        <f aca="false">AF110+AF111</f>
        <v>451491.628133611</v>
      </c>
      <c r="AG112" s="72" t="n">
        <f aca="false">AG110+AG111</f>
        <v>449109.834364583</v>
      </c>
      <c r="AH112" s="72" t="n">
        <f aca="false">AH110+AH111</f>
        <v>446741.929484444</v>
      </c>
      <c r="AI112" s="72" t="n">
        <f aca="false">AI110+AI111</f>
        <v>444387.913493194</v>
      </c>
      <c r="AJ112" s="72" t="n">
        <f aca="false">AJ110+AJ111</f>
        <v>442047.786390833</v>
      </c>
      <c r="AK112" s="72" t="n">
        <f aca="false">AK110+AK111</f>
        <v>439721.548177361</v>
      </c>
      <c r="AL112" s="72" t="n">
        <f aca="false">AL110+AL111</f>
        <v>437409.198852777</v>
      </c>
      <c r="AM112" s="72" t="n">
        <f aca="false">AM110+AM111</f>
        <v>435716.817783945</v>
      </c>
      <c r="AN112" s="72" t="n">
        <f aca="false">AN110+AN111</f>
        <v>433696.000757402</v>
      </c>
      <c r="AO112" s="72" t="n">
        <f aca="false">AO110+AO111</f>
        <v>431689.072619748</v>
      </c>
      <c r="AP112" s="72" t="n">
        <f aca="false">AP110+AP111</f>
        <v>429696.033370983</v>
      </c>
      <c r="AQ112" s="72" t="n">
        <f aca="false">AQ110+AQ111</f>
        <v>427716.883011107</v>
      </c>
      <c r="AR112" s="72" t="n">
        <f aca="false">AR110+AR111</f>
        <v>425751.621540119</v>
      </c>
      <c r="AS112" s="72" t="n">
        <f aca="false">AS110+AS111</f>
        <v>423800.24895802</v>
      </c>
      <c r="AT112" s="72" t="n">
        <f aca="false">AT110+AT111</f>
        <v>421862.765264811</v>
      </c>
      <c r="AU112" s="72" t="n">
        <f aca="false">AU110+AU111</f>
        <v>419939.17046049</v>
      </c>
      <c r="AV112" s="72" t="n">
        <f aca="false">AV110+AV111</f>
        <v>418029.464545058</v>
      </c>
      <c r="AW112" s="72" t="n">
        <f aca="false">AW110+AW111</f>
        <v>416133.647518515</v>
      </c>
      <c r="AX112" s="72" t="n">
        <f aca="false">AX110+AX111</f>
        <v>414251.719380861</v>
      </c>
      <c r="AY112" s="72" t="n">
        <f aca="false">AY110+AY111</f>
        <v>413010.191879964</v>
      </c>
      <c r="AZ112" s="72" t="n">
        <f aca="false">AZ110+AZ111</f>
        <v>411429.958675958</v>
      </c>
      <c r="BA112" s="72" t="n">
        <f aca="false">BA110+BA111</f>
        <v>409863.614360841</v>
      </c>
      <c r="BB112" s="72" t="n">
        <f aca="false">BB110+BB111</f>
        <v>408311.158934612</v>
      </c>
      <c r="BC112" s="72" t="n">
        <f aca="false">BC110+BC111</f>
        <v>406772.592397273</v>
      </c>
      <c r="BD112" s="72" t="n">
        <f aca="false">BD110+BD111</f>
        <v>405247.914748822</v>
      </c>
      <c r="BE112" s="72" t="n">
        <f aca="false">BE110+BE111</f>
        <v>403737.125989261</v>
      </c>
      <c r="BF112" s="72" t="n">
        <f aca="false">BF110+BF111</f>
        <v>402240.226118588</v>
      </c>
      <c r="BG112" s="72" t="n">
        <f aca="false">BG110+BG111</f>
        <v>400757.215136804</v>
      </c>
      <c r="BH112" s="72" t="n">
        <f aca="false">BH110+BH111</f>
        <v>399288.093043909</v>
      </c>
      <c r="BI112" s="72" t="n">
        <f aca="false">BI110+BI111</f>
        <v>397832.859839903</v>
      </c>
      <c r="BJ112" s="72" t="n">
        <f aca="false">BJ110+BJ111</f>
        <v>396391.515524786</v>
      </c>
    </row>
    <row r="113" customFormat="false" ht="15" hidden="false" customHeight="false" outlineLevel="0" collapsed="false">
      <c r="A113" s="6" t="s">
        <v>461</v>
      </c>
      <c r="C113" s="66" t="n">
        <f aca="false">C109-C112</f>
        <v>0</v>
      </c>
      <c r="D113" s="66" t="n">
        <f aca="false">D109-D112</f>
        <v>0</v>
      </c>
      <c r="E113" s="66" t="n">
        <f aca="false">E109-E112</f>
        <v>0</v>
      </c>
      <c r="F113" s="66" t="n">
        <f aca="false">F109-F112</f>
        <v>0</v>
      </c>
      <c r="G113" s="66" t="n">
        <f aca="false">G109-G112</f>
        <v>0</v>
      </c>
      <c r="H113" s="66" t="n">
        <f aca="false">H109-H112</f>
        <v>0</v>
      </c>
      <c r="I113" s="66" t="n">
        <f aca="false">I109-I112</f>
        <v>0</v>
      </c>
      <c r="J113" s="66" t="n">
        <f aca="false">J109-J112</f>
        <v>0</v>
      </c>
      <c r="K113" s="66" t="n">
        <f aca="false">K109-K112</f>
        <v>0</v>
      </c>
      <c r="L113" s="66" t="n">
        <f aca="false">L109-L112</f>
        <v>0</v>
      </c>
      <c r="M113" s="66" t="n">
        <f aca="false">M109-M112</f>
        <v>0</v>
      </c>
      <c r="N113" s="66" t="n">
        <f aca="false">N109-N112</f>
        <v>0</v>
      </c>
      <c r="O113" s="66" t="n">
        <f aca="false">O109-O112</f>
        <v>0</v>
      </c>
      <c r="P113" s="66" t="n">
        <f aca="false">P109-P112</f>
        <v>0</v>
      </c>
      <c r="Q113" s="66" t="n">
        <f aca="false">Q109-Q112</f>
        <v>0</v>
      </c>
      <c r="R113" s="66" t="n">
        <f aca="false">R109-R112</f>
        <v>0</v>
      </c>
      <c r="S113" s="66" t="n">
        <f aca="false">S109-S112</f>
        <v>0</v>
      </c>
      <c r="T113" s="66" t="n">
        <f aca="false">T109-T112</f>
        <v>0</v>
      </c>
      <c r="U113" s="66" t="n">
        <f aca="false">U109-U112</f>
        <v>0</v>
      </c>
      <c r="V113" s="66" t="n">
        <f aca="false">V109-V112</f>
        <v>0</v>
      </c>
      <c r="W113" s="66" t="n">
        <f aca="false">W109-W112</f>
        <v>0</v>
      </c>
      <c r="X113" s="66" t="n">
        <f aca="false">X109-X112</f>
        <v>0</v>
      </c>
      <c r="Y113" s="66" t="n">
        <f aca="false">Y109-Y112</f>
        <v>0</v>
      </c>
      <c r="Z113" s="66" t="n">
        <f aca="false">Z109-Z112</f>
        <v>0</v>
      </c>
      <c r="AA113" s="66" t="n">
        <f aca="false">AA109-AA112</f>
        <v>0</v>
      </c>
      <c r="AB113" s="66" t="n">
        <f aca="false">AB109-AB112</f>
        <v>0</v>
      </c>
      <c r="AC113" s="66" t="n">
        <f aca="false">AC109-AC112</f>
        <v>0</v>
      </c>
      <c r="AD113" s="66" t="n">
        <f aca="false">AD109-AD112</f>
        <v>0</v>
      </c>
      <c r="AE113" s="66" t="n">
        <f aca="false">AE109-AE112</f>
        <v>0</v>
      </c>
      <c r="AF113" s="66" t="n">
        <f aca="false">AF109-AF112</f>
        <v>0</v>
      </c>
      <c r="AG113" s="66" t="n">
        <f aca="false">AG109-AG112</f>
        <v>0</v>
      </c>
      <c r="AH113" s="66" t="n">
        <f aca="false">AH109-AH112</f>
        <v>0</v>
      </c>
      <c r="AI113" s="66" t="n">
        <f aca="false">AI109-AI112</f>
        <v>0</v>
      </c>
      <c r="AJ113" s="66" t="n">
        <f aca="false">AJ109-AJ112</f>
        <v>0</v>
      </c>
      <c r="AK113" s="66" t="n">
        <f aca="false">AK109-AK112</f>
        <v>0</v>
      </c>
      <c r="AL113" s="66" t="n">
        <f aca="false">AL109-AL112</f>
        <v>0</v>
      </c>
      <c r="AM113" s="66" t="n">
        <f aca="false">AM109-AM112</f>
        <v>0</v>
      </c>
      <c r="AN113" s="66" t="n">
        <f aca="false">AN109-AN112</f>
        <v>0</v>
      </c>
      <c r="AO113" s="66" t="n">
        <f aca="false">AO109-AO112</f>
        <v>0</v>
      </c>
      <c r="AP113" s="66" t="n">
        <f aca="false">AP109-AP112</f>
        <v>0</v>
      </c>
      <c r="AQ113" s="66" t="n">
        <f aca="false">AQ109-AQ112</f>
        <v>0</v>
      </c>
      <c r="AR113" s="66" t="n">
        <f aca="false">AR109-AR112</f>
        <v>0</v>
      </c>
      <c r="AS113" s="66" t="n">
        <f aca="false">AS109-AS112</f>
        <v>0</v>
      </c>
      <c r="AT113" s="66" t="n">
        <f aca="false">AT109-AT112</f>
        <v>0</v>
      </c>
      <c r="AU113" s="66" t="n">
        <f aca="false">AU109-AU112</f>
        <v>0</v>
      </c>
      <c r="AV113" s="66" t="n">
        <f aca="false">AV109-AV112</f>
        <v>0</v>
      </c>
      <c r="AW113" s="66" t="n">
        <f aca="false">AW109-AW112</f>
        <v>0</v>
      </c>
      <c r="AX113" s="66" t="n">
        <f aca="false">AX109-AX112</f>
        <v>0</v>
      </c>
      <c r="AY113" s="66" t="n">
        <f aca="false">AY109-AY112</f>
        <v>0</v>
      </c>
      <c r="AZ113" s="66" t="n">
        <f aca="false">AZ109-AZ112</f>
        <v>0</v>
      </c>
      <c r="BA113" s="66" t="n">
        <f aca="false">BA109-BA112</f>
        <v>0</v>
      </c>
      <c r="BB113" s="66" t="n">
        <f aca="false">BB109-BB112</f>
        <v>0</v>
      </c>
      <c r="BC113" s="66" t="n">
        <f aca="false">BC109-BC112</f>
        <v>0</v>
      </c>
      <c r="BD113" s="66" t="n">
        <f aca="false">BD109-BD112</f>
        <v>0</v>
      </c>
      <c r="BE113" s="66" t="n">
        <f aca="false">BE109-BE112</f>
        <v>0</v>
      </c>
      <c r="BF113" s="66" t="n">
        <f aca="false">BF109-BF112</f>
        <v>0</v>
      </c>
      <c r="BG113" s="66" t="n">
        <f aca="false">BG109-BG112</f>
        <v>0</v>
      </c>
      <c r="BH113" s="66" t="n">
        <f aca="false">BH109-BH112</f>
        <v>0</v>
      </c>
      <c r="BI113" s="66" t="n">
        <f aca="false">BI109-BI112</f>
        <v>0</v>
      </c>
      <c r="BJ113" s="66" t="n">
        <f aca="false">BJ109-BJ112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462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354</v>
      </c>
    </row>
    <row r="3" customFormat="false" ht="15" hidden="false" customHeight="false" outlineLevel="0" collapsed="false">
      <c r="A3" s="33" t="s">
        <v>355</v>
      </c>
      <c r="C3" s="51" t="s">
        <v>356</v>
      </c>
      <c r="D3" s="51" t="s">
        <v>357</v>
      </c>
      <c r="E3" s="51" t="s">
        <v>358</v>
      </c>
      <c r="F3" s="51" t="s">
        <v>359</v>
      </c>
      <c r="G3" s="51" t="s">
        <v>360</v>
      </c>
      <c r="H3" s="51" t="s">
        <v>361</v>
      </c>
      <c r="I3" s="51" t="s">
        <v>362</v>
      </c>
      <c r="J3" s="51" t="s">
        <v>363</v>
      </c>
      <c r="K3" s="51" t="s">
        <v>364</v>
      </c>
      <c r="L3" s="51" t="s">
        <v>365</v>
      </c>
      <c r="M3" s="51" t="s">
        <v>366</v>
      </c>
      <c r="N3" s="51" t="s">
        <v>367</v>
      </c>
      <c r="O3" s="51" t="s">
        <v>368</v>
      </c>
      <c r="P3" s="51" t="s">
        <v>369</v>
      </c>
      <c r="Q3" s="51" t="s">
        <v>370</v>
      </c>
      <c r="R3" s="51" t="s">
        <v>371</v>
      </c>
      <c r="S3" s="51" t="s">
        <v>372</v>
      </c>
      <c r="T3" s="51" t="s">
        <v>373</v>
      </c>
      <c r="U3" s="51" t="s">
        <v>374</v>
      </c>
      <c r="V3" s="51" t="s">
        <v>375</v>
      </c>
      <c r="W3" s="51" t="s">
        <v>376</v>
      </c>
      <c r="X3" s="51" t="s">
        <v>377</v>
      </c>
      <c r="Y3" s="51" t="s">
        <v>378</v>
      </c>
      <c r="Z3" s="51" t="s">
        <v>379</v>
      </c>
      <c r="AA3" s="51" t="s">
        <v>380</v>
      </c>
      <c r="AB3" s="51" t="s">
        <v>381</v>
      </c>
      <c r="AC3" s="51" t="s">
        <v>382</v>
      </c>
      <c r="AD3" s="51" t="s">
        <v>383</v>
      </c>
      <c r="AE3" s="51" t="s">
        <v>384</v>
      </c>
      <c r="AF3" s="51" t="s">
        <v>385</v>
      </c>
      <c r="AG3" s="51" t="s">
        <v>386</v>
      </c>
      <c r="AH3" s="51" t="s">
        <v>387</v>
      </c>
      <c r="AI3" s="51" t="s">
        <v>388</v>
      </c>
      <c r="AJ3" s="51" t="s">
        <v>389</v>
      </c>
      <c r="AK3" s="51" t="s">
        <v>390</v>
      </c>
      <c r="AL3" s="51" t="s">
        <v>391</v>
      </c>
      <c r="AM3" s="51" t="s">
        <v>392</v>
      </c>
      <c r="AN3" s="51" t="s">
        <v>393</v>
      </c>
      <c r="AO3" s="51" t="s">
        <v>394</v>
      </c>
      <c r="AP3" s="51" t="s">
        <v>395</v>
      </c>
      <c r="AQ3" s="51" t="s">
        <v>396</v>
      </c>
      <c r="AR3" s="51" t="s">
        <v>397</v>
      </c>
      <c r="AS3" s="51" t="s">
        <v>398</v>
      </c>
      <c r="AT3" s="51" t="s">
        <v>399</v>
      </c>
      <c r="AU3" s="51" t="s">
        <v>400</v>
      </c>
      <c r="AV3" s="51" t="s">
        <v>401</v>
      </c>
      <c r="AW3" s="51" t="s">
        <v>402</v>
      </c>
      <c r="AX3" s="51" t="s">
        <v>403</v>
      </c>
      <c r="AY3" s="51" t="s">
        <v>404</v>
      </c>
      <c r="AZ3" s="51" t="s">
        <v>405</v>
      </c>
      <c r="BA3" s="51" t="s">
        <v>406</v>
      </c>
      <c r="BB3" s="51" t="s">
        <v>407</v>
      </c>
      <c r="BC3" s="51" t="s">
        <v>408</v>
      </c>
      <c r="BD3" s="51" t="s">
        <v>409</v>
      </c>
      <c r="BE3" s="51" t="s">
        <v>410</v>
      </c>
      <c r="BF3" s="51" t="s">
        <v>411</v>
      </c>
      <c r="BG3" s="51" t="s">
        <v>412</v>
      </c>
      <c r="BH3" s="51" t="s">
        <v>413</v>
      </c>
      <c r="BI3" s="51" t="s">
        <v>414</v>
      </c>
      <c r="BJ3" s="51" t="s">
        <v>415</v>
      </c>
    </row>
    <row r="4" customFormat="false" ht="15" hidden="false" customHeight="false" outlineLevel="0" collapsed="false">
      <c r="A4" s="71" t="s">
        <v>416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  <c r="AM4" s="71" t="n">
        <v>37</v>
      </c>
      <c r="AN4" s="71" t="n">
        <v>38</v>
      </c>
      <c r="AO4" s="71" t="n">
        <v>39</v>
      </c>
      <c r="AP4" s="71" t="n">
        <v>40</v>
      </c>
      <c r="AQ4" s="71" t="n">
        <v>41</v>
      </c>
      <c r="AR4" s="71" t="n">
        <v>42</v>
      </c>
      <c r="AS4" s="71" t="n">
        <v>43</v>
      </c>
      <c r="AT4" s="71" t="n">
        <v>44</v>
      </c>
      <c r="AU4" s="71" t="n">
        <v>45</v>
      </c>
      <c r="AV4" s="71" t="n">
        <v>46</v>
      </c>
      <c r="AW4" s="71" t="n">
        <v>47</v>
      </c>
      <c r="AX4" s="71" t="n">
        <v>48</v>
      </c>
      <c r="AY4" s="71" t="n">
        <v>49</v>
      </c>
      <c r="AZ4" s="71" t="n">
        <v>50</v>
      </c>
      <c r="BA4" s="71" t="n">
        <v>51</v>
      </c>
      <c r="BB4" s="71" t="n">
        <v>52</v>
      </c>
      <c r="BC4" s="71" t="n">
        <v>53</v>
      </c>
      <c r="BD4" s="71" t="n">
        <v>54</v>
      </c>
      <c r="BE4" s="71" t="n">
        <v>55</v>
      </c>
      <c r="BF4" s="71" t="n">
        <v>56</v>
      </c>
      <c r="BG4" s="71" t="n">
        <v>57</v>
      </c>
      <c r="BH4" s="71" t="n">
        <v>58</v>
      </c>
      <c r="BI4" s="71" t="n">
        <v>59</v>
      </c>
      <c r="BJ4" s="71" t="n">
        <v>60</v>
      </c>
    </row>
    <row r="5" customFormat="false" ht="15" hidden="false" customHeight="false" outlineLevel="0" collapsed="false">
      <c r="A5" s="71" t="s">
        <v>153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  <c r="AM5" s="71" t="n">
        <f aca="false">ROUNDUP(AM4*1/12,0)</f>
        <v>4</v>
      </c>
      <c r="AN5" s="71" t="n">
        <f aca="false">ROUNDUP(AN4*1/12,0)</f>
        <v>4</v>
      </c>
      <c r="AO5" s="71" t="n">
        <f aca="false">ROUNDUP(AO4*1/12,0)</f>
        <v>4</v>
      </c>
      <c r="AP5" s="71" t="n">
        <f aca="false">ROUNDUP(AP4*1/12,0)</f>
        <v>4</v>
      </c>
      <c r="AQ5" s="71" t="n">
        <f aca="false">ROUNDUP(AQ4*1/12,0)</f>
        <v>4</v>
      </c>
      <c r="AR5" s="71" t="n">
        <f aca="false">ROUNDUP(AR4*1/12,0)</f>
        <v>4</v>
      </c>
      <c r="AS5" s="71" t="n">
        <f aca="false">ROUNDUP(AS4*1/12,0)</f>
        <v>4</v>
      </c>
      <c r="AT5" s="71" t="n">
        <f aca="false">ROUNDUP(AT4*1/12,0)</f>
        <v>4</v>
      </c>
      <c r="AU5" s="71" t="n">
        <f aca="false">ROUNDUP(AU4*1/12,0)</f>
        <v>4</v>
      </c>
      <c r="AV5" s="71" t="n">
        <f aca="false">ROUNDUP(AV4*1/12,0)</f>
        <v>4</v>
      </c>
      <c r="AW5" s="71" t="n">
        <f aca="false">ROUNDUP(AW4*1/12,0)</f>
        <v>4</v>
      </c>
      <c r="AX5" s="71" t="n">
        <f aca="false">ROUNDUP(AX4*1/12,0)</f>
        <v>4</v>
      </c>
      <c r="AY5" s="71" t="n">
        <f aca="false">ROUNDUP(AY4*1/12,0)</f>
        <v>5</v>
      </c>
      <c r="AZ5" s="71" t="n">
        <f aca="false">ROUNDUP(AZ4*1/12,0)</f>
        <v>5</v>
      </c>
      <c r="BA5" s="71" t="n">
        <f aca="false">ROUNDUP(BA4*1/12,0)</f>
        <v>5</v>
      </c>
      <c r="BB5" s="71" t="n">
        <f aca="false">ROUNDUP(BB4*1/12,0)</f>
        <v>5</v>
      </c>
      <c r="BC5" s="71" t="n">
        <f aca="false">ROUNDUP(BC4*1/12,0)</f>
        <v>5</v>
      </c>
      <c r="BD5" s="71" t="n">
        <f aca="false">ROUNDUP(BD4*1/12,0)</f>
        <v>5</v>
      </c>
      <c r="BE5" s="71" t="n">
        <f aca="false">ROUNDUP(BE4*1/12,0)</f>
        <v>5</v>
      </c>
      <c r="BF5" s="71" t="n">
        <f aca="false">ROUNDUP(BF4*1/12,0)</f>
        <v>5</v>
      </c>
      <c r="BG5" s="71" t="n">
        <f aca="false">ROUNDUP(BG4*1/12,0)</f>
        <v>5</v>
      </c>
      <c r="BH5" s="71" t="n">
        <f aca="false">ROUNDUP(BH4*1/12,0)</f>
        <v>5</v>
      </c>
      <c r="BI5" s="71" t="n">
        <f aca="false">ROUNDUP(BI4*1/12,0)</f>
        <v>5</v>
      </c>
      <c r="BJ5" s="71" t="n">
        <f aca="false">ROUNDUP(BJ4*1/12,0)</f>
        <v>5</v>
      </c>
    </row>
    <row r="7" customFormat="false" ht="15.75" hidden="false" customHeight="true" outlineLevel="0" collapsed="false">
      <c r="A7" s="7" t="s">
        <v>463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464</v>
      </c>
      <c r="C8" s="115" t="n">
        <f aca="false">Inputs!$E$57*(1+Inputs!$E$59)^(C$5-1)*MAX(0,MIN(1,C$4*1-Inputs!$E$60+1))/1</f>
        <v>1</v>
      </c>
      <c r="D8" s="115" t="n">
        <f aca="false">Inputs!$E$57*(1+Inputs!$E$59)^(D$5-1)*MAX(0,MIN(1,D$4*1-Inputs!$E$60+1))/1</f>
        <v>1</v>
      </c>
      <c r="E8" s="115" t="n">
        <f aca="false">Inputs!$E$57*(1+Inputs!$E$59)^(E$5-1)*MAX(0,MIN(1,E$4*1-Inputs!$E$60+1))/1</f>
        <v>1</v>
      </c>
      <c r="F8" s="115" t="n">
        <f aca="false">Inputs!$E$57*(1+Inputs!$E$59)^(F$5-1)*MAX(0,MIN(1,F$4*1-Inputs!$E$60+1))/1</f>
        <v>1</v>
      </c>
      <c r="G8" s="115" t="n">
        <f aca="false">Inputs!$E$57*(1+Inputs!$E$59)^(G$5-1)*MAX(0,MIN(1,G$4*1-Inputs!$E$60+1))/1</f>
        <v>1</v>
      </c>
      <c r="H8" s="115" t="n">
        <f aca="false">Inputs!$E$57*(1+Inputs!$E$59)^(H$5-1)*MAX(0,MIN(1,H$4*1-Inputs!$E$60+1))/1</f>
        <v>1</v>
      </c>
      <c r="I8" s="115" t="n">
        <f aca="false">Inputs!$E$57*(1+Inputs!$E$59)^(I$5-1)*MAX(0,MIN(1,I$4*1-Inputs!$E$60+1))/1</f>
        <v>1</v>
      </c>
      <c r="J8" s="115" t="n">
        <f aca="false">Inputs!$E$57*(1+Inputs!$E$59)^(J$5-1)*MAX(0,MIN(1,J$4*1-Inputs!$E$60+1))/1</f>
        <v>1</v>
      </c>
      <c r="K8" s="115" t="n">
        <f aca="false">Inputs!$E$57*(1+Inputs!$E$59)^(K$5-1)*MAX(0,MIN(1,K$4*1-Inputs!$E$60+1))/1</f>
        <v>1</v>
      </c>
      <c r="L8" s="115" t="n">
        <f aca="false">Inputs!$E$57*(1+Inputs!$E$59)^(L$5-1)*MAX(0,MIN(1,L$4*1-Inputs!$E$60+1))/1</f>
        <v>1</v>
      </c>
      <c r="M8" s="115" t="n">
        <f aca="false">Inputs!$E$57*(1+Inputs!$E$59)^(M$5-1)*MAX(0,MIN(1,M$4*1-Inputs!$E$60+1))/1</f>
        <v>1</v>
      </c>
      <c r="N8" s="115" t="n">
        <f aca="false">Inputs!$E$57*(1+Inputs!$E$59)^(N$5-1)*MAX(0,MIN(1,N$4*1-Inputs!$E$60+1))/1</f>
        <v>1</v>
      </c>
      <c r="O8" s="115" t="n">
        <f aca="false">Inputs!$E$57*(1+Inputs!$E$59)^(O$5-1)*MAX(0,MIN(1,O$4*1-Inputs!$E$60+1))/1</f>
        <v>1</v>
      </c>
      <c r="P8" s="115" t="n">
        <f aca="false">Inputs!$E$57*(1+Inputs!$E$59)^(P$5-1)*MAX(0,MIN(1,P$4*1-Inputs!$E$60+1))/1</f>
        <v>1</v>
      </c>
      <c r="Q8" s="115" t="n">
        <f aca="false">Inputs!$E$57*(1+Inputs!$E$59)^(Q$5-1)*MAX(0,MIN(1,Q$4*1-Inputs!$E$60+1))/1</f>
        <v>1</v>
      </c>
      <c r="R8" s="115" t="n">
        <f aca="false">Inputs!$E$57*(1+Inputs!$E$59)^(R$5-1)*MAX(0,MIN(1,R$4*1-Inputs!$E$60+1))/1</f>
        <v>1</v>
      </c>
      <c r="S8" s="115" t="n">
        <f aca="false">Inputs!$E$57*(1+Inputs!$E$59)^(S$5-1)*MAX(0,MIN(1,S$4*1-Inputs!$E$60+1))/1</f>
        <v>1</v>
      </c>
      <c r="T8" s="115" t="n">
        <f aca="false">Inputs!$E$57*(1+Inputs!$E$59)^(T$5-1)*MAX(0,MIN(1,T$4*1-Inputs!$E$60+1))/1</f>
        <v>1</v>
      </c>
      <c r="U8" s="115" t="n">
        <f aca="false">Inputs!$E$57*(1+Inputs!$E$59)^(U$5-1)*MAX(0,MIN(1,U$4*1-Inputs!$E$60+1))/1</f>
        <v>1</v>
      </c>
      <c r="V8" s="115" t="n">
        <f aca="false">Inputs!$E$57*(1+Inputs!$E$59)^(V$5-1)*MAX(0,MIN(1,V$4*1-Inputs!$E$60+1))/1</f>
        <v>1</v>
      </c>
      <c r="W8" s="115" t="n">
        <f aca="false">Inputs!$E$57*(1+Inputs!$E$59)^(W$5-1)*MAX(0,MIN(1,W$4*1-Inputs!$E$60+1))/1</f>
        <v>1</v>
      </c>
      <c r="X8" s="115" t="n">
        <f aca="false">Inputs!$E$57*(1+Inputs!$E$59)^(X$5-1)*MAX(0,MIN(1,X$4*1-Inputs!$E$60+1))/1</f>
        <v>1</v>
      </c>
      <c r="Y8" s="115" t="n">
        <f aca="false">Inputs!$E$57*(1+Inputs!$E$59)^(Y$5-1)*MAX(0,MIN(1,Y$4*1-Inputs!$E$60+1))/1</f>
        <v>1</v>
      </c>
      <c r="Z8" s="115" t="n">
        <f aca="false">Inputs!$E$57*(1+Inputs!$E$59)^(Z$5-1)*MAX(0,MIN(1,Z$4*1-Inputs!$E$60+1))/1</f>
        <v>1</v>
      </c>
      <c r="AA8" s="115" t="n">
        <f aca="false">Inputs!$E$57*(1+Inputs!$E$59)^(AA$5-1)*MAX(0,MIN(1,AA$4*1-Inputs!$E$60+1))/1</f>
        <v>1</v>
      </c>
      <c r="AB8" s="115" t="n">
        <f aca="false">Inputs!$E$57*(1+Inputs!$E$59)^(AB$5-1)*MAX(0,MIN(1,AB$4*1-Inputs!$E$60+1))/1</f>
        <v>1</v>
      </c>
      <c r="AC8" s="115" t="n">
        <f aca="false">Inputs!$E$57*(1+Inputs!$E$59)^(AC$5-1)*MAX(0,MIN(1,AC$4*1-Inputs!$E$60+1))/1</f>
        <v>1</v>
      </c>
      <c r="AD8" s="115" t="n">
        <f aca="false">Inputs!$E$57*(1+Inputs!$E$59)^(AD$5-1)*MAX(0,MIN(1,AD$4*1-Inputs!$E$60+1))/1</f>
        <v>1</v>
      </c>
      <c r="AE8" s="115" t="n">
        <f aca="false">Inputs!$E$57*(1+Inputs!$E$59)^(AE$5-1)*MAX(0,MIN(1,AE$4*1-Inputs!$E$60+1))/1</f>
        <v>1</v>
      </c>
      <c r="AF8" s="115" t="n">
        <f aca="false">Inputs!$E$57*(1+Inputs!$E$59)^(AF$5-1)*MAX(0,MIN(1,AF$4*1-Inputs!$E$60+1))/1</f>
        <v>1</v>
      </c>
      <c r="AG8" s="115" t="n">
        <f aca="false">Inputs!$E$57*(1+Inputs!$E$59)^(AG$5-1)*MAX(0,MIN(1,AG$4*1-Inputs!$E$60+1))/1</f>
        <v>1</v>
      </c>
      <c r="AH8" s="115" t="n">
        <f aca="false">Inputs!$E$57*(1+Inputs!$E$59)^(AH$5-1)*MAX(0,MIN(1,AH$4*1-Inputs!$E$60+1))/1</f>
        <v>1</v>
      </c>
      <c r="AI8" s="115" t="n">
        <f aca="false">Inputs!$E$57*(1+Inputs!$E$59)^(AI$5-1)*MAX(0,MIN(1,AI$4*1-Inputs!$E$60+1))/1</f>
        <v>1</v>
      </c>
      <c r="AJ8" s="115" t="n">
        <f aca="false">Inputs!$E$57*(1+Inputs!$E$59)^(AJ$5-1)*MAX(0,MIN(1,AJ$4*1-Inputs!$E$60+1))/1</f>
        <v>1</v>
      </c>
      <c r="AK8" s="115" t="n">
        <f aca="false">Inputs!$E$57*(1+Inputs!$E$59)^(AK$5-1)*MAX(0,MIN(1,AK$4*1-Inputs!$E$60+1))/1</f>
        <v>1</v>
      </c>
      <c r="AL8" s="115" t="n">
        <f aca="false">Inputs!$E$57*(1+Inputs!$E$59)^(AL$5-1)*MAX(0,MIN(1,AL$4*1-Inputs!$E$60+1))/1</f>
        <v>1</v>
      </c>
      <c r="AM8" s="115" t="n">
        <f aca="false">Inputs!$E$57*(1+Inputs!$E$59)^(AM$5-1)*MAX(0,MIN(1,AM$4*1-Inputs!$E$60+1))/1</f>
        <v>1</v>
      </c>
      <c r="AN8" s="115" t="n">
        <f aca="false">Inputs!$E$57*(1+Inputs!$E$59)^(AN$5-1)*MAX(0,MIN(1,AN$4*1-Inputs!$E$60+1))/1</f>
        <v>1</v>
      </c>
      <c r="AO8" s="115" t="n">
        <f aca="false">Inputs!$E$57*(1+Inputs!$E$59)^(AO$5-1)*MAX(0,MIN(1,AO$4*1-Inputs!$E$60+1))/1</f>
        <v>1</v>
      </c>
      <c r="AP8" s="115" t="n">
        <f aca="false">Inputs!$E$57*(1+Inputs!$E$59)^(AP$5-1)*MAX(0,MIN(1,AP$4*1-Inputs!$E$60+1))/1</f>
        <v>1</v>
      </c>
      <c r="AQ8" s="115" t="n">
        <f aca="false">Inputs!$E$57*(1+Inputs!$E$59)^(AQ$5-1)*MAX(0,MIN(1,AQ$4*1-Inputs!$E$60+1))/1</f>
        <v>1</v>
      </c>
      <c r="AR8" s="115" t="n">
        <f aca="false">Inputs!$E$57*(1+Inputs!$E$59)^(AR$5-1)*MAX(0,MIN(1,AR$4*1-Inputs!$E$60+1))/1</f>
        <v>1</v>
      </c>
      <c r="AS8" s="115" t="n">
        <f aca="false">Inputs!$E$57*(1+Inputs!$E$59)^(AS$5-1)*MAX(0,MIN(1,AS$4*1-Inputs!$E$60+1))/1</f>
        <v>1</v>
      </c>
      <c r="AT8" s="115" t="n">
        <f aca="false">Inputs!$E$57*(1+Inputs!$E$59)^(AT$5-1)*MAX(0,MIN(1,AT$4*1-Inputs!$E$60+1))/1</f>
        <v>1</v>
      </c>
      <c r="AU8" s="115" t="n">
        <f aca="false">Inputs!$E$57*(1+Inputs!$E$59)^(AU$5-1)*MAX(0,MIN(1,AU$4*1-Inputs!$E$60+1))/1</f>
        <v>1</v>
      </c>
      <c r="AV8" s="115" t="n">
        <f aca="false">Inputs!$E$57*(1+Inputs!$E$59)^(AV$5-1)*MAX(0,MIN(1,AV$4*1-Inputs!$E$60+1))/1</f>
        <v>1</v>
      </c>
      <c r="AW8" s="115" t="n">
        <f aca="false">Inputs!$E$57*(1+Inputs!$E$59)^(AW$5-1)*MAX(0,MIN(1,AW$4*1-Inputs!$E$60+1))/1</f>
        <v>1</v>
      </c>
      <c r="AX8" s="115" t="n">
        <f aca="false">Inputs!$E$57*(1+Inputs!$E$59)^(AX$5-1)*MAX(0,MIN(1,AX$4*1-Inputs!$E$60+1))/1</f>
        <v>1</v>
      </c>
      <c r="AY8" s="115" t="n">
        <f aca="false">Inputs!$E$57*(1+Inputs!$E$59)^(AY$5-1)*MAX(0,MIN(1,AY$4*1-Inputs!$E$60+1))/1</f>
        <v>1</v>
      </c>
      <c r="AZ8" s="115" t="n">
        <f aca="false">Inputs!$E$57*(1+Inputs!$E$59)^(AZ$5-1)*MAX(0,MIN(1,AZ$4*1-Inputs!$E$60+1))/1</f>
        <v>1</v>
      </c>
      <c r="BA8" s="115" t="n">
        <f aca="false">Inputs!$E$57*(1+Inputs!$E$59)^(BA$5-1)*MAX(0,MIN(1,BA$4*1-Inputs!$E$60+1))/1</f>
        <v>1</v>
      </c>
      <c r="BB8" s="115" t="n">
        <f aca="false">Inputs!$E$57*(1+Inputs!$E$59)^(BB$5-1)*MAX(0,MIN(1,BB$4*1-Inputs!$E$60+1))/1</f>
        <v>1</v>
      </c>
      <c r="BC8" s="115" t="n">
        <f aca="false">Inputs!$E$57*(1+Inputs!$E$59)^(BC$5-1)*MAX(0,MIN(1,BC$4*1-Inputs!$E$60+1))/1</f>
        <v>1</v>
      </c>
      <c r="BD8" s="115" t="n">
        <f aca="false">Inputs!$E$57*(1+Inputs!$E$59)^(BD$5-1)*MAX(0,MIN(1,BD$4*1-Inputs!$E$60+1))/1</f>
        <v>1</v>
      </c>
      <c r="BE8" s="115" t="n">
        <f aca="false">Inputs!$E$57*(1+Inputs!$E$59)^(BE$5-1)*MAX(0,MIN(1,BE$4*1-Inputs!$E$60+1))/1</f>
        <v>1</v>
      </c>
      <c r="BF8" s="115" t="n">
        <f aca="false">Inputs!$E$57*(1+Inputs!$E$59)^(BF$5-1)*MAX(0,MIN(1,BF$4*1-Inputs!$E$60+1))/1</f>
        <v>1</v>
      </c>
      <c r="BG8" s="115" t="n">
        <f aca="false">Inputs!$E$57*(1+Inputs!$E$59)^(BG$5-1)*MAX(0,MIN(1,BG$4*1-Inputs!$E$60+1))/1</f>
        <v>1</v>
      </c>
      <c r="BH8" s="115" t="n">
        <f aca="false">Inputs!$E$57*(1+Inputs!$E$59)^(BH$5-1)*MAX(0,MIN(1,BH$4*1-Inputs!$E$60+1))/1</f>
        <v>1</v>
      </c>
      <c r="BI8" s="115" t="n">
        <f aca="false">Inputs!$E$57*(1+Inputs!$E$59)^(BI$5-1)*MAX(0,MIN(1,BI$4*1-Inputs!$E$60+1))/1</f>
        <v>1</v>
      </c>
      <c r="BJ8" s="115" t="n">
        <f aca="false">Inputs!$E$57*(1+Inputs!$E$59)^(BJ$5-1)*MAX(0,MIN(1,BJ$4*1-Inputs!$E$60+1))/1</f>
        <v>1</v>
      </c>
    </row>
    <row r="9" customFormat="false" ht="15" hidden="false" customHeight="false" outlineLevel="0" collapsed="false">
      <c r="A9" s="6" t="s">
        <v>465</v>
      </c>
      <c r="C9" s="115" t="n">
        <f aca="false">Inputs!$E$61*(1+Inputs!$E$63)^(C$5-1)*MAX(0,MIN(1,C$4*1-Inputs!$E$64+1))/1</f>
        <v>0.5</v>
      </c>
      <c r="D9" s="115" t="n">
        <f aca="false">Inputs!$E$61*(1+Inputs!$E$63)^(D$5-1)*MAX(0,MIN(1,D$4*1-Inputs!$E$64+1))/1</f>
        <v>0.5</v>
      </c>
      <c r="E9" s="115" t="n">
        <f aca="false">Inputs!$E$61*(1+Inputs!$E$63)^(E$5-1)*MAX(0,MIN(1,E$4*1-Inputs!$E$64+1))/1</f>
        <v>0.5</v>
      </c>
      <c r="F9" s="115" t="n">
        <f aca="false">Inputs!$E$61*(1+Inputs!$E$63)^(F$5-1)*MAX(0,MIN(1,F$4*1-Inputs!$E$64+1))/1</f>
        <v>0.5</v>
      </c>
      <c r="G9" s="115" t="n">
        <f aca="false">Inputs!$E$61*(1+Inputs!$E$63)^(G$5-1)*MAX(0,MIN(1,G$4*1-Inputs!$E$64+1))/1</f>
        <v>0.5</v>
      </c>
      <c r="H9" s="115" t="n">
        <f aca="false">Inputs!$E$61*(1+Inputs!$E$63)^(H$5-1)*MAX(0,MIN(1,H$4*1-Inputs!$E$64+1))/1</f>
        <v>0.5</v>
      </c>
      <c r="I9" s="115" t="n">
        <f aca="false">Inputs!$E$61*(1+Inputs!$E$63)^(I$5-1)*MAX(0,MIN(1,I$4*1-Inputs!$E$64+1))/1</f>
        <v>0.5</v>
      </c>
      <c r="J9" s="115" t="n">
        <f aca="false">Inputs!$E$61*(1+Inputs!$E$63)^(J$5-1)*MAX(0,MIN(1,J$4*1-Inputs!$E$64+1))/1</f>
        <v>0.5</v>
      </c>
      <c r="K9" s="115" t="n">
        <f aca="false">Inputs!$E$61*(1+Inputs!$E$63)^(K$5-1)*MAX(0,MIN(1,K$4*1-Inputs!$E$64+1))/1</f>
        <v>0.5</v>
      </c>
      <c r="L9" s="115" t="n">
        <f aca="false">Inputs!$E$61*(1+Inputs!$E$63)^(L$5-1)*MAX(0,MIN(1,L$4*1-Inputs!$E$64+1))/1</f>
        <v>0.5</v>
      </c>
      <c r="M9" s="115" t="n">
        <f aca="false">Inputs!$E$61*(1+Inputs!$E$63)^(M$5-1)*MAX(0,MIN(1,M$4*1-Inputs!$E$64+1))/1</f>
        <v>0.5</v>
      </c>
      <c r="N9" s="115" t="n">
        <f aca="false">Inputs!$E$61*(1+Inputs!$E$63)^(N$5-1)*MAX(0,MIN(1,N$4*1-Inputs!$E$64+1))/1</f>
        <v>0.5</v>
      </c>
      <c r="O9" s="115" t="n">
        <f aca="false">Inputs!$E$61*(1+Inputs!$E$63)^(O$5-1)*MAX(0,MIN(1,O$4*1-Inputs!$E$64+1))/1</f>
        <v>0.5</v>
      </c>
      <c r="P9" s="115" t="n">
        <f aca="false">Inputs!$E$61*(1+Inputs!$E$63)^(P$5-1)*MAX(0,MIN(1,P$4*1-Inputs!$E$64+1))/1</f>
        <v>0.5</v>
      </c>
      <c r="Q9" s="115" t="n">
        <f aca="false">Inputs!$E$61*(1+Inputs!$E$63)^(Q$5-1)*MAX(0,MIN(1,Q$4*1-Inputs!$E$64+1))/1</f>
        <v>0.5</v>
      </c>
      <c r="R9" s="115" t="n">
        <f aca="false">Inputs!$E$61*(1+Inputs!$E$63)^(R$5-1)*MAX(0,MIN(1,R$4*1-Inputs!$E$64+1))/1</f>
        <v>0.5</v>
      </c>
      <c r="S9" s="115" t="n">
        <f aca="false">Inputs!$E$61*(1+Inputs!$E$63)^(S$5-1)*MAX(0,MIN(1,S$4*1-Inputs!$E$64+1))/1</f>
        <v>0.5</v>
      </c>
      <c r="T9" s="115" t="n">
        <f aca="false">Inputs!$E$61*(1+Inputs!$E$63)^(T$5-1)*MAX(0,MIN(1,T$4*1-Inputs!$E$64+1))/1</f>
        <v>0.5</v>
      </c>
      <c r="U9" s="115" t="n">
        <f aca="false">Inputs!$E$61*(1+Inputs!$E$63)^(U$5-1)*MAX(0,MIN(1,U$4*1-Inputs!$E$64+1))/1</f>
        <v>0.5</v>
      </c>
      <c r="V9" s="115" t="n">
        <f aca="false">Inputs!$E$61*(1+Inputs!$E$63)^(V$5-1)*MAX(0,MIN(1,V$4*1-Inputs!$E$64+1))/1</f>
        <v>0.5</v>
      </c>
      <c r="W9" s="115" t="n">
        <f aca="false">Inputs!$E$61*(1+Inputs!$E$63)^(W$5-1)*MAX(0,MIN(1,W$4*1-Inputs!$E$64+1))/1</f>
        <v>0.5</v>
      </c>
      <c r="X9" s="115" t="n">
        <f aca="false">Inputs!$E$61*(1+Inputs!$E$63)^(X$5-1)*MAX(0,MIN(1,X$4*1-Inputs!$E$64+1))/1</f>
        <v>0.5</v>
      </c>
      <c r="Y9" s="115" t="n">
        <f aca="false">Inputs!$E$61*(1+Inputs!$E$63)^(Y$5-1)*MAX(0,MIN(1,Y$4*1-Inputs!$E$64+1))/1</f>
        <v>0.5</v>
      </c>
      <c r="Z9" s="115" t="n">
        <f aca="false">Inputs!$E$61*(1+Inputs!$E$63)^(Z$5-1)*MAX(0,MIN(1,Z$4*1-Inputs!$E$64+1))/1</f>
        <v>0.5</v>
      </c>
      <c r="AA9" s="115" t="n">
        <f aca="false">Inputs!$E$61*(1+Inputs!$E$63)^(AA$5-1)*MAX(0,MIN(1,AA$4*1-Inputs!$E$64+1))/1</f>
        <v>0.5</v>
      </c>
      <c r="AB9" s="115" t="n">
        <f aca="false">Inputs!$E$61*(1+Inputs!$E$63)^(AB$5-1)*MAX(0,MIN(1,AB$4*1-Inputs!$E$64+1))/1</f>
        <v>0.5</v>
      </c>
      <c r="AC9" s="115" t="n">
        <f aca="false">Inputs!$E$61*(1+Inputs!$E$63)^(AC$5-1)*MAX(0,MIN(1,AC$4*1-Inputs!$E$64+1))/1</f>
        <v>0.5</v>
      </c>
      <c r="AD9" s="115" t="n">
        <f aca="false">Inputs!$E$61*(1+Inputs!$E$63)^(AD$5-1)*MAX(0,MIN(1,AD$4*1-Inputs!$E$64+1))/1</f>
        <v>0.5</v>
      </c>
      <c r="AE9" s="115" t="n">
        <f aca="false">Inputs!$E$61*(1+Inputs!$E$63)^(AE$5-1)*MAX(0,MIN(1,AE$4*1-Inputs!$E$64+1))/1</f>
        <v>0.5</v>
      </c>
      <c r="AF9" s="115" t="n">
        <f aca="false">Inputs!$E$61*(1+Inputs!$E$63)^(AF$5-1)*MAX(0,MIN(1,AF$4*1-Inputs!$E$64+1))/1</f>
        <v>0.5</v>
      </c>
      <c r="AG9" s="115" t="n">
        <f aca="false">Inputs!$E$61*(1+Inputs!$E$63)^(AG$5-1)*MAX(0,MIN(1,AG$4*1-Inputs!$E$64+1))/1</f>
        <v>0.5</v>
      </c>
      <c r="AH9" s="115" t="n">
        <f aca="false">Inputs!$E$61*(1+Inputs!$E$63)^(AH$5-1)*MAX(0,MIN(1,AH$4*1-Inputs!$E$64+1))/1</f>
        <v>0.5</v>
      </c>
      <c r="AI9" s="115" t="n">
        <f aca="false">Inputs!$E$61*(1+Inputs!$E$63)^(AI$5-1)*MAX(0,MIN(1,AI$4*1-Inputs!$E$64+1))/1</f>
        <v>0.5</v>
      </c>
      <c r="AJ9" s="115" t="n">
        <f aca="false">Inputs!$E$61*(1+Inputs!$E$63)^(AJ$5-1)*MAX(0,MIN(1,AJ$4*1-Inputs!$E$64+1))/1</f>
        <v>0.5</v>
      </c>
      <c r="AK9" s="115" t="n">
        <f aca="false">Inputs!$E$61*(1+Inputs!$E$63)^(AK$5-1)*MAX(0,MIN(1,AK$4*1-Inputs!$E$64+1))/1</f>
        <v>0.5</v>
      </c>
      <c r="AL9" s="115" t="n">
        <f aca="false">Inputs!$E$61*(1+Inputs!$E$63)^(AL$5-1)*MAX(0,MIN(1,AL$4*1-Inputs!$E$64+1))/1</f>
        <v>0.5</v>
      </c>
      <c r="AM9" s="115" t="n">
        <f aca="false">Inputs!$E$61*(1+Inputs!$E$63)^(AM$5-1)*MAX(0,MIN(1,AM$4*1-Inputs!$E$64+1))/1</f>
        <v>0.5</v>
      </c>
      <c r="AN9" s="115" t="n">
        <f aca="false">Inputs!$E$61*(1+Inputs!$E$63)^(AN$5-1)*MAX(0,MIN(1,AN$4*1-Inputs!$E$64+1))/1</f>
        <v>0.5</v>
      </c>
      <c r="AO9" s="115" t="n">
        <f aca="false">Inputs!$E$61*(1+Inputs!$E$63)^(AO$5-1)*MAX(0,MIN(1,AO$4*1-Inputs!$E$64+1))/1</f>
        <v>0.5</v>
      </c>
      <c r="AP9" s="115" t="n">
        <f aca="false">Inputs!$E$61*(1+Inputs!$E$63)^(AP$5-1)*MAX(0,MIN(1,AP$4*1-Inputs!$E$64+1))/1</f>
        <v>0.5</v>
      </c>
      <c r="AQ9" s="115" t="n">
        <f aca="false">Inputs!$E$61*(1+Inputs!$E$63)^(AQ$5-1)*MAX(0,MIN(1,AQ$4*1-Inputs!$E$64+1))/1</f>
        <v>0.5</v>
      </c>
      <c r="AR9" s="115" t="n">
        <f aca="false">Inputs!$E$61*(1+Inputs!$E$63)^(AR$5-1)*MAX(0,MIN(1,AR$4*1-Inputs!$E$64+1))/1</f>
        <v>0.5</v>
      </c>
      <c r="AS9" s="115" t="n">
        <f aca="false">Inputs!$E$61*(1+Inputs!$E$63)^(AS$5-1)*MAX(0,MIN(1,AS$4*1-Inputs!$E$64+1))/1</f>
        <v>0.5</v>
      </c>
      <c r="AT9" s="115" t="n">
        <f aca="false">Inputs!$E$61*(1+Inputs!$E$63)^(AT$5-1)*MAX(0,MIN(1,AT$4*1-Inputs!$E$64+1))/1</f>
        <v>0.5</v>
      </c>
      <c r="AU9" s="115" t="n">
        <f aca="false">Inputs!$E$61*(1+Inputs!$E$63)^(AU$5-1)*MAX(0,MIN(1,AU$4*1-Inputs!$E$64+1))/1</f>
        <v>0.5</v>
      </c>
      <c r="AV9" s="115" t="n">
        <f aca="false">Inputs!$E$61*(1+Inputs!$E$63)^(AV$5-1)*MAX(0,MIN(1,AV$4*1-Inputs!$E$64+1))/1</f>
        <v>0.5</v>
      </c>
      <c r="AW9" s="115" t="n">
        <f aca="false">Inputs!$E$61*(1+Inputs!$E$63)^(AW$5-1)*MAX(0,MIN(1,AW$4*1-Inputs!$E$64+1))/1</f>
        <v>0.5</v>
      </c>
      <c r="AX9" s="115" t="n">
        <f aca="false">Inputs!$E$61*(1+Inputs!$E$63)^(AX$5-1)*MAX(0,MIN(1,AX$4*1-Inputs!$E$64+1))/1</f>
        <v>0.5</v>
      </c>
      <c r="AY9" s="115" t="n">
        <f aca="false">Inputs!$E$61*(1+Inputs!$E$63)^(AY$5-1)*MAX(0,MIN(1,AY$4*1-Inputs!$E$64+1))/1</f>
        <v>0.5</v>
      </c>
      <c r="AZ9" s="115" t="n">
        <f aca="false">Inputs!$E$61*(1+Inputs!$E$63)^(AZ$5-1)*MAX(0,MIN(1,AZ$4*1-Inputs!$E$64+1))/1</f>
        <v>0.5</v>
      </c>
      <c r="BA9" s="115" t="n">
        <f aca="false">Inputs!$E$61*(1+Inputs!$E$63)^(BA$5-1)*MAX(0,MIN(1,BA$4*1-Inputs!$E$64+1))/1</f>
        <v>0.5</v>
      </c>
      <c r="BB9" s="115" t="n">
        <f aca="false">Inputs!$E$61*(1+Inputs!$E$63)^(BB$5-1)*MAX(0,MIN(1,BB$4*1-Inputs!$E$64+1))/1</f>
        <v>0.5</v>
      </c>
      <c r="BC9" s="115" t="n">
        <f aca="false">Inputs!$E$61*(1+Inputs!$E$63)^(BC$5-1)*MAX(0,MIN(1,BC$4*1-Inputs!$E$64+1))/1</f>
        <v>0.5</v>
      </c>
      <c r="BD9" s="115" t="n">
        <f aca="false">Inputs!$E$61*(1+Inputs!$E$63)^(BD$5-1)*MAX(0,MIN(1,BD$4*1-Inputs!$E$64+1))/1</f>
        <v>0.5</v>
      </c>
      <c r="BE9" s="115" t="n">
        <f aca="false">Inputs!$E$61*(1+Inputs!$E$63)^(BE$5-1)*MAX(0,MIN(1,BE$4*1-Inputs!$E$64+1))/1</f>
        <v>0.5</v>
      </c>
      <c r="BF9" s="115" t="n">
        <f aca="false">Inputs!$E$61*(1+Inputs!$E$63)^(BF$5-1)*MAX(0,MIN(1,BF$4*1-Inputs!$E$64+1))/1</f>
        <v>0.5</v>
      </c>
      <c r="BG9" s="115" t="n">
        <f aca="false">Inputs!$E$61*(1+Inputs!$E$63)^(BG$5-1)*MAX(0,MIN(1,BG$4*1-Inputs!$E$64+1))/1</f>
        <v>0.5</v>
      </c>
      <c r="BH9" s="115" t="n">
        <f aca="false">Inputs!$E$61*(1+Inputs!$E$63)^(BH$5-1)*MAX(0,MIN(1,BH$4*1-Inputs!$E$64+1))/1</f>
        <v>0.5</v>
      </c>
      <c r="BI9" s="115" t="n">
        <f aca="false">Inputs!$E$61*(1+Inputs!$E$63)^(BI$5-1)*MAX(0,MIN(1,BI$4*1-Inputs!$E$64+1))/1</f>
        <v>0.5</v>
      </c>
      <c r="BJ9" s="115" t="n">
        <f aca="false">Inputs!$E$61*(1+Inputs!$E$63)^(BJ$5-1)*MAX(0,MIN(1,BJ$4*1-Inputs!$E$64+1))/1</f>
        <v>0.5</v>
      </c>
    </row>
    <row r="10" customFormat="false" ht="15" hidden="false" customHeight="false" outlineLevel="0" collapsed="false">
      <c r="A10" s="6" t="s">
        <v>466</v>
      </c>
      <c r="C10" s="115" t="n">
        <f aca="false">Inputs!$E$65*(1+Inputs!$E$67)^(C$5-1)*MAX(0,MIN(1,C$4*1-Inputs!$E$68+1))/1</f>
        <v>0.5</v>
      </c>
      <c r="D10" s="115" t="n">
        <f aca="false">Inputs!$E$65*(1+Inputs!$E$67)^(D$5-1)*MAX(0,MIN(1,D$4*1-Inputs!$E$68+1))/1</f>
        <v>0.5</v>
      </c>
      <c r="E10" s="115" t="n">
        <f aca="false">Inputs!$E$65*(1+Inputs!$E$67)^(E$5-1)*MAX(0,MIN(1,E$4*1-Inputs!$E$68+1))/1</f>
        <v>0.5</v>
      </c>
      <c r="F10" s="115" t="n">
        <f aca="false">Inputs!$E$65*(1+Inputs!$E$67)^(F$5-1)*MAX(0,MIN(1,F$4*1-Inputs!$E$68+1))/1</f>
        <v>0.5</v>
      </c>
      <c r="G10" s="115" t="n">
        <f aca="false">Inputs!$E$65*(1+Inputs!$E$67)^(G$5-1)*MAX(0,MIN(1,G$4*1-Inputs!$E$68+1))/1</f>
        <v>0.5</v>
      </c>
      <c r="H10" s="115" t="n">
        <f aca="false">Inputs!$E$65*(1+Inputs!$E$67)^(H$5-1)*MAX(0,MIN(1,H$4*1-Inputs!$E$68+1))/1</f>
        <v>0.5</v>
      </c>
      <c r="I10" s="115" t="n">
        <f aca="false">Inputs!$E$65*(1+Inputs!$E$67)^(I$5-1)*MAX(0,MIN(1,I$4*1-Inputs!$E$68+1))/1</f>
        <v>0.5</v>
      </c>
      <c r="J10" s="115" t="n">
        <f aca="false">Inputs!$E$65*(1+Inputs!$E$67)^(J$5-1)*MAX(0,MIN(1,J$4*1-Inputs!$E$68+1))/1</f>
        <v>0.5</v>
      </c>
      <c r="K10" s="115" t="n">
        <f aca="false">Inputs!$E$65*(1+Inputs!$E$67)^(K$5-1)*MAX(0,MIN(1,K$4*1-Inputs!$E$68+1))/1</f>
        <v>0.5</v>
      </c>
      <c r="L10" s="115" t="n">
        <f aca="false">Inputs!$E$65*(1+Inputs!$E$67)^(L$5-1)*MAX(0,MIN(1,L$4*1-Inputs!$E$68+1))/1</f>
        <v>0.5</v>
      </c>
      <c r="M10" s="115" t="n">
        <f aca="false">Inputs!$E$65*(1+Inputs!$E$67)^(M$5-1)*MAX(0,MIN(1,M$4*1-Inputs!$E$68+1))/1</f>
        <v>0.5</v>
      </c>
      <c r="N10" s="115" t="n">
        <f aca="false">Inputs!$E$65*(1+Inputs!$E$67)^(N$5-1)*MAX(0,MIN(1,N$4*1-Inputs!$E$68+1))/1</f>
        <v>0.5</v>
      </c>
      <c r="O10" s="115" t="n">
        <f aca="false">Inputs!$E$65*(1+Inputs!$E$67)^(O$5-1)*MAX(0,MIN(1,O$4*1-Inputs!$E$68+1))/1</f>
        <v>0.5</v>
      </c>
      <c r="P10" s="115" t="n">
        <f aca="false">Inputs!$E$65*(1+Inputs!$E$67)^(P$5-1)*MAX(0,MIN(1,P$4*1-Inputs!$E$68+1))/1</f>
        <v>0.5</v>
      </c>
      <c r="Q10" s="115" t="n">
        <f aca="false">Inputs!$E$65*(1+Inputs!$E$67)^(Q$5-1)*MAX(0,MIN(1,Q$4*1-Inputs!$E$68+1))/1</f>
        <v>0.5</v>
      </c>
      <c r="R10" s="115" t="n">
        <f aca="false">Inputs!$E$65*(1+Inputs!$E$67)^(R$5-1)*MAX(0,MIN(1,R$4*1-Inputs!$E$68+1))/1</f>
        <v>0.5</v>
      </c>
      <c r="S10" s="115" t="n">
        <f aca="false">Inputs!$E$65*(1+Inputs!$E$67)^(S$5-1)*MAX(0,MIN(1,S$4*1-Inputs!$E$68+1))/1</f>
        <v>0.5</v>
      </c>
      <c r="T10" s="115" t="n">
        <f aca="false">Inputs!$E$65*(1+Inputs!$E$67)^(T$5-1)*MAX(0,MIN(1,T$4*1-Inputs!$E$68+1))/1</f>
        <v>0.5</v>
      </c>
      <c r="U10" s="115" t="n">
        <f aca="false">Inputs!$E$65*(1+Inputs!$E$67)^(U$5-1)*MAX(0,MIN(1,U$4*1-Inputs!$E$68+1))/1</f>
        <v>0.5</v>
      </c>
      <c r="V10" s="115" t="n">
        <f aca="false">Inputs!$E$65*(1+Inputs!$E$67)^(V$5-1)*MAX(0,MIN(1,V$4*1-Inputs!$E$68+1))/1</f>
        <v>0.5</v>
      </c>
      <c r="W10" s="115" t="n">
        <f aca="false">Inputs!$E$65*(1+Inputs!$E$67)^(W$5-1)*MAX(0,MIN(1,W$4*1-Inputs!$E$68+1))/1</f>
        <v>0.5</v>
      </c>
      <c r="X10" s="115" t="n">
        <f aca="false">Inputs!$E$65*(1+Inputs!$E$67)^(X$5-1)*MAX(0,MIN(1,X$4*1-Inputs!$E$68+1))/1</f>
        <v>0.5</v>
      </c>
      <c r="Y10" s="115" t="n">
        <f aca="false">Inputs!$E$65*(1+Inputs!$E$67)^(Y$5-1)*MAX(0,MIN(1,Y$4*1-Inputs!$E$68+1))/1</f>
        <v>0.5</v>
      </c>
      <c r="Z10" s="115" t="n">
        <f aca="false">Inputs!$E$65*(1+Inputs!$E$67)^(Z$5-1)*MAX(0,MIN(1,Z$4*1-Inputs!$E$68+1))/1</f>
        <v>0.5</v>
      </c>
      <c r="AA10" s="115" t="n">
        <f aca="false">Inputs!$E$65*(1+Inputs!$E$67)^(AA$5-1)*MAX(0,MIN(1,AA$4*1-Inputs!$E$68+1))/1</f>
        <v>0.5</v>
      </c>
      <c r="AB10" s="115" t="n">
        <f aca="false">Inputs!$E$65*(1+Inputs!$E$67)^(AB$5-1)*MAX(0,MIN(1,AB$4*1-Inputs!$E$68+1))/1</f>
        <v>0.5</v>
      </c>
      <c r="AC10" s="115" t="n">
        <f aca="false">Inputs!$E$65*(1+Inputs!$E$67)^(AC$5-1)*MAX(0,MIN(1,AC$4*1-Inputs!$E$68+1))/1</f>
        <v>0.5</v>
      </c>
      <c r="AD10" s="115" t="n">
        <f aca="false">Inputs!$E$65*(1+Inputs!$E$67)^(AD$5-1)*MAX(0,MIN(1,AD$4*1-Inputs!$E$68+1))/1</f>
        <v>0.5</v>
      </c>
      <c r="AE10" s="115" t="n">
        <f aca="false">Inputs!$E$65*(1+Inputs!$E$67)^(AE$5-1)*MAX(0,MIN(1,AE$4*1-Inputs!$E$68+1))/1</f>
        <v>0.5</v>
      </c>
      <c r="AF10" s="115" t="n">
        <f aca="false">Inputs!$E$65*(1+Inputs!$E$67)^(AF$5-1)*MAX(0,MIN(1,AF$4*1-Inputs!$E$68+1))/1</f>
        <v>0.5</v>
      </c>
      <c r="AG10" s="115" t="n">
        <f aca="false">Inputs!$E$65*(1+Inputs!$E$67)^(AG$5-1)*MAX(0,MIN(1,AG$4*1-Inputs!$E$68+1))/1</f>
        <v>0.5</v>
      </c>
      <c r="AH10" s="115" t="n">
        <f aca="false">Inputs!$E$65*(1+Inputs!$E$67)^(AH$5-1)*MAX(0,MIN(1,AH$4*1-Inputs!$E$68+1))/1</f>
        <v>0.5</v>
      </c>
      <c r="AI10" s="115" t="n">
        <f aca="false">Inputs!$E$65*(1+Inputs!$E$67)^(AI$5-1)*MAX(0,MIN(1,AI$4*1-Inputs!$E$68+1))/1</f>
        <v>0.5</v>
      </c>
      <c r="AJ10" s="115" t="n">
        <f aca="false">Inputs!$E$65*(1+Inputs!$E$67)^(AJ$5-1)*MAX(0,MIN(1,AJ$4*1-Inputs!$E$68+1))/1</f>
        <v>0.5</v>
      </c>
      <c r="AK10" s="115" t="n">
        <f aca="false">Inputs!$E$65*(1+Inputs!$E$67)^(AK$5-1)*MAX(0,MIN(1,AK$4*1-Inputs!$E$68+1))/1</f>
        <v>0.5</v>
      </c>
      <c r="AL10" s="115" t="n">
        <f aca="false">Inputs!$E$65*(1+Inputs!$E$67)^(AL$5-1)*MAX(0,MIN(1,AL$4*1-Inputs!$E$68+1))/1</f>
        <v>0.5</v>
      </c>
      <c r="AM10" s="115" t="n">
        <f aca="false">Inputs!$E$65*(1+Inputs!$E$67)^(AM$5-1)*MAX(0,MIN(1,AM$4*1-Inputs!$E$68+1))/1</f>
        <v>0.5</v>
      </c>
      <c r="AN10" s="115" t="n">
        <f aca="false">Inputs!$E$65*(1+Inputs!$E$67)^(AN$5-1)*MAX(0,MIN(1,AN$4*1-Inputs!$E$68+1))/1</f>
        <v>0.5</v>
      </c>
      <c r="AO10" s="115" t="n">
        <f aca="false">Inputs!$E$65*(1+Inputs!$E$67)^(AO$5-1)*MAX(0,MIN(1,AO$4*1-Inputs!$E$68+1))/1</f>
        <v>0.5</v>
      </c>
      <c r="AP10" s="115" t="n">
        <f aca="false">Inputs!$E$65*(1+Inputs!$E$67)^(AP$5-1)*MAX(0,MIN(1,AP$4*1-Inputs!$E$68+1))/1</f>
        <v>0.5</v>
      </c>
      <c r="AQ10" s="115" t="n">
        <f aca="false">Inputs!$E$65*(1+Inputs!$E$67)^(AQ$5-1)*MAX(0,MIN(1,AQ$4*1-Inputs!$E$68+1))/1</f>
        <v>0.5</v>
      </c>
      <c r="AR10" s="115" t="n">
        <f aca="false">Inputs!$E$65*(1+Inputs!$E$67)^(AR$5-1)*MAX(0,MIN(1,AR$4*1-Inputs!$E$68+1))/1</f>
        <v>0.5</v>
      </c>
      <c r="AS10" s="115" t="n">
        <f aca="false">Inputs!$E$65*(1+Inputs!$E$67)^(AS$5-1)*MAX(0,MIN(1,AS$4*1-Inputs!$E$68+1))/1</f>
        <v>0.5</v>
      </c>
      <c r="AT10" s="115" t="n">
        <f aca="false">Inputs!$E$65*(1+Inputs!$E$67)^(AT$5-1)*MAX(0,MIN(1,AT$4*1-Inputs!$E$68+1))/1</f>
        <v>0.5</v>
      </c>
      <c r="AU10" s="115" t="n">
        <f aca="false">Inputs!$E$65*(1+Inputs!$E$67)^(AU$5-1)*MAX(0,MIN(1,AU$4*1-Inputs!$E$68+1))/1</f>
        <v>0.5</v>
      </c>
      <c r="AV10" s="115" t="n">
        <f aca="false">Inputs!$E$65*(1+Inputs!$E$67)^(AV$5-1)*MAX(0,MIN(1,AV$4*1-Inputs!$E$68+1))/1</f>
        <v>0.5</v>
      </c>
      <c r="AW10" s="115" t="n">
        <f aca="false">Inputs!$E$65*(1+Inputs!$E$67)^(AW$5-1)*MAX(0,MIN(1,AW$4*1-Inputs!$E$68+1))/1</f>
        <v>0.5</v>
      </c>
      <c r="AX10" s="115" t="n">
        <f aca="false">Inputs!$E$65*(1+Inputs!$E$67)^(AX$5-1)*MAX(0,MIN(1,AX$4*1-Inputs!$E$68+1))/1</f>
        <v>0.5</v>
      </c>
      <c r="AY10" s="115" t="n">
        <f aca="false">Inputs!$E$65*(1+Inputs!$E$67)^(AY$5-1)*MAX(0,MIN(1,AY$4*1-Inputs!$E$68+1))/1</f>
        <v>0.5</v>
      </c>
      <c r="AZ10" s="115" t="n">
        <f aca="false">Inputs!$E$65*(1+Inputs!$E$67)^(AZ$5-1)*MAX(0,MIN(1,AZ$4*1-Inputs!$E$68+1))/1</f>
        <v>0.5</v>
      </c>
      <c r="BA10" s="115" t="n">
        <f aca="false">Inputs!$E$65*(1+Inputs!$E$67)^(BA$5-1)*MAX(0,MIN(1,BA$4*1-Inputs!$E$68+1))/1</f>
        <v>0.5</v>
      </c>
      <c r="BB10" s="115" t="n">
        <f aca="false">Inputs!$E$65*(1+Inputs!$E$67)^(BB$5-1)*MAX(0,MIN(1,BB$4*1-Inputs!$E$68+1))/1</f>
        <v>0.5</v>
      </c>
      <c r="BC10" s="115" t="n">
        <f aca="false">Inputs!$E$65*(1+Inputs!$E$67)^(BC$5-1)*MAX(0,MIN(1,BC$4*1-Inputs!$E$68+1))/1</f>
        <v>0.5</v>
      </c>
      <c r="BD10" s="115" t="n">
        <f aca="false">Inputs!$E$65*(1+Inputs!$E$67)^(BD$5-1)*MAX(0,MIN(1,BD$4*1-Inputs!$E$68+1))/1</f>
        <v>0.5</v>
      </c>
      <c r="BE10" s="115" t="n">
        <f aca="false">Inputs!$E$65*(1+Inputs!$E$67)^(BE$5-1)*MAX(0,MIN(1,BE$4*1-Inputs!$E$68+1))/1</f>
        <v>0.5</v>
      </c>
      <c r="BF10" s="115" t="n">
        <f aca="false">Inputs!$E$65*(1+Inputs!$E$67)^(BF$5-1)*MAX(0,MIN(1,BF$4*1-Inputs!$E$68+1))/1</f>
        <v>0.5</v>
      </c>
      <c r="BG10" s="115" t="n">
        <f aca="false">Inputs!$E$65*(1+Inputs!$E$67)^(BG$5-1)*MAX(0,MIN(1,BG$4*1-Inputs!$E$68+1))/1</f>
        <v>0.5</v>
      </c>
      <c r="BH10" s="115" t="n">
        <f aca="false">Inputs!$E$65*(1+Inputs!$E$67)^(BH$5-1)*MAX(0,MIN(1,BH$4*1-Inputs!$E$68+1))/1</f>
        <v>0.5</v>
      </c>
      <c r="BI10" s="115" t="n">
        <f aca="false">Inputs!$E$65*(1+Inputs!$E$67)^(BI$5-1)*MAX(0,MIN(1,BI$4*1-Inputs!$E$68+1))/1</f>
        <v>0.5</v>
      </c>
      <c r="BJ10" s="115" t="n">
        <f aca="false">Inputs!$E$65*(1+Inputs!$E$67)^(BJ$5-1)*MAX(0,MIN(1,BJ$4*1-Inputs!$E$68+1))/1</f>
        <v>0.5</v>
      </c>
    </row>
    <row r="11" customFormat="false" ht="15" hidden="false" customHeight="false" outlineLevel="0" collapsed="false">
      <c r="A11" s="110" t="s">
        <v>467</v>
      </c>
      <c r="C11" s="118" t="n">
        <f aca="false">C8+C9+C10</f>
        <v>2</v>
      </c>
      <c r="D11" s="118" t="n">
        <f aca="false">D8+D9+D10</f>
        <v>2</v>
      </c>
      <c r="E11" s="118" t="n">
        <f aca="false">E8+E9+E10</f>
        <v>2</v>
      </c>
      <c r="F11" s="118" t="n">
        <f aca="false">F8+F9+F10</f>
        <v>2</v>
      </c>
      <c r="G11" s="118" t="n">
        <f aca="false">G8+G9+G10</f>
        <v>2</v>
      </c>
      <c r="H11" s="118" t="n">
        <f aca="false">H8+H9+H10</f>
        <v>2</v>
      </c>
      <c r="I11" s="118" t="n">
        <f aca="false">I8+I9+I10</f>
        <v>2</v>
      </c>
      <c r="J11" s="118" t="n">
        <f aca="false">J8+J9+J10</f>
        <v>2</v>
      </c>
      <c r="K11" s="118" t="n">
        <f aca="false">K8+K9+K10</f>
        <v>2</v>
      </c>
      <c r="L11" s="118" t="n">
        <f aca="false">L8+L9+L10</f>
        <v>2</v>
      </c>
      <c r="M11" s="118" t="n">
        <f aca="false">M8+M9+M10</f>
        <v>2</v>
      </c>
      <c r="N11" s="118" t="n">
        <f aca="false">N8+N9+N10</f>
        <v>2</v>
      </c>
      <c r="O11" s="118" t="n">
        <f aca="false">O8+O9+O10</f>
        <v>2</v>
      </c>
      <c r="P11" s="118" t="n">
        <f aca="false">P8+P9+P10</f>
        <v>2</v>
      </c>
      <c r="Q11" s="118" t="n">
        <f aca="false">Q8+Q9+Q10</f>
        <v>2</v>
      </c>
      <c r="R11" s="118" t="n">
        <f aca="false">R8+R9+R10</f>
        <v>2</v>
      </c>
      <c r="S11" s="118" t="n">
        <f aca="false">S8+S9+S10</f>
        <v>2</v>
      </c>
      <c r="T11" s="118" t="n">
        <f aca="false">T8+T9+T10</f>
        <v>2</v>
      </c>
      <c r="U11" s="118" t="n">
        <f aca="false">U8+U9+U10</f>
        <v>2</v>
      </c>
      <c r="V11" s="118" t="n">
        <f aca="false">V8+V9+V10</f>
        <v>2</v>
      </c>
      <c r="W11" s="118" t="n">
        <f aca="false">W8+W9+W10</f>
        <v>2</v>
      </c>
      <c r="X11" s="118" t="n">
        <f aca="false">X8+X9+X10</f>
        <v>2</v>
      </c>
      <c r="Y11" s="118" t="n">
        <f aca="false">Y8+Y9+Y10</f>
        <v>2</v>
      </c>
      <c r="Z11" s="118" t="n">
        <f aca="false">Z8+Z9+Z10</f>
        <v>2</v>
      </c>
      <c r="AA11" s="118" t="n">
        <f aca="false">AA8+AA9+AA10</f>
        <v>2</v>
      </c>
      <c r="AB11" s="118" t="n">
        <f aca="false">AB8+AB9+AB10</f>
        <v>2</v>
      </c>
      <c r="AC11" s="118" t="n">
        <f aca="false">AC8+AC9+AC10</f>
        <v>2</v>
      </c>
      <c r="AD11" s="118" t="n">
        <f aca="false">AD8+AD9+AD10</f>
        <v>2</v>
      </c>
      <c r="AE11" s="118" t="n">
        <f aca="false">AE8+AE9+AE10</f>
        <v>2</v>
      </c>
      <c r="AF11" s="118" t="n">
        <f aca="false">AF8+AF9+AF10</f>
        <v>2</v>
      </c>
      <c r="AG11" s="118" t="n">
        <f aca="false">AG8+AG9+AG10</f>
        <v>2</v>
      </c>
      <c r="AH11" s="118" t="n">
        <f aca="false">AH8+AH9+AH10</f>
        <v>2</v>
      </c>
      <c r="AI11" s="118" t="n">
        <f aca="false">AI8+AI9+AI10</f>
        <v>2</v>
      </c>
      <c r="AJ11" s="118" t="n">
        <f aca="false">AJ8+AJ9+AJ10</f>
        <v>2</v>
      </c>
      <c r="AK11" s="118" t="n">
        <f aca="false">AK8+AK9+AK10</f>
        <v>2</v>
      </c>
      <c r="AL11" s="118" t="n">
        <f aca="false">AL8+AL9+AL10</f>
        <v>2</v>
      </c>
      <c r="AM11" s="118" t="n">
        <f aca="false">AM8+AM9+AM10</f>
        <v>2</v>
      </c>
      <c r="AN11" s="118" t="n">
        <f aca="false">AN8+AN9+AN10</f>
        <v>2</v>
      </c>
      <c r="AO11" s="118" t="n">
        <f aca="false">AO8+AO9+AO10</f>
        <v>2</v>
      </c>
      <c r="AP11" s="118" t="n">
        <f aca="false">AP8+AP9+AP10</f>
        <v>2</v>
      </c>
      <c r="AQ11" s="118" t="n">
        <f aca="false">AQ8+AQ9+AQ10</f>
        <v>2</v>
      </c>
      <c r="AR11" s="118" t="n">
        <f aca="false">AR8+AR9+AR10</f>
        <v>2</v>
      </c>
      <c r="AS11" s="118" t="n">
        <f aca="false">AS8+AS9+AS10</f>
        <v>2</v>
      </c>
      <c r="AT11" s="118" t="n">
        <f aca="false">AT8+AT9+AT10</f>
        <v>2</v>
      </c>
      <c r="AU11" s="118" t="n">
        <f aca="false">AU8+AU9+AU10</f>
        <v>2</v>
      </c>
      <c r="AV11" s="118" t="n">
        <f aca="false">AV8+AV9+AV10</f>
        <v>2</v>
      </c>
      <c r="AW11" s="118" t="n">
        <f aca="false">AW8+AW9+AW10</f>
        <v>2</v>
      </c>
      <c r="AX11" s="118" t="n">
        <f aca="false">AX8+AX9+AX10</f>
        <v>2</v>
      </c>
      <c r="AY11" s="118" t="n">
        <f aca="false">AY8+AY9+AY10</f>
        <v>2</v>
      </c>
      <c r="AZ11" s="118" t="n">
        <f aca="false">AZ8+AZ9+AZ10</f>
        <v>2</v>
      </c>
      <c r="BA11" s="118" t="n">
        <f aca="false">BA8+BA9+BA10</f>
        <v>2</v>
      </c>
      <c r="BB11" s="118" t="n">
        <f aca="false">BB8+BB9+BB10</f>
        <v>2</v>
      </c>
      <c r="BC11" s="118" t="n">
        <f aca="false">BC8+BC9+BC10</f>
        <v>2</v>
      </c>
      <c r="BD11" s="118" t="n">
        <f aca="false">BD8+BD9+BD10</f>
        <v>2</v>
      </c>
      <c r="BE11" s="118" t="n">
        <f aca="false">BE8+BE9+BE10</f>
        <v>2</v>
      </c>
      <c r="BF11" s="118" t="n">
        <f aca="false">BF8+BF9+BF10</f>
        <v>2</v>
      </c>
      <c r="BG11" s="118" t="n">
        <f aca="false">BG8+BG9+BG10</f>
        <v>2</v>
      </c>
      <c r="BH11" s="118" t="n">
        <f aca="false">BH8+BH9+BH10</f>
        <v>2</v>
      </c>
      <c r="BI11" s="118" t="n">
        <f aca="false">BI8+BI9+BI10</f>
        <v>2</v>
      </c>
      <c r="BJ11" s="118" t="n">
        <f aca="false">BJ8+BJ9+BJ10</f>
        <v>2</v>
      </c>
    </row>
    <row r="13" customFormat="false" ht="15.75" hidden="false" customHeight="true" outlineLevel="0" collapsed="false">
      <c r="A13" s="7" t="s">
        <v>468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469</v>
      </c>
      <c r="C14" s="66" t="n">
        <f aca="false">-C8*Inputs!$E$58/12*1*(1+Inputs!$E$69)*(1+Inputs!$E$70)^(C$5-1)</f>
        <v>-5786.66666666667</v>
      </c>
      <c r="D14" s="66" t="n">
        <f aca="false">-D8*Inputs!$E$58/12*1*(1+Inputs!$E$69)*(1+Inputs!$E$70)^(D$5-1)</f>
        <v>-5786.66666666667</v>
      </c>
      <c r="E14" s="66" t="n">
        <f aca="false">-E8*Inputs!$E$58/12*1*(1+Inputs!$E$69)*(1+Inputs!$E$70)^(E$5-1)</f>
        <v>-5786.66666666667</v>
      </c>
      <c r="F14" s="66" t="n">
        <f aca="false">-F8*Inputs!$E$58/12*1*(1+Inputs!$E$69)*(1+Inputs!$E$70)^(F$5-1)</f>
        <v>-5786.66666666667</v>
      </c>
      <c r="G14" s="66" t="n">
        <f aca="false">-G8*Inputs!$E$58/12*1*(1+Inputs!$E$69)*(1+Inputs!$E$70)^(G$5-1)</f>
        <v>-5786.66666666667</v>
      </c>
      <c r="H14" s="66" t="n">
        <f aca="false">-H8*Inputs!$E$58/12*1*(1+Inputs!$E$69)*(1+Inputs!$E$70)^(H$5-1)</f>
        <v>-5786.66666666667</v>
      </c>
      <c r="I14" s="66" t="n">
        <f aca="false">-I8*Inputs!$E$58/12*1*(1+Inputs!$E$69)*(1+Inputs!$E$70)^(I$5-1)</f>
        <v>-5786.66666666667</v>
      </c>
      <c r="J14" s="66" t="n">
        <f aca="false">-J8*Inputs!$E$58/12*1*(1+Inputs!$E$69)*(1+Inputs!$E$70)^(J$5-1)</f>
        <v>-5786.66666666667</v>
      </c>
      <c r="K14" s="66" t="n">
        <f aca="false">-K8*Inputs!$E$58/12*1*(1+Inputs!$E$69)*(1+Inputs!$E$70)^(K$5-1)</f>
        <v>-5786.66666666667</v>
      </c>
      <c r="L14" s="66" t="n">
        <f aca="false">-L8*Inputs!$E$58/12*1*(1+Inputs!$E$69)*(1+Inputs!$E$70)^(L$5-1)</f>
        <v>-5786.66666666667</v>
      </c>
      <c r="M14" s="66" t="n">
        <f aca="false">-M8*Inputs!$E$58/12*1*(1+Inputs!$E$69)*(1+Inputs!$E$70)^(M$5-1)</f>
        <v>-5786.66666666667</v>
      </c>
      <c r="N14" s="66" t="n">
        <f aca="false">-N8*Inputs!$E$58/12*1*(1+Inputs!$E$69)*(1+Inputs!$E$70)^(N$5-1)</f>
        <v>-5786.66666666667</v>
      </c>
      <c r="O14" s="66" t="n">
        <f aca="false">-O8*Inputs!$E$58/12*1*(1+Inputs!$E$69)*(1+Inputs!$E$70)^(O$5-1)</f>
        <v>-5960.26666666667</v>
      </c>
      <c r="P14" s="66" t="n">
        <f aca="false">-P8*Inputs!$E$58/12*1*(1+Inputs!$E$69)*(1+Inputs!$E$70)^(P$5-1)</f>
        <v>-5960.26666666667</v>
      </c>
      <c r="Q14" s="66" t="n">
        <f aca="false">-Q8*Inputs!$E$58/12*1*(1+Inputs!$E$69)*(1+Inputs!$E$70)^(Q$5-1)</f>
        <v>-5960.26666666667</v>
      </c>
      <c r="R14" s="66" t="n">
        <f aca="false">-R8*Inputs!$E$58/12*1*(1+Inputs!$E$69)*(1+Inputs!$E$70)^(R$5-1)</f>
        <v>-5960.26666666667</v>
      </c>
      <c r="S14" s="66" t="n">
        <f aca="false">-S8*Inputs!$E$58/12*1*(1+Inputs!$E$69)*(1+Inputs!$E$70)^(S$5-1)</f>
        <v>-5960.26666666667</v>
      </c>
      <c r="T14" s="66" t="n">
        <f aca="false">-T8*Inputs!$E$58/12*1*(1+Inputs!$E$69)*(1+Inputs!$E$70)^(T$5-1)</f>
        <v>-5960.26666666667</v>
      </c>
      <c r="U14" s="66" t="n">
        <f aca="false">-U8*Inputs!$E$58/12*1*(1+Inputs!$E$69)*(1+Inputs!$E$70)^(U$5-1)</f>
        <v>-5960.26666666667</v>
      </c>
      <c r="V14" s="66" t="n">
        <f aca="false">-V8*Inputs!$E$58/12*1*(1+Inputs!$E$69)*(1+Inputs!$E$70)^(V$5-1)</f>
        <v>-5960.26666666667</v>
      </c>
      <c r="W14" s="66" t="n">
        <f aca="false">-W8*Inputs!$E$58/12*1*(1+Inputs!$E$69)*(1+Inputs!$E$70)^(W$5-1)</f>
        <v>-5960.26666666667</v>
      </c>
      <c r="X14" s="66" t="n">
        <f aca="false">-X8*Inputs!$E$58/12*1*(1+Inputs!$E$69)*(1+Inputs!$E$70)^(X$5-1)</f>
        <v>-5960.26666666667</v>
      </c>
      <c r="Y14" s="66" t="n">
        <f aca="false">-Y8*Inputs!$E$58/12*1*(1+Inputs!$E$69)*(1+Inputs!$E$70)^(Y$5-1)</f>
        <v>-5960.26666666667</v>
      </c>
      <c r="Z14" s="66" t="n">
        <f aca="false">-Z8*Inputs!$E$58/12*1*(1+Inputs!$E$69)*(1+Inputs!$E$70)^(Z$5-1)</f>
        <v>-5960.26666666667</v>
      </c>
      <c r="AA14" s="66" t="n">
        <f aca="false">-AA8*Inputs!$E$58/12*1*(1+Inputs!$E$69)*(1+Inputs!$E$70)^(AA$5-1)</f>
        <v>-6139.07466666667</v>
      </c>
      <c r="AB14" s="66" t="n">
        <f aca="false">-AB8*Inputs!$E$58/12*1*(1+Inputs!$E$69)*(1+Inputs!$E$70)^(AB$5-1)</f>
        <v>-6139.07466666667</v>
      </c>
      <c r="AC14" s="66" t="n">
        <f aca="false">-AC8*Inputs!$E$58/12*1*(1+Inputs!$E$69)*(1+Inputs!$E$70)^(AC$5-1)</f>
        <v>-6139.07466666667</v>
      </c>
      <c r="AD14" s="66" t="n">
        <f aca="false">-AD8*Inputs!$E$58/12*1*(1+Inputs!$E$69)*(1+Inputs!$E$70)^(AD$5-1)</f>
        <v>-6139.07466666667</v>
      </c>
      <c r="AE14" s="66" t="n">
        <f aca="false">-AE8*Inputs!$E$58/12*1*(1+Inputs!$E$69)*(1+Inputs!$E$70)^(AE$5-1)</f>
        <v>-6139.07466666667</v>
      </c>
      <c r="AF14" s="66" t="n">
        <f aca="false">-AF8*Inputs!$E$58/12*1*(1+Inputs!$E$69)*(1+Inputs!$E$70)^(AF$5-1)</f>
        <v>-6139.07466666667</v>
      </c>
      <c r="AG14" s="66" t="n">
        <f aca="false">-AG8*Inputs!$E$58/12*1*(1+Inputs!$E$69)*(1+Inputs!$E$70)^(AG$5-1)</f>
        <v>-6139.07466666667</v>
      </c>
      <c r="AH14" s="66" t="n">
        <f aca="false">-AH8*Inputs!$E$58/12*1*(1+Inputs!$E$69)*(1+Inputs!$E$70)^(AH$5-1)</f>
        <v>-6139.07466666667</v>
      </c>
      <c r="AI14" s="66" t="n">
        <f aca="false">-AI8*Inputs!$E$58/12*1*(1+Inputs!$E$69)*(1+Inputs!$E$70)^(AI$5-1)</f>
        <v>-6139.07466666667</v>
      </c>
      <c r="AJ14" s="66" t="n">
        <f aca="false">-AJ8*Inputs!$E$58/12*1*(1+Inputs!$E$69)*(1+Inputs!$E$70)^(AJ$5-1)</f>
        <v>-6139.07466666667</v>
      </c>
      <c r="AK14" s="66" t="n">
        <f aca="false">-AK8*Inputs!$E$58/12*1*(1+Inputs!$E$69)*(1+Inputs!$E$70)^(AK$5-1)</f>
        <v>-6139.07466666667</v>
      </c>
      <c r="AL14" s="66" t="n">
        <f aca="false">-AL8*Inputs!$E$58/12*1*(1+Inputs!$E$69)*(1+Inputs!$E$70)^(AL$5-1)</f>
        <v>-6139.07466666667</v>
      </c>
      <c r="AM14" s="66" t="n">
        <f aca="false">-AM8*Inputs!$E$58/12*1*(1+Inputs!$E$69)*(1+Inputs!$E$70)^(AM$5-1)</f>
        <v>-6323.24690666667</v>
      </c>
      <c r="AN14" s="66" t="n">
        <f aca="false">-AN8*Inputs!$E$58/12*1*(1+Inputs!$E$69)*(1+Inputs!$E$70)^(AN$5-1)</f>
        <v>-6323.24690666667</v>
      </c>
      <c r="AO14" s="66" t="n">
        <f aca="false">-AO8*Inputs!$E$58/12*1*(1+Inputs!$E$69)*(1+Inputs!$E$70)^(AO$5-1)</f>
        <v>-6323.24690666667</v>
      </c>
      <c r="AP14" s="66" t="n">
        <f aca="false">-AP8*Inputs!$E$58/12*1*(1+Inputs!$E$69)*(1+Inputs!$E$70)^(AP$5-1)</f>
        <v>-6323.24690666667</v>
      </c>
      <c r="AQ14" s="66" t="n">
        <f aca="false">-AQ8*Inputs!$E$58/12*1*(1+Inputs!$E$69)*(1+Inputs!$E$70)^(AQ$5-1)</f>
        <v>-6323.24690666667</v>
      </c>
      <c r="AR14" s="66" t="n">
        <f aca="false">-AR8*Inputs!$E$58/12*1*(1+Inputs!$E$69)*(1+Inputs!$E$70)^(AR$5-1)</f>
        <v>-6323.24690666667</v>
      </c>
      <c r="AS14" s="66" t="n">
        <f aca="false">-AS8*Inputs!$E$58/12*1*(1+Inputs!$E$69)*(1+Inputs!$E$70)^(AS$5-1)</f>
        <v>-6323.24690666667</v>
      </c>
      <c r="AT14" s="66" t="n">
        <f aca="false">-AT8*Inputs!$E$58/12*1*(1+Inputs!$E$69)*(1+Inputs!$E$70)^(AT$5-1)</f>
        <v>-6323.24690666667</v>
      </c>
      <c r="AU14" s="66" t="n">
        <f aca="false">-AU8*Inputs!$E$58/12*1*(1+Inputs!$E$69)*(1+Inputs!$E$70)^(AU$5-1)</f>
        <v>-6323.24690666667</v>
      </c>
      <c r="AV14" s="66" t="n">
        <f aca="false">-AV8*Inputs!$E$58/12*1*(1+Inputs!$E$69)*(1+Inputs!$E$70)^(AV$5-1)</f>
        <v>-6323.24690666667</v>
      </c>
      <c r="AW14" s="66" t="n">
        <f aca="false">-AW8*Inputs!$E$58/12*1*(1+Inputs!$E$69)*(1+Inputs!$E$70)^(AW$5-1)</f>
        <v>-6323.24690666667</v>
      </c>
      <c r="AX14" s="66" t="n">
        <f aca="false">-AX8*Inputs!$E$58/12*1*(1+Inputs!$E$69)*(1+Inputs!$E$70)^(AX$5-1)</f>
        <v>-6323.24690666667</v>
      </c>
      <c r="AY14" s="66" t="n">
        <f aca="false">-AY8*Inputs!$E$58/12*1*(1+Inputs!$E$69)*(1+Inputs!$E$70)^(AY$5-1)</f>
        <v>-6512.94431386667</v>
      </c>
      <c r="AZ14" s="66" t="n">
        <f aca="false">-AZ8*Inputs!$E$58/12*1*(1+Inputs!$E$69)*(1+Inputs!$E$70)^(AZ$5-1)</f>
        <v>-6512.94431386667</v>
      </c>
      <c r="BA14" s="66" t="n">
        <f aca="false">-BA8*Inputs!$E$58/12*1*(1+Inputs!$E$69)*(1+Inputs!$E$70)^(BA$5-1)</f>
        <v>-6512.94431386667</v>
      </c>
      <c r="BB14" s="66" t="n">
        <f aca="false">-BB8*Inputs!$E$58/12*1*(1+Inputs!$E$69)*(1+Inputs!$E$70)^(BB$5-1)</f>
        <v>-6512.94431386667</v>
      </c>
      <c r="BC14" s="66" t="n">
        <f aca="false">-BC8*Inputs!$E$58/12*1*(1+Inputs!$E$69)*(1+Inputs!$E$70)^(BC$5-1)</f>
        <v>-6512.94431386667</v>
      </c>
      <c r="BD14" s="66" t="n">
        <f aca="false">-BD8*Inputs!$E$58/12*1*(1+Inputs!$E$69)*(1+Inputs!$E$70)^(BD$5-1)</f>
        <v>-6512.94431386667</v>
      </c>
      <c r="BE14" s="66" t="n">
        <f aca="false">-BE8*Inputs!$E$58/12*1*(1+Inputs!$E$69)*(1+Inputs!$E$70)^(BE$5-1)</f>
        <v>-6512.94431386667</v>
      </c>
      <c r="BF14" s="66" t="n">
        <f aca="false">-BF8*Inputs!$E$58/12*1*(1+Inputs!$E$69)*(1+Inputs!$E$70)^(BF$5-1)</f>
        <v>-6512.94431386667</v>
      </c>
      <c r="BG14" s="66" t="n">
        <f aca="false">-BG8*Inputs!$E$58/12*1*(1+Inputs!$E$69)*(1+Inputs!$E$70)^(BG$5-1)</f>
        <v>-6512.94431386667</v>
      </c>
      <c r="BH14" s="66" t="n">
        <f aca="false">-BH8*Inputs!$E$58/12*1*(1+Inputs!$E$69)*(1+Inputs!$E$70)^(BH$5-1)</f>
        <v>-6512.94431386667</v>
      </c>
      <c r="BI14" s="66" t="n">
        <f aca="false">-BI8*Inputs!$E$58/12*1*(1+Inputs!$E$69)*(1+Inputs!$E$70)^(BI$5-1)</f>
        <v>-6512.94431386667</v>
      </c>
      <c r="BJ14" s="66" t="n">
        <f aca="false">-BJ8*Inputs!$E$58/12*1*(1+Inputs!$E$69)*(1+Inputs!$E$70)^(BJ$5-1)</f>
        <v>-6512.94431386667</v>
      </c>
    </row>
    <row r="15" customFormat="false" ht="15" hidden="false" customHeight="false" outlineLevel="0" collapsed="false">
      <c r="A15" s="6" t="s">
        <v>470</v>
      </c>
      <c r="C15" s="66" t="n">
        <f aca="false">-C9*Inputs!$E$62/12*1*(1+Inputs!$E$69)*(1+Inputs!$E$70)^(C$5-1)</f>
        <v>-1773.33333333333</v>
      </c>
      <c r="D15" s="66" t="n">
        <f aca="false">-D9*Inputs!$E$62/12*1*(1+Inputs!$E$69)*(1+Inputs!$E$70)^(D$5-1)</f>
        <v>-1773.33333333333</v>
      </c>
      <c r="E15" s="66" t="n">
        <f aca="false">-E9*Inputs!$E$62/12*1*(1+Inputs!$E$69)*(1+Inputs!$E$70)^(E$5-1)</f>
        <v>-1773.33333333333</v>
      </c>
      <c r="F15" s="66" t="n">
        <f aca="false">-F9*Inputs!$E$62/12*1*(1+Inputs!$E$69)*(1+Inputs!$E$70)^(F$5-1)</f>
        <v>-1773.33333333333</v>
      </c>
      <c r="G15" s="66" t="n">
        <f aca="false">-G9*Inputs!$E$62/12*1*(1+Inputs!$E$69)*(1+Inputs!$E$70)^(G$5-1)</f>
        <v>-1773.33333333333</v>
      </c>
      <c r="H15" s="66" t="n">
        <f aca="false">-H9*Inputs!$E$62/12*1*(1+Inputs!$E$69)*(1+Inputs!$E$70)^(H$5-1)</f>
        <v>-1773.33333333333</v>
      </c>
      <c r="I15" s="66" t="n">
        <f aca="false">-I9*Inputs!$E$62/12*1*(1+Inputs!$E$69)*(1+Inputs!$E$70)^(I$5-1)</f>
        <v>-1773.33333333333</v>
      </c>
      <c r="J15" s="66" t="n">
        <f aca="false">-J9*Inputs!$E$62/12*1*(1+Inputs!$E$69)*(1+Inputs!$E$70)^(J$5-1)</f>
        <v>-1773.33333333333</v>
      </c>
      <c r="K15" s="66" t="n">
        <f aca="false">-K9*Inputs!$E$62/12*1*(1+Inputs!$E$69)*(1+Inputs!$E$70)^(K$5-1)</f>
        <v>-1773.33333333333</v>
      </c>
      <c r="L15" s="66" t="n">
        <f aca="false">-L9*Inputs!$E$62/12*1*(1+Inputs!$E$69)*(1+Inputs!$E$70)^(L$5-1)</f>
        <v>-1773.33333333333</v>
      </c>
      <c r="M15" s="66" t="n">
        <f aca="false">-M9*Inputs!$E$62/12*1*(1+Inputs!$E$69)*(1+Inputs!$E$70)^(M$5-1)</f>
        <v>-1773.33333333333</v>
      </c>
      <c r="N15" s="66" t="n">
        <f aca="false">-N9*Inputs!$E$62/12*1*(1+Inputs!$E$69)*(1+Inputs!$E$70)^(N$5-1)</f>
        <v>-1773.33333333333</v>
      </c>
      <c r="O15" s="66" t="n">
        <f aca="false">-O9*Inputs!$E$62/12*1*(1+Inputs!$E$69)*(1+Inputs!$E$70)^(O$5-1)</f>
        <v>-1826.53333333333</v>
      </c>
      <c r="P15" s="66" t="n">
        <f aca="false">-P9*Inputs!$E$62/12*1*(1+Inputs!$E$69)*(1+Inputs!$E$70)^(P$5-1)</f>
        <v>-1826.53333333333</v>
      </c>
      <c r="Q15" s="66" t="n">
        <f aca="false">-Q9*Inputs!$E$62/12*1*(1+Inputs!$E$69)*(1+Inputs!$E$70)^(Q$5-1)</f>
        <v>-1826.53333333333</v>
      </c>
      <c r="R15" s="66" t="n">
        <f aca="false">-R9*Inputs!$E$62/12*1*(1+Inputs!$E$69)*(1+Inputs!$E$70)^(R$5-1)</f>
        <v>-1826.53333333333</v>
      </c>
      <c r="S15" s="66" t="n">
        <f aca="false">-S9*Inputs!$E$62/12*1*(1+Inputs!$E$69)*(1+Inputs!$E$70)^(S$5-1)</f>
        <v>-1826.53333333333</v>
      </c>
      <c r="T15" s="66" t="n">
        <f aca="false">-T9*Inputs!$E$62/12*1*(1+Inputs!$E$69)*(1+Inputs!$E$70)^(T$5-1)</f>
        <v>-1826.53333333333</v>
      </c>
      <c r="U15" s="66" t="n">
        <f aca="false">-U9*Inputs!$E$62/12*1*(1+Inputs!$E$69)*(1+Inputs!$E$70)^(U$5-1)</f>
        <v>-1826.53333333333</v>
      </c>
      <c r="V15" s="66" t="n">
        <f aca="false">-V9*Inputs!$E$62/12*1*(1+Inputs!$E$69)*(1+Inputs!$E$70)^(V$5-1)</f>
        <v>-1826.53333333333</v>
      </c>
      <c r="W15" s="66" t="n">
        <f aca="false">-W9*Inputs!$E$62/12*1*(1+Inputs!$E$69)*(1+Inputs!$E$70)^(W$5-1)</f>
        <v>-1826.53333333333</v>
      </c>
      <c r="X15" s="66" t="n">
        <f aca="false">-X9*Inputs!$E$62/12*1*(1+Inputs!$E$69)*(1+Inputs!$E$70)^(X$5-1)</f>
        <v>-1826.53333333333</v>
      </c>
      <c r="Y15" s="66" t="n">
        <f aca="false">-Y9*Inputs!$E$62/12*1*(1+Inputs!$E$69)*(1+Inputs!$E$70)^(Y$5-1)</f>
        <v>-1826.53333333333</v>
      </c>
      <c r="Z15" s="66" t="n">
        <f aca="false">-Z9*Inputs!$E$62/12*1*(1+Inputs!$E$69)*(1+Inputs!$E$70)^(Z$5-1)</f>
        <v>-1826.53333333333</v>
      </c>
      <c r="AA15" s="66" t="n">
        <f aca="false">-AA9*Inputs!$E$62/12*1*(1+Inputs!$E$69)*(1+Inputs!$E$70)^(AA$5-1)</f>
        <v>-1881.32933333333</v>
      </c>
      <c r="AB15" s="66" t="n">
        <f aca="false">-AB9*Inputs!$E$62/12*1*(1+Inputs!$E$69)*(1+Inputs!$E$70)^(AB$5-1)</f>
        <v>-1881.32933333333</v>
      </c>
      <c r="AC15" s="66" t="n">
        <f aca="false">-AC9*Inputs!$E$62/12*1*(1+Inputs!$E$69)*(1+Inputs!$E$70)^(AC$5-1)</f>
        <v>-1881.32933333333</v>
      </c>
      <c r="AD15" s="66" t="n">
        <f aca="false">-AD9*Inputs!$E$62/12*1*(1+Inputs!$E$69)*(1+Inputs!$E$70)^(AD$5-1)</f>
        <v>-1881.32933333333</v>
      </c>
      <c r="AE15" s="66" t="n">
        <f aca="false">-AE9*Inputs!$E$62/12*1*(1+Inputs!$E$69)*(1+Inputs!$E$70)^(AE$5-1)</f>
        <v>-1881.32933333333</v>
      </c>
      <c r="AF15" s="66" t="n">
        <f aca="false">-AF9*Inputs!$E$62/12*1*(1+Inputs!$E$69)*(1+Inputs!$E$70)^(AF$5-1)</f>
        <v>-1881.32933333333</v>
      </c>
      <c r="AG15" s="66" t="n">
        <f aca="false">-AG9*Inputs!$E$62/12*1*(1+Inputs!$E$69)*(1+Inputs!$E$70)^(AG$5-1)</f>
        <v>-1881.32933333333</v>
      </c>
      <c r="AH15" s="66" t="n">
        <f aca="false">-AH9*Inputs!$E$62/12*1*(1+Inputs!$E$69)*(1+Inputs!$E$70)^(AH$5-1)</f>
        <v>-1881.32933333333</v>
      </c>
      <c r="AI15" s="66" t="n">
        <f aca="false">-AI9*Inputs!$E$62/12*1*(1+Inputs!$E$69)*(1+Inputs!$E$70)^(AI$5-1)</f>
        <v>-1881.32933333333</v>
      </c>
      <c r="AJ15" s="66" t="n">
        <f aca="false">-AJ9*Inputs!$E$62/12*1*(1+Inputs!$E$69)*(1+Inputs!$E$70)^(AJ$5-1)</f>
        <v>-1881.32933333333</v>
      </c>
      <c r="AK15" s="66" t="n">
        <f aca="false">-AK9*Inputs!$E$62/12*1*(1+Inputs!$E$69)*(1+Inputs!$E$70)^(AK$5-1)</f>
        <v>-1881.32933333333</v>
      </c>
      <c r="AL15" s="66" t="n">
        <f aca="false">-AL9*Inputs!$E$62/12*1*(1+Inputs!$E$69)*(1+Inputs!$E$70)^(AL$5-1)</f>
        <v>-1881.32933333333</v>
      </c>
      <c r="AM15" s="66" t="n">
        <f aca="false">-AM9*Inputs!$E$62/12*1*(1+Inputs!$E$69)*(1+Inputs!$E$70)^(AM$5-1)</f>
        <v>-1937.76921333333</v>
      </c>
      <c r="AN15" s="66" t="n">
        <f aca="false">-AN9*Inputs!$E$62/12*1*(1+Inputs!$E$69)*(1+Inputs!$E$70)^(AN$5-1)</f>
        <v>-1937.76921333333</v>
      </c>
      <c r="AO15" s="66" t="n">
        <f aca="false">-AO9*Inputs!$E$62/12*1*(1+Inputs!$E$69)*(1+Inputs!$E$70)^(AO$5-1)</f>
        <v>-1937.76921333333</v>
      </c>
      <c r="AP15" s="66" t="n">
        <f aca="false">-AP9*Inputs!$E$62/12*1*(1+Inputs!$E$69)*(1+Inputs!$E$70)^(AP$5-1)</f>
        <v>-1937.76921333333</v>
      </c>
      <c r="AQ15" s="66" t="n">
        <f aca="false">-AQ9*Inputs!$E$62/12*1*(1+Inputs!$E$69)*(1+Inputs!$E$70)^(AQ$5-1)</f>
        <v>-1937.76921333333</v>
      </c>
      <c r="AR15" s="66" t="n">
        <f aca="false">-AR9*Inputs!$E$62/12*1*(1+Inputs!$E$69)*(1+Inputs!$E$70)^(AR$5-1)</f>
        <v>-1937.76921333333</v>
      </c>
      <c r="AS15" s="66" t="n">
        <f aca="false">-AS9*Inputs!$E$62/12*1*(1+Inputs!$E$69)*(1+Inputs!$E$70)^(AS$5-1)</f>
        <v>-1937.76921333333</v>
      </c>
      <c r="AT15" s="66" t="n">
        <f aca="false">-AT9*Inputs!$E$62/12*1*(1+Inputs!$E$69)*(1+Inputs!$E$70)^(AT$5-1)</f>
        <v>-1937.76921333333</v>
      </c>
      <c r="AU15" s="66" t="n">
        <f aca="false">-AU9*Inputs!$E$62/12*1*(1+Inputs!$E$69)*(1+Inputs!$E$70)^(AU$5-1)</f>
        <v>-1937.76921333333</v>
      </c>
      <c r="AV15" s="66" t="n">
        <f aca="false">-AV9*Inputs!$E$62/12*1*(1+Inputs!$E$69)*(1+Inputs!$E$70)^(AV$5-1)</f>
        <v>-1937.76921333333</v>
      </c>
      <c r="AW15" s="66" t="n">
        <f aca="false">-AW9*Inputs!$E$62/12*1*(1+Inputs!$E$69)*(1+Inputs!$E$70)^(AW$5-1)</f>
        <v>-1937.76921333333</v>
      </c>
      <c r="AX15" s="66" t="n">
        <f aca="false">-AX9*Inputs!$E$62/12*1*(1+Inputs!$E$69)*(1+Inputs!$E$70)^(AX$5-1)</f>
        <v>-1937.76921333333</v>
      </c>
      <c r="AY15" s="66" t="n">
        <f aca="false">-AY9*Inputs!$E$62/12*1*(1+Inputs!$E$69)*(1+Inputs!$E$70)^(AY$5-1)</f>
        <v>-1995.90228973333</v>
      </c>
      <c r="AZ15" s="66" t="n">
        <f aca="false">-AZ9*Inputs!$E$62/12*1*(1+Inputs!$E$69)*(1+Inputs!$E$70)^(AZ$5-1)</f>
        <v>-1995.90228973333</v>
      </c>
      <c r="BA15" s="66" t="n">
        <f aca="false">-BA9*Inputs!$E$62/12*1*(1+Inputs!$E$69)*(1+Inputs!$E$70)^(BA$5-1)</f>
        <v>-1995.90228973333</v>
      </c>
      <c r="BB15" s="66" t="n">
        <f aca="false">-BB9*Inputs!$E$62/12*1*(1+Inputs!$E$69)*(1+Inputs!$E$70)^(BB$5-1)</f>
        <v>-1995.90228973333</v>
      </c>
      <c r="BC15" s="66" t="n">
        <f aca="false">-BC9*Inputs!$E$62/12*1*(1+Inputs!$E$69)*(1+Inputs!$E$70)^(BC$5-1)</f>
        <v>-1995.90228973333</v>
      </c>
      <c r="BD15" s="66" t="n">
        <f aca="false">-BD9*Inputs!$E$62/12*1*(1+Inputs!$E$69)*(1+Inputs!$E$70)^(BD$5-1)</f>
        <v>-1995.90228973333</v>
      </c>
      <c r="BE15" s="66" t="n">
        <f aca="false">-BE9*Inputs!$E$62/12*1*(1+Inputs!$E$69)*(1+Inputs!$E$70)^(BE$5-1)</f>
        <v>-1995.90228973333</v>
      </c>
      <c r="BF15" s="66" t="n">
        <f aca="false">-BF9*Inputs!$E$62/12*1*(1+Inputs!$E$69)*(1+Inputs!$E$70)^(BF$5-1)</f>
        <v>-1995.90228973333</v>
      </c>
      <c r="BG15" s="66" t="n">
        <f aca="false">-BG9*Inputs!$E$62/12*1*(1+Inputs!$E$69)*(1+Inputs!$E$70)^(BG$5-1)</f>
        <v>-1995.90228973333</v>
      </c>
      <c r="BH15" s="66" t="n">
        <f aca="false">-BH9*Inputs!$E$62/12*1*(1+Inputs!$E$69)*(1+Inputs!$E$70)^(BH$5-1)</f>
        <v>-1995.90228973333</v>
      </c>
      <c r="BI15" s="66" t="n">
        <f aca="false">-BI9*Inputs!$E$62/12*1*(1+Inputs!$E$69)*(1+Inputs!$E$70)^(BI$5-1)</f>
        <v>-1995.90228973333</v>
      </c>
      <c r="BJ15" s="66" t="n">
        <f aca="false">-BJ9*Inputs!$E$62/12*1*(1+Inputs!$E$69)*(1+Inputs!$E$70)^(BJ$5-1)</f>
        <v>-1995.90228973333</v>
      </c>
    </row>
    <row r="16" customFormat="false" ht="15" hidden="false" customHeight="false" outlineLevel="0" collapsed="false">
      <c r="A16" s="6" t="s">
        <v>471</v>
      </c>
      <c r="C16" s="66" t="n">
        <f aca="false">-C10*Inputs!$E$66/12*1*(1+Inputs!$E$69)*(1+Inputs!$E$70)^(C$5-1)</f>
        <v>-1586.66666666667</v>
      </c>
      <c r="D16" s="66" t="n">
        <f aca="false">-D10*Inputs!$E$66/12*1*(1+Inputs!$E$69)*(1+Inputs!$E$70)^(D$5-1)</f>
        <v>-1586.66666666667</v>
      </c>
      <c r="E16" s="66" t="n">
        <f aca="false">-E10*Inputs!$E$66/12*1*(1+Inputs!$E$69)*(1+Inputs!$E$70)^(E$5-1)</f>
        <v>-1586.66666666667</v>
      </c>
      <c r="F16" s="66" t="n">
        <f aca="false">-F10*Inputs!$E$66/12*1*(1+Inputs!$E$69)*(1+Inputs!$E$70)^(F$5-1)</f>
        <v>-1586.66666666667</v>
      </c>
      <c r="G16" s="66" t="n">
        <f aca="false">-G10*Inputs!$E$66/12*1*(1+Inputs!$E$69)*(1+Inputs!$E$70)^(G$5-1)</f>
        <v>-1586.66666666667</v>
      </c>
      <c r="H16" s="66" t="n">
        <f aca="false">-H10*Inputs!$E$66/12*1*(1+Inputs!$E$69)*(1+Inputs!$E$70)^(H$5-1)</f>
        <v>-1586.66666666667</v>
      </c>
      <c r="I16" s="66" t="n">
        <f aca="false">-I10*Inputs!$E$66/12*1*(1+Inputs!$E$69)*(1+Inputs!$E$70)^(I$5-1)</f>
        <v>-1586.66666666667</v>
      </c>
      <c r="J16" s="66" t="n">
        <f aca="false">-J10*Inputs!$E$66/12*1*(1+Inputs!$E$69)*(1+Inputs!$E$70)^(J$5-1)</f>
        <v>-1586.66666666667</v>
      </c>
      <c r="K16" s="66" t="n">
        <f aca="false">-K10*Inputs!$E$66/12*1*(1+Inputs!$E$69)*(1+Inputs!$E$70)^(K$5-1)</f>
        <v>-1586.66666666667</v>
      </c>
      <c r="L16" s="66" t="n">
        <f aca="false">-L10*Inputs!$E$66/12*1*(1+Inputs!$E$69)*(1+Inputs!$E$70)^(L$5-1)</f>
        <v>-1586.66666666667</v>
      </c>
      <c r="M16" s="66" t="n">
        <f aca="false">-M10*Inputs!$E$66/12*1*(1+Inputs!$E$69)*(1+Inputs!$E$70)^(M$5-1)</f>
        <v>-1586.66666666667</v>
      </c>
      <c r="N16" s="66" t="n">
        <f aca="false">-N10*Inputs!$E$66/12*1*(1+Inputs!$E$69)*(1+Inputs!$E$70)^(N$5-1)</f>
        <v>-1586.66666666667</v>
      </c>
      <c r="O16" s="66" t="n">
        <f aca="false">-O10*Inputs!$E$66/12*1*(1+Inputs!$E$69)*(1+Inputs!$E$70)^(O$5-1)</f>
        <v>-1634.26666666667</v>
      </c>
      <c r="P16" s="66" t="n">
        <f aca="false">-P10*Inputs!$E$66/12*1*(1+Inputs!$E$69)*(1+Inputs!$E$70)^(P$5-1)</f>
        <v>-1634.26666666667</v>
      </c>
      <c r="Q16" s="66" t="n">
        <f aca="false">-Q10*Inputs!$E$66/12*1*(1+Inputs!$E$69)*(1+Inputs!$E$70)^(Q$5-1)</f>
        <v>-1634.26666666667</v>
      </c>
      <c r="R16" s="66" t="n">
        <f aca="false">-R10*Inputs!$E$66/12*1*(1+Inputs!$E$69)*(1+Inputs!$E$70)^(R$5-1)</f>
        <v>-1634.26666666667</v>
      </c>
      <c r="S16" s="66" t="n">
        <f aca="false">-S10*Inputs!$E$66/12*1*(1+Inputs!$E$69)*(1+Inputs!$E$70)^(S$5-1)</f>
        <v>-1634.26666666667</v>
      </c>
      <c r="T16" s="66" t="n">
        <f aca="false">-T10*Inputs!$E$66/12*1*(1+Inputs!$E$69)*(1+Inputs!$E$70)^(T$5-1)</f>
        <v>-1634.26666666667</v>
      </c>
      <c r="U16" s="66" t="n">
        <f aca="false">-U10*Inputs!$E$66/12*1*(1+Inputs!$E$69)*(1+Inputs!$E$70)^(U$5-1)</f>
        <v>-1634.26666666667</v>
      </c>
      <c r="V16" s="66" t="n">
        <f aca="false">-V10*Inputs!$E$66/12*1*(1+Inputs!$E$69)*(1+Inputs!$E$70)^(V$5-1)</f>
        <v>-1634.26666666667</v>
      </c>
      <c r="W16" s="66" t="n">
        <f aca="false">-W10*Inputs!$E$66/12*1*(1+Inputs!$E$69)*(1+Inputs!$E$70)^(W$5-1)</f>
        <v>-1634.26666666667</v>
      </c>
      <c r="X16" s="66" t="n">
        <f aca="false">-X10*Inputs!$E$66/12*1*(1+Inputs!$E$69)*(1+Inputs!$E$70)^(X$5-1)</f>
        <v>-1634.26666666667</v>
      </c>
      <c r="Y16" s="66" t="n">
        <f aca="false">-Y10*Inputs!$E$66/12*1*(1+Inputs!$E$69)*(1+Inputs!$E$70)^(Y$5-1)</f>
        <v>-1634.26666666667</v>
      </c>
      <c r="Z16" s="66" t="n">
        <f aca="false">-Z10*Inputs!$E$66/12*1*(1+Inputs!$E$69)*(1+Inputs!$E$70)^(Z$5-1)</f>
        <v>-1634.26666666667</v>
      </c>
      <c r="AA16" s="66" t="n">
        <f aca="false">-AA10*Inputs!$E$66/12*1*(1+Inputs!$E$69)*(1+Inputs!$E$70)^(AA$5-1)</f>
        <v>-1683.29466666667</v>
      </c>
      <c r="AB16" s="66" t="n">
        <f aca="false">-AB10*Inputs!$E$66/12*1*(1+Inputs!$E$69)*(1+Inputs!$E$70)^(AB$5-1)</f>
        <v>-1683.29466666667</v>
      </c>
      <c r="AC16" s="66" t="n">
        <f aca="false">-AC10*Inputs!$E$66/12*1*(1+Inputs!$E$69)*(1+Inputs!$E$70)^(AC$5-1)</f>
        <v>-1683.29466666667</v>
      </c>
      <c r="AD16" s="66" t="n">
        <f aca="false">-AD10*Inputs!$E$66/12*1*(1+Inputs!$E$69)*(1+Inputs!$E$70)^(AD$5-1)</f>
        <v>-1683.29466666667</v>
      </c>
      <c r="AE16" s="66" t="n">
        <f aca="false">-AE10*Inputs!$E$66/12*1*(1+Inputs!$E$69)*(1+Inputs!$E$70)^(AE$5-1)</f>
        <v>-1683.29466666667</v>
      </c>
      <c r="AF16" s="66" t="n">
        <f aca="false">-AF10*Inputs!$E$66/12*1*(1+Inputs!$E$69)*(1+Inputs!$E$70)^(AF$5-1)</f>
        <v>-1683.29466666667</v>
      </c>
      <c r="AG16" s="66" t="n">
        <f aca="false">-AG10*Inputs!$E$66/12*1*(1+Inputs!$E$69)*(1+Inputs!$E$70)^(AG$5-1)</f>
        <v>-1683.29466666667</v>
      </c>
      <c r="AH16" s="66" t="n">
        <f aca="false">-AH10*Inputs!$E$66/12*1*(1+Inputs!$E$69)*(1+Inputs!$E$70)^(AH$5-1)</f>
        <v>-1683.29466666667</v>
      </c>
      <c r="AI16" s="66" t="n">
        <f aca="false">-AI10*Inputs!$E$66/12*1*(1+Inputs!$E$69)*(1+Inputs!$E$70)^(AI$5-1)</f>
        <v>-1683.29466666667</v>
      </c>
      <c r="AJ16" s="66" t="n">
        <f aca="false">-AJ10*Inputs!$E$66/12*1*(1+Inputs!$E$69)*(1+Inputs!$E$70)^(AJ$5-1)</f>
        <v>-1683.29466666667</v>
      </c>
      <c r="AK16" s="66" t="n">
        <f aca="false">-AK10*Inputs!$E$66/12*1*(1+Inputs!$E$69)*(1+Inputs!$E$70)^(AK$5-1)</f>
        <v>-1683.29466666667</v>
      </c>
      <c r="AL16" s="66" t="n">
        <f aca="false">-AL10*Inputs!$E$66/12*1*(1+Inputs!$E$69)*(1+Inputs!$E$70)^(AL$5-1)</f>
        <v>-1683.29466666667</v>
      </c>
      <c r="AM16" s="66" t="n">
        <f aca="false">-AM10*Inputs!$E$66/12*1*(1+Inputs!$E$69)*(1+Inputs!$E$70)^(AM$5-1)</f>
        <v>-1733.79350666667</v>
      </c>
      <c r="AN16" s="66" t="n">
        <f aca="false">-AN10*Inputs!$E$66/12*1*(1+Inputs!$E$69)*(1+Inputs!$E$70)^(AN$5-1)</f>
        <v>-1733.79350666667</v>
      </c>
      <c r="AO16" s="66" t="n">
        <f aca="false">-AO10*Inputs!$E$66/12*1*(1+Inputs!$E$69)*(1+Inputs!$E$70)^(AO$5-1)</f>
        <v>-1733.79350666667</v>
      </c>
      <c r="AP16" s="66" t="n">
        <f aca="false">-AP10*Inputs!$E$66/12*1*(1+Inputs!$E$69)*(1+Inputs!$E$70)^(AP$5-1)</f>
        <v>-1733.79350666667</v>
      </c>
      <c r="AQ16" s="66" t="n">
        <f aca="false">-AQ10*Inputs!$E$66/12*1*(1+Inputs!$E$69)*(1+Inputs!$E$70)^(AQ$5-1)</f>
        <v>-1733.79350666667</v>
      </c>
      <c r="AR16" s="66" t="n">
        <f aca="false">-AR10*Inputs!$E$66/12*1*(1+Inputs!$E$69)*(1+Inputs!$E$70)^(AR$5-1)</f>
        <v>-1733.79350666667</v>
      </c>
      <c r="AS16" s="66" t="n">
        <f aca="false">-AS10*Inputs!$E$66/12*1*(1+Inputs!$E$69)*(1+Inputs!$E$70)^(AS$5-1)</f>
        <v>-1733.79350666667</v>
      </c>
      <c r="AT16" s="66" t="n">
        <f aca="false">-AT10*Inputs!$E$66/12*1*(1+Inputs!$E$69)*(1+Inputs!$E$70)^(AT$5-1)</f>
        <v>-1733.79350666667</v>
      </c>
      <c r="AU16" s="66" t="n">
        <f aca="false">-AU10*Inputs!$E$66/12*1*(1+Inputs!$E$69)*(1+Inputs!$E$70)^(AU$5-1)</f>
        <v>-1733.79350666667</v>
      </c>
      <c r="AV16" s="66" t="n">
        <f aca="false">-AV10*Inputs!$E$66/12*1*(1+Inputs!$E$69)*(1+Inputs!$E$70)^(AV$5-1)</f>
        <v>-1733.79350666667</v>
      </c>
      <c r="AW16" s="66" t="n">
        <f aca="false">-AW10*Inputs!$E$66/12*1*(1+Inputs!$E$69)*(1+Inputs!$E$70)^(AW$5-1)</f>
        <v>-1733.79350666667</v>
      </c>
      <c r="AX16" s="66" t="n">
        <f aca="false">-AX10*Inputs!$E$66/12*1*(1+Inputs!$E$69)*(1+Inputs!$E$70)^(AX$5-1)</f>
        <v>-1733.79350666667</v>
      </c>
      <c r="AY16" s="66" t="n">
        <f aca="false">-AY10*Inputs!$E$66/12*1*(1+Inputs!$E$69)*(1+Inputs!$E$70)^(AY$5-1)</f>
        <v>-1785.80731186667</v>
      </c>
      <c r="AZ16" s="66" t="n">
        <f aca="false">-AZ10*Inputs!$E$66/12*1*(1+Inputs!$E$69)*(1+Inputs!$E$70)^(AZ$5-1)</f>
        <v>-1785.80731186667</v>
      </c>
      <c r="BA16" s="66" t="n">
        <f aca="false">-BA10*Inputs!$E$66/12*1*(1+Inputs!$E$69)*(1+Inputs!$E$70)^(BA$5-1)</f>
        <v>-1785.80731186667</v>
      </c>
      <c r="BB16" s="66" t="n">
        <f aca="false">-BB10*Inputs!$E$66/12*1*(1+Inputs!$E$69)*(1+Inputs!$E$70)^(BB$5-1)</f>
        <v>-1785.80731186667</v>
      </c>
      <c r="BC16" s="66" t="n">
        <f aca="false">-BC10*Inputs!$E$66/12*1*(1+Inputs!$E$69)*(1+Inputs!$E$70)^(BC$5-1)</f>
        <v>-1785.80731186667</v>
      </c>
      <c r="BD16" s="66" t="n">
        <f aca="false">-BD10*Inputs!$E$66/12*1*(1+Inputs!$E$69)*(1+Inputs!$E$70)^(BD$5-1)</f>
        <v>-1785.80731186667</v>
      </c>
      <c r="BE16" s="66" t="n">
        <f aca="false">-BE10*Inputs!$E$66/12*1*(1+Inputs!$E$69)*(1+Inputs!$E$70)^(BE$5-1)</f>
        <v>-1785.80731186667</v>
      </c>
      <c r="BF16" s="66" t="n">
        <f aca="false">-BF10*Inputs!$E$66/12*1*(1+Inputs!$E$69)*(1+Inputs!$E$70)^(BF$5-1)</f>
        <v>-1785.80731186667</v>
      </c>
      <c r="BG16" s="66" t="n">
        <f aca="false">-BG10*Inputs!$E$66/12*1*(1+Inputs!$E$69)*(1+Inputs!$E$70)^(BG$5-1)</f>
        <v>-1785.80731186667</v>
      </c>
      <c r="BH16" s="66" t="n">
        <f aca="false">-BH10*Inputs!$E$66/12*1*(1+Inputs!$E$69)*(1+Inputs!$E$70)^(BH$5-1)</f>
        <v>-1785.80731186667</v>
      </c>
      <c r="BI16" s="66" t="n">
        <f aca="false">-BI10*Inputs!$E$66/12*1*(1+Inputs!$E$69)*(1+Inputs!$E$70)^(BI$5-1)</f>
        <v>-1785.80731186667</v>
      </c>
      <c r="BJ16" s="66" t="n">
        <f aca="false">-BJ10*Inputs!$E$66/12*1*(1+Inputs!$E$69)*(1+Inputs!$E$70)^(BJ$5-1)</f>
        <v>-1785.80731186667</v>
      </c>
    </row>
    <row r="17" customFormat="false" ht="15" hidden="false" customHeight="false" outlineLevel="0" collapsed="false">
      <c r="A17" s="110" t="s">
        <v>472</v>
      </c>
      <c r="C17" s="67" t="n">
        <f aca="false">C14+C15+C16</f>
        <v>-9146.66666666667</v>
      </c>
      <c r="D17" s="67" t="n">
        <f aca="false">D14+D15+D16</f>
        <v>-9146.66666666667</v>
      </c>
      <c r="E17" s="67" t="n">
        <f aca="false">E14+E15+E16</f>
        <v>-9146.66666666667</v>
      </c>
      <c r="F17" s="67" t="n">
        <f aca="false">F14+F15+F16</f>
        <v>-9146.66666666667</v>
      </c>
      <c r="G17" s="67" t="n">
        <f aca="false">G14+G15+G16</f>
        <v>-9146.66666666667</v>
      </c>
      <c r="H17" s="67" t="n">
        <f aca="false">H14+H15+H16</f>
        <v>-9146.66666666667</v>
      </c>
      <c r="I17" s="67" t="n">
        <f aca="false">I14+I15+I16</f>
        <v>-9146.66666666667</v>
      </c>
      <c r="J17" s="67" t="n">
        <f aca="false">J14+J15+J16</f>
        <v>-9146.66666666667</v>
      </c>
      <c r="K17" s="67" t="n">
        <f aca="false">K14+K15+K16</f>
        <v>-9146.66666666667</v>
      </c>
      <c r="L17" s="67" t="n">
        <f aca="false">L14+L15+L16</f>
        <v>-9146.66666666667</v>
      </c>
      <c r="M17" s="67" t="n">
        <f aca="false">M14+M15+M16</f>
        <v>-9146.66666666667</v>
      </c>
      <c r="N17" s="67" t="n">
        <f aca="false">N14+N15+N16</f>
        <v>-9146.66666666667</v>
      </c>
      <c r="O17" s="67" t="n">
        <f aca="false">O14+O15+O16</f>
        <v>-9421.06666666667</v>
      </c>
      <c r="P17" s="67" t="n">
        <f aca="false">P14+P15+P16</f>
        <v>-9421.06666666667</v>
      </c>
      <c r="Q17" s="67" t="n">
        <f aca="false">Q14+Q15+Q16</f>
        <v>-9421.06666666667</v>
      </c>
      <c r="R17" s="67" t="n">
        <f aca="false">R14+R15+R16</f>
        <v>-9421.06666666667</v>
      </c>
      <c r="S17" s="67" t="n">
        <f aca="false">S14+S15+S16</f>
        <v>-9421.06666666667</v>
      </c>
      <c r="T17" s="67" t="n">
        <f aca="false">T14+T15+T16</f>
        <v>-9421.06666666667</v>
      </c>
      <c r="U17" s="67" t="n">
        <f aca="false">U14+U15+U16</f>
        <v>-9421.06666666667</v>
      </c>
      <c r="V17" s="67" t="n">
        <f aca="false">V14+V15+V16</f>
        <v>-9421.06666666667</v>
      </c>
      <c r="W17" s="67" t="n">
        <f aca="false">W14+W15+W16</f>
        <v>-9421.06666666667</v>
      </c>
      <c r="X17" s="67" t="n">
        <f aca="false">X14+X15+X16</f>
        <v>-9421.06666666667</v>
      </c>
      <c r="Y17" s="67" t="n">
        <f aca="false">Y14+Y15+Y16</f>
        <v>-9421.06666666667</v>
      </c>
      <c r="Z17" s="67" t="n">
        <f aca="false">Z14+Z15+Z16</f>
        <v>-9421.06666666667</v>
      </c>
      <c r="AA17" s="67" t="n">
        <f aca="false">AA14+AA15+AA16</f>
        <v>-9703.69866666667</v>
      </c>
      <c r="AB17" s="67" t="n">
        <f aca="false">AB14+AB15+AB16</f>
        <v>-9703.69866666667</v>
      </c>
      <c r="AC17" s="67" t="n">
        <f aca="false">AC14+AC15+AC16</f>
        <v>-9703.69866666667</v>
      </c>
      <c r="AD17" s="67" t="n">
        <f aca="false">AD14+AD15+AD16</f>
        <v>-9703.69866666667</v>
      </c>
      <c r="AE17" s="67" t="n">
        <f aca="false">AE14+AE15+AE16</f>
        <v>-9703.69866666667</v>
      </c>
      <c r="AF17" s="67" t="n">
        <f aca="false">AF14+AF15+AF16</f>
        <v>-9703.69866666667</v>
      </c>
      <c r="AG17" s="67" t="n">
        <f aca="false">AG14+AG15+AG16</f>
        <v>-9703.69866666667</v>
      </c>
      <c r="AH17" s="67" t="n">
        <f aca="false">AH14+AH15+AH16</f>
        <v>-9703.69866666667</v>
      </c>
      <c r="AI17" s="67" t="n">
        <f aca="false">AI14+AI15+AI16</f>
        <v>-9703.69866666667</v>
      </c>
      <c r="AJ17" s="67" t="n">
        <f aca="false">AJ14+AJ15+AJ16</f>
        <v>-9703.69866666667</v>
      </c>
      <c r="AK17" s="67" t="n">
        <f aca="false">AK14+AK15+AK16</f>
        <v>-9703.69866666667</v>
      </c>
      <c r="AL17" s="67" t="n">
        <f aca="false">AL14+AL15+AL16</f>
        <v>-9703.69866666667</v>
      </c>
      <c r="AM17" s="67" t="n">
        <f aca="false">AM14+AM15+AM16</f>
        <v>-9994.80962666667</v>
      </c>
      <c r="AN17" s="67" t="n">
        <f aca="false">AN14+AN15+AN16</f>
        <v>-9994.80962666667</v>
      </c>
      <c r="AO17" s="67" t="n">
        <f aca="false">AO14+AO15+AO16</f>
        <v>-9994.80962666667</v>
      </c>
      <c r="AP17" s="67" t="n">
        <f aca="false">AP14+AP15+AP16</f>
        <v>-9994.80962666667</v>
      </c>
      <c r="AQ17" s="67" t="n">
        <f aca="false">AQ14+AQ15+AQ16</f>
        <v>-9994.80962666667</v>
      </c>
      <c r="AR17" s="67" t="n">
        <f aca="false">AR14+AR15+AR16</f>
        <v>-9994.80962666667</v>
      </c>
      <c r="AS17" s="67" t="n">
        <f aca="false">AS14+AS15+AS16</f>
        <v>-9994.80962666667</v>
      </c>
      <c r="AT17" s="67" t="n">
        <f aca="false">AT14+AT15+AT16</f>
        <v>-9994.80962666667</v>
      </c>
      <c r="AU17" s="67" t="n">
        <f aca="false">AU14+AU15+AU16</f>
        <v>-9994.80962666667</v>
      </c>
      <c r="AV17" s="67" t="n">
        <f aca="false">AV14+AV15+AV16</f>
        <v>-9994.80962666667</v>
      </c>
      <c r="AW17" s="67" t="n">
        <f aca="false">AW14+AW15+AW16</f>
        <v>-9994.80962666667</v>
      </c>
      <c r="AX17" s="67" t="n">
        <f aca="false">AX14+AX15+AX16</f>
        <v>-9994.80962666667</v>
      </c>
      <c r="AY17" s="67" t="n">
        <f aca="false">AY14+AY15+AY16</f>
        <v>-10294.6539154667</v>
      </c>
      <c r="AZ17" s="67" t="n">
        <f aca="false">AZ14+AZ15+AZ16</f>
        <v>-10294.6539154667</v>
      </c>
      <c r="BA17" s="67" t="n">
        <f aca="false">BA14+BA15+BA16</f>
        <v>-10294.6539154667</v>
      </c>
      <c r="BB17" s="67" t="n">
        <f aca="false">BB14+BB15+BB16</f>
        <v>-10294.6539154667</v>
      </c>
      <c r="BC17" s="67" t="n">
        <f aca="false">BC14+BC15+BC16</f>
        <v>-10294.6539154667</v>
      </c>
      <c r="BD17" s="67" t="n">
        <f aca="false">BD14+BD15+BD16</f>
        <v>-10294.6539154667</v>
      </c>
      <c r="BE17" s="67" t="n">
        <f aca="false">BE14+BE15+BE16</f>
        <v>-10294.6539154667</v>
      </c>
      <c r="BF17" s="67" t="n">
        <f aca="false">BF14+BF15+BF16</f>
        <v>-10294.6539154667</v>
      </c>
      <c r="BG17" s="67" t="n">
        <f aca="false">BG14+BG15+BG16</f>
        <v>-10294.6539154667</v>
      </c>
      <c r="BH17" s="67" t="n">
        <f aca="false">BH14+BH15+BH16</f>
        <v>-10294.6539154667</v>
      </c>
      <c r="BI17" s="67" t="n">
        <f aca="false">BI14+BI15+BI16</f>
        <v>-10294.6539154667</v>
      </c>
      <c r="BJ17" s="67" t="n">
        <f aca="false">BJ14+BJ15+BJ16</f>
        <v>-10294.6539154667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473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474</v>
      </c>
    </row>
    <row r="4" customFormat="false" ht="15.75" hidden="false" customHeight="true" outlineLevel="0" collapsed="false">
      <c r="A4" s="7" t="s">
        <v>475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355</v>
      </c>
      <c r="C5" s="51" t="s">
        <v>356</v>
      </c>
      <c r="D5" s="51" t="s">
        <v>357</v>
      </c>
      <c r="E5" s="51" t="s">
        <v>358</v>
      </c>
      <c r="F5" s="51" t="s">
        <v>359</v>
      </c>
      <c r="G5" s="51" t="s">
        <v>360</v>
      </c>
      <c r="H5" s="51" t="s">
        <v>361</v>
      </c>
      <c r="I5" s="51" t="s">
        <v>362</v>
      </c>
      <c r="J5" s="51" t="s">
        <v>363</v>
      </c>
      <c r="K5" s="51" t="s">
        <v>364</v>
      </c>
      <c r="L5" s="51" t="s">
        <v>365</v>
      </c>
      <c r="M5" s="51" t="s">
        <v>366</v>
      </c>
      <c r="N5" s="51" t="s">
        <v>367</v>
      </c>
      <c r="O5" s="51" t="s">
        <v>368</v>
      </c>
      <c r="P5" s="51" t="s">
        <v>369</v>
      </c>
      <c r="Q5" s="51" t="s">
        <v>370</v>
      </c>
      <c r="R5" s="51" t="s">
        <v>371</v>
      </c>
      <c r="S5" s="51" t="s">
        <v>372</v>
      </c>
      <c r="T5" s="51" t="s">
        <v>373</v>
      </c>
      <c r="U5" s="51" t="s">
        <v>374</v>
      </c>
      <c r="V5" s="51" t="s">
        <v>375</v>
      </c>
      <c r="W5" s="51" t="s">
        <v>376</v>
      </c>
      <c r="X5" s="51" t="s">
        <v>377</v>
      </c>
      <c r="Y5" s="51" t="s">
        <v>378</v>
      </c>
      <c r="Z5" s="51" t="s">
        <v>379</v>
      </c>
      <c r="AA5" s="51" t="s">
        <v>380</v>
      </c>
      <c r="AB5" s="51" t="s">
        <v>381</v>
      </c>
      <c r="AC5" s="51" t="s">
        <v>382</v>
      </c>
      <c r="AD5" s="51" t="s">
        <v>383</v>
      </c>
      <c r="AE5" s="51" t="s">
        <v>384</v>
      </c>
      <c r="AF5" s="51" t="s">
        <v>385</v>
      </c>
      <c r="AG5" s="51" t="s">
        <v>386</v>
      </c>
      <c r="AH5" s="51" t="s">
        <v>387</v>
      </c>
      <c r="AI5" s="51" t="s">
        <v>388</v>
      </c>
      <c r="AJ5" s="51" t="s">
        <v>389</v>
      </c>
      <c r="AK5" s="51" t="s">
        <v>390</v>
      </c>
      <c r="AL5" s="51" t="s">
        <v>391</v>
      </c>
      <c r="AM5" s="51" t="s">
        <v>392</v>
      </c>
      <c r="AN5" s="51" t="s">
        <v>393</v>
      </c>
      <c r="AO5" s="51" t="s">
        <v>394</v>
      </c>
      <c r="AP5" s="51" t="s">
        <v>395</v>
      </c>
      <c r="AQ5" s="51" t="s">
        <v>396</v>
      </c>
      <c r="AR5" s="51" t="s">
        <v>397</v>
      </c>
      <c r="AS5" s="51" t="s">
        <v>398</v>
      </c>
      <c r="AT5" s="51" t="s">
        <v>399</v>
      </c>
      <c r="AU5" s="51" t="s">
        <v>400</v>
      </c>
      <c r="AV5" s="51" t="s">
        <v>401</v>
      </c>
      <c r="AW5" s="51" t="s">
        <v>402</v>
      </c>
      <c r="AX5" s="51" t="s">
        <v>403</v>
      </c>
      <c r="AY5" s="51" t="s">
        <v>404</v>
      </c>
      <c r="AZ5" s="51" t="s">
        <v>405</v>
      </c>
      <c r="BA5" s="51" t="s">
        <v>406</v>
      </c>
      <c r="BB5" s="51" t="s">
        <v>407</v>
      </c>
      <c r="BC5" s="51" t="s">
        <v>408</v>
      </c>
      <c r="BD5" s="51" t="s">
        <v>409</v>
      </c>
      <c r="BE5" s="51" t="s">
        <v>410</v>
      </c>
      <c r="BF5" s="51" t="s">
        <v>411</v>
      </c>
      <c r="BG5" s="51" t="s">
        <v>412</v>
      </c>
      <c r="BH5" s="51" t="s">
        <v>413</v>
      </c>
      <c r="BI5" s="51" t="s">
        <v>414</v>
      </c>
      <c r="BJ5" s="51" t="s">
        <v>415</v>
      </c>
    </row>
    <row r="6" customFormat="false" ht="15" hidden="false" customHeight="false" outlineLevel="0" collapsed="false">
      <c r="A6" s="71" t="s">
        <v>416</v>
      </c>
      <c r="C6" s="71" t="n">
        <v>1</v>
      </c>
      <c r="D6" s="71" t="n">
        <v>2</v>
      </c>
      <c r="E6" s="71" t="n">
        <v>3</v>
      </c>
      <c r="F6" s="71" t="n">
        <v>4</v>
      </c>
      <c r="G6" s="71" t="n">
        <v>5</v>
      </c>
      <c r="H6" s="71" t="n">
        <v>6</v>
      </c>
      <c r="I6" s="71" t="n">
        <v>7</v>
      </c>
      <c r="J6" s="71" t="n">
        <v>8</v>
      </c>
      <c r="K6" s="71" t="n">
        <v>9</v>
      </c>
      <c r="L6" s="71" t="n">
        <v>10</v>
      </c>
      <c r="M6" s="71" t="n">
        <v>11</v>
      </c>
      <c r="N6" s="71" t="n">
        <v>12</v>
      </c>
      <c r="O6" s="71" t="n">
        <v>13</v>
      </c>
      <c r="P6" s="71" t="n">
        <v>14</v>
      </c>
      <c r="Q6" s="71" t="n">
        <v>15</v>
      </c>
      <c r="R6" s="71" t="n">
        <v>16</v>
      </c>
      <c r="S6" s="71" t="n">
        <v>17</v>
      </c>
      <c r="T6" s="71" t="n">
        <v>18</v>
      </c>
      <c r="U6" s="71" t="n">
        <v>19</v>
      </c>
      <c r="V6" s="71" t="n">
        <v>20</v>
      </c>
      <c r="W6" s="71" t="n">
        <v>21</v>
      </c>
      <c r="X6" s="71" t="n">
        <v>22</v>
      </c>
      <c r="Y6" s="71" t="n">
        <v>23</v>
      </c>
      <c r="Z6" s="71" t="n">
        <v>24</v>
      </c>
      <c r="AA6" s="71" t="n">
        <v>25</v>
      </c>
      <c r="AB6" s="71" t="n">
        <v>26</v>
      </c>
      <c r="AC6" s="71" t="n">
        <v>27</v>
      </c>
      <c r="AD6" s="71" t="n">
        <v>28</v>
      </c>
      <c r="AE6" s="71" t="n">
        <v>29</v>
      </c>
      <c r="AF6" s="71" t="n">
        <v>30</v>
      </c>
      <c r="AG6" s="71" t="n">
        <v>31</v>
      </c>
      <c r="AH6" s="71" t="n">
        <v>32</v>
      </c>
      <c r="AI6" s="71" t="n">
        <v>33</v>
      </c>
      <c r="AJ6" s="71" t="n">
        <v>34</v>
      </c>
      <c r="AK6" s="71" t="n">
        <v>35</v>
      </c>
      <c r="AL6" s="71" t="n">
        <v>36</v>
      </c>
      <c r="AM6" s="71" t="n">
        <v>37</v>
      </c>
      <c r="AN6" s="71" t="n">
        <v>38</v>
      </c>
      <c r="AO6" s="71" t="n">
        <v>39</v>
      </c>
      <c r="AP6" s="71" t="n">
        <v>40</v>
      </c>
      <c r="AQ6" s="71" t="n">
        <v>41</v>
      </c>
      <c r="AR6" s="71" t="n">
        <v>42</v>
      </c>
      <c r="AS6" s="71" t="n">
        <v>43</v>
      </c>
      <c r="AT6" s="71" t="n">
        <v>44</v>
      </c>
      <c r="AU6" s="71" t="n">
        <v>45</v>
      </c>
      <c r="AV6" s="71" t="n">
        <v>46</v>
      </c>
      <c r="AW6" s="71" t="n">
        <v>47</v>
      </c>
      <c r="AX6" s="71" t="n">
        <v>48</v>
      </c>
      <c r="AY6" s="71" t="n">
        <v>49</v>
      </c>
      <c r="AZ6" s="71" t="n">
        <v>50</v>
      </c>
      <c r="BA6" s="71" t="n">
        <v>51</v>
      </c>
      <c r="BB6" s="71" t="n">
        <v>52</v>
      </c>
      <c r="BC6" s="71" t="n">
        <v>53</v>
      </c>
      <c r="BD6" s="71" t="n">
        <v>54</v>
      </c>
      <c r="BE6" s="71" t="n">
        <v>55</v>
      </c>
      <c r="BF6" s="71" t="n">
        <v>56</v>
      </c>
      <c r="BG6" s="71" t="n">
        <v>57</v>
      </c>
      <c r="BH6" s="71" t="n">
        <v>58</v>
      </c>
      <c r="BI6" s="71" t="n">
        <v>59</v>
      </c>
      <c r="BJ6" s="71" t="n">
        <v>60</v>
      </c>
    </row>
    <row r="7" customFormat="false" ht="15" hidden="false" customHeight="false" outlineLevel="0" collapsed="false">
      <c r="A7" s="71" t="s">
        <v>153</v>
      </c>
      <c r="C7" s="71" t="n">
        <f aca="false">ROUNDUP(C6*1/12,0)</f>
        <v>1</v>
      </c>
      <c r="D7" s="71" t="n">
        <f aca="false">ROUNDUP(D6*1/12,0)</f>
        <v>1</v>
      </c>
      <c r="E7" s="71" t="n">
        <f aca="false">ROUNDUP(E6*1/12,0)</f>
        <v>1</v>
      </c>
      <c r="F7" s="71" t="n">
        <f aca="false">ROUNDUP(F6*1/12,0)</f>
        <v>1</v>
      </c>
      <c r="G7" s="71" t="n">
        <f aca="false">ROUNDUP(G6*1/12,0)</f>
        <v>1</v>
      </c>
      <c r="H7" s="71" t="n">
        <f aca="false">ROUNDUP(H6*1/12,0)</f>
        <v>1</v>
      </c>
      <c r="I7" s="71" t="n">
        <f aca="false">ROUNDUP(I6*1/12,0)</f>
        <v>1</v>
      </c>
      <c r="J7" s="71" t="n">
        <f aca="false">ROUNDUP(J6*1/12,0)</f>
        <v>1</v>
      </c>
      <c r="K7" s="71" t="n">
        <f aca="false">ROUNDUP(K6*1/12,0)</f>
        <v>1</v>
      </c>
      <c r="L7" s="71" t="n">
        <f aca="false">ROUNDUP(L6*1/12,0)</f>
        <v>1</v>
      </c>
      <c r="M7" s="71" t="n">
        <f aca="false">ROUNDUP(M6*1/12,0)</f>
        <v>1</v>
      </c>
      <c r="N7" s="71" t="n">
        <f aca="false">ROUNDUP(N6*1/12,0)</f>
        <v>1</v>
      </c>
      <c r="O7" s="71" t="n">
        <f aca="false">ROUNDUP(O6*1/12,0)</f>
        <v>2</v>
      </c>
      <c r="P7" s="71" t="n">
        <f aca="false">ROUNDUP(P6*1/12,0)</f>
        <v>2</v>
      </c>
      <c r="Q7" s="71" t="n">
        <f aca="false">ROUNDUP(Q6*1/12,0)</f>
        <v>2</v>
      </c>
      <c r="R7" s="71" t="n">
        <f aca="false">ROUNDUP(R6*1/12,0)</f>
        <v>2</v>
      </c>
      <c r="S7" s="71" t="n">
        <f aca="false">ROUNDUP(S6*1/12,0)</f>
        <v>2</v>
      </c>
      <c r="T7" s="71" t="n">
        <f aca="false">ROUNDUP(T6*1/12,0)</f>
        <v>2</v>
      </c>
      <c r="U7" s="71" t="n">
        <f aca="false">ROUNDUP(U6*1/12,0)</f>
        <v>2</v>
      </c>
      <c r="V7" s="71" t="n">
        <f aca="false">ROUNDUP(V6*1/12,0)</f>
        <v>2</v>
      </c>
      <c r="W7" s="71" t="n">
        <f aca="false">ROUNDUP(W6*1/12,0)</f>
        <v>2</v>
      </c>
      <c r="X7" s="71" t="n">
        <f aca="false">ROUNDUP(X6*1/12,0)</f>
        <v>2</v>
      </c>
      <c r="Y7" s="71" t="n">
        <f aca="false">ROUNDUP(Y6*1/12,0)</f>
        <v>2</v>
      </c>
      <c r="Z7" s="71" t="n">
        <f aca="false">ROUNDUP(Z6*1/12,0)</f>
        <v>2</v>
      </c>
      <c r="AA7" s="71" t="n">
        <f aca="false">ROUNDUP(AA6*1/12,0)</f>
        <v>3</v>
      </c>
      <c r="AB7" s="71" t="n">
        <f aca="false">ROUNDUP(AB6*1/12,0)</f>
        <v>3</v>
      </c>
      <c r="AC7" s="71" t="n">
        <f aca="false">ROUNDUP(AC6*1/12,0)</f>
        <v>3</v>
      </c>
      <c r="AD7" s="71" t="n">
        <f aca="false">ROUNDUP(AD6*1/12,0)</f>
        <v>3</v>
      </c>
      <c r="AE7" s="71" t="n">
        <f aca="false">ROUNDUP(AE6*1/12,0)</f>
        <v>3</v>
      </c>
      <c r="AF7" s="71" t="n">
        <f aca="false">ROUNDUP(AF6*1/12,0)</f>
        <v>3</v>
      </c>
      <c r="AG7" s="71" t="n">
        <f aca="false">ROUNDUP(AG6*1/12,0)</f>
        <v>3</v>
      </c>
      <c r="AH7" s="71" t="n">
        <f aca="false">ROUNDUP(AH6*1/12,0)</f>
        <v>3</v>
      </c>
      <c r="AI7" s="71" t="n">
        <f aca="false">ROUNDUP(AI6*1/12,0)</f>
        <v>3</v>
      </c>
      <c r="AJ7" s="71" t="n">
        <f aca="false">ROUNDUP(AJ6*1/12,0)</f>
        <v>3</v>
      </c>
      <c r="AK7" s="71" t="n">
        <f aca="false">ROUNDUP(AK6*1/12,0)</f>
        <v>3</v>
      </c>
      <c r="AL7" s="71" t="n">
        <f aca="false">ROUNDUP(AL6*1/12,0)</f>
        <v>3</v>
      </c>
      <c r="AM7" s="71" t="n">
        <f aca="false">ROUNDUP(AM6*1/12,0)</f>
        <v>4</v>
      </c>
      <c r="AN7" s="71" t="n">
        <f aca="false">ROUNDUP(AN6*1/12,0)</f>
        <v>4</v>
      </c>
      <c r="AO7" s="71" t="n">
        <f aca="false">ROUNDUP(AO6*1/12,0)</f>
        <v>4</v>
      </c>
      <c r="AP7" s="71" t="n">
        <f aca="false">ROUNDUP(AP6*1/12,0)</f>
        <v>4</v>
      </c>
      <c r="AQ7" s="71" t="n">
        <f aca="false">ROUNDUP(AQ6*1/12,0)</f>
        <v>4</v>
      </c>
      <c r="AR7" s="71" t="n">
        <f aca="false">ROUNDUP(AR6*1/12,0)</f>
        <v>4</v>
      </c>
      <c r="AS7" s="71" t="n">
        <f aca="false">ROUNDUP(AS6*1/12,0)</f>
        <v>4</v>
      </c>
      <c r="AT7" s="71" t="n">
        <f aca="false">ROUNDUP(AT6*1/12,0)</f>
        <v>4</v>
      </c>
      <c r="AU7" s="71" t="n">
        <f aca="false">ROUNDUP(AU6*1/12,0)</f>
        <v>4</v>
      </c>
      <c r="AV7" s="71" t="n">
        <f aca="false">ROUNDUP(AV6*1/12,0)</f>
        <v>4</v>
      </c>
      <c r="AW7" s="71" t="n">
        <f aca="false">ROUNDUP(AW6*1/12,0)</f>
        <v>4</v>
      </c>
      <c r="AX7" s="71" t="n">
        <f aca="false">ROUNDUP(AX6*1/12,0)</f>
        <v>4</v>
      </c>
      <c r="AY7" s="71" t="n">
        <f aca="false">ROUNDUP(AY6*1/12,0)</f>
        <v>5</v>
      </c>
      <c r="AZ7" s="71" t="n">
        <f aca="false">ROUNDUP(AZ6*1/12,0)</f>
        <v>5</v>
      </c>
      <c r="BA7" s="71" t="n">
        <f aca="false">ROUNDUP(BA6*1/12,0)</f>
        <v>5</v>
      </c>
      <c r="BB7" s="71" t="n">
        <f aca="false">ROUNDUP(BB6*1/12,0)</f>
        <v>5</v>
      </c>
      <c r="BC7" s="71" t="n">
        <f aca="false">ROUNDUP(BC6*1/12,0)</f>
        <v>5</v>
      </c>
      <c r="BD7" s="71" t="n">
        <f aca="false">ROUNDUP(BD6*1/12,0)</f>
        <v>5</v>
      </c>
      <c r="BE7" s="71" t="n">
        <f aca="false">ROUNDUP(BE6*1/12,0)</f>
        <v>5</v>
      </c>
      <c r="BF7" s="71" t="n">
        <f aca="false">ROUNDUP(BF6*1/12,0)</f>
        <v>5</v>
      </c>
      <c r="BG7" s="71" t="n">
        <f aca="false">ROUNDUP(BG6*1/12,0)</f>
        <v>5</v>
      </c>
      <c r="BH7" s="71" t="n">
        <f aca="false">ROUNDUP(BH6*1/12,0)</f>
        <v>5</v>
      </c>
      <c r="BI7" s="71" t="n">
        <f aca="false">ROUNDUP(BI6*1/12,0)</f>
        <v>5</v>
      </c>
      <c r="BJ7" s="71" t="n">
        <f aca="false">ROUNDUP(BJ6*1/12,0)</f>
        <v>5</v>
      </c>
    </row>
    <row r="9" customFormat="false" ht="15.75" hidden="false" customHeight="true" outlineLevel="0" collapsed="false">
      <c r="A9" s="7" t="s">
        <v>248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417</v>
      </c>
      <c r="C10" s="113" t="n">
        <f aca="false">Inputs!$B$7+Inputs!$B$8*(C$7-1)</f>
        <v>60</v>
      </c>
      <c r="D10" s="113" t="n">
        <f aca="false">Inputs!$B$7+Inputs!$B$8*(D$7-1)</f>
        <v>60</v>
      </c>
      <c r="E10" s="113" t="n">
        <f aca="false">Inputs!$B$7+Inputs!$B$8*(E$7-1)</f>
        <v>60</v>
      </c>
      <c r="F10" s="113" t="n">
        <f aca="false">Inputs!$B$7+Inputs!$B$8*(F$7-1)</f>
        <v>60</v>
      </c>
      <c r="G10" s="113" t="n">
        <f aca="false">Inputs!$B$7+Inputs!$B$8*(G$7-1)</f>
        <v>60</v>
      </c>
      <c r="H10" s="113" t="n">
        <f aca="false">Inputs!$B$7+Inputs!$B$8*(H$7-1)</f>
        <v>60</v>
      </c>
      <c r="I10" s="113" t="n">
        <f aca="false">Inputs!$B$7+Inputs!$B$8*(I$7-1)</f>
        <v>60</v>
      </c>
      <c r="J10" s="113" t="n">
        <f aca="false">Inputs!$B$7+Inputs!$B$8*(J$7-1)</f>
        <v>60</v>
      </c>
      <c r="K10" s="113" t="n">
        <f aca="false">Inputs!$B$7+Inputs!$B$8*(K$7-1)</f>
        <v>60</v>
      </c>
      <c r="L10" s="113" t="n">
        <f aca="false">Inputs!$B$7+Inputs!$B$8*(L$7-1)</f>
        <v>60</v>
      </c>
      <c r="M10" s="113" t="n">
        <f aca="false">Inputs!$B$7+Inputs!$B$8*(M$7-1)</f>
        <v>60</v>
      </c>
      <c r="N10" s="113" t="n">
        <f aca="false">Inputs!$B$7+Inputs!$B$8*(N$7-1)</f>
        <v>60</v>
      </c>
      <c r="O10" s="113" t="n">
        <f aca="false">Inputs!$B$7+Inputs!$B$8*(O$7-1)</f>
        <v>60</v>
      </c>
      <c r="P10" s="113" t="n">
        <f aca="false">Inputs!$B$7+Inputs!$B$8*(P$7-1)</f>
        <v>60</v>
      </c>
      <c r="Q10" s="113" t="n">
        <f aca="false">Inputs!$B$7+Inputs!$B$8*(Q$7-1)</f>
        <v>60</v>
      </c>
      <c r="R10" s="113" t="n">
        <f aca="false">Inputs!$B$7+Inputs!$B$8*(R$7-1)</f>
        <v>60</v>
      </c>
      <c r="S10" s="113" t="n">
        <f aca="false">Inputs!$B$7+Inputs!$B$8*(S$7-1)</f>
        <v>60</v>
      </c>
      <c r="T10" s="113" t="n">
        <f aca="false">Inputs!$B$7+Inputs!$B$8*(T$7-1)</f>
        <v>60</v>
      </c>
      <c r="U10" s="113" t="n">
        <f aca="false">Inputs!$B$7+Inputs!$B$8*(U$7-1)</f>
        <v>60</v>
      </c>
      <c r="V10" s="113" t="n">
        <f aca="false">Inputs!$B$7+Inputs!$B$8*(V$7-1)</f>
        <v>60</v>
      </c>
      <c r="W10" s="113" t="n">
        <f aca="false">Inputs!$B$7+Inputs!$B$8*(W$7-1)</f>
        <v>60</v>
      </c>
      <c r="X10" s="113" t="n">
        <f aca="false">Inputs!$B$7+Inputs!$B$8*(X$7-1)</f>
        <v>60</v>
      </c>
      <c r="Y10" s="113" t="n">
        <f aca="false">Inputs!$B$7+Inputs!$B$8*(Y$7-1)</f>
        <v>60</v>
      </c>
      <c r="Z10" s="113" t="n">
        <f aca="false">Inputs!$B$7+Inputs!$B$8*(Z$7-1)</f>
        <v>60</v>
      </c>
      <c r="AA10" s="113" t="n">
        <f aca="false">Inputs!$B$7+Inputs!$B$8*(AA$7-1)</f>
        <v>60</v>
      </c>
      <c r="AB10" s="113" t="n">
        <f aca="false">Inputs!$B$7+Inputs!$B$8*(AB$7-1)</f>
        <v>60</v>
      </c>
      <c r="AC10" s="113" t="n">
        <f aca="false">Inputs!$B$7+Inputs!$B$8*(AC$7-1)</f>
        <v>60</v>
      </c>
      <c r="AD10" s="113" t="n">
        <f aca="false">Inputs!$B$7+Inputs!$B$8*(AD$7-1)</f>
        <v>60</v>
      </c>
      <c r="AE10" s="113" t="n">
        <f aca="false">Inputs!$B$7+Inputs!$B$8*(AE$7-1)</f>
        <v>60</v>
      </c>
      <c r="AF10" s="113" t="n">
        <f aca="false">Inputs!$B$7+Inputs!$B$8*(AF$7-1)</f>
        <v>60</v>
      </c>
      <c r="AG10" s="113" t="n">
        <f aca="false">Inputs!$B$7+Inputs!$B$8*(AG$7-1)</f>
        <v>60</v>
      </c>
      <c r="AH10" s="113" t="n">
        <f aca="false">Inputs!$B$7+Inputs!$B$8*(AH$7-1)</f>
        <v>60</v>
      </c>
      <c r="AI10" s="113" t="n">
        <f aca="false">Inputs!$B$7+Inputs!$B$8*(AI$7-1)</f>
        <v>60</v>
      </c>
      <c r="AJ10" s="113" t="n">
        <f aca="false">Inputs!$B$7+Inputs!$B$8*(AJ$7-1)</f>
        <v>60</v>
      </c>
      <c r="AK10" s="113" t="n">
        <f aca="false">Inputs!$B$7+Inputs!$B$8*(AK$7-1)</f>
        <v>60</v>
      </c>
      <c r="AL10" s="113" t="n">
        <f aca="false">Inputs!$B$7+Inputs!$B$8*(AL$7-1)</f>
        <v>60</v>
      </c>
      <c r="AM10" s="113" t="n">
        <f aca="false">Inputs!$B$7+Inputs!$B$8*(AM$7-1)</f>
        <v>60</v>
      </c>
      <c r="AN10" s="113" t="n">
        <f aca="false">Inputs!$B$7+Inputs!$B$8*(AN$7-1)</f>
        <v>60</v>
      </c>
      <c r="AO10" s="113" t="n">
        <f aca="false">Inputs!$B$7+Inputs!$B$8*(AO$7-1)</f>
        <v>60</v>
      </c>
      <c r="AP10" s="113" t="n">
        <f aca="false">Inputs!$B$7+Inputs!$B$8*(AP$7-1)</f>
        <v>60</v>
      </c>
      <c r="AQ10" s="113" t="n">
        <f aca="false">Inputs!$B$7+Inputs!$B$8*(AQ$7-1)</f>
        <v>60</v>
      </c>
      <c r="AR10" s="113" t="n">
        <f aca="false">Inputs!$B$7+Inputs!$B$8*(AR$7-1)</f>
        <v>60</v>
      </c>
      <c r="AS10" s="113" t="n">
        <f aca="false">Inputs!$B$7+Inputs!$B$8*(AS$7-1)</f>
        <v>60</v>
      </c>
      <c r="AT10" s="113" t="n">
        <f aca="false">Inputs!$B$7+Inputs!$B$8*(AT$7-1)</f>
        <v>60</v>
      </c>
      <c r="AU10" s="113" t="n">
        <f aca="false">Inputs!$B$7+Inputs!$B$8*(AU$7-1)</f>
        <v>60</v>
      </c>
      <c r="AV10" s="113" t="n">
        <f aca="false">Inputs!$B$7+Inputs!$B$8*(AV$7-1)</f>
        <v>60</v>
      </c>
      <c r="AW10" s="113" t="n">
        <f aca="false">Inputs!$B$7+Inputs!$B$8*(AW$7-1)</f>
        <v>60</v>
      </c>
      <c r="AX10" s="113" t="n">
        <f aca="false">Inputs!$B$7+Inputs!$B$8*(AX$7-1)</f>
        <v>60</v>
      </c>
      <c r="AY10" s="113" t="n">
        <f aca="false">Inputs!$B$7+Inputs!$B$8*(AY$7-1)</f>
        <v>60</v>
      </c>
      <c r="AZ10" s="113" t="n">
        <f aca="false">Inputs!$B$7+Inputs!$B$8*(AZ$7-1)</f>
        <v>60</v>
      </c>
      <c r="BA10" s="113" t="n">
        <f aca="false">Inputs!$B$7+Inputs!$B$8*(BA$7-1)</f>
        <v>60</v>
      </c>
      <c r="BB10" s="113" t="n">
        <f aca="false">Inputs!$B$7+Inputs!$B$8*(BB$7-1)</f>
        <v>60</v>
      </c>
      <c r="BC10" s="113" t="n">
        <f aca="false">Inputs!$B$7+Inputs!$B$8*(BC$7-1)</f>
        <v>60</v>
      </c>
      <c r="BD10" s="113" t="n">
        <f aca="false">Inputs!$B$7+Inputs!$B$8*(BD$7-1)</f>
        <v>60</v>
      </c>
      <c r="BE10" s="113" t="n">
        <f aca="false">Inputs!$B$7+Inputs!$B$8*(BE$7-1)</f>
        <v>60</v>
      </c>
      <c r="BF10" s="113" t="n">
        <f aca="false">Inputs!$B$7+Inputs!$B$8*(BF$7-1)</f>
        <v>60</v>
      </c>
      <c r="BG10" s="113" t="n">
        <f aca="false">Inputs!$B$7+Inputs!$B$8*(BG$7-1)</f>
        <v>60</v>
      </c>
      <c r="BH10" s="113" t="n">
        <f aca="false">Inputs!$B$7+Inputs!$B$8*(BH$7-1)</f>
        <v>60</v>
      </c>
      <c r="BI10" s="113" t="n">
        <f aca="false">Inputs!$B$7+Inputs!$B$8*(BI$7-1)</f>
        <v>60</v>
      </c>
      <c r="BJ10" s="113" t="n">
        <f aca="false">Inputs!$B$7+Inputs!$B$8*(BJ$7-1)</f>
        <v>60</v>
      </c>
    </row>
    <row r="11" customFormat="false" ht="15" hidden="false" customHeight="false" outlineLevel="0" collapsed="false">
      <c r="A11" s="38" t="s">
        <v>418</v>
      </c>
      <c r="C11" s="73" t="n">
        <f aca="false">MIN(Inputs!$B$11,Inputs!$B$10)</f>
        <v>0.15</v>
      </c>
      <c r="D11" s="73" t="n">
        <f aca="false">MIN(Inputs!$B$11,Inputs!$B$10)</f>
        <v>0.15</v>
      </c>
      <c r="E11" s="73" t="n">
        <f aca="false">MIN(Inputs!$B$11,Inputs!$B$10)</f>
        <v>0.15</v>
      </c>
      <c r="F11" s="73" t="n">
        <f aca="false">MIN(Inputs!$B$11,Inputs!$B$10)</f>
        <v>0.15</v>
      </c>
      <c r="G11" s="73" t="n">
        <f aca="false">MIN(Inputs!$B$11,Inputs!$B$10)</f>
        <v>0.15</v>
      </c>
      <c r="H11" s="73" t="n">
        <f aca="false">MIN(Inputs!$B$11,Inputs!$B$10)</f>
        <v>0.15</v>
      </c>
      <c r="I11" s="73" t="n">
        <f aca="false">MIN(Inputs!$B$11,Inputs!$B$10)</f>
        <v>0.15</v>
      </c>
      <c r="J11" s="73" t="n">
        <f aca="false">MIN(Inputs!$B$11,Inputs!$B$10)</f>
        <v>0.15</v>
      </c>
      <c r="K11" s="73" t="n">
        <f aca="false">MIN(Inputs!$B$11,Inputs!$B$10)</f>
        <v>0.15</v>
      </c>
      <c r="L11" s="73" t="n">
        <f aca="false">MIN(Inputs!$B$11,Inputs!$B$10)</f>
        <v>0.15</v>
      </c>
      <c r="M11" s="73" t="n">
        <f aca="false">MIN(Inputs!$B$11,Inputs!$B$10)</f>
        <v>0.15</v>
      </c>
      <c r="N11" s="73" t="n">
        <f aca="false">MIN(Inputs!$B$11,Inputs!$B$10)</f>
        <v>0.15</v>
      </c>
      <c r="O11" s="73" t="n">
        <f aca="false">MIN(Inputs!$B$11,Inputs!$B$10)</f>
        <v>0.15</v>
      </c>
      <c r="P11" s="73" t="n">
        <f aca="false">MIN(Inputs!$B$11,Inputs!$B$10)</f>
        <v>0.15</v>
      </c>
      <c r="Q11" s="73" t="n">
        <f aca="false">MIN(Inputs!$B$11,Inputs!$B$10)</f>
        <v>0.15</v>
      </c>
      <c r="R11" s="73" t="n">
        <f aca="false">MIN(Inputs!$B$11,Inputs!$B$10)</f>
        <v>0.15</v>
      </c>
      <c r="S11" s="73" t="n">
        <f aca="false">MIN(Inputs!$B$11,Inputs!$B$10)</f>
        <v>0.15</v>
      </c>
      <c r="T11" s="73" t="n">
        <f aca="false">MIN(Inputs!$B$11,Inputs!$B$10)</f>
        <v>0.15</v>
      </c>
      <c r="U11" s="73" t="n">
        <f aca="false">MIN(Inputs!$B$11,Inputs!$B$10)</f>
        <v>0.15</v>
      </c>
      <c r="V11" s="73" t="n">
        <f aca="false">MIN(Inputs!$B$11,Inputs!$B$10)</f>
        <v>0.15</v>
      </c>
      <c r="W11" s="73" t="n">
        <f aca="false">MIN(Inputs!$B$11,Inputs!$B$10)</f>
        <v>0.15</v>
      </c>
      <c r="X11" s="73" t="n">
        <f aca="false">MIN(Inputs!$B$11,Inputs!$B$10)</f>
        <v>0.15</v>
      </c>
      <c r="Y11" s="73" t="n">
        <f aca="false">MIN(Inputs!$B$11,Inputs!$B$10)</f>
        <v>0.15</v>
      </c>
      <c r="Z11" s="73" t="n">
        <f aca="false">MIN(Inputs!$B$11,Inputs!$B$10)</f>
        <v>0.15</v>
      </c>
      <c r="AA11" s="73" t="n">
        <f aca="false">MIN(Inputs!$B$11,Inputs!$B$10)</f>
        <v>0.15</v>
      </c>
      <c r="AB11" s="73" t="n">
        <f aca="false">MIN(Inputs!$B$11,Inputs!$B$10)</f>
        <v>0.15</v>
      </c>
      <c r="AC11" s="73" t="n">
        <f aca="false">MIN(Inputs!$B$11,Inputs!$B$10)</f>
        <v>0.15</v>
      </c>
      <c r="AD11" s="73" t="n">
        <f aca="false">MIN(Inputs!$B$11,Inputs!$B$10)</f>
        <v>0.15</v>
      </c>
      <c r="AE11" s="73" t="n">
        <f aca="false">MIN(Inputs!$B$11,Inputs!$B$10)</f>
        <v>0.15</v>
      </c>
      <c r="AF11" s="73" t="n">
        <f aca="false">MIN(Inputs!$B$11,Inputs!$B$10)</f>
        <v>0.15</v>
      </c>
      <c r="AG11" s="73" t="n">
        <f aca="false">MIN(Inputs!$B$11,Inputs!$B$10)</f>
        <v>0.15</v>
      </c>
      <c r="AH11" s="73" t="n">
        <f aca="false">MIN(Inputs!$B$11,Inputs!$B$10)</f>
        <v>0.15</v>
      </c>
      <c r="AI11" s="73" t="n">
        <f aca="false">MIN(Inputs!$B$11,Inputs!$B$10)</f>
        <v>0.15</v>
      </c>
      <c r="AJ11" s="73" t="n">
        <f aca="false">MIN(Inputs!$B$11,Inputs!$B$10)</f>
        <v>0.15</v>
      </c>
      <c r="AK11" s="73" t="n">
        <f aca="false">MIN(Inputs!$B$11,Inputs!$B$10)</f>
        <v>0.15</v>
      </c>
      <c r="AL11" s="73" t="n">
        <f aca="false">MIN(Inputs!$B$11,Inputs!$B$10)</f>
        <v>0.15</v>
      </c>
      <c r="AM11" s="73" t="n">
        <f aca="false">MIN(Inputs!$B$11,Inputs!$B$10)</f>
        <v>0.15</v>
      </c>
      <c r="AN11" s="73" t="n">
        <f aca="false">MIN(Inputs!$B$11,Inputs!$B$10)</f>
        <v>0.15</v>
      </c>
      <c r="AO11" s="73" t="n">
        <f aca="false">MIN(Inputs!$B$11,Inputs!$B$10)</f>
        <v>0.15</v>
      </c>
      <c r="AP11" s="73" t="n">
        <f aca="false">MIN(Inputs!$B$11,Inputs!$B$10)</f>
        <v>0.15</v>
      </c>
      <c r="AQ11" s="73" t="n">
        <f aca="false">MIN(Inputs!$B$11,Inputs!$B$10)</f>
        <v>0.15</v>
      </c>
      <c r="AR11" s="73" t="n">
        <f aca="false">MIN(Inputs!$B$11,Inputs!$B$10)</f>
        <v>0.15</v>
      </c>
      <c r="AS11" s="73" t="n">
        <f aca="false">MIN(Inputs!$B$11,Inputs!$B$10)</f>
        <v>0.15</v>
      </c>
      <c r="AT11" s="73" t="n">
        <f aca="false">MIN(Inputs!$B$11,Inputs!$B$10)</f>
        <v>0.15</v>
      </c>
      <c r="AU11" s="73" t="n">
        <f aca="false">MIN(Inputs!$B$11,Inputs!$B$10)</f>
        <v>0.15</v>
      </c>
      <c r="AV11" s="73" t="n">
        <f aca="false">MIN(Inputs!$B$11,Inputs!$B$10)</f>
        <v>0.15</v>
      </c>
      <c r="AW11" s="73" t="n">
        <f aca="false">MIN(Inputs!$B$11,Inputs!$B$10)</f>
        <v>0.15</v>
      </c>
      <c r="AX11" s="73" t="n">
        <f aca="false">MIN(Inputs!$B$11,Inputs!$B$10)</f>
        <v>0.15</v>
      </c>
      <c r="AY11" s="73" t="n">
        <f aca="false">MIN(Inputs!$B$11,Inputs!$B$10)</f>
        <v>0.15</v>
      </c>
      <c r="AZ11" s="73" t="n">
        <f aca="false">MIN(Inputs!$B$11,Inputs!$B$10)</f>
        <v>0.15</v>
      </c>
      <c r="BA11" s="73" t="n">
        <f aca="false">MIN(Inputs!$B$11,Inputs!$B$10)</f>
        <v>0.15</v>
      </c>
      <c r="BB11" s="73" t="n">
        <f aca="false">MIN(Inputs!$B$11,Inputs!$B$10)</f>
        <v>0.15</v>
      </c>
      <c r="BC11" s="73" t="n">
        <f aca="false">MIN(Inputs!$B$11,Inputs!$B$10)</f>
        <v>0.15</v>
      </c>
      <c r="BD11" s="73" t="n">
        <f aca="false">MIN(Inputs!$B$11,Inputs!$B$10)</f>
        <v>0.15</v>
      </c>
      <c r="BE11" s="73" t="n">
        <f aca="false">MIN(Inputs!$B$11,Inputs!$B$10)</f>
        <v>0.15</v>
      </c>
      <c r="BF11" s="73" t="n">
        <f aca="false">MIN(Inputs!$B$11,Inputs!$B$10)</f>
        <v>0.15</v>
      </c>
      <c r="BG11" s="73" t="n">
        <f aca="false">MIN(Inputs!$B$11,Inputs!$B$10)</f>
        <v>0.15</v>
      </c>
      <c r="BH11" s="73" t="n">
        <f aca="false">MIN(Inputs!$B$11,Inputs!$B$10)</f>
        <v>0.15</v>
      </c>
      <c r="BI11" s="73" t="n">
        <f aca="false">MIN(Inputs!$B$11,Inputs!$B$10)</f>
        <v>0.15</v>
      </c>
      <c r="BJ11" s="73" t="n">
        <f aca="false">MIN(Inputs!$B$11,Inputs!$B$10)</f>
        <v>0.15</v>
      </c>
    </row>
    <row r="12" customFormat="false" ht="15" hidden="false" customHeight="false" outlineLevel="0" collapsed="false">
      <c r="A12" s="114" t="s">
        <v>419</v>
      </c>
      <c r="C12" s="115" t="n">
        <f aca="false">MAX(0,MIN(1,Inputs!$B$12-(C$6-1)*1))</f>
        <v>1</v>
      </c>
      <c r="D12" s="115" t="n">
        <f aca="false">MAX(0,MIN(1,Inputs!$B$12-(D$6-1)*1))</f>
        <v>1</v>
      </c>
      <c r="E12" s="115" t="n">
        <f aca="false">MAX(0,MIN(1,Inputs!$B$12-(E$6-1)*1))</f>
        <v>1</v>
      </c>
      <c r="F12" s="115" t="n">
        <f aca="false">MAX(0,MIN(1,Inputs!$B$12-(F$6-1)*1))</f>
        <v>1</v>
      </c>
      <c r="G12" s="115" t="n">
        <f aca="false">MAX(0,MIN(1,Inputs!$B$12-(G$6-1)*1))</f>
        <v>1</v>
      </c>
      <c r="H12" s="115" t="n">
        <f aca="false">MAX(0,MIN(1,Inputs!$B$12-(H$6-1)*1))</f>
        <v>1</v>
      </c>
      <c r="I12" s="115" t="n">
        <f aca="false">MAX(0,MIN(1,Inputs!$B$12-(I$6-1)*1))</f>
        <v>1</v>
      </c>
      <c r="J12" s="115" t="n">
        <f aca="false">MAX(0,MIN(1,Inputs!$B$12-(J$6-1)*1))</f>
        <v>1</v>
      </c>
      <c r="K12" s="115" t="n">
        <f aca="false">MAX(0,MIN(1,Inputs!$B$12-(K$6-1)*1))</f>
        <v>1</v>
      </c>
      <c r="L12" s="115" t="n">
        <f aca="false">MAX(0,MIN(1,Inputs!$B$12-(L$6-1)*1))</f>
        <v>1</v>
      </c>
      <c r="M12" s="115" t="n">
        <f aca="false">MAX(0,MIN(1,Inputs!$B$12-(M$6-1)*1))</f>
        <v>1</v>
      </c>
      <c r="N12" s="115" t="n">
        <f aca="false">MAX(0,MIN(1,Inputs!$B$12-(N$6-1)*1))</f>
        <v>1</v>
      </c>
      <c r="O12" s="115" t="n">
        <f aca="false">MAX(0,MIN(1,Inputs!$B$12-(O$6-1)*1))</f>
        <v>1</v>
      </c>
      <c r="P12" s="115" t="n">
        <f aca="false">MAX(0,MIN(1,Inputs!$B$12-(P$6-1)*1))</f>
        <v>1</v>
      </c>
      <c r="Q12" s="115" t="n">
        <f aca="false">MAX(0,MIN(1,Inputs!$B$12-(Q$6-1)*1))</f>
        <v>1</v>
      </c>
      <c r="R12" s="115" t="n">
        <f aca="false">MAX(0,MIN(1,Inputs!$B$12-(R$6-1)*1))</f>
        <v>1</v>
      </c>
      <c r="S12" s="115" t="n">
        <f aca="false">MAX(0,MIN(1,Inputs!$B$12-(S$6-1)*1))</f>
        <v>1</v>
      </c>
      <c r="T12" s="115" t="n">
        <f aca="false">MAX(0,MIN(1,Inputs!$B$12-(T$6-1)*1))</f>
        <v>1</v>
      </c>
      <c r="U12" s="115" t="n">
        <f aca="false">MAX(0,MIN(1,Inputs!$B$12-(U$6-1)*1))</f>
        <v>0</v>
      </c>
      <c r="V12" s="115" t="n">
        <f aca="false">MAX(0,MIN(1,Inputs!$B$12-(V$6-1)*1))</f>
        <v>0</v>
      </c>
      <c r="W12" s="115" t="n">
        <f aca="false">MAX(0,MIN(1,Inputs!$B$12-(W$6-1)*1))</f>
        <v>0</v>
      </c>
      <c r="X12" s="115" t="n">
        <f aca="false">MAX(0,MIN(1,Inputs!$B$12-(X$6-1)*1))</f>
        <v>0</v>
      </c>
      <c r="Y12" s="115" t="n">
        <f aca="false">MAX(0,MIN(1,Inputs!$B$12-(Y$6-1)*1))</f>
        <v>0</v>
      </c>
      <c r="Z12" s="115" t="n">
        <f aca="false">MAX(0,MIN(1,Inputs!$B$12-(Z$6-1)*1))</f>
        <v>0</v>
      </c>
      <c r="AA12" s="115" t="n">
        <f aca="false">MAX(0,MIN(1,Inputs!$B$12-(AA$6-1)*1))</f>
        <v>0</v>
      </c>
      <c r="AB12" s="115" t="n">
        <f aca="false">MAX(0,MIN(1,Inputs!$B$12-(AB$6-1)*1))</f>
        <v>0</v>
      </c>
      <c r="AC12" s="115" t="n">
        <f aca="false">MAX(0,MIN(1,Inputs!$B$12-(AC$6-1)*1))</f>
        <v>0</v>
      </c>
      <c r="AD12" s="115" t="n">
        <f aca="false">MAX(0,MIN(1,Inputs!$B$12-(AD$6-1)*1))</f>
        <v>0</v>
      </c>
      <c r="AE12" s="115" t="n">
        <f aca="false">MAX(0,MIN(1,Inputs!$B$12-(AE$6-1)*1))</f>
        <v>0</v>
      </c>
      <c r="AF12" s="115" t="n">
        <f aca="false">MAX(0,MIN(1,Inputs!$B$12-(AF$6-1)*1))</f>
        <v>0</v>
      </c>
      <c r="AG12" s="115" t="n">
        <f aca="false">MAX(0,MIN(1,Inputs!$B$12-(AG$6-1)*1))</f>
        <v>0</v>
      </c>
      <c r="AH12" s="115" t="n">
        <f aca="false">MAX(0,MIN(1,Inputs!$B$12-(AH$6-1)*1))</f>
        <v>0</v>
      </c>
      <c r="AI12" s="115" t="n">
        <f aca="false">MAX(0,MIN(1,Inputs!$B$12-(AI$6-1)*1))</f>
        <v>0</v>
      </c>
      <c r="AJ12" s="115" t="n">
        <f aca="false">MAX(0,MIN(1,Inputs!$B$12-(AJ$6-1)*1))</f>
        <v>0</v>
      </c>
      <c r="AK12" s="115" t="n">
        <f aca="false">MAX(0,MIN(1,Inputs!$B$12-(AK$6-1)*1))</f>
        <v>0</v>
      </c>
      <c r="AL12" s="115" t="n">
        <f aca="false">MAX(0,MIN(1,Inputs!$B$12-(AL$6-1)*1))</f>
        <v>0</v>
      </c>
      <c r="AM12" s="115" t="n">
        <f aca="false">MAX(0,MIN(1,Inputs!$B$12-(AM$6-1)*1))</f>
        <v>0</v>
      </c>
      <c r="AN12" s="115" t="n">
        <f aca="false">MAX(0,MIN(1,Inputs!$B$12-(AN$6-1)*1))</f>
        <v>0</v>
      </c>
      <c r="AO12" s="115" t="n">
        <f aca="false">MAX(0,MIN(1,Inputs!$B$12-(AO$6-1)*1))</f>
        <v>0</v>
      </c>
      <c r="AP12" s="115" t="n">
        <f aca="false">MAX(0,MIN(1,Inputs!$B$12-(AP$6-1)*1))</f>
        <v>0</v>
      </c>
      <c r="AQ12" s="115" t="n">
        <f aca="false">MAX(0,MIN(1,Inputs!$B$12-(AQ$6-1)*1))</f>
        <v>0</v>
      </c>
      <c r="AR12" s="115" t="n">
        <f aca="false">MAX(0,MIN(1,Inputs!$B$12-(AR$6-1)*1))</f>
        <v>0</v>
      </c>
      <c r="AS12" s="115" t="n">
        <f aca="false">MAX(0,MIN(1,Inputs!$B$12-(AS$6-1)*1))</f>
        <v>0</v>
      </c>
      <c r="AT12" s="115" t="n">
        <f aca="false">MAX(0,MIN(1,Inputs!$B$12-(AT$6-1)*1))</f>
        <v>0</v>
      </c>
      <c r="AU12" s="115" t="n">
        <f aca="false">MAX(0,MIN(1,Inputs!$B$12-(AU$6-1)*1))</f>
        <v>0</v>
      </c>
      <c r="AV12" s="115" t="n">
        <f aca="false">MAX(0,MIN(1,Inputs!$B$12-(AV$6-1)*1))</f>
        <v>0</v>
      </c>
      <c r="AW12" s="115" t="n">
        <f aca="false">MAX(0,MIN(1,Inputs!$B$12-(AW$6-1)*1))</f>
        <v>0</v>
      </c>
      <c r="AX12" s="115" t="n">
        <f aca="false">MAX(0,MIN(1,Inputs!$B$12-(AX$6-1)*1))</f>
        <v>0</v>
      </c>
      <c r="AY12" s="115" t="n">
        <f aca="false">MAX(0,MIN(1,Inputs!$B$12-(AY$6-1)*1))</f>
        <v>0</v>
      </c>
      <c r="AZ12" s="115" t="n">
        <f aca="false">MAX(0,MIN(1,Inputs!$B$12-(AZ$6-1)*1))</f>
        <v>0</v>
      </c>
      <c r="BA12" s="115" t="n">
        <f aca="false">MAX(0,MIN(1,Inputs!$B$12-(BA$6-1)*1))</f>
        <v>0</v>
      </c>
      <c r="BB12" s="115" t="n">
        <f aca="false">MAX(0,MIN(1,Inputs!$B$12-(BB$6-1)*1))</f>
        <v>0</v>
      </c>
      <c r="BC12" s="115" t="n">
        <f aca="false">MAX(0,MIN(1,Inputs!$B$12-(BC$6-1)*1))</f>
        <v>0</v>
      </c>
      <c r="BD12" s="115" t="n">
        <f aca="false">MAX(0,MIN(1,Inputs!$B$12-(BD$6-1)*1))</f>
        <v>0</v>
      </c>
      <c r="BE12" s="115" t="n">
        <f aca="false">MAX(0,MIN(1,Inputs!$B$12-(BE$6-1)*1))</f>
        <v>0</v>
      </c>
      <c r="BF12" s="115" t="n">
        <f aca="false">MAX(0,MIN(1,Inputs!$B$12-(BF$6-1)*1))</f>
        <v>0</v>
      </c>
      <c r="BG12" s="115" t="n">
        <f aca="false">MAX(0,MIN(1,Inputs!$B$12-(BG$6-1)*1))</f>
        <v>0</v>
      </c>
      <c r="BH12" s="115" t="n">
        <f aca="false">MAX(0,MIN(1,Inputs!$B$12-(BH$6-1)*1))</f>
        <v>0</v>
      </c>
      <c r="BI12" s="115" t="n">
        <f aca="false">MAX(0,MIN(1,Inputs!$B$12-(BI$6-1)*1))</f>
        <v>0</v>
      </c>
      <c r="BJ12" s="115" t="n">
        <f aca="false">MAX(0,MIN(1,Inputs!$B$12-(BJ$6-1)*1))</f>
        <v>0</v>
      </c>
    </row>
    <row r="13" customFormat="false" ht="15" hidden="false" customHeight="false" outlineLevel="0" collapsed="false">
      <c r="A13" s="38" t="s">
        <v>420</v>
      </c>
      <c r="C13" s="73" t="n">
        <f aca="false">(C12*C11+(Inputs!$B$10-C11)/MAX(1,Inputs!$B$12)*(C12*(C$6-1)*1+C12*(C12-1)/2)+(1-C12)*Inputs!$B$10)/1</f>
        <v>0.15</v>
      </c>
      <c r="D13" s="73" t="n">
        <f aca="false">(D12*D11+(Inputs!$B$10-D11)/MAX(1,Inputs!$B$12)*(D12*(D$6-1)*1+D12*(D12-1)/2)+(1-D12)*Inputs!$B$10)/1</f>
        <v>0.185</v>
      </c>
      <c r="E13" s="73" t="n">
        <f aca="false">(E12*E11+(Inputs!$B$10-E11)/MAX(1,Inputs!$B$12)*(E12*(E$6-1)*1+E12*(E12-1)/2)+(1-E12)*Inputs!$B$10)/1</f>
        <v>0.22</v>
      </c>
      <c r="F13" s="73" t="n">
        <f aca="false">(F12*F11+(Inputs!$B$10-F11)/MAX(1,Inputs!$B$12)*(F12*(F$6-1)*1+F12*(F12-1)/2)+(1-F12)*Inputs!$B$10)/1</f>
        <v>0.255</v>
      </c>
      <c r="G13" s="73" t="n">
        <f aca="false">(G12*G11+(Inputs!$B$10-G11)/MAX(1,Inputs!$B$12)*(G12*(G$6-1)*1+G12*(G12-1)/2)+(1-G12)*Inputs!$B$10)/1</f>
        <v>0.29</v>
      </c>
      <c r="H13" s="73" t="n">
        <f aca="false">(H12*H11+(Inputs!$B$10-H11)/MAX(1,Inputs!$B$12)*(H12*(H$6-1)*1+H12*(H12-1)/2)+(1-H12)*Inputs!$B$10)/1</f>
        <v>0.325</v>
      </c>
      <c r="I13" s="73" t="n">
        <f aca="false">(I12*I11+(Inputs!$B$10-I11)/MAX(1,Inputs!$B$12)*(I12*(I$6-1)*1+I12*(I12-1)/2)+(1-I12)*Inputs!$B$10)/1</f>
        <v>0.36</v>
      </c>
      <c r="J13" s="73" t="n">
        <f aca="false">(J12*J11+(Inputs!$B$10-J11)/MAX(1,Inputs!$B$12)*(J12*(J$6-1)*1+J12*(J12-1)/2)+(1-J12)*Inputs!$B$10)/1</f>
        <v>0.395</v>
      </c>
      <c r="K13" s="73" t="n">
        <f aca="false">(K12*K11+(Inputs!$B$10-K11)/MAX(1,Inputs!$B$12)*(K12*(K$6-1)*1+K12*(K12-1)/2)+(1-K12)*Inputs!$B$10)/1</f>
        <v>0.43</v>
      </c>
      <c r="L13" s="73" t="n">
        <f aca="false">(L12*L11+(Inputs!$B$10-L11)/MAX(1,Inputs!$B$12)*(L12*(L$6-1)*1+L12*(L12-1)/2)+(1-L12)*Inputs!$B$10)/1</f>
        <v>0.465</v>
      </c>
      <c r="M13" s="73" t="n">
        <f aca="false">(M12*M11+(Inputs!$B$10-M11)/MAX(1,Inputs!$B$12)*(M12*(M$6-1)*1+M12*(M12-1)/2)+(1-M12)*Inputs!$B$10)/1</f>
        <v>0.5</v>
      </c>
      <c r="N13" s="73" t="n">
        <f aca="false">(N12*N11+(Inputs!$B$10-N11)/MAX(1,Inputs!$B$12)*(N12*(N$6-1)*1+N12*(N12-1)/2)+(1-N12)*Inputs!$B$10)/1</f>
        <v>0.535</v>
      </c>
      <c r="O13" s="73" t="n">
        <f aca="false">(O12*O11+(Inputs!$B$10-O11)/MAX(1,Inputs!$B$12)*(O12*(O$6-1)*1+O12*(O12-1)/2)+(1-O12)*Inputs!$B$10)/1</f>
        <v>0.57</v>
      </c>
      <c r="P13" s="73" t="n">
        <f aca="false">(P12*P11+(Inputs!$B$10-P11)/MAX(1,Inputs!$B$12)*(P12*(P$6-1)*1+P12*(P12-1)/2)+(1-P12)*Inputs!$B$10)/1</f>
        <v>0.605</v>
      </c>
      <c r="Q13" s="73" t="n">
        <f aca="false">(Q12*Q11+(Inputs!$B$10-Q11)/MAX(1,Inputs!$B$12)*(Q12*(Q$6-1)*1+Q12*(Q12-1)/2)+(1-Q12)*Inputs!$B$10)/1</f>
        <v>0.64</v>
      </c>
      <c r="R13" s="73" t="n">
        <f aca="false">(R12*R11+(Inputs!$B$10-R11)/MAX(1,Inputs!$B$12)*(R12*(R$6-1)*1+R12*(R12-1)/2)+(1-R12)*Inputs!$B$10)/1</f>
        <v>0.675</v>
      </c>
      <c r="S13" s="73" t="n">
        <f aca="false">(S12*S11+(Inputs!$B$10-S11)/MAX(1,Inputs!$B$12)*(S12*(S$6-1)*1+S12*(S12-1)/2)+(1-S12)*Inputs!$B$10)/1</f>
        <v>0.71</v>
      </c>
      <c r="T13" s="73" t="n">
        <f aca="false">(T12*T11+(Inputs!$B$10-T11)/MAX(1,Inputs!$B$12)*(T12*(T$6-1)*1+T12*(T12-1)/2)+(1-T12)*Inputs!$B$10)/1</f>
        <v>0.745</v>
      </c>
      <c r="U13" s="73" t="n">
        <f aca="false">(U12*U11+(Inputs!$B$10-U11)/MAX(1,Inputs!$B$12)*(U12*(U$6-1)*1+U12*(U12-1)/2)+(1-U12)*Inputs!$B$10)/1</f>
        <v>0.78</v>
      </c>
      <c r="V13" s="73" t="n">
        <f aca="false">(V12*V11+(Inputs!$B$10-V11)/MAX(1,Inputs!$B$12)*(V12*(V$6-1)*1+V12*(V12-1)/2)+(1-V12)*Inputs!$B$10)/1</f>
        <v>0.78</v>
      </c>
      <c r="W13" s="73" t="n">
        <f aca="false">(W12*W11+(Inputs!$B$10-W11)/MAX(1,Inputs!$B$12)*(W12*(W$6-1)*1+W12*(W12-1)/2)+(1-W12)*Inputs!$B$10)/1</f>
        <v>0.78</v>
      </c>
      <c r="X13" s="73" t="n">
        <f aca="false">(X12*X11+(Inputs!$B$10-X11)/MAX(1,Inputs!$B$12)*(X12*(X$6-1)*1+X12*(X12-1)/2)+(1-X12)*Inputs!$B$10)/1</f>
        <v>0.78</v>
      </c>
      <c r="Y13" s="73" t="n">
        <f aca="false">(Y12*Y11+(Inputs!$B$10-Y11)/MAX(1,Inputs!$B$12)*(Y12*(Y$6-1)*1+Y12*(Y12-1)/2)+(1-Y12)*Inputs!$B$10)/1</f>
        <v>0.78</v>
      </c>
      <c r="Z13" s="73" t="n">
        <f aca="false">(Z12*Z11+(Inputs!$B$10-Z11)/MAX(1,Inputs!$B$12)*(Z12*(Z$6-1)*1+Z12*(Z12-1)/2)+(1-Z12)*Inputs!$B$10)/1</f>
        <v>0.78</v>
      </c>
      <c r="AA13" s="73" t="n">
        <f aca="false">(AA12*AA11+(Inputs!$B$10-AA11)/MAX(1,Inputs!$B$12)*(AA12*(AA$6-1)*1+AA12*(AA12-1)/2)+(1-AA12)*Inputs!$B$10)/1</f>
        <v>0.78</v>
      </c>
      <c r="AB13" s="73" t="n">
        <f aca="false">(AB12*AB11+(Inputs!$B$10-AB11)/MAX(1,Inputs!$B$12)*(AB12*(AB$6-1)*1+AB12*(AB12-1)/2)+(1-AB12)*Inputs!$B$10)/1</f>
        <v>0.78</v>
      </c>
      <c r="AC13" s="73" t="n">
        <f aca="false">(AC12*AC11+(Inputs!$B$10-AC11)/MAX(1,Inputs!$B$12)*(AC12*(AC$6-1)*1+AC12*(AC12-1)/2)+(1-AC12)*Inputs!$B$10)/1</f>
        <v>0.78</v>
      </c>
      <c r="AD13" s="73" t="n">
        <f aca="false">(AD12*AD11+(Inputs!$B$10-AD11)/MAX(1,Inputs!$B$12)*(AD12*(AD$6-1)*1+AD12*(AD12-1)/2)+(1-AD12)*Inputs!$B$10)/1</f>
        <v>0.78</v>
      </c>
      <c r="AE13" s="73" t="n">
        <f aca="false">(AE12*AE11+(Inputs!$B$10-AE11)/MAX(1,Inputs!$B$12)*(AE12*(AE$6-1)*1+AE12*(AE12-1)/2)+(1-AE12)*Inputs!$B$10)/1</f>
        <v>0.78</v>
      </c>
      <c r="AF13" s="73" t="n">
        <f aca="false">(AF12*AF11+(Inputs!$B$10-AF11)/MAX(1,Inputs!$B$12)*(AF12*(AF$6-1)*1+AF12*(AF12-1)/2)+(1-AF12)*Inputs!$B$10)/1</f>
        <v>0.78</v>
      </c>
      <c r="AG13" s="73" t="n">
        <f aca="false">(AG12*AG11+(Inputs!$B$10-AG11)/MAX(1,Inputs!$B$12)*(AG12*(AG$6-1)*1+AG12*(AG12-1)/2)+(1-AG12)*Inputs!$B$10)/1</f>
        <v>0.78</v>
      </c>
      <c r="AH13" s="73" t="n">
        <f aca="false">(AH12*AH11+(Inputs!$B$10-AH11)/MAX(1,Inputs!$B$12)*(AH12*(AH$6-1)*1+AH12*(AH12-1)/2)+(1-AH12)*Inputs!$B$10)/1</f>
        <v>0.78</v>
      </c>
      <c r="AI13" s="73" t="n">
        <f aca="false">(AI12*AI11+(Inputs!$B$10-AI11)/MAX(1,Inputs!$B$12)*(AI12*(AI$6-1)*1+AI12*(AI12-1)/2)+(1-AI12)*Inputs!$B$10)/1</f>
        <v>0.78</v>
      </c>
      <c r="AJ13" s="73" t="n">
        <f aca="false">(AJ12*AJ11+(Inputs!$B$10-AJ11)/MAX(1,Inputs!$B$12)*(AJ12*(AJ$6-1)*1+AJ12*(AJ12-1)/2)+(1-AJ12)*Inputs!$B$10)/1</f>
        <v>0.78</v>
      </c>
      <c r="AK13" s="73" t="n">
        <f aca="false">(AK12*AK11+(Inputs!$B$10-AK11)/MAX(1,Inputs!$B$12)*(AK12*(AK$6-1)*1+AK12*(AK12-1)/2)+(1-AK12)*Inputs!$B$10)/1</f>
        <v>0.78</v>
      </c>
      <c r="AL13" s="73" t="n">
        <f aca="false">(AL12*AL11+(Inputs!$B$10-AL11)/MAX(1,Inputs!$B$12)*(AL12*(AL$6-1)*1+AL12*(AL12-1)/2)+(1-AL12)*Inputs!$B$10)/1</f>
        <v>0.78</v>
      </c>
      <c r="AM13" s="73" t="n">
        <f aca="false">(AM12*AM11+(Inputs!$B$10-AM11)/MAX(1,Inputs!$B$12)*(AM12*(AM$6-1)*1+AM12*(AM12-1)/2)+(1-AM12)*Inputs!$B$10)/1</f>
        <v>0.78</v>
      </c>
      <c r="AN13" s="73" t="n">
        <f aca="false">(AN12*AN11+(Inputs!$B$10-AN11)/MAX(1,Inputs!$B$12)*(AN12*(AN$6-1)*1+AN12*(AN12-1)/2)+(1-AN12)*Inputs!$B$10)/1</f>
        <v>0.78</v>
      </c>
      <c r="AO13" s="73" t="n">
        <f aca="false">(AO12*AO11+(Inputs!$B$10-AO11)/MAX(1,Inputs!$B$12)*(AO12*(AO$6-1)*1+AO12*(AO12-1)/2)+(1-AO12)*Inputs!$B$10)/1</f>
        <v>0.78</v>
      </c>
      <c r="AP13" s="73" t="n">
        <f aca="false">(AP12*AP11+(Inputs!$B$10-AP11)/MAX(1,Inputs!$B$12)*(AP12*(AP$6-1)*1+AP12*(AP12-1)/2)+(1-AP12)*Inputs!$B$10)/1</f>
        <v>0.78</v>
      </c>
      <c r="AQ13" s="73" t="n">
        <f aca="false">(AQ12*AQ11+(Inputs!$B$10-AQ11)/MAX(1,Inputs!$B$12)*(AQ12*(AQ$6-1)*1+AQ12*(AQ12-1)/2)+(1-AQ12)*Inputs!$B$10)/1</f>
        <v>0.78</v>
      </c>
      <c r="AR13" s="73" t="n">
        <f aca="false">(AR12*AR11+(Inputs!$B$10-AR11)/MAX(1,Inputs!$B$12)*(AR12*(AR$6-1)*1+AR12*(AR12-1)/2)+(1-AR12)*Inputs!$B$10)/1</f>
        <v>0.78</v>
      </c>
      <c r="AS13" s="73" t="n">
        <f aca="false">(AS12*AS11+(Inputs!$B$10-AS11)/MAX(1,Inputs!$B$12)*(AS12*(AS$6-1)*1+AS12*(AS12-1)/2)+(1-AS12)*Inputs!$B$10)/1</f>
        <v>0.78</v>
      </c>
      <c r="AT13" s="73" t="n">
        <f aca="false">(AT12*AT11+(Inputs!$B$10-AT11)/MAX(1,Inputs!$B$12)*(AT12*(AT$6-1)*1+AT12*(AT12-1)/2)+(1-AT12)*Inputs!$B$10)/1</f>
        <v>0.78</v>
      </c>
      <c r="AU13" s="73" t="n">
        <f aca="false">(AU12*AU11+(Inputs!$B$10-AU11)/MAX(1,Inputs!$B$12)*(AU12*(AU$6-1)*1+AU12*(AU12-1)/2)+(1-AU12)*Inputs!$B$10)/1</f>
        <v>0.78</v>
      </c>
      <c r="AV13" s="73" t="n">
        <f aca="false">(AV12*AV11+(Inputs!$B$10-AV11)/MAX(1,Inputs!$B$12)*(AV12*(AV$6-1)*1+AV12*(AV12-1)/2)+(1-AV12)*Inputs!$B$10)/1</f>
        <v>0.78</v>
      </c>
      <c r="AW13" s="73" t="n">
        <f aca="false">(AW12*AW11+(Inputs!$B$10-AW11)/MAX(1,Inputs!$B$12)*(AW12*(AW$6-1)*1+AW12*(AW12-1)/2)+(1-AW12)*Inputs!$B$10)/1</f>
        <v>0.78</v>
      </c>
      <c r="AX13" s="73" t="n">
        <f aca="false">(AX12*AX11+(Inputs!$B$10-AX11)/MAX(1,Inputs!$B$12)*(AX12*(AX$6-1)*1+AX12*(AX12-1)/2)+(1-AX12)*Inputs!$B$10)/1</f>
        <v>0.78</v>
      </c>
      <c r="AY13" s="73" t="n">
        <f aca="false">(AY12*AY11+(Inputs!$B$10-AY11)/MAX(1,Inputs!$B$12)*(AY12*(AY$6-1)*1+AY12*(AY12-1)/2)+(1-AY12)*Inputs!$B$10)/1</f>
        <v>0.78</v>
      </c>
      <c r="AZ13" s="73" t="n">
        <f aca="false">(AZ12*AZ11+(Inputs!$B$10-AZ11)/MAX(1,Inputs!$B$12)*(AZ12*(AZ$6-1)*1+AZ12*(AZ12-1)/2)+(1-AZ12)*Inputs!$B$10)/1</f>
        <v>0.78</v>
      </c>
      <c r="BA13" s="73" t="n">
        <f aca="false">(BA12*BA11+(Inputs!$B$10-BA11)/MAX(1,Inputs!$B$12)*(BA12*(BA$6-1)*1+BA12*(BA12-1)/2)+(1-BA12)*Inputs!$B$10)/1</f>
        <v>0.78</v>
      </c>
      <c r="BB13" s="73" t="n">
        <f aca="false">(BB12*BB11+(Inputs!$B$10-BB11)/MAX(1,Inputs!$B$12)*(BB12*(BB$6-1)*1+BB12*(BB12-1)/2)+(1-BB12)*Inputs!$B$10)/1</f>
        <v>0.78</v>
      </c>
      <c r="BC13" s="73" t="n">
        <f aca="false">(BC12*BC11+(Inputs!$B$10-BC11)/MAX(1,Inputs!$B$12)*(BC12*(BC$6-1)*1+BC12*(BC12-1)/2)+(1-BC12)*Inputs!$B$10)/1</f>
        <v>0.78</v>
      </c>
      <c r="BD13" s="73" t="n">
        <f aca="false">(BD12*BD11+(Inputs!$B$10-BD11)/MAX(1,Inputs!$B$12)*(BD12*(BD$6-1)*1+BD12*(BD12-1)/2)+(1-BD12)*Inputs!$B$10)/1</f>
        <v>0.78</v>
      </c>
      <c r="BE13" s="73" t="n">
        <f aca="false">(BE12*BE11+(Inputs!$B$10-BE11)/MAX(1,Inputs!$B$12)*(BE12*(BE$6-1)*1+BE12*(BE12-1)/2)+(1-BE12)*Inputs!$B$10)/1</f>
        <v>0.78</v>
      </c>
      <c r="BF13" s="73" t="n">
        <f aca="false">(BF12*BF11+(Inputs!$B$10-BF11)/MAX(1,Inputs!$B$12)*(BF12*(BF$6-1)*1+BF12*(BF12-1)/2)+(1-BF12)*Inputs!$B$10)/1</f>
        <v>0.78</v>
      </c>
      <c r="BG13" s="73" t="n">
        <f aca="false">(BG12*BG11+(Inputs!$B$10-BG11)/MAX(1,Inputs!$B$12)*(BG12*(BG$6-1)*1+BG12*(BG12-1)/2)+(1-BG12)*Inputs!$B$10)/1</f>
        <v>0.78</v>
      </c>
      <c r="BH13" s="73" t="n">
        <f aca="false">(BH12*BH11+(Inputs!$B$10-BH11)/MAX(1,Inputs!$B$12)*(BH12*(BH$6-1)*1+BH12*(BH12-1)/2)+(1-BH12)*Inputs!$B$10)/1</f>
        <v>0.78</v>
      </c>
      <c r="BI13" s="73" t="n">
        <f aca="false">(BI12*BI11+(Inputs!$B$10-BI11)/MAX(1,Inputs!$B$12)*(BI12*(BI$6-1)*1+BI12*(BI12-1)/2)+(1-BI12)*Inputs!$B$10)/1</f>
        <v>0.78</v>
      </c>
      <c r="BJ13" s="73" t="n">
        <f aca="false">(BJ12*BJ11+(Inputs!$B$10-BJ11)/MAX(1,Inputs!$B$12)*(BJ12*(BJ$6-1)*1+BJ12*(BJ12-1)/2)+(1-BJ12)*Inputs!$B$10)/1</f>
        <v>0.78</v>
      </c>
    </row>
    <row r="14" customFormat="false" ht="15" hidden="false" customHeight="false" outlineLevel="0" collapsed="false">
      <c r="A14" s="38" t="s">
        <v>421</v>
      </c>
      <c r="C14" s="73" t="n">
        <f aca="false">IF(Inputs!$B$12&lt;=0,Inputs!$B$10,C11+(Inputs!$B$10-C11)*MIN(1,(C$6*1-1)/MAX(1,Inputs!$B$12)))</f>
        <v>0.15</v>
      </c>
      <c r="D14" s="73" t="n">
        <f aca="false">IF(Inputs!$B$12&lt;=0,Inputs!$B$10,D11+(Inputs!$B$10-D11)*MIN(1,(D$6*1-1)/MAX(1,Inputs!$B$12)))</f>
        <v>0.185</v>
      </c>
      <c r="E14" s="73" t="n">
        <f aca="false">IF(Inputs!$B$12&lt;=0,Inputs!$B$10,E11+(Inputs!$B$10-E11)*MIN(1,(E$6*1-1)/MAX(1,Inputs!$B$12)))</f>
        <v>0.22</v>
      </c>
      <c r="F14" s="73" t="n">
        <f aca="false">IF(Inputs!$B$12&lt;=0,Inputs!$B$10,F11+(Inputs!$B$10-F11)*MIN(1,(F$6*1-1)/MAX(1,Inputs!$B$12)))</f>
        <v>0.255</v>
      </c>
      <c r="G14" s="73" t="n">
        <f aca="false">IF(Inputs!$B$12&lt;=0,Inputs!$B$10,G11+(Inputs!$B$10-G11)*MIN(1,(G$6*1-1)/MAX(1,Inputs!$B$12)))</f>
        <v>0.29</v>
      </c>
      <c r="H14" s="73" t="n">
        <f aca="false">IF(Inputs!$B$12&lt;=0,Inputs!$B$10,H11+(Inputs!$B$10-H11)*MIN(1,(H$6*1-1)/MAX(1,Inputs!$B$12)))</f>
        <v>0.325</v>
      </c>
      <c r="I14" s="73" t="n">
        <f aca="false">IF(Inputs!$B$12&lt;=0,Inputs!$B$10,I11+(Inputs!$B$10-I11)*MIN(1,(I$6*1-1)/MAX(1,Inputs!$B$12)))</f>
        <v>0.36</v>
      </c>
      <c r="J14" s="73" t="n">
        <f aca="false">IF(Inputs!$B$12&lt;=0,Inputs!$B$10,J11+(Inputs!$B$10-J11)*MIN(1,(J$6*1-1)/MAX(1,Inputs!$B$12)))</f>
        <v>0.395</v>
      </c>
      <c r="K14" s="73" t="n">
        <f aca="false">IF(Inputs!$B$12&lt;=0,Inputs!$B$10,K11+(Inputs!$B$10-K11)*MIN(1,(K$6*1-1)/MAX(1,Inputs!$B$12)))</f>
        <v>0.43</v>
      </c>
      <c r="L14" s="73" t="n">
        <f aca="false">IF(Inputs!$B$12&lt;=0,Inputs!$B$10,L11+(Inputs!$B$10-L11)*MIN(1,(L$6*1-1)/MAX(1,Inputs!$B$12)))</f>
        <v>0.465</v>
      </c>
      <c r="M14" s="73" t="n">
        <f aca="false">IF(Inputs!$B$12&lt;=0,Inputs!$B$10,M11+(Inputs!$B$10-M11)*MIN(1,(M$6*1-1)/MAX(1,Inputs!$B$12)))</f>
        <v>0.5</v>
      </c>
      <c r="N14" s="73" t="n">
        <f aca="false">IF(Inputs!$B$12&lt;=0,Inputs!$B$10,N11+(Inputs!$B$10-N11)*MIN(1,(N$6*1-1)/MAX(1,Inputs!$B$12)))</f>
        <v>0.535</v>
      </c>
      <c r="O14" s="73" t="n">
        <f aca="false">IF(Inputs!$B$12&lt;=0,Inputs!$B$10,O11+(Inputs!$B$10-O11)*MIN(1,(O$6*1-1)/MAX(1,Inputs!$B$12)))</f>
        <v>0.57</v>
      </c>
      <c r="P14" s="73" t="n">
        <f aca="false">IF(Inputs!$B$12&lt;=0,Inputs!$B$10,P11+(Inputs!$B$10-P11)*MIN(1,(P$6*1-1)/MAX(1,Inputs!$B$12)))</f>
        <v>0.605</v>
      </c>
      <c r="Q14" s="73" t="n">
        <f aca="false">IF(Inputs!$B$12&lt;=0,Inputs!$B$10,Q11+(Inputs!$B$10-Q11)*MIN(1,(Q$6*1-1)/MAX(1,Inputs!$B$12)))</f>
        <v>0.64</v>
      </c>
      <c r="R14" s="73" t="n">
        <f aca="false">IF(Inputs!$B$12&lt;=0,Inputs!$B$10,R11+(Inputs!$B$10-R11)*MIN(1,(R$6*1-1)/MAX(1,Inputs!$B$12)))</f>
        <v>0.675</v>
      </c>
      <c r="S14" s="73" t="n">
        <f aca="false">IF(Inputs!$B$12&lt;=0,Inputs!$B$10,S11+(Inputs!$B$10-S11)*MIN(1,(S$6*1-1)/MAX(1,Inputs!$B$12)))</f>
        <v>0.71</v>
      </c>
      <c r="T14" s="73" t="n">
        <f aca="false">IF(Inputs!$B$12&lt;=0,Inputs!$B$10,T11+(Inputs!$B$10-T11)*MIN(1,(T$6*1-1)/MAX(1,Inputs!$B$12)))</f>
        <v>0.745</v>
      </c>
      <c r="U14" s="73" t="n">
        <f aca="false">IF(Inputs!$B$12&lt;=0,Inputs!$B$10,U11+(Inputs!$B$10-U11)*MIN(1,(U$6*1-1)/MAX(1,Inputs!$B$12)))</f>
        <v>0.78</v>
      </c>
      <c r="V14" s="73" t="n">
        <f aca="false">IF(Inputs!$B$12&lt;=0,Inputs!$B$10,V11+(Inputs!$B$10-V11)*MIN(1,(V$6*1-1)/MAX(1,Inputs!$B$12)))</f>
        <v>0.78</v>
      </c>
      <c r="W14" s="73" t="n">
        <f aca="false">IF(Inputs!$B$12&lt;=0,Inputs!$B$10,W11+(Inputs!$B$10-W11)*MIN(1,(W$6*1-1)/MAX(1,Inputs!$B$12)))</f>
        <v>0.78</v>
      </c>
      <c r="X14" s="73" t="n">
        <f aca="false">IF(Inputs!$B$12&lt;=0,Inputs!$B$10,X11+(Inputs!$B$10-X11)*MIN(1,(X$6*1-1)/MAX(1,Inputs!$B$12)))</f>
        <v>0.78</v>
      </c>
      <c r="Y14" s="73" t="n">
        <f aca="false">IF(Inputs!$B$12&lt;=0,Inputs!$B$10,Y11+(Inputs!$B$10-Y11)*MIN(1,(Y$6*1-1)/MAX(1,Inputs!$B$12)))</f>
        <v>0.78</v>
      </c>
      <c r="Z14" s="73" t="n">
        <f aca="false">IF(Inputs!$B$12&lt;=0,Inputs!$B$10,Z11+(Inputs!$B$10-Z11)*MIN(1,(Z$6*1-1)/MAX(1,Inputs!$B$12)))</f>
        <v>0.78</v>
      </c>
      <c r="AA14" s="73" t="n">
        <f aca="false">IF(Inputs!$B$12&lt;=0,Inputs!$B$10,AA11+(Inputs!$B$10-AA11)*MIN(1,(AA$6*1-1)/MAX(1,Inputs!$B$12)))</f>
        <v>0.78</v>
      </c>
      <c r="AB14" s="73" t="n">
        <f aca="false">IF(Inputs!$B$12&lt;=0,Inputs!$B$10,AB11+(Inputs!$B$10-AB11)*MIN(1,(AB$6*1-1)/MAX(1,Inputs!$B$12)))</f>
        <v>0.78</v>
      </c>
      <c r="AC14" s="73" t="n">
        <f aca="false">IF(Inputs!$B$12&lt;=0,Inputs!$B$10,AC11+(Inputs!$B$10-AC11)*MIN(1,(AC$6*1-1)/MAX(1,Inputs!$B$12)))</f>
        <v>0.78</v>
      </c>
      <c r="AD14" s="73" t="n">
        <f aca="false">IF(Inputs!$B$12&lt;=0,Inputs!$B$10,AD11+(Inputs!$B$10-AD11)*MIN(1,(AD$6*1-1)/MAX(1,Inputs!$B$12)))</f>
        <v>0.78</v>
      </c>
      <c r="AE14" s="73" t="n">
        <f aca="false">IF(Inputs!$B$12&lt;=0,Inputs!$B$10,AE11+(Inputs!$B$10-AE11)*MIN(1,(AE$6*1-1)/MAX(1,Inputs!$B$12)))</f>
        <v>0.78</v>
      </c>
      <c r="AF14" s="73" t="n">
        <f aca="false">IF(Inputs!$B$12&lt;=0,Inputs!$B$10,AF11+(Inputs!$B$10-AF11)*MIN(1,(AF$6*1-1)/MAX(1,Inputs!$B$12)))</f>
        <v>0.78</v>
      </c>
      <c r="AG14" s="73" t="n">
        <f aca="false">IF(Inputs!$B$12&lt;=0,Inputs!$B$10,AG11+(Inputs!$B$10-AG11)*MIN(1,(AG$6*1-1)/MAX(1,Inputs!$B$12)))</f>
        <v>0.78</v>
      </c>
      <c r="AH14" s="73" t="n">
        <f aca="false">IF(Inputs!$B$12&lt;=0,Inputs!$B$10,AH11+(Inputs!$B$10-AH11)*MIN(1,(AH$6*1-1)/MAX(1,Inputs!$B$12)))</f>
        <v>0.78</v>
      </c>
      <c r="AI14" s="73" t="n">
        <f aca="false">IF(Inputs!$B$12&lt;=0,Inputs!$B$10,AI11+(Inputs!$B$10-AI11)*MIN(1,(AI$6*1-1)/MAX(1,Inputs!$B$12)))</f>
        <v>0.78</v>
      </c>
      <c r="AJ14" s="73" t="n">
        <f aca="false">IF(Inputs!$B$12&lt;=0,Inputs!$B$10,AJ11+(Inputs!$B$10-AJ11)*MIN(1,(AJ$6*1-1)/MAX(1,Inputs!$B$12)))</f>
        <v>0.78</v>
      </c>
      <c r="AK14" s="73" t="n">
        <f aca="false">IF(Inputs!$B$12&lt;=0,Inputs!$B$10,AK11+(Inputs!$B$10-AK11)*MIN(1,(AK$6*1-1)/MAX(1,Inputs!$B$12)))</f>
        <v>0.78</v>
      </c>
      <c r="AL14" s="73" t="n">
        <f aca="false">IF(Inputs!$B$12&lt;=0,Inputs!$B$10,AL11+(Inputs!$B$10-AL11)*MIN(1,(AL$6*1-1)/MAX(1,Inputs!$B$12)))</f>
        <v>0.78</v>
      </c>
      <c r="AM14" s="73" t="n">
        <f aca="false">IF(Inputs!$B$12&lt;=0,Inputs!$B$10,AM11+(Inputs!$B$10-AM11)*MIN(1,(AM$6*1-1)/MAX(1,Inputs!$B$12)))</f>
        <v>0.78</v>
      </c>
      <c r="AN14" s="73" t="n">
        <f aca="false">IF(Inputs!$B$12&lt;=0,Inputs!$B$10,AN11+(Inputs!$B$10-AN11)*MIN(1,(AN$6*1-1)/MAX(1,Inputs!$B$12)))</f>
        <v>0.78</v>
      </c>
      <c r="AO14" s="73" t="n">
        <f aca="false">IF(Inputs!$B$12&lt;=0,Inputs!$B$10,AO11+(Inputs!$B$10-AO11)*MIN(1,(AO$6*1-1)/MAX(1,Inputs!$B$12)))</f>
        <v>0.78</v>
      </c>
      <c r="AP14" s="73" t="n">
        <f aca="false">IF(Inputs!$B$12&lt;=0,Inputs!$B$10,AP11+(Inputs!$B$10-AP11)*MIN(1,(AP$6*1-1)/MAX(1,Inputs!$B$12)))</f>
        <v>0.78</v>
      </c>
      <c r="AQ14" s="73" t="n">
        <f aca="false">IF(Inputs!$B$12&lt;=0,Inputs!$B$10,AQ11+(Inputs!$B$10-AQ11)*MIN(1,(AQ$6*1-1)/MAX(1,Inputs!$B$12)))</f>
        <v>0.78</v>
      </c>
      <c r="AR14" s="73" t="n">
        <f aca="false">IF(Inputs!$B$12&lt;=0,Inputs!$B$10,AR11+(Inputs!$B$10-AR11)*MIN(1,(AR$6*1-1)/MAX(1,Inputs!$B$12)))</f>
        <v>0.78</v>
      </c>
      <c r="AS14" s="73" t="n">
        <f aca="false">IF(Inputs!$B$12&lt;=0,Inputs!$B$10,AS11+(Inputs!$B$10-AS11)*MIN(1,(AS$6*1-1)/MAX(1,Inputs!$B$12)))</f>
        <v>0.78</v>
      </c>
      <c r="AT14" s="73" t="n">
        <f aca="false">IF(Inputs!$B$12&lt;=0,Inputs!$B$10,AT11+(Inputs!$B$10-AT11)*MIN(1,(AT$6*1-1)/MAX(1,Inputs!$B$12)))</f>
        <v>0.78</v>
      </c>
      <c r="AU14" s="73" t="n">
        <f aca="false">IF(Inputs!$B$12&lt;=0,Inputs!$B$10,AU11+(Inputs!$B$10-AU11)*MIN(1,(AU$6*1-1)/MAX(1,Inputs!$B$12)))</f>
        <v>0.78</v>
      </c>
      <c r="AV14" s="73" t="n">
        <f aca="false">IF(Inputs!$B$12&lt;=0,Inputs!$B$10,AV11+(Inputs!$B$10-AV11)*MIN(1,(AV$6*1-1)/MAX(1,Inputs!$B$12)))</f>
        <v>0.78</v>
      </c>
      <c r="AW14" s="73" t="n">
        <f aca="false">IF(Inputs!$B$12&lt;=0,Inputs!$B$10,AW11+(Inputs!$B$10-AW11)*MIN(1,(AW$6*1-1)/MAX(1,Inputs!$B$12)))</f>
        <v>0.78</v>
      </c>
      <c r="AX14" s="73" t="n">
        <f aca="false">IF(Inputs!$B$12&lt;=0,Inputs!$B$10,AX11+(Inputs!$B$10-AX11)*MIN(1,(AX$6*1-1)/MAX(1,Inputs!$B$12)))</f>
        <v>0.78</v>
      </c>
      <c r="AY14" s="73" t="n">
        <f aca="false">IF(Inputs!$B$12&lt;=0,Inputs!$B$10,AY11+(Inputs!$B$10-AY11)*MIN(1,(AY$6*1-1)/MAX(1,Inputs!$B$12)))</f>
        <v>0.78</v>
      </c>
      <c r="AZ14" s="73" t="n">
        <f aca="false">IF(Inputs!$B$12&lt;=0,Inputs!$B$10,AZ11+(Inputs!$B$10-AZ11)*MIN(1,(AZ$6*1-1)/MAX(1,Inputs!$B$12)))</f>
        <v>0.78</v>
      </c>
      <c r="BA14" s="73" t="n">
        <f aca="false">IF(Inputs!$B$12&lt;=0,Inputs!$B$10,BA11+(Inputs!$B$10-BA11)*MIN(1,(BA$6*1-1)/MAX(1,Inputs!$B$12)))</f>
        <v>0.78</v>
      </c>
      <c r="BB14" s="73" t="n">
        <f aca="false">IF(Inputs!$B$12&lt;=0,Inputs!$B$10,BB11+(Inputs!$B$10-BB11)*MIN(1,(BB$6*1-1)/MAX(1,Inputs!$B$12)))</f>
        <v>0.78</v>
      </c>
      <c r="BC14" s="73" t="n">
        <f aca="false">IF(Inputs!$B$12&lt;=0,Inputs!$B$10,BC11+(Inputs!$B$10-BC11)*MIN(1,(BC$6*1-1)/MAX(1,Inputs!$B$12)))</f>
        <v>0.78</v>
      </c>
      <c r="BD14" s="73" t="n">
        <f aca="false">IF(Inputs!$B$12&lt;=0,Inputs!$B$10,BD11+(Inputs!$B$10-BD11)*MIN(1,(BD$6*1-1)/MAX(1,Inputs!$B$12)))</f>
        <v>0.78</v>
      </c>
      <c r="BE14" s="73" t="n">
        <f aca="false">IF(Inputs!$B$12&lt;=0,Inputs!$B$10,BE11+(Inputs!$B$10-BE11)*MIN(1,(BE$6*1-1)/MAX(1,Inputs!$B$12)))</f>
        <v>0.78</v>
      </c>
      <c r="BF14" s="73" t="n">
        <f aca="false">IF(Inputs!$B$12&lt;=0,Inputs!$B$10,BF11+(Inputs!$B$10-BF11)*MIN(1,(BF$6*1-1)/MAX(1,Inputs!$B$12)))</f>
        <v>0.78</v>
      </c>
      <c r="BG14" s="73" t="n">
        <f aca="false">IF(Inputs!$B$12&lt;=0,Inputs!$B$10,BG11+(Inputs!$B$10-BG11)*MIN(1,(BG$6*1-1)/MAX(1,Inputs!$B$12)))</f>
        <v>0.78</v>
      </c>
      <c r="BH14" s="73" t="n">
        <f aca="false">IF(Inputs!$B$12&lt;=0,Inputs!$B$10,BH11+(Inputs!$B$10-BH11)*MIN(1,(BH$6*1-1)/MAX(1,Inputs!$B$12)))</f>
        <v>0.78</v>
      </c>
      <c r="BI14" s="73" t="n">
        <f aca="false">IF(Inputs!$B$12&lt;=0,Inputs!$B$10,BI11+(Inputs!$B$10-BI11)*MIN(1,(BI$6*1-1)/MAX(1,Inputs!$B$12)))</f>
        <v>0.78</v>
      </c>
      <c r="BJ14" s="73" t="n">
        <f aca="false">IF(Inputs!$B$12&lt;=0,Inputs!$B$10,BJ11+(Inputs!$B$10-BJ11)*MIN(1,(BJ$6*1-1)/MAX(1,Inputs!$B$12)))</f>
        <v>0.78</v>
      </c>
    </row>
    <row r="15" customFormat="false" ht="15" hidden="false" customHeight="false" outlineLevel="0" collapsed="false">
      <c r="A15" s="6" t="s">
        <v>422</v>
      </c>
      <c r="C15" s="115" t="n">
        <f aca="false">C10*Inputs!$B$9*C13</f>
        <v>3.15</v>
      </c>
      <c r="D15" s="115" t="n">
        <f aca="false">D10*Inputs!$B$9*D13</f>
        <v>3.885</v>
      </c>
      <c r="E15" s="115" t="n">
        <f aca="false">E10*Inputs!$B$9*E13</f>
        <v>4.62</v>
      </c>
      <c r="F15" s="115" t="n">
        <f aca="false">F10*Inputs!$B$9*F13</f>
        <v>5.355</v>
      </c>
      <c r="G15" s="115" t="n">
        <f aca="false">G10*Inputs!$B$9*G13</f>
        <v>6.09</v>
      </c>
      <c r="H15" s="115" t="n">
        <f aca="false">H10*Inputs!$B$9*H13</f>
        <v>6.825</v>
      </c>
      <c r="I15" s="115" t="n">
        <f aca="false">I10*Inputs!$B$9*I13</f>
        <v>7.56</v>
      </c>
      <c r="J15" s="115" t="n">
        <f aca="false">J10*Inputs!$B$9*J13</f>
        <v>8.295</v>
      </c>
      <c r="K15" s="115" t="n">
        <f aca="false">K10*Inputs!$B$9*K13</f>
        <v>9.03</v>
      </c>
      <c r="L15" s="115" t="n">
        <f aca="false">L10*Inputs!$B$9*L13</f>
        <v>9.765</v>
      </c>
      <c r="M15" s="115" t="n">
        <f aca="false">M10*Inputs!$B$9*M13</f>
        <v>10.5</v>
      </c>
      <c r="N15" s="115" t="n">
        <f aca="false">N10*Inputs!$B$9*N13</f>
        <v>11.235</v>
      </c>
      <c r="O15" s="115" t="n">
        <f aca="false">O10*Inputs!$B$9*O13</f>
        <v>11.97</v>
      </c>
      <c r="P15" s="115" t="n">
        <f aca="false">P10*Inputs!$B$9*P13</f>
        <v>12.705</v>
      </c>
      <c r="Q15" s="115" t="n">
        <f aca="false">Q10*Inputs!$B$9*Q13</f>
        <v>13.44</v>
      </c>
      <c r="R15" s="115" t="n">
        <f aca="false">R10*Inputs!$B$9*R13</f>
        <v>14.175</v>
      </c>
      <c r="S15" s="115" t="n">
        <f aca="false">S10*Inputs!$B$9*S13</f>
        <v>14.91</v>
      </c>
      <c r="T15" s="115" t="n">
        <f aca="false">T10*Inputs!$B$9*T13</f>
        <v>15.645</v>
      </c>
      <c r="U15" s="115" t="n">
        <f aca="false">U10*Inputs!$B$9*U13</f>
        <v>16.38</v>
      </c>
      <c r="V15" s="115" t="n">
        <f aca="false">V10*Inputs!$B$9*V13</f>
        <v>16.38</v>
      </c>
      <c r="W15" s="115" t="n">
        <f aca="false">W10*Inputs!$B$9*W13</f>
        <v>16.38</v>
      </c>
      <c r="X15" s="115" t="n">
        <f aca="false">X10*Inputs!$B$9*X13</f>
        <v>16.38</v>
      </c>
      <c r="Y15" s="115" t="n">
        <f aca="false">Y10*Inputs!$B$9*Y13</f>
        <v>16.38</v>
      </c>
      <c r="Z15" s="115" t="n">
        <f aca="false">Z10*Inputs!$B$9*Z13</f>
        <v>16.38</v>
      </c>
      <c r="AA15" s="115" t="n">
        <f aca="false">AA10*Inputs!$B$9*AA13</f>
        <v>16.38</v>
      </c>
      <c r="AB15" s="115" t="n">
        <f aca="false">AB10*Inputs!$B$9*AB13</f>
        <v>16.38</v>
      </c>
      <c r="AC15" s="115" t="n">
        <f aca="false">AC10*Inputs!$B$9*AC13</f>
        <v>16.38</v>
      </c>
      <c r="AD15" s="115" t="n">
        <f aca="false">AD10*Inputs!$B$9*AD13</f>
        <v>16.38</v>
      </c>
      <c r="AE15" s="115" t="n">
        <f aca="false">AE10*Inputs!$B$9*AE13</f>
        <v>16.38</v>
      </c>
      <c r="AF15" s="115" t="n">
        <f aca="false">AF10*Inputs!$B$9*AF13</f>
        <v>16.38</v>
      </c>
      <c r="AG15" s="115" t="n">
        <f aca="false">AG10*Inputs!$B$9*AG13</f>
        <v>16.38</v>
      </c>
      <c r="AH15" s="115" t="n">
        <f aca="false">AH10*Inputs!$B$9*AH13</f>
        <v>16.38</v>
      </c>
      <c r="AI15" s="115" t="n">
        <f aca="false">AI10*Inputs!$B$9*AI13</f>
        <v>16.38</v>
      </c>
      <c r="AJ15" s="115" t="n">
        <f aca="false">AJ10*Inputs!$B$9*AJ13</f>
        <v>16.38</v>
      </c>
      <c r="AK15" s="115" t="n">
        <f aca="false">AK10*Inputs!$B$9*AK13</f>
        <v>16.38</v>
      </c>
      <c r="AL15" s="115" t="n">
        <f aca="false">AL10*Inputs!$B$9*AL13</f>
        <v>16.38</v>
      </c>
      <c r="AM15" s="115" t="n">
        <f aca="false">AM10*Inputs!$B$9*AM13</f>
        <v>16.38</v>
      </c>
      <c r="AN15" s="115" t="n">
        <f aca="false">AN10*Inputs!$B$9*AN13</f>
        <v>16.38</v>
      </c>
      <c r="AO15" s="115" t="n">
        <f aca="false">AO10*Inputs!$B$9*AO13</f>
        <v>16.38</v>
      </c>
      <c r="AP15" s="115" t="n">
        <f aca="false">AP10*Inputs!$B$9*AP13</f>
        <v>16.38</v>
      </c>
      <c r="AQ15" s="115" t="n">
        <f aca="false">AQ10*Inputs!$B$9*AQ13</f>
        <v>16.38</v>
      </c>
      <c r="AR15" s="115" t="n">
        <f aca="false">AR10*Inputs!$B$9*AR13</f>
        <v>16.38</v>
      </c>
      <c r="AS15" s="115" t="n">
        <f aca="false">AS10*Inputs!$B$9*AS13</f>
        <v>16.38</v>
      </c>
      <c r="AT15" s="115" t="n">
        <f aca="false">AT10*Inputs!$B$9*AT13</f>
        <v>16.38</v>
      </c>
      <c r="AU15" s="115" t="n">
        <f aca="false">AU10*Inputs!$B$9*AU13</f>
        <v>16.38</v>
      </c>
      <c r="AV15" s="115" t="n">
        <f aca="false">AV10*Inputs!$B$9*AV13</f>
        <v>16.38</v>
      </c>
      <c r="AW15" s="115" t="n">
        <f aca="false">AW10*Inputs!$B$9*AW13</f>
        <v>16.38</v>
      </c>
      <c r="AX15" s="115" t="n">
        <f aca="false">AX10*Inputs!$B$9*AX13</f>
        <v>16.38</v>
      </c>
      <c r="AY15" s="115" t="n">
        <f aca="false">AY10*Inputs!$B$9*AY13</f>
        <v>16.38</v>
      </c>
      <c r="AZ15" s="115" t="n">
        <f aca="false">AZ10*Inputs!$B$9*AZ13</f>
        <v>16.38</v>
      </c>
      <c r="BA15" s="115" t="n">
        <f aca="false">BA10*Inputs!$B$9*BA13</f>
        <v>16.38</v>
      </c>
      <c r="BB15" s="115" t="n">
        <f aca="false">BB10*Inputs!$B$9*BB13</f>
        <v>16.38</v>
      </c>
      <c r="BC15" s="115" t="n">
        <f aca="false">BC10*Inputs!$B$9*BC13</f>
        <v>16.38</v>
      </c>
      <c r="BD15" s="115" t="n">
        <f aca="false">BD10*Inputs!$B$9*BD13</f>
        <v>16.38</v>
      </c>
      <c r="BE15" s="115" t="n">
        <f aca="false">BE10*Inputs!$B$9*BE13</f>
        <v>16.38</v>
      </c>
      <c r="BF15" s="115" t="n">
        <f aca="false">BF10*Inputs!$B$9*BF13</f>
        <v>16.38</v>
      </c>
      <c r="BG15" s="115" t="n">
        <f aca="false">BG10*Inputs!$B$9*BG13</f>
        <v>16.38</v>
      </c>
      <c r="BH15" s="115" t="n">
        <f aca="false">BH10*Inputs!$B$9*BH13</f>
        <v>16.38</v>
      </c>
      <c r="BI15" s="115" t="n">
        <f aca="false">BI10*Inputs!$B$9*BI13</f>
        <v>16.38</v>
      </c>
      <c r="BJ15" s="115" t="n">
        <f aca="false">BJ10*Inputs!$B$9*BJ13</f>
        <v>16.38</v>
      </c>
    </row>
    <row r="16" customFormat="false" ht="15" hidden="false" customHeight="false" outlineLevel="0" collapsed="false">
      <c r="A16" s="6" t="s">
        <v>423</v>
      </c>
      <c r="C16" s="115" t="n">
        <f aca="false">C10*(1-Inputs!$B$9)*C13</f>
        <v>5.85</v>
      </c>
      <c r="D16" s="115" t="n">
        <f aca="false">D10*(1-Inputs!$B$9)*D13</f>
        <v>7.215</v>
      </c>
      <c r="E16" s="115" t="n">
        <f aca="false">E10*(1-Inputs!$B$9)*E13</f>
        <v>8.58</v>
      </c>
      <c r="F16" s="115" t="n">
        <f aca="false">F10*(1-Inputs!$B$9)*F13</f>
        <v>9.945</v>
      </c>
      <c r="G16" s="115" t="n">
        <f aca="false">G10*(1-Inputs!$B$9)*G13</f>
        <v>11.31</v>
      </c>
      <c r="H16" s="115" t="n">
        <f aca="false">H10*(1-Inputs!$B$9)*H13</f>
        <v>12.675</v>
      </c>
      <c r="I16" s="115" t="n">
        <f aca="false">I10*(1-Inputs!$B$9)*I13</f>
        <v>14.04</v>
      </c>
      <c r="J16" s="115" t="n">
        <f aca="false">J10*(1-Inputs!$B$9)*J13</f>
        <v>15.405</v>
      </c>
      <c r="K16" s="115" t="n">
        <f aca="false">K10*(1-Inputs!$B$9)*K13</f>
        <v>16.77</v>
      </c>
      <c r="L16" s="115" t="n">
        <f aca="false">L10*(1-Inputs!$B$9)*L13</f>
        <v>18.135</v>
      </c>
      <c r="M16" s="115" t="n">
        <f aca="false">M10*(1-Inputs!$B$9)*M13</f>
        <v>19.5</v>
      </c>
      <c r="N16" s="115" t="n">
        <f aca="false">N10*(1-Inputs!$B$9)*N13</f>
        <v>20.865</v>
      </c>
      <c r="O16" s="115" t="n">
        <f aca="false">O10*(1-Inputs!$B$9)*O13</f>
        <v>22.23</v>
      </c>
      <c r="P16" s="115" t="n">
        <f aca="false">P10*(1-Inputs!$B$9)*P13</f>
        <v>23.595</v>
      </c>
      <c r="Q16" s="115" t="n">
        <f aca="false">Q10*(1-Inputs!$B$9)*Q13</f>
        <v>24.96</v>
      </c>
      <c r="R16" s="115" t="n">
        <f aca="false">R10*(1-Inputs!$B$9)*R13</f>
        <v>26.325</v>
      </c>
      <c r="S16" s="115" t="n">
        <f aca="false">S10*(1-Inputs!$B$9)*S13</f>
        <v>27.69</v>
      </c>
      <c r="T16" s="115" t="n">
        <f aca="false">T10*(1-Inputs!$B$9)*T13</f>
        <v>29.055</v>
      </c>
      <c r="U16" s="115" t="n">
        <f aca="false">U10*(1-Inputs!$B$9)*U13</f>
        <v>30.42</v>
      </c>
      <c r="V16" s="115" t="n">
        <f aca="false">V10*(1-Inputs!$B$9)*V13</f>
        <v>30.42</v>
      </c>
      <c r="W16" s="115" t="n">
        <f aca="false">W10*(1-Inputs!$B$9)*W13</f>
        <v>30.42</v>
      </c>
      <c r="X16" s="115" t="n">
        <f aca="false">X10*(1-Inputs!$B$9)*X13</f>
        <v>30.42</v>
      </c>
      <c r="Y16" s="115" t="n">
        <f aca="false">Y10*(1-Inputs!$B$9)*Y13</f>
        <v>30.42</v>
      </c>
      <c r="Z16" s="115" t="n">
        <f aca="false">Z10*(1-Inputs!$B$9)*Z13</f>
        <v>30.42</v>
      </c>
      <c r="AA16" s="115" t="n">
        <f aca="false">AA10*(1-Inputs!$B$9)*AA13</f>
        <v>30.42</v>
      </c>
      <c r="AB16" s="115" t="n">
        <f aca="false">AB10*(1-Inputs!$B$9)*AB13</f>
        <v>30.42</v>
      </c>
      <c r="AC16" s="115" t="n">
        <f aca="false">AC10*(1-Inputs!$B$9)*AC13</f>
        <v>30.42</v>
      </c>
      <c r="AD16" s="115" t="n">
        <f aca="false">AD10*(1-Inputs!$B$9)*AD13</f>
        <v>30.42</v>
      </c>
      <c r="AE16" s="115" t="n">
        <f aca="false">AE10*(1-Inputs!$B$9)*AE13</f>
        <v>30.42</v>
      </c>
      <c r="AF16" s="115" t="n">
        <f aca="false">AF10*(1-Inputs!$B$9)*AF13</f>
        <v>30.42</v>
      </c>
      <c r="AG16" s="115" t="n">
        <f aca="false">AG10*(1-Inputs!$B$9)*AG13</f>
        <v>30.42</v>
      </c>
      <c r="AH16" s="115" t="n">
        <f aca="false">AH10*(1-Inputs!$B$9)*AH13</f>
        <v>30.42</v>
      </c>
      <c r="AI16" s="115" t="n">
        <f aca="false">AI10*(1-Inputs!$B$9)*AI13</f>
        <v>30.42</v>
      </c>
      <c r="AJ16" s="115" t="n">
        <f aca="false">AJ10*(1-Inputs!$B$9)*AJ13</f>
        <v>30.42</v>
      </c>
      <c r="AK16" s="115" t="n">
        <f aca="false">AK10*(1-Inputs!$B$9)*AK13</f>
        <v>30.42</v>
      </c>
      <c r="AL16" s="115" t="n">
        <f aca="false">AL10*(1-Inputs!$B$9)*AL13</f>
        <v>30.42</v>
      </c>
      <c r="AM16" s="115" t="n">
        <f aca="false">AM10*(1-Inputs!$B$9)*AM13</f>
        <v>30.42</v>
      </c>
      <c r="AN16" s="115" t="n">
        <f aca="false">AN10*(1-Inputs!$B$9)*AN13</f>
        <v>30.42</v>
      </c>
      <c r="AO16" s="115" t="n">
        <f aca="false">AO10*(1-Inputs!$B$9)*AO13</f>
        <v>30.42</v>
      </c>
      <c r="AP16" s="115" t="n">
        <f aca="false">AP10*(1-Inputs!$B$9)*AP13</f>
        <v>30.42</v>
      </c>
      <c r="AQ16" s="115" t="n">
        <f aca="false">AQ10*(1-Inputs!$B$9)*AQ13</f>
        <v>30.42</v>
      </c>
      <c r="AR16" s="115" t="n">
        <f aca="false">AR10*(1-Inputs!$B$9)*AR13</f>
        <v>30.42</v>
      </c>
      <c r="AS16" s="115" t="n">
        <f aca="false">AS10*(1-Inputs!$B$9)*AS13</f>
        <v>30.42</v>
      </c>
      <c r="AT16" s="115" t="n">
        <f aca="false">AT10*(1-Inputs!$B$9)*AT13</f>
        <v>30.42</v>
      </c>
      <c r="AU16" s="115" t="n">
        <f aca="false">AU10*(1-Inputs!$B$9)*AU13</f>
        <v>30.42</v>
      </c>
      <c r="AV16" s="115" t="n">
        <f aca="false">AV10*(1-Inputs!$B$9)*AV13</f>
        <v>30.42</v>
      </c>
      <c r="AW16" s="115" t="n">
        <f aca="false">AW10*(1-Inputs!$B$9)*AW13</f>
        <v>30.42</v>
      </c>
      <c r="AX16" s="115" t="n">
        <f aca="false">AX10*(1-Inputs!$B$9)*AX13</f>
        <v>30.42</v>
      </c>
      <c r="AY16" s="115" t="n">
        <f aca="false">AY10*(1-Inputs!$B$9)*AY13</f>
        <v>30.42</v>
      </c>
      <c r="AZ16" s="115" t="n">
        <f aca="false">AZ10*(1-Inputs!$B$9)*AZ13</f>
        <v>30.42</v>
      </c>
      <c r="BA16" s="115" t="n">
        <f aca="false">BA10*(1-Inputs!$B$9)*BA13</f>
        <v>30.42</v>
      </c>
      <c r="BB16" s="115" t="n">
        <f aca="false">BB10*(1-Inputs!$B$9)*BB13</f>
        <v>30.42</v>
      </c>
      <c r="BC16" s="115" t="n">
        <f aca="false">BC10*(1-Inputs!$B$9)*BC13</f>
        <v>30.42</v>
      </c>
      <c r="BD16" s="115" t="n">
        <f aca="false">BD10*(1-Inputs!$B$9)*BD13</f>
        <v>30.42</v>
      </c>
      <c r="BE16" s="115" t="n">
        <f aca="false">BE10*(1-Inputs!$B$9)*BE13</f>
        <v>30.42</v>
      </c>
      <c r="BF16" s="115" t="n">
        <f aca="false">BF10*(1-Inputs!$B$9)*BF13</f>
        <v>30.42</v>
      </c>
      <c r="BG16" s="115" t="n">
        <f aca="false">BG10*(1-Inputs!$B$9)*BG13</f>
        <v>30.42</v>
      </c>
      <c r="BH16" s="115" t="n">
        <f aca="false">BH10*(1-Inputs!$B$9)*BH13</f>
        <v>30.42</v>
      </c>
      <c r="BI16" s="115" t="n">
        <f aca="false">BI10*(1-Inputs!$B$9)*BI13</f>
        <v>30.42</v>
      </c>
      <c r="BJ16" s="115" t="n">
        <f aca="false">BJ10*(1-Inputs!$B$9)*BJ13</f>
        <v>30.42</v>
      </c>
    </row>
    <row r="17" customFormat="false" ht="15" hidden="false" customHeight="false" outlineLevel="0" collapsed="false">
      <c r="A17" s="4" t="s">
        <v>424</v>
      </c>
      <c r="C17" s="116" t="n">
        <f aca="false">C15+C16</f>
        <v>9</v>
      </c>
      <c r="D17" s="116" t="n">
        <f aca="false">D15+D16</f>
        <v>11.1</v>
      </c>
      <c r="E17" s="116" t="n">
        <f aca="false">E15+E16</f>
        <v>13.2</v>
      </c>
      <c r="F17" s="116" t="n">
        <f aca="false">F15+F16</f>
        <v>15.3</v>
      </c>
      <c r="G17" s="116" t="n">
        <f aca="false">G15+G16</f>
        <v>17.4</v>
      </c>
      <c r="H17" s="116" t="n">
        <f aca="false">H15+H16</f>
        <v>19.5</v>
      </c>
      <c r="I17" s="116" t="n">
        <f aca="false">I15+I16</f>
        <v>21.6</v>
      </c>
      <c r="J17" s="116" t="n">
        <f aca="false">J15+J16</f>
        <v>23.7</v>
      </c>
      <c r="K17" s="116" t="n">
        <f aca="false">K15+K16</f>
        <v>25.8</v>
      </c>
      <c r="L17" s="116" t="n">
        <f aca="false">L15+L16</f>
        <v>27.9</v>
      </c>
      <c r="M17" s="116" t="n">
        <f aca="false">M15+M16</f>
        <v>30</v>
      </c>
      <c r="N17" s="116" t="n">
        <f aca="false">N15+N16</f>
        <v>32.1</v>
      </c>
      <c r="O17" s="116" t="n">
        <f aca="false">O15+O16</f>
        <v>34.2</v>
      </c>
      <c r="P17" s="116" t="n">
        <f aca="false">P15+P16</f>
        <v>36.3</v>
      </c>
      <c r="Q17" s="116" t="n">
        <f aca="false">Q15+Q16</f>
        <v>38.4</v>
      </c>
      <c r="R17" s="116" t="n">
        <f aca="false">R15+R16</f>
        <v>40.5</v>
      </c>
      <c r="S17" s="116" t="n">
        <f aca="false">S15+S16</f>
        <v>42.6</v>
      </c>
      <c r="T17" s="116" t="n">
        <f aca="false">T15+T16</f>
        <v>44.7</v>
      </c>
      <c r="U17" s="116" t="n">
        <f aca="false">U15+U16</f>
        <v>46.8</v>
      </c>
      <c r="V17" s="116" t="n">
        <f aca="false">V15+V16</f>
        <v>46.8</v>
      </c>
      <c r="W17" s="116" t="n">
        <f aca="false">W15+W16</f>
        <v>46.8</v>
      </c>
      <c r="X17" s="116" t="n">
        <f aca="false">X15+X16</f>
        <v>46.8</v>
      </c>
      <c r="Y17" s="116" t="n">
        <f aca="false">Y15+Y16</f>
        <v>46.8</v>
      </c>
      <c r="Z17" s="116" t="n">
        <f aca="false">Z15+Z16</f>
        <v>46.8</v>
      </c>
      <c r="AA17" s="116" t="n">
        <f aca="false">AA15+AA16</f>
        <v>46.8</v>
      </c>
      <c r="AB17" s="116" t="n">
        <f aca="false">AB15+AB16</f>
        <v>46.8</v>
      </c>
      <c r="AC17" s="116" t="n">
        <f aca="false">AC15+AC16</f>
        <v>46.8</v>
      </c>
      <c r="AD17" s="116" t="n">
        <f aca="false">AD15+AD16</f>
        <v>46.8</v>
      </c>
      <c r="AE17" s="116" t="n">
        <f aca="false">AE15+AE16</f>
        <v>46.8</v>
      </c>
      <c r="AF17" s="116" t="n">
        <f aca="false">AF15+AF16</f>
        <v>46.8</v>
      </c>
      <c r="AG17" s="116" t="n">
        <f aca="false">AG15+AG16</f>
        <v>46.8</v>
      </c>
      <c r="AH17" s="116" t="n">
        <f aca="false">AH15+AH16</f>
        <v>46.8</v>
      </c>
      <c r="AI17" s="116" t="n">
        <f aca="false">AI15+AI16</f>
        <v>46.8</v>
      </c>
      <c r="AJ17" s="116" t="n">
        <f aca="false">AJ15+AJ16</f>
        <v>46.8</v>
      </c>
      <c r="AK17" s="116" t="n">
        <f aca="false">AK15+AK16</f>
        <v>46.8</v>
      </c>
      <c r="AL17" s="116" t="n">
        <f aca="false">AL15+AL16</f>
        <v>46.8</v>
      </c>
      <c r="AM17" s="116" t="n">
        <f aca="false">AM15+AM16</f>
        <v>46.8</v>
      </c>
      <c r="AN17" s="116" t="n">
        <f aca="false">AN15+AN16</f>
        <v>46.8</v>
      </c>
      <c r="AO17" s="116" t="n">
        <f aca="false">AO15+AO16</f>
        <v>46.8</v>
      </c>
      <c r="AP17" s="116" t="n">
        <f aca="false">AP15+AP16</f>
        <v>46.8</v>
      </c>
      <c r="AQ17" s="116" t="n">
        <f aca="false">AQ15+AQ16</f>
        <v>46.8</v>
      </c>
      <c r="AR17" s="116" t="n">
        <f aca="false">AR15+AR16</f>
        <v>46.8</v>
      </c>
      <c r="AS17" s="116" t="n">
        <f aca="false">AS15+AS16</f>
        <v>46.8</v>
      </c>
      <c r="AT17" s="116" t="n">
        <f aca="false">AT15+AT16</f>
        <v>46.8</v>
      </c>
      <c r="AU17" s="116" t="n">
        <f aca="false">AU15+AU16</f>
        <v>46.8</v>
      </c>
      <c r="AV17" s="116" t="n">
        <f aca="false">AV15+AV16</f>
        <v>46.8</v>
      </c>
      <c r="AW17" s="116" t="n">
        <f aca="false">AW15+AW16</f>
        <v>46.8</v>
      </c>
      <c r="AX17" s="116" t="n">
        <f aca="false">AX15+AX16</f>
        <v>46.8</v>
      </c>
      <c r="AY17" s="116" t="n">
        <f aca="false">AY15+AY16</f>
        <v>46.8</v>
      </c>
      <c r="AZ17" s="116" t="n">
        <f aca="false">AZ15+AZ16</f>
        <v>46.8</v>
      </c>
      <c r="BA17" s="116" t="n">
        <f aca="false">BA15+BA16</f>
        <v>46.8</v>
      </c>
      <c r="BB17" s="116" t="n">
        <f aca="false">BB15+BB16</f>
        <v>46.8</v>
      </c>
      <c r="BC17" s="116" t="n">
        <f aca="false">BC15+BC16</f>
        <v>46.8</v>
      </c>
      <c r="BD17" s="116" t="n">
        <f aca="false">BD15+BD16</f>
        <v>46.8</v>
      </c>
      <c r="BE17" s="116" t="n">
        <f aca="false">BE15+BE16</f>
        <v>46.8</v>
      </c>
      <c r="BF17" s="116" t="n">
        <f aca="false">BF15+BF16</f>
        <v>46.8</v>
      </c>
      <c r="BG17" s="116" t="n">
        <f aca="false">BG15+BG16</f>
        <v>46.8</v>
      </c>
      <c r="BH17" s="116" t="n">
        <f aca="false">BH15+BH16</f>
        <v>46.8</v>
      </c>
      <c r="BI17" s="116" t="n">
        <f aca="false">BI15+BI16</f>
        <v>46.8</v>
      </c>
      <c r="BJ17" s="116" t="n">
        <f aca="false">BJ15+BJ16</f>
        <v>46.8</v>
      </c>
    </row>
    <row r="18" customFormat="false" ht="15" hidden="false" customHeight="false" outlineLevel="0" collapsed="false">
      <c r="A18" s="6" t="s">
        <v>234</v>
      </c>
      <c r="C18" s="113" t="n">
        <f aca="false">C17*1</f>
        <v>9</v>
      </c>
      <c r="D18" s="113" t="n">
        <f aca="false">D17*1</f>
        <v>11.1</v>
      </c>
      <c r="E18" s="113" t="n">
        <f aca="false">E17*1</f>
        <v>13.2</v>
      </c>
      <c r="F18" s="113" t="n">
        <f aca="false">F17*1</f>
        <v>15.3</v>
      </c>
      <c r="G18" s="113" t="n">
        <f aca="false">G17*1</f>
        <v>17.4</v>
      </c>
      <c r="H18" s="113" t="n">
        <f aca="false">H17*1</f>
        <v>19.5</v>
      </c>
      <c r="I18" s="113" t="n">
        <f aca="false">I17*1</f>
        <v>21.6</v>
      </c>
      <c r="J18" s="113" t="n">
        <f aca="false">J17*1</f>
        <v>23.7</v>
      </c>
      <c r="K18" s="113" t="n">
        <f aca="false">K17*1</f>
        <v>25.8</v>
      </c>
      <c r="L18" s="113" t="n">
        <f aca="false">L17*1</f>
        <v>27.9</v>
      </c>
      <c r="M18" s="113" t="n">
        <f aca="false">M17*1</f>
        <v>30</v>
      </c>
      <c r="N18" s="113" t="n">
        <f aca="false">N17*1</f>
        <v>32.1</v>
      </c>
      <c r="O18" s="113" t="n">
        <f aca="false">O17*1</f>
        <v>34.2</v>
      </c>
      <c r="P18" s="113" t="n">
        <f aca="false">P17*1</f>
        <v>36.3</v>
      </c>
      <c r="Q18" s="113" t="n">
        <f aca="false">Q17*1</f>
        <v>38.4</v>
      </c>
      <c r="R18" s="113" t="n">
        <f aca="false">R17*1</f>
        <v>40.5</v>
      </c>
      <c r="S18" s="113" t="n">
        <f aca="false">S17*1</f>
        <v>42.6</v>
      </c>
      <c r="T18" s="113" t="n">
        <f aca="false">T17*1</f>
        <v>44.7</v>
      </c>
      <c r="U18" s="113" t="n">
        <f aca="false">U17*1</f>
        <v>46.8</v>
      </c>
      <c r="V18" s="113" t="n">
        <f aca="false">V17*1</f>
        <v>46.8</v>
      </c>
      <c r="W18" s="113" t="n">
        <f aca="false">W17*1</f>
        <v>46.8</v>
      </c>
      <c r="X18" s="113" t="n">
        <f aca="false">X17*1</f>
        <v>46.8</v>
      </c>
      <c r="Y18" s="113" t="n">
        <f aca="false">Y17*1</f>
        <v>46.8</v>
      </c>
      <c r="Z18" s="113" t="n">
        <f aca="false">Z17*1</f>
        <v>46.8</v>
      </c>
      <c r="AA18" s="113" t="n">
        <f aca="false">AA17*1</f>
        <v>46.8</v>
      </c>
      <c r="AB18" s="113" t="n">
        <f aca="false">AB17*1</f>
        <v>46.8</v>
      </c>
      <c r="AC18" s="113" t="n">
        <f aca="false">AC17*1</f>
        <v>46.8</v>
      </c>
      <c r="AD18" s="113" t="n">
        <f aca="false">AD17*1</f>
        <v>46.8</v>
      </c>
      <c r="AE18" s="113" t="n">
        <f aca="false">AE17*1</f>
        <v>46.8</v>
      </c>
      <c r="AF18" s="113" t="n">
        <f aca="false">AF17*1</f>
        <v>46.8</v>
      </c>
      <c r="AG18" s="113" t="n">
        <f aca="false">AG17*1</f>
        <v>46.8</v>
      </c>
      <c r="AH18" s="113" t="n">
        <f aca="false">AH17*1</f>
        <v>46.8</v>
      </c>
      <c r="AI18" s="113" t="n">
        <f aca="false">AI17*1</f>
        <v>46.8</v>
      </c>
      <c r="AJ18" s="113" t="n">
        <f aca="false">AJ17*1</f>
        <v>46.8</v>
      </c>
      <c r="AK18" s="113" t="n">
        <f aca="false">AK17*1</f>
        <v>46.8</v>
      </c>
      <c r="AL18" s="113" t="n">
        <f aca="false">AL17*1</f>
        <v>46.8</v>
      </c>
      <c r="AM18" s="113" t="n">
        <f aca="false">AM17*1</f>
        <v>46.8</v>
      </c>
      <c r="AN18" s="113" t="n">
        <f aca="false">AN17*1</f>
        <v>46.8</v>
      </c>
      <c r="AO18" s="113" t="n">
        <f aca="false">AO17*1</f>
        <v>46.8</v>
      </c>
      <c r="AP18" s="113" t="n">
        <f aca="false">AP17*1</f>
        <v>46.8</v>
      </c>
      <c r="AQ18" s="113" t="n">
        <f aca="false">AQ17*1</f>
        <v>46.8</v>
      </c>
      <c r="AR18" s="113" t="n">
        <f aca="false">AR17*1</f>
        <v>46.8</v>
      </c>
      <c r="AS18" s="113" t="n">
        <f aca="false">AS17*1</f>
        <v>46.8</v>
      </c>
      <c r="AT18" s="113" t="n">
        <f aca="false">AT17*1</f>
        <v>46.8</v>
      </c>
      <c r="AU18" s="113" t="n">
        <f aca="false">AU17*1</f>
        <v>46.8</v>
      </c>
      <c r="AV18" s="113" t="n">
        <f aca="false">AV17*1</f>
        <v>46.8</v>
      </c>
      <c r="AW18" s="113" t="n">
        <f aca="false">AW17*1</f>
        <v>46.8</v>
      </c>
      <c r="AX18" s="113" t="n">
        <f aca="false">AX17*1</f>
        <v>46.8</v>
      </c>
      <c r="AY18" s="113" t="n">
        <f aca="false">AY17*1</f>
        <v>46.8</v>
      </c>
      <c r="AZ18" s="113" t="n">
        <f aca="false">AZ17*1</f>
        <v>46.8</v>
      </c>
      <c r="BA18" s="113" t="n">
        <f aca="false">BA17*1</f>
        <v>46.8</v>
      </c>
      <c r="BB18" s="113" t="n">
        <f aca="false">BB17*1</f>
        <v>46.8</v>
      </c>
      <c r="BC18" s="113" t="n">
        <f aca="false">BC17*1</f>
        <v>46.8</v>
      </c>
      <c r="BD18" s="113" t="n">
        <f aca="false">BD17*1</f>
        <v>46.8</v>
      </c>
      <c r="BE18" s="113" t="n">
        <f aca="false">BE17*1</f>
        <v>46.8</v>
      </c>
      <c r="BF18" s="113" t="n">
        <f aca="false">BF17*1</f>
        <v>46.8</v>
      </c>
      <c r="BG18" s="113" t="n">
        <f aca="false">BG17*1</f>
        <v>46.8</v>
      </c>
      <c r="BH18" s="113" t="n">
        <f aca="false">BH17*1</f>
        <v>46.8</v>
      </c>
      <c r="BI18" s="113" t="n">
        <f aca="false">BI17*1</f>
        <v>46.8</v>
      </c>
      <c r="BJ18" s="113" t="n">
        <f aca="false">BJ17*1</f>
        <v>46.8</v>
      </c>
    </row>
    <row r="19" customFormat="false" ht="15" hidden="false" customHeight="false" outlineLevel="0" collapsed="false">
      <c r="A19" s="6" t="s">
        <v>233</v>
      </c>
      <c r="C19" s="113" t="n">
        <f aca="false">C10*1</f>
        <v>60</v>
      </c>
      <c r="D19" s="113" t="n">
        <f aca="false">D10*1</f>
        <v>60</v>
      </c>
      <c r="E19" s="113" t="n">
        <f aca="false">E10*1</f>
        <v>60</v>
      </c>
      <c r="F19" s="113" t="n">
        <f aca="false">F10*1</f>
        <v>60</v>
      </c>
      <c r="G19" s="113" t="n">
        <f aca="false">G10*1</f>
        <v>60</v>
      </c>
      <c r="H19" s="113" t="n">
        <f aca="false">H10*1</f>
        <v>60</v>
      </c>
      <c r="I19" s="113" t="n">
        <f aca="false">I10*1</f>
        <v>60</v>
      </c>
      <c r="J19" s="113" t="n">
        <f aca="false">J10*1</f>
        <v>60</v>
      </c>
      <c r="K19" s="113" t="n">
        <f aca="false">K10*1</f>
        <v>60</v>
      </c>
      <c r="L19" s="113" t="n">
        <f aca="false">L10*1</f>
        <v>60</v>
      </c>
      <c r="M19" s="113" t="n">
        <f aca="false">M10*1</f>
        <v>60</v>
      </c>
      <c r="N19" s="113" t="n">
        <f aca="false">N10*1</f>
        <v>60</v>
      </c>
      <c r="O19" s="113" t="n">
        <f aca="false">O10*1</f>
        <v>60</v>
      </c>
      <c r="P19" s="113" t="n">
        <f aca="false">P10*1</f>
        <v>60</v>
      </c>
      <c r="Q19" s="113" t="n">
        <f aca="false">Q10*1</f>
        <v>60</v>
      </c>
      <c r="R19" s="113" t="n">
        <f aca="false">R10*1</f>
        <v>60</v>
      </c>
      <c r="S19" s="113" t="n">
        <f aca="false">S10*1</f>
        <v>60</v>
      </c>
      <c r="T19" s="113" t="n">
        <f aca="false">T10*1</f>
        <v>60</v>
      </c>
      <c r="U19" s="113" t="n">
        <f aca="false">U10*1</f>
        <v>60</v>
      </c>
      <c r="V19" s="113" t="n">
        <f aca="false">V10*1</f>
        <v>60</v>
      </c>
      <c r="W19" s="113" t="n">
        <f aca="false">W10*1</f>
        <v>60</v>
      </c>
      <c r="X19" s="113" t="n">
        <f aca="false">X10*1</f>
        <v>60</v>
      </c>
      <c r="Y19" s="113" t="n">
        <f aca="false">Y10*1</f>
        <v>60</v>
      </c>
      <c r="Z19" s="113" t="n">
        <f aca="false">Z10*1</f>
        <v>60</v>
      </c>
      <c r="AA19" s="113" t="n">
        <f aca="false">AA10*1</f>
        <v>60</v>
      </c>
      <c r="AB19" s="113" t="n">
        <f aca="false">AB10*1</f>
        <v>60</v>
      </c>
      <c r="AC19" s="113" t="n">
        <f aca="false">AC10*1</f>
        <v>60</v>
      </c>
      <c r="AD19" s="113" t="n">
        <f aca="false">AD10*1</f>
        <v>60</v>
      </c>
      <c r="AE19" s="113" t="n">
        <f aca="false">AE10*1</f>
        <v>60</v>
      </c>
      <c r="AF19" s="113" t="n">
        <f aca="false">AF10*1</f>
        <v>60</v>
      </c>
      <c r="AG19" s="113" t="n">
        <f aca="false">AG10*1</f>
        <v>60</v>
      </c>
      <c r="AH19" s="113" t="n">
        <f aca="false">AH10*1</f>
        <v>60</v>
      </c>
      <c r="AI19" s="113" t="n">
        <f aca="false">AI10*1</f>
        <v>60</v>
      </c>
      <c r="AJ19" s="113" t="n">
        <f aca="false">AJ10*1</f>
        <v>60</v>
      </c>
      <c r="AK19" s="113" t="n">
        <f aca="false">AK10*1</f>
        <v>60</v>
      </c>
      <c r="AL19" s="113" t="n">
        <f aca="false">AL10*1</f>
        <v>60</v>
      </c>
      <c r="AM19" s="113" t="n">
        <f aca="false">AM10*1</f>
        <v>60</v>
      </c>
      <c r="AN19" s="113" t="n">
        <f aca="false">AN10*1</f>
        <v>60</v>
      </c>
      <c r="AO19" s="113" t="n">
        <f aca="false">AO10*1</f>
        <v>60</v>
      </c>
      <c r="AP19" s="113" t="n">
        <f aca="false">AP10*1</f>
        <v>60</v>
      </c>
      <c r="AQ19" s="113" t="n">
        <f aca="false">AQ10*1</f>
        <v>60</v>
      </c>
      <c r="AR19" s="113" t="n">
        <f aca="false">AR10*1</f>
        <v>60</v>
      </c>
      <c r="AS19" s="113" t="n">
        <f aca="false">AS10*1</f>
        <v>60</v>
      </c>
      <c r="AT19" s="113" t="n">
        <f aca="false">AT10*1</f>
        <v>60</v>
      </c>
      <c r="AU19" s="113" t="n">
        <f aca="false">AU10*1</f>
        <v>60</v>
      </c>
      <c r="AV19" s="113" t="n">
        <f aca="false">AV10*1</f>
        <v>60</v>
      </c>
      <c r="AW19" s="113" t="n">
        <f aca="false">AW10*1</f>
        <v>60</v>
      </c>
      <c r="AX19" s="113" t="n">
        <f aca="false">AX10*1</f>
        <v>60</v>
      </c>
      <c r="AY19" s="113" t="n">
        <f aca="false">AY10*1</f>
        <v>60</v>
      </c>
      <c r="AZ19" s="113" t="n">
        <f aca="false">AZ10*1</f>
        <v>60</v>
      </c>
      <c r="BA19" s="113" t="n">
        <f aca="false">BA10*1</f>
        <v>60</v>
      </c>
      <c r="BB19" s="113" t="n">
        <f aca="false">BB10*1</f>
        <v>60</v>
      </c>
      <c r="BC19" s="113" t="n">
        <f aca="false">BC10*1</f>
        <v>60</v>
      </c>
      <c r="BD19" s="113" t="n">
        <f aca="false">BD10*1</f>
        <v>60</v>
      </c>
      <c r="BE19" s="113" t="n">
        <f aca="false">BE10*1</f>
        <v>60</v>
      </c>
      <c r="BF19" s="113" t="n">
        <f aca="false">BF10*1</f>
        <v>60</v>
      </c>
      <c r="BG19" s="113" t="n">
        <f aca="false">BG10*1</f>
        <v>60</v>
      </c>
      <c r="BH19" s="113" t="n">
        <f aca="false">BH10*1</f>
        <v>60</v>
      </c>
      <c r="BI19" s="113" t="n">
        <f aca="false">BI10*1</f>
        <v>60</v>
      </c>
      <c r="BJ19" s="113" t="n">
        <f aca="false">BJ10*1</f>
        <v>60</v>
      </c>
    </row>
    <row r="20" customFormat="false" ht="15" hidden="false" customHeight="false" outlineLevel="0" collapsed="false">
      <c r="A20" s="6" t="s">
        <v>425</v>
      </c>
      <c r="C20" s="115" t="n">
        <f aca="false">C10*C14</f>
        <v>9</v>
      </c>
      <c r="D20" s="115" t="n">
        <f aca="false">D10*D14</f>
        <v>11.1</v>
      </c>
      <c r="E20" s="115" t="n">
        <f aca="false">E10*E14</f>
        <v>13.2</v>
      </c>
      <c r="F20" s="115" t="n">
        <f aca="false">F10*F14</f>
        <v>15.3</v>
      </c>
      <c r="G20" s="115" t="n">
        <f aca="false">G10*G14</f>
        <v>17.4</v>
      </c>
      <c r="H20" s="115" t="n">
        <f aca="false">H10*H14</f>
        <v>19.5</v>
      </c>
      <c r="I20" s="115" t="n">
        <f aca="false">I10*I14</f>
        <v>21.6</v>
      </c>
      <c r="J20" s="115" t="n">
        <f aca="false">J10*J14</f>
        <v>23.7</v>
      </c>
      <c r="K20" s="115" t="n">
        <f aca="false">K10*K14</f>
        <v>25.8</v>
      </c>
      <c r="L20" s="115" t="n">
        <f aca="false">L10*L14</f>
        <v>27.9</v>
      </c>
      <c r="M20" s="115" t="n">
        <f aca="false">M10*M14</f>
        <v>30</v>
      </c>
      <c r="N20" s="115" t="n">
        <f aca="false">N10*N14</f>
        <v>32.1</v>
      </c>
      <c r="O20" s="115" t="n">
        <f aca="false">O10*O14</f>
        <v>34.2</v>
      </c>
      <c r="P20" s="115" t="n">
        <f aca="false">P10*P14</f>
        <v>36.3</v>
      </c>
      <c r="Q20" s="115" t="n">
        <f aca="false">Q10*Q14</f>
        <v>38.4</v>
      </c>
      <c r="R20" s="115" t="n">
        <f aca="false">R10*R14</f>
        <v>40.5</v>
      </c>
      <c r="S20" s="115" t="n">
        <f aca="false">S10*S14</f>
        <v>42.6</v>
      </c>
      <c r="T20" s="115" t="n">
        <f aca="false">T10*T14</f>
        <v>44.7</v>
      </c>
      <c r="U20" s="115" t="n">
        <f aca="false">U10*U14</f>
        <v>46.8</v>
      </c>
      <c r="V20" s="115" t="n">
        <f aca="false">V10*V14</f>
        <v>46.8</v>
      </c>
      <c r="W20" s="115" t="n">
        <f aca="false">W10*W14</f>
        <v>46.8</v>
      </c>
      <c r="X20" s="115" t="n">
        <f aca="false">X10*X14</f>
        <v>46.8</v>
      </c>
      <c r="Y20" s="115" t="n">
        <f aca="false">Y10*Y14</f>
        <v>46.8</v>
      </c>
      <c r="Z20" s="115" t="n">
        <f aca="false">Z10*Z14</f>
        <v>46.8</v>
      </c>
      <c r="AA20" s="115" t="n">
        <f aca="false">AA10*AA14</f>
        <v>46.8</v>
      </c>
      <c r="AB20" s="115" t="n">
        <f aca="false">AB10*AB14</f>
        <v>46.8</v>
      </c>
      <c r="AC20" s="115" t="n">
        <f aca="false">AC10*AC14</f>
        <v>46.8</v>
      </c>
      <c r="AD20" s="115" t="n">
        <f aca="false">AD10*AD14</f>
        <v>46.8</v>
      </c>
      <c r="AE20" s="115" t="n">
        <f aca="false">AE10*AE14</f>
        <v>46.8</v>
      </c>
      <c r="AF20" s="115" t="n">
        <f aca="false">AF10*AF14</f>
        <v>46.8</v>
      </c>
      <c r="AG20" s="115" t="n">
        <f aca="false">AG10*AG14</f>
        <v>46.8</v>
      </c>
      <c r="AH20" s="115" t="n">
        <f aca="false">AH10*AH14</f>
        <v>46.8</v>
      </c>
      <c r="AI20" s="115" t="n">
        <f aca="false">AI10*AI14</f>
        <v>46.8</v>
      </c>
      <c r="AJ20" s="115" t="n">
        <f aca="false">AJ10*AJ14</f>
        <v>46.8</v>
      </c>
      <c r="AK20" s="115" t="n">
        <f aca="false">AK10*AK14</f>
        <v>46.8</v>
      </c>
      <c r="AL20" s="115" t="n">
        <f aca="false">AL10*AL14</f>
        <v>46.8</v>
      </c>
      <c r="AM20" s="115" t="n">
        <f aca="false">AM10*AM14</f>
        <v>46.8</v>
      </c>
      <c r="AN20" s="115" t="n">
        <f aca="false">AN10*AN14</f>
        <v>46.8</v>
      </c>
      <c r="AO20" s="115" t="n">
        <f aca="false">AO10*AO14</f>
        <v>46.8</v>
      </c>
      <c r="AP20" s="115" t="n">
        <f aca="false">AP10*AP14</f>
        <v>46.8</v>
      </c>
      <c r="AQ20" s="115" t="n">
        <f aca="false">AQ10*AQ14</f>
        <v>46.8</v>
      </c>
      <c r="AR20" s="115" t="n">
        <f aca="false">AR10*AR14</f>
        <v>46.8</v>
      </c>
      <c r="AS20" s="115" t="n">
        <f aca="false">AS10*AS14</f>
        <v>46.8</v>
      </c>
      <c r="AT20" s="115" t="n">
        <f aca="false">AT10*AT14</f>
        <v>46.8</v>
      </c>
      <c r="AU20" s="115" t="n">
        <f aca="false">AU10*AU14</f>
        <v>46.8</v>
      </c>
      <c r="AV20" s="115" t="n">
        <f aca="false">AV10*AV14</f>
        <v>46.8</v>
      </c>
      <c r="AW20" s="115" t="n">
        <f aca="false">AW10*AW14</f>
        <v>46.8</v>
      </c>
      <c r="AX20" s="115" t="n">
        <f aca="false">AX10*AX14</f>
        <v>46.8</v>
      </c>
      <c r="AY20" s="115" t="n">
        <f aca="false">AY10*AY14</f>
        <v>46.8</v>
      </c>
      <c r="AZ20" s="115" t="n">
        <f aca="false">AZ10*AZ14</f>
        <v>46.8</v>
      </c>
      <c r="BA20" s="115" t="n">
        <f aca="false">BA10*BA14</f>
        <v>46.8</v>
      </c>
      <c r="BB20" s="115" t="n">
        <f aca="false">BB10*BB14</f>
        <v>46.8</v>
      </c>
      <c r="BC20" s="115" t="n">
        <f aca="false">BC10*BC14</f>
        <v>46.8</v>
      </c>
      <c r="BD20" s="115" t="n">
        <f aca="false">BD10*BD14</f>
        <v>46.8</v>
      </c>
      <c r="BE20" s="115" t="n">
        <f aca="false">BE10*BE14</f>
        <v>46.8</v>
      </c>
      <c r="BF20" s="115" t="n">
        <f aca="false">BF10*BF14</f>
        <v>46.8</v>
      </c>
      <c r="BG20" s="115" t="n">
        <f aca="false">BG10*BG14</f>
        <v>46.8</v>
      </c>
      <c r="BH20" s="115" t="n">
        <f aca="false">BH10*BH14</f>
        <v>46.8</v>
      </c>
      <c r="BI20" s="115" t="n">
        <f aca="false">BI10*BI14</f>
        <v>46.8</v>
      </c>
      <c r="BJ20" s="115" t="n">
        <f aca="false">BJ10*BJ14</f>
        <v>46.8</v>
      </c>
    </row>
    <row r="21" customFormat="false" ht="15" hidden="false" customHeight="false" outlineLevel="0" collapsed="false">
      <c r="A21" s="6" t="s">
        <v>426</v>
      </c>
      <c r="C21" s="115" t="n">
        <f aca="false">MAX(0,C20)+C17*Inputs!$B$14*1/12</f>
        <v>9.2625</v>
      </c>
      <c r="D21" s="115" t="n">
        <f aca="false">MAX(0,D20-C20)+D17*Inputs!$B$14*1/12</f>
        <v>2.42375</v>
      </c>
      <c r="E21" s="115" t="n">
        <f aca="false">MAX(0,E20-D20)+E17*Inputs!$B$14*1/12</f>
        <v>2.485</v>
      </c>
      <c r="F21" s="115" t="n">
        <f aca="false">MAX(0,F20-E20)+F17*Inputs!$B$14*1/12</f>
        <v>2.54625</v>
      </c>
      <c r="G21" s="115" t="n">
        <f aca="false">MAX(0,G20-F20)+G17*Inputs!$B$14*1/12</f>
        <v>2.6075</v>
      </c>
      <c r="H21" s="115" t="n">
        <f aca="false">MAX(0,H20-G20)+H17*Inputs!$B$14*1/12</f>
        <v>2.66875</v>
      </c>
      <c r="I21" s="115" t="n">
        <f aca="false">MAX(0,I20-H20)+I17*Inputs!$B$14*1/12</f>
        <v>2.73</v>
      </c>
      <c r="J21" s="115" t="n">
        <f aca="false">MAX(0,J20-I20)+J17*Inputs!$B$14*1/12</f>
        <v>2.79125000000001</v>
      </c>
      <c r="K21" s="115" t="n">
        <f aca="false">MAX(0,K20-J20)+K17*Inputs!$B$14*1/12</f>
        <v>2.85249999999999</v>
      </c>
      <c r="L21" s="115" t="n">
        <f aca="false">MAX(0,L20-K20)+L17*Inputs!$B$14*1/12</f>
        <v>2.91375</v>
      </c>
      <c r="M21" s="115" t="n">
        <f aca="false">MAX(0,M20-L20)+M17*Inputs!$B$14*1/12</f>
        <v>2.975</v>
      </c>
      <c r="N21" s="115" t="n">
        <f aca="false">MAX(0,N20-M20)+N17*Inputs!$B$14*1/12</f>
        <v>3.03625</v>
      </c>
      <c r="O21" s="115" t="n">
        <f aca="false">MAX(0,O20-N20)+O17*Inputs!$B$14*1/12</f>
        <v>3.09749999999999</v>
      </c>
      <c r="P21" s="115" t="n">
        <f aca="false">MAX(0,P20-O20)+P17*Inputs!$B$14*1/12</f>
        <v>3.15875</v>
      </c>
      <c r="Q21" s="115" t="n">
        <f aca="false">MAX(0,Q20-P20)+Q17*Inputs!$B$14*1/12</f>
        <v>3.22</v>
      </c>
      <c r="R21" s="115" t="n">
        <f aca="false">MAX(0,R20-Q20)+R17*Inputs!$B$14*1/12</f>
        <v>3.28125</v>
      </c>
      <c r="S21" s="115" t="n">
        <f aca="false">MAX(0,S20-R20)+S17*Inputs!$B$14*1/12</f>
        <v>3.34249999999999</v>
      </c>
      <c r="T21" s="115" t="n">
        <f aca="false">MAX(0,T20-S20)+T17*Inputs!$B$14*1/12</f>
        <v>3.40375000000001</v>
      </c>
      <c r="U21" s="115" t="n">
        <f aca="false">MAX(0,U20-T20)+U17*Inputs!$B$14*1/12</f>
        <v>3.465</v>
      </c>
      <c r="V21" s="115" t="n">
        <f aca="false">MAX(0,V20-U20)+V17*Inputs!$B$14*1/12</f>
        <v>1.365</v>
      </c>
      <c r="W21" s="115" t="n">
        <f aca="false">MAX(0,W20-V20)+W17*Inputs!$B$14*1/12</f>
        <v>1.365</v>
      </c>
      <c r="X21" s="115" t="n">
        <f aca="false">MAX(0,X20-W20)+X17*Inputs!$B$14*1/12</f>
        <v>1.365</v>
      </c>
      <c r="Y21" s="115" t="n">
        <f aca="false">MAX(0,Y20-X20)+Y17*Inputs!$B$14*1/12</f>
        <v>1.365</v>
      </c>
      <c r="Z21" s="115" t="n">
        <f aca="false">MAX(0,Z20-Y20)+Z17*Inputs!$B$14*1/12</f>
        <v>1.365</v>
      </c>
      <c r="AA21" s="115" t="n">
        <f aca="false">MAX(0,AA20-Z20)+AA17*Inputs!$B$14*1/12</f>
        <v>1.365</v>
      </c>
      <c r="AB21" s="115" t="n">
        <f aca="false">MAX(0,AB20-AA20)+AB17*Inputs!$B$14*1/12</f>
        <v>1.365</v>
      </c>
      <c r="AC21" s="115" t="n">
        <f aca="false">MAX(0,AC20-AB20)+AC17*Inputs!$B$14*1/12</f>
        <v>1.365</v>
      </c>
      <c r="AD21" s="115" t="n">
        <f aca="false">MAX(0,AD20-AC20)+AD17*Inputs!$B$14*1/12</f>
        <v>1.365</v>
      </c>
      <c r="AE21" s="115" t="n">
        <f aca="false">MAX(0,AE20-AD20)+AE17*Inputs!$B$14*1/12</f>
        <v>1.365</v>
      </c>
      <c r="AF21" s="115" t="n">
        <f aca="false">MAX(0,AF20-AE20)+AF17*Inputs!$B$14*1/12</f>
        <v>1.365</v>
      </c>
      <c r="AG21" s="115" t="n">
        <f aca="false">MAX(0,AG20-AF20)+AG17*Inputs!$B$14*1/12</f>
        <v>1.365</v>
      </c>
      <c r="AH21" s="115" t="n">
        <f aca="false">MAX(0,AH20-AG20)+AH17*Inputs!$B$14*1/12</f>
        <v>1.365</v>
      </c>
      <c r="AI21" s="115" t="n">
        <f aca="false">MAX(0,AI20-AH20)+AI17*Inputs!$B$14*1/12</f>
        <v>1.365</v>
      </c>
      <c r="AJ21" s="115" t="n">
        <f aca="false">MAX(0,AJ20-AI20)+AJ17*Inputs!$B$14*1/12</f>
        <v>1.365</v>
      </c>
      <c r="AK21" s="115" t="n">
        <f aca="false">MAX(0,AK20-AJ20)+AK17*Inputs!$B$14*1/12</f>
        <v>1.365</v>
      </c>
      <c r="AL21" s="115" t="n">
        <f aca="false">MAX(0,AL20-AK20)+AL17*Inputs!$B$14*1/12</f>
        <v>1.365</v>
      </c>
      <c r="AM21" s="115" t="n">
        <f aca="false">MAX(0,AM20-AL20)+AM17*Inputs!$B$14*1/12</f>
        <v>1.365</v>
      </c>
      <c r="AN21" s="115" t="n">
        <f aca="false">MAX(0,AN20-AM20)+AN17*Inputs!$B$14*1/12</f>
        <v>1.365</v>
      </c>
      <c r="AO21" s="115" t="n">
        <f aca="false">MAX(0,AO20-AN20)+AO17*Inputs!$B$14*1/12</f>
        <v>1.365</v>
      </c>
      <c r="AP21" s="115" t="n">
        <f aca="false">MAX(0,AP20-AO20)+AP17*Inputs!$B$14*1/12</f>
        <v>1.365</v>
      </c>
      <c r="AQ21" s="115" t="n">
        <f aca="false">MAX(0,AQ20-AP20)+AQ17*Inputs!$B$14*1/12</f>
        <v>1.365</v>
      </c>
      <c r="AR21" s="115" t="n">
        <f aca="false">MAX(0,AR20-AQ20)+AR17*Inputs!$B$14*1/12</f>
        <v>1.365</v>
      </c>
      <c r="AS21" s="115" t="n">
        <f aca="false">MAX(0,AS20-AR20)+AS17*Inputs!$B$14*1/12</f>
        <v>1.365</v>
      </c>
      <c r="AT21" s="115" t="n">
        <f aca="false">MAX(0,AT20-AS20)+AT17*Inputs!$B$14*1/12</f>
        <v>1.365</v>
      </c>
      <c r="AU21" s="115" t="n">
        <f aca="false">MAX(0,AU20-AT20)+AU17*Inputs!$B$14*1/12</f>
        <v>1.365</v>
      </c>
      <c r="AV21" s="115" t="n">
        <f aca="false">MAX(0,AV20-AU20)+AV17*Inputs!$B$14*1/12</f>
        <v>1.365</v>
      </c>
      <c r="AW21" s="115" t="n">
        <f aca="false">MAX(0,AW20-AV20)+AW17*Inputs!$B$14*1/12</f>
        <v>1.365</v>
      </c>
      <c r="AX21" s="115" t="n">
        <f aca="false">MAX(0,AX20-AW20)+AX17*Inputs!$B$14*1/12</f>
        <v>1.365</v>
      </c>
      <c r="AY21" s="115" t="n">
        <f aca="false">MAX(0,AY20-AX20)+AY17*Inputs!$B$14*1/12</f>
        <v>1.365</v>
      </c>
      <c r="AZ21" s="115" t="n">
        <f aca="false">MAX(0,AZ20-AY20)+AZ17*Inputs!$B$14*1/12</f>
        <v>1.365</v>
      </c>
      <c r="BA21" s="115" t="n">
        <f aca="false">MAX(0,BA20-AZ20)+BA17*Inputs!$B$14*1/12</f>
        <v>1.365</v>
      </c>
      <c r="BB21" s="115" t="n">
        <f aca="false">MAX(0,BB20-BA20)+BB17*Inputs!$B$14*1/12</f>
        <v>1.365</v>
      </c>
      <c r="BC21" s="115" t="n">
        <f aca="false">MAX(0,BC20-BB20)+BC17*Inputs!$B$14*1/12</f>
        <v>1.365</v>
      </c>
      <c r="BD21" s="115" t="n">
        <f aca="false">MAX(0,BD20-BC20)+BD17*Inputs!$B$14*1/12</f>
        <v>1.365</v>
      </c>
      <c r="BE21" s="115" t="n">
        <f aca="false">MAX(0,BE20-BD20)+BE17*Inputs!$B$14*1/12</f>
        <v>1.365</v>
      </c>
      <c r="BF21" s="115" t="n">
        <f aca="false">MAX(0,BF20-BE20)+BF17*Inputs!$B$14*1/12</f>
        <v>1.365</v>
      </c>
      <c r="BG21" s="115" t="n">
        <f aca="false">MAX(0,BG20-BF20)+BG17*Inputs!$B$14*1/12</f>
        <v>1.365</v>
      </c>
      <c r="BH21" s="115" t="n">
        <f aca="false">MAX(0,BH20-BG20)+BH17*Inputs!$B$14*1/12</f>
        <v>1.365</v>
      </c>
      <c r="BI21" s="115" t="n">
        <f aca="false">MAX(0,BI20-BH20)+BI17*Inputs!$B$14*1/12</f>
        <v>1.365</v>
      </c>
      <c r="BJ21" s="115" t="n">
        <f aca="false">MAX(0,BJ20-BI20)+BJ17*Inputs!$B$14*1/12</f>
        <v>1.365</v>
      </c>
    </row>
    <row r="23" customFormat="false" ht="15.75" hidden="false" customHeight="true" outlineLevel="0" collapsed="false">
      <c r="A23" s="7" t="s">
        <v>272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6" t="s">
        <v>427</v>
      </c>
      <c r="C24" s="113" t="n">
        <f aca="false">ROUNDUP(ROUND(C15/MAX(1,Inputs!$B$26),6),0)</f>
        <v>1</v>
      </c>
      <c r="D24" s="113" t="n">
        <f aca="false">ROUNDUP(ROUND(D15/MAX(1,Inputs!$B$26),6),0)</f>
        <v>1</v>
      </c>
      <c r="E24" s="113" t="n">
        <f aca="false">ROUNDUP(ROUND(E15/MAX(1,Inputs!$B$26),6),0)</f>
        <v>1</v>
      </c>
      <c r="F24" s="113" t="n">
        <f aca="false">ROUNDUP(ROUND(F15/MAX(1,Inputs!$B$26),6),0)</f>
        <v>1</v>
      </c>
      <c r="G24" s="113" t="n">
        <f aca="false">ROUNDUP(ROUND(G15/MAX(1,Inputs!$B$26),6),0)</f>
        <v>2</v>
      </c>
      <c r="H24" s="113" t="n">
        <f aca="false">ROUNDUP(ROUND(H15/MAX(1,Inputs!$B$26),6),0)</f>
        <v>2</v>
      </c>
      <c r="I24" s="113" t="n">
        <f aca="false">ROUNDUP(ROUND(I15/MAX(1,Inputs!$B$26),6),0)</f>
        <v>2</v>
      </c>
      <c r="J24" s="113" t="n">
        <f aca="false">ROUNDUP(ROUND(J15/MAX(1,Inputs!$B$26),6),0)</f>
        <v>2</v>
      </c>
      <c r="K24" s="113" t="n">
        <f aca="false">ROUNDUP(ROUND(K15/MAX(1,Inputs!$B$26),6),0)</f>
        <v>2</v>
      </c>
      <c r="L24" s="113" t="n">
        <f aca="false">ROUNDUP(ROUND(L15/MAX(1,Inputs!$B$26),6),0)</f>
        <v>2</v>
      </c>
      <c r="M24" s="113" t="n">
        <f aca="false">ROUNDUP(ROUND(M15/MAX(1,Inputs!$B$26),6),0)</f>
        <v>2</v>
      </c>
      <c r="N24" s="113" t="n">
        <f aca="false">ROUNDUP(ROUND(N15/MAX(1,Inputs!$B$26),6),0)</f>
        <v>2</v>
      </c>
      <c r="O24" s="113" t="n">
        <f aca="false">ROUNDUP(ROUND(O15/MAX(1,Inputs!$B$26),6),0)</f>
        <v>2</v>
      </c>
      <c r="P24" s="113" t="n">
        <f aca="false">ROUNDUP(ROUND(P15/MAX(1,Inputs!$B$26),6),0)</f>
        <v>3</v>
      </c>
      <c r="Q24" s="113" t="n">
        <f aca="false">ROUNDUP(ROUND(Q15/MAX(1,Inputs!$B$26),6),0)</f>
        <v>3</v>
      </c>
      <c r="R24" s="113" t="n">
        <f aca="false">ROUNDUP(ROUND(R15/MAX(1,Inputs!$B$26),6),0)</f>
        <v>3</v>
      </c>
      <c r="S24" s="113" t="n">
        <f aca="false">ROUNDUP(ROUND(S15/MAX(1,Inputs!$B$26),6),0)</f>
        <v>3</v>
      </c>
      <c r="T24" s="113" t="n">
        <f aca="false">ROUNDUP(ROUND(T15/MAX(1,Inputs!$B$26),6),0)</f>
        <v>3</v>
      </c>
      <c r="U24" s="113" t="n">
        <f aca="false">ROUNDUP(ROUND(U15/MAX(1,Inputs!$B$26),6),0)</f>
        <v>3</v>
      </c>
      <c r="V24" s="113" t="n">
        <f aca="false">ROUNDUP(ROUND(V15/MAX(1,Inputs!$B$26),6),0)</f>
        <v>3</v>
      </c>
      <c r="W24" s="113" t="n">
        <f aca="false">ROUNDUP(ROUND(W15/MAX(1,Inputs!$B$26),6),0)</f>
        <v>3</v>
      </c>
      <c r="X24" s="113" t="n">
        <f aca="false">ROUNDUP(ROUND(X15/MAX(1,Inputs!$B$26),6),0)</f>
        <v>3</v>
      </c>
      <c r="Y24" s="113" t="n">
        <f aca="false">ROUNDUP(ROUND(Y15/MAX(1,Inputs!$B$26),6),0)</f>
        <v>3</v>
      </c>
      <c r="Z24" s="113" t="n">
        <f aca="false">ROUNDUP(ROUND(Z15/MAX(1,Inputs!$B$26),6),0)</f>
        <v>3</v>
      </c>
      <c r="AA24" s="113" t="n">
        <f aca="false">ROUNDUP(ROUND(AA15/MAX(1,Inputs!$B$26),6),0)</f>
        <v>3</v>
      </c>
      <c r="AB24" s="113" t="n">
        <f aca="false">ROUNDUP(ROUND(AB15/MAX(1,Inputs!$B$26),6),0)</f>
        <v>3</v>
      </c>
      <c r="AC24" s="113" t="n">
        <f aca="false">ROUNDUP(ROUND(AC15/MAX(1,Inputs!$B$26),6),0)</f>
        <v>3</v>
      </c>
      <c r="AD24" s="113" t="n">
        <f aca="false">ROUNDUP(ROUND(AD15/MAX(1,Inputs!$B$26),6),0)</f>
        <v>3</v>
      </c>
      <c r="AE24" s="113" t="n">
        <f aca="false">ROUNDUP(ROUND(AE15/MAX(1,Inputs!$B$26),6),0)</f>
        <v>3</v>
      </c>
      <c r="AF24" s="113" t="n">
        <f aca="false">ROUNDUP(ROUND(AF15/MAX(1,Inputs!$B$26),6),0)</f>
        <v>3</v>
      </c>
      <c r="AG24" s="113" t="n">
        <f aca="false">ROUNDUP(ROUND(AG15/MAX(1,Inputs!$B$26),6),0)</f>
        <v>3</v>
      </c>
      <c r="AH24" s="113" t="n">
        <f aca="false">ROUNDUP(ROUND(AH15/MAX(1,Inputs!$B$26),6),0)</f>
        <v>3</v>
      </c>
      <c r="AI24" s="113" t="n">
        <f aca="false">ROUNDUP(ROUND(AI15/MAX(1,Inputs!$B$26),6),0)</f>
        <v>3</v>
      </c>
      <c r="AJ24" s="113" t="n">
        <f aca="false">ROUNDUP(ROUND(AJ15/MAX(1,Inputs!$B$26),6),0)</f>
        <v>3</v>
      </c>
      <c r="AK24" s="113" t="n">
        <f aca="false">ROUNDUP(ROUND(AK15/MAX(1,Inputs!$B$26),6),0)</f>
        <v>3</v>
      </c>
      <c r="AL24" s="113" t="n">
        <f aca="false">ROUNDUP(ROUND(AL15/MAX(1,Inputs!$B$26),6),0)</f>
        <v>3</v>
      </c>
      <c r="AM24" s="113" t="n">
        <f aca="false">ROUNDUP(ROUND(AM15/MAX(1,Inputs!$B$26),6),0)</f>
        <v>3</v>
      </c>
      <c r="AN24" s="113" t="n">
        <f aca="false">ROUNDUP(ROUND(AN15/MAX(1,Inputs!$B$26),6),0)</f>
        <v>3</v>
      </c>
      <c r="AO24" s="113" t="n">
        <f aca="false">ROUNDUP(ROUND(AO15/MAX(1,Inputs!$B$26),6),0)</f>
        <v>3</v>
      </c>
      <c r="AP24" s="113" t="n">
        <f aca="false">ROUNDUP(ROUND(AP15/MAX(1,Inputs!$B$26),6),0)</f>
        <v>3</v>
      </c>
      <c r="AQ24" s="113" t="n">
        <f aca="false">ROUNDUP(ROUND(AQ15/MAX(1,Inputs!$B$26),6),0)</f>
        <v>3</v>
      </c>
      <c r="AR24" s="113" t="n">
        <f aca="false">ROUNDUP(ROUND(AR15/MAX(1,Inputs!$B$26),6),0)</f>
        <v>3</v>
      </c>
      <c r="AS24" s="113" t="n">
        <f aca="false">ROUNDUP(ROUND(AS15/MAX(1,Inputs!$B$26),6),0)</f>
        <v>3</v>
      </c>
      <c r="AT24" s="113" t="n">
        <f aca="false">ROUNDUP(ROUND(AT15/MAX(1,Inputs!$B$26),6),0)</f>
        <v>3</v>
      </c>
      <c r="AU24" s="113" t="n">
        <f aca="false">ROUNDUP(ROUND(AU15/MAX(1,Inputs!$B$26),6),0)</f>
        <v>3</v>
      </c>
      <c r="AV24" s="113" t="n">
        <f aca="false">ROUNDUP(ROUND(AV15/MAX(1,Inputs!$B$26),6),0)</f>
        <v>3</v>
      </c>
      <c r="AW24" s="113" t="n">
        <f aca="false">ROUNDUP(ROUND(AW15/MAX(1,Inputs!$B$26),6),0)</f>
        <v>3</v>
      </c>
      <c r="AX24" s="113" t="n">
        <f aca="false">ROUNDUP(ROUND(AX15/MAX(1,Inputs!$B$26),6),0)</f>
        <v>3</v>
      </c>
      <c r="AY24" s="113" t="n">
        <f aca="false">ROUNDUP(ROUND(AY15/MAX(1,Inputs!$B$26),6),0)</f>
        <v>3</v>
      </c>
      <c r="AZ24" s="113" t="n">
        <f aca="false">ROUNDUP(ROUND(AZ15/MAX(1,Inputs!$B$26),6),0)</f>
        <v>3</v>
      </c>
      <c r="BA24" s="113" t="n">
        <f aca="false">ROUNDUP(ROUND(BA15/MAX(1,Inputs!$B$26),6),0)</f>
        <v>3</v>
      </c>
      <c r="BB24" s="113" t="n">
        <f aca="false">ROUNDUP(ROUND(BB15/MAX(1,Inputs!$B$26),6),0)</f>
        <v>3</v>
      </c>
      <c r="BC24" s="113" t="n">
        <f aca="false">ROUNDUP(ROUND(BC15/MAX(1,Inputs!$B$26),6),0)</f>
        <v>3</v>
      </c>
      <c r="BD24" s="113" t="n">
        <f aca="false">ROUNDUP(ROUND(BD15/MAX(1,Inputs!$B$26),6),0)</f>
        <v>3</v>
      </c>
      <c r="BE24" s="113" t="n">
        <f aca="false">ROUNDUP(ROUND(BE15/MAX(1,Inputs!$B$26),6),0)</f>
        <v>3</v>
      </c>
      <c r="BF24" s="113" t="n">
        <f aca="false">ROUNDUP(ROUND(BF15/MAX(1,Inputs!$B$26),6),0)</f>
        <v>3</v>
      </c>
      <c r="BG24" s="113" t="n">
        <f aca="false">ROUNDUP(ROUND(BG15/MAX(1,Inputs!$B$26),6),0)</f>
        <v>3</v>
      </c>
      <c r="BH24" s="113" t="n">
        <f aca="false">ROUNDUP(ROUND(BH15/MAX(1,Inputs!$B$26),6),0)</f>
        <v>3</v>
      </c>
      <c r="BI24" s="113" t="n">
        <f aca="false">ROUNDUP(ROUND(BI15/MAX(1,Inputs!$B$26),6),0)</f>
        <v>3</v>
      </c>
      <c r="BJ24" s="113" t="n">
        <f aca="false">ROUNDUP(ROUND(BJ15/MAX(1,Inputs!$B$26),6),0)</f>
        <v>3</v>
      </c>
    </row>
    <row r="25" customFormat="false" ht="15" hidden="false" customHeight="false" outlineLevel="0" collapsed="false">
      <c r="A25" s="6" t="s">
        <v>428</v>
      </c>
      <c r="C25" s="113" t="n">
        <f aca="false">ROUNDUP(ROUND(C16/MAX(1,Inputs!$B$27),6),0)</f>
        <v>1</v>
      </c>
      <c r="D25" s="113" t="n">
        <f aca="false">ROUNDUP(ROUND(D16/MAX(1,Inputs!$B$27),6),0)</f>
        <v>1</v>
      </c>
      <c r="E25" s="113" t="n">
        <f aca="false">ROUNDUP(ROUND(E16/MAX(1,Inputs!$B$27),6),0)</f>
        <v>1</v>
      </c>
      <c r="F25" s="113" t="n">
        <f aca="false">ROUNDUP(ROUND(F16/MAX(1,Inputs!$B$27),6),0)</f>
        <v>1</v>
      </c>
      <c r="G25" s="113" t="n">
        <f aca="false">ROUNDUP(ROUND(G16/MAX(1,Inputs!$B$27),6),0)</f>
        <v>1</v>
      </c>
      <c r="H25" s="113" t="n">
        <f aca="false">ROUNDUP(ROUND(H16/MAX(1,Inputs!$B$27),6),0)</f>
        <v>2</v>
      </c>
      <c r="I25" s="113" t="n">
        <f aca="false">ROUNDUP(ROUND(I16/MAX(1,Inputs!$B$27),6),0)</f>
        <v>2</v>
      </c>
      <c r="J25" s="113" t="n">
        <f aca="false">ROUNDUP(ROUND(J16/MAX(1,Inputs!$B$27),6),0)</f>
        <v>2</v>
      </c>
      <c r="K25" s="113" t="n">
        <f aca="false">ROUNDUP(ROUND(K16/MAX(1,Inputs!$B$27),6),0)</f>
        <v>2</v>
      </c>
      <c r="L25" s="113" t="n">
        <f aca="false">ROUNDUP(ROUND(L16/MAX(1,Inputs!$B$27),6),0)</f>
        <v>2</v>
      </c>
      <c r="M25" s="113" t="n">
        <f aca="false">ROUNDUP(ROUND(M16/MAX(1,Inputs!$B$27),6),0)</f>
        <v>2</v>
      </c>
      <c r="N25" s="113" t="n">
        <f aca="false">ROUNDUP(ROUND(N16/MAX(1,Inputs!$B$27),6),0)</f>
        <v>2</v>
      </c>
      <c r="O25" s="113" t="n">
        <f aca="false">ROUNDUP(ROUND(O16/MAX(1,Inputs!$B$27),6),0)</f>
        <v>2</v>
      </c>
      <c r="P25" s="113" t="n">
        <f aca="false">ROUNDUP(ROUND(P16/MAX(1,Inputs!$B$27),6),0)</f>
        <v>2</v>
      </c>
      <c r="Q25" s="113" t="n">
        <f aca="false">ROUNDUP(ROUND(Q16/MAX(1,Inputs!$B$27),6),0)</f>
        <v>3</v>
      </c>
      <c r="R25" s="113" t="n">
        <f aca="false">ROUNDUP(ROUND(R16/MAX(1,Inputs!$B$27),6),0)</f>
        <v>3</v>
      </c>
      <c r="S25" s="113" t="n">
        <f aca="false">ROUNDUP(ROUND(S16/MAX(1,Inputs!$B$27),6),0)</f>
        <v>3</v>
      </c>
      <c r="T25" s="113" t="n">
        <f aca="false">ROUNDUP(ROUND(T16/MAX(1,Inputs!$B$27),6),0)</f>
        <v>3</v>
      </c>
      <c r="U25" s="113" t="n">
        <f aca="false">ROUNDUP(ROUND(U16/MAX(1,Inputs!$B$27),6),0)</f>
        <v>3</v>
      </c>
      <c r="V25" s="113" t="n">
        <f aca="false">ROUNDUP(ROUND(V16/MAX(1,Inputs!$B$27),6),0)</f>
        <v>3</v>
      </c>
      <c r="W25" s="113" t="n">
        <f aca="false">ROUNDUP(ROUND(W16/MAX(1,Inputs!$B$27),6),0)</f>
        <v>3</v>
      </c>
      <c r="X25" s="113" t="n">
        <f aca="false">ROUNDUP(ROUND(X16/MAX(1,Inputs!$B$27),6),0)</f>
        <v>3</v>
      </c>
      <c r="Y25" s="113" t="n">
        <f aca="false">ROUNDUP(ROUND(Y16/MAX(1,Inputs!$B$27),6),0)</f>
        <v>3</v>
      </c>
      <c r="Z25" s="113" t="n">
        <f aca="false">ROUNDUP(ROUND(Z16/MAX(1,Inputs!$B$27),6),0)</f>
        <v>3</v>
      </c>
      <c r="AA25" s="113" t="n">
        <f aca="false">ROUNDUP(ROUND(AA16/MAX(1,Inputs!$B$27),6),0)</f>
        <v>3</v>
      </c>
      <c r="AB25" s="113" t="n">
        <f aca="false">ROUNDUP(ROUND(AB16/MAX(1,Inputs!$B$27),6),0)</f>
        <v>3</v>
      </c>
      <c r="AC25" s="113" t="n">
        <f aca="false">ROUNDUP(ROUND(AC16/MAX(1,Inputs!$B$27),6),0)</f>
        <v>3</v>
      </c>
      <c r="AD25" s="113" t="n">
        <f aca="false">ROUNDUP(ROUND(AD16/MAX(1,Inputs!$B$27),6),0)</f>
        <v>3</v>
      </c>
      <c r="AE25" s="113" t="n">
        <f aca="false">ROUNDUP(ROUND(AE16/MAX(1,Inputs!$B$27),6),0)</f>
        <v>3</v>
      </c>
      <c r="AF25" s="113" t="n">
        <f aca="false">ROUNDUP(ROUND(AF16/MAX(1,Inputs!$B$27),6),0)</f>
        <v>3</v>
      </c>
      <c r="AG25" s="113" t="n">
        <f aca="false">ROUNDUP(ROUND(AG16/MAX(1,Inputs!$B$27),6),0)</f>
        <v>3</v>
      </c>
      <c r="AH25" s="113" t="n">
        <f aca="false">ROUNDUP(ROUND(AH16/MAX(1,Inputs!$B$27),6),0)</f>
        <v>3</v>
      </c>
      <c r="AI25" s="113" t="n">
        <f aca="false">ROUNDUP(ROUND(AI16/MAX(1,Inputs!$B$27),6),0)</f>
        <v>3</v>
      </c>
      <c r="AJ25" s="113" t="n">
        <f aca="false">ROUNDUP(ROUND(AJ16/MAX(1,Inputs!$B$27),6),0)</f>
        <v>3</v>
      </c>
      <c r="AK25" s="113" t="n">
        <f aca="false">ROUNDUP(ROUND(AK16/MAX(1,Inputs!$B$27),6),0)</f>
        <v>3</v>
      </c>
      <c r="AL25" s="113" t="n">
        <f aca="false">ROUNDUP(ROUND(AL16/MAX(1,Inputs!$B$27),6),0)</f>
        <v>3</v>
      </c>
      <c r="AM25" s="113" t="n">
        <f aca="false">ROUNDUP(ROUND(AM16/MAX(1,Inputs!$B$27),6),0)</f>
        <v>3</v>
      </c>
      <c r="AN25" s="113" t="n">
        <f aca="false">ROUNDUP(ROUND(AN16/MAX(1,Inputs!$B$27),6),0)</f>
        <v>3</v>
      </c>
      <c r="AO25" s="113" t="n">
        <f aca="false">ROUNDUP(ROUND(AO16/MAX(1,Inputs!$B$27),6),0)</f>
        <v>3</v>
      </c>
      <c r="AP25" s="113" t="n">
        <f aca="false">ROUNDUP(ROUND(AP16/MAX(1,Inputs!$B$27),6),0)</f>
        <v>3</v>
      </c>
      <c r="AQ25" s="113" t="n">
        <f aca="false">ROUNDUP(ROUND(AQ16/MAX(1,Inputs!$B$27),6),0)</f>
        <v>3</v>
      </c>
      <c r="AR25" s="113" t="n">
        <f aca="false">ROUNDUP(ROUND(AR16/MAX(1,Inputs!$B$27),6),0)</f>
        <v>3</v>
      </c>
      <c r="AS25" s="113" t="n">
        <f aca="false">ROUNDUP(ROUND(AS16/MAX(1,Inputs!$B$27),6),0)</f>
        <v>3</v>
      </c>
      <c r="AT25" s="113" t="n">
        <f aca="false">ROUNDUP(ROUND(AT16/MAX(1,Inputs!$B$27),6),0)</f>
        <v>3</v>
      </c>
      <c r="AU25" s="113" t="n">
        <f aca="false">ROUNDUP(ROUND(AU16/MAX(1,Inputs!$B$27),6),0)</f>
        <v>3</v>
      </c>
      <c r="AV25" s="113" t="n">
        <f aca="false">ROUNDUP(ROUND(AV16/MAX(1,Inputs!$B$27),6),0)</f>
        <v>3</v>
      </c>
      <c r="AW25" s="113" t="n">
        <f aca="false">ROUNDUP(ROUND(AW16/MAX(1,Inputs!$B$27),6),0)</f>
        <v>3</v>
      </c>
      <c r="AX25" s="113" t="n">
        <f aca="false">ROUNDUP(ROUND(AX16/MAX(1,Inputs!$B$27),6),0)</f>
        <v>3</v>
      </c>
      <c r="AY25" s="113" t="n">
        <f aca="false">ROUNDUP(ROUND(AY16/MAX(1,Inputs!$B$27),6),0)</f>
        <v>3</v>
      </c>
      <c r="AZ25" s="113" t="n">
        <f aca="false">ROUNDUP(ROUND(AZ16/MAX(1,Inputs!$B$27),6),0)</f>
        <v>3</v>
      </c>
      <c r="BA25" s="113" t="n">
        <f aca="false">ROUNDUP(ROUND(BA16/MAX(1,Inputs!$B$27),6),0)</f>
        <v>3</v>
      </c>
      <c r="BB25" s="113" t="n">
        <f aca="false">ROUNDUP(ROUND(BB16/MAX(1,Inputs!$B$27),6),0)</f>
        <v>3</v>
      </c>
      <c r="BC25" s="113" t="n">
        <f aca="false">ROUNDUP(ROUND(BC16/MAX(1,Inputs!$B$27),6),0)</f>
        <v>3</v>
      </c>
      <c r="BD25" s="113" t="n">
        <f aca="false">ROUNDUP(ROUND(BD16/MAX(1,Inputs!$B$27),6),0)</f>
        <v>3</v>
      </c>
      <c r="BE25" s="113" t="n">
        <f aca="false">ROUNDUP(ROUND(BE16/MAX(1,Inputs!$B$27),6),0)</f>
        <v>3</v>
      </c>
      <c r="BF25" s="113" t="n">
        <f aca="false">ROUNDUP(ROUND(BF16/MAX(1,Inputs!$B$27),6),0)</f>
        <v>3</v>
      </c>
      <c r="BG25" s="113" t="n">
        <f aca="false">ROUNDUP(ROUND(BG16/MAX(1,Inputs!$B$27),6),0)</f>
        <v>3</v>
      </c>
      <c r="BH25" s="113" t="n">
        <f aca="false">ROUNDUP(ROUND(BH16/MAX(1,Inputs!$B$27),6),0)</f>
        <v>3</v>
      </c>
      <c r="BI25" s="113" t="n">
        <f aca="false">ROUNDUP(ROUND(BI16/MAX(1,Inputs!$B$27),6),0)</f>
        <v>3</v>
      </c>
      <c r="BJ25" s="113" t="n">
        <f aca="false">ROUNDUP(ROUND(BJ16/MAX(1,Inputs!$B$27),6),0)</f>
        <v>3</v>
      </c>
    </row>
    <row r="26" customFormat="false" ht="15" hidden="false" customHeight="false" outlineLevel="0" collapsed="false">
      <c r="A26" s="4" t="s">
        <v>429</v>
      </c>
      <c r="C26" s="117" t="n">
        <f aca="false">C24+C25</f>
        <v>2</v>
      </c>
      <c r="D26" s="117" t="n">
        <f aca="false">D24+D25</f>
        <v>2</v>
      </c>
      <c r="E26" s="117" t="n">
        <f aca="false">E24+E25</f>
        <v>2</v>
      </c>
      <c r="F26" s="117" t="n">
        <f aca="false">F24+F25</f>
        <v>2</v>
      </c>
      <c r="G26" s="117" t="n">
        <f aca="false">G24+G25</f>
        <v>3</v>
      </c>
      <c r="H26" s="117" t="n">
        <f aca="false">H24+H25</f>
        <v>4</v>
      </c>
      <c r="I26" s="117" t="n">
        <f aca="false">I24+I25</f>
        <v>4</v>
      </c>
      <c r="J26" s="117" t="n">
        <f aca="false">J24+J25</f>
        <v>4</v>
      </c>
      <c r="K26" s="117" t="n">
        <f aca="false">K24+K25</f>
        <v>4</v>
      </c>
      <c r="L26" s="117" t="n">
        <f aca="false">L24+L25</f>
        <v>4</v>
      </c>
      <c r="M26" s="117" t="n">
        <f aca="false">M24+M25</f>
        <v>4</v>
      </c>
      <c r="N26" s="117" t="n">
        <f aca="false">N24+N25</f>
        <v>4</v>
      </c>
      <c r="O26" s="117" t="n">
        <f aca="false">O24+O25</f>
        <v>4</v>
      </c>
      <c r="P26" s="117" t="n">
        <f aca="false">P24+P25</f>
        <v>5</v>
      </c>
      <c r="Q26" s="117" t="n">
        <f aca="false">Q24+Q25</f>
        <v>6</v>
      </c>
      <c r="R26" s="117" t="n">
        <f aca="false">R24+R25</f>
        <v>6</v>
      </c>
      <c r="S26" s="117" t="n">
        <f aca="false">S24+S25</f>
        <v>6</v>
      </c>
      <c r="T26" s="117" t="n">
        <f aca="false">T24+T25</f>
        <v>6</v>
      </c>
      <c r="U26" s="117" t="n">
        <f aca="false">U24+U25</f>
        <v>6</v>
      </c>
      <c r="V26" s="117" t="n">
        <f aca="false">V24+V25</f>
        <v>6</v>
      </c>
      <c r="W26" s="117" t="n">
        <f aca="false">W24+W25</f>
        <v>6</v>
      </c>
      <c r="X26" s="117" t="n">
        <f aca="false">X24+X25</f>
        <v>6</v>
      </c>
      <c r="Y26" s="117" t="n">
        <f aca="false">Y24+Y25</f>
        <v>6</v>
      </c>
      <c r="Z26" s="117" t="n">
        <f aca="false">Z24+Z25</f>
        <v>6</v>
      </c>
      <c r="AA26" s="117" t="n">
        <f aca="false">AA24+AA25</f>
        <v>6</v>
      </c>
      <c r="AB26" s="117" t="n">
        <f aca="false">AB24+AB25</f>
        <v>6</v>
      </c>
      <c r="AC26" s="117" t="n">
        <f aca="false">AC24+AC25</f>
        <v>6</v>
      </c>
      <c r="AD26" s="117" t="n">
        <f aca="false">AD24+AD25</f>
        <v>6</v>
      </c>
      <c r="AE26" s="117" t="n">
        <f aca="false">AE24+AE25</f>
        <v>6</v>
      </c>
      <c r="AF26" s="117" t="n">
        <f aca="false">AF24+AF25</f>
        <v>6</v>
      </c>
      <c r="AG26" s="117" t="n">
        <f aca="false">AG24+AG25</f>
        <v>6</v>
      </c>
      <c r="AH26" s="117" t="n">
        <f aca="false">AH24+AH25</f>
        <v>6</v>
      </c>
      <c r="AI26" s="117" t="n">
        <f aca="false">AI24+AI25</f>
        <v>6</v>
      </c>
      <c r="AJ26" s="117" t="n">
        <f aca="false">AJ24+AJ25</f>
        <v>6</v>
      </c>
      <c r="AK26" s="117" t="n">
        <f aca="false">AK24+AK25</f>
        <v>6</v>
      </c>
      <c r="AL26" s="117" t="n">
        <f aca="false">AL24+AL25</f>
        <v>6</v>
      </c>
      <c r="AM26" s="117" t="n">
        <f aca="false">AM24+AM25</f>
        <v>6</v>
      </c>
      <c r="AN26" s="117" t="n">
        <f aca="false">AN24+AN25</f>
        <v>6</v>
      </c>
      <c r="AO26" s="117" t="n">
        <f aca="false">AO24+AO25</f>
        <v>6</v>
      </c>
      <c r="AP26" s="117" t="n">
        <f aca="false">AP24+AP25</f>
        <v>6</v>
      </c>
      <c r="AQ26" s="117" t="n">
        <f aca="false">AQ24+AQ25</f>
        <v>6</v>
      </c>
      <c r="AR26" s="117" t="n">
        <f aca="false">AR24+AR25</f>
        <v>6</v>
      </c>
      <c r="AS26" s="117" t="n">
        <f aca="false">AS24+AS25</f>
        <v>6</v>
      </c>
      <c r="AT26" s="117" t="n">
        <f aca="false">AT24+AT25</f>
        <v>6</v>
      </c>
      <c r="AU26" s="117" t="n">
        <f aca="false">AU24+AU25</f>
        <v>6</v>
      </c>
      <c r="AV26" s="117" t="n">
        <f aca="false">AV24+AV25</f>
        <v>6</v>
      </c>
      <c r="AW26" s="117" t="n">
        <f aca="false">AW24+AW25</f>
        <v>6</v>
      </c>
      <c r="AX26" s="117" t="n">
        <f aca="false">AX24+AX25</f>
        <v>6</v>
      </c>
      <c r="AY26" s="117" t="n">
        <f aca="false">AY24+AY25</f>
        <v>6</v>
      </c>
      <c r="AZ26" s="117" t="n">
        <f aca="false">AZ24+AZ25</f>
        <v>6</v>
      </c>
      <c r="BA26" s="117" t="n">
        <f aca="false">BA24+BA25</f>
        <v>6</v>
      </c>
      <c r="BB26" s="117" t="n">
        <f aca="false">BB24+BB25</f>
        <v>6</v>
      </c>
      <c r="BC26" s="117" t="n">
        <f aca="false">BC24+BC25</f>
        <v>6</v>
      </c>
      <c r="BD26" s="117" t="n">
        <f aca="false">BD24+BD25</f>
        <v>6</v>
      </c>
      <c r="BE26" s="117" t="n">
        <f aca="false">BE24+BE25</f>
        <v>6</v>
      </c>
      <c r="BF26" s="117" t="n">
        <f aca="false">BF24+BF25</f>
        <v>6</v>
      </c>
      <c r="BG26" s="117" t="n">
        <f aca="false">BG24+BG25</f>
        <v>6</v>
      </c>
      <c r="BH26" s="117" t="n">
        <f aca="false">BH24+BH25</f>
        <v>6</v>
      </c>
      <c r="BI26" s="117" t="n">
        <f aca="false">BI24+BI25</f>
        <v>6</v>
      </c>
      <c r="BJ26" s="117" t="n">
        <f aca="false">BJ24+BJ25</f>
        <v>6</v>
      </c>
    </row>
    <row r="27" customFormat="false" ht="15" hidden="false" customHeight="false" outlineLevel="0" collapsed="false">
      <c r="A27" s="6" t="s">
        <v>430</v>
      </c>
      <c r="C27" s="115" t="n">
        <f aca="false">C26*Inputs!$B$28</f>
        <v>2.5</v>
      </c>
      <c r="D27" s="115" t="n">
        <f aca="false">D26*Inputs!$B$28</f>
        <v>2.5</v>
      </c>
      <c r="E27" s="115" t="n">
        <f aca="false">E26*Inputs!$B$28</f>
        <v>2.5</v>
      </c>
      <c r="F27" s="115" t="n">
        <f aca="false">F26*Inputs!$B$28</f>
        <v>2.5</v>
      </c>
      <c r="G27" s="115" t="n">
        <f aca="false">G26*Inputs!$B$28</f>
        <v>3.75</v>
      </c>
      <c r="H27" s="115" t="n">
        <f aca="false">H26*Inputs!$B$28</f>
        <v>5</v>
      </c>
      <c r="I27" s="115" t="n">
        <f aca="false">I26*Inputs!$B$28</f>
        <v>5</v>
      </c>
      <c r="J27" s="115" t="n">
        <f aca="false">J26*Inputs!$B$28</f>
        <v>5</v>
      </c>
      <c r="K27" s="115" t="n">
        <f aca="false">K26*Inputs!$B$28</f>
        <v>5</v>
      </c>
      <c r="L27" s="115" t="n">
        <f aca="false">L26*Inputs!$B$28</f>
        <v>5</v>
      </c>
      <c r="M27" s="115" t="n">
        <f aca="false">M26*Inputs!$B$28</f>
        <v>5</v>
      </c>
      <c r="N27" s="115" t="n">
        <f aca="false">N26*Inputs!$B$28</f>
        <v>5</v>
      </c>
      <c r="O27" s="115" t="n">
        <f aca="false">O26*Inputs!$B$28</f>
        <v>5</v>
      </c>
      <c r="P27" s="115" t="n">
        <f aca="false">P26*Inputs!$B$28</f>
        <v>6.25</v>
      </c>
      <c r="Q27" s="115" t="n">
        <f aca="false">Q26*Inputs!$B$28</f>
        <v>7.5</v>
      </c>
      <c r="R27" s="115" t="n">
        <f aca="false">R26*Inputs!$B$28</f>
        <v>7.5</v>
      </c>
      <c r="S27" s="115" t="n">
        <f aca="false">S26*Inputs!$B$28</f>
        <v>7.5</v>
      </c>
      <c r="T27" s="115" t="n">
        <f aca="false">T26*Inputs!$B$28</f>
        <v>7.5</v>
      </c>
      <c r="U27" s="115" t="n">
        <f aca="false">U26*Inputs!$B$28</f>
        <v>7.5</v>
      </c>
      <c r="V27" s="115" t="n">
        <f aca="false">V26*Inputs!$B$28</f>
        <v>7.5</v>
      </c>
      <c r="W27" s="115" t="n">
        <f aca="false">W26*Inputs!$B$28</f>
        <v>7.5</v>
      </c>
      <c r="X27" s="115" t="n">
        <f aca="false">X26*Inputs!$B$28</f>
        <v>7.5</v>
      </c>
      <c r="Y27" s="115" t="n">
        <f aca="false">Y26*Inputs!$B$28</f>
        <v>7.5</v>
      </c>
      <c r="Z27" s="115" t="n">
        <f aca="false">Z26*Inputs!$B$28</f>
        <v>7.5</v>
      </c>
      <c r="AA27" s="115" t="n">
        <f aca="false">AA26*Inputs!$B$28</f>
        <v>7.5</v>
      </c>
      <c r="AB27" s="115" t="n">
        <f aca="false">AB26*Inputs!$B$28</f>
        <v>7.5</v>
      </c>
      <c r="AC27" s="115" t="n">
        <f aca="false">AC26*Inputs!$B$28</f>
        <v>7.5</v>
      </c>
      <c r="AD27" s="115" t="n">
        <f aca="false">AD26*Inputs!$B$28</f>
        <v>7.5</v>
      </c>
      <c r="AE27" s="115" t="n">
        <f aca="false">AE26*Inputs!$B$28</f>
        <v>7.5</v>
      </c>
      <c r="AF27" s="115" t="n">
        <f aca="false">AF26*Inputs!$B$28</f>
        <v>7.5</v>
      </c>
      <c r="AG27" s="115" t="n">
        <f aca="false">AG26*Inputs!$B$28</f>
        <v>7.5</v>
      </c>
      <c r="AH27" s="115" t="n">
        <f aca="false">AH26*Inputs!$B$28</f>
        <v>7.5</v>
      </c>
      <c r="AI27" s="115" t="n">
        <f aca="false">AI26*Inputs!$B$28</f>
        <v>7.5</v>
      </c>
      <c r="AJ27" s="115" t="n">
        <f aca="false">AJ26*Inputs!$B$28</f>
        <v>7.5</v>
      </c>
      <c r="AK27" s="115" t="n">
        <f aca="false">AK26*Inputs!$B$28</f>
        <v>7.5</v>
      </c>
      <c r="AL27" s="115" t="n">
        <f aca="false">AL26*Inputs!$B$28</f>
        <v>7.5</v>
      </c>
      <c r="AM27" s="115" t="n">
        <f aca="false">AM26*Inputs!$B$28</f>
        <v>7.5</v>
      </c>
      <c r="AN27" s="115" t="n">
        <f aca="false">AN26*Inputs!$B$28</f>
        <v>7.5</v>
      </c>
      <c r="AO27" s="115" t="n">
        <f aca="false">AO26*Inputs!$B$28</f>
        <v>7.5</v>
      </c>
      <c r="AP27" s="115" t="n">
        <f aca="false">AP26*Inputs!$B$28</f>
        <v>7.5</v>
      </c>
      <c r="AQ27" s="115" t="n">
        <f aca="false">AQ26*Inputs!$B$28</f>
        <v>7.5</v>
      </c>
      <c r="AR27" s="115" t="n">
        <f aca="false">AR26*Inputs!$B$28</f>
        <v>7.5</v>
      </c>
      <c r="AS27" s="115" t="n">
        <f aca="false">AS26*Inputs!$B$28</f>
        <v>7.5</v>
      </c>
      <c r="AT27" s="115" t="n">
        <f aca="false">AT26*Inputs!$B$28</f>
        <v>7.5</v>
      </c>
      <c r="AU27" s="115" t="n">
        <f aca="false">AU26*Inputs!$B$28</f>
        <v>7.5</v>
      </c>
      <c r="AV27" s="115" t="n">
        <f aca="false">AV26*Inputs!$B$28</f>
        <v>7.5</v>
      </c>
      <c r="AW27" s="115" t="n">
        <f aca="false">AW26*Inputs!$B$28</f>
        <v>7.5</v>
      </c>
      <c r="AX27" s="115" t="n">
        <f aca="false">AX26*Inputs!$B$28</f>
        <v>7.5</v>
      </c>
      <c r="AY27" s="115" t="n">
        <f aca="false">AY26*Inputs!$B$28</f>
        <v>7.5</v>
      </c>
      <c r="AZ27" s="115" t="n">
        <f aca="false">AZ26*Inputs!$B$28</f>
        <v>7.5</v>
      </c>
      <c r="BA27" s="115" t="n">
        <f aca="false">BA26*Inputs!$B$28</f>
        <v>7.5</v>
      </c>
      <c r="BB27" s="115" t="n">
        <f aca="false">BB26*Inputs!$B$28</f>
        <v>7.5</v>
      </c>
      <c r="BC27" s="115" t="n">
        <f aca="false">BC26*Inputs!$B$28</f>
        <v>7.5</v>
      </c>
      <c r="BD27" s="115" t="n">
        <f aca="false">BD26*Inputs!$B$28</f>
        <v>7.5</v>
      </c>
      <c r="BE27" s="115" t="n">
        <f aca="false">BE26*Inputs!$B$28</f>
        <v>7.5</v>
      </c>
      <c r="BF27" s="115" t="n">
        <f aca="false">BF26*Inputs!$B$28</f>
        <v>7.5</v>
      </c>
      <c r="BG27" s="115" t="n">
        <f aca="false">BG26*Inputs!$B$28</f>
        <v>7.5</v>
      </c>
      <c r="BH27" s="115" t="n">
        <f aca="false">BH26*Inputs!$B$28</f>
        <v>7.5</v>
      </c>
      <c r="BI27" s="115" t="n">
        <f aca="false">BI26*Inputs!$B$28</f>
        <v>7.5</v>
      </c>
      <c r="BJ27" s="115" t="n">
        <f aca="false">BJ26*Inputs!$B$28</f>
        <v>7.5</v>
      </c>
    </row>
    <row r="29" customFormat="false" ht="15.75" hidden="false" customHeight="true" outlineLevel="0" collapsed="false">
      <c r="A29" s="7" t="s">
        <v>44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false" outlineLevel="0" collapsed="false">
      <c r="A30" s="6" t="s">
        <v>431</v>
      </c>
      <c r="C30" s="66" t="n">
        <f aca="false">(C15*Inputs!$B$17+C16*Inputs!$B$18)*1*(1+Inputs!$B$19)^(C$7-1)</f>
        <v>10588.5</v>
      </c>
      <c r="D30" s="66" t="n">
        <f aca="false">(D15*Inputs!$B$17+D16*Inputs!$B$18)*1*(1+Inputs!$B$19)^(D$7-1)</f>
        <v>13059.15</v>
      </c>
      <c r="E30" s="66" t="n">
        <f aca="false">(E15*Inputs!$B$17+E16*Inputs!$B$18)*1*(1+Inputs!$B$19)^(E$7-1)</f>
        <v>15529.8</v>
      </c>
      <c r="F30" s="66" t="n">
        <f aca="false">(F15*Inputs!$B$17+F16*Inputs!$B$18)*1*(1+Inputs!$B$19)^(F$7-1)</f>
        <v>18000.45</v>
      </c>
      <c r="G30" s="66" t="n">
        <f aca="false">(G15*Inputs!$B$17+G16*Inputs!$B$18)*1*(1+Inputs!$B$19)^(G$7-1)</f>
        <v>20471.1</v>
      </c>
      <c r="H30" s="66" t="n">
        <f aca="false">(H15*Inputs!$B$17+H16*Inputs!$B$18)*1*(1+Inputs!$B$19)^(H$7-1)</f>
        <v>22941.75</v>
      </c>
      <c r="I30" s="66" t="n">
        <f aca="false">(I15*Inputs!$B$17+I16*Inputs!$B$18)*1*(1+Inputs!$B$19)^(I$7-1)</f>
        <v>25412.4</v>
      </c>
      <c r="J30" s="66" t="n">
        <f aca="false">(J15*Inputs!$B$17+J16*Inputs!$B$18)*1*(1+Inputs!$B$19)^(J$7-1)</f>
        <v>27883.05</v>
      </c>
      <c r="K30" s="66" t="n">
        <f aca="false">(K15*Inputs!$B$17+K16*Inputs!$B$18)*1*(1+Inputs!$B$19)^(K$7-1)</f>
        <v>30353.7</v>
      </c>
      <c r="L30" s="66" t="n">
        <f aca="false">(L15*Inputs!$B$17+L16*Inputs!$B$18)*1*(1+Inputs!$B$19)^(L$7-1)</f>
        <v>32824.35</v>
      </c>
      <c r="M30" s="66" t="n">
        <f aca="false">(M15*Inputs!$B$17+M16*Inputs!$B$18)*1*(1+Inputs!$B$19)^(M$7-1)</f>
        <v>35295</v>
      </c>
      <c r="N30" s="66" t="n">
        <f aca="false">(N15*Inputs!$B$17+N16*Inputs!$B$18)*1*(1+Inputs!$B$19)^(N$7-1)</f>
        <v>37765.65</v>
      </c>
      <c r="O30" s="66" t="n">
        <f aca="false">(O15*Inputs!$B$17+O16*Inputs!$B$18)*1*(1+Inputs!$B$19)^(O$7-1)</f>
        <v>41242.2075</v>
      </c>
      <c r="P30" s="66" t="n">
        <f aca="false">(P15*Inputs!$B$17+P16*Inputs!$B$18)*1*(1+Inputs!$B$19)^(P$7-1)</f>
        <v>43774.62375</v>
      </c>
      <c r="Q30" s="66" t="n">
        <f aca="false">(Q15*Inputs!$B$17+Q16*Inputs!$B$18)*1*(1+Inputs!$B$19)^(Q$7-1)</f>
        <v>46307.04</v>
      </c>
      <c r="R30" s="66" t="n">
        <f aca="false">(R15*Inputs!$B$17+R16*Inputs!$B$18)*1*(1+Inputs!$B$19)^(R$7-1)</f>
        <v>48839.45625</v>
      </c>
      <c r="S30" s="66" t="n">
        <f aca="false">(S15*Inputs!$B$17+S16*Inputs!$B$18)*1*(1+Inputs!$B$19)^(S$7-1)</f>
        <v>51371.8725</v>
      </c>
      <c r="T30" s="66" t="n">
        <f aca="false">(T15*Inputs!$B$17+T16*Inputs!$B$18)*1*(1+Inputs!$B$19)^(T$7-1)</f>
        <v>53904.28875</v>
      </c>
      <c r="U30" s="66" t="n">
        <f aca="false">(U15*Inputs!$B$17+U16*Inputs!$B$18)*1*(1+Inputs!$B$19)^(U$7-1)</f>
        <v>56436.705</v>
      </c>
      <c r="V30" s="66" t="n">
        <f aca="false">(V15*Inputs!$B$17+V16*Inputs!$B$18)*1*(1+Inputs!$B$19)^(V$7-1)</f>
        <v>56436.705</v>
      </c>
      <c r="W30" s="66" t="n">
        <f aca="false">(W15*Inputs!$B$17+W16*Inputs!$B$18)*1*(1+Inputs!$B$19)^(W$7-1)</f>
        <v>56436.705</v>
      </c>
      <c r="X30" s="66" t="n">
        <f aca="false">(X15*Inputs!$B$17+X16*Inputs!$B$18)*1*(1+Inputs!$B$19)^(X$7-1)</f>
        <v>56436.705</v>
      </c>
      <c r="Y30" s="66" t="n">
        <f aca="false">(Y15*Inputs!$B$17+Y16*Inputs!$B$18)*1*(1+Inputs!$B$19)^(Y$7-1)</f>
        <v>56436.705</v>
      </c>
      <c r="Z30" s="66" t="n">
        <f aca="false">(Z15*Inputs!$B$17+Z16*Inputs!$B$18)*1*(1+Inputs!$B$19)^(Z$7-1)</f>
        <v>56436.705</v>
      </c>
      <c r="AA30" s="66" t="n">
        <f aca="false">(AA15*Inputs!$B$17+AA16*Inputs!$B$18)*1*(1+Inputs!$B$19)^(AA$7-1)</f>
        <v>57847.622625</v>
      </c>
      <c r="AB30" s="66" t="n">
        <f aca="false">(AB15*Inputs!$B$17+AB16*Inputs!$B$18)*1*(1+Inputs!$B$19)^(AB$7-1)</f>
        <v>57847.622625</v>
      </c>
      <c r="AC30" s="66" t="n">
        <f aca="false">(AC15*Inputs!$B$17+AC16*Inputs!$B$18)*1*(1+Inputs!$B$19)^(AC$7-1)</f>
        <v>57847.622625</v>
      </c>
      <c r="AD30" s="66" t="n">
        <f aca="false">(AD15*Inputs!$B$17+AD16*Inputs!$B$18)*1*(1+Inputs!$B$19)^(AD$7-1)</f>
        <v>57847.622625</v>
      </c>
      <c r="AE30" s="66" t="n">
        <f aca="false">(AE15*Inputs!$B$17+AE16*Inputs!$B$18)*1*(1+Inputs!$B$19)^(AE$7-1)</f>
        <v>57847.622625</v>
      </c>
      <c r="AF30" s="66" t="n">
        <f aca="false">(AF15*Inputs!$B$17+AF16*Inputs!$B$18)*1*(1+Inputs!$B$19)^(AF$7-1)</f>
        <v>57847.622625</v>
      </c>
      <c r="AG30" s="66" t="n">
        <f aca="false">(AG15*Inputs!$B$17+AG16*Inputs!$B$18)*1*(1+Inputs!$B$19)^(AG$7-1)</f>
        <v>57847.622625</v>
      </c>
      <c r="AH30" s="66" t="n">
        <f aca="false">(AH15*Inputs!$B$17+AH16*Inputs!$B$18)*1*(1+Inputs!$B$19)^(AH$7-1)</f>
        <v>57847.622625</v>
      </c>
      <c r="AI30" s="66" t="n">
        <f aca="false">(AI15*Inputs!$B$17+AI16*Inputs!$B$18)*1*(1+Inputs!$B$19)^(AI$7-1)</f>
        <v>57847.622625</v>
      </c>
      <c r="AJ30" s="66" t="n">
        <f aca="false">(AJ15*Inputs!$B$17+AJ16*Inputs!$B$18)*1*(1+Inputs!$B$19)^(AJ$7-1)</f>
        <v>57847.622625</v>
      </c>
      <c r="AK30" s="66" t="n">
        <f aca="false">(AK15*Inputs!$B$17+AK16*Inputs!$B$18)*1*(1+Inputs!$B$19)^(AK$7-1)</f>
        <v>57847.622625</v>
      </c>
      <c r="AL30" s="66" t="n">
        <f aca="false">(AL15*Inputs!$B$17+AL16*Inputs!$B$18)*1*(1+Inputs!$B$19)^(AL$7-1)</f>
        <v>57847.622625</v>
      </c>
      <c r="AM30" s="66" t="n">
        <f aca="false">(AM15*Inputs!$B$17+AM16*Inputs!$B$18)*1*(1+Inputs!$B$19)^(AM$7-1)</f>
        <v>59293.813190625</v>
      </c>
      <c r="AN30" s="66" t="n">
        <f aca="false">(AN15*Inputs!$B$17+AN16*Inputs!$B$18)*1*(1+Inputs!$B$19)^(AN$7-1)</f>
        <v>59293.813190625</v>
      </c>
      <c r="AO30" s="66" t="n">
        <f aca="false">(AO15*Inputs!$B$17+AO16*Inputs!$B$18)*1*(1+Inputs!$B$19)^(AO$7-1)</f>
        <v>59293.813190625</v>
      </c>
      <c r="AP30" s="66" t="n">
        <f aca="false">(AP15*Inputs!$B$17+AP16*Inputs!$B$18)*1*(1+Inputs!$B$19)^(AP$7-1)</f>
        <v>59293.813190625</v>
      </c>
      <c r="AQ30" s="66" t="n">
        <f aca="false">(AQ15*Inputs!$B$17+AQ16*Inputs!$B$18)*1*(1+Inputs!$B$19)^(AQ$7-1)</f>
        <v>59293.813190625</v>
      </c>
      <c r="AR30" s="66" t="n">
        <f aca="false">(AR15*Inputs!$B$17+AR16*Inputs!$B$18)*1*(1+Inputs!$B$19)^(AR$7-1)</f>
        <v>59293.813190625</v>
      </c>
      <c r="AS30" s="66" t="n">
        <f aca="false">(AS15*Inputs!$B$17+AS16*Inputs!$B$18)*1*(1+Inputs!$B$19)^(AS$7-1)</f>
        <v>59293.813190625</v>
      </c>
      <c r="AT30" s="66" t="n">
        <f aca="false">(AT15*Inputs!$B$17+AT16*Inputs!$B$18)*1*(1+Inputs!$B$19)^(AT$7-1)</f>
        <v>59293.813190625</v>
      </c>
      <c r="AU30" s="66" t="n">
        <f aca="false">(AU15*Inputs!$B$17+AU16*Inputs!$B$18)*1*(1+Inputs!$B$19)^(AU$7-1)</f>
        <v>59293.813190625</v>
      </c>
      <c r="AV30" s="66" t="n">
        <f aca="false">(AV15*Inputs!$B$17+AV16*Inputs!$B$18)*1*(1+Inputs!$B$19)^(AV$7-1)</f>
        <v>59293.813190625</v>
      </c>
      <c r="AW30" s="66" t="n">
        <f aca="false">(AW15*Inputs!$B$17+AW16*Inputs!$B$18)*1*(1+Inputs!$B$19)^(AW$7-1)</f>
        <v>59293.813190625</v>
      </c>
      <c r="AX30" s="66" t="n">
        <f aca="false">(AX15*Inputs!$B$17+AX16*Inputs!$B$18)*1*(1+Inputs!$B$19)^(AX$7-1)</f>
        <v>59293.813190625</v>
      </c>
      <c r="AY30" s="66" t="n">
        <f aca="false">(AY15*Inputs!$B$17+AY16*Inputs!$B$18)*1*(1+Inputs!$B$19)^(AY$7-1)</f>
        <v>60776.1585203906</v>
      </c>
      <c r="AZ30" s="66" t="n">
        <f aca="false">(AZ15*Inputs!$B$17+AZ16*Inputs!$B$18)*1*(1+Inputs!$B$19)^(AZ$7-1)</f>
        <v>60776.1585203906</v>
      </c>
      <c r="BA30" s="66" t="n">
        <f aca="false">(BA15*Inputs!$B$17+BA16*Inputs!$B$18)*1*(1+Inputs!$B$19)^(BA$7-1)</f>
        <v>60776.1585203906</v>
      </c>
      <c r="BB30" s="66" t="n">
        <f aca="false">(BB15*Inputs!$B$17+BB16*Inputs!$B$18)*1*(1+Inputs!$B$19)^(BB$7-1)</f>
        <v>60776.1585203906</v>
      </c>
      <c r="BC30" s="66" t="n">
        <f aca="false">(BC15*Inputs!$B$17+BC16*Inputs!$B$18)*1*(1+Inputs!$B$19)^(BC$7-1)</f>
        <v>60776.1585203906</v>
      </c>
      <c r="BD30" s="66" t="n">
        <f aca="false">(BD15*Inputs!$B$17+BD16*Inputs!$B$18)*1*(1+Inputs!$B$19)^(BD$7-1)</f>
        <v>60776.1585203906</v>
      </c>
      <c r="BE30" s="66" t="n">
        <f aca="false">(BE15*Inputs!$B$17+BE16*Inputs!$B$18)*1*(1+Inputs!$B$19)^(BE$7-1)</f>
        <v>60776.1585203906</v>
      </c>
      <c r="BF30" s="66" t="n">
        <f aca="false">(BF15*Inputs!$B$17+BF16*Inputs!$B$18)*1*(1+Inputs!$B$19)^(BF$7-1)</f>
        <v>60776.1585203906</v>
      </c>
      <c r="BG30" s="66" t="n">
        <f aca="false">(BG15*Inputs!$B$17+BG16*Inputs!$B$18)*1*(1+Inputs!$B$19)^(BG$7-1)</f>
        <v>60776.1585203906</v>
      </c>
      <c r="BH30" s="66" t="n">
        <f aca="false">(BH15*Inputs!$B$17+BH16*Inputs!$B$18)*1*(1+Inputs!$B$19)^(BH$7-1)</f>
        <v>60776.1585203906</v>
      </c>
      <c r="BI30" s="66" t="n">
        <f aca="false">(BI15*Inputs!$B$17+BI16*Inputs!$B$18)*1*(1+Inputs!$B$19)^(BI$7-1)</f>
        <v>60776.1585203906</v>
      </c>
      <c r="BJ30" s="66" t="n">
        <f aca="false">(BJ15*Inputs!$B$17+BJ16*Inputs!$B$18)*1*(1+Inputs!$B$19)^(BJ$7-1)</f>
        <v>60776.1585203906</v>
      </c>
    </row>
    <row r="31" customFormat="false" ht="15" hidden="false" customHeight="false" outlineLevel="0" collapsed="false">
      <c r="A31" s="6" t="s">
        <v>432</v>
      </c>
      <c r="C31" s="66" t="n">
        <f aca="false">C30*(1-Inputs!$B$22)*(1-Inputs!$B$20)</f>
        <v>7464.8925</v>
      </c>
      <c r="D31" s="66" t="n">
        <f aca="false">D30*(1-Inputs!$B$22)*(1-Inputs!$B$20)</f>
        <v>9206.70075</v>
      </c>
      <c r="E31" s="66" t="n">
        <f aca="false">E30*(1-Inputs!$B$22)*(1-Inputs!$B$20)</f>
        <v>10948.509</v>
      </c>
      <c r="F31" s="66" t="n">
        <f aca="false">F30*(1-Inputs!$B$22)*(1-Inputs!$B$20)</f>
        <v>12690.31725</v>
      </c>
      <c r="G31" s="66" t="n">
        <f aca="false">G30*(1-Inputs!$B$22)*(1-Inputs!$B$20)</f>
        <v>14432.1255</v>
      </c>
      <c r="H31" s="66" t="n">
        <f aca="false">H30*(1-Inputs!$B$22)*(1-Inputs!$B$20)</f>
        <v>16173.93375</v>
      </c>
      <c r="I31" s="66" t="n">
        <f aca="false">I30*(1-Inputs!$B$22)*(1-Inputs!$B$20)</f>
        <v>17915.742</v>
      </c>
      <c r="J31" s="66" t="n">
        <f aca="false">J30*(1-Inputs!$B$22)*(1-Inputs!$B$20)</f>
        <v>19657.55025</v>
      </c>
      <c r="K31" s="66" t="n">
        <f aca="false">K30*(1-Inputs!$B$22)*(1-Inputs!$B$20)</f>
        <v>21399.3585</v>
      </c>
      <c r="L31" s="66" t="n">
        <f aca="false">L30*(1-Inputs!$B$22)*(1-Inputs!$B$20)</f>
        <v>23141.16675</v>
      </c>
      <c r="M31" s="66" t="n">
        <f aca="false">M30*(1-Inputs!$B$22)*(1-Inputs!$B$20)</f>
        <v>24882.975</v>
      </c>
      <c r="N31" s="66" t="n">
        <f aca="false">N30*(1-Inputs!$B$22)*(1-Inputs!$B$20)</f>
        <v>26624.78325</v>
      </c>
      <c r="O31" s="66" t="n">
        <f aca="false">O30*(1-Inputs!$B$22)*(1-Inputs!$B$20)</f>
        <v>29075.7562875</v>
      </c>
      <c r="P31" s="66" t="n">
        <f aca="false">P30*(1-Inputs!$B$22)*(1-Inputs!$B$20)</f>
        <v>30861.10974375</v>
      </c>
      <c r="Q31" s="66" t="n">
        <f aca="false">Q30*(1-Inputs!$B$22)*(1-Inputs!$B$20)</f>
        <v>32646.4632</v>
      </c>
      <c r="R31" s="66" t="n">
        <f aca="false">R30*(1-Inputs!$B$22)*(1-Inputs!$B$20)</f>
        <v>34431.81665625</v>
      </c>
      <c r="S31" s="66" t="n">
        <f aca="false">S30*(1-Inputs!$B$22)*(1-Inputs!$B$20)</f>
        <v>36217.1701125</v>
      </c>
      <c r="T31" s="66" t="n">
        <f aca="false">T30*(1-Inputs!$B$22)*(1-Inputs!$B$20)</f>
        <v>38002.52356875</v>
      </c>
      <c r="U31" s="66" t="n">
        <f aca="false">U30*(1-Inputs!$B$22)*(1-Inputs!$B$20)</f>
        <v>39787.877025</v>
      </c>
      <c r="V31" s="66" t="n">
        <f aca="false">V30*(1-Inputs!$B$22)*(1-Inputs!$B$20)</f>
        <v>39787.877025</v>
      </c>
      <c r="W31" s="66" t="n">
        <f aca="false">W30*(1-Inputs!$B$22)*(1-Inputs!$B$20)</f>
        <v>39787.877025</v>
      </c>
      <c r="X31" s="66" t="n">
        <f aca="false">X30*(1-Inputs!$B$22)*(1-Inputs!$B$20)</f>
        <v>39787.877025</v>
      </c>
      <c r="Y31" s="66" t="n">
        <f aca="false">Y30*(1-Inputs!$B$22)*(1-Inputs!$B$20)</f>
        <v>39787.877025</v>
      </c>
      <c r="Z31" s="66" t="n">
        <f aca="false">Z30*(1-Inputs!$B$22)*(1-Inputs!$B$20)</f>
        <v>39787.877025</v>
      </c>
      <c r="AA31" s="66" t="n">
        <f aca="false">AA30*(1-Inputs!$B$22)*(1-Inputs!$B$20)</f>
        <v>40782.573950625</v>
      </c>
      <c r="AB31" s="66" t="n">
        <f aca="false">AB30*(1-Inputs!$B$22)*(1-Inputs!$B$20)</f>
        <v>40782.573950625</v>
      </c>
      <c r="AC31" s="66" t="n">
        <f aca="false">AC30*(1-Inputs!$B$22)*(1-Inputs!$B$20)</f>
        <v>40782.573950625</v>
      </c>
      <c r="AD31" s="66" t="n">
        <f aca="false">AD30*(1-Inputs!$B$22)*(1-Inputs!$B$20)</f>
        <v>40782.573950625</v>
      </c>
      <c r="AE31" s="66" t="n">
        <f aca="false">AE30*(1-Inputs!$B$22)*(1-Inputs!$B$20)</f>
        <v>40782.573950625</v>
      </c>
      <c r="AF31" s="66" t="n">
        <f aca="false">AF30*(1-Inputs!$B$22)*(1-Inputs!$B$20)</f>
        <v>40782.573950625</v>
      </c>
      <c r="AG31" s="66" t="n">
        <f aca="false">AG30*(1-Inputs!$B$22)*(1-Inputs!$B$20)</f>
        <v>40782.573950625</v>
      </c>
      <c r="AH31" s="66" t="n">
        <f aca="false">AH30*(1-Inputs!$B$22)*(1-Inputs!$B$20)</f>
        <v>40782.573950625</v>
      </c>
      <c r="AI31" s="66" t="n">
        <f aca="false">AI30*(1-Inputs!$B$22)*(1-Inputs!$B$20)</f>
        <v>40782.573950625</v>
      </c>
      <c r="AJ31" s="66" t="n">
        <f aca="false">AJ30*(1-Inputs!$B$22)*(1-Inputs!$B$20)</f>
        <v>40782.573950625</v>
      </c>
      <c r="AK31" s="66" t="n">
        <f aca="false">AK30*(1-Inputs!$B$22)*(1-Inputs!$B$20)</f>
        <v>40782.573950625</v>
      </c>
      <c r="AL31" s="66" t="n">
        <f aca="false">AL30*(1-Inputs!$B$22)*(1-Inputs!$B$20)</f>
        <v>40782.573950625</v>
      </c>
      <c r="AM31" s="66" t="n">
        <f aca="false">AM30*(1-Inputs!$B$22)*(1-Inputs!$B$20)</f>
        <v>41802.1382993906</v>
      </c>
      <c r="AN31" s="66" t="n">
        <f aca="false">AN30*(1-Inputs!$B$22)*(1-Inputs!$B$20)</f>
        <v>41802.1382993906</v>
      </c>
      <c r="AO31" s="66" t="n">
        <f aca="false">AO30*(1-Inputs!$B$22)*(1-Inputs!$B$20)</f>
        <v>41802.1382993906</v>
      </c>
      <c r="AP31" s="66" t="n">
        <f aca="false">AP30*(1-Inputs!$B$22)*(1-Inputs!$B$20)</f>
        <v>41802.1382993906</v>
      </c>
      <c r="AQ31" s="66" t="n">
        <f aca="false">AQ30*(1-Inputs!$B$22)*(1-Inputs!$B$20)</f>
        <v>41802.1382993906</v>
      </c>
      <c r="AR31" s="66" t="n">
        <f aca="false">AR30*(1-Inputs!$B$22)*(1-Inputs!$B$20)</f>
        <v>41802.1382993906</v>
      </c>
      <c r="AS31" s="66" t="n">
        <f aca="false">AS30*(1-Inputs!$B$22)*(1-Inputs!$B$20)</f>
        <v>41802.1382993906</v>
      </c>
      <c r="AT31" s="66" t="n">
        <f aca="false">AT30*(1-Inputs!$B$22)*(1-Inputs!$B$20)</f>
        <v>41802.1382993906</v>
      </c>
      <c r="AU31" s="66" t="n">
        <f aca="false">AU30*(1-Inputs!$B$22)*(1-Inputs!$B$20)</f>
        <v>41802.1382993906</v>
      </c>
      <c r="AV31" s="66" t="n">
        <f aca="false">AV30*(1-Inputs!$B$22)*(1-Inputs!$B$20)</f>
        <v>41802.1382993906</v>
      </c>
      <c r="AW31" s="66" t="n">
        <f aca="false">AW30*(1-Inputs!$B$22)*(1-Inputs!$B$20)</f>
        <v>41802.1382993906</v>
      </c>
      <c r="AX31" s="66" t="n">
        <f aca="false">AX30*(1-Inputs!$B$22)*(1-Inputs!$B$20)</f>
        <v>41802.1382993906</v>
      </c>
      <c r="AY31" s="66" t="n">
        <f aca="false">AY30*(1-Inputs!$B$22)*(1-Inputs!$B$20)</f>
        <v>42847.1917568754</v>
      </c>
      <c r="AZ31" s="66" t="n">
        <f aca="false">AZ30*(1-Inputs!$B$22)*(1-Inputs!$B$20)</f>
        <v>42847.1917568754</v>
      </c>
      <c r="BA31" s="66" t="n">
        <f aca="false">BA30*(1-Inputs!$B$22)*(1-Inputs!$B$20)</f>
        <v>42847.1917568754</v>
      </c>
      <c r="BB31" s="66" t="n">
        <f aca="false">BB30*(1-Inputs!$B$22)*(1-Inputs!$B$20)</f>
        <v>42847.1917568754</v>
      </c>
      <c r="BC31" s="66" t="n">
        <f aca="false">BC30*(1-Inputs!$B$22)*(1-Inputs!$B$20)</f>
        <v>42847.1917568754</v>
      </c>
      <c r="BD31" s="66" t="n">
        <f aca="false">BD30*(1-Inputs!$B$22)*(1-Inputs!$B$20)</f>
        <v>42847.1917568754</v>
      </c>
      <c r="BE31" s="66" t="n">
        <f aca="false">BE30*(1-Inputs!$B$22)*(1-Inputs!$B$20)</f>
        <v>42847.1917568754</v>
      </c>
      <c r="BF31" s="66" t="n">
        <f aca="false">BF30*(1-Inputs!$B$22)*(1-Inputs!$B$20)</f>
        <v>42847.1917568754</v>
      </c>
      <c r="BG31" s="66" t="n">
        <f aca="false">BG30*(1-Inputs!$B$22)*(1-Inputs!$B$20)</f>
        <v>42847.1917568754</v>
      </c>
      <c r="BH31" s="66" t="n">
        <f aca="false">BH30*(1-Inputs!$B$22)*(1-Inputs!$B$20)</f>
        <v>42847.1917568754</v>
      </c>
      <c r="BI31" s="66" t="n">
        <f aca="false">BI30*(1-Inputs!$B$22)*(1-Inputs!$B$20)</f>
        <v>42847.1917568754</v>
      </c>
      <c r="BJ31" s="66" t="n">
        <f aca="false">BJ30*(1-Inputs!$B$22)*(1-Inputs!$B$20)</f>
        <v>42847.1917568754</v>
      </c>
    </row>
    <row r="32" customFormat="false" ht="15" hidden="false" customHeight="false" outlineLevel="0" collapsed="false">
      <c r="A32" s="6" t="s">
        <v>239</v>
      </c>
      <c r="C32" s="66" t="n">
        <f aca="false">C30*Inputs!$B$22*Inputs!$B$23</f>
        <v>2170.6425</v>
      </c>
      <c r="D32" s="66" t="n">
        <f aca="false">D30*Inputs!$B$22*Inputs!$B$23</f>
        <v>2677.12575</v>
      </c>
      <c r="E32" s="66" t="n">
        <f aca="false">E30*Inputs!$B$22*Inputs!$B$23</f>
        <v>3183.609</v>
      </c>
      <c r="F32" s="66" t="n">
        <f aca="false">F30*Inputs!$B$22*Inputs!$B$23</f>
        <v>3690.09225</v>
      </c>
      <c r="G32" s="66" t="n">
        <f aca="false">G30*Inputs!$B$22*Inputs!$B$23</f>
        <v>4196.5755</v>
      </c>
      <c r="H32" s="66" t="n">
        <f aca="false">H30*Inputs!$B$22*Inputs!$B$23</f>
        <v>4703.05875</v>
      </c>
      <c r="I32" s="66" t="n">
        <f aca="false">I30*Inputs!$B$22*Inputs!$B$23</f>
        <v>5209.542</v>
      </c>
      <c r="J32" s="66" t="n">
        <f aca="false">J30*Inputs!$B$22*Inputs!$B$23</f>
        <v>5716.02525</v>
      </c>
      <c r="K32" s="66" t="n">
        <f aca="false">K30*Inputs!$B$22*Inputs!$B$23</f>
        <v>6222.5085</v>
      </c>
      <c r="L32" s="66" t="n">
        <f aca="false">L30*Inputs!$B$22*Inputs!$B$23</f>
        <v>6728.99175</v>
      </c>
      <c r="M32" s="66" t="n">
        <f aca="false">M30*Inputs!$B$22*Inputs!$B$23</f>
        <v>7235.475</v>
      </c>
      <c r="N32" s="66" t="n">
        <f aca="false">N30*Inputs!$B$22*Inputs!$B$23</f>
        <v>7741.95825</v>
      </c>
      <c r="O32" s="66" t="n">
        <f aca="false">O30*Inputs!$B$22*Inputs!$B$23</f>
        <v>8454.6525375</v>
      </c>
      <c r="P32" s="66" t="n">
        <f aca="false">P30*Inputs!$B$22*Inputs!$B$23</f>
        <v>8973.79786875</v>
      </c>
      <c r="Q32" s="66" t="n">
        <f aca="false">Q30*Inputs!$B$22*Inputs!$B$23</f>
        <v>9492.9432</v>
      </c>
      <c r="R32" s="66" t="n">
        <f aca="false">R30*Inputs!$B$22*Inputs!$B$23</f>
        <v>10012.08853125</v>
      </c>
      <c r="S32" s="66" t="n">
        <f aca="false">S30*Inputs!$B$22*Inputs!$B$23</f>
        <v>10531.2338625</v>
      </c>
      <c r="T32" s="66" t="n">
        <f aca="false">T30*Inputs!$B$22*Inputs!$B$23</f>
        <v>11050.37919375</v>
      </c>
      <c r="U32" s="66" t="n">
        <f aca="false">U30*Inputs!$B$22*Inputs!$B$23</f>
        <v>11569.524525</v>
      </c>
      <c r="V32" s="66" t="n">
        <f aca="false">V30*Inputs!$B$22*Inputs!$B$23</f>
        <v>11569.524525</v>
      </c>
      <c r="W32" s="66" t="n">
        <f aca="false">W30*Inputs!$B$22*Inputs!$B$23</f>
        <v>11569.524525</v>
      </c>
      <c r="X32" s="66" t="n">
        <f aca="false">X30*Inputs!$B$22*Inputs!$B$23</f>
        <v>11569.524525</v>
      </c>
      <c r="Y32" s="66" t="n">
        <f aca="false">Y30*Inputs!$B$22*Inputs!$B$23</f>
        <v>11569.524525</v>
      </c>
      <c r="Z32" s="66" t="n">
        <f aca="false">Z30*Inputs!$B$22*Inputs!$B$23</f>
        <v>11569.524525</v>
      </c>
      <c r="AA32" s="66" t="n">
        <f aca="false">AA30*Inputs!$B$22*Inputs!$B$23</f>
        <v>11858.762638125</v>
      </c>
      <c r="AB32" s="66" t="n">
        <f aca="false">AB30*Inputs!$B$22*Inputs!$B$23</f>
        <v>11858.762638125</v>
      </c>
      <c r="AC32" s="66" t="n">
        <f aca="false">AC30*Inputs!$B$22*Inputs!$B$23</f>
        <v>11858.762638125</v>
      </c>
      <c r="AD32" s="66" t="n">
        <f aca="false">AD30*Inputs!$B$22*Inputs!$B$23</f>
        <v>11858.762638125</v>
      </c>
      <c r="AE32" s="66" t="n">
        <f aca="false">AE30*Inputs!$B$22*Inputs!$B$23</f>
        <v>11858.762638125</v>
      </c>
      <c r="AF32" s="66" t="n">
        <f aca="false">AF30*Inputs!$B$22*Inputs!$B$23</f>
        <v>11858.762638125</v>
      </c>
      <c r="AG32" s="66" t="n">
        <f aca="false">AG30*Inputs!$B$22*Inputs!$B$23</f>
        <v>11858.762638125</v>
      </c>
      <c r="AH32" s="66" t="n">
        <f aca="false">AH30*Inputs!$B$22*Inputs!$B$23</f>
        <v>11858.762638125</v>
      </c>
      <c r="AI32" s="66" t="n">
        <f aca="false">AI30*Inputs!$B$22*Inputs!$B$23</f>
        <v>11858.762638125</v>
      </c>
      <c r="AJ32" s="66" t="n">
        <f aca="false">AJ30*Inputs!$B$22*Inputs!$B$23</f>
        <v>11858.762638125</v>
      </c>
      <c r="AK32" s="66" t="n">
        <f aca="false">AK30*Inputs!$B$22*Inputs!$B$23</f>
        <v>11858.762638125</v>
      </c>
      <c r="AL32" s="66" t="n">
        <f aca="false">AL30*Inputs!$B$22*Inputs!$B$23</f>
        <v>11858.762638125</v>
      </c>
      <c r="AM32" s="66" t="n">
        <f aca="false">AM30*Inputs!$B$22*Inputs!$B$23</f>
        <v>12155.2317040781</v>
      </c>
      <c r="AN32" s="66" t="n">
        <f aca="false">AN30*Inputs!$B$22*Inputs!$B$23</f>
        <v>12155.2317040781</v>
      </c>
      <c r="AO32" s="66" t="n">
        <f aca="false">AO30*Inputs!$B$22*Inputs!$B$23</f>
        <v>12155.2317040781</v>
      </c>
      <c r="AP32" s="66" t="n">
        <f aca="false">AP30*Inputs!$B$22*Inputs!$B$23</f>
        <v>12155.2317040781</v>
      </c>
      <c r="AQ32" s="66" t="n">
        <f aca="false">AQ30*Inputs!$B$22*Inputs!$B$23</f>
        <v>12155.2317040781</v>
      </c>
      <c r="AR32" s="66" t="n">
        <f aca="false">AR30*Inputs!$B$22*Inputs!$B$23</f>
        <v>12155.2317040781</v>
      </c>
      <c r="AS32" s="66" t="n">
        <f aca="false">AS30*Inputs!$B$22*Inputs!$B$23</f>
        <v>12155.2317040781</v>
      </c>
      <c r="AT32" s="66" t="n">
        <f aca="false">AT30*Inputs!$B$22*Inputs!$B$23</f>
        <v>12155.2317040781</v>
      </c>
      <c r="AU32" s="66" t="n">
        <f aca="false">AU30*Inputs!$B$22*Inputs!$B$23</f>
        <v>12155.2317040781</v>
      </c>
      <c r="AV32" s="66" t="n">
        <f aca="false">AV30*Inputs!$B$22*Inputs!$B$23</f>
        <v>12155.2317040781</v>
      </c>
      <c r="AW32" s="66" t="n">
        <f aca="false">AW30*Inputs!$B$22*Inputs!$B$23</f>
        <v>12155.2317040781</v>
      </c>
      <c r="AX32" s="66" t="n">
        <f aca="false">AX30*Inputs!$B$22*Inputs!$B$23</f>
        <v>12155.2317040781</v>
      </c>
      <c r="AY32" s="66" t="n">
        <f aca="false">AY30*Inputs!$B$22*Inputs!$B$23</f>
        <v>12459.1124966801</v>
      </c>
      <c r="AZ32" s="66" t="n">
        <f aca="false">AZ30*Inputs!$B$22*Inputs!$B$23</f>
        <v>12459.1124966801</v>
      </c>
      <c r="BA32" s="66" t="n">
        <f aca="false">BA30*Inputs!$B$22*Inputs!$B$23</f>
        <v>12459.1124966801</v>
      </c>
      <c r="BB32" s="66" t="n">
        <f aca="false">BB30*Inputs!$B$22*Inputs!$B$23</f>
        <v>12459.1124966801</v>
      </c>
      <c r="BC32" s="66" t="n">
        <f aca="false">BC30*Inputs!$B$22*Inputs!$B$23</f>
        <v>12459.1124966801</v>
      </c>
      <c r="BD32" s="66" t="n">
        <f aca="false">BD30*Inputs!$B$22*Inputs!$B$23</f>
        <v>12459.1124966801</v>
      </c>
      <c r="BE32" s="66" t="n">
        <f aca="false">BE30*Inputs!$B$22*Inputs!$B$23</f>
        <v>12459.1124966801</v>
      </c>
      <c r="BF32" s="66" t="n">
        <f aca="false">BF30*Inputs!$B$22*Inputs!$B$23</f>
        <v>12459.1124966801</v>
      </c>
      <c r="BG32" s="66" t="n">
        <f aca="false">BG30*Inputs!$B$22*Inputs!$B$23</f>
        <v>12459.1124966801</v>
      </c>
      <c r="BH32" s="66" t="n">
        <f aca="false">BH30*Inputs!$B$22*Inputs!$B$23</f>
        <v>12459.1124966801</v>
      </c>
      <c r="BI32" s="66" t="n">
        <f aca="false">BI30*Inputs!$B$22*Inputs!$B$23</f>
        <v>12459.1124966801</v>
      </c>
      <c r="BJ32" s="66" t="n">
        <f aca="false">BJ30*Inputs!$B$22*Inputs!$B$23</f>
        <v>12459.1124966801</v>
      </c>
    </row>
    <row r="33" customFormat="false" ht="15" hidden="false" customHeight="false" outlineLevel="0" collapsed="false">
      <c r="A33" s="6" t="s">
        <v>241</v>
      </c>
      <c r="C33" s="66" t="n">
        <f aca="false">C21*Inputs!$B$21*(1+Inputs!$B$19)^(C$7-1)</f>
        <v>926.25</v>
      </c>
      <c r="D33" s="66" t="n">
        <f aca="false">D21*Inputs!$B$21*(1+Inputs!$B$19)^(D$7-1)</f>
        <v>242.375</v>
      </c>
      <c r="E33" s="66" t="n">
        <f aca="false">E21*Inputs!$B$21*(1+Inputs!$B$19)^(E$7-1)</f>
        <v>248.5</v>
      </c>
      <c r="F33" s="66" t="n">
        <f aca="false">F21*Inputs!$B$21*(1+Inputs!$B$19)^(F$7-1)</f>
        <v>254.625</v>
      </c>
      <c r="G33" s="66" t="n">
        <f aca="false">G21*Inputs!$B$21*(1+Inputs!$B$19)^(G$7-1)</f>
        <v>260.75</v>
      </c>
      <c r="H33" s="66" t="n">
        <f aca="false">H21*Inputs!$B$21*(1+Inputs!$B$19)^(H$7-1)</f>
        <v>266.875</v>
      </c>
      <c r="I33" s="66" t="n">
        <f aca="false">I21*Inputs!$B$21*(1+Inputs!$B$19)^(I$7-1)</f>
        <v>273</v>
      </c>
      <c r="J33" s="66" t="n">
        <f aca="false">J21*Inputs!$B$21*(1+Inputs!$B$19)^(J$7-1)</f>
        <v>279.125000000001</v>
      </c>
      <c r="K33" s="66" t="n">
        <f aca="false">K21*Inputs!$B$21*(1+Inputs!$B$19)^(K$7-1)</f>
        <v>285.249999999999</v>
      </c>
      <c r="L33" s="66" t="n">
        <f aca="false">L21*Inputs!$B$21*(1+Inputs!$B$19)^(L$7-1)</f>
        <v>291.375</v>
      </c>
      <c r="M33" s="66" t="n">
        <f aca="false">M21*Inputs!$B$21*(1+Inputs!$B$19)^(M$7-1)</f>
        <v>297.5</v>
      </c>
      <c r="N33" s="66" t="n">
        <f aca="false">N21*Inputs!$B$21*(1+Inputs!$B$19)^(N$7-1)</f>
        <v>303.625</v>
      </c>
      <c r="O33" s="66" t="n">
        <f aca="false">O21*Inputs!$B$21*(1+Inputs!$B$19)^(O$7-1)</f>
        <v>317.493749999999</v>
      </c>
      <c r="P33" s="66" t="n">
        <f aca="false">P21*Inputs!$B$21*(1+Inputs!$B$19)^(P$7-1)</f>
        <v>323.771875</v>
      </c>
      <c r="Q33" s="66" t="n">
        <f aca="false">Q21*Inputs!$B$21*(1+Inputs!$B$19)^(Q$7-1)</f>
        <v>330.05</v>
      </c>
      <c r="R33" s="66" t="n">
        <f aca="false">R21*Inputs!$B$21*(1+Inputs!$B$19)^(R$7-1)</f>
        <v>336.328125</v>
      </c>
      <c r="S33" s="66" t="n">
        <f aca="false">S21*Inputs!$B$21*(1+Inputs!$B$19)^(S$7-1)</f>
        <v>342.606249999999</v>
      </c>
      <c r="T33" s="66" t="n">
        <f aca="false">T21*Inputs!$B$21*(1+Inputs!$B$19)^(T$7-1)</f>
        <v>348.884375000001</v>
      </c>
      <c r="U33" s="66" t="n">
        <f aca="false">U21*Inputs!$B$21*(1+Inputs!$B$19)^(U$7-1)</f>
        <v>355.1625</v>
      </c>
      <c r="V33" s="66" t="n">
        <f aca="false">V21*Inputs!$B$21*(1+Inputs!$B$19)^(V$7-1)</f>
        <v>139.9125</v>
      </c>
      <c r="W33" s="66" t="n">
        <f aca="false">W21*Inputs!$B$21*(1+Inputs!$B$19)^(W$7-1)</f>
        <v>139.9125</v>
      </c>
      <c r="X33" s="66" t="n">
        <f aca="false">X21*Inputs!$B$21*(1+Inputs!$B$19)^(X$7-1)</f>
        <v>139.9125</v>
      </c>
      <c r="Y33" s="66" t="n">
        <f aca="false">Y21*Inputs!$B$21*(1+Inputs!$B$19)^(Y$7-1)</f>
        <v>139.9125</v>
      </c>
      <c r="Z33" s="66" t="n">
        <f aca="false">Z21*Inputs!$B$21*(1+Inputs!$B$19)^(Z$7-1)</f>
        <v>139.9125</v>
      </c>
      <c r="AA33" s="66" t="n">
        <f aca="false">AA21*Inputs!$B$21*(1+Inputs!$B$19)^(AA$7-1)</f>
        <v>143.4103125</v>
      </c>
      <c r="AB33" s="66" t="n">
        <f aca="false">AB21*Inputs!$B$21*(1+Inputs!$B$19)^(AB$7-1)</f>
        <v>143.4103125</v>
      </c>
      <c r="AC33" s="66" t="n">
        <f aca="false">AC21*Inputs!$B$21*(1+Inputs!$B$19)^(AC$7-1)</f>
        <v>143.4103125</v>
      </c>
      <c r="AD33" s="66" t="n">
        <f aca="false">AD21*Inputs!$B$21*(1+Inputs!$B$19)^(AD$7-1)</f>
        <v>143.4103125</v>
      </c>
      <c r="AE33" s="66" t="n">
        <f aca="false">AE21*Inputs!$B$21*(1+Inputs!$B$19)^(AE$7-1)</f>
        <v>143.4103125</v>
      </c>
      <c r="AF33" s="66" t="n">
        <f aca="false">AF21*Inputs!$B$21*(1+Inputs!$B$19)^(AF$7-1)</f>
        <v>143.4103125</v>
      </c>
      <c r="AG33" s="66" t="n">
        <f aca="false">AG21*Inputs!$B$21*(1+Inputs!$B$19)^(AG$7-1)</f>
        <v>143.4103125</v>
      </c>
      <c r="AH33" s="66" t="n">
        <f aca="false">AH21*Inputs!$B$21*(1+Inputs!$B$19)^(AH$7-1)</f>
        <v>143.4103125</v>
      </c>
      <c r="AI33" s="66" t="n">
        <f aca="false">AI21*Inputs!$B$21*(1+Inputs!$B$19)^(AI$7-1)</f>
        <v>143.4103125</v>
      </c>
      <c r="AJ33" s="66" t="n">
        <f aca="false">AJ21*Inputs!$B$21*(1+Inputs!$B$19)^(AJ$7-1)</f>
        <v>143.4103125</v>
      </c>
      <c r="AK33" s="66" t="n">
        <f aca="false">AK21*Inputs!$B$21*(1+Inputs!$B$19)^(AK$7-1)</f>
        <v>143.4103125</v>
      </c>
      <c r="AL33" s="66" t="n">
        <f aca="false">AL21*Inputs!$B$21*(1+Inputs!$B$19)^(AL$7-1)</f>
        <v>143.4103125</v>
      </c>
      <c r="AM33" s="66" t="n">
        <f aca="false">AM21*Inputs!$B$21*(1+Inputs!$B$19)^(AM$7-1)</f>
        <v>146.9955703125</v>
      </c>
      <c r="AN33" s="66" t="n">
        <f aca="false">AN21*Inputs!$B$21*(1+Inputs!$B$19)^(AN$7-1)</f>
        <v>146.9955703125</v>
      </c>
      <c r="AO33" s="66" t="n">
        <f aca="false">AO21*Inputs!$B$21*(1+Inputs!$B$19)^(AO$7-1)</f>
        <v>146.9955703125</v>
      </c>
      <c r="AP33" s="66" t="n">
        <f aca="false">AP21*Inputs!$B$21*(1+Inputs!$B$19)^(AP$7-1)</f>
        <v>146.9955703125</v>
      </c>
      <c r="AQ33" s="66" t="n">
        <f aca="false">AQ21*Inputs!$B$21*(1+Inputs!$B$19)^(AQ$7-1)</f>
        <v>146.9955703125</v>
      </c>
      <c r="AR33" s="66" t="n">
        <f aca="false">AR21*Inputs!$B$21*(1+Inputs!$B$19)^(AR$7-1)</f>
        <v>146.9955703125</v>
      </c>
      <c r="AS33" s="66" t="n">
        <f aca="false">AS21*Inputs!$B$21*(1+Inputs!$B$19)^(AS$7-1)</f>
        <v>146.9955703125</v>
      </c>
      <c r="AT33" s="66" t="n">
        <f aca="false">AT21*Inputs!$B$21*(1+Inputs!$B$19)^(AT$7-1)</f>
        <v>146.9955703125</v>
      </c>
      <c r="AU33" s="66" t="n">
        <f aca="false">AU21*Inputs!$B$21*(1+Inputs!$B$19)^(AU$7-1)</f>
        <v>146.9955703125</v>
      </c>
      <c r="AV33" s="66" t="n">
        <f aca="false">AV21*Inputs!$B$21*(1+Inputs!$B$19)^(AV$7-1)</f>
        <v>146.9955703125</v>
      </c>
      <c r="AW33" s="66" t="n">
        <f aca="false">AW21*Inputs!$B$21*(1+Inputs!$B$19)^(AW$7-1)</f>
        <v>146.9955703125</v>
      </c>
      <c r="AX33" s="66" t="n">
        <f aca="false">AX21*Inputs!$B$21*(1+Inputs!$B$19)^(AX$7-1)</f>
        <v>146.9955703125</v>
      </c>
      <c r="AY33" s="66" t="n">
        <f aca="false">AY21*Inputs!$B$21*(1+Inputs!$B$19)^(AY$7-1)</f>
        <v>150.670459570312</v>
      </c>
      <c r="AZ33" s="66" t="n">
        <f aca="false">AZ21*Inputs!$B$21*(1+Inputs!$B$19)^(AZ$7-1)</f>
        <v>150.670459570312</v>
      </c>
      <c r="BA33" s="66" t="n">
        <f aca="false">BA21*Inputs!$B$21*(1+Inputs!$B$19)^(BA$7-1)</f>
        <v>150.670459570312</v>
      </c>
      <c r="BB33" s="66" t="n">
        <f aca="false">BB21*Inputs!$B$21*(1+Inputs!$B$19)^(BB$7-1)</f>
        <v>150.670459570312</v>
      </c>
      <c r="BC33" s="66" t="n">
        <f aca="false">BC21*Inputs!$B$21*(1+Inputs!$B$19)^(BC$7-1)</f>
        <v>150.670459570312</v>
      </c>
      <c r="BD33" s="66" t="n">
        <f aca="false">BD21*Inputs!$B$21*(1+Inputs!$B$19)^(BD$7-1)</f>
        <v>150.670459570312</v>
      </c>
      <c r="BE33" s="66" t="n">
        <f aca="false">BE21*Inputs!$B$21*(1+Inputs!$B$19)^(BE$7-1)</f>
        <v>150.670459570312</v>
      </c>
      <c r="BF33" s="66" t="n">
        <f aca="false">BF21*Inputs!$B$21*(1+Inputs!$B$19)^(BF$7-1)</f>
        <v>150.670459570312</v>
      </c>
      <c r="BG33" s="66" t="n">
        <f aca="false">BG21*Inputs!$B$21*(1+Inputs!$B$19)^(BG$7-1)</f>
        <v>150.670459570312</v>
      </c>
      <c r="BH33" s="66" t="n">
        <f aca="false">BH21*Inputs!$B$21*(1+Inputs!$B$19)^(BH$7-1)</f>
        <v>150.670459570312</v>
      </c>
      <c r="BI33" s="66" t="n">
        <f aca="false">BI21*Inputs!$B$21*(1+Inputs!$B$19)^(BI$7-1)</f>
        <v>150.670459570312</v>
      </c>
      <c r="BJ33" s="66" t="n">
        <f aca="false">BJ21*Inputs!$B$21*(1+Inputs!$B$19)^(BJ$7-1)</f>
        <v>150.670459570312</v>
      </c>
    </row>
    <row r="34" customFormat="false" ht="15" hidden="false" customHeight="false" outlineLevel="0" collapsed="false">
      <c r="A34" s="110" t="s">
        <v>44</v>
      </c>
      <c r="C34" s="67" t="n">
        <f aca="false">C31+C32+C33</f>
        <v>10561.785</v>
      </c>
      <c r="D34" s="67" t="n">
        <f aca="false">D31+D32+D33</f>
        <v>12126.2015</v>
      </c>
      <c r="E34" s="67" t="n">
        <f aca="false">E31+E32+E33</f>
        <v>14380.618</v>
      </c>
      <c r="F34" s="67" t="n">
        <f aca="false">F31+F32+F33</f>
        <v>16635.0345</v>
      </c>
      <c r="G34" s="67" t="n">
        <f aca="false">G31+G32+G33</f>
        <v>18889.451</v>
      </c>
      <c r="H34" s="67" t="n">
        <f aca="false">H31+H32+H33</f>
        <v>21143.8675</v>
      </c>
      <c r="I34" s="67" t="n">
        <f aca="false">I31+I32+I33</f>
        <v>23398.284</v>
      </c>
      <c r="J34" s="67" t="n">
        <f aca="false">J31+J32+J33</f>
        <v>25652.7005</v>
      </c>
      <c r="K34" s="67" t="n">
        <f aca="false">K31+K32+K33</f>
        <v>27907.117</v>
      </c>
      <c r="L34" s="67" t="n">
        <f aca="false">L31+L32+L33</f>
        <v>30161.5335</v>
      </c>
      <c r="M34" s="67" t="n">
        <f aca="false">M31+M32+M33</f>
        <v>32415.95</v>
      </c>
      <c r="N34" s="67" t="n">
        <f aca="false">N31+N32+N33</f>
        <v>34670.3665</v>
      </c>
      <c r="O34" s="67" t="n">
        <f aca="false">O31+O32+O33</f>
        <v>37847.902575</v>
      </c>
      <c r="P34" s="67" t="n">
        <f aca="false">P31+P32+P33</f>
        <v>40158.6794875</v>
      </c>
      <c r="Q34" s="67" t="n">
        <f aca="false">Q31+Q32+Q33</f>
        <v>42469.4564</v>
      </c>
      <c r="R34" s="67" t="n">
        <f aca="false">R31+R32+R33</f>
        <v>44780.2333125</v>
      </c>
      <c r="S34" s="67" t="n">
        <f aca="false">S31+S32+S33</f>
        <v>47091.010225</v>
      </c>
      <c r="T34" s="67" t="n">
        <f aca="false">T31+T32+T33</f>
        <v>49401.7871375</v>
      </c>
      <c r="U34" s="67" t="n">
        <f aca="false">U31+U32+U33</f>
        <v>51712.56405</v>
      </c>
      <c r="V34" s="67" t="n">
        <f aca="false">V31+V32+V33</f>
        <v>51497.31405</v>
      </c>
      <c r="W34" s="67" t="n">
        <f aca="false">W31+W32+W33</f>
        <v>51497.31405</v>
      </c>
      <c r="X34" s="67" t="n">
        <f aca="false">X31+X32+X33</f>
        <v>51497.31405</v>
      </c>
      <c r="Y34" s="67" t="n">
        <f aca="false">Y31+Y32+Y33</f>
        <v>51497.31405</v>
      </c>
      <c r="Z34" s="67" t="n">
        <f aca="false">Z31+Z32+Z33</f>
        <v>51497.31405</v>
      </c>
      <c r="AA34" s="67" t="n">
        <f aca="false">AA31+AA32+AA33</f>
        <v>52784.74690125</v>
      </c>
      <c r="AB34" s="67" t="n">
        <f aca="false">AB31+AB32+AB33</f>
        <v>52784.74690125</v>
      </c>
      <c r="AC34" s="67" t="n">
        <f aca="false">AC31+AC32+AC33</f>
        <v>52784.74690125</v>
      </c>
      <c r="AD34" s="67" t="n">
        <f aca="false">AD31+AD32+AD33</f>
        <v>52784.74690125</v>
      </c>
      <c r="AE34" s="67" t="n">
        <f aca="false">AE31+AE32+AE33</f>
        <v>52784.74690125</v>
      </c>
      <c r="AF34" s="67" t="n">
        <f aca="false">AF31+AF32+AF33</f>
        <v>52784.74690125</v>
      </c>
      <c r="AG34" s="67" t="n">
        <f aca="false">AG31+AG32+AG33</f>
        <v>52784.74690125</v>
      </c>
      <c r="AH34" s="67" t="n">
        <f aca="false">AH31+AH32+AH33</f>
        <v>52784.74690125</v>
      </c>
      <c r="AI34" s="67" t="n">
        <f aca="false">AI31+AI32+AI33</f>
        <v>52784.74690125</v>
      </c>
      <c r="AJ34" s="67" t="n">
        <f aca="false">AJ31+AJ32+AJ33</f>
        <v>52784.74690125</v>
      </c>
      <c r="AK34" s="67" t="n">
        <f aca="false">AK31+AK32+AK33</f>
        <v>52784.74690125</v>
      </c>
      <c r="AL34" s="67" t="n">
        <f aca="false">AL31+AL32+AL33</f>
        <v>52784.74690125</v>
      </c>
      <c r="AM34" s="67" t="n">
        <f aca="false">AM31+AM32+AM33</f>
        <v>54104.3655737812</v>
      </c>
      <c r="AN34" s="67" t="n">
        <f aca="false">AN31+AN32+AN33</f>
        <v>54104.3655737812</v>
      </c>
      <c r="AO34" s="67" t="n">
        <f aca="false">AO31+AO32+AO33</f>
        <v>54104.3655737812</v>
      </c>
      <c r="AP34" s="67" t="n">
        <f aca="false">AP31+AP32+AP33</f>
        <v>54104.3655737812</v>
      </c>
      <c r="AQ34" s="67" t="n">
        <f aca="false">AQ31+AQ32+AQ33</f>
        <v>54104.3655737812</v>
      </c>
      <c r="AR34" s="67" t="n">
        <f aca="false">AR31+AR32+AR33</f>
        <v>54104.3655737812</v>
      </c>
      <c r="AS34" s="67" t="n">
        <f aca="false">AS31+AS32+AS33</f>
        <v>54104.3655737812</v>
      </c>
      <c r="AT34" s="67" t="n">
        <f aca="false">AT31+AT32+AT33</f>
        <v>54104.3655737812</v>
      </c>
      <c r="AU34" s="67" t="n">
        <f aca="false">AU31+AU32+AU33</f>
        <v>54104.3655737812</v>
      </c>
      <c r="AV34" s="67" t="n">
        <f aca="false">AV31+AV32+AV33</f>
        <v>54104.3655737812</v>
      </c>
      <c r="AW34" s="67" t="n">
        <f aca="false">AW31+AW32+AW33</f>
        <v>54104.3655737812</v>
      </c>
      <c r="AX34" s="67" t="n">
        <f aca="false">AX31+AX32+AX33</f>
        <v>54104.3655737812</v>
      </c>
      <c r="AY34" s="67" t="n">
        <f aca="false">AY31+AY32+AY33</f>
        <v>55456.9747131258</v>
      </c>
      <c r="AZ34" s="67" t="n">
        <f aca="false">AZ31+AZ32+AZ33</f>
        <v>55456.9747131258</v>
      </c>
      <c r="BA34" s="67" t="n">
        <f aca="false">BA31+BA32+BA33</f>
        <v>55456.9747131258</v>
      </c>
      <c r="BB34" s="67" t="n">
        <f aca="false">BB31+BB32+BB33</f>
        <v>55456.9747131258</v>
      </c>
      <c r="BC34" s="67" t="n">
        <f aca="false">BC31+BC32+BC33</f>
        <v>55456.9747131258</v>
      </c>
      <c r="BD34" s="67" t="n">
        <f aca="false">BD31+BD32+BD33</f>
        <v>55456.9747131258</v>
      </c>
      <c r="BE34" s="67" t="n">
        <f aca="false">BE31+BE32+BE33</f>
        <v>55456.9747131258</v>
      </c>
      <c r="BF34" s="67" t="n">
        <f aca="false">BF31+BF32+BF33</f>
        <v>55456.9747131258</v>
      </c>
      <c r="BG34" s="67" t="n">
        <f aca="false">BG31+BG32+BG33</f>
        <v>55456.9747131258</v>
      </c>
      <c r="BH34" s="67" t="n">
        <f aca="false">BH31+BH32+BH33</f>
        <v>55456.9747131258</v>
      </c>
      <c r="BI34" s="67" t="n">
        <f aca="false">BI31+BI32+BI33</f>
        <v>55456.9747131258</v>
      </c>
      <c r="BJ34" s="67" t="n">
        <f aca="false">BJ31+BJ32+BJ33</f>
        <v>55456.9747131258</v>
      </c>
    </row>
    <row r="36" customFormat="false" ht="15.75" hidden="false" customHeight="true" outlineLevel="0" collapsed="false">
      <c r="A36" s="7" t="s">
        <v>75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customFormat="false" ht="15" hidden="false" customHeight="false" outlineLevel="0" collapsed="false">
      <c r="A37" s="6" t="s">
        <v>243</v>
      </c>
      <c r="C37" s="66" t="n">
        <f aca="false">-C27*Inputs!$B$29/12*1*(1+Inputs!$B$69)*(1+Inputs!$B$70)^(C$7-1)</f>
        <v>-8516.66666666667</v>
      </c>
      <c r="D37" s="66" t="n">
        <f aca="false">-D27*Inputs!$B$29/12*1*(1+Inputs!$B$69)*(1+Inputs!$B$70)^(D$7-1)</f>
        <v>-8516.66666666667</v>
      </c>
      <c r="E37" s="66" t="n">
        <f aca="false">-E27*Inputs!$B$29/12*1*(1+Inputs!$B$69)*(1+Inputs!$B$70)^(E$7-1)</f>
        <v>-8516.66666666667</v>
      </c>
      <c r="F37" s="66" t="n">
        <f aca="false">-F27*Inputs!$B$29/12*1*(1+Inputs!$B$69)*(1+Inputs!$B$70)^(F$7-1)</f>
        <v>-8516.66666666667</v>
      </c>
      <c r="G37" s="66" t="n">
        <f aca="false">-G27*Inputs!$B$29/12*1*(1+Inputs!$B$69)*(1+Inputs!$B$70)^(G$7-1)</f>
        <v>-12775</v>
      </c>
      <c r="H37" s="66" t="n">
        <f aca="false">-H27*Inputs!$B$29/12*1*(1+Inputs!$B$69)*(1+Inputs!$B$70)^(H$7-1)</f>
        <v>-17033.3333333333</v>
      </c>
      <c r="I37" s="66" t="n">
        <f aca="false">-I27*Inputs!$B$29/12*1*(1+Inputs!$B$69)*(1+Inputs!$B$70)^(I$7-1)</f>
        <v>-17033.3333333333</v>
      </c>
      <c r="J37" s="66" t="n">
        <f aca="false">-J27*Inputs!$B$29/12*1*(1+Inputs!$B$69)*(1+Inputs!$B$70)^(J$7-1)</f>
        <v>-17033.3333333333</v>
      </c>
      <c r="K37" s="66" t="n">
        <f aca="false">-K27*Inputs!$B$29/12*1*(1+Inputs!$B$69)*(1+Inputs!$B$70)^(K$7-1)</f>
        <v>-17033.3333333333</v>
      </c>
      <c r="L37" s="66" t="n">
        <f aca="false">-L27*Inputs!$B$29/12*1*(1+Inputs!$B$69)*(1+Inputs!$B$70)^(L$7-1)</f>
        <v>-17033.3333333333</v>
      </c>
      <c r="M37" s="66" t="n">
        <f aca="false">-M27*Inputs!$B$29/12*1*(1+Inputs!$B$69)*(1+Inputs!$B$70)^(M$7-1)</f>
        <v>-17033.3333333333</v>
      </c>
      <c r="N37" s="66" t="n">
        <f aca="false">-N27*Inputs!$B$29/12*1*(1+Inputs!$B$69)*(1+Inputs!$B$70)^(N$7-1)</f>
        <v>-17033.3333333333</v>
      </c>
      <c r="O37" s="66" t="n">
        <f aca="false">-O27*Inputs!$B$29/12*1*(1+Inputs!$B$69)*(1+Inputs!$B$70)^(O$7-1)</f>
        <v>-17544.3333333333</v>
      </c>
      <c r="P37" s="66" t="n">
        <f aca="false">-P27*Inputs!$B$29/12*1*(1+Inputs!$B$69)*(1+Inputs!$B$70)^(P$7-1)</f>
        <v>-21930.4166666667</v>
      </c>
      <c r="Q37" s="66" t="n">
        <f aca="false">-Q27*Inputs!$B$29/12*1*(1+Inputs!$B$69)*(1+Inputs!$B$70)^(Q$7-1)</f>
        <v>-26316.5</v>
      </c>
      <c r="R37" s="66" t="n">
        <f aca="false">-R27*Inputs!$B$29/12*1*(1+Inputs!$B$69)*(1+Inputs!$B$70)^(R$7-1)</f>
        <v>-26316.5</v>
      </c>
      <c r="S37" s="66" t="n">
        <f aca="false">-S27*Inputs!$B$29/12*1*(1+Inputs!$B$69)*(1+Inputs!$B$70)^(S$7-1)</f>
        <v>-26316.5</v>
      </c>
      <c r="T37" s="66" t="n">
        <f aca="false">-T27*Inputs!$B$29/12*1*(1+Inputs!$B$69)*(1+Inputs!$B$70)^(T$7-1)</f>
        <v>-26316.5</v>
      </c>
      <c r="U37" s="66" t="n">
        <f aca="false">-U27*Inputs!$B$29/12*1*(1+Inputs!$B$69)*(1+Inputs!$B$70)^(U$7-1)</f>
        <v>-26316.5</v>
      </c>
      <c r="V37" s="66" t="n">
        <f aca="false">-V27*Inputs!$B$29/12*1*(1+Inputs!$B$69)*(1+Inputs!$B$70)^(V$7-1)</f>
        <v>-26316.5</v>
      </c>
      <c r="W37" s="66" t="n">
        <f aca="false">-W27*Inputs!$B$29/12*1*(1+Inputs!$B$69)*(1+Inputs!$B$70)^(W$7-1)</f>
        <v>-26316.5</v>
      </c>
      <c r="X37" s="66" t="n">
        <f aca="false">-X27*Inputs!$B$29/12*1*(1+Inputs!$B$69)*(1+Inputs!$B$70)^(X$7-1)</f>
        <v>-26316.5</v>
      </c>
      <c r="Y37" s="66" t="n">
        <f aca="false">-Y27*Inputs!$B$29/12*1*(1+Inputs!$B$69)*(1+Inputs!$B$70)^(Y$7-1)</f>
        <v>-26316.5</v>
      </c>
      <c r="Z37" s="66" t="n">
        <f aca="false">-Z27*Inputs!$B$29/12*1*(1+Inputs!$B$69)*(1+Inputs!$B$70)^(Z$7-1)</f>
        <v>-26316.5</v>
      </c>
      <c r="AA37" s="66" t="n">
        <f aca="false">-AA27*Inputs!$B$29/12*1*(1+Inputs!$B$69)*(1+Inputs!$B$70)^(AA$7-1)</f>
        <v>-27105.995</v>
      </c>
      <c r="AB37" s="66" t="n">
        <f aca="false">-AB27*Inputs!$B$29/12*1*(1+Inputs!$B$69)*(1+Inputs!$B$70)^(AB$7-1)</f>
        <v>-27105.995</v>
      </c>
      <c r="AC37" s="66" t="n">
        <f aca="false">-AC27*Inputs!$B$29/12*1*(1+Inputs!$B$69)*(1+Inputs!$B$70)^(AC$7-1)</f>
        <v>-27105.995</v>
      </c>
      <c r="AD37" s="66" t="n">
        <f aca="false">-AD27*Inputs!$B$29/12*1*(1+Inputs!$B$69)*(1+Inputs!$B$70)^(AD$7-1)</f>
        <v>-27105.995</v>
      </c>
      <c r="AE37" s="66" t="n">
        <f aca="false">-AE27*Inputs!$B$29/12*1*(1+Inputs!$B$69)*(1+Inputs!$B$70)^(AE$7-1)</f>
        <v>-27105.995</v>
      </c>
      <c r="AF37" s="66" t="n">
        <f aca="false">-AF27*Inputs!$B$29/12*1*(1+Inputs!$B$69)*(1+Inputs!$B$70)^(AF$7-1)</f>
        <v>-27105.995</v>
      </c>
      <c r="AG37" s="66" t="n">
        <f aca="false">-AG27*Inputs!$B$29/12*1*(1+Inputs!$B$69)*(1+Inputs!$B$70)^(AG$7-1)</f>
        <v>-27105.995</v>
      </c>
      <c r="AH37" s="66" t="n">
        <f aca="false">-AH27*Inputs!$B$29/12*1*(1+Inputs!$B$69)*(1+Inputs!$B$70)^(AH$7-1)</f>
        <v>-27105.995</v>
      </c>
      <c r="AI37" s="66" t="n">
        <f aca="false">-AI27*Inputs!$B$29/12*1*(1+Inputs!$B$69)*(1+Inputs!$B$70)^(AI$7-1)</f>
        <v>-27105.995</v>
      </c>
      <c r="AJ37" s="66" t="n">
        <f aca="false">-AJ27*Inputs!$B$29/12*1*(1+Inputs!$B$69)*(1+Inputs!$B$70)^(AJ$7-1)</f>
        <v>-27105.995</v>
      </c>
      <c r="AK37" s="66" t="n">
        <f aca="false">-AK27*Inputs!$B$29/12*1*(1+Inputs!$B$69)*(1+Inputs!$B$70)^(AK$7-1)</f>
        <v>-27105.995</v>
      </c>
      <c r="AL37" s="66" t="n">
        <f aca="false">-AL27*Inputs!$B$29/12*1*(1+Inputs!$B$69)*(1+Inputs!$B$70)^(AL$7-1)</f>
        <v>-27105.995</v>
      </c>
      <c r="AM37" s="66" t="n">
        <f aca="false">-AM27*Inputs!$B$29/12*1*(1+Inputs!$B$69)*(1+Inputs!$B$70)^(AM$7-1)</f>
        <v>-27919.17485</v>
      </c>
      <c r="AN37" s="66" t="n">
        <f aca="false">-AN27*Inputs!$B$29/12*1*(1+Inputs!$B$69)*(1+Inputs!$B$70)^(AN$7-1)</f>
        <v>-27919.17485</v>
      </c>
      <c r="AO37" s="66" t="n">
        <f aca="false">-AO27*Inputs!$B$29/12*1*(1+Inputs!$B$69)*(1+Inputs!$B$70)^(AO$7-1)</f>
        <v>-27919.17485</v>
      </c>
      <c r="AP37" s="66" t="n">
        <f aca="false">-AP27*Inputs!$B$29/12*1*(1+Inputs!$B$69)*(1+Inputs!$B$70)^(AP$7-1)</f>
        <v>-27919.17485</v>
      </c>
      <c r="AQ37" s="66" t="n">
        <f aca="false">-AQ27*Inputs!$B$29/12*1*(1+Inputs!$B$69)*(1+Inputs!$B$70)^(AQ$7-1)</f>
        <v>-27919.17485</v>
      </c>
      <c r="AR37" s="66" t="n">
        <f aca="false">-AR27*Inputs!$B$29/12*1*(1+Inputs!$B$69)*(1+Inputs!$B$70)^(AR$7-1)</f>
        <v>-27919.17485</v>
      </c>
      <c r="AS37" s="66" t="n">
        <f aca="false">-AS27*Inputs!$B$29/12*1*(1+Inputs!$B$69)*(1+Inputs!$B$70)^(AS$7-1)</f>
        <v>-27919.17485</v>
      </c>
      <c r="AT37" s="66" t="n">
        <f aca="false">-AT27*Inputs!$B$29/12*1*(1+Inputs!$B$69)*(1+Inputs!$B$70)^(AT$7-1)</f>
        <v>-27919.17485</v>
      </c>
      <c r="AU37" s="66" t="n">
        <f aca="false">-AU27*Inputs!$B$29/12*1*(1+Inputs!$B$69)*(1+Inputs!$B$70)^(AU$7-1)</f>
        <v>-27919.17485</v>
      </c>
      <c r="AV37" s="66" t="n">
        <f aca="false">-AV27*Inputs!$B$29/12*1*(1+Inputs!$B$69)*(1+Inputs!$B$70)^(AV$7-1)</f>
        <v>-27919.17485</v>
      </c>
      <c r="AW37" s="66" t="n">
        <f aca="false">-AW27*Inputs!$B$29/12*1*(1+Inputs!$B$69)*(1+Inputs!$B$70)^(AW$7-1)</f>
        <v>-27919.17485</v>
      </c>
      <c r="AX37" s="66" t="n">
        <f aca="false">-AX27*Inputs!$B$29/12*1*(1+Inputs!$B$69)*(1+Inputs!$B$70)^(AX$7-1)</f>
        <v>-27919.17485</v>
      </c>
      <c r="AY37" s="66" t="n">
        <f aca="false">-AY27*Inputs!$B$29/12*1*(1+Inputs!$B$69)*(1+Inputs!$B$70)^(AY$7-1)</f>
        <v>-28756.7500955</v>
      </c>
      <c r="AZ37" s="66" t="n">
        <f aca="false">-AZ27*Inputs!$B$29/12*1*(1+Inputs!$B$69)*(1+Inputs!$B$70)^(AZ$7-1)</f>
        <v>-28756.7500955</v>
      </c>
      <c r="BA37" s="66" t="n">
        <f aca="false">-BA27*Inputs!$B$29/12*1*(1+Inputs!$B$69)*(1+Inputs!$B$70)^(BA$7-1)</f>
        <v>-28756.7500955</v>
      </c>
      <c r="BB37" s="66" t="n">
        <f aca="false">-BB27*Inputs!$B$29/12*1*(1+Inputs!$B$69)*(1+Inputs!$B$70)^(BB$7-1)</f>
        <v>-28756.7500955</v>
      </c>
      <c r="BC37" s="66" t="n">
        <f aca="false">-BC27*Inputs!$B$29/12*1*(1+Inputs!$B$69)*(1+Inputs!$B$70)^(BC$7-1)</f>
        <v>-28756.7500955</v>
      </c>
      <c r="BD37" s="66" t="n">
        <f aca="false">-BD27*Inputs!$B$29/12*1*(1+Inputs!$B$69)*(1+Inputs!$B$70)^(BD$7-1)</f>
        <v>-28756.7500955</v>
      </c>
      <c r="BE37" s="66" t="n">
        <f aca="false">-BE27*Inputs!$B$29/12*1*(1+Inputs!$B$69)*(1+Inputs!$B$70)^(BE$7-1)</f>
        <v>-28756.7500955</v>
      </c>
      <c r="BF37" s="66" t="n">
        <f aca="false">-BF27*Inputs!$B$29/12*1*(1+Inputs!$B$69)*(1+Inputs!$B$70)^(BF$7-1)</f>
        <v>-28756.7500955</v>
      </c>
      <c r="BG37" s="66" t="n">
        <f aca="false">-BG27*Inputs!$B$29/12*1*(1+Inputs!$B$69)*(1+Inputs!$B$70)^(BG$7-1)</f>
        <v>-28756.7500955</v>
      </c>
      <c r="BH37" s="66" t="n">
        <f aca="false">-BH27*Inputs!$B$29/12*1*(1+Inputs!$B$69)*(1+Inputs!$B$70)^(BH$7-1)</f>
        <v>-28756.7500955</v>
      </c>
      <c r="BI37" s="66" t="n">
        <f aca="false">-BI27*Inputs!$B$29/12*1*(1+Inputs!$B$69)*(1+Inputs!$B$70)^(BI$7-1)</f>
        <v>-28756.7500955</v>
      </c>
      <c r="BJ37" s="66" t="n">
        <f aca="false">-BJ27*Inputs!$B$29/12*1*(1+Inputs!$B$69)*(1+Inputs!$B$70)^(BJ$7-1)</f>
        <v>-28756.7500955</v>
      </c>
    </row>
    <row r="38" customFormat="false" ht="15" hidden="false" customHeight="false" outlineLevel="0" collapsed="false">
      <c r="A38" s="6" t="s">
        <v>433</v>
      </c>
      <c r="C38" s="66" t="n">
        <f aca="false">-C17*Inputs!$B$32*Inputs!$B$13*1*(1+Inputs!$B$34)^(C$7-1)</f>
        <v>-793.8</v>
      </c>
      <c r="D38" s="66" t="n">
        <f aca="false">-D17*Inputs!$B$32*Inputs!$B$13*1*(1+Inputs!$B$34)^(D$7-1)</f>
        <v>-979.02</v>
      </c>
      <c r="E38" s="66" t="n">
        <f aca="false">-E17*Inputs!$B$32*Inputs!$B$13*1*(1+Inputs!$B$34)^(E$7-1)</f>
        <v>-1164.24</v>
      </c>
      <c r="F38" s="66" t="n">
        <f aca="false">-F17*Inputs!$B$32*Inputs!$B$13*1*(1+Inputs!$B$34)^(F$7-1)</f>
        <v>-1349.46</v>
      </c>
      <c r="G38" s="66" t="n">
        <f aca="false">-G17*Inputs!$B$32*Inputs!$B$13*1*(1+Inputs!$B$34)^(G$7-1)</f>
        <v>-1534.68</v>
      </c>
      <c r="H38" s="66" t="n">
        <f aca="false">-H17*Inputs!$B$32*Inputs!$B$13*1*(1+Inputs!$B$34)^(H$7-1)</f>
        <v>-1719.9</v>
      </c>
      <c r="I38" s="66" t="n">
        <f aca="false">-I17*Inputs!$B$32*Inputs!$B$13*1*(1+Inputs!$B$34)^(I$7-1)</f>
        <v>-1905.12</v>
      </c>
      <c r="J38" s="66" t="n">
        <f aca="false">-J17*Inputs!$B$32*Inputs!$B$13*1*(1+Inputs!$B$34)^(J$7-1)</f>
        <v>-2090.34</v>
      </c>
      <c r="K38" s="66" t="n">
        <f aca="false">-K17*Inputs!$B$32*Inputs!$B$13*1*(1+Inputs!$B$34)^(K$7-1)</f>
        <v>-2275.56</v>
      </c>
      <c r="L38" s="66" t="n">
        <f aca="false">-L17*Inputs!$B$32*Inputs!$B$13*1*(1+Inputs!$B$34)^(L$7-1)</f>
        <v>-2460.78</v>
      </c>
      <c r="M38" s="66" t="n">
        <f aca="false">-M17*Inputs!$B$32*Inputs!$B$13*1*(1+Inputs!$B$34)^(M$7-1)</f>
        <v>-2646</v>
      </c>
      <c r="N38" s="66" t="n">
        <f aca="false">-N17*Inputs!$B$32*Inputs!$B$13*1*(1+Inputs!$B$34)^(N$7-1)</f>
        <v>-2831.22</v>
      </c>
      <c r="O38" s="66" t="n">
        <f aca="false">-O17*Inputs!$B$32*Inputs!$B$13*1*(1+Inputs!$B$34)^(O$7-1)</f>
        <v>-3106.9332</v>
      </c>
      <c r="P38" s="66" t="n">
        <f aca="false">-P17*Inputs!$B$32*Inputs!$B$13*1*(1+Inputs!$B$34)^(P$7-1)</f>
        <v>-3297.7098</v>
      </c>
      <c r="Q38" s="66" t="n">
        <f aca="false">-Q17*Inputs!$B$32*Inputs!$B$13*1*(1+Inputs!$B$34)^(Q$7-1)</f>
        <v>-3488.4864</v>
      </c>
      <c r="R38" s="66" t="n">
        <f aca="false">-R17*Inputs!$B$32*Inputs!$B$13*1*(1+Inputs!$B$34)^(R$7-1)</f>
        <v>-3679.263</v>
      </c>
      <c r="S38" s="66" t="n">
        <f aca="false">-S17*Inputs!$B$32*Inputs!$B$13*1*(1+Inputs!$B$34)^(S$7-1)</f>
        <v>-3870.0396</v>
      </c>
      <c r="T38" s="66" t="n">
        <f aca="false">-T17*Inputs!$B$32*Inputs!$B$13*1*(1+Inputs!$B$34)^(T$7-1)</f>
        <v>-4060.8162</v>
      </c>
      <c r="U38" s="66" t="n">
        <f aca="false">-U17*Inputs!$B$32*Inputs!$B$13*1*(1+Inputs!$B$34)^(U$7-1)</f>
        <v>-4251.5928</v>
      </c>
      <c r="V38" s="66" t="n">
        <f aca="false">-V17*Inputs!$B$32*Inputs!$B$13*1*(1+Inputs!$B$34)^(V$7-1)</f>
        <v>-4251.5928</v>
      </c>
      <c r="W38" s="66" t="n">
        <f aca="false">-W17*Inputs!$B$32*Inputs!$B$13*1*(1+Inputs!$B$34)^(W$7-1)</f>
        <v>-4251.5928</v>
      </c>
      <c r="X38" s="66" t="n">
        <f aca="false">-X17*Inputs!$B$32*Inputs!$B$13*1*(1+Inputs!$B$34)^(X$7-1)</f>
        <v>-4251.5928</v>
      </c>
      <c r="Y38" s="66" t="n">
        <f aca="false">-Y17*Inputs!$B$32*Inputs!$B$13*1*(1+Inputs!$B$34)^(Y$7-1)</f>
        <v>-4251.5928</v>
      </c>
      <c r="Z38" s="66" t="n">
        <f aca="false">-Z17*Inputs!$B$32*Inputs!$B$13*1*(1+Inputs!$B$34)^(Z$7-1)</f>
        <v>-4251.5928</v>
      </c>
      <c r="AA38" s="66" t="n">
        <f aca="false">-AA17*Inputs!$B$32*Inputs!$B$13*1*(1+Inputs!$B$34)^(AA$7-1)</f>
        <v>-4379.140584</v>
      </c>
      <c r="AB38" s="66" t="n">
        <f aca="false">-AB17*Inputs!$B$32*Inputs!$B$13*1*(1+Inputs!$B$34)^(AB$7-1)</f>
        <v>-4379.140584</v>
      </c>
      <c r="AC38" s="66" t="n">
        <f aca="false">-AC17*Inputs!$B$32*Inputs!$B$13*1*(1+Inputs!$B$34)^(AC$7-1)</f>
        <v>-4379.140584</v>
      </c>
      <c r="AD38" s="66" t="n">
        <f aca="false">-AD17*Inputs!$B$32*Inputs!$B$13*1*(1+Inputs!$B$34)^(AD$7-1)</f>
        <v>-4379.140584</v>
      </c>
      <c r="AE38" s="66" t="n">
        <f aca="false">-AE17*Inputs!$B$32*Inputs!$B$13*1*(1+Inputs!$B$34)^(AE$7-1)</f>
        <v>-4379.140584</v>
      </c>
      <c r="AF38" s="66" t="n">
        <f aca="false">-AF17*Inputs!$B$32*Inputs!$B$13*1*(1+Inputs!$B$34)^(AF$7-1)</f>
        <v>-4379.140584</v>
      </c>
      <c r="AG38" s="66" t="n">
        <f aca="false">-AG17*Inputs!$B$32*Inputs!$B$13*1*(1+Inputs!$B$34)^(AG$7-1)</f>
        <v>-4379.140584</v>
      </c>
      <c r="AH38" s="66" t="n">
        <f aca="false">-AH17*Inputs!$B$32*Inputs!$B$13*1*(1+Inputs!$B$34)^(AH$7-1)</f>
        <v>-4379.140584</v>
      </c>
      <c r="AI38" s="66" t="n">
        <f aca="false">-AI17*Inputs!$B$32*Inputs!$B$13*1*(1+Inputs!$B$34)^(AI$7-1)</f>
        <v>-4379.140584</v>
      </c>
      <c r="AJ38" s="66" t="n">
        <f aca="false">-AJ17*Inputs!$B$32*Inputs!$B$13*1*(1+Inputs!$B$34)^(AJ$7-1)</f>
        <v>-4379.140584</v>
      </c>
      <c r="AK38" s="66" t="n">
        <f aca="false">-AK17*Inputs!$B$32*Inputs!$B$13*1*(1+Inputs!$B$34)^(AK$7-1)</f>
        <v>-4379.140584</v>
      </c>
      <c r="AL38" s="66" t="n">
        <f aca="false">-AL17*Inputs!$B$32*Inputs!$B$13*1*(1+Inputs!$B$34)^(AL$7-1)</f>
        <v>-4379.140584</v>
      </c>
      <c r="AM38" s="66" t="n">
        <f aca="false">-AM17*Inputs!$B$32*Inputs!$B$13*1*(1+Inputs!$B$34)^(AM$7-1)</f>
        <v>-4510.51480152</v>
      </c>
      <c r="AN38" s="66" t="n">
        <f aca="false">-AN17*Inputs!$B$32*Inputs!$B$13*1*(1+Inputs!$B$34)^(AN$7-1)</f>
        <v>-4510.51480152</v>
      </c>
      <c r="AO38" s="66" t="n">
        <f aca="false">-AO17*Inputs!$B$32*Inputs!$B$13*1*(1+Inputs!$B$34)^(AO$7-1)</f>
        <v>-4510.51480152</v>
      </c>
      <c r="AP38" s="66" t="n">
        <f aca="false">-AP17*Inputs!$B$32*Inputs!$B$13*1*(1+Inputs!$B$34)^(AP$7-1)</f>
        <v>-4510.51480152</v>
      </c>
      <c r="AQ38" s="66" t="n">
        <f aca="false">-AQ17*Inputs!$B$32*Inputs!$B$13*1*(1+Inputs!$B$34)^(AQ$7-1)</f>
        <v>-4510.51480152</v>
      </c>
      <c r="AR38" s="66" t="n">
        <f aca="false">-AR17*Inputs!$B$32*Inputs!$B$13*1*(1+Inputs!$B$34)^(AR$7-1)</f>
        <v>-4510.51480152</v>
      </c>
      <c r="AS38" s="66" t="n">
        <f aca="false">-AS17*Inputs!$B$32*Inputs!$B$13*1*(1+Inputs!$B$34)^(AS$7-1)</f>
        <v>-4510.51480152</v>
      </c>
      <c r="AT38" s="66" t="n">
        <f aca="false">-AT17*Inputs!$B$32*Inputs!$B$13*1*(1+Inputs!$B$34)^(AT$7-1)</f>
        <v>-4510.51480152</v>
      </c>
      <c r="AU38" s="66" t="n">
        <f aca="false">-AU17*Inputs!$B$32*Inputs!$B$13*1*(1+Inputs!$B$34)^(AU$7-1)</f>
        <v>-4510.51480152</v>
      </c>
      <c r="AV38" s="66" t="n">
        <f aca="false">-AV17*Inputs!$B$32*Inputs!$B$13*1*(1+Inputs!$B$34)^(AV$7-1)</f>
        <v>-4510.51480152</v>
      </c>
      <c r="AW38" s="66" t="n">
        <f aca="false">-AW17*Inputs!$B$32*Inputs!$B$13*1*(1+Inputs!$B$34)^(AW$7-1)</f>
        <v>-4510.51480152</v>
      </c>
      <c r="AX38" s="66" t="n">
        <f aca="false">-AX17*Inputs!$B$32*Inputs!$B$13*1*(1+Inputs!$B$34)^(AX$7-1)</f>
        <v>-4510.51480152</v>
      </c>
      <c r="AY38" s="66" t="n">
        <f aca="false">-AY17*Inputs!$B$32*Inputs!$B$13*1*(1+Inputs!$B$34)^(AY$7-1)</f>
        <v>-4645.8302455656</v>
      </c>
      <c r="AZ38" s="66" t="n">
        <f aca="false">-AZ17*Inputs!$B$32*Inputs!$B$13*1*(1+Inputs!$B$34)^(AZ$7-1)</f>
        <v>-4645.8302455656</v>
      </c>
      <c r="BA38" s="66" t="n">
        <f aca="false">-BA17*Inputs!$B$32*Inputs!$B$13*1*(1+Inputs!$B$34)^(BA$7-1)</f>
        <v>-4645.8302455656</v>
      </c>
      <c r="BB38" s="66" t="n">
        <f aca="false">-BB17*Inputs!$B$32*Inputs!$B$13*1*(1+Inputs!$B$34)^(BB$7-1)</f>
        <v>-4645.8302455656</v>
      </c>
      <c r="BC38" s="66" t="n">
        <f aca="false">-BC17*Inputs!$B$32*Inputs!$B$13*1*(1+Inputs!$B$34)^(BC$7-1)</f>
        <v>-4645.8302455656</v>
      </c>
      <c r="BD38" s="66" t="n">
        <f aca="false">-BD17*Inputs!$B$32*Inputs!$B$13*1*(1+Inputs!$B$34)^(BD$7-1)</f>
        <v>-4645.8302455656</v>
      </c>
      <c r="BE38" s="66" t="n">
        <f aca="false">-BE17*Inputs!$B$32*Inputs!$B$13*1*(1+Inputs!$B$34)^(BE$7-1)</f>
        <v>-4645.8302455656</v>
      </c>
      <c r="BF38" s="66" t="n">
        <f aca="false">-BF17*Inputs!$B$32*Inputs!$B$13*1*(1+Inputs!$B$34)^(BF$7-1)</f>
        <v>-4645.8302455656</v>
      </c>
      <c r="BG38" s="66" t="n">
        <f aca="false">-BG17*Inputs!$B$32*Inputs!$B$13*1*(1+Inputs!$B$34)^(BG$7-1)</f>
        <v>-4645.8302455656</v>
      </c>
      <c r="BH38" s="66" t="n">
        <f aca="false">-BH17*Inputs!$B$32*Inputs!$B$13*1*(1+Inputs!$B$34)^(BH$7-1)</f>
        <v>-4645.8302455656</v>
      </c>
      <c r="BI38" s="66" t="n">
        <f aca="false">-BI17*Inputs!$B$32*Inputs!$B$13*1*(1+Inputs!$B$34)^(BI$7-1)</f>
        <v>-4645.8302455656</v>
      </c>
      <c r="BJ38" s="66" t="n">
        <f aca="false">-BJ17*Inputs!$B$32*Inputs!$B$13*1*(1+Inputs!$B$34)^(BJ$7-1)</f>
        <v>-4645.8302455656</v>
      </c>
    </row>
    <row r="39" customFormat="false" ht="15" hidden="false" customHeight="false" outlineLevel="0" collapsed="false">
      <c r="A39" s="6" t="s">
        <v>434</v>
      </c>
      <c r="C39" s="66" t="n">
        <f aca="false">-C17*Inputs!$B$33*1*(1+Inputs!$B$34)^(C$7-1)</f>
        <v>-297</v>
      </c>
      <c r="D39" s="66" t="n">
        <f aca="false">-D17*Inputs!$B$33*1*(1+Inputs!$B$34)^(D$7-1)</f>
        <v>-366.3</v>
      </c>
      <c r="E39" s="66" t="n">
        <f aca="false">-E17*Inputs!$B$33*1*(1+Inputs!$B$34)^(E$7-1)</f>
        <v>-435.6</v>
      </c>
      <c r="F39" s="66" t="n">
        <f aca="false">-F17*Inputs!$B$33*1*(1+Inputs!$B$34)^(F$7-1)</f>
        <v>-504.9</v>
      </c>
      <c r="G39" s="66" t="n">
        <f aca="false">-G17*Inputs!$B$33*1*(1+Inputs!$B$34)^(G$7-1)</f>
        <v>-574.2</v>
      </c>
      <c r="H39" s="66" t="n">
        <f aca="false">-H17*Inputs!$B$33*1*(1+Inputs!$B$34)^(H$7-1)</f>
        <v>-643.5</v>
      </c>
      <c r="I39" s="66" t="n">
        <f aca="false">-I17*Inputs!$B$33*1*(1+Inputs!$B$34)^(I$7-1)</f>
        <v>-712.8</v>
      </c>
      <c r="J39" s="66" t="n">
        <f aca="false">-J17*Inputs!$B$33*1*(1+Inputs!$B$34)^(J$7-1)</f>
        <v>-782.1</v>
      </c>
      <c r="K39" s="66" t="n">
        <f aca="false">-K17*Inputs!$B$33*1*(1+Inputs!$B$34)^(K$7-1)</f>
        <v>-851.4</v>
      </c>
      <c r="L39" s="66" t="n">
        <f aca="false">-L17*Inputs!$B$33*1*(1+Inputs!$B$34)^(L$7-1)</f>
        <v>-920.7</v>
      </c>
      <c r="M39" s="66" t="n">
        <f aca="false">-M17*Inputs!$B$33*1*(1+Inputs!$B$34)^(M$7-1)</f>
        <v>-990</v>
      </c>
      <c r="N39" s="66" t="n">
        <f aca="false">-N17*Inputs!$B$33*1*(1+Inputs!$B$34)^(N$7-1)</f>
        <v>-1059.3</v>
      </c>
      <c r="O39" s="66" t="n">
        <f aca="false">-O17*Inputs!$B$33*1*(1+Inputs!$B$34)^(O$7-1)</f>
        <v>-1162.458</v>
      </c>
      <c r="P39" s="66" t="n">
        <f aca="false">-P17*Inputs!$B$33*1*(1+Inputs!$B$34)^(P$7-1)</f>
        <v>-1233.837</v>
      </c>
      <c r="Q39" s="66" t="n">
        <f aca="false">-Q17*Inputs!$B$33*1*(1+Inputs!$B$34)^(Q$7-1)</f>
        <v>-1305.216</v>
      </c>
      <c r="R39" s="66" t="n">
        <f aca="false">-R17*Inputs!$B$33*1*(1+Inputs!$B$34)^(R$7-1)</f>
        <v>-1376.595</v>
      </c>
      <c r="S39" s="66" t="n">
        <f aca="false">-S17*Inputs!$B$33*1*(1+Inputs!$B$34)^(S$7-1)</f>
        <v>-1447.974</v>
      </c>
      <c r="T39" s="66" t="n">
        <f aca="false">-T17*Inputs!$B$33*1*(1+Inputs!$B$34)^(T$7-1)</f>
        <v>-1519.353</v>
      </c>
      <c r="U39" s="66" t="n">
        <f aca="false">-U17*Inputs!$B$33*1*(1+Inputs!$B$34)^(U$7-1)</f>
        <v>-1590.732</v>
      </c>
      <c r="V39" s="66" t="n">
        <f aca="false">-V17*Inputs!$B$33*1*(1+Inputs!$B$34)^(V$7-1)</f>
        <v>-1590.732</v>
      </c>
      <c r="W39" s="66" t="n">
        <f aca="false">-W17*Inputs!$B$33*1*(1+Inputs!$B$34)^(W$7-1)</f>
        <v>-1590.732</v>
      </c>
      <c r="X39" s="66" t="n">
        <f aca="false">-X17*Inputs!$B$33*1*(1+Inputs!$B$34)^(X$7-1)</f>
        <v>-1590.732</v>
      </c>
      <c r="Y39" s="66" t="n">
        <f aca="false">-Y17*Inputs!$B$33*1*(1+Inputs!$B$34)^(Y$7-1)</f>
        <v>-1590.732</v>
      </c>
      <c r="Z39" s="66" t="n">
        <f aca="false">-Z17*Inputs!$B$33*1*(1+Inputs!$B$34)^(Z$7-1)</f>
        <v>-1590.732</v>
      </c>
      <c r="AA39" s="66" t="n">
        <f aca="false">-AA17*Inputs!$B$33*1*(1+Inputs!$B$34)^(AA$7-1)</f>
        <v>-1638.45396</v>
      </c>
      <c r="AB39" s="66" t="n">
        <f aca="false">-AB17*Inputs!$B$33*1*(1+Inputs!$B$34)^(AB$7-1)</f>
        <v>-1638.45396</v>
      </c>
      <c r="AC39" s="66" t="n">
        <f aca="false">-AC17*Inputs!$B$33*1*(1+Inputs!$B$34)^(AC$7-1)</f>
        <v>-1638.45396</v>
      </c>
      <c r="AD39" s="66" t="n">
        <f aca="false">-AD17*Inputs!$B$33*1*(1+Inputs!$B$34)^(AD$7-1)</f>
        <v>-1638.45396</v>
      </c>
      <c r="AE39" s="66" t="n">
        <f aca="false">-AE17*Inputs!$B$33*1*(1+Inputs!$B$34)^(AE$7-1)</f>
        <v>-1638.45396</v>
      </c>
      <c r="AF39" s="66" t="n">
        <f aca="false">-AF17*Inputs!$B$33*1*(1+Inputs!$B$34)^(AF$7-1)</f>
        <v>-1638.45396</v>
      </c>
      <c r="AG39" s="66" t="n">
        <f aca="false">-AG17*Inputs!$B$33*1*(1+Inputs!$B$34)^(AG$7-1)</f>
        <v>-1638.45396</v>
      </c>
      <c r="AH39" s="66" t="n">
        <f aca="false">-AH17*Inputs!$B$33*1*(1+Inputs!$B$34)^(AH$7-1)</f>
        <v>-1638.45396</v>
      </c>
      <c r="AI39" s="66" t="n">
        <f aca="false">-AI17*Inputs!$B$33*1*(1+Inputs!$B$34)^(AI$7-1)</f>
        <v>-1638.45396</v>
      </c>
      <c r="AJ39" s="66" t="n">
        <f aca="false">-AJ17*Inputs!$B$33*1*(1+Inputs!$B$34)^(AJ$7-1)</f>
        <v>-1638.45396</v>
      </c>
      <c r="AK39" s="66" t="n">
        <f aca="false">-AK17*Inputs!$B$33*1*(1+Inputs!$B$34)^(AK$7-1)</f>
        <v>-1638.45396</v>
      </c>
      <c r="AL39" s="66" t="n">
        <f aca="false">-AL17*Inputs!$B$33*1*(1+Inputs!$B$34)^(AL$7-1)</f>
        <v>-1638.45396</v>
      </c>
      <c r="AM39" s="66" t="n">
        <f aca="false">-AM17*Inputs!$B$33*1*(1+Inputs!$B$34)^(AM$7-1)</f>
        <v>-1687.6075788</v>
      </c>
      <c r="AN39" s="66" t="n">
        <f aca="false">-AN17*Inputs!$B$33*1*(1+Inputs!$B$34)^(AN$7-1)</f>
        <v>-1687.6075788</v>
      </c>
      <c r="AO39" s="66" t="n">
        <f aca="false">-AO17*Inputs!$B$33*1*(1+Inputs!$B$34)^(AO$7-1)</f>
        <v>-1687.6075788</v>
      </c>
      <c r="AP39" s="66" t="n">
        <f aca="false">-AP17*Inputs!$B$33*1*(1+Inputs!$B$34)^(AP$7-1)</f>
        <v>-1687.6075788</v>
      </c>
      <c r="AQ39" s="66" t="n">
        <f aca="false">-AQ17*Inputs!$B$33*1*(1+Inputs!$B$34)^(AQ$7-1)</f>
        <v>-1687.6075788</v>
      </c>
      <c r="AR39" s="66" t="n">
        <f aca="false">-AR17*Inputs!$B$33*1*(1+Inputs!$B$34)^(AR$7-1)</f>
        <v>-1687.6075788</v>
      </c>
      <c r="AS39" s="66" t="n">
        <f aca="false">-AS17*Inputs!$B$33*1*(1+Inputs!$B$34)^(AS$7-1)</f>
        <v>-1687.6075788</v>
      </c>
      <c r="AT39" s="66" t="n">
        <f aca="false">-AT17*Inputs!$B$33*1*(1+Inputs!$B$34)^(AT$7-1)</f>
        <v>-1687.6075788</v>
      </c>
      <c r="AU39" s="66" t="n">
        <f aca="false">-AU17*Inputs!$B$33*1*(1+Inputs!$B$34)^(AU$7-1)</f>
        <v>-1687.6075788</v>
      </c>
      <c r="AV39" s="66" t="n">
        <f aca="false">-AV17*Inputs!$B$33*1*(1+Inputs!$B$34)^(AV$7-1)</f>
        <v>-1687.6075788</v>
      </c>
      <c r="AW39" s="66" t="n">
        <f aca="false">-AW17*Inputs!$B$33*1*(1+Inputs!$B$34)^(AW$7-1)</f>
        <v>-1687.6075788</v>
      </c>
      <c r="AX39" s="66" t="n">
        <f aca="false">-AX17*Inputs!$B$33*1*(1+Inputs!$B$34)^(AX$7-1)</f>
        <v>-1687.6075788</v>
      </c>
      <c r="AY39" s="66" t="n">
        <f aca="false">-AY17*Inputs!$B$33*1*(1+Inputs!$B$34)^(AY$7-1)</f>
        <v>-1738.235806164</v>
      </c>
      <c r="AZ39" s="66" t="n">
        <f aca="false">-AZ17*Inputs!$B$33*1*(1+Inputs!$B$34)^(AZ$7-1)</f>
        <v>-1738.235806164</v>
      </c>
      <c r="BA39" s="66" t="n">
        <f aca="false">-BA17*Inputs!$B$33*1*(1+Inputs!$B$34)^(BA$7-1)</f>
        <v>-1738.235806164</v>
      </c>
      <c r="BB39" s="66" t="n">
        <f aca="false">-BB17*Inputs!$B$33*1*(1+Inputs!$B$34)^(BB$7-1)</f>
        <v>-1738.235806164</v>
      </c>
      <c r="BC39" s="66" t="n">
        <f aca="false">-BC17*Inputs!$B$33*1*(1+Inputs!$B$34)^(BC$7-1)</f>
        <v>-1738.235806164</v>
      </c>
      <c r="BD39" s="66" t="n">
        <f aca="false">-BD17*Inputs!$B$33*1*(1+Inputs!$B$34)^(BD$7-1)</f>
        <v>-1738.235806164</v>
      </c>
      <c r="BE39" s="66" t="n">
        <f aca="false">-BE17*Inputs!$B$33*1*(1+Inputs!$B$34)^(BE$7-1)</f>
        <v>-1738.235806164</v>
      </c>
      <c r="BF39" s="66" t="n">
        <f aca="false">-BF17*Inputs!$B$33*1*(1+Inputs!$B$34)^(BF$7-1)</f>
        <v>-1738.235806164</v>
      </c>
      <c r="BG39" s="66" t="n">
        <f aca="false">-BG17*Inputs!$B$33*1*(1+Inputs!$B$34)^(BG$7-1)</f>
        <v>-1738.235806164</v>
      </c>
      <c r="BH39" s="66" t="n">
        <f aca="false">-BH17*Inputs!$B$33*1*(1+Inputs!$B$34)^(BH$7-1)</f>
        <v>-1738.235806164</v>
      </c>
      <c r="BI39" s="66" t="n">
        <f aca="false">-BI17*Inputs!$B$33*1*(1+Inputs!$B$34)^(BI$7-1)</f>
        <v>-1738.235806164</v>
      </c>
      <c r="BJ39" s="66" t="n">
        <f aca="false">-BJ17*Inputs!$B$33*1*(1+Inputs!$B$34)^(BJ$7-1)</f>
        <v>-1738.235806164</v>
      </c>
    </row>
    <row r="40" customFormat="false" ht="15" hidden="false" customHeight="false" outlineLevel="0" collapsed="false">
      <c r="A40" s="4" t="s">
        <v>75</v>
      </c>
      <c r="C40" s="72" t="n">
        <f aca="false">C37+C38+C39</f>
        <v>-9607.46666666667</v>
      </c>
      <c r="D40" s="72" t="n">
        <f aca="false">D37+D38+D39</f>
        <v>-9861.98666666667</v>
      </c>
      <c r="E40" s="72" t="n">
        <f aca="false">E37+E38+E39</f>
        <v>-10116.5066666667</v>
      </c>
      <c r="F40" s="72" t="n">
        <f aca="false">F37+F38+F39</f>
        <v>-10371.0266666667</v>
      </c>
      <c r="G40" s="72" t="n">
        <f aca="false">G37+G38+G39</f>
        <v>-14883.88</v>
      </c>
      <c r="H40" s="72" t="n">
        <f aca="false">H37+H38+H39</f>
        <v>-19396.7333333333</v>
      </c>
      <c r="I40" s="72" t="n">
        <f aca="false">I37+I38+I39</f>
        <v>-19651.2533333333</v>
      </c>
      <c r="J40" s="72" t="n">
        <f aca="false">J37+J38+J39</f>
        <v>-19905.7733333333</v>
      </c>
      <c r="K40" s="72" t="n">
        <f aca="false">K37+K38+K39</f>
        <v>-20160.2933333333</v>
      </c>
      <c r="L40" s="72" t="n">
        <f aca="false">L37+L38+L39</f>
        <v>-20414.8133333333</v>
      </c>
      <c r="M40" s="72" t="n">
        <f aca="false">M37+M38+M39</f>
        <v>-20669.3333333333</v>
      </c>
      <c r="N40" s="72" t="n">
        <f aca="false">N37+N38+N39</f>
        <v>-20923.8533333333</v>
      </c>
      <c r="O40" s="72" t="n">
        <f aca="false">O37+O38+O39</f>
        <v>-21813.7245333333</v>
      </c>
      <c r="P40" s="72" t="n">
        <f aca="false">P37+P38+P39</f>
        <v>-26461.9634666667</v>
      </c>
      <c r="Q40" s="72" t="n">
        <f aca="false">Q37+Q38+Q39</f>
        <v>-31110.2024</v>
      </c>
      <c r="R40" s="72" t="n">
        <f aca="false">R37+R38+R39</f>
        <v>-31372.358</v>
      </c>
      <c r="S40" s="72" t="n">
        <f aca="false">S37+S38+S39</f>
        <v>-31634.5136</v>
      </c>
      <c r="T40" s="72" t="n">
        <f aca="false">T37+T38+T39</f>
        <v>-31896.6692</v>
      </c>
      <c r="U40" s="72" t="n">
        <f aca="false">U37+U38+U39</f>
        <v>-32158.8248</v>
      </c>
      <c r="V40" s="72" t="n">
        <f aca="false">V37+V38+V39</f>
        <v>-32158.8248</v>
      </c>
      <c r="W40" s="72" t="n">
        <f aca="false">W37+W38+W39</f>
        <v>-32158.8248</v>
      </c>
      <c r="X40" s="72" t="n">
        <f aca="false">X37+X38+X39</f>
        <v>-32158.8248</v>
      </c>
      <c r="Y40" s="72" t="n">
        <f aca="false">Y37+Y38+Y39</f>
        <v>-32158.8248</v>
      </c>
      <c r="Z40" s="72" t="n">
        <f aca="false">Z37+Z38+Z39</f>
        <v>-32158.8248</v>
      </c>
      <c r="AA40" s="72" t="n">
        <f aca="false">AA37+AA38+AA39</f>
        <v>-33123.589544</v>
      </c>
      <c r="AB40" s="72" t="n">
        <f aca="false">AB37+AB38+AB39</f>
        <v>-33123.589544</v>
      </c>
      <c r="AC40" s="72" t="n">
        <f aca="false">AC37+AC38+AC39</f>
        <v>-33123.589544</v>
      </c>
      <c r="AD40" s="72" t="n">
        <f aca="false">AD37+AD38+AD39</f>
        <v>-33123.589544</v>
      </c>
      <c r="AE40" s="72" t="n">
        <f aca="false">AE37+AE38+AE39</f>
        <v>-33123.589544</v>
      </c>
      <c r="AF40" s="72" t="n">
        <f aca="false">AF37+AF38+AF39</f>
        <v>-33123.589544</v>
      </c>
      <c r="AG40" s="72" t="n">
        <f aca="false">AG37+AG38+AG39</f>
        <v>-33123.589544</v>
      </c>
      <c r="AH40" s="72" t="n">
        <f aca="false">AH37+AH38+AH39</f>
        <v>-33123.589544</v>
      </c>
      <c r="AI40" s="72" t="n">
        <f aca="false">AI37+AI38+AI39</f>
        <v>-33123.589544</v>
      </c>
      <c r="AJ40" s="72" t="n">
        <f aca="false">AJ37+AJ38+AJ39</f>
        <v>-33123.589544</v>
      </c>
      <c r="AK40" s="72" t="n">
        <f aca="false">AK37+AK38+AK39</f>
        <v>-33123.589544</v>
      </c>
      <c r="AL40" s="72" t="n">
        <f aca="false">AL37+AL38+AL39</f>
        <v>-33123.589544</v>
      </c>
      <c r="AM40" s="72" t="n">
        <f aca="false">AM37+AM38+AM39</f>
        <v>-34117.29723032</v>
      </c>
      <c r="AN40" s="72" t="n">
        <f aca="false">AN37+AN38+AN39</f>
        <v>-34117.29723032</v>
      </c>
      <c r="AO40" s="72" t="n">
        <f aca="false">AO37+AO38+AO39</f>
        <v>-34117.29723032</v>
      </c>
      <c r="AP40" s="72" t="n">
        <f aca="false">AP37+AP38+AP39</f>
        <v>-34117.29723032</v>
      </c>
      <c r="AQ40" s="72" t="n">
        <f aca="false">AQ37+AQ38+AQ39</f>
        <v>-34117.29723032</v>
      </c>
      <c r="AR40" s="72" t="n">
        <f aca="false">AR37+AR38+AR39</f>
        <v>-34117.29723032</v>
      </c>
      <c r="AS40" s="72" t="n">
        <f aca="false">AS37+AS38+AS39</f>
        <v>-34117.29723032</v>
      </c>
      <c r="AT40" s="72" t="n">
        <f aca="false">AT37+AT38+AT39</f>
        <v>-34117.29723032</v>
      </c>
      <c r="AU40" s="72" t="n">
        <f aca="false">AU37+AU38+AU39</f>
        <v>-34117.29723032</v>
      </c>
      <c r="AV40" s="72" t="n">
        <f aca="false">AV37+AV38+AV39</f>
        <v>-34117.29723032</v>
      </c>
      <c r="AW40" s="72" t="n">
        <f aca="false">AW37+AW38+AW39</f>
        <v>-34117.29723032</v>
      </c>
      <c r="AX40" s="72" t="n">
        <f aca="false">AX37+AX38+AX39</f>
        <v>-34117.29723032</v>
      </c>
      <c r="AY40" s="72" t="n">
        <f aca="false">AY37+AY38+AY39</f>
        <v>-35140.8161472296</v>
      </c>
      <c r="AZ40" s="72" t="n">
        <f aca="false">AZ37+AZ38+AZ39</f>
        <v>-35140.8161472296</v>
      </c>
      <c r="BA40" s="72" t="n">
        <f aca="false">BA37+BA38+BA39</f>
        <v>-35140.8161472296</v>
      </c>
      <c r="BB40" s="72" t="n">
        <f aca="false">BB37+BB38+BB39</f>
        <v>-35140.8161472296</v>
      </c>
      <c r="BC40" s="72" t="n">
        <f aca="false">BC37+BC38+BC39</f>
        <v>-35140.8161472296</v>
      </c>
      <c r="BD40" s="72" t="n">
        <f aca="false">BD37+BD38+BD39</f>
        <v>-35140.8161472296</v>
      </c>
      <c r="BE40" s="72" t="n">
        <f aca="false">BE37+BE38+BE39</f>
        <v>-35140.8161472296</v>
      </c>
      <c r="BF40" s="72" t="n">
        <f aca="false">BF37+BF38+BF39</f>
        <v>-35140.8161472296</v>
      </c>
      <c r="BG40" s="72" t="n">
        <f aca="false">BG37+BG38+BG39</f>
        <v>-35140.8161472296</v>
      </c>
      <c r="BH40" s="72" t="n">
        <f aca="false">BH37+BH38+BH39</f>
        <v>-35140.8161472296</v>
      </c>
      <c r="BI40" s="72" t="n">
        <f aca="false">BI37+BI38+BI39</f>
        <v>-35140.8161472296</v>
      </c>
      <c r="BJ40" s="72" t="n">
        <f aca="false">BJ37+BJ38+BJ39</f>
        <v>-35140.8161472296</v>
      </c>
    </row>
    <row r="41" customFormat="false" ht="15" hidden="false" customHeight="false" outlineLevel="0" collapsed="false">
      <c r="A41" s="110" t="s">
        <v>45</v>
      </c>
      <c r="C41" s="67" t="n">
        <f aca="false">C34+C40</f>
        <v>954.318333333333</v>
      </c>
      <c r="D41" s="67" t="n">
        <f aca="false">D34+D40</f>
        <v>2264.21483333333</v>
      </c>
      <c r="E41" s="67" t="n">
        <f aca="false">E34+E40</f>
        <v>4264.11133333333</v>
      </c>
      <c r="F41" s="67" t="n">
        <f aca="false">F34+F40</f>
        <v>6264.00783333334</v>
      </c>
      <c r="G41" s="67" t="n">
        <f aca="false">G34+G40</f>
        <v>4005.571</v>
      </c>
      <c r="H41" s="67" t="n">
        <f aca="false">H34+H40</f>
        <v>1747.13416666666</v>
      </c>
      <c r="I41" s="67" t="n">
        <f aca="false">I34+I40</f>
        <v>3747.03066666667</v>
      </c>
      <c r="J41" s="67" t="n">
        <f aca="false">J34+J40</f>
        <v>5746.92716666667</v>
      </c>
      <c r="K41" s="67" t="n">
        <f aca="false">K34+K40</f>
        <v>7746.82366666666</v>
      </c>
      <c r="L41" s="67" t="n">
        <f aca="false">L34+L40</f>
        <v>9746.72016666667</v>
      </c>
      <c r="M41" s="67" t="n">
        <f aca="false">M34+M40</f>
        <v>11746.6166666667</v>
      </c>
      <c r="N41" s="67" t="n">
        <f aca="false">N34+N40</f>
        <v>13746.5131666667</v>
      </c>
      <c r="O41" s="67" t="n">
        <f aca="false">O34+O40</f>
        <v>16034.1780416667</v>
      </c>
      <c r="P41" s="67" t="n">
        <f aca="false">P34+P40</f>
        <v>13696.7160208333</v>
      </c>
      <c r="Q41" s="67" t="n">
        <f aca="false">Q34+Q40</f>
        <v>11359.254</v>
      </c>
      <c r="R41" s="67" t="n">
        <f aca="false">R34+R40</f>
        <v>13407.8753125</v>
      </c>
      <c r="S41" s="67" t="n">
        <f aca="false">S34+S40</f>
        <v>15456.496625</v>
      </c>
      <c r="T41" s="67" t="n">
        <f aca="false">T34+T40</f>
        <v>17505.1179375</v>
      </c>
      <c r="U41" s="67" t="n">
        <f aca="false">U34+U40</f>
        <v>19553.73925</v>
      </c>
      <c r="V41" s="67" t="n">
        <f aca="false">V34+V40</f>
        <v>19338.48925</v>
      </c>
      <c r="W41" s="67" t="n">
        <f aca="false">W34+W40</f>
        <v>19338.48925</v>
      </c>
      <c r="X41" s="67" t="n">
        <f aca="false">X34+X40</f>
        <v>19338.48925</v>
      </c>
      <c r="Y41" s="67" t="n">
        <f aca="false">Y34+Y40</f>
        <v>19338.48925</v>
      </c>
      <c r="Z41" s="67" t="n">
        <f aca="false">Z34+Z40</f>
        <v>19338.48925</v>
      </c>
      <c r="AA41" s="67" t="n">
        <f aca="false">AA34+AA40</f>
        <v>19661.15735725</v>
      </c>
      <c r="AB41" s="67" t="n">
        <f aca="false">AB34+AB40</f>
        <v>19661.15735725</v>
      </c>
      <c r="AC41" s="67" t="n">
        <f aca="false">AC34+AC40</f>
        <v>19661.15735725</v>
      </c>
      <c r="AD41" s="67" t="n">
        <f aca="false">AD34+AD40</f>
        <v>19661.15735725</v>
      </c>
      <c r="AE41" s="67" t="n">
        <f aca="false">AE34+AE40</f>
        <v>19661.15735725</v>
      </c>
      <c r="AF41" s="67" t="n">
        <f aca="false">AF34+AF40</f>
        <v>19661.15735725</v>
      </c>
      <c r="AG41" s="67" t="n">
        <f aca="false">AG34+AG40</f>
        <v>19661.15735725</v>
      </c>
      <c r="AH41" s="67" t="n">
        <f aca="false">AH34+AH40</f>
        <v>19661.15735725</v>
      </c>
      <c r="AI41" s="67" t="n">
        <f aca="false">AI34+AI40</f>
        <v>19661.15735725</v>
      </c>
      <c r="AJ41" s="67" t="n">
        <f aca="false">AJ34+AJ40</f>
        <v>19661.15735725</v>
      </c>
      <c r="AK41" s="67" t="n">
        <f aca="false">AK34+AK40</f>
        <v>19661.15735725</v>
      </c>
      <c r="AL41" s="67" t="n">
        <f aca="false">AL34+AL40</f>
        <v>19661.15735725</v>
      </c>
      <c r="AM41" s="67" t="n">
        <f aca="false">AM34+AM40</f>
        <v>19987.0683434612</v>
      </c>
      <c r="AN41" s="67" t="n">
        <f aca="false">AN34+AN40</f>
        <v>19987.0683434612</v>
      </c>
      <c r="AO41" s="67" t="n">
        <f aca="false">AO34+AO40</f>
        <v>19987.0683434612</v>
      </c>
      <c r="AP41" s="67" t="n">
        <f aca="false">AP34+AP40</f>
        <v>19987.0683434612</v>
      </c>
      <c r="AQ41" s="67" t="n">
        <f aca="false">AQ34+AQ40</f>
        <v>19987.0683434612</v>
      </c>
      <c r="AR41" s="67" t="n">
        <f aca="false">AR34+AR40</f>
        <v>19987.0683434612</v>
      </c>
      <c r="AS41" s="67" t="n">
        <f aca="false">AS34+AS40</f>
        <v>19987.0683434612</v>
      </c>
      <c r="AT41" s="67" t="n">
        <f aca="false">AT34+AT40</f>
        <v>19987.0683434612</v>
      </c>
      <c r="AU41" s="67" t="n">
        <f aca="false">AU34+AU40</f>
        <v>19987.0683434612</v>
      </c>
      <c r="AV41" s="67" t="n">
        <f aca="false">AV34+AV40</f>
        <v>19987.0683434612</v>
      </c>
      <c r="AW41" s="67" t="n">
        <f aca="false">AW34+AW40</f>
        <v>19987.0683434612</v>
      </c>
      <c r="AX41" s="67" t="n">
        <f aca="false">AX34+AX40</f>
        <v>19987.0683434612</v>
      </c>
      <c r="AY41" s="67" t="n">
        <f aca="false">AY34+AY40</f>
        <v>20316.1585658962</v>
      </c>
      <c r="AZ41" s="67" t="n">
        <f aca="false">AZ34+AZ40</f>
        <v>20316.1585658962</v>
      </c>
      <c r="BA41" s="67" t="n">
        <f aca="false">BA34+BA40</f>
        <v>20316.1585658962</v>
      </c>
      <c r="BB41" s="67" t="n">
        <f aca="false">BB34+BB40</f>
        <v>20316.1585658962</v>
      </c>
      <c r="BC41" s="67" t="n">
        <f aca="false">BC34+BC40</f>
        <v>20316.1585658962</v>
      </c>
      <c r="BD41" s="67" t="n">
        <f aca="false">BD34+BD40</f>
        <v>20316.1585658962</v>
      </c>
      <c r="BE41" s="67" t="n">
        <f aca="false">BE34+BE40</f>
        <v>20316.1585658962</v>
      </c>
      <c r="BF41" s="67" t="n">
        <f aca="false">BF34+BF40</f>
        <v>20316.1585658962</v>
      </c>
      <c r="BG41" s="67" t="n">
        <f aca="false">BG34+BG40</f>
        <v>20316.1585658962</v>
      </c>
      <c r="BH41" s="67" t="n">
        <f aca="false">BH34+BH40</f>
        <v>20316.1585658962</v>
      </c>
      <c r="BI41" s="67" t="n">
        <f aca="false">BI34+BI40</f>
        <v>20316.1585658962</v>
      </c>
      <c r="BJ41" s="67" t="n">
        <f aca="false">BJ34+BJ40</f>
        <v>20316.1585658962</v>
      </c>
    </row>
    <row r="43" customFormat="false" ht="15.75" hidden="false" customHeight="true" outlineLevel="0" collapsed="false">
      <c r="A43" s="7" t="s">
        <v>47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6" t="s">
        <v>338</v>
      </c>
      <c r="C44" s="66" t="n">
        <f aca="false">C127</f>
        <v>-9146.66666666667</v>
      </c>
      <c r="D44" s="66" t="n">
        <f aca="false">D127</f>
        <v>-9146.66666666667</v>
      </c>
      <c r="E44" s="66" t="n">
        <f aca="false">E127</f>
        <v>-9146.66666666667</v>
      </c>
      <c r="F44" s="66" t="n">
        <f aca="false">F127</f>
        <v>-9146.66666666667</v>
      </c>
      <c r="G44" s="66" t="n">
        <f aca="false">G127</f>
        <v>-9146.66666666667</v>
      </c>
      <c r="H44" s="66" t="n">
        <f aca="false">H127</f>
        <v>-9146.66666666667</v>
      </c>
      <c r="I44" s="66" t="n">
        <f aca="false">I127</f>
        <v>-9146.66666666667</v>
      </c>
      <c r="J44" s="66" t="n">
        <f aca="false">J127</f>
        <v>-9146.66666666667</v>
      </c>
      <c r="K44" s="66" t="n">
        <f aca="false">K127</f>
        <v>-9146.66666666667</v>
      </c>
      <c r="L44" s="66" t="n">
        <f aca="false">L127</f>
        <v>-9146.66666666667</v>
      </c>
      <c r="M44" s="66" t="n">
        <f aca="false">M127</f>
        <v>-9146.66666666667</v>
      </c>
      <c r="N44" s="66" t="n">
        <f aca="false">N127</f>
        <v>-9146.66666666667</v>
      </c>
      <c r="O44" s="66" t="n">
        <f aca="false">O127</f>
        <v>-9421.06666666667</v>
      </c>
      <c r="P44" s="66" t="n">
        <f aca="false">P127</f>
        <v>-9421.06666666667</v>
      </c>
      <c r="Q44" s="66" t="n">
        <f aca="false">Q127</f>
        <v>-9421.06666666667</v>
      </c>
      <c r="R44" s="66" t="n">
        <f aca="false">R127</f>
        <v>-9421.06666666667</v>
      </c>
      <c r="S44" s="66" t="n">
        <f aca="false">S127</f>
        <v>-9421.06666666667</v>
      </c>
      <c r="T44" s="66" t="n">
        <f aca="false">T127</f>
        <v>-9421.06666666667</v>
      </c>
      <c r="U44" s="66" t="n">
        <f aca="false">U127</f>
        <v>-9421.06666666667</v>
      </c>
      <c r="V44" s="66" t="n">
        <f aca="false">V127</f>
        <v>-9421.06666666667</v>
      </c>
      <c r="W44" s="66" t="n">
        <f aca="false">W127</f>
        <v>-9421.06666666667</v>
      </c>
      <c r="X44" s="66" t="n">
        <f aca="false">X127</f>
        <v>-9421.06666666667</v>
      </c>
      <c r="Y44" s="66" t="n">
        <f aca="false">Y127</f>
        <v>-9421.06666666667</v>
      </c>
      <c r="Z44" s="66" t="n">
        <f aca="false">Z127</f>
        <v>-9421.06666666667</v>
      </c>
      <c r="AA44" s="66" t="n">
        <f aca="false">AA127</f>
        <v>-9703.69866666667</v>
      </c>
      <c r="AB44" s="66" t="n">
        <f aca="false">AB127</f>
        <v>-9703.69866666667</v>
      </c>
      <c r="AC44" s="66" t="n">
        <f aca="false">AC127</f>
        <v>-9703.69866666667</v>
      </c>
      <c r="AD44" s="66" t="n">
        <f aca="false">AD127</f>
        <v>-9703.69866666667</v>
      </c>
      <c r="AE44" s="66" t="n">
        <f aca="false">AE127</f>
        <v>-9703.69866666667</v>
      </c>
      <c r="AF44" s="66" t="n">
        <f aca="false">AF127</f>
        <v>-9703.69866666667</v>
      </c>
      <c r="AG44" s="66" t="n">
        <f aca="false">AG127</f>
        <v>-9703.69866666667</v>
      </c>
      <c r="AH44" s="66" t="n">
        <f aca="false">AH127</f>
        <v>-9703.69866666667</v>
      </c>
      <c r="AI44" s="66" t="n">
        <f aca="false">AI127</f>
        <v>-9703.69866666667</v>
      </c>
      <c r="AJ44" s="66" t="n">
        <f aca="false">AJ127</f>
        <v>-9703.69866666667</v>
      </c>
      <c r="AK44" s="66" t="n">
        <f aca="false">AK127</f>
        <v>-9703.69866666667</v>
      </c>
      <c r="AL44" s="66" t="n">
        <f aca="false">AL127</f>
        <v>-9703.69866666667</v>
      </c>
      <c r="AM44" s="66" t="n">
        <f aca="false">AM127</f>
        <v>-9994.80962666667</v>
      </c>
      <c r="AN44" s="66" t="n">
        <f aca="false">AN127</f>
        <v>-9994.80962666667</v>
      </c>
      <c r="AO44" s="66" t="n">
        <f aca="false">AO127</f>
        <v>-9994.80962666667</v>
      </c>
      <c r="AP44" s="66" t="n">
        <f aca="false">AP127</f>
        <v>-9994.80962666667</v>
      </c>
      <c r="AQ44" s="66" t="n">
        <f aca="false">AQ127</f>
        <v>-9994.80962666667</v>
      </c>
      <c r="AR44" s="66" t="n">
        <f aca="false">AR127</f>
        <v>-9994.80962666667</v>
      </c>
      <c r="AS44" s="66" t="n">
        <f aca="false">AS127</f>
        <v>-9994.80962666667</v>
      </c>
      <c r="AT44" s="66" t="n">
        <f aca="false">AT127</f>
        <v>-9994.80962666667</v>
      </c>
      <c r="AU44" s="66" t="n">
        <f aca="false">AU127</f>
        <v>-9994.80962666667</v>
      </c>
      <c r="AV44" s="66" t="n">
        <f aca="false">AV127</f>
        <v>-9994.80962666667</v>
      </c>
      <c r="AW44" s="66" t="n">
        <f aca="false">AW127</f>
        <v>-9994.80962666667</v>
      </c>
      <c r="AX44" s="66" t="n">
        <f aca="false">AX127</f>
        <v>-9994.80962666667</v>
      </c>
      <c r="AY44" s="66" t="n">
        <f aca="false">AY127</f>
        <v>-10294.6539154667</v>
      </c>
      <c r="AZ44" s="66" t="n">
        <f aca="false">AZ127</f>
        <v>-10294.6539154667</v>
      </c>
      <c r="BA44" s="66" t="n">
        <f aca="false">BA127</f>
        <v>-10294.6539154667</v>
      </c>
      <c r="BB44" s="66" t="n">
        <f aca="false">BB127</f>
        <v>-10294.6539154667</v>
      </c>
      <c r="BC44" s="66" t="n">
        <f aca="false">BC127</f>
        <v>-10294.6539154667</v>
      </c>
      <c r="BD44" s="66" t="n">
        <f aca="false">BD127</f>
        <v>-10294.6539154667</v>
      </c>
      <c r="BE44" s="66" t="n">
        <f aca="false">BE127</f>
        <v>-10294.6539154667</v>
      </c>
      <c r="BF44" s="66" t="n">
        <f aca="false">BF127</f>
        <v>-10294.6539154667</v>
      </c>
      <c r="BG44" s="66" t="n">
        <f aca="false">BG127</f>
        <v>-10294.6539154667</v>
      </c>
      <c r="BH44" s="66" t="n">
        <f aca="false">BH127</f>
        <v>-10294.6539154667</v>
      </c>
      <c r="BI44" s="66" t="n">
        <f aca="false">BI127</f>
        <v>-10294.6539154667</v>
      </c>
      <c r="BJ44" s="66" t="n">
        <f aca="false">BJ127</f>
        <v>-10294.6539154667</v>
      </c>
    </row>
    <row r="45" customFormat="false" ht="15" hidden="false" customHeight="false" outlineLevel="0" collapsed="false">
      <c r="A45" s="6" t="s">
        <v>339</v>
      </c>
      <c r="C45" s="66" t="n">
        <f aca="false">-C10*Inputs!$B$37*Inputs!$B$38/12*(1+Inputs!$B$39)^(C$7-1)*1</f>
        <v>-6375</v>
      </c>
      <c r="D45" s="66" t="n">
        <f aca="false">-D10*Inputs!$B$37*Inputs!$B$38/12*(1+Inputs!$B$39)^(D$7-1)*1</f>
        <v>-6375</v>
      </c>
      <c r="E45" s="66" t="n">
        <f aca="false">-E10*Inputs!$B$37*Inputs!$B$38/12*(1+Inputs!$B$39)^(E$7-1)*1</f>
        <v>-6375</v>
      </c>
      <c r="F45" s="66" t="n">
        <f aca="false">-F10*Inputs!$B$37*Inputs!$B$38/12*(1+Inputs!$B$39)^(F$7-1)*1</f>
        <v>-6375</v>
      </c>
      <c r="G45" s="66" t="n">
        <f aca="false">-G10*Inputs!$B$37*Inputs!$B$38/12*(1+Inputs!$B$39)^(G$7-1)*1</f>
        <v>-6375</v>
      </c>
      <c r="H45" s="66" t="n">
        <f aca="false">-H10*Inputs!$B$37*Inputs!$B$38/12*(1+Inputs!$B$39)^(H$7-1)*1</f>
        <v>-6375</v>
      </c>
      <c r="I45" s="66" t="n">
        <f aca="false">-I10*Inputs!$B$37*Inputs!$B$38/12*(1+Inputs!$B$39)^(I$7-1)*1</f>
        <v>-6375</v>
      </c>
      <c r="J45" s="66" t="n">
        <f aca="false">-J10*Inputs!$B$37*Inputs!$B$38/12*(1+Inputs!$B$39)^(J$7-1)*1</f>
        <v>-6375</v>
      </c>
      <c r="K45" s="66" t="n">
        <f aca="false">-K10*Inputs!$B$37*Inputs!$B$38/12*(1+Inputs!$B$39)^(K$7-1)*1</f>
        <v>-6375</v>
      </c>
      <c r="L45" s="66" t="n">
        <f aca="false">-L10*Inputs!$B$37*Inputs!$B$38/12*(1+Inputs!$B$39)^(L$7-1)*1</f>
        <v>-6375</v>
      </c>
      <c r="M45" s="66" t="n">
        <f aca="false">-M10*Inputs!$B$37*Inputs!$B$38/12*(1+Inputs!$B$39)^(M$7-1)*1</f>
        <v>-6375</v>
      </c>
      <c r="N45" s="66" t="n">
        <f aca="false">-N10*Inputs!$B$37*Inputs!$B$38/12*(1+Inputs!$B$39)^(N$7-1)*1</f>
        <v>-6375</v>
      </c>
      <c r="O45" s="66" t="n">
        <f aca="false">-O10*Inputs!$B$37*Inputs!$B$38/12*(1+Inputs!$B$39)^(O$7-1)*1</f>
        <v>-6566.25</v>
      </c>
      <c r="P45" s="66" t="n">
        <f aca="false">-P10*Inputs!$B$37*Inputs!$B$38/12*(1+Inputs!$B$39)^(P$7-1)*1</f>
        <v>-6566.25</v>
      </c>
      <c r="Q45" s="66" t="n">
        <f aca="false">-Q10*Inputs!$B$37*Inputs!$B$38/12*(1+Inputs!$B$39)^(Q$7-1)*1</f>
        <v>-6566.25</v>
      </c>
      <c r="R45" s="66" t="n">
        <f aca="false">-R10*Inputs!$B$37*Inputs!$B$38/12*(1+Inputs!$B$39)^(R$7-1)*1</f>
        <v>-6566.25</v>
      </c>
      <c r="S45" s="66" t="n">
        <f aca="false">-S10*Inputs!$B$37*Inputs!$B$38/12*(1+Inputs!$B$39)^(S$7-1)*1</f>
        <v>-6566.25</v>
      </c>
      <c r="T45" s="66" t="n">
        <f aca="false">-T10*Inputs!$B$37*Inputs!$B$38/12*(1+Inputs!$B$39)^(T$7-1)*1</f>
        <v>-6566.25</v>
      </c>
      <c r="U45" s="66" t="n">
        <f aca="false">-U10*Inputs!$B$37*Inputs!$B$38/12*(1+Inputs!$B$39)^(U$7-1)*1</f>
        <v>-6566.25</v>
      </c>
      <c r="V45" s="66" t="n">
        <f aca="false">-V10*Inputs!$B$37*Inputs!$B$38/12*(1+Inputs!$B$39)^(V$7-1)*1</f>
        <v>-6566.25</v>
      </c>
      <c r="W45" s="66" t="n">
        <f aca="false">-W10*Inputs!$B$37*Inputs!$B$38/12*(1+Inputs!$B$39)^(W$7-1)*1</f>
        <v>-6566.25</v>
      </c>
      <c r="X45" s="66" t="n">
        <f aca="false">-X10*Inputs!$B$37*Inputs!$B$38/12*(1+Inputs!$B$39)^(X$7-1)*1</f>
        <v>-6566.25</v>
      </c>
      <c r="Y45" s="66" t="n">
        <f aca="false">-Y10*Inputs!$B$37*Inputs!$B$38/12*(1+Inputs!$B$39)^(Y$7-1)*1</f>
        <v>-6566.25</v>
      </c>
      <c r="Z45" s="66" t="n">
        <f aca="false">-Z10*Inputs!$B$37*Inputs!$B$38/12*(1+Inputs!$B$39)^(Z$7-1)*1</f>
        <v>-6566.25</v>
      </c>
      <c r="AA45" s="66" t="n">
        <f aca="false">-AA10*Inputs!$B$37*Inputs!$B$38/12*(1+Inputs!$B$39)^(AA$7-1)*1</f>
        <v>-6763.2375</v>
      </c>
      <c r="AB45" s="66" t="n">
        <f aca="false">-AB10*Inputs!$B$37*Inputs!$B$38/12*(1+Inputs!$B$39)^(AB$7-1)*1</f>
        <v>-6763.2375</v>
      </c>
      <c r="AC45" s="66" t="n">
        <f aca="false">-AC10*Inputs!$B$37*Inputs!$B$38/12*(1+Inputs!$B$39)^(AC$7-1)*1</f>
        <v>-6763.2375</v>
      </c>
      <c r="AD45" s="66" t="n">
        <f aca="false">-AD10*Inputs!$B$37*Inputs!$B$38/12*(1+Inputs!$B$39)^(AD$7-1)*1</f>
        <v>-6763.2375</v>
      </c>
      <c r="AE45" s="66" t="n">
        <f aca="false">-AE10*Inputs!$B$37*Inputs!$B$38/12*(1+Inputs!$B$39)^(AE$7-1)*1</f>
        <v>-6763.2375</v>
      </c>
      <c r="AF45" s="66" t="n">
        <f aca="false">-AF10*Inputs!$B$37*Inputs!$B$38/12*(1+Inputs!$B$39)^(AF$7-1)*1</f>
        <v>-6763.2375</v>
      </c>
      <c r="AG45" s="66" t="n">
        <f aca="false">-AG10*Inputs!$B$37*Inputs!$B$38/12*(1+Inputs!$B$39)^(AG$7-1)*1</f>
        <v>-6763.2375</v>
      </c>
      <c r="AH45" s="66" t="n">
        <f aca="false">-AH10*Inputs!$B$37*Inputs!$B$38/12*(1+Inputs!$B$39)^(AH$7-1)*1</f>
        <v>-6763.2375</v>
      </c>
      <c r="AI45" s="66" t="n">
        <f aca="false">-AI10*Inputs!$B$37*Inputs!$B$38/12*(1+Inputs!$B$39)^(AI$7-1)*1</f>
        <v>-6763.2375</v>
      </c>
      <c r="AJ45" s="66" t="n">
        <f aca="false">-AJ10*Inputs!$B$37*Inputs!$B$38/12*(1+Inputs!$B$39)^(AJ$7-1)*1</f>
        <v>-6763.2375</v>
      </c>
      <c r="AK45" s="66" t="n">
        <f aca="false">-AK10*Inputs!$B$37*Inputs!$B$38/12*(1+Inputs!$B$39)^(AK$7-1)*1</f>
        <v>-6763.2375</v>
      </c>
      <c r="AL45" s="66" t="n">
        <f aca="false">-AL10*Inputs!$B$37*Inputs!$B$38/12*(1+Inputs!$B$39)^(AL$7-1)*1</f>
        <v>-6763.2375</v>
      </c>
      <c r="AM45" s="66" t="n">
        <f aca="false">-AM10*Inputs!$B$37*Inputs!$B$38/12*(1+Inputs!$B$39)^(AM$7-1)*1</f>
        <v>-6966.134625</v>
      </c>
      <c r="AN45" s="66" t="n">
        <f aca="false">-AN10*Inputs!$B$37*Inputs!$B$38/12*(1+Inputs!$B$39)^(AN$7-1)*1</f>
        <v>-6966.134625</v>
      </c>
      <c r="AO45" s="66" t="n">
        <f aca="false">-AO10*Inputs!$B$37*Inputs!$B$38/12*(1+Inputs!$B$39)^(AO$7-1)*1</f>
        <v>-6966.134625</v>
      </c>
      <c r="AP45" s="66" t="n">
        <f aca="false">-AP10*Inputs!$B$37*Inputs!$B$38/12*(1+Inputs!$B$39)^(AP$7-1)*1</f>
        <v>-6966.134625</v>
      </c>
      <c r="AQ45" s="66" t="n">
        <f aca="false">-AQ10*Inputs!$B$37*Inputs!$B$38/12*(1+Inputs!$B$39)^(AQ$7-1)*1</f>
        <v>-6966.134625</v>
      </c>
      <c r="AR45" s="66" t="n">
        <f aca="false">-AR10*Inputs!$B$37*Inputs!$B$38/12*(1+Inputs!$B$39)^(AR$7-1)*1</f>
        <v>-6966.134625</v>
      </c>
      <c r="AS45" s="66" t="n">
        <f aca="false">-AS10*Inputs!$B$37*Inputs!$B$38/12*(1+Inputs!$B$39)^(AS$7-1)*1</f>
        <v>-6966.134625</v>
      </c>
      <c r="AT45" s="66" t="n">
        <f aca="false">-AT10*Inputs!$B$37*Inputs!$B$38/12*(1+Inputs!$B$39)^(AT$7-1)*1</f>
        <v>-6966.134625</v>
      </c>
      <c r="AU45" s="66" t="n">
        <f aca="false">-AU10*Inputs!$B$37*Inputs!$B$38/12*(1+Inputs!$B$39)^(AU$7-1)*1</f>
        <v>-6966.134625</v>
      </c>
      <c r="AV45" s="66" t="n">
        <f aca="false">-AV10*Inputs!$B$37*Inputs!$B$38/12*(1+Inputs!$B$39)^(AV$7-1)*1</f>
        <v>-6966.134625</v>
      </c>
      <c r="AW45" s="66" t="n">
        <f aca="false">-AW10*Inputs!$B$37*Inputs!$B$38/12*(1+Inputs!$B$39)^(AW$7-1)*1</f>
        <v>-6966.134625</v>
      </c>
      <c r="AX45" s="66" t="n">
        <f aca="false">-AX10*Inputs!$B$37*Inputs!$B$38/12*(1+Inputs!$B$39)^(AX$7-1)*1</f>
        <v>-6966.134625</v>
      </c>
      <c r="AY45" s="66" t="n">
        <f aca="false">-AY10*Inputs!$B$37*Inputs!$B$38/12*(1+Inputs!$B$39)^(AY$7-1)*1</f>
        <v>-7175.11866375</v>
      </c>
      <c r="AZ45" s="66" t="n">
        <f aca="false">-AZ10*Inputs!$B$37*Inputs!$B$38/12*(1+Inputs!$B$39)^(AZ$7-1)*1</f>
        <v>-7175.11866375</v>
      </c>
      <c r="BA45" s="66" t="n">
        <f aca="false">-BA10*Inputs!$B$37*Inputs!$B$38/12*(1+Inputs!$B$39)^(BA$7-1)*1</f>
        <v>-7175.11866375</v>
      </c>
      <c r="BB45" s="66" t="n">
        <f aca="false">-BB10*Inputs!$B$37*Inputs!$B$38/12*(1+Inputs!$B$39)^(BB$7-1)*1</f>
        <v>-7175.11866375</v>
      </c>
      <c r="BC45" s="66" t="n">
        <f aca="false">-BC10*Inputs!$B$37*Inputs!$B$38/12*(1+Inputs!$B$39)^(BC$7-1)*1</f>
        <v>-7175.11866375</v>
      </c>
      <c r="BD45" s="66" t="n">
        <f aca="false">-BD10*Inputs!$B$37*Inputs!$B$38/12*(1+Inputs!$B$39)^(BD$7-1)*1</f>
        <v>-7175.11866375</v>
      </c>
      <c r="BE45" s="66" t="n">
        <f aca="false">-BE10*Inputs!$B$37*Inputs!$B$38/12*(1+Inputs!$B$39)^(BE$7-1)*1</f>
        <v>-7175.11866375</v>
      </c>
      <c r="BF45" s="66" t="n">
        <f aca="false">-BF10*Inputs!$B$37*Inputs!$B$38/12*(1+Inputs!$B$39)^(BF$7-1)*1</f>
        <v>-7175.11866375</v>
      </c>
      <c r="BG45" s="66" t="n">
        <f aca="false">-BG10*Inputs!$B$37*Inputs!$B$38/12*(1+Inputs!$B$39)^(BG$7-1)*1</f>
        <v>-7175.11866375</v>
      </c>
      <c r="BH45" s="66" t="n">
        <f aca="false">-BH10*Inputs!$B$37*Inputs!$B$38/12*(1+Inputs!$B$39)^(BH$7-1)*1</f>
        <v>-7175.11866375</v>
      </c>
      <c r="BI45" s="66" t="n">
        <f aca="false">-BI10*Inputs!$B$37*Inputs!$B$38/12*(1+Inputs!$B$39)^(BI$7-1)*1</f>
        <v>-7175.11866375</v>
      </c>
      <c r="BJ45" s="66" t="n">
        <f aca="false">-BJ10*Inputs!$B$37*Inputs!$B$38/12*(1+Inputs!$B$39)^(BJ$7-1)*1</f>
        <v>-7175.11866375</v>
      </c>
    </row>
    <row r="46" customFormat="false" ht="15" hidden="false" customHeight="false" outlineLevel="0" collapsed="false">
      <c r="A46" s="6" t="s">
        <v>340</v>
      </c>
      <c r="C46" s="66" t="n">
        <f aca="false">-C10*Inputs!$B$37*Inputs!$B$40/12*(1+Inputs!$B$34)^(C$7-1)*1</f>
        <v>-2550</v>
      </c>
      <c r="D46" s="66" t="n">
        <f aca="false">-D10*Inputs!$B$37*Inputs!$B$40/12*(1+Inputs!$B$34)^(D$7-1)*1</f>
        <v>-2550</v>
      </c>
      <c r="E46" s="66" t="n">
        <f aca="false">-E10*Inputs!$B$37*Inputs!$B$40/12*(1+Inputs!$B$34)^(E$7-1)*1</f>
        <v>-2550</v>
      </c>
      <c r="F46" s="66" t="n">
        <f aca="false">-F10*Inputs!$B$37*Inputs!$B$40/12*(1+Inputs!$B$34)^(F$7-1)*1</f>
        <v>-2550</v>
      </c>
      <c r="G46" s="66" t="n">
        <f aca="false">-G10*Inputs!$B$37*Inputs!$B$40/12*(1+Inputs!$B$34)^(G$7-1)*1</f>
        <v>-2550</v>
      </c>
      <c r="H46" s="66" t="n">
        <f aca="false">-H10*Inputs!$B$37*Inputs!$B$40/12*(1+Inputs!$B$34)^(H$7-1)*1</f>
        <v>-2550</v>
      </c>
      <c r="I46" s="66" t="n">
        <f aca="false">-I10*Inputs!$B$37*Inputs!$B$40/12*(1+Inputs!$B$34)^(I$7-1)*1</f>
        <v>-2550</v>
      </c>
      <c r="J46" s="66" t="n">
        <f aca="false">-J10*Inputs!$B$37*Inputs!$B$40/12*(1+Inputs!$B$34)^(J$7-1)*1</f>
        <v>-2550</v>
      </c>
      <c r="K46" s="66" t="n">
        <f aca="false">-K10*Inputs!$B$37*Inputs!$B$40/12*(1+Inputs!$B$34)^(K$7-1)*1</f>
        <v>-2550</v>
      </c>
      <c r="L46" s="66" t="n">
        <f aca="false">-L10*Inputs!$B$37*Inputs!$B$40/12*(1+Inputs!$B$34)^(L$7-1)*1</f>
        <v>-2550</v>
      </c>
      <c r="M46" s="66" t="n">
        <f aca="false">-M10*Inputs!$B$37*Inputs!$B$40/12*(1+Inputs!$B$34)^(M$7-1)*1</f>
        <v>-2550</v>
      </c>
      <c r="N46" s="66" t="n">
        <f aca="false">-N10*Inputs!$B$37*Inputs!$B$40/12*(1+Inputs!$B$34)^(N$7-1)*1</f>
        <v>-2550</v>
      </c>
      <c r="O46" s="66" t="n">
        <f aca="false">-O10*Inputs!$B$37*Inputs!$B$40/12*(1+Inputs!$B$34)^(O$7-1)*1</f>
        <v>-2626.5</v>
      </c>
      <c r="P46" s="66" t="n">
        <f aca="false">-P10*Inputs!$B$37*Inputs!$B$40/12*(1+Inputs!$B$34)^(P$7-1)*1</f>
        <v>-2626.5</v>
      </c>
      <c r="Q46" s="66" t="n">
        <f aca="false">-Q10*Inputs!$B$37*Inputs!$B$40/12*(1+Inputs!$B$34)^(Q$7-1)*1</f>
        <v>-2626.5</v>
      </c>
      <c r="R46" s="66" t="n">
        <f aca="false">-R10*Inputs!$B$37*Inputs!$B$40/12*(1+Inputs!$B$34)^(R$7-1)*1</f>
        <v>-2626.5</v>
      </c>
      <c r="S46" s="66" t="n">
        <f aca="false">-S10*Inputs!$B$37*Inputs!$B$40/12*(1+Inputs!$B$34)^(S$7-1)*1</f>
        <v>-2626.5</v>
      </c>
      <c r="T46" s="66" t="n">
        <f aca="false">-T10*Inputs!$B$37*Inputs!$B$40/12*(1+Inputs!$B$34)^(T$7-1)*1</f>
        <v>-2626.5</v>
      </c>
      <c r="U46" s="66" t="n">
        <f aca="false">-U10*Inputs!$B$37*Inputs!$B$40/12*(1+Inputs!$B$34)^(U$7-1)*1</f>
        <v>-2626.5</v>
      </c>
      <c r="V46" s="66" t="n">
        <f aca="false">-V10*Inputs!$B$37*Inputs!$B$40/12*(1+Inputs!$B$34)^(V$7-1)*1</f>
        <v>-2626.5</v>
      </c>
      <c r="W46" s="66" t="n">
        <f aca="false">-W10*Inputs!$B$37*Inputs!$B$40/12*(1+Inputs!$B$34)^(W$7-1)*1</f>
        <v>-2626.5</v>
      </c>
      <c r="X46" s="66" t="n">
        <f aca="false">-X10*Inputs!$B$37*Inputs!$B$40/12*(1+Inputs!$B$34)^(X$7-1)*1</f>
        <v>-2626.5</v>
      </c>
      <c r="Y46" s="66" t="n">
        <f aca="false">-Y10*Inputs!$B$37*Inputs!$B$40/12*(1+Inputs!$B$34)^(Y$7-1)*1</f>
        <v>-2626.5</v>
      </c>
      <c r="Z46" s="66" t="n">
        <f aca="false">-Z10*Inputs!$B$37*Inputs!$B$40/12*(1+Inputs!$B$34)^(Z$7-1)*1</f>
        <v>-2626.5</v>
      </c>
      <c r="AA46" s="66" t="n">
        <f aca="false">-AA10*Inputs!$B$37*Inputs!$B$40/12*(1+Inputs!$B$34)^(AA$7-1)*1</f>
        <v>-2705.295</v>
      </c>
      <c r="AB46" s="66" t="n">
        <f aca="false">-AB10*Inputs!$B$37*Inputs!$B$40/12*(1+Inputs!$B$34)^(AB$7-1)*1</f>
        <v>-2705.295</v>
      </c>
      <c r="AC46" s="66" t="n">
        <f aca="false">-AC10*Inputs!$B$37*Inputs!$B$40/12*(1+Inputs!$B$34)^(AC$7-1)*1</f>
        <v>-2705.295</v>
      </c>
      <c r="AD46" s="66" t="n">
        <f aca="false">-AD10*Inputs!$B$37*Inputs!$B$40/12*(1+Inputs!$B$34)^(AD$7-1)*1</f>
        <v>-2705.295</v>
      </c>
      <c r="AE46" s="66" t="n">
        <f aca="false">-AE10*Inputs!$B$37*Inputs!$B$40/12*(1+Inputs!$B$34)^(AE$7-1)*1</f>
        <v>-2705.295</v>
      </c>
      <c r="AF46" s="66" t="n">
        <f aca="false">-AF10*Inputs!$B$37*Inputs!$B$40/12*(1+Inputs!$B$34)^(AF$7-1)*1</f>
        <v>-2705.295</v>
      </c>
      <c r="AG46" s="66" t="n">
        <f aca="false">-AG10*Inputs!$B$37*Inputs!$B$40/12*(1+Inputs!$B$34)^(AG$7-1)*1</f>
        <v>-2705.295</v>
      </c>
      <c r="AH46" s="66" t="n">
        <f aca="false">-AH10*Inputs!$B$37*Inputs!$B$40/12*(1+Inputs!$B$34)^(AH$7-1)*1</f>
        <v>-2705.295</v>
      </c>
      <c r="AI46" s="66" t="n">
        <f aca="false">-AI10*Inputs!$B$37*Inputs!$B$40/12*(1+Inputs!$B$34)^(AI$7-1)*1</f>
        <v>-2705.295</v>
      </c>
      <c r="AJ46" s="66" t="n">
        <f aca="false">-AJ10*Inputs!$B$37*Inputs!$B$40/12*(1+Inputs!$B$34)^(AJ$7-1)*1</f>
        <v>-2705.295</v>
      </c>
      <c r="AK46" s="66" t="n">
        <f aca="false">-AK10*Inputs!$B$37*Inputs!$B$40/12*(1+Inputs!$B$34)^(AK$7-1)*1</f>
        <v>-2705.295</v>
      </c>
      <c r="AL46" s="66" t="n">
        <f aca="false">-AL10*Inputs!$B$37*Inputs!$B$40/12*(1+Inputs!$B$34)^(AL$7-1)*1</f>
        <v>-2705.295</v>
      </c>
      <c r="AM46" s="66" t="n">
        <f aca="false">-AM10*Inputs!$B$37*Inputs!$B$40/12*(1+Inputs!$B$34)^(AM$7-1)*1</f>
        <v>-2786.45385</v>
      </c>
      <c r="AN46" s="66" t="n">
        <f aca="false">-AN10*Inputs!$B$37*Inputs!$B$40/12*(1+Inputs!$B$34)^(AN$7-1)*1</f>
        <v>-2786.45385</v>
      </c>
      <c r="AO46" s="66" t="n">
        <f aca="false">-AO10*Inputs!$B$37*Inputs!$B$40/12*(1+Inputs!$B$34)^(AO$7-1)*1</f>
        <v>-2786.45385</v>
      </c>
      <c r="AP46" s="66" t="n">
        <f aca="false">-AP10*Inputs!$B$37*Inputs!$B$40/12*(1+Inputs!$B$34)^(AP$7-1)*1</f>
        <v>-2786.45385</v>
      </c>
      <c r="AQ46" s="66" t="n">
        <f aca="false">-AQ10*Inputs!$B$37*Inputs!$B$40/12*(1+Inputs!$B$34)^(AQ$7-1)*1</f>
        <v>-2786.45385</v>
      </c>
      <c r="AR46" s="66" t="n">
        <f aca="false">-AR10*Inputs!$B$37*Inputs!$B$40/12*(1+Inputs!$B$34)^(AR$7-1)*1</f>
        <v>-2786.45385</v>
      </c>
      <c r="AS46" s="66" t="n">
        <f aca="false">-AS10*Inputs!$B$37*Inputs!$B$40/12*(1+Inputs!$B$34)^(AS$7-1)*1</f>
        <v>-2786.45385</v>
      </c>
      <c r="AT46" s="66" t="n">
        <f aca="false">-AT10*Inputs!$B$37*Inputs!$B$40/12*(1+Inputs!$B$34)^(AT$7-1)*1</f>
        <v>-2786.45385</v>
      </c>
      <c r="AU46" s="66" t="n">
        <f aca="false">-AU10*Inputs!$B$37*Inputs!$B$40/12*(1+Inputs!$B$34)^(AU$7-1)*1</f>
        <v>-2786.45385</v>
      </c>
      <c r="AV46" s="66" t="n">
        <f aca="false">-AV10*Inputs!$B$37*Inputs!$B$40/12*(1+Inputs!$B$34)^(AV$7-1)*1</f>
        <v>-2786.45385</v>
      </c>
      <c r="AW46" s="66" t="n">
        <f aca="false">-AW10*Inputs!$B$37*Inputs!$B$40/12*(1+Inputs!$B$34)^(AW$7-1)*1</f>
        <v>-2786.45385</v>
      </c>
      <c r="AX46" s="66" t="n">
        <f aca="false">-AX10*Inputs!$B$37*Inputs!$B$40/12*(1+Inputs!$B$34)^(AX$7-1)*1</f>
        <v>-2786.45385</v>
      </c>
      <c r="AY46" s="66" t="n">
        <f aca="false">-AY10*Inputs!$B$37*Inputs!$B$40/12*(1+Inputs!$B$34)^(AY$7-1)*1</f>
        <v>-2870.0474655</v>
      </c>
      <c r="AZ46" s="66" t="n">
        <f aca="false">-AZ10*Inputs!$B$37*Inputs!$B$40/12*(1+Inputs!$B$34)^(AZ$7-1)*1</f>
        <v>-2870.0474655</v>
      </c>
      <c r="BA46" s="66" t="n">
        <f aca="false">-BA10*Inputs!$B$37*Inputs!$B$40/12*(1+Inputs!$B$34)^(BA$7-1)*1</f>
        <v>-2870.0474655</v>
      </c>
      <c r="BB46" s="66" t="n">
        <f aca="false">-BB10*Inputs!$B$37*Inputs!$B$40/12*(1+Inputs!$B$34)^(BB$7-1)*1</f>
        <v>-2870.0474655</v>
      </c>
      <c r="BC46" s="66" t="n">
        <f aca="false">-BC10*Inputs!$B$37*Inputs!$B$40/12*(1+Inputs!$B$34)^(BC$7-1)*1</f>
        <v>-2870.0474655</v>
      </c>
      <c r="BD46" s="66" t="n">
        <f aca="false">-BD10*Inputs!$B$37*Inputs!$B$40/12*(1+Inputs!$B$34)^(BD$7-1)*1</f>
        <v>-2870.0474655</v>
      </c>
      <c r="BE46" s="66" t="n">
        <f aca="false">-BE10*Inputs!$B$37*Inputs!$B$40/12*(1+Inputs!$B$34)^(BE$7-1)*1</f>
        <v>-2870.0474655</v>
      </c>
      <c r="BF46" s="66" t="n">
        <f aca="false">-BF10*Inputs!$B$37*Inputs!$B$40/12*(1+Inputs!$B$34)^(BF$7-1)*1</f>
        <v>-2870.0474655</v>
      </c>
      <c r="BG46" s="66" t="n">
        <f aca="false">-BG10*Inputs!$B$37*Inputs!$B$40/12*(1+Inputs!$B$34)^(BG$7-1)*1</f>
        <v>-2870.0474655</v>
      </c>
      <c r="BH46" s="66" t="n">
        <f aca="false">-BH10*Inputs!$B$37*Inputs!$B$40/12*(1+Inputs!$B$34)^(BH$7-1)*1</f>
        <v>-2870.0474655</v>
      </c>
      <c r="BI46" s="66" t="n">
        <f aca="false">-BI10*Inputs!$B$37*Inputs!$B$40/12*(1+Inputs!$B$34)^(BI$7-1)*1</f>
        <v>-2870.0474655</v>
      </c>
      <c r="BJ46" s="66" t="n">
        <f aca="false">-BJ10*Inputs!$B$37*Inputs!$B$40/12*(1+Inputs!$B$34)^(BJ$7-1)*1</f>
        <v>-2870.0474655</v>
      </c>
    </row>
    <row r="47" customFormat="false" ht="15" hidden="false" customHeight="false" outlineLevel="0" collapsed="false">
      <c r="A47" s="6" t="s">
        <v>341</v>
      </c>
      <c r="C47" s="66" t="n">
        <f aca="false">-Inputs!$B$41*1</f>
        <v>-1800</v>
      </c>
      <c r="D47" s="66" t="n">
        <f aca="false">-Inputs!$B$41*1</f>
        <v>-1800</v>
      </c>
      <c r="E47" s="66" t="n">
        <f aca="false">-Inputs!$B$41*1</f>
        <v>-1800</v>
      </c>
      <c r="F47" s="66" t="n">
        <f aca="false">-Inputs!$B$41*1</f>
        <v>-1800</v>
      </c>
      <c r="G47" s="66" t="n">
        <f aca="false">-Inputs!$B$41*1</f>
        <v>-1800</v>
      </c>
      <c r="H47" s="66" t="n">
        <f aca="false">-Inputs!$B$41*1</f>
        <v>-1800</v>
      </c>
      <c r="I47" s="66" t="n">
        <f aca="false">-Inputs!$B$41*1</f>
        <v>-1800</v>
      </c>
      <c r="J47" s="66" t="n">
        <f aca="false">-Inputs!$B$41*1</f>
        <v>-1800</v>
      </c>
      <c r="K47" s="66" t="n">
        <f aca="false">-Inputs!$B$41*1</f>
        <v>-1800</v>
      </c>
      <c r="L47" s="66" t="n">
        <f aca="false">-Inputs!$B$41*1</f>
        <v>-1800</v>
      </c>
      <c r="M47" s="66" t="n">
        <f aca="false">-Inputs!$B$41*1</f>
        <v>-1800</v>
      </c>
      <c r="N47" s="66" t="n">
        <f aca="false">-Inputs!$B$41*1</f>
        <v>-1800</v>
      </c>
      <c r="O47" s="66" t="n">
        <f aca="false">-Inputs!$B$41*1</f>
        <v>-1800</v>
      </c>
      <c r="P47" s="66" t="n">
        <f aca="false">-Inputs!$B$41*1</f>
        <v>-1800</v>
      </c>
      <c r="Q47" s="66" t="n">
        <f aca="false">-Inputs!$B$41*1</f>
        <v>-1800</v>
      </c>
      <c r="R47" s="66" t="n">
        <f aca="false">-Inputs!$B$41*1</f>
        <v>-1800</v>
      </c>
      <c r="S47" s="66" t="n">
        <f aca="false">-Inputs!$B$41*1</f>
        <v>-1800</v>
      </c>
      <c r="T47" s="66" t="n">
        <f aca="false">-Inputs!$B$41*1</f>
        <v>-1800</v>
      </c>
      <c r="U47" s="66" t="n">
        <f aca="false">-Inputs!$B$41*1</f>
        <v>-1800</v>
      </c>
      <c r="V47" s="66" t="n">
        <f aca="false">-Inputs!$B$41*1</f>
        <v>-1800</v>
      </c>
      <c r="W47" s="66" t="n">
        <f aca="false">-Inputs!$B$41*1</f>
        <v>-1800</v>
      </c>
      <c r="X47" s="66" t="n">
        <f aca="false">-Inputs!$B$41*1</f>
        <v>-1800</v>
      </c>
      <c r="Y47" s="66" t="n">
        <f aca="false">-Inputs!$B$41*1</f>
        <v>-1800</v>
      </c>
      <c r="Z47" s="66" t="n">
        <f aca="false">-Inputs!$B$41*1</f>
        <v>-1800</v>
      </c>
      <c r="AA47" s="66" t="n">
        <f aca="false">-Inputs!$B$41*1</f>
        <v>-1800</v>
      </c>
      <c r="AB47" s="66" t="n">
        <f aca="false">-Inputs!$B$41*1</f>
        <v>-1800</v>
      </c>
      <c r="AC47" s="66" t="n">
        <f aca="false">-Inputs!$B$41*1</f>
        <v>-1800</v>
      </c>
      <c r="AD47" s="66" t="n">
        <f aca="false">-Inputs!$B$41*1</f>
        <v>-1800</v>
      </c>
      <c r="AE47" s="66" t="n">
        <f aca="false">-Inputs!$B$41*1</f>
        <v>-1800</v>
      </c>
      <c r="AF47" s="66" t="n">
        <f aca="false">-Inputs!$B$41*1</f>
        <v>-1800</v>
      </c>
      <c r="AG47" s="66" t="n">
        <f aca="false">-Inputs!$B$41*1</f>
        <v>-1800</v>
      </c>
      <c r="AH47" s="66" t="n">
        <f aca="false">-Inputs!$B$41*1</f>
        <v>-1800</v>
      </c>
      <c r="AI47" s="66" t="n">
        <f aca="false">-Inputs!$B$41*1</f>
        <v>-1800</v>
      </c>
      <c r="AJ47" s="66" t="n">
        <f aca="false">-Inputs!$B$41*1</f>
        <v>-1800</v>
      </c>
      <c r="AK47" s="66" t="n">
        <f aca="false">-Inputs!$B$41*1</f>
        <v>-1800</v>
      </c>
      <c r="AL47" s="66" t="n">
        <f aca="false">-Inputs!$B$41*1</f>
        <v>-1800</v>
      </c>
      <c r="AM47" s="66" t="n">
        <f aca="false">-Inputs!$B$41*1</f>
        <v>-1800</v>
      </c>
      <c r="AN47" s="66" t="n">
        <f aca="false">-Inputs!$B$41*1</f>
        <v>-1800</v>
      </c>
      <c r="AO47" s="66" t="n">
        <f aca="false">-Inputs!$B$41*1</f>
        <v>-1800</v>
      </c>
      <c r="AP47" s="66" t="n">
        <f aca="false">-Inputs!$B$41*1</f>
        <v>-1800</v>
      </c>
      <c r="AQ47" s="66" t="n">
        <f aca="false">-Inputs!$B$41*1</f>
        <v>-1800</v>
      </c>
      <c r="AR47" s="66" t="n">
        <f aca="false">-Inputs!$B$41*1</f>
        <v>-1800</v>
      </c>
      <c r="AS47" s="66" t="n">
        <f aca="false">-Inputs!$B$41*1</f>
        <v>-1800</v>
      </c>
      <c r="AT47" s="66" t="n">
        <f aca="false">-Inputs!$B$41*1</f>
        <v>-1800</v>
      </c>
      <c r="AU47" s="66" t="n">
        <f aca="false">-Inputs!$B$41*1</f>
        <v>-1800</v>
      </c>
      <c r="AV47" s="66" t="n">
        <f aca="false">-Inputs!$B$41*1</f>
        <v>-1800</v>
      </c>
      <c r="AW47" s="66" t="n">
        <f aca="false">-Inputs!$B$41*1</f>
        <v>-1800</v>
      </c>
      <c r="AX47" s="66" t="n">
        <f aca="false">-Inputs!$B$41*1</f>
        <v>-1800</v>
      </c>
      <c r="AY47" s="66" t="n">
        <f aca="false">-Inputs!$B$41*1</f>
        <v>-1800</v>
      </c>
      <c r="AZ47" s="66" t="n">
        <f aca="false">-Inputs!$B$41*1</f>
        <v>-1800</v>
      </c>
      <c r="BA47" s="66" t="n">
        <f aca="false">-Inputs!$B$41*1</f>
        <v>-1800</v>
      </c>
      <c r="BB47" s="66" t="n">
        <f aca="false">-Inputs!$B$41*1</f>
        <v>-1800</v>
      </c>
      <c r="BC47" s="66" t="n">
        <f aca="false">-Inputs!$B$41*1</f>
        <v>-1800</v>
      </c>
      <c r="BD47" s="66" t="n">
        <f aca="false">-Inputs!$B$41*1</f>
        <v>-1800</v>
      </c>
      <c r="BE47" s="66" t="n">
        <f aca="false">-Inputs!$B$41*1</f>
        <v>-1800</v>
      </c>
      <c r="BF47" s="66" t="n">
        <f aca="false">-Inputs!$B$41*1</f>
        <v>-1800</v>
      </c>
      <c r="BG47" s="66" t="n">
        <f aca="false">-Inputs!$B$41*1</f>
        <v>-1800</v>
      </c>
      <c r="BH47" s="66" t="n">
        <f aca="false">-Inputs!$B$41*1</f>
        <v>-1800</v>
      </c>
      <c r="BI47" s="66" t="n">
        <f aca="false">-Inputs!$B$41*1</f>
        <v>-1800</v>
      </c>
      <c r="BJ47" s="66" t="n">
        <f aca="false">-Inputs!$B$41*1</f>
        <v>-1800</v>
      </c>
    </row>
    <row r="48" customFormat="false" ht="15" hidden="false" customHeight="false" outlineLevel="0" collapsed="false">
      <c r="A48" s="6" t="s">
        <v>342</v>
      </c>
      <c r="C48" s="66" t="n">
        <f aca="false">-Inputs!$B$42*1</f>
        <v>-600</v>
      </c>
      <c r="D48" s="66" t="n">
        <f aca="false">-Inputs!$B$42*1</f>
        <v>-600</v>
      </c>
      <c r="E48" s="66" t="n">
        <f aca="false">-Inputs!$B$42*1</f>
        <v>-600</v>
      </c>
      <c r="F48" s="66" t="n">
        <f aca="false">-Inputs!$B$42*1</f>
        <v>-600</v>
      </c>
      <c r="G48" s="66" t="n">
        <f aca="false">-Inputs!$B$42*1</f>
        <v>-600</v>
      </c>
      <c r="H48" s="66" t="n">
        <f aca="false">-Inputs!$B$42*1</f>
        <v>-600</v>
      </c>
      <c r="I48" s="66" t="n">
        <f aca="false">-Inputs!$B$42*1</f>
        <v>-600</v>
      </c>
      <c r="J48" s="66" t="n">
        <f aca="false">-Inputs!$B$42*1</f>
        <v>-600</v>
      </c>
      <c r="K48" s="66" t="n">
        <f aca="false">-Inputs!$B$42*1</f>
        <v>-600</v>
      </c>
      <c r="L48" s="66" t="n">
        <f aca="false">-Inputs!$B$42*1</f>
        <v>-600</v>
      </c>
      <c r="M48" s="66" t="n">
        <f aca="false">-Inputs!$B$42*1</f>
        <v>-600</v>
      </c>
      <c r="N48" s="66" t="n">
        <f aca="false">-Inputs!$B$42*1</f>
        <v>-600</v>
      </c>
      <c r="O48" s="66" t="n">
        <f aca="false">-Inputs!$B$42*1</f>
        <v>-600</v>
      </c>
      <c r="P48" s="66" t="n">
        <f aca="false">-Inputs!$B$42*1</f>
        <v>-600</v>
      </c>
      <c r="Q48" s="66" t="n">
        <f aca="false">-Inputs!$B$42*1</f>
        <v>-600</v>
      </c>
      <c r="R48" s="66" t="n">
        <f aca="false">-Inputs!$B$42*1</f>
        <v>-600</v>
      </c>
      <c r="S48" s="66" t="n">
        <f aca="false">-Inputs!$B$42*1</f>
        <v>-600</v>
      </c>
      <c r="T48" s="66" t="n">
        <f aca="false">-Inputs!$B$42*1</f>
        <v>-600</v>
      </c>
      <c r="U48" s="66" t="n">
        <f aca="false">-Inputs!$B$42*1</f>
        <v>-600</v>
      </c>
      <c r="V48" s="66" t="n">
        <f aca="false">-Inputs!$B$42*1</f>
        <v>-600</v>
      </c>
      <c r="W48" s="66" t="n">
        <f aca="false">-Inputs!$B$42*1</f>
        <v>-600</v>
      </c>
      <c r="X48" s="66" t="n">
        <f aca="false">-Inputs!$B$42*1</f>
        <v>-600</v>
      </c>
      <c r="Y48" s="66" t="n">
        <f aca="false">-Inputs!$B$42*1</f>
        <v>-600</v>
      </c>
      <c r="Z48" s="66" t="n">
        <f aca="false">-Inputs!$B$42*1</f>
        <v>-600</v>
      </c>
      <c r="AA48" s="66" t="n">
        <f aca="false">-Inputs!$B$42*1</f>
        <v>-600</v>
      </c>
      <c r="AB48" s="66" t="n">
        <f aca="false">-Inputs!$B$42*1</f>
        <v>-600</v>
      </c>
      <c r="AC48" s="66" t="n">
        <f aca="false">-Inputs!$B$42*1</f>
        <v>-600</v>
      </c>
      <c r="AD48" s="66" t="n">
        <f aca="false">-Inputs!$B$42*1</f>
        <v>-600</v>
      </c>
      <c r="AE48" s="66" t="n">
        <f aca="false">-Inputs!$B$42*1</f>
        <v>-600</v>
      </c>
      <c r="AF48" s="66" t="n">
        <f aca="false">-Inputs!$B$42*1</f>
        <v>-600</v>
      </c>
      <c r="AG48" s="66" t="n">
        <f aca="false">-Inputs!$B$42*1</f>
        <v>-600</v>
      </c>
      <c r="AH48" s="66" t="n">
        <f aca="false">-Inputs!$B$42*1</f>
        <v>-600</v>
      </c>
      <c r="AI48" s="66" t="n">
        <f aca="false">-Inputs!$B$42*1</f>
        <v>-600</v>
      </c>
      <c r="AJ48" s="66" t="n">
        <f aca="false">-Inputs!$B$42*1</f>
        <v>-600</v>
      </c>
      <c r="AK48" s="66" t="n">
        <f aca="false">-Inputs!$B$42*1</f>
        <v>-600</v>
      </c>
      <c r="AL48" s="66" t="n">
        <f aca="false">-Inputs!$B$42*1</f>
        <v>-600</v>
      </c>
      <c r="AM48" s="66" t="n">
        <f aca="false">-Inputs!$B$42*1</f>
        <v>-600</v>
      </c>
      <c r="AN48" s="66" t="n">
        <f aca="false">-Inputs!$B$42*1</f>
        <v>-600</v>
      </c>
      <c r="AO48" s="66" t="n">
        <f aca="false">-Inputs!$B$42*1</f>
        <v>-600</v>
      </c>
      <c r="AP48" s="66" t="n">
        <f aca="false">-Inputs!$B$42*1</f>
        <v>-600</v>
      </c>
      <c r="AQ48" s="66" t="n">
        <f aca="false">-Inputs!$B$42*1</f>
        <v>-600</v>
      </c>
      <c r="AR48" s="66" t="n">
        <f aca="false">-Inputs!$B$42*1</f>
        <v>-600</v>
      </c>
      <c r="AS48" s="66" t="n">
        <f aca="false">-Inputs!$B$42*1</f>
        <v>-600</v>
      </c>
      <c r="AT48" s="66" t="n">
        <f aca="false">-Inputs!$B$42*1</f>
        <v>-600</v>
      </c>
      <c r="AU48" s="66" t="n">
        <f aca="false">-Inputs!$B$42*1</f>
        <v>-600</v>
      </c>
      <c r="AV48" s="66" t="n">
        <f aca="false">-Inputs!$B$42*1</f>
        <v>-600</v>
      </c>
      <c r="AW48" s="66" t="n">
        <f aca="false">-Inputs!$B$42*1</f>
        <v>-600</v>
      </c>
      <c r="AX48" s="66" t="n">
        <f aca="false">-Inputs!$B$42*1</f>
        <v>-600</v>
      </c>
      <c r="AY48" s="66" t="n">
        <f aca="false">-Inputs!$B$42*1</f>
        <v>-600</v>
      </c>
      <c r="AZ48" s="66" t="n">
        <f aca="false">-Inputs!$B$42*1</f>
        <v>-600</v>
      </c>
      <c r="BA48" s="66" t="n">
        <f aca="false">-Inputs!$B$42*1</f>
        <v>-600</v>
      </c>
      <c r="BB48" s="66" t="n">
        <f aca="false">-Inputs!$B$42*1</f>
        <v>-600</v>
      </c>
      <c r="BC48" s="66" t="n">
        <f aca="false">-Inputs!$B$42*1</f>
        <v>-600</v>
      </c>
      <c r="BD48" s="66" t="n">
        <f aca="false">-Inputs!$B$42*1</f>
        <v>-600</v>
      </c>
      <c r="BE48" s="66" t="n">
        <f aca="false">-Inputs!$B$42*1</f>
        <v>-600</v>
      </c>
      <c r="BF48" s="66" t="n">
        <f aca="false">-Inputs!$B$42*1</f>
        <v>-600</v>
      </c>
      <c r="BG48" s="66" t="n">
        <f aca="false">-Inputs!$B$42*1</f>
        <v>-600</v>
      </c>
      <c r="BH48" s="66" t="n">
        <f aca="false">-Inputs!$B$42*1</f>
        <v>-600</v>
      </c>
      <c r="BI48" s="66" t="n">
        <f aca="false">-Inputs!$B$42*1</f>
        <v>-600</v>
      </c>
      <c r="BJ48" s="66" t="n">
        <f aca="false">-Inputs!$B$42*1</f>
        <v>-600</v>
      </c>
    </row>
    <row r="49" customFormat="false" ht="15" hidden="false" customHeight="false" outlineLevel="0" collapsed="false">
      <c r="A49" s="6" t="s">
        <v>343</v>
      </c>
      <c r="C49" s="66" t="n">
        <f aca="false">-Inputs!$B$43*(1+Inputs!$B$44)^(C$7-1)*1</f>
        <v>-2500</v>
      </c>
      <c r="D49" s="66" t="n">
        <f aca="false">-Inputs!$B$43*(1+Inputs!$B$44)^(D$7-1)*1</f>
        <v>-2500</v>
      </c>
      <c r="E49" s="66" t="n">
        <f aca="false">-Inputs!$B$43*(1+Inputs!$B$44)^(E$7-1)*1</f>
        <v>-2500</v>
      </c>
      <c r="F49" s="66" t="n">
        <f aca="false">-Inputs!$B$43*(1+Inputs!$B$44)^(F$7-1)*1</f>
        <v>-2500</v>
      </c>
      <c r="G49" s="66" t="n">
        <f aca="false">-Inputs!$B$43*(1+Inputs!$B$44)^(G$7-1)*1</f>
        <v>-2500</v>
      </c>
      <c r="H49" s="66" t="n">
        <f aca="false">-Inputs!$B$43*(1+Inputs!$B$44)^(H$7-1)*1</f>
        <v>-2500</v>
      </c>
      <c r="I49" s="66" t="n">
        <f aca="false">-Inputs!$B$43*(1+Inputs!$B$44)^(I$7-1)*1</f>
        <v>-2500</v>
      </c>
      <c r="J49" s="66" t="n">
        <f aca="false">-Inputs!$B$43*(1+Inputs!$B$44)^(J$7-1)*1</f>
        <v>-2500</v>
      </c>
      <c r="K49" s="66" t="n">
        <f aca="false">-Inputs!$B$43*(1+Inputs!$B$44)^(K$7-1)*1</f>
        <v>-2500</v>
      </c>
      <c r="L49" s="66" t="n">
        <f aca="false">-Inputs!$B$43*(1+Inputs!$B$44)^(L$7-1)*1</f>
        <v>-2500</v>
      </c>
      <c r="M49" s="66" t="n">
        <f aca="false">-Inputs!$B$43*(1+Inputs!$B$44)^(M$7-1)*1</f>
        <v>-2500</v>
      </c>
      <c r="N49" s="66" t="n">
        <f aca="false">-Inputs!$B$43*(1+Inputs!$B$44)^(N$7-1)*1</f>
        <v>-2500</v>
      </c>
      <c r="O49" s="66" t="n">
        <f aca="false">-Inputs!$B$43*(1+Inputs!$B$44)^(O$7-1)*1</f>
        <v>-2500</v>
      </c>
      <c r="P49" s="66" t="n">
        <f aca="false">-Inputs!$B$43*(1+Inputs!$B$44)^(P$7-1)*1</f>
        <v>-2500</v>
      </c>
      <c r="Q49" s="66" t="n">
        <f aca="false">-Inputs!$B$43*(1+Inputs!$B$44)^(Q$7-1)*1</f>
        <v>-2500</v>
      </c>
      <c r="R49" s="66" t="n">
        <f aca="false">-Inputs!$B$43*(1+Inputs!$B$44)^(R$7-1)*1</f>
        <v>-2500</v>
      </c>
      <c r="S49" s="66" t="n">
        <f aca="false">-Inputs!$B$43*(1+Inputs!$B$44)^(S$7-1)*1</f>
        <v>-2500</v>
      </c>
      <c r="T49" s="66" t="n">
        <f aca="false">-Inputs!$B$43*(1+Inputs!$B$44)^(T$7-1)*1</f>
        <v>-2500</v>
      </c>
      <c r="U49" s="66" t="n">
        <f aca="false">-Inputs!$B$43*(1+Inputs!$B$44)^(U$7-1)*1</f>
        <v>-2500</v>
      </c>
      <c r="V49" s="66" t="n">
        <f aca="false">-Inputs!$B$43*(1+Inputs!$B$44)^(V$7-1)*1</f>
        <v>-2500</v>
      </c>
      <c r="W49" s="66" t="n">
        <f aca="false">-Inputs!$B$43*(1+Inputs!$B$44)^(W$7-1)*1</f>
        <v>-2500</v>
      </c>
      <c r="X49" s="66" t="n">
        <f aca="false">-Inputs!$B$43*(1+Inputs!$B$44)^(X$7-1)*1</f>
        <v>-2500</v>
      </c>
      <c r="Y49" s="66" t="n">
        <f aca="false">-Inputs!$B$43*(1+Inputs!$B$44)^(Y$7-1)*1</f>
        <v>-2500</v>
      </c>
      <c r="Z49" s="66" t="n">
        <f aca="false">-Inputs!$B$43*(1+Inputs!$B$44)^(Z$7-1)*1</f>
        <v>-2500</v>
      </c>
      <c r="AA49" s="66" t="n">
        <f aca="false">-Inputs!$B$43*(1+Inputs!$B$44)^(AA$7-1)*1</f>
        <v>-2500</v>
      </c>
      <c r="AB49" s="66" t="n">
        <f aca="false">-Inputs!$B$43*(1+Inputs!$B$44)^(AB$7-1)*1</f>
        <v>-2500</v>
      </c>
      <c r="AC49" s="66" t="n">
        <f aca="false">-Inputs!$B$43*(1+Inputs!$B$44)^(AC$7-1)*1</f>
        <v>-2500</v>
      </c>
      <c r="AD49" s="66" t="n">
        <f aca="false">-Inputs!$B$43*(1+Inputs!$B$44)^(AD$7-1)*1</f>
        <v>-2500</v>
      </c>
      <c r="AE49" s="66" t="n">
        <f aca="false">-Inputs!$B$43*(1+Inputs!$B$44)^(AE$7-1)*1</f>
        <v>-2500</v>
      </c>
      <c r="AF49" s="66" t="n">
        <f aca="false">-Inputs!$B$43*(1+Inputs!$B$44)^(AF$7-1)*1</f>
        <v>-2500</v>
      </c>
      <c r="AG49" s="66" t="n">
        <f aca="false">-Inputs!$B$43*(1+Inputs!$B$44)^(AG$7-1)*1</f>
        <v>-2500</v>
      </c>
      <c r="AH49" s="66" t="n">
        <f aca="false">-Inputs!$B$43*(1+Inputs!$B$44)^(AH$7-1)*1</f>
        <v>-2500</v>
      </c>
      <c r="AI49" s="66" t="n">
        <f aca="false">-Inputs!$B$43*(1+Inputs!$B$44)^(AI$7-1)*1</f>
        <v>-2500</v>
      </c>
      <c r="AJ49" s="66" t="n">
        <f aca="false">-Inputs!$B$43*(1+Inputs!$B$44)^(AJ$7-1)*1</f>
        <v>-2500</v>
      </c>
      <c r="AK49" s="66" t="n">
        <f aca="false">-Inputs!$B$43*(1+Inputs!$B$44)^(AK$7-1)*1</f>
        <v>-2500</v>
      </c>
      <c r="AL49" s="66" t="n">
        <f aca="false">-Inputs!$B$43*(1+Inputs!$B$44)^(AL$7-1)*1</f>
        <v>-2500</v>
      </c>
      <c r="AM49" s="66" t="n">
        <f aca="false">-Inputs!$B$43*(1+Inputs!$B$44)^(AM$7-1)*1</f>
        <v>-2500</v>
      </c>
      <c r="AN49" s="66" t="n">
        <f aca="false">-Inputs!$B$43*(1+Inputs!$B$44)^(AN$7-1)*1</f>
        <v>-2500</v>
      </c>
      <c r="AO49" s="66" t="n">
        <f aca="false">-Inputs!$B$43*(1+Inputs!$B$44)^(AO$7-1)*1</f>
        <v>-2500</v>
      </c>
      <c r="AP49" s="66" t="n">
        <f aca="false">-Inputs!$B$43*(1+Inputs!$B$44)^(AP$7-1)*1</f>
        <v>-2500</v>
      </c>
      <c r="AQ49" s="66" t="n">
        <f aca="false">-Inputs!$B$43*(1+Inputs!$B$44)^(AQ$7-1)*1</f>
        <v>-2500</v>
      </c>
      <c r="AR49" s="66" t="n">
        <f aca="false">-Inputs!$B$43*(1+Inputs!$B$44)^(AR$7-1)*1</f>
        <v>-2500</v>
      </c>
      <c r="AS49" s="66" t="n">
        <f aca="false">-Inputs!$B$43*(1+Inputs!$B$44)^(AS$7-1)*1</f>
        <v>-2500</v>
      </c>
      <c r="AT49" s="66" t="n">
        <f aca="false">-Inputs!$B$43*(1+Inputs!$B$44)^(AT$7-1)*1</f>
        <v>-2500</v>
      </c>
      <c r="AU49" s="66" t="n">
        <f aca="false">-Inputs!$B$43*(1+Inputs!$B$44)^(AU$7-1)*1</f>
        <v>-2500</v>
      </c>
      <c r="AV49" s="66" t="n">
        <f aca="false">-Inputs!$B$43*(1+Inputs!$B$44)^(AV$7-1)*1</f>
        <v>-2500</v>
      </c>
      <c r="AW49" s="66" t="n">
        <f aca="false">-Inputs!$B$43*(1+Inputs!$B$44)^(AW$7-1)*1</f>
        <v>-2500</v>
      </c>
      <c r="AX49" s="66" t="n">
        <f aca="false">-Inputs!$B$43*(1+Inputs!$B$44)^(AX$7-1)*1</f>
        <v>-2500</v>
      </c>
      <c r="AY49" s="66" t="n">
        <f aca="false">-Inputs!$B$43*(1+Inputs!$B$44)^(AY$7-1)*1</f>
        <v>-2500</v>
      </c>
      <c r="AZ49" s="66" t="n">
        <f aca="false">-Inputs!$B$43*(1+Inputs!$B$44)^(AZ$7-1)*1</f>
        <v>-2500</v>
      </c>
      <c r="BA49" s="66" t="n">
        <f aca="false">-Inputs!$B$43*(1+Inputs!$B$44)^(BA$7-1)*1</f>
        <v>-2500</v>
      </c>
      <c r="BB49" s="66" t="n">
        <f aca="false">-Inputs!$B$43*(1+Inputs!$B$44)^(BB$7-1)*1</f>
        <v>-2500</v>
      </c>
      <c r="BC49" s="66" t="n">
        <f aca="false">-Inputs!$B$43*(1+Inputs!$B$44)^(BC$7-1)*1</f>
        <v>-2500</v>
      </c>
      <c r="BD49" s="66" t="n">
        <f aca="false">-Inputs!$B$43*(1+Inputs!$B$44)^(BD$7-1)*1</f>
        <v>-2500</v>
      </c>
      <c r="BE49" s="66" t="n">
        <f aca="false">-Inputs!$B$43*(1+Inputs!$B$44)^(BE$7-1)*1</f>
        <v>-2500</v>
      </c>
      <c r="BF49" s="66" t="n">
        <f aca="false">-Inputs!$B$43*(1+Inputs!$B$44)^(BF$7-1)*1</f>
        <v>-2500</v>
      </c>
      <c r="BG49" s="66" t="n">
        <f aca="false">-Inputs!$B$43*(1+Inputs!$B$44)^(BG$7-1)*1</f>
        <v>-2500</v>
      </c>
      <c r="BH49" s="66" t="n">
        <f aca="false">-Inputs!$B$43*(1+Inputs!$B$44)^(BH$7-1)*1</f>
        <v>-2500</v>
      </c>
      <c r="BI49" s="66" t="n">
        <f aca="false">-Inputs!$B$43*(1+Inputs!$B$44)^(BI$7-1)*1</f>
        <v>-2500</v>
      </c>
      <c r="BJ49" s="66" t="n">
        <f aca="false">-Inputs!$B$43*(1+Inputs!$B$44)^(BJ$7-1)*1</f>
        <v>-2500</v>
      </c>
    </row>
    <row r="50" customFormat="false" ht="15" hidden="false" customHeight="false" outlineLevel="0" collapsed="false">
      <c r="A50" s="6" t="s">
        <v>344</v>
      </c>
      <c r="C50" s="66" t="n">
        <f aca="false">-Inputs!$B$45*1</f>
        <v>-400</v>
      </c>
      <c r="D50" s="66" t="n">
        <f aca="false">-Inputs!$B$45*1</f>
        <v>-400</v>
      </c>
      <c r="E50" s="66" t="n">
        <f aca="false">-Inputs!$B$45*1</f>
        <v>-400</v>
      </c>
      <c r="F50" s="66" t="n">
        <f aca="false">-Inputs!$B$45*1</f>
        <v>-400</v>
      </c>
      <c r="G50" s="66" t="n">
        <f aca="false">-Inputs!$B$45*1</f>
        <v>-400</v>
      </c>
      <c r="H50" s="66" t="n">
        <f aca="false">-Inputs!$B$45*1</f>
        <v>-400</v>
      </c>
      <c r="I50" s="66" t="n">
        <f aca="false">-Inputs!$B$45*1</f>
        <v>-400</v>
      </c>
      <c r="J50" s="66" t="n">
        <f aca="false">-Inputs!$B$45*1</f>
        <v>-400</v>
      </c>
      <c r="K50" s="66" t="n">
        <f aca="false">-Inputs!$B$45*1</f>
        <v>-400</v>
      </c>
      <c r="L50" s="66" t="n">
        <f aca="false">-Inputs!$B$45*1</f>
        <v>-400</v>
      </c>
      <c r="M50" s="66" t="n">
        <f aca="false">-Inputs!$B$45*1</f>
        <v>-400</v>
      </c>
      <c r="N50" s="66" t="n">
        <f aca="false">-Inputs!$B$45*1</f>
        <v>-400</v>
      </c>
      <c r="O50" s="66" t="n">
        <f aca="false">-Inputs!$B$45*1</f>
        <v>-400</v>
      </c>
      <c r="P50" s="66" t="n">
        <f aca="false">-Inputs!$B$45*1</f>
        <v>-400</v>
      </c>
      <c r="Q50" s="66" t="n">
        <f aca="false">-Inputs!$B$45*1</f>
        <v>-400</v>
      </c>
      <c r="R50" s="66" t="n">
        <f aca="false">-Inputs!$B$45*1</f>
        <v>-400</v>
      </c>
      <c r="S50" s="66" t="n">
        <f aca="false">-Inputs!$B$45*1</f>
        <v>-400</v>
      </c>
      <c r="T50" s="66" t="n">
        <f aca="false">-Inputs!$B$45*1</f>
        <v>-400</v>
      </c>
      <c r="U50" s="66" t="n">
        <f aca="false">-Inputs!$B$45*1</f>
        <v>-400</v>
      </c>
      <c r="V50" s="66" t="n">
        <f aca="false">-Inputs!$B$45*1</f>
        <v>-400</v>
      </c>
      <c r="W50" s="66" t="n">
        <f aca="false">-Inputs!$B$45*1</f>
        <v>-400</v>
      </c>
      <c r="X50" s="66" t="n">
        <f aca="false">-Inputs!$B$45*1</f>
        <v>-400</v>
      </c>
      <c r="Y50" s="66" t="n">
        <f aca="false">-Inputs!$B$45*1</f>
        <v>-400</v>
      </c>
      <c r="Z50" s="66" t="n">
        <f aca="false">-Inputs!$B$45*1</f>
        <v>-400</v>
      </c>
      <c r="AA50" s="66" t="n">
        <f aca="false">-Inputs!$B$45*1</f>
        <v>-400</v>
      </c>
      <c r="AB50" s="66" t="n">
        <f aca="false">-Inputs!$B$45*1</f>
        <v>-400</v>
      </c>
      <c r="AC50" s="66" t="n">
        <f aca="false">-Inputs!$B$45*1</f>
        <v>-400</v>
      </c>
      <c r="AD50" s="66" t="n">
        <f aca="false">-Inputs!$B$45*1</f>
        <v>-400</v>
      </c>
      <c r="AE50" s="66" t="n">
        <f aca="false">-Inputs!$B$45*1</f>
        <v>-400</v>
      </c>
      <c r="AF50" s="66" t="n">
        <f aca="false">-Inputs!$B$45*1</f>
        <v>-400</v>
      </c>
      <c r="AG50" s="66" t="n">
        <f aca="false">-Inputs!$B$45*1</f>
        <v>-400</v>
      </c>
      <c r="AH50" s="66" t="n">
        <f aca="false">-Inputs!$B$45*1</f>
        <v>-400</v>
      </c>
      <c r="AI50" s="66" t="n">
        <f aca="false">-Inputs!$B$45*1</f>
        <v>-400</v>
      </c>
      <c r="AJ50" s="66" t="n">
        <f aca="false">-Inputs!$B$45*1</f>
        <v>-400</v>
      </c>
      <c r="AK50" s="66" t="n">
        <f aca="false">-Inputs!$B$45*1</f>
        <v>-400</v>
      </c>
      <c r="AL50" s="66" t="n">
        <f aca="false">-Inputs!$B$45*1</f>
        <v>-400</v>
      </c>
      <c r="AM50" s="66" t="n">
        <f aca="false">-Inputs!$B$45*1</f>
        <v>-400</v>
      </c>
      <c r="AN50" s="66" t="n">
        <f aca="false">-Inputs!$B$45*1</f>
        <v>-400</v>
      </c>
      <c r="AO50" s="66" t="n">
        <f aca="false">-Inputs!$B$45*1</f>
        <v>-400</v>
      </c>
      <c r="AP50" s="66" t="n">
        <f aca="false">-Inputs!$B$45*1</f>
        <v>-400</v>
      </c>
      <c r="AQ50" s="66" t="n">
        <f aca="false">-Inputs!$B$45*1</f>
        <v>-400</v>
      </c>
      <c r="AR50" s="66" t="n">
        <f aca="false">-Inputs!$B$45*1</f>
        <v>-400</v>
      </c>
      <c r="AS50" s="66" t="n">
        <f aca="false">-Inputs!$B$45*1</f>
        <v>-400</v>
      </c>
      <c r="AT50" s="66" t="n">
        <f aca="false">-Inputs!$B$45*1</f>
        <v>-400</v>
      </c>
      <c r="AU50" s="66" t="n">
        <f aca="false">-Inputs!$B$45*1</f>
        <v>-400</v>
      </c>
      <c r="AV50" s="66" t="n">
        <f aca="false">-Inputs!$B$45*1</f>
        <v>-400</v>
      </c>
      <c r="AW50" s="66" t="n">
        <f aca="false">-Inputs!$B$45*1</f>
        <v>-400</v>
      </c>
      <c r="AX50" s="66" t="n">
        <f aca="false">-Inputs!$B$45*1</f>
        <v>-400</v>
      </c>
      <c r="AY50" s="66" t="n">
        <f aca="false">-Inputs!$B$45*1</f>
        <v>-400</v>
      </c>
      <c r="AZ50" s="66" t="n">
        <f aca="false">-Inputs!$B$45*1</f>
        <v>-400</v>
      </c>
      <c r="BA50" s="66" t="n">
        <f aca="false">-Inputs!$B$45*1</f>
        <v>-400</v>
      </c>
      <c r="BB50" s="66" t="n">
        <f aca="false">-Inputs!$B$45*1</f>
        <v>-400</v>
      </c>
      <c r="BC50" s="66" t="n">
        <f aca="false">-Inputs!$B$45*1</f>
        <v>-400</v>
      </c>
      <c r="BD50" s="66" t="n">
        <f aca="false">-Inputs!$B$45*1</f>
        <v>-400</v>
      </c>
      <c r="BE50" s="66" t="n">
        <f aca="false">-Inputs!$B$45*1</f>
        <v>-400</v>
      </c>
      <c r="BF50" s="66" t="n">
        <f aca="false">-Inputs!$B$45*1</f>
        <v>-400</v>
      </c>
      <c r="BG50" s="66" t="n">
        <f aca="false">-Inputs!$B$45*1</f>
        <v>-400</v>
      </c>
      <c r="BH50" s="66" t="n">
        <f aca="false">-Inputs!$B$45*1</f>
        <v>-400</v>
      </c>
      <c r="BI50" s="66" t="n">
        <f aca="false">-Inputs!$B$45*1</f>
        <v>-400</v>
      </c>
      <c r="BJ50" s="66" t="n">
        <f aca="false">-Inputs!$B$45*1</f>
        <v>-400</v>
      </c>
    </row>
    <row r="51" customFormat="false" ht="15" hidden="false" customHeight="false" outlineLevel="0" collapsed="false">
      <c r="A51" s="6" t="s">
        <v>345</v>
      </c>
      <c r="C51" s="66" t="n">
        <f aca="false">-C31*Inputs!$B$46</f>
        <v>-209.01699</v>
      </c>
      <c r="D51" s="66" t="n">
        <f aca="false">-D31*Inputs!$B$46</f>
        <v>-257.787621</v>
      </c>
      <c r="E51" s="66" t="n">
        <f aca="false">-E31*Inputs!$B$46</f>
        <v>-306.558252</v>
      </c>
      <c r="F51" s="66" t="n">
        <f aca="false">-F31*Inputs!$B$46</f>
        <v>-355.328883</v>
      </c>
      <c r="G51" s="66" t="n">
        <f aca="false">-G31*Inputs!$B$46</f>
        <v>-404.099514</v>
      </c>
      <c r="H51" s="66" t="n">
        <f aca="false">-H31*Inputs!$B$46</f>
        <v>-452.870145</v>
      </c>
      <c r="I51" s="66" t="n">
        <f aca="false">-I31*Inputs!$B$46</f>
        <v>-501.640776</v>
      </c>
      <c r="J51" s="66" t="n">
        <f aca="false">-J31*Inputs!$B$46</f>
        <v>-550.411407</v>
      </c>
      <c r="K51" s="66" t="n">
        <f aca="false">-K31*Inputs!$B$46</f>
        <v>-599.182038</v>
      </c>
      <c r="L51" s="66" t="n">
        <f aca="false">-L31*Inputs!$B$46</f>
        <v>-647.952669</v>
      </c>
      <c r="M51" s="66" t="n">
        <f aca="false">-M31*Inputs!$B$46</f>
        <v>-696.7233</v>
      </c>
      <c r="N51" s="66" t="n">
        <f aca="false">-N31*Inputs!$B$46</f>
        <v>-745.493931</v>
      </c>
      <c r="O51" s="66" t="n">
        <f aca="false">-O31*Inputs!$B$46</f>
        <v>-814.12117605</v>
      </c>
      <c r="P51" s="66" t="n">
        <f aca="false">-P31*Inputs!$B$46</f>
        <v>-864.111072825</v>
      </c>
      <c r="Q51" s="66" t="n">
        <f aca="false">-Q31*Inputs!$B$46</f>
        <v>-914.1009696</v>
      </c>
      <c r="R51" s="66" t="n">
        <f aca="false">-R31*Inputs!$B$46</f>
        <v>-964.090866375</v>
      </c>
      <c r="S51" s="66" t="n">
        <f aca="false">-S31*Inputs!$B$46</f>
        <v>-1014.08076315</v>
      </c>
      <c r="T51" s="66" t="n">
        <f aca="false">-T31*Inputs!$B$46</f>
        <v>-1064.070659925</v>
      </c>
      <c r="U51" s="66" t="n">
        <f aca="false">-U31*Inputs!$B$46</f>
        <v>-1114.0605567</v>
      </c>
      <c r="V51" s="66" t="n">
        <f aca="false">-V31*Inputs!$B$46</f>
        <v>-1114.0605567</v>
      </c>
      <c r="W51" s="66" t="n">
        <f aca="false">-W31*Inputs!$B$46</f>
        <v>-1114.0605567</v>
      </c>
      <c r="X51" s="66" t="n">
        <f aca="false">-X31*Inputs!$B$46</f>
        <v>-1114.0605567</v>
      </c>
      <c r="Y51" s="66" t="n">
        <f aca="false">-Y31*Inputs!$B$46</f>
        <v>-1114.0605567</v>
      </c>
      <c r="Z51" s="66" t="n">
        <f aca="false">-Z31*Inputs!$B$46</f>
        <v>-1114.0605567</v>
      </c>
      <c r="AA51" s="66" t="n">
        <f aca="false">-AA31*Inputs!$B$46</f>
        <v>-1141.9120706175</v>
      </c>
      <c r="AB51" s="66" t="n">
        <f aca="false">-AB31*Inputs!$B$46</f>
        <v>-1141.9120706175</v>
      </c>
      <c r="AC51" s="66" t="n">
        <f aca="false">-AC31*Inputs!$B$46</f>
        <v>-1141.9120706175</v>
      </c>
      <c r="AD51" s="66" t="n">
        <f aca="false">-AD31*Inputs!$B$46</f>
        <v>-1141.9120706175</v>
      </c>
      <c r="AE51" s="66" t="n">
        <f aca="false">-AE31*Inputs!$B$46</f>
        <v>-1141.9120706175</v>
      </c>
      <c r="AF51" s="66" t="n">
        <f aca="false">-AF31*Inputs!$B$46</f>
        <v>-1141.9120706175</v>
      </c>
      <c r="AG51" s="66" t="n">
        <f aca="false">-AG31*Inputs!$B$46</f>
        <v>-1141.9120706175</v>
      </c>
      <c r="AH51" s="66" t="n">
        <f aca="false">-AH31*Inputs!$B$46</f>
        <v>-1141.9120706175</v>
      </c>
      <c r="AI51" s="66" t="n">
        <f aca="false">-AI31*Inputs!$B$46</f>
        <v>-1141.9120706175</v>
      </c>
      <c r="AJ51" s="66" t="n">
        <f aca="false">-AJ31*Inputs!$B$46</f>
        <v>-1141.9120706175</v>
      </c>
      <c r="AK51" s="66" t="n">
        <f aca="false">-AK31*Inputs!$B$46</f>
        <v>-1141.9120706175</v>
      </c>
      <c r="AL51" s="66" t="n">
        <f aca="false">-AL31*Inputs!$B$46</f>
        <v>-1141.9120706175</v>
      </c>
      <c r="AM51" s="66" t="n">
        <f aca="false">-AM31*Inputs!$B$46</f>
        <v>-1170.45987238294</v>
      </c>
      <c r="AN51" s="66" t="n">
        <f aca="false">-AN31*Inputs!$B$46</f>
        <v>-1170.45987238294</v>
      </c>
      <c r="AO51" s="66" t="n">
        <f aca="false">-AO31*Inputs!$B$46</f>
        <v>-1170.45987238294</v>
      </c>
      <c r="AP51" s="66" t="n">
        <f aca="false">-AP31*Inputs!$B$46</f>
        <v>-1170.45987238294</v>
      </c>
      <c r="AQ51" s="66" t="n">
        <f aca="false">-AQ31*Inputs!$B$46</f>
        <v>-1170.45987238294</v>
      </c>
      <c r="AR51" s="66" t="n">
        <f aca="false">-AR31*Inputs!$B$46</f>
        <v>-1170.45987238294</v>
      </c>
      <c r="AS51" s="66" t="n">
        <f aca="false">-AS31*Inputs!$B$46</f>
        <v>-1170.45987238294</v>
      </c>
      <c r="AT51" s="66" t="n">
        <f aca="false">-AT31*Inputs!$B$46</f>
        <v>-1170.45987238294</v>
      </c>
      <c r="AU51" s="66" t="n">
        <f aca="false">-AU31*Inputs!$B$46</f>
        <v>-1170.45987238294</v>
      </c>
      <c r="AV51" s="66" t="n">
        <f aca="false">-AV31*Inputs!$B$46</f>
        <v>-1170.45987238294</v>
      </c>
      <c r="AW51" s="66" t="n">
        <f aca="false">-AW31*Inputs!$B$46</f>
        <v>-1170.45987238294</v>
      </c>
      <c r="AX51" s="66" t="n">
        <f aca="false">-AX31*Inputs!$B$46</f>
        <v>-1170.45987238294</v>
      </c>
      <c r="AY51" s="66" t="n">
        <f aca="false">-AY31*Inputs!$B$46</f>
        <v>-1199.72136919251</v>
      </c>
      <c r="AZ51" s="66" t="n">
        <f aca="false">-AZ31*Inputs!$B$46</f>
        <v>-1199.72136919251</v>
      </c>
      <c r="BA51" s="66" t="n">
        <f aca="false">-BA31*Inputs!$B$46</f>
        <v>-1199.72136919251</v>
      </c>
      <c r="BB51" s="66" t="n">
        <f aca="false">-BB31*Inputs!$B$46</f>
        <v>-1199.72136919251</v>
      </c>
      <c r="BC51" s="66" t="n">
        <f aca="false">-BC31*Inputs!$B$46</f>
        <v>-1199.72136919251</v>
      </c>
      <c r="BD51" s="66" t="n">
        <f aca="false">-BD31*Inputs!$B$46</f>
        <v>-1199.72136919251</v>
      </c>
      <c r="BE51" s="66" t="n">
        <f aca="false">-BE31*Inputs!$B$46</f>
        <v>-1199.72136919251</v>
      </c>
      <c r="BF51" s="66" t="n">
        <f aca="false">-BF31*Inputs!$B$46</f>
        <v>-1199.72136919251</v>
      </c>
      <c r="BG51" s="66" t="n">
        <f aca="false">-BG31*Inputs!$B$46</f>
        <v>-1199.72136919251</v>
      </c>
      <c r="BH51" s="66" t="n">
        <f aca="false">-BH31*Inputs!$B$46</f>
        <v>-1199.72136919251</v>
      </c>
      <c r="BI51" s="66" t="n">
        <f aca="false">-BI31*Inputs!$B$46</f>
        <v>-1199.72136919251</v>
      </c>
      <c r="BJ51" s="66" t="n">
        <f aca="false">-BJ31*Inputs!$B$46</f>
        <v>-1199.72136919251</v>
      </c>
    </row>
    <row r="52" customFormat="false" ht="15" hidden="false" customHeight="false" outlineLevel="0" collapsed="false">
      <c r="A52" s="6" t="s">
        <v>346</v>
      </c>
      <c r="C52" s="66" t="n">
        <f aca="false">-Inputs!$B$47*1</f>
        <v>-1200</v>
      </c>
      <c r="D52" s="66" t="n">
        <f aca="false">-Inputs!$B$47*1</f>
        <v>-1200</v>
      </c>
      <c r="E52" s="66" t="n">
        <f aca="false">-Inputs!$B$47*1</f>
        <v>-1200</v>
      </c>
      <c r="F52" s="66" t="n">
        <f aca="false">-Inputs!$B$47*1</f>
        <v>-1200</v>
      </c>
      <c r="G52" s="66" t="n">
        <f aca="false">-Inputs!$B$47*1</f>
        <v>-1200</v>
      </c>
      <c r="H52" s="66" t="n">
        <f aca="false">-Inputs!$B$47*1</f>
        <v>-1200</v>
      </c>
      <c r="I52" s="66" t="n">
        <f aca="false">-Inputs!$B$47*1</f>
        <v>-1200</v>
      </c>
      <c r="J52" s="66" t="n">
        <f aca="false">-Inputs!$B$47*1</f>
        <v>-1200</v>
      </c>
      <c r="K52" s="66" t="n">
        <f aca="false">-Inputs!$B$47*1</f>
        <v>-1200</v>
      </c>
      <c r="L52" s="66" t="n">
        <f aca="false">-Inputs!$B$47*1</f>
        <v>-1200</v>
      </c>
      <c r="M52" s="66" t="n">
        <f aca="false">-Inputs!$B$47*1</f>
        <v>-1200</v>
      </c>
      <c r="N52" s="66" t="n">
        <f aca="false">-Inputs!$B$47*1</f>
        <v>-1200</v>
      </c>
      <c r="O52" s="66" t="n">
        <f aca="false">-Inputs!$B$47*1</f>
        <v>-1200</v>
      </c>
      <c r="P52" s="66" t="n">
        <f aca="false">-Inputs!$B$47*1</f>
        <v>-1200</v>
      </c>
      <c r="Q52" s="66" t="n">
        <f aca="false">-Inputs!$B$47*1</f>
        <v>-1200</v>
      </c>
      <c r="R52" s="66" t="n">
        <f aca="false">-Inputs!$B$47*1</f>
        <v>-1200</v>
      </c>
      <c r="S52" s="66" t="n">
        <f aca="false">-Inputs!$B$47*1</f>
        <v>-1200</v>
      </c>
      <c r="T52" s="66" t="n">
        <f aca="false">-Inputs!$B$47*1</f>
        <v>-1200</v>
      </c>
      <c r="U52" s="66" t="n">
        <f aca="false">-Inputs!$B$47*1</f>
        <v>-1200</v>
      </c>
      <c r="V52" s="66" t="n">
        <f aca="false">-Inputs!$B$47*1</f>
        <v>-1200</v>
      </c>
      <c r="W52" s="66" t="n">
        <f aca="false">-Inputs!$B$47*1</f>
        <v>-1200</v>
      </c>
      <c r="X52" s="66" t="n">
        <f aca="false">-Inputs!$B$47*1</f>
        <v>-1200</v>
      </c>
      <c r="Y52" s="66" t="n">
        <f aca="false">-Inputs!$B$47*1</f>
        <v>-1200</v>
      </c>
      <c r="Z52" s="66" t="n">
        <f aca="false">-Inputs!$B$47*1</f>
        <v>-1200</v>
      </c>
      <c r="AA52" s="66" t="n">
        <f aca="false">-Inputs!$B$47*1</f>
        <v>-1200</v>
      </c>
      <c r="AB52" s="66" t="n">
        <f aca="false">-Inputs!$B$47*1</f>
        <v>-1200</v>
      </c>
      <c r="AC52" s="66" t="n">
        <f aca="false">-Inputs!$B$47*1</f>
        <v>-1200</v>
      </c>
      <c r="AD52" s="66" t="n">
        <f aca="false">-Inputs!$B$47*1</f>
        <v>-1200</v>
      </c>
      <c r="AE52" s="66" t="n">
        <f aca="false">-Inputs!$B$47*1</f>
        <v>-1200</v>
      </c>
      <c r="AF52" s="66" t="n">
        <f aca="false">-Inputs!$B$47*1</f>
        <v>-1200</v>
      </c>
      <c r="AG52" s="66" t="n">
        <f aca="false">-Inputs!$B$47*1</f>
        <v>-1200</v>
      </c>
      <c r="AH52" s="66" t="n">
        <f aca="false">-Inputs!$B$47*1</f>
        <v>-1200</v>
      </c>
      <c r="AI52" s="66" t="n">
        <f aca="false">-Inputs!$B$47*1</f>
        <v>-1200</v>
      </c>
      <c r="AJ52" s="66" t="n">
        <f aca="false">-Inputs!$B$47*1</f>
        <v>-1200</v>
      </c>
      <c r="AK52" s="66" t="n">
        <f aca="false">-Inputs!$B$47*1</f>
        <v>-1200</v>
      </c>
      <c r="AL52" s="66" t="n">
        <f aca="false">-Inputs!$B$47*1</f>
        <v>-1200</v>
      </c>
      <c r="AM52" s="66" t="n">
        <f aca="false">-Inputs!$B$47*1</f>
        <v>-1200</v>
      </c>
      <c r="AN52" s="66" t="n">
        <f aca="false">-Inputs!$B$47*1</f>
        <v>-1200</v>
      </c>
      <c r="AO52" s="66" t="n">
        <f aca="false">-Inputs!$B$47*1</f>
        <v>-1200</v>
      </c>
      <c r="AP52" s="66" t="n">
        <f aca="false">-Inputs!$B$47*1</f>
        <v>-1200</v>
      </c>
      <c r="AQ52" s="66" t="n">
        <f aca="false">-Inputs!$B$47*1</f>
        <v>-1200</v>
      </c>
      <c r="AR52" s="66" t="n">
        <f aca="false">-Inputs!$B$47*1</f>
        <v>-1200</v>
      </c>
      <c r="AS52" s="66" t="n">
        <f aca="false">-Inputs!$B$47*1</f>
        <v>-1200</v>
      </c>
      <c r="AT52" s="66" t="n">
        <f aca="false">-Inputs!$B$47*1</f>
        <v>-1200</v>
      </c>
      <c r="AU52" s="66" t="n">
        <f aca="false">-Inputs!$B$47*1</f>
        <v>-1200</v>
      </c>
      <c r="AV52" s="66" t="n">
        <f aca="false">-Inputs!$B$47*1</f>
        <v>-1200</v>
      </c>
      <c r="AW52" s="66" t="n">
        <f aca="false">-Inputs!$B$47*1</f>
        <v>-1200</v>
      </c>
      <c r="AX52" s="66" t="n">
        <f aca="false">-Inputs!$B$47*1</f>
        <v>-1200</v>
      </c>
      <c r="AY52" s="66" t="n">
        <f aca="false">-Inputs!$B$47*1</f>
        <v>-1200</v>
      </c>
      <c r="AZ52" s="66" t="n">
        <f aca="false">-Inputs!$B$47*1</f>
        <v>-1200</v>
      </c>
      <c r="BA52" s="66" t="n">
        <f aca="false">-Inputs!$B$47*1</f>
        <v>-1200</v>
      </c>
      <c r="BB52" s="66" t="n">
        <f aca="false">-Inputs!$B$47*1</f>
        <v>-1200</v>
      </c>
      <c r="BC52" s="66" t="n">
        <f aca="false">-Inputs!$B$47*1</f>
        <v>-1200</v>
      </c>
      <c r="BD52" s="66" t="n">
        <f aca="false">-Inputs!$B$47*1</f>
        <v>-1200</v>
      </c>
      <c r="BE52" s="66" t="n">
        <f aca="false">-Inputs!$B$47*1</f>
        <v>-1200</v>
      </c>
      <c r="BF52" s="66" t="n">
        <f aca="false">-Inputs!$B$47*1</f>
        <v>-1200</v>
      </c>
      <c r="BG52" s="66" t="n">
        <f aca="false">-Inputs!$B$47*1</f>
        <v>-1200</v>
      </c>
      <c r="BH52" s="66" t="n">
        <f aca="false">-Inputs!$B$47*1</f>
        <v>-1200</v>
      </c>
      <c r="BI52" s="66" t="n">
        <f aca="false">-Inputs!$B$47*1</f>
        <v>-1200</v>
      </c>
      <c r="BJ52" s="66" t="n">
        <f aca="false">-Inputs!$B$47*1</f>
        <v>-1200</v>
      </c>
    </row>
    <row r="53" customFormat="false" ht="15" hidden="false" customHeight="false" outlineLevel="0" collapsed="false">
      <c r="A53" s="110" t="s">
        <v>76</v>
      </c>
      <c r="C53" s="67" t="n">
        <f aca="false">C44+C45+C46+C47+C48+C49+C50+C51+C52</f>
        <v>-24780.6836566667</v>
      </c>
      <c r="D53" s="67" t="n">
        <f aca="false">D44+D45+D46+D47+D48+D49+D50+D51+D52</f>
        <v>-24829.4542876667</v>
      </c>
      <c r="E53" s="67" t="n">
        <f aca="false">E44+E45+E46+E47+E48+E49+E50+E51+E52</f>
        <v>-24878.2249186667</v>
      </c>
      <c r="F53" s="67" t="n">
        <f aca="false">F44+F45+F46+F47+F48+F49+F50+F51+F52</f>
        <v>-24926.9955496667</v>
      </c>
      <c r="G53" s="67" t="n">
        <f aca="false">G44+G45+G46+G47+G48+G49+G50+G51+G52</f>
        <v>-24975.7661806667</v>
      </c>
      <c r="H53" s="67" t="n">
        <f aca="false">H44+H45+H46+H47+H48+H49+H50+H51+H52</f>
        <v>-25024.5368116667</v>
      </c>
      <c r="I53" s="67" t="n">
        <f aca="false">I44+I45+I46+I47+I48+I49+I50+I51+I52</f>
        <v>-25073.3074426667</v>
      </c>
      <c r="J53" s="67" t="n">
        <f aca="false">J44+J45+J46+J47+J48+J49+J50+J51+J52</f>
        <v>-25122.0780736667</v>
      </c>
      <c r="K53" s="67" t="n">
        <f aca="false">K44+K45+K46+K47+K48+K49+K50+K51+K52</f>
        <v>-25170.8487046667</v>
      </c>
      <c r="L53" s="67" t="n">
        <f aca="false">L44+L45+L46+L47+L48+L49+L50+L51+L52</f>
        <v>-25219.6193356667</v>
      </c>
      <c r="M53" s="67" t="n">
        <f aca="false">M44+M45+M46+M47+M48+M49+M50+M51+M52</f>
        <v>-25268.3899666667</v>
      </c>
      <c r="N53" s="67" t="n">
        <f aca="false">N44+N45+N46+N47+N48+N49+N50+N51+N52</f>
        <v>-25317.1605976667</v>
      </c>
      <c r="O53" s="67" t="n">
        <f aca="false">O44+O45+O46+O47+O48+O49+O50+O51+O52</f>
        <v>-25927.9378427167</v>
      </c>
      <c r="P53" s="67" t="n">
        <f aca="false">P44+P45+P46+P47+P48+P49+P50+P51+P52</f>
        <v>-25977.9277394917</v>
      </c>
      <c r="Q53" s="67" t="n">
        <f aca="false">Q44+Q45+Q46+Q47+Q48+Q49+Q50+Q51+Q52</f>
        <v>-26027.9176362667</v>
      </c>
      <c r="R53" s="67" t="n">
        <f aca="false">R44+R45+R46+R47+R48+R49+R50+R51+R52</f>
        <v>-26077.9075330417</v>
      </c>
      <c r="S53" s="67" t="n">
        <f aca="false">S44+S45+S46+S47+S48+S49+S50+S51+S52</f>
        <v>-26127.8974298167</v>
      </c>
      <c r="T53" s="67" t="n">
        <f aca="false">T44+T45+T46+T47+T48+T49+T50+T51+T52</f>
        <v>-26177.8873265917</v>
      </c>
      <c r="U53" s="67" t="n">
        <f aca="false">U44+U45+U46+U47+U48+U49+U50+U51+U52</f>
        <v>-26227.8772233667</v>
      </c>
      <c r="V53" s="67" t="n">
        <f aca="false">V44+V45+V46+V47+V48+V49+V50+V51+V52</f>
        <v>-26227.8772233667</v>
      </c>
      <c r="W53" s="67" t="n">
        <f aca="false">W44+W45+W46+W47+W48+W49+W50+W51+W52</f>
        <v>-26227.8772233667</v>
      </c>
      <c r="X53" s="67" t="n">
        <f aca="false">X44+X45+X46+X47+X48+X49+X50+X51+X52</f>
        <v>-26227.8772233667</v>
      </c>
      <c r="Y53" s="67" t="n">
        <f aca="false">Y44+Y45+Y46+Y47+Y48+Y49+Y50+Y51+Y52</f>
        <v>-26227.8772233667</v>
      </c>
      <c r="Z53" s="67" t="n">
        <f aca="false">Z44+Z45+Z46+Z47+Z48+Z49+Z50+Z51+Z52</f>
        <v>-26227.8772233667</v>
      </c>
      <c r="AA53" s="67" t="n">
        <f aca="false">AA44+AA45+AA46+AA47+AA48+AA49+AA50+AA51+AA52</f>
        <v>-26814.1432372842</v>
      </c>
      <c r="AB53" s="67" t="n">
        <f aca="false">AB44+AB45+AB46+AB47+AB48+AB49+AB50+AB51+AB52</f>
        <v>-26814.1432372842</v>
      </c>
      <c r="AC53" s="67" t="n">
        <f aca="false">AC44+AC45+AC46+AC47+AC48+AC49+AC50+AC51+AC52</f>
        <v>-26814.1432372842</v>
      </c>
      <c r="AD53" s="67" t="n">
        <f aca="false">AD44+AD45+AD46+AD47+AD48+AD49+AD50+AD51+AD52</f>
        <v>-26814.1432372842</v>
      </c>
      <c r="AE53" s="67" t="n">
        <f aca="false">AE44+AE45+AE46+AE47+AE48+AE49+AE50+AE51+AE52</f>
        <v>-26814.1432372842</v>
      </c>
      <c r="AF53" s="67" t="n">
        <f aca="false">AF44+AF45+AF46+AF47+AF48+AF49+AF50+AF51+AF52</f>
        <v>-26814.1432372842</v>
      </c>
      <c r="AG53" s="67" t="n">
        <f aca="false">AG44+AG45+AG46+AG47+AG48+AG49+AG50+AG51+AG52</f>
        <v>-26814.1432372842</v>
      </c>
      <c r="AH53" s="67" t="n">
        <f aca="false">AH44+AH45+AH46+AH47+AH48+AH49+AH50+AH51+AH52</f>
        <v>-26814.1432372842</v>
      </c>
      <c r="AI53" s="67" t="n">
        <f aca="false">AI44+AI45+AI46+AI47+AI48+AI49+AI50+AI51+AI52</f>
        <v>-26814.1432372842</v>
      </c>
      <c r="AJ53" s="67" t="n">
        <f aca="false">AJ44+AJ45+AJ46+AJ47+AJ48+AJ49+AJ50+AJ51+AJ52</f>
        <v>-26814.1432372842</v>
      </c>
      <c r="AK53" s="67" t="n">
        <f aca="false">AK44+AK45+AK46+AK47+AK48+AK49+AK50+AK51+AK52</f>
        <v>-26814.1432372842</v>
      </c>
      <c r="AL53" s="67" t="n">
        <f aca="false">AL44+AL45+AL46+AL47+AL48+AL49+AL50+AL51+AL52</f>
        <v>-26814.1432372842</v>
      </c>
      <c r="AM53" s="67" t="n">
        <f aca="false">AM44+AM45+AM46+AM47+AM48+AM49+AM50+AM51+AM52</f>
        <v>-27417.8579740496</v>
      </c>
      <c r="AN53" s="67" t="n">
        <f aca="false">AN44+AN45+AN46+AN47+AN48+AN49+AN50+AN51+AN52</f>
        <v>-27417.8579740496</v>
      </c>
      <c r="AO53" s="67" t="n">
        <f aca="false">AO44+AO45+AO46+AO47+AO48+AO49+AO50+AO51+AO52</f>
        <v>-27417.8579740496</v>
      </c>
      <c r="AP53" s="67" t="n">
        <f aca="false">AP44+AP45+AP46+AP47+AP48+AP49+AP50+AP51+AP52</f>
        <v>-27417.8579740496</v>
      </c>
      <c r="AQ53" s="67" t="n">
        <f aca="false">AQ44+AQ45+AQ46+AQ47+AQ48+AQ49+AQ50+AQ51+AQ52</f>
        <v>-27417.8579740496</v>
      </c>
      <c r="AR53" s="67" t="n">
        <f aca="false">AR44+AR45+AR46+AR47+AR48+AR49+AR50+AR51+AR52</f>
        <v>-27417.8579740496</v>
      </c>
      <c r="AS53" s="67" t="n">
        <f aca="false">AS44+AS45+AS46+AS47+AS48+AS49+AS50+AS51+AS52</f>
        <v>-27417.8579740496</v>
      </c>
      <c r="AT53" s="67" t="n">
        <f aca="false">AT44+AT45+AT46+AT47+AT48+AT49+AT50+AT51+AT52</f>
        <v>-27417.8579740496</v>
      </c>
      <c r="AU53" s="67" t="n">
        <f aca="false">AU44+AU45+AU46+AU47+AU48+AU49+AU50+AU51+AU52</f>
        <v>-27417.8579740496</v>
      </c>
      <c r="AV53" s="67" t="n">
        <f aca="false">AV44+AV45+AV46+AV47+AV48+AV49+AV50+AV51+AV52</f>
        <v>-27417.8579740496</v>
      </c>
      <c r="AW53" s="67" t="n">
        <f aca="false">AW44+AW45+AW46+AW47+AW48+AW49+AW50+AW51+AW52</f>
        <v>-27417.8579740496</v>
      </c>
      <c r="AX53" s="67" t="n">
        <f aca="false">AX44+AX45+AX46+AX47+AX48+AX49+AX50+AX51+AX52</f>
        <v>-27417.8579740496</v>
      </c>
      <c r="AY53" s="67" t="n">
        <f aca="false">AY44+AY45+AY46+AY47+AY48+AY49+AY50+AY51+AY52</f>
        <v>-28039.5414139092</v>
      </c>
      <c r="AZ53" s="67" t="n">
        <f aca="false">AZ44+AZ45+AZ46+AZ47+AZ48+AZ49+AZ50+AZ51+AZ52</f>
        <v>-28039.5414139092</v>
      </c>
      <c r="BA53" s="67" t="n">
        <f aca="false">BA44+BA45+BA46+BA47+BA48+BA49+BA50+BA51+BA52</f>
        <v>-28039.5414139092</v>
      </c>
      <c r="BB53" s="67" t="n">
        <f aca="false">BB44+BB45+BB46+BB47+BB48+BB49+BB50+BB51+BB52</f>
        <v>-28039.5414139092</v>
      </c>
      <c r="BC53" s="67" t="n">
        <f aca="false">BC44+BC45+BC46+BC47+BC48+BC49+BC50+BC51+BC52</f>
        <v>-28039.5414139092</v>
      </c>
      <c r="BD53" s="67" t="n">
        <f aca="false">BD44+BD45+BD46+BD47+BD48+BD49+BD50+BD51+BD52</f>
        <v>-28039.5414139092</v>
      </c>
      <c r="BE53" s="67" t="n">
        <f aca="false">BE44+BE45+BE46+BE47+BE48+BE49+BE50+BE51+BE52</f>
        <v>-28039.5414139092</v>
      </c>
      <c r="BF53" s="67" t="n">
        <f aca="false">BF44+BF45+BF46+BF47+BF48+BF49+BF50+BF51+BF52</f>
        <v>-28039.5414139092</v>
      </c>
      <c r="BG53" s="67" t="n">
        <f aca="false">BG44+BG45+BG46+BG47+BG48+BG49+BG50+BG51+BG52</f>
        <v>-28039.5414139092</v>
      </c>
      <c r="BH53" s="67" t="n">
        <f aca="false">BH44+BH45+BH46+BH47+BH48+BH49+BH50+BH51+BH52</f>
        <v>-28039.5414139092</v>
      </c>
      <c r="BI53" s="67" t="n">
        <f aca="false">BI44+BI45+BI46+BI47+BI48+BI49+BI50+BI51+BI52</f>
        <v>-28039.5414139092</v>
      </c>
      <c r="BJ53" s="67" t="n">
        <f aca="false">BJ44+BJ45+BJ46+BJ47+BJ48+BJ49+BJ50+BJ51+BJ52</f>
        <v>-28039.5414139092</v>
      </c>
    </row>
    <row r="54" customFormat="false" ht="15" hidden="false" customHeight="false" outlineLevel="0" collapsed="false">
      <c r="A54" s="110" t="s">
        <v>48</v>
      </c>
      <c r="C54" s="67" t="n">
        <f aca="false">C41+C53</f>
        <v>-23826.3653233333</v>
      </c>
      <c r="D54" s="67" t="n">
        <f aca="false">D41+D53</f>
        <v>-22565.2394543333</v>
      </c>
      <c r="E54" s="67" t="n">
        <f aca="false">E41+E53</f>
        <v>-20614.1135853333</v>
      </c>
      <c r="F54" s="67" t="n">
        <f aca="false">F41+F53</f>
        <v>-18662.9877163333</v>
      </c>
      <c r="G54" s="67" t="n">
        <f aca="false">G41+G53</f>
        <v>-20970.1951806667</v>
      </c>
      <c r="H54" s="67" t="n">
        <f aca="false">H41+H53</f>
        <v>-23277.402645</v>
      </c>
      <c r="I54" s="67" t="n">
        <f aca="false">I41+I53</f>
        <v>-21326.276776</v>
      </c>
      <c r="J54" s="67" t="n">
        <f aca="false">J41+J53</f>
        <v>-19375.150907</v>
      </c>
      <c r="K54" s="67" t="n">
        <f aca="false">K41+K53</f>
        <v>-17424.025038</v>
      </c>
      <c r="L54" s="67" t="n">
        <f aca="false">L41+L53</f>
        <v>-15472.899169</v>
      </c>
      <c r="M54" s="67" t="n">
        <f aca="false">M41+M53</f>
        <v>-13521.7733</v>
      </c>
      <c r="N54" s="67" t="n">
        <f aca="false">N41+N53</f>
        <v>-11570.647431</v>
      </c>
      <c r="O54" s="67" t="n">
        <f aca="false">O41+O53</f>
        <v>-9893.75980105001</v>
      </c>
      <c r="P54" s="67" t="n">
        <f aca="false">P41+P53</f>
        <v>-12281.2117186583</v>
      </c>
      <c r="Q54" s="67" t="n">
        <f aca="false">Q41+Q53</f>
        <v>-14668.6636362667</v>
      </c>
      <c r="R54" s="67" t="n">
        <f aca="false">R41+R53</f>
        <v>-12670.0322205417</v>
      </c>
      <c r="S54" s="67" t="n">
        <f aca="false">S41+S53</f>
        <v>-10671.4008048167</v>
      </c>
      <c r="T54" s="67" t="n">
        <f aca="false">T41+T53</f>
        <v>-8672.76938909167</v>
      </c>
      <c r="U54" s="67" t="n">
        <f aca="false">U41+U53</f>
        <v>-6674.13797336668</v>
      </c>
      <c r="V54" s="67" t="n">
        <f aca="false">V41+V53</f>
        <v>-6889.38797336668</v>
      </c>
      <c r="W54" s="67" t="n">
        <f aca="false">W41+W53</f>
        <v>-6889.38797336668</v>
      </c>
      <c r="X54" s="67" t="n">
        <f aca="false">X41+X53</f>
        <v>-6889.38797336668</v>
      </c>
      <c r="Y54" s="67" t="n">
        <f aca="false">Y41+Y53</f>
        <v>-6889.38797336668</v>
      </c>
      <c r="Z54" s="67" t="n">
        <f aca="false">Z41+Z53</f>
        <v>-6889.38797336668</v>
      </c>
      <c r="AA54" s="67" t="n">
        <f aca="false">AA41+AA53</f>
        <v>-7152.98588003419</v>
      </c>
      <c r="AB54" s="67" t="n">
        <f aca="false">AB41+AB53</f>
        <v>-7152.98588003419</v>
      </c>
      <c r="AC54" s="67" t="n">
        <f aca="false">AC41+AC53</f>
        <v>-7152.98588003419</v>
      </c>
      <c r="AD54" s="67" t="n">
        <f aca="false">AD41+AD53</f>
        <v>-7152.98588003419</v>
      </c>
      <c r="AE54" s="67" t="n">
        <f aca="false">AE41+AE53</f>
        <v>-7152.98588003419</v>
      </c>
      <c r="AF54" s="67" t="n">
        <f aca="false">AF41+AF53</f>
        <v>-7152.98588003419</v>
      </c>
      <c r="AG54" s="67" t="n">
        <f aca="false">AG41+AG53</f>
        <v>-7152.98588003419</v>
      </c>
      <c r="AH54" s="67" t="n">
        <f aca="false">AH41+AH53</f>
        <v>-7152.98588003419</v>
      </c>
      <c r="AI54" s="67" t="n">
        <f aca="false">AI41+AI53</f>
        <v>-7152.98588003419</v>
      </c>
      <c r="AJ54" s="67" t="n">
        <f aca="false">AJ41+AJ53</f>
        <v>-7152.98588003419</v>
      </c>
      <c r="AK54" s="67" t="n">
        <f aca="false">AK41+AK53</f>
        <v>-7152.98588003419</v>
      </c>
      <c r="AL54" s="67" t="n">
        <f aca="false">AL41+AL53</f>
        <v>-7152.98588003419</v>
      </c>
      <c r="AM54" s="67" t="n">
        <f aca="false">AM41+AM53</f>
        <v>-7430.78963058838</v>
      </c>
      <c r="AN54" s="67" t="n">
        <f aca="false">AN41+AN53</f>
        <v>-7430.78963058838</v>
      </c>
      <c r="AO54" s="67" t="n">
        <f aca="false">AO41+AO53</f>
        <v>-7430.78963058838</v>
      </c>
      <c r="AP54" s="67" t="n">
        <f aca="false">AP41+AP53</f>
        <v>-7430.78963058838</v>
      </c>
      <c r="AQ54" s="67" t="n">
        <f aca="false">AQ41+AQ53</f>
        <v>-7430.78963058838</v>
      </c>
      <c r="AR54" s="67" t="n">
        <f aca="false">AR41+AR53</f>
        <v>-7430.78963058838</v>
      </c>
      <c r="AS54" s="67" t="n">
        <f aca="false">AS41+AS53</f>
        <v>-7430.78963058838</v>
      </c>
      <c r="AT54" s="67" t="n">
        <f aca="false">AT41+AT53</f>
        <v>-7430.78963058838</v>
      </c>
      <c r="AU54" s="67" t="n">
        <f aca="false">AU41+AU53</f>
        <v>-7430.78963058838</v>
      </c>
      <c r="AV54" s="67" t="n">
        <f aca="false">AV41+AV53</f>
        <v>-7430.78963058838</v>
      </c>
      <c r="AW54" s="67" t="n">
        <f aca="false">AW41+AW53</f>
        <v>-7430.78963058838</v>
      </c>
      <c r="AX54" s="67" t="n">
        <f aca="false">AX41+AX53</f>
        <v>-7430.78963058838</v>
      </c>
      <c r="AY54" s="67" t="n">
        <f aca="false">AY41+AY53</f>
        <v>-7723.38284801303</v>
      </c>
      <c r="AZ54" s="67" t="n">
        <f aca="false">AZ41+AZ53</f>
        <v>-7723.38284801303</v>
      </c>
      <c r="BA54" s="67" t="n">
        <f aca="false">BA41+BA53</f>
        <v>-7723.38284801303</v>
      </c>
      <c r="BB54" s="67" t="n">
        <f aca="false">BB41+BB53</f>
        <v>-7723.38284801303</v>
      </c>
      <c r="BC54" s="67" t="n">
        <f aca="false">BC41+BC53</f>
        <v>-7723.38284801303</v>
      </c>
      <c r="BD54" s="67" t="n">
        <f aca="false">BD41+BD53</f>
        <v>-7723.38284801303</v>
      </c>
      <c r="BE54" s="67" t="n">
        <f aca="false">BE41+BE53</f>
        <v>-7723.38284801303</v>
      </c>
      <c r="BF54" s="67" t="n">
        <f aca="false">BF41+BF53</f>
        <v>-7723.38284801303</v>
      </c>
      <c r="BG54" s="67" t="n">
        <f aca="false">BG41+BG53</f>
        <v>-7723.38284801303</v>
      </c>
      <c r="BH54" s="67" t="n">
        <f aca="false">BH41+BH53</f>
        <v>-7723.38284801303</v>
      </c>
      <c r="BI54" s="67" t="n">
        <f aca="false">BI41+BI53</f>
        <v>-7723.38284801303</v>
      </c>
      <c r="BJ54" s="67" t="n">
        <f aca="false">BJ41+BJ53</f>
        <v>-7723.38284801303</v>
      </c>
    </row>
    <row r="56" customFormat="false" ht="15.75" hidden="false" customHeight="true" outlineLevel="0" collapsed="false">
      <c r="A56" s="7" t="s">
        <v>435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customFormat="false" ht="15" hidden="false" customHeight="false" outlineLevel="0" collapsed="false">
      <c r="A57" s="4" t="s">
        <v>78</v>
      </c>
      <c r="C57" s="72" t="n">
        <f aca="false">C54+C72</f>
        <v>-27509.6986566667</v>
      </c>
      <c r="D57" s="72" t="n">
        <f aca="false">D54+D72</f>
        <v>-26248.5727876667</v>
      </c>
      <c r="E57" s="72" t="n">
        <f aca="false">E54+E72</f>
        <v>-24297.4469186667</v>
      </c>
      <c r="F57" s="72" t="n">
        <f aca="false">F54+F72</f>
        <v>-22346.3210496667</v>
      </c>
      <c r="G57" s="72" t="n">
        <f aca="false">G54+G72</f>
        <v>-24653.528514</v>
      </c>
      <c r="H57" s="72" t="n">
        <f aca="false">H54+H72</f>
        <v>-26960.7359783333</v>
      </c>
      <c r="I57" s="72" t="n">
        <f aca="false">I54+I72</f>
        <v>-25009.6101093333</v>
      </c>
      <c r="J57" s="72" t="n">
        <f aca="false">J54+J72</f>
        <v>-23058.4842403333</v>
      </c>
      <c r="K57" s="72" t="n">
        <f aca="false">K54+K72</f>
        <v>-21107.3583713333</v>
      </c>
      <c r="L57" s="72" t="n">
        <f aca="false">L54+L72</f>
        <v>-19156.2325023333</v>
      </c>
      <c r="M57" s="72" t="n">
        <f aca="false">M54+M72</f>
        <v>-17205.1066333333</v>
      </c>
      <c r="N57" s="72" t="n">
        <f aca="false">N54+N72</f>
        <v>-15253.9807643333</v>
      </c>
      <c r="O57" s="72" t="n">
        <f aca="false">O54+O72</f>
        <v>-13652.0931343833</v>
      </c>
      <c r="P57" s="72" t="n">
        <f aca="false">P54+P72</f>
        <v>-16039.5450519917</v>
      </c>
      <c r="Q57" s="72" t="n">
        <f aca="false">Q54+Q72</f>
        <v>-18426.9969696</v>
      </c>
      <c r="R57" s="72" t="n">
        <f aca="false">R54+R72</f>
        <v>-16428.365553875</v>
      </c>
      <c r="S57" s="72" t="n">
        <f aca="false">S54+S72</f>
        <v>-14429.73413815</v>
      </c>
      <c r="T57" s="72" t="n">
        <f aca="false">T54+T72</f>
        <v>-12431.102722425</v>
      </c>
      <c r="U57" s="72" t="n">
        <f aca="false">U54+U72</f>
        <v>-10432.4713067</v>
      </c>
      <c r="V57" s="72" t="n">
        <f aca="false">V54+V72</f>
        <v>-10647.7213067</v>
      </c>
      <c r="W57" s="72" t="n">
        <f aca="false">W54+W72</f>
        <v>-10647.7213067</v>
      </c>
      <c r="X57" s="72" t="n">
        <f aca="false">X54+X72</f>
        <v>-10647.7213067</v>
      </c>
      <c r="Y57" s="72" t="n">
        <f aca="false">Y54+Y72</f>
        <v>-10647.7213067</v>
      </c>
      <c r="Z57" s="72" t="n">
        <f aca="false">Z54+Z72</f>
        <v>-10647.7213067</v>
      </c>
      <c r="AA57" s="72" t="n">
        <f aca="false">AA54+AA72</f>
        <v>-10986.3192133675</v>
      </c>
      <c r="AB57" s="72" t="n">
        <f aca="false">AB54+AB72</f>
        <v>-10986.3192133675</v>
      </c>
      <c r="AC57" s="72" t="n">
        <f aca="false">AC54+AC72</f>
        <v>-10986.3192133675</v>
      </c>
      <c r="AD57" s="72" t="n">
        <f aca="false">AD54+AD72</f>
        <v>-10986.3192133675</v>
      </c>
      <c r="AE57" s="72" t="n">
        <f aca="false">AE54+AE72</f>
        <v>-10986.3192133675</v>
      </c>
      <c r="AF57" s="72" t="n">
        <f aca="false">AF54+AF72</f>
        <v>-10986.3192133675</v>
      </c>
      <c r="AG57" s="72" t="n">
        <f aca="false">AG54+AG72</f>
        <v>-10986.3192133675</v>
      </c>
      <c r="AH57" s="72" t="n">
        <f aca="false">AH54+AH72</f>
        <v>-10986.3192133675</v>
      </c>
      <c r="AI57" s="72" t="n">
        <f aca="false">AI54+AI72</f>
        <v>-10986.3192133675</v>
      </c>
      <c r="AJ57" s="72" t="n">
        <f aca="false">AJ54+AJ72</f>
        <v>-10986.3192133675</v>
      </c>
      <c r="AK57" s="72" t="n">
        <f aca="false">AK54+AK72</f>
        <v>-10986.3192133675</v>
      </c>
      <c r="AL57" s="72" t="n">
        <f aca="false">AL54+AL72</f>
        <v>-10986.3192133675</v>
      </c>
      <c r="AM57" s="72" t="n">
        <f aca="false">AM54+AM72</f>
        <v>-11339.1229639217</v>
      </c>
      <c r="AN57" s="72" t="n">
        <f aca="false">AN54+AN72</f>
        <v>-11339.1229639217</v>
      </c>
      <c r="AO57" s="72" t="n">
        <f aca="false">AO54+AO72</f>
        <v>-11339.1229639217</v>
      </c>
      <c r="AP57" s="72" t="n">
        <f aca="false">AP54+AP72</f>
        <v>-11339.1229639217</v>
      </c>
      <c r="AQ57" s="72" t="n">
        <f aca="false">AQ54+AQ72</f>
        <v>-11339.1229639217</v>
      </c>
      <c r="AR57" s="72" t="n">
        <f aca="false">AR54+AR72</f>
        <v>-11339.1229639217</v>
      </c>
      <c r="AS57" s="72" t="n">
        <f aca="false">AS54+AS72</f>
        <v>-11339.1229639217</v>
      </c>
      <c r="AT57" s="72" t="n">
        <f aca="false">AT54+AT72</f>
        <v>-11339.1229639217</v>
      </c>
      <c r="AU57" s="72" t="n">
        <f aca="false">AU54+AU72</f>
        <v>-11339.1229639217</v>
      </c>
      <c r="AV57" s="72" t="n">
        <f aca="false">AV54+AV72</f>
        <v>-11339.1229639217</v>
      </c>
      <c r="AW57" s="72" t="n">
        <f aca="false">AW54+AW72</f>
        <v>-11339.1229639217</v>
      </c>
      <c r="AX57" s="72" t="n">
        <f aca="false">AX54+AX72</f>
        <v>-11339.1229639217</v>
      </c>
      <c r="AY57" s="72" t="n">
        <f aca="false">AY54+AY72</f>
        <v>-11706.7161813464</v>
      </c>
      <c r="AZ57" s="72" t="n">
        <f aca="false">AZ54+AZ72</f>
        <v>-11706.7161813464</v>
      </c>
      <c r="BA57" s="72" t="n">
        <f aca="false">BA54+BA72</f>
        <v>-11706.7161813464</v>
      </c>
      <c r="BB57" s="72" t="n">
        <f aca="false">BB54+BB72</f>
        <v>-11706.7161813464</v>
      </c>
      <c r="BC57" s="72" t="n">
        <f aca="false">BC54+BC72</f>
        <v>-11706.7161813464</v>
      </c>
      <c r="BD57" s="72" t="n">
        <f aca="false">BD54+BD72</f>
        <v>-11706.7161813464</v>
      </c>
      <c r="BE57" s="72" t="n">
        <f aca="false">BE54+BE72</f>
        <v>-11706.7161813464</v>
      </c>
      <c r="BF57" s="72" t="n">
        <f aca="false">BF54+BF72</f>
        <v>-11706.7161813464</v>
      </c>
      <c r="BG57" s="72" t="n">
        <f aca="false">BG54+BG72</f>
        <v>-11706.7161813464</v>
      </c>
      <c r="BH57" s="72" t="n">
        <f aca="false">BH54+BH72</f>
        <v>-11706.7161813464</v>
      </c>
      <c r="BI57" s="72" t="n">
        <f aca="false">BI54+BI72</f>
        <v>-11706.7161813464</v>
      </c>
      <c r="BJ57" s="72" t="n">
        <f aca="false">BJ54+BJ72</f>
        <v>-11706.7161813464</v>
      </c>
    </row>
    <row r="58" customFormat="false" ht="15" hidden="false" customHeight="false" outlineLevel="0" collapsed="false">
      <c r="A58" s="6" t="s">
        <v>436</v>
      </c>
      <c r="C58" s="66" t="n">
        <f aca="false">-(C77+C78+C80)/2*Inputs!$B$75/12</f>
        <v>-1666.66666666667</v>
      </c>
      <c r="D58" s="66" t="n">
        <f aca="false">-(D77+D78+D80)/2*Inputs!$B$75/12</f>
        <v>-1659.72222222222</v>
      </c>
      <c r="E58" s="66" t="n">
        <f aca="false">-(E77+E78+E80)/2*Inputs!$B$75/12</f>
        <v>-1645.83333333333</v>
      </c>
      <c r="F58" s="66" t="n">
        <f aca="false">-(F77+F78+F80)/2*Inputs!$B$75/12</f>
        <v>-1631.94444444444</v>
      </c>
      <c r="G58" s="66" t="n">
        <f aca="false">-(G77+G78+G80)/2*Inputs!$B$75/12</f>
        <v>-1618.05555555556</v>
      </c>
      <c r="H58" s="66" t="n">
        <f aca="false">-(H77+H78+H80)/2*Inputs!$B$75/12</f>
        <v>-1604.16666666667</v>
      </c>
      <c r="I58" s="66" t="n">
        <f aca="false">-(I77+I78+I80)/2*Inputs!$B$75/12</f>
        <v>-1590.27777777778</v>
      </c>
      <c r="J58" s="66" t="n">
        <f aca="false">-(J77+J78+J80)/2*Inputs!$B$75/12</f>
        <v>-1576.38888888889</v>
      </c>
      <c r="K58" s="66" t="n">
        <f aca="false">-(K77+K78+K80)/2*Inputs!$B$75/12</f>
        <v>-1562.5</v>
      </c>
      <c r="L58" s="66" t="n">
        <f aca="false">-(L77+L78+L80)/2*Inputs!$B$75/12</f>
        <v>-1548.61111111111</v>
      </c>
      <c r="M58" s="66" t="n">
        <f aca="false">-(M77+M78+M80)/2*Inputs!$B$75/12</f>
        <v>-1534.72222222222</v>
      </c>
      <c r="N58" s="66" t="n">
        <f aca="false">-(N77+N78+N80)/2*Inputs!$B$75/12</f>
        <v>-1520.83333333333</v>
      </c>
      <c r="O58" s="66" t="n">
        <f aca="false">-(O77+O78+O80)/2*Inputs!$B$75/12</f>
        <v>-1506.94444444444</v>
      </c>
      <c r="P58" s="66" t="n">
        <f aca="false">-(P77+P78+P80)/2*Inputs!$B$75/12</f>
        <v>-1493.05555555555</v>
      </c>
      <c r="Q58" s="66" t="n">
        <f aca="false">-(Q77+Q78+Q80)/2*Inputs!$B$75/12</f>
        <v>-1479.16666666667</v>
      </c>
      <c r="R58" s="66" t="n">
        <f aca="false">-(R77+R78+R80)/2*Inputs!$B$75/12</f>
        <v>-1465.27777777778</v>
      </c>
      <c r="S58" s="66" t="n">
        <f aca="false">-(S77+S78+S80)/2*Inputs!$B$75/12</f>
        <v>-1451.38888888889</v>
      </c>
      <c r="T58" s="66" t="n">
        <f aca="false">-(T77+T78+T80)/2*Inputs!$B$75/12</f>
        <v>-1437.5</v>
      </c>
      <c r="U58" s="66" t="n">
        <f aca="false">-(U77+U78+U80)/2*Inputs!$B$75/12</f>
        <v>-1423.61111111111</v>
      </c>
      <c r="V58" s="66" t="n">
        <f aca="false">-(V77+V78+V80)/2*Inputs!$B$75/12</f>
        <v>-1409.72222222222</v>
      </c>
      <c r="W58" s="66" t="n">
        <f aca="false">-(W77+W78+W80)/2*Inputs!$B$75/12</f>
        <v>-1395.83333333333</v>
      </c>
      <c r="X58" s="66" t="n">
        <f aca="false">-(X77+X78+X80)/2*Inputs!$B$75/12</f>
        <v>-1381.94444444444</v>
      </c>
      <c r="Y58" s="66" t="n">
        <f aca="false">-(Y77+Y78+Y80)/2*Inputs!$B$75/12</f>
        <v>-1368.05555555555</v>
      </c>
      <c r="Z58" s="66" t="n">
        <f aca="false">-(Z77+Z78+Z80)/2*Inputs!$B$75/12</f>
        <v>-1354.16666666667</v>
      </c>
      <c r="AA58" s="66" t="n">
        <f aca="false">-(AA77+AA78+AA80)/2*Inputs!$B$75/12</f>
        <v>-1340.27777777778</v>
      </c>
      <c r="AB58" s="66" t="n">
        <f aca="false">-(AB77+AB78+AB80)/2*Inputs!$B$75/12</f>
        <v>-1326.38888888889</v>
      </c>
      <c r="AC58" s="66" t="n">
        <f aca="false">-(AC77+AC78+AC80)/2*Inputs!$B$75/12</f>
        <v>-1312.5</v>
      </c>
      <c r="AD58" s="66" t="n">
        <f aca="false">-(AD77+AD78+AD80)/2*Inputs!$B$75/12</f>
        <v>-1298.61111111111</v>
      </c>
      <c r="AE58" s="66" t="n">
        <f aca="false">-(AE77+AE78+AE80)/2*Inputs!$B$75/12</f>
        <v>-1284.72222222222</v>
      </c>
      <c r="AF58" s="66" t="n">
        <f aca="false">-(AF77+AF78+AF80)/2*Inputs!$B$75/12</f>
        <v>-1270.83333333333</v>
      </c>
      <c r="AG58" s="66" t="n">
        <f aca="false">-(AG77+AG78+AG80)/2*Inputs!$B$75/12</f>
        <v>-1256.94444444444</v>
      </c>
      <c r="AH58" s="66" t="n">
        <f aca="false">-(AH77+AH78+AH80)/2*Inputs!$B$75/12</f>
        <v>-1243.05555555555</v>
      </c>
      <c r="AI58" s="66" t="n">
        <f aca="false">-(AI77+AI78+AI80)/2*Inputs!$B$75/12</f>
        <v>-1229.16666666666</v>
      </c>
      <c r="AJ58" s="66" t="n">
        <f aca="false">-(AJ77+AJ78+AJ80)/2*Inputs!$B$75/12</f>
        <v>-1215.27777777778</v>
      </c>
      <c r="AK58" s="66" t="n">
        <f aca="false">-(AK77+AK78+AK80)/2*Inputs!$B$75/12</f>
        <v>-1201.38888888889</v>
      </c>
      <c r="AL58" s="66" t="n">
        <f aca="false">-(AL77+AL78+AL80)/2*Inputs!$B$75/12</f>
        <v>-1187.5</v>
      </c>
      <c r="AM58" s="66" t="n">
        <f aca="false">-(AM77+AM78+AM80)/2*Inputs!$B$75/12</f>
        <v>-1173.61111111111</v>
      </c>
      <c r="AN58" s="66" t="n">
        <f aca="false">-(AN77+AN78+AN80)/2*Inputs!$B$75/12</f>
        <v>-1159.72222222222</v>
      </c>
      <c r="AO58" s="66" t="n">
        <f aca="false">-(AO77+AO78+AO80)/2*Inputs!$B$75/12</f>
        <v>-1145.83333333333</v>
      </c>
      <c r="AP58" s="66" t="n">
        <f aca="false">-(AP77+AP78+AP80)/2*Inputs!$B$75/12</f>
        <v>-1131.94444444444</v>
      </c>
      <c r="AQ58" s="66" t="n">
        <f aca="false">-(AQ77+AQ78+AQ80)/2*Inputs!$B$75/12</f>
        <v>-1118.05555555555</v>
      </c>
      <c r="AR58" s="66" t="n">
        <f aca="false">-(AR77+AR78+AR80)/2*Inputs!$B$75/12</f>
        <v>-1104.16666666666</v>
      </c>
      <c r="AS58" s="66" t="n">
        <f aca="false">-(AS77+AS78+AS80)/2*Inputs!$B$75/12</f>
        <v>-1090.27777777778</v>
      </c>
      <c r="AT58" s="66" t="n">
        <f aca="false">-(AT77+AT78+AT80)/2*Inputs!$B$75/12</f>
        <v>-1076.38888888889</v>
      </c>
      <c r="AU58" s="66" t="n">
        <f aca="false">-(AU77+AU78+AU80)/2*Inputs!$B$75/12</f>
        <v>-1062.5</v>
      </c>
      <c r="AV58" s="66" t="n">
        <f aca="false">-(AV77+AV78+AV80)/2*Inputs!$B$75/12</f>
        <v>-1048.61111111111</v>
      </c>
      <c r="AW58" s="66" t="n">
        <f aca="false">-(AW77+AW78+AW80)/2*Inputs!$B$75/12</f>
        <v>-1034.72222222222</v>
      </c>
      <c r="AX58" s="66" t="n">
        <f aca="false">-(AX77+AX78+AX80)/2*Inputs!$B$75/12</f>
        <v>-1020.83333333333</v>
      </c>
      <c r="AY58" s="66" t="n">
        <f aca="false">-(AY77+AY78+AY80)/2*Inputs!$B$75/12</f>
        <v>-1006.94444444444</v>
      </c>
      <c r="AZ58" s="66" t="n">
        <f aca="false">-(AZ77+AZ78+AZ80)/2*Inputs!$B$75/12</f>
        <v>-993.055555555552</v>
      </c>
      <c r="BA58" s="66" t="n">
        <f aca="false">-(BA77+BA78+BA80)/2*Inputs!$B$75/12</f>
        <v>-979.166666666664</v>
      </c>
      <c r="BB58" s="66" t="n">
        <f aca="false">-(BB77+BB78+BB80)/2*Inputs!$B$75/12</f>
        <v>-965.277777777775</v>
      </c>
      <c r="BC58" s="66" t="n">
        <f aca="false">-(BC77+BC78+BC80)/2*Inputs!$B$75/12</f>
        <v>-951.388888888886</v>
      </c>
      <c r="BD58" s="66" t="n">
        <f aca="false">-(BD77+BD78+BD80)/2*Inputs!$B$75/12</f>
        <v>-937.499999999997</v>
      </c>
      <c r="BE58" s="66" t="n">
        <f aca="false">-(BE77+BE78+BE80)/2*Inputs!$B$75/12</f>
        <v>-923.611111111108</v>
      </c>
      <c r="BF58" s="66" t="n">
        <f aca="false">-(BF77+BF78+BF80)/2*Inputs!$B$75/12</f>
        <v>-909.722222222219</v>
      </c>
      <c r="BG58" s="66" t="n">
        <f aca="false">-(BG77+BG78+BG80)/2*Inputs!$B$75/12</f>
        <v>-895.83333333333</v>
      </c>
      <c r="BH58" s="66" t="n">
        <f aca="false">-(BH77+BH78+BH80)/2*Inputs!$B$75/12</f>
        <v>-881.944444444441</v>
      </c>
      <c r="BI58" s="66" t="n">
        <f aca="false">-(BI77+BI78+BI80)/2*Inputs!$B$75/12</f>
        <v>-868.055555555552</v>
      </c>
      <c r="BJ58" s="66" t="n">
        <f aca="false">-(BJ77+BJ78+BJ80)/2*Inputs!$B$75/12</f>
        <v>-854.166666666663</v>
      </c>
    </row>
    <row r="59" customFormat="false" ht="15" hidden="false" customHeight="false" outlineLevel="0" collapsed="false">
      <c r="A59" s="110" t="s">
        <v>80</v>
      </c>
      <c r="C59" s="67" t="n">
        <f aca="false">C57+C58</f>
        <v>-29176.3653233333</v>
      </c>
      <c r="D59" s="67" t="n">
        <f aca="false">D57+D58</f>
        <v>-27908.2950098889</v>
      </c>
      <c r="E59" s="67" t="n">
        <f aca="false">E57+E58</f>
        <v>-25943.280252</v>
      </c>
      <c r="F59" s="67" t="n">
        <f aca="false">F57+F58</f>
        <v>-23978.2654941111</v>
      </c>
      <c r="G59" s="67" t="n">
        <f aca="false">G57+G58</f>
        <v>-26271.5840695556</v>
      </c>
      <c r="H59" s="67" t="n">
        <f aca="false">H57+H58</f>
        <v>-28564.902645</v>
      </c>
      <c r="I59" s="67" t="n">
        <f aca="false">I57+I58</f>
        <v>-26599.8878871111</v>
      </c>
      <c r="J59" s="67" t="n">
        <f aca="false">J57+J58</f>
        <v>-24634.8731292222</v>
      </c>
      <c r="K59" s="67" t="n">
        <f aca="false">K57+K58</f>
        <v>-22669.8583713333</v>
      </c>
      <c r="L59" s="67" t="n">
        <f aca="false">L57+L58</f>
        <v>-20704.8436134444</v>
      </c>
      <c r="M59" s="67" t="n">
        <f aca="false">M57+M58</f>
        <v>-18739.8288555556</v>
      </c>
      <c r="N59" s="67" t="n">
        <f aca="false">N57+N58</f>
        <v>-16774.8140976667</v>
      </c>
      <c r="O59" s="67" t="n">
        <f aca="false">O57+O58</f>
        <v>-15159.0375788278</v>
      </c>
      <c r="P59" s="67" t="n">
        <f aca="false">P57+P58</f>
        <v>-17532.6006075472</v>
      </c>
      <c r="Q59" s="67" t="n">
        <f aca="false">Q57+Q58</f>
        <v>-19906.1636362667</v>
      </c>
      <c r="R59" s="67" t="n">
        <f aca="false">R57+R58</f>
        <v>-17893.6433316528</v>
      </c>
      <c r="S59" s="67" t="n">
        <f aca="false">S57+S58</f>
        <v>-15881.1230270389</v>
      </c>
      <c r="T59" s="67" t="n">
        <f aca="false">T57+T58</f>
        <v>-13868.602722425</v>
      </c>
      <c r="U59" s="67" t="n">
        <f aca="false">U57+U58</f>
        <v>-11856.0824178111</v>
      </c>
      <c r="V59" s="67" t="n">
        <f aca="false">V57+V58</f>
        <v>-12057.4435289222</v>
      </c>
      <c r="W59" s="67" t="n">
        <f aca="false">W57+W58</f>
        <v>-12043.5546400333</v>
      </c>
      <c r="X59" s="67" t="n">
        <f aca="false">X57+X58</f>
        <v>-12029.6657511445</v>
      </c>
      <c r="Y59" s="67" t="n">
        <f aca="false">Y57+Y58</f>
        <v>-12015.7768622556</v>
      </c>
      <c r="Z59" s="67" t="n">
        <f aca="false">Z57+Z58</f>
        <v>-12001.8879733667</v>
      </c>
      <c r="AA59" s="67" t="n">
        <f aca="false">AA57+AA58</f>
        <v>-12326.5969911453</v>
      </c>
      <c r="AB59" s="67" t="n">
        <f aca="false">AB57+AB58</f>
        <v>-12312.7081022564</v>
      </c>
      <c r="AC59" s="67" t="n">
        <f aca="false">AC57+AC58</f>
        <v>-12298.8192133675</v>
      </c>
      <c r="AD59" s="67" t="n">
        <f aca="false">AD57+AD58</f>
        <v>-12284.9303244786</v>
      </c>
      <c r="AE59" s="67" t="n">
        <f aca="false">AE57+AE58</f>
        <v>-12271.0414355897</v>
      </c>
      <c r="AF59" s="67" t="n">
        <f aca="false">AF57+AF58</f>
        <v>-12257.1525467009</v>
      </c>
      <c r="AG59" s="67" t="n">
        <f aca="false">AG57+AG58</f>
        <v>-12243.263657812</v>
      </c>
      <c r="AH59" s="67" t="n">
        <f aca="false">AH57+AH58</f>
        <v>-12229.3747689231</v>
      </c>
      <c r="AI59" s="67" t="n">
        <f aca="false">AI57+AI58</f>
        <v>-12215.4858800342</v>
      </c>
      <c r="AJ59" s="67" t="n">
        <f aca="false">AJ57+AJ58</f>
        <v>-12201.5969911453</v>
      </c>
      <c r="AK59" s="67" t="n">
        <f aca="false">AK57+AK58</f>
        <v>-12187.7081022564</v>
      </c>
      <c r="AL59" s="67" t="n">
        <f aca="false">AL57+AL58</f>
        <v>-12173.8192133675</v>
      </c>
      <c r="AM59" s="67" t="n">
        <f aca="false">AM57+AM58</f>
        <v>-12512.7340750328</v>
      </c>
      <c r="AN59" s="67" t="n">
        <f aca="false">AN57+AN58</f>
        <v>-12498.8451861439</v>
      </c>
      <c r="AO59" s="67" t="n">
        <f aca="false">AO57+AO58</f>
        <v>-12484.956297255</v>
      </c>
      <c r="AP59" s="67" t="n">
        <f aca="false">AP57+AP58</f>
        <v>-12471.0674083662</v>
      </c>
      <c r="AQ59" s="67" t="n">
        <f aca="false">AQ57+AQ58</f>
        <v>-12457.1785194773</v>
      </c>
      <c r="AR59" s="67" t="n">
        <f aca="false">AR57+AR58</f>
        <v>-12443.2896305884</v>
      </c>
      <c r="AS59" s="67" t="n">
        <f aca="false">AS57+AS58</f>
        <v>-12429.4007416995</v>
      </c>
      <c r="AT59" s="67" t="n">
        <f aca="false">AT57+AT58</f>
        <v>-12415.5118528106</v>
      </c>
      <c r="AU59" s="67" t="n">
        <f aca="false">AU57+AU58</f>
        <v>-12401.6229639217</v>
      </c>
      <c r="AV59" s="67" t="n">
        <f aca="false">AV57+AV58</f>
        <v>-12387.7340750328</v>
      </c>
      <c r="AW59" s="67" t="n">
        <f aca="false">AW57+AW58</f>
        <v>-12373.8451861439</v>
      </c>
      <c r="AX59" s="67" t="n">
        <f aca="false">AX57+AX58</f>
        <v>-12359.956297255</v>
      </c>
      <c r="AY59" s="67" t="n">
        <f aca="false">AY57+AY58</f>
        <v>-12713.6606257908</v>
      </c>
      <c r="AZ59" s="67" t="n">
        <f aca="false">AZ57+AZ58</f>
        <v>-12699.7717369019</v>
      </c>
      <c r="BA59" s="67" t="n">
        <f aca="false">BA57+BA58</f>
        <v>-12685.882848013</v>
      </c>
      <c r="BB59" s="67" t="n">
        <f aca="false">BB57+BB58</f>
        <v>-12671.9939591241</v>
      </c>
      <c r="BC59" s="67" t="n">
        <f aca="false">BC57+BC58</f>
        <v>-12658.1050702353</v>
      </c>
      <c r="BD59" s="67" t="n">
        <f aca="false">BD57+BD58</f>
        <v>-12644.2161813464</v>
      </c>
      <c r="BE59" s="67" t="n">
        <f aca="false">BE57+BE58</f>
        <v>-12630.3272924575</v>
      </c>
      <c r="BF59" s="67" t="n">
        <f aca="false">BF57+BF58</f>
        <v>-12616.4384035686</v>
      </c>
      <c r="BG59" s="67" t="n">
        <f aca="false">BG57+BG58</f>
        <v>-12602.5495146797</v>
      </c>
      <c r="BH59" s="67" t="n">
        <f aca="false">BH57+BH58</f>
        <v>-12588.6606257908</v>
      </c>
      <c r="BI59" s="67" t="n">
        <f aca="false">BI57+BI58</f>
        <v>-12574.7717369019</v>
      </c>
      <c r="BJ59" s="67" t="n">
        <f aca="false">BJ57+BJ58</f>
        <v>-12560.882848013</v>
      </c>
    </row>
    <row r="60" customFormat="false" ht="15" hidden="false" customHeight="false" outlineLevel="0" collapsed="false">
      <c r="A60" s="114" t="s">
        <v>437</v>
      </c>
      <c r="C60" s="66" t="n">
        <f aca="false">C59</f>
        <v>-29176.3653233333</v>
      </c>
      <c r="D60" s="66" t="n">
        <f aca="false">C60+D59</f>
        <v>-57084.6603332222</v>
      </c>
      <c r="E60" s="66" t="n">
        <f aca="false">D60+E59</f>
        <v>-83027.9405852222</v>
      </c>
      <c r="F60" s="66" t="n">
        <f aca="false">E60+F59</f>
        <v>-107006.206079333</v>
      </c>
      <c r="G60" s="66" t="n">
        <f aca="false">F60+G59</f>
        <v>-133277.790148889</v>
      </c>
      <c r="H60" s="66" t="n">
        <f aca="false">G60+H59</f>
        <v>-161842.692793889</v>
      </c>
      <c r="I60" s="66" t="n">
        <f aca="false">H60+I59</f>
        <v>-188442.580681</v>
      </c>
      <c r="J60" s="66" t="n">
        <f aca="false">I60+J59</f>
        <v>-213077.453810222</v>
      </c>
      <c r="K60" s="66" t="n">
        <f aca="false">J60+K59</f>
        <v>-235747.312181556</v>
      </c>
      <c r="L60" s="66" t="n">
        <f aca="false">K60+L59</f>
        <v>-256452.155795</v>
      </c>
      <c r="M60" s="66" t="n">
        <f aca="false">L60+M59</f>
        <v>-275191.984650556</v>
      </c>
      <c r="N60" s="66" t="n">
        <f aca="false">M60+N59</f>
        <v>-291966.798748222</v>
      </c>
      <c r="O60" s="66" t="n">
        <f aca="false">N60+O59</f>
        <v>-307125.83632705</v>
      </c>
      <c r="P60" s="66" t="n">
        <f aca="false">O60+P59</f>
        <v>-324658.436934597</v>
      </c>
      <c r="Q60" s="66" t="n">
        <f aca="false">P60+Q59</f>
        <v>-344564.600570864</v>
      </c>
      <c r="R60" s="66" t="n">
        <f aca="false">Q60+R59</f>
        <v>-362458.243902517</v>
      </c>
      <c r="S60" s="66" t="n">
        <f aca="false">R60+S59</f>
        <v>-378339.366929556</v>
      </c>
      <c r="T60" s="66" t="n">
        <f aca="false">S60+T59</f>
        <v>-392207.969651981</v>
      </c>
      <c r="U60" s="66" t="n">
        <f aca="false">T60+U59</f>
        <v>-404064.052069792</v>
      </c>
      <c r="V60" s="66" t="n">
        <f aca="false">U60+V59</f>
        <v>-416121.495598714</v>
      </c>
      <c r="W60" s="66" t="n">
        <f aca="false">V60+W59</f>
        <v>-428165.050238747</v>
      </c>
      <c r="X60" s="66" t="n">
        <f aca="false">W60+X59</f>
        <v>-440194.715989892</v>
      </c>
      <c r="Y60" s="66" t="n">
        <f aca="false">X60+Y59</f>
        <v>-452210.492852147</v>
      </c>
      <c r="Z60" s="66" t="n">
        <f aca="false">Y60+Z59</f>
        <v>-464212.380825514</v>
      </c>
      <c r="AA60" s="66" t="n">
        <f aca="false">Z60+AA59</f>
        <v>-476538.977816659</v>
      </c>
      <c r="AB60" s="66" t="n">
        <f aca="false">AA60+AB59</f>
        <v>-488851.685918916</v>
      </c>
      <c r="AC60" s="66" t="n">
        <f aca="false">AB60+AC59</f>
        <v>-501150.505132283</v>
      </c>
      <c r="AD60" s="66" t="n">
        <f aca="false">AC60+AD59</f>
        <v>-513435.435456762</v>
      </c>
      <c r="AE60" s="66" t="n">
        <f aca="false">AD60+AE59</f>
        <v>-525706.476892352</v>
      </c>
      <c r="AF60" s="66" t="n">
        <f aca="false">AE60+AF59</f>
        <v>-537963.629439053</v>
      </c>
      <c r="AG60" s="66" t="n">
        <f aca="false">AF60+AG59</f>
        <v>-550206.893096865</v>
      </c>
      <c r="AH60" s="66" t="n">
        <f aca="false">AG60+AH59</f>
        <v>-562436.267865788</v>
      </c>
      <c r="AI60" s="66" t="n">
        <f aca="false">AH60+AI59</f>
        <v>-574651.753745822</v>
      </c>
      <c r="AJ60" s="66" t="n">
        <f aca="false">AI60+AJ59</f>
        <v>-586853.350736967</v>
      </c>
      <c r="AK60" s="66" t="n">
        <f aca="false">AJ60+AK59</f>
        <v>-599041.058839223</v>
      </c>
      <c r="AL60" s="66" t="n">
        <f aca="false">AK60+AL59</f>
        <v>-611214.878052591</v>
      </c>
      <c r="AM60" s="66" t="n">
        <f aca="false">AL60+AM59</f>
        <v>-623727.612127624</v>
      </c>
      <c r="AN60" s="66" t="n">
        <f aca="false">AM60+AN59</f>
        <v>-636226.457313768</v>
      </c>
      <c r="AO60" s="66" t="n">
        <f aca="false">AN60+AO59</f>
        <v>-648711.413611023</v>
      </c>
      <c r="AP60" s="66" t="n">
        <f aca="false">AO60+AP59</f>
        <v>-661182.481019389</v>
      </c>
      <c r="AQ60" s="66" t="n">
        <f aca="false">AP60+AQ59</f>
        <v>-673639.659538866</v>
      </c>
      <c r="AR60" s="66" t="n">
        <f aca="false">AQ60+AR59</f>
        <v>-686082.949169454</v>
      </c>
      <c r="AS60" s="66" t="n">
        <f aca="false">AR60+AS59</f>
        <v>-698512.349911154</v>
      </c>
      <c r="AT60" s="66" t="n">
        <f aca="false">AS60+AT59</f>
        <v>-710927.861763965</v>
      </c>
      <c r="AU60" s="66" t="n">
        <f aca="false">AT60+AU59</f>
        <v>-723329.484727886</v>
      </c>
      <c r="AV60" s="66" t="n">
        <f aca="false">AU60+AV59</f>
        <v>-735717.218802919</v>
      </c>
      <c r="AW60" s="66" t="n">
        <f aca="false">AV60+AW59</f>
        <v>-748091.063989063</v>
      </c>
      <c r="AX60" s="66" t="n">
        <f aca="false">AW60+AX59</f>
        <v>-760451.020286318</v>
      </c>
      <c r="AY60" s="66" t="n">
        <f aca="false">AX60+AY59</f>
        <v>-773164.680912109</v>
      </c>
      <c r="AZ60" s="66" t="n">
        <f aca="false">AY60+AZ59</f>
        <v>-785864.452649011</v>
      </c>
      <c r="BA60" s="66" t="n">
        <f aca="false">AZ60+BA59</f>
        <v>-798550.335497024</v>
      </c>
      <c r="BB60" s="66" t="n">
        <f aca="false">BA60+BB59</f>
        <v>-811222.329456148</v>
      </c>
      <c r="BC60" s="66" t="n">
        <f aca="false">BB60+BC59</f>
        <v>-823880.434526383</v>
      </c>
      <c r="BD60" s="66" t="n">
        <f aca="false">BC60+BD59</f>
        <v>-836524.65070773</v>
      </c>
      <c r="BE60" s="66" t="n">
        <f aca="false">BD60+BE59</f>
        <v>-849154.978000187</v>
      </c>
      <c r="BF60" s="66" t="n">
        <f aca="false">BE60+BF59</f>
        <v>-861771.416403756</v>
      </c>
      <c r="BG60" s="66" t="n">
        <f aca="false">BF60+BG59</f>
        <v>-874373.965918435</v>
      </c>
      <c r="BH60" s="66" t="n">
        <f aca="false">BG60+BH59</f>
        <v>-886962.626544226</v>
      </c>
      <c r="BI60" s="66" t="n">
        <f aca="false">BH60+BI59</f>
        <v>-899537.398281128</v>
      </c>
      <c r="BJ60" s="66" t="n">
        <f aca="false">BI60+BJ59</f>
        <v>-912098.281129141</v>
      </c>
    </row>
    <row r="61" customFormat="false" ht="15" hidden="false" customHeight="false" outlineLevel="0" collapsed="false">
      <c r="A61" s="114" t="s">
        <v>438</v>
      </c>
      <c r="C61" s="66" t="n">
        <f aca="false">MAX(0,C60)</f>
        <v>0</v>
      </c>
      <c r="D61" s="66" t="n">
        <f aca="false">MAX(C61,D60)</f>
        <v>0</v>
      </c>
      <c r="E61" s="66" t="n">
        <f aca="false">MAX(D61,E60)</f>
        <v>0</v>
      </c>
      <c r="F61" s="66" t="n">
        <f aca="false">MAX(E61,F60)</f>
        <v>0</v>
      </c>
      <c r="G61" s="66" t="n">
        <f aca="false">MAX(F61,G60)</f>
        <v>0</v>
      </c>
      <c r="H61" s="66" t="n">
        <f aca="false">MAX(G61,H60)</f>
        <v>0</v>
      </c>
      <c r="I61" s="66" t="n">
        <f aca="false">MAX(H61,I60)</f>
        <v>0</v>
      </c>
      <c r="J61" s="66" t="n">
        <f aca="false">MAX(I61,J60)</f>
        <v>0</v>
      </c>
      <c r="K61" s="66" t="n">
        <f aca="false">MAX(J61,K60)</f>
        <v>0</v>
      </c>
      <c r="L61" s="66" t="n">
        <f aca="false">MAX(K61,L60)</f>
        <v>0</v>
      </c>
      <c r="M61" s="66" t="n">
        <f aca="false">MAX(L61,M60)</f>
        <v>0</v>
      </c>
      <c r="N61" s="66" t="n">
        <f aca="false">MAX(M61,N60)</f>
        <v>0</v>
      </c>
      <c r="O61" s="66" t="n">
        <f aca="false">MAX(N61,O60)</f>
        <v>0</v>
      </c>
      <c r="P61" s="66" t="n">
        <f aca="false">MAX(O61,P60)</f>
        <v>0</v>
      </c>
      <c r="Q61" s="66" t="n">
        <f aca="false">MAX(P61,Q60)</f>
        <v>0</v>
      </c>
      <c r="R61" s="66" t="n">
        <f aca="false">MAX(Q61,R60)</f>
        <v>0</v>
      </c>
      <c r="S61" s="66" t="n">
        <f aca="false">MAX(R61,S60)</f>
        <v>0</v>
      </c>
      <c r="T61" s="66" t="n">
        <f aca="false">MAX(S61,T60)</f>
        <v>0</v>
      </c>
      <c r="U61" s="66" t="n">
        <f aca="false">MAX(T61,U60)</f>
        <v>0</v>
      </c>
      <c r="V61" s="66" t="n">
        <f aca="false">MAX(U61,V60)</f>
        <v>0</v>
      </c>
      <c r="W61" s="66" t="n">
        <f aca="false">MAX(V61,W60)</f>
        <v>0</v>
      </c>
      <c r="X61" s="66" t="n">
        <f aca="false">MAX(W61,X60)</f>
        <v>0</v>
      </c>
      <c r="Y61" s="66" t="n">
        <f aca="false">MAX(X61,Y60)</f>
        <v>0</v>
      </c>
      <c r="Z61" s="66" t="n">
        <f aca="false">MAX(Y61,Z60)</f>
        <v>0</v>
      </c>
      <c r="AA61" s="66" t="n">
        <f aca="false">MAX(Z61,AA60)</f>
        <v>0</v>
      </c>
      <c r="AB61" s="66" t="n">
        <f aca="false">MAX(AA61,AB60)</f>
        <v>0</v>
      </c>
      <c r="AC61" s="66" t="n">
        <f aca="false">MAX(AB61,AC60)</f>
        <v>0</v>
      </c>
      <c r="AD61" s="66" t="n">
        <f aca="false">MAX(AC61,AD60)</f>
        <v>0</v>
      </c>
      <c r="AE61" s="66" t="n">
        <f aca="false">MAX(AD61,AE60)</f>
        <v>0</v>
      </c>
      <c r="AF61" s="66" t="n">
        <f aca="false">MAX(AE61,AF60)</f>
        <v>0</v>
      </c>
      <c r="AG61" s="66" t="n">
        <f aca="false">MAX(AF61,AG60)</f>
        <v>0</v>
      </c>
      <c r="AH61" s="66" t="n">
        <f aca="false">MAX(AG61,AH60)</f>
        <v>0</v>
      </c>
      <c r="AI61" s="66" t="n">
        <f aca="false">MAX(AH61,AI60)</f>
        <v>0</v>
      </c>
      <c r="AJ61" s="66" t="n">
        <f aca="false">MAX(AI61,AJ60)</f>
        <v>0</v>
      </c>
      <c r="AK61" s="66" t="n">
        <f aca="false">MAX(AJ61,AK60)</f>
        <v>0</v>
      </c>
      <c r="AL61" s="66" t="n">
        <f aca="false">MAX(AK61,AL60)</f>
        <v>0</v>
      </c>
      <c r="AM61" s="66" t="n">
        <f aca="false">MAX(AL61,AM60)</f>
        <v>0</v>
      </c>
      <c r="AN61" s="66" t="n">
        <f aca="false">MAX(AM61,AN60)</f>
        <v>0</v>
      </c>
      <c r="AO61" s="66" t="n">
        <f aca="false">MAX(AN61,AO60)</f>
        <v>0</v>
      </c>
      <c r="AP61" s="66" t="n">
        <f aca="false">MAX(AO61,AP60)</f>
        <v>0</v>
      </c>
      <c r="AQ61" s="66" t="n">
        <f aca="false">MAX(AP61,AQ60)</f>
        <v>0</v>
      </c>
      <c r="AR61" s="66" t="n">
        <f aca="false">MAX(AQ61,AR60)</f>
        <v>0</v>
      </c>
      <c r="AS61" s="66" t="n">
        <f aca="false">MAX(AR61,AS60)</f>
        <v>0</v>
      </c>
      <c r="AT61" s="66" t="n">
        <f aca="false">MAX(AS61,AT60)</f>
        <v>0</v>
      </c>
      <c r="AU61" s="66" t="n">
        <f aca="false">MAX(AT61,AU60)</f>
        <v>0</v>
      </c>
      <c r="AV61" s="66" t="n">
        <f aca="false">MAX(AU61,AV60)</f>
        <v>0</v>
      </c>
      <c r="AW61" s="66" t="n">
        <f aca="false">MAX(AV61,AW60)</f>
        <v>0</v>
      </c>
      <c r="AX61" s="66" t="n">
        <f aca="false">MAX(AW61,AX60)</f>
        <v>0</v>
      </c>
      <c r="AY61" s="66" t="n">
        <f aca="false">MAX(AX61,AY60)</f>
        <v>0</v>
      </c>
      <c r="AZ61" s="66" t="n">
        <f aca="false">MAX(AY61,AZ60)</f>
        <v>0</v>
      </c>
      <c r="BA61" s="66" t="n">
        <f aca="false">MAX(AZ61,BA60)</f>
        <v>0</v>
      </c>
      <c r="BB61" s="66" t="n">
        <f aca="false">MAX(BA61,BB60)</f>
        <v>0</v>
      </c>
      <c r="BC61" s="66" t="n">
        <f aca="false">MAX(BB61,BC60)</f>
        <v>0</v>
      </c>
      <c r="BD61" s="66" t="n">
        <f aca="false">MAX(BC61,BD60)</f>
        <v>0</v>
      </c>
      <c r="BE61" s="66" t="n">
        <f aca="false">MAX(BD61,BE60)</f>
        <v>0</v>
      </c>
      <c r="BF61" s="66" t="n">
        <f aca="false">MAX(BE61,BF60)</f>
        <v>0</v>
      </c>
      <c r="BG61" s="66" t="n">
        <f aca="false">MAX(BF61,BG60)</f>
        <v>0</v>
      </c>
      <c r="BH61" s="66" t="n">
        <f aca="false">MAX(BG61,BH60)</f>
        <v>0</v>
      </c>
      <c r="BI61" s="66" t="n">
        <f aca="false">MAX(BH61,BI60)</f>
        <v>0</v>
      </c>
      <c r="BJ61" s="66" t="n">
        <f aca="false">MAX(BI61,BJ60)</f>
        <v>0</v>
      </c>
    </row>
    <row r="62" customFormat="false" ht="15" hidden="false" customHeight="false" outlineLevel="0" collapsed="false">
      <c r="A62" s="6" t="s">
        <v>81</v>
      </c>
      <c r="C62" s="66" t="n">
        <f aca="false">-C61*Inputs!$B$85</f>
        <v>-0</v>
      </c>
      <c r="D62" s="66" t="n">
        <f aca="false">-(D61-C61)*Inputs!$B$85</f>
        <v>-0</v>
      </c>
      <c r="E62" s="66" t="n">
        <f aca="false">-(E61-D61)*Inputs!$B$85</f>
        <v>-0</v>
      </c>
      <c r="F62" s="66" t="n">
        <f aca="false">-(F61-E61)*Inputs!$B$85</f>
        <v>-0</v>
      </c>
      <c r="G62" s="66" t="n">
        <f aca="false">-(G61-F61)*Inputs!$B$85</f>
        <v>-0</v>
      </c>
      <c r="H62" s="66" t="n">
        <f aca="false">-(H61-G61)*Inputs!$B$85</f>
        <v>-0</v>
      </c>
      <c r="I62" s="66" t="n">
        <f aca="false">-(I61-H61)*Inputs!$B$85</f>
        <v>-0</v>
      </c>
      <c r="J62" s="66" t="n">
        <f aca="false">-(J61-I61)*Inputs!$B$85</f>
        <v>-0</v>
      </c>
      <c r="K62" s="66" t="n">
        <f aca="false">-(K61-J61)*Inputs!$B$85</f>
        <v>-0</v>
      </c>
      <c r="L62" s="66" t="n">
        <f aca="false">-(L61-K61)*Inputs!$B$85</f>
        <v>-0</v>
      </c>
      <c r="M62" s="66" t="n">
        <f aca="false">-(M61-L61)*Inputs!$B$85</f>
        <v>-0</v>
      </c>
      <c r="N62" s="66" t="n">
        <f aca="false">-(N61-M61)*Inputs!$B$85</f>
        <v>-0</v>
      </c>
      <c r="O62" s="66" t="n">
        <f aca="false">-(O61-N61)*Inputs!$B$85</f>
        <v>-0</v>
      </c>
      <c r="P62" s="66" t="n">
        <f aca="false">-(P61-O61)*Inputs!$B$85</f>
        <v>-0</v>
      </c>
      <c r="Q62" s="66" t="n">
        <f aca="false">-(Q61-P61)*Inputs!$B$85</f>
        <v>-0</v>
      </c>
      <c r="R62" s="66" t="n">
        <f aca="false">-(R61-Q61)*Inputs!$B$85</f>
        <v>-0</v>
      </c>
      <c r="S62" s="66" t="n">
        <f aca="false">-(S61-R61)*Inputs!$B$85</f>
        <v>-0</v>
      </c>
      <c r="T62" s="66" t="n">
        <f aca="false">-(T61-S61)*Inputs!$B$85</f>
        <v>-0</v>
      </c>
      <c r="U62" s="66" t="n">
        <f aca="false">-(U61-T61)*Inputs!$B$85</f>
        <v>-0</v>
      </c>
      <c r="V62" s="66" t="n">
        <f aca="false">-(V61-U61)*Inputs!$B$85</f>
        <v>-0</v>
      </c>
      <c r="W62" s="66" t="n">
        <f aca="false">-(W61-V61)*Inputs!$B$85</f>
        <v>-0</v>
      </c>
      <c r="X62" s="66" t="n">
        <f aca="false">-(X61-W61)*Inputs!$B$85</f>
        <v>-0</v>
      </c>
      <c r="Y62" s="66" t="n">
        <f aca="false">-(Y61-X61)*Inputs!$B$85</f>
        <v>-0</v>
      </c>
      <c r="Z62" s="66" t="n">
        <f aca="false">-(Z61-Y61)*Inputs!$B$85</f>
        <v>-0</v>
      </c>
      <c r="AA62" s="66" t="n">
        <f aca="false">-(AA61-Z61)*Inputs!$B$85</f>
        <v>-0</v>
      </c>
      <c r="AB62" s="66" t="n">
        <f aca="false">-(AB61-AA61)*Inputs!$B$85</f>
        <v>-0</v>
      </c>
      <c r="AC62" s="66" t="n">
        <f aca="false">-(AC61-AB61)*Inputs!$B$85</f>
        <v>-0</v>
      </c>
      <c r="AD62" s="66" t="n">
        <f aca="false">-(AD61-AC61)*Inputs!$B$85</f>
        <v>-0</v>
      </c>
      <c r="AE62" s="66" t="n">
        <f aca="false">-(AE61-AD61)*Inputs!$B$85</f>
        <v>-0</v>
      </c>
      <c r="AF62" s="66" t="n">
        <f aca="false">-(AF61-AE61)*Inputs!$B$85</f>
        <v>-0</v>
      </c>
      <c r="AG62" s="66" t="n">
        <f aca="false">-(AG61-AF61)*Inputs!$B$85</f>
        <v>-0</v>
      </c>
      <c r="AH62" s="66" t="n">
        <f aca="false">-(AH61-AG61)*Inputs!$B$85</f>
        <v>-0</v>
      </c>
      <c r="AI62" s="66" t="n">
        <f aca="false">-(AI61-AH61)*Inputs!$B$85</f>
        <v>-0</v>
      </c>
      <c r="AJ62" s="66" t="n">
        <f aca="false">-(AJ61-AI61)*Inputs!$B$85</f>
        <v>-0</v>
      </c>
      <c r="AK62" s="66" t="n">
        <f aca="false">-(AK61-AJ61)*Inputs!$B$85</f>
        <v>-0</v>
      </c>
      <c r="AL62" s="66" t="n">
        <f aca="false">-(AL61-AK61)*Inputs!$B$85</f>
        <v>-0</v>
      </c>
      <c r="AM62" s="66" t="n">
        <f aca="false">-(AM61-AL61)*Inputs!$B$85</f>
        <v>-0</v>
      </c>
      <c r="AN62" s="66" t="n">
        <f aca="false">-(AN61-AM61)*Inputs!$B$85</f>
        <v>-0</v>
      </c>
      <c r="AO62" s="66" t="n">
        <f aca="false">-(AO61-AN61)*Inputs!$B$85</f>
        <v>-0</v>
      </c>
      <c r="AP62" s="66" t="n">
        <f aca="false">-(AP61-AO61)*Inputs!$B$85</f>
        <v>-0</v>
      </c>
      <c r="AQ62" s="66" t="n">
        <f aca="false">-(AQ61-AP61)*Inputs!$B$85</f>
        <v>-0</v>
      </c>
      <c r="AR62" s="66" t="n">
        <f aca="false">-(AR61-AQ61)*Inputs!$B$85</f>
        <v>-0</v>
      </c>
      <c r="AS62" s="66" t="n">
        <f aca="false">-(AS61-AR61)*Inputs!$B$85</f>
        <v>-0</v>
      </c>
      <c r="AT62" s="66" t="n">
        <f aca="false">-(AT61-AS61)*Inputs!$B$85</f>
        <v>-0</v>
      </c>
      <c r="AU62" s="66" t="n">
        <f aca="false">-(AU61-AT61)*Inputs!$B$85</f>
        <v>-0</v>
      </c>
      <c r="AV62" s="66" t="n">
        <f aca="false">-(AV61-AU61)*Inputs!$B$85</f>
        <v>-0</v>
      </c>
      <c r="AW62" s="66" t="n">
        <f aca="false">-(AW61-AV61)*Inputs!$B$85</f>
        <v>-0</v>
      </c>
      <c r="AX62" s="66" t="n">
        <f aca="false">-(AX61-AW61)*Inputs!$B$85</f>
        <v>-0</v>
      </c>
      <c r="AY62" s="66" t="n">
        <f aca="false">-(AY61-AX61)*Inputs!$B$85</f>
        <v>-0</v>
      </c>
      <c r="AZ62" s="66" t="n">
        <f aca="false">-(AZ61-AY61)*Inputs!$B$85</f>
        <v>-0</v>
      </c>
      <c r="BA62" s="66" t="n">
        <f aca="false">-(BA61-AZ61)*Inputs!$B$85</f>
        <v>-0</v>
      </c>
      <c r="BB62" s="66" t="n">
        <f aca="false">-(BB61-BA61)*Inputs!$B$85</f>
        <v>-0</v>
      </c>
      <c r="BC62" s="66" t="n">
        <f aca="false">-(BC61-BB61)*Inputs!$B$85</f>
        <v>-0</v>
      </c>
      <c r="BD62" s="66" t="n">
        <f aca="false">-(BD61-BC61)*Inputs!$B$85</f>
        <v>-0</v>
      </c>
      <c r="BE62" s="66" t="n">
        <f aca="false">-(BE61-BD61)*Inputs!$B$85</f>
        <v>-0</v>
      </c>
      <c r="BF62" s="66" t="n">
        <f aca="false">-(BF61-BE61)*Inputs!$B$85</f>
        <v>-0</v>
      </c>
      <c r="BG62" s="66" t="n">
        <f aca="false">-(BG61-BF61)*Inputs!$B$85</f>
        <v>-0</v>
      </c>
      <c r="BH62" s="66" t="n">
        <f aca="false">-(BH61-BG61)*Inputs!$B$85</f>
        <v>-0</v>
      </c>
      <c r="BI62" s="66" t="n">
        <f aca="false">-(BI61-BH61)*Inputs!$B$85</f>
        <v>-0</v>
      </c>
      <c r="BJ62" s="66" t="n">
        <f aca="false">-(BJ61-BI61)*Inputs!$B$85</f>
        <v>-0</v>
      </c>
    </row>
    <row r="63" customFormat="false" ht="15" hidden="false" customHeight="false" outlineLevel="0" collapsed="false">
      <c r="A63" s="110" t="s">
        <v>50</v>
      </c>
      <c r="C63" s="67" t="n">
        <f aca="false">C59+C62</f>
        <v>-29176.3653233333</v>
      </c>
      <c r="D63" s="67" t="n">
        <f aca="false">D59+D62</f>
        <v>-27908.2950098889</v>
      </c>
      <c r="E63" s="67" t="n">
        <f aca="false">E59+E62</f>
        <v>-25943.280252</v>
      </c>
      <c r="F63" s="67" t="n">
        <f aca="false">F59+F62</f>
        <v>-23978.2654941111</v>
      </c>
      <c r="G63" s="67" t="n">
        <f aca="false">G59+G62</f>
        <v>-26271.5840695556</v>
      </c>
      <c r="H63" s="67" t="n">
        <f aca="false">H59+H62</f>
        <v>-28564.902645</v>
      </c>
      <c r="I63" s="67" t="n">
        <f aca="false">I59+I62</f>
        <v>-26599.8878871111</v>
      </c>
      <c r="J63" s="67" t="n">
        <f aca="false">J59+J62</f>
        <v>-24634.8731292222</v>
      </c>
      <c r="K63" s="67" t="n">
        <f aca="false">K59+K62</f>
        <v>-22669.8583713333</v>
      </c>
      <c r="L63" s="67" t="n">
        <f aca="false">L59+L62</f>
        <v>-20704.8436134444</v>
      </c>
      <c r="M63" s="67" t="n">
        <f aca="false">M59+M62</f>
        <v>-18739.8288555556</v>
      </c>
      <c r="N63" s="67" t="n">
        <f aca="false">N59+N62</f>
        <v>-16774.8140976667</v>
      </c>
      <c r="O63" s="67" t="n">
        <f aca="false">O59+O62</f>
        <v>-15159.0375788278</v>
      </c>
      <c r="P63" s="67" t="n">
        <f aca="false">P59+P62</f>
        <v>-17532.6006075472</v>
      </c>
      <c r="Q63" s="67" t="n">
        <f aca="false">Q59+Q62</f>
        <v>-19906.1636362667</v>
      </c>
      <c r="R63" s="67" t="n">
        <f aca="false">R59+R62</f>
        <v>-17893.6433316528</v>
      </c>
      <c r="S63" s="67" t="n">
        <f aca="false">S59+S62</f>
        <v>-15881.1230270389</v>
      </c>
      <c r="T63" s="67" t="n">
        <f aca="false">T59+T62</f>
        <v>-13868.602722425</v>
      </c>
      <c r="U63" s="67" t="n">
        <f aca="false">U59+U62</f>
        <v>-11856.0824178111</v>
      </c>
      <c r="V63" s="67" t="n">
        <f aca="false">V59+V62</f>
        <v>-12057.4435289222</v>
      </c>
      <c r="W63" s="67" t="n">
        <f aca="false">W59+W62</f>
        <v>-12043.5546400333</v>
      </c>
      <c r="X63" s="67" t="n">
        <f aca="false">X59+X62</f>
        <v>-12029.6657511445</v>
      </c>
      <c r="Y63" s="67" t="n">
        <f aca="false">Y59+Y62</f>
        <v>-12015.7768622556</v>
      </c>
      <c r="Z63" s="67" t="n">
        <f aca="false">Z59+Z62</f>
        <v>-12001.8879733667</v>
      </c>
      <c r="AA63" s="67" t="n">
        <f aca="false">AA59+AA62</f>
        <v>-12326.5969911453</v>
      </c>
      <c r="AB63" s="67" t="n">
        <f aca="false">AB59+AB62</f>
        <v>-12312.7081022564</v>
      </c>
      <c r="AC63" s="67" t="n">
        <f aca="false">AC59+AC62</f>
        <v>-12298.8192133675</v>
      </c>
      <c r="AD63" s="67" t="n">
        <f aca="false">AD59+AD62</f>
        <v>-12284.9303244786</v>
      </c>
      <c r="AE63" s="67" t="n">
        <f aca="false">AE59+AE62</f>
        <v>-12271.0414355897</v>
      </c>
      <c r="AF63" s="67" t="n">
        <f aca="false">AF59+AF62</f>
        <v>-12257.1525467009</v>
      </c>
      <c r="AG63" s="67" t="n">
        <f aca="false">AG59+AG62</f>
        <v>-12243.263657812</v>
      </c>
      <c r="AH63" s="67" t="n">
        <f aca="false">AH59+AH62</f>
        <v>-12229.3747689231</v>
      </c>
      <c r="AI63" s="67" t="n">
        <f aca="false">AI59+AI62</f>
        <v>-12215.4858800342</v>
      </c>
      <c r="AJ63" s="67" t="n">
        <f aca="false">AJ59+AJ62</f>
        <v>-12201.5969911453</v>
      </c>
      <c r="AK63" s="67" t="n">
        <f aca="false">AK59+AK62</f>
        <v>-12187.7081022564</v>
      </c>
      <c r="AL63" s="67" t="n">
        <f aca="false">AL59+AL62</f>
        <v>-12173.8192133675</v>
      </c>
      <c r="AM63" s="67" t="n">
        <f aca="false">AM59+AM62</f>
        <v>-12512.7340750328</v>
      </c>
      <c r="AN63" s="67" t="n">
        <f aca="false">AN59+AN62</f>
        <v>-12498.8451861439</v>
      </c>
      <c r="AO63" s="67" t="n">
        <f aca="false">AO59+AO62</f>
        <v>-12484.956297255</v>
      </c>
      <c r="AP63" s="67" t="n">
        <f aca="false">AP59+AP62</f>
        <v>-12471.0674083662</v>
      </c>
      <c r="AQ63" s="67" t="n">
        <f aca="false">AQ59+AQ62</f>
        <v>-12457.1785194773</v>
      </c>
      <c r="AR63" s="67" t="n">
        <f aca="false">AR59+AR62</f>
        <v>-12443.2896305884</v>
      </c>
      <c r="AS63" s="67" t="n">
        <f aca="false">AS59+AS62</f>
        <v>-12429.4007416995</v>
      </c>
      <c r="AT63" s="67" t="n">
        <f aca="false">AT59+AT62</f>
        <v>-12415.5118528106</v>
      </c>
      <c r="AU63" s="67" t="n">
        <f aca="false">AU59+AU62</f>
        <v>-12401.6229639217</v>
      </c>
      <c r="AV63" s="67" t="n">
        <f aca="false">AV59+AV62</f>
        <v>-12387.7340750328</v>
      </c>
      <c r="AW63" s="67" t="n">
        <f aca="false">AW59+AW62</f>
        <v>-12373.8451861439</v>
      </c>
      <c r="AX63" s="67" t="n">
        <f aca="false">AX59+AX62</f>
        <v>-12359.956297255</v>
      </c>
      <c r="AY63" s="67" t="n">
        <f aca="false">AY59+AY62</f>
        <v>-12713.6606257908</v>
      </c>
      <c r="AZ63" s="67" t="n">
        <f aca="false">AZ59+AZ62</f>
        <v>-12699.7717369019</v>
      </c>
      <c r="BA63" s="67" t="n">
        <f aca="false">BA59+BA62</f>
        <v>-12685.882848013</v>
      </c>
      <c r="BB63" s="67" t="n">
        <f aca="false">BB59+BB62</f>
        <v>-12671.9939591241</v>
      </c>
      <c r="BC63" s="67" t="n">
        <f aca="false">BC59+BC62</f>
        <v>-12658.1050702353</v>
      </c>
      <c r="BD63" s="67" t="n">
        <f aca="false">BD59+BD62</f>
        <v>-12644.2161813464</v>
      </c>
      <c r="BE63" s="67" t="n">
        <f aca="false">BE59+BE62</f>
        <v>-12630.3272924575</v>
      </c>
      <c r="BF63" s="67" t="n">
        <f aca="false">BF59+BF62</f>
        <v>-12616.4384035686</v>
      </c>
      <c r="BG63" s="67" t="n">
        <f aca="false">BG59+BG62</f>
        <v>-12602.5495146797</v>
      </c>
      <c r="BH63" s="67" t="n">
        <f aca="false">BH59+BH62</f>
        <v>-12588.6606257908</v>
      </c>
      <c r="BI63" s="67" t="n">
        <f aca="false">BI59+BI62</f>
        <v>-12574.7717369019</v>
      </c>
      <c r="BJ63" s="67" t="n">
        <f aca="false">BJ59+BJ62</f>
        <v>-12560.882848013</v>
      </c>
    </row>
    <row r="65" customFormat="false" ht="15.75" hidden="false" customHeight="true" outlineLevel="0" collapsed="false">
      <c r="A65" s="7" t="s">
        <v>439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440</v>
      </c>
      <c r="C66" s="66" t="n">
        <f aca="false">MAX(0,Inputs!$B$7-Inputs!$B$52)*Inputs!$B$37*Inputs!$B$50</f>
        <v>270000</v>
      </c>
      <c r="D66" s="66" t="n">
        <f aca="false">IF(AND(D$7&gt;1,MOD(D$6-1,12)=0),Inputs!$B$8,0)*Inputs!$B$37*Inputs!$B$50</f>
        <v>0</v>
      </c>
      <c r="E66" s="66" t="n">
        <f aca="false">IF(AND(E$7&gt;1,MOD(E$6-1,12)=0),Inputs!$B$8,0)*Inputs!$B$37*Inputs!$B$50</f>
        <v>0</v>
      </c>
      <c r="F66" s="66" t="n">
        <f aca="false">IF(AND(F$7&gt;1,MOD(F$6-1,12)=0),Inputs!$B$8,0)*Inputs!$B$37*Inputs!$B$50</f>
        <v>0</v>
      </c>
      <c r="G66" s="66" t="n">
        <f aca="false">IF(AND(G$7&gt;1,MOD(G$6-1,12)=0),Inputs!$B$8,0)*Inputs!$B$37*Inputs!$B$50</f>
        <v>0</v>
      </c>
      <c r="H66" s="66" t="n">
        <f aca="false">IF(AND(H$7&gt;1,MOD(H$6-1,12)=0),Inputs!$B$8,0)*Inputs!$B$37*Inputs!$B$50</f>
        <v>0</v>
      </c>
      <c r="I66" s="66" t="n">
        <f aca="false">IF(AND(I$7&gt;1,MOD(I$6-1,12)=0),Inputs!$B$8,0)*Inputs!$B$37*Inputs!$B$50</f>
        <v>0</v>
      </c>
      <c r="J66" s="66" t="n">
        <f aca="false">IF(AND(J$7&gt;1,MOD(J$6-1,12)=0),Inputs!$B$8,0)*Inputs!$B$37*Inputs!$B$50</f>
        <v>0</v>
      </c>
      <c r="K66" s="66" t="n">
        <f aca="false">IF(AND(K$7&gt;1,MOD(K$6-1,12)=0),Inputs!$B$8,0)*Inputs!$B$37*Inputs!$B$50</f>
        <v>0</v>
      </c>
      <c r="L66" s="66" t="n">
        <f aca="false">IF(AND(L$7&gt;1,MOD(L$6-1,12)=0),Inputs!$B$8,0)*Inputs!$B$37*Inputs!$B$50</f>
        <v>0</v>
      </c>
      <c r="M66" s="66" t="n">
        <f aca="false">IF(AND(M$7&gt;1,MOD(M$6-1,12)=0),Inputs!$B$8,0)*Inputs!$B$37*Inputs!$B$50</f>
        <v>0</v>
      </c>
      <c r="N66" s="66" t="n">
        <f aca="false">IF(AND(N$7&gt;1,MOD(N$6-1,12)=0),Inputs!$B$8,0)*Inputs!$B$37*Inputs!$B$50</f>
        <v>0</v>
      </c>
      <c r="O66" s="66" t="n">
        <f aca="false">IF(AND(O$7&gt;1,MOD(O$6-1,12)=0),Inputs!$B$8,0)*Inputs!$B$37*Inputs!$B$50</f>
        <v>0</v>
      </c>
      <c r="P66" s="66" t="n">
        <f aca="false">IF(AND(P$7&gt;1,MOD(P$6-1,12)=0),Inputs!$B$8,0)*Inputs!$B$37*Inputs!$B$50</f>
        <v>0</v>
      </c>
      <c r="Q66" s="66" t="n">
        <f aca="false">IF(AND(Q$7&gt;1,MOD(Q$6-1,12)=0),Inputs!$B$8,0)*Inputs!$B$37*Inputs!$B$50</f>
        <v>0</v>
      </c>
      <c r="R66" s="66" t="n">
        <f aca="false">IF(AND(R$7&gt;1,MOD(R$6-1,12)=0),Inputs!$B$8,0)*Inputs!$B$37*Inputs!$B$50</f>
        <v>0</v>
      </c>
      <c r="S66" s="66" t="n">
        <f aca="false">IF(AND(S$7&gt;1,MOD(S$6-1,12)=0),Inputs!$B$8,0)*Inputs!$B$37*Inputs!$B$50</f>
        <v>0</v>
      </c>
      <c r="T66" s="66" t="n">
        <f aca="false">IF(AND(T$7&gt;1,MOD(T$6-1,12)=0),Inputs!$B$8,0)*Inputs!$B$37*Inputs!$B$50</f>
        <v>0</v>
      </c>
      <c r="U66" s="66" t="n">
        <f aca="false">IF(AND(U$7&gt;1,MOD(U$6-1,12)=0),Inputs!$B$8,0)*Inputs!$B$37*Inputs!$B$50</f>
        <v>0</v>
      </c>
      <c r="V66" s="66" t="n">
        <f aca="false">IF(AND(V$7&gt;1,MOD(V$6-1,12)=0),Inputs!$B$8,0)*Inputs!$B$37*Inputs!$B$50</f>
        <v>0</v>
      </c>
      <c r="W66" s="66" t="n">
        <f aca="false">IF(AND(W$7&gt;1,MOD(W$6-1,12)=0),Inputs!$B$8,0)*Inputs!$B$37*Inputs!$B$50</f>
        <v>0</v>
      </c>
      <c r="X66" s="66" t="n">
        <f aca="false">IF(AND(X$7&gt;1,MOD(X$6-1,12)=0),Inputs!$B$8,0)*Inputs!$B$37*Inputs!$B$50</f>
        <v>0</v>
      </c>
      <c r="Y66" s="66" t="n">
        <f aca="false">IF(AND(Y$7&gt;1,MOD(Y$6-1,12)=0),Inputs!$B$8,0)*Inputs!$B$37*Inputs!$B$50</f>
        <v>0</v>
      </c>
      <c r="Z66" s="66" t="n">
        <f aca="false">IF(AND(Z$7&gt;1,MOD(Z$6-1,12)=0),Inputs!$B$8,0)*Inputs!$B$37*Inputs!$B$50</f>
        <v>0</v>
      </c>
      <c r="AA66" s="66" t="n">
        <f aca="false">IF(AND(AA$7&gt;1,MOD(AA$6-1,12)=0),Inputs!$B$8,0)*Inputs!$B$37*Inputs!$B$50</f>
        <v>0</v>
      </c>
      <c r="AB66" s="66" t="n">
        <f aca="false">IF(AND(AB$7&gt;1,MOD(AB$6-1,12)=0),Inputs!$B$8,0)*Inputs!$B$37*Inputs!$B$50</f>
        <v>0</v>
      </c>
      <c r="AC66" s="66" t="n">
        <f aca="false">IF(AND(AC$7&gt;1,MOD(AC$6-1,12)=0),Inputs!$B$8,0)*Inputs!$B$37*Inputs!$B$50</f>
        <v>0</v>
      </c>
      <c r="AD66" s="66" t="n">
        <f aca="false">IF(AND(AD$7&gt;1,MOD(AD$6-1,12)=0),Inputs!$B$8,0)*Inputs!$B$37*Inputs!$B$50</f>
        <v>0</v>
      </c>
      <c r="AE66" s="66" t="n">
        <f aca="false">IF(AND(AE$7&gt;1,MOD(AE$6-1,12)=0),Inputs!$B$8,0)*Inputs!$B$37*Inputs!$B$50</f>
        <v>0</v>
      </c>
      <c r="AF66" s="66" t="n">
        <f aca="false">IF(AND(AF$7&gt;1,MOD(AF$6-1,12)=0),Inputs!$B$8,0)*Inputs!$B$37*Inputs!$B$50</f>
        <v>0</v>
      </c>
      <c r="AG66" s="66" t="n">
        <f aca="false">IF(AND(AG$7&gt;1,MOD(AG$6-1,12)=0),Inputs!$B$8,0)*Inputs!$B$37*Inputs!$B$50</f>
        <v>0</v>
      </c>
      <c r="AH66" s="66" t="n">
        <f aca="false">IF(AND(AH$7&gt;1,MOD(AH$6-1,12)=0),Inputs!$B$8,0)*Inputs!$B$37*Inputs!$B$50</f>
        <v>0</v>
      </c>
      <c r="AI66" s="66" t="n">
        <f aca="false">IF(AND(AI$7&gt;1,MOD(AI$6-1,12)=0),Inputs!$B$8,0)*Inputs!$B$37*Inputs!$B$50</f>
        <v>0</v>
      </c>
      <c r="AJ66" s="66" t="n">
        <f aca="false">IF(AND(AJ$7&gt;1,MOD(AJ$6-1,12)=0),Inputs!$B$8,0)*Inputs!$B$37*Inputs!$B$50</f>
        <v>0</v>
      </c>
      <c r="AK66" s="66" t="n">
        <f aca="false">IF(AND(AK$7&gt;1,MOD(AK$6-1,12)=0),Inputs!$B$8,0)*Inputs!$B$37*Inputs!$B$50</f>
        <v>0</v>
      </c>
      <c r="AL66" s="66" t="n">
        <f aca="false">IF(AND(AL$7&gt;1,MOD(AL$6-1,12)=0),Inputs!$B$8,0)*Inputs!$B$37*Inputs!$B$50</f>
        <v>0</v>
      </c>
      <c r="AM66" s="66" t="n">
        <f aca="false">IF(AND(AM$7&gt;1,MOD(AM$6-1,12)=0),Inputs!$B$8,0)*Inputs!$B$37*Inputs!$B$50</f>
        <v>0</v>
      </c>
      <c r="AN66" s="66" t="n">
        <f aca="false">IF(AND(AN$7&gt;1,MOD(AN$6-1,12)=0),Inputs!$B$8,0)*Inputs!$B$37*Inputs!$B$50</f>
        <v>0</v>
      </c>
      <c r="AO66" s="66" t="n">
        <f aca="false">IF(AND(AO$7&gt;1,MOD(AO$6-1,12)=0),Inputs!$B$8,0)*Inputs!$B$37*Inputs!$B$50</f>
        <v>0</v>
      </c>
      <c r="AP66" s="66" t="n">
        <f aca="false">IF(AND(AP$7&gt;1,MOD(AP$6-1,12)=0),Inputs!$B$8,0)*Inputs!$B$37*Inputs!$B$50</f>
        <v>0</v>
      </c>
      <c r="AQ66" s="66" t="n">
        <f aca="false">IF(AND(AQ$7&gt;1,MOD(AQ$6-1,12)=0),Inputs!$B$8,0)*Inputs!$B$37*Inputs!$B$50</f>
        <v>0</v>
      </c>
      <c r="AR66" s="66" t="n">
        <f aca="false">IF(AND(AR$7&gt;1,MOD(AR$6-1,12)=0),Inputs!$B$8,0)*Inputs!$B$37*Inputs!$B$50</f>
        <v>0</v>
      </c>
      <c r="AS66" s="66" t="n">
        <f aca="false">IF(AND(AS$7&gt;1,MOD(AS$6-1,12)=0),Inputs!$B$8,0)*Inputs!$B$37*Inputs!$B$50</f>
        <v>0</v>
      </c>
      <c r="AT66" s="66" t="n">
        <f aca="false">IF(AND(AT$7&gt;1,MOD(AT$6-1,12)=0),Inputs!$B$8,0)*Inputs!$B$37*Inputs!$B$50</f>
        <v>0</v>
      </c>
      <c r="AU66" s="66" t="n">
        <f aca="false">IF(AND(AU$7&gt;1,MOD(AU$6-1,12)=0),Inputs!$B$8,0)*Inputs!$B$37*Inputs!$B$50</f>
        <v>0</v>
      </c>
      <c r="AV66" s="66" t="n">
        <f aca="false">IF(AND(AV$7&gt;1,MOD(AV$6-1,12)=0),Inputs!$B$8,0)*Inputs!$B$37*Inputs!$B$50</f>
        <v>0</v>
      </c>
      <c r="AW66" s="66" t="n">
        <f aca="false">IF(AND(AW$7&gt;1,MOD(AW$6-1,12)=0),Inputs!$B$8,0)*Inputs!$B$37*Inputs!$B$50</f>
        <v>0</v>
      </c>
      <c r="AX66" s="66" t="n">
        <f aca="false">IF(AND(AX$7&gt;1,MOD(AX$6-1,12)=0),Inputs!$B$8,0)*Inputs!$B$37*Inputs!$B$50</f>
        <v>0</v>
      </c>
      <c r="AY66" s="66" t="n">
        <f aca="false">IF(AND(AY$7&gt;1,MOD(AY$6-1,12)=0),Inputs!$B$8,0)*Inputs!$B$37*Inputs!$B$50</f>
        <v>0</v>
      </c>
      <c r="AZ66" s="66" t="n">
        <f aca="false">IF(AND(AZ$7&gt;1,MOD(AZ$6-1,12)=0),Inputs!$B$8,0)*Inputs!$B$37*Inputs!$B$50</f>
        <v>0</v>
      </c>
      <c r="BA66" s="66" t="n">
        <f aca="false">IF(AND(BA$7&gt;1,MOD(BA$6-1,12)=0),Inputs!$B$8,0)*Inputs!$B$37*Inputs!$B$50</f>
        <v>0</v>
      </c>
      <c r="BB66" s="66" t="n">
        <f aca="false">IF(AND(BB$7&gt;1,MOD(BB$6-1,12)=0),Inputs!$B$8,0)*Inputs!$B$37*Inputs!$B$50</f>
        <v>0</v>
      </c>
      <c r="BC66" s="66" t="n">
        <f aca="false">IF(AND(BC$7&gt;1,MOD(BC$6-1,12)=0),Inputs!$B$8,0)*Inputs!$B$37*Inputs!$B$50</f>
        <v>0</v>
      </c>
      <c r="BD66" s="66" t="n">
        <f aca="false">IF(AND(BD$7&gt;1,MOD(BD$6-1,12)=0),Inputs!$B$8,0)*Inputs!$B$37*Inputs!$B$50</f>
        <v>0</v>
      </c>
      <c r="BE66" s="66" t="n">
        <f aca="false">IF(AND(BE$7&gt;1,MOD(BE$6-1,12)=0),Inputs!$B$8,0)*Inputs!$B$37*Inputs!$B$50</f>
        <v>0</v>
      </c>
      <c r="BF66" s="66" t="n">
        <f aca="false">IF(AND(BF$7&gt;1,MOD(BF$6-1,12)=0),Inputs!$B$8,0)*Inputs!$B$37*Inputs!$B$50</f>
        <v>0</v>
      </c>
      <c r="BG66" s="66" t="n">
        <f aca="false">IF(AND(BG$7&gt;1,MOD(BG$6-1,12)=0),Inputs!$B$8,0)*Inputs!$B$37*Inputs!$B$50</f>
        <v>0</v>
      </c>
      <c r="BH66" s="66" t="n">
        <f aca="false">IF(AND(BH$7&gt;1,MOD(BH$6-1,12)=0),Inputs!$B$8,0)*Inputs!$B$37*Inputs!$B$50</f>
        <v>0</v>
      </c>
      <c r="BI66" s="66" t="n">
        <f aca="false">IF(AND(BI$7&gt;1,MOD(BI$6-1,12)=0),Inputs!$B$8,0)*Inputs!$B$37*Inputs!$B$50</f>
        <v>0</v>
      </c>
      <c r="BJ66" s="66" t="n">
        <f aca="false">IF(AND(BJ$7&gt;1,MOD(BJ$6-1,12)=0),Inputs!$B$8,0)*Inputs!$B$37*Inputs!$B$50</f>
        <v>0</v>
      </c>
    </row>
    <row r="67" customFormat="false" ht="15" hidden="false" customHeight="false" outlineLevel="0" collapsed="false">
      <c r="A67" s="6" t="s">
        <v>441</v>
      </c>
      <c r="C67" s="66" t="n">
        <f aca="false">MAX(0,Inputs!$B$7-Inputs!$B$52)*Inputs!$B$51</f>
        <v>132000</v>
      </c>
      <c r="D67" s="66" t="n">
        <f aca="false">IF(AND(D$7&gt;1,MOD(D$6-1,12)=0),Inputs!$B$8,0)*Inputs!$B$51</f>
        <v>0</v>
      </c>
      <c r="E67" s="66" t="n">
        <f aca="false">IF(AND(E$7&gt;1,MOD(E$6-1,12)=0),Inputs!$B$8,0)*Inputs!$B$51</f>
        <v>0</v>
      </c>
      <c r="F67" s="66" t="n">
        <f aca="false">IF(AND(F$7&gt;1,MOD(F$6-1,12)=0),Inputs!$B$8,0)*Inputs!$B$51</f>
        <v>0</v>
      </c>
      <c r="G67" s="66" t="n">
        <f aca="false">IF(AND(G$7&gt;1,MOD(G$6-1,12)=0),Inputs!$B$8,0)*Inputs!$B$51</f>
        <v>0</v>
      </c>
      <c r="H67" s="66" t="n">
        <f aca="false">IF(AND(H$7&gt;1,MOD(H$6-1,12)=0),Inputs!$B$8,0)*Inputs!$B$51</f>
        <v>0</v>
      </c>
      <c r="I67" s="66" t="n">
        <f aca="false">IF(AND(I$7&gt;1,MOD(I$6-1,12)=0),Inputs!$B$8,0)*Inputs!$B$51</f>
        <v>0</v>
      </c>
      <c r="J67" s="66" t="n">
        <f aca="false">IF(AND(J$7&gt;1,MOD(J$6-1,12)=0),Inputs!$B$8,0)*Inputs!$B$51</f>
        <v>0</v>
      </c>
      <c r="K67" s="66" t="n">
        <f aca="false">IF(AND(K$7&gt;1,MOD(K$6-1,12)=0),Inputs!$B$8,0)*Inputs!$B$51</f>
        <v>0</v>
      </c>
      <c r="L67" s="66" t="n">
        <f aca="false">IF(AND(L$7&gt;1,MOD(L$6-1,12)=0),Inputs!$B$8,0)*Inputs!$B$51</f>
        <v>0</v>
      </c>
      <c r="M67" s="66" t="n">
        <f aca="false">IF(AND(M$7&gt;1,MOD(M$6-1,12)=0),Inputs!$B$8,0)*Inputs!$B$51</f>
        <v>0</v>
      </c>
      <c r="N67" s="66" t="n">
        <f aca="false">IF(AND(N$7&gt;1,MOD(N$6-1,12)=0),Inputs!$B$8,0)*Inputs!$B$51</f>
        <v>0</v>
      </c>
      <c r="O67" s="66" t="n">
        <f aca="false">IF(AND(O$7&gt;1,MOD(O$6-1,12)=0),Inputs!$B$8,0)*Inputs!$B$51</f>
        <v>0</v>
      </c>
      <c r="P67" s="66" t="n">
        <f aca="false">IF(AND(P$7&gt;1,MOD(P$6-1,12)=0),Inputs!$B$8,0)*Inputs!$B$51</f>
        <v>0</v>
      </c>
      <c r="Q67" s="66" t="n">
        <f aca="false">IF(AND(Q$7&gt;1,MOD(Q$6-1,12)=0),Inputs!$B$8,0)*Inputs!$B$51</f>
        <v>0</v>
      </c>
      <c r="R67" s="66" t="n">
        <f aca="false">IF(AND(R$7&gt;1,MOD(R$6-1,12)=0),Inputs!$B$8,0)*Inputs!$B$51</f>
        <v>0</v>
      </c>
      <c r="S67" s="66" t="n">
        <f aca="false">IF(AND(S$7&gt;1,MOD(S$6-1,12)=0),Inputs!$B$8,0)*Inputs!$B$51</f>
        <v>0</v>
      </c>
      <c r="T67" s="66" t="n">
        <f aca="false">IF(AND(T$7&gt;1,MOD(T$6-1,12)=0),Inputs!$B$8,0)*Inputs!$B$51</f>
        <v>0</v>
      </c>
      <c r="U67" s="66" t="n">
        <f aca="false">IF(AND(U$7&gt;1,MOD(U$6-1,12)=0),Inputs!$B$8,0)*Inputs!$B$51</f>
        <v>0</v>
      </c>
      <c r="V67" s="66" t="n">
        <f aca="false">IF(AND(V$7&gt;1,MOD(V$6-1,12)=0),Inputs!$B$8,0)*Inputs!$B$51</f>
        <v>0</v>
      </c>
      <c r="W67" s="66" t="n">
        <f aca="false">IF(AND(W$7&gt;1,MOD(W$6-1,12)=0),Inputs!$B$8,0)*Inputs!$B$51</f>
        <v>0</v>
      </c>
      <c r="X67" s="66" t="n">
        <f aca="false">IF(AND(X$7&gt;1,MOD(X$6-1,12)=0),Inputs!$B$8,0)*Inputs!$B$51</f>
        <v>0</v>
      </c>
      <c r="Y67" s="66" t="n">
        <f aca="false">IF(AND(Y$7&gt;1,MOD(Y$6-1,12)=0),Inputs!$B$8,0)*Inputs!$B$51</f>
        <v>0</v>
      </c>
      <c r="Z67" s="66" t="n">
        <f aca="false">IF(AND(Z$7&gt;1,MOD(Z$6-1,12)=0),Inputs!$B$8,0)*Inputs!$B$51</f>
        <v>0</v>
      </c>
      <c r="AA67" s="66" t="n">
        <f aca="false">IF(AND(AA$7&gt;1,MOD(AA$6-1,12)=0),Inputs!$B$8,0)*Inputs!$B$51</f>
        <v>0</v>
      </c>
      <c r="AB67" s="66" t="n">
        <f aca="false">IF(AND(AB$7&gt;1,MOD(AB$6-1,12)=0),Inputs!$B$8,0)*Inputs!$B$51</f>
        <v>0</v>
      </c>
      <c r="AC67" s="66" t="n">
        <f aca="false">IF(AND(AC$7&gt;1,MOD(AC$6-1,12)=0),Inputs!$B$8,0)*Inputs!$B$51</f>
        <v>0</v>
      </c>
      <c r="AD67" s="66" t="n">
        <f aca="false">IF(AND(AD$7&gt;1,MOD(AD$6-1,12)=0),Inputs!$B$8,0)*Inputs!$B$51</f>
        <v>0</v>
      </c>
      <c r="AE67" s="66" t="n">
        <f aca="false">IF(AND(AE$7&gt;1,MOD(AE$6-1,12)=0),Inputs!$B$8,0)*Inputs!$B$51</f>
        <v>0</v>
      </c>
      <c r="AF67" s="66" t="n">
        <f aca="false">IF(AND(AF$7&gt;1,MOD(AF$6-1,12)=0),Inputs!$B$8,0)*Inputs!$B$51</f>
        <v>0</v>
      </c>
      <c r="AG67" s="66" t="n">
        <f aca="false">IF(AND(AG$7&gt;1,MOD(AG$6-1,12)=0),Inputs!$B$8,0)*Inputs!$B$51</f>
        <v>0</v>
      </c>
      <c r="AH67" s="66" t="n">
        <f aca="false">IF(AND(AH$7&gt;1,MOD(AH$6-1,12)=0),Inputs!$B$8,0)*Inputs!$B$51</f>
        <v>0</v>
      </c>
      <c r="AI67" s="66" t="n">
        <f aca="false">IF(AND(AI$7&gt;1,MOD(AI$6-1,12)=0),Inputs!$B$8,0)*Inputs!$B$51</f>
        <v>0</v>
      </c>
      <c r="AJ67" s="66" t="n">
        <f aca="false">IF(AND(AJ$7&gt;1,MOD(AJ$6-1,12)=0),Inputs!$B$8,0)*Inputs!$B$51</f>
        <v>0</v>
      </c>
      <c r="AK67" s="66" t="n">
        <f aca="false">IF(AND(AK$7&gt;1,MOD(AK$6-1,12)=0),Inputs!$B$8,0)*Inputs!$B$51</f>
        <v>0</v>
      </c>
      <c r="AL67" s="66" t="n">
        <f aca="false">IF(AND(AL$7&gt;1,MOD(AL$6-1,12)=0),Inputs!$B$8,0)*Inputs!$B$51</f>
        <v>0</v>
      </c>
      <c r="AM67" s="66" t="n">
        <f aca="false">IF(AND(AM$7&gt;1,MOD(AM$6-1,12)=0),Inputs!$B$8,0)*Inputs!$B$51</f>
        <v>0</v>
      </c>
      <c r="AN67" s="66" t="n">
        <f aca="false">IF(AND(AN$7&gt;1,MOD(AN$6-1,12)=0),Inputs!$B$8,0)*Inputs!$B$51</f>
        <v>0</v>
      </c>
      <c r="AO67" s="66" t="n">
        <f aca="false">IF(AND(AO$7&gt;1,MOD(AO$6-1,12)=0),Inputs!$B$8,0)*Inputs!$B$51</f>
        <v>0</v>
      </c>
      <c r="AP67" s="66" t="n">
        <f aca="false">IF(AND(AP$7&gt;1,MOD(AP$6-1,12)=0),Inputs!$B$8,0)*Inputs!$B$51</f>
        <v>0</v>
      </c>
      <c r="AQ67" s="66" t="n">
        <f aca="false">IF(AND(AQ$7&gt;1,MOD(AQ$6-1,12)=0),Inputs!$B$8,0)*Inputs!$B$51</f>
        <v>0</v>
      </c>
      <c r="AR67" s="66" t="n">
        <f aca="false">IF(AND(AR$7&gt;1,MOD(AR$6-1,12)=0),Inputs!$B$8,0)*Inputs!$B$51</f>
        <v>0</v>
      </c>
      <c r="AS67" s="66" t="n">
        <f aca="false">IF(AND(AS$7&gt;1,MOD(AS$6-1,12)=0),Inputs!$B$8,0)*Inputs!$B$51</f>
        <v>0</v>
      </c>
      <c r="AT67" s="66" t="n">
        <f aca="false">IF(AND(AT$7&gt;1,MOD(AT$6-1,12)=0),Inputs!$B$8,0)*Inputs!$B$51</f>
        <v>0</v>
      </c>
      <c r="AU67" s="66" t="n">
        <f aca="false">IF(AND(AU$7&gt;1,MOD(AU$6-1,12)=0),Inputs!$B$8,0)*Inputs!$B$51</f>
        <v>0</v>
      </c>
      <c r="AV67" s="66" t="n">
        <f aca="false">IF(AND(AV$7&gt;1,MOD(AV$6-1,12)=0),Inputs!$B$8,0)*Inputs!$B$51</f>
        <v>0</v>
      </c>
      <c r="AW67" s="66" t="n">
        <f aca="false">IF(AND(AW$7&gt;1,MOD(AW$6-1,12)=0),Inputs!$B$8,0)*Inputs!$B$51</f>
        <v>0</v>
      </c>
      <c r="AX67" s="66" t="n">
        <f aca="false">IF(AND(AX$7&gt;1,MOD(AX$6-1,12)=0),Inputs!$B$8,0)*Inputs!$B$51</f>
        <v>0</v>
      </c>
      <c r="AY67" s="66" t="n">
        <f aca="false">IF(AND(AY$7&gt;1,MOD(AY$6-1,12)=0),Inputs!$B$8,0)*Inputs!$B$51</f>
        <v>0</v>
      </c>
      <c r="AZ67" s="66" t="n">
        <f aca="false">IF(AND(AZ$7&gt;1,MOD(AZ$6-1,12)=0),Inputs!$B$8,0)*Inputs!$B$51</f>
        <v>0</v>
      </c>
      <c r="BA67" s="66" t="n">
        <f aca="false">IF(AND(BA$7&gt;1,MOD(BA$6-1,12)=0),Inputs!$B$8,0)*Inputs!$B$51</f>
        <v>0</v>
      </c>
      <c r="BB67" s="66" t="n">
        <f aca="false">IF(AND(BB$7&gt;1,MOD(BB$6-1,12)=0),Inputs!$B$8,0)*Inputs!$B$51</f>
        <v>0</v>
      </c>
      <c r="BC67" s="66" t="n">
        <f aca="false">IF(AND(BC$7&gt;1,MOD(BC$6-1,12)=0),Inputs!$B$8,0)*Inputs!$B$51</f>
        <v>0</v>
      </c>
      <c r="BD67" s="66" t="n">
        <f aca="false">IF(AND(BD$7&gt;1,MOD(BD$6-1,12)=0),Inputs!$B$8,0)*Inputs!$B$51</f>
        <v>0</v>
      </c>
      <c r="BE67" s="66" t="n">
        <f aca="false">IF(AND(BE$7&gt;1,MOD(BE$6-1,12)=0),Inputs!$B$8,0)*Inputs!$B$51</f>
        <v>0</v>
      </c>
      <c r="BF67" s="66" t="n">
        <f aca="false">IF(AND(BF$7&gt;1,MOD(BF$6-1,12)=0),Inputs!$B$8,0)*Inputs!$B$51</f>
        <v>0</v>
      </c>
      <c r="BG67" s="66" t="n">
        <f aca="false">IF(AND(BG$7&gt;1,MOD(BG$6-1,12)=0),Inputs!$B$8,0)*Inputs!$B$51</f>
        <v>0</v>
      </c>
      <c r="BH67" s="66" t="n">
        <f aca="false">IF(AND(BH$7&gt;1,MOD(BH$6-1,12)=0),Inputs!$B$8,0)*Inputs!$B$51</f>
        <v>0</v>
      </c>
      <c r="BI67" s="66" t="n">
        <f aca="false">IF(AND(BI$7&gt;1,MOD(BI$6-1,12)=0),Inputs!$B$8,0)*Inputs!$B$51</f>
        <v>0</v>
      </c>
      <c r="BJ67" s="66" t="n">
        <f aca="false">IF(AND(BJ$7&gt;1,MOD(BJ$6-1,12)=0),Inputs!$B$8,0)*Inputs!$B$51</f>
        <v>0</v>
      </c>
    </row>
    <row r="68" customFormat="false" ht="15" hidden="false" customHeight="false" outlineLevel="0" collapsed="false">
      <c r="A68" s="6" t="s">
        <v>442</v>
      </c>
      <c r="C68" s="66" t="n">
        <f aca="false">IF(C$6=1,Inputs!$B$53,0)</f>
        <v>40000</v>
      </c>
      <c r="D68" s="66" t="n">
        <f aca="false">IF(D$6=1,Inputs!$B$53,0)</f>
        <v>0</v>
      </c>
      <c r="E68" s="66" t="n">
        <f aca="false">IF(E$6=1,Inputs!$B$53,0)</f>
        <v>0</v>
      </c>
      <c r="F68" s="66" t="n">
        <f aca="false">IF(F$6=1,Inputs!$B$53,0)</f>
        <v>0</v>
      </c>
      <c r="G68" s="66" t="n">
        <f aca="false">IF(G$6=1,Inputs!$B$53,0)</f>
        <v>0</v>
      </c>
      <c r="H68" s="66" t="n">
        <f aca="false">IF(H$6=1,Inputs!$B$53,0)</f>
        <v>0</v>
      </c>
      <c r="I68" s="66" t="n">
        <f aca="false">IF(I$6=1,Inputs!$B$53,0)</f>
        <v>0</v>
      </c>
      <c r="J68" s="66" t="n">
        <f aca="false">IF(J$6=1,Inputs!$B$53,0)</f>
        <v>0</v>
      </c>
      <c r="K68" s="66" t="n">
        <f aca="false">IF(K$6=1,Inputs!$B$53,0)</f>
        <v>0</v>
      </c>
      <c r="L68" s="66" t="n">
        <f aca="false">IF(L$6=1,Inputs!$B$53,0)</f>
        <v>0</v>
      </c>
      <c r="M68" s="66" t="n">
        <f aca="false">IF(M$6=1,Inputs!$B$53,0)</f>
        <v>0</v>
      </c>
      <c r="N68" s="66" t="n">
        <f aca="false">IF(N$6=1,Inputs!$B$53,0)</f>
        <v>0</v>
      </c>
      <c r="O68" s="66" t="n">
        <f aca="false">IF(O$6=1,Inputs!$B$53,0)</f>
        <v>0</v>
      </c>
      <c r="P68" s="66" t="n">
        <f aca="false">IF(P$6=1,Inputs!$B$53,0)</f>
        <v>0</v>
      </c>
      <c r="Q68" s="66" t="n">
        <f aca="false">IF(Q$6=1,Inputs!$B$53,0)</f>
        <v>0</v>
      </c>
      <c r="R68" s="66" t="n">
        <f aca="false">IF(R$6=1,Inputs!$B$53,0)</f>
        <v>0</v>
      </c>
      <c r="S68" s="66" t="n">
        <f aca="false">IF(S$6=1,Inputs!$B$53,0)</f>
        <v>0</v>
      </c>
      <c r="T68" s="66" t="n">
        <f aca="false">IF(T$6=1,Inputs!$B$53,0)</f>
        <v>0</v>
      </c>
      <c r="U68" s="66" t="n">
        <f aca="false">IF(U$6=1,Inputs!$B$53,0)</f>
        <v>0</v>
      </c>
      <c r="V68" s="66" t="n">
        <f aca="false">IF(V$6=1,Inputs!$B$53,0)</f>
        <v>0</v>
      </c>
      <c r="W68" s="66" t="n">
        <f aca="false">IF(W$6=1,Inputs!$B$53,0)</f>
        <v>0</v>
      </c>
      <c r="X68" s="66" t="n">
        <f aca="false">IF(X$6=1,Inputs!$B$53,0)</f>
        <v>0</v>
      </c>
      <c r="Y68" s="66" t="n">
        <f aca="false">IF(Y$6=1,Inputs!$B$53,0)</f>
        <v>0</v>
      </c>
      <c r="Z68" s="66" t="n">
        <f aca="false">IF(Z$6=1,Inputs!$B$53,0)</f>
        <v>0</v>
      </c>
      <c r="AA68" s="66" t="n">
        <f aca="false">IF(AA$6=1,Inputs!$B$53,0)</f>
        <v>0</v>
      </c>
      <c r="AB68" s="66" t="n">
        <f aca="false">IF(AB$6=1,Inputs!$B$53,0)</f>
        <v>0</v>
      </c>
      <c r="AC68" s="66" t="n">
        <f aca="false">IF(AC$6=1,Inputs!$B$53,0)</f>
        <v>0</v>
      </c>
      <c r="AD68" s="66" t="n">
        <f aca="false">IF(AD$6=1,Inputs!$B$53,0)</f>
        <v>0</v>
      </c>
      <c r="AE68" s="66" t="n">
        <f aca="false">IF(AE$6=1,Inputs!$B$53,0)</f>
        <v>0</v>
      </c>
      <c r="AF68" s="66" t="n">
        <f aca="false">IF(AF$6=1,Inputs!$B$53,0)</f>
        <v>0</v>
      </c>
      <c r="AG68" s="66" t="n">
        <f aca="false">IF(AG$6=1,Inputs!$B$53,0)</f>
        <v>0</v>
      </c>
      <c r="AH68" s="66" t="n">
        <f aca="false">IF(AH$6=1,Inputs!$B$53,0)</f>
        <v>0</v>
      </c>
      <c r="AI68" s="66" t="n">
        <f aca="false">IF(AI$6=1,Inputs!$B$53,0)</f>
        <v>0</v>
      </c>
      <c r="AJ68" s="66" t="n">
        <f aca="false">IF(AJ$6=1,Inputs!$B$53,0)</f>
        <v>0</v>
      </c>
      <c r="AK68" s="66" t="n">
        <f aca="false">IF(AK$6=1,Inputs!$B$53,0)</f>
        <v>0</v>
      </c>
      <c r="AL68" s="66" t="n">
        <f aca="false">IF(AL$6=1,Inputs!$B$53,0)</f>
        <v>0</v>
      </c>
      <c r="AM68" s="66" t="n">
        <f aca="false">IF(AM$6=1,Inputs!$B$53,0)</f>
        <v>0</v>
      </c>
      <c r="AN68" s="66" t="n">
        <f aca="false">IF(AN$6=1,Inputs!$B$53,0)</f>
        <v>0</v>
      </c>
      <c r="AO68" s="66" t="n">
        <f aca="false">IF(AO$6=1,Inputs!$B$53,0)</f>
        <v>0</v>
      </c>
      <c r="AP68" s="66" t="n">
        <f aca="false">IF(AP$6=1,Inputs!$B$53,0)</f>
        <v>0</v>
      </c>
      <c r="AQ68" s="66" t="n">
        <f aca="false">IF(AQ$6=1,Inputs!$B$53,0)</f>
        <v>0</v>
      </c>
      <c r="AR68" s="66" t="n">
        <f aca="false">IF(AR$6=1,Inputs!$B$53,0)</f>
        <v>0</v>
      </c>
      <c r="AS68" s="66" t="n">
        <f aca="false">IF(AS$6=1,Inputs!$B$53,0)</f>
        <v>0</v>
      </c>
      <c r="AT68" s="66" t="n">
        <f aca="false">IF(AT$6=1,Inputs!$B$53,0)</f>
        <v>0</v>
      </c>
      <c r="AU68" s="66" t="n">
        <f aca="false">IF(AU$6=1,Inputs!$B$53,0)</f>
        <v>0</v>
      </c>
      <c r="AV68" s="66" t="n">
        <f aca="false">IF(AV$6=1,Inputs!$B$53,0)</f>
        <v>0</v>
      </c>
      <c r="AW68" s="66" t="n">
        <f aca="false">IF(AW$6=1,Inputs!$B$53,0)</f>
        <v>0</v>
      </c>
      <c r="AX68" s="66" t="n">
        <f aca="false">IF(AX$6=1,Inputs!$B$53,0)</f>
        <v>0</v>
      </c>
      <c r="AY68" s="66" t="n">
        <f aca="false">IF(AY$6=1,Inputs!$B$53,0)</f>
        <v>0</v>
      </c>
      <c r="AZ68" s="66" t="n">
        <f aca="false">IF(AZ$6=1,Inputs!$B$53,0)</f>
        <v>0</v>
      </c>
      <c r="BA68" s="66" t="n">
        <f aca="false">IF(BA$6=1,Inputs!$B$53,0)</f>
        <v>0</v>
      </c>
      <c r="BB68" s="66" t="n">
        <f aca="false">IF(BB$6=1,Inputs!$B$53,0)</f>
        <v>0</v>
      </c>
      <c r="BC68" s="66" t="n">
        <f aca="false">IF(BC$6=1,Inputs!$B$53,0)</f>
        <v>0</v>
      </c>
      <c r="BD68" s="66" t="n">
        <f aca="false">IF(BD$6=1,Inputs!$B$53,0)</f>
        <v>0</v>
      </c>
      <c r="BE68" s="66" t="n">
        <f aca="false">IF(BE$6=1,Inputs!$B$53,0)</f>
        <v>0</v>
      </c>
      <c r="BF68" s="66" t="n">
        <f aca="false">IF(BF$6=1,Inputs!$B$53,0)</f>
        <v>0</v>
      </c>
      <c r="BG68" s="66" t="n">
        <f aca="false">IF(BG$6=1,Inputs!$B$53,0)</f>
        <v>0</v>
      </c>
      <c r="BH68" s="66" t="n">
        <f aca="false">IF(BH$6=1,Inputs!$B$53,0)</f>
        <v>0</v>
      </c>
      <c r="BI68" s="66" t="n">
        <f aca="false">IF(BI$6=1,Inputs!$B$53,0)</f>
        <v>0</v>
      </c>
      <c r="BJ68" s="66" t="n">
        <f aca="false">IF(BJ$6=1,Inputs!$B$53,0)</f>
        <v>0</v>
      </c>
    </row>
    <row r="69" customFormat="false" ht="15" hidden="false" customHeight="false" outlineLevel="0" collapsed="false">
      <c r="A69" s="6" t="s">
        <v>443</v>
      </c>
      <c r="C69" s="66" t="n">
        <f aca="false">IF(AND(C$7&gt;1,MOD(C$6-1,12)=0),C10*Inputs!$B$54,0)</f>
        <v>0</v>
      </c>
      <c r="D69" s="66" t="n">
        <f aca="false">IF(AND(D$7&gt;1,MOD(D$6-1,12)=0),D10*Inputs!$B$54,0)</f>
        <v>0</v>
      </c>
      <c r="E69" s="66" t="n">
        <f aca="false">IF(AND(E$7&gt;1,MOD(E$6-1,12)=0),E10*Inputs!$B$54,0)</f>
        <v>0</v>
      </c>
      <c r="F69" s="66" t="n">
        <f aca="false">IF(AND(F$7&gt;1,MOD(F$6-1,12)=0),F10*Inputs!$B$54,0)</f>
        <v>0</v>
      </c>
      <c r="G69" s="66" t="n">
        <f aca="false">IF(AND(G$7&gt;1,MOD(G$6-1,12)=0),G10*Inputs!$B$54,0)</f>
        <v>0</v>
      </c>
      <c r="H69" s="66" t="n">
        <f aca="false">IF(AND(H$7&gt;1,MOD(H$6-1,12)=0),H10*Inputs!$B$54,0)</f>
        <v>0</v>
      </c>
      <c r="I69" s="66" t="n">
        <f aca="false">IF(AND(I$7&gt;1,MOD(I$6-1,12)=0),I10*Inputs!$B$54,0)</f>
        <v>0</v>
      </c>
      <c r="J69" s="66" t="n">
        <f aca="false">IF(AND(J$7&gt;1,MOD(J$6-1,12)=0),J10*Inputs!$B$54,0)</f>
        <v>0</v>
      </c>
      <c r="K69" s="66" t="n">
        <f aca="false">IF(AND(K$7&gt;1,MOD(K$6-1,12)=0),K10*Inputs!$B$54,0)</f>
        <v>0</v>
      </c>
      <c r="L69" s="66" t="n">
        <f aca="false">IF(AND(L$7&gt;1,MOD(L$6-1,12)=0),L10*Inputs!$B$54,0)</f>
        <v>0</v>
      </c>
      <c r="M69" s="66" t="n">
        <f aca="false">IF(AND(M$7&gt;1,MOD(M$6-1,12)=0),M10*Inputs!$B$54,0)</f>
        <v>0</v>
      </c>
      <c r="N69" s="66" t="n">
        <f aca="false">IF(AND(N$7&gt;1,MOD(N$6-1,12)=0),N10*Inputs!$B$54,0)</f>
        <v>0</v>
      </c>
      <c r="O69" s="66" t="n">
        <f aca="false">IF(AND(O$7&gt;1,MOD(O$6-1,12)=0),O10*Inputs!$B$54,0)</f>
        <v>9000</v>
      </c>
      <c r="P69" s="66" t="n">
        <f aca="false">IF(AND(P$7&gt;1,MOD(P$6-1,12)=0),P10*Inputs!$B$54,0)</f>
        <v>0</v>
      </c>
      <c r="Q69" s="66" t="n">
        <f aca="false">IF(AND(Q$7&gt;1,MOD(Q$6-1,12)=0),Q10*Inputs!$B$54,0)</f>
        <v>0</v>
      </c>
      <c r="R69" s="66" t="n">
        <f aca="false">IF(AND(R$7&gt;1,MOD(R$6-1,12)=0),R10*Inputs!$B$54,0)</f>
        <v>0</v>
      </c>
      <c r="S69" s="66" t="n">
        <f aca="false">IF(AND(S$7&gt;1,MOD(S$6-1,12)=0),S10*Inputs!$B$54,0)</f>
        <v>0</v>
      </c>
      <c r="T69" s="66" t="n">
        <f aca="false">IF(AND(T$7&gt;1,MOD(T$6-1,12)=0),T10*Inputs!$B$54,0)</f>
        <v>0</v>
      </c>
      <c r="U69" s="66" t="n">
        <f aca="false">IF(AND(U$7&gt;1,MOD(U$6-1,12)=0),U10*Inputs!$B$54,0)</f>
        <v>0</v>
      </c>
      <c r="V69" s="66" t="n">
        <f aca="false">IF(AND(V$7&gt;1,MOD(V$6-1,12)=0),V10*Inputs!$B$54,0)</f>
        <v>0</v>
      </c>
      <c r="W69" s="66" t="n">
        <f aca="false">IF(AND(W$7&gt;1,MOD(W$6-1,12)=0),W10*Inputs!$B$54,0)</f>
        <v>0</v>
      </c>
      <c r="X69" s="66" t="n">
        <f aca="false">IF(AND(X$7&gt;1,MOD(X$6-1,12)=0),X10*Inputs!$B$54,0)</f>
        <v>0</v>
      </c>
      <c r="Y69" s="66" t="n">
        <f aca="false">IF(AND(Y$7&gt;1,MOD(Y$6-1,12)=0),Y10*Inputs!$B$54,0)</f>
        <v>0</v>
      </c>
      <c r="Z69" s="66" t="n">
        <f aca="false">IF(AND(Z$7&gt;1,MOD(Z$6-1,12)=0),Z10*Inputs!$B$54,0)</f>
        <v>0</v>
      </c>
      <c r="AA69" s="66" t="n">
        <f aca="false">IF(AND(AA$7&gt;1,MOD(AA$6-1,12)=0),AA10*Inputs!$B$54,0)</f>
        <v>9000</v>
      </c>
      <c r="AB69" s="66" t="n">
        <f aca="false">IF(AND(AB$7&gt;1,MOD(AB$6-1,12)=0),AB10*Inputs!$B$54,0)</f>
        <v>0</v>
      </c>
      <c r="AC69" s="66" t="n">
        <f aca="false">IF(AND(AC$7&gt;1,MOD(AC$6-1,12)=0),AC10*Inputs!$B$54,0)</f>
        <v>0</v>
      </c>
      <c r="AD69" s="66" t="n">
        <f aca="false">IF(AND(AD$7&gt;1,MOD(AD$6-1,12)=0),AD10*Inputs!$B$54,0)</f>
        <v>0</v>
      </c>
      <c r="AE69" s="66" t="n">
        <f aca="false">IF(AND(AE$7&gt;1,MOD(AE$6-1,12)=0),AE10*Inputs!$B$54,0)</f>
        <v>0</v>
      </c>
      <c r="AF69" s="66" t="n">
        <f aca="false">IF(AND(AF$7&gt;1,MOD(AF$6-1,12)=0),AF10*Inputs!$B$54,0)</f>
        <v>0</v>
      </c>
      <c r="AG69" s="66" t="n">
        <f aca="false">IF(AND(AG$7&gt;1,MOD(AG$6-1,12)=0),AG10*Inputs!$B$54,0)</f>
        <v>0</v>
      </c>
      <c r="AH69" s="66" t="n">
        <f aca="false">IF(AND(AH$7&gt;1,MOD(AH$6-1,12)=0),AH10*Inputs!$B$54,0)</f>
        <v>0</v>
      </c>
      <c r="AI69" s="66" t="n">
        <f aca="false">IF(AND(AI$7&gt;1,MOD(AI$6-1,12)=0),AI10*Inputs!$B$54,0)</f>
        <v>0</v>
      </c>
      <c r="AJ69" s="66" t="n">
        <f aca="false">IF(AND(AJ$7&gt;1,MOD(AJ$6-1,12)=0),AJ10*Inputs!$B$54,0)</f>
        <v>0</v>
      </c>
      <c r="AK69" s="66" t="n">
        <f aca="false">IF(AND(AK$7&gt;1,MOD(AK$6-1,12)=0),AK10*Inputs!$B$54,0)</f>
        <v>0</v>
      </c>
      <c r="AL69" s="66" t="n">
        <f aca="false">IF(AND(AL$7&gt;1,MOD(AL$6-1,12)=0),AL10*Inputs!$B$54,0)</f>
        <v>0</v>
      </c>
      <c r="AM69" s="66" t="n">
        <f aca="false">IF(AND(AM$7&gt;1,MOD(AM$6-1,12)=0),AM10*Inputs!$B$54,0)</f>
        <v>9000</v>
      </c>
      <c r="AN69" s="66" t="n">
        <f aca="false">IF(AND(AN$7&gt;1,MOD(AN$6-1,12)=0),AN10*Inputs!$B$54,0)</f>
        <v>0</v>
      </c>
      <c r="AO69" s="66" t="n">
        <f aca="false">IF(AND(AO$7&gt;1,MOD(AO$6-1,12)=0),AO10*Inputs!$B$54,0)</f>
        <v>0</v>
      </c>
      <c r="AP69" s="66" t="n">
        <f aca="false">IF(AND(AP$7&gt;1,MOD(AP$6-1,12)=0),AP10*Inputs!$B$54,0)</f>
        <v>0</v>
      </c>
      <c r="AQ69" s="66" t="n">
        <f aca="false">IF(AND(AQ$7&gt;1,MOD(AQ$6-1,12)=0),AQ10*Inputs!$B$54,0)</f>
        <v>0</v>
      </c>
      <c r="AR69" s="66" t="n">
        <f aca="false">IF(AND(AR$7&gt;1,MOD(AR$6-1,12)=0),AR10*Inputs!$B$54,0)</f>
        <v>0</v>
      </c>
      <c r="AS69" s="66" t="n">
        <f aca="false">IF(AND(AS$7&gt;1,MOD(AS$6-1,12)=0),AS10*Inputs!$B$54,0)</f>
        <v>0</v>
      </c>
      <c r="AT69" s="66" t="n">
        <f aca="false">IF(AND(AT$7&gt;1,MOD(AT$6-1,12)=0),AT10*Inputs!$B$54,0)</f>
        <v>0</v>
      </c>
      <c r="AU69" s="66" t="n">
        <f aca="false">IF(AND(AU$7&gt;1,MOD(AU$6-1,12)=0),AU10*Inputs!$B$54,0)</f>
        <v>0</v>
      </c>
      <c r="AV69" s="66" t="n">
        <f aca="false">IF(AND(AV$7&gt;1,MOD(AV$6-1,12)=0),AV10*Inputs!$B$54,0)</f>
        <v>0</v>
      </c>
      <c r="AW69" s="66" t="n">
        <f aca="false">IF(AND(AW$7&gt;1,MOD(AW$6-1,12)=0),AW10*Inputs!$B$54,0)</f>
        <v>0</v>
      </c>
      <c r="AX69" s="66" t="n">
        <f aca="false">IF(AND(AX$7&gt;1,MOD(AX$6-1,12)=0),AX10*Inputs!$B$54,0)</f>
        <v>0</v>
      </c>
      <c r="AY69" s="66" t="n">
        <f aca="false">IF(AND(AY$7&gt;1,MOD(AY$6-1,12)=0),AY10*Inputs!$B$54,0)</f>
        <v>9000</v>
      </c>
      <c r="AZ69" s="66" t="n">
        <f aca="false">IF(AND(AZ$7&gt;1,MOD(AZ$6-1,12)=0),AZ10*Inputs!$B$54,0)</f>
        <v>0</v>
      </c>
      <c r="BA69" s="66" t="n">
        <f aca="false">IF(AND(BA$7&gt;1,MOD(BA$6-1,12)=0),BA10*Inputs!$B$54,0)</f>
        <v>0</v>
      </c>
      <c r="BB69" s="66" t="n">
        <f aca="false">IF(AND(BB$7&gt;1,MOD(BB$6-1,12)=0),BB10*Inputs!$B$54,0)</f>
        <v>0</v>
      </c>
      <c r="BC69" s="66" t="n">
        <f aca="false">IF(AND(BC$7&gt;1,MOD(BC$6-1,12)=0),BC10*Inputs!$B$54,0)</f>
        <v>0</v>
      </c>
      <c r="BD69" s="66" t="n">
        <f aca="false">IF(AND(BD$7&gt;1,MOD(BD$6-1,12)=0),BD10*Inputs!$B$54,0)</f>
        <v>0</v>
      </c>
      <c r="BE69" s="66" t="n">
        <f aca="false">IF(AND(BE$7&gt;1,MOD(BE$6-1,12)=0),BE10*Inputs!$B$54,0)</f>
        <v>0</v>
      </c>
      <c r="BF69" s="66" t="n">
        <f aca="false">IF(AND(BF$7&gt;1,MOD(BF$6-1,12)=0),BF10*Inputs!$B$54,0)</f>
        <v>0</v>
      </c>
      <c r="BG69" s="66" t="n">
        <f aca="false">IF(AND(BG$7&gt;1,MOD(BG$6-1,12)=0),BG10*Inputs!$B$54,0)</f>
        <v>0</v>
      </c>
      <c r="BH69" s="66" t="n">
        <f aca="false">IF(AND(BH$7&gt;1,MOD(BH$6-1,12)=0),BH10*Inputs!$B$54,0)</f>
        <v>0</v>
      </c>
      <c r="BI69" s="66" t="n">
        <f aca="false">IF(AND(BI$7&gt;1,MOD(BI$6-1,12)=0),BI10*Inputs!$B$54,0)</f>
        <v>0</v>
      </c>
      <c r="BJ69" s="66" t="n">
        <f aca="false">IF(AND(BJ$7&gt;1,MOD(BJ$6-1,12)=0),BJ10*Inputs!$B$54,0)</f>
        <v>0</v>
      </c>
    </row>
    <row r="70" customFormat="false" ht="15" hidden="false" customHeight="false" outlineLevel="0" collapsed="false">
      <c r="A70" s="4" t="s">
        <v>83</v>
      </c>
      <c r="C70" s="72" t="n">
        <f aca="false">C66+C67+C68+C69</f>
        <v>442000</v>
      </c>
      <c r="D70" s="72" t="n">
        <f aca="false">D66+D67+D68+D69</f>
        <v>0</v>
      </c>
      <c r="E70" s="72" t="n">
        <f aca="false">E66+E67+E68+E69</f>
        <v>0</v>
      </c>
      <c r="F70" s="72" t="n">
        <f aca="false">F66+F67+F68+F69</f>
        <v>0</v>
      </c>
      <c r="G70" s="72" t="n">
        <f aca="false">G66+G67+G68+G69</f>
        <v>0</v>
      </c>
      <c r="H70" s="72" t="n">
        <f aca="false">H66+H67+H68+H69</f>
        <v>0</v>
      </c>
      <c r="I70" s="72" t="n">
        <f aca="false">I66+I67+I68+I69</f>
        <v>0</v>
      </c>
      <c r="J70" s="72" t="n">
        <f aca="false">J66+J67+J68+J69</f>
        <v>0</v>
      </c>
      <c r="K70" s="72" t="n">
        <f aca="false">K66+K67+K68+K69</f>
        <v>0</v>
      </c>
      <c r="L70" s="72" t="n">
        <f aca="false">L66+L67+L68+L69</f>
        <v>0</v>
      </c>
      <c r="M70" s="72" t="n">
        <f aca="false">M66+M67+M68+M69</f>
        <v>0</v>
      </c>
      <c r="N70" s="72" t="n">
        <f aca="false">N66+N67+N68+N69</f>
        <v>0</v>
      </c>
      <c r="O70" s="72" t="n">
        <f aca="false">O66+O67+O68+O69</f>
        <v>9000</v>
      </c>
      <c r="P70" s="72" t="n">
        <f aca="false">P66+P67+P68+P69</f>
        <v>0</v>
      </c>
      <c r="Q70" s="72" t="n">
        <f aca="false">Q66+Q67+Q68+Q69</f>
        <v>0</v>
      </c>
      <c r="R70" s="72" t="n">
        <f aca="false">R66+R67+R68+R69</f>
        <v>0</v>
      </c>
      <c r="S70" s="72" t="n">
        <f aca="false">S66+S67+S68+S69</f>
        <v>0</v>
      </c>
      <c r="T70" s="72" t="n">
        <f aca="false">T66+T67+T68+T69</f>
        <v>0</v>
      </c>
      <c r="U70" s="72" t="n">
        <f aca="false">U66+U67+U68+U69</f>
        <v>0</v>
      </c>
      <c r="V70" s="72" t="n">
        <f aca="false">V66+V67+V68+V69</f>
        <v>0</v>
      </c>
      <c r="W70" s="72" t="n">
        <f aca="false">W66+W67+W68+W69</f>
        <v>0</v>
      </c>
      <c r="X70" s="72" t="n">
        <f aca="false">X66+X67+X68+X69</f>
        <v>0</v>
      </c>
      <c r="Y70" s="72" t="n">
        <f aca="false">Y66+Y67+Y68+Y69</f>
        <v>0</v>
      </c>
      <c r="Z70" s="72" t="n">
        <f aca="false">Z66+Z67+Z68+Z69</f>
        <v>0</v>
      </c>
      <c r="AA70" s="72" t="n">
        <f aca="false">AA66+AA67+AA68+AA69</f>
        <v>9000</v>
      </c>
      <c r="AB70" s="72" t="n">
        <f aca="false">AB66+AB67+AB68+AB69</f>
        <v>0</v>
      </c>
      <c r="AC70" s="72" t="n">
        <f aca="false">AC66+AC67+AC68+AC69</f>
        <v>0</v>
      </c>
      <c r="AD70" s="72" t="n">
        <f aca="false">AD66+AD67+AD68+AD69</f>
        <v>0</v>
      </c>
      <c r="AE70" s="72" t="n">
        <f aca="false">AE66+AE67+AE68+AE69</f>
        <v>0</v>
      </c>
      <c r="AF70" s="72" t="n">
        <f aca="false">AF66+AF67+AF68+AF69</f>
        <v>0</v>
      </c>
      <c r="AG70" s="72" t="n">
        <f aca="false">AG66+AG67+AG68+AG69</f>
        <v>0</v>
      </c>
      <c r="AH70" s="72" t="n">
        <f aca="false">AH66+AH67+AH68+AH69</f>
        <v>0</v>
      </c>
      <c r="AI70" s="72" t="n">
        <f aca="false">AI66+AI67+AI68+AI69</f>
        <v>0</v>
      </c>
      <c r="AJ70" s="72" t="n">
        <f aca="false">AJ66+AJ67+AJ68+AJ69</f>
        <v>0</v>
      </c>
      <c r="AK70" s="72" t="n">
        <f aca="false">AK66+AK67+AK68+AK69</f>
        <v>0</v>
      </c>
      <c r="AL70" s="72" t="n">
        <f aca="false">AL66+AL67+AL68+AL69</f>
        <v>0</v>
      </c>
      <c r="AM70" s="72" t="n">
        <f aca="false">AM66+AM67+AM68+AM69</f>
        <v>9000</v>
      </c>
      <c r="AN70" s="72" t="n">
        <f aca="false">AN66+AN67+AN68+AN69</f>
        <v>0</v>
      </c>
      <c r="AO70" s="72" t="n">
        <f aca="false">AO66+AO67+AO68+AO69</f>
        <v>0</v>
      </c>
      <c r="AP70" s="72" t="n">
        <f aca="false">AP66+AP67+AP68+AP69</f>
        <v>0</v>
      </c>
      <c r="AQ70" s="72" t="n">
        <f aca="false">AQ66+AQ67+AQ68+AQ69</f>
        <v>0</v>
      </c>
      <c r="AR70" s="72" t="n">
        <f aca="false">AR66+AR67+AR68+AR69</f>
        <v>0</v>
      </c>
      <c r="AS70" s="72" t="n">
        <f aca="false">AS66+AS67+AS68+AS69</f>
        <v>0</v>
      </c>
      <c r="AT70" s="72" t="n">
        <f aca="false">AT66+AT67+AT68+AT69</f>
        <v>0</v>
      </c>
      <c r="AU70" s="72" t="n">
        <f aca="false">AU66+AU67+AU68+AU69</f>
        <v>0</v>
      </c>
      <c r="AV70" s="72" t="n">
        <f aca="false">AV66+AV67+AV68+AV69</f>
        <v>0</v>
      </c>
      <c r="AW70" s="72" t="n">
        <f aca="false">AW66+AW67+AW68+AW69</f>
        <v>0</v>
      </c>
      <c r="AX70" s="72" t="n">
        <f aca="false">AX66+AX67+AX68+AX69</f>
        <v>0</v>
      </c>
      <c r="AY70" s="72" t="n">
        <f aca="false">AY66+AY67+AY68+AY69</f>
        <v>9000</v>
      </c>
      <c r="AZ70" s="72" t="n">
        <f aca="false">AZ66+AZ67+AZ68+AZ69</f>
        <v>0</v>
      </c>
      <c r="BA70" s="72" t="n">
        <f aca="false">BA66+BA67+BA68+BA69</f>
        <v>0</v>
      </c>
      <c r="BB70" s="72" t="n">
        <f aca="false">BB66+BB67+BB68+BB69</f>
        <v>0</v>
      </c>
      <c r="BC70" s="72" t="n">
        <f aca="false">BC66+BC67+BC68+BC69</f>
        <v>0</v>
      </c>
      <c r="BD70" s="72" t="n">
        <f aca="false">BD66+BD67+BD68+BD69</f>
        <v>0</v>
      </c>
      <c r="BE70" s="72" t="n">
        <f aca="false">BE66+BE67+BE68+BE69</f>
        <v>0</v>
      </c>
      <c r="BF70" s="72" t="n">
        <f aca="false">BF66+BF67+BF68+BF69</f>
        <v>0</v>
      </c>
      <c r="BG70" s="72" t="n">
        <f aca="false">BG66+BG67+BG68+BG69</f>
        <v>0</v>
      </c>
      <c r="BH70" s="72" t="n">
        <f aca="false">BH66+BH67+BH68+BH69</f>
        <v>0</v>
      </c>
      <c r="BI70" s="72" t="n">
        <f aca="false">BI66+BI67+BI68+BI69</f>
        <v>0</v>
      </c>
      <c r="BJ70" s="72" t="n">
        <f aca="false">BJ66+BJ67+BJ68+BJ69</f>
        <v>0</v>
      </c>
    </row>
    <row r="71" customFormat="false" ht="15" hidden="false" customHeight="false" outlineLevel="0" collapsed="false">
      <c r="A71" s="6" t="s">
        <v>444</v>
      </c>
      <c r="C71" s="66" t="n">
        <f aca="false">C70</f>
        <v>442000</v>
      </c>
      <c r="D71" s="66" t="n">
        <f aca="false">C71+D70</f>
        <v>442000</v>
      </c>
      <c r="E71" s="66" t="n">
        <f aca="false">D71+E70</f>
        <v>442000</v>
      </c>
      <c r="F71" s="66" t="n">
        <f aca="false">E71+F70</f>
        <v>442000</v>
      </c>
      <c r="G71" s="66" t="n">
        <f aca="false">F71+G70</f>
        <v>442000</v>
      </c>
      <c r="H71" s="66" t="n">
        <f aca="false">G71+H70</f>
        <v>442000</v>
      </c>
      <c r="I71" s="66" t="n">
        <f aca="false">H71+I70</f>
        <v>442000</v>
      </c>
      <c r="J71" s="66" t="n">
        <f aca="false">I71+J70</f>
        <v>442000</v>
      </c>
      <c r="K71" s="66" t="n">
        <f aca="false">J71+K70</f>
        <v>442000</v>
      </c>
      <c r="L71" s="66" t="n">
        <f aca="false">K71+L70</f>
        <v>442000</v>
      </c>
      <c r="M71" s="66" t="n">
        <f aca="false">L71+M70</f>
        <v>442000</v>
      </c>
      <c r="N71" s="66" t="n">
        <f aca="false">M71+N70</f>
        <v>442000</v>
      </c>
      <c r="O71" s="66" t="n">
        <f aca="false">N71+O70</f>
        <v>451000</v>
      </c>
      <c r="P71" s="66" t="n">
        <f aca="false">O71+P70</f>
        <v>451000</v>
      </c>
      <c r="Q71" s="66" t="n">
        <f aca="false">P71+Q70</f>
        <v>451000</v>
      </c>
      <c r="R71" s="66" t="n">
        <f aca="false">Q71+R70</f>
        <v>451000</v>
      </c>
      <c r="S71" s="66" t="n">
        <f aca="false">R71+S70</f>
        <v>451000</v>
      </c>
      <c r="T71" s="66" t="n">
        <f aca="false">S71+T70</f>
        <v>451000</v>
      </c>
      <c r="U71" s="66" t="n">
        <f aca="false">T71+U70</f>
        <v>451000</v>
      </c>
      <c r="V71" s="66" t="n">
        <f aca="false">U71+V70</f>
        <v>451000</v>
      </c>
      <c r="W71" s="66" t="n">
        <f aca="false">V71+W70</f>
        <v>451000</v>
      </c>
      <c r="X71" s="66" t="n">
        <f aca="false">W71+X70</f>
        <v>451000</v>
      </c>
      <c r="Y71" s="66" t="n">
        <f aca="false">X71+Y70</f>
        <v>451000</v>
      </c>
      <c r="Z71" s="66" t="n">
        <f aca="false">Y71+Z70</f>
        <v>451000</v>
      </c>
      <c r="AA71" s="66" t="n">
        <f aca="false">Z71+AA70</f>
        <v>460000</v>
      </c>
      <c r="AB71" s="66" t="n">
        <f aca="false">AA71+AB70</f>
        <v>460000</v>
      </c>
      <c r="AC71" s="66" t="n">
        <f aca="false">AB71+AC70</f>
        <v>460000</v>
      </c>
      <c r="AD71" s="66" t="n">
        <f aca="false">AC71+AD70</f>
        <v>460000</v>
      </c>
      <c r="AE71" s="66" t="n">
        <f aca="false">AD71+AE70</f>
        <v>460000</v>
      </c>
      <c r="AF71" s="66" t="n">
        <f aca="false">AE71+AF70</f>
        <v>460000</v>
      </c>
      <c r="AG71" s="66" t="n">
        <f aca="false">AF71+AG70</f>
        <v>460000</v>
      </c>
      <c r="AH71" s="66" t="n">
        <f aca="false">AG71+AH70</f>
        <v>460000</v>
      </c>
      <c r="AI71" s="66" t="n">
        <f aca="false">AH71+AI70</f>
        <v>460000</v>
      </c>
      <c r="AJ71" s="66" t="n">
        <f aca="false">AI71+AJ70</f>
        <v>460000</v>
      </c>
      <c r="AK71" s="66" t="n">
        <f aca="false">AJ71+AK70</f>
        <v>460000</v>
      </c>
      <c r="AL71" s="66" t="n">
        <f aca="false">AK71+AL70</f>
        <v>460000</v>
      </c>
      <c r="AM71" s="66" t="n">
        <f aca="false">AL71+AM70</f>
        <v>469000</v>
      </c>
      <c r="AN71" s="66" t="n">
        <f aca="false">AM71+AN70</f>
        <v>469000</v>
      </c>
      <c r="AO71" s="66" t="n">
        <f aca="false">AN71+AO70</f>
        <v>469000</v>
      </c>
      <c r="AP71" s="66" t="n">
        <f aca="false">AO71+AP70</f>
        <v>469000</v>
      </c>
      <c r="AQ71" s="66" t="n">
        <f aca="false">AP71+AQ70</f>
        <v>469000</v>
      </c>
      <c r="AR71" s="66" t="n">
        <f aca="false">AQ71+AR70</f>
        <v>469000</v>
      </c>
      <c r="AS71" s="66" t="n">
        <f aca="false">AR71+AS70</f>
        <v>469000</v>
      </c>
      <c r="AT71" s="66" t="n">
        <f aca="false">AS71+AT70</f>
        <v>469000</v>
      </c>
      <c r="AU71" s="66" t="n">
        <f aca="false">AT71+AU70</f>
        <v>469000</v>
      </c>
      <c r="AV71" s="66" t="n">
        <f aca="false">AU71+AV70</f>
        <v>469000</v>
      </c>
      <c r="AW71" s="66" t="n">
        <f aca="false">AV71+AW70</f>
        <v>469000</v>
      </c>
      <c r="AX71" s="66" t="n">
        <f aca="false">AW71+AX70</f>
        <v>469000</v>
      </c>
      <c r="AY71" s="66" t="n">
        <f aca="false">AX71+AY70</f>
        <v>478000</v>
      </c>
      <c r="AZ71" s="66" t="n">
        <f aca="false">AY71+AZ70</f>
        <v>478000</v>
      </c>
      <c r="BA71" s="66" t="n">
        <f aca="false">AZ71+BA70</f>
        <v>478000</v>
      </c>
      <c r="BB71" s="66" t="n">
        <f aca="false">BA71+BB70</f>
        <v>478000</v>
      </c>
      <c r="BC71" s="66" t="n">
        <f aca="false">BB71+BC70</f>
        <v>478000</v>
      </c>
      <c r="BD71" s="66" t="n">
        <f aca="false">BC71+BD70</f>
        <v>478000</v>
      </c>
      <c r="BE71" s="66" t="n">
        <f aca="false">BD71+BE70</f>
        <v>478000</v>
      </c>
      <c r="BF71" s="66" t="n">
        <f aca="false">BE71+BF70</f>
        <v>478000</v>
      </c>
      <c r="BG71" s="66" t="n">
        <f aca="false">BF71+BG70</f>
        <v>478000</v>
      </c>
      <c r="BH71" s="66" t="n">
        <f aca="false">BG71+BH70</f>
        <v>478000</v>
      </c>
      <c r="BI71" s="66" t="n">
        <f aca="false">BH71+BI70</f>
        <v>478000</v>
      </c>
      <c r="BJ71" s="66" t="n">
        <f aca="false">BI71+BJ70</f>
        <v>478000</v>
      </c>
    </row>
    <row r="72" customFormat="false" ht="15" hidden="false" customHeight="false" outlineLevel="0" collapsed="false">
      <c r="A72" s="6" t="s">
        <v>77</v>
      </c>
      <c r="C72" s="66" t="n">
        <f aca="false">-MIN(C71/MAX(1,Inputs!$B$84*12),C70)</f>
        <v>-3683.33333333333</v>
      </c>
      <c r="D72" s="66" t="n">
        <f aca="false">-MIN(D71/MAX(1,Inputs!$B$84*12),C74+D70)</f>
        <v>-3683.33333333333</v>
      </c>
      <c r="E72" s="66" t="n">
        <f aca="false">-MIN(E71/MAX(1,Inputs!$B$84*12),D74+E70)</f>
        <v>-3683.33333333333</v>
      </c>
      <c r="F72" s="66" t="n">
        <f aca="false">-MIN(F71/MAX(1,Inputs!$B$84*12),E74+F70)</f>
        <v>-3683.33333333333</v>
      </c>
      <c r="G72" s="66" t="n">
        <f aca="false">-MIN(G71/MAX(1,Inputs!$B$84*12),F74+G70)</f>
        <v>-3683.33333333333</v>
      </c>
      <c r="H72" s="66" t="n">
        <f aca="false">-MIN(H71/MAX(1,Inputs!$B$84*12),G74+H70)</f>
        <v>-3683.33333333333</v>
      </c>
      <c r="I72" s="66" t="n">
        <f aca="false">-MIN(I71/MAX(1,Inputs!$B$84*12),H74+I70)</f>
        <v>-3683.33333333333</v>
      </c>
      <c r="J72" s="66" t="n">
        <f aca="false">-MIN(J71/MAX(1,Inputs!$B$84*12),I74+J70)</f>
        <v>-3683.33333333333</v>
      </c>
      <c r="K72" s="66" t="n">
        <f aca="false">-MIN(K71/MAX(1,Inputs!$B$84*12),J74+K70)</f>
        <v>-3683.33333333333</v>
      </c>
      <c r="L72" s="66" t="n">
        <f aca="false">-MIN(L71/MAX(1,Inputs!$B$84*12),K74+L70)</f>
        <v>-3683.33333333333</v>
      </c>
      <c r="M72" s="66" t="n">
        <f aca="false">-MIN(M71/MAX(1,Inputs!$B$84*12),L74+M70)</f>
        <v>-3683.33333333333</v>
      </c>
      <c r="N72" s="66" t="n">
        <f aca="false">-MIN(N71/MAX(1,Inputs!$B$84*12),M74+N70)</f>
        <v>-3683.33333333333</v>
      </c>
      <c r="O72" s="66" t="n">
        <f aca="false">-MIN(O71/MAX(1,Inputs!$B$84*12),N74+O70)</f>
        <v>-3758.33333333333</v>
      </c>
      <c r="P72" s="66" t="n">
        <f aca="false">-MIN(P71/MAX(1,Inputs!$B$84*12),O74+P70)</f>
        <v>-3758.33333333333</v>
      </c>
      <c r="Q72" s="66" t="n">
        <f aca="false">-MIN(Q71/MAX(1,Inputs!$B$84*12),P74+Q70)</f>
        <v>-3758.33333333333</v>
      </c>
      <c r="R72" s="66" t="n">
        <f aca="false">-MIN(R71/MAX(1,Inputs!$B$84*12),Q74+R70)</f>
        <v>-3758.33333333333</v>
      </c>
      <c r="S72" s="66" t="n">
        <f aca="false">-MIN(S71/MAX(1,Inputs!$B$84*12),R74+S70)</f>
        <v>-3758.33333333333</v>
      </c>
      <c r="T72" s="66" t="n">
        <f aca="false">-MIN(T71/MAX(1,Inputs!$B$84*12),S74+T70)</f>
        <v>-3758.33333333333</v>
      </c>
      <c r="U72" s="66" t="n">
        <f aca="false">-MIN(U71/MAX(1,Inputs!$B$84*12),T74+U70)</f>
        <v>-3758.33333333333</v>
      </c>
      <c r="V72" s="66" t="n">
        <f aca="false">-MIN(V71/MAX(1,Inputs!$B$84*12),U74+V70)</f>
        <v>-3758.33333333333</v>
      </c>
      <c r="W72" s="66" t="n">
        <f aca="false">-MIN(W71/MAX(1,Inputs!$B$84*12),V74+W70)</f>
        <v>-3758.33333333333</v>
      </c>
      <c r="X72" s="66" t="n">
        <f aca="false">-MIN(X71/MAX(1,Inputs!$B$84*12),W74+X70)</f>
        <v>-3758.33333333333</v>
      </c>
      <c r="Y72" s="66" t="n">
        <f aca="false">-MIN(Y71/MAX(1,Inputs!$B$84*12),X74+Y70)</f>
        <v>-3758.33333333333</v>
      </c>
      <c r="Z72" s="66" t="n">
        <f aca="false">-MIN(Z71/MAX(1,Inputs!$B$84*12),Y74+Z70)</f>
        <v>-3758.33333333333</v>
      </c>
      <c r="AA72" s="66" t="n">
        <f aca="false">-MIN(AA71/MAX(1,Inputs!$B$84*12),Z74+AA70)</f>
        <v>-3833.33333333333</v>
      </c>
      <c r="AB72" s="66" t="n">
        <f aca="false">-MIN(AB71/MAX(1,Inputs!$B$84*12),AA74+AB70)</f>
        <v>-3833.33333333333</v>
      </c>
      <c r="AC72" s="66" t="n">
        <f aca="false">-MIN(AC71/MAX(1,Inputs!$B$84*12),AB74+AC70)</f>
        <v>-3833.33333333333</v>
      </c>
      <c r="AD72" s="66" t="n">
        <f aca="false">-MIN(AD71/MAX(1,Inputs!$B$84*12),AC74+AD70)</f>
        <v>-3833.33333333333</v>
      </c>
      <c r="AE72" s="66" t="n">
        <f aca="false">-MIN(AE71/MAX(1,Inputs!$B$84*12),AD74+AE70)</f>
        <v>-3833.33333333333</v>
      </c>
      <c r="AF72" s="66" t="n">
        <f aca="false">-MIN(AF71/MAX(1,Inputs!$B$84*12),AE74+AF70)</f>
        <v>-3833.33333333333</v>
      </c>
      <c r="AG72" s="66" t="n">
        <f aca="false">-MIN(AG71/MAX(1,Inputs!$B$84*12),AF74+AG70)</f>
        <v>-3833.33333333333</v>
      </c>
      <c r="AH72" s="66" t="n">
        <f aca="false">-MIN(AH71/MAX(1,Inputs!$B$84*12),AG74+AH70)</f>
        <v>-3833.33333333333</v>
      </c>
      <c r="AI72" s="66" t="n">
        <f aca="false">-MIN(AI71/MAX(1,Inputs!$B$84*12),AH74+AI70)</f>
        <v>-3833.33333333333</v>
      </c>
      <c r="AJ72" s="66" t="n">
        <f aca="false">-MIN(AJ71/MAX(1,Inputs!$B$84*12),AI74+AJ70)</f>
        <v>-3833.33333333333</v>
      </c>
      <c r="AK72" s="66" t="n">
        <f aca="false">-MIN(AK71/MAX(1,Inputs!$B$84*12),AJ74+AK70)</f>
        <v>-3833.33333333333</v>
      </c>
      <c r="AL72" s="66" t="n">
        <f aca="false">-MIN(AL71/MAX(1,Inputs!$B$84*12),AK74+AL70)</f>
        <v>-3833.33333333333</v>
      </c>
      <c r="AM72" s="66" t="n">
        <f aca="false">-MIN(AM71/MAX(1,Inputs!$B$84*12),AL74+AM70)</f>
        <v>-3908.33333333333</v>
      </c>
      <c r="AN72" s="66" t="n">
        <f aca="false">-MIN(AN71/MAX(1,Inputs!$B$84*12),AM74+AN70)</f>
        <v>-3908.33333333333</v>
      </c>
      <c r="AO72" s="66" t="n">
        <f aca="false">-MIN(AO71/MAX(1,Inputs!$B$84*12),AN74+AO70)</f>
        <v>-3908.33333333333</v>
      </c>
      <c r="AP72" s="66" t="n">
        <f aca="false">-MIN(AP71/MAX(1,Inputs!$B$84*12),AO74+AP70)</f>
        <v>-3908.33333333333</v>
      </c>
      <c r="AQ72" s="66" t="n">
        <f aca="false">-MIN(AQ71/MAX(1,Inputs!$B$84*12),AP74+AQ70)</f>
        <v>-3908.33333333333</v>
      </c>
      <c r="AR72" s="66" t="n">
        <f aca="false">-MIN(AR71/MAX(1,Inputs!$B$84*12),AQ74+AR70)</f>
        <v>-3908.33333333333</v>
      </c>
      <c r="AS72" s="66" t="n">
        <f aca="false">-MIN(AS71/MAX(1,Inputs!$B$84*12),AR74+AS70)</f>
        <v>-3908.33333333333</v>
      </c>
      <c r="AT72" s="66" t="n">
        <f aca="false">-MIN(AT71/MAX(1,Inputs!$B$84*12),AS74+AT70)</f>
        <v>-3908.33333333333</v>
      </c>
      <c r="AU72" s="66" t="n">
        <f aca="false">-MIN(AU71/MAX(1,Inputs!$B$84*12),AT74+AU70)</f>
        <v>-3908.33333333333</v>
      </c>
      <c r="AV72" s="66" t="n">
        <f aca="false">-MIN(AV71/MAX(1,Inputs!$B$84*12),AU74+AV70)</f>
        <v>-3908.33333333333</v>
      </c>
      <c r="AW72" s="66" t="n">
        <f aca="false">-MIN(AW71/MAX(1,Inputs!$B$84*12),AV74+AW70)</f>
        <v>-3908.33333333333</v>
      </c>
      <c r="AX72" s="66" t="n">
        <f aca="false">-MIN(AX71/MAX(1,Inputs!$B$84*12),AW74+AX70)</f>
        <v>-3908.33333333333</v>
      </c>
      <c r="AY72" s="66" t="n">
        <f aca="false">-MIN(AY71/MAX(1,Inputs!$B$84*12),AX74+AY70)</f>
        <v>-3983.33333333333</v>
      </c>
      <c r="AZ72" s="66" t="n">
        <f aca="false">-MIN(AZ71/MAX(1,Inputs!$B$84*12),AY74+AZ70)</f>
        <v>-3983.33333333333</v>
      </c>
      <c r="BA72" s="66" t="n">
        <f aca="false">-MIN(BA71/MAX(1,Inputs!$B$84*12),AZ74+BA70)</f>
        <v>-3983.33333333333</v>
      </c>
      <c r="BB72" s="66" t="n">
        <f aca="false">-MIN(BB71/MAX(1,Inputs!$B$84*12),BA74+BB70)</f>
        <v>-3983.33333333333</v>
      </c>
      <c r="BC72" s="66" t="n">
        <f aca="false">-MIN(BC71/MAX(1,Inputs!$B$84*12),BB74+BC70)</f>
        <v>-3983.33333333333</v>
      </c>
      <c r="BD72" s="66" t="n">
        <f aca="false">-MIN(BD71/MAX(1,Inputs!$B$84*12),BC74+BD70)</f>
        <v>-3983.33333333333</v>
      </c>
      <c r="BE72" s="66" t="n">
        <f aca="false">-MIN(BE71/MAX(1,Inputs!$B$84*12),BD74+BE70)</f>
        <v>-3983.33333333333</v>
      </c>
      <c r="BF72" s="66" t="n">
        <f aca="false">-MIN(BF71/MAX(1,Inputs!$B$84*12),BE74+BF70)</f>
        <v>-3983.33333333333</v>
      </c>
      <c r="BG72" s="66" t="n">
        <f aca="false">-MIN(BG71/MAX(1,Inputs!$B$84*12),BF74+BG70)</f>
        <v>-3983.33333333333</v>
      </c>
      <c r="BH72" s="66" t="n">
        <f aca="false">-MIN(BH71/MAX(1,Inputs!$B$84*12),BG74+BH70)</f>
        <v>-3983.33333333333</v>
      </c>
      <c r="BI72" s="66" t="n">
        <f aca="false">-MIN(BI71/MAX(1,Inputs!$B$84*12),BH74+BI70)</f>
        <v>-3983.33333333333</v>
      </c>
      <c r="BJ72" s="66" t="n">
        <f aca="false">-MIN(BJ71/MAX(1,Inputs!$B$84*12),BI74+BJ70)</f>
        <v>-3983.33333333333</v>
      </c>
    </row>
    <row r="73" customFormat="false" ht="15" hidden="false" customHeight="false" outlineLevel="0" collapsed="false">
      <c r="A73" s="6" t="s">
        <v>445</v>
      </c>
      <c r="C73" s="66" t="n">
        <f aca="false">C72</f>
        <v>-3683.33333333333</v>
      </c>
      <c r="D73" s="66" t="n">
        <f aca="false">C73+D72</f>
        <v>-7366.66666666667</v>
      </c>
      <c r="E73" s="66" t="n">
        <f aca="false">D73+E72</f>
        <v>-11050</v>
      </c>
      <c r="F73" s="66" t="n">
        <f aca="false">E73+F72</f>
        <v>-14733.3333333333</v>
      </c>
      <c r="G73" s="66" t="n">
        <f aca="false">F73+G72</f>
        <v>-18416.6666666667</v>
      </c>
      <c r="H73" s="66" t="n">
        <f aca="false">G73+H72</f>
        <v>-22100</v>
      </c>
      <c r="I73" s="66" t="n">
        <f aca="false">H73+I72</f>
        <v>-25783.3333333333</v>
      </c>
      <c r="J73" s="66" t="n">
        <f aca="false">I73+J72</f>
        <v>-29466.6666666667</v>
      </c>
      <c r="K73" s="66" t="n">
        <f aca="false">J73+K72</f>
        <v>-33150</v>
      </c>
      <c r="L73" s="66" t="n">
        <f aca="false">K73+L72</f>
        <v>-36833.3333333333</v>
      </c>
      <c r="M73" s="66" t="n">
        <f aca="false">L73+M72</f>
        <v>-40516.6666666667</v>
      </c>
      <c r="N73" s="66" t="n">
        <f aca="false">M73+N72</f>
        <v>-44200</v>
      </c>
      <c r="O73" s="66" t="n">
        <f aca="false">N73+O72</f>
        <v>-47958.3333333333</v>
      </c>
      <c r="P73" s="66" t="n">
        <f aca="false">O73+P72</f>
        <v>-51716.6666666667</v>
      </c>
      <c r="Q73" s="66" t="n">
        <f aca="false">P73+Q72</f>
        <v>-55475</v>
      </c>
      <c r="R73" s="66" t="n">
        <f aca="false">Q73+R72</f>
        <v>-59233.3333333334</v>
      </c>
      <c r="S73" s="66" t="n">
        <f aca="false">R73+S72</f>
        <v>-62991.6666666667</v>
      </c>
      <c r="T73" s="66" t="n">
        <f aca="false">S73+T72</f>
        <v>-66750</v>
      </c>
      <c r="U73" s="66" t="n">
        <f aca="false">T73+U72</f>
        <v>-70508.3333333333</v>
      </c>
      <c r="V73" s="66" t="n">
        <f aca="false">U73+V72</f>
        <v>-74266.6666666667</v>
      </c>
      <c r="W73" s="66" t="n">
        <f aca="false">V73+W72</f>
        <v>-78025</v>
      </c>
      <c r="X73" s="66" t="n">
        <f aca="false">W73+X72</f>
        <v>-81783.3333333333</v>
      </c>
      <c r="Y73" s="66" t="n">
        <f aca="false">X73+Y72</f>
        <v>-85541.6666666667</v>
      </c>
      <c r="Z73" s="66" t="n">
        <f aca="false">Y73+Z72</f>
        <v>-89300</v>
      </c>
      <c r="AA73" s="66" t="n">
        <f aca="false">Z73+AA72</f>
        <v>-93133.3333333333</v>
      </c>
      <c r="AB73" s="66" t="n">
        <f aca="false">AA73+AB72</f>
        <v>-96966.6666666666</v>
      </c>
      <c r="AC73" s="66" t="n">
        <f aca="false">AB73+AC72</f>
        <v>-100800</v>
      </c>
      <c r="AD73" s="66" t="n">
        <f aca="false">AC73+AD72</f>
        <v>-104633.333333333</v>
      </c>
      <c r="AE73" s="66" t="n">
        <f aca="false">AD73+AE72</f>
        <v>-108466.666666667</v>
      </c>
      <c r="AF73" s="66" t="n">
        <f aca="false">AE73+AF72</f>
        <v>-112300</v>
      </c>
      <c r="AG73" s="66" t="n">
        <f aca="false">AF73+AG72</f>
        <v>-116133.333333333</v>
      </c>
      <c r="AH73" s="66" t="n">
        <f aca="false">AG73+AH72</f>
        <v>-119966.666666667</v>
      </c>
      <c r="AI73" s="66" t="n">
        <f aca="false">AH73+AI72</f>
        <v>-123800</v>
      </c>
      <c r="AJ73" s="66" t="n">
        <f aca="false">AI73+AJ72</f>
        <v>-127633.333333333</v>
      </c>
      <c r="AK73" s="66" t="n">
        <f aca="false">AJ73+AK72</f>
        <v>-131466.666666667</v>
      </c>
      <c r="AL73" s="66" t="n">
        <f aca="false">AK73+AL72</f>
        <v>-135300</v>
      </c>
      <c r="AM73" s="66" t="n">
        <f aca="false">AL73+AM72</f>
        <v>-139208.333333333</v>
      </c>
      <c r="AN73" s="66" t="n">
        <f aca="false">AM73+AN72</f>
        <v>-143116.666666667</v>
      </c>
      <c r="AO73" s="66" t="n">
        <f aca="false">AN73+AO72</f>
        <v>-147025</v>
      </c>
      <c r="AP73" s="66" t="n">
        <f aca="false">AO73+AP72</f>
        <v>-150933.333333333</v>
      </c>
      <c r="AQ73" s="66" t="n">
        <f aca="false">AP73+AQ72</f>
        <v>-154841.666666667</v>
      </c>
      <c r="AR73" s="66" t="n">
        <f aca="false">AQ73+AR72</f>
        <v>-158750</v>
      </c>
      <c r="AS73" s="66" t="n">
        <f aca="false">AR73+AS72</f>
        <v>-162658.333333333</v>
      </c>
      <c r="AT73" s="66" t="n">
        <f aca="false">AS73+AT72</f>
        <v>-166566.666666667</v>
      </c>
      <c r="AU73" s="66" t="n">
        <f aca="false">AT73+AU72</f>
        <v>-170475</v>
      </c>
      <c r="AV73" s="66" t="n">
        <f aca="false">AU73+AV72</f>
        <v>-174383.333333333</v>
      </c>
      <c r="AW73" s="66" t="n">
        <f aca="false">AV73+AW72</f>
        <v>-178291.666666667</v>
      </c>
      <c r="AX73" s="66" t="n">
        <f aca="false">AW73+AX72</f>
        <v>-182200</v>
      </c>
      <c r="AY73" s="66" t="n">
        <f aca="false">AX73+AY72</f>
        <v>-186183.333333333</v>
      </c>
      <c r="AZ73" s="66" t="n">
        <f aca="false">AY73+AZ72</f>
        <v>-190166.666666667</v>
      </c>
      <c r="BA73" s="66" t="n">
        <f aca="false">AZ73+BA72</f>
        <v>-194150</v>
      </c>
      <c r="BB73" s="66" t="n">
        <f aca="false">BA73+BB72</f>
        <v>-198133.333333333</v>
      </c>
      <c r="BC73" s="66" t="n">
        <f aca="false">BB73+BC72</f>
        <v>-202116.666666667</v>
      </c>
      <c r="BD73" s="66" t="n">
        <f aca="false">BC73+BD72</f>
        <v>-206100</v>
      </c>
      <c r="BE73" s="66" t="n">
        <f aca="false">BD73+BE72</f>
        <v>-210083.333333333</v>
      </c>
      <c r="BF73" s="66" t="n">
        <f aca="false">BE73+BF72</f>
        <v>-214066.666666667</v>
      </c>
      <c r="BG73" s="66" t="n">
        <f aca="false">BF73+BG72</f>
        <v>-218050</v>
      </c>
      <c r="BH73" s="66" t="n">
        <f aca="false">BG73+BH72</f>
        <v>-222033.333333334</v>
      </c>
      <c r="BI73" s="66" t="n">
        <f aca="false">BH73+BI72</f>
        <v>-226016.666666667</v>
      </c>
      <c r="BJ73" s="66" t="n">
        <f aca="false">BI73+BJ72</f>
        <v>-230000</v>
      </c>
    </row>
    <row r="74" customFormat="false" ht="15" hidden="false" customHeight="false" outlineLevel="0" collapsed="false">
      <c r="A74" s="4" t="s">
        <v>91</v>
      </c>
      <c r="C74" s="72" t="n">
        <f aca="false">C71+C73</f>
        <v>438316.666666667</v>
      </c>
      <c r="D74" s="72" t="n">
        <f aca="false">D71+D73</f>
        <v>434633.333333333</v>
      </c>
      <c r="E74" s="72" t="n">
        <f aca="false">E71+E73</f>
        <v>430950</v>
      </c>
      <c r="F74" s="72" t="n">
        <f aca="false">F71+F73</f>
        <v>427266.666666667</v>
      </c>
      <c r="G74" s="72" t="n">
        <f aca="false">G71+G73</f>
        <v>423583.333333333</v>
      </c>
      <c r="H74" s="72" t="n">
        <f aca="false">H71+H73</f>
        <v>419900</v>
      </c>
      <c r="I74" s="72" t="n">
        <f aca="false">I71+I73</f>
        <v>416216.666666667</v>
      </c>
      <c r="J74" s="72" t="n">
        <f aca="false">J71+J73</f>
        <v>412533.333333333</v>
      </c>
      <c r="K74" s="72" t="n">
        <f aca="false">K71+K73</f>
        <v>408850</v>
      </c>
      <c r="L74" s="72" t="n">
        <f aca="false">L71+L73</f>
        <v>405166.666666667</v>
      </c>
      <c r="M74" s="72" t="n">
        <f aca="false">M71+M73</f>
        <v>401483.333333333</v>
      </c>
      <c r="N74" s="72" t="n">
        <f aca="false">N71+N73</f>
        <v>397800</v>
      </c>
      <c r="O74" s="72" t="n">
        <f aca="false">O71+O73</f>
        <v>403041.666666667</v>
      </c>
      <c r="P74" s="72" t="n">
        <f aca="false">P71+P73</f>
        <v>399283.333333333</v>
      </c>
      <c r="Q74" s="72" t="n">
        <f aca="false">Q71+Q73</f>
        <v>395525</v>
      </c>
      <c r="R74" s="72" t="n">
        <f aca="false">R71+R73</f>
        <v>391766.666666667</v>
      </c>
      <c r="S74" s="72" t="n">
        <f aca="false">S71+S73</f>
        <v>388008.333333333</v>
      </c>
      <c r="T74" s="72" t="n">
        <f aca="false">T71+T73</f>
        <v>384250</v>
      </c>
      <c r="U74" s="72" t="n">
        <f aca="false">U71+U73</f>
        <v>380491.666666667</v>
      </c>
      <c r="V74" s="72" t="n">
        <f aca="false">V71+V73</f>
        <v>376733.333333333</v>
      </c>
      <c r="W74" s="72" t="n">
        <f aca="false">W71+W73</f>
        <v>372975</v>
      </c>
      <c r="X74" s="72" t="n">
        <f aca="false">X71+X73</f>
        <v>369216.666666667</v>
      </c>
      <c r="Y74" s="72" t="n">
        <f aca="false">Y71+Y73</f>
        <v>365458.333333333</v>
      </c>
      <c r="Z74" s="72" t="n">
        <f aca="false">Z71+Z73</f>
        <v>361700</v>
      </c>
      <c r="AA74" s="72" t="n">
        <f aca="false">AA71+AA73</f>
        <v>366866.666666667</v>
      </c>
      <c r="AB74" s="72" t="n">
        <f aca="false">AB71+AB73</f>
        <v>363033.333333333</v>
      </c>
      <c r="AC74" s="72" t="n">
        <f aca="false">AC71+AC73</f>
        <v>359200</v>
      </c>
      <c r="AD74" s="72" t="n">
        <f aca="false">AD71+AD73</f>
        <v>355366.666666667</v>
      </c>
      <c r="AE74" s="72" t="n">
        <f aca="false">AE71+AE73</f>
        <v>351533.333333333</v>
      </c>
      <c r="AF74" s="72" t="n">
        <f aca="false">AF71+AF73</f>
        <v>347700</v>
      </c>
      <c r="AG74" s="72" t="n">
        <f aca="false">AG71+AG73</f>
        <v>343866.666666667</v>
      </c>
      <c r="AH74" s="72" t="n">
        <f aca="false">AH71+AH73</f>
        <v>340033.333333333</v>
      </c>
      <c r="AI74" s="72" t="n">
        <f aca="false">AI71+AI73</f>
        <v>336200</v>
      </c>
      <c r="AJ74" s="72" t="n">
        <f aca="false">AJ71+AJ73</f>
        <v>332366.666666667</v>
      </c>
      <c r="AK74" s="72" t="n">
        <f aca="false">AK71+AK73</f>
        <v>328533.333333333</v>
      </c>
      <c r="AL74" s="72" t="n">
        <f aca="false">AL71+AL73</f>
        <v>324700</v>
      </c>
      <c r="AM74" s="72" t="n">
        <f aca="false">AM71+AM73</f>
        <v>329791.666666667</v>
      </c>
      <c r="AN74" s="72" t="n">
        <f aca="false">AN71+AN73</f>
        <v>325883.333333333</v>
      </c>
      <c r="AO74" s="72" t="n">
        <f aca="false">AO71+AO73</f>
        <v>321975</v>
      </c>
      <c r="AP74" s="72" t="n">
        <f aca="false">AP71+AP73</f>
        <v>318066.666666667</v>
      </c>
      <c r="AQ74" s="72" t="n">
        <f aca="false">AQ71+AQ73</f>
        <v>314158.333333333</v>
      </c>
      <c r="AR74" s="72" t="n">
        <f aca="false">AR71+AR73</f>
        <v>310250</v>
      </c>
      <c r="AS74" s="72" t="n">
        <f aca="false">AS71+AS73</f>
        <v>306341.666666667</v>
      </c>
      <c r="AT74" s="72" t="n">
        <f aca="false">AT71+AT73</f>
        <v>302433.333333333</v>
      </c>
      <c r="AU74" s="72" t="n">
        <f aca="false">AU71+AU73</f>
        <v>298525</v>
      </c>
      <c r="AV74" s="72" t="n">
        <f aca="false">AV71+AV73</f>
        <v>294616.666666667</v>
      </c>
      <c r="AW74" s="72" t="n">
        <f aca="false">AW71+AW73</f>
        <v>290708.333333333</v>
      </c>
      <c r="AX74" s="72" t="n">
        <f aca="false">AX71+AX73</f>
        <v>286800</v>
      </c>
      <c r="AY74" s="72" t="n">
        <f aca="false">AY71+AY73</f>
        <v>291816.666666667</v>
      </c>
      <c r="AZ74" s="72" t="n">
        <f aca="false">AZ71+AZ73</f>
        <v>287833.333333333</v>
      </c>
      <c r="BA74" s="72" t="n">
        <f aca="false">BA71+BA73</f>
        <v>283850</v>
      </c>
      <c r="BB74" s="72" t="n">
        <f aca="false">BB71+BB73</f>
        <v>279866.666666667</v>
      </c>
      <c r="BC74" s="72" t="n">
        <f aca="false">BC71+BC73</f>
        <v>275883.333333333</v>
      </c>
      <c r="BD74" s="72" t="n">
        <f aca="false">BD71+BD73</f>
        <v>271900</v>
      </c>
      <c r="BE74" s="72" t="n">
        <f aca="false">BE71+BE73</f>
        <v>267916.666666667</v>
      </c>
      <c r="BF74" s="72" t="n">
        <f aca="false">BF71+BF73</f>
        <v>263933.333333333</v>
      </c>
      <c r="BG74" s="72" t="n">
        <f aca="false">BG71+BG73</f>
        <v>259950</v>
      </c>
      <c r="BH74" s="72" t="n">
        <f aca="false">BH71+BH73</f>
        <v>255966.666666667</v>
      </c>
      <c r="BI74" s="72" t="n">
        <f aca="false">BI71+BI73</f>
        <v>251983.333333333</v>
      </c>
      <c r="BJ74" s="72" t="n">
        <f aca="false">BJ71+BJ73</f>
        <v>248000</v>
      </c>
    </row>
    <row r="76" customFormat="false" ht="15.75" hidden="false" customHeight="true" outlineLevel="0" collapsed="false">
      <c r="A76" s="7" t="s">
        <v>446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447</v>
      </c>
      <c r="C77" s="66" t="n">
        <f aca="false">0</f>
        <v>0</v>
      </c>
      <c r="D77" s="66" t="n">
        <f aca="false">C80</f>
        <v>250000</v>
      </c>
      <c r="E77" s="66" t="n">
        <f aca="false">D80</f>
        <v>247916.666666667</v>
      </c>
      <c r="F77" s="66" t="n">
        <f aca="false">E80</f>
        <v>245833.333333333</v>
      </c>
      <c r="G77" s="66" t="n">
        <f aca="false">F80</f>
        <v>243750</v>
      </c>
      <c r="H77" s="66" t="n">
        <f aca="false">G80</f>
        <v>241666.666666667</v>
      </c>
      <c r="I77" s="66" t="n">
        <f aca="false">H80</f>
        <v>239583.333333333</v>
      </c>
      <c r="J77" s="66" t="n">
        <f aca="false">I80</f>
        <v>237500</v>
      </c>
      <c r="K77" s="66" t="n">
        <f aca="false">J80</f>
        <v>235416.666666667</v>
      </c>
      <c r="L77" s="66" t="n">
        <f aca="false">K80</f>
        <v>233333.333333333</v>
      </c>
      <c r="M77" s="66" t="n">
        <f aca="false">L80</f>
        <v>231250</v>
      </c>
      <c r="N77" s="66" t="n">
        <f aca="false">M80</f>
        <v>229166.666666667</v>
      </c>
      <c r="O77" s="66" t="n">
        <f aca="false">N80</f>
        <v>227083.333333333</v>
      </c>
      <c r="P77" s="66" t="n">
        <f aca="false">O80</f>
        <v>225000</v>
      </c>
      <c r="Q77" s="66" t="n">
        <f aca="false">P80</f>
        <v>222916.666666667</v>
      </c>
      <c r="R77" s="66" t="n">
        <f aca="false">Q80</f>
        <v>220833.333333333</v>
      </c>
      <c r="S77" s="66" t="n">
        <f aca="false">R80</f>
        <v>218750</v>
      </c>
      <c r="T77" s="66" t="n">
        <f aca="false">S80</f>
        <v>216666.666666667</v>
      </c>
      <c r="U77" s="66" t="n">
        <f aca="false">T80</f>
        <v>214583.333333333</v>
      </c>
      <c r="V77" s="66" t="n">
        <f aca="false">U80</f>
        <v>212500</v>
      </c>
      <c r="W77" s="66" t="n">
        <f aca="false">V80</f>
        <v>210416.666666666</v>
      </c>
      <c r="X77" s="66" t="n">
        <f aca="false">W80</f>
        <v>208333.333333333</v>
      </c>
      <c r="Y77" s="66" t="n">
        <f aca="false">X80</f>
        <v>206250</v>
      </c>
      <c r="Z77" s="66" t="n">
        <f aca="false">Y80</f>
        <v>204166.666666666</v>
      </c>
      <c r="AA77" s="66" t="n">
        <f aca="false">Z80</f>
        <v>202083.333333333</v>
      </c>
      <c r="AB77" s="66" t="n">
        <f aca="false">AA80</f>
        <v>200000</v>
      </c>
      <c r="AC77" s="66" t="n">
        <f aca="false">AB80</f>
        <v>197916.666666666</v>
      </c>
      <c r="AD77" s="66" t="n">
        <f aca="false">AC80</f>
        <v>195833.333333333</v>
      </c>
      <c r="AE77" s="66" t="n">
        <f aca="false">AD80</f>
        <v>193750</v>
      </c>
      <c r="AF77" s="66" t="n">
        <f aca="false">AE80</f>
        <v>191666.666666666</v>
      </c>
      <c r="AG77" s="66" t="n">
        <f aca="false">AF80</f>
        <v>189583.333333333</v>
      </c>
      <c r="AH77" s="66" t="n">
        <f aca="false">AG80</f>
        <v>187500</v>
      </c>
      <c r="AI77" s="66" t="n">
        <f aca="false">AH80</f>
        <v>185416.666666666</v>
      </c>
      <c r="AJ77" s="66" t="n">
        <f aca="false">AI80</f>
        <v>183333.333333333</v>
      </c>
      <c r="AK77" s="66" t="n">
        <f aca="false">AJ80</f>
        <v>181250</v>
      </c>
      <c r="AL77" s="66" t="n">
        <f aca="false">AK80</f>
        <v>179166.666666666</v>
      </c>
      <c r="AM77" s="66" t="n">
        <f aca="false">AL80</f>
        <v>177083.333333333</v>
      </c>
      <c r="AN77" s="66" t="n">
        <f aca="false">AM80</f>
        <v>175000</v>
      </c>
      <c r="AO77" s="66" t="n">
        <f aca="false">AN80</f>
        <v>172916.666666666</v>
      </c>
      <c r="AP77" s="66" t="n">
        <f aca="false">AO80</f>
        <v>170833.333333333</v>
      </c>
      <c r="AQ77" s="66" t="n">
        <f aca="false">AP80</f>
        <v>168750</v>
      </c>
      <c r="AR77" s="66" t="n">
        <f aca="false">AQ80</f>
        <v>166666.666666666</v>
      </c>
      <c r="AS77" s="66" t="n">
        <f aca="false">AR80</f>
        <v>164583.333333333</v>
      </c>
      <c r="AT77" s="66" t="n">
        <f aca="false">AS80</f>
        <v>162500</v>
      </c>
      <c r="AU77" s="66" t="n">
        <f aca="false">AT80</f>
        <v>160416.666666666</v>
      </c>
      <c r="AV77" s="66" t="n">
        <f aca="false">AU80</f>
        <v>158333.333333333</v>
      </c>
      <c r="AW77" s="66" t="n">
        <f aca="false">AV80</f>
        <v>156250</v>
      </c>
      <c r="AX77" s="66" t="n">
        <f aca="false">AW80</f>
        <v>154166.666666666</v>
      </c>
      <c r="AY77" s="66" t="n">
        <f aca="false">AX80</f>
        <v>152083.333333333</v>
      </c>
      <c r="AZ77" s="66" t="n">
        <f aca="false">AY80</f>
        <v>150000</v>
      </c>
      <c r="BA77" s="66" t="n">
        <f aca="false">AZ80</f>
        <v>147916.666666666</v>
      </c>
      <c r="BB77" s="66" t="n">
        <f aca="false">BA80</f>
        <v>145833.333333333</v>
      </c>
      <c r="BC77" s="66" t="n">
        <f aca="false">BB80</f>
        <v>143750</v>
      </c>
      <c r="BD77" s="66" t="n">
        <f aca="false">BC80</f>
        <v>141666.666666666</v>
      </c>
      <c r="BE77" s="66" t="n">
        <f aca="false">BD80</f>
        <v>139583.333333333</v>
      </c>
      <c r="BF77" s="66" t="n">
        <f aca="false">BE80</f>
        <v>137499.999999999</v>
      </c>
      <c r="BG77" s="66" t="n">
        <f aca="false">BF80</f>
        <v>135416.666666666</v>
      </c>
      <c r="BH77" s="66" t="n">
        <f aca="false">BG80</f>
        <v>133333.333333333</v>
      </c>
      <c r="BI77" s="66" t="n">
        <f aca="false">BH80</f>
        <v>131249.999999999</v>
      </c>
      <c r="BJ77" s="66" t="n">
        <f aca="false">BI80</f>
        <v>129166.666666666</v>
      </c>
    </row>
    <row r="78" customFormat="false" ht="15" hidden="false" customHeight="false" outlineLevel="0" collapsed="false">
      <c r="A78" s="6" t="s">
        <v>84</v>
      </c>
      <c r="C78" s="66" t="n">
        <f aca="false">IF(C$6=1,Inputs!$B$74,0)</f>
        <v>250000</v>
      </c>
      <c r="D78" s="66" t="n">
        <f aca="false">IF(D$6=1,Inputs!$B$74,0)</f>
        <v>0</v>
      </c>
      <c r="E78" s="66" t="n">
        <f aca="false">IF(E$6=1,Inputs!$B$74,0)</f>
        <v>0</v>
      </c>
      <c r="F78" s="66" t="n">
        <f aca="false">IF(F$6=1,Inputs!$B$74,0)</f>
        <v>0</v>
      </c>
      <c r="G78" s="66" t="n">
        <f aca="false">IF(G$6=1,Inputs!$B$74,0)</f>
        <v>0</v>
      </c>
      <c r="H78" s="66" t="n">
        <f aca="false">IF(H$6=1,Inputs!$B$74,0)</f>
        <v>0</v>
      </c>
      <c r="I78" s="66" t="n">
        <f aca="false">IF(I$6=1,Inputs!$B$74,0)</f>
        <v>0</v>
      </c>
      <c r="J78" s="66" t="n">
        <f aca="false">IF(J$6=1,Inputs!$B$74,0)</f>
        <v>0</v>
      </c>
      <c r="K78" s="66" t="n">
        <f aca="false">IF(K$6=1,Inputs!$B$74,0)</f>
        <v>0</v>
      </c>
      <c r="L78" s="66" t="n">
        <f aca="false">IF(L$6=1,Inputs!$B$74,0)</f>
        <v>0</v>
      </c>
      <c r="M78" s="66" t="n">
        <f aca="false">IF(M$6=1,Inputs!$B$74,0)</f>
        <v>0</v>
      </c>
      <c r="N78" s="66" t="n">
        <f aca="false">IF(N$6=1,Inputs!$B$74,0)</f>
        <v>0</v>
      </c>
      <c r="O78" s="66" t="n">
        <f aca="false">IF(O$6=1,Inputs!$B$74,0)</f>
        <v>0</v>
      </c>
      <c r="P78" s="66" t="n">
        <f aca="false">IF(P$6=1,Inputs!$B$74,0)</f>
        <v>0</v>
      </c>
      <c r="Q78" s="66" t="n">
        <f aca="false">IF(Q$6=1,Inputs!$B$74,0)</f>
        <v>0</v>
      </c>
      <c r="R78" s="66" t="n">
        <f aca="false">IF(R$6=1,Inputs!$B$74,0)</f>
        <v>0</v>
      </c>
      <c r="S78" s="66" t="n">
        <f aca="false">IF(S$6=1,Inputs!$B$74,0)</f>
        <v>0</v>
      </c>
      <c r="T78" s="66" t="n">
        <f aca="false">IF(T$6=1,Inputs!$B$74,0)</f>
        <v>0</v>
      </c>
      <c r="U78" s="66" t="n">
        <f aca="false">IF(U$6=1,Inputs!$B$74,0)</f>
        <v>0</v>
      </c>
      <c r="V78" s="66" t="n">
        <f aca="false">IF(V$6=1,Inputs!$B$74,0)</f>
        <v>0</v>
      </c>
      <c r="W78" s="66" t="n">
        <f aca="false">IF(W$6=1,Inputs!$B$74,0)</f>
        <v>0</v>
      </c>
      <c r="X78" s="66" t="n">
        <f aca="false">IF(X$6=1,Inputs!$B$74,0)</f>
        <v>0</v>
      </c>
      <c r="Y78" s="66" t="n">
        <f aca="false">IF(Y$6=1,Inputs!$B$74,0)</f>
        <v>0</v>
      </c>
      <c r="Z78" s="66" t="n">
        <f aca="false">IF(Z$6=1,Inputs!$B$74,0)</f>
        <v>0</v>
      </c>
      <c r="AA78" s="66" t="n">
        <f aca="false">IF(AA$6=1,Inputs!$B$74,0)</f>
        <v>0</v>
      </c>
      <c r="AB78" s="66" t="n">
        <f aca="false">IF(AB$6=1,Inputs!$B$74,0)</f>
        <v>0</v>
      </c>
      <c r="AC78" s="66" t="n">
        <f aca="false">IF(AC$6=1,Inputs!$B$74,0)</f>
        <v>0</v>
      </c>
      <c r="AD78" s="66" t="n">
        <f aca="false">IF(AD$6=1,Inputs!$B$74,0)</f>
        <v>0</v>
      </c>
      <c r="AE78" s="66" t="n">
        <f aca="false">IF(AE$6=1,Inputs!$B$74,0)</f>
        <v>0</v>
      </c>
      <c r="AF78" s="66" t="n">
        <f aca="false">IF(AF$6=1,Inputs!$B$74,0)</f>
        <v>0</v>
      </c>
      <c r="AG78" s="66" t="n">
        <f aca="false">IF(AG$6=1,Inputs!$B$74,0)</f>
        <v>0</v>
      </c>
      <c r="AH78" s="66" t="n">
        <f aca="false">IF(AH$6=1,Inputs!$B$74,0)</f>
        <v>0</v>
      </c>
      <c r="AI78" s="66" t="n">
        <f aca="false">IF(AI$6=1,Inputs!$B$74,0)</f>
        <v>0</v>
      </c>
      <c r="AJ78" s="66" t="n">
        <f aca="false">IF(AJ$6=1,Inputs!$B$74,0)</f>
        <v>0</v>
      </c>
      <c r="AK78" s="66" t="n">
        <f aca="false">IF(AK$6=1,Inputs!$B$74,0)</f>
        <v>0</v>
      </c>
      <c r="AL78" s="66" t="n">
        <f aca="false">IF(AL$6=1,Inputs!$B$74,0)</f>
        <v>0</v>
      </c>
      <c r="AM78" s="66" t="n">
        <f aca="false">IF(AM$6=1,Inputs!$B$74,0)</f>
        <v>0</v>
      </c>
      <c r="AN78" s="66" t="n">
        <f aca="false">IF(AN$6=1,Inputs!$B$74,0)</f>
        <v>0</v>
      </c>
      <c r="AO78" s="66" t="n">
        <f aca="false">IF(AO$6=1,Inputs!$B$74,0)</f>
        <v>0</v>
      </c>
      <c r="AP78" s="66" t="n">
        <f aca="false">IF(AP$6=1,Inputs!$B$74,0)</f>
        <v>0</v>
      </c>
      <c r="AQ78" s="66" t="n">
        <f aca="false">IF(AQ$6=1,Inputs!$B$74,0)</f>
        <v>0</v>
      </c>
      <c r="AR78" s="66" t="n">
        <f aca="false">IF(AR$6=1,Inputs!$B$74,0)</f>
        <v>0</v>
      </c>
      <c r="AS78" s="66" t="n">
        <f aca="false">IF(AS$6=1,Inputs!$B$74,0)</f>
        <v>0</v>
      </c>
      <c r="AT78" s="66" t="n">
        <f aca="false">IF(AT$6=1,Inputs!$B$74,0)</f>
        <v>0</v>
      </c>
      <c r="AU78" s="66" t="n">
        <f aca="false">IF(AU$6=1,Inputs!$B$74,0)</f>
        <v>0</v>
      </c>
      <c r="AV78" s="66" t="n">
        <f aca="false">IF(AV$6=1,Inputs!$B$74,0)</f>
        <v>0</v>
      </c>
      <c r="AW78" s="66" t="n">
        <f aca="false">IF(AW$6=1,Inputs!$B$74,0)</f>
        <v>0</v>
      </c>
      <c r="AX78" s="66" t="n">
        <f aca="false">IF(AX$6=1,Inputs!$B$74,0)</f>
        <v>0</v>
      </c>
      <c r="AY78" s="66" t="n">
        <f aca="false">IF(AY$6=1,Inputs!$B$74,0)</f>
        <v>0</v>
      </c>
      <c r="AZ78" s="66" t="n">
        <f aca="false">IF(AZ$6=1,Inputs!$B$74,0)</f>
        <v>0</v>
      </c>
      <c r="BA78" s="66" t="n">
        <f aca="false">IF(BA$6=1,Inputs!$B$74,0)</f>
        <v>0</v>
      </c>
      <c r="BB78" s="66" t="n">
        <f aca="false">IF(BB$6=1,Inputs!$B$74,0)</f>
        <v>0</v>
      </c>
      <c r="BC78" s="66" t="n">
        <f aca="false">IF(BC$6=1,Inputs!$B$74,0)</f>
        <v>0</v>
      </c>
      <c r="BD78" s="66" t="n">
        <f aca="false">IF(BD$6=1,Inputs!$B$74,0)</f>
        <v>0</v>
      </c>
      <c r="BE78" s="66" t="n">
        <f aca="false">IF(BE$6=1,Inputs!$B$74,0)</f>
        <v>0</v>
      </c>
      <c r="BF78" s="66" t="n">
        <f aca="false">IF(BF$6=1,Inputs!$B$74,0)</f>
        <v>0</v>
      </c>
      <c r="BG78" s="66" t="n">
        <f aca="false">IF(BG$6=1,Inputs!$B$74,0)</f>
        <v>0</v>
      </c>
      <c r="BH78" s="66" t="n">
        <f aca="false">IF(BH$6=1,Inputs!$B$74,0)</f>
        <v>0</v>
      </c>
      <c r="BI78" s="66" t="n">
        <f aca="false">IF(BI$6=1,Inputs!$B$74,0)</f>
        <v>0</v>
      </c>
      <c r="BJ78" s="66" t="n">
        <f aca="false">IF(BJ$6=1,Inputs!$B$74,0)</f>
        <v>0</v>
      </c>
    </row>
    <row r="79" customFormat="false" ht="15" hidden="false" customHeight="false" outlineLevel="0" collapsed="false">
      <c r="A79" s="6" t="s">
        <v>85</v>
      </c>
      <c r="C79" s="66" t="n">
        <f aca="false">-MIN(C77,Inputs!$B$74/MAX(1,Inputs!$B$76*12))</f>
        <v>-0</v>
      </c>
      <c r="D79" s="66" t="n">
        <f aca="false">-MIN(D77,Inputs!$B$74/MAX(1,Inputs!$B$76*12))</f>
        <v>-2083.33333333333</v>
      </c>
      <c r="E79" s="66" t="n">
        <f aca="false">-MIN(E77,Inputs!$B$74/MAX(1,Inputs!$B$76*12))</f>
        <v>-2083.33333333333</v>
      </c>
      <c r="F79" s="66" t="n">
        <f aca="false">-MIN(F77,Inputs!$B$74/MAX(1,Inputs!$B$76*12))</f>
        <v>-2083.33333333333</v>
      </c>
      <c r="G79" s="66" t="n">
        <f aca="false">-MIN(G77,Inputs!$B$74/MAX(1,Inputs!$B$76*12))</f>
        <v>-2083.33333333333</v>
      </c>
      <c r="H79" s="66" t="n">
        <f aca="false">-MIN(H77,Inputs!$B$74/MAX(1,Inputs!$B$76*12))</f>
        <v>-2083.33333333333</v>
      </c>
      <c r="I79" s="66" t="n">
        <f aca="false">-MIN(I77,Inputs!$B$74/MAX(1,Inputs!$B$76*12))</f>
        <v>-2083.33333333333</v>
      </c>
      <c r="J79" s="66" t="n">
        <f aca="false">-MIN(J77,Inputs!$B$74/MAX(1,Inputs!$B$76*12))</f>
        <v>-2083.33333333333</v>
      </c>
      <c r="K79" s="66" t="n">
        <f aca="false">-MIN(K77,Inputs!$B$74/MAX(1,Inputs!$B$76*12))</f>
        <v>-2083.33333333333</v>
      </c>
      <c r="L79" s="66" t="n">
        <f aca="false">-MIN(L77,Inputs!$B$74/MAX(1,Inputs!$B$76*12))</f>
        <v>-2083.33333333333</v>
      </c>
      <c r="M79" s="66" t="n">
        <f aca="false">-MIN(M77,Inputs!$B$74/MAX(1,Inputs!$B$76*12))</f>
        <v>-2083.33333333333</v>
      </c>
      <c r="N79" s="66" t="n">
        <f aca="false">-MIN(N77,Inputs!$B$74/MAX(1,Inputs!$B$76*12))</f>
        <v>-2083.33333333333</v>
      </c>
      <c r="O79" s="66" t="n">
        <f aca="false">-MIN(O77,Inputs!$B$74/MAX(1,Inputs!$B$76*12))</f>
        <v>-2083.33333333333</v>
      </c>
      <c r="P79" s="66" t="n">
        <f aca="false">-MIN(P77,Inputs!$B$74/MAX(1,Inputs!$B$76*12))</f>
        <v>-2083.33333333333</v>
      </c>
      <c r="Q79" s="66" t="n">
        <f aca="false">-MIN(Q77,Inputs!$B$74/MAX(1,Inputs!$B$76*12))</f>
        <v>-2083.33333333333</v>
      </c>
      <c r="R79" s="66" t="n">
        <f aca="false">-MIN(R77,Inputs!$B$74/MAX(1,Inputs!$B$76*12))</f>
        <v>-2083.33333333333</v>
      </c>
      <c r="S79" s="66" t="n">
        <f aca="false">-MIN(S77,Inputs!$B$74/MAX(1,Inputs!$B$76*12))</f>
        <v>-2083.33333333333</v>
      </c>
      <c r="T79" s="66" t="n">
        <f aca="false">-MIN(T77,Inputs!$B$74/MAX(1,Inputs!$B$76*12))</f>
        <v>-2083.33333333333</v>
      </c>
      <c r="U79" s="66" t="n">
        <f aca="false">-MIN(U77,Inputs!$B$74/MAX(1,Inputs!$B$76*12))</f>
        <v>-2083.33333333333</v>
      </c>
      <c r="V79" s="66" t="n">
        <f aca="false">-MIN(V77,Inputs!$B$74/MAX(1,Inputs!$B$76*12))</f>
        <v>-2083.33333333333</v>
      </c>
      <c r="W79" s="66" t="n">
        <f aca="false">-MIN(W77,Inputs!$B$74/MAX(1,Inputs!$B$76*12))</f>
        <v>-2083.33333333333</v>
      </c>
      <c r="X79" s="66" t="n">
        <f aca="false">-MIN(X77,Inputs!$B$74/MAX(1,Inputs!$B$76*12))</f>
        <v>-2083.33333333333</v>
      </c>
      <c r="Y79" s="66" t="n">
        <f aca="false">-MIN(Y77,Inputs!$B$74/MAX(1,Inputs!$B$76*12))</f>
        <v>-2083.33333333333</v>
      </c>
      <c r="Z79" s="66" t="n">
        <f aca="false">-MIN(Z77,Inputs!$B$74/MAX(1,Inputs!$B$76*12))</f>
        <v>-2083.33333333333</v>
      </c>
      <c r="AA79" s="66" t="n">
        <f aca="false">-MIN(AA77,Inputs!$B$74/MAX(1,Inputs!$B$76*12))</f>
        <v>-2083.33333333333</v>
      </c>
      <c r="AB79" s="66" t="n">
        <f aca="false">-MIN(AB77,Inputs!$B$74/MAX(1,Inputs!$B$76*12))</f>
        <v>-2083.33333333333</v>
      </c>
      <c r="AC79" s="66" t="n">
        <f aca="false">-MIN(AC77,Inputs!$B$74/MAX(1,Inputs!$B$76*12))</f>
        <v>-2083.33333333333</v>
      </c>
      <c r="AD79" s="66" t="n">
        <f aca="false">-MIN(AD77,Inputs!$B$74/MAX(1,Inputs!$B$76*12))</f>
        <v>-2083.33333333333</v>
      </c>
      <c r="AE79" s="66" t="n">
        <f aca="false">-MIN(AE77,Inputs!$B$74/MAX(1,Inputs!$B$76*12))</f>
        <v>-2083.33333333333</v>
      </c>
      <c r="AF79" s="66" t="n">
        <f aca="false">-MIN(AF77,Inputs!$B$74/MAX(1,Inputs!$B$76*12))</f>
        <v>-2083.33333333333</v>
      </c>
      <c r="AG79" s="66" t="n">
        <f aca="false">-MIN(AG77,Inputs!$B$74/MAX(1,Inputs!$B$76*12))</f>
        <v>-2083.33333333333</v>
      </c>
      <c r="AH79" s="66" t="n">
        <f aca="false">-MIN(AH77,Inputs!$B$74/MAX(1,Inputs!$B$76*12))</f>
        <v>-2083.33333333333</v>
      </c>
      <c r="AI79" s="66" t="n">
        <f aca="false">-MIN(AI77,Inputs!$B$74/MAX(1,Inputs!$B$76*12))</f>
        <v>-2083.33333333333</v>
      </c>
      <c r="AJ79" s="66" t="n">
        <f aca="false">-MIN(AJ77,Inputs!$B$74/MAX(1,Inputs!$B$76*12))</f>
        <v>-2083.33333333333</v>
      </c>
      <c r="AK79" s="66" t="n">
        <f aca="false">-MIN(AK77,Inputs!$B$74/MAX(1,Inputs!$B$76*12))</f>
        <v>-2083.33333333333</v>
      </c>
      <c r="AL79" s="66" t="n">
        <f aca="false">-MIN(AL77,Inputs!$B$74/MAX(1,Inputs!$B$76*12))</f>
        <v>-2083.33333333333</v>
      </c>
      <c r="AM79" s="66" t="n">
        <f aca="false">-MIN(AM77,Inputs!$B$74/MAX(1,Inputs!$B$76*12))</f>
        <v>-2083.33333333333</v>
      </c>
      <c r="AN79" s="66" t="n">
        <f aca="false">-MIN(AN77,Inputs!$B$74/MAX(1,Inputs!$B$76*12))</f>
        <v>-2083.33333333333</v>
      </c>
      <c r="AO79" s="66" t="n">
        <f aca="false">-MIN(AO77,Inputs!$B$74/MAX(1,Inputs!$B$76*12))</f>
        <v>-2083.33333333333</v>
      </c>
      <c r="AP79" s="66" t="n">
        <f aca="false">-MIN(AP77,Inputs!$B$74/MAX(1,Inputs!$B$76*12))</f>
        <v>-2083.33333333333</v>
      </c>
      <c r="AQ79" s="66" t="n">
        <f aca="false">-MIN(AQ77,Inputs!$B$74/MAX(1,Inputs!$B$76*12))</f>
        <v>-2083.33333333333</v>
      </c>
      <c r="AR79" s="66" t="n">
        <f aca="false">-MIN(AR77,Inputs!$B$74/MAX(1,Inputs!$B$76*12))</f>
        <v>-2083.33333333333</v>
      </c>
      <c r="AS79" s="66" t="n">
        <f aca="false">-MIN(AS77,Inputs!$B$74/MAX(1,Inputs!$B$76*12))</f>
        <v>-2083.33333333333</v>
      </c>
      <c r="AT79" s="66" t="n">
        <f aca="false">-MIN(AT77,Inputs!$B$74/MAX(1,Inputs!$B$76*12))</f>
        <v>-2083.33333333333</v>
      </c>
      <c r="AU79" s="66" t="n">
        <f aca="false">-MIN(AU77,Inputs!$B$74/MAX(1,Inputs!$B$76*12))</f>
        <v>-2083.33333333333</v>
      </c>
      <c r="AV79" s="66" t="n">
        <f aca="false">-MIN(AV77,Inputs!$B$74/MAX(1,Inputs!$B$76*12))</f>
        <v>-2083.33333333333</v>
      </c>
      <c r="AW79" s="66" t="n">
        <f aca="false">-MIN(AW77,Inputs!$B$74/MAX(1,Inputs!$B$76*12))</f>
        <v>-2083.33333333333</v>
      </c>
      <c r="AX79" s="66" t="n">
        <f aca="false">-MIN(AX77,Inputs!$B$74/MAX(1,Inputs!$B$76*12))</f>
        <v>-2083.33333333333</v>
      </c>
      <c r="AY79" s="66" t="n">
        <f aca="false">-MIN(AY77,Inputs!$B$74/MAX(1,Inputs!$B$76*12))</f>
        <v>-2083.33333333333</v>
      </c>
      <c r="AZ79" s="66" t="n">
        <f aca="false">-MIN(AZ77,Inputs!$B$74/MAX(1,Inputs!$B$76*12))</f>
        <v>-2083.33333333333</v>
      </c>
      <c r="BA79" s="66" t="n">
        <f aca="false">-MIN(BA77,Inputs!$B$74/MAX(1,Inputs!$B$76*12))</f>
        <v>-2083.33333333333</v>
      </c>
      <c r="BB79" s="66" t="n">
        <f aca="false">-MIN(BB77,Inputs!$B$74/MAX(1,Inputs!$B$76*12))</f>
        <v>-2083.33333333333</v>
      </c>
      <c r="BC79" s="66" t="n">
        <f aca="false">-MIN(BC77,Inputs!$B$74/MAX(1,Inputs!$B$76*12))</f>
        <v>-2083.33333333333</v>
      </c>
      <c r="BD79" s="66" t="n">
        <f aca="false">-MIN(BD77,Inputs!$B$74/MAX(1,Inputs!$B$76*12))</f>
        <v>-2083.33333333333</v>
      </c>
      <c r="BE79" s="66" t="n">
        <f aca="false">-MIN(BE77,Inputs!$B$74/MAX(1,Inputs!$B$76*12))</f>
        <v>-2083.33333333333</v>
      </c>
      <c r="BF79" s="66" t="n">
        <f aca="false">-MIN(BF77,Inputs!$B$74/MAX(1,Inputs!$B$76*12))</f>
        <v>-2083.33333333333</v>
      </c>
      <c r="BG79" s="66" t="n">
        <f aca="false">-MIN(BG77,Inputs!$B$74/MAX(1,Inputs!$B$76*12))</f>
        <v>-2083.33333333333</v>
      </c>
      <c r="BH79" s="66" t="n">
        <f aca="false">-MIN(BH77,Inputs!$B$74/MAX(1,Inputs!$B$76*12))</f>
        <v>-2083.33333333333</v>
      </c>
      <c r="BI79" s="66" t="n">
        <f aca="false">-MIN(BI77,Inputs!$B$74/MAX(1,Inputs!$B$76*12))</f>
        <v>-2083.33333333333</v>
      </c>
      <c r="BJ79" s="66" t="n">
        <f aca="false">-MIN(BJ77,Inputs!$B$74/MAX(1,Inputs!$B$76*12))</f>
        <v>-2083.33333333333</v>
      </c>
    </row>
    <row r="80" customFormat="false" ht="15" hidden="false" customHeight="false" outlineLevel="0" collapsed="false">
      <c r="A80" s="4" t="s">
        <v>448</v>
      </c>
      <c r="C80" s="72" t="n">
        <f aca="false">C77+C78+C79</f>
        <v>250000</v>
      </c>
      <c r="D80" s="72" t="n">
        <f aca="false">D77+D78+D79</f>
        <v>247916.666666667</v>
      </c>
      <c r="E80" s="72" t="n">
        <f aca="false">E77+E78+E79</f>
        <v>245833.333333333</v>
      </c>
      <c r="F80" s="72" t="n">
        <f aca="false">F77+F78+F79</f>
        <v>243750</v>
      </c>
      <c r="G80" s="72" t="n">
        <f aca="false">G77+G78+G79</f>
        <v>241666.666666667</v>
      </c>
      <c r="H80" s="72" t="n">
        <f aca="false">H77+H78+H79</f>
        <v>239583.333333333</v>
      </c>
      <c r="I80" s="72" t="n">
        <f aca="false">I77+I78+I79</f>
        <v>237500</v>
      </c>
      <c r="J80" s="72" t="n">
        <f aca="false">J77+J78+J79</f>
        <v>235416.666666667</v>
      </c>
      <c r="K80" s="72" t="n">
        <f aca="false">K77+K78+K79</f>
        <v>233333.333333333</v>
      </c>
      <c r="L80" s="72" t="n">
        <f aca="false">L77+L78+L79</f>
        <v>231250</v>
      </c>
      <c r="M80" s="72" t="n">
        <f aca="false">M77+M78+M79</f>
        <v>229166.666666667</v>
      </c>
      <c r="N80" s="72" t="n">
        <f aca="false">N77+N78+N79</f>
        <v>227083.333333333</v>
      </c>
      <c r="O80" s="72" t="n">
        <f aca="false">O77+O78+O79</f>
        <v>225000</v>
      </c>
      <c r="P80" s="72" t="n">
        <f aca="false">P77+P78+P79</f>
        <v>222916.666666667</v>
      </c>
      <c r="Q80" s="72" t="n">
        <f aca="false">Q77+Q78+Q79</f>
        <v>220833.333333333</v>
      </c>
      <c r="R80" s="72" t="n">
        <f aca="false">R77+R78+R79</f>
        <v>218750</v>
      </c>
      <c r="S80" s="72" t="n">
        <f aca="false">S77+S78+S79</f>
        <v>216666.666666667</v>
      </c>
      <c r="T80" s="72" t="n">
        <f aca="false">T77+T78+T79</f>
        <v>214583.333333333</v>
      </c>
      <c r="U80" s="72" t="n">
        <f aca="false">U77+U78+U79</f>
        <v>212500</v>
      </c>
      <c r="V80" s="72" t="n">
        <f aca="false">V77+V78+V79</f>
        <v>210416.666666666</v>
      </c>
      <c r="W80" s="72" t="n">
        <f aca="false">W77+W78+W79</f>
        <v>208333.333333333</v>
      </c>
      <c r="X80" s="72" t="n">
        <f aca="false">X77+X78+X79</f>
        <v>206250</v>
      </c>
      <c r="Y80" s="72" t="n">
        <f aca="false">Y77+Y78+Y79</f>
        <v>204166.666666666</v>
      </c>
      <c r="Z80" s="72" t="n">
        <f aca="false">Z77+Z78+Z79</f>
        <v>202083.333333333</v>
      </c>
      <c r="AA80" s="72" t="n">
        <f aca="false">AA77+AA78+AA79</f>
        <v>200000</v>
      </c>
      <c r="AB80" s="72" t="n">
        <f aca="false">AB77+AB78+AB79</f>
        <v>197916.666666666</v>
      </c>
      <c r="AC80" s="72" t="n">
        <f aca="false">AC77+AC78+AC79</f>
        <v>195833.333333333</v>
      </c>
      <c r="AD80" s="72" t="n">
        <f aca="false">AD77+AD78+AD79</f>
        <v>193750</v>
      </c>
      <c r="AE80" s="72" t="n">
        <f aca="false">AE77+AE78+AE79</f>
        <v>191666.666666666</v>
      </c>
      <c r="AF80" s="72" t="n">
        <f aca="false">AF77+AF78+AF79</f>
        <v>189583.333333333</v>
      </c>
      <c r="AG80" s="72" t="n">
        <f aca="false">AG77+AG78+AG79</f>
        <v>187500</v>
      </c>
      <c r="AH80" s="72" t="n">
        <f aca="false">AH77+AH78+AH79</f>
        <v>185416.666666666</v>
      </c>
      <c r="AI80" s="72" t="n">
        <f aca="false">AI77+AI78+AI79</f>
        <v>183333.333333333</v>
      </c>
      <c r="AJ80" s="72" t="n">
        <f aca="false">AJ77+AJ78+AJ79</f>
        <v>181250</v>
      </c>
      <c r="AK80" s="72" t="n">
        <f aca="false">AK77+AK78+AK79</f>
        <v>179166.666666666</v>
      </c>
      <c r="AL80" s="72" t="n">
        <f aca="false">AL77+AL78+AL79</f>
        <v>177083.333333333</v>
      </c>
      <c r="AM80" s="72" t="n">
        <f aca="false">AM77+AM78+AM79</f>
        <v>175000</v>
      </c>
      <c r="AN80" s="72" t="n">
        <f aca="false">AN77+AN78+AN79</f>
        <v>172916.666666666</v>
      </c>
      <c r="AO80" s="72" t="n">
        <f aca="false">AO77+AO78+AO79</f>
        <v>170833.333333333</v>
      </c>
      <c r="AP80" s="72" t="n">
        <f aca="false">AP77+AP78+AP79</f>
        <v>168750</v>
      </c>
      <c r="AQ80" s="72" t="n">
        <f aca="false">AQ77+AQ78+AQ79</f>
        <v>166666.666666666</v>
      </c>
      <c r="AR80" s="72" t="n">
        <f aca="false">AR77+AR78+AR79</f>
        <v>164583.333333333</v>
      </c>
      <c r="AS80" s="72" t="n">
        <f aca="false">AS77+AS78+AS79</f>
        <v>162500</v>
      </c>
      <c r="AT80" s="72" t="n">
        <f aca="false">AT77+AT78+AT79</f>
        <v>160416.666666666</v>
      </c>
      <c r="AU80" s="72" t="n">
        <f aca="false">AU77+AU78+AU79</f>
        <v>158333.333333333</v>
      </c>
      <c r="AV80" s="72" t="n">
        <f aca="false">AV77+AV78+AV79</f>
        <v>156250</v>
      </c>
      <c r="AW80" s="72" t="n">
        <f aca="false">AW77+AW78+AW79</f>
        <v>154166.666666666</v>
      </c>
      <c r="AX80" s="72" t="n">
        <f aca="false">AX77+AX78+AX79</f>
        <v>152083.333333333</v>
      </c>
      <c r="AY80" s="72" t="n">
        <f aca="false">AY77+AY78+AY79</f>
        <v>150000</v>
      </c>
      <c r="AZ80" s="72" t="n">
        <f aca="false">AZ77+AZ78+AZ79</f>
        <v>147916.666666666</v>
      </c>
      <c r="BA80" s="72" t="n">
        <f aca="false">BA77+BA78+BA79</f>
        <v>145833.333333333</v>
      </c>
      <c r="BB80" s="72" t="n">
        <f aca="false">BB77+BB78+BB79</f>
        <v>143750</v>
      </c>
      <c r="BC80" s="72" t="n">
        <f aca="false">BC77+BC78+BC79</f>
        <v>141666.666666666</v>
      </c>
      <c r="BD80" s="72" t="n">
        <f aca="false">BD77+BD78+BD79</f>
        <v>139583.333333333</v>
      </c>
      <c r="BE80" s="72" t="n">
        <f aca="false">BE77+BE78+BE79</f>
        <v>137499.999999999</v>
      </c>
      <c r="BF80" s="72" t="n">
        <f aca="false">BF77+BF78+BF79</f>
        <v>135416.666666666</v>
      </c>
      <c r="BG80" s="72" t="n">
        <f aca="false">BG77+BG78+BG79</f>
        <v>133333.333333333</v>
      </c>
      <c r="BH80" s="72" t="n">
        <f aca="false">BH77+BH78+BH79</f>
        <v>131249.999999999</v>
      </c>
      <c r="BI80" s="72" t="n">
        <f aca="false">BI77+BI78+BI79</f>
        <v>129166.666666666</v>
      </c>
      <c r="BJ80" s="72" t="n">
        <f aca="false">BJ77+BJ78+BJ79</f>
        <v>127083.333333333</v>
      </c>
    </row>
    <row r="82" customFormat="false" ht="15.75" hidden="false" customHeight="true" outlineLevel="0" collapsed="false">
      <c r="A82" s="7" t="s">
        <v>323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6" t="s">
        <v>89</v>
      </c>
      <c r="C83" s="66" t="n">
        <f aca="false">C34*Inputs!$B$79/30</f>
        <v>4576.7735</v>
      </c>
      <c r="D83" s="66" t="n">
        <f aca="false">D34*Inputs!$B$79/30</f>
        <v>5254.68731666667</v>
      </c>
      <c r="E83" s="66" t="n">
        <f aca="false">E34*Inputs!$B$79/30</f>
        <v>6231.60113333333</v>
      </c>
      <c r="F83" s="66" t="n">
        <f aca="false">F34*Inputs!$B$79/30</f>
        <v>7208.51495</v>
      </c>
      <c r="G83" s="66" t="n">
        <f aca="false">G34*Inputs!$B$79/30</f>
        <v>8185.42876666667</v>
      </c>
      <c r="H83" s="66" t="n">
        <f aca="false">H34*Inputs!$B$79/30</f>
        <v>9162.34258333334</v>
      </c>
      <c r="I83" s="66" t="n">
        <f aca="false">I34*Inputs!$B$79/30</f>
        <v>10139.2564</v>
      </c>
      <c r="J83" s="66" t="n">
        <f aca="false">J34*Inputs!$B$79/30</f>
        <v>11116.1702166667</v>
      </c>
      <c r="K83" s="66" t="n">
        <f aca="false">K34*Inputs!$B$79/30</f>
        <v>12093.0840333333</v>
      </c>
      <c r="L83" s="66" t="n">
        <f aca="false">L34*Inputs!$B$79/30</f>
        <v>13069.99785</v>
      </c>
      <c r="M83" s="66" t="n">
        <f aca="false">M34*Inputs!$B$79/30</f>
        <v>14046.9116666667</v>
      </c>
      <c r="N83" s="66" t="n">
        <f aca="false">N34*Inputs!$B$79/30</f>
        <v>15023.8254833333</v>
      </c>
      <c r="O83" s="66" t="n">
        <f aca="false">O34*Inputs!$B$79/30</f>
        <v>16400.7577825</v>
      </c>
      <c r="P83" s="66" t="n">
        <f aca="false">P34*Inputs!$B$79/30</f>
        <v>17402.0944445833</v>
      </c>
      <c r="Q83" s="66" t="n">
        <f aca="false">Q34*Inputs!$B$79/30</f>
        <v>18403.4311066667</v>
      </c>
      <c r="R83" s="66" t="n">
        <f aca="false">R34*Inputs!$B$79/30</f>
        <v>19404.76776875</v>
      </c>
      <c r="S83" s="66" t="n">
        <f aca="false">S34*Inputs!$B$79/30</f>
        <v>20406.1044308333</v>
      </c>
      <c r="T83" s="66" t="n">
        <f aca="false">T34*Inputs!$B$79/30</f>
        <v>21407.4410929167</v>
      </c>
      <c r="U83" s="66" t="n">
        <f aca="false">U34*Inputs!$B$79/30</f>
        <v>22408.777755</v>
      </c>
      <c r="V83" s="66" t="n">
        <f aca="false">V34*Inputs!$B$79/30</f>
        <v>22315.502755</v>
      </c>
      <c r="W83" s="66" t="n">
        <f aca="false">W34*Inputs!$B$79/30</f>
        <v>22315.502755</v>
      </c>
      <c r="X83" s="66" t="n">
        <f aca="false">X34*Inputs!$B$79/30</f>
        <v>22315.502755</v>
      </c>
      <c r="Y83" s="66" t="n">
        <f aca="false">Y34*Inputs!$B$79/30</f>
        <v>22315.502755</v>
      </c>
      <c r="Z83" s="66" t="n">
        <f aca="false">Z34*Inputs!$B$79/30</f>
        <v>22315.502755</v>
      </c>
      <c r="AA83" s="66" t="n">
        <f aca="false">AA34*Inputs!$B$79/30</f>
        <v>22873.390323875</v>
      </c>
      <c r="AB83" s="66" t="n">
        <f aca="false">AB34*Inputs!$B$79/30</f>
        <v>22873.390323875</v>
      </c>
      <c r="AC83" s="66" t="n">
        <f aca="false">AC34*Inputs!$B$79/30</f>
        <v>22873.390323875</v>
      </c>
      <c r="AD83" s="66" t="n">
        <f aca="false">AD34*Inputs!$B$79/30</f>
        <v>22873.390323875</v>
      </c>
      <c r="AE83" s="66" t="n">
        <f aca="false">AE34*Inputs!$B$79/30</f>
        <v>22873.390323875</v>
      </c>
      <c r="AF83" s="66" t="n">
        <f aca="false">AF34*Inputs!$B$79/30</f>
        <v>22873.390323875</v>
      </c>
      <c r="AG83" s="66" t="n">
        <f aca="false">AG34*Inputs!$B$79/30</f>
        <v>22873.390323875</v>
      </c>
      <c r="AH83" s="66" t="n">
        <f aca="false">AH34*Inputs!$B$79/30</f>
        <v>22873.390323875</v>
      </c>
      <c r="AI83" s="66" t="n">
        <f aca="false">AI34*Inputs!$B$79/30</f>
        <v>22873.390323875</v>
      </c>
      <c r="AJ83" s="66" t="n">
        <f aca="false">AJ34*Inputs!$B$79/30</f>
        <v>22873.390323875</v>
      </c>
      <c r="AK83" s="66" t="n">
        <f aca="false">AK34*Inputs!$B$79/30</f>
        <v>22873.390323875</v>
      </c>
      <c r="AL83" s="66" t="n">
        <f aca="false">AL34*Inputs!$B$79/30</f>
        <v>22873.390323875</v>
      </c>
      <c r="AM83" s="66" t="n">
        <f aca="false">AM34*Inputs!$B$79/30</f>
        <v>23445.2250819719</v>
      </c>
      <c r="AN83" s="66" t="n">
        <f aca="false">AN34*Inputs!$B$79/30</f>
        <v>23445.2250819719</v>
      </c>
      <c r="AO83" s="66" t="n">
        <f aca="false">AO34*Inputs!$B$79/30</f>
        <v>23445.2250819719</v>
      </c>
      <c r="AP83" s="66" t="n">
        <f aca="false">AP34*Inputs!$B$79/30</f>
        <v>23445.2250819719</v>
      </c>
      <c r="AQ83" s="66" t="n">
        <f aca="false">AQ34*Inputs!$B$79/30</f>
        <v>23445.2250819719</v>
      </c>
      <c r="AR83" s="66" t="n">
        <f aca="false">AR34*Inputs!$B$79/30</f>
        <v>23445.2250819719</v>
      </c>
      <c r="AS83" s="66" t="n">
        <f aca="false">AS34*Inputs!$B$79/30</f>
        <v>23445.2250819719</v>
      </c>
      <c r="AT83" s="66" t="n">
        <f aca="false">AT34*Inputs!$B$79/30</f>
        <v>23445.2250819719</v>
      </c>
      <c r="AU83" s="66" t="n">
        <f aca="false">AU34*Inputs!$B$79/30</f>
        <v>23445.2250819719</v>
      </c>
      <c r="AV83" s="66" t="n">
        <f aca="false">AV34*Inputs!$B$79/30</f>
        <v>23445.2250819719</v>
      </c>
      <c r="AW83" s="66" t="n">
        <f aca="false">AW34*Inputs!$B$79/30</f>
        <v>23445.2250819719</v>
      </c>
      <c r="AX83" s="66" t="n">
        <f aca="false">AX34*Inputs!$B$79/30</f>
        <v>23445.2250819719</v>
      </c>
      <c r="AY83" s="66" t="n">
        <f aca="false">AY34*Inputs!$B$79/30</f>
        <v>24031.3557090212</v>
      </c>
      <c r="AZ83" s="66" t="n">
        <f aca="false">AZ34*Inputs!$B$79/30</f>
        <v>24031.3557090212</v>
      </c>
      <c r="BA83" s="66" t="n">
        <f aca="false">BA34*Inputs!$B$79/30</f>
        <v>24031.3557090212</v>
      </c>
      <c r="BB83" s="66" t="n">
        <f aca="false">BB34*Inputs!$B$79/30</f>
        <v>24031.3557090212</v>
      </c>
      <c r="BC83" s="66" t="n">
        <f aca="false">BC34*Inputs!$B$79/30</f>
        <v>24031.3557090212</v>
      </c>
      <c r="BD83" s="66" t="n">
        <f aca="false">BD34*Inputs!$B$79/30</f>
        <v>24031.3557090212</v>
      </c>
      <c r="BE83" s="66" t="n">
        <f aca="false">BE34*Inputs!$B$79/30</f>
        <v>24031.3557090212</v>
      </c>
      <c r="BF83" s="66" t="n">
        <f aca="false">BF34*Inputs!$B$79/30</f>
        <v>24031.3557090212</v>
      </c>
      <c r="BG83" s="66" t="n">
        <f aca="false">BG34*Inputs!$B$79/30</f>
        <v>24031.3557090212</v>
      </c>
      <c r="BH83" s="66" t="n">
        <f aca="false">BH34*Inputs!$B$79/30</f>
        <v>24031.3557090212</v>
      </c>
      <c r="BI83" s="66" t="n">
        <f aca="false">BI34*Inputs!$B$79/30</f>
        <v>24031.3557090212</v>
      </c>
      <c r="BJ83" s="66" t="n">
        <f aca="false">BJ34*Inputs!$B$79/30</f>
        <v>24031.3557090212</v>
      </c>
    </row>
    <row r="84" customFormat="false" ht="15" hidden="false" customHeight="false" outlineLevel="0" collapsed="false">
      <c r="A84" s="6" t="s">
        <v>90</v>
      </c>
      <c r="C84" s="66" t="n">
        <f aca="false">-C40*Inputs!$B$80/30</f>
        <v>960.746666666667</v>
      </c>
      <c r="D84" s="66" t="n">
        <f aca="false">-D40*Inputs!$B$80/30</f>
        <v>986.198666666667</v>
      </c>
      <c r="E84" s="66" t="n">
        <f aca="false">-E40*Inputs!$B$80/30</f>
        <v>1011.65066666667</v>
      </c>
      <c r="F84" s="66" t="n">
        <f aca="false">-F40*Inputs!$B$80/30</f>
        <v>1037.10266666667</v>
      </c>
      <c r="G84" s="66" t="n">
        <f aca="false">-G40*Inputs!$B$80/30</f>
        <v>1488.388</v>
      </c>
      <c r="H84" s="66" t="n">
        <f aca="false">-H40*Inputs!$B$80/30</f>
        <v>1939.67333333333</v>
      </c>
      <c r="I84" s="66" t="n">
        <f aca="false">-I40*Inputs!$B$80/30</f>
        <v>1965.12533333333</v>
      </c>
      <c r="J84" s="66" t="n">
        <f aca="false">-J40*Inputs!$B$80/30</f>
        <v>1990.57733333333</v>
      </c>
      <c r="K84" s="66" t="n">
        <f aca="false">-K40*Inputs!$B$80/30</f>
        <v>2016.02933333333</v>
      </c>
      <c r="L84" s="66" t="n">
        <f aca="false">-L40*Inputs!$B$80/30</f>
        <v>2041.48133333333</v>
      </c>
      <c r="M84" s="66" t="n">
        <f aca="false">-M40*Inputs!$B$80/30</f>
        <v>2066.93333333333</v>
      </c>
      <c r="N84" s="66" t="n">
        <f aca="false">-N40*Inputs!$B$80/30</f>
        <v>2092.38533333333</v>
      </c>
      <c r="O84" s="66" t="n">
        <f aca="false">-O40*Inputs!$B$80/30</f>
        <v>2181.37245333333</v>
      </c>
      <c r="P84" s="66" t="n">
        <f aca="false">-P40*Inputs!$B$80/30</f>
        <v>2646.19634666667</v>
      </c>
      <c r="Q84" s="66" t="n">
        <f aca="false">-Q40*Inputs!$B$80/30</f>
        <v>3111.02024</v>
      </c>
      <c r="R84" s="66" t="n">
        <f aca="false">-R40*Inputs!$B$80/30</f>
        <v>3137.2358</v>
      </c>
      <c r="S84" s="66" t="n">
        <f aca="false">-S40*Inputs!$B$80/30</f>
        <v>3163.45136</v>
      </c>
      <c r="T84" s="66" t="n">
        <f aca="false">-T40*Inputs!$B$80/30</f>
        <v>3189.66692</v>
      </c>
      <c r="U84" s="66" t="n">
        <f aca="false">-U40*Inputs!$B$80/30</f>
        <v>3215.88248</v>
      </c>
      <c r="V84" s="66" t="n">
        <f aca="false">-V40*Inputs!$B$80/30</f>
        <v>3215.88248</v>
      </c>
      <c r="W84" s="66" t="n">
        <f aca="false">-W40*Inputs!$B$80/30</f>
        <v>3215.88248</v>
      </c>
      <c r="X84" s="66" t="n">
        <f aca="false">-X40*Inputs!$B$80/30</f>
        <v>3215.88248</v>
      </c>
      <c r="Y84" s="66" t="n">
        <f aca="false">-Y40*Inputs!$B$80/30</f>
        <v>3215.88248</v>
      </c>
      <c r="Z84" s="66" t="n">
        <f aca="false">-Z40*Inputs!$B$80/30</f>
        <v>3215.88248</v>
      </c>
      <c r="AA84" s="66" t="n">
        <f aca="false">-AA40*Inputs!$B$80/30</f>
        <v>3312.3589544</v>
      </c>
      <c r="AB84" s="66" t="n">
        <f aca="false">-AB40*Inputs!$B$80/30</f>
        <v>3312.3589544</v>
      </c>
      <c r="AC84" s="66" t="n">
        <f aca="false">-AC40*Inputs!$B$80/30</f>
        <v>3312.3589544</v>
      </c>
      <c r="AD84" s="66" t="n">
        <f aca="false">-AD40*Inputs!$B$80/30</f>
        <v>3312.3589544</v>
      </c>
      <c r="AE84" s="66" t="n">
        <f aca="false">-AE40*Inputs!$B$80/30</f>
        <v>3312.3589544</v>
      </c>
      <c r="AF84" s="66" t="n">
        <f aca="false">-AF40*Inputs!$B$80/30</f>
        <v>3312.3589544</v>
      </c>
      <c r="AG84" s="66" t="n">
        <f aca="false">-AG40*Inputs!$B$80/30</f>
        <v>3312.3589544</v>
      </c>
      <c r="AH84" s="66" t="n">
        <f aca="false">-AH40*Inputs!$B$80/30</f>
        <v>3312.3589544</v>
      </c>
      <c r="AI84" s="66" t="n">
        <f aca="false">-AI40*Inputs!$B$80/30</f>
        <v>3312.3589544</v>
      </c>
      <c r="AJ84" s="66" t="n">
        <f aca="false">-AJ40*Inputs!$B$80/30</f>
        <v>3312.3589544</v>
      </c>
      <c r="AK84" s="66" t="n">
        <f aca="false">-AK40*Inputs!$B$80/30</f>
        <v>3312.3589544</v>
      </c>
      <c r="AL84" s="66" t="n">
        <f aca="false">-AL40*Inputs!$B$80/30</f>
        <v>3312.3589544</v>
      </c>
      <c r="AM84" s="66" t="n">
        <f aca="false">-AM40*Inputs!$B$80/30</f>
        <v>3411.729723032</v>
      </c>
      <c r="AN84" s="66" t="n">
        <f aca="false">-AN40*Inputs!$B$80/30</f>
        <v>3411.729723032</v>
      </c>
      <c r="AO84" s="66" t="n">
        <f aca="false">-AO40*Inputs!$B$80/30</f>
        <v>3411.729723032</v>
      </c>
      <c r="AP84" s="66" t="n">
        <f aca="false">-AP40*Inputs!$B$80/30</f>
        <v>3411.729723032</v>
      </c>
      <c r="AQ84" s="66" t="n">
        <f aca="false">-AQ40*Inputs!$B$80/30</f>
        <v>3411.729723032</v>
      </c>
      <c r="AR84" s="66" t="n">
        <f aca="false">-AR40*Inputs!$B$80/30</f>
        <v>3411.729723032</v>
      </c>
      <c r="AS84" s="66" t="n">
        <f aca="false">-AS40*Inputs!$B$80/30</f>
        <v>3411.729723032</v>
      </c>
      <c r="AT84" s="66" t="n">
        <f aca="false">-AT40*Inputs!$B$80/30</f>
        <v>3411.729723032</v>
      </c>
      <c r="AU84" s="66" t="n">
        <f aca="false">-AU40*Inputs!$B$80/30</f>
        <v>3411.729723032</v>
      </c>
      <c r="AV84" s="66" t="n">
        <f aca="false">-AV40*Inputs!$B$80/30</f>
        <v>3411.729723032</v>
      </c>
      <c r="AW84" s="66" t="n">
        <f aca="false">-AW40*Inputs!$B$80/30</f>
        <v>3411.729723032</v>
      </c>
      <c r="AX84" s="66" t="n">
        <f aca="false">-AX40*Inputs!$B$80/30</f>
        <v>3411.729723032</v>
      </c>
      <c r="AY84" s="66" t="n">
        <f aca="false">-AY40*Inputs!$B$80/30</f>
        <v>3514.08161472296</v>
      </c>
      <c r="AZ84" s="66" t="n">
        <f aca="false">-AZ40*Inputs!$B$80/30</f>
        <v>3514.08161472296</v>
      </c>
      <c r="BA84" s="66" t="n">
        <f aca="false">-BA40*Inputs!$B$80/30</f>
        <v>3514.08161472296</v>
      </c>
      <c r="BB84" s="66" t="n">
        <f aca="false">-BB40*Inputs!$B$80/30</f>
        <v>3514.08161472296</v>
      </c>
      <c r="BC84" s="66" t="n">
        <f aca="false">-BC40*Inputs!$B$80/30</f>
        <v>3514.08161472296</v>
      </c>
      <c r="BD84" s="66" t="n">
        <f aca="false">-BD40*Inputs!$B$80/30</f>
        <v>3514.08161472296</v>
      </c>
      <c r="BE84" s="66" t="n">
        <f aca="false">-BE40*Inputs!$B$80/30</f>
        <v>3514.08161472296</v>
      </c>
      <c r="BF84" s="66" t="n">
        <f aca="false">-BF40*Inputs!$B$80/30</f>
        <v>3514.08161472296</v>
      </c>
      <c r="BG84" s="66" t="n">
        <f aca="false">-BG40*Inputs!$B$80/30</f>
        <v>3514.08161472296</v>
      </c>
      <c r="BH84" s="66" t="n">
        <f aca="false">-BH40*Inputs!$B$80/30</f>
        <v>3514.08161472296</v>
      </c>
      <c r="BI84" s="66" t="n">
        <f aca="false">-BI40*Inputs!$B$80/30</f>
        <v>3514.08161472296</v>
      </c>
      <c r="BJ84" s="66" t="n">
        <f aca="false">-BJ40*Inputs!$B$80/30</f>
        <v>3514.08161472296</v>
      </c>
    </row>
    <row r="85" customFormat="false" ht="15" hidden="false" customHeight="false" outlineLevel="0" collapsed="false">
      <c r="A85" s="6" t="s">
        <v>93</v>
      </c>
      <c r="C85" s="66" t="n">
        <f aca="false">-C40*Inputs!$B$81/30</f>
        <v>3522.73777777778</v>
      </c>
      <c r="D85" s="66" t="n">
        <f aca="false">-D40*Inputs!$B$81/30</f>
        <v>3616.06177777778</v>
      </c>
      <c r="E85" s="66" t="n">
        <f aca="false">-E40*Inputs!$B$81/30</f>
        <v>3709.38577777778</v>
      </c>
      <c r="F85" s="66" t="n">
        <f aca="false">-F40*Inputs!$B$81/30</f>
        <v>3802.70977777778</v>
      </c>
      <c r="G85" s="66" t="n">
        <f aca="false">-G40*Inputs!$B$81/30</f>
        <v>5457.42266666667</v>
      </c>
      <c r="H85" s="66" t="n">
        <f aca="false">-H40*Inputs!$B$81/30</f>
        <v>7112.13555555556</v>
      </c>
      <c r="I85" s="66" t="n">
        <f aca="false">-I40*Inputs!$B$81/30</f>
        <v>7205.45955555556</v>
      </c>
      <c r="J85" s="66" t="n">
        <f aca="false">-J40*Inputs!$B$81/30</f>
        <v>7298.78355555556</v>
      </c>
      <c r="K85" s="66" t="n">
        <f aca="false">-K40*Inputs!$B$81/30</f>
        <v>7392.10755555556</v>
      </c>
      <c r="L85" s="66" t="n">
        <f aca="false">-L40*Inputs!$B$81/30</f>
        <v>7485.43155555556</v>
      </c>
      <c r="M85" s="66" t="n">
        <f aca="false">-M40*Inputs!$B$81/30</f>
        <v>7578.75555555556</v>
      </c>
      <c r="N85" s="66" t="n">
        <f aca="false">-N40*Inputs!$B$81/30</f>
        <v>7672.07955555556</v>
      </c>
      <c r="O85" s="66" t="n">
        <f aca="false">-O40*Inputs!$B$81/30</f>
        <v>7998.36566222222</v>
      </c>
      <c r="P85" s="66" t="n">
        <f aca="false">-P40*Inputs!$B$81/30</f>
        <v>9702.71993777778</v>
      </c>
      <c r="Q85" s="66" t="n">
        <f aca="false">-Q40*Inputs!$B$81/30</f>
        <v>11407.0742133333</v>
      </c>
      <c r="R85" s="66" t="n">
        <f aca="false">-R40*Inputs!$B$81/30</f>
        <v>11503.1979333333</v>
      </c>
      <c r="S85" s="66" t="n">
        <f aca="false">-S40*Inputs!$B$81/30</f>
        <v>11599.3216533333</v>
      </c>
      <c r="T85" s="66" t="n">
        <f aca="false">-T40*Inputs!$B$81/30</f>
        <v>11695.4453733333</v>
      </c>
      <c r="U85" s="66" t="n">
        <f aca="false">-U40*Inputs!$B$81/30</f>
        <v>11791.5690933333</v>
      </c>
      <c r="V85" s="66" t="n">
        <f aca="false">-V40*Inputs!$B$81/30</f>
        <v>11791.5690933333</v>
      </c>
      <c r="W85" s="66" t="n">
        <f aca="false">-W40*Inputs!$B$81/30</f>
        <v>11791.5690933333</v>
      </c>
      <c r="X85" s="66" t="n">
        <f aca="false">-X40*Inputs!$B$81/30</f>
        <v>11791.5690933333</v>
      </c>
      <c r="Y85" s="66" t="n">
        <f aca="false">-Y40*Inputs!$B$81/30</f>
        <v>11791.5690933333</v>
      </c>
      <c r="Z85" s="66" t="n">
        <f aca="false">-Z40*Inputs!$B$81/30</f>
        <v>11791.5690933333</v>
      </c>
      <c r="AA85" s="66" t="n">
        <f aca="false">-AA40*Inputs!$B$81/30</f>
        <v>12145.3161661333</v>
      </c>
      <c r="AB85" s="66" t="n">
        <f aca="false">-AB40*Inputs!$B$81/30</f>
        <v>12145.3161661333</v>
      </c>
      <c r="AC85" s="66" t="n">
        <f aca="false">-AC40*Inputs!$B$81/30</f>
        <v>12145.3161661333</v>
      </c>
      <c r="AD85" s="66" t="n">
        <f aca="false">-AD40*Inputs!$B$81/30</f>
        <v>12145.3161661333</v>
      </c>
      <c r="AE85" s="66" t="n">
        <f aca="false">-AE40*Inputs!$B$81/30</f>
        <v>12145.3161661333</v>
      </c>
      <c r="AF85" s="66" t="n">
        <f aca="false">-AF40*Inputs!$B$81/30</f>
        <v>12145.3161661333</v>
      </c>
      <c r="AG85" s="66" t="n">
        <f aca="false">-AG40*Inputs!$B$81/30</f>
        <v>12145.3161661333</v>
      </c>
      <c r="AH85" s="66" t="n">
        <f aca="false">-AH40*Inputs!$B$81/30</f>
        <v>12145.3161661333</v>
      </c>
      <c r="AI85" s="66" t="n">
        <f aca="false">-AI40*Inputs!$B$81/30</f>
        <v>12145.3161661333</v>
      </c>
      <c r="AJ85" s="66" t="n">
        <f aca="false">-AJ40*Inputs!$B$81/30</f>
        <v>12145.3161661333</v>
      </c>
      <c r="AK85" s="66" t="n">
        <f aca="false">-AK40*Inputs!$B$81/30</f>
        <v>12145.3161661333</v>
      </c>
      <c r="AL85" s="66" t="n">
        <f aca="false">-AL40*Inputs!$B$81/30</f>
        <v>12145.3161661333</v>
      </c>
      <c r="AM85" s="66" t="n">
        <f aca="false">-AM40*Inputs!$B$81/30</f>
        <v>12509.6756511173</v>
      </c>
      <c r="AN85" s="66" t="n">
        <f aca="false">-AN40*Inputs!$B$81/30</f>
        <v>12509.6756511173</v>
      </c>
      <c r="AO85" s="66" t="n">
        <f aca="false">-AO40*Inputs!$B$81/30</f>
        <v>12509.6756511173</v>
      </c>
      <c r="AP85" s="66" t="n">
        <f aca="false">-AP40*Inputs!$B$81/30</f>
        <v>12509.6756511173</v>
      </c>
      <c r="AQ85" s="66" t="n">
        <f aca="false">-AQ40*Inputs!$B$81/30</f>
        <v>12509.6756511173</v>
      </c>
      <c r="AR85" s="66" t="n">
        <f aca="false">-AR40*Inputs!$B$81/30</f>
        <v>12509.6756511173</v>
      </c>
      <c r="AS85" s="66" t="n">
        <f aca="false">-AS40*Inputs!$B$81/30</f>
        <v>12509.6756511173</v>
      </c>
      <c r="AT85" s="66" t="n">
        <f aca="false">-AT40*Inputs!$B$81/30</f>
        <v>12509.6756511173</v>
      </c>
      <c r="AU85" s="66" t="n">
        <f aca="false">-AU40*Inputs!$B$81/30</f>
        <v>12509.6756511173</v>
      </c>
      <c r="AV85" s="66" t="n">
        <f aca="false">-AV40*Inputs!$B$81/30</f>
        <v>12509.6756511173</v>
      </c>
      <c r="AW85" s="66" t="n">
        <f aca="false">-AW40*Inputs!$B$81/30</f>
        <v>12509.6756511173</v>
      </c>
      <c r="AX85" s="66" t="n">
        <f aca="false">-AX40*Inputs!$B$81/30</f>
        <v>12509.6756511173</v>
      </c>
      <c r="AY85" s="66" t="n">
        <f aca="false">-AY40*Inputs!$B$81/30</f>
        <v>12884.9659206509</v>
      </c>
      <c r="AZ85" s="66" t="n">
        <f aca="false">-AZ40*Inputs!$B$81/30</f>
        <v>12884.9659206509</v>
      </c>
      <c r="BA85" s="66" t="n">
        <f aca="false">-BA40*Inputs!$B$81/30</f>
        <v>12884.9659206509</v>
      </c>
      <c r="BB85" s="66" t="n">
        <f aca="false">-BB40*Inputs!$B$81/30</f>
        <v>12884.9659206509</v>
      </c>
      <c r="BC85" s="66" t="n">
        <f aca="false">-BC40*Inputs!$B$81/30</f>
        <v>12884.9659206509</v>
      </c>
      <c r="BD85" s="66" t="n">
        <f aca="false">-BD40*Inputs!$B$81/30</f>
        <v>12884.9659206509</v>
      </c>
      <c r="BE85" s="66" t="n">
        <f aca="false">-BE40*Inputs!$B$81/30</f>
        <v>12884.9659206509</v>
      </c>
      <c r="BF85" s="66" t="n">
        <f aca="false">-BF40*Inputs!$B$81/30</f>
        <v>12884.9659206509</v>
      </c>
      <c r="BG85" s="66" t="n">
        <f aca="false">-BG40*Inputs!$B$81/30</f>
        <v>12884.9659206509</v>
      </c>
      <c r="BH85" s="66" t="n">
        <f aca="false">-BH40*Inputs!$B$81/30</f>
        <v>12884.9659206509</v>
      </c>
      <c r="BI85" s="66" t="n">
        <f aca="false">-BI40*Inputs!$B$81/30</f>
        <v>12884.9659206509</v>
      </c>
      <c r="BJ85" s="66" t="n">
        <f aca="false">-BJ40*Inputs!$B$81/30</f>
        <v>12884.9659206509</v>
      </c>
    </row>
    <row r="86" customFormat="false" ht="15" hidden="false" customHeight="false" outlineLevel="0" collapsed="false">
      <c r="A86" s="6" t="s">
        <v>348</v>
      </c>
      <c r="C86" s="66" t="n">
        <f aca="false">-C83</f>
        <v>-4576.7735</v>
      </c>
      <c r="D86" s="66" t="n">
        <f aca="false">C83-D83</f>
        <v>-677.913816666666</v>
      </c>
      <c r="E86" s="66" t="n">
        <f aca="false">D83-E83</f>
        <v>-976.913816666668</v>
      </c>
      <c r="F86" s="66" t="n">
        <f aca="false">E83-F83</f>
        <v>-976.913816666667</v>
      </c>
      <c r="G86" s="66" t="n">
        <f aca="false">F83-G83</f>
        <v>-976.913816666666</v>
      </c>
      <c r="H86" s="66" t="n">
        <f aca="false">G83-H83</f>
        <v>-976.913816666668</v>
      </c>
      <c r="I86" s="66" t="n">
        <f aca="false">H83-I83</f>
        <v>-976.913816666665</v>
      </c>
      <c r="J86" s="66" t="n">
        <f aca="false">I83-J83</f>
        <v>-976.913816666667</v>
      </c>
      <c r="K86" s="66" t="n">
        <f aca="false">J83-K83</f>
        <v>-976.913816666664</v>
      </c>
      <c r="L86" s="66" t="n">
        <f aca="false">K83-L83</f>
        <v>-976.913816666673</v>
      </c>
      <c r="M86" s="66" t="n">
        <f aca="false">L83-M83</f>
        <v>-976.913816666662</v>
      </c>
      <c r="N86" s="66" t="n">
        <f aca="false">M83-N83</f>
        <v>-976.913816666671</v>
      </c>
      <c r="O86" s="66" t="n">
        <f aca="false">N83-O83</f>
        <v>-1376.93229916666</v>
      </c>
      <c r="P86" s="66" t="n">
        <f aca="false">O83-P83</f>
        <v>-1001.33666208334</v>
      </c>
      <c r="Q86" s="66" t="n">
        <f aca="false">P83-Q83</f>
        <v>-1001.33666208334</v>
      </c>
      <c r="R86" s="66" t="n">
        <f aca="false">Q83-R83</f>
        <v>-1001.33666208333</v>
      </c>
      <c r="S86" s="66" t="n">
        <f aca="false">R83-S83</f>
        <v>-1001.33666208333</v>
      </c>
      <c r="T86" s="66" t="n">
        <f aca="false">S83-T83</f>
        <v>-1001.33666208333</v>
      </c>
      <c r="U86" s="66" t="n">
        <f aca="false">T83-U83</f>
        <v>-1001.33666208333</v>
      </c>
      <c r="V86" s="66" t="n">
        <f aca="false">U83-V83</f>
        <v>93.2749999999978</v>
      </c>
      <c r="W86" s="66" t="n">
        <f aca="false">V83-W83</f>
        <v>0</v>
      </c>
      <c r="X86" s="66" t="n">
        <f aca="false">W83-X83</f>
        <v>0</v>
      </c>
      <c r="Y86" s="66" t="n">
        <f aca="false">X83-Y83</f>
        <v>0</v>
      </c>
      <c r="Z86" s="66" t="n">
        <f aca="false">Y83-Z83</f>
        <v>0</v>
      </c>
      <c r="AA86" s="66" t="n">
        <f aca="false">Z83-AA83</f>
        <v>-557.887568874994</v>
      </c>
      <c r="AB86" s="66" t="n">
        <f aca="false">AA83-AB83</f>
        <v>0</v>
      </c>
      <c r="AC86" s="66" t="n">
        <f aca="false">AB83-AC83</f>
        <v>0</v>
      </c>
      <c r="AD86" s="66" t="n">
        <f aca="false">AC83-AD83</f>
        <v>0</v>
      </c>
      <c r="AE86" s="66" t="n">
        <f aca="false">AD83-AE83</f>
        <v>0</v>
      </c>
      <c r="AF86" s="66" t="n">
        <f aca="false">AE83-AF83</f>
        <v>0</v>
      </c>
      <c r="AG86" s="66" t="n">
        <f aca="false">AF83-AG83</f>
        <v>0</v>
      </c>
      <c r="AH86" s="66" t="n">
        <f aca="false">AG83-AH83</f>
        <v>0</v>
      </c>
      <c r="AI86" s="66" t="n">
        <f aca="false">AH83-AI83</f>
        <v>0</v>
      </c>
      <c r="AJ86" s="66" t="n">
        <f aca="false">AI83-AJ83</f>
        <v>0</v>
      </c>
      <c r="AK86" s="66" t="n">
        <f aca="false">AJ83-AK83</f>
        <v>0</v>
      </c>
      <c r="AL86" s="66" t="n">
        <f aca="false">AK83-AL83</f>
        <v>0</v>
      </c>
      <c r="AM86" s="66" t="n">
        <f aca="false">AL83-AM83</f>
        <v>-571.834758096869</v>
      </c>
      <c r="AN86" s="66" t="n">
        <f aca="false">AM83-AN83</f>
        <v>0</v>
      </c>
      <c r="AO86" s="66" t="n">
        <f aca="false">AN83-AO83</f>
        <v>0</v>
      </c>
      <c r="AP86" s="66" t="n">
        <f aca="false">AO83-AP83</f>
        <v>0</v>
      </c>
      <c r="AQ86" s="66" t="n">
        <f aca="false">AP83-AQ83</f>
        <v>0</v>
      </c>
      <c r="AR86" s="66" t="n">
        <f aca="false">AQ83-AR83</f>
        <v>0</v>
      </c>
      <c r="AS86" s="66" t="n">
        <f aca="false">AR83-AS83</f>
        <v>0</v>
      </c>
      <c r="AT86" s="66" t="n">
        <f aca="false">AS83-AT83</f>
        <v>0</v>
      </c>
      <c r="AU86" s="66" t="n">
        <f aca="false">AT83-AU83</f>
        <v>0</v>
      </c>
      <c r="AV86" s="66" t="n">
        <f aca="false">AU83-AV83</f>
        <v>0</v>
      </c>
      <c r="AW86" s="66" t="n">
        <f aca="false">AV83-AW83</f>
        <v>0</v>
      </c>
      <c r="AX86" s="66" t="n">
        <f aca="false">AW83-AX83</f>
        <v>0</v>
      </c>
      <c r="AY86" s="66" t="n">
        <f aca="false">AX83-AY83</f>
        <v>-586.130627049297</v>
      </c>
      <c r="AZ86" s="66" t="n">
        <f aca="false">AY83-AZ83</f>
        <v>0</v>
      </c>
      <c r="BA86" s="66" t="n">
        <f aca="false">AZ83-BA83</f>
        <v>0</v>
      </c>
      <c r="BB86" s="66" t="n">
        <f aca="false">BA83-BB83</f>
        <v>0</v>
      </c>
      <c r="BC86" s="66" t="n">
        <f aca="false">BB83-BC83</f>
        <v>0</v>
      </c>
      <c r="BD86" s="66" t="n">
        <f aca="false">BC83-BD83</f>
        <v>0</v>
      </c>
      <c r="BE86" s="66" t="n">
        <f aca="false">BD83-BE83</f>
        <v>0</v>
      </c>
      <c r="BF86" s="66" t="n">
        <f aca="false">BE83-BF83</f>
        <v>0</v>
      </c>
      <c r="BG86" s="66" t="n">
        <f aca="false">BF83-BG83</f>
        <v>0</v>
      </c>
      <c r="BH86" s="66" t="n">
        <f aca="false">BG83-BH83</f>
        <v>0</v>
      </c>
      <c r="BI86" s="66" t="n">
        <f aca="false">BH83-BI83</f>
        <v>0</v>
      </c>
      <c r="BJ86" s="66" t="n">
        <f aca="false">BI83-BJ83</f>
        <v>0</v>
      </c>
    </row>
    <row r="87" customFormat="false" ht="15" hidden="false" customHeight="false" outlineLevel="0" collapsed="false">
      <c r="A87" s="6" t="s">
        <v>349</v>
      </c>
      <c r="C87" s="66" t="n">
        <f aca="false">-C84</f>
        <v>-960.746666666667</v>
      </c>
      <c r="D87" s="66" t="n">
        <f aca="false">C84-D84</f>
        <v>-25.4520000000001</v>
      </c>
      <c r="E87" s="66" t="n">
        <f aca="false">D84-E84</f>
        <v>-25.452</v>
      </c>
      <c r="F87" s="66" t="n">
        <f aca="false">E84-F84</f>
        <v>-25.4519999999999</v>
      </c>
      <c r="G87" s="66" t="n">
        <f aca="false">F84-G84</f>
        <v>-451.285333333334</v>
      </c>
      <c r="H87" s="66" t="n">
        <f aca="false">G84-H84</f>
        <v>-451.285333333334</v>
      </c>
      <c r="I87" s="66" t="n">
        <f aca="false">H84-I84</f>
        <v>-25.4519999999998</v>
      </c>
      <c r="J87" s="66" t="n">
        <f aca="false">I84-J84</f>
        <v>-25.4520000000002</v>
      </c>
      <c r="K87" s="66" t="n">
        <f aca="false">J84-K84</f>
        <v>-25.4520000000005</v>
      </c>
      <c r="L87" s="66" t="n">
        <f aca="false">K84-L84</f>
        <v>-25.4519999999993</v>
      </c>
      <c r="M87" s="66" t="n">
        <f aca="false">L84-M84</f>
        <v>-25.452</v>
      </c>
      <c r="N87" s="66" t="n">
        <f aca="false">M84-N84</f>
        <v>-25.4520000000002</v>
      </c>
      <c r="O87" s="66" t="n">
        <f aca="false">N84-O84</f>
        <v>-88.9871199999998</v>
      </c>
      <c r="P87" s="66" t="n">
        <f aca="false">O84-P84</f>
        <v>-464.823893333334</v>
      </c>
      <c r="Q87" s="66" t="n">
        <f aca="false">P84-Q84</f>
        <v>-464.823893333333</v>
      </c>
      <c r="R87" s="66" t="n">
        <f aca="false">Q84-R84</f>
        <v>-26.2155600000001</v>
      </c>
      <c r="S87" s="66" t="n">
        <f aca="false">R84-S84</f>
        <v>-26.2155599999996</v>
      </c>
      <c r="T87" s="66" t="n">
        <f aca="false">S84-T84</f>
        <v>-26.2155600000006</v>
      </c>
      <c r="U87" s="66" t="n">
        <f aca="false">T84-U84</f>
        <v>-26.2155600000001</v>
      </c>
      <c r="V87" s="66" t="n">
        <f aca="false">U84-V84</f>
        <v>0</v>
      </c>
      <c r="W87" s="66" t="n">
        <f aca="false">V84-W84</f>
        <v>0</v>
      </c>
      <c r="X87" s="66" t="n">
        <f aca="false">W84-X84</f>
        <v>0</v>
      </c>
      <c r="Y87" s="66" t="n">
        <f aca="false">X84-Y84</f>
        <v>0</v>
      </c>
      <c r="Z87" s="66" t="n">
        <f aca="false">Y84-Z84</f>
        <v>0</v>
      </c>
      <c r="AA87" s="66" t="n">
        <f aca="false">Z84-AA84</f>
        <v>-96.4764743999995</v>
      </c>
      <c r="AB87" s="66" t="n">
        <f aca="false">AA84-AB84</f>
        <v>0</v>
      </c>
      <c r="AC87" s="66" t="n">
        <f aca="false">AB84-AC84</f>
        <v>0</v>
      </c>
      <c r="AD87" s="66" t="n">
        <f aca="false">AC84-AD84</f>
        <v>0</v>
      </c>
      <c r="AE87" s="66" t="n">
        <f aca="false">AD84-AE84</f>
        <v>0</v>
      </c>
      <c r="AF87" s="66" t="n">
        <f aca="false">AE84-AF84</f>
        <v>0</v>
      </c>
      <c r="AG87" s="66" t="n">
        <f aca="false">AF84-AG84</f>
        <v>0</v>
      </c>
      <c r="AH87" s="66" t="n">
        <f aca="false">AG84-AH84</f>
        <v>0</v>
      </c>
      <c r="AI87" s="66" t="n">
        <f aca="false">AH84-AI84</f>
        <v>0</v>
      </c>
      <c r="AJ87" s="66" t="n">
        <f aca="false">AI84-AJ84</f>
        <v>0</v>
      </c>
      <c r="AK87" s="66" t="n">
        <f aca="false">AJ84-AK84</f>
        <v>0</v>
      </c>
      <c r="AL87" s="66" t="n">
        <f aca="false">AK84-AL84</f>
        <v>0</v>
      </c>
      <c r="AM87" s="66" t="n">
        <f aca="false">AL84-AM84</f>
        <v>-99.3707686320004</v>
      </c>
      <c r="AN87" s="66" t="n">
        <f aca="false">AM84-AN84</f>
        <v>0</v>
      </c>
      <c r="AO87" s="66" t="n">
        <f aca="false">AN84-AO84</f>
        <v>0</v>
      </c>
      <c r="AP87" s="66" t="n">
        <f aca="false">AO84-AP84</f>
        <v>0</v>
      </c>
      <c r="AQ87" s="66" t="n">
        <f aca="false">AP84-AQ84</f>
        <v>0</v>
      </c>
      <c r="AR87" s="66" t="n">
        <f aca="false">AQ84-AR84</f>
        <v>0</v>
      </c>
      <c r="AS87" s="66" t="n">
        <f aca="false">AR84-AS84</f>
        <v>0</v>
      </c>
      <c r="AT87" s="66" t="n">
        <f aca="false">AS84-AT84</f>
        <v>0</v>
      </c>
      <c r="AU87" s="66" t="n">
        <f aca="false">AT84-AU84</f>
        <v>0</v>
      </c>
      <c r="AV87" s="66" t="n">
        <f aca="false">AU84-AV84</f>
        <v>0</v>
      </c>
      <c r="AW87" s="66" t="n">
        <f aca="false">AV84-AW84</f>
        <v>0</v>
      </c>
      <c r="AX87" s="66" t="n">
        <f aca="false">AW84-AX84</f>
        <v>0</v>
      </c>
      <c r="AY87" s="66" t="n">
        <f aca="false">AX84-AY84</f>
        <v>-102.35189169096</v>
      </c>
      <c r="AZ87" s="66" t="n">
        <f aca="false">AY84-AZ84</f>
        <v>0</v>
      </c>
      <c r="BA87" s="66" t="n">
        <f aca="false">AZ84-BA84</f>
        <v>0</v>
      </c>
      <c r="BB87" s="66" t="n">
        <f aca="false">BA84-BB84</f>
        <v>0</v>
      </c>
      <c r="BC87" s="66" t="n">
        <f aca="false">BB84-BC84</f>
        <v>0</v>
      </c>
      <c r="BD87" s="66" t="n">
        <f aca="false">BC84-BD84</f>
        <v>0</v>
      </c>
      <c r="BE87" s="66" t="n">
        <f aca="false">BD84-BE84</f>
        <v>0</v>
      </c>
      <c r="BF87" s="66" t="n">
        <f aca="false">BE84-BF84</f>
        <v>0</v>
      </c>
      <c r="BG87" s="66" t="n">
        <f aca="false">BF84-BG84</f>
        <v>0</v>
      </c>
      <c r="BH87" s="66" t="n">
        <f aca="false">BG84-BH84</f>
        <v>0</v>
      </c>
      <c r="BI87" s="66" t="n">
        <f aca="false">BH84-BI84</f>
        <v>0</v>
      </c>
      <c r="BJ87" s="66" t="n">
        <f aca="false">BI84-BJ84</f>
        <v>0</v>
      </c>
    </row>
    <row r="88" customFormat="false" ht="15" hidden="false" customHeight="false" outlineLevel="0" collapsed="false">
      <c r="A88" s="6" t="s">
        <v>350</v>
      </c>
      <c r="C88" s="66" t="n">
        <f aca="false">C85</f>
        <v>3522.73777777778</v>
      </c>
      <c r="D88" s="66" t="n">
        <f aca="false">D85-C85</f>
        <v>93.3240000000005</v>
      </c>
      <c r="E88" s="66" t="n">
        <f aca="false">E85-D85</f>
        <v>93.3240000000001</v>
      </c>
      <c r="F88" s="66" t="n">
        <f aca="false">F85-E85</f>
        <v>93.3239999999992</v>
      </c>
      <c r="G88" s="66" t="n">
        <f aca="false">G85-F85</f>
        <v>1654.71288888889</v>
      </c>
      <c r="H88" s="66" t="n">
        <f aca="false">H85-G85</f>
        <v>1654.71288888889</v>
      </c>
      <c r="I88" s="66" t="n">
        <f aca="false">I85-H85</f>
        <v>93.3239999999987</v>
      </c>
      <c r="J88" s="66" t="n">
        <f aca="false">J85-I85</f>
        <v>93.3239999999996</v>
      </c>
      <c r="K88" s="66" t="n">
        <f aca="false">K85-J85</f>
        <v>93.3240000000014</v>
      </c>
      <c r="L88" s="66" t="n">
        <f aca="false">L85-K85</f>
        <v>93.3239999999987</v>
      </c>
      <c r="M88" s="66" t="n">
        <f aca="false">M85-L85</f>
        <v>93.3240000000005</v>
      </c>
      <c r="N88" s="66" t="n">
        <f aca="false">N85-M85</f>
        <v>93.3239999999996</v>
      </c>
      <c r="O88" s="66" t="n">
        <f aca="false">O85-N85</f>
        <v>326.286106666666</v>
      </c>
      <c r="P88" s="66" t="n">
        <f aca="false">P85-O85</f>
        <v>1704.35427555556</v>
      </c>
      <c r="Q88" s="66" t="n">
        <f aca="false">Q85-P85</f>
        <v>1704.35427555556</v>
      </c>
      <c r="R88" s="66" t="n">
        <f aca="false">R85-Q85</f>
        <v>96.1237199999996</v>
      </c>
      <c r="S88" s="66" t="n">
        <f aca="false">S85-R85</f>
        <v>96.1237199999996</v>
      </c>
      <c r="T88" s="66" t="n">
        <f aca="false">T85-S85</f>
        <v>96.1237199999996</v>
      </c>
      <c r="U88" s="66" t="n">
        <f aca="false">U85-T85</f>
        <v>96.1237200000014</v>
      </c>
      <c r="V88" s="66" t="n">
        <f aca="false">V85-U85</f>
        <v>0</v>
      </c>
      <c r="W88" s="66" t="n">
        <f aca="false">W85-V85</f>
        <v>0</v>
      </c>
      <c r="X88" s="66" t="n">
        <f aca="false">X85-W85</f>
        <v>0</v>
      </c>
      <c r="Y88" s="66" t="n">
        <f aca="false">Y85-X85</f>
        <v>0</v>
      </c>
      <c r="Z88" s="66" t="n">
        <f aca="false">Z85-Y85</f>
        <v>0</v>
      </c>
      <c r="AA88" s="66" t="n">
        <f aca="false">AA85-Z85</f>
        <v>353.747072799999</v>
      </c>
      <c r="AB88" s="66" t="n">
        <f aca="false">AB85-AA85</f>
        <v>0</v>
      </c>
      <c r="AC88" s="66" t="n">
        <f aca="false">AC85-AB85</f>
        <v>0</v>
      </c>
      <c r="AD88" s="66" t="n">
        <f aca="false">AD85-AC85</f>
        <v>0</v>
      </c>
      <c r="AE88" s="66" t="n">
        <f aca="false">AE85-AD85</f>
        <v>0</v>
      </c>
      <c r="AF88" s="66" t="n">
        <f aca="false">AF85-AE85</f>
        <v>0</v>
      </c>
      <c r="AG88" s="66" t="n">
        <f aca="false">AG85-AF85</f>
        <v>0</v>
      </c>
      <c r="AH88" s="66" t="n">
        <f aca="false">AH85-AG85</f>
        <v>0</v>
      </c>
      <c r="AI88" s="66" t="n">
        <f aca="false">AI85-AH85</f>
        <v>0</v>
      </c>
      <c r="AJ88" s="66" t="n">
        <f aca="false">AJ85-AI85</f>
        <v>0</v>
      </c>
      <c r="AK88" s="66" t="n">
        <f aca="false">AK85-AJ85</f>
        <v>0</v>
      </c>
      <c r="AL88" s="66" t="n">
        <f aca="false">AL85-AK85</f>
        <v>0</v>
      </c>
      <c r="AM88" s="66" t="n">
        <f aca="false">AM85-AL85</f>
        <v>364.359484983999</v>
      </c>
      <c r="AN88" s="66" t="n">
        <f aca="false">AN85-AM85</f>
        <v>0</v>
      </c>
      <c r="AO88" s="66" t="n">
        <f aca="false">AO85-AN85</f>
        <v>0</v>
      </c>
      <c r="AP88" s="66" t="n">
        <f aca="false">AP85-AO85</f>
        <v>0</v>
      </c>
      <c r="AQ88" s="66" t="n">
        <f aca="false">AQ85-AP85</f>
        <v>0</v>
      </c>
      <c r="AR88" s="66" t="n">
        <f aca="false">AR85-AQ85</f>
        <v>0</v>
      </c>
      <c r="AS88" s="66" t="n">
        <f aca="false">AS85-AR85</f>
        <v>0</v>
      </c>
      <c r="AT88" s="66" t="n">
        <f aca="false">AT85-AS85</f>
        <v>0</v>
      </c>
      <c r="AU88" s="66" t="n">
        <f aca="false">AU85-AT85</f>
        <v>0</v>
      </c>
      <c r="AV88" s="66" t="n">
        <f aca="false">AV85-AU85</f>
        <v>0</v>
      </c>
      <c r="AW88" s="66" t="n">
        <f aca="false">AW85-AV85</f>
        <v>0</v>
      </c>
      <c r="AX88" s="66" t="n">
        <f aca="false">AX85-AW85</f>
        <v>0</v>
      </c>
      <c r="AY88" s="66" t="n">
        <f aca="false">AY85-AX85</f>
        <v>375.290269533522</v>
      </c>
      <c r="AZ88" s="66" t="n">
        <f aca="false">AZ85-AY85</f>
        <v>0</v>
      </c>
      <c r="BA88" s="66" t="n">
        <f aca="false">BA85-AZ85</f>
        <v>0</v>
      </c>
      <c r="BB88" s="66" t="n">
        <f aca="false">BB85-BA85</f>
        <v>0</v>
      </c>
      <c r="BC88" s="66" t="n">
        <f aca="false">BC85-BB85</f>
        <v>0</v>
      </c>
      <c r="BD88" s="66" t="n">
        <f aca="false">BD85-BC85</f>
        <v>0</v>
      </c>
      <c r="BE88" s="66" t="n">
        <f aca="false">BE85-BD85</f>
        <v>0</v>
      </c>
      <c r="BF88" s="66" t="n">
        <f aca="false">BF85-BE85</f>
        <v>0</v>
      </c>
      <c r="BG88" s="66" t="n">
        <f aca="false">BG85-BF85</f>
        <v>0</v>
      </c>
      <c r="BH88" s="66" t="n">
        <f aca="false">BH85-BG85</f>
        <v>0</v>
      </c>
      <c r="BI88" s="66" t="n">
        <f aca="false">BI85-BH85</f>
        <v>0</v>
      </c>
      <c r="BJ88" s="66" t="n">
        <f aca="false">BJ85-BI85</f>
        <v>0</v>
      </c>
    </row>
    <row r="90" customFormat="false" ht="15.75" hidden="false" customHeight="true" outlineLevel="0" collapsed="false">
      <c r="A90" s="7" t="s">
        <v>449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customFormat="false" ht="15" hidden="false" customHeight="false" outlineLevel="0" collapsed="false">
      <c r="A91" s="4" t="s">
        <v>52</v>
      </c>
      <c r="C91" s="72" t="n">
        <f aca="false">C63-C72+C86+C87+C88</f>
        <v>-27507.8143788889</v>
      </c>
      <c r="D91" s="72" t="n">
        <f aca="false">D63-D72+D86+D87+D88</f>
        <v>-24835.0034932222</v>
      </c>
      <c r="E91" s="72" t="n">
        <f aca="false">E63-E72+E86+E87+E88</f>
        <v>-23168.9887353333</v>
      </c>
      <c r="F91" s="72" t="n">
        <f aca="false">F63-F72+F86+F87+F88</f>
        <v>-21203.9739774444</v>
      </c>
      <c r="G91" s="72" t="n">
        <f aca="false">G63-G72+G86+G87+G88</f>
        <v>-22361.7369973333</v>
      </c>
      <c r="H91" s="72" t="n">
        <f aca="false">H63-H72+H86+H87+H88</f>
        <v>-24655.0555727778</v>
      </c>
      <c r="I91" s="72" t="n">
        <f aca="false">I63-I72+I86+I87+I88</f>
        <v>-23825.5963704445</v>
      </c>
      <c r="J91" s="72" t="n">
        <f aca="false">J63-J72+J86+J87+J88</f>
        <v>-21860.5816125556</v>
      </c>
      <c r="K91" s="72" t="n">
        <f aca="false">K63-K72+K86+K87+K88</f>
        <v>-19895.5668546667</v>
      </c>
      <c r="L91" s="72" t="n">
        <f aca="false">L63-L72+L86+L87+L88</f>
        <v>-17930.5520967778</v>
      </c>
      <c r="M91" s="72" t="n">
        <f aca="false">M63-M72+M86+M87+M88</f>
        <v>-15965.5373388889</v>
      </c>
      <c r="N91" s="72" t="n">
        <f aca="false">N63-N72+N86+N87+N88</f>
        <v>-14000.522581</v>
      </c>
      <c r="O91" s="72" t="n">
        <f aca="false">O63-O72+O86+O87+O88</f>
        <v>-12540.3375579945</v>
      </c>
      <c r="P91" s="72" t="n">
        <f aca="false">P63-P72+P86+P87+P88</f>
        <v>-13536.073554075</v>
      </c>
      <c r="Q91" s="72" t="n">
        <f aca="false">Q63-Q72+Q86+Q87+Q88</f>
        <v>-15909.6365827945</v>
      </c>
      <c r="R91" s="72" t="n">
        <f aca="false">R63-R72+R86+R87+R88</f>
        <v>-15066.7385004028</v>
      </c>
      <c r="S91" s="72" t="n">
        <f aca="false">S63-S72+S86+S87+S88</f>
        <v>-13054.2181957889</v>
      </c>
      <c r="T91" s="72" t="n">
        <f aca="false">T63-T72+T86+T87+T88</f>
        <v>-11041.697891175</v>
      </c>
      <c r="U91" s="72" t="n">
        <f aca="false">U63-U72+U86+U87+U88</f>
        <v>-9029.17758656112</v>
      </c>
      <c r="V91" s="72" t="n">
        <f aca="false">V63-V72+V86+V87+V88</f>
        <v>-8205.8351955889</v>
      </c>
      <c r="W91" s="72" t="n">
        <f aca="false">W63-W72+W86+W87+W88</f>
        <v>-8285.22130670001</v>
      </c>
      <c r="X91" s="72" t="n">
        <f aca="false">X63-X72+X86+X87+X88</f>
        <v>-8271.33241781112</v>
      </c>
      <c r="Y91" s="72" t="n">
        <f aca="false">Y63-Y72+Y86+Y87+Y88</f>
        <v>-8257.44352892224</v>
      </c>
      <c r="Z91" s="72" t="n">
        <f aca="false">Z63-Z72+Z86+Z87+Z88</f>
        <v>-8243.55464003335</v>
      </c>
      <c r="AA91" s="72" t="n">
        <f aca="false">AA63-AA72+AA86+AA87+AA88</f>
        <v>-8793.88062828696</v>
      </c>
      <c r="AB91" s="72" t="n">
        <f aca="false">AB63-AB72+AB86+AB87+AB88</f>
        <v>-8479.37476892307</v>
      </c>
      <c r="AC91" s="72" t="n">
        <f aca="false">AC63-AC72+AC86+AC87+AC88</f>
        <v>-8465.48588003418</v>
      </c>
      <c r="AD91" s="72" t="n">
        <f aca="false">AD63-AD72+AD86+AD87+AD88</f>
        <v>-8451.5969911453</v>
      </c>
      <c r="AE91" s="72" t="n">
        <f aca="false">AE63-AE72+AE86+AE87+AE88</f>
        <v>-8437.70810225641</v>
      </c>
      <c r="AF91" s="72" t="n">
        <f aca="false">AF63-AF72+AF86+AF87+AF88</f>
        <v>-8423.81921336752</v>
      </c>
      <c r="AG91" s="72" t="n">
        <f aca="false">AG63-AG72+AG86+AG87+AG88</f>
        <v>-8409.93032447863</v>
      </c>
      <c r="AH91" s="72" t="n">
        <f aca="false">AH63-AH72+AH86+AH87+AH88</f>
        <v>-8396.04143558974</v>
      </c>
      <c r="AI91" s="72" t="n">
        <f aca="false">AI63-AI72+AI86+AI87+AI88</f>
        <v>-8382.15254670085</v>
      </c>
      <c r="AJ91" s="72" t="n">
        <f aca="false">AJ63-AJ72+AJ86+AJ87+AJ88</f>
        <v>-8368.26365781196</v>
      </c>
      <c r="AK91" s="72" t="n">
        <f aca="false">AK63-AK72+AK86+AK87+AK88</f>
        <v>-8354.37476892307</v>
      </c>
      <c r="AL91" s="72" t="n">
        <f aca="false">AL63-AL72+AL86+AL87+AL88</f>
        <v>-8340.48588003418</v>
      </c>
      <c r="AM91" s="72" t="n">
        <f aca="false">AM63-AM72+AM86+AM87+AM88</f>
        <v>-8911.24678344436</v>
      </c>
      <c r="AN91" s="72" t="n">
        <f aca="false">AN63-AN72+AN86+AN87+AN88</f>
        <v>-8590.5118528106</v>
      </c>
      <c r="AO91" s="72" t="n">
        <f aca="false">AO63-AO72+AO86+AO87+AO88</f>
        <v>-8576.62296392171</v>
      </c>
      <c r="AP91" s="72" t="n">
        <f aca="false">AP63-AP72+AP86+AP87+AP88</f>
        <v>-8562.73407503282</v>
      </c>
      <c r="AQ91" s="72" t="n">
        <f aca="false">AQ63-AQ72+AQ86+AQ87+AQ88</f>
        <v>-8548.84518614393</v>
      </c>
      <c r="AR91" s="72" t="n">
        <f aca="false">AR63-AR72+AR86+AR87+AR88</f>
        <v>-8534.95629725505</v>
      </c>
      <c r="AS91" s="72" t="n">
        <f aca="false">AS63-AS72+AS86+AS87+AS88</f>
        <v>-8521.06740836616</v>
      </c>
      <c r="AT91" s="72" t="n">
        <f aca="false">AT63-AT72+AT86+AT87+AT88</f>
        <v>-8507.17851947727</v>
      </c>
      <c r="AU91" s="72" t="n">
        <f aca="false">AU63-AU72+AU86+AU87+AU88</f>
        <v>-8493.28963058838</v>
      </c>
      <c r="AV91" s="72" t="n">
        <f aca="false">AV63-AV72+AV86+AV87+AV88</f>
        <v>-8479.40074169949</v>
      </c>
      <c r="AW91" s="72" t="n">
        <f aca="false">AW63-AW72+AW86+AW87+AW88</f>
        <v>-8465.5118528106</v>
      </c>
      <c r="AX91" s="72" t="n">
        <f aca="false">AX63-AX72+AX86+AX87+AX88</f>
        <v>-8451.62296392171</v>
      </c>
      <c r="AY91" s="72" t="n">
        <f aca="false">AY63-AY72+AY86+AY87+AY88</f>
        <v>-9043.51954166421</v>
      </c>
      <c r="AZ91" s="72" t="n">
        <f aca="false">AZ63-AZ72+AZ86+AZ87+AZ88</f>
        <v>-8716.43840356859</v>
      </c>
      <c r="BA91" s="72" t="n">
        <f aca="false">BA63-BA72+BA86+BA87+BA88</f>
        <v>-8702.5495146797</v>
      </c>
      <c r="BB91" s="72" t="n">
        <f aca="false">BB63-BB72+BB86+BB87+BB88</f>
        <v>-8688.66062579081</v>
      </c>
      <c r="BC91" s="72" t="n">
        <f aca="false">BC63-BC72+BC86+BC87+BC88</f>
        <v>-8674.77173690192</v>
      </c>
      <c r="BD91" s="72" t="n">
        <f aca="false">BD63-BD72+BD86+BD87+BD88</f>
        <v>-8660.88284801303</v>
      </c>
      <c r="BE91" s="72" t="n">
        <f aca="false">BE63-BE72+BE86+BE87+BE88</f>
        <v>-8646.99395912414</v>
      </c>
      <c r="BF91" s="72" t="n">
        <f aca="false">BF63-BF72+BF86+BF87+BF88</f>
        <v>-8633.10507023525</v>
      </c>
      <c r="BG91" s="72" t="n">
        <f aca="false">BG63-BG72+BG86+BG87+BG88</f>
        <v>-8619.21618134636</v>
      </c>
      <c r="BH91" s="72" t="n">
        <f aca="false">BH63-BH72+BH86+BH87+BH88</f>
        <v>-8605.32729245747</v>
      </c>
      <c r="BI91" s="72" t="n">
        <f aca="false">BI63-BI72+BI86+BI87+BI88</f>
        <v>-8591.43840356859</v>
      </c>
      <c r="BJ91" s="72" t="n">
        <f aca="false">BJ63-BJ72+BJ86+BJ87+BJ88</f>
        <v>-8577.5495146797</v>
      </c>
    </row>
    <row r="92" customFormat="false" ht="15" hidden="false" customHeight="false" outlineLevel="0" collapsed="false">
      <c r="A92" s="6" t="s">
        <v>450</v>
      </c>
      <c r="C92" s="66" t="n">
        <f aca="false">-C70</f>
        <v>-442000</v>
      </c>
      <c r="D92" s="66" t="n">
        <f aca="false">-D70</f>
        <v>-0</v>
      </c>
      <c r="E92" s="66" t="n">
        <f aca="false">-E70</f>
        <v>-0</v>
      </c>
      <c r="F92" s="66" t="n">
        <f aca="false">-F70</f>
        <v>-0</v>
      </c>
      <c r="G92" s="66" t="n">
        <f aca="false">-G70</f>
        <v>-0</v>
      </c>
      <c r="H92" s="66" t="n">
        <f aca="false">-H70</f>
        <v>-0</v>
      </c>
      <c r="I92" s="66" t="n">
        <f aca="false">-I70</f>
        <v>-0</v>
      </c>
      <c r="J92" s="66" t="n">
        <f aca="false">-J70</f>
        <v>-0</v>
      </c>
      <c r="K92" s="66" t="n">
        <f aca="false">-K70</f>
        <v>-0</v>
      </c>
      <c r="L92" s="66" t="n">
        <f aca="false">-L70</f>
        <v>-0</v>
      </c>
      <c r="M92" s="66" t="n">
        <f aca="false">-M70</f>
        <v>-0</v>
      </c>
      <c r="N92" s="66" t="n">
        <f aca="false">-N70</f>
        <v>-0</v>
      </c>
      <c r="O92" s="66" t="n">
        <f aca="false">-O70</f>
        <v>-9000</v>
      </c>
      <c r="P92" s="66" t="n">
        <f aca="false">-P70</f>
        <v>-0</v>
      </c>
      <c r="Q92" s="66" t="n">
        <f aca="false">-Q70</f>
        <v>-0</v>
      </c>
      <c r="R92" s="66" t="n">
        <f aca="false">-R70</f>
        <v>-0</v>
      </c>
      <c r="S92" s="66" t="n">
        <f aca="false">-S70</f>
        <v>-0</v>
      </c>
      <c r="T92" s="66" t="n">
        <f aca="false">-T70</f>
        <v>-0</v>
      </c>
      <c r="U92" s="66" t="n">
        <f aca="false">-U70</f>
        <v>-0</v>
      </c>
      <c r="V92" s="66" t="n">
        <f aca="false">-V70</f>
        <v>-0</v>
      </c>
      <c r="W92" s="66" t="n">
        <f aca="false">-W70</f>
        <v>-0</v>
      </c>
      <c r="X92" s="66" t="n">
        <f aca="false">-X70</f>
        <v>-0</v>
      </c>
      <c r="Y92" s="66" t="n">
        <f aca="false">-Y70</f>
        <v>-0</v>
      </c>
      <c r="Z92" s="66" t="n">
        <f aca="false">-Z70</f>
        <v>-0</v>
      </c>
      <c r="AA92" s="66" t="n">
        <f aca="false">-AA70</f>
        <v>-9000</v>
      </c>
      <c r="AB92" s="66" t="n">
        <f aca="false">-AB70</f>
        <v>-0</v>
      </c>
      <c r="AC92" s="66" t="n">
        <f aca="false">-AC70</f>
        <v>-0</v>
      </c>
      <c r="AD92" s="66" t="n">
        <f aca="false">-AD70</f>
        <v>-0</v>
      </c>
      <c r="AE92" s="66" t="n">
        <f aca="false">-AE70</f>
        <v>-0</v>
      </c>
      <c r="AF92" s="66" t="n">
        <f aca="false">-AF70</f>
        <v>-0</v>
      </c>
      <c r="AG92" s="66" t="n">
        <f aca="false">-AG70</f>
        <v>-0</v>
      </c>
      <c r="AH92" s="66" t="n">
        <f aca="false">-AH70</f>
        <v>-0</v>
      </c>
      <c r="AI92" s="66" t="n">
        <f aca="false">-AI70</f>
        <v>-0</v>
      </c>
      <c r="AJ92" s="66" t="n">
        <f aca="false">-AJ70</f>
        <v>-0</v>
      </c>
      <c r="AK92" s="66" t="n">
        <f aca="false">-AK70</f>
        <v>-0</v>
      </c>
      <c r="AL92" s="66" t="n">
        <f aca="false">-AL70</f>
        <v>-0</v>
      </c>
      <c r="AM92" s="66" t="n">
        <f aca="false">-AM70</f>
        <v>-9000</v>
      </c>
      <c r="AN92" s="66" t="n">
        <f aca="false">-AN70</f>
        <v>-0</v>
      </c>
      <c r="AO92" s="66" t="n">
        <f aca="false">-AO70</f>
        <v>-0</v>
      </c>
      <c r="AP92" s="66" t="n">
        <f aca="false">-AP70</f>
        <v>-0</v>
      </c>
      <c r="AQ92" s="66" t="n">
        <f aca="false">-AQ70</f>
        <v>-0</v>
      </c>
      <c r="AR92" s="66" t="n">
        <f aca="false">-AR70</f>
        <v>-0</v>
      </c>
      <c r="AS92" s="66" t="n">
        <f aca="false">-AS70</f>
        <v>-0</v>
      </c>
      <c r="AT92" s="66" t="n">
        <f aca="false">-AT70</f>
        <v>-0</v>
      </c>
      <c r="AU92" s="66" t="n">
        <f aca="false">-AU70</f>
        <v>-0</v>
      </c>
      <c r="AV92" s="66" t="n">
        <f aca="false">-AV70</f>
        <v>-0</v>
      </c>
      <c r="AW92" s="66" t="n">
        <f aca="false">-AW70</f>
        <v>-0</v>
      </c>
      <c r="AX92" s="66" t="n">
        <f aca="false">-AX70</f>
        <v>-0</v>
      </c>
      <c r="AY92" s="66" t="n">
        <f aca="false">-AY70</f>
        <v>-9000</v>
      </c>
      <c r="AZ92" s="66" t="n">
        <f aca="false">-AZ70</f>
        <v>-0</v>
      </c>
      <c r="BA92" s="66" t="n">
        <f aca="false">-BA70</f>
        <v>-0</v>
      </c>
      <c r="BB92" s="66" t="n">
        <f aca="false">-BB70</f>
        <v>-0</v>
      </c>
      <c r="BC92" s="66" t="n">
        <f aca="false">-BC70</f>
        <v>-0</v>
      </c>
      <c r="BD92" s="66" t="n">
        <f aca="false">-BD70</f>
        <v>-0</v>
      </c>
      <c r="BE92" s="66" t="n">
        <f aca="false">-BE70</f>
        <v>-0</v>
      </c>
      <c r="BF92" s="66" t="n">
        <f aca="false">-BF70</f>
        <v>-0</v>
      </c>
      <c r="BG92" s="66" t="n">
        <f aca="false">-BG70</f>
        <v>-0</v>
      </c>
      <c r="BH92" s="66" t="n">
        <f aca="false">-BH70</f>
        <v>-0</v>
      </c>
      <c r="BI92" s="66" t="n">
        <f aca="false">-BI70</f>
        <v>-0</v>
      </c>
      <c r="BJ92" s="66" t="n">
        <f aca="false">-BJ70</f>
        <v>-0</v>
      </c>
    </row>
    <row r="93" customFormat="false" ht="15" hidden="false" customHeight="false" outlineLevel="0" collapsed="false">
      <c r="A93" s="6" t="s">
        <v>63</v>
      </c>
      <c r="C93" s="66" t="n">
        <f aca="false">IF(C$6=1,Inputs!$B$73,0)</f>
        <v>450000</v>
      </c>
      <c r="D93" s="66" t="n">
        <f aca="false">IF(D$6=1,Inputs!$B$73,0)</f>
        <v>0</v>
      </c>
      <c r="E93" s="66" t="n">
        <f aca="false">IF(E$6=1,Inputs!$B$73,0)</f>
        <v>0</v>
      </c>
      <c r="F93" s="66" t="n">
        <f aca="false">IF(F$6=1,Inputs!$B$73,0)</f>
        <v>0</v>
      </c>
      <c r="G93" s="66" t="n">
        <f aca="false">IF(G$6=1,Inputs!$B$73,0)</f>
        <v>0</v>
      </c>
      <c r="H93" s="66" t="n">
        <f aca="false">IF(H$6=1,Inputs!$B$73,0)</f>
        <v>0</v>
      </c>
      <c r="I93" s="66" t="n">
        <f aca="false">IF(I$6=1,Inputs!$B$73,0)</f>
        <v>0</v>
      </c>
      <c r="J93" s="66" t="n">
        <f aca="false">IF(J$6=1,Inputs!$B$73,0)</f>
        <v>0</v>
      </c>
      <c r="K93" s="66" t="n">
        <f aca="false">IF(K$6=1,Inputs!$B$73,0)</f>
        <v>0</v>
      </c>
      <c r="L93" s="66" t="n">
        <f aca="false">IF(L$6=1,Inputs!$B$73,0)</f>
        <v>0</v>
      </c>
      <c r="M93" s="66" t="n">
        <f aca="false">IF(M$6=1,Inputs!$B$73,0)</f>
        <v>0</v>
      </c>
      <c r="N93" s="66" t="n">
        <f aca="false">IF(N$6=1,Inputs!$B$73,0)</f>
        <v>0</v>
      </c>
      <c r="O93" s="66" t="n">
        <f aca="false">IF(O$6=1,Inputs!$B$73,0)</f>
        <v>0</v>
      </c>
      <c r="P93" s="66" t="n">
        <f aca="false">IF(P$6=1,Inputs!$B$73,0)</f>
        <v>0</v>
      </c>
      <c r="Q93" s="66" t="n">
        <f aca="false">IF(Q$6=1,Inputs!$B$73,0)</f>
        <v>0</v>
      </c>
      <c r="R93" s="66" t="n">
        <f aca="false">IF(R$6=1,Inputs!$B$73,0)</f>
        <v>0</v>
      </c>
      <c r="S93" s="66" t="n">
        <f aca="false">IF(S$6=1,Inputs!$B$73,0)</f>
        <v>0</v>
      </c>
      <c r="T93" s="66" t="n">
        <f aca="false">IF(T$6=1,Inputs!$B$73,0)</f>
        <v>0</v>
      </c>
      <c r="U93" s="66" t="n">
        <f aca="false">IF(U$6=1,Inputs!$B$73,0)</f>
        <v>0</v>
      </c>
      <c r="V93" s="66" t="n">
        <f aca="false">IF(V$6=1,Inputs!$B$73,0)</f>
        <v>0</v>
      </c>
      <c r="W93" s="66" t="n">
        <f aca="false">IF(W$6=1,Inputs!$B$73,0)</f>
        <v>0</v>
      </c>
      <c r="X93" s="66" t="n">
        <f aca="false">IF(X$6=1,Inputs!$B$73,0)</f>
        <v>0</v>
      </c>
      <c r="Y93" s="66" t="n">
        <f aca="false">IF(Y$6=1,Inputs!$B$73,0)</f>
        <v>0</v>
      </c>
      <c r="Z93" s="66" t="n">
        <f aca="false">IF(Z$6=1,Inputs!$B$73,0)</f>
        <v>0</v>
      </c>
      <c r="AA93" s="66" t="n">
        <f aca="false">IF(AA$6=1,Inputs!$B$73,0)</f>
        <v>0</v>
      </c>
      <c r="AB93" s="66" t="n">
        <f aca="false">IF(AB$6=1,Inputs!$B$73,0)</f>
        <v>0</v>
      </c>
      <c r="AC93" s="66" t="n">
        <f aca="false">IF(AC$6=1,Inputs!$B$73,0)</f>
        <v>0</v>
      </c>
      <c r="AD93" s="66" t="n">
        <f aca="false">IF(AD$6=1,Inputs!$B$73,0)</f>
        <v>0</v>
      </c>
      <c r="AE93" s="66" t="n">
        <f aca="false">IF(AE$6=1,Inputs!$B$73,0)</f>
        <v>0</v>
      </c>
      <c r="AF93" s="66" t="n">
        <f aca="false">IF(AF$6=1,Inputs!$B$73,0)</f>
        <v>0</v>
      </c>
      <c r="AG93" s="66" t="n">
        <f aca="false">IF(AG$6=1,Inputs!$B$73,0)</f>
        <v>0</v>
      </c>
      <c r="AH93" s="66" t="n">
        <f aca="false">IF(AH$6=1,Inputs!$B$73,0)</f>
        <v>0</v>
      </c>
      <c r="AI93" s="66" t="n">
        <f aca="false">IF(AI$6=1,Inputs!$B$73,0)</f>
        <v>0</v>
      </c>
      <c r="AJ93" s="66" t="n">
        <f aca="false">IF(AJ$6=1,Inputs!$B$73,0)</f>
        <v>0</v>
      </c>
      <c r="AK93" s="66" t="n">
        <f aca="false">IF(AK$6=1,Inputs!$B$73,0)</f>
        <v>0</v>
      </c>
      <c r="AL93" s="66" t="n">
        <f aca="false">IF(AL$6=1,Inputs!$B$73,0)</f>
        <v>0</v>
      </c>
      <c r="AM93" s="66" t="n">
        <f aca="false">IF(AM$6=1,Inputs!$B$73,0)</f>
        <v>0</v>
      </c>
      <c r="AN93" s="66" t="n">
        <f aca="false">IF(AN$6=1,Inputs!$B$73,0)</f>
        <v>0</v>
      </c>
      <c r="AO93" s="66" t="n">
        <f aca="false">IF(AO$6=1,Inputs!$B$73,0)</f>
        <v>0</v>
      </c>
      <c r="AP93" s="66" t="n">
        <f aca="false">IF(AP$6=1,Inputs!$B$73,0)</f>
        <v>0</v>
      </c>
      <c r="AQ93" s="66" t="n">
        <f aca="false">IF(AQ$6=1,Inputs!$B$73,0)</f>
        <v>0</v>
      </c>
      <c r="AR93" s="66" t="n">
        <f aca="false">IF(AR$6=1,Inputs!$B$73,0)</f>
        <v>0</v>
      </c>
      <c r="AS93" s="66" t="n">
        <f aca="false">IF(AS$6=1,Inputs!$B$73,0)</f>
        <v>0</v>
      </c>
      <c r="AT93" s="66" t="n">
        <f aca="false">IF(AT$6=1,Inputs!$B$73,0)</f>
        <v>0</v>
      </c>
      <c r="AU93" s="66" t="n">
        <f aca="false">IF(AU$6=1,Inputs!$B$73,0)</f>
        <v>0</v>
      </c>
      <c r="AV93" s="66" t="n">
        <f aca="false">IF(AV$6=1,Inputs!$B$73,0)</f>
        <v>0</v>
      </c>
      <c r="AW93" s="66" t="n">
        <f aca="false">IF(AW$6=1,Inputs!$B$73,0)</f>
        <v>0</v>
      </c>
      <c r="AX93" s="66" t="n">
        <f aca="false">IF(AX$6=1,Inputs!$B$73,0)</f>
        <v>0</v>
      </c>
      <c r="AY93" s="66" t="n">
        <f aca="false">IF(AY$6=1,Inputs!$B$73,0)</f>
        <v>0</v>
      </c>
      <c r="AZ93" s="66" t="n">
        <f aca="false">IF(AZ$6=1,Inputs!$B$73,0)</f>
        <v>0</v>
      </c>
      <c r="BA93" s="66" t="n">
        <f aca="false">IF(BA$6=1,Inputs!$B$73,0)</f>
        <v>0</v>
      </c>
      <c r="BB93" s="66" t="n">
        <f aca="false">IF(BB$6=1,Inputs!$B$73,0)</f>
        <v>0</v>
      </c>
      <c r="BC93" s="66" t="n">
        <f aca="false">IF(BC$6=1,Inputs!$B$73,0)</f>
        <v>0</v>
      </c>
      <c r="BD93" s="66" t="n">
        <f aca="false">IF(BD$6=1,Inputs!$B$73,0)</f>
        <v>0</v>
      </c>
      <c r="BE93" s="66" t="n">
        <f aca="false">IF(BE$6=1,Inputs!$B$73,0)</f>
        <v>0</v>
      </c>
      <c r="BF93" s="66" t="n">
        <f aca="false">IF(BF$6=1,Inputs!$B$73,0)</f>
        <v>0</v>
      </c>
      <c r="BG93" s="66" t="n">
        <f aca="false">IF(BG$6=1,Inputs!$B$73,0)</f>
        <v>0</v>
      </c>
      <c r="BH93" s="66" t="n">
        <f aca="false">IF(BH$6=1,Inputs!$B$73,0)</f>
        <v>0</v>
      </c>
      <c r="BI93" s="66" t="n">
        <f aca="false">IF(BI$6=1,Inputs!$B$73,0)</f>
        <v>0</v>
      </c>
      <c r="BJ93" s="66" t="n">
        <f aca="false">IF(BJ$6=1,Inputs!$B$73,0)</f>
        <v>0</v>
      </c>
    </row>
    <row r="94" customFormat="false" ht="15" hidden="false" customHeight="false" outlineLevel="0" collapsed="false">
      <c r="A94" s="6" t="s">
        <v>54</v>
      </c>
      <c r="C94" s="66" t="n">
        <f aca="false">C93+C78+C79</f>
        <v>700000</v>
      </c>
      <c r="D94" s="66" t="n">
        <f aca="false">D93+D78+D79</f>
        <v>-2083.33333333333</v>
      </c>
      <c r="E94" s="66" t="n">
        <f aca="false">E93+E78+E79</f>
        <v>-2083.33333333333</v>
      </c>
      <c r="F94" s="66" t="n">
        <f aca="false">F93+F78+F79</f>
        <v>-2083.33333333333</v>
      </c>
      <c r="G94" s="66" t="n">
        <f aca="false">G93+G78+G79</f>
        <v>-2083.33333333333</v>
      </c>
      <c r="H94" s="66" t="n">
        <f aca="false">H93+H78+H79</f>
        <v>-2083.33333333333</v>
      </c>
      <c r="I94" s="66" t="n">
        <f aca="false">I93+I78+I79</f>
        <v>-2083.33333333333</v>
      </c>
      <c r="J94" s="66" t="n">
        <f aca="false">J93+J78+J79</f>
        <v>-2083.33333333333</v>
      </c>
      <c r="K94" s="66" t="n">
        <f aca="false">K93+K78+K79</f>
        <v>-2083.33333333333</v>
      </c>
      <c r="L94" s="66" t="n">
        <f aca="false">L93+L78+L79</f>
        <v>-2083.33333333333</v>
      </c>
      <c r="M94" s="66" t="n">
        <f aca="false">M93+M78+M79</f>
        <v>-2083.33333333333</v>
      </c>
      <c r="N94" s="66" t="n">
        <f aca="false">N93+N78+N79</f>
        <v>-2083.33333333333</v>
      </c>
      <c r="O94" s="66" t="n">
        <f aca="false">O93+O78+O79</f>
        <v>-2083.33333333333</v>
      </c>
      <c r="P94" s="66" t="n">
        <f aca="false">P93+P78+P79</f>
        <v>-2083.33333333333</v>
      </c>
      <c r="Q94" s="66" t="n">
        <f aca="false">Q93+Q78+Q79</f>
        <v>-2083.33333333333</v>
      </c>
      <c r="R94" s="66" t="n">
        <f aca="false">R93+R78+R79</f>
        <v>-2083.33333333333</v>
      </c>
      <c r="S94" s="66" t="n">
        <f aca="false">S93+S78+S79</f>
        <v>-2083.33333333333</v>
      </c>
      <c r="T94" s="66" t="n">
        <f aca="false">T93+T78+T79</f>
        <v>-2083.33333333333</v>
      </c>
      <c r="U94" s="66" t="n">
        <f aca="false">U93+U78+U79</f>
        <v>-2083.33333333333</v>
      </c>
      <c r="V94" s="66" t="n">
        <f aca="false">V93+V78+V79</f>
        <v>-2083.33333333333</v>
      </c>
      <c r="W94" s="66" t="n">
        <f aca="false">W93+W78+W79</f>
        <v>-2083.33333333333</v>
      </c>
      <c r="X94" s="66" t="n">
        <f aca="false">X93+X78+X79</f>
        <v>-2083.33333333333</v>
      </c>
      <c r="Y94" s="66" t="n">
        <f aca="false">Y93+Y78+Y79</f>
        <v>-2083.33333333333</v>
      </c>
      <c r="Z94" s="66" t="n">
        <f aca="false">Z93+Z78+Z79</f>
        <v>-2083.33333333333</v>
      </c>
      <c r="AA94" s="66" t="n">
        <f aca="false">AA93+AA78+AA79</f>
        <v>-2083.33333333333</v>
      </c>
      <c r="AB94" s="66" t="n">
        <f aca="false">AB93+AB78+AB79</f>
        <v>-2083.33333333333</v>
      </c>
      <c r="AC94" s="66" t="n">
        <f aca="false">AC93+AC78+AC79</f>
        <v>-2083.33333333333</v>
      </c>
      <c r="AD94" s="66" t="n">
        <f aca="false">AD93+AD78+AD79</f>
        <v>-2083.33333333333</v>
      </c>
      <c r="AE94" s="66" t="n">
        <f aca="false">AE93+AE78+AE79</f>
        <v>-2083.33333333333</v>
      </c>
      <c r="AF94" s="66" t="n">
        <f aca="false">AF93+AF78+AF79</f>
        <v>-2083.33333333333</v>
      </c>
      <c r="AG94" s="66" t="n">
        <f aca="false">AG93+AG78+AG79</f>
        <v>-2083.33333333333</v>
      </c>
      <c r="AH94" s="66" t="n">
        <f aca="false">AH93+AH78+AH79</f>
        <v>-2083.33333333333</v>
      </c>
      <c r="AI94" s="66" t="n">
        <f aca="false">AI93+AI78+AI79</f>
        <v>-2083.33333333333</v>
      </c>
      <c r="AJ94" s="66" t="n">
        <f aca="false">AJ93+AJ78+AJ79</f>
        <v>-2083.33333333333</v>
      </c>
      <c r="AK94" s="66" t="n">
        <f aca="false">AK93+AK78+AK79</f>
        <v>-2083.33333333333</v>
      </c>
      <c r="AL94" s="66" t="n">
        <f aca="false">AL93+AL78+AL79</f>
        <v>-2083.33333333333</v>
      </c>
      <c r="AM94" s="66" t="n">
        <f aca="false">AM93+AM78+AM79</f>
        <v>-2083.33333333333</v>
      </c>
      <c r="AN94" s="66" t="n">
        <f aca="false">AN93+AN78+AN79</f>
        <v>-2083.33333333333</v>
      </c>
      <c r="AO94" s="66" t="n">
        <f aca="false">AO93+AO78+AO79</f>
        <v>-2083.33333333333</v>
      </c>
      <c r="AP94" s="66" t="n">
        <f aca="false">AP93+AP78+AP79</f>
        <v>-2083.33333333333</v>
      </c>
      <c r="AQ94" s="66" t="n">
        <f aca="false">AQ93+AQ78+AQ79</f>
        <v>-2083.33333333333</v>
      </c>
      <c r="AR94" s="66" t="n">
        <f aca="false">AR93+AR78+AR79</f>
        <v>-2083.33333333333</v>
      </c>
      <c r="AS94" s="66" t="n">
        <f aca="false">AS93+AS78+AS79</f>
        <v>-2083.33333333333</v>
      </c>
      <c r="AT94" s="66" t="n">
        <f aca="false">AT93+AT78+AT79</f>
        <v>-2083.33333333333</v>
      </c>
      <c r="AU94" s="66" t="n">
        <f aca="false">AU93+AU78+AU79</f>
        <v>-2083.33333333333</v>
      </c>
      <c r="AV94" s="66" t="n">
        <f aca="false">AV93+AV78+AV79</f>
        <v>-2083.33333333333</v>
      </c>
      <c r="AW94" s="66" t="n">
        <f aca="false">AW93+AW78+AW79</f>
        <v>-2083.33333333333</v>
      </c>
      <c r="AX94" s="66" t="n">
        <f aca="false">AX93+AX78+AX79</f>
        <v>-2083.33333333333</v>
      </c>
      <c r="AY94" s="66" t="n">
        <f aca="false">AY93+AY78+AY79</f>
        <v>-2083.33333333333</v>
      </c>
      <c r="AZ94" s="66" t="n">
        <f aca="false">AZ93+AZ78+AZ79</f>
        <v>-2083.33333333333</v>
      </c>
      <c r="BA94" s="66" t="n">
        <f aca="false">BA93+BA78+BA79</f>
        <v>-2083.33333333333</v>
      </c>
      <c r="BB94" s="66" t="n">
        <f aca="false">BB93+BB78+BB79</f>
        <v>-2083.33333333333</v>
      </c>
      <c r="BC94" s="66" t="n">
        <f aca="false">BC93+BC78+BC79</f>
        <v>-2083.33333333333</v>
      </c>
      <c r="BD94" s="66" t="n">
        <f aca="false">BD93+BD78+BD79</f>
        <v>-2083.33333333333</v>
      </c>
      <c r="BE94" s="66" t="n">
        <f aca="false">BE93+BE78+BE79</f>
        <v>-2083.33333333333</v>
      </c>
      <c r="BF94" s="66" t="n">
        <f aca="false">BF93+BF78+BF79</f>
        <v>-2083.33333333333</v>
      </c>
      <c r="BG94" s="66" t="n">
        <f aca="false">BG93+BG78+BG79</f>
        <v>-2083.33333333333</v>
      </c>
      <c r="BH94" s="66" t="n">
        <f aca="false">BH93+BH78+BH79</f>
        <v>-2083.33333333333</v>
      </c>
      <c r="BI94" s="66" t="n">
        <f aca="false">BI93+BI78+BI79</f>
        <v>-2083.33333333333</v>
      </c>
      <c r="BJ94" s="66" t="n">
        <f aca="false">BJ93+BJ78+BJ79</f>
        <v>-2083.33333333333</v>
      </c>
    </row>
    <row r="95" customFormat="false" ht="15" hidden="false" customHeight="false" outlineLevel="0" collapsed="false">
      <c r="A95" s="110" t="s">
        <v>451</v>
      </c>
      <c r="C95" s="67" t="n">
        <f aca="false">C91+C92+C94</f>
        <v>230492.185621111</v>
      </c>
      <c r="D95" s="67" t="n">
        <f aca="false">D91+D92+D94</f>
        <v>-26918.3368265556</v>
      </c>
      <c r="E95" s="67" t="n">
        <f aca="false">E91+E92+E94</f>
        <v>-25252.3220686667</v>
      </c>
      <c r="F95" s="67" t="n">
        <f aca="false">F91+F92+F94</f>
        <v>-23287.3073107778</v>
      </c>
      <c r="G95" s="67" t="n">
        <f aca="false">G91+G92+G94</f>
        <v>-24445.0703306667</v>
      </c>
      <c r="H95" s="67" t="n">
        <f aca="false">H91+H92+H94</f>
        <v>-26738.3889061111</v>
      </c>
      <c r="I95" s="67" t="n">
        <f aca="false">I91+I92+I94</f>
        <v>-25908.9297037778</v>
      </c>
      <c r="J95" s="67" t="n">
        <f aca="false">J91+J92+J94</f>
        <v>-23943.9149458889</v>
      </c>
      <c r="K95" s="67" t="n">
        <f aca="false">K91+K92+K94</f>
        <v>-21978.900188</v>
      </c>
      <c r="L95" s="67" t="n">
        <f aca="false">L91+L92+L94</f>
        <v>-20013.8854301111</v>
      </c>
      <c r="M95" s="67" t="n">
        <f aca="false">M91+M92+M94</f>
        <v>-18048.8706722222</v>
      </c>
      <c r="N95" s="67" t="n">
        <f aca="false">N91+N92+N94</f>
        <v>-16083.8559143333</v>
      </c>
      <c r="O95" s="67" t="n">
        <f aca="false">O91+O92+O94</f>
        <v>-23623.6708913278</v>
      </c>
      <c r="P95" s="67" t="n">
        <f aca="false">P91+P92+P94</f>
        <v>-15619.4068874083</v>
      </c>
      <c r="Q95" s="67" t="n">
        <f aca="false">Q91+Q92+Q94</f>
        <v>-17992.9699161278</v>
      </c>
      <c r="R95" s="67" t="n">
        <f aca="false">R91+R92+R94</f>
        <v>-17150.0718337361</v>
      </c>
      <c r="S95" s="67" t="n">
        <f aca="false">S91+S92+S94</f>
        <v>-15137.5515291222</v>
      </c>
      <c r="T95" s="67" t="n">
        <f aca="false">T91+T92+T94</f>
        <v>-13125.0312245083</v>
      </c>
      <c r="U95" s="67" t="n">
        <f aca="false">U91+U92+U94</f>
        <v>-11112.5109198945</v>
      </c>
      <c r="V95" s="67" t="n">
        <f aca="false">V91+V92+V94</f>
        <v>-10289.1685289222</v>
      </c>
      <c r="W95" s="67" t="n">
        <f aca="false">W91+W92+W94</f>
        <v>-10368.5546400333</v>
      </c>
      <c r="X95" s="67" t="n">
        <f aca="false">X91+X92+X94</f>
        <v>-10354.6657511445</v>
      </c>
      <c r="Y95" s="67" t="n">
        <f aca="false">Y91+Y92+Y94</f>
        <v>-10340.7768622556</v>
      </c>
      <c r="Z95" s="67" t="n">
        <f aca="false">Z91+Z92+Z94</f>
        <v>-10326.8879733667</v>
      </c>
      <c r="AA95" s="67" t="n">
        <f aca="false">AA91+AA92+AA94</f>
        <v>-19877.2139616203</v>
      </c>
      <c r="AB95" s="67" t="n">
        <f aca="false">AB91+AB92+AB94</f>
        <v>-10562.7081022564</v>
      </c>
      <c r="AC95" s="67" t="n">
        <f aca="false">AC91+AC92+AC94</f>
        <v>-10548.8192133675</v>
      </c>
      <c r="AD95" s="67" t="n">
        <f aca="false">AD91+AD92+AD94</f>
        <v>-10534.9303244786</v>
      </c>
      <c r="AE95" s="67" t="n">
        <f aca="false">AE91+AE92+AE94</f>
        <v>-10521.0414355897</v>
      </c>
      <c r="AF95" s="67" t="n">
        <f aca="false">AF91+AF92+AF94</f>
        <v>-10507.1525467009</v>
      </c>
      <c r="AG95" s="67" t="n">
        <f aca="false">AG91+AG92+AG94</f>
        <v>-10493.263657812</v>
      </c>
      <c r="AH95" s="67" t="n">
        <f aca="false">AH91+AH92+AH94</f>
        <v>-10479.3747689231</v>
      </c>
      <c r="AI95" s="67" t="n">
        <f aca="false">AI91+AI92+AI94</f>
        <v>-10465.4858800342</v>
      </c>
      <c r="AJ95" s="67" t="n">
        <f aca="false">AJ91+AJ92+AJ94</f>
        <v>-10451.5969911453</v>
      </c>
      <c r="AK95" s="67" t="n">
        <f aca="false">AK91+AK92+AK94</f>
        <v>-10437.7081022564</v>
      </c>
      <c r="AL95" s="67" t="n">
        <f aca="false">AL91+AL92+AL94</f>
        <v>-10423.8192133675</v>
      </c>
      <c r="AM95" s="67" t="n">
        <f aca="false">AM91+AM92+AM94</f>
        <v>-19994.5801167777</v>
      </c>
      <c r="AN95" s="67" t="n">
        <f aca="false">AN91+AN92+AN94</f>
        <v>-10673.8451861439</v>
      </c>
      <c r="AO95" s="67" t="n">
        <f aca="false">AO91+AO92+AO94</f>
        <v>-10659.956297255</v>
      </c>
      <c r="AP95" s="67" t="n">
        <f aca="false">AP91+AP92+AP94</f>
        <v>-10646.0674083662</v>
      </c>
      <c r="AQ95" s="67" t="n">
        <f aca="false">AQ91+AQ92+AQ94</f>
        <v>-10632.1785194773</v>
      </c>
      <c r="AR95" s="67" t="n">
        <f aca="false">AR91+AR92+AR94</f>
        <v>-10618.2896305884</v>
      </c>
      <c r="AS95" s="67" t="n">
        <f aca="false">AS91+AS92+AS94</f>
        <v>-10604.4007416995</v>
      </c>
      <c r="AT95" s="67" t="n">
        <f aca="false">AT91+AT92+AT94</f>
        <v>-10590.5118528106</v>
      </c>
      <c r="AU95" s="67" t="n">
        <f aca="false">AU91+AU92+AU94</f>
        <v>-10576.6229639217</v>
      </c>
      <c r="AV95" s="67" t="n">
        <f aca="false">AV91+AV92+AV94</f>
        <v>-10562.7340750328</v>
      </c>
      <c r="AW95" s="67" t="n">
        <f aca="false">AW91+AW92+AW94</f>
        <v>-10548.8451861439</v>
      </c>
      <c r="AX95" s="67" t="n">
        <f aca="false">AX91+AX92+AX94</f>
        <v>-10534.956297255</v>
      </c>
      <c r="AY95" s="67" t="n">
        <f aca="false">AY91+AY92+AY94</f>
        <v>-20126.8528749975</v>
      </c>
      <c r="AZ95" s="67" t="n">
        <f aca="false">AZ91+AZ92+AZ94</f>
        <v>-10799.7717369019</v>
      </c>
      <c r="BA95" s="67" t="n">
        <f aca="false">BA91+BA92+BA94</f>
        <v>-10785.882848013</v>
      </c>
      <c r="BB95" s="67" t="n">
        <f aca="false">BB91+BB92+BB94</f>
        <v>-10771.9939591241</v>
      </c>
      <c r="BC95" s="67" t="n">
        <f aca="false">BC91+BC92+BC94</f>
        <v>-10758.1050702353</v>
      </c>
      <c r="BD95" s="67" t="n">
        <f aca="false">BD91+BD92+BD94</f>
        <v>-10744.2161813464</v>
      </c>
      <c r="BE95" s="67" t="n">
        <f aca="false">BE91+BE92+BE94</f>
        <v>-10730.3272924575</v>
      </c>
      <c r="BF95" s="67" t="n">
        <f aca="false">BF91+BF92+BF94</f>
        <v>-10716.4384035686</v>
      </c>
      <c r="BG95" s="67" t="n">
        <f aca="false">BG91+BG92+BG94</f>
        <v>-10702.5495146797</v>
      </c>
      <c r="BH95" s="67" t="n">
        <f aca="false">BH91+BH92+BH94</f>
        <v>-10688.6606257908</v>
      </c>
      <c r="BI95" s="67" t="n">
        <f aca="false">BI91+BI92+BI94</f>
        <v>-10674.7717369019</v>
      </c>
      <c r="BJ95" s="67" t="n">
        <f aca="false">BJ91+BJ92+BJ94</f>
        <v>-10660.882848013</v>
      </c>
    </row>
    <row r="96" customFormat="false" ht="15" hidden="false" customHeight="false" outlineLevel="0" collapsed="false">
      <c r="A96" s="6" t="s">
        <v>351</v>
      </c>
      <c r="C96" s="66" t="n">
        <f aca="false">0</f>
        <v>0</v>
      </c>
      <c r="D96" s="66" t="n">
        <f aca="false">C97</f>
        <v>230492.185621111</v>
      </c>
      <c r="E96" s="66" t="n">
        <f aca="false">D97</f>
        <v>203573.848794556</v>
      </c>
      <c r="F96" s="66" t="n">
        <f aca="false">E97</f>
        <v>178321.526725889</v>
      </c>
      <c r="G96" s="66" t="n">
        <f aca="false">F97</f>
        <v>155034.219415111</v>
      </c>
      <c r="H96" s="66" t="n">
        <f aca="false">G97</f>
        <v>130589.149084444</v>
      </c>
      <c r="I96" s="66" t="n">
        <f aca="false">H97</f>
        <v>103850.760178333</v>
      </c>
      <c r="J96" s="66" t="n">
        <f aca="false">I97</f>
        <v>77941.8304745556</v>
      </c>
      <c r="K96" s="66" t="n">
        <f aca="false">J97</f>
        <v>53997.9155286667</v>
      </c>
      <c r="L96" s="66" t="n">
        <f aca="false">K97</f>
        <v>32019.0153406667</v>
      </c>
      <c r="M96" s="66" t="n">
        <f aca="false">L97</f>
        <v>12005.1299105556</v>
      </c>
      <c r="N96" s="66" t="n">
        <f aca="false">M97</f>
        <v>-6043.74076166664</v>
      </c>
      <c r="O96" s="66" t="n">
        <f aca="false">N97</f>
        <v>-22127.596676</v>
      </c>
      <c r="P96" s="66" t="n">
        <f aca="false">O97</f>
        <v>-45751.2675673278</v>
      </c>
      <c r="Q96" s="66" t="n">
        <f aca="false">P97</f>
        <v>-61370.6744547361</v>
      </c>
      <c r="R96" s="66" t="n">
        <f aca="false">Q97</f>
        <v>-79363.6443708639</v>
      </c>
      <c r="S96" s="66" t="n">
        <f aca="false">R97</f>
        <v>-96513.7162046</v>
      </c>
      <c r="T96" s="66" t="n">
        <f aca="false">S97</f>
        <v>-111651.267733722</v>
      </c>
      <c r="U96" s="66" t="n">
        <f aca="false">T97</f>
        <v>-124776.298958231</v>
      </c>
      <c r="V96" s="66" t="n">
        <f aca="false">U97</f>
        <v>-135888.809878125</v>
      </c>
      <c r="W96" s="66" t="n">
        <f aca="false">V97</f>
        <v>-146177.978407047</v>
      </c>
      <c r="X96" s="66" t="n">
        <f aca="false">W97</f>
        <v>-156546.533047081</v>
      </c>
      <c r="Y96" s="66" t="n">
        <f aca="false">X97</f>
        <v>-166901.198798225</v>
      </c>
      <c r="Z96" s="66" t="n">
        <f aca="false">Y97</f>
        <v>-177241.975660481</v>
      </c>
      <c r="AA96" s="66" t="n">
        <f aca="false">Z97</f>
        <v>-187568.863633847</v>
      </c>
      <c r="AB96" s="66" t="n">
        <f aca="false">AA97</f>
        <v>-207446.077595468</v>
      </c>
      <c r="AC96" s="66" t="n">
        <f aca="false">AB97</f>
        <v>-218008.785697724</v>
      </c>
      <c r="AD96" s="66" t="n">
        <f aca="false">AC97</f>
        <v>-228557.604911092</v>
      </c>
      <c r="AE96" s="66" t="n">
        <f aca="false">AD97</f>
        <v>-239092.53523557</v>
      </c>
      <c r="AF96" s="66" t="n">
        <f aca="false">AE97</f>
        <v>-249613.57667116</v>
      </c>
      <c r="AG96" s="66" t="n">
        <f aca="false">AF97</f>
        <v>-260120.729217861</v>
      </c>
      <c r="AH96" s="66" t="n">
        <f aca="false">AG97</f>
        <v>-270613.992875673</v>
      </c>
      <c r="AI96" s="66" t="n">
        <f aca="false">AH97</f>
        <v>-281093.367644596</v>
      </c>
      <c r="AJ96" s="66" t="n">
        <f aca="false">AI97</f>
        <v>-291558.85352463</v>
      </c>
      <c r="AK96" s="66" t="n">
        <f aca="false">AJ97</f>
        <v>-302010.450515775</v>
      </c>
      <c r="AL96" s="66" t="n">
        <f aca="false">AK97</f>
        <v>-312448.158618032</v>
      </c>
      <c r="AM96" s="66" t="n">
        <f aca="false">AL97</f>
        <v>-322871.977831399</v>
      </c>
      <c r="AN96" s="66" t="n">
        <f aca="false">AM97</f>
        <v>-342866.557948177</v>
      </c>
      <c r="AO96" s="66" t="n">
        <f aca="false">AN97</f>
        <v>-353540.403134321</v>
      </c>
      <c r="AP96" s="66" t="n">
        <f aca="false">AO97</f>
        <v>-364200.359431576</v>
      </c>
      <c r="AQ96" s="66" t="n">
        <f aca="false">AP97</f>
        <v>-374846.426839942</v>
      </c>
      <c r="AR96" s="66" t="n">
        <f aca="false">AQ97</f>
        <v>-385478.605359419</v>
      </c>
      <c r="AS96" s="66" t="n">
        <f aca="false">AR97</f>
        <v>-396096.894990008</v>
      </c>
      <c r="AT96" s="66" t="n">
        <f aca="false">AS97</f>
        <v>-406701.295731707</v>
      </c>
      <c r="AU96" s="66" t="n">
        <f aca="false">AT97</f>
        <v>-417291.807584518</v>
      </c>
      <c r="AV96" s="66" t="n">
        <f aca="false">AU97</f>
        <v>-427868.430548439</v>
      </c>
      <c r="AW96" s="66" t="n">
        <f aca="false">AV97</f>
        <v>-438431.164623472</v>
      </c>
      <c r="AX96" s="66" t="n">
        <f aca="false">AW97</f>
        <v>-448980.009809616</v>
      </c>
      <c r="AY96" s="66" t="n">
        <f aca="false">AX97</f>
        <v>-459514.966106871</v>
      </c>
      <c r="AZ96" s="66" t="n">
        <f aca="false">AY97</f>
        <v>-479641.818981869</v>
      </c>
      <c r="BA96" s="66" t="n">
        <f aca="false">AZ97</f>
        <v>-490441.590718771</v>
      </c>
      <c r="BB96" s="66" t="n">
        <f aca="false">BA97</f>
        <v>-501227.473566784</v>
      </c>
      <c r="BC96" s="66" t="n">
        <f aca="false">BB97</f>
        <v>-511999.467525908</v>
      </c>
      <c r="BD96" s="66" t="n">
        <f aca="false">BC97</f>
        <v>-522757.572596143</v>
      </c>
      <c r="BE96" s="66" t="n">
        <f aca="false">BD97</f>
        <v>-533501.788777489</v>
      </c>
      <c r="BF96" s="66" t="n">
        <f aca="false">BE97</f>
        <v>-544232.116069947</v>
      </c>
      <c r="BG96" s="66" t="n">
        <f aca="false">BF97</f>
        <v>-554948.554473516</v>
      </c>
      <c r="BH96" s="66" t="n">
        <f aca="false">BG97</f>
        <v>-565651.103988195</v>
      </c>
      <c r="BI96" s="66" t="n">
        <f aca="false">BH97</f>
        <v>-576339.764613986</v>
      </c>
      <c r="BJ96" s="66" t="n">
        <f aca="false">BI97</f>
        <v>-587014.536350888</v>
      </c>
    </row>
    <row r="97" customFormat="false" ht="15" hidden="false" customHeight="false" outlineLevel="0" collapsed="false">
      <c r="A97" s="110" t="s">
        <v>86</v>
      </c>
      <c r="C97" s="67" t="n">
        <f aca="false">C96+C95</f>
        <v>230492.185621111</v>
      </c>
      <c r="D97" s="67" t="n">
        <f aca="false">D96+D95</f>
        <v>203573.848794556</v>
      </c>
      <c r="E97" s="67" t="n">
        <f aca="false">E96+E95</f>
        <v>178321.526725889</v>
      </c>
      <c r="F97" s="67" t="n">
        <f aca="false">F96+F95</f>
        <v>155034.219415111</v>
      </c>
      <c r="G97" s="67" t="n">
        <f aca="false">G96+G95</f>
        <v>130589.149084444</v>
      </c>
      <c r="H97" s="67" t="n">
        <f aca="false">H96+H95</f>
        <v>103850.760178333</v>
      </c>
      <c r="I97" s="67" t="n">
        <f aca="false">I96+I95</f>
        <v>77941.8304745556</v>
      </c>
      <c r="J97" s="67" t="n">
        <f aca="false">J96+J95</f>
        <v>53997.9155286667</v>
      </c>
      <c r="K97" s="67" t="n">
        <f aca="false">K96+K95</f>
        <v>32019.0153406667</v>
      </c>
      <c r="L97" s="67" t="n">
        <f aca="false">L96+L95</f>
        <v>12005.1299105556</v>
      </c>
      <c r="M97" s="67" t="n">
        <f aca="false">M96+M95</f>
        <v>-6043.74076166664</v>
      </c>
      <c r="N97" s="67" t="n">
        <f aca="false">N96+N95</f>
        <v>-22127.596676</v>
      </c>
      <c r="O97" s="67" t="n">
        <f aca="false">O96+O95</f>
        <v>-45751.2675673278</v>
      </c>
      <c r="P97" s="67" t="n">
        <f aca="false">P96+P95</f>
        <v>-61370.6744547361</v>
      </c>
      <c r="Q97" s="67" t="n">
        <f aca="false">Q96+Q95</f>
        <v>-79363.6443708639</v>
      </c>
      <c r="R97" s="67" t="n">
        <f aca="false">R96+R95</f>
        <v>-96513.7162046</v>
      </c>
      <c r="S97" s="67" t="n">
        <f aca="false">S96+S95</f>
        <v>-111651.267733722</v>
      </c>
      <c r="T97" s="67" t="n">
        <f aca="false">T96+T95</f>
        <v>-124776.298958231</v>
      </c>
      <c r="U97" s="67" t="n">
        <f aca="false">U96+U95</f>
        <v>-135888.809878125</v>
      </c>
      <c r="V97" s="67" t="n">
        <f aca="false">V96+V95</f>
        <v>-146177.978407047</v>
      </c>
      <c r="W97" s="67" t="n">
        <f aca="false">W96+W95</f>
        <v>-156546.533047081</v>
      </c>
      <c r="X97" s="67" t="n">
        <f aca="false">X96+X95</f>
        <v>-166901.198798225</v>
      </c>
      <c r="Y97" s="67" t="n">
        <f aca="false">Y96+Y95</f>
        <v>-177241.975660481</v>
      </c>
      <c r="Z97" s="67" t="n">
        <f aca="false">Z96+Z95</f>
        <v>-187568.863633847</v>
      </c>
      <c r="AA97" s="67" t="n">
        <f aca="false">AA96+AA95</f>
        <v>-207446.077595468</v>
      </c>
      <c r="AB97" s="67" t="n">
        <f aca="false">AB96+AB95</f>
        <v>-218008.785697724</v>
      </c>
      <c r="AC97" s="67" t="n">
        <f aca="false">AC96+AC95</f>
        <v>-228557.604911092</v>
      </c>
      <c r="AD97" s="67" t="n">
        <f aca="false">AD96+AD95</f>
        <v>-239092.53523557</v>
      </c>
      <c r="AE97" s="67" t="n">
        <f aca="false">AE96+AE95</f>
        <v>-249613.57667116</v>
      </c>
      <c r="AF97" s="67" t="n">
        <f aca="false">AF96+AF95</f>
        <v>-260120.729217861</v>
      </c>
      <c r="AG97" s="67" t="n">
        <f aca="false">AG96+AG95</f>
        <v>-270613.992875673</v>
      </c>
      <c r="AH97" s="67" t="n">
        <f aca="false">AH96+AH95</f>
        <v>-281093.367644596</v>
      </c>
      <c r="AI97" s="67" t="n">
        <f aca="false">AI96+AI95</f>
        <v>-291558.85352463</v>
      </c>
      <c r="AJ97" s="67" t="n">
        <f aca="false">AJ96+AJ95</f>
        <v>-302010.450515775</v>
      </c>
      <c r="AK97" s="67" t="n">
        <f aca="false">AK96+AK95</f>
        <v>-312448.158618032</v>
      </c>
      <c r="AL97" s="67" t="n">
        <f aca="false">AL96+AL95</f>
        <v>-322871.977831399</v>
      </c>
      <c r="AM97" s="67" t="n">
        <f aca="false">AM96+AM95</f>
        <v>-342866.557948177</v>
      </c>
      <c r="AN97" s="67" t="n">
        <f aca="false">AN96+AN95</f>
        <v>-353540.403134321</v>
      </c>
      <c r="AO97" s="67" t="n">
        <f aca="false">AO96+AO95</f>
        <v>-364200.359431576</v>
      </c>
      <c r="AP97" s="67" t="n">
        <f aca="false">AP96+AP95</f>
        <v>-374846.426839942</v>
      </c>
      <c r="AQ97" s="67" t="n">
        <f aca="false">AQ96+AQ95</f>
        <v>-385478.605359419</v>
      </c>
      <c r="AR97" s="67" t="n">
        <f aca="false">AR96+AR95</f>
        <v>-396096.894990008</v>
      </c>
      <c r="AS97" s="67" t="n">
        <f aca="false">AS96+AS95</f>
        <v>-406701.295731707</v>
      </c>
      <c r="AT97" s="67" t="n">
        <f aca="false">AT96+AT95</f>
        <v>-417291.807584518</v>
      </c>
      <c r="AU97" s="67" t="n">
        <f aca="false">AU96+AU95</f>
        <v>-427868.430548439</v>
      </c>
      <c r="AV97" s="67" t="n">
        <f aca="false">AV96+AV95</f>
        <v>-438431.164623472</v>
      </c>
      <c r="AW97" s="67" t="n">
        <f aca="false">AW96+AW95</f>
        <v>-448980.009809616</v>
      </c>
      <c r="AX97" s="67" t="n">
        <f aca="false">AX96+AX95</f>
        <v>-459514.966106871</v>
      </c>
      <c r="AY97" s="67" t="n">
        <f aca="false">AY96+AY95</f>
        <v>-479641.818981869</v>
      </c>
      <c r="AZ97" s="67" t="n">
        <f aca="false">AZ96+AZ95</f>
        <v>-490441.590718771</v>
      </c>
      <c r="BA97" s="67" t="n">
        <f aca="false">BA96+BA95</f>
        <v>-501227.473566784</v>
      </c>
      <c r="BB97" s="67" t="n">
        <f aca="false">BB96+BB95</f>
        <v>-511999.467525908</v>
      </c>
      <c r="BC97" s="67" t="n">
        <f aca="false">BC96+BC95</f>
        <v>-522757.572596143</v>
      </c>
      <c r="BD97" s="67" t="n">
        <f aca="false">BD96+BD95</f>
        <v>-533501.788777489</v>
      </c>
      <c r="BE97" s="67" t="n">
        <f aca="false">BE96+BE95</f>
        <v>-544232.116069947</v>
      </c>
      <c r="BF97" s="67" t="n">
        <f aca="false">BF96+BF95</f>
        <v>-554948.554473516</v>
      </c>
      <c r="BG97" s="67" t="n">
        <f aca="false">BG96+BG95</f>
        <v>-565651.103988195</v>
      </c>
      <c r="BH97" s="67" t="n">
        <f aca="false">BH96+BH95</f>
        <v>-576339.764613986</v>
      </c>
      <c r="BI97" s="67" t="n">
        <f aca="false">BI96+BI95</f>
        <v>-587014.536350888</v>
      </c>
      <c r="BJ97" s="67" t="n">
        <f aca="false">BJ96+BJ95</f>
        <v>-597675.419198901</v>
      </c>
    </row>
    <row r="98" customFormat="false" ht="15" hidden="false" customHeight="false" outlineLevel="0" collapsed="false">
      <c r="A98" s="114" t="s">
        <v>452</v>
      </c>
      <c r="C98" s="113" t="n">
        <f aca="false">IF(C54&gt;0,1,0)</f>
        <v>0</v>
      </c>
      <c r="D98" s="113" t="n">
        <f aca="false">IF(D54&gt;0,1,0)</f>
        <v>0</v>
      </c>
      <c r="E98" s="113" t="n">
        <f aca="false">IF(E54&gt;0,1,0)</f>
        <v>0</v>
      </c>
      <c r="F98" s="113" t="n">
        <f aca="false">IF(F54&gt;0,1,0)</f>
        <v>0</v>
      </c>
      <c r="G98" s="113" t="n">
        <f aca="false">IF(G54&gt;0,1,0)</f>
        <v>0</v>
      </c>
      <c r="H98" s="113" t="n">
        <f aca="false">IF(H54&gt;0,1,0)</f>
        <v>0</v>
      </c>
      <c r="I98" s="113" t="n">
        <f aca="false">IF(I54&gt;0,1,0)</f>
        <v>0</v>
      </c>
      <c r="J98" s="113" t="n">
        <f aca="false">IF(J54&gt;0,1,0)</f>
        <v>0</v>
      </c>
      <c r="K98" s="113" t="n">
        <f aca="false">IF(K54&gt;0,1,0)</f>
        <v>0</v>
      </c>
      <c r="L98" s="113" t="n">
        <f aca="false">IF(L54&gt;0,1,0)</f>
        <v>0</v>
      </c>
      <c r="M98" s="113" t="n">
        <f aca="false">IF(M54&gt;0,1,0)</f>
        <v>0</v>
      </c>
      <c r="N98" s="113" t="n">
        <f aca="false">IF(N54&gt;0,1,0)</f>
        <v>0</v>
      </c>
      <c r="O98" s="113" t="n">
        <f aca="false">IF(O54&gt;0,1,0)</f>
        <v>0</v>
      </c>
      <c r="P98" s="113" t="n">
        <f aca="false">IF(P54&gt;0,1,0)</f>
        <v>0</v>
      </c>
      <c r="Q98" s="113" t="n">
        <f aca="false">IF(Q54&gt;0,1,0)</f>
        <v>0</v>
      </c>
      <c r="R98" s="113" t="n">
        <f aca="false">IF(R54&gt;0,1,0)</f>
        <v>0</v>
      </c>
      <c r="S98" s="113" t="n">
        <f aca="false">IF(S54&gt;0,1,0)</f>
        <v>0</v>
      </c>
      <c r="T98" s="113" t="n">
        <f aca="false">IF(T54&gt;0,1,0)</f>
        <v>0</v>
      </c>
      <c r="U98" s="113" t="n">
        <f aca="false">IF(U54&gt;0,1,0)</f>
        <v>0</v>
      </c>
      <c r="V98" s="113" t="n">
        <f aca="false">IF(V54&gt;0,1,0)</f>
        <v>0</v>
      </c>
      <c r="W98" s="113" t="n">
        <f aca="false">IF(W54&gt;0,1,0)</f>
        <v>0</v>
      </c>
      <c r="X98" s="113" t="n">
        <f aca="false">IF(X54&gt;0,1,0)</f>
        <v>0</v>
      </c>
      <c r="Y98" s="113" t="n">
        <f aca="false">IF(Y54&gt;0,1,0)</f>
        <v>0</v>
      </c>
      <c r="Z98" s="113" t="n">
        <f aca="false">IF(Z54&gt;0,1,0)</f>
        <v>0</v>
      </c>
      <c r="AA98" s="113" t="n">
        <f aca="false">IF(AA54&gt;0,1,0)</f>
        <v>0</v>
      </c>
      <c r="AB98" s="113" t="n">
        <f aca="false">IF(AB54&gt;0,1,0)</f>
        <v>0</v>
      </c>
      <c r="AC98" s="113" t="n">
        <f aca="false">IF(AC54&gt;0,1,0)</f>
        <v>0</v>
      </c>
      <c r="AD98" s="113" t="n">
        <f aca="false">IF(AD54&gt;0,1,0)</f>
        <v>0</v>
      </c>
      <c r="AE98" s="113" t="n">
        <f aca="false">IF(AE54&gt;0,1,0)</f>
        <v>0</v>
      </c>
      <c r="AF98" s="113" t="n">
        <f aca="false">IF(AF54&gt;0,1,0)</f>
        <v>0</v>
      </c>
      <c r="AG98" s="113" t="n">
        <f aca="false">IF(AG54&gt;0,1,0)</f>
        <v>0</v>
      </c>
      <c r="AH98" s="113" t="n">
        <f aca="false">IF(AH54&gt;0,1,0)</f>
        <v>0</v>
      </c>
      <c r="AI98" s="113" t="n">
        <f aca="false">IF(AI54&gt;0,1,0)</f>
        <v>0</v>
      </c>
      <c r="AJ98" s="113" t="n">
        <f aca="false">IF(AJ54&gt;0,1,0)</f>
        <v>0</v>
      </c>
      <c r="AK98" s="113" t="n">
        <f aca="false">IF(AK54&gt;0,1,0)</f>
        <v>0</v>
      </c>
      <c r="AL98" s="113" t="n">
        <f aca="false">IF(AL54&gt;0,1,0)</f>
        <v>0</v>
      </c>
      <c r="AM98" s="113" t="n">
        <f aca="false">IF(AM54&gt;0,1,0)</f>
        <v>0</v>
      </c>
      <c r="AN98" s="113" t="n">
        <f aca="false">IF(AN54&gt;0,1,0)</f>
        <v>0</v>
      </c>
      <c r="AO98" s="113" t="n">
        <f aca="false">IF(AO54&gt;0,1,0)</f>
        <v>0</v>
      </c>
      <c r="AP98" s="113" t="n">
        <f aca="false">IF(AP54&gt;0,1,0)</f>
        <v>0</v>
      </c>
      <c r="AQ98" s="113" t="n">
        <f aca="false">IF(AQ54&gt;0,1,0)</f>
        <v>0</v>
      </c>
      <c r="AR98" s="113" t="n">
        <f aca="false">IF(AR54&gt;0,1,0)</f>
        <v>0</v>
      </c>
      <c r="AS98" s="113" t="n">
        <f aca="false">IF(AS54&gt;0,1,0)</f>
        <v>0</v>
      </c>
      <c r="AT98" s="113" t="n">
        <f aca="false">IF(AT54&gt;0,1,0)</f>
        <v>0</v>
      </c>
      <c r="AU98" s="113" t="n">
        <f aca="false">IF(AU54&gt;0,1,0)</f>
        <v>0</v>
      </c>
      <c r="AV98" s="113" t="n">
        <f aca="false">IF(AV54&gt;0,1,0)</f>
        <v>0</v>
      </c>
      <c r="AW98" s="113" t="n">
        <f aca="false">IF(AW54&gt;0,1,0)</f>
        <v>0</v>
      </c>
      <c r="AX98" s="113" t="n">
        <f aca="false">IF(AX54&gt;0,1,0)</f>
        <v>0</v>
      </c>
      <c r="AY98" s="113" t="n">
        <f aca="false">IF(AY54&gt;0,1,0)</f>
        <v>0</v>
      </c>
      <c r="AZ98" s="113" t="n">
        <f aca="false">IF(AZ54&gt;0,1,0)</f>
        <v>0</v>
      </c>
      <c r="BA98" s="113" t="n">
        <f aca="false">IF(BA54&gt;0,1,0)</f>
        <v>0</v>
      </c>
      <c r="BB98" s="113" t="n">
        <f aca="false">IF(BB54&gt;0,1,0)</f>
        <v>0</v>
      </c>
      <c r="BC98" s="113" t="n">
        <f aca="false">IF(BC54&gt;0,1,0)</f>
        <v>0</v>
      </c>
      <c r="BD98" s="113" t="n">
        <f aca="false">IF(BD54&gt;0,1,0)</f>
        <v>0</v>
      </c>
      <c r="BE98" s="113" t="n">
        <f aca="false">IF(BE54&gt;0,1,0)</f>
        <v>0</v>
      </c>
      <c r="BF98" s="113" t="n">
        <f aca="false">IF(BF54&gt;0,1,0)</f>
        <v>0</v>
      </c>
      <c r="BG98" s="113" t="n">
        <f aca="false">IF(BG54&gt;0,1,0)</f>
        <v>0</v>
      </c>
      <c r="BH98" s="113" t="n">
        <f aca="false">IF(BH54&gt;0,1,0)</f>
        <v>0</v>
      </c>
      <c r="BI98" s="113" t="n">
        <f aca="false">IF(BI54&gt;0,1,0)</f>
        <v>0</v>
      </c>
      <c r="BJ98" s="113" t="n">
        <f aca="false">IF(BJ54&gt;0,1,0)</f>
        <v>0</v>
      </c>
    </row>
    <row r="100" customFormat="false" ht="15.75" hidden="false" customHeight="true" outlineLevel="0" collapsed="false">
      <c r="A100" s="7" t="s">
        <v>453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114" t="s">
        <v>454</v>
      </c>
      <c r="C101" s="113" t="n">
        <f aca="false">IF(C63&gt;0,1,0)</f>
        <v>0</v>
      </c>
      <c r="D101" s="113" t="n">
        <f aca="false">IF(D63&gt;0,1,0)</f>
        <v>0</v>
      </c>
      <c r="E101" s="113" t="n">
        <f aca="false">IF(E63&gt;0,1,0)</f>
        <v>0</v>
      </c>
      <c r="F101" s="113" t="n">
        <f aca="false">IF(F63&gt;0,1,0)</f>
        <v>0</v>
      </c>
      <c r="G101" s="113" t="n">
        <f aca="false">IF(G63&gt;0,1,0)</f>
        <v>0</v>
      </c>
      <c r="H101" s="113" t="n">
        <f aca="false">IF(H63&gt;0,1,0)</f>
        <v>0</v>
      </c>
      <c r="I101" s="113" t="n">
        <f aca="false">IF(I63&gt;0,1,0)</f>
        <v>0</v>
      </c>
      <c r="J101" s="113" t="n">
        <f aca="false">IF(J63&gt;0,1,0)</f>
        <v>0</v>
      </c>
      <c r="K101" s="113" t="n">
        <f aca="false">IF(K63&gt;0,1,0)</f>
        <v>0</v>
      </c>
      <c r="L101" s="113" t="n">
        <f aca="false">IF(L63&gt;0,1,0)</f>
        <v>0</v>
      </c>
      <c r="M101" s="113" t="n">
        <f aca="false">IF(M63&gt;0,1,0)</f>
        <v>0</v>
      </c>
      <c r="N101" s="113" t="n">
        <f aca="false">IF(N63&gt;0,1,0)</f>
        <v>0</v>
      </c>
      <c r="O101" s="113" t="n">
        <f aca="false">IF(O63&gt;0,1,0)</f>
        <v>0</v>
      </c>
      <c r="P101" s="113" t="n">
        <f aca="false">IF(P63&gt;0,1,0)</f>
        <v>0</v>
      </c>
      <c r="Q101" s="113" t="n">
        <f aca="false">IF(Q63&gt;0,1,0)</f>
        <v>0</v>
      </c>
      <c r="R101" s="113" t="n">
        <f aca="false">IF(R63&gt;0,1,0)</f>
        <v>0</v>
      </c>
      <c r="S101" s="113" t="n">
        <f aca="false">IF(S63&gt;0,1,0)</f>
        <v>0</v>
      </c>
      <c r="T101" s="113" t="n">
        <f aca="false">IF(T63&gt;0,1,0)</f>
        <v>0</v>
      </c>
      <c r="U101" s="113" t="n">
        <f aca="false">IF(U63&gt;0,1,0)</f>
        <v>0</v>
      </c>
      <c r="V101" s="113" t="n">
        <f aca="false">IF(V63&gt;0,1,0)</f>
        <v>0</v>
      </c>
      <c r="W101" s="113" t="n">
        <f aca="false">IF(W63&gt;0,1,0)</f>
        <v>0</v>
      </c>
      <c r="X101" s="113" t="n">
        <f aca="false">IF(X63&gt;0,1,0)</f>
        <v>0</v>
      </c>
      <c r="Y101" s="113" t="n">
        <f aca="false">IF(Y63&gt;0,1,0)</f>
        <v>0</v>
      </c>
      <c r="Z101" s="113" t="n">
        <f aca="false">IF(Z63&gt;0,1,0)</f>
        <v>0</v>
      </c>
      <c r="AA101" s="113" t="n">
        <f aca="false">IF(AA63&gt;0,1,0)</f>
        <v>0</v>
      </c>
      <c r="AB101" s="113" t="n">
        <f aca="false">IF(AB63&gt;0,1,0)</f>
        <v>0</v>
      </c>
      <c r="AC101" s="113" t="n">
        <f aca="false">IF(AC63&gt;0,1,0)</f>
        <v>0</v>
      </c>
      <c r="AD101" s="113" t="n">
        <f aca="false">IF(AD63&gt;0,1,0)</f>
        <v>0</v>
      </c>
      <c r="AE101" s="113" t="n">
        <f aca="false">IF(AE63&gt;0,1,0)</f>
        <v>0</v>
      </c>
      <c r="AF101" s="113" t="n">
        <f aca="false">IF(AF63&gt;0,1,0)</f>
        <v>0</v>
      </c>
      <c r="AG101" s="113" t="n">
        <f aca="false">IF(AG63&gt;0,1,0)</f>
        <v>0</v>
      </c>
      <c r="AH101" s="113" t="n">
        <f aca="false">IF(AH63&gt;0,1,0)</f>
        <v>0</v>
      </c>
      <c r="AI101" s="113" t="n">
        <f aca="false">IF(AI63&gt;0,1,0)</f>
        <v>0</v>
      </c>
      <c r="AJ101" s="113" t="n">
        <f aca="false">IF(AJ63&gt;0,1,0)</f>
        <v>0</v>
      </c>
      <c r="AK101" s="113" t="n">
        <f aca="false">IF(AK63&gt;0,1,0)</f>
        <v>0</v>
      </c>
      <c r="AL101" s="113" t="n">
        <f aca="false">IF(AL63&gt;0,1,0)</f>
        <v>0</v>
      </c>
      <c r="AM101" s="113" t="n">
        <f aca="false">IF(AM63&gt;0,1,0)</f>
        <v>0</v>
      </c>
      <c r="AN101" s="113" t="n">
        <f aca="false">IF(AN63&gt;0,1,0)</f>
        <v>0</v>
      </c>
      <c r="AO101" s="113" t="n">
        <f aca="false">IF(AO63&gt;0,1,0)</f>
        <v>0</v>
      </c>
      <c r="AP101" s="113" t="n">
        <f aca="false">IF(AP63&gt;0,1,0)</f>
        <v>0</v>
      </c>
      <c r="AQ101" s="113" t="n">
        <f aca="false">IF(AQ63&gt;0,1,0)</f>
        <v>0</v>
      </c>
      <c r="AR101" s="113" t="n">
        <f aca="false">IF(AR63&gt;0,1,0)</f>
        <v>0</v>
      </c>
      <c r="AS101" s="113" t="n">
        <f aca="false">IF(AS63&gt;0,1,0)</f>
        <v>0</v>
      </c>
      <c r="AT101" s="113" t="n">
        <f aca="false">IF(AT63&gt;0,1,0)</f>
        <v>0</v>
      </c>
      <c r="AU101" s="113" t="n">
        <f aca="false">IF(AU63&gt;0,1,0)</f>
        <v>0</v>
      </c>
      <c r="AV101" s="113" t="n">
        <f aca="false">IF(AV63&gt;0,1,0)</f>
        <v>0</v>
      </c>
      <c r="AW101" s="113" t="n">
        <f aca="false">IF(AW63&gt;0,1,0)</f>
        <v>0</v>
      </c>
      <c r="AX101" s="113" t="n">
        <f aca="false">IF(AX63&gt;0,1,0)</f>
        <v>0</v>
      </c>
      <c r="AY101" s="113" t="n">
        <f aca="false">IF(AY63&gt;0,1,0)</f>
        <v>0</v>
      </c>
      <c r="AZ101" s="113" t="n">
        <f aca="false">IF(AZ63&gt;0,1,0)</f>
        <v>0</v>
      </c>
      <c r="BA101" s="113" t="n">
        <f aca="false">IF(BA63&gt;0,1,0)</f>
        <v>0</v>
      </c>
      <c r="BB101" s="113" t="n">
        <f aca="false">IF(BB63&gt;0,1,0)</f>
        <v>0</v>
      </c>
      <c r="BC101" s="113" t="n">
        <f aca="false">IF(BC63&gt;0,1,0)</f>
        <v>0</v>
      </c>
      <c r="BD101" s="113" t="n">
        <f aca="false">IF(BD63&gt;0,1,0)</f>
        <v>0</v>
      </c>
      <c r="BE101" s="113" t="n">
        <f aca="false">IF(BE63&gt;0,1,0)</f>
        <v>0</v>
      </c>
      <c r="BF101" s="113" t="n">
        <f aca="false">IF(BF63&gt;0,1,0)</f>
        <v>0</v>
      </c>
      <c r="BG101" s="113" t="n">
        <f aca="false">IF(BG63&gt;0,1,0)</f>
        <v>0</v>
      </c>
      <c r="BH101" s="113" t="n">
        <f aca="false">IF(BH63&gt;0,1,0)</f>
        <v>0</v>
      </c>
      <c r="BI101" s="113" t="n">
        <f aca="false">IF(BI63&gt;0,1,0)</f>
        <v>0</v>
      </c>
      <c r="BJ101" s="113" t="n">
        <f aca="false">IF(BJ63&gt;0,1,0)</f>
        <v>0</v>
      </c>
    </row>
    <row r="102" customFormat="false" ht="15" hidden="false" customHeight="false" outlineLevel="0" collapsed="false">
      <c r="A102" s="6" t="s">
        <v>455</v>
      </c>
      <c r="C102" s="66" t="n">
        <f aca="false">C91+C92</f>
        <v>-469507.814378889</v>
      </c>
      <c r="D102" s="66" t="n">
        <f aca="false">D91+D92</f>
        <v>-24835.0034932222</v>
      </c>
      <c r="E102" s="66" t="n">
        <f aca="false">E91+E92</f>
        <v>-23168.9887353333</v>
      </c>
      <c r="F102" s="66" t="n">
        <f aca="false">F91+F92</f>
        <v>-21203.9739774444</v>
      </c>
      <c r="G102" s="66" t="n">
        <f aca="false">G91+G92</f>
        <v>-22361.7369973333</v>
      </c>
      <c r="H102" s="66" t="n">
        <f aca="false">H91+H92</f>
        <v>-24655.0555727778</v>
      </c>
      <c r="I102" s="66" t="n">
        <f aca="false">I91+I92</f>
        <v>-23825.5963704445</v>
      </c>
      <c r="J102" s="66" t="n">
        <f aca="false">J91+J92</f>
        <v>-21860.5816125556</v>
      </c>
      <c r="K102" s="66" t="n">
        <f aca="false">K91+K92</f>
        <v>-19895.5668546667</v>
      </c>
      <c r="L102" s="66" t="n">
        <f aca="false">L91+L92</f>
        <v>-17930.5520967778</v>
      </c>
      <c r="M102" s="66" t="n">
        <f aca="false">M91+M92</f>
        <v>-15965.5373388889</v>
      </c>
      <c r="N102" s="66" t="n">
        <f aca="false">N91+N92</f>
        <v>-14000.522581</v>
      </c>
      <c r="O102" s="66" t="n">
        <f aca="false">O91+O92</f>
        <v>-21540.3375579944</v>
      </c>
      <c r="P102" s="66" t="n">
        <f aca="false">P91+P92</f>
        <v>-13536.073554075</v>
      </c>
      <c r="Q102" s="66" t="n">
        <f aca="false">Q91+Q92</f>
        <v>-15909.6365827945</v>
      </c>
      <c r="R102" s="66" t="n">
        <f aca="false">R91+R92</f>
        <v>-15066.7385004028</v>
      </c>
      <c r="S102" s="66" t="n">
        <f aca="false">S91+S92</f>
        <v>-13054.2181957889</v>
      </c>
      <c r="T102" s="66" t="n">
        <f aca="false">T91+T92</f>
        <v>-11041.697891175</v>
      </c>
      <c r="U102" s="66" t="n">
        <f aca="false">U91+U92</f>
        <v>-9029.17758656112</v>
      </c>
      <c r="V102" s="66" t="n">
        <f aca="false">V91+V92</f>
        <v>-8205.8351955889</v>
      </c>
      <c r="W102" s="66" t="n">
        <f aca="false">W91+W92</f>
        <v>-8285.22130670001</v>
      </c>
      <c r="X102" s="66" t="n">
        <f aca="false">X91+X92</f>
        <v>-8271.33241781112</v>
      </c>
      <c r="Y102" s="66" t="n">
        <f aca="false">Y91+Y92</f>
        <v>-8257.44352892224</v>
      </c>
      <c r="Z102" s="66" t="n">
        <f aca="false">Z91+Z92</f>
        <v>-8243.55464003335</v>
      </c>
      <c r="AA102" s="66" t="n">
        <f aca="false">AA91+AA92</f>
        <v>-17793.880628287</v>
      </c>
      <c r="AB102" s="66" t="n">
        <f aca="false">AB91+AB92</f>
        <v>-8479.37476892307</v>
      </c>
      <c r="AC102" s="66" t="n">
        <f aca="false">AC91+AC92</f>
        <v>-8465.48588003418</v>
      </c>
      <c r="AD102" s="66" t="n">
        <f aca="false">AD91+AD92</f>
        <v>-8451.5969911453</v>
      </c>
      <c r="AE102" s="66" t="n">
        <f aca="false">AE91+AE92</f>
        <v>-8437.70810225641</v>
      </c>
      <c r="AF102" s="66" t="n">
        <f aca="false">AF91+AF92</f>
        <v>-8423.81921336752</v>
      </c>
      <c r="AG102" s="66" t="n">
        <f aca="false">AG91+AG92</f>
        <v>-8409.93032447863</v>
      </c>
      <c r="AH102" s="66" t="n">
        <f aca="false">AH91+AH92</f>
        <v>-8396.04143558974</v>
      </c>
      <c r="AI102" s="66" t="n">
        <f aca="false">AI91+AI92</f>
        <v>-8382.15254670085</v>
      </c>
      <c r="AJ102" s="66" t="n">
        <f aca="false">AJ91+AJ92</f>
        <v>-8368.26365781196</v>
      </c>
      <c r="AK102" s="66" t="n">
        <f aca="false">AK91+AK92</f>
        <v>-8354.37476892307</v>
      </c>
      <c r="AL102" s="66" t="n">
        <f aca="false">AL91+AL92</f>
        <v>-8340.48588003418</v>
      </c>
      <c r="AM102" s="66" t="n">
        <f aca="false">AM91+AM92</f>
        <v>-17911.2467834444</v>
      </c>
      <c r="AN102" s="66" t="n">
        <f aca="false">AN91+AN92</f>
        <v>-8590.5118528106</v>
      </c>
      <c r="AO102" s="66" t="n">
        <f aca="false">AO91+AO92</f>
        <v>-8576.62296392171</v>
      </c>
      <c r="AP102" s="66" t="n">
        <f aca="false">AP91+AP92</f>
        <v>-8562.73407503282</v>
      </c>
      <c r="AQ102" s="66" t="n">
        <f aca="false">AQ91+AQ92</f>
        <v>-8548.84518614393</v>
      </c>
      <c r="AR102" s="66" t="n">
        <f aca="false">AR91+AR92</f>
        <v>-8534.95629725505</v>
      </c>
      <c r="AS102" s="66" t="n">
        <f aca="false">AS91+AS92</f>
        <v>-8521.06740836616</v>
      </c>
      <c r="AT102" s="66" t="n">
        <f aca="false">AT91+AT92</f>
        <v>-8507.17851947727</v>
      </c>
      <c r="AU102" s="66" t="n">
        <f aca="false">AU91+AU92</f>
        <v>-8493.28963058838</v>
      </c>
      <c r="AV102" s="66" t="n">
        <f aca="false">AV91+AV92</f>
        <v>-8479.40074169949</v>
      </c>
      <c r="AW102" s="66" t="n">
        <f aca="false">AW91+AW92</f>
        <v>-8465.5118528106</v>
      </c>
      <c r="AX102" s="66" t="n">
        <f aca="false">AX91+AX92</f>
        <v>-8451.62296392171</v>
      </c>
      <c r="AY102" s="66" t="n">
        <f aca="false">AY91+AY92</f>
        <v>-18043.5195416642</v>
      </c>
      <c r="AZ102" s="66" t="n">
        <f aca="false">AZ91+AZ92</f>
        <v>-8716.43840356859</v>
      </c>
      <c r="BA102" s="66" t="n">
        <f aca="false">BA91+BA92</f>
        <v>-8702.5495146797</v>
      </c>
      <c r="BB102" s="66" t="n">
        <f aca="false">BB91+BB92</f>
        <v>-8688.66062579081</v>
      </c>
      <c r="BC102" s="66" t="n">
        <f aca="false">BC91+BC92</f>
        <v>-8674.77173690192</v>
      </c>
      <c r="BD102" s="66" t="n">
        <f aca="false">BD91+BD92</f>
        <v>-8660.88284801303</v>
      </c>
      <c r="BE102" s="66" t="n">
        <f aca="false">BE91+BE92</f>
        <v>-8646.99395912414</v>
      </c>
      <c r="BF102" s="66" t="n">
        <f aca="false">BF91+BF92</f>
        <v>-8633.10507023525</v>
      </c>
      <c r="BG102" s="66" t="n">
        <f aca="false">BG91+BG92</f>
        <v>-8619.21618134636</v>
      </c>
      <c r="BH102" s="66" t="n">
        <f aca="false">BH91+BH92</f>
        <v>-8605.32729245747</v>
      </c>
      <c r="BI102" s="66" t="n">
        <f aca="false">BI91+BI92</f>
        <v>-8591.43840356859</v>
      </c>
      <c r="BJ102" s="66" t="n">
        <f aca="false">BJ91+BJ92</f>
        <v>-8577.5495146797</v>
      </c>
    </row>
    <row r="103" customFormat="false" ht="15" hidden="false" customHeight="false" outlineLevel="0" collapsed="false">
      <c r="A103" s="6" t="s">
        <v>456</v>
      </c>
      <c r="C103" s="66" t="n">
        <f aca="false">C102</f>
        <v>-469507.814378889</v>
      </c>
      <c r="D103" s="66" t="n">
        <f aca="false">C103+D102</f>
        <v>-494342.817872111</v>
      </c>
      <c r="E103" s="66" t="n">
        <f aca="false">D103+E102</f>
        <v>-517511.806607444</v>
      </c>
      <c r="F103" s="66" t="n">
        <f aca="false">E103+F102</f>
        <v>-538715.780584889</v>
      </c>
      <c r="G103" s="66" t="n">
        <f aca="false">F103+G102</f>
        <v>-561077.517582222</v>
      </c>
      <c r="H103" s="66" t="n">
        <f aca="false">G103+H102</f>
        <v>-585732.573155</v>
      </c>
      <c r="I103" s="66" t="n">
        <f aca="false">H103+I102</f>
        <v>-609558.169525444</v>
      </c>
      <c r="J103" s="66" t="n">
        <f aca="false">I103+J102</f>
        <v>-631418.751138</v>
      </c>
      <c r="K103" s="66" t="n">
        <f aca="false">J103+K102</f>
        <v>-651314.317992667</v>
      </c>
      <c r="L103" s="66" t="n">
        <f aca="false">K103+L102</f>
        <v>-669244.870089444</v>
      </c>
      <c r="M103" s="66" t="n">
        <f aca="false">L103+M102</f>
        <v>-685210.407428333</v>
      </c>
      <c r="N103" s="66" t="n">
        <f aca="false">M103+N102</f>
        <v>-699210.930009333</v>
      </c>
      <c r="O103" s="66" t="n">
        <f aca="false">N103+O102</f>
        <v>-720751.267567328</v>
      </c>
      <c r="P103" s="66" t="n">
        <f aca="false">O103+P102</f>
        <v>-734287.341121403</v>
      </c>
      <c r="Q103" s="66" t="n">
        <f aca="false">P103+Q102</f>
        <v>-750196.977704197</v>
      </c>
      <c r="R103" s="66" t="n">
        <f aca="false">Q103+R102</f>
        <v>-765263.7162046</v>
      </c>
      <c r="S103" s="66" t="n">
        <f aca="false">R103+S102</f>
        <v>-778317.934400389</v>
      </c>
      <c r="T103" s="66" t="n">
        <f aca="false">S103+T102</f>
        <v>-789359.632291564</v>
      </c>
      <c r="U103" s="66" t="n">
        <f aca="false">T103+U102</f>
        <v>-798388.809878125</v>
      </c>
      <c r="V103" s="66" t="n">
        <f aca="false">U103+V102</f>
        <v>-806594.645073714</v>
      </c>
      <c r="W103" s="66" t="n">
        <f aca="false">V103+W102</f>
        <v>-814879.866380414</v>
      </c>
      <c r="X103" s="66" t="n">
        <f aca="false">W103+X102</f>
        <v>-823151.198798225</v>
      </c>
      <c r="Y103" s="66" t="n">
        <f aca="false">X103+Y102</f>
        <v>-831408.642327147</v>
      </c>
      <c r="Z103" s="66" t="n">
        <f aca="false">Y103+Z102</f>
        <v>-839652.196967181</v>
      </c>
      <c r="AA103" s="66" t="n">
        <f aca="false">Z103+AA102</f>
        <v>-857446.077595468</v>
      </c>
      <c r="AB103" s="66" t="n">
        <f aca="false">AA103+AB102</f>
        <v>-865925.452364391</v>
      </c>
      <c r="AC103" s="66" t="n">
        <f aca="false">AB103+AC102</f>
        <v>-874390.938244425</v>
      </c>
      <c r="AD103" s="66" t="n">
        <f aca="false">AC103+AD102</f>
        <v>-882842.53523557</v>
      </c>
      <c r="AE103" s="66" t="n">
        <f aca="false">AD103+AE102</f>
        <v>-891280.243337827</v>
      </c>
      <c r="AF103" s="66" t="n">
        <f aca="false">AE103+AF102</f>
        <v>-899704.062551194</v>
      </c>
      <c r="AG103" s="66" t="n">
        <f aca="false">AF103+AG102</f>
        <v>-908113.992875673</v>
      </c>
      <c r="AH103" s="66" t="n">
        <f aca="false">AG103+AH102</f>
        <v>-916510.034311263</v>
      </c>
      <c r="AI103" s="66" t="n">
        <f aca="false">AH103+AI102</f>
        <v>-924892.186857963</v>
      </c>
      <c r="AJ103" s="66" t="n">
        <f aca="false">AI103+AJ102</f>
        <v>-933260.450515775</v>
      </c>
      <c r="AK103" s="66" t="n">
        <f aca="false">AJ103+AK102</f>
        <v>-941614.825284698</v>
      </c>
      <c r="AL103" s="66" t="n">
        <f aca="false">AK103+AL102</f>
        <v>-949955.311164733</v>
      </c>
      <c r="AM103" s="66" t="n">
        <f aca="false">AL103+AM102</f>
        <v>-967866.557948177</v>
      </c>
      <c r="AN103" s="66" t="n">
        <f aca="false">AM103+AN102</f>
        <v>-976457.069800988</v>
      </c>
      <c r="AO103" s="66" t="n">
        <f aca="false">AN103+AO102</f>
        <v>-985033.692764909</v>
      </c>
      <c r="AP103" s="66" t="n">
        <f aca="false">AO103+AP102</f>
        <v>-993596.426839942</v>
      </c>
      <c r="AQ103" s="66" t="n">
        <f aca="false">AP103+AQ102</f>
        <v>-1002145.27202609</v>
      </c>
      <c r="AR103" s="66" t="n">
        <f aca="false">AQ103+AR102</f>
        <v>-1010680.22832334</v>
      </c>
      <c r="AS103" s="66" t="n">
        <f aca="false">AR103+AS102</f>
        <v>-1019201.29573171</v>
      </c>
      <c r="AT103" s="66" t="n">
        <f aca="false">AS103+AT102</f>
        <v>-1027708.47425118</v>
      </c>
      <c r="AU103" s="66" t="n">
        <f aca="false">AT103+AU102</f>
        <v>-1036201.76388177</v>
      </c>
      <c r="AV103" s="66" t="n">
        <f aca="false">AU103+AV102</f>
        <v>-1044681.16462347</v>
      </c>
      <c r="AW103" s="66" t="n">
        <f aca="false">AV103+AW102</f>
        <v>-1053146.67647628</v>
      </c>
      <c r="AX103" s="66" t="n">
        <f aca="false">AW103+AX102</f>
        <v>-1061598.2994402</v>
      </c>
      <c r="AY103" s="66" t="n">
        <f aca="false">AX103+AY102</f>
        <v>-1079641.81898187</v>
      </c>
      <c r="AZ103" s="66" t="n">
        <f aca="false">AY103+AZ102</f>
        <v>-1088358.25738544</v>
      </c>
      <c r="BA103" s="66" t="n">
        <f aca="false">AZ103+BA102</f>
        <v>-1097060.80690012</v>
      </c>
      <c r="BB103" s="66" t="n">
        <f aca="false">BA103+BB102</f>
        <v>-1105749.46752591</v>
      </c>
      <c r="BC103" s="66" t="n">
        <f aca="false">BB103+BC102</f>
        <v>-1114424.23926281</v>
      </c>
      <c r="BD103" s="66" t="n">
        <f aca="false">BC103+BD102</f>
        <v>-1123085.12211082</v>
      </c>
      <c r="BE103" s="66" t="n">
        <f aca="false">BD103+BE102</f>
        <v>-1131732.11606995</v>
      </c>
      <c r="BF103" s="66" t="n">
        <f aca="false">BE103+BF102</f>
        <v>-1140365.22114018</v>
      </c>
      <c r="BG103" s="66" t="n">
        <f aca="false">BF103+BG102</f>
        <v>-1148984.43732153</v>
      </c>
      <c r="BH103" s="66" t="n">
        <f aca="false">BG103+BH102</f>
        <v>-1157589.76461399</v>
      </c>
      <c r="BI103" s="66" t="n">
        <f aca="false">BH103+BI102</f>
        <v>-1166181.20301755</v>
      </c>
      <c r="BJ103" s="66" t="n">
        <f aca="false">BI103+BJ102</f>
        <v>-1174758.75253223</v>
      </c>
    </row>
    <row r="104" customFormat="false" ht="15" hidden="false" customHeight="false" outlineLevel="0" collapsed="false">
      <c r="A104" s="114" t="s">
        <v>457</v>
      </c>
      <c r="C104" s="66" t="n">
        <f aca="false">C103</f>
        <v>-469507.814378889</v>
      </c>
      <c r="D104" s="66" t="n">
        <f aca="false">MIN(C104,D103)</f>
        <v>-494342.817872111</v>
      </c>
      <c r="E104" s="66" t="n">
        <f aca="false">MIN(D104,E103)</f>
        <v>-517511.806607444</v>
      </c>
      <c r="F104" s="66" t="n">
        <f aca="false">MIN(E104,F103)</f>
        <v>-538715.780584889</v>
      </c>
      <c r="G104" s="66" t="n">
        <f aca="false">MIN(F104,G103)</f>
        <v>-561077.517582222</v>
      </c>
      <c r="H104" s="66" t="n">
        <f aca="false">MIN(G104,H103)</f>
        <v>-585732.573155</v>
      </c>
      <c r="I104" s="66" t="n">
        <f aca="false">MIN(H104,I103)</f>
        <v>-609558.169525444</v>
      </c>
      <c r="J104" s="66" t="n">
        <f aca="false">MIN(I104,J103)</f>
        <v>-631418.751138</v>
      </c>
      <c r="K104" s="66" t="n">
        <f aca="false">MIN(J104,K103)</f>
        <v>-651314.317992667</v>
      </c>
      <c r="L104" s="66" t="n">
        <f aca="false">MIN(K104,L103)</f>
        <v>-669244.870089444</v>
      </c>
      <c r="M104" s="66" t="n">
        <f aca="false">MIN(L104,M103)</f>
        <v>-685210.407428333</v>
      </c>
      <c r="N104" s="66" t="n">
        <f aca="false">MIN(M104,N103)</f>
        <v>-699210.930009333</v>
      </c>
      <c r="O104" s="66" t="n">
        <f aca="false">MIN(N104,O103)</f>
        <v>-720751.267567328</v>
      </c>
      <c r="P104" s="66" t="n">
        <f aca="false">MIN(O104,P103)</f>
        <v>-734287.341121403</v>
      </c>
      <c r="Q104" s="66" t="n">
        <f aca="false">MIN(P104,Q103)</f>
        <v>-750196.977704197</v>
      </c>
      <c r="R104" s="66" t="n">
        <f aca="false">MIN(Q104,R103)</f>
        <v>-765263.7162046</v>
      </c>
      <c r="S104" s="66" t="n">
        <f aca="false">MIN(R104,S103)</f>
        <v>-778317.934400389</v>
      </c>
      <c r="T104" s="66" t="n">
        <f aca="false">MIN(S104,T103)</f>
        <v>-789359.632291564</v>
      </c>
      <c r="U104" s="66" t="n">
        <f aca="false">MIN(T104,U103)</f>
        <v>-798388.809878125</v>
      </c>
      <c r="V104" s="66" t="n">
        <f aca="false">MIN(U104,V103)</f>
        <v>-806594.645073714</v>
      </c>
      <c r="W104" s="66" t="n">
        <f aca="false">MIN(V104,W103)</f>
        <v>-814879.866380414</v>
      </c>
      <c r="X104" s="66" t="n">
        <f aca="false">MIN(W104,X103)</f>
        <v>-823151.198798225</v>
      </c>
      <c r="Y104" s="66" t="n">
        <f aca="false">MIN(X104,Y103)</f>
        <v>-831408.642327147</v>
      </c>
      <c r="Z104" s="66" t="n">
        <f aca="false">MIN(Y104,Z103)</f>
        <v>-839652.196967181</v>
      </c>
      <c r="AA104" s="66" t="n">
        <f aca="false">MIN(Z104,AA103)</f>
        <v>-857446.077595468</v>
      </c>
      <c r="AB104" s="66" t="n">
        <f aca="false">MIN(AA104,AB103)</f>
        <v>-865925.452364391</v>
      </c>
      <c r="AC104" s="66" t="n">
        <f aca="false">MIN(AB104,AC103)</f>
        <v>-874390.938244425</v>
      </c>
      <c r="AD104" s="66" t="n">
        <f aca="false">MIN(AC104,AD103)</f>
        <v>-882842.53523557</v>
      </c>
      <c r="AE104" s="66" t="n">
        <f aca="false">MIN(AD104,AE103)</f>
        <v>-891280.243337827</v>
      </c>
      <c r="AF104" s="66" t="n">
        <f aca="false">MIN(AE104,AF103)</f>
        <v>-899704.062551194</v>
      </c>
      <c r="AG104" s="66" t="n">
        <f aca="false">MIN(AF104,AG103)</f>
        <v>-908113.992875673</v>
      </c>
      <c r="AH104" s="66" t="n">
        <f aca="false">MIN(AG104,AH103)</f>
        <v>-916510.034311263</v>
      </c>
      <c r="AI104" s="66" t="n">
        <f aca="false">MIN(AH104,AI103)</f>
        <v>-924892.186857963</v>
      </c>
      <c r="AJ104" s="66" t="n">
        <f aca="false">MIN(AI104,AJ103)</f>
        <v>-933260.450515775</v>
      </c>
      <c r="AK104" s="66" t="n">
        <f aca="false">MIN(AJ104,AK103)</f>
        <v>-941614.825284698</v>
      </c>
      <c r="AL104" s="66" t="n">
        <f aca="false">MIN(AK104,AL103)</f>
        <v>-949955.311164733</v>
      </c>
      <c r="AM104" s="66" t="n">
        <f aca="false">MIN(AL104,AM103)</f>
        <v>-967866.557948177</v>
      </c>
      <c r="AN104" s="66" t="n">
        <f aca="false">MIN(AM104,AN103)</f>
        <v>-976457.069800988</v>
      </c>
      <c r="AO104" s="66" t="n">
        <f aca="false">MIN(AN104,AO103)</f>
        <v>-985033.692764909</v>
      </c>
      <c r="AP104" s="66" t="n">
        <f aca="false">MIN(AO104,AP103)</f>
        <v>-993596.426839942</v>
      </c>
      <c r="AQ104" s="66" t="n">
        <f aca="false">MIN(AP104,AQ103)</f>
        <v>-1002145.27202609</v>
      </c>
      <c r="AR104" s="66" t="n">
        <f aca="false">MIN(AQ104,AR103)</f>
        <v>-1010680.22832334</v>
      </c>
      <c r="AS104" s="66" t="n">
        <f aca="false">MIN(AR104,AS103)</f>
        <v>-1019201.29573171</v>
      </c>
      <c r="AT104" s="66" t="n">
        <f aca="false">MIN(AS104,AT103)</f>
        <v>-1027708.47425118</v>
      </c>
      <c r="AU104" s="66" t="n">
        <f aca="false">MIN(AT104,AU103)</f>
        <v>-1036201.76388177</v>
      </c>
      <c r="AV104" s="66" t="n">
        <f aca="false">MIN(AU104,AV103)</f>
        <v>-1044681.16462347</v>
      </c>
      <c r="AW104" s="66" t="n">
        <f aca="false">MIN(AV104,AW103)</f>
        <v>-1053146.67647628</v>
      </c>
      <c r="AX104" s="66" t="n">
        <f aca="false">MIN(AW104,AX103)</f>
        <v>-1061598.2994402</v>
      </c>
      <c r="AY104" s="66" t="n">
        <f aca="false">MIN(AX104,AY103)</f>
        <v>-1079641.81898187</v>
      </c>
      <c r="AZ104" s="66" t="n">
        <f aca="false">MIN(AY104,AZ103)</f>
        <v>-1088358.25738544</v>
      </c>
      <c r="BA104" s="66" t="n">
        <f aca="false">MIN(AZ104,BA103)</f>
        <v>-1097060.80690012</v>
      </c>
      <c r="BB104" s="66" t="n">
        <f aca="false">MIN(BA104,BB103)</f>
        <v>-1105749.46752591</v>
      </c>
      <c r="BC104" s="66" t="n">
        <f aca="false">MIN(BB104,BC103)</f>
        <v>-1114424.23926281</v>
      </c>
      <c r="BD104" s="66" t="n">
        <f aca="false">MIN(BC104,BD103)</f>
        <v>-1123085.12211082</v>
      </c>
      <c r="BE104" s="66" t="n">
        <f aca="false">MIN(BD104,BE103)</f>
        <v>-1131732.11606995</v>
      </c>
      <c r="BF104" s="66" t="n">
        <f aca="false">MIN(BE104,BF103)</f>
        <v>-1140365.22114018</v>
      </c>
      <c r="BG104" s="66" t="n">
        <f aca="false">MIN(BF104,BG103)</f>
        <v>-1148984.43732153</v>
      </c>
      <c r="BH104" s="66" t="n">
        <f aca="false">MIN(BG104,BH103)</f>
        <v>-1157589.76461399</v>
      </c>
      <c r="BI104" s="66" t="n">
        <f aca="false">MIN(BH104,BI103)</f>
        <v>-1166181.20301755</v>
      </c>
      <c r="BJ104" s="66" t="n">
        <f aca="false">MIN(BI104,BJ103)</f>
        <v>-1174758.75253223</v>
      </c>
    </row>
    <row r="105" customFormat="false" ht="15" hidden="false" customHeight="false" outlineLevel="0" collapsed="false">
      <c r="A105" s="114" t="s">
        <v>458</v>
      </c>
      <c r="C105" s="113" t="n">
        <f aca="false">IF(AND(C103&gt;=0,C104&lt;0),1,0)</f>
        <v>0</v>
      </c>
      <c r="D105" s="113" t="n">
        <f aca="false">IF(AND(D103&gt;=0,D104&lt;0),1,0)</f>
        <v>0</v>
      </c>
      <c r="E105" s="113" t="n">
        <f aca="false">IF(AND(E103&gt;=0,E104&lt;0),1,0)</f>
        <v>0</v>
      </c>
      <c r="F105" s="113" t="n">
        <f aca="false">IF(AND(F103&gt;=0,F104&lt;0),1,0)</f>
        <v>0</v>
      </c>
      <c r="G105" s="113" t="n">
        <f aca="false">IF(AND(G103&gt;=0,G104&lt;0),1,0)</f>
        <v>0</v>
      </c>
      <c r="H105" s="113" t="n">
        <f aca="false">IF(AND(H103&gt;=0,H104&lt;0),1,0)</f>
        <v>0</v>
      </c>
      <c r="I105" s="113" t="n">
        <f aca="false">IF(AND(I103&gt;=0,I104&lt;0),1,0)</f>
        <v>0</v>
      </c>
      <c r="J105" s="113" t="n">
        <f aca="false">IF(AND(J103&gt;=0,J104&lt;0),1,0)</f>
        <v>0</v>
      </c>
      <c r="K105" s="113" t="n">
        <f aca="false">IF(AND(K103&gt;=0,K104&lt;0),1,0)</f>
        <v>0</v>
      </c>
      <c r="L105" s="113" t="n">
        <f aca="false">IF(AND(L103&gt;=0,L104&lt;0),1,0)</f>
        <v>0</v>
      </c>
      <c r="M105" s="113" t="n">
        <f aca="false">IF(AND(M103&gt;=0,M104&lt;0),1,0)</f>
        <v>0</v>
      </c>
      <c r="N105" s="113" t="n">
        <f aca="false">IF(AND(N103&gt;=0,N104&lt;0),1,0)</f>
        <v>0</v>
      </c>
      <c r="O105" s="113" t="n">
        <f aca="false">IF(AND(O103&gt;=0,O104&lt;0),1,0)</f>
        <v>0</v>
      </c>
      <c r="P105" s="113" t="n">
        <f aca="false">IF(AND(P103&gt;=0,P104&lt;0),1,0)</f>
        <v>0</v>
      </c>
      <c r="Q105" s="113" t="n">
        <f aca="false">IF(AND(Q103&gt;=0,Q104&lt;0),1,0)</f>
        <v>0</v>
      </c>
      <c r="R105" s="113" t="n">
        <f aca="false">IF(AND(R103&gt;=0,R104&lt;0),1,0)</f>
        <v>0</v>
      </c>
      <c r="S105" s="113" t="n">
        <f aca="false">IF(AND(S103&gt;=0,S104&lt;0),1,0)</f>
        <v>0</v>
      </c>
      <c r="T105" s="113" t="n">
        <f aca="false">IF(AND(T103&gt;=0,T104&lt;0),1,0)</f>
        <v>0</v>
      </c>
      <c r="U105" s="113" t="n">
        <f aca="false">IF(AND(U103&gt;=0,U104&lt;0),1,0)</f>
        <v>0</v>
      </c>
      <c r="V105" s="113" t="n">
        <f aca="false">IF(AND(V103&gt;=0,V104&lt;0),1,0)</f>
        <v>0</v>
      </c>
      <c r="W105" s="113" t="n">
        <f aca="false">IF(AND(W103&gt;=0,W104&lt;0),1,0)</f>
        <v>0</v>
      </c>
      <c r="X105" s="113" t="n">
        <f aca="false">IF(AND(X103&gt;=0,X104&lt;0),1,0)</f>
        <v>0</v>
      </c>
      <c r="Y105" s="113" t="n">
        <f aca="false">IF(AND(Y103&gt;=0,Y104&lt;0),1,0)</f>
        <v>0</v>
      </c>
      <c r="Z105" s="113" t="n">
        <f aca="false">IF(AND(Z103&gt;=0,Z104&lt;0),1,0)</f>
        <v>0</v>
      </c>
      <c r="AA105" s="113" t="n">
        <f aca="false">IF(AND(AA103&gt;=0,AA104&lt;0),1,0)</f>
        <v>0</v>
      </c>
      <c r="AB105" s="113" t="n">
        <f aca="false">IF(AND(AB103&gt;=0,AB104&lt;0),1,0)</f>
        <v>0</v>
      </c>
      <c r="AC105" s="113" t="n">
        <f aca="false">IF(AND(AC103&gt;=0,AC104&lt;0),1,0)</f>
        <v>0</v>
      </c>
      <c r="AD105" s="113" t="n">
        <f aca="false">IF(AND(AD103&gt;=0,AD104&lt;0),1,0)</f>
        <v>0</v>
      </c>
      <c r="AE105" s="113" t="n">
        <f aca="false">IF(AND(AE103&gt;=0,AE104&lt;0),1,0)</f>
        <v>0</v>
      </c>
      <c r="AF105" s="113" t="n">
        <f aca="false">IF(AND(AF103&gt;=0,AF104&lt;0),1,0)</f>
        <v>0</v>
      </c>
      <c r="AG105" s="113" t="n">
        <f aca="false">IF(AND(AG103&gt;=0,AG104&lt;0),1,0)</f>
        <v>0</v>
      </c>
      <c r="AH105" s="113" t="n">
        <f aca="false">IF(AND(AH103&gt;=0,AH104&lt;0),1,0)</f>
        <v>0</v>
      </c>
      <c r="AI105" s="113" t="n">
        <f aca="false">IF(AND(AI103&gt;=0,AI104&lt;0),1,0)</f>
        <v>0</v>
      </c>
      <c r="AJ105" s="113" t="n">
        <f aca="false">IF(AND(AJ103&gt;=0,AJ104&lt;0),1,0)</f>
        <v>0</v>
      </c>
      <c r="AK105" s="113" t="n">
        <f aca="false">IF(AND(AK103&gt;=0,AK104&lt;0),1,0)</f>
        <v>0</v>
      </c>
      <c r="AL105" s="113" t="n">
        <f aca="false">IF(AND(AL103&gt;=0,AL104&lt;0),1,0)</f>
        <v>0</v>
      </c>
      <c r="AM105" s="113" t="n">
        <f aca="false">IF(AND(AM103&gt;=0,AM104&lt;0),1,0)</f>
        <v>0</v>
      </c>
      <c r="AN105" s="113" t="n">
        <f aca="false">IF(AND(AN103&gt;=0,AN104&lt;0),1,0)</f>
        <v>0</v>
      </c>
      <c r="AO105" s="113" t="n">
        <f aca="false">IF(AND(AO103&gt;=0,AO104&lt;0),1,0)</f>
        <v>0</v>
      </c>
      <c r="AP105" s="113" t="n">
        <f aca="false">IF(AND(AP103&gt;=0,AP104&lt;0),1,0)</f>
        <v>0</v>
      </c>
      <c r="AQ105" s="113" t="n">
        <f aca="false">IF(AND(AQ103&gt;=0,AQ104&lt;0),1,0)</f>
        <v>0</v>
      </c>
      <c r="AR105" s="113" t="n">
        <f aca="false">IF(AND(AR103&gt;=0,AR104&lt;0),1,0)</f>
        <v>0</v>
      </c>
      <c r="AS105" s="113" t="n">
        <f aca="false">IF(AND(AS103&gt;=0,AS104&lt;0),1,0)</f>
        <v>0</v>
      </c>
      <c r="AT105" s="113" t="n">
        <f aca="false">IF(AND(AT103&gt;=0,AT104&lt;0),1,0)</f>
        <v>0</v>
      </c>
      <c r="AU105" s="113" t="n">
        <f aca="false">IF(AND(AU103&gt;=0,AU104&lt;0),1,0)</f>
        <v>0</v>
      </c>
      <c r="AV105" s="113" t="n">
        <f aca="false">IF(AND(AV103&gt;=0,AV104&lt;0),1,0)</f>
        <v>0</v>
      </c>
      <c r="AW105" s="113" t="n">
        <f aca="false">IF(AND(AW103&gt;=0,AW104&lt;0),1,0)</f>
        <v>0</v>
      </c>
      <c r="AX105" s="113" t="n">
        <f aca="false">IF(AND(AX103&gt;=0,AX104&lt;0),1,0)</f>
        <v>0</v>
      </c>
      <c r="AY105" s="113" t="n">
        <f aca="false">IF(AND(AY103&gt;=0,AY104&lt;0),1,0)</f>
        <v>0</v>
      </c>
      <c r="AZ105" s="113" t="n">
        <f aca="false">IF(AND(AZ103&gt;=0,AZ104&lt;0),1,0)</f>
        <v>0</v>
      </c>
      <c r="BA105" s="113" t="n">
        <f aca="false">IF(AND(BA103&gt;=0,BA104&lt;0),1,0)</f>
        <v>0</v>
      </c>
      <c r="BB105" s="113" t="n">
        <f aca="false">IF(AND(BB103&gt;=0,BB104&lt;0),1,0)</f>
        <v>0</v>
      </c>
      <c r="BC105" s="113" t="n">
        <f aca="false">IF(AND(BC103&gt;=0,BC104&lt;0),1,0)</f>
        <v>0</v>
      </c>
      <c r="BD105" s="113" t="n">
        <f aca="false">IF(AND(BD103&gt;=0,BD104&lt;0),1,0)</f>
        <v>0</v>
      </c>
      <c r="BE105" s="113" t="n">
        <f aca="false">IF(AND(BE103&gt;=0,BE104&lt;0),1,0)</f>
        <v>0</v>
      </c>
      <c r="BF105" s="113" t="n">
        <f aca="false">IF(AND(BF103&gt;=0,BF104&lt;0),1,0)</f>
        <v>0</v>
      </c>
      <c r="BG105" s="113" t="n">
        <f aca="false">IF(AND(BG103&gt;=0,BG104&lt;0),1,0)</f>
        <v>0</v>
      </c>
      <c r="BH105" s="113" t="n">
        <f aca="false">IF(AND(BH103&gt;=0,BH104&lt;0),1,0)</f>
        <v>0</v>
      </c>
      <c r="BI105" s="113" t="n">
        <f aca="false">IF(AND(BI103&gt;=0,BI104&lt;0),1,0)</f>
        <v>0</v>
      </c>
      <c r="BJ105" s="113" t="n">
        <f aca="false">IF(AND(BJ103&gt;=0,BJ104&lt;0),1,0)</f>
        <v>0</v>
      </c>
    </row>
    <row r="106" customFormat="false" ht="15" hidden="false" customHeight="false" outlineLevel="0" collapsed="false">
      <c r="A106" s="6" t="s">
        <v>459</v>
      </c>
      <c r="C106" s="66" t="n">
        <f aca="false">C91-C58*(1-Inputs!$B$85)+C92</f>
        <v>-468191.147712222</v>
      </c>
      <c r="D106" s="66" t="n">
        <f aca="false">D91-D58*(1-Inputs!$B$85)+D92</f>
        <v>-23523.8229376667</v>
      </c>
      <c r="E106" s="66" t="n">
        <f aca="false">E91-E58*(1-Inputs!$B$85)+E92</f>
        <v>-21868.780402</v>
      </c>
      <c r="F106" s="66" t="n">
        <f aca="false">F91-F58*(1-Inputs!$B$85)+F92</f>
        <v>-19914.7378663333</v>
      </c>
      <c r="G106" s="66" t="n">
        <f aca="false">G91-G58*(1-Inputs!$B$85)+G92</f>
        <v>-21083.4731084444</v>
      </c>
      <c r="H106" s="66" t="n">
        <f aca="false">H91-H58*(1-Inputs!$B$85)+H92</f>
        <v>-23387.7639061111</v>
      </c>
      <c r="I106" s="66" t="n">
        <f aca="false">I91-I58*(1-Inputs!$B$85)+I92</f>
        <v>-22569.276926</v>
      </c>
      <c r="J106" s="66" t="n">
        <f aca="false">J91-J58*(1-Inputs!$B$85)+J92</f>
        <v>-20615.2343903333</v>
      </c>
      <c r="K106" s="66" t="n">
        <f aca="false">K91-K58*(1-Inputs!$B$85)+K92</f>
        <v>-18661.1918546667</v>
      </c>
      <c r="L106" s="66" t="n">
        <f aca="false">L91-L58*(1-Inputs!$B$85)+L92</f>
        <v>-16707.149319</v>
      </c>
      <c r="M106" s="66" t="n">
        <f aca="false">M91-M58*(1-Inputs!$B$85)+M92</f>
        <v>-14753.1067833333</v>
      </c>
      <c r="N106" s="66" t="n">
        <f aca="false">N91-N58*(1-Inputs!$B$85)+N92</f>
        <v>-12799.0642476667</v>
      </c>
      <c r="O106" s="66" t="n">
        <f aca="false">O91-O58*(1-Inputs!$B$85)+O92</f>
        <v>-20349.8514468833</v>
      </c>
      <c r="P106" s="66" t="n">
        <f aca="false">P91-P58*(1-Inputs!$B$85)+P92</f>
        <v>-12356.5596651861</v>
      </c>
      <c r="Q106" s="66" t="n">
        <f aca="false">Q91-Q58*(1-Inputs!$B$85)+Q92</f>
        <v>-14741.0949161278</v>
      </c>
      <c r="R106" s="66" t="n">
        <f aca="false">R91-R58*(1-Inputs!$B$85)+R92</f>
        <v>-13909.1690559583</v>
      </c>
      <c r="S106" s="66" t="n">
        <f aca="false">S91-S58*(1-Inputs!$B$85)+S92</f>
        <v>-11907.6209735667</v>
      </c>
      <c r="T106" s="66" t="n">
        <f aca="false">T91-T58*(1-Inputs!$B$85)+T92</f>
        <v>-9906.07289117501</v>
      </c>
      <c r="U106" s="66" t="n">
        <f aca="false">U91-U58*(1-Inputs!$B$85)+U92</f>
        <v>-7904.52480878334</v>
      </c>
      <c r="V106" s="66" t="n">
        <f aca="false">V91-V58*(1-Inputs!$B$85)+V92</f>
        <v>-7092.15464003335</v>
      </c>
      <c r="W106" s="66" t="n">
        <f aca="false">W91-W58*(1-Inputs!$B$85)+W92</f>
        <v>-7182.51297336668</v>
      </c>
      <c r="X106" s="66" t="n">
        <f aca="false">X91-X58*(1-Inputs!$B$85)+X92</f>
        <v>-7179.59630670001</v>
      </c>
      <c r="Y106" s="66" t="n">
        <f aca="false">Y91-Y58*(1-Inputs!$B$85)+Y92</f>
        <v>-7176.67964003335</v>
      </c>
      <c r="Z106" s="66" t="n">
        <f aca="false">Z91-Z58*(1-Inputs!$B$85)+Z92</f>
        <v>-7173.76297336668</v>
      </c>
      <c r="AA106" s="66" t="n">
        <f aca="false">AA91-AA58*(1-Inputs!$B$85)+AA92</f>
        <v>-16735.0611838425</v>
      </c>
      <c r="AB106" s="66" t="n">
        <f aca="false">AB91-AB58*(1-Inputs!$B$85)+AB92</f>
        <v>-7431.52754670085</v>
      </c>
      <c r="AC106" s="66" t="n">
        <f aca="false">AC91-AC58*(1-Inputs!$B$85)+AC92</f>
        <v>-7428.61088003419</v>
      </c>
      <c r="AD106" s="66" t="n">
        <f aca="false">AD91-AD58*(1-Inputs!$B$85)+AD92</f>
        <v>-7425.69421336752</v>
      </c>
      <c r="AE106" s="66" t="n">
        <f aca="false">AE91-AE58*(1-Inputs!$B$85)+AE92</f>
        <v>-7422.77754670085</v>
      </c>
      <c r="AF106" s="66" t="n">
        <f aca="false">AF91-AF58*(1-Inputs!$B$85)+AF92</f>
        <v>-7419.86088003419</v>
      </c>
      <c r="AG106" s="66" t="n">
        <f aca="false">AG91-AG58*(1-Inputs!$B$85)+AG92</f>
        <v>-7416.94421336752</v>
      </c>
      <c r="AH106" s="66" t="n">
        <f aca="false">AH91-AH58*(1-Inputs!$B$85)+AH92</f>
        <v>-7414.02754670085</v>
      </c>
      <c r="AI106" s="66" t="n">
        <f aca="false">AI91-AI58*(1-Inputs!$B$85)+AI92</f>
        <v>-7411.11088003419</v>
      </c>
      <c r="AJ106" s="66" t="n">
        <f aca="false">AJ91-AJ58*(1-Inputs!$B$85)+AJ92</f>
        <v>-7408.19421336752</v>
      </c>
      <c r="AK106" s="66" t="n">
        <f aca="false">AK91-AK58*(1-Inputs!$B$85)+AK92</f>
        <v>-7405.27754670085</v>
      </c>
      <c r="AL106" s="66" t="n">
        <f aca="false">AL91-AL58*(1-Inputs!$B$85)+AL92</f>
        <v>-7402.36088003419</v>
      </c>
      <c r="AM106" s="66" t="n">
        <f aca="false">AM91-AM58*(1-Inputs!$B$85)+AM92</f>
        <v>-16984.0940056666</v>
      </c>
      <c r="AN106" s="66" t="n">
        <f aca="false">AN91-AN58*(1-Inputs!$B$85)+AN92</f>
        <v>-7674.33129725505</v>
      </c>
      <c r="AO106" s="66" t="n">
        <f aca="false">AO91-AO58*(1-Inputs!$B$85)+AO92</f>
        <v>-7671.41463058838</v>
      </c>
      <c r="AP106" s="66" t="n">
        <f aca="false">AP91-AP58*(1-Inputs!$B$85)+AP92</f>
        <v>-7668.49796392171</v>
      </c>
      <c r="AQ106" s="66" t="n">
        <f aca="false">AQ91-AQ58*(1-Inputs!$B$85)+AQ92</f>
        <v>-7665.58129725505</v>
      </c>
      <c r="AR106" s="66" t="n">
        <f aca="false">AR91-AR58*(1-Inputs!$B$85)+AR92</f>
        <v>-7662.66463058838</v>
      </c>
      <c r="AS106" s="66" t="n">
        <f aca="false">AS91-AS58*(1-Inputs!$B$85)+AS92</f>
        <v>-7659.74796392171</v>
      </c>
      <c r="AT106" s="66" t="n">
        <f aca="false">AT91-AT58*(1-Inputs!$B$85)+AT92</f>
        <v>-7656.83129725505</v>
      </c>
      <c r="AU106" s="66" t="n">
        <f aca="false">AU91-AU58*(1-Inputs!$B$85)+AU92</f>
        <v>-7653.91463058838</v>
      </c>
      <c r="AV106" s="66" t="n">
        <f aca="false">AV91-AV58*(1-Inputs!$B$85)+AV92</f>
        <v>-7650.99796392171</v>
      </c>
      <c r="AW106" s="66" t="n">
        <f aca="false">AW91-AW58*(1-Inputs!$B$85)+AW92</f>
        <v>-7648.08129725505</v>
      </c>
      <c r="AX106" s="66" t="n">
        <f aca="false">AX91-AX58*(1-Inputs!$B$85)+AX92</f>
        <v>-7645.16463058838</v>
      </c>
      <c r="AY106" s="66" t="n">
        <f aca="false">AY91-AY58*(1-Inputs!$B$85)+AY92</f>
        <v>-17248.0334305531</v>
      </c>
      <c r="AZ106" s="66" t="n">
        <f aca="false">AZ91-AZ58*(1-Inputs!$B$85)+AZ92</f>
        <v>-7931.9245146797</v>
      </c>
      <c r="BA106" s="66" t="n">
        <f aca="false">BA91-BA58*(1-Inputs!$B$85)+BA92</f>
        <v>-7929.00784801303</v>
      </c>
      <c r="BB106" s="66" t="n">
        <f aca="false">BB91-BB58*(1-Inputs!$B$85)+BB92</f>
        <v>-7926.09118134636</v>
      </c>
      <c r="BC106" s="66" t="n">
        <f aca="false">BC91-BC58*(1-Inputs!$B$85)+BC92</f>
        <v>-7923.1745146797</v>
      </c>
      <c r="BD106" s="66" t="n">
        <f aca="false">BD91-BD58*(1-Inputs!$B$85)+BD92</f>
        <v>-7920.25784801303</v>
      </c>
      <c r="BE106" s="66" t="n">
        <f aca="false">BE91-BE58*(1-Inputs!$B$85)+BE92</f>
        <v>-7917.34118134636</v>
      </c>
      <c r="BF106" s="66" t="n">
        <f aca="false">BF91-BF58*(1-Inputs!$B$85)+BF92</f>
        <v>-7914.4245146797</v>
      </c>
      <c r="BG106" s="66" t="n">
        <f aca="false">BG91-BG58*(1-Inputs!$B$85)+BG92</f>
        <v>-7911.50784801303</v>
      </c>
      <c r="BH106" s="66" t="n">
        <f aca="false">BH91-BH58*(1-Inputs!$B$85)+BH92</f>
        <v>-7908.59118134636</v>
      </c>
      <c r="BI106" s="66" t="n">
        <f aca="false">BI91-BI58*(1-Inputs!$B$85)+BI92</f>
        <v>-7905.6745146797</v>
      </c>
      <c r="BJ106" s="66" t="n">
        <f aca="false">BJ91-BJ58*(1-Inputs!$B$85)+BJ92</f>
        <v>-7902.75784801303</v>
      </c>
    </row>
    <row r="108" customFormat="false" ht="15.75" hidden="false" customHeight="true" outlineLevel="0" collapsed="false">
      <c r="A108" s="7" t="s">
        <v>460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customFormat="false" ht="15" hidden="false" customHeight="false" outlineLevel="0" collapsed="false">
      <c r="A109" s="6" t="s">
        <v>96</v>
      </c>
      <c r="C109" s="66" t="n">
        <f aca="false">C93</f>
        <v>450000</v>
      </c>
      <c r="D109" s="66" t="n">
        <f aca="false">C109+D93</f>
        <v>450000</v>
      </c>
      <c r="E109" s="66" t="n">
        <f aca="false">D109+E93</f>
        <v>450000</v>
      </c>
      <c r="F109" s="66" t="n">
        <f aca="false">E109+F93</f>
        <v>450000</v>
      </c>
      <c r="G109" s="66" t="n">
        <f aca="false">F109+G93</f>
        <v>450000</v>
      </c>
      <c r="H109" s="66" t="n">
        <f aca="false">G109+H93</f>
        <v>450000</v>
      </c>
      <c r="I109" s="66" t="n">
        <f aca="false">H109+I93</f>
        <v>450000</v>
      </c>
      <c r="J109" s="66" t="n">
        <f aca="false">I109+J93</f>
        <v>450000</v>
      </c>
      <c r="K109" s="66" t="n">
        <f aca="false">J109+K93</f>
        <v>450000</v>
      </c>
      <c r="L109" s="66" t="n">
        <f aca="false">K109+L93</f>
        <v>450000</v>
      </c>
      <c r="M109" s="66" t="n">
        <f aca="false">L109+M93</f>
        <v>450000</v>
      </c>
      <c r="N109" s="66" t="n">
        <f aca="false">M109+N93</f>
        <v>450000</v>
      </c>
      <c r="O109" s="66" t="n">
        <f aca="false">N109+O93</f>
        <v>450000</v>
      </c>
      <c r="P109" s="66" t="n">
        <f aca="false">O109+P93</f>
        <v>450000</v>
      </c>
      <c r="Q109" s="66" t="n">
        <f aca="false">P109+Q93</f>
        <v>450000</v>
      </c>
      <c r="R109" s="66" t="n">
        <f aca="false">Q109+R93</f>
        <v>450000</v>
      </c>
      <c r="S109" s="66" t="n">
        <f aca="false">R109+S93</f>
        <v>450000</v>
      </c>
      <c r="T109" s="66" t="n">
        <f aca="false">S109+T93</f>
        <v>450000</v>
      </c>
      <c r="U109" s="66" t="n">
        <f aca="false">T109+U93</f>
        <v>450000</v>
      </c>
      <c r="V109" s="66" t="n">
        <f aca="false">U109+V93</f>
        <v>450000</v>
      </c>
      <c r="W109" s="66" t="n">
        <f aca="false">V109+W93</f>
        <v>450000</v>
      </c>
      <c r="X109" s="66" t="n">
        <f aca="false">W109+X93</f>
        <v>450000</v>
      </c>
      <c r="Y109" s="66" t="n">
        <f aca="false">X109+Y93</f>
        <v>450000</v>
      </c>
      <c r="Z109" s="66" t="n">
        <f aca="false">Y109+Z93</f>
        <v>450000</v>
      </c>
      <c r="AA109" s="66" t="n">
        <f aca="false">Z109+AA93</f>
        <v>450000</v>
      </c>
      <c r="AB109" s="66" t="n">
        <f aca="false">AA109+AB93</f>
        <v>450000</v>
      </c>
      <c r="AC109" s="66" t="n">
        <f aca="false">AB109+AC93</f>
        <v>450000</v>
      </c>
      <c r="AD109" s="66" t="n">
        <f aca="false">AC109+AD93</f>
        <v>450000</v>
      </c>
      <c r="AE109" s="66" t="n">
        <f aca="false">AD109+AE93</f>
        <v>450000</v>
      </c>
      <c r="AF109" s="66" t="n">
        <f aca="false">AE109+AF93</f>
        <v>450000</v>
      </c>
      <c r="AG109" s="66" t="n">
        <f aca="false">AF109+AG93</f>
        <v>450000</v>
      </c>
      <c r="AH109" s="66" t="n">
        <f aca="false">AG109+AH93</f>
        <v>450000</v>
      </c>
      <c r="AI109" s="66" t="n">
        <f aca="false">AH109+AI93</f>
        <v>450000</v>
      </c>
      <c r="AJ109" s="66" t="n">
        <f aca="false">AI109+AJ93</f>
        <v>450000</v>
      </c>
      <c r="AK109" s="66" t="n">
        <f aca="false">AJ109+AK93</f>
        <v>450000</v>
      </c>
      <c r="AL109" s="66" t="n">
        <f aca="false">AK109+AL93</f>
        <v>450000</v>
      </c>
      <c r="AM109" s="66" t="n">
        <f aca="false">AL109+AM93</f>
        <v>450000</v>
      </c>
      <c r="AN109" s="66" t="n">
        <f aca="false">AM109+AN93</f>
        <v>450000</v>
      </c>
      <c r="AO109" s="66" t="n">
        <f aca="false">AN109+AO93</f>
        <v>450000</v>
      </c>
      <c r="AP109" s="66" t="n">
        <f aca="false">AO109+AP93</f>
        <v>450000</v>
      </c>
      <c r="AQ109" s="66" t="n">
        <f aca="false">AP109+AQ93</f>
        <v>450000</v>
      </c>
      <c r="AR109" s="66" t="n">
        <f aca="false">AQ109+AR93</f>
        <v>450000</v>
      </c>
      <c r="AS109" s="66" t="n">
        <f aca="false">AR109+AS93</f>
        <v>450000</v>
      </c>
      <c r="AT109" s="66" t="n">
        <f aca="false">AS109+AT93</f>
        <v>450000</v>
      </c>
      <c r="AU109" s="66" t="n">
        <f aca="false">AT109+AU93</f>
        <v>450000</v>
      </c>
      <c r="AV109" s="66" t="n">
        <f aca="false">AU109+AV93</f>
        <v>450000</v>
      </c>
      <c r="AW109" s="66" t="n">
        <f aca="false">AV109+AW93</f>
        <v>450000</v>
      </c>
      <c r="AX109" s="66" t="n">
        <f aca="false">AW109+AX93</f>
        <v>450000</v>
      </c>
      <c r="AY109" s="66" t="n">
        <f aca="false">AX109+AY93</f>
        <v>450000</v>
      </c>
      <c r="AZ109" s="66" t="n">
        <f aca="false">AY109+AZ93</f>
        <v>450000</v>
      </c>
      <c r="BA109" s="66" t="n">
        <f aca="false">AZ109+BA93</f>
        <v>450000</v>
      </c>
      <c r="BB109" s="66" t="n">
        <f aca="false">BA109+BB93</f>
        <v>450000</v>
      </c>
      <c r="BC109" s="66" t="n">
        <f aca="false">BB109+BC93</f>
        <v>450000</v>
      </c>
      <c r="BD109" s="66" t="n">
        <f aca="false">BC109+BD93</f>
        <v>450000</v>
      </c>
      <c r="BE109" s="66" t="n">
        <f aca="false">BD109+BE93</f>
        <v>450000</v>
      </c>
      <c r="BF109" s="66" t="n">
        <f aca="false">BE109+BF93</f>
        <v>450000</v>
      </c>
      <c r="BG109" s="66" t="n">
        <f aca="false">BF109+BG93</f>
        <v>450000</v>
      </c>
      <c r="BH109" s="66" t="n">
        <f aca="false">BG109+BH93</f>
        <v>450000</v>
      </c>
      <c r="BI109" s="66" t="n">
        <f aca="false">BH109+BI93</f>
        <v>450000</v>
      </c>
      <c r="BJ109" s="66" t="n">
        <f aca="false">BI109+BJ93</f>
        <v>450000</v>
      </c>
    </row>
    <row r="110" customFormat="false" ht="15" hidden="false" customHeight="false" outlineLevel="0" collapsed="false">
      <c r="A110" s="6" t="s">
        <v>97</v>
      </c>
      <c r="C110" s="66" t="n">
        <f aca="false">C63</f>
        <v>-29176.3653233333</v>
      </c>
      <c r="D110" s="66" t="n">
        <f aca="false">C110+D63</f>
        <v>-57084.6603332222</v>
      </c>
      <c r="E110" s="66" t="n">
        <f aca="false">D110+E63</f>
        <v>-83027.9405852222</v>
      </c>
      <c r="F110" s="66" t="n">
        <f aca="false">E110+F63</f>
        <v>-107006.206079333</v>
      </c>
      <c r="G110" s="66" t="n">
        <f aca="false">F110+G63</f>
        <v>-133277.790148889</v>
      </c>
      <c r="H110" s="66" t="n">
        <f aca="false">G110+H63</f>
        <v>-161842.692793889</v>
      </c>
      <c r="I110" s="66" t="n">
        <f aca="false">H110+I63</f>
        <v>-188442.580681</v>
      </c>
      <c r="J110" s="66" t="n">
        <f aca="false">I110+J63</f>
        <v>-213077.453810222</v>
      </c>
      <c r="K110" s="66" t="n">
        <f aca="false">J110+K63</f>
        <v>-235747.312181556</v>
      </c>
      <c r="L110" s="66" t="n">
        <f aca="false">K110+L63</f>
        <v>-256452.155795</v>
      </c>
      <c r="M110" s="66" t="n">
        <f aca="false">L110+M63</f>
        <v>-275191.984650556</v>
      </c>
      <c r="N110" s="66" t="n">
        <f aca="false">M110+N63</f>
        <v>-291966.798748222</v>
      </c>
      <c r="O110" s="66" t="n">
        <f aca="false">N110+O63</f>
        <v>-307125.83632705</v>
      </c>
      <c r="P110" s="66" t="n">
        <f aca="false">O110+P63</f>
        <v>-324658.436934597</v>
      </c>
      <c r="Q110" s="66" t="n">
        <f aca="false">P110+Q63</f>
        <v>-344564.600570864</v>
      </c>
      <c r="R110" s="66" t="n">
        <f aca="false">Q110+R63</f>
        <v>-362458.243902517</v>
      </c>
      <c r="S110" s="66" t="n">
        <f aca="false">R110+S63</f>
        <v>-378339.366929556</v>
      </c>
      <c r="T110" s="66" t="n">
        <f aca="false">S110+T63</f>
        <v>-392207.969651981</v>
      </c>
      <c r="U110" s="66" t="n">
        <f aca="false">T110+U63</f>
        <v>-404064.052069792</v>
      </c>
      <c r="V110" s="66" t="n">
        <f aca="false">U110+V63</f>
        <v>-416121.495598714</v>
      </c>
      <c r="W110" s="66" t="n">
        <f aca="false">V110+W63</f>
        <v>-428165.050238747</v>
      </c>
      <c r="X110" s="66" t="n">
        <f aca="false">W110+X63</f>
        <v>-440194.715989892</v>
      </c>
      <c r="Y110" s="66" t="n">
        <f aca="false">X110+Y63</f>
        <v>-452210.492852147</v>
      </c>
      <c r="Z110" s="66" t="n">
        <f aca="false">Y110+Z63</f>
        <v>-464212.380825514</v>
      </c>
      <c r="AA110" s="66" t="n">
        <f aca="false">Z110+AA63</f>
        <v>-476538.977816659</v>
      </c>
      <c r="AB110" s="66" t="n">
        <f aca="false">AA110+AB63</f>
        <v>-488851.685918916</v>
      </c>
      <c r="AC110" s="66" t="n">
        <f aca="false">AB110+AC63</f>
        <v>-501150.505132283</v>
      </c>
      <c r="AD110" s="66" t="n">
        <f aca="false">AC110+AD63</f>
        <v>-513435.435456762</v>
      </c>
      <c r="AE110" s="66" t="n">
        <f aca="false">AD110+AE63</f>
        <v>-525706.476892352</v>
      </c>
      <c r="AF110" s="66" t="n">
        <f aca="false">AE110+AF63</f>
        <v>-537963.629439053</v>
      </c>
      <c r="AG110" s="66" t="n">
        <f aca="false">AF110+AG63</f>
        <v>-550206.893096865</v>
      </c>
      <c r="AH110" s="66" t="n">
        <f aca="false">AG110+AH63</f>
        <v>-562436.267865788</v>
      </c>
      <c r="AI110" s="66" t="n">
        <f aca="false">AH110+AI63</f>
        <v>-574651.753745822</v>
      </c>
      <c r="AJ110" s="66" t="n">
        <f aca="false">AI110+AJ63</f>
        <v>-586853.350736967</v>
      </c>
      <c r="AK110" s="66" t="n">
        <f aca="false">AJ110+AK63</f>
        <v>-599041.058839223</v>
      </c>
      <c r="AL110" s="66" t="n">
        <f aca="false">AK110+AL63</f>
        <v>-611214.878052591</v>
      </c>
      <c r="AM110" s="66" t="n">
        <f aca="false">AL110+AM63</f>
        <v>-623727.612127624</v>
      </c>
      <c r="AN110" s="66" t="n">
        <f aca="false">AM110+AN63</f>
        <v>-636226.457313768</v>
      </c>
      <c r="AO110" s="66" t="n">
        <f aca="false">AN110+AO63</f>
        <v>-648711.413611023</v>
      </c>
      <c r="AP110" s="66" t="n">
        <f aca="false">AO110+AP63</f>
        <v>-661182.481019389</v>
      </c>
      <c r="AQ110" s="66" t="n">
        <f aca="false">AP110+AQ63</f>
        <v>-673639.659538866</v>
      </c>
      <c r="AR110" s="66" t="n">
        <f aca="false">AQ110+AR63</f>
        <v>-686082.949169454</v>
      </c>
      <c r="AS110" s="66" t="n">
        <f aca="false">AR110+AS63</f>
        <v>-698512.349911154</v>
      </c>
      <c r="AT110" s="66" t="n">
        <f aca="false">AS110+AT63</f>
        <v>-710927.861763965</v>
      </c>
      <c r="AU110" s="66" t="n">
        <f aca="false">AT110+AU63</f>
        <v>-723329.484727886</v>
      </c>
      <c r="AV110" s="66" t="n">
        <f aca="false">AU110+AV63</f>
        <v>-735717.218802919</v>
      </c>
      <c r="AW110" s="66" t="n">
        <f aca="false">AV110+AW63</f>
        <v>-748091.063989063</v>
      </c>
      <c r="AX110" s="66" t="n">
        <f aca="false">AW110+AX63</f>
        <v>-760451.020286318</v>
      </c>
      <c r="AY110" s="66" t="n">
        <f aca="false">AX110+AY63</f>
        <v>-773164.680912109</v>
      </c>
      <c r="AZ110" s="66" t="n">
        <f aca="false">AY110+AZ63</f>
        <v>-785864.452649011</v>
      </c>
      <c r="BA110" s="66" t="n">
        <f aca="false">AZ110+BA63</f>
        <v>-798550.335497024</v>
      </c>
      <c r="BB110" s="66" t="n">
        <f aca="false">BA110+BB63</f>
        <v>-811222.329456148</v>
      </c>
      <c r="BC110" s="66" t="n">
        <f aca="false">BB110+BC63</f>
        <v>-823880.434526383</v>
      </c>
      <c r="BD110" s="66" t="n">
        <f aca="false">BC110+BD63</f>
        <v>-836524.65070773</v>
      </c>
      <c r="BE110" s="66" t="n">
        <f aca="false">BD110+BE63</f>
        <v>-849154.978000187</v>
      </c>
      <c r="BF110" s="66" t="n">
        <f aca="false">BE110+BF63</f>
        <v>-861771.416403756</v>
      </c>
      <c r="BG110" s="66" t="n">
        <f aca="false">BF110+BG63</f>
        <v>-874373.965918435</v>
      </c>
      <c r="BH110" s="66" t="n">
        <f aca="false">BG110+BH63</f>
        <v>-886962.626544226</v>
      </c>
      <c r="BI110" s="66" t="n">
        <f aca="false">BH110+BI63</f>
        <v>-899537.398281128</v>
      </c>
      <c r="BJ110" s="66" t="n">
        <f aca="false">BI110+BJ63</f>
        <v>-912098.281129141</v>
      </c>
    </row>
    <row r="111" customFormat="false" ht="15" hidden="false" customHeight="false" outlineLevel="0" collapsed="false">
      <c r="A111" s="4" t="s">
        <v>92</v>
      </c>
      <c r="C111" s="72" t="n">
        <f aca="false">C97+C83+C84+C74</f>
        <v>674346.372454445</v>
      </c>
      <c r="D111" s="72" t="n">
        <f aca="false">D97+D83+D84+D74</f>
        <v>644448.068111222</v>
      </c>
      <c r="E111" s="72" t="n">
        <f aca="false">E97+E83+E84+E74</f>
        <v>616514.778525889</v>
      </c>
      <c r="F111" s="72" t="n">
        <f aca="false">F97+F83+F84+F74</f>
        <v>590546.503698445</v>
      </c>
      <c r="G111" s="72" t="n">
        <f aca="false">G97+G83+G84+G74</f>
        <v>563846.299184445</v>
      </c>
      <c r="H111" s="72" t="n">
        <f aca="false">H97+H83+H84+H74</f>
        <v>534852.776095</v>
      </c>
      <c r="I111" s="72" t="n">
        <f aca="false">I97+I83+I84+I74</f>
        <v>506262.878874556</v>
      </c>
      <c r="J111" s="72" t="n">
        <f aca="false">J97+J83+J84+J74</f>
        <v>479637.996412</v>
      </c>
      <c r="K111" s="72" t="n">
        <f aca="false">K97+K83+K84+K74</f>
        <v>454978.128707333</v>
      </c>
      <c r="L111" s="72" t="n">
        <f aca="false">L97+L83+L84+L74</f>
        <v>432283.275760556</v>
      </c>
      <c r="M111" s="72" t="n">
        <f aca="false">M97+M83+M84+M74</f>
        <v>411553.437571667</v>
      </c>
      <c r="N111" s="72" t="n">
        <f aca="false">N97+N83+N84+N74</f>
        <v>392788.614140667</v>
      </c>
      <c r="O111" s="72" t="n">
        <f aca="false">O97+O83+O84+O74</f>
        <v>375872.529335172</v>
      </c>
      <c r="P111" s="72" t="n">
        <f aca="false">P97+P83+P84+P74</f>
        <v>357960.949669847</v>
      </c>
      <c r="Q111" s="72" t="n">
        <f aca="false">Q97+Q83+Q84+Q74</f>
        <v>337675.806975803</v>
      </c>
      <c r="R111" s="72" t="n">
        <f aca="false">R97+R83+R84+R74</f>
        <v>317794.954030817</v>
      </c>
      <c r="S111" s="72" t="n">
        <f aca="false">S97+S83+S84+S74</f>
        <v>299926.621390444</v>
      </c>
      <c r="T111" s="72" t="n">
        <f aca="false">T97+T83+T84+T74</f>
        <v>284070.809054686</v>
      </c>
      <c r="U111" s="72" t="n">
        <f aca="false">U97+U83+U84+U74</f>
        <v>270227.517023542</v>
      </c>
      <c r="V111" s="72" t="n">
        <f aca="false">V97+V83+V84+V74</f>
        <v>256086.740161286</v>
      </c>
      <c r="W111" s="72" t="n">
        <f aca="false">W97+W83+W84+W74</f>
        <v>241959.852187919</v>
      </c>
      <c r="X111" s="72" t="n">
        <f aca="false">X97+X83+X84+X74</f>
        <v>227846.853103442</v>
      </c>
      <c r="Y111" s="72" t="n">
        <f aca="false">Y97+Y83+Y84+Y74</f>
        <v>213747.742907853</v>
      </c>
      <c r="Z111" s="72" t="n">
        <f aca="false">Z97+Z83+Z84+Z74</f>
        <v>199662.521601153</v>
      </c>
      <c r="AA111" s="72" t="n">
        <f aca="false">AA97+AA83+AA84+AA74</f>
        <v>185606.338349474</v>
      </c>
      <c r="AB111" s="72" t="n">
        <f aca="false">AB97+AB83+AB84+AB74</f>
        <v>171210.296913884</v>
      </c>
      <c r="AC111" s="72" t="n">
        <f aca="false">AC97+AC83+AC84+AC74</f>
        <v>156828.144367184</v>
      </c>
      <c r="AD111" s="72" t="n">
        <f aca="false">AD97+AD83+AD84+AD74</f>
        <v>142459.880709372</v>
      </c>
      <c r="AE111" s="72" t="n">
        <f aca="false">AE97+AE83+AE84+AE74</f>
        <v>128105.505940449</v>
      </c>
      <c r="AF111" s="72" t="n">
        <f aca="false">AF97+AF83+AF84+AF74</f>
        <v>113765.020060414</v>
      </c>
      <c r="AG111" s="72" t="n">
        <f aca="false">AG97+AG83+AG84+AG74</f>
        <v>99438.4230692691</v>
      </c>
      <c r="AH111" s="72" t="n">
        <f aca="false">AH97+AH83+AH84+AH74</f>
        <v>85125.7149670126</v>
      </c>
      <c r="AI111" s="72" t="n">
        <f aca="false">AI97+AI83+AI84+AI74</f>
        <v>70826.8957536451</v>
      </c>
      <c r="AJ111" s="72" t="n">
        <f aca="false">AJ97+AJ83+AJ84+AJ74</f>
        <v>56541.9654291665</v>
      </c>
      <c r="AK111" s="72" t="n">
        <f aca="false">AK97+AK83+AK84+AK74</f>
        <v>42270.9239935767</v>
      </c>
      <c r="AL111" s="72" t="n">
        <f aca="false">AL97+AL83+AL84+AL74</f>
        <v>28013.7714468759</v>
      </c>
      <c r="AM111" s="72" t="n">
        <f aca="false">AM97+AM83+AM84+AM74</f>
        <v>13782.0635234937</v>
      </c>
      <c r="AN111" s="72" t="n">
        <f aca="false">AN97+AN83+AN84+AN74</f>
        <v>-800.114995983604</v>
      </c>
      <c r="AO111" s="72" t="n">
        <f aca="false">AO97+AO83+AO84+AO74</f>
        <v>-15368.404626572</v>
      </c>
      <c r="AP111" s="72" t="n">
        <f aca="false">AP97+AP83+AP84+AP74</f>
        <v>-29922.8053682715</v>
      </c>
      <c r="AQ111" s="72" t="n">
        <f aca="false">AQ97+AQ83+AQ84+AQ74</f>
        <v>-44463.3172210821</v>
      </c>
      <c r="AR111" s="72" t="n">
        <f aca="false">AR97+AR83+AR84+AR74</f>
        <v>-58989.9401850038</v>
      </c>
      <c r="AS111" s="72" t="n">
        <f aca="false">AS97+AS83+AS84+AS74</f>
        <v>-73502.6742600367</v>
      </c>
      <c r="AT111" s="72" t="n">
        <f aca="false">AT97+AT83+AT84+AT74</f>
        <v>-88001.5194461806</v>
      </c>
      <c r="AU111" s="72" t="n">
        <f aca="false">AU97+AU83+AU84+AU74</f>
        <v>-102486.475743436</v>
      </c>
      <c r="AV111" s="72" t="n">
        <f aca="false">AV97+AV83+AV84+AV74</f>
        <v>-116957.543151802</v>
      </c>
      <c r="AW111" s="72" t="n">
        <f aca="false">AW97+AW83+AW84+AW74</f>
        <v>-131414.721671279</v>
      </c>
      <c r="AX111" s="72" t="n">
        <f aca="false">AX97+AX83+AX84+AX74</f>
        <v>-145858.011301868</v>
      </c>
      <c r="AY111" s="72" t="n">
        <f aca="false">AY97+AY83+AY84+AY74</f>
        <v>-160279.714991458</v>
      </c>
      <c r="AZ111" s="72" t="n">
        <f aca="false">AZ97+AZ83+AZ84+AZ74</f>
        <v>-175062.820061693</v>
      </c>
      <c r="BA111" s="72" t="n">
        <f aca="false">BA97+BA83+BA84+BA74</f>
        <v>-189832.03624304</v>
      </c>
      <c r="BB111" s="72" t="n">
        <f aca="false">BB97+BB83+BB84+BB74</f>
        <v>-204587.363535497</v>
      </c>
      <c r="BC111" s="72" t="n">
        <f aca="false">BC97+BC83+BC84+BC74</f>
        <v>-219328.801939066</v>
      </c>
      <c r="BD111" s="72" t="n">
        <f aca="false">BD97+BD83+BD84+BD74</f>
        <v>-234056.351453745</v>
      </c>
      <c r="BE111" s="72" t="n">
        <f aca="false">BE97+BE83+BE84+BE74</f>
        <v>-248770.012079536</v>
      </c>
      <c r="BF111" s="72" t="n">
        <f aca="false">BF97+BF83+BF84+BF74</f>
        <v>-263469.783816438</v>
      </c>
      <c r="BG111" s="72" t="n">
        <f aca="false">BG97+BG83+BG84+BG74</f>
        <v>-278155.666664451</v>
      </c>
      <c r="BH111" s="72" t="n">
        <f aca="false">BH97+BH83+BH84+BH74</f>
        <v>-292827.660623575</v>
      </c>
      <c r="BI111" s="72" t="n">
        <f aca="false">BI97+BI83+BI84+BI74</f>
        <v>-307485.765693811</v>
      </c>
      <c r="BJ111" s="72" t="n">
        <f aca="false">BJ97+BJ83+BJ84+BJ74</f>
        <v>-322129.981875157</v>
      </c>
    </row>
    <row r="112" customFormat="false" ht="15" hidden="false" customHeight="false" outlineLevel="0" collapsed="false">
      <c r="A112" s="6" t="s">
        <v>95</v>
      </c>
      <c r="C112" s="66" t="n">
        <f aca="false">C85+C80</f>
        <v>253522.737777778</v>
      </c>
      <c r="D112" s="66" t="n">
        <f aca="false">D85+D80</f>
        <v>251532.728444444</v>
      </c>
      <c r="E112" s="66" t="n">
        <f aca="false">E85+E80</f>
        <v>249542.719111111</v>
      </c>
      <c r="F112" s="66" t="n">
        <f aca="false">F85+F80</f>
        <v>247552.709777778</v>
      </c>
      <c r="G112" s="66" t="n">
        <f aca="false">G85+G80</f>
        <v>247124.089333333</v>
      </c>
      <c r="H112" s="66" t="n">
        <f aca="false">H85+H80</f>
        <v>246695.468888889</v>
      </c>
      <c r="I112" s="66" t="n">
        <f aca="false">I85+I80</f>
        <v>244705.459555555</v>
      </c>
      <c r="J112" s="66" t="n">
        <f aca="false">J85+J80</f>
        <v>242715.450222222</v>
      </c>
      <c r="K112" s="66" t="n">
        <f aca="false">K85+K80</f>
        <v>240725.440888889</v>
      </c>
      <c r="L112" s="66" t="n">
        <f aca="false">L85+L80</f>
        <v>238735.431555555</v>
      </c>
      <c r="M112" s="66" t="n">
        <f aca="false">M85+M80</f>
        <v>236745.422222222</v>
      </c>
      <c r="N112" s="66" t="n">
        <f aca="false">N85+N80</f>
        <v>234755.412888889</v>
      </c>
      <c r="O112" s="66" t="n">
        <f aca="false">O85+O80</f>
        <v>232998.365662222</v>
      </c>
      <c r="P112" s="66" t="n">
        <f aca="false">P85+P80</f>
        <v>232619.386604444</v>
      </c>
      <c r="Q112" s="66" t="n">
        <f aca="false">Q85+Q80</f>
        <v>232240.407546667</v>
      </c>
      <c r="R112" s="66" t="n">
        <f aca="false">R85+R80</f>
        <v>230253.197933333</v>
      </c>
      <c r="S112" s="66" t="n">
        <f aca="false">S85+S80</f>
        <v>228265.98832</v>
      </c>
      <c r="T112" s="66" t="n">
        <f aca="false">T85+T80</f>
        <v>226278.778706667</v>
      </c>
      <c r="U112" s="66" t="n">
        <f aca="false">U85+U80</f>
        <v>224291.569093333</v>
      </c>
      <c r="V112" s="66" t="n">
        <f aca="false">V85+V80</f>
        <v>222208.23576</v>
      </c>
      <c r="W112" s="66" t="n">
        <f aca="false">W85+W80</f>
        <v>220124.902426666</v>
      </c>
      <c r="X112" s="66" t="n">
        <f aca="false">X85+X80</f>
        <v>218041.569093333</v>
      </c>
      <c r="Y112" s="66" t="n">
        <f aca="false">Y85+Y80</f>
        <v>215958.23576</v>
      </c>
      <c r="Z112" s="66" t="n">
        <f aca="false">Z85+Z80</f>
        <v>213874.902426666</v>
      </c>
      <c r="AA112" s="66" t="n">
        <f aca="false">AA85+AA80</f>
        <v>212145.316166133</v>
      </c>
      <c r="AB112" s="66" t="n">
        <f aca="false">AB85+AB80</f>
        <v>210061.9828328</v>
      </c>
      <c r="AC112" s="66" t="n">
        <f aca="false">AC85+AC80</f>
        <v>207978.649499466</v>
      </c>
      <c r="AD112" s="66" t="n">
        <f aca="false">AD85+AD80</f>
        <v>205895.316166133</v>
      </c>
      <c r="AE112" s="66" t="n">
        <f aca="false">AE85+AE80</f>
        <v>203811.9828328</v>
      </c>
      <c r="AF112" s="66" t="n">
        <f aca="false">AF85+AF80</f>
        <v>201728.649499466</v>
      </c>
      <c r="AG112" s="66" t="n">
        <f aca="false">AG85+AG80</f>
        <v>199645.316166133</v>
      </c>
      <c r="AH112" s="66" t="n">
        <f aca="false">AH85+AH80</f>
        <v>197561.9828328</v>
      </c>
      <c r="AI112" s="66" t="n">
        <f aca="false">AI85+AI80</f>
        <v>195478.649499466</v>
      </c>
      <c r="AJ112" s="66" t="n">
        <f aca="false">AJ85+AJ80</f>
        <v>193395.316166133</v>
      </c>
      <c r="AK112" s="66" t="n">
        <f aca="false">AK85+AK80</f>
        <v>191311.9828328</v>
      </c>
      <c r="AL112" s="66" t="n">
        <f aca="false">AL85+AL80</f>
        <v>189228.649499466</v>
      </c>
      <c r="AM112" s="66" t="n">
        <f aca="false">AM85+AM80</f>
        <v>187509.675651117</v>
      </c>
      <c r="AN112" s="66" t="n">
        <f aca="false">AN85+AN80</f>
        <v>185426.342317784</v>
      </c>
      <c r="AO112" s="66" t="n">
        <f aca="false">AO85+AO80</f>
        <v>183343.00898445</v>
      </c>
      <c r="AP112" s="66" t="n">
        <f aca="false">AP85+AP80</f>
        <v>181259.675651117</v>
      </c>
      <c r="AQ112" s="66" t="n">
        <f aca="false">AQ85+AQ80</f>
        <v>179176.342317784</v>
      </c>
      <c r="AR112" s="66" t="n">
        <f aca="false">AR85+AR80</f>
        <v>177093.00898445</v>
      </c>
      <c r="AS112" s="66" t="n">
        <f aca="false">AS85+AS80</f>
        <v>175009.675651117</v>
      </c>
      <c r="AT112" s="66" t="n">
        <f aca="false">AT85+AT80</f>
        <v>172926.342317784</v>
      </c>
      <c r="AU112" s="66" t="n">
        <f aca="false">AU85+AU80</f>
        <v>170843.00898445</v>
      </c>
      <c r="AV112" s="66" t="n">
        <f aca="false">AV85+AV80</f>
        <v>168759.675651117</v>
      </c>
      <c r="AW112" s="66" t="n">
        <f aca="false">AW85+AW80</f>
        <v>166676.342317784</v>
      </c>
      <c r="AX112" s="66" t="n">
        <f aca="false">AX85+AX80</f>
        <v>164593.00898445</v>
      </c>
      <c r="AY112" s="66" t="n">
        <f aca="false">AY85+AY80</f>
        <v>162884.96592065</v>
      </c>
      <c r="AZ112" s="66" t="n">
        <f aca="false">AZ85+AZ80</f>
        <v>160801.632587317</v>
      </c>
      <c r="BA112" s="66" t="n">
        <f aca="false">BA85+BA80</f>
        <v>158718.299253984</v>
      </c>
      <c r="BB112" s="66" t="n">
        <f aca="false">BB85+BB80</f>
        <v>156634.96592065</v>
      </c>
      <c r="BC112" s="66" t="n">
        <f aca="false">BC85+BC80</f>
        <v>154551.632587317</v>
      </c>
      <c r="BD112" s="66" t="n">
        <f aca="false">BD85+BD80</f>
        <v>152468.299253984</v>
      </c>
      <c r="BE112" s="66" t="n">
        <f aca="false">BE85+BE80</f>
        <v>150384.96592065</v>
      </c>
      <c r="BF112" s="66" t="n">
        <f aca="false">BF85+BF80</f>
        <v>148301.632587317</v>
      </c>
      <c r="BG112" s="66" t="n">
        <f aca="false">BG85+BG80</f>
        <v>146218.299253984</v>
      </c>
      <c r="BH112" s="66" t="n">
        <f aca="false">BH85+BH80</f>
        <v>144134.96592065</v>
      </c>
      <c r="BI112" s="66" t="n">
        <f aca="false">BI85+BI80</f>
        <v>142051.632587317</v>
      </c>
      <c r="BJ112" s="66" t="n">
        <f aca="false">BJ85+BJ80</f>
        <v>139968.299253984</v>
      </c>
    </row>
    <row r="113" customFormat="false" ht="15" hidden="false" customHeight="false" outlineLevel="0" collapsed="false">
      <c r="A113" s="6" t="s">
        <v>98</v>
      </c>
      <c r="C113" s="66" t="n">
        <f aca="false">C109+C110</f>
        <v>420823.634676667</v>
      </c>
      <c r="D113" s="66" t="n">
        <f aca="false">D109+D110</f>
        <v>392915.339666778</v>
      </c>
      <c r="E113" s="66" t="n">
        <f aca="false">E109+E110</f>
        <v>366972.059414778</v>
      </c>
      <c r="F113" s="66" t="n">
        <f aca="false">F109+F110</f>
        <v>342993.793920667</v>
      </c>
      <c r="G113" s="66" t="n">
        <f aca="false">G109+G110</f>
        <v>316722.209851111</v>
      </c>
      <c r="H113" s="66" t="n">
        <f aca="false">H109+H110</f>
        <v>288157.307206111</v>
      </c>
      <c r="I113" s="66" t="n">
        <f aca="false">I109+I110</f>
        <v>261557.419319</v>
      </c>
      <c r="J113" s="66" t="n">
        <f aca="false">J109+J110</f>
        <v>236922.546189778</v>
      </c>
      <c r="K113" s="66" t="n">
        <f aca="false">K109+K110</f>
        <v>214252.687818444</v>
      </c>
      <c r="L113" s="66" t="n">
        <f aca="false">L109+L110</f>
        <v>193547.844205</v>
      </c>
      <c r="M113" s="66" t="n">
        <f aca="false">M109+M110</f>
        <v>174808.015349444</v>
      </c>
      <c r="N113" s="66" t="n">
        <f aca="false">N109+N110</f>
        <v>158033.201251778</v>
      </c>
      <c r="O113" s="66" t="n">
        <f aca="false">O109+O110</f>
        <v>142874.16367295</v>
      </c>
      <c r="P113" s="66" t="n">
        <f aca="false">P109+P110</f>
        <v>125341.563065403</v>
      </c>
      <c r="Q113" s="66" t="n">
        <f aca="false">Q109+Q110</f>
        <v>105435.399429136</v>
      </c>
      <c r="R113" s="66" t="n">
        <f aca="false">R109+R110</f>
        <v>87541.7560974833</v>
      </c>
      <c r="S113" s="66" t="n">
        <f aca="false">S109+S110</f>
        <v>71660.6330704445</v>
      </c>
      <c r="T113" s="66" t="n">
        <f aca="false">T109+T110</f>
        <v>57792.0303480194</v>
      </c>
      <c r="U113" s="66" t="n">
        <f aca="false">U109+U110</f>
        <v>45935.9479302083</v>
      </c>
      <c r="V113" s="66" t="n">
        <f aca="false">V109+V110</f>
        <v>33878.5044012861</v>
      </c>
      <c r="W113" s="66" t="n">
        <f aca="false">W109+W110</f>
        <v>21834.9497612527</v>
      </c>
      <c r="X113" s="66" t="n">
        <f aca="false">X109+X110</f>
        <v>9805.28401010827</v>
      </c>
      <c r="Y113" s="66" t="n">
        <f aca="false">Y109+Y110</f>
        <v>-2210.49285214732</v>
      </c>
      <c r="Z113" s="66" t="n">
        <f aca="false">Z109+Z110</f>
        <v>-14212.380825514</v>
      </c>
      <c r="AA113" s="66" t="n">
        <f aca="false">AA109+AA110</f>
        <v>-26538.9778166593</v>
      </c>
      <c r="AB113" s="66" t="n">
        <f aca="false">AB109+AB110</f>
        <v>-38851.6859189157</v>
      </c>
      <c r="AC113" s="66" t="n">
        <f aca="false">AC109+AC110</f>
        <v>-51150.5051322832</v>
      </c>
      <c r="AD113" s="66" t="n">
        <f aca="false">AD109+AD110</f>
        <v>-63435.4354567619</v>
      </c>
      <c r="AE113" s="66" t="n">
        <f aca="false">AE109+AE110</f>
        <v>-75706.4768923516</v>
      </c>
      <c r="AF113" s="66" t="n">
        <f aca="false">AF109+AF110</f>
        <v>-87963.6294390525</v>
      </c>
      <c r="AG113" s="66" t="n">
        <f aca="false">AG109+AG110</f>
        <v>-100206.893096864</v>
      </c>
      <c r="AH113" s="66" t="n">
        <f aca="false">AH109+AH110</f>
        <v>-112436.267865788</v>
      </c>
      <c r="AI113" s="66" t="n">
        <f aca="false">AI109+AI110</f>
        <v>-124651.753745822</v>
      </c>
      <c r="AJ113" s="66" t="n">
        <f aca="false">AJ109+AJ110</f>
        <v>-136853.350736967</v>
      </c>
      <c r="AK113" s="66" t="n">
        <f aca="false">AK109+AK110</f>
        <v>-149041.058839223</v>
      </c>
      <c r="AL113" s="66" t="n">
        <f aca="false">AL109+AL110</f>
        <v>-161214.878052591</v>
      </c>
      <c r="AM113" s="66" t="n">
        <f aca="false">AM109+AM110</f>
        <v>-173727.612127624</v>
      </c>
      <c r="AN113" s="66" t="n">
        <f aca="false">AN109+AN110</f>
        <v>-186226.457313768</v>
      </c>
      <c r="AO113" s="66" t="n">
        <f aca="false">AO109+AO110</f>
        <v>-198711.413611023</v>
      </c>
      <c r="AP113" s="66" t="n">
        <f aca="false">AP109+AP110</f>
        <v>-211182.481019389</v>
      </c>
      <c r="AQ113" s="66" t="n">
        <f aca="false">AQ109+AQ110</f>
        <v>-223639.659538866</v>
      </c>
      <c r="AR113" s="66" t="n">
        <f aca="false">AR109+AR110</f>
        <v>-236082.949169454</v>
      </c>
      <c r="AS113" s="66" t="n">
        <f aca="false">AS109+AS110</f>
        <v>-248512.349911154</v>
      </c>
      <c r="AT113" s="66" t="n">
        <f aca="false">AT109+AT110</f>
        <v>-260927.861763965</v>
      </c>
      <c r="AU113" s="66" t="n">
        <f aca="false">AU109+AU110</f>
        <v>-273329.484727886</v>
      </c>
      <c r="AV113" s="66" t="n">
        <f aca="false">AV109+AV110</f>
        <v>-285717.218802919</v>
      </c>
      <c r="AW113" s="66" t="n">
        <f aca="false">AW109+AW110</f>
        <v>-298091.063989063</v>
      </c>
      <c r="AX113" s="66" t="n">
        <f aca="false">AX109+AX110</f>
        <v>-310451.020286318</v>
      </c>
      <c r="AY113" s="66" t="n">
        <f aca="false">AY109+AY110</f>
        <v>-323164.680912109</v>
      </c>
      <c r="AZ113" s="66" t="n">
        <f aca="false">AZ109+AZ110</f>
        <v>-335864.452649011</v>
      </c>
      <c r="BA113" s="66" t="n">
        <f aca="false">BA109+BA110</f>
        <v>-348550.335497024</v>
      </c>
      <c r="BB113" s="66" t="n">
        <f aca="false">BB109+BB110</f>
        <v>-361222.329456148</v>
      </c>
      <c r="BC113" s="66" t="n">
        <f aca="false">BC109+BC110</f>
        <v>-373880.434526383</v>
      </c>
      <c r="BD113" s="66" t="n">
        <f aca="false">BD109+BD110</f>
        <v>-386524.65070773</v>
      </c>
      <c r="BE113" s="66" t="n">
        <f aca="false">BE109+BE110</f>
        <v>-399154.978000187</v>
      </c>
      <c r="BF113" s="66" t="n">
        <f aca="false">BF109+BF110</f>
        <v>-411771.416403756</v>
      </c>
      <c r="BG113" s="66" t="n">
        <f aca="false">BG109+BG110</f>
        <v>-424373.965918435</v>
      </c>
      <c r="BH113" s="66" t="n">
        <f aca="false">BH109+BH110</f>
        <v>-436962.626544226</v>
      </c>
      <c r="BI113" s="66" t="n">
        <f aca="false">BI109+BI110</f>
        <v>-449537.398281128</v>
      </c>
      <c r="BJ113" s="66" t="n">
        <f aca="false">BJ109+BJ110</f>
        <v>-462098.281129141</v>
      </c>
    </row>
    <row r="114" customFormat="false" ht="15" hidden="false" customHeight="false" outlineLevel="0" collapsed="false">
      <c r="A114" s="4" t="s">
        <v>99</v>
      </c>
      <c r="C114" s="72" t="n">
        <f aca="false">C112+C113</f>
        <v>674346.372454444</v>
      </c>
      <c r="D114" s="72" t="n">
        <f aca="false">D112+D113</f>
        <v>644448.068111222</v>
      </c>
      <c r="E114" s="72" t="n">
        <f aca="false">E112+E113</f>
        <v>616514.778525889</v>
      </c>
      <c r="F114" s="72" t="n">
        <f aca="false">F112+F113</f>
        <v>590546.503698445</v>
      </c>
      <c r="G114" s="72" t="n">
        <f aca="false">G112+G113</f>
        <v>563846.299184444</v>
      </c>
      <c r="H114" s="72" t="n">
        <f aca="false">H112+H113</f>
        <v>534852.776095</v>
      </c>
      <c r="I114" s="72" t="n">
        <f aca="false">I112+I113</f>
        <v>506262.878874555</v>
      </c>
      <c r="J114" s="72" t="n">
        <f aca="false">J112+J113</f>
        <v>479637.996412</v>
      </c>
      <c r="K114" s="72" t="n">
        <f aca="false">K112+K113</f>
        <v>454978.128707333</v>
      </c>
      <c r="L114" s="72" t="n">
        <f aca="false">L112+L113</f>
        <v>432283.275760555</v>
      </c>
      <c r="M114" s="72" t="n">
        <f aca="false">M112+M113</f>
        <v>411553.437571667</v>
      </c>
      <c r="N114" s="72" t="n">
        <f aca="false">N112+N113</f>
        <v>392788.614140667</v>
      </c>
      <c r="O114" s="72" t="n">
        <f aca="false">O112+O113</f>
        <v>375872.529335172</v>
      </c>
      <c r="P114" s="72" t="n">
        <f aca="false">P112+P113</f>
        <v>357960.949669847</v>
      </c>
      <c r="Q114" s="72" t="n">
        <f aca="false">Q112+Q113</f>
        <v>337675.806975803</v>
      </c>
      <c r="R114" s="72" t="n">
        <f aca="false">R112+R113</f>
        <v>317794.954030817</v>
      </c>
      <c r="S114" s="72" t="n">
        <f aca="false">S112+S113</f>
        <v>299926.621390444</v>
      </c>
      <c r="T114" s="72" t="n">
        <f aca="false">T112+T113</f>
        <v>284070.809054686</v>
      </c>
      <c r="U114" s="72" t="n">
        <f aca="false">U112+U113</f>
        <v>270227.517023541</v>
      </c>
      <c r="V114" s="72" t="n">
        <f aca="false">V112+V113</f>
        <v>256086.740161286</v>
      </c>
      <c r="W114" s="72" t="n">
        <f aca="false">W112+W113</f>
        <v>241959.852187919</v>
      </c>
      <c r="X114" s="72" t="n">
        <f aca="false">X112+X113</f>
        <v>227846.853103441</v>
      </c>
      <c r="Y114" s="72" t="n">
        <f aca="false">Y112+Y113</f>
        <v>213747.742907852</v>
      </c>
      <c r="Z114" s="72" t="n">
        <f aca="false">Z112+Z113</f>
        <v>199662.521601152</v>
      </c>
      <c r="AA114" s="72" t="n">
        <f aca="false">AA112+AA113</f>
        <v>185606.338349474</v>
      </c>
      <c r="AB114" s="72" t="n">
        <f aca="false">AB112+AB113</f>
        <v>171210.296913884</v>
      </c>
      <c r="AC114" s="72" t="n">
        <f aca="false">AC112+AC113</f>
        <v>156828.144367183</v>
      </c>
      <c r="AD114" s="72" t="n">
        <f aca="false">AD112+AD113</f>
        <v>142459.880709371</v>
      </c>
      <c r="AE114" s="72" t="n">
        <f aca="false">AE112+AE113</f>
        <v>128105.505940448</v>
      </c>
      <c r="AF114" s="72" t="n">
        <f aca="false">AF112+AF113</f>
        <v>113765.020060414</v>
      </c>
      <c r="AG114" s="72" t="n">
        <f aca="false">AG112+AG113</f>
        <v>99438.4230692686</v>
      </c>
      <c r="AH114" s="72" t="n">
        <f aca="false">AH112+AH113</f>
        <v>85125.7149670122</v>
      </c>
      <c r="AI114" s="72" t="n">
        <f aca="false">AI112+AI113</f>
        <v>70826.8957536447</v>
      </c>
      <c r="AJ114" s="72" t="n">
        <f aca="false">AJ112+AJ113</f>
        <v>56541.9654291661</v>
      </c>
      <c r="AK114" s="72" t="n">
        <f aca="false">AK112+AK113</f>
        <v>42270.9239935763</v>
      </c>
      <c r="AL114" s="72" t="n">
        <f aca="false">AL112+AL113</f>
        <v>28013.7714468754</v>
      </c>
      <c r="AM114" s="72" t="n">
        <f aca="false">AM112+AM113</f>
        <v>13782.0635234932</v>
      </c>
      <c r="AN114" s="72" t="n">
        <f aca="false">AN112+AN113</f>
        <v>-800.114995983982</v>
      </c>
      <c r="AO114" s="72" t="n">
        <f aca="false">AO112+AO113</f>
        <v>-15368.4046265723</v>
      </c>
      <c r="AP114" s="72" t="n">
        <f aca="false">AP112+AP113</f>
        <v>-29922.8053682718</v>
      </c>
      <c r="AQ114" s="72" t="n">
        <f aca="false">AQ112+AQ113</f>
        <v>-44463.3172210824</v>
      </c>
      <c r="AR114" s="72" t="n">
        <f aca="false">AR112+AR113</f>
        <v>-58989.9401850041</v>
      </c>
      <c r="AS114" s="72" t="n">
        <f aca="false">AS112+AS113</f>
        <v>-73502.674260037</v>
      </c>
      <c r="AT114" s="72" t="n">
        <f aca="false">AT112+AT113</f>
        <v>-88001.5194461809</v>
      </c>
      <c r="AU114" s="72" t="n">
        <f aca="false">AU112+AU113</f>
        <v>-102486.475743436</v>
      </c>
      <c r="AV114" s="72" t="n">
        <f aca="false">AV112+AV113</f>
        <v>-116957.543151802</v>
      </c>
      <c r="AW114" s="72" t="n">
        <f aca="false">AW112+AW113</f>
        <v>-131414.721671279</v>
      </c>
      <c r="AX114" s="72" t="n">
        <f aca="false">AX112+AX113</f>
        <v>-145858.011301868</v>
      </c>
      <c r="AY114" s="72" t="n">
        <f aca="false">AY112+AY113</f>
        <v>-160279.714991458</v>
      </c>
      <c r="AZ114" s="72" t="n">
        <f aca="false">AZ112+AZ113</f>
        <v>-175062.820061694</v>
      </c>
      <c r="BA114" s="72" t="n">
        <f aca="false">BA112+BA113</f>
        <v>-189832.03624304</v>
      </c>
      <c r="BB114" s="72" t="n">
        <f aca="false">BB112+BB113</f>
        <v>-204587.363535498</v>
      </c>
      <c r="BC114" s="72" t="n">
        <f aca="false">BC112+BC113</f>
        <v>-219328.801939066</v>
      </c>
      <c r="BD114" s="72" t="n">
        <f aca="false">BD112+BD113</f>
        <v>-234056.351453746</v>
      </c>
      <c r="BE114" s="72" t="n">
        <f aca="false">BE112+BE113</f>
        <v>-248770.012079537</v>
      </c>
      <c r="BF114" s="72" t="n">
        <f aca="false">BF112+BF113</f>
        <v>-263469.783816439</v>
      </c>
      <c r="BG114" s="72" t="n">
        <f aca="false">BG112+BG113</f>
        <v>-278155.666664452</v>
      </c>
      <c r="BH114" s="72" t="n">
        <f aca="false">BH112+BH113</f>
        <v>-292827.660623576</v>
      </c>
      <c r="BI114" s="72" t="n">
        <f aca="false">BI112+BI113</f>
        <v>-307485.765693811</v>
      </c>
      <c r="BJ114" s="72" t="n">
        <f aca="false">BJ112+BJ113</f>
        <v>-322129.981875157</v>
      </c>
    </row>
    <row r="115" customFormat="false" ht="15" hidden="false" customHeight="false" outlineLevel="0" collapsed="false">
      <c r="A115" s="6" t="s">
        <v>461</v>
      </c>
      <c r="C115" s="66" t="n">
        <f aca="false">C111-C114</f>
        <v>0</v>
      </c>
      <c r="D115" s="66" t="n">
        <f aca="false">D111-D114</f>
        <v>0</v>
      </c>
      <c r="E115" s="66" t="n">
        <f aca="false">E111-E114</f>
        <v>0</v>
      </c>
      <c r="F115" s="66" t="n">
        <f aca="false">F111-F114</f>
        <v>0</v>
      </c>
      <c r="G115" s="66" t="n">
        <f aca="false">G111-G114</f>
        <v>0</v>
      </c>
      <c r="H115" s="66" t="n">
        <f aca="false">H111-H114</f>
        <v>0</v>
      </c>
      <c r="I115" s="66" t="n">
        <f aca="false">I111-I114</f>
        <v>0</v>
      </c>
      <c r="J115" s="66" t="n">
        <f aca="false">J111-J114</f>
        <v>0</v>
      </c>
      <c r="K115" s="66" t="n">
        <f aca="false">K111-K114</f>
        <v>0</v>
      </c>
      <c r="L115" s="66" t="n">
        <f aca="false">L111-L114</f>
        <v>0</v>
      </c>
      <c r="M115" s="66" t="n">
        <f aca="false">M111-M114</f>
        <v>0</v>
      </c>
      <c r="N115" s="66" t="n">
        <f aca="false">N111-N114</f>
        <v>0</v>
      </c>
      <c r="O115" s="66" t="n">
        <f aca="false">O111-O114</f>
        <v>0</v>
      </c>
      <c r="P115" s="66" t="n">
        <f aca="false">P111-P114</f>
        <v>0</v>
      </c>
      <c r="Q115" s="66" t="n">
        <f aca="false">Q111-Q114</f>
        <v>0</v>
      </c>
      <c r="R115" s="66" t="n">
        <f aca="false">R111-R114</f>
        <v>0</v>
      </c>
      <c r="S115" s="66" t="n">
        <f aca="false">S111-S114</f>
        <v>0</v>
      </c>
      <c r="T115" s="66" t="n">
        <f aca="false">T111-T114</f>
        <v>0</v>
      </c>
      <c r="U115" s="66" t="n">
        <f aca="false">U111-U114</f>
        <v>0</v>
      </c>
      <c r="V115" s="66" t="n">
        <f aca="false">V111-V114</f>
        <v>0</v>
      </c>
      <c r="W115" s="66" t="n">
        <f aca="false">W111-W114</f>
        <v>0</v>
      </c>
      <c r="X115" s="66" t="n">
        <f aca="false">X111-X114</f>
        <v>0</v>
      </c>
      <c r="Y115" s="66" t="n">
        <f aca="false">Y111-Y114</f>
        <v>0</v>
      </c>
      <c r="Z115" s="66" t="n">
        <f aca="false">Z111-Z114</f>
        <v>0</v>
      </c>
      <c r="AA115" s="66" t="n">
        <f aca="false">AA111-AA114</f>
        <v>0</v>
      </c>
      <c r="AB115" s="66" t="n">
        <f aca="false">AB111-AB114</f>
        <v>0</v>
      </c>
      <c r="AC115" s="66" t="n">
        <f aca="false">AC111-AC114</f>
        <v>0</v>
      </c>
      <c r="AD115" s="66" t="n">
        <f aca="false">AD111-AD114</f>
        <v>0</v>
      </c>
      <c r="AE115" s="66" t="n">
        <f aca="false">AE111-AE114</f>
        <v>0</v>
      </c>
      <c r="AF115" s="66" t="n">
        <f aca="false">AF111-AF114</f>
        <v>4.94765117764473E-010</v>
      </c>
      <c r="AG115" s="66" t="n">
        <f aca="false">AG111-AG114</f>
        <v>4.65661287307739E-010</v>
      </c>
      <c r="AH115" s="66" t="n">
        <f aca="false">AH111-AH114</f>
        <v>3.78349795937538E-010</v>
      </c>
      <c r="AI115" s="66" t="n">
        <f aca="false">AI111-AI114</f>
        <v>4.07453626394272E-010</v>
      </c>
      <c r="AJ115" s="66" t="n">
        <f aca="false">AJ111-AJ114</f>
        <v>4.36557456851006E-010</v>
      </c>
      <c r="AK115" s="66" t="n">
        <f aca="false">AK111-AK114</f>
        <v>4.07453626394272E-010</v>
      </c>
      <c r="AL115" s="66" t="n">
        <f aca="false">AL111-AL114</f>
        <v>4.36557456851006E-010</v>
      </c>
      <c r="AM115" s="66" t="n">
        <f aca="false">AM111-AM114</f>
        <v>4.65661287307739E-010</v>
      </c>
      <c r="AN115" s="66" t="n">
        <f aca="false">AN111-AN114</f>
        <v>3.78349795937538E-010</v>
      </c>
      <c r="AO115" s="66" t="n">
        <f aca="false">AO111-AO114</f>
        <v>2.91038304567337E-010</v>
      </c>
      <c r="AP115" s="66" t="n">
        <f aca="false">AP111-AP114</f>
        <v>3.20142135024071E-010</v>
      </c>
      <c r="AQ115" s="66" t="n">
        <f aca="false">AQ111-AQ114</f>
        <v>3.49245965480804E-010</v>
      </c>
      <c r="AR115" s="66" t="n">
        <f aca="false">AR111-AR114</f>
        <v>3.20142135024071E-010</v>
      </c>
      <c r="AS115" s="66" t="n">
        <f aca="false">AS111-AS114</f>
        <v>2.91038304567337E-010</v>
      </c>
      <c r="AT115" s="66" t="n">
        <f aca="false">AT111-AT114</f>
        <v>3.20142135024071E-010</v>
      </c>
      <c r="AU115" s="66" t="n">
        <f aca="false">AU111-AU114</f>
        <v>4.07453626394272E-010</v>
      </c>
      <c r="AV115" s="66" t="n">
        <f aca="false">AV111-AV114</f>
        <v>4.36557456851006E-010</v>
      </c>
      <c r="AW115" s="66" t="n">
        <f aca="false">AW111-AW114</f>
        <v>0</v>
      </c>
      <c r="AX115" s="66" t="n">
        <f aca="false">AX111-AX114</f>
        <v>0</v>
      </c>
      <c r="AY115" s="66" t="n">
        <f aca="false">AY111-AY114</f>
        <v>0</v>
      </c>
      <c r="AZ115" s="66" t="n">
        <f aca="false">AZ111-AZ114</f>
        <v>0</v>
      </c>
      <c r="BA115" s="66" t="n">
        <f aca="false">BA111-BA114</f>
        <v>0</v>
      </c>
      <c r="BB115" s="66" t="n">
        <f aca="false">BB111-BB114</f>
        <v>0</v>
      </c>
      <c r="BC115" s="66" t="n">
        <f aca="false">BC111-BC114</f>
        <v>0</v>
      </c>
      <c r="BD115" s="66" t="n">
        <f aca="false">BD111-BD114</f>
        <v>0</v>
      </c>
      <c r="BE115" s="66" t="n">
        <f aca="false">BE111-BE114</f>
        <v>0</v>
      </c>
      <c r="BF115" s="66" t="n">
        <f aca="false">BF111-BF114</f>
        <v>0</v>
      </c>
      <c r="BG115" s="66" t="n">
        <f aca="false">BG111-BG114</f>
        <v>0</v>
      </c>
      <c r="BH115" s="66" t="n">
        <f aca="false">BH111-BH114</f>
        <v>0</v>
      </c>
      <c r="BI115" s="66" t="n">
        <f aca="false">BI111-BI114</f>
        <v>0</v>
      </c>
      <c r="BJ115" s="66" t="n">
        <f aca="false">BJ111-BJ114</f>
        <v>0</v>
      </c>
    </row>
    <row r="117" customFormat="false" ht="15.75" hidden="false" customHeight="true" outlineLevel="0" collapsed="false">
      <c r="A117" s="7" t="s">
        <v>463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464</v>
      </c>
      <c r="C118" s="115" t="n">
        <f aca="false">Inputs!$B$57*(1+Inputs!$B$59)^(C$7-1)*MAX(0,MIN(1,C$6*1-Inputs!$B$60+1))/1</f>
        <v>1</v>
      </c>
      <c r="D118" s="115" t="n">
        <f aca="false">Inputs!$B$57*(1+Inputs!$B$59)^(D$7-1)*MAX(0,MIN(1,D$6*1-Inputs!$B$60+1))/1</f>
        <v>1</v>
      </c>
      <c r="E118" s="115" t="n">
        <f aca="false">Inputs!$B$57*(1+Inputs!$B$59)^(E$7-1)*MAX(0,MIN(1,E$6*1-Inputs!$B$60+1))/1</f>
        <v>1</v>
      </c>
      <c r="F118" s="115" t="n">
        <f aca="false">Inputs!$B$57*(1+Inputs!$B$59)^(F$7-1)*MAX(0,MIN(1,F$6*1-Inputs!$B$60+1))/1</f>
        <v>1</v>
      </c>
      <c r="G118" s="115" t="n">
        <f aca="false">Inputs!$B$57*(1+Inputs!$B$59)^(G$7-1)*MAX(0,MIN(1,G$6*1-Inputs!$B$60+1))/1</f>
        <v>1</v>
      </c>
      <c r="H118" s="115" t="n">
        <f aca="false">Inputs!$B$57*(1+Inputs!$B$59)^(H$7-1)*MAX(0,MIN(1,H$6*1-Inputs!$B$60+1))/1</f>
        <v>1</v>
      </c>
      <c r="I118" s="115" t="n">
        <f aca="false">Inputs!$B$57*(1+Inputs!$B$59)^(I$7-1)*MAX(0,MIN(1,I$6*1-Inputs!$B$60+1))/1</f>
        <v>1</v>
      </c>
      <c r="J118" s="115" t="n">
        <f aca="false">Inputs!$B$57*(1+Inputs!$B$59)^(J$7-1)*MAX(0,MIN(1,J$6*1-Inputs!$B$60+1))/1</f>
        <v>1</v>
      </c>
      <c r="K118" s="115" t="n">
        <f aca="false">Inputs!$B$57*(1+Inputs!$B$59)^(K$7-1)*MAX(0,MIN(1,K$6*1-Inputs!$B$60+1))/1</f>
        <v>1</v>
      </c>
      <c r="L118" s="115" t="n">
        <f aca="false">Inputs!$B$57*(1+Inputs!$B$59)^(L$7-1)*MAX(0,MIN(1,L$6*1-Inputs!$B$60+1))/1</f>
        <v>1</v>
      </c>
      <c r="M118" s="115" t="n">
        <f aca="false">Inputs!$B$57*(1+Inputs!$B$59)^(M$7-1)*MAX(0,MIN(1,M$6*1-Inputs!$B$60+1))/1</f>
        <v>1</v>
      </c>
      <c r="N118" s="115" t="n">
        <f aca="false">Inputs!$B$57*(1+Inputs!$B$59)^(N$7-1)*MAX(0,MIN(1,N$6*1-Inputs!$B$60+1))/1</f>
        <v>1</v>
      </c>
      <c r="O118" s="115" t="n">
        <f aca="false">Inputs!$B$57*(1+Inputs!$B$59)^(O$7-1)*MAX(0,MIN(1,O$6*1-Inputs!$B$60+1))/1</f>
        <v>1</v>
      </c>
      <c r="P118" s="115" t="n">
        <f aca="false">Inputs!$B$57*(1+Inputs!$B$59)^(P$7-1)*MAX(0,MIN(1,P$6*1-Inputs!$B$60+1))/1</f>
        <v>1</v>
      </c>
      <c r="Q118" s="115" t="n">
        <f aca="false">Inputs!$B$57*(1+Inputs!$B$59)^(Q$7-1)*MAX(0,MIN(1,Q$6*1-Inputs!$B$60+1))/1</f>
        <v>1</v>
      </c>
      <c r="R118" s="115" t="n">
        <f aca="false">Inputs!$B$57*(1+Inputs!$B$59)^(R$7-1)*MAX(0,MIN(1,R$6*1-Inputs!$B$60+1))/1</f>
        <v>1</v>
      </c>
      <c r="S118" s="115" t="n">
        <f aca="false">Inputs!$B$57*(1+Inputs!$B$59)^(S$7-1)*MAX(0,MIN(1,S$6*1-Inputs!$B$60+1))/1</f>
        <v>1</v>
      </c>
      <c r="T118" s="115" t="n">
        <f aca="false">Inputs!$B$57*(1+Inputs!$B$59)^(T$7-1)*MAX(0,MIN(1,T$6*1-Inputs!$B$60+1))/1</f>
        <v>1</v>
      </c>
      <c r="U118" s="115" t="n">
        <f aca="false">Inputs!$B$57*(1+Inputs!$B$59)^(U$7-1)*MAX(0,MIN(1,U$6*1-Inputs!$B$60+1))/1</f>
        <v>1</v>
      </c>
      <c r="V118" s="115" t="n">
        <f aca="false">Inputs!$B$57*(1+Inputs!$B$59)^(V$7-1)*MAX(0,MIN(1,V$6*1-Inputs!$B$60+1))/1</f>
        <v>1</v>
      </c>
      <c r="W118" s="115" t="n">
        <f aca="false">Inputs!$B$57*(1+Inputs!$B$59)^(W$7-1)*MAX(0,MIN(1,W$6*1-Inputs!$B$60+1))/1</f>
        <v>1</v>
      </c>
      <c r="X118" s="115" t="n">
        <f aca="false">Inputs!$B$57*(1+Inputs!$B$59)^(X$7-1)*MAX(0,MIN(1,X$6*1-Inputs!$B$60+1))/1</f>
        <v>1</v>
      </c>
      <c r="Y118" s="115" t="n">
        <f aca="false">Inputs!$B$57*(1+Inputs!$B$59)^(Y$7-1)*MAX(0,MIN(1,Y$6*1-Inputs!$B$60+1))/1</f>
        <v>1</v>
      </c>
      <c r="Z118" s="115" t="n">
        <f aca="false">Inputs!$B$57*(1+Inputs!$B$59)^(Z$7-1)*MAX(0,MIN(1,Z$6*1-Inputs!$B$60+1))/1</f>
        <v>1</v>
      </c>
      <c r="AA118" s="115" t="n">
        <f aca="false">Inputs!$B$57*(1+Inputs!$B$59)^(AA$7-1)*MAX(0,MIN(1,AA$6*1-Inputs!$B$60+1))/1</f>
        <v>1</v>
      </c>
      <c r="AB118" s="115" t="n">
        <f aca="false">Inputs!$B$57*(1+Inputs!$B$59)^(AB$7-1)*MAX(0,MIN(1,AB$6*1-Inputs!$B$60+1))/1</f>
        <v>1</v>
      </c>
      <c r="AC118" s="115" t="n">
        <f aca="false">Inputs!$B$57*(1+Inputs!$B$59)^(AC$7-1)*MAX(0,MIN(1,AC$6*1-Inputs!$B$60+1))/1</f>
        <v>1</v>
      </c>
      <c r="AD118" s="115" t="n">
        <f aca="false">Inputs!$B$57*(1+Inputs!$B$59)^(AD$7-1)*MAX(0,MIN(1,AD$6*1-Inputs!$B$60+1))/1</f>
        <v>1</v>
      </c>
      <c r="AE118" s="115" t="n">
        <f aca="false">Inputs!$B$57*(1+Inputs!$B$59)^(AE$7-1)*MAX(0,MIN(1,AE$6*1-Inputs!$B$60+1))/1</f>
        <v>1</v>
      </c>
      <c r="AF118" s="115" t="n">
        <f aca="false">Inputs!$B$57*(1+Inputs!$B$59)^(AF$7-1)*MAX(0,MIN(1,AF$6*1-Inputs!$B$60+1))/1</f>
        <v>1</v>
      </c>
      <c r="AG118" s="115" t="n">
        <f aca="false">Inputs!$B$57*(1+Inputs!$B$59)^(AG$7-1)*MAX(0,MIN(1,AG$6*1-Inputs!$B$60+1))/1</f>
        <v>1</v>
      </c>
      <c r="AH118" s="115" t="n">
        <f aca="false">Inputs!$B$57*(1+Inputs!$B$59)^(AH$7-1)*MAX(0,MIN(1,AH$6*1-Inputs!$B$60+1))/1</f>
        <v>1</v>
      </c>
      <c r="AI118" s="115" t="n">
        <f aca="false">Inputs!$B$57*(1+Inputs!$B$59)^(AI$7-1)*MAX(0,MIN(1,AI$6*1-Inputs!$B$60+1))/1</f>
        <v>1</v>
      </c>
      <c r="AJ118" s="115" t="n">
        <f aca="false">Inputs!$B$57*(1+Inputs!$B$59)^(AJ$7-1)*MAX(0,MIN(1,AJ$6*1-Inputs!$B$60+1))/1</f>
        <v>1</v>
      </c>
      <c r="AK118" s="115" t="n">
        <f aca="false">Inputs!$B$57*(1+Inputs!$B$59)^(AK$7-1)*MAX(0,MIN(1,AK$6*1-Inputs!$B$60+1))/1</f>
        <v>1</v>
      </c>
      <c r="AL118" s="115" t="n">
        <f aca="false">Inputs!$B$57*(1+Inputs!$B$59)^(AL$7-1)*MAX(0,MIN(1,AL$6*1-Inputs!$B$60+1))/1</f>
        <v>1</v>
      </c>
      <c r="AM118" s="115" t="n">
        <f aca="false">Inputs!$B$57*(1+Inputs!$B$59)^(AM$7-1)*MAX(0,MIN(1,AM$6*1-Inputs!$B$60+1))/1</f>
        <v>1</v>
      </c>
      <c r="AN118" s="115" t="n">
        <f aca="false">Inputs!$B$57*(1+Inputs!$B$59)^(AN$7-1)*MAX(0,MIN(1,AN$6*1-Inputs!$B$60+1))/1</f>
        <v>1</v>
      </c>
      <c r="AO118" s="115" t="n">
        <f aca="false">Inputs!$B$57*(1+Inputs!$B$59)^(AO$7-1)*MAX(0,MIN(1,AO$6*1-Inputs!$B$60+1))/1</f>
        <v>1</v>
      </c>
      <c r="AP118" s="115" t="n">
        <f aca="false">Inputs!$B$57*(1+Inputs!$B$59)^(AP$7-1)*MAX(0,MIN(1,AP$6*1-Inputs!$B$60+1))/1</f>
        <v>1</v>
      </c>
      <c r="AQ118" s="115" t="n">
        <f aca="false">Inputs!$B$57*(1+Inputs!$B$59)^(AQ$7-1)*MAX(0,MIN(1,AQ$6*1-Inputs!$B$60+1))/1</f>
        <v>1</v>
      </c>
      <c r="AR118" s="115" t="n">
        <f aca="false">Inputs!$B$57*(1+Inputs!$B$59)^(AR$7-1)*MAX(0,MIN(1,AR$6*1-Inputs!$B$60+1))/1</f>
        <v>1</v>
      </c>
      <c r="AS118" s="115" t="n">
        <f aca="false">Inputs!$B$57*(1+Inputs!$B$59)^(AS$7-1)*MAX(0,MIN(1,AS$6*1-Inputs!$B$60+1))/1</f>
        <v>1</v>
      </c>
      <c r="AT118" s="115" t="n">
        <f aca="false">Inputs!$B$57*(1+Inputs!$B$59)^(AT$7-1)*MAX(0,MIN(1,AT$6*1-Inputs!$B$60+1))/1</f>
        <v>1</v>
      </c>
      <c r="AU118" s="115" t="n">
        <f aca="false">Inputs!$B$57*(1+Inputs!$B$59)^(AU$7-1)*MAX(0,MIN(1,AU$6*1-Inputs!$B$60+1))/1</f>
        <v>1</v>
      </c>
      <c r="AV118" s="115" t="n">
        <f aca="false">Inputs!$B$57*(1+Inputs!$B$59)^(AV$7-1)*MAX(0,MIN(1,AV$6*1-Inputs!$B$60+1))/1</f>
        <v>1</v>
      </c>
      <c r="AW118" s="115" t="n">
        <f aca="false">Inputs!$B$57*(1+Inputs!$B$59)^(AW$7-1)*MAX(0,MIN(1,AW$6*1-Inputs!$B$60+1))/1</f>
        <v>1</v>
      </c>
      <c r="AX118" s="115" t="n">
        <f aca="false">Inputs!$B$57*(1+Inputs!$B$59)^(AX$7-1)*MAX(0,MIN(1,AX$6*1-Inputs!$B$60+1))/1</f>
        <v>1</v>
      </c>
      <c r="AY118" s="115" t="n">
        <f aca="false">Inputs!$B$57*(1+Inputs!$B$59)^(AY$7-1)*MAX(0,MIN(1,AY$6*1-Inputs!$B$60+1))/1</f>
        <v>1</v>
      </c>
      <c r="AZ118" s="115" t="n">
        <f aca="false">Inputs!$B$57*(1+Inputs!$B$59)^(AZ$7-1)*MAX(0,MIN(1,AZ$6*1-Inputs!$B$60+1))/1</f>
        <v>1</v>
      </c>
      <c r="BA118" s="115" t="n">
        <f aca="false">Inputs!$B$57*(1+Inputs!$B$59)^(BA$7-1)*MAX(0,MIN(1,BA$6*1-Inputs!$B$60+1))/1</f>
        <v>1</v>
      </c>
      <c r="BB118" s="115" t="n">
        <f aca="false">Inputs!$B$57*(1+Inputs!$B$59)^(BB$7-1)*MAX(0,MIN(1,BB$6*1-Inputs!$B$60+1))/1</f>
        <v>1</v>
      </c>
      <c r="BC118" s="115" t="n">
        <f aca="false">Inputs!$B$57*(1+Inputs!$B$59)^(BC$7-1)*MAX(0,MIN(1,BC$6*1-Inputs!$B$60+1))/1</f>
        <v>1</v>
      </c>
      <c r="BD118" s="115" t="n">
        <f aca="false">Inputs!$B$57*(1+Inputs!$B$59)^(BD$7-1)*MAX(0,MIN(1,BD$6*1-Inputs!$B$60+1))/1</f>
        <v>1</v>
      </c>
      <c r="BE118" s="115" t="n">
        <f aca="false">Inputs!$B$57*(1+Inputs!$B$59)^(BE$7-1)*MAX(0,MIN(1,BE$6*1-Inputs!$B$60+1))/1</f>
        <v>1</v>
      </c>
      <c r="BF118" s="115" t="n">
        <f aca="false">Inputs!$B$57*(1+Inputs!$B$59)^(BF$7-1)*MAX(0,MIN(1,BF$6*1-Inputs!$B$60+1))/1</f>
        <v>1</v>
      </c>
      <c r="BG118" s="115" t="n">
        <f aca="false">Inputs!$B$57*(1+Inputs!$B$59)^(BG$7-1)*MAX(0,MIN(1,BG$6*1-Inputs!$B$60+1))/1</f>
        <v>1</v>
      </c>
      <c r="BH118" s="115" t="n">
        <f aca="false">Inputs!$B$57*(1+Inputs!$B$59)^(BH$7-1)*MAX(0,MIN(1,BH$6*1-Inputs!$B$60+1))/1</f>
        <v>1</v>
      </c>
      <c r="BI118" s="115" t="n">
        <f aca="false">Inputs!$B$57*(1+Inputs!$B$59)^(BI$7-1)*MAX(0,MIN(1,BI$6*1-Inputs!$B$60+1))/1</f>
        <v>1</v>
      </c>
      <c r="BJ118" s="115" t="n">
        <f aca="false">Inputs!$B$57*(1+Inputs!$B$59)^(BJ$7-1)*MAX(0,MIN(1,BJ$6*1-Inputs!$B$60+1))/1</f>
        <v>1</v>
      </c>
    </row>
    <row r="119" customFormat="false" ht="15" hidden="false" customHeight="false" outlineLevel="0" collapsed="false">
      <c r="A119" s="6" t="s">
        <v>465</v>
      </c>
      <c r="C119" s="115" t="n">
        <f aca="false">Inputs!$B$61*(1+Inputs!$B$63)^(C$7-1)*MAX(0,MIN(1,C$6*1-Inputs!$B$64+1))/1</f>
        <v>0.5</v>
      </c>
      <c r="D119" s="115" t="n">
        <f aca="false">Inputs!$B$61*(1+Inputs!$B$63)^(D$7-1)*MAX(0,MIN(1,D$6*1-Inputs!$B$64+1))/1</f>
        <v>0.5</v>
      </c>
      <c r="E119" s="115" t="n">
        <f aca="false">Inputs!$B$61*(1+Inputs!$B$63)^(E$7-1)*MAX(0,MIN(1,E$6*1-Inputs!$B$64+1))/1</f>
        <v>0.5</v>
      </c>
      <c r="F119" s="115" t="n">
        <f aca="false">Inputs!$B$61*(1+Inputs!$B$63)^(F$7-1)*MAX(0,MIN(1,F$6*1-Inputs!$B$64+1))/1</f>
        <v>0.5</v>
      </c>
      <c r="G119" s="115" t="n">
        <f aca="false">Inputs!$B$61*(1+Inputs!$B$63)^(G$7-1)*MAX(0,MIN(1,G$6*1-Inputs!$B$64+1))/1</f>
        <v>0.5</v>
      </c>
      <c r="H119" s="115" t="n">
        <f aca="false">Inputs!$B$61*(1+Inputs!$B$63)^(H$7-1)*MAX(0,MIN(1,H$6*1-Inputs!$B$64+1))/1</f>
        <v>0.5</v>
      </c>
      <c r="I119" s="115" t="n">
        <f aca="false">Inputs!$B$61*(1+Inputs!$B$63)^(I$7-1)*MAX(0,MIN(1,I$6*1-Inputs!$B$64+1))/1</f>
        <v>0.5</v>
      </c>
      <c r="J119" s="115" t="n">
        <f aca="false">Inputs!$B$61*(1+Inputs!$B$63)^(J$7-1)*MAX(0,MIN(1,J$6*1-Inputs!$B$64+1))/1</f>
        <v>0.5</v>
      </c>
      <c r="K119" s="115" t="n">
        <f aca="false">Inputs!$B$61*(1+Inputs!$B$63)^(K$7-1)*MAX(0,MIN(1,K$6*1-Inputs!$B$64+1))/1</f>
        <v>0.5</v>
      </c>
      <c r="L119" s="115" t="n">
        <f aca="false">Inputs!$B$61*(1+Inputs!$B$63)^(L$7-1)*MAX(0,MIN(1,L$6*1-Inputs!$B$64+1))/1</f>
        <v>0.5</v>
      </c>
      <c r="M119" s="115" t="n">
        <f aca="false">Inputs!$B$61*(1+Inputs!$B$63)^(M$7-1)*MAX(0,MIN(1,M$6*1-Inputs!$B$64+1))/1</f>
        <v>0.5</v>
      </c>
      <c r="N119" s="115" t="n">
        <f aca="false">Inputs!$B$61*(1+Inputs!$B$63)^(N$7-1)*MAX(0,MIN(1,N$6*1-Inputs!$B$64+1))/1</f>
        <v>0.5</v>
      </c>
      <c r="O119" s="115" t="n">
        <f aca="false">Inputs!$B$61*(1+Inputs!$B$63)^(O$7-1)*MAX(0,MIN(1,O$6*1-Inputs!$B$64+1))/1</f>
        <v>0.5</v>
      </c>
      <c r="P119" s="115" t="n">
        <f aca="false">Inputs!$B$61*(1+Inputs!$B$63)^(P$7-1)*MAX(0,MIN(1,P$6*1-Inputs!$B$64+1))/1</f>
        <v>0.5</v>
      </c>
      <c r="Q119" s="115" t="n">
        <f aca="false">Inputs!$B$61*(1+Inputs!$B$63)^(Q$7-1)*MAX(0,MIN(1,Q$6*1-Inputs!$B$64+1))/1</f>
        <v>0.5</v>
      </c>
      <c r="R119" s="115" t="n">
        <f aca="false">Inputs!$B$61*(1+Inputs!$B$63)^(R$7-1)*MAX(0,MIN(1,R$6*1-Inputs!$B$64+1))/1</f>
        <v>0.5</v>
      </c>
      <c r="S119" s="115" t="n">
        <f aca="false">Inputs!$B$61*(1+Inputs!$B$63)^(S$7-1)*MAX(0,MIN(1,S$6*1-Inputs!$B$64+1))/1</f>
        <v>0.5</v>
      </c>
      <c r="T119" s="115" t="n">
        <f aca="false">Inputs!$B$61*(1+Inputs!$B$63)^(T$7-1)*MAX(0,MIN(1,T$6*1-Inputs!$B$64+1))/1</f>
        <v>0.5</v>
      </c>
      <c r="U119" s="115" t="n">
        <f aca="false">Inputs!$B$61*(1+Inputs!$B$63)^(U$7-1)*MAX(0,MIN(1,U$6*1-Inputs!$B$64+1))/1</f>
        <v>0.5</v>
      </c>
      <c r="V119" s="115" t="n">
        <f aca="false">Inputs!$B$61*(1+Inputs!$B$63)^(V$7-1)*MAX(0,MIN(1,V$6*1-Inputs!$B$64+1))/1</f>
        <v>0.5</v>
      </c>
      <c r="W119" s="115" t="n">
        <f aca="false">Inputs!$B$61*(1+Inputs!$B$63)^(W$7-1)*MAX(0,MIN(1,W$6*1-Inputs!$B$64+1))/1</f>
        <v>0.5</v>
      </c>
      <c r="X119" s="115" t="n">
        <f aca="false">Inputs!$B$61*(1+Inputs!$B$63)^(X$7-1)*MAX(0,MIN(1,X$6*1-Inputs!$B$64+1))/1</f>
        <v>0.5</v>
      </c>
      <c r="Y119" s="115" t="n">
        <f aca="false">Inputs!$B$61*(1+Inputs!$B$63)^(Y$7-1)*MAX(0,MIN(1,Y$6*1-Inputs!$B$64+1))/1</f>
        <v>0.5</v>
      </c>
      <c r="Z119" s="115" t="n">
        <f aca="false">Inputs!$B$61*(1+Inputs!$B$63)^(Z$7-1)*MAX(0,MIN(1,Z$6*1-Inputs!$B$64+1))/1</f>
        <v>0.5</v>
      </c>
      <c r="AA119" s="115" t="n">
        <f aca="false">Inputs!$B$61*(1+Inputs!$B$63)^(AA$7-1)*MAX(0,MIN(1,AA$6*1-Inputs!$B$64+1))/1</f>
        <v>0.5</v>
      </c>
      <c r="AB119" s="115" t="n">
        <f aca="false">Inputs!$B$61*(1+Inputs!$B$63)^(AB$7-1)*MAX(0,MIN(1,AB$6*1-Inputs!$B$64+1))/1</f>
        <v>0.5</v>
      </c>
      <c r="AC119" s="115" t="n">
        <f aca="false">Inputs!$B$61*(1+Inputs!$B$63)^(AC$7-1)*MAX(0,MIN(1,AC$6*1-Inputs!$B$64+1))/1</f>
        <v>0.5</v>
      </c>
      <c r="AD119" s="115" t="n">
        <f aca="false">Inputs!$B$61*(1+Inputs!$B$63)^(AD$7-1)*MAX(0,MIN(1,AD$6*1-Inputs!$B$64+1))/1</f>
        <v>0.5</v>
      </c>
      <c r="AE119" s="115" t="n">
        <f aca="false">Inputs!$B$61*(1+Inputs!$B$63)^(AE$7-1)*MAX(0,MIN(1,AE$6*1-Inputs!$B$64+1))/1</f>
        <v>0.5</v>
      </c>
      <c r="AF119" s="115" t="n">
        <f aca="false">Inputs!$B$61*(1+Inputs!$B$63)^(AF$7-1)*MAX(0,MIN(1,AF$6*1-Inputs!$B$64+1))/1</f>
        <v>0.5</v>
      </c>
      <c r="AG119" s="115" t="n">
        <f aca="false">Inputs!$B$61*(1+Inputs!$B$63)^(AG$7-1)*MAX(0,MIN(1,AG$6*1-Inputs!$B$64+1))/1</f>
        <v>0.5</v>
      </c>
      <c r="AH119" s="115" t="n">
        <f aca="false">Inputs!$B$61*(1+Inputs!$B$63)^(AH$7-1)*MAX(0,MIN(1,AH$6*1-Inputs!$B$64+1))/1</f>
        <v>0.5</v>
      </c>
      <c r="AI119" s="115" t="n">
        <f aca="false">Inputs!$B$61*(1+Inputs!$B$63)^(AI$7-1)*MAX(0,MIN(1,AI$6*1-Inputs!$B$64+1))/1</f>
        <v>0.5</v>
      </c>
      <c r="AJ119" s="115" t="n">
        <f aca="false">Inputs!$B$61*(1+Inputs!$B$63)^(AJ$7-1)*MAX(0,MIN(1,AJ$6*1-Inputs!$B$64+1))/1</f>
        <v>0.5</v>
      </c>
      <c r="AK119" s="115" t="n">
        <f aca="false">Inputs!$B$61*(1+Inputs!$B$63)^(AK$7-1)*MAX(0,MIN(1,AK$6*1-Inputs!$B$64+1))/1</f>
        <v>0.5</v>
      </c>
      <c r="AL119" s="115" t="n">
        <f aca="false">Inputs!$B$61*(1+Inputs!$B$63)^(AL$7-1)*MAX(0,MIN(1,AL$6*1-Inputs!$B$64+1))/1</f>
        <v>0.5</v>
      </c>
      <c r="AM119" s="115" t="n">
        <f aca="false">Inputs!$B$61*(1+Inputs!$B$63)^(AM$7-1)*MAX(0,MIN(1,AM$6*1-Inputs!$B$64+1))/1</f>
        <v>0.5</v>
      </c>
      <c r="AN119" s="115" t="n">
        <f aca="false">Inputs!$B$61*(1+Inputs!$B$63)^(AN$7-1)*MAX(0,MIN(1,AN$6*1-Inputs!$B$64+1))/1</f>
        <v>0.5</v>
      </c>
      <c r="AO119" s="115" t="n">
        <f aca="false">Inputs!$B$61*(1+Inputs!$B$63)^(AO$7-1)*MAX(0,MIN(1,AO$6*1-Inputs!$B$64+1))/1</f>
        <v>0.5</v>
      </c>
      <c r="AP119" s="115" t="n">
        <f aca="false">Inputs!$B$61*(1+Inputs!$B$63)^(AP$7-1)*MAX(0,MIN(1,AP$6*1-Inputs!$B$64+1))/1</f>
        <v>0.5</v>
      </c>
      <c r="AQ119" s="115" t="n">
        <f aca="false">Inputs!$B$61*(1+Inputs!$B$63)^(AQ$7-1)*MAX(0,MIN(1,AQ$6*1-Inputs!$B$64+1))/1</f>
        <v>0.5</v>
      </c>
      <c r="AR119" s="115" t="n">
        <f aca="false">Inputs!$B$61*(1+Inputs!$B$63)^(AR$7-1)*MAX(0,MIN(1,AR$6*1-Inputs!$B$64+1))/1</f>
        <v>0.5</v>
      </c>
      <c r="AS119" s="115" t="n">
        <f aca="false">Inputs!$B$61*(1+Inputs!$B$63)^(AS$7-1)*MAX(0,MIN(1,AS$6*1-Inputs!$B$64+1))/1</f>
        <v>0.5</v>
      </c>
      <c r="AT119" s="115" t="n">
        <f aca="false">Inputs!$B$61*(1+Inputs!$B$63)^(AT$7-1)*MAX(0,MIN(1,AT$6*1-Inputs!$B$64+1))/1</f>
        <v>0.5</v>
      </c>
      <c r="AU119" s="115" t="n">
        <f aca="false">Inputs!$B$61*(1+Inputs!$B$63)^(AU$7-1)*MAX(0,MIN(1,AU$6*1-Inputs!$B$64+1))/1</f>
        <v>0.5</v>
      </c>
      <c r="AV119" s="115" t="n">
        <f aca="false">Inputs!$B$61*(1+Inputs!$B$63)^(AV$7-1)*MAX(0,MIN(1,AV$6*1-Inputs!$B$64+1))/1</f>
        <v>0.5</v>
      </c>
      <c r="AW119" s="115" t="n">
        <f aca="false">Inputs!$B$61*(1+Inputs!$B$63)^(AW$7-1)*MAX(0,MIN(1,AW$6*1-Inputs!$B$64+1))/1</f>
        <v>0.5</v>
      </c>
      <c r="AX119" s="115" t="n">
        <f aca="false">Inputs!$B$61*(1+Inputs!$B$63)^(AX$7-1)*MAX(0,MIN(1,AX$6*1-Inputs!$B$64+1))/1</f>
        <v>0.5</v>
      </c>
      <c r="AY119" s="115" t="n">
        <f aca="false">Inputs!$B$61*(1+Inputs!$B$63)^(AY$7-1)*MAX(0,MIN(1,AY$6*1-Inputs!$B$64+1))/1</f>
        <v>0.5</v>
      </c>
      <c r="AZ119" s="115" t="n">
        <f aca="false">Inputs!$B$61*(1+Inputs!$B$63)^(AZ$7-1)*MAX(0,MIN(1,AZ$6*1-Inputs!$B$64+1))/1</f>
        <v>0.5</v>
      </c>
      <c r="BA119" s="115" t="n">
        <f aca="false">Inputs!$B$61*(1+Inputs!$B$63)^(BA$7-1)*MAX(0,MIN(1,BA$6*1-Inputs!$B$64+1))/1</f>
        <v>0.5</v>
      </c>
      <c r="BB119" s="115" t="n">
        <f aca="false">Inputs!$B$61*(1+Inputs!$B$63)^(BB$7-1)*MAX(0,MIN(1,BB$6*1-Inputs!$B$64+1))/1</f>
        <v>0.5</v>
      </c>
      <c r="BC119" s="115" t="n">
        <f aca="false">Inputs!$B$61*(1+Inputs!$B$63)^(BC$7-1)*MAX(0,MIN(1,BC$6*1-Inputs!$B$64+1))/1</f>
        <v>0.5</v>
      </c>
      <c r="BD119" s="115" t="n">
        <f aca="false">Inputs!$B$61*(1+Inputs!$B$63)^(BD$7-1)*MAX(0,MIN(1,BD$6*1-Inputs!$B$64+1))/1</f>
        <v>0.5</v>
      </c>
      <c r="BE119" s="115" t="n">
        <f aca="false">Inputs!$B$61*(1+Inputs!$B$63)^(BE$7-1)*MAX(0,MIN(1,BE$6*1-Inputs!$B$64+1))/1</f>
        <v>0.5</v>
      </c>
      <c r="BF119" s="115" t="n">
        <f aca="false">Inputs!$B$61*(1+Inputs!$B$63)^(BF$7-1)*MAX(0,MIN(1,BF$6*1-Inputs!$B$64+1))/1</f>
        <v>0.5</v>
      </c>
      <c r="BG119" s="115" t="n">
        <f aca="false">Inputs!$B$61*(1+Inputs!$B$63)^(BG$7-1)*MAX(0,MIN(1,BG$6*1-Inputs!$B$64+1))/1</f>
        <v>0.5</v>
      </c>
      <c r="BH119" s="115" t="n">
        <f aca="false">Inputs!$B$61*(1+Inputs!$B$63)^(BH$7-1)*MAX(0,MIN(1,BH$6*1-Inputs!$B$64+1))/1</f>
        <v>0.5</v>
      </c>
      <c r="BI119" s="115" t="n">
        <f aca="false">Inputs!$B$61*(1+Inputs!$B$63)^(BI$7-1)*MAX(0,MIN(1,BI$6*1-Inputs!$B$64+1))/1</f>
        <v>0.5</v>
      </c>
      <c r="BJ119" s="115" t="n">
        <f aca="false">Inputs!$B$61*(1+Inputs!$B$63)^(BJ$7-1)*MAX(0,MIN(1,BJ$6*1-Inputs!$B$64+1))/1</f>
        <v>0.5</v>
      </c>
    </row>
    <row r="120" customFormat="false" ht="15" hidden="false" customHeight="false" outlineLevel="0" collapsed="false">
      <c r="A120" s="6" t="s">
        <v>466</v>
      </c>
      <c r="C120" s="115" t="n">
        <f aca="false">Inputs!$B$65*(1+Inputs!$B$67)^(C$7-1)*MAX(0,MIN(1,C$6*1-Inputs!$B$68+1))/1</f>
        <v>0.5</v>
      </c>
      <c r="D120" s="115" t="n">
        <f aca="false">Inputs!$B$65*(1+Inputs!$B$67)^(D$7-1)*MAX(0,MIN(1,D$6*1-Inputs!$B$68+1))/1</f>
        <v>0.5</v>
      </c>
      <c r="E120" s="115" t="n">
        <f aca="false">Inputs!$B$65*(1+Inputs!$B$67)^(E$7-1)*MAX(0,MIN(1,E$6*1-Inputs!$B$68+1))/1</f>
        <v>0.5</v>
      </c>
      <c r="F120" s="115" t="n">
        <f aca="false">Inputs!$B$65*(1+Inputs!$B$67)^(F$7-1)*MAX(0,MIN(1,F$6*1-Inputs!$B$68+1))/1</f>
        <v>0.5</v>
      </c>
      <c r="G120" s="115" t="n">
        <f aca="false">Inputs!$B$65*(1+Inputs!$B$67)^(G$7-1)*MAX(0,MIN(1,G$6*1-Inputs!$B$68+1))/1</f>
        <v>0.5</v>
      </c>
      <c r="H120" s="115" t="n">
        <f aca="false">Inputs!$B$65*(1+Inputs!$B$67)^(H$7-1)*MAX(0,MIN(1,H$6*1-Inputs!$B$68+1))/1</f>
        <v>0.5</v>
      </c>
      <c r="I120" s="115" t="n">
        <f aca="false">Inputs!$B$65*(1+Inputs!$B$67)^(I$7-1)*MAX(0,MIN(1,I$6*1-Inputs!$B$68+1))/1</f>
        <v>0.5</v>
      </c>
      <c r="J120" s="115" t="n">
        <f aca="false">Inputs!$B$65*(1+Inputs!$B$67)^(J$7-1)*MAX(0,MIN(1,J$6*1-Inputs!$B$68+1))/1</f>
        <v>0.5</v>
      </c>
      <c r="K120" s="115" t="n">
        <f aca="false">Inputs!$B$65*(1+Inputs!$B$67)^(K$7-1)*MAX(0,MIN(1,K$6*1-Inputs!$B$68+1))/1</f>
        <v>0.5</v>
      </c>
      <c r="L120" s="115" t="n">
        <f aca="false">Inputs!$B$65*(1+Inputs!$B$67)^(L$7-1)*MAX(0,MIN(1,L$6*1-Inputs!$B$68+1))/1</f>
        <v>0.5</v>
      </c>
      <c r="M120" s="115" t="n">
        <f aca="false">Inputs!$B$65*(1+Inputs!$B$67)^(M$7-1)*MAX(0,MIN(1,M$6*1-Inputs!$B$68+1))/1</f>
        <v>0.5</v>
      </c>
      <c r="N120" s="115" t="n">
        <f aca="false">Inputs!$B$65*(1+Inputs!$B$67)^(N$7-1)*MAX(0,MIN(1,N$6*1-Inputs!$B$68+1))/1</f>
        <v>0.5</v>
      </c>
      <c r="O120" s="115" t="n">
        <f aca="false">Inputs!$B$65*(1+Inputs!$B$67)^(O$7-1)*MAX(0,MIN(1,O$6*1-Inputs!$B$68+1))/1</f>
        <v>0.5</v>
      </c>
      <c r="P120" s="115" t="n">
        <f aca="false">Inputs!$B$65*(1+Inputs!$B$67)^(P$7-1)*MAX(0,MIN(1,P$6*1-Inputs!$B$68+1))/1</f>
        <v>0.5</v>
      </c>
      <c r="Q120" s="115" t="n">
        <f aca="false">Inputs!$B$65*(1+Inputs!$B$67)^(Q$7-1)*MAX(0,MIN(1,Q$6*1-Inputs!$B$68+1))/1</f>
        <v>0.5</v>
      </c>
      <c r="R120" s="115" t="n">
        <f aca="false">Inputs!$B$65*(1+Inputs!$B$67)^(R$7-1)*MAX(0,MIN(1,R$6*1-Inputs!$B$68+1))/1</f>
        <v>0.5</v>
      </c>
      <c r="S120" s="115" t="n">
        <f aca="false">Inputs!$B$65*(1+Inputs!$B$67)^(S$7-1)*MAX(0,MIN(1,S$6*1-Inputs!$B$68+1))/1</f>
        <v>0.5</v>
      </c>
      <c r="T120" s="115" t="n">
        <f aca="false">Inputs!$B$65*(1+Inputs!$B$67)^(T$7-1)*MAX(0,MIN(1,T$6*1-Inputs!$B$68+1))/1</f>
        <v>0.5</v>
      </c>
      <c r="U120" s="115" t="n">
        <f aca="false">Inputs!$B$65*(1+Inputs!$B$67)^(U$7-1)*MAX(0,MIN(1,U$6*1-Inputs!$B$68+1))/1</f>
        <v>0.5</v>
      </c>
      <c r="V120" s="115" t="n">
        <f aca="false">Inputs!$B$65*(1+Inputs!$B$67)^(V$7-1)*MAX(0,MIN(1,V$6*1-Inputs!$B$68+1))/1</f>
        <v>0.5</v>
      </c>
      <c r="W120" s="115" t="n">
        <f aca="false">Inputs!$B$65*(1+Inputs!$B$67)^(W$7-1)*MAX(0,MIN(1,W$6*1-Inputs!$B$68+1))/1</f>
        <v>0.5</v>
      </c>
      <c r="X120" s="115" t="n">
        <f aca="false">Inputs!$B$65*(1+Inputs!$B$67)^(X$7-1)*MAX(0,MIN(1,X$6*1-Inputs!$B$68+1))/1</f>
        <v>0.5</v>
      </c>
      <c r="Y120" s="115" t="n">
        <f aca="false">Inputs!$B$65*(1+Inputs!$B$67)^(Y$7-1)*MAX(0,MIN(1,Y$6*1-Inputs!$B$68+1))/1</f>
        <v>0.5</v>
      </c>
      <c r="Z120" s="115" t="n">
        <f aca="false">Inputs!$B$65*(1+Inputs!$B$67)^(Z$7-1)*MAX(0,MIN(1,Z$6*1-Inputs!$B$68+1))/1</f>
        <v>0.5</v>
      </c>
      <c r="AA120" s="115" t="n">
        <f aca="false">Inputs!$B$65*(1+Inputs!$B$67)^(AA$7-1)*MAX(0,MIN(1,AA$6*1-Inputs!$B$68+1))/1</f>
        <v>0.5</v>
      </c>
      <c r="AB120" s="115" t="n">
        <f aca="false">Inputs!$B$65*(1+Inputs!$B$67)^(AB$7-1)*MAX(0,MIN(1,AB$6*1-Inputs!$B$68+1))/1</f>
        <v>0.5</v>
      </c>
      <c r="AC120" s="115" t="n">
        <f aca="false">Inputs!$B$65*(1+Inputs!$B$67)^(AC$7-1)*MAX(0,MIN(1,AC$6*1-Inputs!$B$68+1))/1</f>
        <v>0.5</v>
      </c>
      <c r="AD120" s="115" t="n">
        <f aca="false">Inputs!$B$65*(1+Inputs!$B$67)^(AD$7-1)*MAX(0,MIN(1,AD$6*1-Inputs!$B$68+1))/1</f>
        <v>0.5</v>
      </c>
      <c r="AE120" s="115" t="n">
        <f aca="false">Inputs!$B$65*(1+Inputs!$B$67)^(AE$7-1)*MAX(0,MIN(1,AE$6*1-Inputs!$B$68+1))/1</f>
        <v>0.5</v>
      </c>
      <c r="AF120" s="115" t="n">
        <f aca="false">Inputs!$B$65*(1+Inputs!$B$67)^(AF$7-1)*MAX(0,MIN(1,AF$6*1-Inputs!$B$68+1))/1</f>
        <v>0.5</v>
      </c>
      <c r="AG120" s="115" t="n">
        <f aca="false">Inputs!$B$65*(1+Inputs!$B$67)^(AG$7-1)*MAX(0,MIN(1,AG$6*1-Inputs!$B$68+1))/1</f>
        <v>0.5</v>
      </c>
      <c r="AH120" s="115" t="n">
        <f aca="false">Inputs!$B$65*(1+Inputs!$B$67)^(AH$7-1)*MAX(0,MIN(1,AH$6*1-Inputs!$B$68+1))/1</f>
        <v>0.5</v>
      </c>
      <c r="AI120" s="115" t="n">
        <f aca="false">Inputs!$B$65*(1+Inputs!$B$67)^(AI$7-1)*MAX(0,MIN(1,AI$6*1-Inputs!$B$68+1))/1</f>
        <v>0.5</v>
      </c>
      <c r="AJ120" s="115" t="n">
        <f aca="false">Inputs!$B$65*(1+Inputs!$B$67)^(AJ$7-1)*MAX(0,MIN(1,AJ$6*1-Inputs!$B$68+1))/1</f>
        <v>0.5</v>
      </c>
      <c r="AK120" s="115" t="n">
        <f aca="false">Inputs!$B$65*(1+Inputs!$B$67)^(AK$7-1)*MAX(0,MIN(1,AK$6*1-Inputs!$B$68+1))/1</f>
        <v>0.5</v>
      </c>
      <c r="AL120" s="115" t="n">
        <f aca="false">Inputs!$B$65*(1+Inputs!$B$67)^(AL$7-1)*MAX(0,MIN(1,AL$6*1-Inputs!$B$68+1))/1</f>
        <v>0.5</v>
      </c>
      <c r="AM120" s="115" t="n">
        <f aca="false">Inputs!$B$65*(1+Inputs!$B$67)^(AM$7-1)*MAX(0,MIN(1,AM$6*1-Inputs!$B$68+1))/1</f>
        <v>0.5</v>
      </c>
      <c r="AN120" s="115" t="n">
        <f aca="false">Inputs!$B$65*(1+Inputs!$B$67)^(AN$7-1)*MAX(0,MIN(1,AN$6*1-Inputs!$B$68+1))/1</f>
        <v>0.5</v>
      </c>
      <c r="AO120" s="115" t="n">
        <f aca="false">Inputs!$B$65*(1+Inputs!$B$67)^(AO$7-1)*MAX(0,MIN(1,AO$6*1-Inputs!$B$68+1))/1</f>
        <v>0.5</v>
      </c>
      <c r="AP120" s="115" t="n">
        <f aca="false">Inputs!$B$65*(1+Inputs!$B$67)^(AP$7-1)*MAX(0,MIN(1,AP$6*1-Inputs!$B$68+1))/1</f>
        <v>0.5</v>
      </c>
      <c r="AQ120" s="115" t="n">
        <f aca="false">Inputs!$B$65*(1+Inputs!$B$67)^(AQ$7-1)*MAX(0,MIN(1,AQ$6*1-Inputs!$B$68+1))/1</f>
        <v>0.5</v>
      </c>
      <c r="AR120" s="115" t="n">
        <f aca="false">Inputs!$B$65*(1+Inputs!$B$67)^(AR$7-1)*MAX(0,MIN(1,AR$6*1-Inputs!$B$68+1))/1</f>
        <v>0.5</v>
      </c>
      <c r="AS120" s="115" t="n">
        <f aca="false">Inputs!$B$65*(1+Inputs!$B$67)^(AS$7-1)*MAX(0,MIN(1,AS$6*1-Inputs!$B$68+1))/1</f>
        <v>0.5</v>
      </c>
      <c r="AT120" s="115" t="n">
        <f aca="false">Inputs!$B$65*(1+Inputs!$B$67)^(AT$7-1)*MAX(0,MIN(1,AT$6*1-Inputs!$B$68+1))/1</f>
        <v>0.5</v>
      </c>
      <c r="AU120" s="115" t="n">
        <f aca="false">Inputs!$B$65*(1+Inputs!$B$67)^(AU$7-1)*MAX(0,MIN(1,AU$6*1-Inputs!$B$68+1))/1</f>
        <v>0.5</v>
      </c>
      <c r="AV120" s="115" t="n">
        <f aca="false">Inputs!$B$65*(1+Inputs!$B$67)^(AV$7-1)*MAX(0,MIN(1,AV$6*1-Inputs!$B$68+1))/1</f>
        <v>0.5</v>
      </c>
      <c r="AW120" s="115" t="n">
        <f aca="false">Inputs!$B$65*(1+Inputs!$B$67)^(AW$7-1)*MAX(0,MIN(1,AW$6*1-Inputs!$B$68+1))/1</f>
        <v>0.5</v>
      </c>
      <c r="AX120" s="115" t="n">
        <f aca="false">Inputs!$B$65*(1+Inputs!$B$67)^(AX$7-1)*MAX(0,MIN(1,AX$6*1-Inputs!$B$68+1))/1</f>
        <v>0.5</v>
      </c>
      <c r="AY120" s="115" t="n">
        <f aca="false">Inputs!$B$65*(1+Inputs!$B$67)^(AY$7-1)*MAX(0,MIN(1,AY$6*1-Inputs!$B$68+1))/1</f>
        <v>0.5</v>
      </c>
      <c r="AZ120" s="115" t="n">
        <f aca="false">Inputs!$B$65*(1+Inputs!$B$67)^(AZ$7-1)*MAX(0,MIN(1,AZ$6*1-Inputs!$B$68+1))/1</f>
        <v>0.5</v>
      </c>
      <c r="BA120" s="115" t="n">
        <f aca="false">Inputs!$B$65*(1+Inputs!$B$67)^(BA$7-1)*MAX(0,MIN(1,BA$6*1-Inputs!$B$68+1))/1</f>
        <v>0.5</v>
      </c>
      <c r="BB120" s="115" t="n">
        <f aca="false">Inputs!$B$65*(1+Inputs!$B$67)^(BB$7-1)*MAX(0,MIN(1,BB$6*1-Inputs!$B$68+1))/1</f>
        <v>0.5</v>
      </c>
      <c r="BC120" s="115" t="n">
        <f aca="false">Inputs!$B$65*(1+Inputs!$B$67)^(BC$7-1)*MAX(0,MIN(1,BC$6*1-Inputs!$B$68+1))/1</f>
        <v>0.5</v>
      </c>
      <c r="BD120" s="115" t="n">
        <f aca="false">Inputs!$B$65*(1+Inputs!$B$67)^(BD$7-1)*MAX(0,MIN(1,BD$6*1-Inputs!$B$68+1))/1</f>
        <v>0.5</v>
      </c>
      <c r="BE120" s="115" t="n">
        <f aca="false">Inputs!$B$65*(1+Inputs!$B$67)^(BE$7-1)*MAX(0,MIN(1,BE$6*1-Inputs!$B$68+1))/1</f>
        <v>0.5</v>
      </c>
      <c r="BF120" s="115" t="n">
        <f aca="false">Inputs!$B$65*(1+Inputs!$B$67)^(BF$7-1)*MAX(0,MIN(1,BF$6*1-Inputs!$B$68+1))/1</f>
        <v>0.5</v>
      </c>
      <c r="BG120" s="115" t="n">
        <f aca="false">Inputs!$B$65*(1+Inputs!$B$67)^(BG$7-1)*MAX(0,MIN(1,BG$6*1-Inputs!$B$68+1))/1</f>
        <v>0.5</v>
      </c>
      <c r="BH120" s="115" t="n">
        <f aca="false">Inputs!$B$65*(1+Inputs!$B$67)^(BH$7-1)*MAX(0,MIN(1,BH$6*1-Inputs!$B$68+1))/1</f>
        <v>0.5</v>
      </c>
      <c r="BI120" s="115" t="n">
        <f aca="false">Inputs!$B$65*(1+Inputs!$B$67)^(BI$7-1)*MAX(0,MIN(1,BI$6*1-Inputs!$B$68+1))/1</f>
        <v>0.5</v>
      </c>
      <c r="BJ120" s="115" t="n">
        <f aca="false">Inputs!$B$65*(1+Inputs!$B$67)^(BJ$7-1)*MAX(0,MIN(1,BJ$6*1-Inputs!$B$68+1))/1</f>
        <v>0.5</v>
      </c>
    </row>
    <row r="121" customFormat="false" ht="15" hidden="false" customHeight="false" outlineLevel="0" collapsed="false">
      <c r="A121" s="110" t="s">
        <v>467</v>
      </c>
      <c r="C121" s="118" t="n">
        <f aca="false">C118+C119+C120</f>
        <v>2</v>
      </c>
      <c r="D121" s="118" t="n">
        <f aca="false">D118+D119+D120</f>
        <v>2</v>
      </c>
      <c r="E121" s="118" t="n">
        <f aca="false">E118+E119+E120</f>
        <v>2</v>
      </c>
      <c r="F121" s="118" t="n">
        <f aca="false">F118+F119+F120</f>
        <v>2</v>
      </c>
      <c r="G121" s="118" t="n">
        <f aca="false">G118+G119+G120</f>
        <v>2</v>
      </c>
      <c r="H121" s="118" t="n">
        <f aca="false">H118+H119+H120</f>
        <v>2</v>
      </c>
      <c r="I121" s="118" t="n">
        <f aca="false">I118+I119+I120</f>
        <v>2</v>
      </c>
      <c r="J121" s="118" t="n">
        <f aca="false">J118+J119+J120</f>
        <v>2</v>
      </c>
      <c r="K121" s="118" t="n">
        <f aca="false">K118+K119+K120</f>
        <v>2</v>
      </c>
      <c r="L121" s="118" t="n">
        <f aca="false">L118+L119+L120</f>
        <v>2</v>
      </c>
      <c r="M121" s="118" t="n">
        <f aca="false">M118+M119+M120</f>
        <v>2</v>
      </c>
      <c r="N121" s="118" t="n">
        <f aca="false">N118+N119+N120</f>
        <v>2</v>
      </c>
      <c r="O121" s="118" t="n">
        <f aca="false">O118+O119+O120</f>
        <v>2</v>
      </c>
      <c r="P121" s="118" t="n">
        <f aca="false">P118+P119+P120</f>
        <v>2</v>
      </c>
      <c r="Q121" s="118" t="n">
        <f aca="false">Q118+Q119+Q120</f>
        <v>2</v>
      </c>
      <c r="R121" s="118" t="n">
        <f aca="false">R118+R119+R120</f>
        <v>2</v>
      </c>
      <c r="S121" s="118" t="n">
        <f aca="false">S118+S119+S120</f>
        <v>2</v>
      </c>
      <c r="T121" s="118" t="n">
        <f aca="false">T118+T119+T120</f>
        <v>2</v>
      </c>
      <c r="U121" s="118" t="n">
        <f aca="false">U118+U119+U120</f>
        <v>2</v>
      </c>
      <c r="V121" s="118" t="n">
        <f aca="false">V118+V119+V120</f>
        <v>2</v>
      </c>
      <c r="W121" s="118" t="n">
        <f aca="false">W118+W119+W120</f>
        <v>2</v>
      </c>
      <c r="X121" s="118" t="n">
        <f aca="false">X118+X119+X120</f>
        <v>2</v>
      </c>
      <c r="Y121" s="118" t="n">
        <f aca="false">Y118+Y119+Y120</f>
        <v>2</v>
      </c>
      <c r="Z121" s="118" t="n">
        <f aca="false">Z118+Z119+Z120</f>
        <v>2</v>
      </c>
      <c r="AA121" s="118" t="n">
        <f aca="false">AA118+AA119+AA120</f>
        <v>2</v>
      </c>
      <c r="AB121" s="118" t="n">
        <f aca="false">AB118+AB119+AB120</f>
        <v>2</v>
      </c>
      <c r="AC121" s="118" t="n">
        <f aca="false">AC118+AC119+AC120</f>
        <v>2</v>
      </c>
      <c r="AD121" s="118" t="n">
        <f aca="false">AD118+AD119+AD120</f>
        <v>2</v>
      </c>
      <c r="AE121" s="118" t="n">
        <f aca="false">AE118+AE119+AE120</f>
        <v>2</v>
      </c>
      <c r="AF121" s="118" t="n">
        <f aca="false">AF118+AF119+AF120</f>
        <v>2</v>
      </c>
      <c r="AG121" s="118" t="n">
        <f aca="false">AG118+AG119+AG120</f>
        <v>2</v>
      </c>
      <c r="AH121" s="118" t="n">
        <f aca="false">AH118+AH119+AH120</f>
        <v>2</v>
      </c>
      <c r="AI121" s="118" t="n">
        <f aca="false">AI118+AI119+AI120</f>
        <v>2</v>
      </c>
      <c r="AJ121" s="118" t="n">
        <f aca="false">AJ118+AJ119+AJ120</f>
        <v>2</v>
      </c>
      <c r="AK121" s="118" t="n">
        <f aca="false">AK118+AK119+AK120</f>
        <v>2</v>
      </c>
      <c r="AL121" s="118" t="n">
        <f aca="false">AL118+AL119+AL120</f>
        <v>2</v>
      </c>
      <c r="AM121" s="118" t="n">
        <f aca="false">AM118+AM119+AM120</f>
        <v>2</v>
      </c>
      <c r="AN121" s="118" t="n">
        <f aca="false">AN118+AN119+AN120</f>
        <v>2</v>
      </c>
      <c r="AO121" s="118" t="n">
        <f aca="false">AO118+AO119+AO120</f>
        <v>2</v>
      </c>
      <c r="AP121" s="118" t="n">
        <f aca="false">AP118+AP119+AP120</f>
        <v>2</v>
      </c>
      <c r="AQ121" s="118" t="n">
        <f aca="false">AQ118+AQ119+AQ120</f>
        <v>2</v>
      </c>
      <c r="AR121" s="118" t="n">
        <f aca="false">AR118+AR119+AR120</f>
        <v>2</v>
      </c>
      <c r="AS121" s="118" t="n">
        <f aca="false">AS118+AS119+AS120</f>
        <v>2</v>
      </c>
      <c r="AT121" s="118" t="n">
        <f aca="false">AT118+AT119+AT120</f>
        <v>2</v>
      </c>
      <c r="AU121" s="118" t="n">
        <f aca="false">AU118+AU119+AU120</f>
        <v>2</v>
      </c>
      <c r="AV121" s="118" t="n">
        <f aca="false">AV118+AV119+AV120</f>
        <v>2</v>
      </c>
      <c r="AW121" s="118" t="n">
        <f aca="false">AW118+AW119+AW120</f>
        <v>2</v>
      </c>
      <c r="AX121" s="118" t="n">
        <f aca="false">AX118+AX119+AX120</f>
        <v>2</v>
      </c>
      <c r="AY121" s="118" t="n">
        <f aca="false">AY118+AY119+AY120</f>
        <v>2</v>
      </c>
      <c r="AZ121" s="118" t="n">
        <f aca="false">AZ118+AZ119+AZ120</f>
        <v>2</v>
      </c>
      <c r="BA121" s="118" t="n">
        <f aca="false">BA118+BA119+BA120</f>
        <v>2</v>
      </c>
      <c r="BB121" s="118" t="n">
        <f aca="false">BB118+BB119+BB120</f>
        <v>2</v>
      </c>
      <c r="BC121" s="118" t="n">
        <f aca="false">BC118+BC119+BC120</f>
        <v>2</v>
      </c>
      <c r="BD121" s="118" t="n">
        <f aca="false">BD118+BD119+BD120</f>
        <v>2</v>
      </c>
      <c r="BE121" s="118" t="n">
        <f aca="false">BE118+BE119+BE120</f>
        <v>2</v>
      </c>
      <c r="BF121" s="118" t="n">
        <f aca="false">BF118+BF119+BF120</f>
        <v>2</v>
      </c>
      <c r="BG121" s="118" t="n">
        <f aca="false">BG118+BG119+BG120</f>
        <v>2</v>
      </c>
      <c r="BH121" s="118" t="n">
        <f aca="false">BH118+BH119+BH120</f>
        <v>2</v>
      </c>
      <c r="BI121" s="118" t="n">
        <f aca="false">BI118+BI119+BI120</f>
        <v>2</v>
      </c>
      <c r="BJ121" s="118" t="n">
        <f aca="false">BJ118+BJ119+BJ120</f>
        <v>2</v>
      </c>
    </row>
    <row r="123" customFormat="false" ht="15.75" hidden="false" customHeight="true" outlineLevel="0" collapsed="false">
      <c r="A123" s="7" t="s">
        <v>468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customFormat="false" ht="15" hidden="false" customHeight="false" outlineLevel="0" collapsed="false">
      <c r="A124" s="6" t="s">
        <v>469</v>
      </c>
      <c r="C124" s="66" t="n">
        <f aca="false">-C118*Inputs!$B$58/12*1*(1+Inputs!$B$69)*(1+Inputs!$B$70)^(C$7-1)</f>
        <v>-5786.66666666667</v>
      </c>
      <c r="D124" s="66" t="n">
        <f aca="false">-D118*Inputs!$B$58/12*1*(1+Inputs!$B$69)*(1+Inputs!$B$70)^(D$7-1)</f>
        <v>-5786.66666666667</v>
      </c>
      <c r="E124" s="66" t="n">
        <f aca="false">-E118*Inputs!$B$58/12*1*(1+Inputs!$B$69)*(1+Inputs!$B$70)^(E$7-1)</f>
        <v>-5786.66666666667</v>
      </c>
      <c r="F124" s="66" t="n">
        <f aca="false">-F118*Inputs!$B$58/12*1*(1+Inputs!$B$69)*(1+Inputs!$B$70)^(F$7-1)</f>
        <v>-5786.66666666667</v>
      </c>
      <c r="G124" s="66" t="n">
        <f aca="false">-G118*Inputs!$B$58/12*1*(1+Inputs!$B$69)*(1+Inputs!$B$70)^(G$7-1)</f>
        <v>-5786.66666666667</v>
      </c>
      <c r="H124" s="66" t="n">
        <f aca="false">-H118*Inputs!$B$58/12*1*(1+Inputs!$B$69)*(1+Inputs!$B$70)^(H$7-1)</f>
        <v>-5786.66666666667</v>
      </c>
      <c r="I124" s="66" t="n">
        <f aca="false">-I118*Inputs!$B$58/12*1*(1+Inputs!$B$69)*(1+Inputs!$B$70)^(I$7-1)</f>
        <v>-5786.66666666667</v>
      </c>
      <c r="J124" s="66" t="n">
        <f aca="false">-J118*Inputs!$B$58/12*1*(1+Inputs!$B$69)*(1+Inputs!$B$70)^(J$7-1)</f>
        <v>-5786.66666666667</v>
      </c>
      <c r="K124" s="66" t="n">
        <f aca="false">-K118*Inputs!$B$58/12*1*(1+Inputs!$B$69)*(1+Inputs!$B$70)^(K$7-1)</f>
        <v>-5786.66666666667</v>
      </c>
      <c r="L124" s="66" t="n">
        <f aca="false">-L118*Inputs!$B$58/12*1*(1+Inputs!$B$69)*(1+Inputs!$B$70)^(L$7-1)</f>
        <v>-5786.66666666667</v>
      </c>
      <c r="M124" s="66" t="n">
        <f aca="false">-M118*Inputs!$B$58/12*1*(1+Inputs!$B$69)*(1+Inputs!$B$70)^(M$7-1)</f>
        <v>-5786.66666666667</v>
      </c>
      <c r="N124" s="66" t="n">
        <f aca="false">-N118*Inputs!$B$58/12*1*(1+Inputs!$B$69)*(1+Inputs!$B$70)^(N$7-1)</f>
        <v>-5786.66666666667</v>
      </c>
      <c r="O124" s="66" t="n">
        <f aca="false">-O118*Inputs!$B$58/12*1*(1+Inputs!$B$69)*(1+Inputs!$B$70)^(O$7-1)</f>
        <v>-5960.26666666667</v>
      </c>
      <c r="P124" s="66" t="n">
        <f aca="false">-P118*Inputs!$B$58/12*1*(1+Inputs!$B$69)*(1+Inputs!$B$70)^(P$7-1)</f>
        <v>-5960.26666666667</v>
      </c>
      <c r="Q124" s="66" t="n">
        <f aca="false">-Q118*Inputs!$B$58/12*1*(1+Inputs!$B$69)*(1+Inputs!$B$70)^(Q$7-1)</f>
        <v>-5960.26666666667</v>
      </c>
      <c r="R124" s="66" t="n">
        <f aca="false">-R118*Inputs!$B$58/12*1*(1+Inputs!$B$69)*(1+Inputs!$B$70)^(R$7-1)</f>
        <v>-5960.26666666667</v>
      </c>
      <c r="S124" s="66" t="n">
        <f aca="false">-S118*Inputs!$B$58/12*1*(1+Inputs!$B$69)*(1+Inputs!$B$70)^(S$7-1)</f>
        <v>-5960.26666666667</v>
      </c>
      <c r="T124" s="66" t="n">
        <f aca="false">-T118*Inputs!$B$58/12*1*(1+Inputs!$B$69)*(1+Inputs!$B$70)^(T$7-1)</f>
        <v>-5960.26666666667</v>
      </c>
      <c r="U124" s="66" t="n">
        <f aca="false">-U118*Inputs!$B$58/12*1*(1+Inputs!$B$69)*(1+Inputs!$B$70)^(U$7-1)</f>
        <v>-5960.26666666667</v>
      </c>
      <c r="V124" s="66" t="n">
        <f aca="false">-V118*Inputs!$B$58/12*1*(1+Inputs!$B$69)*(1+Inputs!$B$70)^(V$7-1)</f>
        <v>-5960.26666666667</v>
      </c>
      <c r="W124" s="66" t="n">
        <f aca="false">-W118*Inputs!$B$58/12*1*(1+Inputs!$B$69)*(1+Inputs!$B$70)^(W$7-1)</f>
        <v>-5960.26666666667</v>
      </c>
      <c r="X124" s="66" t="n">
        <f aca="false">-X118*Inputs!$B$58/12*1*(1+Inputs!$B$69)*(1+Inputs!$B$70)^(X$7-1)</f>
        <v>-5960.26666666667</v>
      </c>
      <c r="Y124" s="66" t="n">
        <f aca="false">-Y118*Inputs!$B$58/12*1*(1+Inputs!$B$69)*(1+Inputs!$B$70)^(Y$7-1)</f>
        <v>-5960.26666666667</v>
      </c>
      <c r="Z124" s="66" t="n">
        <f aca="false">-Z118*Inputs!$B$58/12*1*(1+Inputs!$B$69)*(1+Inputs!$B$70)^(Z$7-1)</f>
        <v>-5960.26666666667</v>
      </c>
      <c r="AA124" s="66" t="n">
        <f aca="false">-AA118*Inputs!$B$58/12*1*(1+Inputs!$B$69)*(1+Inputs!$B$70)^(AA$7-1)</f>
        <v>-6139.07466666667</v>
      </c>
      <c r="AB124" s="66" t="n">
        <f aca="false">-AB118*Inputs!$B$58/12*1*(1+Inputs!$B$69)*(1+Inputs!$B$70)^(AB$7-1)</f>
        <v>-6139.07466666667</v>
      </c>
      <c r="AC124" s="66" t="n">
        <f aca="false">-AC118*Inputs!$B$58/12*1*(1+Inputs!$B$69)*(1+Inputs!$B$70)^(AC$7-1)</f>
        <v>-6139.07466666667</v>
      </c>
      <c r="AD124" s="66" t="n">
        <f aca="false">-AD118*Inputs!$B$58/12*1*(1+Inputs!$B$69)*(1+Inputs!$B$70)^(AD$7-1)</f>
        <v>-6139.07466666667</v>
      </c>
      <c r="AE124" s="66" t="n">
        <f aca="false">-AE118*Inputs!$B$58/12*1*(1+Inputs!$B$69)*(1+Inputs!$B$70)^(AE$7-1)</f>
        <v>-6139.07466666667</v>
      </c>
      <c r="AF124" s="66" t="n">
        <f aca="false">-AF118*Inputs!$B$58/12*1*(1+Inputs!$B$69)*(1+Inputs!$B$70)^(AF$7-1)</f>
        <v>-6139.07466666667</v>
      </c>
      <c r="AG124" s="66" t="n">
        <f aca="false">-AG118*Inputs!$B$58/12*1*(1+Inputs!$B$69)*(1+Inputs!$B$70)^(AG$7-1)</f>
        <v>-6139.07466666667</v>
      </c>
      <c r="AH124" s="66" t="n">
        <f aca="false">-AH118*Inputs!$B$58/12*1*(1+Inputs!$B$69)*(1+Inputs!$B$70)^(AH$7-1)</f>
        <v>-6139.07466666667</v>
      </c>
      <c r="AI124" s="66" t="n">
        <f aca="false">-AI118*Inputs!$B$58/12*1*(1+Inputs!$B$69)*(1+Inputs!$B$70)^(AI$7-1)</f>
        <v>-6139.07466666667</v>
      </c>
      <c r="AJ124" s="66" t="n">
        <f aca="false">-AJ118*Inputs!$B$58/12*1*(1+Inputs!$B$69)*(1+Inputs!$B$70)^(AJ$7-1)</f>
        <v>-6139.07466666667</v>
      </c>
      <c r="AK124" s="66" t="n">
        <f aca="false">-AK118*Inputs!$B$58/12*1*(1+Inputs!$B$69)*(1+Inputs!$B$70)^(AK$7-1)</f>
        <v>-6139.07466666667</v>
      </c>
      <c r="AL124" s="66" t="n">
        <f aca="false">-AL118*Inputs!$B$58/12*1*(1+Inputs!$B$69)*(1+Inputs!$B$70)^(AL$7-1)</f>
        <v>-6139.07466666667</v>
      </c>
      <c r="AM124" s="66" t="n">
        <f aca="false">-AM118*Inputs!$B$58/12*1*(1+Inputs!$B$69)*(1+Inputs!$B$70)^(AM$7-1)</f>
        <v>-6323.24690666667</v>
      </c>
      <c r="AN124" s="66" t="n">
        <f aca="false">-AN118*Inputs!$B$58/12*1*(1+Inputs!$B$69)*(1+Inputs!$B$70)^(AN$7-1)</f>
        <v>-6323.24690666667</v>
      </c>
      <c r="AO124" s="66" t="n">
        <f aca="false">-AO118*Inputs!$B$58/12*1*(1+Inputs!$B$69)*(1+Inputs!$B$70)^(AO$7-1)</f>
        <v>-6323.24690666667</v>
      </c>
      <c r="AP124" s="66" t="n">
        <f aca="false">-AP118*Inputs!$B$58/12*1*(1+Inputs!$B$69)*(1+Inputs!$B$70)^(AP$7-1)</f>
        <v>-6323.24690666667</v>
      </c>
      <c r="AQ124" s="66" t="n">
        <f aca="false">-AQ118*Inputs!$B$58/12*1*(1+Inputs!$B$69)*(1+Inputs!$B$70)^(AQ$7-1)</f>
        <v>-6323.24690666667</v>
      </c>
      <c r="AR124" s="66" t="n">
        <f aca="false">-AR118*Inputs!$B$58/12*1*(1+Inputs!$B$69)*(1+Inputs!$B$70)^(AR$7-1)</f>
        <v>-6323.24690666667</v>
      </c>
      <c r="AS124" s="66" t="n">
        <f aca="false">-AS118*Inputs!$B$58/12*1*(1+Inputs!$B$69)*(1+Inputs!$B$70)^(AS$7-1)</f>
        <v>-6323.24690666667</v>
      </c>
      <c r="AT124" s="66" t="n">
        <f aca="false">-AT118*Inputs!$B$58/12*1*(1+Inputs!$B$69)*(1+Inputs!$B$70)^(AT$7-1)</f>
        <v>-6323.24690666667</v>
      </c>
      <c r="AU124" s="66" t="n">
        <f aca="false">-AU118*Inputs!$B$58/12*1*(1+Inputs!$B$69)*(1+Inputs!$B$70)^(AU$7-1)</f>
        <v>-6323.24690666667</v>
      </c>
      <c r="AV124" s="66" t="n">
        <f aca="false">-AV118*Inputs!$B$58/12*1*(1+Inputs!$B$69)*(1+Inputs!$B$70)^(AV$7-1)</f>
        <v>-6323.24690666667</v>
      </c>
      <c r="AW124" s="66" t="n">
        <f aca="false">-AW118*Inputs!$B$58/12*1*(1+Inputs!$B$69)*(1+Inputs!$B$70)^(AW$7-1)</f>
        <v>-6323.24690666667</v>
      </c>
      <c r="AX124" s="66" t="n">
        <f aca="false">-AX118*Inputs!$B$58/12*1*(1+Inputs!$B$69)*(1+Inputs!$B$70)^(AX$7-1)</f>
        <v>-6323.24690666667</v>
      </c>
      <c r="AY124" s="66" t="n">
        <f aca="false">-AY118*Inputs!$B$58/12*1*(1+Inputs!$B$69)*(1+Inputs!$B$70)^(AY$7-1)</f>
        <v>-6512.94431386667</v>
      </c>
      <c r="AZ124" s="66" t="n">
        <f aca="false">-AZ118*Inputs!$B$58/12*1*(1+Inputs!$B$69)*(1+Inputs!$B$70)^(AZ$7-1)</f>
        <v>-6512.94431386667</v>
      </c>
      <c r="BA124" s="66" t="n">
        <f aca="false">-BA118*Inputs!$B$58/12*1*(1+Inputs!$B$69)*(1+Inputs!$B$70)^(BA$7-1)</f>
        <v>-6512.94431386667</v>
      </c>
      <c r="BB124" s="66" t="n">
        <f aca="false">-BB118*Inputs!$B$58/12*1*(1+Inputs!$B$69)*(1+Inputs!$B$70)^(BB$7-1)</f>
        <v>-6512.94431386667</v>
      </c>
      <c r="BC124" s="66" t="n">
        <f aca="false">-BC118*Inputs!$B$58/12*1*(1+Inputs!$B$69)*(1+Inputs!$B$70)^(BC$7-1)</f>
        <v>-6512.94431386667</v>
      </c>
      <c r="BD124" s="66" t="n">
        <f aca="false">-BD118*Inputs!$B$58/12*1*(1+Inputs!$B$69)*(1+Inputs!$B$70)^(BD$7-1)</f>
        <v>-6512.94431386667</v>
      </c>
      <c r="BE124" s="66" t="n">
        <f aca="false">-BE118*Inputs!$B$58/12*1*(1+Inputs!$B$69)*(1+Inputs!$B$70)^(BE$7-1)</f>
        <v>-6512.94431386667</v>
      </c>
      <c r="BF124" s="66" t="n">
        <f aca="false">-BF118*Inputs!$B$58/12*1*(1+Inputs!$B$69)*(1+Inputs!$B$70)^(BF$7-1)</f>
        <v>-6512.94431386667</v>
      </c>
      <c r="BG124" s="66" t="n">
        <f aca="false">-BG118*Inputs!$B$58/12*1*(1+Inputs!$B$69)*(1+Inputs!$B$70)^(BG$7-1)</f>
        <v>-6512.94431386667</v>
      </c>
      <c r="BH124" s="66" t="n">
        <f aca="false">-BH118*Inputs!$B$58/12*1*(1+Inputs!$B$69)*(1+Inputs!$B$70)^(BH$7-1)</f>
        <v>-6512.94431386667</v>
      </c>
      <c r="BI124" s="66" t="n">
        <f aca="false">-BI118*Inputs!$B$58/12*1*(1+Inputs!$B$69)*(1+Inputs!$B$70)^(BI$7-1)</f>
        <v>-6512.94431386667</v>
      </c>
      <c r="BJ124" s="66" t="n">
        <f aca="false">-BJ118*Inputs!$B$58/12*1*(1+Inputs!$B$69)*(1+Inputs!$B$70)^(BJ$7-1)</f>
        <v>-6512.94431386667</v>
      </c>
    </row>
    <row r="125" customFormat="false" ht="15" hidden="false" customHeight="false" outlineLevel="0" collapsed="false">
      <c r="A125" s="6" t="s">
        <v>470</v>
      </c>
      <c r="C125" s="66" t="n">
        <f aca="false">-C119*Inputs!$B$62/12*1*(1+Inputs!$B$69)*(1+Inputs!$B$70)^(C$7-1)</f>
        <v>-1773.33333333333</v>
      </c>
      <c r="D125" s="66" t="n">
        <f aca="false">-D119*Inputs!$B$62/12*1*(1+Inputs!$B$69)*(1+Inputs!$B$70)^(D$7-1)</f>
        <v>-1773.33333333333</v>
      </c>
      <c r="E125" s="66" t="n">
        <f aca="false">-E119*Inputs!$B$62/12*1*(1+Inputs!$B$69)*(1+Inputs!$B$70)^(E$7-1)</f>
        <v>-1773.33333333333</v>
      </c>
      <c r="F125" s="66" t="n">
        <f aca="false">-F119*Inputs!$B$62/12*1*(1+Inputs!$B$69)*(1+Inputs!$B$70)^(F$7-1)</f>
        <v>-1773.33333333333</v>
      </c>
      <c r="G125" s="66" t="n">
        <f aca="false">-G119*Inputs!$B$62/12*1*(1+Inputs!$B$69)*(1+Inputs!$B$70)^(G$7-1)</f>
        <v>-1773.33333333333</v>
      </c>
      <c r="H125" s="66" t="n">
        <f aca="false">-H119*Inputs!$B$62/12*1*(1+Inputs!$B$69)*(1+Inputs!$B$70)^(H$7-1)</f>
        <v>-1773.33333333333</v>
      </c>
      <c r="I125" s="66" t="n">
        <f aca="false">-I119*Inputs!$B$62/12*1*(1+Inputs!$B$69)*(1+Inputs!$B$70)^(I$7-1)</f>
        <v>-1773.33333333333</v>
      </c>
      <c r="J125" s="66" t="n">
        <f aca="false">-J119*Inputs!$B$62/12*1*(1+Inputs!$B$69)*(1+Inputs!$B$70)^(J$7-1)</f>
        <v>-1773.33333333333</v>
      </c>
      <c r="K125" s="66" t="n">
        <f aca="false">-K119*Inputs!$B$62/12*1*(1+Inputs!$B$69)*(1+Inputs!$B$70)^(K$7-1)</f>
        <v>-1773.33333333333</v>
      </c>
      <c r="L125" s="66" t="n">
        <f aca="false">-L119*Inputs!$B$62/12*1*(1+Inputs!$B$69)*(1+Inputs!$B$70)^(L$7-1)</f>
        <v>-1773.33333333333</v>
      </c>
      <c r="M125" s="66" t="n">
        <f aca="false">-M119*Inputs!$B$62/12*1*(1+Inputs!$B$69)*(1+Inputs!$B$70)^(M$7-1)</f>
        <v>-1773.33333333333</v>
      </c>
      <c r="N125" s="66" t="n">
        <f aca="false">-N119*Inputs!$B$62/12*1*(1+Inputs!$B$69)*(1+Inputs!$B$70)^(N$7-1)</f>
        <v>-1773.33333333333</v>
      </c>
      <c r="O125" s="66" t="n">
        <f aca="false">-O119*Inputs!$B$62/12*1*(1+Inputs!$B$69)*(1+Inputs!$B$70)^(O$7-1)</f>
        <v>-1826.53333333333</v>
      </c>
      <c r="P125" s="66" t="n">
        <f aca="false">-P119*Inputs!$B$62/12*1*(1+Inputs!$B$69)*(1+Inputs!$B$70)^(P$7-1)</f>
        <v>-1826.53333333333</v>
      </c>
      <c r="Q125" s="66" t="n">
        <f aca="false">-Q119*Inputs!$B$62/12*1*(1+Inputs!$B$69)*(1+Inputs!$B$70)^(Q$7-1)</f>
        <v>-1826.53333333333</v>
      </c>
      <c r="R125" s="66" t="n">
        <f aca="false">-R119*Inputs!$B$62/12*1*(1+Inputs!$B$69)*(1+Inputs!$B$70)^(R$7-1)</f>
        <v>-1826.53333333333</v>
      </c>
      <c r="S125" s="66" t="n">
        <f aca="false">-S119*Inputs!$B$62/12*1*(1+Inputs!$B$69)*(1+Inputs!$B$70)^(S$7-1)</f>
        <v>-1826.53333333333</v>
      </c>
      <c r="T125" s="66" t="n">
        <f aca="false">-T119*Inputs!$B$62/12*1*(1+Inputs!$B$69)*(1+Inputs!$B$70)^(T$7-1)</f>
        <v>-1826.53333333333</v>
      </c>
      <c r="U125" s="66" t="n">
        <f aca="false">-U119*Inputs!$B$62/12*1*(1+Inputs!$B$69)*(1+Inputs!$B$70)^(U$7-1)</f>
        <v>-1826.53333333333</v>
      </c>
      <c r="V125" s="66" t="n">
        <f aca="false">-V119*Inputs!$B$62/12*1*(1+Inputs!$B$69)*(1+Inputs!$B$70)^(V$7-1)</f>
        <v>-1826.53333333333</v>
      </c>
      <c r="W125" s="66" t="n">
        <f aca="false">-W119*Inputs!$B$62/12*1*(1+Inputs!$B$69)*(1+Inputs!$B$70)^(W$7-1)</f>
        <v>-1826.53333333333</v>
      </c>
      <c r="X125" s="66" t="n">
        <f aca="false">-X119*Inputs!$B$62/12*1*(1+Inputs!$B$69)*(1+Inputs!$B$70)^(X$7-1)</f>
        <v>-1826.53333333333</v>
      </c>
      <c r="Y125" s="66" t="n">
        <f aca="false">-Y119*Inputs!$B$62/12*1*(1+Inputs!$B$69)*(1+Inputs!$B$70)^(Y$7-1)</f>
        <v>-1826.53333333333</v>
      </c>
      <c r="Z125" s="66" t="n">
        <f aca="false">-Z119*Inputs!$B$62/12*1*(1+Inputs!$B$69)*(1+Inputs!$B$70)^(Z$7-1)</f>
        <v>-1826.53333333333</v>
      </c>
      <c r="AA125" s="66" t="n">
        <f aca="false">-AA119*Inputs!$B$62/12*1*(1+Inputs!$B$69)*(1+Inputs!$B$70)^(AA$7-1)</f>
        <v>-1881.32933333333</v>
      </c>
      <c r="AB125" s="66" t="n">
        <f aca="false">-AB119*Inputs!$B$62/12*1*(1+Inputs!$B$69)*(1+Inputs!$B$70)^(AB$7-1)</f>
        <v>-1881.32933333333</v>
      </c>
      <c r="AC125" s="66" t="n">
        <f aca="false">-AC119*Inputs!$B$62/12*1*(1+Inputs!$B$69)*(1+Inputs!$B$70)^(AC$7-1)</f>
        <v>-1881.32933333333</v>
      </c>
      <c r="AD125" s="66" t="n">
        <f aca="false">-AD119*Inputs!$B$62/12*1*(1+Inputs!$B$69)*(1+Inputs!$B$70)^(AD$7-1)</f>
        <v>-1881.32933333333</v>
      </c>
      <c r="AE125" s="66" t="n">
        <f aca="false">-AE119*Inputs!$B$62/12*1*(1+Inputs!$B$69)*(1+Inputs!$B$70)^(AE$7-1)</f>
        <v>-1881.32933333333</v>
      </c>
      <c r="AF125" s="66" t="n">
        <f aca="false">-AF119*Inputs!$B$62/12*1*(1+Inputs!$B$69)*(1+Inputs!$B$70)^(AF$7-1)</f>
        <v>-1881.32933333333</v>
      </c>
      <c r="AG125" s="66" t="n">
        <f aca="false">-AG119*Inputs!$B$62/12*1*(1+Inputs!$B$69)*(1+Inputs!$B$70)^(AG$7-1)</f>
        <v>-1881.32933333333</v>
      </c>
      <c r="AH125" s="66" t="n">
        <f aca="false">-AH119*Inputs!$B$62/12*1*(1+Inputs!$B$69)*(1+Inputs!$B$70)^(AH$7-1)</f>
        <v>-1881.32933333333</v>
      </c>
      <c r="AI125" s="66" t="n">
        <f aca="false">-AI119*Inputs!$B$62/12*1*(1+Inputs!$B$69)*(1+Inputs!$B$70)^(AI$7-1)</f>
        <v>-1881.32933333333</v>
      </c>
      <c r="AJ125" s="66" t="n">
        <f aca="false">-AJ119*Inputs!$B$62/12*1*(1+Inputs!$B$69)*(1+Inputs!$B$70)^(AJ$7-1)</f>
        <v>-1881.32933333333</v>
      </c>
      <c r="AK125" s="66" t="n">
        <f aca="false">-AK119*Inputs!$B$62/12*1*(1+Inputs!$B$69)*(1+Inputs!$B$70)^(AK$7-1)</f>
        <v>-1881.32933333333</v>
      </c>
      <c r="AL125" s="66" t="n">
        <f aca="false">-AL119*Inputs!$B$62/12*1*(1+Inputs!$B$69)*(1+Inputs!$B$70)^(AL$7-1)</f>
        <v>-1881.32933333333</v>
      </c>
      <c r="AM125" s="66" t="n">
        <f aca="false">-AM119*Inputs!$B$62/12*1*(1+Inputs!$B$69)*(1+Inputs!$B$70)^(AM$7-1)</f>
        <v>-1937.76921333333</v>
      </c>
      <c r="AN125" s="66" t="n">
        <f aca="false">-AN119*Inputs!$B$62/12*1*(1+Inputs!$B$69)*(1+Inputs!$B$70)^(AN$7-1)</f>
        <v>-1937.76921333333</v>
      </c>
      <c r="AO125" s="66" t="n">
        <f aca="false">-AO119*Inputs!$B$62/12*1*(1+Inputs!$B$69)*(1+Inputs!$B$70)^(AO$7-1)</f>
        <v>-1937.76921333333</v>
      </c>
      <c r="AP125" s="66" t="n">
        <f aca="false">-AP119*Inputs!$B$62/12*1*(1+Inputs!$B$69)*(1+Inputs!$B$70)^(AP$7-1)</f>
        <v>-1937.76921333333</v>
      </c>
      <c r="AQ125" s="66" t="n">
        <f aca="false">-AQ119*Inputs!$B$62/12*1*(1+Inputs!$B$69)*(1+Inputs!$B$70)^(AQ$7-1)</f>
        <v>-1937.76921333333</v>
      </c>
      <c r="AR125" s="66" t="n">
        <f aca="false">-AR119*Inputs!$B$62/12*1*(1+Inputs!$B$69)*(1+Inputs!$B$70)^(AR$7-1)</f>
        <v>-1937.76921333333</v>
      </c>
      <c r="AS125" s="66" t="n">
        <f aca="false">-AS119*Inputs!$B$62/12*1*(1+Inputs!$B$69)*(1+Inputs!$B$70)^(AS$7-1)</f>
        <v>-1937.76921333333</v>
      </c>
      <c r="AT125" s="66" t="n">
        <f aca="false">-AT119*Inputs!$B$62/12*1*(1+Inputs!$B$69)*(1+Inputs!$B$70)^(AT$7-1)</f>
        <v>-1937.76921333333</v>
      </c>
      <c r="AU125" s="66" t="n">
        <f aca="false">-AU119*Inputs!$B$62/12*1*(1+Inputs!$B$69)*(1+Inputs!$B$70)^(AU$7-1)</f>
        <v>-1937.76921333333</v>
      </c>
      <c r="AV125" s="66" t="n">
        <f aca="false">-AV119*Inputs!$B$62/12*1*(1+Inputs!$B$69)*(1+Inputs!$B$70)^(AV$7-1)</f>
        <v>-1937.76921333333</v>
      </c>
      <c r="AW125" s="66" t="n">
        <f aca="false">-AW119*Inputs!$B$62/12*1*(1+Inputs!$B$69)*(1+Inputs!$B$70)^(AW$7-1)</f>
        <v>-1937.76921333333</v>
      </c>
      <c r="AX125" s="66" t="n">
        <f aca="false">-AX119*Inputs!$B$62/12*1*(1+Inputs!$B$69)*(1+Inputs!$B$70)^(AX$7-1)</f>
        <v>-1937.76921333333</v>
      </c>
      <c r="AY125" s="66" t="n">
        <f aca="false">-AY119*Inputs!$B$62/12*1*(1+Inputs!$B$69)*(1+Inputs!$B$70)^(AY$7-1)</f>
        <v>-1995.90228973333</v>
      </c>
      <c r="AZ125" s="66" t="n">
        <f aca="false">-AZ119*Inputs!$B$62/12*1*(1+Inputs!$B$69)*(1+Inputs!$B$70)^(AZ$7-1)</f>
        <v>-1995.90228973333</v>
      </c>
      <c r="BA125" s="66" t="n">
        <f aca="false">-BA119*Inputs!$B$62/12*1*(1+Inputs!$B$69)*(1+Inputs!$B$70)^(BA$7-1)</f>
        <v>-1995.90228973333</v>
      </c>
      <c r="BB125" s="66" t="n">
        <f aca="false">-BB119*Inputs!$B$62/12*1*(1+Inputs!$B$69)*(1+Inputs!$B$70)^(BB$7-1)</f>
        <v>-1995.90228973333</v>
      </c>
      <c r="BC125" s="66" t="n">
        <f aca="false">-BC119*Inputs!$B$62/12*1*(1+Inputs!$B$69)*(1+Inputs!$B$70)^(BC$7-1)</f>
        <v>-1995.90228973333</v>
      </c>
      <c r="BD125" s="66" t="n">
        <f aca="false">-BD119*Inputs!$B$62/12*1*(1+Inputs!$B$69)*(1+Inputs!$B$70)^(BD$7-1)</f>
        <v>-1995.90228973333</v>
      </c>
      <c r="BE125" s="66" t="n">
        <f aca="false">-BE119*Inputs!$B$62/12*1*(1+Inputs!$B$69)*(1+Inputs!$B$70)^(BE$7-1)</f>
        <v>-1995.90228973333</v>
      </c>
      <c r="BF125" s="66" t="n">
        <f aca="false">-BF119*Inputs!$B$62/12*1*(1+Inputs!$B$69)*(1+Inputs!$B$70)^(BF$7-1)</f>
        <v>-1995.90228973333</v>
      </c>
      <c r="BG125" s="66" t="n">
        <f aca="false">-BG119*Inputs!$B$62/12*1*(1+Inputs!$B$69)*(1+Inputs!$B$70)^(BG$7-1)</f>
        <v>-1995.90228973333</v>
      </c>
      <c r="BH125" s="66" t="n">
        <f aca="false">-BH119*Inputs!$B$62/12*1*(1+Inputs!$B$69)*(1+Inputs!$B$70)^(BH$7-1)</f>
        <v>-1995.90228973333</v>
      </c>
      <c r="BI125" s="66" t="n">
        <f aca="false">-BI119*Inputs!$B$62/12*1*(1+Inputs!$B$69)*(1+Inputs!$B$70)^(BI$7-1)</f>
        <v>-1995.90228973333</v>
      </c>
      <c r="BJ125" s="66" t="n">
        <f aca="false">-BJ119*Inputs!$B$62/12*1*(1+Inputs!$B$69)*(1+Inputs!$B$70)^(BJ$7-1)</f>
        <v>-1995.90228973333</v>
      </c>
    </row>
    <row r="126" customFormat="false" ht="15" hidden="false" customHeight="false" outlineLevel="0" collapsed="false">
      <c r="A126" s="6" t="s">
        <v>471</v>
      </c>
      <c r="C126" s="66" t="n">
        <f aca="false">-C120*Inputs!$B$66/12*1*(1+Inputs!$B$69)*(1+Inputs!$B$70)^(C$7-1)</f>
        <v>-1586.66666666667</v>
      </c>
      <c r="D126" s="66" t="n">
        <f aca="false">-D120*Inputs!$B$66/12*1*(1+Inputs!$B$69)*(1+Inputs!$B$70)^(D$7-1)</f>
        <v>-1586.66666666667</v>
      </c>
      <c r="E126" s="66" t="n">
        <f aca="false">-E120*Inputs!$B$66/12*1*(1+Inputs!$B$69)*(1+Inputs!$B$70)^(E$7-1)</f>
        <v>-1586.66666666667</v>
      </c>
      <c r="F126" s="66" t="n">
        <f aca="false">-F120*Inputs!$B$66/12*1*(1+Inputs!$B$69)*(1+Inputs!$B$70)^(F$7-1)</f>
        <v>-1586.66666666667</v>
      </c>
      <c r="G126" s="66" t="n">
        <f aca="false">-G120*Inputs!$B$66/12*1*(1+Inputs!$B$69)*(1+Inputs!$B$70)^(G$7-1)</f>
        <v>-1586.66666666667</v>
      </c>
      <c r="H126" s="66" t="n">
        <f aca="false">-H120*Inputs!$B$66/12*1*(1+Inputs!$B$69)*(1+Inputs!$B$70)^(H$7-1)</f>
        <v>-1586.66666666667</v>
      </c>
      <c r="I126" s="66" t="n">
        <f aca="false">-I120*Inputs!$B$66/12*1*(1+Inputs!$B$69)*(1+Inputs!$B$70)^(I$7-1)</f>
        <v>-1586.66666666667</v>
      </c>
      <c r="J126" s="66" t="n">
        <f aca="false">-J120*Inputs!$B$66/12*1*(1+Inputs!$B$69)*(1+Inputs!$B$70)^(J$7-1)</f>
        <v>-1586.66666666667</v>
      </c>
      <c r="K126" s="66" t="n">
        <f aca="false">-K120*Inputs!$B$66/12*1*(1+Inputs!$B$69)*(1+Inputs!$B$70)^(K$7-1)</f>
        <v>-1586.66666666667</v>
      </c>
      <c r="L126" s="66" t="n">
        <f aca="false">-L120*Inputs!$B$66/12*1*(1+Inputs!$B$69)*(1+Inputs!$B$70)^(L$7-1)</f>
        <v>-1586.66666666667</v>
      </c>
      <c r="M126" s="66" t="n">
        <f aca="false">-M120*Inputs!$B$66/12*1*(1+Inputs!$B$69)*(1+Inputs!$B$70)^(M$7-1)</f>
        <v>-1586.66666666667</v>
      </c>
      <c r="N126" s="66" t="n">
        <f aca="false">-N120*Inputs!$B$66/12*1*(1+Inputs!$B$69)*(1+Inputs!$B$70)^(N$7-1)</f>
        <v>-1586.66666666667</v>
      </c>
      <c r="O126" s="66" t="n">
        <f aca="false">-O120*Inputs!$B$66/12*1*(1+Inputs!$B$69)*(1+Inputs!$B$70)^(O$7-1)</f>
        <v>-1634.26666666667</v>
      </c>
      <c r="P126" s="66" t="n">
        <f aca="false">-P120*Inputs!$B$66/12*1*(1+Inputs!$B$69)*(1+Inputs!$B$70)^(P$7-1)</f>
        <v>-1634.26666666667</v>
      </c>
      <c r="Q126" s="66" t="n">
        <f aca="false">-Q120*Inputs!$B$66/12*1*(1+Inputs!$B$69)*(1+Inputs!$B$70)^(Q$7-1)</f>
        <v>-1634.26666666667</v>
      </c>
      <c r="R126" s="66" t="n">
        <f aca="false">-R120*Inputs!$B$66/12*1*(1+Inputs!$B$69)*(1+Inputs!$B$70)^(R$7-1)</f>
        <v>-1634.26666666667</v>
      </c>
      <c r="S126" s="66" t="n">
        <f aca="false">-S120*Inputs!$B$66/12*1*(1+Inputs!$B$69)*(1+Inputs!$B$70)^(S$7-1)</f>
        <v>-1634.26666666667</v>
      </c>
      <c r="T126" s="66" t="n">
        <f aca="false">-T120*Inputs!$B$66/12*1*(1+Inputs!$B$69)*(1+Inputs!$B$70)^(T$7-1)</f>
        <v>-1634.26666666667</v>
      </c>
      <c r="U126" s="66" t="n">
        <f aca="false">-U120*Inputs!$B$66/12*1*(1+Inputs!$B$69)*(1+Inputs!$B$70)^(U$7-1)</f>
        <v>-1634.26666666667</v>
      </c>
      <c r="V126" s="66" t="n">
        <f aca="false">-V120*Inputs!$B$66/12*1*(1+Inputs!$B$69)*(1+Inputs!$B$70)^(V$7-1)</f>
        <v>-1634.26666666667</v>
      </c>
      <c r="W126" s="66" t="n">
        <f aca="false">-W120*Inputs!$B$66/12*1*(1+Inputs!$B$69)*(1+Inputs!$B$70)^(W$7-1)</f>
        <v>-1634.26666666667</v>
      </c>
      <c r="X126" s="66" t="n">
        <f aca="false">-X120*Inputs!$B$66/12*1*(1+Inputs!$B$69)*(1+Inputs!$B$70)^(X$7-1)</f>
        <v>-1634.26666666667</v>
      </c>
      <c r="Y126" s="66" t="n">
        <f aca="false">-Y120*Inputs!$B$66/12*1*(1+Inputs!$B$69)*(1+Inputs!$B$70)^(Y$7-1)</f>
        <v>-1634.26666666667</v>
      </c>
      <c r="Z126" s="66" t="n">
        <f aca="false">-Z120*Inputs!$B$66/12*1*(1+Inputs!$B$69)*(1+Inputs!$B$70)^(Z$7-1)</f>
        <v>-1634.26666666667</v>
      </c>
      <c r="AA126" s="66" t="n">
        <f aca="false">-AA120*Inputs!$B$66/12*1*(1+Inputs!$B$69)*(1+Inputs!$B$70)^(AA$7-1)</f>
        <v>-1683.29466666667</v>
      </c>
      <c r="AB126" s="66" t="n">
        <f aca="false">-AB120*Inputs!$B$66/12*1*(1+Inputs!$B$69)*(1+Inputs!$B$70)^(AB$7-1)</f>
        <v>-1683.29466666667</v>
      </c>
      <c r="AC126" s="66" t="n">
        <f aca="false">-AC120*Inputs!$B$66/12*1*(1+Inputs!$B$69)*(1+Inputs!$B$70)^(AC$7-1)</f>
        <v>-1683.29466666667</v>
      </c>
      <c r="AD126" s="66" t="n">
        <f aca="false">-AD120*Inputs!$B$66/12*1*(1+Inputs!$B$69)*(1+Inputs!$B$70)^(AD$7-1)</f>
        <v>-1683.29466666667</v>
      </c>
      <c r="AE126" s="66" t="n">
        <f aca="false">-AE120*Inputs!$B$66/12*1*(1+Inputs!$B$69)*(1+Inputs!$B$70)^(AE$7-1)</f>
        <v>-1683.29466666667</v>
      </c>
      <c r="AF126" s="66" t="n">
        <f aca="false">-AF120*Inputs!$B$66/12*1*(1+Inputs!$B$69)*(1+Inputs!$B$70)^(AF$7-1)</f>
        <v>-1683.29466666667</v>
      </c>
      <c r="AG126" s="66" t="n">
        <f aca="false">-AG120*Inputs!$B$66/12*1*(1+Inputs!$B$69)*(1+Inputs!$B$70)^(AG$7-1)</f>
        <v>-1683.29466666667</v>
      </c>
      <c r="AH126" s="66" t="n">
        <f aca="false">-AH120*Inputs!$B$66/12*1*(1+Inputs!$B$69)*(1+Inputs!$B$70)^(AH$7-1)</f>
        <v>-1683.29466666667</v>
      </c>
      <c r="AI126" s="66" t="n">
        <f aca="false">-AI120*Inputs!$B$66/12*1*(1+Inputs!$B$69)*(1+Inputs!$B$70)^(AI$7-1)</f>
        <v>-1683.29466666667</v>
      </c>
      <c r="AJ126" s="66" t="n">
        <f aca="false">-AJ120*Inputs!$B$66/12*1*(1+Inputs!$B$69)*(1+Inputs!$B$70)^(AJ$7-1)</f>
        <v>-1683.29466666667</v>
      </c>
      <c r="AK126" s="66" t="n">
        <f aca="false">-AK120*Inputs!$B$66/12*1*(1+Inputs!$B$69)*(1+Inputs!$B$70)^(AK$7-1)</f>
        <v>-1683.29466666667</v>
      </c>
      <c r="AL126" s="66" t="n">
        <f aca="false">-AL120*Inputs!$B$66/12*1*(1+Inputs!$B$69)*(1+Inputs!$B$70)^(AL$7-1)</f>
        <v>-1683.29466666667</v>
      </c>
      <c r="AM126" s="66" t="n">
        <f aca="false">-AM120*Inputs!$B$66/12*1*(1+Inputs!$B$69)*(1+Inputs!$B$70)^(AM$7-1)</f>
        <v>-1733.79350666667</v>
      </c>
      <c r="AN126" s="66" t="n">
        <f aca="false">-AN120*Inputs!$B$66/12*1*(1+Inputs!$B$69)*(1+Inputs!$B$70)^(AN$7-1)</f>
        <v>-1733.79350666667</v>
      </c>
      <c r="AO126" s="66" t="n">
        <f aca="false">-AO120*Inputs!$B$66/12*1*(1+Inputs!$B$69)*(1+Inputs!$B$70)^(AO$7-1)</f>
        <v>-1733.79350666667</v>
      </c>
      <c r="AP126" s="66" t="n">
        <f aca="false">-AP120*Inputs!$B$66/12*1*(1+Inputs!$B$69)*(1+Inputs!$B$70)^(AP$7-1)</f>
        <v>-1733.79350666667</v>
      </c>
      <c r="AQ126" s="66" t="n">
        <f aca="false">-AQ120*Inputs!$B$66/12*1*(1+Inputs!$B$69)*(1+Inputs!$B$70)^(AQ$7-1)</f>
        <v>-1733.79350666667</v>
      </c>
      <c r="AR126" s="66" t="n">
        <f aca="false">-AR120*Inputs!$B$66/12*1*(1+Inputs!$B$69)*(1+Inputs!$B$70)^(AR$7-1)</f>
        <v>-1733.79350666667</v>
      </c>
      <c r="AS126" s="66" t="n">
        <f aca="false">-AS120*Inputs!$B$66/12*1*(1+Inputs!$B$69)*(1+Inputs!$B$70)^(AS$7-1)</f>
        <v>-1733.79350666667</v>
      </c>
      <c r="AT126" s="66" t="n">
        <f aca="false">-AT120*Inputs!$B$66/12*1*(1+Inputs!$B$69)*(1+Inputs!$B$70)^(AT$7-1)</f>
        <v>-1733.79350666667</v>
      </c>
      <c r="AU126" s="66" t="n">
        <f aca="false">-AU120*Inputs!$B$66/12*1*(1+Inputs!$B$69)*(1+Inputs!$B$70)^(AU$7-1)</f>
        <v>-1733.79350666667</v>
      </c>
      <c r="AV126" s="66" t="n">
        <f aca="false">-AV120*Inputs!$B$66/12*1*(1+Inputs!$B$69)*(1+Inputs!$B$70)^(AV$7-1)</f>
        <v>-1733.79350666667</v>
      </c>
      <c r="AW126" s="66" t="n">
        <f aca="false">-AW120*Inputs!$B$66/12*1*(1+Inputs!$B$69)*(1+Inputs!$B$70)^(AW$7-1)</f>
        <v>-1733.79350666667</v>
      </c>
      <c r="AX126" s="66" t="n">
        <f aca="false">-AX120*Inputs!$B$66/12*1*(1+Inputs!$B$69)*(1+Inputs!$B$70)^(AX$7-1)</f>
        <v>-1733.79350666667</v>
      </c>
      <c r="AY126" s="66" t="n">
        <f aca="false">-AY120*Inputs!$B$66/12*1*(1+Inputs!$B$69)*(1+Inputs!$B$70)^(AY$7-1)</f>
        <v>-1785.80731186667</v>
      </c>
      <c r="AZ126" s="66" t="n">
        <f aca="false">-AZ120*Inputs!$B$66/12*1*(1+Inputs!$B$69)*(1+Inputs!$B$70)^(AZ$7-1)</f>
        <v>-1785.80731186667</v>
      </c>
      <c r="BA126" s="66" t="n">
        <f aca="false">-BA120*Inputs!$B$66/12*1*(1+Inputs!$B$69)*(1+Inputs!$B$70)^(BA$7-1)</f>
        <v>-1785.80731186667</v>
      </c>
      <c r="BB126" s="66" t="n">
        <f aca="false">-BB120*Inputs!$B$66/12*1*(1+Inputs!$B$69)*(1+Inputs!$B$70)^(BB$7-1)</f>
        <v>-1785.80731186667</v>
      </c>
      <c r="BC126" s="66" t="n">
        <f aca="false">-BC120*Inputs!$B$66/12*1*(1+Inputs!$B$69)*(1+Inputs!$B$70)^(BC$7-1)</f>
        <v>-1785.80731186667</v>
      </c>
      <c r="BD126" s="66" t="n">
        <f aca="false">-BD120*Inputs!$B$66/12*1*(1+Inputs!$B$69)*(1+Inputs!$B$70)^(BD$7-1)</f>
        <v>-1785.80731186667</v>
      </c>
      <c r="BE126" s="66" t="n">
        <f aca="false">-BE120*Inputs!$B$66/12*1*(1+Inputs!$B$69)*(1+Inputs!$B$70)^(BE$7-1)</f>
        <v>-1785.80731186667</v>
      </c>
      <c r="BF126" s="66" t="n">
        <f aca="false">-BF120*Inputs!$B$66/12*1*(1+Inputs!$B$69)*(1+Inputs!$B$70)^(BF$7-1)</f>
        <v>-1785.80731186667</v>
      </c>
      <c r="BG126" s="66" t="n">
        <f aca="false">-BG120*Inputs!$B$66/12*1*(1+Inputs!$B$69)*(1+Inputs!$B$70)^(BG$7-1)</f>
        <v>-1785.80731186667</v>
      </c>
      <c r="BH126" s="66" t="n">
        <f aca="false">-BH120*Inputs!$B$66/12*1*(1+Inputs!$B$69)*(1+Inputs!$B$70)^(BH$7-1)</f>
        <v>-1785.80731186667</v>
      </c>
      <c r="BI126" s="66" t="n">
        <f aca="false">-BI120*Inputs!$B$66/12*1*(1+Inputs!$B$69)*(1+Inputs!$B$70)^(BI$7-1)</f>
        <v>-1785.80731186667</v>
      </c>
      <c r="BJ126" s="66" t="n">
        <f aca="false">-BJ120*Inputs!$B$66/12*1*(1+Inputs!$B$69)*(1+Inputs!$B$70)^(BJ$7-1)</f>
        <v>-1785.80731186667</v>
      </c>
    </row>
    <row r="127" customFormat="false" ht="15" hidden="false" customHeight="false" outlineLevel="0" collapsed="false">
      <c r="A127" s="110" t="s">
        <v>472</v>
      </c>
      <c r="C127" s="67" t="n">
        <f aca="false">C124+C125+C126</f>
        <v>-9146.66666666667</v>
      </c>
      <c r="D127" s="67" t="n">
        <f aca="false">D124+D125+D126</f>
        <v>-9146.66666666667</v>
      </c>
      <c r="E127" s="67" t="n">
        <f aca="false">E124+E125+E126</f>
        <v>-9146.66666666667</v>
      </c>
      <c r="F127" s="67" t="n">
        <f aca="false">F124+F125+F126</f>
        <v>-9146.66666666667</v>
      </c>
      <c r="G127" s="67" t="n">
        <f aca="false">G124+G125+G126</f>
        <v>-9146.66666666667</v>
      </c>
      <c r="H127" s="67" t="n">
        <f aca="false">H124+H125+H126</f>
        <v>-9146.66666666667</v>
      </c>
      <c r="I127" s="67" t="n">
        <f aca="false">I124+I125+I126</f>
        <v>-9146.66666666667</v>
      </c>
      <c r="J127" s="67" t="n">
        <f aca="false">J124+J125+J126</f>
        <v>-9146.66666666667</v>
      </c>
      <c r="K127" s="67" t="n">
        <f aca="false">K124+K125+K126</f>
        <v>-9146.66666666667</v>
      </c>
      <c r="L127" s="67" t="n">
        <f aca="false">L124+L125+L126</f>
        <v>-9146.66666666667</v>
      </c>
      <c r="M127" s="67" t="n">
        <f aca="false">M124+M125+M126</f>
        <v>-9146.66666666667</v>
      </c>
      <c r="N127" s="67" t="n">
        <f aca="false">N124+N125+N126</f>
        <v>-9146.66666666667</v>
      </c>
      <c r="O127" s="67" t="n">
        <f aca="false">O124+O125+O126</f>
        <v>-9421.06666666667</v>
      </c>
      <c r="P127" s="67" t="n">
        <f aca="false">P124+P125+P126</f>
        <v>-9421.06666666667</v>
      </c>
      <c r="Q127" s="67" t="n">
        <f aca="false">Q124+Q125+Q126</f>
        <v>-9421.06666666667</v>
      </c>
      <c r="R127" s="67" t="n">
        <f aca="false">R124+R125+R126</f>
        <v>-9421.06666666667</v>
      </c>
      <c r="S127" s="67" t="n">
        <f aca="false">S124+S125+S126</f>
        <v>-9421.06666666667</v>
      </c>
      <c r="T127" s="67" t="n">
        <f aca="false">T124+T125+T126</f>
        <v>-9421.06666666667</v>
      </c>
      <c r="U127" s="67" t="n">
        <f aca="false">U124+U125+U126</f>
        <v>-9421.06666666667</v>
      </c>
      <c r="V127" s="67" t="n">
        <f aca="false">V124+V125+V126</f>
        <v>-9421.06666666667</v>
      </c>
      <c r="W127" s="67" t="n">
        <f aca="false">W124+W125+W126</f>
        <v>-9421.06666666667</v>
      </c>
      <c r="X127" s="67" t="n">
        <f aca="false">X124+X125+X126</f>
        <v>-9421.06666666667</v>
      </c>
      <c r="Y127" s="67" t="n">
        <f aca="false">Y124+Y125+Y126</f>
        <v>-9421.06666666667</v>
      </c>
      <c r="Z127" s="67" t="n">
        <f aca="false">Z124+Z125+Z126</f>
        <v>-9421.06666666667</v>
      </c>
      <c r="AA127" s="67" t="n">
        <f aca="false">AA124+AA125+AA126</f>
        <v>-9703.69866666667</v>
      </c>
      <c r="AB127" s="67" t="n">
        <f aca="false">AB124+AB125+AB126</f>
        <v>-9703.69866666667</v>
      </c>
      <c r="AC127" s="67" t="n">
        <f aca="false">AC124+AC125+AC126</f>
        <v>-9703.69866666667</v>
      </c>
      <c r="AD127" s="67" t="n">
        <f aca="false">AD124+AD125+AD126</f>
        <v>-9703.69866666667</v>
      </c>
      <c r="AE127" s="67" t="n">
        <f aca="false">AE124+AE125+AE126</f>
        <v>-9703.69866666667</v>
      </c>
      <c r="AF127" s="67" t="n">
        <f aca="false">AF124+AF125+AF126</f>
        <v>-9703.69866666667</v>
      </c>
      <c r="AG127" s="67" t="n">
        <f aca="false">AG124+AG125+AG126</f>
        <v>-9703.69866666667</v>
      </c>
      <c r="AH127" s="67" t="n">
        <f aca="false">AH124+AH125+AH126</f>
        <v>-9703.69866666667</v>
      </c>
      <c r="AI127" s="67" t="n">
        <f aca="false">AI124+AI125+AI126</f>
        <v>-9703.69866666667</v>
      </c>
      <c r="AJ127" s="67" t="n">
        <f aca="false">AJ124+AJ125+AJ126</f>
        <v>-9703.69866666667</v>
      </c>
      <c r="AK127" s="67" t="n">
        <f aca="false">AK124+AK125+AK126</f>
        <v>-9703.69866666667</v>
      </c>
      <c r="AL127" s="67" t="n">
        <f aca="false">AL124+AL125+AL126</f>
        <v>-9703.69866666667</v>
      </c>
      <c r="AM127" s="67" t="n">
        <f aca="false">AM124+AM125+AM126</f>
        <v>-9994.80962666667</v>
      </c>
      <c r="AN127" s="67" t="n">
        <f aca="false">AN124+AN125+AN126</f>
        <v>-9994.80962666667</v>
      </c>
      <c r="AO127" s="67" t="n">
        <f aca="false">AO124+AO125+AO126</f>
        <v>-9994.80962666667</v>
      </c>
      <c r="AP127" s="67" t="n">
        <f aca="false">AP124+AP125+AP126</f>
        <v>-9994.80962666667</v>
      </c>
      <c r="AQ127" s="67" t="n">
        <f aca="false">AQ124+AQ125+AQ126</f>
        <v>-9994.80962666667</v>
      </c>
      <c r="AR127" s="67" t="n">
        <f aca="false">AR124+AR125+AR126</f>
        <v>-9994.80962666667</v>
      </c>
      <c r="AS127" s="67" t="n">
        <f aca="false">AS124+AS125+AS126</f>
        <v>-9994.80962666667</v>
      </c>
      <c r="AT127" s="67" t="n">
        <f aca="false">AT124+AT125+AT126</f>
        <v>-9994.80962666667</v>
      </c>
      <c r="AU127" s="67" t="n">
        <f aca="false">AU124+AU125+AU126</f>
        <v>-9994.80962666667</v>
      </c>
      <c r="AV127" s="67" t="n">
        <f aca="false">AV124+AV125+AV126</f>
        <v>-9994.80962666667</v>
      </c>
      <c r="AW127" s="67" t="n">
        <f aca="false">AW124+AW125+AW126</f>
        <v>-9994.80962666667</v>
      </c>
      <c r="AX127" s="67" t="n">
        <f aca="false">AX124+AX125+AX126</f>
        <v>-9994.80962666667</v>
      </c>
      <c r="AY127" s="67" t="n">
        <f aca="false">AY124+AY125+AY126</f>
        <v>-10294.6539154667</v>
      </c>
      <c r="AZ127" s="67" t="n">
        <f aca="false">AZ124+AZ125+AZ126</f>
        <v>-10294.6539154667</v>
      </c>
      <c r="BA127" s="67" t="n">
        <f aca="false">BA124+BA125+BA126</f>
        <v>-10294.6539154667</v>
      </c>
      <c r="BB127" s="67" t="n">
        <f aca="false">BB124+BB125+BB126</f>
        <v>-10294.6539154667</v>
      </c>
      <c r="BC127" s="67" t="n">
        <f aca="false">BC124+BC125+BC126</f>
        <v>-10294.6539154667</v>
      </c>
      <c r="BD127" s="67" t="n">
        <f aca="false">BD124+BD125+BD126</f>
        <v>-10294.6539154667</v>
      </c>
      <c r="BE127" s="67" t="n">
        <f aca="false">BE124+BE125+BE126</f>
        <v>-10294.6539154667</v>
      </c>
      <c r="BF127" s="67" t="n">
        <f aca="false">BF124+BF125+BF126</f>
        <v>-10294.6539154667</v>
      </c>
      <c r="BG127" s="67" t="n">
        <f aca="false">BG124+BG125+BG126</f>
        <v>-10294.6539154667</v>
      </c>
      <c r="BH127" s="67" t="n">
        <f aca="false">BH124+BH125+BH126</f>
        <v>-10294.6539154667</v>
      </c>
      <c r="BI127" s="67" t="n">
        <f aca="false">BI124+BI125+BI126</f>
        <v>-10294.6539154667</v>
      </c>
      <c r="BJ127" s="67" t="n">
        <f aca="false">BJ124+BJ125+BJ126</f>
        <v>-10294.6539154667</v>
      </c>
    </row>
    <row r="130" customFormat="false" ht="15.75" hidden="false" customHeight="true" outlineLevel="0" collapsed="false">
      <c r="A130" s="7" t="s">
        <v>476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customFormat="false" ht="15" hidden="false" customHeight="false" outlineLevel="0" collapsed="false">
      <c r="A131" s="33" t="s">
        <v>355</v>
      </c>
      <c r="C131" s="51" t="s">
        <v>356</v>
      </c>
      <c r="D131" s="51" t="s">
        <v>357</v>
      </c>
      <c r="E131" s="51" t="s">
        <v>358</v>
      </c>
      <c r="F131" s="51" t="s">
        <v>359</v>
      </c>
      <c r="G131" s="51" t="s">
        <v>360</v>
      </c>
      <c r="H131" s="51" t="s">
        <v>361</v>
      </c>
      <c r="I131" s="51" t="s">
        <v>362</v>
      </c>
      <c r="J131" s="51" t="s">
        <v>363</v>
      </c>
      <c r="K131" s="51" t="s">
        <v>364</v>
      </c>
      <c r="L131" s="51" t="s">
        <v>365</v>
      </c>
      <c r="M131" s="51" t="s">
        <v>366</v>
      </c>
      <c r="N131" s="51" t="s">
        <v>367</v>
      </c>
      <c r="O131" s="51" t="s">
        <v>368</v>
      </c>
      <c r="P131" s="51" t="s">
        <v>369</v>
      </c>
      <c r="Q131" s="51" t="s">
        <v>370</v>
      </c>
      <c r="R131" s="51" t="s">
        <v>371</v>
      </c>
      <c r="S131" s="51" t="s">
        <v>372</v>
      </c>
      <c r="T131" s="51" t="s">
        <v>373</v>
      </c>
      <c r="U131" s="51" t="s">
        <v>374</v>
      </c>
      <c r="V131" s="51" t="s">
        <v>375</v>
      </c>
      <c r="W131" s="51" t="s">
        <v>376</v>
      </c>
      <c r="X131" s="51" t="s">
        <v>377</v>
      </c>
      <c r="Y131" s="51" t="s">
        <v>378</v>
      </c>
      <c r="Z131" s="51" t="s">
        <v>379</v>
      </c>
      <c r="AA131" s="51" t="s">
        <v>380</v>
      </c>
      <c r="AB131" s="51" t="s">
        <v>381</v>
      </c>
      <c r="AC131" s="51" t="s">
        <v>382</v>
      </c>
      <c r="AD131" s="51" t="s">
        <v>383</v>
      </c>
      <c r="AE131" s="51" t="s">
        <v>384</v>
      </c>
      <c r="AF131" s="51" t="s">
        <v>385</v>
      </c>
      <c r="AG131" s="51" t="s">
        <v>386</v>
      </c>
      <c r="AH131" s="51" t="s">
        <v>387</v>
      </c>
      <c r="AI131" s="51" t="s">
        <v>388</v>
      </c>
      <c r="AJ131" s="51" t="s">
        <v>389</v>
      </c>
      <c r="AK131" s="51" t="s">
        <v>390</v>
      </c>
      <c r="AL131" s="51" t="s">
        <v>391</v>
      </c>
      <c r="AM131" s="51" t="s">
        <v>392</v>
      </c>
      <c r="AN131" s="51" t="s">
        <v>393</v>
      </c>
      <c r="AO131" s="51" t="s">
        <v>394</v>
      </c>
      <c r="AP131" s="51" t="s">
        <v>395</v>
      </c>
      <c r="AQ131" s="51" t="s">
        <v>396</v>
      </c>
      <c r="AR131" s="51" t="s">
        <v>397</v>
      </c>
      <c r="AS131" s="51" t="s">
        <v>398</v>
      </c>
      <c r="AT131" s="51" t="s">
        <v>399</v>
      </c>
      <c r="AU131" s="51" t="s">
        <v>400</v>
      </c>
      <c r="AV131" s="51" t="s">
        <v>401</v>
      </c>
      <c r="AW131" s="51" t="s">
        <v>402</v>
      </c>
      <c r="AX131" s="51" t="s">
        <v>403</v>
      </c>
      <c r="AY131" s="51" t="s">
        <v>404</v>
      </c>
      <c r="AZ131" s="51" t="s">
        <v>405</v>
      </c>
      <c r="BA131" s="51" t="s">
        <v>406</v>
      </c>
      <c r="BB131" s="51" t="s">
        <v>407</v>
      </c>
      <c r="BC131" s="51" t="s">
        <v>408</v>
      </c>
      <c r="BD131" s="51" t="s">
        <v>409</v>
      </c>
      <c r="BE131" s="51" t="s">
        <v>410</v>
      </c>
      <c r="BF131" s="51" t="s">
        <v>411</v>
      </c>
      <c r="BG131" s="51" t="s">
        <v>412</v>
      </c>
      <c r="BH131" s="51" t="s">
        <v>413</v>
      </c>
      <c r="BI131" s="51" t="s">
        <v>414</v>
      </c>
      <c r="BJ131" s="51" t="s">
        <v>415</v>
      </c>
    </row>
    <row r="132" customFormat="false" ht="15" hidden="false" customHeight="false" outlineLevel="0" collapsed="false">
      <c r="A132" s="71" t="s">
        <v>416</v>
      </c>
      <c r="C132" s="71" t="n">
        <v>1</v>
      </c>
      <c r="D132" s="71" t="n">
        <v>2</v>
      </c>
      <c r="E132" s="71" t="n">
        <v>3</v>
      </c>
      <c r="F132" s="71" t="n">
        <v>4</v>
      </c>
      <c r="G132" s="71" t="n">
        <v>5</v>
      </c>
      <c r="H132" s="71" t="n">
        <v>6</v>
      </c>
      <c r="I132" s="71" t="n">
        <v>7</v>
      </c>
      <c r="J132" s="71" t="n">
        <v>8</v>
      </c>
      <c r="K132" s="71" t="n">
        <v>9</v>
      </c>
      <c r="L132" s="71" t="n">
        <v>10</v>
      </c>
      <c r="M132" s="71" t="n">
        <v>11</v>
      </c>
      <c r="N132" s="71" t="n">
        <v>12</v>
      </c>
      <c r="O132" s="71" t="n">
        <v>13</v>
      </c>
      <c r="P132" s="71" t="n">
        <v>14</v>
      </c>
      <c r="Q132" s="71" t="n">
        <v>15</v>
      </c>
      <c r="R132" s="71" t="n">
        <v>16</v>
      </c>
      <c r="S132" s="71" t="n">
        <v>17</v>
      </c>
      <c r="T132" s="71" t="n">
        <v>18</v>
      </c>
      <c r="U132" s="71" t="n">
        <v>19</v>
      </c>
      <c r="V132" s="71" t="n">
        <v>20</v>
      </c>
      <c r="W132" s="71" t="n">
        <v>21</v>
      </c>
      <c r="X132" s="71" t="n">
        <v>22</v>
      </c>
      <c r="Y132" s="71" t="n">
        <v>23</v>
      </c>
      <c r="Z132" s="71" t="n">
        <v>24</v>
      </c>
      <c r="AA132" s="71" t="n">
        <v>25</v>
      </c>
      <c r="AB132" s="71" t="n">
        <v>26</v>
      </c>
      <c r="AC132" s="71" t="n">
        <v>27</v>
      </c>
      <c r="AD132" s="71" t="n">
        <v>28</v>
      </c>
      <c r="AE132" s="71" t="n">
        <v>29</v>
      </c>
      <c r="AF132" s="71" t="n">
        <v>30</v>
      </c>
      <c r="AG132" s="71" t="n">
        <v>31</v>
      </c>
      <c r="AH132" s="71" t="n">
        <v>32</v>
      </c>
      <c r="AI132" s="71" t="n">
        <v>33</v>
      </c>
      <c r="AJ132" s="71" t="n">
        <v>34</v>
      </c>
      <c r="AK132" s="71" t="n">
        <v>35</v>
      </c>
      <c r="AL132" s="71" t="n">
        <v>36</v>
      </c>
      <c r="AM132" s="71" t="n">
        <v>37</v>
      </c>
      <c r="AN132" s="71" t="n">
        <v>38</v>
      </c>
      <c r="AO132" s="71" t="n">
        <v>39</v>
      </c>
      <c r="AP132" s="71" t="n">
        <v>40</v>
      </c>
      <c r="AQ132" s="71" t="n">
        <v>41</v>
      </c>
      <c r="AR132" s="71" t="n">
        <v>42</v>
      </c>
      <c r="AS132" s="71" t="n">
        <v>43</v>
      </c>
      <c r="AT132" s="71" t="n">
        <v>44</v>
      </c>
      <c r="AU132" s="71" t="n">
        <v>45</v>
      </c>
      <c r="AV132" s="71" t="n">
        <v>46</v>
      </c>
      <c r="AW132" s="71" t="n">
        <v>47</v>
      </c>
      <c r="AX132" s="71" t="n">
        <v>48</v>
      </c>
      <c r="AY132" s="71" t="n">
        <v>49</v>
      </c>
      <c r="AZ132" s="71" t="n">
        <v>50</v>
      </c>
      <c r="BA132" s="71" t="n">
        <v>51</v>
      </c>
      <c r="BB132" s="71" t="n">
        <v>52</v>
      </c>
      <c r="BC132" s="71" t="n">
        <v>53</v>
      </c>
      <c r="BD132" s="71" t="n">
        <v>54</v>
      </c>
      <c r="BE132" s="71" t="n">
        <v>55</v>
      </c>
      <c r="BF132" s="71" t="n">
        <v>56</v>
      </c>
      <c r="BG132" s="71" t="n">
        <v>57</v>
      </c>
      <c r="BH132" s="71" t="n">
        <v>58</v>
      </c>
      <c r="BI132" s="71" t="n">
        <v>59</v>
      </c>
      <c r="BJ132" s="71" t="n">
        <v>60</v>
      </c>
    </row>
    <row r="133" customFormat="false" ht="15" hidden="false" customHeight="false" outlineLevel="0" collapsed="false">
      <c r="A133" s="71" t="s">
        <v>153</v>
      </c>
      <c r="C133" s="71" t="n">
        <f aca="false">ROUNDUP(C132*1/12,0)</f>
        <v>1</v>
      </c>
      <c r="D133" s="71" t="n">
        <f aca="false">ROUNDUP(D132*1/12,0)</f>
        <v>1</v>
      </c>
      <c r="E133" s="71" t="n">
        <f aca="false">ROUNDUP(E132*1/12,0)</f>
        <v>1</v>
      </c>
      <c r="F133" s="71" t="n">
        <f aca="false">ROUNDUP(F132*1/12,0)</f>
        <v>1</v>
      </c>
      <c r="G133" s="71" t="n">
        <f aca="false">ROUNDUP(G132*1/12,0)</f>
        <v>1</v>
      </c>
      <c r="H133" s="71" t="n">
        <f aca="false">ROUNDUP(H132*1/12,0)</f>
        <v>1</v>
      </c>
      <c r="I133" s="71" t="n">
        <f aca="false">ROUNDUP(I132*1/12,0)</f>
        <v>1</v>
      </c>
      <c r="J133" s="71" t="n">
        <f aca="false">ROUNDUP(J132*1/12,0)</f>
        <v>1</v>
      </c>
      <c r="K133" s="71" t="n">
        <f aca="false">ROUNDUP(K132*1/12,0)</f>
        <v>1</v>
      </c>
      <c r="L133" s="71" t="n">
        <f aca="false">ROUNDUP(L132*1/12,0)</f>
        <v>1</v>
      </c>
      <c r="M133" s="71" t="n">
        <f aca="false">ROUNDUP(M132*1/12,0)</f>
        <v>1</v>
      </c>
      <c r="N133" s="71" t="n">
        <f aca="false">ROUNDUP(N132*1/12,0)</f>
        <v>1</v>
      </c>
      <c r="O133" s="71" t="n">
        <f aca="false">ROUNDUP(O132*1/12,0)</f>
        <v>2</v>
      </c>
      <c r="P133" s="71" t="n">
        <f aca="false">ROUNDUP(P132*1/12,0)</f>
        <v>2</v>
      </c>
      <c r="Q133" s="71" t="n">
        <f aca="false">ROUNDUP(Q132*1/12,0)</f>
        <v>2</v>
      </c>
      <c r="R133" s="71" t="n">
        <f aca="false">ROUNDUP(R132*1/12,0)</f>
        <v>2</v>
      </c>
      <c r="S133" s="71" t="n">
        <f aca="false">ROUNDUP(S132*1/12,0)</f>
        <v>2</v>
      </c>
      <c r="T133" s="71" t="n">
        <f aca="false">ROUNDUP(T132*1/12,0)</f>
        <v>2</v>
      </c>
      <c r="U133" s="71" t="n">
        <f aca="false">ROUNDUP(U132*1/12,0)</f>
        <v>2</v>
      </c>
      <c r="V133" s="71" t="n">
        <f aca="false">ROUNDUP(V132*1/12,0)</f>
        <v>2</v>
      </c>
      <c r="W133" s="71" t="n">
        <f aca="false">ROUNDUP(W132*1/12,0)</f>
        <v>2</v>
      </c>
      <c r="X133" s="71" t="n">
        <f aca="false">ROUNDUP(X132*1/12,0)</f>
        <v>2</v>
      </c>
      <c r="Y133" s="71" t="n">
        <f aca="false">ROUNDUP(Y132*1/12,0)</f>
        <v>2</v>
      </c>
      <c r="Z133" s="71" t="n">
        <f aca="false">ROUNDUP(Z132*1/12,0)</f>
        <v>2</v>
      </c>
      <c r="AA133" s="71" t="n">
        <f aca="false">ROUNDUP(AA132*1/12,0)</f>
        <v>3</v>
      </c>
      <c r="AB133" s="71" t="n">
        <f aca="false">ROUNDUP(AB132*1/12,0)</f>
        <v>3</v>
      </c>
      <c r="AC133" s="71" t="n">
        <f aca="false">ROUNDUP(AC132*1/12,0)</f>
        <v>3</v>
      </c>
      <c r="AD133" s="71" t="n">
        <f aca="false">ROUNDUP(AD132*1/12,0)</f>
        <v>3</v>
      </c>
      <c r="AE133" s="71" t="n">
        <f aca="false">ROUNDUP(AE132*1/12,0)</f>
        <v>3</v>
      </c>
      <c r="AF133" s="71" t="n">
        <f aca="false">ROUNDUP(AF132*1/12,0)</f>
        <v>3</v>
      </c>
      <c r="AG133" s="71" t="n">
        <f aca="false">ROUNDUP(AG132*1/12,0)</f>
        <v>3</v>
      </c>
      <c r="AH133" s="71" t="n">
        <f aca="false">ROUNDUP(AH132*1/12,0)</f>
        <v>3</v>
      </c>
      <c r="AI133" s="71" t="n">
        <f aca="false">ROUNDUP(AI132*1/12,0)</f>
        <v>3</v>
      </c>
      <c r="AJ133" s="71" t="n">
        <f aca="false">ROUNDUP(AJ132*1/12,0)</f>
        <v>3</v>
      </c>
      <c r="AK133" s="71" t="n">
        <f aca="false">ROUNDUP(AK132*1/12,0)</f>
        <v>3</v>
      </c>
      <c r="AL133" s="71" t="n">
        <f aca="false">ROUNDUP(AL132*1/12,0)</f>
        <v>3</v>
      </c>
      <c r="AM133" s="71" t="n">
        <f aca="false">ROUNDUP(AM132*1/12,0)</f>
        <v>4</v>
      </c>
      <c r="AN133" s="71" t="n">
        <f aca="false">ROUNDUP(AN132*1/12,0)</f>
        <v>4</v>
      </c>
      <c r="AO133" s="71" t="n">
        <f aca="false">ROUNDUP(AO132*1/12,0)</f>
        <v>4</v>
      </c>
      <c r="AP133" s="71" t="n">
        <f aca="false">ROUNDUP(AP132*1/12,0)</f>
        <v>4</v>
      </c>
      <c r="AQ133" s="71" t="n">
        <f aca="false">ROUNDUP(AQ132*1/12,0)</f>
        <v>4</v>
      </c>
      <c r="AR133" s="71" t="n">
        <f aca="false">ROUNDUP(AR132*1/12,0)</f>
        <v>4</v>
      </c>
      <c r="AS133" s="71" t="n">
        <f aca="false">ROUNDUP(AS132*1/12,0)</f>
        <v>4</v>
      </c>
      <c r="AT133" s="71" t="n">
        <f aca="false">ROUNDUP(AT132*1/12,0)</f>
        <v>4</v>
      </c>
      <c r="AU133" s="71" t="n">
        <f aca="false">ROUNDUP(AU132*1/12,0)</f>
        <v>4</v>
      </c>
      <c r="AV133" s="71" t="n">
        <f aca="false">ROUNDUP(AV132*1/12,0)</f>
        <v>4</v>
      </c>
      <c r="AW133" s="71" t="n">
        <f aca="false">ROUNDUP(AW132*1/12,0)</f>
        <v>4</v>
      </c>
      <c r="AX133" s="71" t="n">
        <f aca="false">ROUNDUP(AX132*1/12,0)</f>
        <v>4</v>
      </c>
      <c r="AY133" s="71" t="n">
        <f aca="false">ROUNDUP(AY132*1/12,0)</f>
        <v>5</v>
      </c>
      <c r="AZ133" s="71" t="n">
        <f aca="false">ROUNDUP(AZ132*1/12,0)</f>
        <v>5</v>
      </c>
      <c r="BA133" s="71" t="n">
        <f aca="false">ROUNDUP(BA132*1/12,0)</f>
        <v>5</v>
      </c>
      <c r="BB133" s="71" t="n">
        <f aca="false">ROUNDUP(BB132*1/12,0)</f>
        <v>5</v>
      </c>
      <c r="BC133" s="71" t="n">
        <f aca="false">ROUNDUP(BC132*1/12,0)</f>
        <v>5</v>
      </c>
      <c r="BD133" s="71" t="n">
        <f aca="false">ROUNDUP(BD132*1/12,0)</f>
        <v>5</v>
      </c>
      <c r="BE133" s="71" t="n">
        <f aca="false">ROUNDUP(BE132*1/12,0)</f>
        <v>5</v>
      </c>
      <c r="BF133" s="71" t="n">
        <f aca="false">ROUNDUP(BF132*1/12,0)</f>
        <v>5</v>
      </c>
      <c r="BG133" s="71" t="n">
        <f aca="false">ROUNDUP(BG132*1/12,0)</f>
        <v>5</v>
      </c>
      <c r="BH133" s="71" t="n">
        <f aca="false">ROUNDUP(BH132*1/12,0)</f>
        <v>5</v>
      </c>
      <c r="BI133" s="71" t="n">
        <f aca="false">ROUNDUP(BI132*1/12,0)</f>
        <v>5</v>
      </c>
      <c r="BJ133" s="71" t="n">
        <f aca="false">ROUNDUP(BJ132*1/12,0)</f>
        <v>5</v>
      </c>
    </row>
    <row r="135" customFormat="false" ht="15.75" hidden="false" customHeight="true" outlineLevel="0" collapsed="false">
      <c r="A135" s="7" t="s">
        <v>248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6" t="s">
        <v>417</v>
      </c>
      <c r="C136" s="113" t="n">
        <f aca="false">Inputs!$C$7+Inputs!$C$8*(C$133-1)</f>
        <v>60</v>
      </c>
      <c r="D136" s="113" t="n">
        <f aca="false">Inputs!$C$7+Inputs!$C$8*(D$133-1)</f>
        <v>60</v>
      </c>
      <c r="E136" s="113" t="n">
        <f aca="false">Inputs!$C$7+Inputs!$C$8*(E$133-1)</f>
        <v>60</v>
      </c>
      <c r="F136" s="113" t="n">
        <f aca="false">Inputs!$C$7+Inputs!$C$8*(F$133-1)</f>
        <v>60</v>
      </c>
      <c r="G136" s="113" t="n">
        <f aca="false">Inputs!$C$7+Inputs!$C$8*(G$133-1)</f>
        <v>60</v>
      </c>
      <c r="H136" s="113" t="n">
        <f aca="false">Inputs!$C$7+Inputs!$C$8*(H$133-1)</f>
        <v>60</v>
      </c>
      <c r="I136" s="113" t="n">
        <f aca="false">Inputs!$C$7+Inputs!$C$8*(I$133-1)</f>
        <v>60</v>
      </c>
      <c r="J136" s="113" t="n">
        <f aca="false">Inputs!$C$7+Inputs!$C$8*(J$133-1)</f>
        <v>60</v>
      </c>
      <c r="K136" s="113" t="n">
        <f aca="false">Inputs!$C$7+Inputs!$C$8*(K$133-1)</f>
        <v>60</v>
      </c>
      <c r="L136" s="113" t="n">
        <f aca="false">Inputs!$C$7+Inputs!$C$8*(L$133-1)</f>
        <v>60</v>
      </c>
      <c r="M136" s="113" t="n">
        <f aca="false">Inputs!$C$7+Inputs!$C$8*(M$133-1)</f>
        <v>60</v>
      </c>
      <c r="N136" s="113" t="n">
        <f aca="false">Inputs!$C$7+Inputs!$C$8*(N$133-1)</f>
        <v>60</v>
      </c>
      <c r="O136" s="113" t="n">
        <f aca="false">Inputs!$C$7+Inputs!$C$8*(O$133-1)</f>
        <v>60</v>
      </c>
      <c r="P136" s="113" t="n">
        <f aca="false">Inputs!$C$7+Inputs!$C$8*(P$133-1)</f>
        <v>60</v>
      </c>
      <c r="Q136" s="113" t="n">
        <f aca="false">Inputs!$C$7+Inputs!$C$8*(Q$133-1)</f>
        <v>60</v>
      </c>
      <c r="R136" s="113" t="n">
        <f aca="false">Inputs!$C$7+Inputs!$C$8*(R$133-1)</f>
        <v>60</v>
      </c>
      <c r="S136" s="113" t="n">
        <f aca="false">Inputs!$C$7+Inputs!$C$8*(S$133-1)</f>
        <v>60</v>
      </c>
      <c r="T136" s="113" t="n">
        <f aca="false">Inputs!$C$7+Inputs!$C$8*(T$133-1)</f>
        <v>60</v>
      </c>
      <c r="U136" s="113" t="n">
        <f aca="false">Inputs!$C$7+Inputs!$C$8*(U$133-1)</f>
        <v>60</v>
      </c>
      <c r="V136" s="113" t="n">
        <f aca="false">Inputs!$C$7+Inputs!$C$8*(V$133-1)</f>
        <v>60</v>
      </c>
      <c r="W136" s="113" t="n">
        <f aca="false">Inputs!$C$7+Inputs!$C$8*(W$133-1)</f>
        <v>60</v>
      </c>
      <c r="X136" s="113" t="n">
        <f aca="false">Inputs!$C$7+Inputs!$C$8*(X$133-1)</f>
        <v>60</v>
      </c>
      <c r="Y136" s="113" t="n">
        <f aca="false">Inputs!$C$7+Inputs!$C$8*(Y$133-1)</f>
        <v>60</v>
      </c>
      <c r="Z136" s="113" t="n">
        <f aca="false">Inputs!$C$7+Inputs!$C$8*(Z$133-1)</f>
        <v>60</v>
      </c>
      <c r="AA136" s="113" t="n">
        <f aca="false">Inputs!$C$7+Inputs!$C$8*(AA$133-1)</f>
        <v>60</v>
      </c>
      <c r="AB136" s="113" t="n">
        <f aca="false">Inputs!$C$7+Inputs!$C$8*(AB$133-1)</f>
        <v>60</v>
      </c>
      <c r="AC136" s="113" t="n">
        <f aca="false">Inputs!$C$7+Inputs!$C$8*(AC$133-1)</f>
        <v>60</v>
      </c>
      <c r="AD136" s="113" t="n">
        <f aca="false">Inputs!$C$7+Inputs!$C$8*(AD$133-1)</f>
        <v>60</v>
      </c>
      <c r="AE136" s="113" t="n">
        <f aca="false">Inputs!$C$7+Inputs!$C$8*(AE$133-1)</f>
        <v>60</v>
      </c>
      <c r="AF136" s="113" t="n">
        <f aca="false">Inputs!$C$7+Inputs!$C$8*(AF$133-1)</f>
        <v>60</v>
      </c>
      <c r="AG136" s="113" t="n">
        <f aca="false">Inputs!$C$7+Inputs!$C$8*(AG$133-1)</f>
        <v>60</v>
      </c>
      <c r="AH136" s="113" t="n">
        <f aca="false">Inputs!$C$7+Inputs!$C$8*(AH$133-1)</f>
        <v>60</v>
      </c>
      <c r="AI136" s="113" t="n">
        <f aca="false">Inputs!$C$7+Inputs!$C$8*(AI$133-1)</f>
        <v>60</v>
      </c>
      <c r="AJ136" s="113" t="n">
        <f aca="false">Inputs!$C$7+Inputs!$C$8*(AJ$133-1)</f>
        <v>60</v>
      </c>
      <c r="AK136" s="113" t="n">
        <f aca="false">Inputs!$C$7+Inputs!$C$8*(AK$133-1)</f>
        <v>60</v>
      </c>
      <c r="AL136" s="113" t="n">
        <f aca="false">Inputs!$C$7+Inputs!$C$8*(AL$133-1)</f>
        <v>60</v>
      </c>
      <c r="AM136" s="113" t="n">
        <f aca="false">Inputs!$C$7+Inputs!$C$8*(AM$133-1)</f>
        <v>60</v>
      </c>
      <c r="AN136" s="113" t="n">
        <f aca="false">Inputs!$C$7+Inputs!$C$8*(AN$133-1)</f>
        <v>60</v>
      </c>
      <c r="AO136" s="113" t="n">
        <f aca="false">Inputs!$C$7+Inputs!$C$8*(AO$133-1)</f>
        <v>60</v>
      </c>
      <c r="AP136" s="113" t="n">
        <f aca="false">Inputs!$C$7+Inputs!$C$8*(AP$133-1)</f>
        <v>60</v>
      </c>
      <c r="AQ136" s="113" t="n">
        <f aca="false">Inputs!$C$7+Inputs!$C$8*(AQ$133-1)</f>
        <v>60</v>
      </c>
      <c r="AR136" s="113" t="n">
        <f aca="false">Inputs!$C$7+Inputs!$C$8*(AR$133-1)</f>
        <v>60</v>
      </c>
      <c r="AS136" s="113" t="n">
        <f aca="false">Inputs!$C$7+Inputs!$C$8*(AS$133-1)</f>
        <v>60</v>
      </c>
      <c r="AT136" s="113" t="n">
        <f aca="false">Inputs!$C$7+Inputs!$C$8*(AT$133-1)</f>
        <v>60</v>
      </c>
      <c r="AU136" s="113" t="n">
        <f aca="false">Inputs!$C$7+Inputs!$C$8*(AU$133-1)</f>
        <v>60</v>
      </c>
      <c r="AV136" s="113" t="n">
        <f aca="false">Inputs!$C$7+Inputs!$C$8*(AV$133-1)</f>
        <v>60</v>
      </c>
      <c r="AW136" s="113" t="n">
        <f aca="false">Inputs!$C$7+Inputs!$C$8*(AW$133-1)</f>
        <v>60</v>
      </c>
      <c r="AX136" s="113" t="n">
        <f aca="false">Inputs!$C$7+Inputs!$C$8*(AX$133-1)</f>
        <v>60</v>
      </c>
      <c r="AY136" s="113" t="n">
        <f aca="false">Inputs!$C$7+Inputs!$C$8*(AY$133-1)</f>
        <v>60</v>
      </c>
      <c r="AZ136" s="113" t="n">
        <f aca="false">Inputs!$C$7+Inputs!$C$8*(AZ$133-1)</f>
        <v>60</v>
      </c>
      <c r="BA136" s="113" t="n">
        <f aca="false">Inputs!$C$7+Inputs!$C$8*(BA$133-1)</f>
        <v>60</v>
      </c>
      <c r="BB136" s="113" t="n">
        <f aca="false">Inputs!$C$7+Inputs!$C$8*(BB$133-1)</f>
        <v>60</v>
      </c>
      <c r="BC136" s="113" t="n">
        <f aca="false">Inputs!$C$7+Inputs!$C$8*(BC$133-1)</f>
        <v>60</v>
      </c>
      <c r="BD136" s="113" t="n">
        <f aca="false">Inputs!$C$7+Inputs!$C$8*(BD$133-1)</f>
        <v>60</v>
      </c>
      <c r="BE136" s="113" t="n">
        <f aca="false">Inputs!$C$7+Inputs!$C$8*(BE$133-1)</f>
        <v>60</v>
      </c>
      <c r="BF136" s="113" t="n">
        <f aca="false">Inputs!$C$7+Inputs!$C$8*(BF$133-1)</f>
        <v>60</v>
      </c>
      <c r="BG136" s="113" t="n">
        <f aca="false">Inputs!$C$7+Inputs!$C$8*(BG$133-1)</f>
        <v>60</v>
      </c>
      <c r="BH136" s="113" t="n">
        <f aca="false">Inputs!$C$7+Inputs!$C$8*(BH$133-1)</f>
        <v>60</v>
      </c>
      <c r="BI136" s="113" t="n">
        <f aca="false">Inputs!$C$7+Inputs!$C$8*(BI$133-1)</f>
        <v>60</v>
      </c>
      <c r="BJ136" s="113" t="n">
        <f aca="false">Inputs!$C$7+Inputs!$C$8*(BJ$133-1)</f>
        <v>60</v>
      </c>
    </row>
    <row r="137" customFormat="false" ht="15" hidden="false" customHeight="false" outlineLevel="0" collapsed="false">
      <c r="A137" s="38" t="s">
        <v>418</v>
      </c>
      <c r="C137" s="73" t="n">
        <f aca="false">MIN(Inputs!$C$11,Inputs!$C$10)</f>
        <v>0.2</v>
      </c>
      <c r="D137" s="73" t="n">
        <f aca="false">MIN(Inputs!$C$11,Inputs!$C$10)</f>
        <v>0.2</v>
      </c>
      <c r="E137" s="73" t="n">
        <f aca="false">MIN(Inputs!$C$11,Inputs!$C$10)</f>
        <v>0.2</v>
      </c>
      <c r="F137" s="73" t="n">
        <f aca="false">MIN(Inputs!$C$11,Inputs!$C$10)</f>
        <v>0.2</v>
      </c>
      <c r="G137" s="73" t="n">
        <f aca="false">MIN(Inputs!$C$11,Inputs!$C$10)</f>
        <v>0.2</v>
      </c>
      <c r="H137" s="73" t="n">
        <f aca="false">MIN(Inputs!$C$11,Inputs!$C$10)</f>
        <v>0.2</v>
      </c>
      <c r="I137" s="73" t="n">
        <f aca="false">MIN(Inputs!$C$11,Inputs!$C$10)</f>
        <v>0.2</v>
      </c>
      <c r="J137" s="73" t="n">
        <f aca="false">MIN(Inputs!$C$11,Inputs!$C$10)</f>
        <v>0.2</v>
      </c>
      <c r="K137" s="73" t="n">
        <f aca="false">MIN(Inputs!$C$11,Inputs!$C$10)</f>
        <v>0.2</v>
      </c>
      <c r="L137" s="73" t="n">
        <f aca="false">MIN(Inputs!$C$11,Inputs!$C$10)</f>
        <v>0.2</v>
      </c>
      <c r="M137" s="73" t="n">
        <f aca="false">MIN(Inputs!$C$11,Inputs!$C$10)</f>
        <v>0.2</v>
      </c>
      <c r="N137" s="73" t="n">
        <f aca="false">MIN(Inputs!$C$11,Inputs!$C$10)</f>
        <v>0.2</v>
      </c>
      <c r="O137" s="73" t="n">
        <f aca="false">MIN(Inputs!$C$11,Inputs!$C$10)</f>
        <v>0.2</v>
      </c>
      <c r="P137" s="73" t="n">
        <f aca="false">MIN(Inputs!$C$11,Inputs!$C$10)</f>
        <v>0.2</v>
      </c>
      <c r="Q137" s="73" t="n">
        <f aca="false">MIN(Inputs!$C$11,Inputs!$C$10)</f>
        <v>0.2</v>
      </c>
      <c r="R137" s="73" t="n">
        <f aca="false">MIN(Inputs!$C$11,Inputs!$C$10)</f>
        <v>0.2</v>
      </c>
      <c r="S137" s="73" t="n">
        <f aca="false">MIN(Inputs!$C$11,Inputs!$C$10)</f>
        <v>0.2</v>
      </c>
      <c r="T137" s="73" t="n">
        <f aca="false">MIN(Inputs!$C$11,Inputs!$C$10)</f>
        <v>0.2</v>
      </c>
      <c r="U137" s="73" t="n">
        <f aca="false">MIN(Inputs!$C$11,Inputs!$C$10)</f>
        <v>0.2</v>
      </c>
      <c r="V137" s="73" t="n">
        <f aca="false">MIN(Inputs!$C$11,Inputs!$C$10)</f>
        <v>0.2</v>
      </c>
      <c r="W137" s="73" t="n">
        <f aca="false">MIN(Inputs!$C$11,Inputs!$C$10)</f>
        <v>0.2</v>
      </c>
      <c r="X137" s="73" t="n">
        <f aca="false">MIN(Inputs!$C$11,Inputs!$C$10)</f>
        <v>0.2</v>
      </c>
      <c r="Y137" s="73" t="n">
        <f aca="false">MIN(Inputs!$C$11,Inputs!$C$10)</f>
        <v>0.2</v>
      </c>
      <c r="Z137" s="73" t="n">
        <f aca="false">MIN(Inputs!$C$11,Inputs!$C$10)</f>
        <v>0.2</v>
      </c>
      <c r="AA137" s="73" t="n">
        <f aca="false">MIN(Inputs!$C$11,Inputs!$C$10)</f>
        <v>0.2</v>
      </c>
      <c r="AB137" s="73" t="n">
        <f aca="false">MIN(Inputs!$C$11,Inputs!$C$10)</f>
        <v>0.2</v>
      </c>
      <c r="AC137" s="73" t="n">
        <f aca="false">MIN(Inputs!$C$11,Inputs!$C$10)</f>
        <v>0.2</v>
      </c>
      <c r="AD137" s="73" t="n">
        <f aca="false">MIN(Inputs!$C$11,Inputs!$C$10)</f>
        <v>0.2</v>
      </c>
      <c r="AE137" s="73" t="n">
        <f aca="false">MIN(Inputs!$C$11,Inputs!$C$10)</f>
        <v>0.2</v>
      </c>
      <c r="AF137" s="73" t="n">
        <f aca="false">MIN(Inputs!$C$11,Inputs!$C$10)</f>
        <v>0.2</v>
      </c>
      <c r="AG137" s="73" t="n">
        <f aca="false">MIN(Inputs!$C$11,Inputs!$C$10)</f>
        <v>0.2</v>
      </c>
      <c r="AH137" s="73" t="n">
        <f aca="false">MIN(Inputs!$C$11,Inputs!$C$10)</f>
        <v>0.2</v>
      </c>
      <c r="AI137" s="73" t="n">
        <f aca="false">MIN(Inputs!$C$11,Inputs!$C$10)</f>
        <v>0.2</v>
      </c>
      <c r="AJ137" s="73" t="n">
        <f aca="false">MIN(Inputs!$C$11,Inputs!$C$10)</f>
        <v>0.2</v>
      </c>
      <c r="AK137" s="73" t="n">
        <f aca="false">MIN(Inputs!$C$11,Inputs!$C$10)</f>
        <v>0.2</v>
      </c>
      <c r="AL137" s="73" t="n">
        <f aca="false">MIN(Inputs!$C$11,Inputs!$C$10)</f>
        <v>0.2</v>
      </c>
      <c r="AM137" s="73" t="n">
        <f aca="false">MIN(Inputs!$C$11,Inputs!$C$10)</f>
        <v>0.2</v>
      </c>
      <c r="AN137" s="73" t="n">
        <f aca="false">MIN(Inputs!$C$11,Inputs!$C$10)</f>
        <v>0.2</v>
      </c>
      <c r="AO137" s="73" t="n">
        <f aca="false">MIN(Inputs!$C$11,Inputs!$C$10)</f>
        <v>0.2</v>
      </c>
      <c r="AP137" s="73" t="n">
        <f aca="false">MIN(Inputs!$C$11,Inputs!$C$10)</f>
        <v>0.2</v>
      </c>
      <c r="AQ137" s="73" t="n">
        <f aca="false">MIN(Inputs!$C$11,Inputs!$C$10)</f>
        <v>0.2</v>
      </c>
      <c r="AR137" s="73" t="n">
        <f aca="false">MIN(Inputs!$C$11,Inputs!$C$10)</f>
        <v>0.2</v>
      </c>
      <c r="AS137" s="73" t="n">
        <f aca="false">MIN(Inputs!$C$11,Inputs!$C$10)</f>
        <v>0.2</v>
      </c>
      <c r="AT137" s="73" t="n">
        <f aca="false">MIN(Inputs!$C$11,Inputs!$C$10)</f>
        <v>0.2</v>
      </c>
      <c r="AU137" s="73" t="n">
        <f aca="false">MIN(Inputs!$C$11,Inputs!$C$10)</f>
        <v>0.2</v>
      </c>
      <c r="AV137" s="73" t="n">
        <f aca="false">MIN(Inputs!$C$11,Inputs!$C$10)</f>
        <v>0.2</v>
      </c>
      <c r="AW137" s="73" t="n">
        <f aca="false">MIN(Inputs!$C$11,Inputs!$C$10)</f>
        <v>0.2</v>
      </c>
      <c r="AX137" s="73" t="n">
        <f aca="false">MIN(Inputs!$C$11,Inputs!$C$10)</f>
        <v>0.2</v>
      </c>
      <c r="AY137" s="73" t="n">
        <f aca="false">MIN(Inputs!$C$11,Inputs!$C$10)</f>
        <v>0.2</v>
      </c>
      <c r="AZ137" s="73" t="n">
        <f aca="false">MIN(Inputs!$C$11,Inputs!$C$10)</f>
        <v>0.2</v>
      </c>
      <c r="BA137" s="73" t="n">
        <f aca="false">MIN(Inputs!$C$11,Inputs!$C$10)</f>
        <v>0.2</v>
      </c>
      <c r="BB137" s="73" t="n">
        <f aca="false">MIN(Inputs!$C$11,Inputs!$C$10)</f>
        <v>0.2</v>
      </c>
      <c r="BC137" s="73" t="n">
        <f aca="false">MIN(Inputs!$C$11,Inputs!$C$10)</f>
        <v>0.2</v>
      </c>
      <c r="BD137" s="73" t="n">
        <f aca="false">MIN(Inputs!$C$11,Inputs!$C$10)</f>
        <v>0.2</v>
      </c>
      <c r="BE137" s="73" t="n">
        <f aca="false">MIN(Inputs!$C$11,Inputs!$C$10)</f>
        <v>0.2</v>
      </c>
      <c r="BF137" s="73" t="n">
        <f aca="false">MIN(Inputs!$C$11,Inputs!$C$10)</f>
        <v>0.2</v>
      </c>
      <c r="BG137" s="73" t="n">
        <f aca="false">MIN(Inputs!$C$11,Inputs!$C$10)</f>
        <v>0.2</v>
      </c>
      <c r="BH137" s="73" t="n">
        <f aca="false">MIN(Inputs!$C$11,Inputs!$C$10)</f>
        <v>0.2</v>
      </c>
      <c r="BI137" s="73" t="n">
        <f aca="false">MIN(Inputs!$C$11,Inputs!$C$10)</f>
        <v>0.2</v>
      </c>
      <c r="BJ137" s="73" t="n">
        <f aca="false">MIN(Inputs!$C$11,Inputs!$C$10)</f>
        <v>0.2</v>
      </c>
    </row>
    <row r="138" customFormat="false" ht="15" hidden="false" customHeight="false" outlineLevel="0" collapsed="false">
      <c r="A138" s="114" t="s">
        <v>419</v>
      </c>
      <c r="C138" s="115" t="n">
        <f aca="false">MAX(0,MIN(1,Inputs!$C$12-(C$132-1)*1))</f>
        <v>1</v>
      </c>
      <c r="D138" s="115" t="n">
        <f aca="false">MAX(0,MIN(1,Inputs!$C$12-(D$132-1)*1))</f>
        <v>1</v>
      </c>
      <c r="E138" s="115" t="n">
        <f aca="false">MAX(0,MIN(1,Inputs!$C$12-(E$132-1)*1))</f>
        <v>1</v>
      </c>
      <c r="F138" s="115" t="n">
        <f aca="false">MAX(0,MIN(1,Inputs!$C$12-(F$132-1)*1))</f>
        <v>1</v>
      </c>
      <c r="G138" s="115" t="n">
        <f aca="false">MAX(0,MIN(1,Inputs!$C$12-(G$132-1)*1))</f>
        <v>1</v>
      </c>
      <c r="H138" s="115" t="n">
        <f aca="false">MAX(0,MIN(1,Inputs!$C$12-(H$132-1)*1))</f>
        <v>1</v>
      </c>
      <c r="I138" s="115" t="n">
        <f aca="false">MAX(0,MIN(1,Inputs!$C$12-(I$132-1)*1))</f>
        <v>1</v>
      </c>
      <c r="J138" s="115" t="n">
        <f aca="false">MAX(0,MIN(1,Inputs!$C$12-(J$132-1)*1))</f>
        <v>1</v>
      </c>
      <c r="K138" s="115" t="n">
        <f aca="false">MAX(0,MIN(1,Inputs!$C$12-(K$132-1)*1))</f>
        <v>1</v>
      </c>
      <c r="L138" s="115" t="n">
        <f aca="false">MAX(0,MIN(1,Inputs!$C$12-(L$132-1)*1))</f>
        <v>1</v>
      </c>
      <c r="M138" s="115" t="n">
        <f aca="false">MAX(0,MIN(1,Inputs!$C$12-(M$132-1)*1))</f>
        <v>1</v>
      </c>
      <c r="N138" s="115" t="n">
        <f aca="false">MAX(0,MIN(1,Inputs!$C$12-(N$132-1)*1))</f>
        <v>1</v>
      </c>
      <c r="O138" s="115" t="n">
        <f aca="false">MAX(0,MIN(1,Inputs!$C$12-(O$132-1)*1))</f>
        <v>0</v>
      </c>
      <c r="P138" s="115" t="n">
        <f aca="false">MAX(0,MIN(1,Inputs!$C$12-(P$132-1)*1))</f>
        <v>0</v>
      </c>
      <c r="Q138" s="115" t="n">
        <f aca="false">MAX(0,MIN(1,Inputs!$C$12-(Q$132-1)*1))</f>
        <v>0</v>
      </c>
      <c r="R138" s="115" t="n">
        <f aca="false">MAX(0,MIN(1,Inputs!$C$12-(R$132-1)*1))</f>
        <v>0</v>
      </c>
      <c r="S138" s="115" t="n">
        <f aca="false">MAX(0,MIN(1,Inputs!$C$12-(S$132-1)*1))</f>
        <v>0</v>
      </c>
      <c r="T138" s="115" t="n">
        <f aca="false">MAX(0,MIN(1,Inputs!$C$12-(T$132-1)*1))</f>
        <v>0</v>
      </c>
      <c r="U138" s="115" t="n">
        <f aca="false">MAX(0,MIN(1,Inputs!$C$12-(U$132-1)*1))</f>
        <v>0</v>
      </c>
      <c r="V138" s="115" t="n">
        <f aca="false">MAX(0,MIN(1,Inputs!$C$12-(V$132-1)*1))</f>
        <v>0</v>
      </c>
      <c r="W138" s="115" t="n">
        <f aca="false">MAX(0,MIN(1,Inputs!$C$12-(W$132-1)*1))</f>
        <v>0</v>
      </c>
      <c r="X138" s="115" t="n">
        <f aca="false">MAX(0,MIN(1,Inputs!$C$12-(X$132-1)*1))</f>
        <v>0</v>
      </c>
      <c r="Y138" s="115" t="n">
        <f aca="false">MAX(0,MIN(1,Inputs!$C$12-(Y$132-1)*1))</f>
        <v>0</v>
      </c>
      <c r="Z138" s="115" t="n">
        <f aca="false">MAX(0,MIN(1,Inputs!$C$12-(Z$132-1)*1))</f>
        <v>0</v>
      </c>
      <c r="AA138" s="115" t="n">
        <f aca="false">MAX(0,MIN(1,Inputs!$C$12-(AA$132-1)*1))</f>
        <v>0</v>
      </c>
      <c r="AB138" s="115" t="n">
        <f aca="false">MAX(0,MIN(1,Inputs!$C$12-(AB$132-1)*1))</f>
        <v>0</v>
      </c>
      <c r="AC138" s="115" t="n">
        <f aca="false">MAX(0,MIN(1,Inputs!$C$12-(AC$132-1)*1))</f>
        <v>0</v>
      </c>
      <c r="AD138" s="115" t="n">
        <f aca="false">MAX(0,MIN(1,Inputs!$C$12-(AD$132-1)*1))</f>
        <v>0</v>
      </c>
      <c r="AE138" s="115" t="n">
        <f aca="false">MAX(0,MIN(1,Inputs!$C$12-(AE$132-1)*1))</f>
        <v>0</v>
      </c>
      <c r="AF138" s="115" t="n">
        <f aca="false">MAX(0,MIN(1,Inputs!$C$12-(AF$132-1)*1))</f>
        <v>0</v>
      </c>
      <c r="AG138" s="115" t="n">
        <f aca="false">MAX(0,MIN(1,Inputs!$C$12-(AG$132-1)*1))</f>
        <v>0</v>
      </c>
      <c r="AH138" s="115" t="n">
        <f aca="false">MAX(0,MIN(1,Inputs!$C$12-(AH$132-1)*1))</f>
        <v>0</v>
      </c>
      <c r="AI138" s="115" t="n">
        <f aca="false">MAX(0,MIN(1,Inputs!$C$12-(AI$132-1)*1))</f>
        <v>0</v>
      </c>
      <c r="AJ138" s="115" t="n">
        <f aca="false">MAX(0,MIN(1,Inputs!$C$12-(AJ$132-1)*1))</f>
        <v>0</v>
      </c>
      <c r="AK138" s="115" t="n">
        <f aca="false">MAX(0,MIN(1,Inputs!$C$12-(AK$132-1)*1))</f>
        <v>0</v>
      </c>
      <c r="AL138" s="115" t="n">
        <f aca="false">MAX(0,MIN(1,Inputs!$C$12-(AL$132-1)*1))</f>
        <v>0</v>
      </c>
      <c r="AM138" s="115" t="n">
        <f aca="false">MAX(0,MIN(1,Inputs!$C$12-(AM$132-1)*1))</f>
        <v>0</v>
      </c>
      <c r="AN138" s="115" t="n">
        <f aca="false">MAX(0,MIN(1,Inputs!$C$12-(AN$132-1)*1))</f>
        <v>0</v>
      </c>
      <c r="AO138" s="115" t="n">
        <f aca="false">MAX(0,MIN(1,Inputs!$C$12-(AO$132-1)*1))</f>
        <v>0</v>
      </c>
      <c r="AP138" s="115" t="n">
        <f aca="false">MAX(0,MIN(1,Inputs!$C$12-(AP$132-1)*1))</f>
        <v>0</v>
      </c>
      <c r="AQ138" s="115" t="n">
        <f aca="false">MAX(0,MIN(1,Inputs!$C$12-(AQ$132-1)*1))</f>
        <v>0</v>
      </c>
      <c r="AR138" s="115" t="n">
        <f aca="false">MAX(0,MIN(1,Inputs!$C$12-(AR$132-1)*1))</f>
        <v>0</v>
      </c>
      <c r="AS138" s="115" t="n">
        <f aca="false">MAX(0,MIN(1,Inputs!$C$12-(AS$132-1)*1))</f>
        <v>0</v>
      </c>
      <c r="AT138" s="115" t="n">
        <f aca="false">MAX(0,MIN(1,Inputs!$C$12-(AT$132-1)*1))</f>
        <v>0</v>
      </c>
      <c r="AU138" s="115" t="n">
        <f aca="false">MAX(0,MIN(1,Inputs!$C$12-(AU$132-1)*1))</f>
        <v>0</v>
      </c>
      <c r="AV138" s="115" t="n">
        <f aca="false">MAX(0,MIN(1,Inputs!$C$12-(AV$132-1)*1))</f>
        <v>0</v>
      </c>
      <c r="AW138" s="115" t="n">
        <f aca="false">MAX(0,MIN(1,Inputs!$C$12-(AW$132-1)*1))</f>
        <v>0</v>
      </c>
      <c r="AX138" s="115" t="n">
        <f aca="false">MAX(0,MIN(1,Inputs!$C$12-(AX$132-1)*1))</f>
        <v>0</v>
      </c>
      <c r="AY138" s="115" t="n">
        <f aca="false">MAX(0,MIN(1,Inputs!$C$12-(AY$132-1)*1))</f>
        <v>0</v>
      </c>
      <c r="AZ138" s="115" t="n">
        <f aca="false">MAX(0,MIN(1,Inputs!$C$12-(AZ$132-1)*1))</f>
        <v>0</v>
      </c>
      <c r="BA138" s="115" t="n">
        <f aca="false">MAX(0,MIN(1,Inputs!$C$12-(BA$132-1)*1))</f>
        <v>0</v>
      </c>
      <c r="BB138" s="115" t="n">
        <f aca="false">MAX(0,MIN(1,Inputs!$C$12-(BB$132-1)*1))</f>
        <v>0</v>
      </c>
      <c r="BC138" s="115" t="n">
        <f aca="false">MAX(0,MIN(1,Inputs!$C$12-(BC$132-1)*1))</f>
        <v>0</v>
      </c>
      <c r="BD138" s="115" t="n">
        <f aca="false">MAX(0,MIN(1,Inputs!$C$12-(BD$132-1)*1))</f>
        <v>0</v>
      </c>
      <c r="BE138" s="115" t="n">
        <f aca="false">MAX(0,MIN(1,Inputs!$C$12-(BE$132-1)*1))</f>
        <v>0</v>
      </c>
      <c r="BF138" s="115" t="n">
        <f aca="false">MAX(0,MIN(1,Inputs!$C$12-(BF$132-1)*1))</f>
        <v>0</v>
      </c>
      <c r="BG138" s="115" t="n">
        <f aca="false">MAX(0,MIN(1,Inputs!$C$12-(BG$132-1)*1))</f>
        <v>0</v>
      </c>
      <c r="BH138" s="115" t="n">
        <f aca="false">MAX(0,MIN(1,Inputs!$C$12-(BH$132-1)*1))</f>
        <v>0</v>
      </c>
      <c r="BI138" s="115" t="n">
        <f aca="false">MAX(0,MIN(1,Inputs!$C$12-(BI$132-1)*1))</f>
        <v>0</v>
      </c>
      <c r="BJ138" s="115" t="n">
        <f aca="false">MAX(0,MIN(1,Inputs!$C$12-(BJ$132-1)*1))</f>
        <v>0</v>
      </c>
    </row>
    <row r="139" customFormat="false" ht="15" hidden="false" customHeight="false" outlineLevel="0" collapsed="false">
      <c r="A139" s="38" t="s">
        <v>420</v>
      </c>
      <c r="C139" s="73" t="n">
        <f aca="false">(C138*C137+(Inputs!$C$10-C137)/MAX(1,Inputs!$C$12)*(C138*(C$132-1)*1+C138*(C138-1)/2)+(1-C138)*Inputs!$C$10)/1</f>
        <v>0.2</v>
      </c>
      <c r="D139" s="73" t="n">
        <f aca="false">(D138*D137+(Inputs!$C$10-D137)/MAX(1,Inputs!$C$12)*(D138*(D$132-1)*1+D138*(D138-1)/2)+(1-D138)*Inputs!$C$10)/1</f>
        <v>0.254166666666667</v>
      </c>
      <c r="E139" s="73" t="n">
        <f aca="false">(E138*E137+(Inputs!$C$10-E137)/MAX(1,Inputs!$C$12)*(E138*(E$132-1)*1+E138*(E138-1)/2)+(1-E138)*Inputs!$C$10)/1</f>
        <v>0.308333333333333</v>
      </c>
      <c r="F139" s="73" t="n">
        <f aca="false">(F138*F137+(Inputs!$C$10-F137)/MAX(1,Inputs!$C$12)*(F138*(F$132-1)*1+F138*(F138-1)/2)+(1-F138)*Inputs!$C$10)/1</f>
        <v>0.3625</v>
      </c>
      <c r="G139" s="73" t="n">
        <f aca="false">(G138*G137+(Inputs!$C$10-G137)/MAX(1,Inputs!$C$12)*(G138*(G$132-1)*1+G138*(G138-1)/2)+(1-G138)*Inputs!$C$10)/1</f>
        <v>0.416666666666667</v>
      </c>
      <c r="H139" s="73" t="n">
        <f aca="false">(H138*H137+(Inputs!$C$10-H137)/MAX(1,Inputs!$C$12)*(H138*(H$132-1)*1+H138*(H138-1)/2)+(1-H138)*Inputs!$C$10)/1</f>
        <v>0.470833333333333</v>
      </c>
      <c r="I139" s="73" t="n">
        <f aca="false">(I138*I137+(Inputs!$C$10-I137)/MAX(1,Inputs!$C$12)*(I138*(I$132-1)*1+I138*(I138-1)/2)+(1-I138)*Inputs!$C$10)/1</f>
        <v>0.525</v>
      </c>
      <c r="J139" s="73" t="n">
        <f aca="false">(J138*J137+(Inputs!$C$10-J137)/MAX(1,Inputs!$C$12)*(J138*(J$132-1)*1+J138*(J138-1)/2)+(1-J138)*Inputs!$C$10)/1</f>
        <v>0.579166666666667</v>
      </c>
      <c r="K139" s="73" t="n">
        <f aca="false">(K138*K137+(Inputs!$C$10-K137)/MAX(1,Inputs!$C$12)*(K138*(K$132-1)*1+K138*(K138-1)/2)+(1-K138)*Inputs!$C$10)/1</f>
        <v>0.633333333333333</v>
      </c>
      <c r="L139" s="73" t="n">
        <f aca="false">(L138*L137+(Inputs!$C$10-L137)/MAX(1,Inputs!$C$12)*(L138*(L$132-1)*1+L138*(L138-1)/2)+(1-L138)*Inputs!$C$10)/1</f>
        <v>0.6875</v>
      </c>
      <c r="M139" s="73" t="n">
        <f aca="false">(M138*M137+(Inputs!$C$10-M137)/MAX(1,Inputs!$C$12)*(M138*(M$132-1)*1+M138*(M138-1)/2)+(1-M138)*Inputs!$C$10)/1</f>
        <v>0.741666666666667</v>
      </c>
      <c r="N139" s="73" t="n">
        <f aca="false">(N138*N137+(Inputs!$C$10-N137)/MAX(1,Inputs!$C$12)*(N138*(N$132-1)*1+N138*(N138-1)/2)+(1-N138)*Inputs!$C$10)/1</f>
        <v>0.795833333333333</v>
      </c>
      <c r="O139" s="73" t="n">
        <f aca="false">(O138*O137+(Inputs!$C$10-O137)/MAX(1,Inputs!$C$12)*(O138*(O$132-1)*1+O138*(O138-1)/2)+(1-O138)*Inputs!$C$10)/1</f>
        <v>0.85</v>
      </c>
      <c r="P139" s="73" t="n">
        <f aca="false">(P138*P137+(Inputs!$C$10-P137)/MAX(1,Inputs!$C$12)*(P138*(P$132-1)*1+P138*(P138-1)/2)+(1-P138)*Inputs!$C$10)/1</f>
        <v>0.85</v>
      </c>
      <c r="Q139" s="73" t="n">
        <f aca="false">(Q138*Q137+(Inputs!$C$10-Q137)/MAX(1,Inputs!$C$12)*(Q138*(Q$132-1)*1+Q138*(Q138-1)/2)+(1-Q138)*Inputs!$C$10)/1</f>
        <v>0.85</v>
      </c>
      <c r="R139" s="73" t="n">
        <f aca="false">(R138*R137+(Inputs!$C$10-R137)/MAX(1,Inputs!$C$12)*(R138*(R$132-1)*1+R138*(R138-1)/2)+(1-R138)*Inputs!$C$10)/1</f>
        <v>0.85</v>
      </c>
      <c r="S139" s="73" t="n">
        <f aca="false">(S138*S137+(Inputs!$C$10-S137)/MAX(1,Inputs!$C$12)*(S138*(S$132-1)*1+S138*(S138-1)/2)+(1-S138)*Inputs!$C$10)/1</f>
        <v>0.85</v>
      </c>
      <c r="T139" s="73" t="n">
        <f aca="false">(T138*T137+(Inputs!$C$10-T137)/MAX(1,Inputs!$C$12)*(T138*(T$132-1)*1+T138*(T138-1)/2)+(1-T138)*Inputs!$C$10)/1</f>
        <v>0.85</v>
      </c>
      <c r="U139" s="73" t="n">
        <f aca="false">(U138*U137+(Inputs!$C$10-U137)/MAX(1,Inputs!$C$12)*(U138*(U$132-1)*1+U138*(U138-1)/2)+(1-U138)*Inputs!$C$10)/1</f>
        <v>0.85</v>
      </c>
      <c r="V139" s="73" t="n">
        <f aca="false">(V138*V137+(Inputs!$C$10-V137)/MAX(1,Inputs!$C$12)*(V138*(V$132-1)*1+V138*(V138-1)/2)+(1-V138)*Inputs!$C$10)/1</f>
        <v>0.85</v>
      </c>
      <c r="W139" s="73" t="n">
        <f aca="false">(W138*W137+(Inputs!$C$10-W137)/MAX(1,Inputs!$C$12)*(W138*(W$132-1)*1+W138*(W138-1)/2)+(1-W138)*Inputs!$C$10)/1</f>
        <v>0.85</v>
      </c>
      <c r="X139" s="73" t="n">
        <f aca="false">(X138*X137+(Inputs!$C$10-X137)/MAX(1,Inputs!$C$12)*(X138*(X$132-1)*1+X138*(X138-1)/2)+(1-X138)*Inputs!$C$10)/1</f>
        <v>0.85</v>
      </c>
      <c r="Y139" s="73" t="n">
        <f aca="false">(Y138*Y137+(Inputs!$C$10-Y137)/MAX(1,Inputs!$C$12)*(Y138*(Y$132-1)*1+Y138*(Y138-1)/2)+(1-Y138)*Inputs!$C$10)/1</f>
        <v>0.85</v>
      </c>
      <c r="Z139" s="73" t="n">
        <f aca="false">(Z138*Z137+(Inputs!$C$10-Z137)/MAX(1,Inputs!$C$12)*(Z138*(Z$132-1)*1+Z138*(Z138-1)/2)+(1-Z138)*Inputs!$C$10)/1</f>
        <v>0.85</v>
      </c>
      <c r="AA139" s="73" t="n">
        <f aca="false">(AA138*AA137+(Inputs!$C$10-AA137)/MAX(1,Inputs!$C$12)*(AA138*(AA$132-1)*1+AA138*(AA138-1)/2)+(1-AA138)*Inputs!$C$10)/1</f>
        <v>0.85</v>
      </c>
      <c r="AB139" s="73" t="n">
        <f aca="false">(AB138*AB137+(Inputs!$C$10-AB137)/MAX(1,Inputs!$C$12)*(AB138*(AB$132-1)*1+AB138*(AB138-1)/2)+(1-AB138)*Inputs!$C$10)/1</f>
        <v>0.85</v>
      </c>
      <c r="AC139" s="73" t="n">
        <f aca="false">(AC138*AC137+(Inputs!$C$10-AC137)/MAX(1,Inputs!$C$12)*(AC138*(AC$132-1)*1+AC138*(AC138-1)/2)+(1-AC138)*Inputs!$C$10)/1</f>
        <v>0.85</v>
      </c>
      <c r="AD139" s="73" t="n">
        <f aca="false">(AD138*AD137+(Inputs!$C$10-AD137)/MAX(1,Inputs!$C$12)*(AD138*(AD$132-1)*1+AD138*(AD138-1)/2)+(1-AD138)*Inputs!$C$10)/1</f>
        <v>0.85</v>
      </c>
      <c r="AE139" s="73" t="n">
        <f aca="false">(AE138*AE137+(Inputs!$C$10-AE137)/MAX(1,Inputs!$C$12)*(AE138*(AE$132-1)*1+AE138*(AE138-1)/2)+(1-AE138)*Inputs!$C$10)/1</f>
        <v>0.85</v>
      </c>
      <c r="AF139" s="73" t="n">
        <f aca="false">(AF138*AF137+(Inputs!$C$10-AF137)/MAX(1,Inputs!$C$12)*(AF138*(AF$132-1)*1+AF138*(AF138-1)/2)+(1-AF138)*Inputs!$C$10)/1</f>
        <v>0.85</v>
      </c>
      <c r="AG139" s="73" t="n">
        <f aca="false">(AG138*AG137+(Inputs!$C$10-AG137)/MAX(1,Inputs!$C$12)*(AG138*(AG$132-1)*1+AG138*(AG138-1)/2)+(1-AG138)*Inputs!$C$10)/1</f>
        <v>0.85</v>
      </c>
      <c r="AH139" s="73" t="n">
        <f aca="false">(AH138*AH137+(Inputs!$C$10-AH137)/MAX(1,Inputs!$C$12)*(AH138*(AH$132-1)*1+AH138*(AH138-1)/2)+(1-AH138)*Inputs!$C$10)/1</f>
        <v>0.85</v>
      </c>
      <c r="AI139" s="73" t="n">
        <f aca="false">(AI138*AI137+(Inputs!$C$10-AI137)/MAX(1,Inputs!$C$12)*(AI138*(AI$132-1)*1+AI138*(AI138-1)/2)+(1-AI138)*Inputs!$C$10)/1</f>
        <v>0.85</v>
      </c>
      <c r="AJ139" s="73" t="n">
        <f aca="false">(AJ138*AJ137+(Inputs!$C$10-AJ137)/MAX(1,Inputs!$C$12)*(AJ138*(AJ$132-1)*1+AJ138*(AJ138-1)/2)+(1-AJ138)*Inputs!$C$10)/1</f>
        <v>0.85</v>
      </c>
      <c r="AK139" s="73" t="n">
        <f aca="false">(AK138*AK137+(Inputs!$C$10-AK137)/MAX(1,Inputs!$C$12)*(AK138*(AK$132-1)*1+AK138*(AK138-1)/2)+(1-AK138)*Inputs!$C$10)/1</f>
        <v>0.85</v>
      </c>
      <c r="AL139" s="73" t="n">
        <f aca="false">(AL138*AL137+(Inputs!$C$10-AL137)/MAX(1,Inputs!$C$12)*(AL138*(AL$132-1)*1+AL138*(AL138-1)/2)+(1-AL138)*Inputs!$C$10)/1</f>
        <v>0.85</v>
      </c>
      <c r="AM139" s="73" t="n">
        <f aca="false">(AM138*AM137+(Inputs!$C$10-AM137)/MAX(1,Inputs!$C$12)*(AM138*(AM$132-1)*1+AM138*(AM138-1)/2)+(1-AM138)*Inputs!$C$10)/1</f>
        <v>0.85</v>
      </c>
      <c r="AN139" s="73" t="n">
        <f aca="false">(AN138*AN137+(Inputs!$C$10-AN137)/MAX(1,Inputs!$C$12)*(AN138*(AN$132-1)*1+AN138*(AN138-1)/2)+(1-AN138)*Inputs!$C$10)/1</f>
        <v>0.85</v>
      </c>
      <c r="AO139" s="73" t="n">
        <f aca="false">(AO138*AO137+(Inputs!$C$10-AO137)/MAX(1,Inputs!$C$12)*(AO138*(AO$132-1)*1+AO138*(AO138-1)/2)+(1-AO138)*Inputs!$C$10)/1</f>
        <v>0.85</v>
      </c>
      <c r="AP139" s="73" t="n">
        <f aca="false">(AP138*AP137+(Inputs!$C$10-AP137)/MAX(1,Inputs!$C$12)*(AP138*(AP$132-1)*1+AP138*(AP138-1)/2)+(1-AP138)*Inputs!$C$10)/1</f>
        <v>0.85</v>
      </c>
      <c r="AQ139" s="73" t="n">
        <f aca="false">(AQ138*AQ137+(Inputs!$C$10-AQ137)/MAX(1,Inputs!$C$12)*(AQ138*(AQ$132-1)*1+AQ138*(AQ138-1)/2)+(1-AQ138)*Inputs!$C$10)/1</f>
        <v>0.85</v>
      </c>
      <c r="AR139" s="73" t="n">
        <f aca="false">(AR138*AR137+(Inputs!$C$10-AR137)/MAX(1,Inputs!$C$12)*(AR138*(AR$132-1)*1+AR138*(AR138-1)/2)+(1-AR138)*Inputs!$C$10)/1</f>
        <v>0.85</v>
      </c>
      <c r="AS139" s="73" t="n">
        <f aca="false">(AS138*AS137+(Inputs!$C$10-AS137)/MAX(1,Inputs!$C$12)*(AS138*(AS$132-1)*1+AS138*(AS138-1)/2)+(1-AS138)*Inputs!$C$10)/1</f>
        <v>0.85</v>
      </c>
      <c r="AT139" s="73" t="n">
        <f aca="false">(AT138*AT137+(Inputs!$C$10-AT137)/MAX(1,Inputs!$C$12)*(AT138*(AT$132-1)*1+AT138*(AT138-1)/2)+(1-AT138)*Inputs!$C$10)/1</f>
        <v>0.85</v>
      </c>
      <c r="AU139" s="73" t="n">
        <f aca="false">(AU138*AU137+(Inputs!$C$10-AU137)/MAX(1,Inputs!$C$12)*(AU138*(AU$132-1)*1+AU138*(AU138-1)/2)+(1-AU138)*Inputs!$C$10)/1</f>
        <v>0.85</v>
      </c>
      <c r="AV139" s="73" t="n">
        <f aca="false">(AV138*AV137+(Inputs!$C$10-AV137)/MAX(1,Inputs!$C$12)*(AV138*(AV$132-1)*1+AV138*(AV138-1)/2)+(1-AV138)*Inputs!$C$10)/1</f>
        <v>0.85</v>
      </c>
      <c r="AW139" s="73" t="n">
        <f aca="false">(AW138*AW137+(Inputs!$C$10-AW137)/MAX(1,Inputs!$C$12)*(AW138*(AW$132-1)*1+AW138*(AW138-1)/2)+(1-AW138)*Inputs!$C$10)/1</f>
        <v>0.85</v>
      </c>
      <c r="AX139" s="73" t="n">
        <f aca="false">(AX138*AX137+(Inputs!$C$10-AX137)/MAX(1,Inputs!$C$12)*(AX138*(AX$132-1)*1+AX138*(AX138-1)/2)+(1-AX138)*Inputs!$C$10)/1</f>
        <v>0.85</v>
      </c>
      <c r="AY139" s="73" t="n">
        <f aca="false">(AY138*AY137+(Inputs!$C$10-AY137)/MAX(1,Inputs!$C$12)*(AY138*(AY$132-1)*1+AY138*(AY138-1)/2)+(1-AY138)*Inputs!$C$10)/1</f>
        <v>0.85</v>
      </c>
      <c r="AZ139" s="73" t="n">
        <f aca="false">(AZ138*AZ137+(Inputs!$C$10-AZ137)/MAX(1,Inputs!$C$12)*(AZ138*(AZ$132-1)*1+AZ138*(AZ138-1)/2)+(1-AZ138)*Inputs!$C$10)/1</f>
        <v>0.85</v>
      </c>
      <c r="BA139" s="73" t="n">
        <f aca="false">(BA138*BA137+(Inputs!$C$10-BA137)/MAX(1,Inputs!$C$12)*(BA138*(BA$132-1)*1+BA138*(BA138-1)/2)+(1-BA138)*Inputs!$C$10)/1</f>
        <v>0.85</v>
      </c>
      <c r="BB139" s="73" t="n">
        <f aca="false">(BB138*BB137+(Inputs!$C$10-BB137)/MAX(1,Inputs!$C$12)*(BB138*(BB$132-1)*1+BB138*(BB138-1)/2)+(1-BB138)*Inputs!$C$10)/1</f>
        <v>0.85</v>
      </c>
      <c r="BC139" s="73" t="n">
        <f aca="false">(BC138*BC137+(Inputs!$C$10-BC137)/MAX(1,Inputs!$C$12)*(BC138*(BC$132-1)*1+BC138*(BC138-1)/2)+(1-BC138)*Inputs!$C$10)/1</f>
        <v>0.85</v>
      </c>
      <c r="BD139" s="73" t="n">
        <f aca="false">(BD138*BD137+(Inputs!$C$10-BD137)/MAX(1,Inputs!$C$12)*(BD138*(BD$132-1)*1+BD138*(BD138-1)/2)+(1-BD138)*Inputs!$C$10)/1</f>
        <v>0.85</v>
      </c>
      <c r="BE139" s="73" t="n">
        <f aca="false">(BE138*BE137+(Inputs!$C$10-BE137)/MAX(1,Inputs!$C$12)*(BE138*(BE$132-1)*1+BE138*(BE138-1)/2)+(1-BE138)*Inputs!$C$10)/1</f>
        <v>0.85</v>
      </c>
      <c r="BF139" s="73" t="n">
        <f aca="false">(BF138*BF137+(Inputs!$C$10-BF137)/MAX(1,Inputs!$C$12)*(BF138*(BF$132-1)*1+BF138*(BF138-1)/2)+(1-BF138)*Inputs!$C$10)/1</f>
        <v>0.85</v>
      </c>
      <c r="BG139" s="73" t="n">
        <f aca="false">(BG138*BG137+(Inputs!$C$10-BG137)/MAX(1,Inputs!$C$12)*(BG138*(BG$132-1)*1+BG138*(BG138-1)/2)+(1-BG138)*Inputs!$C$10)/1</f>
        <v>0.85</v>
      </c>
      <c r="BH139" s="73" t="n">
        <f aca="false">(BH138*BH137+(Inputs!$C$10-BH137)/MAX(1,Inputs!$C$12)*(BH138*(BH$132-1)*1+BH138*(BH138-1)/2)+(1-BH138)*Inputs!$C$10)/1</f>
        <v>0.85</v>
      </c>
      <c r="BI139" s="73" t="n">
        <f aca="false">(BI138*BI137+(Inputs!$C$10-BI137)/MAX(1,Inputs!$C$12)*(BI138*(BI$132-1)*1+BI138*(BI138-1)/2)+(1-BI138)*Inputs!$C$10)/1</f>
        <v>0.85</v>
      </c>
      <c r="BJ139" s="73" t="n">
        <f aca="false">(BJ138*BJ137+(Inputs!$C$10-BJ137)/MAX(1,Inputs!$C$12)*(BJ138*(BJ$132-1)*1+BJ138*(BJ138-1)/2)+(1-BJ138)*Inputs!$C$10)/1</f>
        <v>0.85</v>
      </c>
    </row>
    <row r="140" customFormat="false" ht="15" hidden="false" customHeight="false" outlineLevel="0" collapsed="false">
      <c r="A140" s="38" t="s">
        <v>421</v>
      </c>
      <c r="C140" s="73" t="n">
        <f aca="false">IF(Inputs!$C$12&lt;=0,Inputs!$C$10,C137+(Inputs!$C$10-C137)*MIN(1,(C$132*1-1)/MAX(1,Inputs!$C$12)))</f>
        <v>0.2</v>
      </c>
      <c r="D140" s="73" t="n">
        <f aca="false">IF(Inputs!$C$12&lt;=0,Inputs!$C$10,D137+(Inputs!$C$10-D137)*MIN(1,(D$132*1-1)/MAX(1,Inputs!$C$12)))</f>
        <v>0.254166666666667</v>
      </c>
      <c r="E140" s="73" t="n">
        <f aca="false">IF(Inputs!$C$12&lt;=0,Inputs!$C$10,E137+(Inputs!$C$10-E137)*MIN(1,(E$132*1-1)/MAX(1,Inputs!$C$12)))</f>
        <v>0.308333333333333</v>
      </c>
      <c r="F140" s="73" t="n">
        <f aca="false">IF(Inputs!$C$12&lt;=0,Inputs!$C$10,F137+(Inputs!$C$10-F137)*MIN(1,(F$132*1-1)/MAX(1,Inputs!$C$12)))</f>
        <v>0.3625</v>
      </c>
      <c r="G140" s="73" t="n">
        <f aca="false">IF(Inputs!$C$12&lt;=0,Inputs!$C$10,G137+(Inputs!$C$10-G137)*MIN(1,(G$132*1-1)/MAX(1,Inputs!$C$12)))</f>
        <v>0.416666666666667</v>
      </c>
      <c r="H140" s="73" t="n">
        <f aca="false">IF(Inputs!$C$12&lt;=0,Inputs!$C$10,H137+(Inputs!$C$10-H137)*MIN(1,(H$132*1-1)/MAX(1,Inputs!$C$12)))</f>
        <v>0.470833333333333</v>
      </c>
      <c r="I140" s="73" t="n">
        <f aca="false">IF(Inputs!$C$12&lt;=0,Inputs!$C$10,I137+(Inputs!$C$10-I137)*MIN(1,(I$132*1-1)/MAX(1,Inputs!$C$12)))</f>
        <v>0.525</v>
      </c>
      <c r="J140" s="73" t="n">
        <f aca="false">IF(Inputs!$C$12&lt;=0,Inputs!$C$10,J137+(Inputs!$C$10-J137)*MIN(1,(J$132*1-1)/MAX(1,Inputs!$C$12)))</f>
        <v>0.579166666666667</v>
      </c>
      <c r="K140" s="73" t="n">
        <f aca="false">IF(Inputs!$C$12&lt;=0,Inputs!$C$10,K137+(Inputs!$C$10-K137)*MIN(1,(K$132*1-1)/MAX(1,Inputs!$C$12)))</f>
        <v>0.633333333333333</v>
      </c>
      <c r="L140" s="73" t="n">
        <f aca="false">IF(Inputs!$C$12&lt;=0,Inputs!$C$10,L137+(Inputs!$C$10-L137)*MIN(1,(L$132*1-1)/MAX(1,Inputs!$C$12)))</f>
        <v>0.6875</v>
      </c>
      <c r="M140" s="73" t="n">
        <f aca="false">IF(Inputs!$C$12&lt;=0,Inputs!$C$10,M137+(Inputs!$C$10-M137)*MIN(1,(M$132*1-1)/MAX(1,Inputs!$C$12)))</f>
        <v>0.741666666666667</v>
      </c>
      <c r="N140" s="73" t="n">
        <f aca="false">IF(Inputs!$C$12&lt;=0,Inputs!$C$10,N137+(Inputs!$C$10-N137)*MIN(1,(N$132*1-1)/MAX(1,Inputs!$C$12)))</f>
        <v>0.795833333333333</v>
      </c>
      <c r="O140" s="73" t="n">
        <f aca="false">IF(Inputs!$C$12&lt;=0,Inputs!$C$10,O137+(Inputs!$C$10-O137)*MIN(1,(O$132*1-1)/MAX(1,Inputs!$C$12)))</f>
        <v>0.85</v>
      </c>
      <c r="P140" s="73" t="n">
        <f aca="false">IF(Inputs!$C$12&lt;=0,Inputs!$C$10,P137+(Inputs!$C$10-P137)*MIN(1,(P$132*1-1)/MAX(1,Inputs!$C$12)))</f>
        <v>0.85</v>
      </c>
      <c r="Q140" s="73" t="n">
        <f aca="false">IF(Inputs!$C$12&lt;=0,Inputs!$C$10,Q137+(Inputs!$C$10-Q137)*MIN(1,(Q$132*1-1)/MAX(1,Inputs!$C$12)))</f>
        <v>0.85</v>
      </c>
      <c r="R140" s="73" t="n">
        <f aca="false">IF(Inputs!$C$12&lt;=0,Inputs!$C$10,R137+(Inputs!$C$10-R137)*MIN(1,(R$132*1-1)/MAX(1,Inputs!$C$12)))</f>
        <v>0.85</v>
      </c>
      <c r="S140" s="73" t="n">
        <f aca="false">IF(Inputs!$C$12&lt;=0,Inputs!$C$10,S137+(Inputs!$C$10-S137)*MIN(1,(S$132*1-1)/MAX(1,Inputs!$C$12)))</f>
        <v>0.85</v>
      </c>
      <c r="T140" s="73" t="n">
        <f aca="false">IF(Inputs!$C$12&lt;=0,Inputs!$C$10,T137+(Inputs!$C$10-T137)*MIN(1,(T$132*1-1)/MAX(1,Inputs!$C$12)))</f>
        <v>0.85</v>
      </c>
      <c r="U140" s="73" t="n">
        <f aca="false">IF(Inputs!$C$12&lt;=0,Inputs!$C$10,U137+(Inputs!$C$10-U137)*MIN(1,(U$132*1-1)/MAX(1,Inputs!$C$12)))</f>
        <v>0.85</v>
      </c>
      <c r="V140" s="73" t="n">
        <f aca="false">IF(Inputs!$C$12&lt;=0,Inputs!$C$10,V137+(Inputs!$C$10-V137)*MIN(1,(V$132*1-1)/MAX(1,Inputs!$C$12)))</f>
        <v>0.85</v>
      </c>
      <c r="W140" s="73" t="n">
        <f aca="false">IF(Inputs!$C$12&lt;=0,Inputs!$C$10,W137+(Inputs!$C$10-W137)*MIN(1,(W$132*1-1)/MAX(1,Inputs!$C$12)))</f>
        <v>0.85</v>
      </c>
      <c r="X140" s="73" t="n">
        <f aca="false">IF(Inputs!$C$12&lt;=0,Inputs!$C$10,X137+(Inputs!$C$10-X137)*MIN(1,(X$132*1-1)/MAX(1,Inputs!$C$12)))</f>
        <v>0.85</v>
      </c>
      <c r="Y140" s="73" t="n">
        <f aca="false">IF(Inputs!$C$12&lt;=0,Inputs!$C$10,Y137+(Inputs!$C$10-Y137)*MIN(1,(Y$132*1-1)/MAX(1,Inputs!$C$12)))</f>
        <v>0.85</v>
      </c>
      <c r="Z140" s="73" t="n">
        <f aca="false">IF(Inputs!$C$12&lt;=0,Inputs!$C$10,Z137+(Inputs!$C$10-Z137)*MIN(1,(Z$132*1-1)/MAX(1,Inputs!$C$12)))</f>
        <v>0.85</v>
      </c>
      <c r="AA140" s="73" t="n">
        <f aca="false">IF(Inputs!$C$12&lt;=0,Inputs!$C$10,AA137+(Inputs!$C$10-AA137)*MIN(1,(AA$132*1-1)/MAX(1,Inputs!$C$12)))</f>
        <v>0.85</v>
      </c>
      <c r="AB140" s="73" t="n">
        <f aca="false">IF(Inputs!$C$12&lt;=0,Inputs!$C$10,AB137+(Inputs!$C$10-AB137)*MIN(1,(AB$132*1-1)/MAX(1,Inputs!$C$12)))</f>
        <v>0.85</v>
      </c>
      <c r="AC140" s="73" t="n">
        <f aca="false">IF(Inputs!$C$12&lt;=0,Inputs!$C$10,AC137+(Inputs!$C$10-AC137)*MIN(1,(AC$132*1-1)/MAX(1,Inputs!$C$12)))</f>
        <v>0.85</v>
      </c>
      <c r="AD140" s="73" t="n">
        <f aca="false">IF(Inputs!$C$12&lt;=0,Inputs!$C$10,AD137+(Inputs!$C$10-AD137)*MIN(1,(AD$132*1-1)/MAX(1,Inputs!$C$12)))</f>
        <v>0.85</v>
      </c>
      <c r="AE140" s="73" t="n">
        <f aca="false">IF(Inputs!$C$12&lt;=0,Inputs!$C$10,AE137+(Inputs!$C$10-AE137)*MIN(1,(AE$132*1-1)/MAX(1,Inputs!$C$12)))</f>
        <v>0.85</v>
      </c>
      <c r="AF140" s="73" t="n">
        <f aca="false">IF(Inputs!$C$12&lt;=0,Inputs!$C$10,AF137+(Inputs!$C$10-AF137)*MIN(1,(AF$132*1-1)/MAX(1,Inputs!$C$12)))</f>
        <v>0.85</v>
      </c>
      <c r="AG140" s="73" t="n">
        <f aca="false">IF(Inputs!$C$12&lt;=0,Inputs!$C$10,AG137+(Inputs!$C$10-AG137)*MIN(1,(AG$132*1-1)/MAX(1,Inputs!$C$12)))</f>
        <v>0.85</v>
      </c>
      <c r="AH140" s="73" t="n">
        <f aca="false">IF(Inputs!$C$12&lt;=0,Inputs!$C$10,AH137+(Inputs!$C$10-AH137)*MIN(1,(AH$132*1-1)/MAX(1,Inputs!$C$12)))</f>
        <v>0.85</v>
      </c>
      <c r="AI140" s="73" t="n">
        <f aca="false">IF(Inputs!$C$12&lt;=0,Inputs!$C$10,AI137+(Inputs!$C$10-AI137)*MIN(1,(AI$132*1-1)/MAX(1,Inputs!$C$12)))</f>
        <v>0.85</v>
      </c>
      <c r="AJ140" s="73" t="n">
        <f aca="false">IF(Inputs!$C$12&lt;=0,Inputs!$C$10,AJ137+(Inputs!$C$10-AJ137)*MIN(1,(AJ$132*1-1)/MAX(1,Inputs!$C$12)))</f>
        <v>0.85</v>
      </c>
      <c r="AK140" s="73" t="n">
        <f aca="false">IF(Inputs!$C$12&lt;=0,Inputs!$C$10,AK137+(Inputs!$C$10-AK137)*MIN(1,(AK$132*1-1)/MAX(1,Inputs!$C$12)))</f>
        <v>0.85</v>
      </c>
      <c r="AL140" s="73" t="n">
        <f aca="false">IF(Inputs!$C$12&lt;=0,Inputs!$C$10,AL137+(Inputs!$C$10-AL137)*MIN(1,(AL$132*1-1)/MAX(1,Inputs!$C$12)))</f>
        <v>0.85</v>
      </c>
      <c r="AM140" s="73" t="n">
        <f aca="false">IF(Inputs!$C$12&lt;=0,Inputs!$C$10,AM137+(Inputs!$C$10-AM137)*MIN(1,(AM$132*1-1)/MAX(1,Inputs!$C$12)))</f>
        <v>0.85</v>
      </c>
      <c r="AN140" s="73" t="n">
        <f aca="false">IF(Inputs!$C$12&lt;=0,Inputs!$C$10,AN137+(Inputs!$C$10-AN137)*MIN(1,(AN$132*1-1)/MAX(1,Inputs!$C$12)))</f>
        <v>0.85</v>
      </c>
      <c r="AO140" s="73" t="n">
        <f aca="false">IF(Inputs!$C$12&lt;=0,Inputs!$C$10,AO137+(Inputs!$C$10-AO137)*MIN(1,(AO$132*1-1)/MAX(1,Inputs!$C$12)))</f>
        <v>0.85</v>
      </c>
      <c r="AP140" s="73" t="n">
        <f aca="false">IF(Inputs!$C$12&lt;=0,Inputs!$C$10,AP137+(Inputs!$C$10-AP137)*MIN(1,(AP$132*1-1)/MAX(1,Inputs!$C$12)))</f>
        <v>0.85</v>
      </c>
      <c r="AQ140" s="73" t="n">
        <f aca="false">IF(Inputs!$C$12&lt;=0,Inputs!$C$10,AQ137+(Inputs!$C$10-AQ137)*MIN(1,(AQ$132*1-1)/MAX(1,Inputs!$C$12)))</f>
        <v>0.85</v>
      </c>
      <c r="AR140" s="73" t="n">
        <f aca="false">IF(Inputs!$C$12&lt;=0,Inputs!$C$10,AR137+(Inputs!$C$10-AR137)*MIN(1,(AR$132*1-1)/MAX(1,Inputs!$C$12)))</f>
        <v>0.85</v>
      </c>
      <c r="AS140" s="73" t="n">
        <f aca="false">IF(Inputs!$C$12&lt;=0,Inputs!$C$10,AS137+(Inputs!$C$10-AS137)*MIN(1,(AS$132*1-1)/MAX(1,Inputs!$C$12)))</f>
        <v>0.85</v>
      </c>
      <c r="AT140" s="73" t="n">
        <f aca="false">IF(Inputs!$C$12&lt;=0,Inputs!$C$10,AT137+(Inputs!$C$10-AT137)*MIN(1,(AT$132*1-1)/MAX(1,Inputs!$C$12)))</f>
        <v>0.85</v>
      </c>
      <c r="AU140" s="73" t="n">
        <f aca="false">IF(Inputs!$C$12&lt;=0,Inputs!$C$10,AU137+(Inputs!$C$10-AU137)*MIN(1,(AU$132*1-1)/MAX(1,Inputs!$C$12)))</f>
        <v>0.85</v>
      </c>
      <c r="AV140" s="73" t="n">
        <f aca="false">IF(Inputs!$C$12&lt;=0,Inputs!$C$10,AV137+(Inputs!$C$10-AV137)*MIN(1,(AV$132*1-1)/MAX(1,Inputs!$C$12)))</f>
        <v>0.85</v>
      </c>
      <c r="AW140" s="73" t="n">
        <f aca="false">IF(Inputs!$C$12&lt;=0,Inputs!$C$10,AW137+(Inputs!$C$10-AW137)*MIN(1,(AW$132*1-1)/MAX(1,Inputs!$C$12)))</f>
        <v>0.85</v>
      </c>
      <c r="AX140" s="73" t="n">
        <f aca="false">IF(Inputs!$C$12&lt;=0,Inputs!$C$10,AX137+(Inputs!$C$10-AX137)*MIN(1,(AX$132*1-1)/MAX(1,Inputs!$C$12)))</f>
        <v>0.85</v>
      </c>
      <c r="AY140" s="73" t="n">
        <f aca="false">IF(Inputs!$C$12&lt;=0,Inputs!$C$10,AY137+(Inputs!$C$10-AY137)*MIN(1,(AY$132*1-1)/MAX(1,Inputs!$C$12)))</f>
        <v>0.85</v>
      </c>
      <c r="AZ140" s="73" t="n">
        <f aca="false">IF(Inputs!$C$12&lt;=0,Inputs!$C$10,AZ137+(Inputs!$C$10-AZ137)*MIN(1,(AZ$132*1-1)/MAX(1,Inputs!$C$12)))</f>
        <v>0.85</v>
      </c>
      <c r="BA140" s="73" t="n">
        <f aca="false">IF(Inputs!$C$12&lt;=0,Inputs!$C$10,BA137+(Inputs!$C$10-BA137)*MIN(1,(BA$132*1-1)/MAX(1,Inputs!$C$12)))</f>
        <v>0.85</v>
      </c>
      <c r="BB140" s="73" t="n">
        <f aca="false">IF(Inputs!$C$12&lt;=0,Inputs!$C$10,BB137+(Inputs!$C$10-BB137)*MIN(1,(BB$132*1-1)/MAX(1,Inputs!$C$12)))</f>
        <v>0.85</v>
      </c>
      <c r="BC140" s="73" t="n">
        <f aca="false">IF(Inputs!$C$12&lt;=0,Inputs!$C$10,BC137+(Inputs!$C$10-BC137)*MIN(1,(BC$132*1-1)/MAX(1,Inputs!$C$12)))</f>
        <v>0.85</v>
      </c>
      <c r="BD140" s="73" t="n">
        <f aca="false">IF(Inputs!$C$12&lt;=0,Inputs!$C$10,BD137+(Inputs!$C$10-BD137)*MIN(1,(BD$132*1-1)/MAX(1,Inputs!$C$12)))</f>
        <v>0.85</v>
      </c>
      <c r="BE140" s="73" t="n">
        <f aca="false">IF(Inputs!$C$12&lt;=0,Inputs!$C$10,BE137+(Inputs!$C$10-BE137)*MIN(1,(BE$132*1-1)/MAX(1,Inputs!$C$12)))</f>
        <v>0.85</v>
      </c>
      <c r="BF140" s="73" t="n">
        <f aca="false">IF(Inputs!$C$12&lt;=0,Inputs!$C$10,BF137+(Inputs!$C$10-BF137)*MIN(1,(BF$132*1-1)/MAX(1,Inputs!$C$12)))</f>
        <v>0.85</v>
      </c>
      <c r="BG140" s="73" t="n">
        <f aca="false">IF(Inputs!$C$12&lt;=0,Inputs!$C$10,BG137+(Inputs!$C$10-BG137)*MIN(1,(BG$132*1-1)/MAX(1,Inputs!$C$12)))</f>
        <v>0.85</v>
      </c>
      <c r="BH140" s="73" t="n">
        <f aca="false">IF(Inputs!$C$12&lt;=0,Inputs!$C$10,BH137+(Inputs!$C$10-BH137)*MIN(1,(BH$132*1-1)/MAX(1,Inputs!$C$12)))</f>
        <v>0.85</v>
      </c>
      <c r="BI140" s="73" t="n">
        <f aca="false">IF(Inputs!$C$12&lt;=0,Inputs!$C$10,BI137+(Inputs!$C$10-BI137)*MIN(1,(BI$132*1-1)/MAX(1,Inputs!$C$12)))</f>
        <v>0.85</v>
      </c>
      <c r="BJ140" s="73" t="n">
        <f aca="false">IF(Inputs!$C$12&lt;=0,Inputs!$C$10,BJ137+(Inputs!$C$10-BJ137)*MIN(1,(BJ$132*1-1)/MAX(1,Inputs!$C$12)))</f>
        <v>0.85</v>
      </c>
    </row>
    <row r="141" customFormat="false" ht="15" hidden="false" customHeight="false" outlineLevel="0" collapsed="false">
      <c r="A141" s="6" t="s">
        <v>422</v>
      </c>
      <c r="C141" s="115" t="n">
        <f aca="false">C136*Inputs!$C$9*C139</f>
        <v>4.2</v>
      </c>
      <c r="D141" s="115" t="n">
        <f aca="false">D136*Inputs!$C$9*D139</f>
        <v>5.3375</v>
      </c>
      <c r="E141" s="115" t="n">
        <f aca="false">E136*Inputs!$C$9*E139</f>
        <v>6.475</v>
      </c>
      <c r="F141" s="115" t="n">
        <f aca="false">F136*Inputs!$C$9*F139</f>
        <v>7.6125</v>
      </c>
      <c r="G141" s="115" t="n">
        <f aca="false">G136*Inputs!$C$9*G139</f>
        <v>8.75</v>
      </c>
      <c r="H141" s="115" t="n">
        <f aca="false">H136*Inputs!$C$9*H139</f>
        <v>9.8875</v>
      </c>
      <c r="I141" s="115" t="n">
        <f aca="false">I136*Inputs!$C$9*I139</f>
        <v>11.025</v>
      </c>
      <c r="J141" s="115" t="n">
        <f aca="false">J136*Inputs!$C$9*J139</f>
        <v>12.1625</v>
      </c>
      <c r="K141" s="115" t="n">
        <f aca="false">K136*Inputs!$C$9*K139</f>
        <v>13.3</v>
      </c>
      <c r="L141" s="115" t="n">
        <f aca="false">L136*Inputs!$C$9*L139</f>
        <v>14.4375</v>
      </c>
      <c r="M141" s="115" t="n">
        <f aca="false">M136*Inputs!$C$9*M139</f>
        <v>15.575</v>
      </c>
      <c r="N141" s="115" t="n">
        <f aca="false">N136*Inputs!$C$9*N139</f>
        <v>16.7125</v>
      </c>
      <c r="O141" s="115" t="n">
        <f aca="false">O136*Inputs!$C$9*O139</f>
        <v>17.85</v>
      </c>
      <c r="P141" s="115" t="n">
        <f aca="false">P136*Inputs!$C$9*P139</f>
        <v>17.85</v>
      </c>
      <c r="Q141" s="115" t="n">
        <f aca="false">Q136*Inputs!$C$9*Q139</f>
        <v>17.85</v>
      </c>
      <c r="R141" s="115" t="n">
        <f aca="false">R136*Inputs!$C$9*R139</f>
        <v>17.85</v>
      </c>
      <c r="S141" s="115" t="n">
        <f aca="false">S136*Inputs!$C$9*S139</f>
        <v>17.85</v>
      </c>
      <c r="T141" s="115" t="n">
        <f aca="false">T136*Inputs!$C$9*T139</f>
        <v>17.85</v>
      </c>
      <c r="U141" s="115" t="n">
        <f aca="false">U136*Inputs!$C$9*U139</f>
        <v>17.85</v>
      </c>
      <c r="V141" s="115" t="n">
        <f aca="false">V136*Inputs!$C$9*V139</f>
        <v>17.85</v>
      </c>
      <c r="W141" s="115" t="n">
        <f aca="false">W136*Inputs!$C$9*W139</f>
        <v>17.85</v>
      </c>
      <c r="X141" s="115" t="n">
        <f aca="false">X136*Inputs!$C$9*X139</f>
        <v>17.85</v>
      </c>
      <c r="Y141" s="115" t="n">
        <f aca="false">Y136*Inputs!$C$9*Y139</f>
        <v>17.85</v>
      </c>
      <c r="Z141" s="115" t="n">
        <f aca="false">Z136*Inputs!$C$9*Z139</f>
        <v>17.85</v>
      </c>
      <c r="AA141" s="115" t="n">
        <f aca="false">AA136*Inputs!$C$9*AA139</f>
        <v>17.85</v>
      </c>
      <c r="AB141" s="115" t="n">
        <f aca="false">AB136*Inputs!$C$9*AB139</f>
        <v>17.85</v>
      </c>
      <c r="AC141" s="115" t="n">
        <f aca="false">AC136*Inputs!$C$9*AC139</f>
        <v>17.85</v>
      </c>
      <c r="AD141" s="115" t="n">
        <f aca="false">AD136*Inputs!$C$9*AD139</f>
        <v>17.85</v>
      </c>
      <c r="AE141" s="115" t="n">
        <f aca="false">AE136*Inputs!$C$9*AE139</f>
        <v>17.85</v>
      </c>
      <c r="AF141" s="115" t="n">
        <f aca="false">AF136*Inputs!$C$9*AF139</f>
        <v>17.85</v>
      </c>
      <c r="AG141" s="115" t="n">
        <f aca="false">AG136*Inputs!$C$9*AG139</f>
        <v>17.85</v>
      </c>
      <c r="AH141" s="115" t="n">
        <f aca="false">AH136*Inputs!$C$9*AH139</f>
        <v>17.85</v>
      </c>
      <c r="AI141" s="115" t="n">
        <f aca="false">AI136*Inputs!$C$9*AI139</f>
        <v>17.85</v>
      </c>
      <c r="AJ141" s="115" t="n">
        <f aca="false">AJ136*Inputs!$C$9*AJ139</f>
        <v>17.85</v>
      </c>
      <c r="AK141" s="115" t="n">
        <f aca="false">AK136*Inputs!$C$9*AK139</f>
        <v>17.85</v>
      </c>
      <c r="AL141" s="115" t="n">
        <f aca="false">AL136*Inputs!$C$9*AL139</f>
        <v>17.85</v>
      </c>
      <c r="AM141" s="115" t="n">
        <f aca="false">AM136*Inputs!$C$9*AM139</f>
        <v>17.85</v>
      </c>
      <c r="AN141" s="115" t="n">
        <f aca="false">AN136*Inputs!$C$9*AN139</f>
        <v>17.85</v>
      </c>
      <c r="AO141" s="115" t="n">
        <f aca="false">AO136*Inputs!$C$9*AO139</f>
        <v>17.85</v>
      </c>
      <c r="AP141" s="115" t="n">
        <f aca="false">AP136*Inputs!$C$9*AP139</f>
        <v>17.85</v>
      </c>
      <c r="AQ141" s="115" t="n">
        <f aca="false">AQ136*Inputs!$C$9*AQ139</f>
        <v>17.85</v>
      </c>
      <c r="AR141" s="115" t="n">
        <f aca="false">AR136*Inputs!$C$9*AR139</f>
        <v>17.85</v>
      </c>
      <c r="AS141" s="115" t="n">
        <f aca="false">AS136*Inputs!$C$9*AS139</f>
        <v>17.85</v>
      </c>
      <c r="AT141" s="115" t="n">
        <f aca="false">AT136*Inputs!$C$9*AT139</f>
        <v>17.85</v>
      </c>
      <c r="AU141" s="115" t="n">
        <f aca="false">AU136*Inputs!$C$9*AU139</f>
        <v>17.85</v>
      </c>
      <c r="AV141" s="115" t="n">
        <f aca="false">AV136*Inputs!$C$9*AV139</f>
        <v>17.85</v>
      </c>
      <c r="AW141" s="115" t="n">
        <f aca="false">AW136*Inputs!$C$9*AW139</f>
        <v>17.85</v>
      </c>
      <c r="AX141" s="115" t="n">
        <f aca="false">AX136*Inputs!$C$9*AX139</f>
        <v>17.85</v>
      </c>
      <c r="AY141" s="115" t="n">
        <f aca="false">AY136*Inputs!$C$9*AY139</f>
        <v>17.85</v>
      </c>
      <c r="AZ141" s="115" t="n">
        <f aca="false">AZ136*Inputs!$C$9*AZ139</f>
        <v>17.85</v>
      </c>
      <c r="BA141" s="115" t="n">
        <f aca="false">BA136*Inputs!$C$9*BA139</f>
        <v>17.85</v>
      </c>
      <c r="BB141" s="115" t="n">
        <f aca="false">BB136*Inputs!$C$9*BB139</f>
        <v>17.85</v>
      </c>
      <c r="BC141" s="115" t="n">
        <f aca="false">BC136*Inputs!$C$9*BC139</f>
        <v>17.85</v>
      </c>
      <c r="BD141" s="115" t="n">
        <f aca="false">BD136*Inputs!$C$9*BD139</f>
        <v>17.85</v>
      </c>
      <c r="BE141" s="115" t="n">
        <f aca="false">BE136*Inputs!$C$9*BE139</f>
        <v>17.85</v>
      </c>
      <c r="BF141" s="115" t="n">
        <f aca="false">BF136*Inputs!$C$9*BF139</f>
        <v>17.85</v>
      </c>
      <c r="BG141" s="115" t="n">
        <f aca="false">BG136*Inputs!$C$9*BG139</f>
        <v>17.85</v>
      </c>
      <c r="BH141" s="115" t="n">
        <f aca="false">BH136*Inputs!$C$9*BH139</f>
        <v>17.85</v>
      </c>
      <c r="BI141" s="115" t="n">
        <f aca="false">BI136*Inputs!$C$9*BI139</f>
        <v>17.85</v>
      </c>
      <c r="BJ141" s="115" t="n">
        <f aca="false">BJ136*Inputs!$C$9*BJ139</f>
        <v>17.85</v>
      </c>
    </row>
    <row r="142" customFormat="false" ht="15" hidden="false" customHeight="false" outlineLevel="0" collapsed="false">
      <c r="A142" s="6" t="s">
        <v>423</v>
      </c>
      <c r="C142" s="115" t="n">
        <f aca="false">C136*(1-Inputs!$C$9)*C139</f>
        <v>7.8</v>
      </c>
      <c r="D142" s="115" t="n">
        <f aca="false">D136*(1-Inputs!$C$9)*D139</f>
        <v>9.9125</v>
      </c>
      <c r="E142" s="115" t="n">
        <f aca="false">E136*(1-Inputs!$C$9)*E139</f>
        <v>12.025</v>
      </c>
      <c r="F142" s="115" t="n">
        <f aca="false">F136*(1-Inputs!$C$9)*F139</f>
        <v>14.1375</v>
      </c>
      <c r="G142" s="115" t="n">
        <f aca="false">G136*(1-Inputs!$C$9)*G139</f>
        <v>16.25</v>
      </c>
      <c r="H142" s="115" t="n">
        <f aca="false">H136*(1-Inputs!$C$9)*H139</f>
        <v>18.3625</v>
      </c>
      <c r="I142" s="115" t="n">
        <f aca="false">I136*(1-Inputs!$C$9)*I139</f>
        <v>20.475</v>
      </c>
      <c r="J142" s="115" t="n">
        <f aca="false">J136*(1-Inputs!$C$9)*J139</f>
        <v>22.5875</v>
      </c>
      <c r="K142" s="115" t="n">
        <f aca="false">K136*(1-Inputs!$C$9)*K139</f>
        <v>24.7</v>
      </c>
      <c r="L142" s="115" t="n">
        <f aca="false">L136*(1-Inputs!$C$9)*L139</f>
        <v>26.8125</v>
      </c>
      <c r="M142" s="115" t="n">
        <f aca="false">M136*(1-Inputs!$C$9)*M139</f>
        <v>28.925</v>
      </c>
      <c r="N142" s="115" t="n">
        <f aca="false">N136*(1-Inputs!$C$9)*N139</f>
        <v>31.0375</v>
      </c>
      <c r="O142" s="115" t="n">
        <f aca="false">O136*(1-Inputs!$C$9)*O139</f>
        <v>33.15</v>
      </c>
      <c r="P142" s="115" t="n">
        <f aca="false">P136*(1-Inputs!$C$9)*P139</f>
        <v>33.15</v>
      </c>
      <c r="Q142" s="115" t="n">
        <f aca="false">Q136*(1-Inputs!$C$9)*Q139</f>
        <v>33.15</v>
      </c>
      <c r="R142" s="115" t="n">
        <f aca="false">R136*(1-Inputs!$C$9)*R139</f>
        <v>33.15</v>
      </c>
      <c r="S142" s="115" t="n">
        <f aca="false">S136*(1-Inputs!$C$9)*S139</f>
        <v>33.15</v>
      </c>
      <c r="T142" s="115" t="n">
        <f aca="false">T136*(1-Inputs!$C$9)*T139</f>
        <v>33.15</v>
      </c>
      <c r="U142" s="115" t="n">
        <f aca="false">U136*(1-Inputs!$C$9)*U139</f>
        <v>33.15</v>
      </c>
      <c r="V142" s="115" t="n">
        <f aca="false">V136*(1-Inputs!$C$9)*V139</f>
        <v>33.15</v>
      </c>
      <c r="W142" s="115" t="n">
        <f aca="false">W136*(1-Inputs!$C$9)*W139</f>
        <v>33.15</v>
      </c>
      <c r="X142" s="115" t="n">
        <f aca="false">X136*(1-Inputs!$C$9)*X139</f>
        <v>33.15</v>
      </c>
      <c r="Y142" s="115" t="n">
        <f aca="false">Y136*(1-Inputs!$C$9)*Y139</f>
        <v>33.15</v>
      </c>
      <c r="Z142" s="115" t="n">
        <f aca="false">Z136*(1-Inputs!$C$9)*Z139</f>
        <v>33.15</v>
      </c>
      <c r="AA142" s="115" t="n">
        <f aca="false">AA136*(1-Inputs!$C$9)*AA139</f>
        <v>33.15</v>
      </c>
      <c r="AB142" s="115" t="n">
        <f aca="false">AB136*(1-Inputs!$C$9)*AB139</f>
        <v>33.15</v>
      </c>
      <c r="AC142" s="115" t="n">
        <f aca="false">AC136*(1-Inputs!$C$9)*AC139</f>
        <v>33.15</v>
      </c>
      <c r="AD142" s="115" t="n">
        <f aca="false">AD136*(1-Inputs!$C$9)*AD139</f>
        <v>33.15</v>
      </c>
      <c r="AE142" s="115" t="n">
        <f aca="false">AE136*(1-Inputs!$C$9)*AE139</f>
        <v>33.15</v>
      </c>
      <c r="AF142" s="115" t="n">
        <f aca="false">AF136*(1-Inputs!$C$9)*AF139</f>
        <v>33.15</v>
      </c>
      <c r="AG142" s="115" t="n">
        <f aca="false">AG136*(1-Inputs!$C$9)*AG139</f>
        <v>33.15</v>
      </c>
      <c r="AH142" s="115" t="n">
        <f aca="false">AH136*(1-Inputs!$C$9)*AH139</f>
        <v>33.15</v>
      </c>
      <c r="AI142" s="115" t="n">
        <f aca="false">AI136*(1-Inputs!$C$9)*AI139</f>
        <v>33.15</v>
      </c>
      <c r="AJ142" s="115" t="n">
        <f aca="false">AJ136*(1-Inputs!$C$9)*AJ139</f>
        <v>33.15</v>
      </c>
      <c r="AK142" s="115" t="n">
        <f aca="false">AK136*(1-Inputs!$C$9)*AK139</f>
        <v>33.15</v>
      </c>
      <c r="AL142" s="115" t="n">
        <f aca="false">AL136*(1-Inputs!$C$9)*AL139</f>
        <v>33.15</v>
      </c>
      <c r="AM142" s="115" t="n">
        <f aca="false">AM136*(1-Inputs!$C$9)*AM139</f>
        <v>33.15</v>
      </c>
      <c r="AN142" s="115" t="n">
        <f aca="false">AN136*(1-Inputs!$C$9)*AN139</f>
        <v>33.15</v>
      </c>
      <c r="AO142" s="115" t="n">
        <f aca="false">AO136*(1-Inputs!$C$9)*AO139</f>
        <v>33.15</v>
      </c>
      <c r="AP142" s="115" t="n">
        <f aca="false">AP136*(1-Inputs!$C$9)*AP139</f>
        <v>33.15</v>
      </c>
      <c r="AQ142" s="115" t="n">
        <f aca="false">AQ136*(1-Inputs!$C$9)*AQ139</f>
        <v>33.15</v>
      </c>
      <c r="AR142" s="115" t="n">
        <f aca="false">AR136*(1-Inputs!$C$9)*AR139</f>
        <v>33.15</v>
      </c>
      <c r="AS142" s="115" t="n">
        <f aca="false">AS136*(1-Inputs!$C$9)*AS139</f>
        <v>33.15</v>
      </c>
      <c r="AT142" s="115" t="n">
        <f aca="false">AT136*(1-Inputs!$C$9)*AT139</f>
        <v>33.15</v>
      </c>
      <c r="AU142" s="115" t="n">
        <f aca="false">AU136*(1-Inputs!$C$9)*AU139</f>
        <v>33.15</v>
      </c>
      <c r="AV142" s="115" t="n">
        <f aca="false">AV136*(1-Inputs!$C$9)*AV139</f>
        <v>33.15</v>
      </c>
      <c r="AW142" s="115" t="n">
        <f aca="false">AW136*(1-Inputs!$C$9)*AW139</f>
        <v>33.15</v>
      </c>
      <c r="AX142" s="115" t="n">
        <f aca="false">AX136*(1-Inputs!$C$9)*AX139</f>
        <v>33.15</v>
      </c>
      <c r="AY142" s="115" t="n">
        <f aca="false">AY136*(1-Inputs!$C$9)*AY139</f>
        <v>33.15</v>
      </c>
      <c r="AZ142" s="115" t="n">
        <f aca="false">AZ136*(1-Inputs!$C$9)*AZ139</f>
        <v>33.15</v>
      </c>
      <c r="BA142" s="115" t="n">
        <f aca="false">BA136*(1-Inputs!$C$9)*BA139</f>
        <v>33.15</v>
      </c>
      <c r="BB142" s="115" t="n">
        <f aca="false">BB136*(1-Inputs!$C$9)*BB139</f>
        <v>33.15</v>
      </c>
      <c r="BC142" s="115" t="n">
        <f aca="false">BC136*(1-Inputs!$C$9)*BC139</f>
        <v>33.15</v>
      </c>
      <c r="BD142" s="115" t="n">
        <f aca="false">BD136*(1-Inputs!$C$9)*BD139</f>
        <v>33.15</v>
      </c>
      <c r="BE142" s="115" t="n">
        <f aca="false">BE136*(1-Inputs!$C$9)*BE139</f>
        <v>33.15</v>
      </c>
      <c r="BF142" s="115" t="n">
        <f aca="false">BF136*(1-Inputs!$C$9)*BF139</f>
        <v>33.15</v>
      </c>
      <c r="BG142" s="115" t="n">
        <f aca="false">BG136*(1-Inputs!$C$9)*BG139</f>
        <v>33.15</v>
      </c>
      <c r="BH142" s="115" t="n">
        <f aca="false">BH136*(1-Inputs!$C$9)*BH139</f>
        <v>33.15</v>
      </c>
      <c r="BI142" s="115" t="n">
        <f aca="false">BI136*(1-Inputs!$C$9)*BI139</f>
        <v>33.15</v>
      </c>
      <c r="BJ142" s="115" t="n">
        <f aca="false">BJ136*(1-Inputs!$C$9)*BJ139</f>
        <v>33.15</v>
      </c>
    </row>
    <row r="143" customFormat="false" ht="15" hidden="false" customHeight="false" outlineLevel="0" collapsed="false">
      <c r="A143" s="4" t="s">
        <v>424</v>
      </c>
      <c r="C143" s="116" t="n">
        <f aca="false">C141+C142</f>
        <v>12</v>
      </c>
      <c r="D143" s="116" t="n">
        <f aca="false">D141+D142</f>
        <v>15.25</v>
      </c>
      <c r="E143" s="116" t="n">
        <f aca="false">E141+E142</f>
        <v>18.5</v>
      </c>
      <c r="F143" s="116" t="n">
        <f aca="false">F141+F142</f>
        <v>21.75</v>
      </c>
      <c r="G143" s="116" t="n">
        <f aca="false">G141+G142</f>
        <v>25</v>
      </c>
      <c r="H143" s="116" t="n">
        <f aca="false">H141+H142</f>
        <v>28.25</v>
      </c>
      <c r="I143" s="116" t="n">
        <f aca="false">I141+I142</f>
        <v>31.5</v>
      </c>
      <c r="J143" s="116" t="n">
        <f aca="false">J141+J142</f>
        <v>34.75</v>
      </c>
      <c r="K143" s="116" t="n">
        <f aca="false">K141+K142</f>
        <v>38</v>
      </c>
      <c r="L143" s="116" t="n">
        <f aca="false">L141+L142</f>
        <v>41.25</v>
      </c>
      <c r="M143" s="116" t="n">
        <f aca="false">M141+M142</f>
        <v>44.5</v>
      </c>
      <c r="N143" s="116" t="n">
        <f aca="false">N141+N142</f>
        <v>47.75</v>
      </c>
      <c r="O143" s="116" t="n">
        <f aca="false">O141+O142</f>
        <v>51</v>
      </c>
      <c r="P143" s="116" t="n">
        <f aca="false">P141+P142</f>
        <v>51</v>
      </c>
      <c r="Q143" s="116" t="n">
        <f aca="false">Q141+Q142</f>
        <v>51</v>
      </c>
      <c r="R143" s="116" t="n">
        <f aca="false">R141+R142</f>
        <v>51</v>
      </c>
      <c r="S143" s="116" t="n">
        <f aca="false">S141+S142</f>
        <v>51</v>
      </c>
      <c r="T143" s="116" t="n">
        <f aca="false">T141+T142</f>
        <v>51</v>
      </c>
      <c r="U143" s="116" t="n">
        <f aca="false">U141+U142</f>
        <v>51</v>
      </c>
      <c r="V143" s="116" t="n">
        <f aca="false">V141+V142</f>
        <v>51</v>
      </c>
      <c r="W143" s="116" t="n">
        <f aca="false">W141+W142</f>
        <v>51</v>
      </c>
      <c r="X143" s="116" t="n">
        <f aca="false">X141+X142</f>
        <v>51</v>
      </c>
      <c r="Y143" s="116" t="n">
        <f aca="false">Y141+Y142</f>
        <v>51</v>
      </c>
      <c r="Z143" s="116" t="n">
        <f aca="false">Z141+Z142</f>
        <v>51</v>
      </c>
      <c r="AA143" s="116" t="n">
        <f aca="false">AA141+AA142</f>
        <v>51</v>
      </c>
      <c r="AB143" s="116" t="n">
        <f aca="false">AB141+AB142</f>
        <v>51</v>
      </c>
      <c r="AC143" s="116" t="n">
        <f aca="false">AC141+AC142</f>
        <v>51</v>
      </c>
      <c r="AD143" s="116" t="n">
        <f aca="false">AD141+AD142</f>
        <v>51</v>
      </c>
      <c r="AE143" s="116" t="n">
        <f aca="false">AE141+AE142</f>
        <v>51</v>
      </c>
      <c r="AF143" s="116" t="n">
        <f aca="false">AF141+AF142</f>
        <v>51</v>
      </c>
      <c r="AG143" s="116" t="n">
        <f aca="false">AG141+AG142</f>
        <v>51</v>
      </c>
      <c r="AH143" s="116" t="n">
        <f aca="false">AH141+AH142</f>
        <v>51</v>
      </c>
      <c r="AI143" s="116" t="n">
        <f aca="false">AI141+AI142</f>
        <v>51</v>
      </c>
      <c r="AJ143" s="116" t="n">
        <f aca="false">AJ141+AJ142</f>
        <v>51</v>
      </c>
      <c r="AK143" s="116" t="n">
        <f aca="false">AK141+AK142</f>
        <v>51</v>
      </c>
      <c r="AL143" s="116" t="n">
        <f aca="false">AL141+AL142</f>
        <v>51</v>
      </c>
      <c r="AM143" s="116" t="n">
        <f aca="false">AM141+AM142</f>
        <v>51</v>
      </c>
      <c r="AN143" s="116" t="n">
        <f aca="false">AN141+AN142</f>
        <v>51</v>
      </c>
      <c r="AO143" s="116" t="n">
        <f aca="false">AO141+AO142</f>
        <v>51</v>
      </c>
      <c r="AP143" s="116" t="n">
        <f aca="false">AP141+AP142</f>
        <v>51</v>
      </c>
      <c r="AQ143" s="116" t="n">
        <f aca="false">AQ141+AQ142</f>
        <v>51</v>
      </c>
      <c r="AR143" s="116" t="n">
        <f aca="false">AR141+AR142</f>
        <v>51</v>
      </c>
      <c r="AS143" s="116" t="n">
        <f aca="false">AS141+AS142</f>
        <v>51</v>
      </c>
      <c r="AT143" s="116" t="n">
        <f aca="false">AT141+AT142</f>
        <v>51</v>
      </c>
      <c r="AU143" s="116" t="n">
        <f aca="false">AU141+AU142</f>
        <v>51</v>
      </c>
      <c r="AV143" s="116" t="n">
        <f aca="false">AV141+AV142</f>
        <v>51</v>
      </c>
      <c r="AW143" s="116" t="n">
        <f aca="false">AW141+AW142</f>
        <v>51</v>
      </c>
      <c r="AX143" s="116" t="n">
        <f aca="false">AX141+AX142</f>
        <v>51</v>
      </c>
      <c r="AY143" s="116" t="n">
        <f aca="false">AY141+AY142</f>
        <v>51</v>
      </c>
      <c r="AZ143" s="116" t="n">
        <f aca="false">AZ141+AZ142</f>
        <v>51</v>
      </c>
      <c r="BA143" s="116" t="n">
        <f aca="false">BA141+BA142</f>
        <v>51</v>
      </c>
      <c r="BB143" s="116" t="n">
        <f aca="false">BB141+BB142</f>
        <v>51</v>
      </c>
      <c r="BC143" s="116" t="n">
        <f aca="false">BC141+BC142</f>
        <v>51</v>
      </c>
      <c r="BD143" s="116" t="n">
        <f aca="false">BD141+BD142</f>
        <v>51</v>
      </c>
      <c r="BE143" s="116" t="n">
        <f aca="false">BE141+BE142</f>
        <v>51</v>
      </c>
      <c r="BF143" s="116" t="n">
        <f aca="false">BF141+BF142</f>
        <v>51</v>
      </c>
      <c r="BG143" s="116" t="n">
        <f aca="false">BG141+BG142</f>
        <v>51</v>
      </c>
      <c r="BH143" s="116" t="n">
        <f aca="false">BH141+BH142</f>
        <v>51</v>
      </c>
      <c r="BI143" s="116" t="n">
        <f aca="false">BI141+BI142</f>
        <v>51</v>
      </c>
      <c r="BJ143" s="116" t="n">
        <f aca="false">BJ141+BJ142</f>
        <v>51</v>
      </c>
    </row>
    <row r="144" customFormat="false" ht="15" hidden="false" customHeight="false" outlineLevel="0" collapsed="false">
      <c r="A144" s="6" t="s">
        <v>234</v>
      </c>
      <c r="C144" s="113" t="n">
        <f aca="false">C143*1</f>
        <v>12</v>
      </c>
      <c r="D144" s="113" t="n">
        <f aca="false">D143*1</f>
        <v>15.25</v>
      </c>
      <c r="E144" s="113" t="n">
        <f aca="false">E143*1</f>
        <v>18.5</v>
      </c>
      <c r="F144" s="113" t="n">
        <f aca="false">F143*1</f>
        <v>21.75</v>
      </c>
      <c r="G144" s="113" t="n">
        <f aca="false">G143*1</f>
        <v>25</v>
      </c>
      <c r="H144" s="113" t="n">
        <f aca="false">H143*1</f>
        <v>28.25</v>
      </c>
      <c r="I144" s="113" t="n">
        <f aca="false">I143*1</f>
        <v>31.5</v>
      </c>
      <c r="J144" s="113" t="n">
        <f aca="false">J143*1</f>
        <v>34.75</v>
      </c>
      <c r="K144" s="113" t="n">
        <f aca="false">K143*1</f>
        <v>38</v>
      </c>
      <c r="L144" s="113" t="n">
        <f aca="false">L143*1</f>
        <v>41.25</v>
      </c>
      <c r="M144" s="113" t="n">
        <f aca="false">M143*1</f>
        <v>44.5</v>
      </c>
      <c r="N144" s="113" t="n">
        <f aca="false">N143*1</f>
        <v>47.75</v>
      </c>
      <c r="O144" s="113" t="n">
        <f aca="false">O143*1</f>
        <v>51</v>
      </c>
      <c r="P144" s="113" t="n">
        <f aca="false">P143*1</f>
        <v>51</v>
      </c>
      <c r="Q144" s="113" t="n">
        <f aca="false">Q143*1</f>
        <v>51</v>
      </c>
      <c r="R144" s="113" t="n">
        <f aca="false">R143*1</f>
        <v>51</v>
      </c>
      <c r="S144" s="113" t="n">
        <f aca="false">S143*1</f>
        <v>51</v>
      </c>
      <c r="T144" s="113" t="n">
        <f aca="false">T143*1</f>
        <v>51</v>
      </c>
      <c r="U144" s="113" t="n">
        <f aca="false">U143*1</f>
        <v>51</v>
      </c>
      <c r="V144" s="113" t="n">
        <f aca="false">V143*1</f>
        <v>51</v>
      </c>
      <c r="W144" s="113" t="n">
        <f aca="false">W143*1</f>
        <v>51</v>
      </c>
      <c r="X144" s="113" t="n">
        <f aca="false">X143*1</f>
        <v>51</v>
      </c>
      <c r="Y144" s="113" t="n">
        <f aca="false">Y143*1</f>
        <v>51</v>
      </c>
      <c r="Z144" s="113" t="n">
        <f aca="false">Z143*1</f>
        <v>51</v>
      </c>
      <c r="AA144" s="113" t="n">
        <f aca="false">AA143*1</f>
        <v>51</v>
      </c>
      <c r="AB144" s="113" t="n">
        <f aca="false">AB143*1</f>
        <v>51</v>
      </c>
      <c r="AC144" s="113" t="n">
        <f aca="false">AC143*1</f>
        <v>51</v>
      </c>
      <c r="AD144" s="113" t="n">
        <f aca="false">AD143*1</f>
        <v>51</v>
      </c>
      <c r="AE144" s="113" t="n">
        <f aca="false">AE143*1</f>
        <v>51</v>
      </c>
      <c r="AF144" s="113" t="n">
        <f aca="false">AF143*1</f>
        <v>51</v>
      </c>
      <c r="AG144" s="113" t="n">
        <f aca="false">AG143*1</f>
        <v>51</v>
      </c>
      <c r="AH144" s="113" t="n">
        <f aca="false">AH143*1</f>
        <v>51</v>
      </c>
      <c r="AI144" s="113" t="n">
        <f aca="false">AI143*1</f>
        <v>51</v>
      </c>
      <c r="AJ144" s="113" t="n">
        <f aca="false">AJ143*1</f>
        <v>51</v>
      </c>
      <c r="AK144" s="113" t="n">
        <f aca="false">AK143*1</f>
        <v>51</v>
      </c>
      <c r="AL144" s="113" t="n">
        <f aca="false">AL143*1</f>
        <v>51</v>
      </c>
      <c r="AM144" s="113" t="n">
        <f aca="false">AM143*1</f>
        <v>51</v>
      </c>
      <c r="AN144" s="113" t="n">
        <f aca="false">AN143*1</f>
        <v>51</v>
      </c>
      <c r="AO144" s="113" t="n">
        <f aca="false">AO143*1</f>
        <v>51</v>
      </c>
      <c r="AP144" s="113" t="n">
        <f aca="false">AP143*1</f>
        <v>51</v>
      </c>
      <c r="AQ144" s="113" t="n">
        <f aca="false">AQ143*1</f>
        <v>51</v>
      </c>
      <c r="AR144" s="113" t="n">
        <f aca="false">AR143*1</f>
        <v>51</v>
      </c>
      <c r="AS144" s="113" t="n">
        <f aca="false">AS143*1</f>
        <v>51</v>
      </c>
      <c r="AT144" s="113" t="n">
        <f aca="false">AT143*1</f>
        <v>51</v>
      </c>
      <c r="AU144" s="113" t="n">
        <f aca="false">AU143*1</f>
        <v>51</v>
      </c>
      <c r="AV144" s="113" t="n">
        <f aca="false">AV143*1</f>
        <v>51</v>
      </c>
      <c r="AW144" s="113" t="n">
        <f aca="false">AW143*1</f>
        <v>51</v>
      </c>
      <c r="AX144" s="113" t="n">
        <f aca="false">AX143*1</f>
        <v>51</v>
      </c>
      <c r="AY144" s="113" t="n">
        <f aca="false">AY143*1</f>
        <v>51</v>
      </c>
      <c r="AZ144" s="113" t="n">
        <f aca="false">AZ143*1</f>
        <v>51</v>
      </c>
      <c r="BA144" s="113" t="n">
        <f aca="false">BA143*1</f>
        <v>51</v>
      </c>
      <c r="BB144" s="113" t="n">
        <f aca="false">BB143*1</f>
        <v>51</v>
      </c>
      <c r="BC144" s="113" t="n">
        <f aca="false">BC143*1</f>
        <v>51</v>
      </c>
      <c r="BD144" s="113" t="n">
        <f aca="false">BD143*1</f>
        <v>51</v>
      </c>
      <c r="BE144" s="113" t="n">
        <f aca="false">BE143*1</f>
        <v>51</v>
      </c>
      <c r="BF144" s="113" t="n">
        <f aca="false">BF143*1</f>
        <v>51</v>
      </c>
      <c r="BG144" s="113" t="n">
        <f aca="false">BG143*1</f>
        <v>51</v>
      </c>
      <c r="BH144" s="113" t="n">
        <f aca="false">BH143*1</f>
        <v>51</v>
      </c>
      <c r="BI144" s="113" t="n">
        <f aca="false">BI143*1</f>
        <v>51</v>
      </c>
      <c r="BJ144" s="113" t="n">
        <f aca="false">BJ143*1</f>
        <v>51</v>
      </c>
    </row>
    <row r="145" customFormat="false" ht="15" hidden="false" customHeight="false" outlineLevel="0" collapsed="false">
      <c r="A145" s="6" t="s">
        <v>233</v>
      </c>
      <c r="C145" s="113" t="n">
        <f aca="false">C136*1</f>
        <v>60</v>
      </c>
      <c r="D145" s="113" t="n">
        <f aca="false">D136*1</f>
        <v>60</v>
      </c>
      <c r="E145" s="113" t="n">
        <f aca="false">E136*1</f>
        <v>60</v>
      </c>
      <c r="F145" s="113" t="n">
        <f aca="false">F136*1</f>
        <v>60</v>
      </c>
      <c r="G145" s="113" t="n">
        <f aca="false">G136*1</f>
        <v>60</v>
      </c>
      <c r="H145" s="113" t="n">
        <f aca="false">H136*1</f>
        <v>60</v>
      </c>
      <c r="I145" s="113" t="n">
        <f aca="false">I136*1</f>
        <v>60</v>
      </c>
      <c r="J145" s="113" t="n">
        <f aca="false">J136*1</f>
        <v>60</v>
      </c>
      <c r="K145" s="113" t="n">
        <f aca="false">K136*1</f>
        <v>60</v>
      </c>
      <c r="L145" s="113" t="n">
        <f aca="false">L136*1</f>
        <v>60</v>
      </c>
      <c r="M145" s="113" t="n">
        <f aca="false">M136*1</f>
        <v>60</v>
      </c>
      <c r="N145" s="113" t="n">
        <f aca="false">N136*1</f>
        <v>60</v>
      </c>
      <c r="O145" s="113" t="n">
        <f aca="false">O136*1</f>
        <v>60</v>
      </c>
      <c r="P145" s="113" t="n">
        <f aca="false">P136*1</f>
        <v>60</v>
      </c>
      <c r="Q145" s="113" t="n">
        <f aca="false">Q136*1</f>
        <v>60</v>
      </c>
      <c r="R145" s="113" t="n">
        <f aca="false">R136*1</f>
        <v>60</v>
      </c>
      <c r="S145" s="113" t="n">
        <f aca="false">S136*1</f>
        <v>60</v>
      </c>
      <c r="T145" s="113" t="n">
        <f aca="false">T136*1</f>
        <v>60</v>
      </c>
      <c r="U145" s="113" t="n">
        <f aca="false">U136*1</f>
        <v>60</v>
      </c>
      <c r="V145" s="113" t="n">
        <f aca="false">V136*1</f>
        <v>60</v>
      </c>
      <c r="W145" s="113" t="n">
        <f aca="false">W136*1</f>
        <v>60</v>
      </c>
      <c r="X145" s="113" t="n">
        <f aca="false">X136*1</f>
        <v>60</v>
      </c>
      <c r="Y145" s="113" t="n">
        <f aca="false">Y136*1</f>
        <v>60</v>
      </c>
      <c r="Z145" s="113" t="n">
        <f aca="false">Z136*1</f>
        <v>60</v>
      </c>
      <c r="AA145" s="113" t="n">
        <f aca="false">AA136*1</f>
        <v>60</v>
      </c>
      <c r="AB145" s="113" t="n">
        <f aca="false">AB136*1</f>
        <v>60</v>
      </c>
      <c r="AC145" s="113" t="n">
        <f aca="false">AC136*1</f>
        <v>60</v>
      </c>
      <c r="AD145" s="113" t="n">
        <f aca="false">AD136*1</f>
        <v>60</v>
      </c>
      <c r="AE145" s="113" t="n">
        <f aca="false">AE136*1</f>
        <v>60</v>
      </c>
      <c r="AF145" s="113" t="n">
        <f aca="false">AF136*1</f>
        <v>60</v>
      </c>
      <c r="AG145" s="113" t="n">
        <f aca="false">AG136*1</f>
        <v>60</v>
      </c>
      <c r="AH145" s="113" t="n">
        <f aca="false">AH136*1</f>
        <v>60</v>
      </c>
      <c r="AI145" s="113" t="n">
        <f aca="false">AI136*1</f>
        <v>60</v>
      </c>
      <c r="AJ145" s="113" t="n">
        <f aca="false">AJ136*1</f>
        <v>60</v>
      </c>
      <c r="AK145" s="113" t="n">
        <f aca="false">AK136*1</f>
        <v>60</v>
      </c>
      <c r="AL145" s="113" t="n">
        <f aca="false">AL136*1</f>
        <v>60</v>
      </c>
      <c r="AM145" s="113" t="n">
        <f aca="false">AM136*1</f>
        <v>60</v>
      </c>
      <c r="AN145" s="113" t="n">
        <f aca="false">AN136*1</f>
        <v>60</v>
      </c>
      <c r="AO145" s="113" t="n">
        <f aca="false">AO136*1</f>
        <v>60</v>
      </c>
      <c r="AP145" s="113" t="n">
        <f aca="false">AP136*1</f>
        <v>60</v>
      </c>
      <c r="AQ145" s="113" t="n">
        <f aca="false">AQ136*1</f>
        <v>60</v>
      </c>
      <c r="AR145" s="113" t="n">
        <f aca="false">AR136*1</f>
        <v>60</v>
      </c>
      <c r="AS145" s="113" t="n">
        <f aca="false">AS136*1</f>
        <v>60</v>
      </c>
      <c r="AT145" s="113" t="n">
        <f aca="false">AT136*1</f>
        <v>60</v>
      </c>
      <c r="AU145" s="113" t="n">
        <f aca="false">AU136*1</f>
        <v>60</v>
      </c>
      <c r="AV145" s="113" t="n">
        <f aca="false">AV136*1</f>
        <v>60</v>
      </c>
      <c r="AW145" s="113" t="n">
        <f aca="false">AW136*1</f>
        <v>60</v>
      </c>
      <c r="AX145" s="113" t="n">
        <f aca="false">AX136*1</f>
        <v>60</v>
      </c>
      <c r="AY145" s="113" t="n">
        <f aca="false">AY136*1</f>
        <v>60</v>
      </c>
      <c r="AZ145" s="113" t="n">
        <f aca="false">AZ136*1</f>
        <v>60</v>
      </c>
      <c r="BA145" s="113" t="n">
        <f aca="false">BA136*1</f>
        <v>60</v>
      </c>
      <c r="BB145" s="113" t="n">
        <f aca="false">BB136*1</f>
        <v>60</v>
      </c>
      <c r="BC145" s="113" t="n">
        <f aca="false">BC136*1</f>
        <v>60</v>
      </c>
      <c r="BD145" s="113" t="n">
        <f aca="false">BD136*1</f>
        <v>60</v>
      </c>
      <c r="BE145" s="113" t="n">
        <f aca="false">BE136*1</f>
        <v>60</v>
      </c>
      <c r="BF145" s="113" t="n">
        <f aca="false">BF136*1</f>
        <v>60</v>
      </c>
      <c r="BG145" s="113" t="n">
        <f aca="false">BG136*1</f>
        <v>60</v>
      </c>
      <c r="BH145" s="113" t="n">
        <f aca="false">BH136*1</f>
        <v>60</v>
      </c>
      <c r="BI145" s="113" t="n">
        <f aca="false">BI136*1</f>
        <v>60</v>
      </c>
      <c r="BJ145" s="113" t="n">
        <f aca="false">BJ136*1</f>
        <v>60</v>
      </c>
    </row>
    <row r="146" customFormat="false" ht="15" hidden="false" customHeight="false" outlineLevel="0" collapsed="false">
      <c r="A146" s="6" t="s">
        <v>425</v>
      </c>
      <c r="C146" s="115" t="n">
        <f aca="false">C136*C140</f>
        <v>12</v>
      </c>
      <c r="D146" s="115" t="n">
        <f aca="false">D136*D140</f>
        <v>15.25</v>
      </c>
      <c r="E146" s="115" t="n">
        <f aca="false">E136*E140</f>
        <v>18.5</v>
      </c>
      <c r="F146" s="115" t="n">
        <f aca="false">F136*F140</f>
        <v>21.75</v>
      </c>
      <c r="G146" s="115" t="n">
        <f aca="false">G136*G140</f>
        <v>25</v>
      </c>
      <c r="H146" s="115" t="n">
        <f aca="false">H136*H140</f>
        <v>28.25</v>
      </c>
      <c r="I146" s="115" t="n">
        <f aca="false">I136*I140</f>
        <v>31.5</v>
      </c>
      <c r="J146" s="115" t="n">
        <f aca="false">J136*J140</f>
        <v>34.75</v>
      </c>
      <c r="K146" s="115" t="n">
        <f aca="false">K136*K140</f>
        <v>38</v>
      </c>
      <c r="L146" s="115" t="n">
        <f aca="false">L136*L140</f>
        <v>41.25</v>
      </c>
      <c r="M146" s="115" t="n">
        <f aca="false">M136*M140</f>
        <v>44.5</v>
      </c>
      <c r="N146" s="115" t="n">
        <f aca="false">N136*N140</f>
        <v>47.75</v>
      </c>
      <c r="O146" s="115" t="n">
        <f aca="false">O136*O140</f>
        <v>51</v>
      </c>
      <c r="P146" s="115" t="n">
        <f aca="false">P136*P140</f>
        <v>51</v>
      </c>
      <c r="Q146" s="115" t="n">
        <f aca="false">Q136*Q140</f>
        <v>51</v>
      </c>
      <c r="R146" s="115" t="n">
        <f aca="false">R136*R140</f>
        <v>51</v>
      </c>
      <c r="S146" s="115" t="n">
        <f aca="false">S136*S140</f>
        <v>51</v>
      </c>
      <c r="T146" s="115" t="n">
        <f aca="false">T136*T140</f>
        <v>51</v>
      </c>
      <c r="U146" s="115" t="n">
        <f aca="false">U136*U140</f>
        <v>51</v>
      </c>
      <c r="V146" s="115" t="n">
        <f aca="false">V136*V140</f>
        <v>51</v>
      </c>
      <c r="W146" s="115" t="n">
        <f aca="false">W136*W140</f>
        <v>51</v>
      </c>
      <c r="X146" s="115" t="n">
        <f aca="false">X136*X140</f>
        <v>51</v>
      </c>
      <c r="Y146" s="115" t="n">
        <f aca="false">Y136*Y140</f>
        <v>51</v>
      </c>
      <c r="Z146" s="115" t="n">
        <f aca="false">Z136*Z140</f>
        <v>51</v>
      </c>
      <c r="AA146" s="115" t="n">
        <f aca="false">AA136*AA140</f>
        <v>51</v>
      </c>
      <c r="AB146" s="115" t="n">
        <f aca="false">AB136*AB140</f>
        <v>51</v>
      </c>
      <c r="AC146" s="115" t="n">
        <f aca="false">AC136*AC140</f>
        <v>51</v>
      </c>
      <c r="AD146" s="115" t="n">
        <f aca="false">AD136*AD140</f>
        <v>51</v>
      </c>
      <c r="AE146" s="115" t="n">
        <f aca="false">AE136*AE140</f>
        <v>51</v>
      </c>
      <c r="AF146" s="115" t="n">
        <f aca="false">AF136*AF140</f>
        <v>51</v>
      </c>
      <c r="AG146" s="115" t="n">
        <f aca="false">AG136*AG140</f>
        <v>51</v>
      </c>
      <c r="AH146" s="115" t="n">
        <f aca="false">AH136*AH140</f>
        <v>51</v>
      </c>
      <c r="AI146" s="115" t="n">
        <f aca="false">AI136*AI140</f>
        <v>51</v>
      </c>
      <c r="AJ146" s="115" t="n">
        <f aca="false">AJ136*AJ140</f>
        <v>51</v>
      </c>
      <c r="AK146" s="115" t="n">
        <f aca="false">AK136*AK140</f>
        <v>51</v>
      </c>
      <c r="AL146" s="115" t="n">
        <f aca="false">AL136*AL140</f>
        <v>51</v>
      </c>
      <c r="AM146" s="115" t="n">
        <f aca="false">AM136*AM140</f>
        <v>51</v>
      </c>
      <c r="AN146" s="115" t="n">
        <f aca="false">AN136*AN140</f>
        <v>51</v>
      </c>
      <c r="AO146" s="115" t="n">
        <f aca="false">AO136*AO140</f>
        <v>51</v>
      </c>
      <c r="AP146" s="115" t="n">
        <f aca="false">AP136*AP140</f>
        <v>51</v>
      </c>
      <c r="AQ146" s="115" t="n">
        <f aca="false">AQ136*AQ140</f>
        <v>51</v>
      </c>
      <c r="AR146" s="115" t="n">
        <f aca="false">AR136*AR140</f>
        <v>51</v>
      </c>
      <c r="AS146" s="115" t="n">
        <f aca="false">AS136*AS140</f>
        <v>51</v>
      </c>
      <c r="AT146" s="115" t="n">
        <f aca="false">AT136*AT140</f>
        <v>51</v>
      </c>
      <c r="AU146" s="115" t="n">
        <f aca="false">AU136*AU140</f>
        <v>51</v>
      </c>
      <c r="AV146" s="115" t="n">
        <f aca="false">AV136*AV140</f>
        <v>51</v>
      </c>
      <c r="AW146" s="115" t="n">
        <f aca="false">AW136*AW140</f>
        <v>51</v>
      </c>
      <c r="AX146" s="115" t="n">
        <f aca="false">AX136*AX140</f>
        <v>51</v>
      </c>
      <c r="AY146" s="115" t="n">
        <f aca="false">AY136*AY140</f>
        <v>51</v>
      </c>
      <c r="AZ146" s="115" t="n">
        <f aca="false">AZ136*AZ140</f>
        <v>51</v>
      </c>
      <c r="BA146" s="115" t="n">
        <f aca="false">BA136*BA140</f>
        <v>51</v>
      </c>
      <c r="BB146" s="115" t="n">
        <f aca="false">BB136*BB140</f>
        <v>51</v>
      </c>
      <c r="BC146" s="115" t="n">
        <f aca="false">BC136*BC140</f>
        <v>51</v>
      </c>
      <c r="BD146" s="115" t="n">
        <f aca="false">BD136*BD140</f>
        <v>51</v>
      </c>
      <c r="BE146" s="115" t="n">
        <f aca="false">BE136*BE140</f>
        <v>51</v>
      </c>
      <c r="BF146" s="115" t="n">
        <f aca="false">BF136*BF140</f>
        <v>51</v>
      </c>
      <c r="BG146" s="115" t="n">
        <f aca="false">BG136*BG140</f>
        <v>51</v>
      </c>
      <c r="BH146" s="115" t="n">
        <f aca="false">BH136*BH140</f>
        <v>51</v>
      </c>
      <c r="BI146" s="115" t="n">
        <f aca="false">BI136*BI140</f>
        <v>51</v>
      </c>
      <c r="BJ146" s="115" t="n">
        <f aca="false">BJ136*BJ140</f>
        <v>51</v>
      </c>
    </row>
    <row r="147" customFormat="false" ht="15" hidden="false" customHeight="false" outlineLevel="0" collapsed="false">
      <c r="A147" s="6" t="s">
        <v>426</v>
      </c>
      <c r="C147" s="115" t="n">
        <f aca="false">MAX(0,C146)+C143*Inputs!$C$14*1/12</f>
        <v>12.3</v>
      </c>
      <c r="D147" s="115" t="n">
        <f aca="false">MAX(0,D146-C146)+D143*Inputs!$C$14*1/12</f>
        <v>3.63125</v>
      </c>
      <c r="E147" s="115" t="n">
        <f aca="false">MAX(0,E146-D146)+E143*Inputs!$C$14*1/12</f>
        <v>3.7125</v>
      </c>
      <c r="F147" s="115" t="n">
        <f aca="false">MAX(0,F146-E146)+F143*Inputs!$C$14*1/12</f>
        <v>3.79375</v>
      </c>
      <c r="G147" s="115" t="n">
        <f aca="false">MAX(0,G146-F146)+G143*Inputs!$C$14*1/12</f>
        <v>3.875</v>
      </c>
      <c r="H147" s="115" t="n">
        <f aca="false">MAX(0,H146-G146)+H143*Inputs!$C$14*1/12</f>
        <v>3.95625</v>
      </c>
      <c r="I147" s="115" t="n">
        <f aca="false">MAX(0,I146-H146)+I143*Inputs!$C$14*1/12</f>
        <v>4.03749999999999</v>
      </c>
      <c r="J147" s="115" t="n">
        <f aca="false">MAX(0,J146-I146)+J143*Inputs!$C$14*1/12</f>
        <v>4.11875000000001</v>
      </c>
      <c r="K147" s="115" t="n">
        <f aca="false">MAX(0,K146-J146)+K143*Inputs!$C$14*1/12</f>
        <v>4.2</v>
      </c>
      <c r="L147" s="115" t="n">
        <f aca="false">MAX(0,L146-K146)+L143*Inputs!$C$14*1/12</f>
        <v>4.28125</v>
      </c>
      <c r="M147" s="115" t="n">
        <f aca="false">MAX(0,M146-L146)+M143*Inputs!$C$14*1/12</f>
        <v>4.3625</v>
      </c>
      <c r="N147" s="115" t="n">
        <f aca="false">MAX(0,N146-M146)+N143*Inputs!$C$14*1/12</f>
        <v>4.44374999999999</v>
      </c>
      <c r="O147" s="115" t="n">
        <f aca="false">MAX(0,O146-N146)+O143*Inputs!$C$14*1/12</f>
        <v>4.525</v>
      </c>
      <c r="P147" s="115" t="n">
        <f aca="false">MAX(0,P146-O146)+P143*Inputs!$C$14*1/12</f>
        <v>1.275</v>
      </c>
      <c r="Q147" s="115" t="n">
        <f aca="false">MAX(0,Q146-P146)+Q143*Inputs!$C$14*1/12</f>
        <v>1.275</v>
      </c>
      <c r="R147" s="115" t="n">
        <f aca="false">MAX(0,R146-Q146)+R143*Inputs!$C$14*1/12</f>
        <v>1.275</v>
      </c>
      <c r="S147" s="115" t="n">
        <f aca="false">MAX(0,S146-R146)+S143*Inputs!$C$14*1/12</f>
        <v>1.275</v>
      </c>
      <c r="T147" s="115" t="n">
        <f aca="false">MAX(0,T146-S146)+T143*Inputs!$C$14*1/12</f>
        <v>1.275</v>
      </c>
      <c r="U147" s="115" t="n">
        <f aca="false">MAX(0,U146-T146)+U143*Inputs!$C$14*1/12</f>
        <v>1.275</v>
      </c>
      <c r="V147" s="115" t="n">
        <f aca="false">MAX(0,V146-U146)+V143*Inputs!$C$14*1/12</f>
        <v>1.275</v>
      </c>
      <c r="W147" s="115" t="n">
        <f aca="false">MAX(0,W146-V146)+W143*Inputs!$C$14*1/12</f>
        <v>1.275</v>
      </c>
      <c r="X147" s="115" t="n">
        <f aca="false">MAX(0,X146-W146)+X143*Inputs!$C$14*1/12</f>
        <v>1.275</v>
      </c>
      <c r="Y147" s="115" t="n">
        <f aca="false">MAX(0,Y146-X146)+Y143*Inputs!$C$14*1/12</f>
        <v>1.275</v>
      </c>
      <c r="Z147" s="115" t="n">
        <f aca="false">MAX(0,Z146-Y146)+Z143*Inputs!$C$14*1/12</f>
        <v>1.275</v>
      </c>
      <c r="AA147" s="115" t="n">
        <f aca="false">MAX(0,AA146-Z146)+AA143*Inputs!$C$14*1/12</f>
        <v>1.275</v>
      </c>
      <c r="AB147" s="115" t="n">
        <f aca="false">MAX(0,AB146-AA146)+AB143*Inputs!$C$14*1/12</f>
        <v>1.275</v>
      </c>
      <c r="AC147" s="115" t="n">
        <f aca="false">MAX(0,AC146-AB146)+AC143*Inputs!$C$14*1/12</f>
        <v>1.275</v>
      </c>
      <c r="AD147" s="115" t="n">
        <f aca="false">MAX(0,AD146-AC146)+AD143*Inputs!$C$14*1/12</f>
        <v>1.275</v>
      </c>
      <c r="AE147" s="115" t="n">
        <f aca="false">MAX(0,AE146-AD146)+AE143*Inputs!$C$14*1/12</f>
        <v>1.275</v>
      </c>
      <c r="AF147" s="115" t="n">
        <f aca="false">MAX(0,AF146-AE146)+AF143*Inputs!$C$14*1/12</f>
        <v>1.275</v>
      </c>
      <c r="AG147" s="115" t="n">
        <f aca="false">MAX(0,AG146-AF146)+AG143*Inputs!$C$14*1/12</f>
        <v>1.275</v>
      </c>
      <c r="AH147" s="115" t="n">
        <f aca="false">MAX(0,AH146-AG146)+AH143*Inputs!$C$14*1/12</f>
        <v>1.275</v>
      </c>
      <c r="AI147" s="115" t="n">
        <f aca="false">MAX(0,AI146-AH146)+AI143*Inputs!$C$14*1/12</f>
        <v>1.275</v>
      </c>
      <c r="AJ147" s="115" t="n">
        <f aca="false">MAX(0,AJ146-AI146)+AJ143*Inputs!$C$14*1/12</f>
        <v>1.275</v>
      </c>
      <c r="AK147" s="115" t="n">
        <f aca="false">MAX(0,AK146-AJ146)+AK143*Inputs!$C$14*1/12</f>
        <v>1.275</v>
      </c>
      <c r="AL147" s="115" t="n">
        <f aca="false">MAX(0,AL146-AK146)+AL143*Inputs!$C$14*1/12</f>
        <v>1.275</v>
      </c>
      <c r="AM147" s="115" t="n">
        <f aca="false">MAX(0,AM146-AL146)+AM143*Inputs!$C$14*1/12</f>
        <v>1.275</v>
      </c>
      <c r="AN147" s="115" t="n">
        <f aca="false">MAX(0,AN146-AM146)+AN143*Inputs!$C$14*1/12</f>
        <v>1.275</v>
      </c>
      <c r="AO147" s="115" t="n">
        <f aca="false">MAX(0,AO146-AN146)+AO143*Inputs!$C$14*1/12</f>
        <v>1.275</v>
      </c>
      <c r="AP147" s="115" t="n">
        <f aca="false">MAX(0,AP146-AO146)+AP143*Inputs!$C$14*1/12</f>
        <v>1.275</v>
      </c>
      <c r="AQ147" s="115" t="n">
        <f aca="false">MAX(0,AQ146-AP146)+AQ143*Inputs!$C$14*1/12</f>
        <v>1.275</v>
      </c>
      <c r="AR147" s="115" t="n">
        <f aca="false">MAX(0,AR146-AQ146)+AR143*Inputs!$C$14*1/12</f>
        <v>1.275</v>
      </c>
      <c r="AS147" s="115" t="n">
        <f aca="false">MAX(0,AS146-AR146)+AS143*Inputs!$C$14*1/12</f>
        <v>1.275</v>
      </c>
      <c r="AT147" s="115" t="n">
        <f aca="false">MAX(0,AT146-AS146)+AT143*Inputs!$C$14*1/12</f>
        <v>1.275</v>
      </c>
      <c r="AU147" s="115" t="n">
        <f aca="false">MAX(0,AU146-AT146)+AU143*Inputs!$C$14*1/12</f>
        <v>1.275</v>
      </c>
      <c r="AV147" s="115" t="n">
        <f aca="false">MAX(0,AV146-AU146)+AV143*Inputs!$C$14*1/12</f>
        <v>1.275</v>
      </c>
      <c r="AW147" s="115" t="n">
        <f aca="false">MAX(0,AW146-AV146)+AW143*Inputs!$C$14*1/12</f>
        <v>1.275</v>
      </c>
      <c r="AX147" s="115" t="n">
        <f aca="false">MAX(0,AX146-AW146)+AX143*Inputs!$C$14*1/12</f>
        <v>1.275</v>
      </c>
      <c r="AY147" s="115" t="n">
        <f aca="false">MAX(0,AY146-AX146)+AY143*Inputs!$C$14*1/12</f>
        <v>1.275</v>
      </c>
      <c r="AZ147" s="115" t="n">
        <f aca="false">MAX(0,AZ146-AY146)+AZ143*Inputs!$C$14*1/12</f>
        <v>1.275</v>
      </c>
      <c r="BA147" s="115" t="n">
        <f aca="false">MAX(0,BA146-AZ146)+BA143*Inputs!$C$14*1/12</f>
        <v>1.275</v>
      </c>
      <c r="BB147" s="115" t="n">
        <f aca="false">MAX(0,BB146-BA146)+BB143*Inputs!$C$14*1/12</f>
        <v>1.275</v>
      </c>
      <c r="BC147" s="115" t="n">
        <f aca="false">MAX(0,BC146-BB146)+BC143*Inputs!$C$14*1/12</f>
        <v>1.275</v>
      </c>
      <c r="BD147" s="115" t="n">
        <f aca="false">MAX(0,BD146-BC146)+BD143*Inputs!$C$14*1/12</f>
        <v>1.275</v>
      </c>
      <c r="BE147" s="115" t="n">
        <f aca="false">MAX(0,BE146-BD146)+BE143*Inputs!$C$14*1/12</f>
        <v>1.275</v>
      </c>
      <c r="BF147" s="115" t="n">
        <f aca="false">MAX(0,BF146-BE146)+BF143*Inputs!$C$14*1/12</f>
        <v>1.275</v>
      </c>
      <c r="BG147" s="115" t="n">
        <f aca="false">MAX(0,BG146-BF146)+BG143*Inputs!$C$14*1/12</f>
        <v>1.275</v>
      </c>
      <c r="BH147" s="115" t="n">
        <f aca="false">MAX(0,BH146-BG146)+BH143*Inputs!$C$14*1/12</f>
        <v>1.275</v>
      </c>
      <c r="BI147" s="115" t="n">
        <f aca="false">MAX(0,BI146-BH146)+BI143*Inputs!$C$14*1/12</f>
        <v>1.275</v>
      </c>
      <c r="BJ147" s="115" t="n">
        <f aca="false">MAX(0,BJ146-BI146)+BJ143*Inputs!$C$14*1/12</f>
        <v>1.275</v>
      </c>
    </row>
    <row r="149" customFormat="false" ht="15.75" hidden="false" customHeight="true" outlineLevel="0" collapsed="false">
      <c r="A149" s="7" t="s">
        <v>272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customFormat="false" ht="15" hidden="false" customHeight="false" outlineLevel="0" collapsed="false">
      <c r="A150" s="6" t="s">
        <v>427</v>
      </c>
      <c r="C150" s="113" t="n">
        <f aca="false">ROUNDUP(ROUND(C141/MAX(1,Inputs!$C$26),6),0)</f>
        <v>1</v>
      </c>
      <c r="D150" s="113" t="n">
        <f aca="false">ROUNDUP(ROUND(D141/MAX(1,Inputs!$C$26),6),0)</f>
        <v>1</v>
      </c>
      <c r="E150" s="113" t="n">
        <f aca="false">ROUNDUP(ROUND(E141/MAX(1,Inputs!$C$26),6),0)</f>
        <v>2</v>
      </c>
      <c r="F150" s="113" t="n">
        <f aca="false">ROUNDUP(ROUND(F141/MAX(1,Inputs!$C$26),6),0)</f>
        <v>2</v>
      </c>
      <c r="G150" s="113" t="n">
        <f aca="false">ROUNDUP(ROUND(G141/MAX(1,Inputs!$C$26),6),0)</f>
        <v>2</v>
      </c>
      <c r="H150" s="113" t="n">
        <f aca="false">ROUNDUP(ROUND(H141/MAX(1,Inputs!$C$26),6),0)</f>
        <v>2</v>
      </c>
      <c r="I150" s="113" t="n">
        <f aca="false">ROUNDUP(ROUND(I141/MAX(1,Inputs!$C$26),6),0)</f>
        <v>2</v>
      </c>
      <c r="J150" s="113" t="n">
        <f aca="false">ROUNDUP(ROUND(J141/MAX(1,Inputs!$C$26),6),0)</f>
        <v>3</v>
      </c>
      <c r="K150" s="113" t="n">
        <f aca="false">ROUNDUP(ROUND(K141/MAX(1,Inputs!$C$26),6),0)</f>
        <v>3</v>
      </c>
      <c r="L150" s="113" t="n">
        <f aca="false">ROUNDUP(ROUND(L141/MAX(1,Inputs!$C$26),6),0)</f>
        <v>3</v>
      </c>
      <c r="M150" s="113" t="n">
        <f aca="false">ROUNDUP(ROUND(M141/MAX(1,Inputs!$C$26),6),0)</f>
        <v>3</v>
      </c>
      <c r="N150" s="113" t="n">
        <f aca="false">ROUNDUP(ROUND(N141/MAX(1,Inputs!$C$26),6),0)</f>
        <v>3</v>
      </c>
      <c r="O150" s="113" t="n">
        <f aca="false">ROUNDUP(ROUND(O141/MAX(1,Inputs!$C$26),6),0)</f>
        <v>3</v>
      </c>
      <c r="P150" s="113" t="n">
        <f aca="false">ROUNDUP(ROUND(P141/MAX(1,Inputs!$C$26),6),0)</f>
        <v>3</v>
      </c>
      <c r="Q150" s="113" t="n">
        <f aca="false">ROUNDUP(ROUND(Q141/MAX(1,Inputs!$C$26),6),0)</f>
        <v>3</v>
      </c>
      <c r="R150" s="113" t="n">
        <f aca="false">ROUNDUP(ROUND(R141/MAX(1,Inputs!$C$26),6),0)</f>
        <v>3</v>
      </c>
      <c r="S150" s="113" t="n">
        <f aca="false">ROUNDUP(ROUND(S141/MAX(1,Inputs!$C$26),6),0)</f>
        <v>3</v>
      </c>
      <c r="T150" s="113" t="n">
        <f aca="false">ROUNDUP(ROUND(T141/MAX(1,Inputs!$C$26),6),0)</f>
        <v>3</v>
      </c>
      <c r="U150" s="113" t="n">
        <f aca="false">ROUNDUP(ROUND(U141/MAX(1,Inputs!$C$26),6),0)</f>
        <v>3</v>
      </c>
      <c r="V150" s="113" t="n">
        <f aca="false">ROUNDUP(ROUND(V141/MAX(1,Inputs!$C$26),6),0)</f>
        <v>3</v>
      </c>
      <c r="W150" s="113" t="n">
        <f aca="false">ROUNDUP(ROUND(W141/MAX(1,Inputs!$C$26),6),0)</f>
        <v>3</v>
      </c>
      <c r="X150" s="113" t="n">
        <f aca="false">ROUNDUP(ROUND(X141/MAX(1,Inputs!$C$26),6),0)</f>
        <v>3</v>
      </c>
      <c r="Y150" s="113" t="n">
        <f aca="false">ROUNDUP(ROUND(Y141/MAX(1,Inputs!$C$26),6),0)</f>
        <v>3</v>
      </c>
      <c r="Z150" s="113" t="n">
        <f aca="false">ROUNDUP(ROUND(Z141/MAX(1,Inputs!$C$26),6),0)</f>
        <v>3</v>
      </c>
      <c r="AA150" s="113" t="n">
        <f aca="false">ROUNDUP(ROUND(AA141/MAX(1,Inputs!$C$26),6),0)</f>
        <v>3</v>
      </c>
      <c r="AB150" s="113" t="n">
        <f aca="false">ROUNDUP(ROUND(AB141/MAX(1,Inputs!$C$26),6),0)</f>
        <v>3</v>
      </c>
      <c r="AC150" s="113" t="n">
        <f aca="false">ROUNDUP(ROUND(AC141/MAX(1,Inputs!$C$26),6),0)</f>
        <v>3</v>
      </c>
      <c r="AD150" s="113" t="n">
        <f aca="false">ROUNDUP(ROUND(AD141/MAX(1,Inputs!$C$26),6),0)</f>
        <v>3</v>
      </c>
      <c r="AE150" s="113" t="n">
        <f aca="false">ROUNDUP(ROUND(AE141/MAX(1,Inputs!$C$26),6),0)</f>
        <v>3</v>
      </c>
      <c r="AF150" s="113" t="n">
        <f aca="false">ROUNDUP(ROUND(AF141/MAX(1,Inputs!$C$26),6),0)</f>
        <v>3</v>
      </c>
      <c r="AG150" s="113" t="n">
        <f aca="false">ROUNDUP(ROUND(AG141/MAX(1,Inputs!$C$26),6),0)</f>
        <v>3</v>
      </c>
      <c r="AH150" s="113" t="n">
        <f aca="false">ROUNDUP(ROUND(AH141/MAX(1,Inputs!$C$26),6),0)</f>
        <v>3</v>
      </c>
      <c r="AI150" s="113" t="n">
        <f aca="false">ROUNDUP(ROUND(AI141/MAX(1,Inputs!$C$26),6),0)</f>
        <v>3</v>
      </c>
      <c r="AJ150" s="113" t="n">
        <f aca="false">ROUNDUP(ROUND(AJ141/MAX(1,Inputs!$C$26),6),0)</f>
        <v>3</v>
      </c>
      <c r="AK150" s="113" t="n">
        <f aca="false">ROUNDUP(ROUND(AK141/MAX(1,Inputs!$C$26),6),0)</f>
        <v>3</v>
      </c>
      <c r="AL150" s="113" t="n">
        <f aca="false">ROUNDUP(ROUND(AL141/MAX(1,Inputs!$C$26),6),0)</f>
        <v>3</v>
      </c>
      <c r="AM150" s="113" t="n">
        <f aca="false">ROUNDUP(ROUND(AM141/MAX(1,Inputs!$C$26),6),0)</f>
        <v>3</v>
      </c>
      <c r="AN150" s="113" t="n">
        <f aca="false">ROUNDUP(ROUND(AN141/MAX(1,Inputs!$C$26),6),0)</f>
        <v>3</v>
      </c>
      <c r="AO150" s="113" t="n">
        <f aca="false">ROUNDUP(ROUND(AO141/MAX(1,Inputs!$C$26),6),0)</f>
        <v>3</v>
      </c>
      <c r="AP150" s="113" t="n">
        <f aca="false">ROUNDUP(ROUND(AP141/MAX(1,Inputs!$C$26),6),0)</f>
        <v>3</v>
      </c>
      <c r="AQ150" s="113" t="n">
        <f aca="false">ROUNDUP(ROUND(AQ141/MAX(1,Inputs!$C$26),6),0)</f>
        <v>3</v>
      </c>
      <c r="AR150" s="113" t="n">
        <f aca="false">ROUNDUP(ROUND(AR141/MAX(1,Inputs!$C$26),6),0)</f>
        <v>3</v>
      </c>
      <c r="AS150" s="113" t="n">
        <f aca="false">ROUNDUP(ROUND(AS141/MAX(1,Inputs!$C$26),6),0)</f>
        <v>3</v>
      </c>
      <c r="AT150" s="113" t="n">
        <f aca="false">ROUNDUP(ROUND(AT141/MAX(1,Inputs!$C$26),6),0)</f>
        <v>3</v>
      </c>
      <c r="AU150" s="113" t="n">
        <f aca="false">ROUNDUP(ROUND(AU141/MAX(1,Inputs!$C$26),6),0)</f>
        <v>3</v>
      </c>
      <c r="AV150" s="113" t="n">
        <f aca="false">ROUNDUP(ROUND(AV141/MAX(1,Inputs!$C$26),6),0)</f>
        <v>3</v>
      </c>
      <c r="AW150" s="113" t="n">
        <f aca="false">ROUNDUP(ROUND(AW141/MAX(1,Inputs!$C$26),6),0)</f>
        <v>3</v>
      </c>
      <c r="AX150" s="113" t="n">
        <f aca="false">ROUNDUP(ROUND(AX141/MAX(1,Inputs!$C$26),6),0)</f>
        <v>3</v>
      </c>
      <c r="AY150" s="113" t="n">
        <f aca="false">ROUNDUP(ROUND(AY141/MAX(1,Inputs!$C$26),6),0)</f>
        <v>3</v>
      </c>
      <c r="AZ150" s="113" t="n">
        <f aca="false">ROUNDUP(ROUND(AZ141/MAX(1,Inputs!$C$26),6),0)</f>
        <v>3</v>
      </c>
      <c r="BA150" s="113" t="n">
        <f aca="false">ROUNDUP(ROUND(BA141/MAX(1,Inputs!$C$26),6),0)</f>
        <v>3</v>
      </c>
      <c r="BB150" s="113" t="n">
        <f aca="false">ROUNDUP(ROUND(BB141/MAX(1,Inputs!$C$26),6),0)</f>
        <v>3</v>
      </c>
      <c r="BC150" s="113" t="n">
        <f aca="false">ROUNDUP(ROUND(BC141/MAX(1,Inputs!$C$26),6),0)</f>
        <v>3</v>
      </c>
      <c r="BD150" s="113" t="n">
        <f aca="false">ROUNDUP(ROUND(BD141/MAX(1,Inputs!$C$26),6),0)</f>
        <v>3</v>
      </c>
      <c r="BE150" s="113" t="n">
        <f aca="false">ROUNDUP(ROUND(BE141/MAX(1,Inputs!$C$26),6),0)</f>
        <v>3</v>
      </c>
      <c r="BF150" s="113" t="n">
        <f aca="false">ROUNDUP(ROUND(BF141/MAX(1,Inputs!$C$26),6),0)</f>
        <v>3</v>
      </c>
      <c r="BG150" s="113" t="n">
        <f aca="false">ROUNDUP(ROUND(BG141/MAX(1,Inputs!$C$26),6),0)</f>
        <v>3</v>
      </c>
      <c r="BH150" s="113" t="n">
        <f aca="false">ROUNDUP(ROUND(BH141/MAX(1,Inputs!$C$26),6),0)</f>
        <v>3</v>
      </c>
      <c r="BI150" s="113" t="n">
        <f aca="false">ROUNDUP(ROUND(BI141/MAX(1,Inputs!$C$26),6),0)</f>
        <v>3</v>
      </c>
      <c r="BJ150" s="113" t="n">
        <f aca="false">ROUNDUP(ROUND(BJ141/MAX(1,Inputs!$C$26),6),0)</f>
        <v>3</v>
      </c>
    </row>
    <row r="151" customFormat="false" ht="15" hidden="false" customHeight="false" outlineLevel="0" collapsed="false">
      <c r="A151" s="6" t="s">
        <v>428</v>
      </c>
      <c r="C151" s="113" t="n">
        <f aca="false">ROUNDUP(ROUND(C142/MAX(1,Inputs!$C$27),6),0)</f>
        <v>1</v>
      </c>
      <c r="D151" s="113" t="n">
        <f aca="false">ROUNDUP(ROUND(D142/MAX(1,Inputs!$C$27),6),0)</f>
        <v>1</v>
      </c>
      <c r="E151" s="113" t="n">
        <f aca="false">ROUNDUP(ROUND(E142/MAX(1,Inputs!$C$27),6),0)</f>
        <v>2</v>
      </c>
      <c r="F151" s="113" t="n">
        <f aca="false">ROUNDUP(ROUND(F142/MAX(1,Inputs!$C$27),6),0)</f>
        <v>2</v>
      </c>
      <c r="G151" s="113" t="n">
        <f aca="false">ROUNDUP(ROUND(G142/MAX(1,Inputs!$C$27),6),0)</f>
        <v>2</v>
      </c>
      <c r="H151" s="113" t="n">
        <f aca="false">ROUNDUP(ROUND(H142/MAX(1,Inputs!$C$27),6),0)</f>
        <v>2</v>
      </c>
      <c r="I151" s="113" t="n">
        <f aca="false">ROUNDUP(ROUND(I142/MAX(1,Inputs!$C$27),6),0)</f>
        <v>2</v>
      </c>
      <c r="J151" s="113" t="n">
        <f aca="false">ROUNDUP(ROUND(J142/MAX(1,Inputs!$C$27),6),0)</f>
        <v>2</v>
      </c>
      <c r="K151" s="113" t="n">
        <f aca="false">ROUNDUP(ROUND(K142/MAX(1,Inputs!$C$27),6),0)</f>
        <v>3</v>
      </c>
      <c r="L151" s="113" t="n">
        <f aca="false">ROUNDUP(ROUND(L142/MAX(1,Inputs!$C$27),6),0)</f>
        <v>3</v>
      </c>
      <c r="M151" s="113" t="n">
        <f aca="false">ROUNDUP(ROUND(M142/MAX(1,Inputs!$C$27),6),0)</f>
        <v>3</v>
      </c>
      <c r="N151" s="113" t="n">
        <f aca="false">ROUNDUP(ROUND(N142/MAX(1,Inputs!$C$27),6),0)</f>
        <v>3</v>
      </c>
      <c r="O151" s="113" t="n">
        <f aca="false">ROUNDUP(ROUND(O142/MAX(1,Inputs!$C$27),6),0)</f>
        <v>3</v>
      </c>
      <c r="P151" s="113" t="n">
        <f aca="false">ROUNDUP(ROUND(P142/MAX(1,Inputs!$C$27),6),0)</f>
        <v>3</v>
      </c>
      <c r="Q151" s="113" t="n">
        <f aca="false">ROUNDUP(ROUND(Q142/MAX(1,Inputs!$C$27),6),0)</f>
        <v>3</v>
      </c>
      <c r="R151" s="113" t="n">
        <f aca="false">ROUNDUP(ROUND(R142/MAX(1,Inputs!$C$27),6),0)</f>
        <v>3</v>
      </c>
      <c r="S151" s="113" t="n">
        <f aca="false">ROUNDUP(ROUND(S142/MAX(1,Inputs!$C$27),6),0)</f>
        <v>3</v>
      </c>
      <c r="T151" s="113" t="n">
        <f aca="false">ROUNDUP(ROUND(T142/MAX(1,Inputs!$C$27),6),0)</f>
        <v>3</v>
      </c>
      <c r="U151" s="113" t="n">
        <f aca="false">ROUNDUP(ROUND(U142/MAX(1,Inputs!$C$27),6),0)</f>
        <v>3</v>
      </c>
      <c r="V151" s="113" t="n">
        <f aca="false">ROUNDUP(ROUND(V142/MAX(1,Inputs!$C$27),6),0)</f>
        <v>3</v>
      </c>
      <c r="W151" s="113" t="n">
        <f aca="false">ROUNDUP(ROUND(W142/MAX(1,Inputs!$C$27),6),0)</f>
        <v>3</v>
      </c>
      <c r="X151" s="113" t="n">
        <f aca="false">ROUNDUP(ROUND(X142/MAX(1,Inputs!$C$27),6),0)</f>
        <v>3</v>
      </c>
      <c r="Y151" s="113" t="n">
        <f aca="false">ROUNDUP(ROUND(Y142/MAX(1,Inputs!$C$27),6),0)</f>
        <v>3</v>
      </c>
      <c r="Z151" s="113" t="n">
        <f aca="false">ROUNDUP(ROUND(Z142/MAX(1,Inputs!$C$27),6),0)</f>
        <v>3</v>
      </c>
      <c r="AA151" s="113" t="n">
        <f aca="false">ROUNDUP(ROUND(AA142/MAX(1,Inputs!$C$27),6),0)</f>
        <v>3</v>
      </c>
      <c r="AB151" s="113" t="n">
        <f aca="false">ROUNDUP(ROUND(AB142/MAX(1,Inputs!$C$27),6),0)</f>
        <v>3</v>
      </c>
      <c r="AC151" s="113" t="n">
        <f aca="false">ROUNDUP(ROUND(AC142/MAX(1,Inputs!$C$27),6),0)</f>
        <v>3</v>
      </c>
      <c r="AD151" s="113" t="n">
        <f aca="false">ROUNDUP(ROUND(AD142/MAX(1,Inputs!$C$27),6),0)</f>
        <v>3</v>
      </c>
      <c r="AE151" s="113" t="n">
        <f aca="false">ROUNDUP(ROUND(AE142/MAX(1,Inputs!$C$27),6),0)</f>
        <v>3</v>
      </c>
      <c r="AF151" s="113" t="n">
        <f aca="false">ROUNDUP(ROUND(AF142/MAX(1,Inputs!$C$27),6),0)</f>
        <v>3</v>
      </c>
      <c r="AG151" s="113" t="n">
        <f aca="false">ROUNDUP(ROUND(AG142/MAX(1,Inputs!$C$27),6),0)</f>
        <v>3</v>
      </c>
      <c r="AH151" s="113" t="n">
        <f aca="false">ROUNDUP(ROUND(AH142/MAX(1,Inputs!$C$27),6),0)</f>
        <v>3</v>
      </c>
      <c r="AI151" s="113" t="n">
        <f aca="false">ROUNDUP(ROUND(AI142/MAX(1,Inputs!$C$27),6),0)</f>
        <v>3</v>
      </c>
      <c r="AJ151" s="113" t="n">
        <f aca="false">ROUNDUP(ROUND(AJ142/MAX(1,Inputs!$C$27),6),0)</f>
        <v>3</v>
      </c>
      <c r="AK151" s="113" t="n">
        <f aca="false">ROUNDUP(ROUND(AK142/MAX(1,Inputs!$C$27),6),0)</f>
        <v>3</v>
      </c>
      <c r="AL151" s="113" t="n">
        <f aca="false">ROUNDUP(ROUND(AL142/MAX(1,Inputs!$C$27),6),0)</f>
        <v>3</v>
      </c>
      <c r="AM151" s="113" t="n">
        <f aca="false">ROUNDUP(ROUND(AM142/MAX(1,Inputs!$C$27),6),0)</f>
        <v>3</v>
      </c>
      <c r="AN151" s="113" t="n">
        <f aca="false">ROUNDUP(ROUND(AN142/MAX(1,Inputs!$C$27),6),0)</f>
        <v>3</v>
      </c>
      <c r="AO151" s="113" t="n">
        <f aca="false">ROUNDUP(ROUND(AO142/MAX(1,Inputs!$C$27),6),0)</f>
        <v>3</v>
      </c>
      <c r="AP151" s="113" t="n">
        <f aca="false">ROUNDUP(ROUND(AP142/MAX(1,Inputs!$C$27),6),0)</f>
        <v>3</v>
      </c>
      <c r="AQ151" s="113" t="n">
        <f aca="false">ROUNDUP(ROUND(AQ142/MAX(1,Inputs!$C$27),6),0)</f>
        <v>3</v>
      </c>
      <c r="AR151" s="113" t="n">
        <f aca="false">ROUNDUP(ROUND(AR142/MAX(1,Inputs!$C$27),6),0)</f>
        <v>3</v>
      </c>
      <c r="AS151" s="113" t="n">
        <f aca="false">ROUNDUP(ROUND(AS142/MAX(1,Inputs!$C$27),6),0)</f>
        <v>3</v>
      </c>
      <c r="AT151" s="113" t="n">
        <f aca="false">ROUNDUP(ROUND(AT142/MAX(1,Inputs!$C$27),6),0)</f>
        <v>3</v>
      </c>
      <c r="AU151" s="113" t="n">
        <f aca="false">ROUNDUP(ROUND(AU142/MAX(1,Inputs!$C$27),6),0)</f>
        <v>3</v>
      </c>
      <c r="AV151" s="113" t="n">
        <f aca="false">ROUNDUP(ROUND(AV142/MAX(1,Inputs!$C$27),6),0)</f>
        <v>3</v>
      </c>
      <c r="AW151" s="113" t="n">
        <f aca="false">ROUNDUP(ROUND(AW142/MAX(1,Inputs!$C$27),6),0)</f>
        <v>3</v>
      </c>
      <c r="AX151" s="113" t="n">
        <f aca="false">ROUNDUP(ROUND(AX142/MAX(1,Inputs!$C$27),6),0)</f>
        <v>3</v>
      </c>
      <c r="AY151" s="113" t="n">
        <f aca="false">ROUNDUP(ROUND(AY142/MAX(1,Inputs!$C$27),6),0)</f>
        <v>3</v>
      </c>
      <c r="AZ151" s="113" t="n">
        <f aca="false">ROUNDUP(ROUND(AZ142/MAX(1,Inputs!$C$27),6),0)</f>
        <v>3</v>
      </c>
      <c r="BA151" s="113" t="n">
        <f aca="false">ROUNDUP(ROUND(BA142/MAX(1,Inputs!$C$27),6),0)</f>
        <v>3</v>
      </c>
      <c r="BB151" s="113" t="n">
        <f aca="false">ROUNDUP(ROUND(BB142/MAX(1,Inputs!$C$27),6),0)</f>
        <v>3</v>
      </c>
      <c r="BC151" s="113" t="n">
        <f aca="false">ROUNDUP(ROUND(BC142/MAX(1,Inputs!$C$27),6),0)</f>
        <v>3</v>
      </c>
      <c r="BD151" s="113" t="n">
        <f aca="false">ROUNDUP(ROUND(BD142/MAX(1,Inputs!$C$27),6),0)</f>
        <v>3</v>
      </c>
      <c r="BE151" s="113" t="n">
        <f aca="false">ROUNDUP(ROUND(BE142/MAX(1,Inputs!$C$27),6),0)</f>
        <v>3</v>
      </c>
      <c r="BF151" s="113" t="n">
        <f aca="false">ROUNDUP(ROUND(BF142/MAX(1,Inputs!$C$27),6),0)</f>
        <v>3</v>
      </c>
      <c r="BG151" s="113" t="n">
        <f aca="false">ROUNDUP(ROUND(BG142/MAX(1,Inputs!$C$27),6),0)</f>
        <v>3</v>
      </c>
      <c r="BH151" s="113" t="n">
        <f aca="false">ROUNDUP(ROUND(BH142/MAX(1,Inputs!$C$27),6),0)</f>
        <v>3</v>
      </c>
      <c r="BI151" s="113" t="n">
        <f aca="false">ROUNDUP(ROUND(BI142/MAX(1,Inputs!$C$27),6),0)</f>
        <v>3</v>
      </c>
      <c r="BJ151" s="113" t="n">
        <f aca="false">ROUNDUP(ROUND(BJ142/MAX(1,Inputs!$C$27),6),0)</f>
        <v>3</v>
      </c>
    </row>
    <row r="152" customFormat="false" ht="15" hidden="false" customHeight="false" outlineLevel="0" collapsed="false">
      <c r="A152" s="4" t="s">
        <v>429</v>
      </c>
      <c r="C152" s="117" t="n">
        <f aca="false">C150+C151</f>
        <v>2</v>
      </c>
      <c r="D152" s="117" t="n">
        <f aca="false">D150+D151</f>
        <v>2</v>
      </c>
      <c r="E152" s="117" t="n">
        <f aca="false">E150+E151</f>
        <v>4</v>
      </c>
      <c r="F152" s="117" t="n">
        <f aca="false">F150+F151</f>
        <v>4</v>
      </c>
      <c r="G152" s="117" t="n">
        <f aca="false">G150+G151</f>
        <v>4</v>
      </c>
      <c r="H152" s="117" t="n">
        <f aca="false">H150+H151</f>
        <v>4</v>
      </c>
      <c r="I152" s="117" t="n">
        <f aca="false">I150+I151</f>
        <v>4</v>
      </c>
      <c r="J152" s="117" t="n">
        <f aca="false">J150+J151</f>
        <v>5</v>
      </c>
      <c r="K152" s="117" t="n">
        <f aca="false">K150+K151</f>
        <v>6</v>
      </c>
      <c r="L152" s="117" t="n">
        <f aca="false">L150+L151</f>
        <v>6</v>
      </c>
      <c r="M152" s="117" t="n">
        <f aca="false">M150+M151</f>
        <v>6</v>
      </c>
      <c r="N152" s="117" t="n">
        <f aca="false">N150+N151</f>
        <v>6</v>
      </c>
      <c r="O152" s="117" t="n">
        <f aca="false">O150+O151</f>
        <v>6</v>
      </c>
      <c r="P152" s="117" t="n">
        <f aca="false">P150+P151</f>
        <v>6</v>
      </c>
      <c r="Q152" s="117" t="n">
        <f aca="false">Q150+Q151</f>
        <v>6</v>
      </c>
      <c r="R152" s="117" t="n">
        <f aca="false">R150+R151</f>
        <v>6</v>
      </c>
      <c r="S152" s="117" t="n">
        <f aca="false">S150+S151</f>
        <v>6</v>
      </c>
      <c r="T152" s="117" t="n">
        <f aca="false">T150+T151</f>
        <v>6</v>
      </c>
      <c r="U152" s="117" t="n">
        <f aca="false">U150+U151</f>
        <v>6</v>
      </c>
      <c r="V152" s="117" t="n">
        <f aca="false">V150+V151</f>
        <v>6</v>
      </c>
      <c r="W152" s="117" t="n">
        <f aca="false">W150+W151</f>
        <v>6</v>
      </c>
      <c r="X152" s="117" t="n">
        <f aca="false">X150+X151</f>
        <v>6</v>
      </c>
      <c r="Y152" s="117" t="n">
        <f aca="false">Y150+Y151</f>
        <v>6</v>
      </c>
      <c r="Z152" s="117" t="n">
        <f aca="false">Z150+Z151</f>
        <v>6</v>
      </c>
      <c r="AA152" s="117" t="n">
        <f aca="false">AA150+AA151</f>
        <v>6</v>
      </c>
      <c r="AB152" s="117" t="n">
        <f aca="false">AB150+AB151</f>
        <v>6</v>
      </c>
      <c r="AC152" s="117" t="n">
        <f aca="false">AC150+AC151</f>
        <v>6</v>
      </c>
      <c r="AD152" s="117" t="n">
        <f aca="false">AD150+AD151</f>
        <v>6</v>
      </c>
      <c r="AE152" s="117" t="n">
        <f aca="false">AE150+AE151</f>
        <v>6</v>
      </c>
      <c r="AF152" s="117" t="n">
        <f aca="false">AF150+AF151</f>
        <v>6</v>
      </c>
      <c r="AG152" s="117" t="n">
        <f aca="false">AG150+AG151</f>
        <v>6</v>
      </c>
      <c r="AH152" s="117" t="n">
        <f aca="false">AH150+AH151</f>
        <v>6</v>
      </c>
      <c r="AI152" s="117" t="n">
        <f aca="false">AI150+AI151</f>
        <v>6</v>
      </c>
      <c r="AJ152" s="117" t="n">
        <f aca="false">AJ150+AJ151</f>
        <v>6</v>
      </c>
      <c r="AK152" s="117" t="n">
        <f aca="false">AK150+AK151</f>
        <v>6</v>
      </c>
      <c r="AL152" s="117" t="n">
        <f aca="false">AL150+AL151</f>
        <v>6</v>
      </c>
      <c r="AM152" s="117" t="n">
        <f aca="false">AM150+AM151</f>
        <v>6</v>
      </c>
      <c r="AN152" s="117" t="n">
        <f aca="false">AN150+AN151</f>
        <v>6</v>
      </c>
      <c r="AO152" s="117" t="n">
        <f aca="false">AO150+AO151</f>
        <v>6</v>
      </c>
      <c r="AP152" s="117" t="n">
        <f aca="false">AP150+AP151</f>
        <v>6</v>
      </c>
      <c r="AQ152" s="117" t="n">
        <f aca="false">AQ150+AQ151</f>
        <v>6</v>
      </c>
      <c r="AR152" s="117" t="n">
        <f aca="false">AR150+AR151</f>
        <v>6</v>
      </c>
      <c r="AS152" s="117" t="n">
        <f aca="false">AS150+AS151</f>
        <v>6</v>
      </c>
      <c r="AT152" s="117" t="n">
        <f aca="false">AT150+AT151</f>
        <v>6</v>
      </c>
      <c r="AU152" s="117" t="n">
        <f aca="false">AU150+AU151</f>
        <v>6</v>
      </c>
      <c r="AV152" s="117" t="n">
        <f aca="false">AV150+AV151</f>
        <v>6</v>
      </c>
      <c r="AW152" s="117" t="n">
        <f aca="false">AW150+AW151</f>
        <v>6</v>
      </c>
      <c r="AX152" s="117" t="n">
        <f aca="false">AX150+AX151</f>
        <v>6</v>
      </c>
      <c r="AY152" s="117" t="n">
        <f aca="false">AY150+AY151</f>
        <v>6</v>
      </c>
      <c r="AZ152" s="117" t="n">
        <f aca="false">AZ150+AZ151</f>
        <v>6</v>
      </c>
      <c r="BA152" s="117" t="n">
        <f aca="false">BA150+BA151</f>
        <v>6</v>
      </c>
      <c r="BB152" s="117" t="n">
        <f aca="false">BB150+BB151</f>
        <v>6</v>
      </c>
      <c r="BC152" s="117" t="n">
        <f aca="false">BC150+BC151</f>
        <v>6</v>
      </c>
      <c r="BD152" s="117" t="n">
        <f aca="false">BD150+BD151</f>
        <v>6</v>
      </c>
      <c r="BE152" s="117" t="n">
        <f aca="false">BE150+BE151</f>
        <v>6</v>
      </c>
      <c r="BF152" s="117" t="n">
        <f aca="false">BF150+BF151</f>
        <v>6</v>
      </c>
      <c r="BG152" s="117" t="n">
        <f aca="false">BG150+BG151</f>
        <v>6</v>
      </c>
      <c r="BH152" s="117" t="n">
        <f aca="false">BH150+BH151</f>
        <v>6</v>
      </c>
      <c r="BI152" s="117" t="n">
        <f aca="false">BI150+BI151</f>
        <v>6</v>
      </c>
      <c r="BJ152" s="117" t="n">
        <f aca="false">BJ150+BJ151</f>
        <v>6</v>
      </c>
    </row>
    <row r="153" customFormat="false" ht="15" hidden="false" customHeight="false" outlineLevel="0" collapsed="false">
      <c r="A153" s="6" t="s">
        <v>430</v>
      </c>
      <c r="C153" s="115" t="n">
        <f aca="false">C152*Inputs!$C$28</f>
        <v>2.4</v>
      </c>
      <c r="D153" s="115" t="n">
        <f aca="false">D152*Inputs!$C$28</f>
        <v>2.4</v>
      </c>
      <c r="E153" s="115" t="n">
        <f aca="false">E152*Inputs!$C$28</f>
        <v>4.8</v>
      </c>
      <c r="F153" s="115" t="n">
        <f aca="false">F152*Inputs!$C$28</f>
        <v>4.8</v>
      </c>
      <c r="G153" s="115" t="n">
        <f aca="false">G152*Inputs!$C$28</f>
        <v>4.8</v>
      </c>
      <c r="H153" s="115" t="n">
        <f aca="false">H152*Inputs!$C$28</f>
        <v>4.8</v>
      </c>
      <c r="I153" s="115" t="n">
        <f aca="false">I152*Inputs!$C$28</f>
        <v>4.8</v>
      </c>
      <c r="J153" s="115" t="n">
        <f aca="false">J152*Inputs!$C$28</f>
        <v>6</v>
      </c>
      <c r="K153" s="115" t="n">
        <f aca="false">K152*Inputs!$C$28</f>
        <v>7.2</v>
      </c>
      <c r="L153" s="115" t="n">
        <f aca="false">L152*Inputs!$C$28</f>
        <v>7.2</v>
      </c>
      <c r="M153" s="115" t="n">
        <f aca="false">M152*Inputs!$C$28</f>
        <v>7.2</v>
      </c>
      <c r="N153" s="115" t="n">
        <f aca="false">N152*Inputs!$C$28</f>
        <v>7.2</v>
      </c>
      <c r="O153" s="115" t="n">
        <f aca="false">O152*Inputs!$C$28</f>
        <v>7.2</v>
      </c>
      <c r="P153" s="115" t="n">
        <f aca="false">P152*Inputs!$C$28</f>
        <v>7.2</v>
      </c>
      <c r="Q153" s="115" t="n">
        <f aca="false">Q152*Inputs!$C$28</f>
        <v>7.2</v>
      </c>
      <c r="R153" s="115" t="n">
        <f aca="false">R152*Inputs!$C$28</f>
        <v>7.2</v>
      </c>
      <c r="S153" s="115" t="n">
        <f aca="false">S152*Inputs!$C$28</f>
        <v>7.2</v>
      </c>
      <c r="T153" s="115" t="n">
        <f aca="false">T152*Inputs!$C$28</f>
        <v>7.2</v>
      </c>
      <c r="U153" s="115" t="n">
        <f aca="false">U152*Inputs!$C$28</f>
        <v>7.2</v>
      </c>
      <c r="V153" s="115" t="n">
        <f aca="false">V152*Inputs!$C$28</f>
        <v>7.2</v>
      </c>
      <c r="W153" s="115" t="n">
        <f aca="false">W152*Inputs!$C$28</f>
        <v>7.2</v>
      </c>
      <c r="X153" s="115" t="n">
        <f aca="false">X152*Inputs!$C$28</f>
        <v>7.2</v>
      </c>
      <c r="Y153" s="115" t="n">
        <f aca="false">Y152*Inputs!$C$28</f>
        <v>7.2</v>
      </c>
      <c r="Z153" s="115" t="n">
        <f aca="false">Z152*Inputs!$C$28</f>
        <v>7.2</v>
      </c>
      <c r="AA153" s="115" t="n">
        <f aca="false">AA152*Inputs!$C$28</f>
        <v>7.2</v>
      </c>
      <c r="AB153" s="115" t="n">
        <f aca="false">AB152*Inputs!$C$28</f>
        <v>7.2</v>
      </c>
      <c r="AC153" s="115" t="n">
        <f aca="false">AC152*Inputs!$C$28</f>
        <v>7.2</v>
      </c>
      <c r="AD153" s="115" t="n">
        <f aca="false">AD152*Inputs!$C$28</f>
        <v>7.2</v>
      </c>
      <c r="AE153" s="115" t="n">
        <f aca="false">AE152*Inputs!$C$28</f>
        <v>7.2</v>
      </c>
      <c r="AF153" s="115" t="n">
        <f aca="false">AF152*Inputs!$C$28</f>
        <v>7.2</v>
      </c>
      <c r="AG153" s="115" t="n">
        <f aca="false">AG152*Inputs!$C$28</f>
        <v>7.2</v>
      </c>
      <c r="AH153" s="115" t="n">
        <f aca="false">AH152*Inputs!$C$28</f>
        <v>7.2</v>
      </c>
      <c r="AI153" s="115" t="n">
        <f aca="false">AI152*Inputs!$C$28</f>
        <v>7.2</v>
      </c>
      <c r="AJ153" s="115" t="n">
        <f aca="false">AJ152*Inputs!$C$28</f>
        <v>7.2</v>
      </c>
      <c r="AK153" s="115" t="n">
        <f aca="false">AK152*Inputs!$C$28</f>
        <v>7.2</v>
      </c>
      <c r="AL153" s="115" t="n">
        <f aca="false">AL152*Inputs!$C$28</f>
        <v>7.2</v>
      </c>
      <c r="AM153" s="115" t="n">
        <f aca="false">AM152*Inputs!$C$28</f>
        <v>7.2</v>
      </c>
      <c r="AN153" s="115" t="n">
        <f aca="false">AN152*Inputs!$C$28</f>
        <v>7.2</v>
      </c>
      <c r="AO153" s="115" t="n">
        <f aca="false">AO152*Inputs!$C$28</f>
        <v>7.2</v>
      </c>
      <c r="AP153" s="115" t="n">
        <f aca="false">AP152*Inputs!$C$28</f>
        <v>7.2</v>
      </c>
      <c r="AQ153" s="115" t="n">
        <f aca="false">AQ152*Inputs!$C$28</f>
        <v>7.2</v>
      </c>
      <c r="AR153" s="115" t="n">
        <f aca="false">AR152*Inputs!$C$28</f>
        <v>7.2</v>
      </c>
      <c r="AS153" s="115" t="n">
        <f aca="false">AS152*Inputs!$C$28</f>
        <v>7.2</v>
      </c>
      <c r="AT153" s="115" t="n">
        <f aca="false">AT152*Inputs!$C$28</f>
        <v>7.2</v>
      </c>
      <c r="AU153" s="115" t="n">
        <f aca="false">AU152*Inputs!$C$28</f>
        <v>7.2</v>
      </c>
      <c r="AV153" s="115" t="n">
        <f aca="false">AV152*Inputs!$C$28</f>
        <v>7.2</v>
      </c>
      <c r="AW153" s="115" t="n">
        <f aca="false">AW152*Inputs!$C$28</f>
        <v>7.2</v>
      </c>
      <c r="AX153" s="115" t="n">
        <f aca="false">AX152*Inputs!$C$28</f>
        <v>7.2</v>
      </c>
      <c r="AY153" s="115" t="n">
        <f aca="false">AY152*Inputs!$C$28</f>
        <v>7.2</v>
      </c>
      <c r="AZ153" s="115" t="n">
        <f aca="false">AZ152*Inputs!$C$28</f>
        <v>7.2</v>
      </c>
      <c r="BA153" s="115" t="n">
        <f aca="false">BA152*Inputs!$C$28</f>
        <v>7.2</v>
      </c>
      <c r="BB153" s="115" t="n">
        <f aca="false">BB152*Inputs!$C$28</f>
        <v>7.2</v>
      </c>
      <c r="BC153" s="115" t="n">
        <f aca="false">BC152*Inputs!$C$28</f>
        <v>7.2</v>
      </c>
      <c r="BD153" s="115" t="n">
        <f aca="false">BD152*Inputs!$C$28</f>
        <v>7.2</v>
      </c>
      <c r="BE153" s="115" t="n">
        <f aca="false">BE152*Inputs!$C$28</f>
        <v>7.2</v>
      </c>
      <c r="BF153" s="115" t="n">
        <f aca="false">BF152*Inputs!$C$28</f>
        <v>7.2</v>
      </c>
      <c r="BG153" s="115" t="n">
        <f aca="false">BG152*Inputs!$C$28</f>
        <v>7.2</v>
      </c>
      <c r="BH153" s="115" t="n">
        <f aca="false">BH152*Inputs!$C$28</f>
        <v>7.2</v>
      </c>
      <c r="BI153" s="115" t="n">
        <f aca="false">BI152*Inputs!$C$28</f>
        <v>7.2</v>
      </c>
      <c r="BJ153" s="115" t="n">
        <f aca="false">BJ152*Inputs!$C$28</f>
        <v>7.2</v>
      </c>
    </row>
    <row r="155" customFormat="false" ht="15.75" hidden="false" customHeight="true" outlineLevel="0" collapsed="false">
      <c r="A155" s="7" t="s">
        <v>44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customFormat="false" ht="15" hidden="false" customHeight="false" outlineLevel="0" collapsed="false">
      <c r="A156" s="6" t="s">
        <v>431</v>
      </c>
      <c r="C156" s="66" t="n">
        <f aca="false">(C141*Inputs!$C$17+C142*Inputs!$C$18)*1*(1+Inputs!$C$19)^(C$133-1)</f>
        <v>14880</v>
      </c>
      <c r="D156" s="66" t="n">
        <f aca="false">(D141*Inputs!$C$17+D142*Inputs!$C$18)*1*(1+Inputs!$C$19)^(D$133-1)</f>
        <v>18910</v>
      </c>
      <c r="E156" s="66" t="n">
        <f aca="false">(E141*Inputs!$C$17+E142*Inputs!$C$18)*1*(1+Inputs!$C$19)^(E$133-1)</f>
        <v>22940</v>
      </c>
      <c r="F156" s="66" t="n">
        <f aca="false">(F141*Inputs!$C$17+F142*Inputs!$C$18)*1*(1+Inputs!$C$19)^(F$133-1)</f>
        <v>26970</v>
      </c>
      <c r="G156" s="66" t="n">
        <f aca="false">(G141*Inputs!$C$17+G142*Inputs!$C$18)*1*(1+Inputs!$C$19)^(G$133-1)</f>
        <v>31000</v>
      </c>
      <c r="H156" s="66" t="n">
        <f aca="false">(H141*Inputs!$C$17+H142*Inputs!$C$18)*1*(1+Inputs!$C$19)^(H$133-1)</f>
        <v>35030</v>
      </c>
      <c r="I156" s="66" t="n">
        <f aca="false">(I141*Inputs!$C$17+I142*Inputs!$C$18)*1*(1+Inputs!$C$19)^(I$133-1)</f>
        <v>39060</v>
      </c>
      <c r="J156" s="66" t="n">
        <f aca="false">(J141*Inputs!$C$17+J142*Inputs!$C$18)*1*(1+Inputs!$C$19)^(J$133-1)</f>
        <v>43090</v>
      </c>
      <c r="K156" s="66" t="n">
        <f aca="false">(K141*Inputs!$C$17+K142*Inputs!$C$18)*1*(1+Inputs!$C$19)^(K$133-1)</f>
        <v>47120</v>
      </c>
      <c r="L156" s="66" t="n">
        <f aca="false">(L141*Inputs!$C$17+L142*Inputs!$C$18)*1*(1+Inputs!$C$19)^(L$133-1)</f>
        <v>51150</v>
      </c>
      <c r="M156" s="66" t="n">
        <f aca="false">(M141*Inputs!$C$17+M142*Inputs!$C$18)*1*(1+Inputs!$C$19)^(M$133-1)</f>
        <v>55180</v>
      </c>
      <c r="N156" s="66" t="n">
        <f aca="false">(N141*Inputs!$C$17+N142*Inputs!$C$18)*1*(1+Inputs!$C$19)^(N$133-1)</f>
        <v>59210</v>
      </c>
      <c r="O156" s="66" t="n">
        <f aca="false">(O141*Inputs!$C$17+O142*Inputs!$C$18)*1*(1+Inputs!$C$19)^(O$133-1)</f>
        <v>65137.2</v>
      </c>
      <c r="P156" s="66" t="n">
        <f aca="false">(P141*Inputs!$C$17+P142*Inputs!$C$18)*1*(1+Inputs!$C$19)^(P$133-1)</f>
        <v>65137.2</v>
      </c>
      <c r="Q156" s="66" t="n">
        <f aca="false">(Q141*Inputs!$C$17+Q142*Inputs!$C$18)*1*(1+Inputs!$C$19)^(Q$133-1)</f>
        <v>65137.2</v>
      </c>
      <c r="R156" s="66" t="n">
        <f aca="false">(R141*Inputs!$C$17+R142*Inputs!$C$18)*1*(1+Inputs!$C$19)^(R$133-1)</f>
        <v>65137.2</v>
      </c>
      <c r="S156" s="66" t="n">
        <f aca="false">(S141*Inputs!$C$17+S142*Inputs!$C$18)*1*(1+Inputs!$C$19)^(S$133-1)</f>
        <v>65137.2</v>
      </c>
      <c r="T156" s="66" t="n">
        <f aca="false">(T141*Inputs!$C$17+T142*Inputs!$C$18)*1*(1+Inputs!$C$19)^(T$133-1)</f>
        <v>65137.2</v>
      </c>
      <c r="U156" s="66" t="n">
        <f aca="false">(U141*Inputs!$C$17+U142*Inputs!$C$18)*1*(1+Inputs!$C$19)^(U$133-1)</f>
        <v>65137.2</v>
      </c>
      <c r="V156" s="66" t="n">
        <f aca="false">(V141*Inputs!$C$17+V142*Inputs!$C$18)*1*(1+Inputs!$C$19)^(V$133-1)</f>
        <v>65137.2</v>
      </c>
      <c r="W156" s="66" t="n">
        <f aca="false">(W141*Inputs!$C$17+W142*Inputs!$C$18)*1*(1+Inputs!$C$19)^(W$133-1)</f>
        <v>65137.2</v>
      </c>
      <c r="X156" s="66" t="n">
        <f aca="false">(X141*Inputs!$C$17+X142*Inputs!$C$18)*1*(1+Inputs!$C$19)^(X$133-1)</f>
        <v>65137.2</v>
      </c>
      <c r="Y156" s="66" t="n">
        <f aca="false">(Y141*Inputs!$C$17+Y142*Inputs!$C$18)*1*(1+Inputs!$C$19)^(Y$133-1)</f>
        <v>65137.2</v>
      </c>
      <c r="Z156" s="66" t="n">
        <f aca="false">(Z141*Inputs!$C$17+Z142*Inputs!$C$18)*1*(1+Inputs!$C$19)^(Z$133-1)</f>
        <v>65137.2</v>
      </c>
      <c r="AA156" s="66" t="n">
        <f aca="false">(AA141*Inputs!$C$17+AA142*Inputs!$C$18)*1*(1+Inputs!$C$19)^(AA$133-1)</f>
        <v>67091.316</v>
      </c>
      <c r="AB156" s="66" t="n">
        <f aca="false">(AB141*Inputs!$C$17+AB142*Inputs!$C$18)*1*(1+Inputs!$C$19)^(AB$133-1)</f>
        <v>67091.316</v>
      </c>
      <c r="AC156" s="66" t="n">
        <f aca="false">(AC141*Inputs!$C$17+AC142*Inputs!$C$18)*1*(1+Inputs!$C$19)^(AC$133-1)</f>
        <v>67091.316</v>
      </c>
      <c r="AD156" s="66" t="n">
        <f aca="false">(AD141*Inputs!$C$17+AD142*Inputs!$C$18)*1*(1+Inputs!$C$19)^(AD$133-1)</f>
        <v>67091.316</v>
      </c>
      <c r="AE156" s="66" t="n">
        <f aca="false">(AE141*Inputs!$C$17+AE142*Inputs!$C$18)*1*(1+Inputs!$C$19)^(AE$133-1)</f>
        <v>67091.316</v>
      </c>
      <c r="AF156" s="66" t="n">
        <f aca="false">(AF141*Inputs!$C$17+AF142*Inputs!$C$18)*1*(1+Inputs!$C$19)^(AF$133-1)</f>
        <v>67091.316</v>
      </c>
      <c r="AG156" s="66" t="n">
        <f aca="false">(AG141*Inputs!$C$17+AG142*Inputs!$C$18)*1*(1+Inputs!$C$19)^(AG$133-1)</f>
        <v>67091.316</v>
      </c>
      <c r="AH156" s="66" t="n">
        <f aca="false">(AH141*Inputs!$C$17+AH142*Inputs!$C$18)*1*(1+Inputs!$C$19)^(AH$133-1)</f>
        <v>67091.316</v>
      </c>
      <c r="AI156" s="66" t="n">
        <f aca="false">(AI141*Inputs!$C$17+AI142*Inputs!$C$18)*1*(1+Inputs!$C$19)^(AI$133-1)</f>
        <v>67091.316</v>
      </c>
      <c r="AJ156" s="66" t="n">
        <f aca="false">(AJ141*Inputs!$C$17+AJ142*Inputs!$C$18)*1*(1+Inputs!$C$19)^(AJ$133-1)</f>
        <v>67091.316</v>
      </c>
      <c r="AK156" s="66" t="n">
        <f aca="false">(AK141*Inputs!$C$17+AK142*Inputs!$C$18)*1*(1+Inputs!$C$19)^(AK$133-1)</f>
        <v>67091.316</v>
      </c>
      <c r="AL156" s="66" t="n">
        <f aca="false">(AL141*Inputs!$C$17+AL142*Inputs!$C$18)*1*(1+Inputs!$C$19)^(AL$133-1)</f>
        <v>67091.316</v>
      </c>
      <c r="AM156" s="66" t="n">
        <f aca="false">(AM141*Inputs!$C$17+AM142*Inputs!$C$18)*1*(1+Inputs!$C$19)^(AM$133-1)</f>
        <v>69104.05548</v>
      </c>
      <c r="AN156" s="66" t="n">
        <f aca="false">(AN141*Inputs!$C$17+AN142*Inputs!$C$18)*1*(1+Inputs!$C$19)^(AN$133-1)</f>
        <v>69104.05548</v>
      </c>
      <c r="AO156" s="66" t="n">
        <f aca="false">(AO141*Inputs!$C$17+AO142*Inputs!$C$18)*1*(1+Inputs!$C$19)^(AO$133-1)</f>
        <v>69104.05548</v>
      </c>
      <c r="AP156" s="66" t="n">
        <f aca="false">(AP141*Inputs!$C$17+AP142*Inputs!$C$18)*1*(1+Inputs!$C$19)^(AP$133-1)</f>
        <v>69104.05548</v>
      </c>
      <c r="AQ156" s="66" t="n">
        <f aca="false">(AQ141*Inputs!$C$17+AQ142*Inputs!$C$18)*1*(1+Inputs!$C$19)^(AQ$133-1)</f>
        <v>69104.05548</v>
      </c>
      <c r="AR156" s="66" t="n">
        <f aca="false">(AR141*Inputs!$C$17+AR142*Inputs!$C$18)*1*(1+Inputs!$C$19)^(AR$133-1)</f>
        <v>69104.05548</v>
      </c>
      <c r="AS156" s="66" t="n">
        <f aca="false">(AS141*Inputs!$C$17+AS142*Inputs!$C$18)*1*(1+Inputs!$C$19)^(AS$133-1)</f>
        <v>69104.05548</v>
      </c>
      <c r="AT156" s="66" t="n">
        <f aca="false">(AT141*Inputs!$C$17+AT142*Inputs!$C$18)*1*(1+Inputs!$C$19)^(AT$133-1)</f>
        <v>69104.05548</v>
      </c>
      <c r="AU156" s="66" t="n">
        <f aca="false">(AU141*Inputs!$C$17+AU142*Inputs!$C$18)*1*(1+Inputs!$C$19)^(AU$133-1)</f>
        <v>69104.05548</v>
      </c>
      <c r="AV156" s="66" t="n">
        <f aca="false">(AV141*Inputs!$C$17+AV142*Inputs!$C$18)*1*(1+Inputs!$C$19)^(AV$133-1)</f>
        <v>69104.05548</v>
      </c>
      <c r="AW156" s="66" t="n">
        <f aca="false">(AW141*Inputs!$C$17+AW142*Inputs!$C$18)*1*(1+Inputs!$C$19)^(AW$133-1)</f>
        <v>69104.05548</v>
      </c>
      <c r="AX156" s="66" t="n">
        <f aca="false">(AX141*Inputs!$C$17+AX142*Inputs!$C$18)*1*(1+Inputs!$C$19)^(AX$133-1)</f>
        <v>69104.05548</v>
      </c>
      <c r="AY156" s="66" t="n">
        <f aca="false">(AY141*Inputs!$C$17+AY142*Inputs!$C$18)*1*(1+Inputs!$C$19)^(AY$133-1)</f>
        <v>71177.1771444</v>
      </c>
      <c r="AZ156" s="66" t="n">
        <f aca="false">(AZ141*Inputs!$C$17+AZ142*Inputs!$C$18)*1*(1+Inputs!$C$19)^(AZ$133-1)</f>
        <v>71177.1771444</v>
      </c>
      <c r="BA156" s="66" t="n">
        <f aca="false">(BA141*Inputs!$C$17+BA142*Inputs!$C$18)*1*(1+Inputs!$C$19)^(BA$133-1)</f>
        <v>71177.1771444</v>
      </c>
      <c r="BB156" s="66" t="n">
        <f aca="false">(BB141*Inputs!$C$17+BB142*Inputs!$C$18)*1*(1+Inputs!$C$19)^(BB$133-1)</f>
        <v>71177.1771444</v>
      </c>
      <c r="BC156" s="66" t="n">
        <f aca="false">(BC141*Inputs!$C$17+BC142*Inputs!$C$18)*1*(1+Inputs!$C$19)^(BC$133-1)</f>
        <v>71177.1771444</v>
      </c>
      <c r="BD156" s="66" t="n">
        <f aca="false">(BD141*Inputs!$C$17+BD142*Inputs!$C$18)*1*(1+Inputs!$C$19)^(BD$133-1)</f>
        <v>71177.1771444</v>
      </c>
      <c r="BE156" s="66" t="n">
        <f aca="false">(BE141*Inputs!$C$17+BE142*Inputs!$C$18)*1*(1+Inputs!$C$19)^(BE$133-1)</f>
        <v>71177.1771444</v>
      </c>
      <c r="BF156" s="66" t="n">
        <f aca="false">(BF141*Inputs!$C$17+BF142*Inputs!$C$18)*1*(1+Inputs!$C$19)^(BF$133-1)</f>
        <v>71177.1771444</v>
      </c>
      <c r="BG156" s="66" t="n">
        <f aca="false">(BG141*Inputs!$C$17+BG142*Inputs!$C$18)*1*(1+Inputs!$C$19)^(BG$133-1)</f>
        <v>71177.1771444</v>
      </c>
      <c r="BH156" s="66" t="n">
        <f aca="false">(BH141*Inputs!$C$17+BH142*Inputs!$C$18)*1*(1+Inputs!$C$19)^(BH$133-1)</f>
        <v>71177.1771444</v>
      </c>
      <c r="BI156" s="66" t="n">
        <f aca="false">(BI141*Inputs!$C$17+BI142*Inputs!$C$18)*1*(1+Inputs!$C$19)^(BI$133-1)</f>
        <v>71177.1771444</v>
      </c>
      <c r="BJ156" s="66" t="n">
        <f aca="false">(BJ141*Inputs!$C$17+BJ142*Inputs!$C$18)*1*(1+Inputs!$C$19)^(BJ$133-1)</f>
        <v>71177.1771444</v>
      </c>
    </row>
    <row r="157" customFormat="false" ht="15" hidden="false" customHeight="false" outlineLevel="0" collapsed="false">
      <c r="A157" s="6" t="s">
        <v>432</v>
      </c>
      <c r="C157" s="66" t="n">
        <f aca="false">C156*(1-Inputs!$C$22)*(1-Inputs!$C$20)</f>
        <v>10602</v>
      </c>
      <c r="D157" s="66" t="n">
        <f aca="false">D156*(1-Inputs!$C$22)*(1-Inputs!$C$20)</f>
        <v>13473.375</v>
      </c>
      <c r="E157" s="66" t="n">
        <f aca="false">E156*(1-Inputs!$C$22)*(1-Inputs!$C$20)</f>
        <v>16344.75</v>
      </c>
      <c r="F157" s="66" t="n">
        <f aca="false">F156*(1-Inputs!$C$22)*(1-Inputs!$C$20)</f>
        <v>19216.125</v>
      </c>
      <c r="G157" s="66" t="n">
        <f aca="false">G156*(1-Inputs!$C$22)*(1-Inputs!$C$20)</f>
        <v>22087.5</v>
      </c>
      <c r="H157" s="66" t="n">
        <f aca="false">H156*(1-Inputs!$C$22)*(1-Inputs!$C$20)</f>
        <v>24958.875</v>
      </c>
      <c r="I157" s="66" t="n">
        <f aca="false">I156*(1-Inputs!$C$22)*(1-Inputs!$C$20)</f>
        <v>27830.25</v>
      </c>
      <c r="J157" s="66" t="n">
        <f aca="false">J156*(1-Inputs!$C$22)*(1-Inputs!$C$20)</f>
        <v>30701.625</v>
      </c>
      <c r="K157" s="66" t="n">
        <f aca="false">K156*(1-Inputs!$C$22)*(1-Inputs!$C$20)</f>
        <v>33573</v>
      </c>
      <c r="L157" s="66" t="n">
        <f aca="false">L156*(1-Inputs!$C$22)*(1-Inputs!$C$20)</f>
        <v>36444.375</v>
      </c>
      <c r="M157" s="66" t="n">
        <f aca="false">M156*(1-Inputs!$C$22)*(1-Inputs!$C$20)</f>
        <v>39315.75</v>
      </c>
      <c r="N157" s="66" t="n">
        <f aca="false">N156*(1-Inputs!$C$22)*(1-Inputs!$C$20)</f>
        <v>42187.125</v>
      </c>
      <c r="O157" s="66" t="n">
        <f aca="false">O156*(1-Inputs!$C$22)*(1-Inputs!$C$20)</f>
        <v>46410.255</v>
      </c>
      <c r="P157" s="66" t="n">
        <f aca="false">P156*(1-Inputs!$C$22)*(1-Inputs!$C$20)</f>
        <v>46410.255</v>
      </c>
      <c r="Q157" s="66" t="n">
        <f aca="false">Q156*(1-Inputs!$C$22)*(1-Inputs!$C$20)</f>
        <v>46410.255</v>
      </c>
      <c r="R157" s="66" t="n">
        <f aca="false">R156*(1-Inputs!$C$22)*(1-Inputs!$C$20)</f>
        <v>46410.255</v>
      </c>
      <c r="S157" s="66" t="n">
        <f aca="false">S156*(1-Inputs!$C$22)*(1-Inputs!$C$20)</f>
        <v>46410.255</v>
      </c>
      <c r="T157" s="66" t="n">
        <f aca="false">T156*(1-Inputs!$C$22)*(1-Inputs!$C$20)</f>
        <v>46410.255</v>
      </c>
      <c r="U157" s="66" t="n">
        <f aca="false">U156*(1-Inputs!$C$22)*(1-Inputs!$C$20)</f>
        <v>46410.255</v>
      </c>
      <c r="V157" s="66" t="n">
        <f aca="false">V156*(1-Inputs!$C$22)*(1-Inputs!$C$20)</f>
        <v>46410.255</v>
      </c>
      <c r="W157" s="66" t="n">
        <f aca="false">W156*(1-Inputs!$C$22)*(1-Inputs!$C$20)</f>
        <v>46410.255</v>
      </c>
      <c r="X157" s="66" t="n">
        <f aca="false">X156*(1-Inputs!$C$22)*(1-Inputs!$C$20)</f>
        <v>46410.255</v>
      </c>
      <c r="Y157" s="66" t="n">
        <f aca="false">Y156*(1-Inputs!$C$22)*(1-Inputs!$C$20)</f>
        <v>46410.255</v>
      </c>
      <c r="Z157" s="66" t="n">
        <f aca="false">Z156*(1-Inputs!$C$22)*(1-Inputs!$C$20)</f>
        <v>46410.255</v>
      </c>
      <c r="AA157" s="66" t="n">
        <f aca="false">AA156*(1-Inputs!$C$22)*(1-Inputs!$C$20)</f>
        <v>47802.56265</v>
      </c>
      <c r="AB157" s="66" t="n">
        <f aca="false">AB156*(1-Inputs!$C$22)*(1-Inputs!$C$20)</f>
        <v>47802.56265</v>
      </c>
      <c r="AC157" s="66" t="n">
        <f aca="false">AC156*(1-Inputs!$C$22)*(1-Inputs!$C$20)</f>
        <v>47802.56265</v>
      </c>
      <c r="AD157" s="66" t="n">
        <f aca="false">AD156*(1-Inputs!$C$22)*(1-Inputs!$C$20)</f>
        <v>47802.56265</v>
      </c>
      <c r="AE157" s="66" t="n">
        <f aca="false">AE156*(1-Inputs!$C$22)*(1-Inputs!$C$20)</f>
        <v>47802.56265</v>
      </c>
      <c r="AF157" s="66" t="n">
        <f aca="false">AF156*(1-Inputs!$C$22)*(1-Inputs!$C$20)</f>
        <v>47802.56265</v>
      </c>
      <c r="AG157" s="66" t="n">
        <f aca="false">AG156*(1-Inputs!$C$22)*(1-Inputs!$C$20)</f>
        <v>47802.56265</v>
      </c>
      <c r="AH157" s="66" t="n">
        <f aca="false">AH156*(1-Inputs!$C$22)*(1-Inputs!$C$20)</f>
        <v>47802.56265</v>
      </c>
      <c r="AI157" s="66" t="n">
        <f aca="false">AI156*(1-Inputs!$C$22)*(1-Inputs!$C$20)</f>
        <v>47802.56265</v>
      </c>
      <c r="AJ157" s="66" t="n">
        <f aca="false">AJ156*(1-Inputs!$C$22)*(1-Inputs!$C$20)</f>
        <v>47802.56265</v>
      </c>
      <c r="AK157" s="66" t="n">
        <f aca="false">AK156*(1-Inputs!$C$22)*(1-Inputs!$C$20)</f>
        <v>47802.56265</v>
      </c>
      <c r="AL157" s="66" t="n">
        <f aca="false">AL156*(1-Inputs!$C$22)*(1-Inputs!$C$20)</f>
        <v>47802.56265</v>
      </c>
      <c r="AM157" s="66" t="n">
        <f aca="false">AM156*(1-Inputs!$C$22)*(1-Inputs!$C$20)</f>
        <v>49236.6395295</v>
      </c>
      <c r="AN157" s="66" t="n">
        <f aca="false">AN156*(1-Inputs!$C$22)*(1-Inputs!$C$20)</f>
        <v>49236.6395295</v>
      </c>
      <c r="AO157" s="66" t="n">
        <f aca="false">AO156*(1-Inputs!$C$22)*(1-Inputs!$C$20)</f>
        <v>49236.6395295</v>
      </c>
      <c r="AP157" s="66" t="n">
        <f aca="false">AP156*(1-Inputs!$C$22)*(1-Inputs!$C$20)</f>
        <v>49236.6395295</v>
      </c>
      <c r="AQ157" s="66" t="n">
        <f aca="false">AQ156*(1-Inputs!$C$22)*(1-Inputs!$C$20)</f>
        <v>49236.6395295</v>
      </c>
      <c r="AR157" s="66" t="n">
        <f aca="false">AR156*(1-Inputs!$C$22)*(1-Inputs!$C$20)</f>
        <v>49236.6395295</v>
      </c>
      <c r="AS157" s="66" t="n">
        <f aca="false">AS156*(1-Inputs!$C$22)*(1-Inputs!$C$20)</f>
        <v>49236.6395295</v>
      </c>
      <c r="AT157" s="66" t="n">
        <f aca="false">AT156*(1-Inputs!$C$22)*(1-Inputs!$C$20)</f>
        <v>49236.6395295</v>
      </c>
      <c r="AU157" s="66" t="n">
        <f aca="false">AU156*(1-Inputs!$C$22)*(1-Inputs!$C$20)</f>
        <v>49236.6395295</v>
      </c>
      <c r="AV157" s="66" t="n">
        <f aca="false">AV156*(1-Inputs!$C$22)*(1-Inputs!$C$20)</f>
        <v>49236.6395295</v>
      </c>
      <c r="AW157" s="66" t="n">
        <f aca="false">AW156*(1-Inputs!$C$22)*(1-Inputs!$C$20)</f>
        <v>49236.6395295</v>
      </c>
      <c r="AX157" s="66" t="n">
        <f aca="false">AX156*(1-Inputs!$C$22)*(1-Inputs!$C$20)</f>
        <v>49236.6395295</v>
      </c>
      <c r="AY157" s="66" t="n">
        <f aca="false">AY156*(1-Inputs!$C$22)*(1-Inputs!$C$20)</f>
        <v>50713.738715385</v>
      </c>
      <c r="AZ157" s="66" t="n">
        <f aca="false">AZ156*(1-Inputs!$C$22)*(1-Inputs!$C$20)</f>
        <v>50713.738715385</v>
      </c>
      <c r="BA157" s="66" t="n">
        <f aca="false">BA156*(1-Inputs!$C$22)*(1-Inputs!$C$20)</f>
        <v>50713.738715385</v>
      </c>
      <c r="BB157" s="66" t="n">
        <f aca="false">BB156*(1-Inputs!$C$22)*(1-Inputs!$C$20)</f>
        <v>50713.738715385</v>
      </c>
      <c r="BC157" s="66" t="n">
        <f aca="false">BC156*(1-Inputs!$C$22)*(1-Inputs!$C$20)</f>
        <v>50713.738715385</v>
      </c>
      <c r="BD157" s="66" t="n">
        <f aca="false">BD156*(1-Inputs!$C$22)*(1-Inputs!$C$20)</f>
        <v>50713.738715385</v>
      </c>
      <c r="BE157" s="66" t="n">
        <f aca="false">BE156*(1-Inputs!$C$22)*(1-Inputs!$C$20)</f>
        <v>50713.738715385</v>
      </c>
      <c r="BF157" s="66" t="n">
        <f aca="false">BF156*(1-Inputs!$C$22)*(1-Inputs!$C$20)</f>
        <v>50713.738715385</v>
      </c>
      <c r="BG157" s="66" t="n">
        <f aca="false">BG156*(1-Inputs!$C$22)*(1-Inputs!$C$20)</f>
        <v>50713.738715385</v>
      </c>
      <c r="BH157" s="66" t="n">
        <f aca="false">BH156*(1-Inputs!$C$22)*(1-Inputs!$C$20)</f>
        <v>50713.738715385</v>
      </c>
      <c r="BI157" s="66" t="n">
        <f aca="false">BI156*(1-Inputs!$C$22)*(1-Inputs!$C$20)</f>
        <v>50713.738715385</v>
      </c>
      <c r="BJ157" s="66" t="n">
        <f aca="false">BJ156*(1-Inputs!$C$22)*(1-Inputs!$C$20)</f>
        <v>50713.738715385</v>
      </c>
    </row>
    <row r="158" customFormat="false" ht="15" hidden="false" customHeight="false" outlineLevel="0" collapsed="false">
      <c r="A158" s="6" t="s">
        <v>239</v>
      </c>
      <c r="C158" s="66" t="n">
        <f aca="false">C156*Inputs!$C$22*Inputs!$C$23</f>
        <v>3162</v>
      </c>
      <c r="D158" s="66" t="n">
        <f aca="false">D156*Inputs!$C$22*Inputs!$C$23</f>
        <v>4018.375</v>
      </c>
      <c r="E158" s="66" t="n">
        <f aca="false">E156*Inputs!$C$22*Inputs!$C$23</f>
        <v>4874.75</v>
      </c>
      <c r="F158" s="66" t="n">
        <f aca="false">F156*Inputs!$C$22*Inputs!$C$23</f>
        <v>5731.125</v>
      </c>
      <c r="G158" s="66" t="n">
        <f aca="false">G156*Inputs!$C$22*Inputs!$C$23</f>
        <v>6587.5</v>
      </c>
      <c r="H158" s="66" t="n">
        <f aca="false">H156*Inputs!$C$22*Inputs!$C$23</f>
        <v>7443.875</v>
      </c>
      <c r="I158" s="66" t="n">
        <f aca="false">I156*Inputs!$C$22*Inputs!$C$23</f>
        <v>8300.25</v>
      </c>
      <c r="J158" s="66" t="n">
        <f aca="false">J156*Inputs!$C$22*Inputs!$C$23</f>
        <v>9156.625</v>
      </c>
      <c r="K158" s="66" t="n">
        <f aca="false">K156*Inputs!$C$22*Inputs!$C$23</f>
        <v>10013</v>
      </c>
      <c r="L158" s="66" t="n">
        <f aca="false">L156*Inputs!$C$22*Inputs!$C$23</f>
        <v>10869.375</v>
      </c>
      <c r="M158" s="66" t="n">
        <f aca="false">M156*Inputs!$C$22*Inputs!$C$23</f>
        <v>11725.75</v>
      </c>
      <c r="N158" s="66" t="n">
        <f aca="false">N156*Inputs!$C$22*Inputs!$C$23</f>
        <v>12582.125</v>
      </c>
      <c r="O158" s="66" t="n">
        <f aca="false">O156*Inputs!$C$22*Inputs!$C$23</f>
        <v>13841.655</v>
      </c>
      <c r="P158" s="66" t="n">
        <f aca="false">P156*Inputs!$C$22*Inputs!$C$23</f>
        <v>13841.655</v>
      </c>
      <c r="Q158" s="66" t="n">
        <f aca="false">Q156*Inputs!$C$22*Inputs!$C$23</f>
        <v>13841.655</v>
      </c>
      <c r="R158" s="66" t="n">
        <f aca="false">R156*Inputs!$C$22*Inputs!$C$23</f>
        <v>13841.655</v>
      </c>
      <c r="S158" s="66" t="n">
        <f aca="false">S156*Inputs!$C$22*Inputs!$C$23</f>
        <v>13841.655</v>
      </c>
      <c r="T158" s="66" t="n">
        <f aca="false">T156*Inputs!$C$22*Inputs!$C$23</f>
        <v>13841.655</v>
      </c>
      <c r="U158" s="66" t="n">
        <f aca="false">U156*Inputs!$C$22*Inputs!$C$23</f>
        <v>13841.655</v>
      </c>
      <c r="V158" s="66" t="n">
        <f aca="false">V156*Inputs!$C$22*Inputs!$C$23</f>
        <v>13841.655</v>
      </c>
      <c r="W158" s="66" t="n">
        <f aca="false">W156*Inputs!$C$22*Inputs!$C$23</f>
        <v>13841.655</v>
      </c>
      <c r="X158" s="66" t="n">
        <f aca="false">X156*Inputs!$C$22*Inputs!$C$23</f>
        <v>13841.655</v>
      </c>
      <c r="Y158" s="66" t="n">
        <f aca="false">Y156*Inputs!$C$22*Inputs!$C$23</f>
        <v>13841.655</v>
      </c>
      <c r="Z158" s="66" t="n">
        <f aca="false">Z156*Inputs!$C$22*Inputs!$C$23</f>
        <v>13841.655</v>
      </c>
      <c r="AA158" s="66" t="n">
        <f aca="false">AA156*Inputs!$C$22*Inputs!$C$23</f>
        <v>14256.90465</v>
      </c>
      <c r="AB158" s="66" t="n">
        <f aca="false">AB156*Inputs!$C$22*Inputs!$C$23</f>
        <v>14256.90465</v>
      </c>
      <c r="AC158" s="66" t="n">
        <f aca="false">AC156*Inputs!$C$22*Inputs!$C$23</f>
        <v>14256.90465</v>
      </c>
      <c r="AD158" s="66" t="n">
        <f aca="false">AD156*Inputs!$C$22*Inputs!$C$23</f>
        <v>14256.90465</v>
      </c>
      <c r="AE158" s="66" t="n">
        <f aca="false">AE156*Inputs!$C$22*Inputs!$C$23</f>
        <v>14256.90465</v>
      </c>
      <c r="AF158" s="66" t="n">
        <f aca="false">AF156*Inputs!$C$22*Inputs!$C$23</f>
        <v>14256.90465</v>
      </c>
      <c r="AG158" s="66" t="n">
        <f aca="false">AG156*Inputs!$C$22*Inputs!$C$23</f>
        <v>14256.90465</v>
      </c>
      <c r="AH158" s="66" t="n">
        <f aca="false">AH156*Inputs!$C$22*Inputs!$C$23</f>
        <v>14256.90465</v>
      </c>
      <c r="AI158" s="66" t="n">
        <f aca="false">AI156*Inputs!$C$22*Inputs!$C$23</f>
        <v>14256.90465</v>
      </c>
      <c r="AJ158" s="66" t="n">
        <f aca="false">AJ156*Inputs!$C$22*Inputs!$C$23</f>
        <v>14256.90465</v>
      </c>
      <c r="AK158" s="66" t="n">
        <f aca="false">AK156*Inputs!$C$22*Inputs!$C$23</f>
        <v>14256.90465</v>
      </c>
      <c r="AL158" s="66" t="n">
        <f aca="false">AL156*Inputs!$C$22*Inputs!$C$23</f>
        <v>14256.90465</v>
      </c>
      <c r="AM158" s="66" t="n">
        <f aca="false">AM156*Inputs!$C$22*Inputs!$C$23</f>
        <v>14684.6117895</v>
      </c>
      <c r="AN158" s="66" t="n">
        <f aca="false">AN156*Inputs!$C$22*Inputs!$C$23</f>
        <v>14684.6117895</v>
      </c>
      <c r="AO158" s="66" t="n">
        <f aca="false">AO156*Inputs!$C$22*Inputs!$C$23</f>
        <v>14684.6117895</v>
      </c>
      <c r="AP158" s="66" t="n">
        <f aca="false">AP156*Inputs!$C$22*Inputs!$C$23</f>
        <v>14684.6117895</v>
      </c>
      <c r="AQ158" s="66" t="n">
        <f aca="false">AQ156*Inputs!$C$22*Inputs!$C$23</f>
        <v>14684.6117895</v>
      </c>
      <c r="AR158" s="66" t="n">
        <f aca="false">AR156*Inputs!$C$22*Inputs!$C$23</f>
        <v>14684.6117895</v>
      </c>
      <c r="AS158" s="66" t="n">
        <f aca="false">AS156*Inputs!$C$22*Inputs!$C$23</f>
        <v>14684.6117895</v>
      </c>
      <c r="AT158" s="66" t="n">
        <f aca="false">AT156*Inputs!$C$22*Inputs!$C$23</f>
        <v>14684.6117895</v>
      </c>
      <c r="AU158" s="66" t="n">
        <f aca="false">AU156*Inputs!$C$22*Inputs!$C$23</f>
        <v>14684.6117895</v>
      </c>
      <c r="AV158" s="66" t="n">
        <f aca="false">AV156*Inputs!$C$22*Inputs!$C$23</f>
        <v>14684.6117895</v>
      </c>
      <c r="AW158" s="66" t="n">
        <f aca="false">AW156*Inputs!$C$22*Inputs!$C$23</f>
        <v>14684.6117895</v>
      </c>
      <c r="AX158" s="66" t="n">
        <f aca="false">AX156*Inputs!$C$22*Inputs!$C$23</f>
        <v>14684.6117895</v>
      </c>
      <c r="AY158" s="66" t="n">
        <f aca="false">AY156*Inputs!$C$22*Inputs!$C$23</f>
        <v>15125.150143185</v>
      </c>
      <c r="AZ158" s="66" t="n">
        <f aca="false">AZ156*Inputs!$C$22*Inputs!$C$23</f>
        <v>15125.150143185</v>
      </c>
      <c r="BA158" s="66" t="n">
        <f aca="false">BA156*Inputs!$C$22*Inputs!$C$23</f>
        <v>15125.150143185</v>
      </c>
      <c r="BB158" s="66" t="n">
        <f aca="false">BB156*Inputs!$C$22*Inputs!$C$23</f>
        <v>15125.150143185</v>
      </c>
      <c r="BC158" s="66" t="n">
        <f aca="false">BC156*Inputs!$C$22*Inputs!$C$23</f>
        <v>15125.150143185</v>
      </c>
      <c r="BD158" s="66" t="n">
        <f aca="false">BD156*Inputs!$C$22*Inputs!$C$23</f>
        <v>15125.150143185</v>
      </c>
      <c r="BE158" s="66" t="n">
        <f aca="false">BE156*Inputs!$C$22*Inputs!$C$23</f>
        <v>15125.150143185</v>
      </c>
      <c r="BF158" s="66" t="n">
        <f aca="false">BF156*Inputs!$C$22*Inputs!$C$23</f>
        <v>15125.150143185</v>
      </c>
      <c r="BG158" s="66" t="n">
        <f aca="false">BG156*Inputs!$C$22*Inputs!$C$23</f>
        <v>15125.150143185</v>
      </c>
      <c r="BH158" s="66" t="n">
        <f aca="false">BH156*Inputs!$C$22*Inputs!$C$23</f>
        <v>15125.150143185</v>
      </c>
      <c r="BI158" s="66" t="n">
        <f aca="false">BI156*Inputs!$C$22*Inputs!$C$23</f>
        <v>15125.150143185</v>
      </c>
      <c r="BJ158" s="66" t="n">
        <f aca="false">BJ156*Inputs!$C$22*Inputs!$C$23</f>
        <v>15125.150143185</v>
      </c>
    </row>
    <row r="159" customFormat="false" ht="15" hidden="false" customHeight="false" outlineLevel="0" collapsed="false">
      <c r="A159" s="6" t="s">
        <v>241</v>
      </c>
      <c r="C159" s="66" t="n">
        <f aca="false">C147*Inputs!$C$21*(1+Inputs!$C$19)^(C$133-1)</f>
        <v>1845</v>
      </c>
      <c r="D159" s="66" t="n">
        <f aca="false">D147*Inputs!$C$21*(1+Inputs!$C$19)^(D$133-1)</f>
        <v>544.6875</v>
      </c>
      <c r="E159" s="66" t="n">
        <f aca="false">E147*Inputs!$C$21*(1+Inputs!$C$19)^(E$133-1)</f>
        <v>556.875</v>
      </c>
      <c r="F159" s="66" t="n">
        <f aca="false">F147*Inputs!$C$21*(1+Inputs!$C$19)^(F$133-1)</f>
        <v>569.0625</v>
      </c>
      <c r="G159" s="66" t="n">
        <f aca="false">G147*Inputs!$C$21*(1+Inputs!$C$19)^(G$133-1)</f>
        <v>581.249999999999</v>
      </c>
      <c r="H159" s="66" t="n">
        <f aca="false">H147*Inputs!$C$21*(1+Inputs!$C$19)^(H$133-1)</f>
        <v>593.437500000001</v>
      </c>
      <c r="I159" s="66" t="n">
        <f aca="false">I147*Inputs!$C$21*(1+Inputs!$C$19)^(I$133-1)</f>
        <v>605.624999999999</v>
      </c>
      <c r="J159" s="66" t="n">
        <f aca="false">J147*Inputs!$C$21*(1+Inputs!$C$19)^(J$133-1)</f>
        <v>617.812500000001</v>
      </c>
      <c r="K159" s="66" t="n">
        <f aca="false">K147*Inputs!$C$21*(1+Inputs!$C$19)^(K$133-1)</f>
        <v>630</v>
      </c>
      <c r="L159" s="66" t="n">
        <f aca="false">L147*Inputs!$C$21*(1+Inputs!$C$19)^(L$133-1)</f>
        <v>642.1875</v>
      </c>
      <c r="M159" s="66" t="n">
        <f aca="false">M147*Inputs!$C$21*(1+Inputs!$C$19)^(M$133-1)</f>
        <v>654.375</v>
      </c>
      <c r="N159" s="66" t="n">
        <f aca="false">N147*Inputs!$C$21*(1+Inputs!$C$19)^(N$133-1)</f>
        <v>666.562499999999</v>
      </c>
      <c r="O159" s="66" t="n">
        <f aca="false">O147*Inputs!$C$21*(1+Inputs!$C$19)^(O$133-1)</f>
        <v>699.1125</v>
      </c>
      <c r="P159" s="66" t="n">
        <f aca="false">P147*Inputs!$C$21*(1+Inputs!$C$19)^(P$133-1)</f>
        <v>196.9875</v>
      </c>
      <c r="Q159" s="66" t="n">
        <f aca="false">Q147*Inputs!$C$21*(1+Inputs!$C$19)^(Q$133-1)</f>
        <v>196.9875</v>
      </c>
      <c r="R159" s="66" t="n">
        <f aca="false">R147*Inputs!$C$21*(1+Inputs!$C$19)^(R$133-1)</f>
        <v>196.9875</v>
      </c>
      <c r="S159" s="66" t="n">
        <f aca="false">S147*Inputs!$C$21*(1+Inputs!$C$19)^(S$133-1)</f>
        <v>196.9875</v>
      </c>
      <c r="T159" s="66" t="n">
        <f aca="false">T147*Inputs!$C$21*(1+Inputs!$C$19)^(T$133-1)</f>
        <v>196.9875</v>
      </c>
      <c r="U159" s="66" t="n">
        <f aca="false">U147*Inputs!$C$21*(1+Inputs!$C$19)^(U$133-1)</f>
        <v>196.9875</v>
      </c>
      <c r="V159" s="66" t="n">
        <f aca="false">V147*Inputs!$C$21*(1+Inputs!$C$19)^(V$133-1)</f>
        <v>196.9875</v>
      </c>
      <c r="W159" s="66" t="n">
        <f aca="false">W147*Inputs!$C$21*(1+Inputs!$C$19)^(W$133-1)</f>
        <v>196.9875</v>
      </c>
      <c r="X159" s="66" t="n">
        <f aca="false">X147*Inputs!$C$21*(1+Inputs!$C$19)^(X$133-1)</f>
        <v>196.9875</v>
      </c>
      <c r="Y159" s="66" t="n">
        <f aca="false">Y147*Inputs!$C$21*(1+Inputs!$C$19)^(Y$133-1)</f>
        <v>196.9875</v>
      </c>
      <c r="Z159" s="66" t="n">
        <f aca="false">Z147*Inputs!$C$21*(1+Inputs!$C$19)^(Z$133-1)</f>
        <v>196.9875</v>
      </c>
      <c r="AA159" s="66" t="n">
        <f aca="false">AA147*Inputs!$C$21*(1+Inputs!$C$19)^(AA$133-1)</f>
        <v>202.897125</v>
      </c>
      <c r="AB159" s="66" t="n">
        <f aca="false">AB147*Inputs!$C$21*(1+Inputs!$C$19)^(AB$133-1)</f>
        <v>202.897125</v>
      </c>
      <c r="AC159" s="66" t="n">
        <f aca="false">AC147*Inputs!$C$21*(1+Inputs!$C$19)^(AC$133-1)</f>
        <v>202.897125</v>
      </c>
      <c r="AD159" s="66" t="n">
        <f aca="false">AD147*Inputs!$C$21*(1+Inputs!$C$19)^(AD$133-1)</f>
        <v>202.897125</v>
      </c>
      <c r="AE159" s="66" t="n">
        <f aca="false">AE147*Inputs!$C$21*(1+Inputs!$C$19)^(AE$133-1)</f>
        <v>202.897125</v>
      </c>
      <c r="AF159" s="66" t="n">
        <f aca="false">AF147*Inputs!$C$21*(1+Inputs!$C$19)^(AF$133-1)</f>
        <v>202.897125</v>
      </c>
      <c r="AG159" s="66" t="n">
        <f aca="false">AG147*Inputs!$C$21*(1+Inputs!$C$19)^(AG$133-1)</f>
        <v>202.897125</v>
      </c>
      <c r="AH159" s="66" t="n">
        <f aca="false">AH147*Inputs!$C$21*(1+Inputs!$C$19)^(AH$133-1)</f>
        <v>202.897125</v>
      </c>
      <c r="AI159" s="66" t="n">
        <f aca="false">AI147*Inputs!$C$21*(1+Inputs!$C$19)^(AI$133-1)</f>
        <v>202.897125</v>
      </c>
      <c r="AJ159" s="66" t="n">
        <f aca="false">AJ147*Inputs!$C$21*(1+Inputs!$C$19)^(AJ$133-1)</f>
        <v>202.897125</v>
      </c>
      <c r="AK159" s="66" t="n">
        <f aca="false">AK147*Inputs!$C$21*(1+Inputs!$C$19)^(AK$133-1)</f>
        <v>202.897125</v>
      </c>
      <c r="AL159" s="66" t="n">
        <f aca="false">AL147*Inputs!$C$21*(1+Inputs!$C$19)^(AL$133-1)</f>
        <v>202.897125</v>
      </c>
      <c r="AM159" s="66" t="n">
        <f aca="false">AM147*Inputs!$C$21*(1+Inputs!$C$19)^(AM$133-1)</f>
        <v>208.98403875</v>
      </c>
      <c r="AN159" s="66" t="n">
        <f aca="false">AN147*Inputs!$C$21*(1+Inputs!$C$19)^(AN$133-1)</f>
        <v>208.98403875</v>
      </c>
      <c r="AO159" s="66" t="n">
        <f aca="false">AO147*Inputs!$C$21*(1+Inputs!$C$19)^(AO$133-1)</f>
        <v>208.98403875</v>
      </c>
      <c r="AP159" s="66" t="n">
        <f aca="false">AP147*Inputs!$C$21*(1+Inputs!$C$19)^(AP$133-1)</f>
        <v>208.98403875</v>
      </c>
      <c r="AQ159" s="66" t="n">
        <f aca="false">AQ147*Inputs!$C$21*(1+Inputs!$C$19)^(AQ$133-1)</f>
        <v>208.98403875</v>
      </c>
      <c r="AR159" s="66" t="n">
        <f aca="false">AR147*Inputs!$C$21*(1+Inputs!$C$19)^(AR$133-1)</f>
        <v>208.98403875</v>
      </c>
      <c r="AS159" s="66" t="n">
        <f aca="false">AS147*Inputs!$C$21*(1+Inputs!$C$19)^(AS$133-1)</f>
        <v>208.98403875</v>
      </c>
      <c r="AT159" s="66" t="n">
        <f aca="false">AT147*Inputs!$C$21*(1+Inputs!$C$19)^(AT$133-1)</f>
        <v>208.98403875</v>
      </c>
      <c r="AU159" s="66" t="n">
        <f aca="false">AU147*Inputs!$C$21*(1+Inputs!$C$19)^(AU$133-1)</f>
        <v>208.98403875</v>
      </c>
      <c r="AV159" s="66" t="n">
        <f aca="false">AV147*Inputs!$C$21*(1+Inputs!$C$19)^(AV$133-1)</f>
        <v>208.98403875</v>
      </c>
      <c r="AW159" s="66" t="n">
        <f aca="false">AW147*Inputs!$C$21*(1+Inputs!$C$19)^(AW$133-1)</f>
        <v>208.98403875</v>
      </c>
      <c r="AX159" s="66" t="n">
        <f aca="false">AX147*Inputs!$C$21*(1+Inputs!$C$19)^(AX$133-1)</f>
        <v>208.98403875</v>
      </c>
      <c r="AY159" s="66" t="n">
        <f aca="false">AY147*Inputs!$C$21*(1+Inputs!$C$19)^(AY$133-1)</f>
        <v>215.2535599125</v>
      </c>
      <c r="AZ159" s="66" t="n">
        <f aca="false">AZ147*Inputs!$C$21*(1+Inputs!$C$19)^(AZ$133-1)</f>
        <v>215.2535599125</v>
      </c>
      <c r="BA159" s="66" t="n">
        <f aca="false">BA147*Inputs!$C$21*(1+Inputs!$C$19)^(BA$133-1)</f>
        <v>215.2535599125</v>
      </c>
      <c r="BB159" s="66" t="n">
        <f aca="false">BB147*Inputs!$C$21*(1+Inputs!$C$19)^(BB$133-1)</f>
        <v>215.2535599125</v>
      </c>
      <c r="BC159" s="66" t="n">
        <f aca="false">BC147*Inputs!$C$21*(1+Inputs!$C$19)^(BC$133-1)</f>
        <v>215.2535599125</v>
      </c>
      <c r="BD159" s="66" t="n">
        <f aca="false">BD147*Inputs!$C$21*(1+Inputs!$C$19)^(BD$133-1)</f>
        <v>215.2535599125</v>
      </c>
      <c r="BE159" s="66" t="n">
        <f aca="false">BE147*Inputs!$C$21*(1+Inputs!$C$19)^(BE$133-1)</f>
        <v>215.2535599125</v>
      </c>
      <c r="BF159" s="66" t="n">
        <f aca="false">BF147*Inputs!$C$21*(1+Inputs!$C$19)^(BF$133-1)</f>
        <v>215.2535599125</v>
      </c>
      <c r="BG159" s="66" t="n">
        <f aca="false">BG147*Inputs!$C$21*(1+Inputs!$C$19)^(BG$133-1)</f>
        <v>215.2535599125</v>
      </c>
      <c r="BH159" s="66" t="n">
        <f aca="false">BH147*Inputs!$C$21*(1+Inputs!$C$19)^(BH$133-1)</f>
        <v>215.2535599125</v>
      </c>
      <c r="BI159" s="66" t="n">
        <f aca="false">BI147*Inputs!$C$21*(1+Inputs!$C$19)^(BI$133-1)</f>
        <v>215.2535599125</v>
      </c>
      <c r="BJ159" s="66" t="n">
        <f aca="false">BJ147*Inputs!$C$21*(1+Inputs!$C$19)^(BJ$133-1)</f>
        <v>215.2535599125</v>
      </c>
    </row>
    <row r="160" customFormat="false" ht="15" hidden="false" customHeight="false" outlineLevel="0" collapsed="false">
      <c r="A160" s="110" t="s">
        <v>44</v>
      </c>
      <c r="C160" s="67" t="n">
        <f aca="false">C157+C158+C159</f>
        <v>15609</v>
      </c>
      <c r="D160" s="67" t="n">
        <f aca="false">D157+D158+D159</f>
        <v>18036.4375</v>
      </c>
      <c r="E160" s="67" t="n">
        <f aca="false">E157+E158+E159</f>
        <v>21776.375</v>
      </c>
      <c r="F160" s="67" t="n">
        <f aca="false">F157+F158+F159</f>
        <v>25516.3125</v>
      </c>
      <c r="G160" s="67" t="n">
        <f aca="false">G157+G158+G159</f>
        <v>29256.25</v>
      </c>
      <c r="H160" s="67" t="n">
        <f aca="false">H157+H158+H159</f>
        <v>32996.1875</v>
      </c>
      <c r="I160" s="67" t="n">
        <f aca="false">I157+I158+I159</f>
        <v>36736.125</v>
      </c>
      <c r="J160" s="67" t="n">
        <f aca="false">J157+J158+J159</f>
        <v>40476.0625</v>
      </c>
      <c r="K160" s="67" t="n">
        <f aca="false">K157+K158+K159</f>
        <v>44216</v>
      </c>
      <c r="L160" s="67" t="n">
        <f aca="false">L157+L158+L159</f>
        <v>47955.9375</v>
      </c>
      <c r="M160" s="67" t="n">
        <f aca="false">M157+M158+M159</f>
        <v>51695.875</v>
      </c>
      <c r="N160" s="67" t="n">
        <f aca="false">N157+N158+N159</f>
        <v>55435.8125</v>
      </c>
      <c r="O160" s="67" t="n">
        <f aca="false">O157+O158+O159</f>
        <v>60951.0225</v>
      </c>
      <c r="P160" s="67" t="n">
        <f aca="false">P157+P158+P159</f>
        <v>60448.8975</v>
      </c>
      <c r="Q160" s="67" t="n">
        <f aca="false">Q157+Q158+Q159</f>
        <v>60448.8975</v>
      </c>
      <c r="R160" s="67" t="n">
        <f aca="false">R157+R158+R159</f>
        <v>60448.8975</v>
      </c>
      <c r="S160" s="67" t="n">
        <f aca="false">S157+S158+S159</f>
        <v>60448.8975</v>
      </c>
      <c r="T160" s="67" t="n">
        <f aca="false">T157+T158+T159</f>
        <v>60448.8975</v>
      </c>
      <c r="U160" s="67" t="n">
        <f aca="false">U157+U158+U159</f>
        <v>60448.8975</v>
      </c>
      <c r="V160" s="67" t="n">
        <f aca="false">V157+V158+V159</f>
        <v>60448.8975</v>
      </c>
      <c r="W160" s="67" t="n">
        <f aca="false">W157+W158+W159</f>
        <v>60448.8975</v>
      </c>
      <c r="X160" s="67" t="n">
        <f aca="false">X157+X158+X159</f>
        <v>60448.8975</v>
      </c>
      <c r="Y160" s="67" t="n">
        <f aca="false">Y157+Y158+Y159</f>
        <v>60448.8975</v>
      </c>
      <c r="Z160" s="67" t="n">
        <f aca="false">Z157+Z158+Z159</f>
        <v>60448.8975</v>
      </c>
      <c r="AA160" s="67" t="n">
        <f aca="false">AA157+AA158+AA159</f>
        <v>62262.364425</v>
      </c>
      <c r="AB160" s="67" t="n">
        <f aca="false">AB157+AB158+AB159</f>
        <v>62262.364425</v>
      </c>
      <c r="AC160" s="67" t="n">
        <f aca="false">AC157+AC158+AC159</f>
        <v>62262.364425</v>
      </c>
      <c r="AD160" s="67" t="n">
        <f aca="false">AD157+AD158+AD159</f>
        <v>62262.364425</v>
      </c>
      <c r="AE160" s="67" t="n">
        <f aca="false">AE157+AE158+AE159</f>
        <v>62262.364425</v>
      </c>
      <c r="AF160" s="67" t="n">
        <f aca="false">AF157+AF158+AF159</f>
        <v>62262.364425</v>
      </c>
      <c r="AG160" s="67" t="n">
        <f aca="false">AG157+AG158+AG159</f>
        <v>62262.364425</v>
      </c>
      <c r="AH160" s="67" t="n">
        <f aca="false">AH157+AH158+AH159</f>
        <v>62262.364425</v>
      </c>
      <c r="AI160" s="67" t="n">
        <f aca="false">AI157+AI158+AI159</f>
        <v>62262.364425</v>
      </c>
      <c r="AJ160" s="67" t="n">
        <f aca="false">AJ157+AJ158+AJ159</f>
        <v>62262.364425</v>
      </c>
      <c r="AK160" s="67" t="n">
        <f aca="false">AK157+AK158+AK159</f>
        <v>62262.364425</v>
      </c>
      <c r="AL160" s="67" t="n">
        <f aca="false">AL157+AL158+AL159</f>
        <v>62262.364425</v>
      </c>
      <c r="AM160" s="67" t="n">
        <f aca="false">AM157+AM158+AM159</f>
        <v>64130.23535775</v>
      </c>
      <c r="AN160" s="67" t="n">
        <f aca="false">AN157+AN158+AN159</f>
        <v>64130.23535775</v>
      </c>
      <c r="AO160" s="67" t="n">
        <f aca="false">AO157+AO158+AO159</f>
        <v>64130.23535775</v>
      </c>
      <c r="AP160" s="67" t="n">
        <f aca="false">AP157+AP158+AP159</f>
        <v>64130.23535775</v>
      </c>
      <c r="AQ160" s="67" t="n">
        <f aca="false">AQ157+AQ158+AQ159</f>
        <v>64130.23535775</v>
      </c>
      <c r="AR160" s="67" t="n">
        <f aca="false">AR157+AR158+AR159</f>
        <v>64130.23535775</v>
      </c>
      <c r="AS160" s="67" t="n">
        <f aca="false">AS157+AS158+AS159</f>
        <v>64130.23535775</v>
      </c>
      <c r="AT160" s="67" t="n">
        <f aca="false">AT157+AT158+AT159</f>
        <v>64130.23535775</v>
      </c>
      <c r="AU160" s="67" t="n">
        <f aca="false">AU157+AU158+AU159</f>
        <v>64130.23535775</v>
      </c>
      <c r="AV160" s="67" t="n">
        <f aca="false">AV157+AV158+AV159</f>
        <v>64130.23535775</v>
      </c>
      <c r="AW160" s="67" t="n">
        <f aca="false">AW157+AW158+AW159</f>
        <v>64130.23535775</v>
      </c>
      <c r="AX160" s="67" t="n">
        <f aca="false">AX157+AX158+AX159</f>
        <v>64130.23535775</v>
      </c>
      <c r="AY160" s="67" t="n">
        <f aca="false">AY157+AY158+AY159</f>
        <v>66054.1424184825</v>
      </c>
      <c r="AZ160" s="67" t="n">
        <f aca="false">AZ157+AZ158+AZ159</f>
        <v>66054.1424184825</v>
      </c>
      <c r="BA160" s="67" t="n">
        <f aca="false">BA157+BA158+BA159</f>
        <v>66054.1424184825</v>
      </c>
      <c r="BB160" s="67" t="n">
        <f aca="false">BB157+BB158+BB159</f>
        <v>66054.1424184825</v>
      </c>
      <c r="BC160" s="67" t="n">
        <f aca="false">BC157+BC158+BC159</f>
        <v>66054.1424184825</v>
      </c>
      <c r="BD160" s="67" t="n">
        <f aca="false">BD157+BD158+BD159</f>
        <v>66054.1424184825</v>
      </c>
      <c r="BE160" s="67" t="n">
        <f aca="false">BE157+BE158+BE159</f>
        <v>66054.1424184825</v>
      </c>
      <c r="BF160" s="67" t="n">
        <f aca="false">BF157+BF158+BF159</f>
        <v>66054.1424184825</v>
      </c>
      <c r="BG160" s="67" t="n">
        <f aca="false">BG157+BG158+BG159</f>
        <v>66054.1424184825</v>
      </c>
      <c r="BH160" s="67" t="n">
        <f aca="false">BH157+BH158+BH159</f>
        <v>66054.1424184825</v>
      </c>
      <c r="BI160" s="67" t="n">
        <f aca="false">BI157+BI158+BI159</f>
        <v>66054.1424184825</v>
      </c>
      <c r="BJ160" s="67" t="n">
        <f aca="false">BJ157+BJ158+BJ159</f>
        <v>66054.1424184825</v>
      </c>
    </row>
    <row r="162" customFormat="false" ht="15.75" hidden="false" customHeight="true" outlineLevel="0" collapsed="false">
      <c r="A162" s="7" t="s">
        <v>75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customFormat="false" ht="15" hidden="false" customHeight="false" outlineLevel="0" collapsed="false">
      <c r="A163" s="6" t="s">
        <v>243</v>
      </c>
      <c r="C163" s="66" t="n">
        <f aca="false">-C153*Inputs!$C$29/12*1*(1+Inputs!$C$69)*(1+Inputs!$C$70)^(C$133-1)</f>
        <v>-7840</v>
      </c>
      <c r="D163" s="66" t="n">
        <f aca="false">-D153*Inputs!$C$29/12*1*(1+Inputs!$C$69)*(1+Inputs!$C$70)^(D$133-1)</f>
        <v>-7840</v>
      </c>
      <c r="E163" s="66" t="n">
        <f aca="false">-E153*Inputs!$C$29/12*1*(1+Inputs!$C$69)*(1+Inputs!$C$70)^(E$133-1)</f>
        <v>-15680</v>
      </c>
      <c r="F163" s="66" t="n">
        <f aca="false">-F153*Inputs!$C$29/12*1*(1+Inputs!$C$69)*(1+Inputs!$C$70)^(F$133-1)</f>
        <v>-15680</v>
      </c>
      <c r="G163" s="66" t="n">
        <f aca="false">-G153*Inputs!$C$29/12*1*(1+Inputs!$C$69)*(1+Inputs!$C$70)^(G$133-1)</f>
        <v>-15680</v>
      </c>
      <c r="H163" s="66" t="n">
        <f aca="false">-H153*Inputs!$C$29/12*1*(1+Inputs!$C$69)*(1+Inputs!$C$70)^(H$133-1)</f>
        <v>-15680</v>
      </c>
      <c r="I163" s="66" t="n">
        <f aca="false">-I153*Inputs!$C$29/12*1*(1+Inputs!$C$69)*(1+Inputs!$C$70)^(I$133-1)</f>
        <v>-15680</v>
      </c>
      <c r="J163" s="66" t="n">
        <f aca="false">-J153*Inputs!$C$29/12*1*(1+Inputs!$C$69)*(1+Inputs!$C$70)^(J$133-1)</f>
        <v>-19600</v>
      </c>
      <c r="K163" s="66" t="n">
        <f aca="false">-K153*Inputs!$C$29/12*1*(1+Inputs!$C$69)*(1+Inputs!$C$70)^(K$133-1)</f>
        <v>-23520</v>
      </c>
      <c r="L163" s="66" t="n">
        <f aca="false">-L153*Inputs!$C$29/12*1*(1+Inputs!$C$69)*(1+Inputs!$C$70)^(L$133-1)</f>
        <v>-23520</v>
      </c>
      <c r="M163" s="66" t="n">
        <f aca="false">-M153*Inputs!$C$29/12*1*(1+Inputs!$C$69)*(1+Inputs!$C$70)^(M$133-1)</f>
        <v>-23520</v>
      </c>
      <c r="N163" s="66" t="n">
        <f aca="false">-N153*Inputs!$C$29/12*1*(1+Inputs!$C$69)*(1+Inputs!$C$70)^(N$133-1)</f>
        <v>-23520</v>
      </c>
      <c r="O163" s="66" t="n">
        <f aca="false">-O153*Inputs!$C$29/12*1*(1+Inputs!$C$69)*(1+Inputs!$C$70)^(O$133-1)</f>
        <v>-24225.6</v>
      </c>
      <c r="P163" s="66" t="n">
        <f aca="false">-P153*Inputs!$C$29/12*1*(1+Inputs!$C$69)*(1+Inputs!$C$70)^(P$133-1)</f>
        <v>-24225.6</v>
      </c>
      <c r="Q163" s="66" t="n">
        <f aca="false">-Q153*Inputs!$C$29/12*1*(1+Inputs!$C$69)*(1+Inputs!$C$70)^(Q$133-1)</f>
        <v>-24225.6</v>
      </c>
      <c r="R163" s="66" t="n">
        <f aca="false">-R153*Inputs!$C$29/12*1*(1+Inputs!$C$69)*(1+Inputs!$C$70)^(R$133-1)</f>
        <v>-24225.6</v>
      </c>
      <c r="S163" s="66" t="n">
        <f aca="false">-S153*Inputs!$C$29/12*1*(1+Inputs!$C$69)*(1+Inputs!$C$70)^(S$133-1)</f>
        <v>-24225.6</v>
      </c>
      <c r="T163" s="66" t="n">
        <f aca="false">-T153*Inputs!$C$29/12*1*(1+Inputs!$C$69)*(1+Inputs!$C$70)^(T$133-1)</f>
        <v>-24225.6</v>
      </c>
      <c r="U163" s="66" t="n">
        <f aca="false">-U153*Inputs!$C$29/12*1*(1+Inputs!$C$69)*(1+Inputs!$C$70)^(U$133-1)</f>
        <v>-24225.6</v>
      </c>
      <c r="V163" s="66" t="n">
        <f aca="false">-V153*Inputs!$C$29/12*1*(1+Inputs!$C$69)*(1+Inputs!$C$70)^(V$133-1)</f>
        <v>-24225.6</v>
      </c>
      <c r="W163" s="66" t="n">
        <f aca="false">-W153*Inputs!$C$29/12*1*(1+Inputs!$C$69)*(1+Inputs!$C$70)^(W$133-1)</f>
        <v>-24225.6</v>
      </c>
      <c r="X163" s="66" t="n">
        <f aca="false">-X153*Inputs!$C$29/12*1*(1+Inputs!$C$69)*(1+Inputs!$C$70)^(X$133-1)</f>
        <v>-24225.6</v>
      </c>
      <c r="Y163" s="66" t="n">
        <f aca="false">-Y153*Inputs!$C$29/12*1*(1+Inputs!$C$69)*(1+Inputs!$C$70)^(Y$133-1)</f>
        <v>-24225.6</v>
      </c>
      <c r="Z163" s="66" t="n">
        <f aca="false">-Z153*Inputs!$C$29/12*1*(1+Inputs!$C$69)*(1+Inputs!$C$70)^(Z$133-1)</f>
        <v>-24225.6</v>
      </c>
      <c r="AA163" s="66" t="n">
        <f aca="false">-AA153*Inputs!$C$29/12*1*(1+Inputs!$C$69)*(1+Inputs!$C$70)^(AA$133-1)</f>
        <v>-24952.368</v>
      </c>
      <c r="AB163" s="66" t="n">
        <f aca="false">-AB153*Inputs!$C$29/12*1*(1+Inputs!$C$69)*(1+Inputs!$C$70)^(AB$133-1)</f>
        <v>-24952.368</v>
      </c>
      <c r="AC163" s="66" t="n">
        <f aca="false">-AC153*Inputs!$C$29/12*1*(1+Inputs!$C$69)*(1+Inputs!$C$70)^(AC$133-1)</f>
        <v>-24952.368</v>
      </c>
      <c r="AD163" s="66" t="n">
        <f aca="false">-AD153*Inputs!$C$29/12*1*(1+Inputs!$C$69)*(1+Inputs!$C$70)^(AD$133-1)</f>
        <v>-24952.368</v>
      </c>
      <c r="AE163" s="66" t="n">
        <f aca="false">-AE153*Inputs!$C$29/12*1*(1+Inputs!$C$69)*(1+Inputs!$C$70)^(AE$133-1)</f>
        <v>-24952.368</v>
      </c>
      <c r="AF163" s="66" t="n">
        <f aca="false">-AF153*Inputs!$C$29/12*1*(1+Inputs!$C$69)*(1+Inputs!$C$70)^(AF$133-1)</f>
        <v>-24952.368</v>
      </c>
      <c r="AG163" s="66" t="n">
        <f aca="false">-AG153*Inputs!$C$29/12*1*(1+Inputs!$C$69)*(1+Inputs!$C$70)^(AG$133-1)</f>
        <v>-24952.368</v>
      </c>
      <c r="AH163" s="66" t="n">
        <f aca="false">-AH153*Inputs!$C$29/12*1*(1+Inputs!$C$69)*(1+Inputs!$C$70)^(AH$133-1)</f>
        <v>-24952.368</v>
      </c>
      <c r="AI163" s="66" t="n">
        <f aca="false">-AI153*Inputs!$C$29/12*1*(1+Inputs!$C$69)*(1+Inputs!$C$70)^(AI$133-1)</f>
        <v>-24952.368</v>
      </c>
      <c r="AJ163" s="66" t="n">
        <f aca="false">-AJ153*Inputs!$C$29/12*1*(1+Inputs!$C$69)*(1+Inputs!$C$70)^(AJ$133-1)</f>
        <v>-24952.368</v>
      </c>
      <c r="AK163" s="66" t="n">
        <f aca="false">-AK153*Inputs!$C$29/12*1*(1+Inputs!$C$69)*(1+Inputs!$C$70)^(AK$133-1)</f>
        <v>-24952.368</v>
      </c>
      <c r="AL163" s="66" t="n">
        <f aca="false">-AL153*Inputs!$C$29/12*1*(1+Inputs!$C$69)*(1+Inputs!$C$70)^(AL$133-1)</f>
        <v>-24952.368</v>
      </c>
      <c r="AM163" s="66" t="n">
        <f aca="false">-AM153*Inputs!$C$29/12*1*(1+Inputs!$C$69)*(1+Inputs!$C$70)^(AM$133-1)</f>
        <v>-25700.93904</v>
      </c>
      <c r="AN163" s="66" t="n">
        <f aca="false">-AN153*Inputs!$C$29/12*1*(1+Inputs!$C$69)*(1+Inputs!$C$70)^(AN$133-1)</f>
        <v>-25700.93904</v>
      </c>
      <c r="AO163" s="66" t="n">
        <f aca="false">-AO153*Inputs!$C$29/12*1*(1+Inputs!$C$69)*(1+Inputs!$C$70)^(AO$133-1)</f>
        <v>-25700.93904</v>
      </c>
      <c r="AP163" s="66" t="n">
        <f aca="false">-AP153*Inputs!$C$29/12*1*(1+Inputs!$C$69)*(1+Inputs!$C$70)^(AP$133-1)</f>
        <v>-25700.93904</v>
      </c>
      <c r="AQ163" s="66" t="n">
        <f aca="false">-AQ153*Inputs!$C$29/12*1*(1+Inputs!$C$69)*(1+Inputs!$C$70)^(AQ$133-1)</f>
        <v>-25700.93904</v>
      </c>
      <c r="AR163" s="66" t="n">
        <f aca="false">-AR153*Inputs!$C$29/12*1*(1+Inputs!$C$69)*(1+Inputs!$C$70)^(AR$133-1)</f>
        <v>-25700.93904</v>
      </c>
      <c r="AS163" s="66" t="n">
        <f aca="false">-AS153*Inputs!$C$29/12*1*(1+Inputs!$C$69)*(1+Inputs!$C$70)^(AS$133-1)</f>
        <v>-25700.93904</v>
      </c>
      <c r="AT163" s="66" t="n">
        <f aca="false">-AT153*Inputs!$C$29/12*1*(1+Inputs!$C$69)*(1+Inputs!$C$70)^(AT$133-1)</f>
        <v>-25700.93904</v>
      </c>
      <c r="AU163" s="66" t="n">
        <f aca="false">-AU153*Inputs!$C$29/12*1*(1+Inputs!$C$69)*(1+Inputs!$C$70)^(AU$133-1)</f>
        <v>-25700.93904</v>
      </c>
      <c r="AV163" s="66" t="n">
        <f aca="false">-AV153*Inputs!$C$29/12*1*(1+Inputs!$C$69)*(1+Inputs!$C$70)^(AV$133-1)</f>
        <v>-25700.93904</v>
      </c>
      <c r="AW163" s="66" t="n">
        <f aca="false">-AW153*Inputs!$C$29/12*1*(1+Inputs!$C$69)*(1+Inputs!$C$70)^(AW$133-1)</f>
        <v>-25700.93904</v>
      </c>
      <c r="AX163" s="66" t="n">
        <f aca="false">-AX153*Inputs!$C$29/12*1*(1+Inputs!$C$69)*(1+Inputs!$C$70)^(AX$133-1)</f>
        <v>-25700.93904</v>
      </c>
      <c r="AY163" s="66" t="n">
        <f aca="false">-AY153*Inputs!$C$29/12*1*(1+Inputs!$C$69)*(1+Inputs!$C$70)^(AY$133-1)</f>
        <v>-26471.9672112</v>
      </c>
      <c r="AZ163" s="66" t="n">
        <f aca="false">-AZ153*Inputs!$C$29/12*1*(1+Inputs!$C$69)*(1+Inputs!$C$70)^(AZ$133-1)</f>
        <v>-26471.9672112</v>
      </c>
      <c r="BA163" s="66" t="n">
        <f aca="false">-BA153*Inputs!$C$29/12*1*(1+Inputs!$C$69)*(1+Inputs!$C$70)^(BA$133-1)</f>
        <v>-26471.9672112</v>
      </c>
      <c r="BB163" s="66" t="n">
        <f aca="false">-BB153*Inputs!$C$29/12*1*(1+Inputs!$C$69)*(1+Inputs!$C$70)^(BB$133-1)</f>
        <v>-26471.9672112</v>
      </c>
      <c r="BC163" s="66" t="n">
        <f aca="false">-BC153*Inputs!$C$29/12*1*(1+Inputs!$C$69)*(1+Inputs!$C$70)^(BC$133-1)</f>
        <v>-26471.9672112</v>
      </c>
      <c r="BD163" s="66" t="n">
        <f aca="false">-BD153*Inputs!$C$29/12*1*(1+Inputs!$C$69)*(1+Inputs!$C$70)^(BD$133-1)</f>
        <v>-26471.9672112</v>
      </c>
      <c r="BE163" s="66" t="n">
        <f aca="false">-BE153*Inputs!$C$29/12*1*(1+Inputs!$C$69)*(1+Inputs!$C$70)^(BE$133-1)</f>
        <v>-26471.9672112</v>
      </c>
      <c r="BF163" s="66" t="n">
        <f aca="false">-BF153*Inputs!$C$29/12*1*(1+Inputs!$C$69)*(1+Inputs!$C$70)^(BF$133-1)</f>
        <v>-26471.9672112</v>
      </c>
      <c r="BG163" s="66" t="n">
        <f aca="false">-BG153*Inputs!$C$29/12*1*(1+Inputs!$C$69)*(1+Inputs!$C$70)^(BG$133-1)</f>
        <v>-26471.9672112</v>
      </c>
      <c r="BH163" s="66" t="n">
        <f aca="false">-BH153*Inputs!$C$29/12*1*(1+Inputs!$C$69)*(1+Inputs!$C$70)^(BH$133-1)</f>
        <v>-26471.9672112</v>
      </c>
      <c r="BI163" s="66" t="n">
        <f aca="false">-BI153*Inputs!$C$29/12*1*(1+Inputs!$C$69)*(1+Inputs!$C$70)^(BI$133-1)</f>
        <v>-26471.9672112</v>
      </c>
      <c r="BJ163" s="66" t="n">
        <f aca="false">-BJ153*Inputs!$C$29/12*1*(1+Inputs!$C$69)*(1+Inputs!$C$70)^(BJ$133-1)</f>
        <v>-26471.9672112</v>
      </c>
    </row>
    <row r="164" customFormat="false" ht="15" hidden="false" customHeight="false" outlineLevel="0" collapsed="false">
      <c r="A164" s="6" t="s">
        <v>433</v>
      </c>
      <c r="C164" s="66" t="n">
        <f aca="false">-C143*Inputs!$C$32*Inputs!$C$13*1*(1+Inputs!$C$34)^(C$133-1)</f>
        <v>-1008</v>
      </c>
      <c r="D164" s="66" t="n">
        <f aca="false">-D143*Inputs!$C$32*Inputs!$C$13*1*(1+Inputs!$C$34)^(D$133-1)</f>
        <v>-1281</v>
      </c>
      <c r="E164" s="66" t="n">
        <f aca="false">-E143*Inputs!$C$32*Inputs!$C$13*1*(1+Inputs!$C$34)^(E$133-1)</f>
        <v>-1554</v>
      </c>
      <c r="F164" s="66" t="n">
        <f aca="false">-F143*Inputs!$C$32*Inputs!$C$13*1*(1+Inputs!$C$34)^(F$133-1)</f>
        <v>-1827</v>
      </c>
      <c r="G164" s="66" t="n">
        <f aca="false">-G143*Inputs!$C$32*Inputs!$C$13*1*(1+Inputs!$C$34)^(G$133-1)</f>
        <v>-2100</v>
      </c>
      <c r="H164" s="66" t="n">
        <f aca="false">-H143*Inputs!$C$32*Inputs!$C$13*1*(1+Inputs!$C$34)^(H$133-1)</f>
        <v>-2373</v>
      </c>
      <c r="I164" s="66" t="n">
        <f aca="false">-I143*Inputs!$C$32*Inputs!$C$13*1*(1+Inputs!$C$34)^(I$133-1)</f>
        <v>-2646</v>
      </c>
      <c r="J164" s="66" t="n">
        <f aca="false">-J143*Inputs!$C$32*Inputs!$C$13*1*(1+Inputs!$C$34)^(J$133-1)</f>
        <v>-2919</v>
      </c>
      <c r="K164" s="66" t="n">
        <f aca="false">-K143*Inputs!$C$32*Inputs!$C$13*1*(1+Inputs!$C$34)^(K$133-1)</f>
        <v>-3192</v>
      </c>
      <c r="L164" s="66" t="n">
        <f aca="false">-L143*Inputs!$C$32*Inputs!$C$13*1*(1+Inputs!$C$34)^(L$133-1)</f>
        <v>-3465</v>
      </c>
      <c r="M164" s="66" t="n">
        <f aca="false">-M143*Inputs!$C$32*Inputs!$C$13*1*(1+Inputs!$C$34)^(M$133-1)</f>
        <v>-3738</v>
      </c>
      <c r="N164" s="66" t="n">
        <f aca="false">-N143*Inputs!$C$32*Inputs!$C$13*1*(1+Inputs!$C$34)^(N$133-1)</f>
        <v>-4011</v>
      </c>
      <c r="O164" s="66" t="n">
        <f aca="false">-O143*Inputs!$C$32*Inputs!$C$13*1*(1+Inputs!$C$34)^(O$133-1)</f>
        <v>-4412.52</v>
      </c>
      <c r="P164" s="66" t="n">
        <f aca="false">-P143*Inputs!$C$32*Inputs!$C$13*1*(1+Inputs!$C$34)^(P$133-1)</f>
        <v>-4412.52</v>
      </c>
      <c r="Q164" s="66" t="n">
        <f aca="false">-Q143*Inputs!$C$32*Inputs!$C$13*1*(1+Inputs!$C$34)^(Q$133-1)</f>
        <v>-4412.52</v>
      </c>
      <c r="R164" s="66" t="n">
        <f aca="false">-R143*Inputs!$C$32*Inputs!$C$13*1*(1+Inputs!$C$34)^(R$133-1)</f>
        <v>-4412.52</v>
      </c>
      <c r="S164" s="66" t="n">
        <f aca="false">-S143*Inputs!$C$32*Inputs!$C$13*1*(1+Inputs!$C$34)^(S$133-1)</f>
        <v>-4412.52</v>
      </c>
      <c r="T164" s="66" t="n">
        <f aca="false">-T143*Inputs!$C$32*Inputs!$C$13*1*(1+Inputs!$C$34)^(T$133-1)</f>
        <v>-4412.52</v>
      </c>
      <c r="U164" s="66" t="n">
        <f aca="false">-U143*Inputs!$C$32*Inputs!$C$13*1*(1+Inputs!$C$34)^(U$133-1)</f>
        <v>-4412.52</v>
      </c>
      <c r="V164" s="66" t="n">
        <f aca="false">-V143*Inputs!$C$32*Inputs!$C$13*1*(1+Inputs!$C$34)^(V$133-1)</f>
        <v>-4412.52</v>
      </c>
      <c r="W164" s="66" t="n">
        <f aca="false">-W143*Inputs!$C$32*Inputs!$C$13*1*(1+Inputs!$C$34)^(W$133-1)</f>
        <v>-4412.52</v>
      </c>
      <c r="X164" s="66" t="n">
        <f aca="false">-X143*Inputs!$C$32*Inputs!$C$13*1*(1+Inputs!$C$34)^(X$133-1)</f>
        <v>-4412.52</v>
      </c>
      <c r="Y164" s="66" t="n">
        <f aca="false">-Y143*Inputs!$C$32*Inputs!$C$13*1*(1+Inputs!$C$34)^(Y$133-1)</f>
        <v>-4412.52</v>
      </c>
      <c r="Z164" s="66" t="n">
        <f aca="false">-Z143*Inputs!$C$32*Inputs!$C$13*1*(1+Inputs!$C$34)^(Z$133-1)</f>
        <v>-4412.52</v>
      </c>
      <c r="AA164" s="66" t="n">
        <f aca="false">-AA143*Inputs!$C$32*Inputs!$C$13*1*(1+Inputs!$C$34)^(AA$133-1)</f>
        <v>-4544.8956</v>
      </c>
      <c r="AB164" s="66" t="n">
        <f aca="false">-AB143*Inputs!$C$32*Inputs!$C$13*1*(1+Inputs!$C$34)^(AB$133-1)</f>
        <v>-4544.8956</v>
      </c>
      <c r="AC164" s="66" t="n">
        <f aca="false">-AC143*Inputs!$C$32*Inputs!$C$13*1*(1+Inputs!$C$34)^(AC$133-1)</f>
        <v>-4544.8956</v>
      </c>
      <c r="AD164" s="66" t="n">
        <f aca="false">-AD143*Inputs!$C$32*Inputs!$C$13*1*(1+Inputs!$C$34)^(AD$133-1)</f>
        <v>-4544.8956</v>
      </c>
      <c r="AE164" s="66" t="n">
        <f aca="false">-AE143*Inputs!$C$32*Inputs!$C$13*1*(1+Inputs!$C$34)^(AE$133-1)</f>
        <v>-4544.8956</v>
      </c>
      <c r="AF164" s="66" t="n">
        <f aca="false">-AF143*Inputs!$C$32*Inputs!$C$13*1*(1+Inputs!$C$34)^(AF$133-1)</f>
        <v>-4544.8956</v>
      </c>
      <c r="AG164" s="66" t="n">
        <f aca="false">-AG143*Inputs!$C$32*Inputs!$C$13*1*(1+Inputs!$C$34)^(AG$133-1)</f>
        <v>-4544.8956</v>
      </c>
      <c r="AH164" s="66" t="n">
        <f aca="false">-AH143*Inputs!$C$32*Inputs!$C$13*1*(1+Inputs!$C$34)^(AH$133-1)</f>
        <v>-4544.8956</v>
      </c>
      <c r="AI164" s="66" t="n">
        <f aca="false">-AI143*Inputs!$C$32*Inputs!$C$13*1*(1+Inputs!$C$34)^(AI$133-1)</f>
        <v>-4544.8956</v>
      </c>
      <c r="AJ164" s="66" t="n">
        <f aca="false">-AJ143*Inputs!$C$32*Inputs!$C$13*1*(1+Inputs!$C$34)^(AJ$133-1)</f>
        <v>-4544.8956</v>
      </c>
      <c r="AK164" s="66" t="n">
        <f aca="false">-AK143*Inputs!$C$32*Inputs!$C$13*1*(1+Inputs!$C$34)^(AK$133-1)</f>
        <v>-4544.8956</v>
      </c>
      <c r="AL164" s="66" t="n">
        <f aca="false">-AL143*Inputs!$C$32*Inputs!$C$13*1*(1+Inputs!$C$34)^(AL$133-1)</f>
        <v>-4544.8956</v>
      </c>
      <c r="AM164" s="66" t="n">
        <f aca="false">-AM143*Inputs!$C$32*Inputs!$C$13*1*(1+Inputs!$C$34)^(AM$133-1)</f>
        <v>-4681.242468</v>
      </c>
      <c r="AN164" s="66" t="n">
        <f aca="false">-AN143*Inputs!$C$32*Inputs!$C$13*1*(1+Inputs!$C$34)^(AN$133-1)</f>
        <v>-4681.242468</v>
      </c>
      <c r="AO164" s="66" t="n">
        <f aca="false">-AO143*Inputs!$C$32*Inputs!$C$13*1*(1+Inputs!$C$34)^(AO$133-1)</f>
        <v>-4681.242468</v>
      </c>
      <c r="AP164" s="66" t="n">
        <f aca="false">-AP143*Inputs!$C$32*Inputs!$C$13*1*(1+Inputs!$C$34)^(AP$133-1)</f>
        <v>-4681.242468</v>
      </c>
      <c r="AQ164" s="66" t="n">
        <f aca="false">-AQ143*Inputs!$C$32*Inputs!$C$13*1*(1+Inputs!$C$34)^(AQ$133-1)</f>
        <v>-4681.242468</v>
      </c>
      <c r="AR164" s="66" t="n">
        <f aca="false">-AR143*Inputs!$C$32*Inputs!$C$13*1*(1+Inputs!$C$34)^(AR$133-1)</f>
        <v>-4681.242468</v>
      </c>
      <c r="AS164" s="66" t="n">
        <f aca="false">-AS143*Inputs!$C$32*Inputs!$C$13*1*(1+Inputs!$C$34)^(AS$133-1)</f>
        <v>-4681.242468</v>
      </c>
      <c r="AT164" s="66" t="n">
        <f aca="false">-AT143*Inputs!$C$32*Inputs!$C$13*1*(1+Inputs!$C$34)^(AT$133-1)</f>
        <v>-4681.242468</v>
      </c>
      <c r="AU164" s="66" t="n">
        <f aca="false">-AU143*Inputs!$C$32*Inputs!$C$13*1*(1+Inputs!$C$34)^(AU$133-1)</f>
        <v>-4681.242468</v>
      </c>
      <c r="AV164" s="66" t="n">
        <f aca="false">-AV143*Inputs!$C$32*Inputs!$C$13*1*(1+Inputs!$C$34)^(AV$133-1)</f>
        <v>-4681.242468</v>
      </c>
      <c r="AW164" s="66" t="n">
        <f aca="false">-AW143*Inputs!$C$32*Inputs!$C$13*1*(1+Inputs!$C$34)^(AW$133-1)</f>
        <v>-4681.242468</v>
      </c>
      <c r="AX164" s="66" t="n">
        <f aca="false">-AX143*Inputs!$C$32*Inputs!$C$13*1*(1+Inputs!$C$34)^(AX$133-1)</f>
        <v>-4681.242468</v>
      </c>
      <c r="AY164" s="66" t="n">
        <f aca="false">-AY143*Inputs!$C$32*Inputs!$C$13*1*(1+Inputs!$C$34)^(AY$133-1)</f>
        <v>-4821.67974204</v>
      </c>
      <c r="AZ164" s="66" t="n">
        <f aca="false">-AZ143*Inputs!$C$32*Inputs!$C$13*1*(1+Inputs!$C$34)^(AZ$133-1)</f>
        <v>-4821.67974204</v>
      </c>
      <c r="BA164" s="66" t="n">
        <f aca="false">-BA143*Inputs!$C$32*Inputs!$C$13*1*(1+Inputs!$C$34)^(BA$133-1)</f>
        <v>-4821.67974204</v>
      </c>
      <c r="BB164" s="66" t="n">
        <f aca="false">-BB143*Inputs!$C$32*Inputs!$C$13*1*(1+Inputs!$C$34)^(BB$133-1)</f>
        <v>-4821.67974204</v>
      </c>
      <c r="BC164" s="66" t="n">
        <f aca="false">-BC143*Inputs!$C$32*Inputs!$C$13*1*(1+Inputs!$C$34)^(BC$133-1)</f>
        <v>-4821.67974204</v>
      </c>
      <c r="BD164" s="66" t="n">
        <f aca="false">-BD143*Inputs!$C$32*Inputs!$C$13*1*(1+Inputs!$C$34)^(BD$133-1)</f>
        <v>-4821.67974204</v>
      </c>
      <c r="BE164" s="66" t="n">
        <f aca="false">-BE143*Inputs!$C$32*Inputs!$C$13*1*(1+Inputs!$C$34)^(BE$133-1)</f>
        <v>-4821.67974204</v>
      </c>
      <c r="BF164" s="66" t="n">
        <f aca="false">-BF143*Inputs!$C$32*Inputs!$C$13*1*(1+Inputs!$C$34)^(BF$133-1)</f>
        <v>-4821.67974204</v>
      </c>
      <c r="BG164" s="66" t="n">
        <f aca="false">-BG143*Inputs!$C$32*Inputs!$C$13*1*(1+Inputs!$C$34)^(BG$133-1)</f>
        <v>-4821.67974204</v>
      </c>
      <c r="BH164" s="66" t="n">
        <f aca="false">-BH143*Inputs!$C$32*Inputs!$C$13*1*(1+Inputs!$C$34)^(BH$133-1)</f>
        <v>-4821.67974204</v>
      </c>
      <c r="BI164" s="66" t="n">
        <f aca="false">-BI143*Inputs!$C$32*Inputs!$C$13*1*(1+Inputs!$C$34)^(BI$133-1)</f>
        <v>-4821.67974204</v>
      </c>
      <c r="BJ164" s="66" t="n">
        <f aca="false">-BJ143*Inputs!$C$32*Inputs!$C$13*1*(1+Inputs!$C$34)^(BJ$133-1)</f>
        <v>-4821.67974204</v>
      </c>
    </row>
    <row r="165" customFormat="false" ht="15" hidden="false" customHeight="false" outlineLevel="0" collapsed="false">
      <c r="A165" s="6" t="s">
        <v>434</v>
      </c>
      <c r="C165" s="66" t="n">
        <f aca="false">-C143*Inputs!$C$33*1*(1+Inputs!$C$34)^(C$133-1)</f>
        <v>-360</v>
      </c>
      <c r="D165" s="66" t="n">
        <f aca="false">-D143*Inputs!$C$33*1*(1+Inputs!$C$34)^(D$133-1)</f>
        <v>-457.5</v>
      </c>
      <c r="E165" s="66" t="n">
        <f aca="false">-E143*Inputs!$C$33*1*(1+Inputs!$C$34)^(E$133-1)</f>
        <v>-555</v>
      </c>
      <c r="F165" s="66" t="n">
        <f aca="false">-F143*Inputs!$C$33*1*(1+Inputs!$C$34)^(F$133-1)</f>
        <v>-652.5</v>
      </c>
      <c r="G165" s="66" t="n">
        <f aca="false">-G143*Inputs!$C$33*1*(1+Inputs!$C$34)^(G$133-1)</f>
        <v>-750</v>
      </c>
      <c r="H165" s="66" t="n">
        <f aca="false">-H143*Inputs!$C$33*1*(1+Inputs!$C$34)^(H$133-1)</f>
        <v>-847.5</v>
      </c>
      <c r="I165" s="66" t="n">
        <f aca="false">-I143*Inputs!$C$33*1*(1+Inputs!$C$34)^(I$133-1)</f>
        <v>-945</v>
      </c>
      <c r="J165" s="66" t="n">
        <f aca="false">-J143*Inputs!$C$33*1*(1+Inputs!$C$34)^(J$133-1)</f>
        <v>-1042.5</v>
      </c>
      <c r="K165" s="66" t="n">
        <f aca="false">-K143*Inputs!$C$33*1*(1+Inputs!$C$34)^(K$133-1)</f>
        <v>-1140</v>
      </c>
      <c r="L165" s="66" t="n">
        <f aca="false">-L143*Inputs!$C$33*1*(1+Inputs!$C$34)^(L$133-1)</f>
        <v>-1237.5</v>
      </c>
      <c r="M165" s="66" t="n">
        <f aca="false">-M143*Inputs!$C$33*1*(1+Inputs!$C$34)^(M$133-1)</f>
        <v>-1335</v>
      </c>
      <c r="N165" s="66" t="n">
        <f aca="false">-N143*Inputs!$C$33*1*(1+Inputs!$C$34)^(N$133-1)</f>
        <v>-1432.5</v>
      </c>
      <c r="O165" s="66" t="n">
        <f aca="false">-O143*Inputs!$C$33*1*(1+Inputs!$C$34)^(O$133-1)</f>
        <v>-1575.9</v>
      </c>
      <c r="P165" s="66" t="n">
        <f aca="false">-P143*Inputs!$C$33*1*(1+Inputs!$C$34)^(P$133-1)</f>
        <v>-1575.9</v>
      </c>
      <c r="Q165" s="66" t="n">
        <f aca="false">-Q143*Inputs!$C$33*1*(1+Inputs!$C$34)^(Q$133-1)</f>
        <v>-1575.9</v>
      </c>
      <c r="R165" s="66" t="n">
        <f aca="false">-R143*Inputs!$C$33*1*(1+Inputs!$C$34)^(R$133-1)</f>
        <v>-1575.9</v>
      </c>
      <c r="S165" s="66" t="n">
        <f aca="false">-S143*Inputs!$C$33*1*(1+Inputs!$C$34)^(S$133-1)</f>
        <v>-1575.9</v>
      </c>
      <c r="T165" s="66" t="n">
        <f aca="false">-T143*Inputs!$C$33*1*(1+Inputs!$C$34)^(T$133-1)</f>
        <v>-1575.9</v>
      </c>
      <c r="U165" s="66" t="n">
        <f aca="false">-U143*Inputs!$C$33*1*(1+Inputs!$C$34)^(U$133-1)</f>
        <v>-1575.9</v>
      </c>
      <c r="V165" s="66" t="n">
        <f aca="false">-V143*Inputs!$C$33*1*(1+Inputs!$C$34)^(V$133-1)</f>
        <v>-1575.9</v>
      </c>
      <c r="W165" s="66" t="n">
        <f aca="false">-W143*Inputs!$C$33*1*(1+Inputs!$C$34)^(W$133-1)</f>
        <v>-1575.9</v>
      </c>
      <c r="X165" s="66" t="n">
        <f aca="false">-X143*Inputs!$C$33*1*(1+Inputs!$C$34)^(X$133-1)</f>
        <v>-1575.9</v>
      </c>
      <c r="Y165" s="66" t="n">
        <f aca="false">-Y143*Inputs!$C$33*1*(1+Inputs!$C$34)^(Y$133-1)</f>
        <v>-1575.9</v>
      </c>
      <c r="Z165" s="66" t="n">
        <f aca="false">-Z143*Inputs!$C$33*1*(1+Inputs!$C$34)^(Z$133-1)</f>
        <v>-1575.9</v>
      </c>
      <c r="AA165" s="66" t="n">
        <f aca="false">-AA143*Inputs!$C$33*1*(1+Inputs!$C$34)^(AA$133-1)</f>
        <v>-1623.177</v>
      </c>
      <c r="AB165" s="66" t="n">
        <f aca="false">-AB143*Inputs!$C$33*1*(1+Inputs!$C$34)^(AB$133-1)</f>
        <v>-1623.177</v>
      </c>
      <c r="AC165" s="66" t="n">
        <f aca="false">-AC143*Inputs!$C$33*1*(1+Inputs!$C$34)^(AC$133-1)</f>
        <v>-1623.177</v>
      </c>
      <c r="AD165" s="66" t="n">
        <f aca="false">-AD143*Inputs!$C$33*1*(1+Inputs!$C$34)^(AD$133-1)</f>
        <v>-1623.177</v>
      </c>
      <c r="AE165" s="66" t="n">
        <f aca="false">-AE143*Inputs!$C$33*1*(1+Inputs!$C$34)^(AE$133-1)</f>
        <v>-1623.177</v>
      </c>
      <c r="AF165" s="66" t="n">
        <f aca="false">-AF143*Inputs!$C$33*1*(1+Inputs!$C$34)^(AF$133-1)</f>
        <v>-1623.177</v>
      </c>
      <c r="AG165" s="66" t="n">
        <f aca="false">-AG143*Inputs!$C$33*1*(1+Inputs!$C$34)^(AG$133-1)</f>
        <v>-1623.177</v>
      </c>
      <c r="AH165" s="66" t="n">
        <f aca="false">-AH143*Inputs!$C$33*1*(1+Inputs!$C$34)^(AH$133-1)</f>
        <v>-1623.177</v>
      </c>
      <c r="AI165" s="66" t="n">
        <f aca="false">-AI143*Inputs!$C$33*1*(1+Inputs!$C$34)^(AI$133-1)</f>
        <v>-1623.177</v>
      </c>
      <c r="AJ165" s="66" t="n">
        <f aca="false">-AJ143*Inputs!$C$33*1*(1+Inputs!$C$34)^(AJ$133-1)</f>
        <v>-1623.177</v>
      </c>
      <c r="AK165" s="66" t="n">
        <f aca="false">-AK143*Inputs!$C$33*1*(1+Inputs!$C$34)^(AK$133-1)</f>
        <v>-1623.177</v>
      </c>
      <c r="AL165" s="66" t="n">
        <f aca="false">-AL143*Inputs!$C$33*1*(1+Inputs!$C$34)^(AL$133-1)</f>
        <v>-1623.177</v>
      </c>
      <c r="AM165" s="66" t="n">
        <f aca="false">-AM143*Inputs!$C$33*1*(1+Inputs!$C$34)^(AM$133-1)</f>
        <v>-1671.87231</v>
      </c>
      <c r="AN165" s="66" t="n">
        <f aca="false">-AN143*Inputs!$C$33*1*(1+Inputs!$C$34)^(AN$133-1)</f>
        <v>-1671.87231</v>
      </c>
      <c r="AO165" s="66" t="n">
        <f aca="false">-AO143*Inputs!$C$33*1*(1+Inputs!$C$34)^(AO$133-1)</f>
        <v>-1671.87231</v>
      </c>
      <c r="AP165" s="66" t="n">
        <f aca="false">-AP143*Inputs!$C$33*1*(1+Inputs!$C$34)^(AP$133-1)</f>
        <v>-1671.87231</v>
      </c>
      <c r="AQ165" s="66" t="n">
        <f aca="false">-AQ143*Inputs!$C$33*1*(1+Inputs!$C$34)^(AQ$133-1)</f>
        <v>-1671.87231</v>
      </c>
      <c r="AR165" s="66" t="n">
        <f aca="false">-AR143*Inputs!$C$33*1*(1+Inputs!$C$34)^(AR$133-1)</f>
        <v>-1671.87231</v>
      </c>
      <c r="AS165" s="66" t="n">
        <f aca="false">-AS143*Inputs!$C$33*1*(1+Inputs!$C$34)^(AS$133-1)</f>
        <v>-1671.87231</v>
      </c>
      <c r="AT165" s="66" t="n">
        <f aca="false">-AT143*Inputs!$C$33*1*(1+Inputs!$C$34)^(AT$133-1)</f>
        <v>-1671.87231</v>
      </c>
      <c r="AU165" s="66" t="n">
        <f aca="false">-AU143*Inputs!$C$33*1*(1+Inputs!$C$34)^(AU$133-1)</f>
        <v>-1671.87231</v>
      </c>
      <c r="AV165" s="66" t="n">
        <f aca="false">-AV143*Inputs!$C$33*1*(1+Inputs!$C$34)^(AV$133-1)</f>
        <v>-1671.87231</v>
      </c>
      <c r="AW165" s="66" t="n">
        <f aca="false">-AW143*Inputs!$C$33*1*(1+Inputs!$C$34)^(AW$133-1)</f>
        <v>-1671.87231</v>
      </c>
      <c r="AX165" s="66" t="n">
        <f aca="false">-AX143*Inputs!$C$33*1*(1+Inputs!$C$34)^(AX$133-1)</f>
        <v>-1671.87231</v>
      </c>
      <c r="AY165" s="66" t="n">
        <f aca="false">-AY143*Inputs!$C$33*1*(1+Inputs!$C$34)^(AY$133-1)</f>
        <v>-1722.0284793</v>
      </c>
      <c r="AZ165" s="66" t="n">
        <f aca="false">-AZ143*Inputs!$C$33*1*(1+Inputs!$C$34)^(AZ$133-1)</f>
        <v>-1722.0284793</v>
      </c>
      <c r="BA165" s="66" t="n">
        <f aca="false">-BA143*Inputs!$C$33*1*(1+Inputs!$C$34)^(BA$133-1)</f>
        <v>-1722.0284793</v>
      </c>
      <c r="BB165" s="66" t="n">
        <f aca="false">-BB143*Inputs!$C$33*1*(1+Inputs!$C$34)^(BB$133-1)</f>
        <v>-1722.0284793</v>
      </c>
      <c r="BC165" s="66" t="n">
        <f aca="false">-BC143*Inputs!$C$33*1*(1+Inputs!$C$34)^(BC$133-1)</f>
        <v>-1722.0284793</v>
      </c>
      <c r="BD165" s="66" t="n">
        <f aca="false">-BD143*Inputs!$C$33*1*(1+Inputs!$C$34)^(BD$133-1)</f>
        <v>-1722.0284793</v>
      </c>
      <c r="BE165" s="66" t="n">
        <f aca="false">-BE143*Inputs!$C$33*1*(1+Inputs!$C$34)^(BE$133-1)</f>
        <v>-1722.0284793</v>
      </c>
      <c r="BF165" s="66" t="n">
        <f aca="false">-BF143*Inputs!$C$33*1*(1+Inputs!$C$34)^(BF$133-1)</f>
        <v>-1722.0284793</v>
      </c>
      <c r="BG165" s="66" t="n">
        <f aca="false">-BG143*Inputs!$C$33*1*(1+Inputs!$C$34)^(BG$133-1)</f>
        <v>-1722.0284793</v>
      </c>
      <c r="BH165" s="66" t="n">
        <f aca="false">-BH143*Inputs!$C$33*1*(1+Inputs!$C$34)^(BH$133-1)</f>
        <v>-1722.0284793</v>
      </c>
      <c r="BI165" s="66" t="n">
        <f aca="false">-BI143*Inputs!$C$33*1*(1+Inputs!$C$34)^(BI$133-1)</f>
        <v>-1722.0284793</v>
      </c>
      <c r="BJ165" s="66" t="n">
        <f aca="false">-BJ143*Inputs!$C$33*1*(1+Inputs!$C$34)^(BJ$133-1)</f>
        <v>-1722.0284793</v>
      </c>
    </row>
    <row r="166" customFormat="false" ht="15" hidden="false" customHeight="false" outlineLevel="0" collapsed="false">
      <c r="A166" s="4" t="s">
        <v>75</v>
      </c>
      <c r="C166" s="72" t="n">
        <f aca="false">C163+C164+C165</f>
        <v>-9208</v>
      </c>
      <c r="D166" s="72" t="n">
        <f aca="false">D163+D164+D165</f>
        <v>-9578.5</v>
      </c>
      <c r="E166" s="72" t="n">
        <f aca="false">E163+E164+E165</f>
        <v>-17789</v>
      </c>
      <c r="F166" s="72" t="n">
        <f aca="false">F163+F164+F165</f>
        <v>-18159.5</v>
      </c>
      <c r="G166" s="72" t="n">
        <f aca="false">G163+G164+G165</f>
        <v>-18530</v>
      </c>
      <c r="H166" s="72" t="n">
        <f aca="false">H163+H164+H165</f>
        <v>-18900.5</v>
      </c>
      <c r="I166" s="72" t="n">
        <f aca="false">I163+I164+I165</f>
        <v>-19271</v>
      </c>
      <c r="J166" s="72" t="n">
        <f aca="false">J163+J164+J165</f>
        <v>-23561.5</v>
      </c>
      <c r="K166" s="72" t="n">
        <f aca="false">K163+K164+K165</f>
        <v>-27852</v>
      </c>
      <c r="L166" s="72" t="n">
        <f aca="false">L163+L164+L165</f>
        <v>-28222.5</v>
      </c>
      <c r="M166" s="72" t="n">
        <f aca="false">M163+M164+M165</f>
        <v>-28593</v>
      </c>
      <c r="N166" s="72" t="n">
        <f aca="false">N163+N164+N165</f>
        <v>-28963.5</v>
      </c>
      <c r="O166" s="72" t="n">
        <f aca="false">O163+O164+O165</f>
        <v>-30214.02</v>
      </c>
      <c r="P166" s="72" t="n">
        <f aca="false">P163+P164+P165</f>
        <v>-30214.02</v>
      </c>
      <c r="Q166" s="72" t="n">
        <f aca="false">Q163+Q164+Q165</f>
        <v>-30214.02</v>
      </c>
      <c r="R166" s="72" t="n">
        <f aca="false">R163+R164+R165</f>
        <v>-30214.02</v>
      </c>
      <c r="S166" s="72" t="n">
        <f aca="false">S163+S164+S165</f>
        <v>-30214.02</v>
      </c>
      <c r="T166" s="72" t="n">
        <f aca="false">T163+T164+T165</f>
        <v>-30214.02</v>
      </c>
      <c r="U166" s="72" t="n">
        <f aca="false">U163+U164+U165</f>
        <v>-30214.02</v>
      </c>
      <c r="V166" s="72" t="n">
        <f aca="false">V163+V164+V165</f>
        <v>-30214.02</v>
      </c>
      <c r="W166" s="72" t="n">
        <f aca="false">W163+W164+W165</f>
        <v>-30214.02</v>
      </c>
      <c r="X166" s="72" t="n">
        <f aca="false">X163+X164+X165</f>
        <v>-30214.02</v>
      </c>
      <c r="Y166" s="72" t="n">
        <f aca="false">Y163+Y164+Y165</f>
        <v>-30214.02</v>
      </c>
      <c r="Z166" s="72" t="n">
        <f aca="false">Z163+Z164+Z165</f>
        <v>-30214.02</v>
      </c>
      <c r="AA166" s="72" t="n">
        <f aca="false">AA163+AA164+AA165</f>
        <v>-31120.4406</v>
      </c>
      <c r="AB166" s="72" t="n">
        <f aca="false">AB163+AB164+AB165</f>
        <v>-31120.4406</v>
      </c>
      <c r="AC166" s="72" t="n">
        <f aca="false">AC163+AC164+AC165</f>
        <v>-31120.4406</v>
      </c>
      <c r="AD166" s="72" t="n">
        <f aca="false">AD163+AD164+AD165</f>
        <v>-31120.4406</v>
      </c>
      <c r="AE166" s="72" t="n">
        <f aca="false">AE163+AE164+AE165</f>
        <v>-31120.4406</v>
      </c>
      <c r="AF166" s="72" t="n">
        <f aca="false">AF163+AF164+AF165</f>
        <v>-31120.4406</v>
      </c>
      <c r="AG166" s="72" t="n">
        <f aca="false">AG163+AG164+AG165</f>
        <v>-31120.4406</v>
      </c>
      <c r="AH166" s="72" t="n">
        <f aca="false">AH163+AH164+AH165</f>
        <v>-31120.4406</v>
      </c>
      <c r="AI166" s="72" t="n">
        <f aca="false">AI163+AI164+AI165</f>
        <v>-31120.4406</v>
      </c>
      <c r="AJ166" s="72" t="n">
        <f aca="false">AJ163+AJ164+AJ165</f>
        <v>-31120.4406</v>
      </c>
      <c r="AK166" s="72" t="n">
        <f aca="false">AK163+AK164+AK165</f>
        <v>-31120.4406</v>
      </c>
      <c r="AL166" s="72" t="n">
        <f aca="false">AL163+AL164+AL165</f>
        <v>-31120.4406</v>
      </c>
      <c r="AM166" s="72" t="n">
        <f aca="false">AM163+AM164+AM165</f>
        <v>-32054.053818</v>
      </c>
      <c r="AN166" s="72" t="n">
        <f aca="false">AN163+AN164+AN165</f>
        <v>-32054.053818</v>
      </c>
      <c r="AO166" s="72" t="n">
        <f aca="false">AO163+AO164+AO165</f>
        <v>-32054.053818</v>
      </c>
      <c r="AP166" s="72" t="n">
        <f aca="false">AP163+AP164+AP165</f>
        <v>-32054.053818</v>
      </c>
      <c r="AQ166" s="72" t="n">
        <f aca="false">AQ163+AQ164+AQ165</f>
        <v>-32054.053818</v>
      </c>
      <c r="AR166" s="72" t="n">
        <f aca="false">AR163+AR164+AR165</f>
        <v>-32054.053818</v>
      </c>
      <c r="AS166" s="72" t="n">
        <f aca="false">AS163+AS164+AS165</f>
        <v>-32054.053818</v>
      </c>
      <c r="AT166" s="72" t="n">
        <f aca="false">AT163+AT164+AT165</f>
        <v>-32054.053818</v>
      </c>
      <c r="AU166" s="72" t="n">
        <f aca="false">AU163+AU164+AU165</f>
        <v>-32054.053818</v>
      </c>
      <c r="AV166" s="72" t="n">
        <f aca="false">AV163+AV164+AV165</f>
        <v>-32054.053818</v>
      </c>
      <c r="AW166" s="72" t="n">
        <f aca="false">AW163+AW164+AW165</f>
        <v>-32054.053818</v>
      </c>
      <c r="AX166" s="72" t="n">
        <f aca="false">AX163+AX164+AX165</f>
        <v>-32054.053818</v>
      </c>
      <c r="AY166" s="72" t="n">
        <f aca="false">AY163+AY164+AY165</f>
        <v>-33015.67543254</v>
      </c>
      <c r="AZ166" s="72" t="n">
        <f aca="false">AZ163+AZ164+AZ165</f>
        <v>-33015.67543254</v>
      </c>
      <c r="BA166" s="72" t="n">
        <f aca="false">BA163+BA164+BA165</f>
        <v>-33015.67543254</v>
      </c>
      <c r="BB166" s="72" t="n">
        <f aca="false">BB163+BB164+BB165</f>
        <v>-33015.67543254</v>
      </c>
      <c r="BC166" s="72" t="n">
        <f aca="false">BC163+BC164+BC165</f>
        <v>-33015.67543254</v>
      </c>
      <c r="BD166" s="72" t="n">
        <f aca="false">BD163+BD164+BD165</f>
        <v>-33015.67543254</v>
      </c>
      <c r="BE166" s="72" t="n">
        <f aca="false">BE163+BE164+BE165</f>
        <v>-33015.67543254</v>
      </c>
      <c r="BF166" s="72" t="n">
        <f aca="false">BF163+BF164+BF165</f>
        <v>-33015.67543254</v>
      </c>
      <c r="BG166" s="72" t="n">
        <f aca="false">BG163+BG164+BG165</f>
        <v>-33015.67543254</v>
      </c>
      <c r="BH166" s="72" t="n">
        <f aca="false">BH163+BH164+BH165</f>
        <v>-33015.67543254</v>
      </c>
      <c r="BI166" s="72" t="n">
        <f aca="false">BI163+BI164+BI165</f>
        <v>-33015.67543254</v>
      </c>
      <c r="BJ166" s="72" t="n">
        <f aca="false">BJ163+BJ164+BJ165</f>
        <v>-33015.67543254</v>
      </c>
    </row>
    <row r="167" customFormat="false" ht="15" hidden="false" customHeight="false" outlineLevel="0" collapsed="false">
      <c r="A167" s="110" t="s">
        <v>45</v>
      </c>
      <c r="C167" s="67" t="n">
        <f aca="false">C160+C166</f>
        <v>6401</v>
      </c>
      <c r="D167" s="67" t="n">
        <f aca="false">D160+D166</f>
        <v>8457.9375</v>
      </c>
      <c r="E167" s="67" t="n">
        <f aca="false">E160+E166</f>
        <v>3987.375</v>
      </c>
      <c r="F167" s="67" t="n">
        <f aca="false">F160+F166</f>
        <v>7356.8125</v>
      </c>
      <c r="G167" s="67" t="n">
        <f aca="false">G160+G166</f>
        <v>10726.25</v>
      </c>
      <c r="H167" s="67" t="n">
        <f aca="false">H160+H166</f>
        <v>14095.6875</v>
      </c>
      <c r="I167" s="67" t="n">
        <f aca="false">I160+I166</f>
        <v>17465.125</v>
      </c>
      <c r="J167" s="67" t="n">
        <f aca="false">J160+J166</f>
        <v>16914.5625</v>
      </c>
      <c r="K167" s="67" t="n">
        <f aca="false">K160+K166</f>
        <v>16364</v>
      </c>
      <c r="L167" s="67" t="n">
        <f aca="false">L160+L166</f>
        <v>19733.4375</v>
      </c>
      <c r="M167" s="67" t="n">
        <f aca="false">M160+M166</f>
        <v>23102.875</v>
      </c>
      <c r="N167" s="67" t="n">
        <f aca="false">N160+N166</f>
        <v>26472.3125</v>
      </c>
      <c r="O167" s="67" t="n">
        <f aca="false">O160+O166</f>
        <v>30737.0025</v>
      </c>
      <c r="P167" s="67" t="n">
        <f aca="false">P160+P166</f>
        <v>30234.8775</v>
      </c>
      <c r="Q167" s="67" t="n">
        <f aca="false">Q160+Q166</f>
        <v>30234.8775</v>
      </c>
      <c r="R167" s="67" t="n">
        <f aca="false">R160+R166</f>
        <v>30234.8775</v>
      </c>
      <c r="S167" s="67" t="n">
        <f aca="false">S160+S166</f>
        <v>30234.8775</v>
      </c>
      <c r="T167" s="67" t="n">
        <f aca="false">T160+T166</f>
        <v>30234.8775</v>
      </c>
      <c r="U167" s="67" t="n">
        <f aca="false">U160+U166</f>
        <v>30234.8775</v>
      </c>
      <c r="V167" s="67" t="n">
        <f aca="false">V160+V166</f>
        <v>30234.8775</v>
      </c>
      <c r="W167" s="67" t="n">
        <f aca="false">W160+W166</f>
        <v>30234.8775</v>
      </c>
      <c r="X167" s="67" t="n">
        <f aca="false">X160+X166</f>
        <v>30234.8775</v>
      </c>
      <c r="Y167" s="67" t="n">
        <f aca="false">Y160+Y166</f>
        <v>30234.8775</v>
      </c>
      <c r="Z167" s="67" t="n">
        <f aca="false">Z160+Z166</f>
        <v>30234.8775</v>
      </c>
      <c r="AA167" s="67" t="n">
        <f aca="false">AA160+AA166</f>
        <v>31141.923825</v>
      </c>
      <c r="AB167" s="67" t="n">
        <f aca="false">AB160+AB166</f>
        <v>31141.923825</v>
      </c>
      <c r="AC167" s="67" t="n">
        <f aca="false">AC160+AC166</f>
        <v>31141.923825</v>
      </c>
      <c r="AD167" s="67" t="n">
        <f aca="false">AD160+AD166</f>
        <v>31141.923825</v>
      </c>
      <c r="AE167" s="67" t="n">
        <f aca="false">AE160+AE166</f>
        <v>31141.923825</v>
      </c>
      <c r="AF167" s="67" t="n">
        <f aca="false">AF160+AF166</f>
        <v>31141.923825</v>
      </c>
      <c r="AG167" s="67" t="n">
        <f aca="false">AG160+AG166</f>
        <v>31141.923825</v>
      </c>
      <c r="AH167" s="67" t="n">
        <f aca="false">AH160+AH166</f>
        <v>31141.923825</v>
      </c>
      <c r="AI167" s="67" t="n">
        <f aca="false">AI160+AI166</f>
        <v>31141.923825</v>
      </c>
      <c r="AJ167" s="67" t="n">
        <f aca="false">AJ160+AJ166</f>
        <v>31141.923825</v>
      </c>
      <c r="AK167" s="67" t="n">
        <f aca="false">AK160+AK166</f>
        <v>31141.923825</v>
      </c>
      <c r="AL167" s="67" t="n">
        <f aca="false">AL160+AL166</f>
        <v>31141.923825</v>
      </c>
      <c r="AM167" s="67" t="n">
        <f aca="false">AM160+AM166</f>
        <v>32076.18153975</v>
      </c>
      <c r="AN167" s="67" t="n">
        <f aca="false">AN160+AN166</f>
        <v>32076.18153975</v>
      </c>
      <c r="AO167" s="67" t="n">
        <f aca="false">AO160+AO166</f>
        <v>32076.18153975</v>
      </c>
      <c r="AP167" s="67" t="n">
        <f aca="false">AP160+AP166</f>
        <v>32076.18153975</v>
      </c>
      <c r="AQ167" s="67" t="n">
        <f aca="false">AQ160+AQ166</f>
        <v>32076.18153975</v>
      </c>
      <c r="AR167" s="67" t="n">
        <f aca="false">AR160+AR166</f>
        <v>32076.18153975</v>
      </c>
      <c r="AS167" s="67" t="n">
        <f aca="false">AS160+AS166</f>
        <v>32076.18153975</v>
      </c>
      <c r="AT167" s="67" t="n">
        <f aca="false">AT160+AT166</f>
        <v>32076.18153975</v>
      </c>
      <c r="AU167" s="67" t="n">
        <f aca="false">AU160+AU166</f>
        <v>32076.18153975</v>
      </c>
      <c r="AV167" s="67" t="n">
        <f aca="false">AV160+AV166</f>
        <v>32076.18153975</v>
      </c>
      <c r="AW167" s="67" t="n">
        <f aca="false">AW160+AW166</f>
        <v>32076.18153975</v>
      </c>
      <c r="AX167" s="67" t="n">
        <f aca="false">AX160+AX166</f>
        <v>32076.18153975</v>
      </c>
      <c r="AY167" s="67" t="n">
        <f aca="false">AY160+AY166</f>
        <v>33038.4669859425</v>
      </c>
      <c r="AZ167" s="67" t="n">
        <f aca="false">AZ160+AZ166</f>
        <v>33038.4669859425</v>
      </c>
      <c r="BA167" s="67" t="n">
        <f aca="false">BA160+BA166</f>
        <v>33038.4669859425</v>
      </c>
      <c r="BB167" s="67" t="n">
        <f aca="false">BB160+BB166</f>
        <v>33038.4669859425</v>
      </c>
      <c r="BC167" s="67" t="n">
        <f aca="false">BC160+BC166</f>
        <v>33038.4669859425</v>
      </c>
      <c r="BD167" s="67" t="n">
        <f aca="false">BD160+BD166</f>
        <v>33038.4669859425</v>
      </c>
      <c r="BE167" s="67" t="n">
        <f aca="false">BE160+BE166</f>
        <v>33038.4669859425</v>
      </c>
      <c r="BF167" s="67" t="n">
        <f aca="false">BF160+BF166</f>
        <v>33038.4669859425</v>
      </c>
      <c r="BG167" s="67" t="n">
        <f aca="false">BG160+BG166</f>
        <v>33038.4669859425</v>
      </c>
      <c r="BH167" s="67" t="n">
        <f aca="false">BH160+BH166</f>
        <v>33038.4669859425</v>
      </c>
      <c r="BI167" s="67" t="n">
        <f aca="false">BI160+BI166</f>
        <v>33038.4669859425</v>
      </c>
      <c r="BJ167" s="67" t="n">
        <f aca="false">BJ160+BJ166</f>
        <v>33038.4669859425</v>
      </c>
    </row>
    <row r="169" customFormat="false" ht="15.75" hidden="false" customHeight="true" outlineLevel="0" collapsed="false">
      <c r="A169" s="7" t="s">
        <v>47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customFormat="false" ht="15" hidden="false" customHeight="false" outlineLevel="0" collapsed="false">
      <c r="A170" s="6" t="s">
        <v>338</v>
      </c>
      <c r="C170" s="66" t="n">
        <f aca="false">C253</f>
        <v>-9146.66666666667</v>
      </c>
      <c r="D170" s="66" t="n">
        <f aca="false">D253</f>
        <v>-9146.66666666667</v>
      </c>
      <c r="E170" s="66" t="n">
        <f aca="false">E253</f>
        <v>-9146.66666666667</v>
      </c>
      <c r="F170" s="66" t="n">
        <f aca="false">F253</f>
        <v>-9146.66666666667</v>
      </c>
      <c r="G170" s="66" t="n">
        <f aca="false">G253</f>
        <v>-9146.66666666667</v>
      </c>
      <c r="H170" s="66" t="n">
        <f aca="false">H253</f>
        <v>-9146.66666666667</v>
      </c>
      <c r="I170" s="66" t="n">
        <f aca="false">I253</f>
        <v>-9146.66666666667</v>
      </c>
      <c r="J170" s="66" t="n">
        <f aca="false">J253</f>
        <v>-9146.66666666667</v>
      </c>
      <c r="K170" s="66" t="n">
        <f aca="false">K253</f>
        <v>-9146.66666666667</v>
      </c>
      <c r="L170" s="66" t="n">
        <f aca="false">L253</f>
        <v>-9146.66666666667</v>
      </c>
      <c r="M170" s="66" t="n">
        <f aca="false">M253</f>
        <v>-9146.66666666667</v>
      </c>
      <c r="N170" s="66" t="n">
        <f aca="false">N253</f>
        <v>-9146.66666666667</v>
      </c>
      <c r="O170" s="66" t="n">
        <f aca="false">O253</f>
        <v>-9421.06666666667</v>
      </c>
      <c r="P170" s="66" t="n">
        <f aca="false">P253</f>
        <v>-9421.06666666667</v>
      </c>
      <c r="Q170" s="66" t="n">
        <f aca="false">Q253</f>
        <v>-9421.06666666667</v>
      </c>
      <c r="R170" s="66" t="n">
        <f aca="false">R253</f>
        <v>-9421.06666666667</v>
      </c>
      <c r="S170" s="66" t="n">
        <f aca="false">S253</f>
        <v>-9421.06666666667</v>
      </c>
      <c r="T170" s="66" t="n">
        <f aca="false">T253</f>
        <v>-9421.06666666667</v>
      </c>
      <c r="U170" s="66" t="n">
        <f aca="false">U253</f>
        <v>-9421.06666666667</v>
      </c>
      <c r="V170" s="66" t="n">
        <f aca="false">V253</f>
        <v>-9421.06666666667</v>
      </c>
      <c r="W170" s="66" t="n">
        <f aca="false">W253</f>
        <v>-9421.06666666667</v>
      </c>
      <c r="X170" s="66" t="n">
        <f aca="false">X253</f>
        <v>-9421.06666666667</v>
      </c>
      <c r="Y170" s="66" t="n">
        <f aca="false">Y253</f>
        <v>-9421.06666666667</v>
      </c>
      <c r="Z170" s="66" t="n">
        <f aca="false">Z253</f>
        <v>-9421.06666666667</v>
      </c>
      <c r="AA170" s="66" t="n">
        <f aca="false">AA253</f>
        <v>-9703.69866666667</v>
      </c>
      <c r="AB170" s="66" t="n">
        <f aca="false">AB253</f>
        <v>-9703.69866666667</v>
      </c>
      <c r="AC170" s="66" t="n">
        <f aca="false">AC253</f>
        <v>-9703.69866666667</v>
      </c>
      <c r="AD170" s="66" t="n">
        <f aca="false">AD253</f>
        <v>-9703.69866666667</v>
      </c>
      <c r="AE170" s="66" t="n">
        <f aca="false">AE253</f>
        <v>-9703.69866666667</v>
      </c>
      <c r="AF170" s="66" t="n">
        <f aca="false">AF253</f>
        <v>-9703.69866666667</v>
      </c>
      <c r="AG170" s="66" t="n">
        <f aca="false">AG253</f>
        <v>-9703.69866666667</v>
      </c>
      <c r="AH170" s="66" t="n">
        <f aca="false">AH253</f>
        <v>-9703.69866666667</v>
      </c>
      <c r="AI170" s="66" t="n">
        <f aca="false">AI253</f>
        <v>-9703.69866666667</v>
      </c>
      <c r="AJ170" s="66" t="n">
        <f aca="false">AJ253</f>
        <v>-9703.69866666667</v>
      </c>
      <c r="AK170" s="66" t="n">
        <f aca="false">AK253</f>
        <v>-9703.69866666667</v>
      </c>
      <c r="AL170" s="66" t="n">
        <f aca="false">AL253</f>
        <v>-9703.69866666667</v>
      </c>
      <c r="AM170" s="66" t="n">
        <f aca="false">AM253</f>
        <v>-9994.80962666667</v>
      </c>
      <c r="AN170" s="66" t="n">
        <f aca="false">AN253</f>
        <v>-9994.80962666667</v>
      </c>
      <c r="AO170" s="66" t="n">
        <f aca="false">AO253</f>
        <v>-9994.80962666667</v>
      </c>
      <c r="AP170" s="66" t="n">
        <f aca="false">AP253</f>
        <v>-9994.80962666667</v>
      </c>
      <c r="AQ170" s="66" t="n">
        <f aca="false">AQ253</f>
        <v>-9994.80962666667</v>
      </c>
      <c r="AR170" s="66" t="n">
        <f aca="false">AR253</f>
        <v>-9994.80962666667</v>
      </c>
      <c r="AS170" s="66" t="n">
        <f aca="false">AS253</f>
        <v>-9994.80962666667</v>
      </c>
      <c r="AT170" s="66" t="n">
        <f aca="false">AT253</f>
        <v>-9994.80962666667</v>
      </c>
      <c r="AU170" s="66" t="n">
        <f aca="false">AU253</f>
        <v>-9994.80962666667</v>
      </c>
      <c r="AV170" s="66" t="n">
        <f aca="false">AV253</f>
        <v>-9994.80962666667</v>
      </c>
      <c r="AW170" s="66" t="n">
        <f aca="false">AW253</f>
        <v>-9994.80962666667</v>
      </c>
      <c r="AX170" s="66" t="n">
        <f aca="false">AX253</f>
        <v>-9994.80962666667</v>
      </c>
      <c r="AY170" s="66" t="n">
        <f aca="false">AY253</f>
        <v>-10294.6539154667</v>
      </c>
      <c r="AZ170" s="66" t="n">
        <f aca="false">AZ253</f>
        <v>-10294.6539154667</v>
      </c>
      <c r="BA170" s="66" t="n">
        <f aca="false">BA253</f>
        <v>-10294.6539154667</v>
      </c>
      <c r="BB170" s="66" t="n">
        <f aca="false">BB253</f>
        <v>-10294.6539154667</v>
      </c>
      <c r="BC170" s="66" t="n">
        <f aca="false">BC253</f>
        <v>-10294.6539154667</v>
      </c>
      <c r="BD170" s="66" t="n">
        <f aca="false">BD253</f>
        <v>-10294.6539154667</v>
      </c>
      <c r="BE170" s="66" t="n">
        <f aca="false">BE253</f>
        <v>-10294.6539154667</v>
      </c>
      <c r="BF170" s="66" t="n">
        <f aca="false">BF253</f>
        <v>-10294.6539154667</v>
      </c>
      <c r="BG170" s="66" t="n">
        <f aca="false">BG253</f>
        <v>-10294.6539154667</v>
      </c>
      <c r="BH170" s="66" t="n">
        <f aca="false">BH253</f>
        <v>-10294.6539154667</v>
      </c>
      <c r="BI170" s="66" t="n">
        <f aca="false">BI253</f>
        <v>-10294.6539154667</v>
      </c>
      <c r="BJ170" s="66" t="n">
        <f aca="false">BJ253</f>
        <v>-10294.6539154667</v>
      </c>
    </row>
    <row r="171" customFormat="false" ht="15" hidden="false" customHeight="false" outlineLevel="0" collapsed="false">
      <c r="A171" s="6" t="s">
        <v>339</v>
      </c>
      <c r="C171" s="66" t="n">
        <f aca="false">-C136*Inputs!$C$37*Inputs!$C$38/12*(1+Inputs!$C$39)^(C$133-1)*1</f>
        <v>-6000</v>
      </c>
      <c r="D171" s="66" t="n">
        <f aca="false">-D136*Inputs!$C$37*Inputs!$C$38/12*(1+Inputs!$C$39)^(D$133-1)*1</f>
        <v>-6000</v>
      </c>
      <c r="E171" s="66" t="n">
        <f aca="false">-E136*Inputs!$C$37*Inputs!$C$38/12*(1+Inputs!$C$39)^(E$133-1)*1</f>
        <v>-6000</v>
      </c>
      <c r="F171" s="66" t="n">
        <f aca="false">-F136*Inputs!$C$37*Inputs!$C$38/12*(1+Inputs!$C$39)^(F$133-1)*1</f>
        <v>-6000</v>
      </c>
      <c r="G171" s="66" t="n">
        <f aca="false">-G136*Inputs!$C$37*Inputs!$C$38/12*(1+Inputs!$C$39)^(G$133-1)*1</f>
        <v>-6000</v>
      </c>
      <c r="H171" s="66" t="n">
        <f aca="false">-H136*Inputs!$C$37*Inputs!$C$38/12*(1+Inputs!$C$39)^(H$133-1)*1</f>
        <v>-6000</v>
      </c>
      <c r="I171" s="66" t="n">
        <f aca="false">-I136*Inputs!$C$37*Inputs!$C$38/12*(1+Inputs!$C$39)^(I$133-1)*1</f>
        <v>-6000</v>
      </c>
      <c r="J171" s="66" t="n">
        <f aca="false">-J136*Inputs!$C$37*Inputs!$C$38/12*(1+Inputs!$C$39)^(J$133-1)*1</f>
        <v>-6000</v>
      </c>
      <c r="K171" s="66" t="n">
        <f aca="false">-K136*Inputs!$C$37*Inputs!$C$38/12*(1+Inputs!$C$39)^(K$133-1)*1</f>
        <v>-6000</v>
      </c>
      <c r="L171" s="66" t="n">
        <f aca="false">-L136*Inputs!$C$37*Inputs!$C$38/12*(1+Inputs!$C$39)^(L$133-1)*1</f>
        <v>-6000</v>
      </c>
      <c r="M171" s="66" t="n">
        <f aca="false">-M136*Inputs!$C$37*Inputs!$C$38/12*(1+Inputs!$C$39)^(M$133-1)*1</f>
        <v>-6000</v>
      </c>
      <c r="N171" s="66" t="n">
        <f aca="false">-N136*Inputs!$C$37*Inputs!$C$38/12*(1+Inputs!$C$39)^(N$133-1)*1</f>
        <v>-6000</v>
      </c>
      <c r="O171" s="66" t="n">
        <f aca="false">-O136*Inputs!$C$37*Inputs!$C$38/12*(1+Inputs!$C$39)^(O$133-1)*1</f>
        <v>-6180</v>
      </c>
      <c r="P171" s="66" t="n">
        <f aca="false">-P136*Inputs!$C$37*Inputs!$C$38/12*(1+Inputs!$C$39)^(P$133-1)*1</f>
        <v>-6180</v>
      </c>
      <c r="Q171" s="66" t="n">
        <f aca="false">-Q136*Inputs!$C$37*Inputs!$C$38/12*(1+Inputs!$C$39)^(Q$133-1)*1</f>
        <v>-6180</v>
      </c>
      <c r="R171" s="66" t="n">
        <f aca="false">-R136*Inputs!$C$37*Inputs!$C$38/12*(1+Inputs!$C$39)^(R$133-1)*1</f>
        <v>-6180</v>
      </c>
      <c r="S171" s="66" t="n">
        <f aca="false">-S136*Inputs!$C$37*Inputs!$C$38/12*(1+Inputs!$C$39)^(S$133-1)*1</f>
        <v>-6180</v>
      </c>
      <c r="T171" s="66" t="n">
        <f aca="false">-T136*Inputs!$C$37*Inputs!$C$38/12*(1+Inputs!$C$39)^(T$133-1)*1</f>
        <v>-6180</v>
      </c>
      <c r="U171" s="66" t="n">
        <f aca="false">-U136*Inputs!$C$37*Inputs!$C$38/12*(1+Inputs!$C$39)^(U$133-1)*1</f>
        <v>-6180</v>
      </c>
      <c r="V171" s="66" t="n">
        <f aca="false">-V136*Inputs!$C$37*Inputs!$C$38/12*(1+Inputs!$C$39)^(V$133-1)*1</f>
        <v>-6180</v>
      </c>
      <c r="W171" s="66" t="n">
        <f aca="false">-W136*Inputs!$C$37*Inputs!$C$38/12*(1+Inputs!$C$39)^(W$133-1)*1</f>
        <v>-6180</v>
      </c>
      <c r="X171" s="66" t="n">
        <f aca="false">-X136*Inputs!$C$37*Inputs!$C$38/12*(1+Inputs!$C$39)^(X$133-1)*1</f>
        <v>-6180</v>
      </c>
      <c r="Y171" s="66" t="n">
        <f aca="false">-Y136*Inputs!$C$37*Inputs!$C$38/12*(1+Inputs!$C$39)^(Y$133-1)*1</f>
        <v>-6180</v>
      </c>
      <c r="Z171" s="66" t="n">
        <f aca="false">-Z136*Inputs!$C$37*Inputs!$C$38/12*(1+Inputs!$C$39)^(Z$133-1)*1</f>
        <v>-6180</v>
      </c>
      <c r="AA171" s="66" t="n">
        <f aca="false">-AA136*Inputs!$C$37*Inputs!$C$38/12*(1+Inputs!$C$39)^(AA$133-1)*1</f>
        <v>-6365.4</v>
      </c>
      <c r="AB171" s="66" t="n">
        <f aca="false">-AB136*Inputs!$C$37*Inputs!$C$38/12*(1+Inputs!$C$39)^(AB$133-1)*1</f>
        <v>-6365.4</v>
      </c>
      <c r="AC171" s="66" t="n">
        <f aca="false">-AC136*Inputs!$C$37*Inputs!$C$38/12*(1+Inputs!$C$39)^(AC$133-1)*1</f>
        <v>-6365.4</v>
      </c>
      <c r="AD171" s="66" t="n">
        <f aca="false">-AD136*Inputs!$C$37*Inputs!$C$38/12*(1+Inputs!$C$39)^(AD$133-1)*1</f>
        <v>-6365.4</v>
      </c>
      <c r="AE171" s="66" t="n">
        <f aca="false">-AE136*Inputs!$C$37*Inputs!$C$38/12*(1+Inputs!$C$39)^(AE$133-1)*1</f>
        <v>-6365.4</v>
      </c>
      <c r="AF171" s="66" t="n">
        <f aca="false">-AF136*Inputs!$C$37*Inputs!$C$38/12*(1+Inputs!$C$39)^(AF$133-1)*1</f>
        <v>-6365.4</v>
      </c>
      <c r="AG171" s="66" t="n">
        <f aca="false">-AG136*Inputs!$C$37*Inputs!$C$38/12*(1+Inputs!$C$39)^(AG$133-1)*1</f>
        <v>-6365.4</v>
      </c>
      <c r="AH171" s="66" t="n">
        <f aca="false">-AH136*Inputs!$C$37*Inputs!$C$38/12*(1+Inputs!$C$39)^(AH$133-1)*1</f>
        <v>-6365.4</v>
      </c>
      <c r="AI171" s="66" t="n">
        <f aca="false">-AI136*Inputs!$C$37*Inputs!$C$38/12*(1+Inputs!$C$39)^(AI$133-1)*1</f>
        <v>-6365.4</v>
      </c>
      <c r="AJ171" s="66" t="n">
        <f aca="false">-AJ136*Inputs!$C$37*Inputs!$C$38/12*(1+Inputs!$C$39)^(AJ$133-1)*1</f>
        <v>-6365.4</v>
      </c>
      <c r="AK171" s="66" t="n">
        <f aca="false">-AK136*Inputs!$C$37*Inputs!$C$38/12*(1+Inputs!$C$39)^(AK$133-1)*1</f>
        <v>-6365.4</v>
      </c>
      <c r="AL171" s="66" t="n">
        <f aca="false">-AL136*Inputs!$C$37*Inputs!$C$38/12*(1+Inputs!$C$39)^(AL$133-1)*1</f>
        <v>-6365.4</v>
      </c>
      <c r="AM171" s="66" t="n">
        <f aca="false">-AM136*Inputs!$C$37*Inputs!$C$38/12*(1+Inputs!$C$39)^(AM$133-1)*1</f>
        <v>-6556.362</v>
      </c>
      <c r="AN171" s="66" t="n">
        <f aca="false">-AN136*Inputs!$C$37*Inputs!$C$38/12*(1+Inputs!$C$39)^(AN$133-1)*1</f>
        <v>-6556.362</v>
      </c>
      <c r="AO171" s="66" t="n">
        <f aca="false">-AO136*Inputs!$C$37*Inputs!$C$38/12*(1+Inputs!$C$39)^(AO$133-1)*1</f>
        <v>-6556.362</v>
      </c>
      <c r="AP171" s="66" t="n">
        <f aca="false">-AP136*Inputs!$C$37*Inputs!$C$38/12*(1+Inputs!$C$39)^(AP$133-1)*1</f>
        <v>-6556.362</v>
      </c>
      <c r="AQ171" s="66" t="n">
        <f aca="false">-AQ136*Inputs!$C$37*Inputs!$C$38/12*(1+Inputs!$C$39)^(AQ$133-1)*1</f>
        <v>-6556.362</v>
      </c>
      <c r="AR171" s="66" t="n">
        <f aca="false">-AR136*Inputs!$C$37*Inputs!$C$38/12*(1+Inputs!$C$39)^(AR$133-1)*1</f>
        <v>-6556.362</v>
      </c>
      <c r="AS171" s="66" t="n">
        <f aca="false">-AS136*Inputs!$C$37*Inputs!$C$38/12*(1+Inputs!$C$39)^(AS$133-1)*1</f>
        <v>-6556.362</v>
      </c>
      <c r="AT171" s="66" t="n">
        <f aca="false">-AT136*Inputs!$C$37*Inputs!$C$38/12*(1+Inputs!$C$39)^(AT$133-1)*1</f>
        <v>-6556.362</v>
      </c>
      <c r="AU171" s="66" t="n">
        <f aca="false">-AU136*Inputs!$C$37*Inputs!$C$38/12*(1+Inputs!$C$39)^(AU$133-1)*1</f>
        <v>-6556.362</v>
      </c>
      <c r="AV171" s="66" t="n">
        <f aca="false">-AV136*Inputs!$C$37*Inputs!$C$38/12*(1+Inputs!$C$39)^(AV$133-1)*1</f>
        <v>-6556.362</v>
      </c>
      <c r="AW171" s="66" t="n">
        <f aca="false">-AW136*Inputs!$C$37*Inputs!$C$38/12*(1+Inputs!$C$39)^(AW$133-1)*1</f>
        <v>-6556.362</v>
      </c>
      <c r="AX171" s="66" t="n">
        <f aca="false">-AX136*Inputs!$C$37*Inputs!$C$38/12*(1+Inputs!$C$39)^(AX$133-1)*1</f>
        <v>-6556.362</v>
      </c>
      <c r="AY171" s="66" t="n">
        <f aca="false">-AY136*Inputs!$C$37*Inputs!$C$38/12*(1+Inputs!$C$39)^(AY$133-1)*1</f>
        <v>-6753.05286</v>
      </c>
      <c r="AZ171" s="66" t="n">
        <f aca="false">-AZ136*Inputs!$C$37*Inputs!$C$38/12*(1+Inputs!$C$39)^(AZ$133-1)*1</f>
        <v>-6753.05286</v>
      </c>
      <c r="BA171" s="66" t="n">
        <f aca="false">-BA136*Inputs!$C$37*Inputs!$C$38/12*(1+Inputs!$C$39)^(BA$133-1)*1</f>
        <v>-6753.05286</v>
      </c>
      <c r="BB171" s="66" t="n">
        <f aca="false">-BB136*Inputs!$C$37*Inputs!$C$38/12*(1+Inputs!$C$39)^(BB$133-1)*1</f>
        <v>-6753.05286</v>
      </c>
      <c r="BC171" s="66" t="n">
        <f aca="false">-BC136*Inputs!$C$37*Inputs!$C$38/12*(1+Inputs!$C$39)^(BC$133-1)*1</f>
        <v>-6753.05286</v>
      </c>
      <c r="BD171" s="66" t="n">
        <f aca="false">-BD136*Inputs!$C$37*Inputs!$C$38/12*(1+Inputs!$C$39)^(BD$133-1)*1</f>
        <v>-6753.05286</v>
      </c>
      <c r="BE171" s="66" t="n">
        <f aca="false">-BE136*Inputs!$C$37*Inputs!$C$38/12*(1+Inputs!$C$39)^(BE$133-1)*1</f>
        <v>-6753.05286</v>
      </c>
      <c r="BF171" s="66" t="n">
        <f aca="false">-BF136*Inputs!$C$37*Inputs!$C$38/12*(1+Inputs!$C$39)^(BF$133-1)*1</f>
        <v>-6753.05286</v>
      </c>
      <c r="BG171" s="66" t="n">
        <f aca="false">-BG136*Inputs!$C$37*Inputs!$C$38/12*(1+Inputs!$C$39)^(BG$133-1)*1</f>
        <v>-6753.05286</v>
      </c>
      <c r="BH171" s="66" t="n">
        <f aca="false">-BH136*Inputs!$C$37*Inputs!$C$38/12*(1+Inputs!$C$39)^(BH$133-1)*1</f>
        <v>-6753.05286</v>
      </c>
      <c r="BI171" s="66" t="n">
        <f aca="false">-BI136*Inputs!$C$37*Inputs!$C$38/12*(1+Inputs!$C$39)^(BI$133-1)*1</f>
        <v>-6753.05286</v>
      </c>
      <c r="BJ171" s="66" t="n">
        <f aca="false">-BJ136*Inputs!$C$37*Inputs!$C$38/12*(1+Inputs!$C$39)^(BJ$133-1)*1</f>
        <v>-6753.05286</v>
      </c>
    </row>
    <row r="172" customFormat="false" ht="15" hidden="false" customHeight="false" outlineLevel="0" collapsed="false">
      <c r="A172" s="6" t="s">
        <v>340</v>
      </c>
      <c r="C172" s="66" t="n">
        <f aca="false">-C136*Inputs!$C$37*Inputs!$C$40/12*(1+Inputs!$C$34)^(C$133-1)*1</f>
        <v>-2437.5</v>
      </c>
      <c r="D172" s="66" t="n">
        <f aca="false">-D136*Inputs!$C$37*Inputs!$C$40/12*(1+Inputs!$C$34)^(D$133-1)*1</f>
        <v>-2437.5</v>
      </c>
      <c r="E172" s="66" t="n">
        <f aca="false">-E136*Inputs!$C$37*Inputs!$C$40/12*(1+Inputs!$C$34)^(E$133-1)*1</f>
        <v>-2437.5</v>
      </c>
      <c r="F172" s="66" t="n">
        <f aca="false">-F136*Inputs!$C$37*Inputs!$C$40/12*(1+Inputs!$C$34)^(F$133-1)*1</f>
        <v>-2437.5</v>
      </c>
      <c r="G172" s="66" t="n">
        <f aca="false">-G136*Inputs!$C$37*Inputs!$C$40/12*(1+Inputs!$C$34)^(G$133-1)*1</f>
        <v>-2437.5</v>
      </c>
      <c r="H172" s="66" t="n">
        <f aca="false">-H136*Inputs!$C$37*Inputs!$C$40/12*(1+Inputs!$C$34)^(H$133-1)*1</f>
        <v>-2437.5</v>
      </c>
      <c r="I172" s="66" t="n">
        <f aca="false">-I136*Inputs!$C$37*Inputs!$C$40/12*(1+Inputs!$C$34)^(I$133-1)*1</f>
        <v>-2437.5</v>
      </c>
      <c r="J172" s="66" t="n">
        <f aca="false">-J136*Inputs!$C$37*Inputs!$C$40/12*(1+Inputs!$C$34)^(J$133-1)*1</f>
        <v>-2437.5</v>
      </c>
      <c r="K172" s="66" t="n">
        <f aca="false">-K136*Inputs!$C$37*Inputs!$C$40/12*(1+Inputs!$C$34)^(K$133-1)*1</f>
        <v>-2437.5</v>
      </c>
      <c r="L172" s="66" t="n">
        <f aca="false">-L136*Inputs!$C$37*Inputs!$C$40/12*(1+Inputs!$C$34)^(L$133-1)*1</f>
        <v>-2437.5</v>
      </c>
      <c r="M172" s="66" t="n">
        <f aca="false">-M136*Inputs!$C$37*Inputs!$C$40/12*(1+Inputs!$C$34)^(M$133-1)*1</f>
        <v>-2437.5</v>
      </c>
      <c r="N172" s="66" t="n">
        <f aca="false">-N136*Inputs!$C$37*Inputs!$C$40/12*(1+Inputs!$C$34)^(N$133-1)*1</f>
        <v>-2437.5</v>
      </c>
      <c r="O172" s="66" t="n">
        <f aca="false">-O136*Inputs!$C$37*Inputs!$C$40/12*(1+Inputs!$C$34)^(O$133-1)*1</f>
        <v>-2510.625</v>
      </c>
      <c r="P172" s="66" t="n">
        <f aca="false">-P136*Inputs!$C$37*Inputs!$C$40/12*(1+Inputs!$C$34)^(P$133-1)*1</f>
        <v>-2510.625</v>
      </c>
      <c r="Q172" s="66" t="n">
        <f aca="false">-Q136*Inputs!$C$37*Inputs!$C$40/12*(1+Inputs!$C$34)^(Q$133-1)*1</f>
        <v>-2510.625</v>
      </c>
      <c r="R172" s="66" t="n">
        <f aca="false">-R136*Inputs!$C$37*Inputs!$C$40/12*(1+Inputs!$C$34)^(R$133-1)*1</f>
        <v>-2510.625</v>
      </c>
      <c r="S172" s="66" t="n">
        <f aca="false">-S136*Inputs!$C$37*Inputs!$C$40/12*(1+Inputs!$C$34)^(S$133-1)*1</f>
        <v>-2510.625</v>
      </c>
      <c r="T172" s="66" t="n">
        <f aca="false">-T136*Inputs!$C$37*Inputs!$C$40/12*(1+Inputs!$C$34)^(T$133-1)*1</f>
        <v>-2510.625</v>
      </c>
      <c r="U172" s="66" t="n">
        <f aca="false">-U136*Inputs!$C$37*Inputs!$C$40/12*(1+Inputs!$C$34)^(U$133-1)*1</f>
        <v>-2510.625</v>
      </c>
      <c r="V172" s="66" t="n">
        <f aca="false">-V136*Inputs!$C$37*Inputs!$C$40/12*(1+Inputs!$C$34)^(V$133-1)*1</f>
        <v>-2510.625</v>
      </c>
      <c r="W172" s="66" t="n">
        <f aca="false">-W136*Inputs!$C$37*Inputs!$C$40/12*(1+Inputs!$C$34)^(W$133-1)*1</f>
        <v>-2510.625</v>
      </c>
      <c r="X172" s="66" t="n">
        <f aca="false">-X136*Inputs!$C$37*Inputs!$C$40/12*(1+Inputs!$C$34)^(X$133-1)*1</f>
        <v>-2510.625</v>
      </c>
      <c r="Y172" s="66" t="n">
        <f aca="false">-Y136*Inputs!$C$37*Inputs!$C$40/12*(1+Inputs!$C$34)^(Y$133-1)*1</f>
        <v>-2510.625</v>
      </c>
      <c r="Z172" s="66" t="n">
        <f aca="false">-Z136*Inputs!$C$37*Inputs!$C$40/12*(1+Inputs!$C$34)^(Z$133-1)*1</f>
        <v>-2510.625</v>
      </c>
      <c r="AA172" s="66" t="n">
        <f aca="false">-AA136*Inputs!$C$37*Inputs!$C$40/12*(1+Inputs!$C$34)^(AA$133-1)*1</f>
        <v>-2585.94375</v>
      </c>
      <c r="AB172" s="66" t="n">
        <f aca="false">-AB136*Inputs!$C$37*Inputs!$C$40/12*(1+Inputs!$C$34)^(AB$133-1)*1</f>
        <v>-2585.94375</v>
      </c>
      <c r="AC172" s="66" t="n">
        <f aca="false">-AC136*Inputs!$C$37*Inputs!$C$40/12*(1+Inputs!$C$34)^(AC$133-1)*1</f>
        <v>-2585.94375</v>
      </c>
      <c r="AD172" s="66" t="n">
        <f aca="false">-AD136*Inputs!$C$37*Inputs!$C$40/12*(1+Inputs!$C$34)^(AD$133-1)*1</f>
        <v>-2585.94375</v>
      </c>
      <c r="AE172" s="66" t="n">
        <f aca="false">-AE136*Inputs!$C$37*Inputs!$C$40/12*(1+Inputs!$C$34)^(AE$133-1)*1</f>
        <v>-2585.94375</v>
      </c>
      <c r="AF172" s="66" t="n">
        <f aca="false">-AF136*Inputs!$C$37*Inputs!$C$40/12*(1+Inputs!$C$34)^(AF$133-1)*1</f>
        <v>-2585.94375</v>
      </c>
      <c r="AG172" s="66" t="n">
        <f aca="false">-AG136*Inputs!$C$37*Inputs!$C$40/12*(1+Inputs!$C$34)^(AG$133-1)*1</f>
        <v>-2585.94375</v>
      </c>
      <c r="AH172" s="66" t="n">
        <f aca="false">-AH136*Inputs!$C$37*Inputs!$C$40/12*(1+Inputs!$C$34)^(AH$133-1)*1</f>
        <v>-2585.94375</v>
      </c>
      <c r="AI172" s="66" t="n">
        <f aca="false">-AI136*Inputs!$C$37*Inputs!$C$40/12*(1+Inputs!$C$34)^(AI$133-1)*1</f>
        <v>-2585.94375</v>
      </c>
      <c r="AJ172" s="66" t="n">
        <f aca="false">-AJ136*Inputs!$C$37*Inputs!$C$40/12*(1+Inputs!$C$34)^(AJ$133-1)*1</f>
        <v>-2585.94375</v>
      </c>
      <c r="AK172" s="66" t="n">
        <f aca="false">-AK136*Inputs!$C$37*Inputs!$C$40/12*(1+Inputs!$C$34)^(AK$133-1)*1</f>
        <v>-2585.94375</v>
      </c>
      <c r="AL172" s="66" t="n">
        <f aca="false">-AL136*Inputs!$C$37*Inputs!$C$40/12*(1+Inputs!$C$34)^(AL$133-1)*1</f>
        <v>-2585.94375</v>
      </c>
      <c r="AM172" s="66" t="n">
        <f aca="false">-AM136*Inputs!$C$37*Inputs!$C$40/12*(1+Inputs!$C$34)^(AM$133-1)*1</f>
        <v>-2663.5220625</v>
      </c>
      <c r="AN172" s="66" t="n">
        <f aca="false">-AN136*Inputs!$C$37*Inputs!$C$40/12*(1+Inputs!$C$34)^(AN$133-1)*1</f>
        <v>-2663.5220625</v>
      </c>
      <c r="AO172" s="66" t="n">
        <f aca="false">-AO136*Inputs!$C$37*Inputs!$C$40/12*(1+Inputs!$C$34)^(AO$133-1)*1</f>
        <v>-2663.5220625</v>
      </c>
      <c r="AP172" s="66" t="n">
        <f aca="false">-AP136*Inputs!$C$37*Inputs!$C$40/12*(1+Inputs!$C$34)^(AP$133-1)*1</f>
        <v>-2663.5220625</v>
      </c>
      <c r="AQ172" s="66" t="n">
        <f aca="false">-AQ136*Inputs!$C$37*Inputs!$C$40/12*(1+Inputs!$C$34)^(AQ$133-1)*1</f>
        <v>-2663.5220625</v>
      </c>
      <c r="AR172" s="66" t="n">
        <f aca="false">-AR136*Inputs!$C$37*Inputs!$C$40/12*(1+Inputs!$C$34)^(AR$133-1)*1</f>
        <v>-2663.5220625</v>
      </c>
      <c r="AS172" s="66" t="n">
        <f aca="false">-AS136*Inputs!$C$37*Inputs!$C$40/12*(1+Inputs!$C$34)^(AS$133-1)*1</f>
        <v>-2663.5220625</v>
      </c>
      <c r="AT172" s="66" t="n">
        <f aca="false">-AT136*Inputs!$C$37*Inputs!$C$40/12*(1+Inputs!$C$34)^(AT$133-1)*1</f>
        <v>-2663.5220625</v>
      </c>
      <c r="AU172" s="66" t="n">
        <f aca="false">-AU136*Inputs!$C$37*Inputs!$C$40/12*(1+Inputs!$C$34)^(AU$133-1)*1</f>
        <v>-2663.5220625</v>
      </c>
      <c r="AV172" s="66" t="n">
        <f aca="false">-AV136*Inputs!$C$37*Inputs!$C$40/12*(1+Inputs!$C$34)^(AV$133-1)*1</f>
        <v>-2663.5220625</v>
      </c>
      <c r="AW172" s="66" t="n">
        <f aca="false">-AW136*Inputs!$C$37*Inputs!$C$40/12*(1+Inputs!$C$34)^(AW$133-1)*1</f>
        <v>-2663.5220625</v>
      </c>
      <c r="AX172" s="66" t="n">
        <f aca="false">-AX136*Inputs!$C$37*Inputs!$C$40/12*(1+Inputs!$C$34)^(AX$133-1)*1</f>
        <v>-2663.5220625</v>
      </c>
      <c r="AY172" s="66" t="n">
        <f aca="false">-AY136*Inputs!$C$37*Inputs!$C$40/12*(1+Inputs!$C$34)^(AY$133-1)*1</f>
        <v>-2743.427724375</v>
      </c>
      <c r="AZ172" s="66" t="n">
        <f aca="false">-AZ136*Inputs!$C$37*Inputs!$C$40/12*(1+Inputs!$C$34)^(AZ$133-1)*1</f>
        <v>-2743.427724375</v>
      </c>
      <c r="BA172" s="66" t="n">
        <f aca="false">-BA136*Inputs!$C$37*Inputs!$C$40/12*(1+Inputs!$C$34)^(BA$133-1)*1</f>
        <v>-2743.427724375</v>
      </c>
      <c r="BB172" s="66" t="n">
        <f aca="false">-BB136*Inputs!$C$37*Inputs!$C$40/12*(1+Inputs!$C$34)^(BB$133-1)*1</f>
        <v>-2743.427724375</v>
      </c>
      <c r="BC172" s="66" t="n">
        <f aca="false">-BC136*Inputs!$C$37*Inputs!$C$40/12*(1+Inputs!$C$34)^(BC$133-1)*1</f>
        <v>-2743.427724375</v>
      </c>
      <c r="BD172" s="66" t="n">
        <f aca="false">-BD136*Inputs!$C$37*Inputs!$C$40/12*(1+Inputs!$C$34)^(BD$133-1)*1</f>
        <v>-2743.427724375</v>
      </c>
      <c r="BE172" s="66" t="n">
        <f aca="false">-BE136*Inputs!$C$37*Inputs!$C$40/12*(1+Inputs!$C$34)^(BE$133-1)*1</f>
        <v>-2743.427724375</v>
      </c>
      <c r="BF172" s="66" t="n">
        <f aca="false">-BF136*Inputs!$C$37*Inputs!$C$40/12*(1+Inputs!$C$34)^(BF$133-1)*1</f>
        <v>-2743.427724375</v>
      </c>
      <c r="BG172" s="66" t="n">
        <f aca="false">-BG136*Inputs!$C$37*Inputs!$C$40/12*(1+Inputs!$C$34)^(BG$133-1)*1</f>
        <v>-2743.427724375</v>
      </c>
      <c r="BH172" s="66" t="n">
        <f aca="false">-BH136*Inputs!$C$37*Inputs!$C$40/12*(1+Inputs!$C$34)^(BH$133-1)*1</f>
        <v>-2743.427724375</v>
      </c>
      <c r="BI172" s="66" t="n">
        <f aca="false">-BI136*Inputs!$C$37*Inputs!$C$40/12*(1+Inputs!$C$34)^(BI$133-1)*1</f>
        <v>-2743.427724375</v>
      </c>
      <c r="BJ172" s="66" t="n">
        <f aca="false">-BJ136*Inputs!$C$37*Inputs!$C$40/12*(1+Inputs!$C$34)^(BJ$133-1)*1</f>
        <v>-2743.427724375</v>
      </c>
    </row>
    <row r="173" customFormat="false" ht="15" hidden="false" customHeight="false" outlineLevel="0" collapsed="false">
      <c r="A173" s="6" t="s">
        <v>341</v>
      </c>
      <c r="C173" s="66" t="n">
        <f aca="false">-Inputs!$C$41*1</f>
        <v>-1800</v>
      </c>
      <c r="D173" s="66" t="n">
        <f aca="false">-Inputs!$C$41*1</f>
        <v>-1800</v>
      </c>
      <c r="E173" s="66" t="n">
        <f aca="false">-Inputs!$C$41*1</f>
        <v>-1800</v>
      </c>
      <c r="F173" s="66" t="n">
        <f aca="false">-Inputs!$C$41*1</f>
        <v>-1800</v>
      </c>
      <c r="G173" s="66" t="n">
        <f aca="false">-Inputs!$C$41*1</f>
        <v>-1800</v>
      </c>
      <c r="H173" s="66" t="n">
        <f aca="false">-Inputs!$C$41*1</f>
        <v>-1800</v>
      </c>
      <c r="I173" s="66" t="n">
        <f aca="false">-Inputs!$C$41*1</f>
        <v>-1800</v>
      </c>
      <c r="J173" s="66" t="n">
        <f aca="false">-Inputs!$C$41*1</f>
        <v>-1800</v>
      </c>
      <c r="K173" s="66" t="n">
        <f aca="false">-Inputs!$C$41*1</f>
        <v>-1800</v>
      </c>
      <c r="L173" s="66" t="n">
        <f aca="false">-Inputs!$C$41*1</f>
        <v>-1800</v>
      </c>
      <c r="M173" s="66" t="n">
        <f aca="false">-Inputs!$C$41*1</f>
        <v>-1800</v>
      </c>
      <c r="N173" s="66" t="n">
        <f aca="false">-Inputs!$C$41*1</f>
        <v>-1800</v>
      </c>
      <c r="O173" s="66" t="n">
        <f aca="false">-Inputs!$C$41*1</f>
        <v>-1800</v>
      </c>
      <c r="P173" s="66" t="n">
        <f aca="false">-Inputs!$C$41*1</f>
        <v>-1800</v>
      </c>
      <c r="Q173" s="66" t="n">
        <f aca="false">-Inputs!$C$41*1</f>
        <v>-1800</v>
      </c>
      <c r="R173" s="66" t="n">
        <f aca="false">-Inputs!$C$41*1</f>
        <v>-1800</v>
      </c>
      <c r="S173" s="66" t="n">
        <f aca="false">-Inputs!$C$41*1</f>
        <v>-1800</v>
      </c>
      <c r="T173" s="66" t="n">
        <f aca="false">-Inputs!$C$41*1</f>
        <v>-1800</v>
      </c>
      <c r="U173" s="66" t="n">
        <f aca="false">-Inputs!$C$41*1</f>
        <v>-1800</v>
      </c>
      <c r="V173" s="66" t="n">
        <f aca="false">-Inputs!$C$41*1</f>
        <v>-1800</v>
      </c>
      <c r="W173" s="66" t="n">
        <f aca="false">-Inputs!$C$41*1</f>
        <v>-1800</v>
      </c>
      <c r="X173" s="66" t="n">
        <f aca="false">-Inputs!$C$41*1</f>
        <v>-1800</v>
      </c>
      <c r="Y173" s="66" t="n">
        <f aca="false">-Inputs!$C$41*1</f>
        <v>-1800</v>
      </c>
      <c r="Z173" s="66" t="n">
        <f aca="false">-Inputs!$C$41*1</f>
        <v>-1800</v>
      </c>
      <c r="AA173" s="66" t="n">
        <f aca="false">-Inputs!$C$41*1</f>
        <v>-1800</v>
      </c>
      <c r="AB173" s="66" t="n">
        <f aca="false">-Inputs!$C$41*1</f>
        <v>-1800</v>
      </c>
      <c r="AC173" s="66" t="n">
        <f aca="false">-Inputs!$C$41*1</f>
        <v>-1800</v>
      </c>
      <c r="AD173" s="66" t="n">
        <f aca="false">-Inputs!$C$41*1</f>
        <v>-1800</v>
      </c>
      <c r="AE173" s="66" t="n">
        <f aca="false">-Inputs!$C$41*1</f>
        <v>-1800</v>
      </c>
      <c r="AF173" s="66" t="n">
        <f aca="false">-Inputs!$C$41*1</f>
        <v>-1800</v>
      </c>
      <c r="AG173" s="66" t="n">
        <f aca="false">-Inputs!$C$41*1</f>
        <v>-1800</v>
      </c>
      <c r="AH173" s="66" t="n">
        <f aca="false">-Inputs!$C$41*1</f>
        <v>-1800</v>
      </c>
      <c r="AI173" s="66" t="n">
        <f aca="false">-Inputs!$C$41*1</f>
        <v>-1800</v>
      </c>
      <c r="AJ173" s="66" t="n">
        <f aca="false">-Inputs!$C$41*1</f>
        <v>-1800</v>
      </c>
      <c r="AK173" s="66" t="n">
        <f aca="false">-Inputs!$C$41*1</f>
        <v>-1800</v>
      </c>
      <c r="AL173" s="66" t="n">
        <f aca="false">-Inputs!$C$41*1</f>
        <v>-1800</v>
      </c>
      <c r="AM173" s="66" t="n">
        <f aca="false">-Inputs!$C$41*1</f>
        <v>-1800</v>
      </c>
      <c r="AN173" s="66" t="n">
        <f aca="false">-Inputs!$C$41*1</f>
        <v>-1800</v>
      </c>
      <c r="AO173" s="66" t="n">
        <f aca="false">-Inputs!$C$41*1</f>
        <v>-1800</v>
      </c>
      <c r="AP173" s="66" t="n">
        <f aca="false">-Inputs!$C$41*1</f>
        <v>-1800</v>
      </c>
      <c r="AQ173" s="66" t="n">
        <f aca="false">-Inputs!$C$41*1</f>
        <v>-1800</v>
      </c>
      <c r="AR173" s="66" t="n">
        <f aca="false">-Inputs!$C$41*1</f>
        <v>-1800</v>
      </c>
      <c r="AS173" s="66" t="n">
        <f aca="false">-Inputs!$C$41*1</f>
        <v>-1800</v>
      </c>
      <c r="AT173" s="66" t="n">
        <f aca="false">-Inputs!$C$41*1</f>
        <v>-1800</v>
      </c>
      <c r="AU173" s="66" t="n">
        <f aca="false">-Inputs!$C$41*1</f>
        <v>-1800</v>
      </c>
      <c r="AV173" s="66" t="n">
        <f aca="false">-Inputs!$C$41*1</f>
        <v>-1800</v>
      </c>
      <c r="AW173" s="66" t="n">
        <f aca="false">-Inputs!$C$41*1</f>
        <v>-1800</v>
      </c>
      <c r="AX173" s="66" t="n">
        <f aca="false">-Inputs!$C$41*1</f>
        <v>-1800</v>
      </c>
      <c r="AY173" s="66" t="n">
        <f aca="false">-Inputs!$C$41*1</f>
        <v>-1800</v>
      </c>
      <c r="AZ173" s="66" t="n">
        <f aca="false">-Inputs!$C$41*1</f>
        <v>-1800</v>
      </c>
      <c r="BA173" s="66" t="n">
        <f aca="false">-Inputs!$C$41*1</f>
        <v>-1800</v>
      </c>
      <c r="BB173" s="66" t="n">
        <f aca="false">-Inputs!$C$41*1</f>
        <v>-1800</v>
      </c>
      <c r="BC173" s="66" t="n">
        <f aca="false">-Inputs!$C$41*1</f>
        <v>-1800</v>
      </c>
      <c r="BD173" s="66" t="n">
        <f aca="false">-Inputs!$C$41*1</f>
        <v>-1800</v>
      </c>
      <c r="BE173" s="66" t="n">
        <f aca="false">-Inputs!$C$41*1</f>
        <v>-1800</v>
      </c>
      <c r="BF173" s="66" t="n">
        <f aca="false">-Inputs!$C$41*1</f>
        <v>-1800</v>
      </c>
      <c r="BG173" s="66" t="n">
        <f aca="false">-Inputs!$C$41*1</f>
        <v>-1800</v>
      </c>
      <c r="BH173" s="66" t="n">
        <f aca="false">-Inputs!$C$41*1</f>
        <v>-1800</v>
      </c>
      <c r="BI173" s="66" t="n">
        <f aca="false">-Inputs!$C$41*1</f>
        <v>-1800</v>
      </c>
      <c r="BJ173" s="66" t="n">
        <f aca="false">-Inputs!$C$41*1</f>
        <v>-1800</v>
      </c>
    </row>
    <row r="174" customFormat="false" ht="15" hidden="false" customHeight="false" outlineLevel="0" collapsed="false">
      <c r="A174" s="6" t="s">
        <v>342</v>
      </c>
      <c r="C174" s="66" t="n">
        <f aca="false">-Inputs!$C$42*1</f>
        <v>-600</v>
      </c>
      <c r="D174" s="66" t="n">
        <f aca="false">-Inputs!$C$42*1</f>
        <v>-600</v>
      </c>
      <c r="E174" s="66" t="n">
        <f aca="false">-Inputs!$C$42*1</f>
        <v>-600</v>
      </c>
      <c r="F174" s="66" t="n">
        <f aca="false">-Inputs!$C$42*1</f>
        <v>-600</v>
      </c>
      <c r="G174" s="66" t="n">
        <f aca="false">-Inputs!$C$42*1</f>
        <v>-600</v>
      </c>
      <c r="H174" s="66" t="n">
        <f aca="false">-Inputs!$C$42*1</f>
        <v>-600</v>
      </c>
      <c r="I174" s="66" t="n">
        <f aca="false">-Inputs!$C$42*1</f>
        <v>-600</v>
      </c>
      <c r="J174" s="66" t="n">
        <f aca="false">-Inputs!$C$42*1</f>
        <v>-600</v>
      </c>
      <c r="K174" s="66" t="n">
        <f aca="false">-Inputs!$C$42*1</f>
        <v>-600</v>
      </c>
      <c r="L174" s="66" t="n">
        <f aca="false">-Inputs!$C$42*1</f>
        <v>-600</v>
      </c>
      <c r="M174" s="66" t="n">
        <f aca="false">-Inputs!$C$42*1</f>
        <v>-600</v>
      </c>
      <c r="N174" s="66" t="n">
        <f aca="false">-Inputs!$C$42*1</f>
        <v>-600</v>
      </c>
      <c r="O174" s="66" t="n">
        <f aca="false">-Inputs!$C$42*1</f>
        <v>-600</v>
      </c>
      <c r="P174" s="66" t="n">
        <f aca="false">-Inputs!$C$42*1</f>
        <v>-600</v>
      </c>
      <c r="Q174" s="66" t="n">
        <f aca="false">-Inputs!$C$42*1</f>
        <v>-600</v>
      </c>
      <c r="R174" s="66" t="n">
        <f aca="false">-Inputs!$C$42*1</f>
        <v>-600</v>
      </c>
      <c r="S174" s="66" t="n">
        <f aca="false">-Inputs!$C$42*1</f>
        <v>-600</v>
      </c>
      <c r="T174" s="66" t="n">
        <f aca="false">-Inputs!$C$42*1</f>
        <v>-600</v>
      </c>
      <c r="U174" s="66" t="n">
        <f aca="false">-Inputs!$C$42*1</f>
        <v>-600</v>
      </c>
      <c r="V174" s="66" t="n">
        <f aca="false">-Inputs!$C$42*1</f>
        <v>-600</v>
      </c>
      <c r="W174" s="66" t="n">
        <f aca="false">-Inputs!$C$42*1</f>
        <v>-600</v>
      </c>
      <c r="X174" s="66" t="n">
        <f aca="false">-Inputs!$C$42*1</f>
        <v>-600</v>
      </c>
      <c r="Y174" s="66" t="n">
        <f aca="false">-Inputs!$C$42*1</f>
        <v>-600</v>
      </c>
      <c r="Z174" s="66" t="n">
        <f aca="false">-Inputs!$C$42*1</f>
        <v>-600</v>
      </c>
      <c r="AA174" s="66" t="n">
        <f aca="false">-Inputs!$C$42*1</f>
        <v>-600</v>
      </c>
      <c r="AB174" s="66" t="n">
        <f aca="false">-Inputs!$C$42*1</f>
        <v>-600</v>
      </c>
      <c r="AC174" s="66" t="n">
        <f aca="false">-Inputs!$C$42*1</f>
        <v>-600</v>
      </c>
      <c r="AD174" s="66" t="n">
        <f aca="false">-Inputs!$C$42*1</f>
        <v>-600</v>
      </c>
      <c r="AE174" s="66" t="n">
        <f aca="false">-Inputs!$C$42*1</f>
        <v>-600</v>
      </c>
      <c r="AF174" s="66" t="n">
        <f aca="false">-Inputs!$C$42*1</f>
        <v>-600</v>
      </c>
      <c r="AG174" s="66" t="n">
        <f aca="false">-Inputs!$C$42*1</f>
        <v>-600</v>
      </c>
      <c r="AH174" s="66" t="n">
        <f aca="false">-Inputs!$C$42*1</f>
        <v>-600</v>
      </c>
      <c r="AI174" s="66" t="n">
        <f aca="false">-Inputs!$C$42*1</f>
        <v>-600</v>
      </c>
      <c r="AJ174" s="66" t="n">
        <f aca="false">-Inputs!$C$42*1</f>
        <v>-600</v>
      </c>
      <c r="AK174" s="66" t="n">
        <f aca="false">-Inputs!$C$42*1</f>
        <v>-600</v>
      </c>
      <c r="AL174" s="66" t="n">
        <f aca="false">-Inputs!$C$42*1</f>
        <v>-600</v>
      </c>
      <c r="AM174" s="66" t="n">
        <f aca="false">-Inputs!$C$42*1</f>
        <v>-600</v>
      </c>
      <c r="AN174" s="66" t="n">
        <f aca="false">-Inputs!$C$42*1</f>
        <v>-600</v>
      </c>
      <c r="AO174" s="66" t="n">
        <f aca="false">-Inputs!$C$42*1</f>
        <v>-600</v>
      </c>
      <c r="AP174" s="66" t="n">
        <f aca="false">-Inputs!$C$42*1</f>
        <v>-600</v>
      </c>
      <c r="AQ174" s="66" t="n">
        <f aca="false">-Inputs!$C$42*1</f>
        <v>-600</v>
      </c>
      <c r="AR174" s="66" t="n">
        <f aca="false">-Inputs!$C$42*1</f>
        <v>-600</v>
      </c>
      <c r="AS174" s="66" t="n">
        <f aca="false">-Inputs!$C$42*1</f>
        <v>-600</v>
      </c>
      <c r="AT174" s="66" t="n">
        <f aca="false">-Inputs!$C$42*1</f>
        <v>-600</v>
      </c>
      <c r="AU174" s="66" t="n">
        <f aca="false">-Inputs!$C$42*1</f>
        <v>-600</v>
      </c>
      <c r="AV174" s="66" t="n">
        <f aca="false">-Inputs!$C$42*1</f>
        <v>-600</v>
      </c>
      <c r="AW174" s="66" t="n">
        <f aca="false">-Inputs!$C$42*1</f>
        <v>-600</v>
      </c>
      <c r="AX174" s="66" t="n">
        <f aca="false">-Inputs!$C$42*1</f>
        <v>-600</v>
      </c>
      <c r="AY174" s="66" t="n">
        <f aca="false">-Inputs!$C$42*1</f>
        <v>-600</v>
      </c>
      <c r="AZ174" s="66" t="n">
        <f aca="false">-Inputs!$C$42*1</f>
        <v>-600</v>
      </c>
      <c r="BA174" s="66" t="n">
        <f aca="false">-Inputs!$C$42*1</f>
        <v>-600</v>
      </c>
      <c r="BB174" s="66" t="n">
        <f aca="false">-Inputs!$C$42*1</f>
        <v>-600</v>
      </c>
      <c r="BC174" s="66" t="n">
        <f aca="false">-Inputs!$C$42*1</f>
        <v>-600</v>
      </c>
      <c r="BD174" s="66" t="n">
        <f aca="false">-Inputs!$C$42*1</f>
        <v>-600</v>
      </c>
      <c r="BE174" s="66" t="n">
        <f aca="false">-Inputs!$C$42*1</f>
        <v>-600</v>
      </c>
      <c r="BF174" s="66" t="n">
        <f aca="false">-Inputs!$C$42*1</f>
        <v>-600</v>
      </c>
      <c r="BG174" s="66" t="n">
        <f aca="false">-Inputs!$C$42*1</f>
        <v>-600</v>
      </c>
      <c r="BH174" s="66" t="n">
        <f aca="false">-Inputs!$C$42*1</f>
        <v>-600</v>
      </c>
      <c r="BI174" s="66" t="n">
        <f aca="false">-Inputs!$C$42*1</f>
        <v>-600</v>
      </c>
      <c r="BJ174" s="66" t="n">
        <f aca="false">-Inputs!$C$42*1</f>
        <v>-600</v>
      </c>
    </row>
    <row r="175" customFormat="false" ht="15" hidden="false" customHeight="false" outlineLevel="0" collapsed="false">
      <c r="A175" s="6" t="s">
        <v>343</v>
      </c>
      <c r="C175" s="66" t="n">
        <f aca="false">-Inputs!$C$43*(1+Inputs!$C$44)^(C$133-1)*1</f>
        <v>-2500</v>
      </c>
      <c r="D175" s="66" t="n">
        <f aca="false">-Inputs!$C$43*(1+Inputs!$C$44)^(D$133-1)*1</f>
        <v>-2500</v>
      </c>
      <c r="E175" s="66" t="n">
        <f aca="false">-Inputs!$C$43*(1+Inputs!$C$44)^(E$133-1)*1</f>
        <v>-2500</v>
      </c>
      <c r="F175" s="66" t="n">
        <f aca="false">-Inputs!$C$43*(1+Inputs!$C$44)^(F$133-1)*1</f>
        <v>-2500</v>
      </c>
      <c r="G175" s="66" t="n">
        <f aca="false">-Inputs!$C$43*(1+Inputs!$C$44)^(G$133-1)*1</f>
        <v>-2500</v>
      </c>
      <c r="H175" s="66" t="n">
        <f aca="false">-Inputs!$C$43*(1+Inputs!$C$44)^(H$133-1)*1</f>
        <v>-2500</v>
      </c>
      <c r="I175" s="66" t="n">
        <f aca="false">-Inputs!$C$43*(1+Inputs!$C$44)^(I$133-1)*1</f>
        <v>-2500</v>
      </c>
      <c r="J175" s="66" t="n">
        <f aca="false">-Inputs!$C$43*(1+Inputs!$C$44)^(J$133-1)*1</f>
        <v>-2500</v>
      </c>
      <c r="K175" s="66" t="n">
        <f aca="false">-Inputs!$C$43*(1+Inputs!$C$44)^(K$133-1)*1</f>
        <v>-2500</v>
      </c>
      <c r="L175" s="66" t="n">
        <f aca="false">-Inputs!$C$43*(1+Inputs!$C$44)^(L$133-1)*1</f>
        <v>-2500</v>
      </c>
      <c r="M175" s="66" t="n">
        <f aca="false">-Inputs!$C$43*(1+Inputs!$C$44)^(M$133-1)*1</f>
        <v>-2500</v>
      </c>
      <c r="N175" s="66" t="n">
        <f aca="false">-Inputs!$C$43*(1+Inputs!$C$44)^(N$133-1)*1</f>
        <v>-2500</v>
      </c>
      <c r="O175" s="66" t="n">
        <f aca="false">-Inputs!$C$43*(1+Inputs!$C$44)^(O$133-1)*1</f>
        <v>-2500</v>
      </c>
      <c r="P175" s="66" t="n">
        <f aca="false">-Inputs!$C$43*(1+Inputs!$C$44)^(P$133-1)*1</f>
        <v>-2500</v>
      </c>
      <c r="Q175" s="66" t="n">
        <f aca="false">-Inputs!$C$43*(1+Inputs!$C$44)^(Q$133-1)*1</f>
        <v>-2500</v>
      </c>
      <c r="R175" s="66" t="n">
        <f aca="false">-Inputs!$C$43*(1+Inputs!$C$44)^(R$133-1)*1</f>
        <v>-2500</v>
      </c>
      <c r="S175" s="66" t="n">
        <f aca="false">-Inputs!$C$43*(1+Inputs!$C$44)^(S$133-1)*1</f>
        <v>-2500</v>
      </c>
      <c r="T175" s="66" t="n">
        <f aca="false">-Inputs!$C$43*(1+Inputs!$C$44)^(T$133-1)*1</f>
        <v>-2500</v>
      </c>
      <c r="U175" s="66" t="n">
        <f aca="false">-Inputs!$C$43*(1+Inputs!$C$44)^(U$133-1)*1</f>
        <v>-2500</v>
      </c>
      <c r="V175" s="66" t="n">
        <f aca="false">-Inputs!$C$43*(1+Inputs!$C$44)^(V$133-1)*1</f>
        <v>-2500</v>
      </c>
      <c r="W175" s="66" t="n">
        <f aca="false">-Inputs!$C$43*(1+Inputs!$C$44)^(W$133-1)*1</f>
        <v>-2500</v>
      </c>
      <c r="X175" s="66" t="n">
        <f aca="false">-Inputs!$C$43*(1+Inputs!$C$44)^(X$133-1)*1</f>
        <v>-2500</v>
      </c>
      <c r="Y175" s="66" t="n">
        <f aca="false">-Inputs!$C$43*(1+Inputs!$C$44)^(Y$133-1)*1</f>
        <v>-2500</v>
      </c>
      <c r="Z175" s="66" t="n">
        <f aca="false">-Inputs!$C$43*(1+Inputs!$C$44)^(Z$133-1)*1</f>
        <v>-2500</v>
      </c>
      <c r="AA175" s="66" t="n">
        <f aca="false">-Inputs!$C$43*(1+Inputs!$C$44)^(AA$133-1)*1</f>
        <v>-2500</v>
      </c>
      <c r="AB175" s="66" t="n">
        <f aca="false">-Inputs!$C$43*(1+Inputs!$C$44)^(AB$133-1)*1</f>
        <v>-2500</v>
      </c>
      <c r="AC175" s="66" t="n">
        <f aca="false">-Inputs!$C$43*(1+Inputs!$C$44)^(AC$133-1)*1</f>
        <v>-2500</v>
      </c>
      <c r="AD175" s="66" t="n">
        <f aca="false">-Inputs!$C$43*(1+Inputs!$C$44)^(AD$133-1)*1</f>
        <v>-2500</v>
      </c>
      <c r="AE175" s="66" t="n">
        <f aca="false">-Inputs!$C$43*(1+Inputs!$C$44)^(AE$133-1)*1</f>
        <v>-2500</v>
      </c>
      <c r="AF175" s="66" t="n">
        <f aca="false">-Inputs!$C$43*(1+Inputs!$C$44)^(AF$133-1)*1</f>
        <v>-2500</v>
      </c>
      <c r="AG175" s="66" t="n">
        <f aca="false">-Inputs!$C$43*(1+Inputs!$C$44)^(AG$133-1)*1</f>
        <v>-2500</v>
      </c>
      <c r="AH175" s="66" t="n">
        <f aca="false">-Inputs!$C$43*(1+Inputs!$C$44)^(AH$133-1)*1</f>
        <v>-2500</v>
      </c>
      <c r="AI175" s="66" t="n">
        <f aca="false">-Inputs!$C$43*(1+Inputs!$C$44)^(AI$133-1)*1</f>
        <v>-2500</v>
      </c>
      <c r="AJ175" s="66" t="n">
        <f aca="false">-Inputs!$C$43*(1+Inputs!$C$44)^(AJ$133-1)*1</f>
        <v>-2500</v>
      </c>
      <c r="AK175" s="66" t="n">
        <f aca="false">-Inputs!$C$43*(1+Inputs!$C$44)^(AK$133-1)*1</f>
        <v>-2500</v>
      </c>
      <c r="AL175" s="66" t="n">
        <f aca="false">-Inputs!$C$43*(1+Inputs!$C$44)^(AL$133-1)*1</f>
        <v>-2500</v>
      </c>
      <c r="AM175" s="66" t="n">
        <f aca="false">-Inputs!$C$43*(1+Inputs!$C$44)^(AM$133-1)*1</f>
        <v>-2500</v>
      </c>
      <c r="AN175" s="66" t="n">
        <f aca="false">-Inputs!$C$43*(1+Inputs!$C$44)^(AN$133-1)*1</f>
        <v>-2500</v>
      </c>
      <c r="AO175" s="66" t="n">
        <f aca="false">-Inputs!$C$43*(1+Inputs!$C$44)^(AO$133-1)*1</f>
        <v>-2500</v>
      </c>
      <c r="AP175" s="66" t="n">
        <f aca="false">-Inputs!$C$43*(1+Inputs!$C$44)^(AP$133-1)*1</f>
        <v>-2500</v>
      </c>
      <c r="AQ175" s="66" t="n">
        <f aca="false">-Inputs!$C$43*(1+Inputs!$C$44)^(AQ$133-1)*1</f>
        <v>-2500</v>
      </c>
      <c r="AR175" s="66" t="n">
        <f aca="false">-Inputs!$C$43*(1+Inputs!$C$44)^(AR$133-1)*1</f>
        <v>-2500</v>
      </c>
      <c r="AS175" s="66" t="n">
        <f aca="false">-Inputs!$C$43*(1+Inputs!$C$44)^(AS$133-1)*1</f>
        <v>-2500</v>
      </c>
      <c r="AT175" s="66" t="n">
        <f aca="false">-Inputs!$C$43*(1+Inputs!$C$44)^(AT$133-1)*1</f>
        <v>-2500</v>
      </c>
      <c r="AU175" s="66" t="n">
        <f aca="false">-Inputs!$C$43*(1+Inputs!$C$44)^(AU$133-1)*1</f>
        <v>-2500</v>
      </c>
      <c r="AV175" s="66" t="n">
        <f aca="false">-Inputs!$C$43*(1+Inputs!$C$44)^(AV$133-1)*1</f>
        <v>-2500</v>
      </c>
      <c r="AW175" s="66" t="n">
        <f aca="false">-Inputs!$C$43*(1+Inputs!$C$44)^(AW$133-1)*1</f>
        <v>-2500</v>
      </c>
      <c r="AX175" s="66" t="n">
        <f aca="false">-Inputs!$C$43*(1+Inputs!$C$44)^(AX$133-1)*1</f>
        <v>-2500</v>
      </c>
      <c r="AY175" s="66" t="n">
        <f aca="false">-Inputs!$C$43*(1+Inputs!$C$44)^(AY$133-1)*1</f>
        <v>-2500</v>
      </c>
      <c r="AZ175" s="66" t="n">
        <f aca="false">-Inputs!$C$43*(1+Inputs!$C$44)^(AZ$133-1)*1</f>
        <v>-2500</v>
      </c>
      <c r="BA175" s="66" t="n">
        <f aca="false">-Inputs!$C$43*(1+Inputs!$C$44)^(BA$133-1)*1</f>
        <v>-2500</v>
      </c>
      <c r="BB175" s="66" t="n">
        <f aca="false">-Inputs!$C$43*(1+Inputs!$C$44)^(BB$133-1)*1</f>
        <v>-2500</v>
      </c>
      <c r="BC175" s="66" t="n">
        <f aca="false">-Inputs!$C$43*(1+Inputs!$C$44)^(BC$133-1)*1</f>
        <v>-2500</v>
      </c>
      <c r="BD175" s="66" t="n">
        <f aca="false">-Inputs!$C$43*(1+Inputs!$C$44)^(BD$133-1)*1</f>
        <v>-2500</v>
      </c>
      <c r="BE175" s="66" t="n">
        <f aca="false">-Inputs!$C$43*(1+Inputs!$C$44)^(BE$133-1)*1</f>
        <v>-2500</v>
      </c>
      <c r="BF175" s="66" t="n">
        <f aca="false">-Inputs!$C$43*(1+Inputs!$C$44)^(BF$133-1)*1</f>
        <v>-2500</v>
      </c>
      <c r="BG175" s="66" t="n">
        <f aca="false">-Inputs!$C$43*(1+Inputs!$C$44)^(BG$133-1)*1</f>
        <v>-2500</v>
      </c>
      <c r="BH175" s="66" t="n">
        <f aca="false">-Inputs!$C$43*(1+Inputs!$C$44)^(BH$133-1)*1</f>
        <v>-2500</v>
      </c>
      <c r="BI175" s="66" t="n">
        <f aca="false">-Inputs!$C$43*(1+Inputs!$C$44)^(BI$133-1)*1</f>
        <v>-2500</v>
      </c>
      <c r="BJ175" s="66" t="n">
        <f aca="false">-Inputs!$C$43*(1+Inputs!$C$44)^(BJ$133-1)*1</f>
        <v>-2500</v>
      </c>
    </row>
    <row r="176" customFormat="false" ht="15" hidden="false" customHeight="false" outlineLevel="0" collapsed="false">
      <c r="A176" s="6" t="s">
        <v>344</v>
      </c>
      <c r="C176" s="66" t="n">
        <f aca="false">-Inputs!$C$45*1</f>
        <v>-400</v>
      </c>
      <c r="D176" s="66" t="n">
        <f aca="false">-Inputs!$C$45*1</f>
        <v>-400</v>
      </c>
      <c r="E176" s="66" t="n">
        <f aca="false">-Inputs!$C$45*1</f>
        <v>-400</v>
      </c>
      <c r="F176" s="66" t="n">
        <f aca="false">-Inputs!$C$45*1</f>
        <v>-400</v>
      </c>
      <c r="G176" s="66" t="n">
        <f aca="false">-Inputs!$C$45*1</f>
        <v>-400</v>
      </c>
      <c r="H176" s="66" t="n">
        <f aca="false">-Inputs!$C$45*1</f>
        <v>-400</v>
      </c>
      <c r="I176" s="66" t="n">
        <f aca="false">-Inputs!$C$45*1</f>
        <v>-400</v>
      </c>
      <c r="J176" s="66" t="n">
        <f aca="false">-Inputs!$C$45*1</f>
        <v>-400</v>
      </c>
      <c r="K176" s="66" t="n">
        <f aca="false">-Inputs!$C$45*1</f>
        <v>-400</v>
      </c>
      <c r="L176" s="66" t="n">
        <f aca="false">-Inputs!$C$45*1</f>
        <v>-400</v>
      </c>
      <c r="M176" s="66" t="n">
        <f aca="false">-Inputs!$C$45*1</f>
        <v>-400</v>
      </c>
      <c r="N176" s="66" t="n">
        <f aca="false">-Inputs!$C$45*1</f>
        <v>-400</v>
      </c>
      <c r="O176" s="66" t="n">
        <f aca="false">-Inputs!$C$45*1</f>
        <v>-400</v>
      </c>
      <c r="P176" s="66" t="n">
        <f aca="false">-Inputs!$C$45*1</f>
        <v>-400</v>
      </c>
      <c r="Q176" s="66" t="n">
        <f aca="false">-Inputs!$C$45*1</f>
        <v>-400</v>
      </c>
      <c r="R176" s="66" t="n">
        <f aca="false">-Inputs!$C$45*1</f>
        <v>-400</v>
      </c>
      <c r="S176" s="66" t="n">
        <f aca="false">-Inputs!$C$45*1</f>
        <v>-400</v>
      </c>
      <c r="T176" s="66" t="n">
        <f aca="false">-Inputs!$C$45*1</f>
        <v>-400</v>
      </c>
      <c r="U176" s="66" t="n">
        <f aca="false">-Inputs!$C$45*1</f>
        <v>-400</v>
      </c>
      <c r="V176" s="66" t="n">
        <f aca="false">-Inputs!$C$45*1</f>
        <v>-400</v>
      </c>
      <c r="W176" s="66" t="n">
        <f aca="false">-Inputs!$C$45*1</f>
        <v>-400</v>
      </c>
      <c r="X176" s="66" t="n">
        <f aca="false">-Inputs!$C$45*1</f>
        <v>-400</v>
      </c>
      <c r="Y176" s="66" t="n">
        <f aca="false">-Inputs!$C$45*1</f>
        <v>-400</v>
      </c>
      <c r="Z176" s="66" t="n">
        <f aca="false">-Inputs!$C$45*1</f>
        <v>-400</v>
      </c>
      <c r="AA176" s="66" t="n">
        <f aca="false">-Inputs!$C$45*1</f>
        <v>-400</v>
      </c>
      <c r="AB176" s="66" t="n">
        <f aca="false">-Inputs!$C$45*1</f>
        <v>-400</v>
      </c>
      <c r="AC176" s="66" t="n">
        <f aca="false">-Inputs!$C$45*1</f>
        <v>-400</v>
      </c>
      <c r="AD176" s="66" t="n">
        <f aca="false">-Inputs!$C$45*1</f>
        <v>-400</v>
      </c>
      <c r="AE176" s="66" t="n">
        <f aca="false">-Inputs!$C$45*1</f>
        <v>-400</v>
      </c>
      <c r="AF176" s="66" t="n">
        <f aca="false">-Inputs!$C$45*1</f>
        <v>-400</v>
      </c>
      <c r="AG176" s="66" t="n">
        <f aca="false">-Inputs!$C$45*1</f>
        <v>-400</v>
      </c>
      <c r="AH176" s="66" t="n">
        <f aca="false">-Inputs!$C$45*1</f>
        <v>-400</v>
      </c>
      <c r="AI176" s="66" t="n">
        <f aca="false">-Inputs!$C$45*1</f>
        <v>-400</v>
      </c>
      <c r="AJ176" s="66" t="n">
        <f aca="false">-Inputs!$C$45*1</f>
        <v>-400</v>
      </c>
      <c r="AK176" s="66" t="n">
        <f aca="false">-Inputs!$C$45*1</f>
        <v>-400</v>
      </c>
      <c r="AL176" s="66" t="n">
        <f aca="false">-Inputs!$C$45*1</f>
        <v>-400</v>
      </c>
      <c r="AM176" s="66" t="n">
        <f aca="false">-Inputs!$C$45*1</f>
        <v>-400</v>
      </c>
      <c r="AN176" s="66" t="n">
        <f aca="false">-Inputs!$C$45*1</f>
        <v>-400</v>
      </c>
      <c r="AO176" s="66" t="n">
        <f aca="false">-Inputs!$C$45*1</f>
        <v>-400</v>
      </c>
      <c r="AP176" s="66" t="n">
        <f aca="false">-Inputs!$C$45*1</f>
        <v>-400</v>
      </c>
      <c r="AQ176" s="66" t="n">
        <f aca="false">-Inputs!$C$45*1</f>
        <v>-400</v>
      </c>
      <c r="AR176" s="66" t="n">
        <f aca="false">-Inputs!$C$45*1</f>
        <v>-400</v>
      </c>
      <c r="AS176" s="66" t="n">
        <f aca="false">-Inputs!$C$45*1</f>
        <v>-400</v>
      </c>
      <c r="AT176" s="66" t="n">
        <f aca="false">-Inputs!$C$45*1</f>
        <v>-400</v>
      </c>
      <c r="AU176" s="66" t="n">
        <f aca="false">-Inputs!$C$45*1</f>
        <v>-400</v>
      </c>
      <c r="AV176" s="66" t="n">
        <f aca="false">-Inputs!$C$45*1</f>
        <v>-400</v>
      </c>
      <c r="AW176" s="66" t="n">
        <f aca="false">-Inputs!$C$45*1</f>
        <v>-400</v>
      </c>
      <c r="AX176" s="66" t="n">
        <f aca="false">-Inputs!$C$45*1</f>
        <v>-400</v>
      </c>
      <c r="AY176" s="66" t="n">
        <f aca="false">-Inputs!$C$45*1</f>
        <v>-400</v>
      </c>
      <c r="AZ176" s="66" t="n">
        <f aca="false">-Inputs!$C$45*1</f>
        <v>-400</v>
      </c>
      <c r="BA176" s="66" t="n">
        <f aca="false">-Inputs!$C$45*1</f>
        <v>-400</v>
      </c>
      <c r="BB176" s="66" t="n">
        <f aca="false">-Inputs!$C$45*1</f>
        <v>-400</v>
      </c>
      <c r="BC176" s="66" t="n">
        <f aca="false">-Inputs!$C$45*1</f>
        <v>-400</v>
      </c>
      <c r="BD176" s="66" t="n">
        <f aca="false">-Inputs!$C$45*1</f>
        <v>-400</v>
      </c>
      <c r="BE176" s="66" t="n">
        <f aca="false">-Inputs!$C$45*1</f>
        <v>-400</v>
      </c>
      <c r="BF176" s="66" t="n">
        <f aca="false">-Inputs!$C$45*1</f>
        <v>-400</v>
      </c>
      <c r="BG176" s="66" t="n">
        <f aca="false">-Inputs!$C$45*1</f>
        <v>-400</v>
      </c>
      <c r="BH176" s="66" t="n">
        <f aca="false">-Inputs!$C$45*1</f>
        <v>-400</v>
      </c>
      <c r="BI176" s="66" t="n">
        <f aca="false">-Inputs!$C$45*1</f>
        <v>-400</v>
      </c>
      <c r="BJ176" s="66" t="n">
        <f aca="false">-Inputs!$C$45*1</f>
        <v>-400</v>
      </c>
    </row>
    <row r="177" customFormat="false" ht="15" hidden="false" customHeight="false" outlineLevel="0" collapsed="false">
      <c r="A177" s="6" t="s">
        <v>345</v>
      </c>
      <c r="C177" s="66" t="n">
        <f aca="false">-C157*Inputs!$C$46</f>
        <v>-265.05</v>
      </c>
      <c r="D177" s="66" t="n">
        <f aca="false">-D157*Inputs!$C$46</f>
        <v>-336.834375</v>
      </c>
      <c r="E177" s="66" t="n">
        <f aca="false">-E157*Inputs!$C$46</f>
        <v>-408.61875</v>
      </c>
      <c r="F177" s="66" t="n">
        <f aca="false">-F157*Inputs!$C$46</f>
        <v>-480.403125</v>
      </c>
      <c r="G177" s="66" t="n">
        <f aca="false">-G157*Inputs!$C$46</f>
        <v>-552.1875</v>
      </c>
      <c r="H177" s="66" t="n">
        <f aca="false">-H157*Inputs!$C$46</f>
        <v>-623.971875</v>
      </c>
      <c r="I177" s="66" t="n">
        <f aca="false">-I157*Inputs!$C$46</f>
        <v>-695.75625</v>
      </c>
      <c r="J177" s="66" t="n">
        <f aca="false">-J157*Inputs!$C$46</f>
        <v>-767.540625</v>
      </c>
      <c r="K177" s="66" t="n">
        <f aca="false">-K157*Inputs!$C$46</f>
        <v>-839.325</v>
      </c>
      <c r="L177" s="66" t="n">
        <f aca="false">-L157*Inputs!$C$46</f>
        <v>-911.109375</v>
      </c>
      <c r="M177" s="66" t="n">
        <f aca="false">-M157*Inputs!$C$46</f>
        <v>-982.89375</v>
      </c>
      <c r="N177" s="66" t="n">
        <f aca="false">-N157*Inputs!$C$46</f>
        <v>-1054.678125</v>
      </c>
      <c r="O177" s="66" t="n">
        <f aca="false">-O157*Inputs!$C$46</f>
        <v>-1160.256375</v>
      </c>
      <c r="P177" s="66" t="n">
        <f aca="false">-P157*Inputs!$C$46</f>
        <v>-1160.256375</v>
      </c>
      <c r="Q177" s="66" t="n">
        <f aca="false">-Q157*Inputs!$C$46</f>
        <v>-1160.256375</v>
      </c>
      <c r="R177" s="66" t="n">
        <f aca="false">-R157*Inputs!$C$46</f>
        <v>-1160.256375</v>
      </c>
      <c r="S177" s="66" t="n">
        <f aca="false">-S157*Inputs!$C$46</f>
        <v>-1160.256375</v>
      </c>
      <c r="T177" s="66" t="n">
        <f aca="false">-T157*Inputs!$C$46</f>
        <v>-1160.256375</v>
      </c>
      <c r="U177" s="66" t="n">
        <f aca="false">-U157*Inputs!$C$46</f>
        <v>-1160.256375</v>
      </c>
      <c r="V177" s="66" t="n">
        <f aca="false">-V157*Inputs!$C$46</f>
        <v>-1160.256375</v>
      </c>
      <c r="W177" s="66" t="n">
        <f aca="false">-W157*Inputs!$C$46</f>
        <v>-1160.256375</v>
      </c>
      <c r="X177" s="66" t="n">
        <f aca="false">-X157*Inputs!$C$46</f>
        <v>-1160.256375</v>
      </c>
      <c r="Y177" s="66" t="n">
        <f aca="false">-Y157*Inputs!$C$46</f>
        <v>-1160.256375</v>
      </c>
      <c r="Z177" s="66" t="n">
        <f aca="false">-Z157*Inputs!$C$46</f>
        <v>-1160.256375</v>
      </c>
      <c r="AA177" s="66" t="n">
        <f aca="false">-AA157*Inputs!$C$46</f>
        <v>-1195.06406625</v>
      </c>
      <c r="AB177" s="66" t="n">
        <f aca="false">-AB157*Inputs!$C$46</f>
        <v>-1195.06406625</v>
      </c>
      <c r="AC177" s="66" t="n">
        <f aca="false">-AC157*Inputs!$C$46</f>
        <v>-1195.06406625</v>
      </c>
      <c r="AD177" s="66" t="n">
        <f aca="false">-AD157*Inputs!$C$46</f>
        <v>-1195.06406625</v>
      </c>
      <c r="AE177" s="66" t="n">
        <f aca="false">-AE157*Inputs!$C$46</f>
        <v>-1195.06406625</v>
      </c>
      <c r="AF177" s="66" t="n">
        <f aca="false">-AF157*Inputs!$C$46</f>
        <v>-1195.06406625</v>
      </c>
      <c r="AG177" s="66" t="n">
        <f aca="false">-AG157*Inputs!$C$46</f>
        <v>-1195.06406625</v>
      </c>
      <c r="AH177" s="66" t="n">
        <f aca="false">-AH157*Inputs!$C$46</f>
        <v>-1195.06406625</v>
      </c>
      <c r="AI177" s="66" t="n">
        <f aca="false">-AI157*Inputs!$C$46</f>
        <v>-1195.06406625</v>
      </c>
      <c r="AJ177" s="66" t="n">
        <f aca="false">-AJ157*Inputs!$C$46</f>
        <v>-1195.06406625</v>
      </c>
      <c r="AK177" s="66" t="n">
        <f aca="false">-AK157*Inputs!$C$46</f>
        <v>-1195.06406625</v>
      </c>
      <c r="AL177" s="66" t="n">
        <f aca="false">-AL157*Inputs!$C$46</f>
        <v>-1195.06406625</v>
      </c>
      <c r="AM177" s="66" t="n">
        <f aca="false">-AM157*Inputs!$C$46</f>
        <v>-1230.9159882375</v>
      </c>
      <c r="AN177" s="66" t="n">
        <f aca="false">-AN157*Inputs!$C$46</f>
        <v>-1230.9159882375</v>
      </c>
      <c r="AO177" s="66" t="n">
        <f aca="false">-AO157*Inputs!$C$46</f>
        <v>-1230.9159882375</v>
      </c>
      <c r="AP177" s="66" t="n">
        <f aca="false">-AP157*Inputs!$C$46</f>
        <v>-1230.9159882375</v>
      </c>
      <c r="AQ177" s="66" t="n">
        <f aca="false">-AQ157*Inputs!$C$46</f>
        <v>-1230.9159882375</v>
      </c>
      <c r="AR177" s="66" t="n">
        <f aca="false">-AR157*Inputs!$C$46</f>
        <v>-1230.9159882375</v>
      </c>
      <c r="AS177" s="66" t="n">
        <f aca="false">-AS157*Inputs!$C$46</f>
        <v>-1230.9159882375</v>
      </c>
      <c r="AT177" s="66" t="n">
        <f aca="false">-AT157*Inputs!$C$46</f>
        <v>-1230.9159882375</v>
      </c>
      <c r="AU177" s="66" t="n">
        <f aca="false">-AU157*Inputs!$C$46</f>
        <v>-1230.9159882375</v>
      </c>
      <c r="AV177" s="66" t="n">
        <f aca="false">-AV157*Inputs!$C$46</f>
        <v>-1230.9159882375</v>
      </c>
      <c r="AW177" s="66" t="n">
        <f aca="false">-AW157*Inputs!$C$46</f>
        <v>-1230.9159882375</v>
      </c>
      <c r="AX177" s="66" t="n">
        <f aca="false">-AX157*Inputs!$C$46</f>
        <v>-1230.9159882375</v>
      </c>
      <c r="AY177" s="66" t="n">
        <f aca="false">-AY157*Inputs!$C$46</f>
        <v>-1267.84346788463</v>
      </c>
      <c r="AZ177" s="66" t="n">
        <f aca="false">-AZ157*Inputs!$C$46</f>
        <v>-1267.84346788463</v>
      </c>
      <c r="BA177" s="66" t="n">
        <f aca="false">-BA157*Inputs!$C$46</f>
        <v>-1267.84346788463</v>
      </c>
      <c r="BB177" s="66" t="n">
        <f aca="false">-BB157*Inputs!$C$46</f>
        <v>-1267.84346788463</v>
      </c>
      <c r="BC177" s="66" t="n">
        <f aca="false">-BC157*Inputs!$C$46</f>
        <v>-1267.84346788463</v>
      </c>
      <c r="BD177" s="66" t="n">
        <f aca="false">-BD157*Inputs!$C$46</f>
        <v>-1267.84346788463</v>
      </c>
      <c r="BE177" s="66" t="n">
        <f aca="false">-BE157*Inputs!$C$46</f>
        <v>-1267.84346788463</v>
      </c>
      <c r="BF177" s="66" t="n">
        <f aca="false">-BF157*Inputs!$C$46</f>
        <v>-1267.84346788463</v>
      </c>
      <c r="BG177" s="66" t="n">
        <f aca="false">-BG157*Inputs!$C$46</f>
        <v>-1267.84346788463</v>
      </c>
      <c r="BH177" s="66" t="n">
        <f aca="false">-BH157*Inputs!$C$46</f>
        <v>-1267.84346788463</v>
      </c>
      <c r="BI177" s="66" t="n">
        <f aca="false">-BI157*Inputs!$C$46</f>
        <v>-1267.84346788463</v>
      </c>
      <c r="BJ177" s="66" t="n">
        <f aca="false">-BJ157*Inputs!$C$46</f>
        <v>-1267.84346788463</v>
      </c>
    </row>
    <row r="178" customFormat="false" ht="15" hidden="false" customHeight="false" outlineLevel="0" collapsed="false">
      <c r="A178" s="6" t="s">
        <v>346</v>
      </c>
      <c r="C178" s="66" t="n">
        <f aca="false">-Inputs!$C$47*1</f>
        <v>-1200</v>
      </c>
      <c r="D178" s="66" t="n">
        <f aca="false">-Inputs!$C$47*1</f>
        <v>-1200</v>
      </c>
      <c r="E178" s="66" t="n">
        <f aca="false">-Inputs!$C$47*1</f>
        <v>-1200</v>
      </c>
      <c r="F178" s="66" t="n">
        <f aca="false">-Inputs!$C$47*1</f>
        <v>-1200</v>
      </c>
      <c r="G178" s="66" t="n">
        <f aca="false">-Inputs!$C$47*1</f>
        <v>-1200</v>
      </c>
      <c r="H178" s="66" t="n">
        <f aca="false">-Inputs!$C$47*1</f>
        <v>-1200</v>
      </c>
      <c r="I178" s="66" t="n">
        <f aca="false">-Inputs!$C$47*1</f>
        <v>-1200</v>
      </c>
      <c r="J178" s="66" t="n">
        <f aca="false">-Inputs!$C$47*1</f>
        <v>-1200</v>
      </c>
      <c r="K178" s="66" t="n">
        <f aca="false">-Inputs!$C$47*1</f>
        <v>-1200</v>
      </c>
      <c r="L178" s="66" t="n">
        <f aca="false">-Inputs!$C$47*1</f>
        <v>-1200</v>
      </c>
      <c r="M178" s="66" t="n">
        <f aca="false">-Inputs!$C$47*1</f>
        <v>-1200</v>
      </c>
      <c r="N178" s="66" t="n">
        <f aca="false">-Inputs!$C$47*1</f>
        <v>-1200</v>
      </c>
      <c r="O178" s="66" t="n">
        <f aca="false">-Inputs!$C$47*1</f>
        <v>-1200</v>
      </c>
      <c r="P178" s="66" t="n">
        <f aca="false">-Inputs!$C$47*1</f>
        <v>-1200</v>
      </c>
      <c r="Q178" s="66" t="n">
        <f aca="false">-Inputs!$C$47*1</f>
        <v>-1200</v>
      </c>
      <c r="R178" s="66" t="n">
        <f aca="false">-Inputs!$C$47*1</f>
        <v>-1200</v>
      </c>
      <c r="S178" s="66" t="n">
        <f aca="false">-Inputs!$C$47*1</f>
        <v>-1200</v>
      </c>
      <c r="T178" s="66" t="n">
        <f aca="false">-Inputs!$C$47*1</f>
        <v>-1200</v>
      </c>
      <c r="U178" s="66" t="n">
        <f aca="false">-Inputs!$C$47*1</f>
        <v>-1200</v>
      </c>
      <c r="V178" s="66" t="n">
        <f aca="false">-Inputs!$C$47*1</f>
        <v>-1200</v>
      </c>
      <c r="W178" s="66" t="n">
        <f aca="false">-Inputs!$C$47*1</f>
        <v>-1200</v>
      </c>
      <c r="X178" s="66" t="n">
        <f aca="false">-Inputs!$C$47*1</f>
        <v>-1200</v>
      </c>
      <c r="Y178" s="66" t="n">
        <f aca="false">-Inputs!$C$47*1</f>
        <v>-1200</v>
      </c>
      <c r="Z178" s="66" t="n">
        <f aca="false">-Inputs!$C$47*1</f>
        <v>-1200</v>
      </c>
      <c r="AA178" s="66" t="n">
        <f aca="false">-Inputs!$C$47*1</f>
        <v>-1200</v>
      </c>
      <c r="AB178" s="66" t="n">
        <f aca="false">-Inputs!$C$47*1</f>
        <v>-1200</v>
      </c>
      <c r="AC178" s="66" t="n">
        <f aca="false">-Inputs!$C$47*1</f>
        <v>-1200</v>
      </c>
      <c r="AD178" s="66" t="n">
        <f aca="false">-Inputs!$C$47*1</f>
        <v>-1200</v>
      </c>
      <c r="AE178" s="66" t="n">
        <f aca="false">-Inputs!$C$47*1</f>
        <v>-1200</v>
      </c>
      <c r="AF178" s="66" t="n">
        <f aca="false">-Inputs!$C$47*1</f>
        <v>-1200</v>
      </c>
      <c r="AG178" s="66" t="n">
        <f aca="false">-Inputs!$C$47*1</f>
        <v>-1200</v>
      </c>
      <c r="AH178" s="66" t="n">
        <f aca="false">-Inputs!$C$47*1</f>
        <v>-1200</v>
      </c>
      <c r="AI178" s="66" t="n">
        <f aca="false">-Inputs!$C$47*1</f>
        <v>-1200</v>
      </c>
      <c r="AJ178" s="66" t="n">
        <f aca="false">-Inputs!$C$47*1</f>
        <v>-1200</v>
      </c>
      <c r="AK178" s="66" t="n">
        <f aca="false">-Inputs!$C$47*1</f>
        <v>-1200</v>
      </c>
      <c r="AL178" s="66" t="n">
        <f aca="false">-Inputs!$C$47*1</f>
        <v>-1200</v>
      </c>
      <c r="AM178" s="66" t="n">
        <f aca="false">-Inputs!$C$47*1</f>
        <v>-1200</v>
      </c>
      <c r="AN178" s="66" t="n">
        <f aca="false">-Inputs!$C$47*1</f>
        <v>-1200</v>
      </c>
      <c r="AO178" s="66" t="n">
        <f aca="false">-Inputs!$C$47*1</f>
        <v>-1200</v>
      </c>
      <c r="AP178" s="66" t="n">
        <f aca="false">-Inputs!$C$47*1</f>
        <v>-1200</v>
      </c>
      <c r="AQ178" s="66" t="n">
        <f aca="false">-Inputs!$C$47*1</f>
        <v>-1200</v>
      </c>
      <c r="AR178" s="66" t="n">
        <f aca="false">-Inputs!$C$47*1</f>
        <v>-1200</v>
      </c>
      <c r="AS178" s="66" t="n">
        <f aca="false">-Inputs!$C$47*1</f>
        <v>-1200</v>
      </c>
      <c r="AT178" s="66" t="n">
        <f aca="false">-Inputs!$C$47*1</f>
        <v>-1200</v>
      </c>
      <c r="AU178" s="66" t="n">
        <f aca="false">-Inputs!$C$47*1</f>
        <v>-1200</v>
      </c>
      <c r="AV178" s="66" t="n">
        <f aca="false">-Inputs!$C$47*1</f>
        <v>-1200</v>
      </c>
      <c r="AW178" s="66" t="n">
        <f aca="false">-Inputs!$C$47*1</f>
        <v>-1200</v>
      </c>
      <c r="AX178" s="66" t="n">
        <f aca="false">-Inputs!$C$47*1</f>
        <v>-1200</v>
      </c>
      <c r="AY178" s="66" t="n">
        <f aca="false">-Inputs!$C$47*1</f>
        <v>-1200</v>
      </c>
      <c r="AZ178" s="66" t="n">
        <f aca="false">-Inputs!$C$47*1</f>
        <v>-1200</v>
      </c>
      <c r="BA178" s="66" t="n">
        <f aca="false">-Inputs!$C$47*1</f>
        <v>-1200</v>
      </c>
      <c r="BB178" s="66" t="n">
        <f aca="false">-Inputs!$C$47*1</f>
        <v>-1200</v>
      </c>
      <c r="BC178" s="66" t="n">
        <f aca="false">-Inputs!$C$47*1</f>
        <v>-1200</v>
      </c>
      <c r="BD178" s="66" t="n">
        <f aca="false">-Inputs!$C$47*1</f>
        <v>-1200</v>
      </c>
      <c r="BE178" s="66" t="n">
        <f aca="false">-Inputs!$C$47*1</f>
        <v>-1200</v>
      </c>
      <c r="BF178" s="66" t="n">
        <f aca="false">-Inputs!$C$47*1</f>
        <v>-1200</v>
      </c>
      <c r="BG178" s="66" t="n">
        <f aca="false">-Inputs!$C$47*1</f>
        <v>-1200</v>
      </c>
      <c r="BH178" s="66" t="n">
        <f aca="false">-Inputs!$C$47*1</f>
        <v>-1200</v>
      </c>
      <c r="BI178" s="66" t="n">
        <f aca="false">-Inputs!$C$47*1</f>
        <v>-1200</v>
      </c>
      <c r="BJ178" s="66" t="n">
        <f aca="false">-Inputs!$C$47*1</f>
        <v>-1200</v>
      </c>
    </row>
    <row r="179" customFormat="false" ht="15" hidden="false" customHeight="false" outlineLevel="0" collapsed="false">
      <c r="A179" s="110" t="s">
        <v>76</v>
      </c>
      <c r="C179" s="67" t="n">
        <f aca="false">C170+C171+C172+C173+C174+C175+C176+C177+C178</f>
        <v>-24349.2166666667</v>
      </c>
      <c r="D179" s="67" t="n">
        <f aca="false">D170+D171+D172+D173+D174+D175+D176+D177+D178</f>
        <v>-24421.0010416667</v>
      </c>
      <c r="E179" s="67" t="n">
        <f aca="false">E170+E171+E172+E173+E174+E175+E176+E177+E178</f>
        <v>-24492.7854166667</v>
      </c>
      <c r="F179" s="67" t="n">
        <f aca="false">F170+F171+F172+F173+F174+F175+F176+F177+F178</f>
        <v>-24564.5697916667</v>
      </c>
      <c r="G179" s="67" t="n">
        <f aca="false">G170+G171+G172+G173+G174+G175+G176+G177+G178</f>
        <v>-24636.3541666667</v>
      </c>
      <c r="H179" s="67" t="n">
        <f aca="false">H170+H171+H172+H173+H174+H175+H176+H177+H178</f>
        <v>-24708.1385416667</v>
      </c>
      <c r="I179" s="67" t="n">
        <f aca="false">I170+I171+I172+I173+I174+I175+I176+I177+I178</f>
        <v>-24779.9229166667</v>
      </c>
      <c r="J179" s="67" t="n">
        <f aca="false">J170+J171+J172+J173+J174+J175+J176+J177+J178</f>
        <v>-24851.7072916667</v>
      </c>
      <c r="K179" s="67" t="n">
        <f aca="false">K170+K171+K172+K173+K174+K175+K176+K177+K178</f>
        <v>-24923.4916666667</v>
      </c>
      <c r="L179" s="67" t="n">
        <f aca="false">L170+L171+L172+L173+L174+L175+L176+L177+L178</f>
        <v>-24995.2760416667</v>
      </c>
      <c r="M179" s="67" t="n">
        <f aca="false">M170+M171+M172+M173+M174+M175+M176+M177+M178</f>
        <v>-25067.0604166667</v>
      </c>
      <c r="N179" s="67" t="n">
        <f aca="false">N170+N171+N172+N173+N174+N175+N176+N177+N178</f>
        <v>-25138.8447916667</v>
      </c>
      <c r="O179" s="67" t="n">
        <f aca="false">O170+O171+O172+O173+O174+O175+O176+O177+O178</f>
        <v>-25771.9480416667</v>
      </c>
      <c r="P179" s="67" t="n">
        <f aca="false">P170+P171+P172+P173+P174+P175+P176+P177+P178</f>
        <v>-25771.9480416667</v>
      </c>
      <c r="Q179" s="67" t="n">
        <f aca="false">Q170+Q171+Q172+Q173+Q174+Q175+Q176+Q177+Q178</f>
        <v>-25771.9480416667</v>
      </c>
      <c r="R179" s="67" t="n">
        <f aca="false">R170+R171+R172+R173+R174+R175+R176+R177+R178</f>
        <v>-25771.9480416667</v>
      </c>
      <c r="S179" s="67" t="n">
        <f aca="false">S170+S171+S172+S173+S174+S175+S176+S177+S178</f>
        <v>-25771.9480416667</v>
      </c>
      <c r="T179" s="67" t="n">
        <f aca="false">T170+T171+T172+T173+T174+T175+T176+T177+T178</f>
        <v>-25771.9480416667</v>
      </c>
      <c r="U179" s="67" t="n">
        <f aca="false">U170+U171+U172+U173+U174+U175+U176+U177+U178</f>
        <v>-25771.9480416667</v>
      </c>
      <c r="V179" s="67" t="n">
        <f aca="false">V170+V171+V172+V173+V174+V175+V176+V177+V178</f>
        <v>-25771.9480416667</v>
      </c>
      <c r="W179" s="67" t="n">
        <f aca="false">W170+W171+W172+W173+W174+W175+W176+W177+W178</f>
        <v>-25771.9480416667</v>
      </c>
      <c r="X179" s="67" t="n">
        <f aca="false">X170+X171+X172+X173+X174+X175+X176+X177+X178</f>
        <v>-25771.9480416667</v>
      </c>
      <c r="Y179" s="67" t="n">
        <f aca="false">Y170+Y171+Y172+Y173+Y174+Y175+Y176+Y177+Y178</f>
        <v>-25771.9480416667</v>
      </c>
      <c r="Z179" s="67" t="n">
        <f aca="false">Z170+Z171+Z172+Z173+Z174+Z175+Z176+Z177+Z178</f>
        <v>-25771.9480416667</v>
      </c>
      <c r="AA179" s="67" t="n">
        <f aca="false">AA170+AA171+AA172+AA173+AA174+AA175+AA176+AA177+AA178</f>
        <v>-26350.1064829167</v>
      </c>
      <c r="AB179" s="67" t="n">
        <f aca="false">AB170+AB171+AB172+AB173+AB174+AB175+AB176+AB177+AB178</f>
        <v>-26350.1064829167</v>
      </c>
      <c r="AC179" s="67" t="n">
        <f aca="false">AC170+AC171+AC172+AC173+AC174+AC175+AC176+AC177+AC178</f>
        <v>-26350.1064829167</v>
      </c>
      <c r="AD179" s="67" t="n">
        <f aca="false">AD170+AD171+AD172+AD173+AD174+AD175+AD176+AD177+AD178</f>
        <v>-26350.1064829167</v>
      </c>
      <c r="AE179" s="67" t="n">
        <f aca="false">AE170+AE171+AE172+AE173+AE174+AE175+AE176+AE177+AE178</f>
        <v>-26350.1064829167</v>
      </c>
      <c r="AF179" s="67" t="n">
        <f aca="false">AF170+AF171+AF172+AF173+AF174+AF175+AF176+AF177+AF178</f>
        <v>-26350.1064829167</v>
      </c>
      <c r="AG179" s="67" t="n">
        <f aca="false">AG170+AG171+AG172+AG173+AG174+AG175+AG176+AG177+AG178</f>
        <v>-26350.1064829167</v>
      </c>
      <c r="AH179" s="67" t="n">
        <f aca="false">AH170+AH171+AH172+AH173+AH174+AH175+AH176+AH177+AH178</f>
        <v>-26350.1064829167</v>
      </c>
      <c r="AI179" s="67" t="n">
        <f aca="false">AI170+AI171+AI172+AI173+AI174+AI175+AI176+AI177+AI178</f>
        <v>-26350.1064829167</v>
      </c>
      <c r="AJ179" s="67" t="n">
        <f aca="false">AJ170+AJ171+AJ172+AJ173+AJ174+AJ175+AJ176+AJ177+AJ178</f>
        <v>-26350.1064829167</v>
      </c>
      <c r="AK179" s="67" t="n">
        <f aca="false">AK170+AK171+AK172+AK173+AK174+AK175+AK176+AK177+AK178</f>
        <v>-26350.1064829167</v>
      </c>
      <c r="AL179" s="67" t="n">
        <f aca="false">AL170+AL171+AL172+AL173+AL174+AL175+AL176+AL177+AL178</f>
        <v>-26350.1064829167</v>
      </c>
      <c r="AM179" s="67" t="n">
        <f aca="false">AM170+AM171+AM172+AM173+AM174+AM175+AM176+AM177+AM178</f>
        <v>-26945.6096774042</v>
      </c>
      <c r="AN179" s="67" t="n">
        <f aca="false">AN170+AN171+AN172+AN173+AN174+AN175+AN176+AN177+AN178</f>
        <v>-26945.6096774042</v>
      </c>
      <c r="AO179" s="67" t="n">
        <f aca="false">AO170+AO171+AO172+AO173+AO174+AO175+AO176+AO177+AO178</f>
        <v>-26945.6096774042</v>
      </c>
      <c r="AP179" s="67" t="n">
        <f aca="false">AP170+AP171+AP172+AP173+AP174+AP175+AP176+AP177+AP178</f>
        <v>-26945.6096774042</v>
      </c>
      <c r="AQ179" s="67" t="n">
        <f aca="false">AQ170+AQ171+AQ172+AQ173+AQ174+AQ175+AQ176+AQ177+AQ178</f>
        <v>-26945.6096774042</v>
      </c>
      <c r="AR179" s="67" t="n">
        <f aca="false">AR170+AR171+AR172+AR173+AR174+AR175+AR176+AR177+AR178</f>
        <v>-26945.6096774042</v>
      </c>
      <c r="AS179" s="67" t="n">
        <f aca="false">AS170+AS171+AS172+AS173+AS174+AS175+AS176+AS177+AS178</f>
        <v>-26945.6096774042</v>
      </c>
      <c r="AT179" s="67" t="n">
        <f aca="false">AT170+AT171+AT172+AT173+AT174+AT175+AT176+AT177+AT178</f>
        <v>-26945.6096774042</v>
      </c>
      <c r="AU179" s="67" t="n">
        <f aca="false">AU170+AU171+AU172+AU173+AU174+AU175+AU176+AU177+AU178</f>
        <v>-26945.6096774042</v>
      </c>
      <c r="AV179" s="67" t="n">
        <f aca="false">AV170+AV171+AV172+AV173+AV174+AV175+AV176+AV177+AV178</f>
        <v>-26945.6096774042</v>
      </c>
      <c r="AW179" s="67" t="n">
        <f aca="false">AW170+AW171+AW172+AW173+AW174+AW175+AW176+AW177+AW178</f>
        <v>-26945.6096774042</v>
      </c>
      <c r="AX179" s="67" t="n">
        <f aca="false">AX170+AX171+AX172+AX173+AX174+AX175+AX176+AX177+AX178</f>
        <v>-26945.6096774042</v>
      </c>
      <c r="AY179" s="67" t="n">
        <f aca="false">AY170+AY171+AY172+AY173+AY174+AY175+AY176+AY177+AY178</f>
        <v>-27558.9779677263</v>
      </c>
      <c r="AZ179" s="67" t="n">
        <f aca="false">AZ170+AZ171+AZ172+AZ173+AZ174+AZ175+AZ176+AZ177+AZ178</f>
        <v>-27558.9779677263</v>
      </c>
      <c r="BA179" s="67" t="n">
        <f aca="false">BA170+BA171+BA172+BA173+BA174+BA175+BA176+BA177+BA178</f>
        <v>-27558.9779677263</v>
      </c>
      <c r="BB179" s="67" t="n">
        <f aca="false">BB170+BB171+BB172+BB173+BB174+BB175+BB176+BB177+BB178</f>
        <v>-27558.9779677263</v>
      </c>
      <c r="BC179" s="67" t="n">
        <f aca="false">BC170+BC171+BC172+BC173+BC174+BC175+BC176+BC177+BC178</f>
        <v>-27558.9779677263</v>
      </c>
      <c r="BD179" s="67" t="n">
        <f aca="false">BD170+BD171+BD172+BD173+BD174+BD175+BD176+BD177+BD178</f>
        <v>-27558.9779677263</v>
      </c>
      <c r="BE179" s="67" t="n">
        <f aca="false">BE170+BE171+BE172+BE173+BE174+BE175+BE176+BE177+BE178</f>
        <v>-27558.9779677263</v>
      </c>
      <c r="BF179" s="67" t="n">
        <f aca="false">BF170+BF171+BF172+BF173+BF174+BF175+BF176+BF177+BF178</f>
        <v>-27558.9779677263</v>
      </c>
      <c r="BG179" s="67" t="n">
        <f aca="false">BG170+BG171+BG172+BG173+BG174+BG175+BG176+BG177+BG178</f>
        <v>-27558.9779677263</v>
      </c>
      <c r="BH179" s="67" t="n">
        <f aca="false">BH170+BH171+BH172+BH173+BH174+BH175+BH176+BH177+BH178</f>
        <v>-27558.9779677263</v>
      </c>
      <c r="BI179" s="67" t="n">
        <f aca="false">BI170+BI171+BI172+BI173+BI174+BI175+BI176+BI177+BI178</f>
        <v>-27558.9779677263</v>
      </c>
      <c r="BJ179" s="67" t="n">
        <f aca="false">BJ170+BJ171+BJ172+BJ173+BJ174+BJ175+BJ176+BJ177+BJ178</f>
        <v>-27558.9779677263</v>
      </c>
    </row>
    <row r="180" customFormat="false" ht="15" hidden="false" customHeight="false" outlineLevel="0" collapsed="false">
      <c r="A180" s="110" t="s">
        <v>48</v>
      </c>
      <c r="C180" s="67" t="n">
        <f aca="false">C167+C179</f>
        <v>-17948.2166666667</v>
      </c>
      <c r="D180" s="67" t="n">
        <f aca="false">D167+D179</f>
        <v>-15963.0635416667</v>
      </c>
      <c r="E180" s="67" t="n">
        <f aca="false">E167+E179</f>
        <v>-20505.4104166667</v>
      </c>
      <c r="F180" s="67" t="n">
        <f aca="false">F167+F179</f>
        <v>-17207.7572916667</v>
      </c>
      <c r="G180" s="67" t="n">
        <f aca="false">G167+G179</f>
        <v>-13910.1041666667</v>
      </c>
      <c r="H180" s="67" t="n">
        <f aca="false">H167+H179</f>
        <v>-10612.4510416667</v>
      </c>
      <c r="I180" s="67" t="n">
        <f aca="false">I167+I179</f>
        <v>-7314.79791666667</v>
      </c>
      <c r="J180" s="67" t="n">
        <f aca="false">J167+J179</f>
        <v>-7937.14479166667</v>
      </c>
      <c r="K180" s="67" t="n">
        <f aca="false">K167+K179</f>
        <v>-8559.49166666667</v>
      </c>
      <c r="L180" s="67" t="n">
        <f aca="false">L167+L179</f>
        <v>-5261.83854166666</v>
      </c>
      <c r="M180" s="67" t="n">
        <f aca="false">M167+M179</f>
        <v>-1964.18541666666</v>
      </c>
      <c r="N180" s="67" t="n">
        <f aca="false">N167+N179</f>
        <v>1333.46770833334</v>
      </c>
      <c r="O180" s="67" t="n">
        <f aca="false">O167+O179</f>
        <v>4965.05445833333</v>
      </c>
      <c r="P180" s="67" t="n">
        <f aca="false">P167+P179</f>
        <v>4462.92945833333</v>
      </c>
      <c r="Q180" s="67" t="n">
        <f aca="false">Q167+Q179</f>
        <v>4462.92945833333</v>
      </c>
      <c r="R180" s="67" t="n">
        <f aca="false">R167+R179</f>
        <v>4462.92945833333</v>
      </c>
      <c r="S180" s="67" t="n">
        <f aca="false">S167+S179</f>
        <v>4462.92945833333</v>
      </c>
      <c r="T180" s="67" t="n">
        <f aca="false">T167+T179</f>
        <v>4462.92945833333</v>
      </c>
      <c r="U180" s="67" t="n">
        <f aca="false">U167+U179</f>
        <v>4462.92945833333</v>
      </c>
      <c r="V180" s="67" t="n">
        <f aca="false">V167+V179</f>
        <v>4462.92945833333</v>
      </c>
      <c r="W180" s="67" t="n">
        <f aca="false">W167+W179</f>
        <v>4462.92945833333</v>
      </c>
      <c r="X180" s="67" t="n">
        <f aca="false">X167+X179</f>
        <v>4462.92945833333</v>
      </c>
      <c r="Y180" s="67" t="n">
        <f aca="false">Y167+Y179</f>
        <v>4462.92945833333</v>
      </c>
      <c r="Z180" s="67" t="n">
        <f aca="false">Z167+Z179</f>
        <v>4462.92945833333</v>
      </c>
      <c r="AA180" s="67" t="n">
        <f aca="false">AA167+AA179</f>
        <v>4791.81734208333</v>
      </c>
      <c r="AB180" s="67" t="n">
        <f aca="false">AB167+AB179</f>
        <v>4791.81734208333</v>
      </c>
      <c r="AC180" s="67" t="n">
        <f aca="false">AC167+AC179</f>
        <v>4791.81734208333</v>
      </c>
      <c r="AD180" s="67" t="n">
        <f aca="false">AD167+AD179</f>
        <v>4791.81734208333</v>
      </c>
      <c r="AE180" s="67" t="n">
        <f aca="false">AE167+AE179</f>
        <v>4791.81734208333</v>
      </c>
      <c r="AF180" s="67" t="n">
        <f aca="false">AF167+AF179</f>
        <v>4791.81734208333</v>
      </c>
      <c r="AG180" s="67" t="n">
        <f aca="false">AG167+AG179</f>
        <v>4791.81734208333</v>
      </c>
      <c r="AH180" s="67" t="n">
        <f aca="false">AH167+AH179</f>
        <v>4791.81734208333</v>
      </c>
      <c r="AI180" s="67" t="n">
        <f aca="false">AI167+AI179</f>
        <v>4791.81734208333</v>
      </c>
      <c r="AJ180" s="67" t="n">
        <f aca="false">AJ167+AJ179</f>
        <v>4791.81734208333</v>
      </c>
      <c r="AK180" s="67" t="n">
        <f aca="false">AK167+AK179</f>
        <v>4791.81734208333</v>
      </c>
      <c r="AL180" s="67" t="n">
        <f aca="false">AL167+AL179</f>
        <v>4791.81734208333</v>
      </c>
      <c r="AM180" s="67" t="n">
        <f aca="false">AM167+AM179</f>
        <v>5130.57186234583</v>
      </c>
      <c r="AN180" s="67" t="n">
        <f aca="false">AN167+AN179</f>
        <v>5130.57186234583</v>
      </c>
      <c r="AO180" s="67" t="n">
        <f aca="false">AO167+AO179</f>
        <v>5130.57186234583</v>
      </c>
      <c r="AP180" s="67" t="n">
        <f aca="false">AP167+AP179</f>
        <v>5130.57186234583</v>
      </c>
      <c r="AQ180" s="67" t="n">
        <f aca="false">AQ167+AQ179</f>
        <v>5130.57186234583</v>
      </c>
      <c r="AR180" s="67" t="n">
        <f aca="false">AR167+AR179</f>
        <v>5130.57186234583</v>
      </c>
      <c r="AS180" s="67" t="n">
        <f aca="false">AS167+AS179</f>
        <v>5130.57186234583</v>
      </c>
      <c r="AT180" s="67" t="n">
        <f aca="false">AT167+AT179</f>
        <v>5130.57186234583</v>
      </c>
      <c r="AU180" s="67" t="n">
        <f aca="false">AU167+AU179</f>
        <v>5130.57186234583</v>
      </c>
      <c r="AV180" s="67" t="n">
        <f aca="false">AV167+AV179</f>
        <v>5130.57186234583</v>
      </c>
      <c r="AW180" s="67" t="n">
        <f aca="false">AW167+AW179</f>
        <v>5130.57186234583</v>
      </c>
      <c r="AX180" s="67" t="n">
        <f aca="false">AX167+AX179</f>
        <v>5130.57186234583</v>
      </c>
      <c r="AY180" s="67" t="n">
        <f aca="false">AY167+AY179</f>
        <v>5479.4890182162</v>
      </c>
      <c r="AZ180" s="67" t="n">
        <f aca="false">AZ167+AZ179</f>
        <v>5479.4890182162</v>
      </c>
      <c r="BA180" s="67" t="n">
        <f aca="false">BA167+BA179</f>
        <v>5479.4890182162</v>
      </c>
      <c r="BB180" s="67" t="n">
        <f aca="false">BB167+BB179</f>
        <v>5479.4890182162</v>
      </c>
      <c r="BC180" s="67" t="n">
        <f aca="false">BC167+BC179</f>
        <v>5479.4890182162</v>
      </c>
      <c r="BD180" s="67" t="n">
        <f aca="false">BD167+BD179</f>
        <v>5479.4890182162</v>
      </c>
      <c r="BE180" s="67" t="n">
        <f aca="false">BE167+BE179</f>
        <v>5479.4890182162</v>
      </c>
      <c r="BF180" s="67" t="n">
        <f aca="false">BF167+BF179</f>
        <v>5479.4890182162</v>
      </c>
      <c r="BG180" s="67" t="n">
        <f aca="false">BG167+BG179</f>
        <v>5479.4890182162</v>
      </c>
      <c r="BH180" s="67" t="n">
        <f aca="false">BH167+BH179</f>
        <v>5479.4890182162</v>
      </c>
      <c r="BI180" s="67" t="n">
        <f aca="false">BI167+BI179</f>
        <v>5479.4890182162</v>
      </c>
      <c r="BJ180" s="67" t="n">
        <f aca="false">BJ167+BJ179</f>
        <v>5479.4890182162</v>
      </c>
    </row>
    <row r="182" customFormat="false" ht="15.75" hidden="false" customHeight="true" outlineLevel="0" collapsed="false">
      <c r="A182" s="7" t="s">
        <v>435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customFormat="false" ht="15" hidden="false" customHeight="false" outlineLevel="0" collapsed="false">
      <c r="A183" s="4" t="s">
        <v>78</v>
      </c>
      <c r="C183" s="72" t="n">
        <f aca="false">C180+C198</f>
        <v>-21631.55</v>
      </c>
      <c r="D183" s="72" t="n">
        <f aca="false">D180+D198</f>
        <v>-19646.396875</v>
      </c>
      <c r="E183" s="72" t="n">
        <f aca="false">E180+E198</f>
        <v>-24188.74375</v>
      </c>
      <c r="F183" s="72" t="n">
        <f aca="false">F180+F198</f>
        <v>-20891.090625</v>
      </c>
      <c r="G183" s="72" t="n">
        <f aca="false">G180+G198</f>
        <v>-17593.4375</v>
      </c>
      <c r="H183" s="72" t="n">
        <f aca="false">H180+H198</f>
        <v>-14295.784375</v>
      </c>
      <c r="I183" s="72" t="n">
        <f aca="false">I180+I198</f>
        <v>-10998.13125</v>
      </c>
      <c r="J183" s="72" t="n">
        <f aca="false">J180+J198</f>
        <v>-11620.478125</v>
      </c>
      <c r="K183" s="72" t="n">
        <f aca="false">K180+K198</f>
        <v>-12242.825</v>
      </c>
      <c r="L183" s="72" t="n">
        <f aca="false">L180+L198</f>
        <v>-8945.171875</v>
      </c>
      <c r="M183" s="72" t="n">
        <f aca="false">M180+M198</f>
        <v>-5647.51875</v>
      </c>
      <c r="N183" s="72" t="n">
        <f aca="false">N180+N198</f>
        <v>-2349.865625</v>
      </c>
      <c r="O183" s="72" t="n">
        <f aca="false">O180+O198</f>
        <v>1206.721125</v>
      </c>
      <c r="P183" s="72" t="n">
        <f aca="false">P180+P198</f>
        <v>704.596124999995</v>
      </c>
      <c r="Q183" s="72" t="n">
        <f aca="false">Q180+Q198</f>
        <v>704.596124999995</v>
      </c>
      <c r="R183" s="72" t="n">
        <f aca="false">R180+R198</f>
        <v>704.596124999995</v>
      </c>
      <c r="S183" s="72" t="n">
        <f aca="false">S180+S198</f>
        <v>704.596124999995</v>
      </c>
      <c r="T183" s="72" t="n">
        <f aca="false">T180+T198</f>
        <v>704.596124999995</v>
      </c>
      <c r="U183" s="72" t="n">
        <f aca="false">U180+U198</f>
        <v>704.596124999995</v>
      </c>
      <c r="V183" s="72" t="n">
        <f aca="false">V180+V198</f>
        <v>704.596124999995</v>
      </c>
      <c r="W183" s="72" t="n">
        <f aca="false">W180+W198</f>
        <v>704.596124999995</v>
      </c>
      <c r="X183" s="72" t="n">
        <f aca="false">X180+X198</f>
        <v>704.596124999995</v>
      </c>
      <c r="Y183" s="72" t="n">
        <f aca="false">Y180+Y198</f>
        <v>704.596124999995</v>
      </c>
      <c r="Z183" s="72" t="n">
        <f aca="false">Z180+Z198</f>
        <v>704.596124999995</v>
      </c>
      <c r="AA183" s="72" t="n">
        <f aca="false">AA180+AA198</f>
        <v>958.484008749997</v>
      </c>
      <c r="AB183" s="72" t="n">
        <f aca="false">AB180+AB198</f>
        <v>958.484008749997</v>
      </c>
      <c r="AC183" s="72" t="n">
        <f aca="false">AC180+AC198</f>
        <v>958.484008749997</v>
      </c>
      <c r="AD183" s="72" t="n">
        <f aca="false">AD180+AD198</f>
        <v>958.484008749997</v>
      </c>
      <c r="AE183" s="72" t="n">
        <f aca="false">AE180+AE198</f>
        <v>958.484008749997</v>
      </c>
      <c r="AF183" s="72" t="n">
        <f aca="false">AF180+AF198</f>
        <v>958.484008749997</v>
      </c>
      <c r="AG183" s="72" t="n">
        <f aca="false">AG180+AG198</f>
        <v>958.484008749997</v>
      </c>
      <c r="AH183" s="72" t="n">
        <f aca="false">AH180+AH198</f>
        <v>958.484008749997</v>
      </c>
      <c r="AI183" s="72" t="n">
        <f aca="false">AI180+AI198</f>
        <v>958.484008749997</v>
      </c>
      <c r="AJ183" s="72" t="n">
        <f aca="false">AJ180+AJ198</f>
        <v>958.484008749997</v>
      </c>
      <c r="AK183" s="72" t="n">
        <f aca="false">AK180+AK198</f>
        <v>958.484008749997</v>
      </c>
      <c r="AL183" s="72" t="n">
        <f aca="false">AL180+AL198</f>
        <v>958.484008749997</v>
      </c>
      <c r="AM183" s="72" t="n">
        <f aca="false">AM180+AM198</f>
        <v>1222.2385290125</v>
      </c>
      <c r="AN183" s="72" t="n">
        <f aca="false">AN180+AN198</f>
        <v>1222.2385290125</v>
      </c>
      <c r="AO183" s="72" t="n">
        <f aca="false">AO180+AO198</f>
        <v>1222.2385290125</v>
      </c>
      <c r="AP183" s="72" t="n">
        <f aca="false">AP180+AP198</f>
        <v>1222.2385290125</v>
      </c>
      <c r="AQ183" s="72" t="n">
        <f aca="false">AQ180+AQ198</f>
        <v>1222.2385290125</v>
      </c>
      <c r="AR183" s="72" t="n">
        <f aca="false">AR180+AR198</f>
        <v>1222.2385290125</v>
      </c>
      <c r="AS183" s="72" t="n">
        <f aca="false">AS180+AS198</f>
        <v>1222.2385290125</v>
      </c>
      <c r="AT183" s="72" t="n">
        <f aca="false">AT180+AT198</f>
        <v>1222.2385290125</v>
      </c>
      <c r="AU183" s="72" t="n">
        <f aca="false">AU180+AU198</f>
        <v>1222.2385290125</v>
      </c>
      <c r="AV183" s="72" t="n">
        <f aca="false">AV180+AV198</f>
        <v>1222.2385290125</v>
      </c>
      <c r="AW183" s="72" t="n">
        <f aca="false">AW180+AW198</f>
        <v>1222.2385290125</v>
      </c>
      <c r="AX183" s="72" t="n">
        <f aca="false">AX180+AX198</f>
        <v>1222.2385290125</v>
      </c>
      <c r="AY183" s="72" t="n">
        <f aca="false">AY180+AY198</f>
        <v>1496.15568488287</v>
      </c>
      <c r="AZ183" s="72" t="n">
        <f aca="false">AZ180+AZ198</f>
        <v>1496.15568488287</v>
      </c>
      <c r="BA183" s="72" t="n">
        <f aca="false">BA180+BA198</f>
        <v>1496.15568488287</v>
      </c>
      <c r="BB183" s="72" t="n">
        <f aca="false">BB180+BB198</f>
        <v>1496.15568488287</v>
      </c>
      <c r="BC183" s="72" t="n">
        <f aca="false">BC180+BC198</f>
        <v>1496.15568488287</v>
      </c>
      <c r="BD183" s="72" t="n">
        <f aca="false">BD180+BD198</f>
        <v>1496.15568488287</v>
      </c>
      <c r="BE183" s="72" t="n">
        <f aca="false">BE180+BE198</f>
        <v>1496.15568488287</v>
      </c>
      <c r="BF183" s="72" t="n">
        <f aca="false">BF180+BF198</f>
        <v>1496.15568488287</v>
      </c>
      <c r="BG183" s="72" t="n">
        <f aca="false">BG180+BG198</f>
        <v>1496.15568488287</v>
      </c>
      <c r="BH183" s="72" t="n">
        <f aca="false">BH180+BH198</f>
        <v>1496.15568488287</v>
      </c>
      <c r="BI183" s="72" t="n">
        <f aca="false">BI180+BI198</f>
        <v>1496.15568488287</v>
      </c>
      <c r="BJ183" s="72" t="n">
        <f aca="false">BJ180+BJ198</f>
        <v>1496.15568488287</v>
      </c>
    </row>
    <row r="184" customFormat="false" ht="15" hidden="false" customHeight="false" outlineLevel="0" collapsed="false">
      <c r="A184" s="6" t="s">
        <v>436</v>
      </c>
      <c r="C184" s="66" t="n">
        <f aca="false">-(C203+C204+C206)/2*Inputs!$C$75/12</f>
        <v>-1666.66666666667</v>
      </c>
      <c r="D184" s="66" t="n">
        <f aca="false">-(D203+D204+D206)/2*Inputs!$C$75/12</f>
        <v>-1659.72222222222</v>
      </c>
      <c r="E184" s="66" t="n">
        <f aca="false">-(E203+E204+E206)/2*Inputs!$C$75/12</f>
        <v>-1645.83333333333</v>
      </c>
      <c r="F184" s="66" t="n">
        <f aca="false">-(F203+F204+F206)/2*Inputs!$C$75/12</f>
        <v>-1631.94444444444</v>
      </c>
      <c r="G184" s="66" t="n">
        <f aca="false">-(G203+G204+G206)/2*Inputs!$C$75/12</f>
        <v>-1618.05555555556</v>
      </c>
      <c r="H184" s="66" t="n">
        <f aca="false">-(H203+H204+H206)/2*Inputs!$C$75/12</f>
        <v>-1604.16666666667</v>
      </c>
      <c r="I184" s="66" t="n">
        <f aca="false">-(I203+I204+I206)/2*Inputs!$C$75/12</f>
        <v>-1590.27777777778</v>
      </c>
      <c r="J184" s="66" t="n">
        <f aca="false">-(J203+J204+J206)/2*Inputs!$C$75/12</f>
        <v>-1576.38888888889</v>
      </c>
      <c r="K184" s="66" t="n">
        <f aca="false">-(K203+K204+K206)/2*Inputs!$C$75/12</f>
        <v>-1562.5</v>
      </c>
      <c r="L184" s="66" t="n">
        <f aca="false">-(L203+L204+L206)/2*Inputs!$C$75/12</f>
        <v>-1548.61111111111</v>
      </c>
      <c r="M184" s="66" t="n">
        <f aca="false">-(M203+M204+M206)/2*Inputs!$C$75/12</f>
        <v>-1534.72222222222</v>
      </c>
      <c r="N184" s="66" t="n">
        <f aca="false">-(N203+N204+N206)/2*Inputs!$C$75/12</f>
        <v>-1520.83333333333</v>
      </c>
      <c r="O184" s="66" t="n">
        <f aca="false">-(O203+O204+O206)/2*Inputs!$C$75/12</f>
        <v>-1506.94444444444</v>
      </c>
      <c r="P184" s="66" t="n">
        <f aca="false">-(P203+P204+P206)/2*Inputs!$C$75/12</f>
        <v>-1493.05555555555</v>
      </c>
      <c r="Q184" s="66" t="n">
        <f aca="false">-(Q203+Q204+Q206)/2*Inputs!$C$75/12</f>
        <v>-1479.16666666667</v>
      </c>
      <c r="R184" s="66" t="n">
        <f aca="false">-(R203+R204+R206)/2*Inputs!$C$75/12</f>
        <v>-1465.27777777778</v>
      </c>
      <c r="S184" s="66" t="n">
        <f aca="false">-(S203+S204+S206)/2*Inputs!$C$75/12</f>
        <v>-1451.38888888889</v>
      </c>
      <c r="T184" s="66" t="n">
        <f aca="false">-(T203+T204+T206)/2*Inputs!$C$75/12</f>
        <v>-1437.5</v>
      </c>
      <c r="U184" s="66" t="n">
        <f aca="false">-(U203+U204+U206)/2*Inputs!$C$75/12</f>
        <v>-1423.61111111111</v>
      </c>
      <c r="V184" s="66" t="n">
        <f aca="false">-(V203+V204+V206)/2*Inputs!$C$75/12</f>
        <v>-1409.72222222222</v>
      </c>
      <c r="W184" s="66" t="n">
        <f aca="false">-(W203+W204+W206)/2*Inputs!$C$75/12</f>
        <v>-1395.83333333333</v>
      </c>
      <c r="X184" s="66" t="n">
        <f aca="false">-(X203+X204+X206)/2*Inputs!$C$75/12</f>
        <v>-1381.94444444444</v>
      </c>
      <c r="Y184" s="66" t="n">
        <f aca="false">-(Y203+Y204+Y206)/2*Inputs!$C$75/12</f>
        <v>-1368.05555555555</v>
      </c>
      <c r="Z184" s="66" t="n">
        <f aca="false">-(Z203+Z204+Z206)/2*Inputs!$C$75/12</f>
        <v>-1354.16666666667</v>
      </c>
      <c r="AA184" s="66" t="n">
        <f aca="false">-(AA203+AA204+AA206)/2*Inputs!$C$75/12</f>
        <v>-1340.27777777778</v>
      </c>
      <c r="AB184" s="66" t="n">
        <f aca="false">-(AB203+AB204+AB206)/2*Inputs!$C$75/12</f>
        <v>-1326.38888888889</v>
      </c>
      <c r="AC184" s="66" t="n">
        <f aca="false">-(AC203+AC204+AC206)/2*Inputs!$C$75/12</f>
        <v>-1312.5</v>
      </c>
      <c r="AD184" s="66" t="n">
        <f aca="false">-(AD203+AD204+AD206)/2*Inputs!$C$75/12</f>
        <v>-1298.61111111111</v>
      </c>
      <c r="AE184" s="66" t="n">
        <f aca="false">-(AE203+AE204+AE206)/2*Inputs!$C$75/12</f>
        <v>-1284.72222222222</v>
      </c>
      <c r="AF184" s="66" t="n">
        <f aca="false">-(AF203+AF204+AF206)/2*Inputs!$C$75/12</f>
        <v>-1270.83333333333</v>
      </c>
      <c r="AG184" s="66" t="n">
        <f aca="false">-(AG203+AG204+AG206)/2*Inputs!$C$75/12</f>
        <v>-1256.94444444444</v>
      </c>
      <c r="AH184" s="66" t="n">
        <f aca="false">-(AH203+AH204+AH206)/2*Inputs!$C$75/12</f>
        <v>-1243.05555555555</v>
      </c>
      <c r="AI184" s="66" t="n">
        <f aca="false">-(AI203+AI204+AI206)/2*Inputs!$C$75/12</f>
        <v>-1229.16666666666</v>
      </c>
      <c r="AJ184" s="66" t="n">
        <f aca="false">-(AJ203+AJ204+AJ206)/2*Inputs!$C$75/12</f>
        <v>-1215.27777777778</v>
      </c>
      <c r="AK184" s="66" t="n">
        <f aca="false">-(AK203+AK204+AK206)/2*Inputs!$C$75/12</f>
        <v>-1201.38888888889</v>
      </c>
      <c r="AL184" s="66" t="n">
        <f aca="false">-(AL203+AL204+AL206)/2*Inputs!$C$75/12</f>
        <v>-1187.5</v>
      </c>
      <c r="AM184" s="66" t="n">
        <f aca="false">-(AM203+AM204+AM206)/2*Inputs!$C$75/12</f>
        <v>-1173.61111111111</v>
      </c>
      <c r="AN184" s="66" t="n">
        <f aca="false">-(AN203+AN204+AN206)/2*Inputs!$C$75/12</f>
        <v>-1159.72222222222</v>
      </c>
      <c r="AO184" s="66" t="n">
        <f aca="false">-(AO203+AO204+AO206)/2*Inputs!$C$75/12</f>
        <v>-1145.83333333333</v>
      </c>
      <c r="AP184" s="66" t="n">
        <f aca="false">-(AP203+AP204+AP206)/2*Inputs!$C$75/12</f>
        <v>-1131.94444444444</v>
      </c>
      <c r="AQ184" s="66" t="n">
        <f aca="false">-(AQ203+AQ204+AQ206)/2*Inputs!$C$75/12</f>
        <v>-1118.05555555555</v>
      </c>
      <c r="AR184" s="66" t="n">
        <f aca="false">-(AR203+AR204+AR206)/2*Inputs!$C$75/12</f>
        <v>-1104.16666666666</v>
      </c>
      <c r="AS184" s="66" t="n">
        <f aca="false">-(AS203+AS204+AS206)/2*Inputs!$C$75/12</f>
        <v>-1090.27777777778</v>
      </c>
      <c r="AT184" s="66" t="n">
        <f aca="false">-(AT203+AT204+AT206)/2*Inputs!$C$75/12</f>
        <v>-1076.38888888889</v>
      </c>
      <c r="AU184" s="66" t="n">
        <f aca="false">-(AU203+AU204+AU206)/2*Inputs!$C$75/12</f>
        <v>-1062.5</v>
      </c>
      <c r="AV184" s="66" t="n">
        <f aca="false">-(AV203+AV204+AV206)/2*Inputs!$C$75/12</f>
        <v>-1048.61111111111</v>
      </c>
      <c r="AW184" s="66" t="n">
        <f aca="false">-(AW203+AW204+AW206)/2*Inputs!$C$75/12</f>
        <v>-1034.72222222222</v>
      </c>
      <c r="AX184" s="66" t="n">
        <f aca="false">-(AX203+AX204+AX206)/2*Inputs!$C$75/12</f>
        <v>-1020.83333333333</v>
      </c>
      <c r="AY184" s="66" t="n">
        <f aca="false">-(AY203+AY204+AY206)/2*Inputs!$C$75/12</f>
        <v>-1006.94444444444</v>
      </c>
      <c r="AZ184" s="66" t="n">
        <f aca="false">-(AZ203+AZ204+AZ206)/2*Inputs!$C$75/12</f>
        <v>-993.055555555552</v>
      </c>
      <c r="BA184" s="66" t="n">
        <f aca="false">-(BA203+BA204+BA206)/2*Inputs!$C$75/12</f>
        <v>-979.166666666664</v>
      </c>
      <c r="BB184" s="66" t="n">
        <f aca="false">-(BB203+BB204+BB206)/2*Inputs!$C$75/12</f>
        <v>-965.277777777775</v>
      </c>
      <c r="BC184" s="66" t="n">
        <f aca="false">-(BC203+BC204+BC206)/2*Inputs!$C$75/12</f>
        <v>-951.388888888886</v>
      </c>
      <c r="BD184" s="66" t="n">
        <f aca="false">-(BD203+BD204+BD206)/2*Inputs!$C$75/12</f>
        <v>-937.499999999997</v>
      </c>
      <c r="BE184" s="66" t="n">
        <f aca="false">-(BE203+BE204+BE206)/2*Inputs!$C$75/12</f>
        <v>-923.611111111108</v>
      </c>
      <c r="BF184" s="66" t="n">
        <f aca="false">-(BF203+BF204+BF206)/2*Inputs!$C$75/12</f>
        <v>-909.722222222219</v>
      </c>
      <c r="BG184" s="66" t="n">
        <f aca="false">-(BG203+BG204+BG206)/2*Inputs!$C$75/12</f>
        <v>-895.83333333333</v>
      </c>
      <c r="BH184" s="66" t="n">
        <f aca="false">-(BH203+BH204+BH206)/2*Inputs!$C$75/12</f>
        <v>-881.944444444441</v>
      </c>
      <c r="BI184" s="66" t="n">
        <f aca="false">-(BI203+BI204+BI206)/2*Inputs!$C$75/12</f>
        <v>-868.055555555552</v>
      </c>
      <c r="BJ184" s="66" t="n">
        <f aca="false">-(BJ203+BJ204+BJ206)/2*Inputs!$C$75/12</f>
        <v>-854.166666666663</v>
      </c>
    </row>
    <row r="185" customFormat="false" ht="15" hidden="false" customHeight="false" outlineLevel="0" collapsed="false">
      <c r="A185" s="110" t="s">
        <v>80</v>
      </c>
      <c r="C185" s="67" t="n">
        <f aca="false">C183+C184</f>
        <v>-23298.2166666667</v>
      </c>
      <c r="D185" s="67" t="n">
        <f aca="false">D183+D184</f>
        <v>-21306.1190972222</v>
      </c>
      <c r="E185" s="67" t="n">
        <f aca="false">E183+E184</f>
        <v>-25834.5770833333</v>
      </c>
      <c r="F185" s="67" t="n">
        <f aca="false">F183+F184</f>
        <v>-22523.0350694444</v>
      </c>
      <c r="G185" s="67" t="n">
        <f aca="false">G183+G184</f>
        <v>-19211.4930555556</v>
      </c>
      <c r="H185" s="67" t="n">
        <f aca="false">H183+H184</f>
        <v>-15899.9510416667</v>
      </c>
      <c r="I185" s="67" t="n">
        <f aca="false">I183+I184</f>
        <v>-12588.4090277778</v>
      </c>
      <c r="J185" s="67" t="n">
        <f aca="false">J183+J184</f>
        <v>-13196.8670138889</v>
      </c>
      <c r="K185" s="67" t="n">
        <f aca="false">K183+K184</f>
        <v>-13805.325</v>
      </c>
      <c r="L185" s="67" t="n">
        <f aca="false">L183+L184</f>
        <v>-10493.7829861111</v>
      </c>
      <c r="M185" s="67" t="n">
        <f aca="false">M183+M184</f>
        <v>-7182.24097222222</v>
      </c>
      <c r="N185" s="67" t="n">
        <f aca="false">N183+N184</f>
        <v>-3870.69895833333</v>
      </c>
      <c r="O185" s="67" t="n">
        <f aca="false">O183+O184</f>
        <v>-300.223319444449</v>
      </c>
      <c r="P185" s="67" t="n">
        <f aca="false">P183+P184</f>
        <v>-788.45943055556</v>
      </c>
      <c r="Q185" s="67" t="n">
        <f aca="false">Q183+Q184</f>
        <v>-774.570541666671</v>
      </c>
      <c r="R185" s="67" t="n">
        <f aca="false">R183+R184</f>
        <v>-760.681652777782</v>
      </c>
      <c r="S185" s="67" t="n">
        <f aca="false">S183+S184</f>
        <v>-746.792763888893</v>
      </c>
      <c r="T185" s="67" t="n">
        <f aca="false">T183+T184</f>
        <v>-732.903875000004</v>
      </c>
      <c r="U185" s="67" t="n">
        <f aca="false">U183+U184</f>
        <v>-719.014986111115</v>
      </c>
      <c r="V185" s="67" t="n">
        <f aca="false">V183+V184</f>
        <v>-705.126097222226</v>
      </c>
      <c r="W185" s="67" t="n">
        <f aca="false">W183+W184</f>
        <v>-691.237208333337</v>
      </c>
      <c r="X185" s="67" t="n">
        <f aca="false">X183+X184</f>
        <v>-677.348319444448</v>
      </c>
      <c r="Y185" s="67" t="n">
        <f aca="false">Y183+Y184</f>
        <v>-663.459430555559</v>
      </c>
      <c r="Z185" s="67" t="n">
        <f aca="false">Z183+Z184</f>
        <v>-649.57054166667</v>
      </c>
      <c r="AA185" s="67" t="n">
        <f aca="false">AA183+AA184</f>
        <v>-381.79376902778</v>
      </c>
      <c r="AB185" s="67" t="n">
        <f aca="false">AB183+AB184</f>
        <v>-367.904880138891</v>
      </c>
      <c r="AC185" s="67" t="n">
        <f aca="false">AC183+AC184</f>
        <v>-354.015991250002</v>
      </c>
      <c r="AD185" s="67" t="n">
        <f aca="false">AD183+AD184</f>
        <v>-340.127102361113</v>
      </c>
      <c r="AE185" s="67" t="n">
        <f aca="false">AE183+AE184</f>
        <v>-326.238213472224</v>
      </c>
      <c r="AF185" s="67" t="n">
        <f aca="false">AF183+AF184</f>
        <v>-312.349324583335</v>
      </c>
      <c r="AG185" s="67" t="n">
        <f aca="false">AG183+AG184</f>
        <v>-298.460435694446</v>
      </c>
      <c r="AH185" s="67" t="n">
        <f aca="false">AH183+AH184</f>
        <v>-284.571546805557</v>
      </c>
      <c r="AI185" s="67" t="n">
        <f aca="false">AI183+AI184</f>
        <v>-270.682657916668</v>
      </c>
      <c r="AJ185" s="67" t="n">
        <f aca="false">AJ183+AJ184</f>
        <v>-256.793769027779</v>
      </c>
      <c r="AK185" s="67" t="n">
        <f aca="false">AK183+AK184</f>
        <v>-242.90488013889</v>
      </c>
      <c r="AL185" s="67" t="n">
        <f aca="false">AL183+AL184</f>
        <v>-229.015991250001</v>
      </c>
      <c r="AM185" s="67" t="n">
        <f aca="false">AM183+AM184</f>
        <v>48.6274179013883</v>
      </c>
      <c r="AN185" s="67" t="n">
        <f aca="false">AN183+AN184</f>
        <v>62.5163067902774</v>
      </c>
      <c r="AO185" s="67" t="n">
        <f aca="false">AO183+AO184</f>
        <v>76.4051956791661</v>
      </c>
      <c r="AP185" s="67" t="n">
        <f aca="false">AP183+AP184</f>
        <v>90.2940845680553</v>
      </c>
      <c r="AQ185" s="67" t="n">
        <f aca="false">AQ183+AQ184</f>
        <v>104.182973456944</v>
      </c>
      <c r="AR185" s="67" t="n">
        <f aca="false">AR183+AR184</f>
        <v>118.071862345833</v>
      </c>
      <c r="AS185" s="67" t="n">
        <f aca="false">AS183+AS184</f>
        <v>131.960751234722</v>
      </c>
      <c r="AT185" s="67" t="n">
        <f aca="false">AT183+AT184</f>
        <v>145.849640123611</v>
      </c>
      <c r="AU185" s="67" t="n">
        <f aca="false">AU183+AU184</f>
        <v>159.7385290125</v>
      </c>
      <c r="AV185" s="67" t="n">
        <f aca="false">AV183+AV184</f>
        <v>173.627417901389</v>
      </c>
      <c r="AW185" s="67" t="n">
        <f aca="false">AW183+AW184</f>
        <v>187.516306790278</v>
      </c>
      <c r="AX185" s="67" t="n">
        <f aca="false">AX183+AX184</f>
        <v>201.405195679167</v>
      </c>
      <c r="AY185" s="67" t="n">
        <f aca="false">AY183+AY184</f>
        <v>489.211240438427</v>
      </c>
      <c r="AZ185" s="67" t="n">
        <f aca="false">AZ183+AZ184</f>
        <v>503.100129327316</v>
      </c>
      <c r="BA185" s="67" t="n">
        <f aca="false">BA183+BA184</f>
        <v>516.989018216205</v>
      </c>
      <c r="BB185" s="67" t="n">
        <f aca="false">BB183+BB184</f>
        <v>530.877907105094</v>
      </c>
      <c r="BC185" s="67" t="n">
        <f aca="false">BC183+BC184</f>
        <v>544.766795993983</v>
      </c>
      <c r="BD185" s="67" t="n">
        <f aca="false">BD183+BD184</f>
        <v>558.655684882872</v>
      </c>
      <c r="BE185" s="67" t="n">
        <f aca="false">BE183+BE184</f>
        <v>572.54457377176</v>
      </c>
      <c r="BF185" s="67" t="n">
        <f aca="false">BF183+BF184</f>
        <v>586.43346266065</v>
      </c>
      <c r="BG185" s="67" t="n">
        <f aca="false">BG183+BG184</f>
        <v>600.322351549538</v>
      </c>
      <c r="BH185" s="67" t="n">
        <f aca="false">BH183+BH184</f>
        <v>614.211240438428</v>
      </c>
      <c r="BI185" s="67" t="n">
        <f aca="false">BI183+BI184</f>
        <v>628.100129327316</v>
      </c>
      <c r="BJ185" s="67" t="n">
        <f aca="false">BJ183+BJ184</f>
        <v>641.989018216205</v>
      </c>
    </row>
    <row r="186" customFormat="false" ht="15" hidden="false" customHeight="false" outlineLevel="0" collapsed="false">
      <c r="A186" s="114" t="s">
        <v>437</v>
      </c>
      <c r="C186" s="66" t="n">
        <f aca="false">C185</f>
        <v>-23298.2166666667</v>
      </c>
      <c r="D186" s="66" t="n">
        <f aca="false">C186+D185</f>
        <v>-44604.3357638889</v>
      </c>
      <c r="E186" s="66" t="n">
        <f aca="false">D186+E185</f>
        <v>-70438.9128472222</v>
      </c>
      <c r="F186" s="66" t="n">
        <f aca="false">E186+F185</f>
        <v>-92961.9479166667</v>
      </c>
      <c r="G186" s="66" t="n">
        <f aca="false">F186+G185</f>
        <v>-112173.440972222</v>
      </c>
      <c r="H186" s="66" t="n">
        <f aca="false">G186+H185</f>
        <v>-128073.392013889</v>
      </c>
      <c r="I186" s="66" t="n">
        <f aca="false">H186+I185</f>
        <v>-140661.801041667</v>
      </c>
      <c r="J186" s="66" t="n">
        <f aca="false">I186+J185</f>
        <v>-153858.668055556</v>
      </c>
      <c r="K186" s="66" t="n">
        <f aca="false">J186+K185</f>
        <v>-167663.993055556</v>
      </c>
      <c r="L186" s="66" t="n">
        <f aca="false">K186+L185</f>
        <v>-178157.776041667</v>
      </c>
      <c r="M186" s="66" t="n">
        <f aca="false">L186+M185</f>
        <v>-185340.017013889</v>
      </c>
      <c r="N186" s="66" t="n">
        <f aca="false">M186+N185</f>
        <v>-189210.715972222</v>
      </c>
      <c r="O186" s="66" t="n">
        <f aca="false">N186+O185</f>
        <v>-189510.939291667</v>
      </c>
      <c r="P186" s="66" t="n">
        <f aca="false">O186+P185</f>
        <v>-190299.398722222</v>
      </c>
      <c r="Q186" s="66" t="n">
        <f aca="false">P186+Q185</f>
        <v>-191073.969263889</v>
      </c>
      <c r="R186" s="66" t="n">
        <f aca="false">Q186+R185</f>
        <v>-191834.650916667</v>
      </c>
      <c r="S186" s="66" t="n">
        <f aca="false">R186+S185</f>
        <v>-192581.443680556</v>
      </c>
      <c r="T186" s="66" t="n">
        <f aca="false">S186+T185</f>
        <v>-193314.347555556</v>
      </c>
      <c r="U186" s="66" t="n">
        <f aca="false">T186+U185</f>
        <v>-194033.362541667</v>
      </c>
      <c r="V186" s="66" t="n">
        <f aca="false">U186+V185</f>
        <v>-194738.488638889</v>
      </c>
      <c r="W186" s="66" t="n">
        <f aca="false">V186+W185</f>
        <v>-195429.725847222</v>
      </c>
      <c r="X186" s="66" t="n">
        <f aca="false">W186+X185</f>
        <v>-196107.074166667</v>
      </c>
      <c r="Y186" s="66" t="n">
        <f aca="false">X186+Y185</f>
        <v>-196770.533597222</v>
      </c>
      <c r="Z186" s="66" t="n">
        <f aca="false">Y186+Z185</f>
        <v>-197420.104138889</v>
      </c>
      <c r="AA186" s="66" t="n">
        <f aca="false">Z186+AA185</f>
        <v>-197801.897907917</v>
      </c>
      <c r="AB186" s="66" t="n">
        <f aca="false">AA186+AB185</f>
        <v>-198169.802788056</v>
      </c>
      <c r="AC186" s="66" t="n">
        <f aca="false">AB186+AC185</f>
        <v>-198523.818779306</v>
      </c>
      <c r="AD186" s="66" t="n">
        <f aca="false">AC186+AD185</f>
        <v>-198863.945881667</v>
      </c>
      <c r="AE186" s="66" t="n">
        <f aca="false">AD186+AE185</f>
        <v>-199190.184095139</v>
      </c>
      <c r="AF186" s="66" t="n">
        <f aca="false">AE186+AF185</f>
        <v>-199502.533419722</v>
      </c>
      <c r="AG186" s="66" t="n">
        <f aca="false">AF186+AG185</f>
        <v>-199800.993855417</v>
      </c>
      <c r="AH186" s="66" t="n">
        <f aca="false">AG186+AH185</f>
        <v>-200085.565402222</v>
      </c>
      <c r="AI186" s="66" t="n">
        <f aca="false">AH186+AI185</f>
        <v>-200356.248060139</v>
      </c>
      <c r="AJ186" s="66" t="n">
        <f aca="false">AI186+AJ185</f>
        <v>-200613.041829167</v>
      </c>
      <c r="AK186" s="66" t="n">
        <f aca="false">AJ186+AK185</f>
        <v>-200855.946709306</v>
      </c>
      <c r="AL186" s="66" t="n">
        <f aca="false">AK186+AL185</f>
        <v>-201084.962700556</v>
      </c>
      <c r="AM186" s="66" t="n">
        <f aca="false">AL186+AM185</f>
        <v>-201036.335282654</v>
      </c>
      <c r="AN186" s="66" t="n">
        <f aca="false">AM186+AN185</f>
        <v>-200973.818975864</v>
      </c>
      <c r="AO186" s="66" t="n">
        <f aca="false">AN186+AO185</f>
        <v>-200897.413780185</v>
      </c>
      <c r="AP186" s="66" t="n">
        <f aca="false">AO186+AP185</f>
        <v>-200807.119695617</v>
      </c>
      <c r="AQ186" s="66" t="n">
        <f aca="false">AP186+AQ185</f>
        <v>-200702.93672216</v>
      </c>
      <c r="AR186" s="66" t="n">
        <f aca="false">AQ186+AR185</f>
        <v>-200584.864859814</v>
      </c>
      <c r="AS186" s="66" t="n">
        <f aca="false">AR186+AS185</f>
        <v>-200452.904108579</v>
      </c>
      <c r="AT186" s="66" t="n">
        <f aca="false">AS186+AT185</f>
        <v>-200307.054468456</v>
      </c>
      <c r="AU186" s="66" t="n">
        <f aca="false">AT186+AU185</f>
        <v>-200147.315939443</v>
      </c>
      <c r="AV186" s="66" t="n">
        <f aca="false">AU186+AV185</f>
        <v>-199973.688521542</v>
      </c>
      <c r="AW186" s="66" t="n">
        <f aca="false">AV186+AW185</f>
        <v>-199786.172214751</v>
      </c>
      <c r="AX186" s="66" t="n">
        <f aca="false">AW186+AX185</f>
        <v>-199584.767019072</v>
      </c>
      <c r="AY186" s="66" t="n">
        <f aca="false">AX186+AY185</f>
        <v>-199095.555778634</v>
      </c>
      <c r="AZ186" s="66" t="n">
        <f aca="false">AY186+AZ185</f>
        <v>-198592.455649307</v>
      </c>
      <c r="BA186" s="66" t="n">
        <f aca="false">AZ186+BA185</f>
        <v>-198075.46663109</v>
      </c>
      <c r="BB186" s="66" t="n">
        <f aca="false">BA186+BB185</f>
        <v>-197544.588723985</v>
      </c>
      <c r="BC186" s="66" t="n">
        <f aca="false">BB186+BC185</f>
        <v>-196999.821927991</v>
      </c>
      <c r="BD186" s="66" t="n">
        <f aca="false">BC186+BD185</f>
        <v>-196441.166243108</v>
      </c>
      <c r="BE186" s="66" t="n">
        <f aca="false">BD186+BE185</f>
        <v>-195868.621669337</v>
      </c>
      <c r="BF186" s="66" t="n">
        <f aca="false">BE186+BF185</f>
        <v>-195282.188206676</v>
      </c>
      <c r="BG186" s="66" t="n">
        <f aca="false">BF186+BG185</f>
        <v>-194681.865855126</v>
      </c>
      <c r="BH186" s="66" t="n">
        <f aca="false">BG186+BH185</f>
        <v>-194067.654614688</v>
      </c>
      <c r="BI186" s="66" t="n">
        <f aca="false">BH186+BI185</f>
        <v>-193439.554485361</v>
      </c>
      <c r="BJ186" s="66" t="n">
        <f aca="false">BI186+BJ185</f>
        <v>-192797.565467144</v>
      </c>
    </row>
    <row r="187" customFormat="false" ht="15" hidden="false" customHeight="false" outlineLevel="0" collapsed="false">
      <c r="A187" s="114" t="s">
        <v>438</v>
      </c>
      <c r="C187" s="66" t="n">
        <f aca="false">MAX(0,C186)</f>
        <v>0</v>
      </c>
      <c r="D187" s="66" t="n">
        <f aca="false">MAX(C187,D186)</f>
        <v>0</v>
      </c>
      <c r="E187" s="66" t="n">
        <f aca="false">MAX(D187,E186)</f>
        <v>0</v>
      </c>
      <c r="F187" s="66" t="n">
        <f aca="false">MAX(E187,F186)</f>
        <v>0</v>
      </c>
      <c r="G187" s="66" t="n">
        <f aca="false">MAX(F187,G186)</f>
        <v>0</v>
      </c>
      <c r="H187" s="66" t="n">
        <f aca="false">MAX(G187,H186)</f>
        <v>0</v>
      </c>
      <c r="I187" s="66" t="n">
        <f aca="false">MAX(H187,I186)</f>
        <v>0</v>
      </c>
      <c r="J187" s="66" t="n">
        <f aca="false">MAX(I187,J186)</f>
        <v>0</v>
      </c>
      <c r="K187" s="66" t="n">
        <f aca="false">MAX(J187,K186)</f>
        <v>0</v>
      </c>
      <c r="L187" s="66" t="n">
        <f aca="false">MAX(K187,L186)</f>
        <v>0</v>
      </c>
      <c r="M187" s="66" t="n">
        <f aca="false">MAX(L187,M186)</f>
        <v>0</v>
      </c>
      <c r="N187" s="66" t="n">
        <f aca="false">MAX(M187,N186)</f>
        <v>0</v>
      </c>
      <c r="O187" s="66" t="n">
        <f aca="false">MAX(N187,O186)</f>
        <v>0</v>
      </c>
      <c r="P187" s="66" t="n">
        <f aca="false">MAX(O187,P186)</f>
        <v>0</v>
      </c>
      <c r="Q187" s="66" t="n">
        <f aca="false">MAX(P187,Q186)</f>
        <v>0</v>
      </c>
      <c r="R187" s="66" t="n">
        <f aca="false">MAX(Q187,R186)</f>
        <v>0</v>
      </c>
      <c r="S187" s="66" t="n">
        <f aca="false">MAX(R187,S186)</f>
        <v>0</v>
      </c>
      <c r="T187" s="66" t="n">
        <f aca="false">MAX(S187,T186)</f>
        <v>0</v>
      </c>
      <c r="U187" s="66" t="n">
        <f aca="false">MAX(T187,U186)</f>
        <v>0</v>
      </c>
      <c r="V187" s="66" t="n">
        <f aca="false">MAX(U187,V186)</f>
        <v>0</v>
      </c>
      <c r="W187" s="66" t="n">
        <f aca="false">MAX(V187,W186)</f>
        <v>0</v>
      </c>
      <c r="X187" s="66" t="n">
        <f aca="false">MAX(W187,X186)</f>
        <v>0</v>
      </c>
      <c r="Y187" s="66" t="n">
        <f aca="false">MAX(X187,Y186)</f>
        <v>0</v>
      </c>
      <c r="Z187" s="66" t="n">
        <f aca="false">MAX(Y187,Z186)</f>
        <v>0</v>
      </c>
      <c r="AA187" s="66" t="n">
        <f aca="false">MAX(Z187,AA186)</f>
        <v>0</v>
      </c>
      <c r="AB187" s="66" t="n">
        <f aca="false">MAX(AA187,AB186)</f>
        <v>0</v>
      </c>
      <c r="AC187" s="66" t="n">
        <f aca="false">MAX(AB187,AC186)</f>
        <v>0</v>
      </c>
      <c r="AD187" s="66" t="n">
        <f aca="false">MAX(AC187,AD186)</f>
        <v>0</v>
      </c>
      <c r="AE187" s="66" t="n">
        <f aca="false">MAX(AD187,AE186)</f>
        <v>0</v>
      </c>
      <c r="AF187" s="66" t="n">
        <f aca="false">MAX(AE187,AF186)</f>
        <v>0</v>
      </c>
      <c r="AG187" s="66" t="n">
        <f aca="false">MAX(AF187,AG186)</f>
        <v>0</v>
      </c>
      <c r="AH187" s="66" t="n">
        <f aca="false">MAX(AG187,AH186)</f>
        <v>0</v>
      </c>
      <c r="AI187" s="66" t="n">
        <f aca="false">MAX(AH187,AI186)</f>
        <v>0</v>
      </c>
      <c r="AJ187" s="66" t="n">
        <f aca="false">MAX(AI187,AJ186)</f>
        <v>0</v>
      </c>
      <c r="AK187" s="66" t="n">
        <f aca="false">MAX(AJ187,AK186)</f>
        <v>0</v>
      </c>
      <c r="AL187" s="66" t="n">
        <f aca="false">MAX(AK187,AL186)</f>
        <v>0</v>
      </c>
      <c r="AM187" s="66" t="n">
        <f aca="false">MAX(AL187,AM186)</f>
        <v>0</v>
      </c>
      <c r="AN187" s="66" t="n">
        <f aca="false">MAX(AM187,AN186)</f>
        <v>0</v>
      </c>
      <c r="AO187" s="66" t="n">
        <f aca="false">MAX(AN187,AO186)</f>
        <v>0</v>
      </c>
      <c r="AP187" s="66" t="n">
        <f aca="false">MAX(AO187,AP186)</f>
        <v>0</v>
      </c>
      <c r="AQ187" s="66" t="n">
        <f aca="false">MAX(AP187,AQ186)</f>
        <v>0</v>
      </c>
      <c r="AR187" s="66" t="n">
        <f aca="false">MAX(AQ187,AR186)</f>
        <v>0</v>
      </c>
      <c r="AS187" s="66" t="n">
        <f aca="false">MAX(AR187,AS186)</f>
        <v>0</v>
      </c>
      <c r="AT187" s="66" t="n">
        <f aca="false">MAX(AS187,AT186)</f>
        <v>0</v>
      </c>
      <c r="AU187" s="66" t="n">
        <f aca="false">MAX(AT187,AU186)</f>
        <v>0</v>
      </c>
      <c r="AV187" s="66" t="n">
        <f aca="false">MAX(AU187,AV186)</f>
        <v>0</v>
      </c>
      <c r="AW187" s="66" t="n">
        <f aca="false">MAX(AV187,AW186)</f>
        <v>0</v>
      </c>
      <c r="AX187" s="66" t="n">
        <f aca="false">MAX(AW187,AX186)</f>
        <v>0</v>
      </c>
      <c r="AY187" s="66" t="n">
        <f aca="false">MAX(AX187,AY186)</f>
        <v>0</v>
      </c>
      <c r="AZ187" s="66" t="n">
        <f aca="false">MAX(AY187,AZ186)</f>
        <v>0</v>
      </c>
      <c r="BA187" s="66" t="n">
        <f aca="false">MAX(AZ187,BA186)</f>
        <v>0</v>
      </c>
      <c r="BB187" s="66" t="n">
        <f aca="false">MAX(BA187,BB186)</f>
        <v>0</v>
      </c>
      <c r="BC187" s="66" t="n">
        <f aca="false">MAX(BB187,BC186)</f>
        <v>0</v>
      </c>
      <c r="BD187" s="66" t="n">
        <f aca="false">MAX(BC187,BD186)</f>
        <v>0</v>
      </c>
      <c r="BE187" s="66" t="n">
        <f aca="false">MAX(BD187,BE186)</f>
        <v>0</v>
      </c>
      <c r="BF187" s="66" t="n">
        <f aca="false">MAX(BE187,BF186)</f>
        <v>0</v>
      </c>
      <c r="BG187" s="66" t="n">
        <f aca="false">MAX(BF187,BG186)</f>
        <v>0</v>
      </c>
      <c r="BH187" s="66" t="n">
        <f aca="false">MAX(BG187,BH186)</f>
        <v>0</v>
      </c>
      <c r="BI187" s="66" t="n">
        <f aca="false">MAX(BH187,BI186)</f>
        <v>0</v>
      </c>
      <c r="BJ187" s="66" t="n">
        <f aca="false">MAX(BI187,BJ186)</f>
        <v>0</v>
      </c>
    </row>
    <row r="188" customFormat="false" ht="15" hidden="false" customHeight="false" outlineLevel="0" collapsed="false">
      <c r="A188" s="6" t="s">
        <v>81</v>
      </c>
      <c r="C188" s="66" t="n">
        <f aca="false">-C187*Inputs!$C$85</f>
        <v>-0</v>
      </c>
      <c r="D188" s="66" t="n">
        <f aca="false">-(D187-C187)*Inputs!$C$85</f>
        <v>-0</v>
      </c>
      <c r="E188" s="66" t="n">
        <f aca="false">-(E187-D187)*Inputs!$C$85</f>
        <v>-0</v>
      </c>
      <c r="F188" s="66" t="n">
        <f aca="false">-(F187-E187)*Inputs!$C$85</f>
        <v>-0</v>
      </c>
      <c r="G188" s="66" t="n">
        <f aca="false">-(G187-F187)*Inputs!$C$85</f>
        <v>-0</v>
      </c>
      <c r="H188" s="66" t="n">
        <f aca="false">-(H187-G187)*Inputs!$C$85</f>
        <v>-0</v>
      </c>
      <c r="I188" s="66" t="n">
        <f aca="false">-(I187-H187)*Inputs!$C$85</f>
        <v>-0</v>
      </c>
      <c r="J188" s="66" t="n">
        <f aca="false">-(J187-I187)*Inputs!$C$85</f>
        <v>-0</v>
      </c>
      <c r="K188" s="66" t="n">
        <f aca="false">-(K187-J187)*Inputs!$C$85</f>
        <v>-0</v>
      </c>
      <c r="L188" s="66" t="n">
        <f aca="false">-(L187-K187)*Inputs!$C$85</f>
        <v>-0</v>
      </c>
      <c r="M188" s="66" t="n">
        <f aca="false">-(M187-L187)*Inputs!$C$85</f>
        <v>-0</v>
      </c>
      <c r="N188" s="66" t="n">
        <f aca="false">-(N187-M187)*Inputs!$C$85</f>
        <v>-0</v>
      </c>
      <c r="O188" s="66" t="n">
        <f aca="false">-(O187-N187)*Inputs!$C$85</f>
        <v>-0</v>
      </c>
      <c r="P188" s="66" t="n">
        <f aca="false">-(P187-O187)*Inputs!$C$85</f>
        <v>-0</v>
      </c>
      <c r="Q188" s="66" t="n">
        <f aca="false">-(Q187-P187)*Inputs!$C$85</f>
        <v>-0</v>
      </c>
      <c r="R188" s="66" t="n">
        <f aca="false">-(R187-Q187)*Inputs!$C$85</f>
        <v>-0</v>
      </c>
      <c r="S188" s="66" t="n">
        <f aca="false">-(S187-R187)*Inputs!$C$85</f>
        <v>-0</v>
      </c>
      <c r="T188" s="66" t="n">
        <f aca="false">-(T187-S187)*Inputs!$C$85</f>
        <v>-0</v>
      </c>
      <c r="U188" s="66" t="n">
        <f aca="false">-(U187-T187)*Inputs!$C$85</f>
        <v>-0</v>
      </c>
      <c r="V188" s="66" t="n">
        <f aca="false">-(V187-U187)*Inputs!$C$85</f>
        <v>-0</v>
      </c>
      <c r="W188" s="66" t="n">
        <f aca="false">-(W187-V187)*Inputs!$C$85</f>
        <v>-0</v>
      </c>
      <c r="X188" s="66" t="n">
        <f aca="false">-(X187-W187)*Inputs!$C$85</f>
        <v>-0</v>
      </c>
      <c r="Y188" s="66" t="n">
        <f aca="false">-(Y187-X187)*Inputs!$C$85</f>
        <v>-0</v>
      </c>
      <c r="Z188" s="66" t="n">
        <f aca="false">-(Z187-Y187)*Inputs!$C$85</f>
        <v>-0</v>
      </c>
      <c r="AA188" s="66" t="n">
        <f aca="false">-(AA187-Z187)*Inputs!$C$85</f>
        <v>-0</v>
      </c>
      <c r="AB188" s="66" t="n">
        <f aca="false">-(AB187-AA187)*Inputs!$C$85</f>
        <v>-0</v>
      </c>
      <c r="AC188" s="66" t="n">
        <f aca="false">-(AC187-AB187)*Inputs!$C$85</f>
        <v>-0</v>
      </c>
      <c r="AD188" s="66" t="n">
        <f aca="false">-(AD187-AC187)*Inputs!$C$85</f>
        <v>-0</v>
      </c>
      <c r="AE188" s="66" t="n">
        <f aca="false">-(AE187-AD187)*Inputs!$C$85</f>
        <v>-0</v>
      </c>
      <c r="AF188" s="66" t="n">
        <f aca="false">-(AF187-AE187)*Inputs!$C$85</f>
        <v>-0</v>
      </c>
      <c r="AG188" s="66" t="n">
        <f aca="false">-(AG187-AF187)*Inputs!$C$85</f>
        <v>-0</v>
      </c>
      <c r="AH188" s="66" t="n">
        <f aca="false">-(AH187-AG187)*Inputs!$C$85</f>
        <v>-0</v>
      </c>
      <c r="AI188" s="66" t="n">
        <f aca="false">-(AI187-AH187)*Inputs!$C$85</f>
        <v>-0</v>
      </c>
      <c r="AJ188" s="66" t="n">
        <f aca="false">-(AJ187-AI187)*Inputs!$C$85</f>
        <v>-0</v>
      </c>
      <c r="AK188" s="66" t="n">
        <f aca="false">-(AK187-AJ187)*Inputs!$C$85</f>
        <v>-0</v>
      </c>
      <c r="AL188" s="66" t="n">
        <f aca="false">-(AL187-AK187)*Inputs!$C$85</f>
        <v>-0</v>
      </c>
      <c r="AM188" s="66" t="n">
        <f aca="false">-(AM187-AL187)*Inputs!$C$85</f>
        <v>-0</v>
      </c>
      <c r="AN188" s="66" t="n">
        <f aca="false">-(AN187-AM187)*Inputs!$C$85</f>
        <v>-0</v>
      </c>
      <c r="AO188" s="66" t="n">
        <f aca="false">-(AO187-AN187)*Inputs!$C$85</f>
        <v>-0</v>
      </c>
      <c r="AP188" s="66" t="n">
        <f aca="false">-(AP187-AO187)*Inputs!$C$85</f>
        <v>-0</v>
      </c>
      <c r="AQ188" s="66" t="n">
        <f aca="false">-(AQ187-AP187)*Inputs!$C$85</f>
        <v>-0</v>
      </c>
      <c r="AR188" s="66" t="n">
        <f aca="false">-(AR187-AQ187)*Inputs!$C$85</f>
        <v>-0</v>
      </c>
      <c r="AS188" s="66" t="n">
        <f aca="false">-(AS187-AR187)*Inputs!$C$85</f>
        <v>-0</v>
      </c>
      <c r="AT188" s="66" t="n">
        <f aca="false">-(AT187-AS187)*Inputs!$C$85</f>
        <v>-0</v>
      </c>
      <c r="AU188" s="66" t="n">
        <f aca="false">-(AU187-AT187)*Inputs!$C$85</f>
        <v>-0</v>
      </c>
      <c r="AV188" s="66" t="n">
        <f aca="false">-(AV187-AU187)*Inputs!$C$85</f>
        <v>-0</v>
      </c>
      <c r="AW188" s="66" t="n">
        <f aca="false">-(AW187-AV187)*Inputs!$C$85</f>
        <v>-0</v>
      </c>
      <c r="AX188" s="66" t="n">
        <f aca="false">-(AX187-AW187)*Inputs!$C$85</f>
        <v>-0</v>
      </c>
      <c r="AY188" s="66" t="n">
        <f aca="false">-(AY187-AX187)*Inputs!$C$85</f>
        <v>-0</v>
      </c>
      <c r="AZ188" s="66" t="n">
        <f aca="false">-(AZ187-AY187)*Inputs!$C$85</f>
        <v>-0</v>
      </c>
      <c r="BA188" s="66" t="n">
        <f aca="false">-(BA187-AZ187)*Inputs!$C$85</f>
        <v>-0</v>
      </c>
      <c r="BB188" s="66" t="n">
        <f aca="false">-(BB187-BA187)*Inputs!$C$85</f>
        <v>-0</v>
      </c>
      <c r="BC188" s="66" t="n">
        <f aca="false">-(BC187-BB187)*Inputs!$C$85</f>
        <v>-0</v>
      </c>
      <c r="BD188" s="66" t="n">
        <f aca="false">-(BD187-BC187)*Inputs!$C$85</f>
        <v>-0</v>
      </c>
      <c r="BE188" s="66" t="n">
        <f aca="false">-(BE187-BD187)*Inputs!$C$85</f>
        <v>-0</v>
      </c>
      <c r="BF188" s="66" t="n">
        <f aca="false">-(BF187-BE187)*Inputs!$C$85</f>
        <v>-0</v>
      </c>
      <c r="BG188" s="66" t="n">
        <f aca="false">-(BG187-BF187)*Inputs!$C$85</f>
        <v>-0</v>
      </c>
      <c r="BH188" s="66" t="n">
        <f aca="false">-(BH187-BG187)*Inputs!$C$85</f>
        <v>-0</v>
      </c>
      <c r="BI188" s="66" t="n">
        <f aca="false">-(BI187-BH187)*Inputs!$C$85</f>
        <v>-0</v>
      </c>
      <c r="BJ188" s="66" t="n">
        <f aca="false">-(BJ187-BI187)*Inputs!$C$85</f>
        <v>-0</v>
      </c>
    </row>
    <row r="189" customFormat="false" ht="15" hidden="false" customHeight="false" outlineLevel="0" collapsed="false">
      <c r="A189" s="110" t="s">
        <v>50</v>
      </c>
      <c r="C189" s="67" t="n">
        <f aca="false">C185+C188</f>
        <v>-23298.2166666667</v>
      </c>
      <c r="D189" s="67" t="n">
        <f aca="false">D185+D188</f>
        <v>-21306.1190972222</v>
      </c>
      <c r="E189" s="67" t="n">
        <f aca="false">E185+E188</f>
        <v>-25834.5770833333</v>
      </c>
      <c r="F189" s="67" t="n">
        <f aca="false">F185+F188</f>
        <v>-22523.0350694444</v>
      </c>
      <c r="G189" s="67" t="n">
        <f aca="false">G185+G188</f>
        <v>-19211.4930555556</v>
      </c>
      <c r="H189" s="67" t="n">
        <f aca="false">H185+H188</f>
        <v>-15899.9510416667</v>
      </c>
      <c r="I189" s="67" t="n">
        <f aca="false">I185+I188</f>
        <v>-12588.4090277778</v>
      </c>
      <c r="J189" s="67" t="n">
        <f aca="false">J185+J188</f>
        <v>-13196.8670138889</v>
      </c>
      <c r="K189" s="67" t="n">
        <f aca="false">K185+K188</f>
        <v>-13805.325</v>
      </c>
      <c r="L189" s="67" t="n">
        <f aca="false">L185+L188</f>
        <v>-10493.7829861111</v>
      </c>
      <c r="M189" s="67" t="n">
        <f aca="false">M185+M188</f>
        <v>-7182.24097222222</v>
      </c>
      <c r="N189" s="67" t="n">
        <f aca="false">N185+N188</f>
        <v>-3870.69895833333</v>
      </c>
      <c r="O189" s="67" t="n">
        <f aca="false">O185+O188</f>
        <v>-300.223319444449</v>
      </c>
      <c r="P189" s="67" t="n">
        <f aca="false">P185+P188</f>
        <v>-788.45943055556</v>
      </c>
      <c r="Q189" s="67" t="n">
        <f aca="false">Q185+Q188</f>
        <v>-774.570541666671</v>
      </c>
      <c r="R189" s="67" t="n">
        <f aca="false">R185+R188</f>
        <v>-760.681652777782</v>
      </c>
      <c r="S189" s="67" t="n">
        <f aca="false">S185+S188</f>
        <v>-746.792763888893</v>
      </c>
      <c r="T189" s="67" t="n">
        <f aca="false">T185+T188</f>
        <v>-732.903875000004</v>
      </c>
      <c r="U189" s="67" t="n">
        <f aca="false">U185+U188</f>
        <v>-719.014986111115</v>
      </c>
      <c r="V189" s="67" t="n">
        <f aca="false">V185+V188</f>
        <v>-705.126097222226</v>
      </c>
      <c r="W189" s="67" t="n">
        <f aca="false">W185+W188</f>
        <v>-691.237208333337</v>
      </c>
      <c r="X189" s="67" t="n">
        <f aca="false">X185+X188</f>
        <v>-677.348319444448</v>
      </c>
      <c r="Y189" s="67" t="n">
        <f aca="false">Y185+Y188</f>
        <v>-663.459430555559</v>
      </c>
      <c r="Z189" s="67" t="n">
        <f aca="false">Z185+Z188</f>
        <v>-649.57054166667</v>
      </c>
      <c r="AA189" s="67" t="n">
        <f aca="false">AA185+AA188</f>
        <v>-381.79376902778</v>
      </c>
      <c r="AB189" s="67" t="n">
        <f aca="false">AB185+AB188</f>
        <v>-367.904880138891</v>
      </c>
      <c r="AC189" s="67" t="n">
        <f aca="false">AC185+AC188</f>
        <v>-354.015991250002</v>
      </c>
      <c r="AD189" s="67" t="n">
        <f aca="false">AD185+AD188</f>
        <v>-340.127102361113</v>
      </c>
      <c r="AE189" s="67" t="n">
        <f aca="false">AE185+AE188</f>
        <v>-326.238213472224</v>
      </c>
      <c r="AF189" s="67" t="n">
        <f aca="false">AF185+AF188</f>
        <v>-312.349324583335</v>
      </c>
      <c r="AG189" s="67" t="n">
        <f aca="false">AG185+AG188</f>
        <v>-298.460435694446</v>
      </c>
      <c r="AH189" s="67" t="n">
        <f aca="false">AH185+AH188</f>
        <v>-284.571546805557</v>
      </c>
      <c r="AI189" s="67" t="n">
        <f aca="false">AI185+AI188</f>
        <v>-270.682657916668</v>
      </c>
      <c r="AJ189" s="67" t="n">
        <f aca="false">AJ185+AJ188</f>
        <v>-256.793769027779</v>
      </c>
      <c r="AK189" s="67" t="n">
        <f aca="false">AK185+AK188</f>
        <v>-242.90488013889</v>
      </c>
      <c r="AL189" s="67" t="n">
        <f aca="false">AL185+AL188</f>
        <v>-229.015991250001</v>
      </c>
      <c r="AM189" s="67" t="n">
        <f aca="false">AM185+AM188</f>
        <v>48.6274179013883</v>
      </c>
      <c r="AN189" s="67" t="n">
        <f aca="false">AN185+AN188</f>
        <v>62.5163067902774</v>
      </c>
      <c r="AO189" s="67" t="n">
        <f aca="false">AO185+AO188</f>
        <v>76.4051956791661</v>
      </c>
      <c r="AP189" s="67" t="n">
        <f aca="false">AP185+AP188</f>
        <v>90.2940845680553</v>
      </c>
      <c r="AQ189" s="67" t="n">
        <f aca="false">AQ185+AQ188</f>
        <v>104.182973456944</v>
      </c>
      <c r="AR189" s="67" t="n">
        <f aca="false">AR185+AR188</f>
        <v>118.071862345833</v>
      </c>
      <c r="AS189" s="67" t="n">
        <f aca="false">AS185+AS188</f>
        <v>131.960751234722</v>
      </c>
      <c r="AT189" s="67" t="n">
        <f aca="false">AT185+AT188</f>
        <v>145.849640123611</v>
      </c>
      <c r="AU189" s="67" t="n">
        <f aca="false">AU185+AU188</f>
        <v>159.7385290125</v>
      </c>
      <c r="AV189" s="67" t="n">
        <f aca="false">AV185+AV188</f>
        <v>173.627417901389</v>
      </c>
      <c r="AW189" s="67" t="n">
        <f aca="false">AW185+AW188</f>
        <v>187.516306790278</v>
      </c>
      <c r="AX189" s="67" t="n">
        <f aca="false">AX185+AX188</f>
        <v>201.405195679167</v>
      </c>
      <c r="AY189" s="67" t="n">
        <f aca="false">AY185+AY188</f>
        <v>489.211240438427</v>
      </c>
      <c r="AZ189" s="67" t="n">
        <f aca="false">AZ185+AZ188</f>
        <v>503.100129327316</v>
      </c>
      <c r="BA189" s="67" t="n">
        <f aca="false">BA185+BA188</f>
        <v>516.989018216205</v>
      </c>
      <c r="BB189" s="67" t="n">
        <f aca="false">BB185+BB188</f>
        <v>530.877907105094</v>
      </c>
      <c r="BC189" s="67" t="n">
        <f aca="false">BC185+BC188</f>
        <v>544.766795993983</v>
      </c>
      <c r="BD189" s="67" t="n">
        <f aca="false">BD185+BD188</f>
        <v>558.655684882872</v>
      </c>
      <c r="BE189" s="67" t="n">
        <f aca="false">BE185+BE188</f>
        <v>572.54457377176</v>
      </c>
      <c r="BF189" s="67" t="n">
        <f aca="false">BF185+BF188</f>
        <v>586.43346266065</v>
      </c>
      <c r="BG189" s="67" t="n">
        <f aca="false">BG185+BG188</f>
        <v>600.322351549538</v>
      </c>
      <c r="BH189" s="67" t="n">
        <f aca="false">BH185+BH188</f>
        <v>614.211240438428</v>
      </c>
      <c r="BI189" s="67" t="n">
        <f aca="false">BI185+BI188</f>
        <v>628.100129327316</v>
      </c>
      <c r="BJ189" s="67" t="n">
        <f aca="false">BJ185+BJ188</f>
        <v>641.989018216205</v>
      </c>
    </row>
    <row r="191" customFormat="false" ht="15.75" hidden="false" customHeight="true" outlineLevel="0" collapsed="false">
      <c r="A191" s="7" t="s">
        <v>439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customFormat="false" ht="15" hidden="false" customHeight="false" outlineLevel="0" collapsed="false">
      <c r="A192" s="6" t="s">
        <v>440</v>
      </c>
      <c r="C192" s="66" t="n">
        <f aca="false">MAX(0,Inputs!$C$7-Inputs!$C$52)*Inputs!$C$37*Inputs!$C$50</f>
        <v>270000</v>
      </c>
      <c r="D192" s="66" t="n">
        <f aca="false">IF(AND(D$133&gt;1,MOD(D$132-1,12)=0),Inputs!$C$8,0)*Inputs!$C$37*Inputs!$C$50</f>
        <v>0</v>
      </c>
      <c r="E192" s="66" t="n">
        <f aca="false">IF(AND(E$133&gt;1,MOD(E$132-1,12)=0),Inputs!$C$8,0)*Inputs!$C$37*Inputs!$C$50</f>
        <v>0</v>
      </c>
      <c r="F192" s="66" t="n">
        <f aca="false">IF(AND(F$133&gt;1,MOD(F$132-1,12)=0),Inputs!$C$8,0)*Inputs!$C$37*Inputs!$C$50</f>
        <v>0</v>
      </c>
      <c r="G192" s="66" t="n">
        <f aca="false">IF(AND(G$133&gt;1,MOD(G$132-1,12)=0),Inputs!$C$8,0)*Inputs!$C$37*Inputs!$C$50</f>
        <v>0</v>
      </c>
      <c r="H192" s="66" t="n">
        <f aca="false">IF(AND(H$133&gt;1,MOD(H$132-1,12)=0),Inputs!$C$8,0)*Inputs!$C$37*Inputs!$C$50</f>
        <v>0</v>
      </c>
      <c r="I192" s="66" t="n">
        <f aca="false">IF(AND(I$133&gt;1,MOD(I$132-1,12)=0),Inputs!$C$8,0)*Inputs!$C$37*Inputs!$C$50</f>
        <v>0</v>
      </c>
      <c r="J192" s="66" t="n">
        <f aca="false">IF(AND(J$133&gt;1,MOD(J$132-1,12)=0),Inputs!$C$8,0)*Inputs!$C$37*Inputs!$C$50</f>
        <v>0</v>
      </c>
      <c r="K192" s="66" t="n">
        <f aca="false">IF(AND(K$133&gt;1,MOD(K$132-1,12)=0),Inputs!$C$8,0)*Inputs!$C$37*Inputs!$C$50</f>
        <v>0</v>
      </c>
      <c r="L192" s="66" t="n">
        <f aca="false">IF(AND(L$133&gt;1,MOD(L$132-1,12)=0),Inputs!$C$8,0)*Inputs!$C$37*Inputs!$C$50</f>
        <v>0</v>
      </c>
      <c r="M192" s="66" t="n">
        <f aca="false">IF(AND(M$133&gt;1,MOD(M$132-1,12)=0),Inputs!$C$8,0)*Inputs!$C$37*Inputs!$C$50</f>
        <v>0</v>
      </c>
      <c r="N192" s="66" t="n">
        <f aca="false">IF(AND(N$133&gt;1,MOD(N$132-1,12)=0),Inputs!$C$8,0)*Inputs!$C$37*Inputs!$C$50</f>
        <v>0</v>
      </c>
      <c r="O192" s="66" t="n">
        <f aca="false">IF(AND(O$133&gt;1,MOD(O$132-1,12)=0),Inputs!$C$8,0)*Inputs!$C$37*Inputs!$C$50</f>
        <v>0</v>
      </c>
      <c r="P192" s="66" t="n">
        <f aca="false">IF(AND(P$133&gt;1,MOD(P$132-1,12)=0),Inputs!$C$8,0)*Inputs!$C$37*Inputs!$C$50</f>
        <v>0</v>
      </c>
      <c r="Q192" s="66" t="n">
        <f aca="false">IF(AND(Q$133&gt;1,MOD(Q$132-1,12)=0),Inputs!$C$8,0)*Inputs!$C$37*Inputs!$C$50</f>
        <v>0</v>
      </c>
      <c r="R192" s="66" t="n">
        <f aca="false">IF(AND(R$133&gt;1,MOD(R$132-1,12)=0),Inputs!$C$8,0)*Inputs!$C$37*Inputs!$C$50</f>
        <v>0</v>
      </c>
      <c r="S192" s="66" t="n">
        <f aca="false">IF(AND(S$133&gt;1,MOD(S$132-1,12)=0),Inputs!$C$8,0)*Inputs!$C$37*Inputs!$C$50</f>
        <v>0</v>
      </c>
      <c r="T192" s="66" t="n">
        <f aca="false">IF(AND(T$133&gt;1,MOD(T$132-1,12)=0),Inputs!$C$8,0)*Inputs!$C$37*Inputs!$C$50</f>
        <v>0</v>
      </c>
      <c r="U192" s="66" t="n">
        <f aca="false">IF(AND(U$133&gt;1,MOD(U$132-1,12)=0),Inputs!$C$8,0)*Inputs!$C$37*Inputs!$C$50</f>
        <v>0</v>
      </c>
      <c r="V192" s="66" t="n">
        <f aca="false">IF(AND(V$133&gt;1,MOD(V$132-1,12)=0),Inputs!$C$8,0)*Inputs!$C$37*Inputs!$C$50</f>
        <v>0</v>
      </c>
      <c r="W192" s="66" t="n">
        <f aca="false">IF(AND(W$133&gt;1,MOD(W$132-1,12)=0),Inputs!$C$8,0)*Inputs!$C$37*Inputs!$C$50</f>
        <v>0</v>
      </c>
      <c r="X192" s="66" t="n">
        <f aca="false">IF(AND(X$133&gt;1,MOD(X$132-1,12)=0),Inputs!$C$8,0)*Inputs!$C$37*Inputs!$C$50</f>
        <v>0</v>
      </c>
      <c r="Y192" s="66" t="n">
        <f aca="false">IF(AND(Y$133&gt;1,MOD(Y$132-1,12)=0),Inputs!$C$8,0)*Inputs!$C$37*Inputs!$C$50</f>
        <v>0</v>
      </c>
      <c r="Z192" s="66" t="n">
        <f aca="false">IF(AND(Z$133&gt;1,MOD(Z$132-1,12)=0),Inputs!$C$8,0)*Inputs!$C$37*Inputs!$C$50</f>
        <v>0</v>
      </c>
      <c r="AA192" s="66" t="n">
        <f aca="false">IF(AND(AA$133&gt;1,MOD(AA$132-1,12)=0),Inputs!$C$8,0)*Inputs!$C$37*Inputs!$C$50</f>
        <v>0</v>
      </c>
      <c r="AB192" s="66" t="n">
        <f aca="false">IF(AND(AB$133&gt;1,MOD(AB$132-1,12)=0),Inputs!$C$8,0)*Inputs!$C$37*Inputs!$C$50</f>
        <v>0</v>
      </c>
      <c r="AC192" s="66" t="n">
        <f aca="false">IF(AND(AC$133&gt;1,MOD(AC$132-1,12)=0),Inputs!$C$8,0)*Inputs!$C$37*Inputs!$C$50</f>
        <v>0</v>
      </c>
      <c r="AD192" s="66" t="n">
        <f aca="false">IF(AND(AD$133&gt;1,MOD(AD$132-1,12)=0),Inputs!$C$8,0)*Inputs!$C$37*Inputs!$C$50</f>
        <v>0</v>
      </c>
      <c r="AE192" s="66" t="n">
        <f aca="false">IF(AND(AE$133&gt;1,MOD(AE$132-1,12)=0),Inputs!$C$8,0)*Inputs!$C$37*Inputs!$C$50</f>
        <v>0</v>
      </c>
      <c r="AF192" s="66" t="n">
        <f aca="false">IF(AND(AF$133&gt;1,MOD(AF$132-1,12)=0),Inputs!$C$8,0)*Inputs!$C$37*Inputs!$C$50</f>
        <v>0</v>
      </c>
      <c r="AG192" s="66" t="n">
        <f aca="false">IF(AND(AG$133&gt;1,MOD(AG$132-1,12)=0),Inputs!$C$8,0)*Inputs!$C$37*Inputs!$C$50</f>
        <v>0</v>
      </c>
      <c r="AH192" s="66" t="n">
        <f aca="false">IF(AND(AH$133&gt;1,MOD(AH$132-1,12)=0),Inputs!$C$8,0)*Inputs!$C$37*Inputs!$C$50</f>
        <v>0</v>
      </c>
      <c r="AI192" s="66" t="n">
        <f aca="false">IF(AND(AI$133&gt;1,MOD(AI$132-1,12)=0),Inputs!$C$8,0)*Inputs!$C$37*Inputs!$C$50</f>
        <v>0</v>
      </c>
      <c r="AJ192" s="66" t="n">
        <f aca="false">IF(AND(AJ$133&gt;1,MOD(AJ$132-1,12)=0),Inputs!$C$8,0)*Inputs!$C$37*Inputs!$C$50</f>
        <v>0</v>
      </c>
      <c r="AK192" s="66" t="n">
        <f aca="false">IF(AND(AK$133&gt;1,MOD(AK$132-1,12)=0),Inputs!$C$8,0)*Inputs!$C$37*Inputs!$C$50</f>
        <v>0</v>
      </c>
      <c r="AL192" s="66" t="n">
        <f aca="false">IF(AND(AL$133&gt;1,MOD(AL$132-1,12)=0),Inputs!$C$8,0)*Inputs!$C$37*Inputs!$C$50</f>
        <v>0</v>
      </c>
      <c r="AM192" s="66" t="n">
        <f aca="false">IF(AND(AM$133&gt;1,MOD(AM$132-1,12)=0),Inputs!$C$8,0)*Inputs!$C$37*Inputs!$C$50</f>
        <v>0</v>
      </c>
      <c r="AN192" s="66" t="n">
        <f aca="false">IF(AND(AN$133&gt;1,MOD(AN$132-1,12)=0),Inputs!$C$8,0)*Inputs!$C$37*Inputs!$C$50</f>
        <v>0</v>
      </c>
      <c r="AO192" s="66" t="n">
        <f aca="false">IF(AND(AO$133&gt;1,MOD(AO$132-1,12)=0),Inputs!$C$8,0)*Inputs!$C$37*Inputs!$C$50</f>
        <v>0</v>
      </c>
      <c r="AP192" s="66" t="n">
        <f aca="false">IF(AND(AP$133&gt;1,MOD(AP$132-1,12)=0),Inputs!$C$8,0)*Inputs!$C$37*Inputs!$C$50</f>
        <v>0</v>
      </c>
      <c r="AQ192" s="66" t="n">
        <f aca="false">IF(AND(AQ$133&gt;1,MOD(AQ$132-1,12)=0),Inputs!$C$8,0)*Inputs!$C$37*Inputs!$C$50</f>
        <v>0</v>
      </c>
      <c r="AR192" s="66" t="n">
        <f aca="false">IF(AND(AR$133&gt;1,MOD(AR$132-1,12)=0),Inputs!$C$8,0)*Inputs!$C$37*Inputs!$C$50</f>
        <v>0</v>
      </c>
      <c r="AS192" s="66" t="n">
        <f aca="false">IF(AND(AS$133&gt;1,MOD(AS$132-1,12)=0),Inputs!$C$8,0)*Inputs!$C$37*Inputs!$C$50</f>
        <v>0</v>
      </c>
      <c r="AT192" s="66" t="n">
        <f aca="false">IF(AND(AT$133&gt;1,MOD(AT$132-1,12)=0),Inputs!$C$8,0)*Inputs!$C$37*Inputs!$C$50</f>
        <v>0</v>
      </c>
      <c r="AU192" s="66" t="n">
        <f aca="false">IF(AND(AU$133&gt;1,MOD(AU$132-1,12)=0),Inputs!$C$8,0)*Inputs!$C$37*Inputs!$C$50</f>
        <v>0</v>
      </c>
      <c r="AV192" s="66" t="n">
        <f aca="false">IF(AND(AV$133&gt;1,MOD(AV$132-1,12)=0),Inputs!$C$8,0)*Inputs!$C$37*Inputs!$C$50</f>
        <v>0</v>
      </c>
      <c r="AW192" s="66" t="n">
        <f aca="false">IF(AND(AW$133&gt;1,MOD(AW$132-1,12)=0),Inputs!$C$8,0)*Inputs!$C$37*Inputs!$C$50</f>
        <v>0</v>
      </c>
      <c r="AX192" s="66" t="n">
        <f aca="false">IF(AND(AX$133&gt;1,MOD(AX$132-1,12)=0),Inputs!$C$8,0)*Inputs!$C$37*Inputs!$C$50</f>
        <v>0</v>
      </c>
      <c r="AY192" s="66" t="n">
        <f aca="false">IF(AND(AY$133&gt;1,MOD(AY$132-1,12)=0),Inputs!$C$8,0)*Inputs!$C$37*Inputs!$C$50</f>
        <v>0</v>
      </c>
      <c r="AZ192" s="66" t="n">
        <f aca="false">IF(AND(AZ$133&gt;1,MOD(AZ$132-1,12)=0),Inputs!$C$8,0)*Inputs!$C$37*Inputs!$C$50</f>
        <v>0</v>
      </c>
      <c r="BA192" s="66" t="n">
        <f aca="false">IF(AND(BA$133&gt;1,MOD(BA$132-1,12)=0),Inputs!$C$8,0)*Inputs!$C$37*Inputs!$C$50</f>
        <v>0</v>
      </c>
      <c r="BB192" s="66" t="n">
        <f aca="false">IF(AND(BB$133&gt;1,MOD(BB$132-1,12)=0),Inputs!$C$8,0)*Inputs!$C$37*Inputs!$C$50</f>
        <v>0</v>
      </c>
      <c r="BC192" s="66" t="n">
        <f aca="false">IF(AND(BC$133&gt;1,MOD(BC$132-1,12)=0),Inputs!$C$8,0)*Inputs!$C$37*Inputs!$C$50</f>
        <v>0</v>
      </c>
      <c r="BD192" s="66" t="n">
        <f aca="false">IF(AND(BD$133&gt;1,MOD(BD$132-1,12)=0),Inputs!$C$8,0)*Inputs!$C$37*Inputs!$C$50</f>
        <v>0</v>
      </c>
      <c r="BE192" s="66" t="n">
        <f aca="false">IF(AND(BE$133&gt;1,MOD(BE$132-1,12)=0),Inputs!$C$8,0)*Inputs!$C$37*Inputs!$C$50</f>
        <v>0</v>
      </c>
      <c r="BF192" s="66" t="n">
        <f aca="false">IF(AND(BF$133&gt;1,MOD(BF$132-1,12)=0),Inputs!$C$8,0)*Inputs!$C$37*Inputs!$C$50</f>
        <v>0</v>
      </c>
      <c r="BG192" s="66" t="n">
        <f aca="false">IF(AND(BG$133&gt;1,MOD(BG$132-1,12)=0),Inputs!$C$8,0)*Inputs!$C$37*Inputs!$C$50</f>
        <v>0</v>
      </c>
      <c r="BH192" s="66" t="n">
        <f aca="false">IF(AND(BH$133&gt;1,MOD(BH$132-1,12)=0),Inputs!$C$8,0)*Inputs!$C$37*Inputs!$C$50</f>
        <v>0</v>
      </c>
      <c r="BI192" s="66" t="n">
        <f aca="false">IF(AND(BI$133&gt;1,MOD(BI$132-1,12)=0),Inputs!$C$8,0)*Inputs!$C$37*Inputs!$C$50</f>
        <v>0</v>
      </c>
      <c r="BJ192" s="66" t="n">
        <f aca="false">IF(AND(BJ$133&gt;1,MOD(BJ$132-1,12)=0),Inputs!$C$8,0)*Inputs!$C$37*Inputs!$C$50</f>
        <v>0</v>
      </c>
    </row>
    <row r="193" customFormat="false" ht="15" hidden="false" customHeight="false" outlineLevel="0" collapsed="false">
      <c r="A193" s="6" t="s">
        <v>441</v>
      </c>
      <c r="C193" s="66" t="n">
        <f aca="false">MAX(0,Inputs!$C$7-Inputs!$C$52)*Inputs!$C$51</f>
        <v>132000</v>
      </c>
      <c r="D193" s="66" t="n">
        <f aca="false">IF(AND(D$133&gt;1,MOD(D$132-1,12)=0),Inputs!$C$8,0)*Inputs!$C$51</f>
        <v>0</v>
      </c>
      <c r="E193" s="66" t="n">
        <f aca="false">IF(AND(E$133&gt;1,MOD(E$132-1,12)=0),Inputs!$C$8,0)*Inputs!$C$51</f>
        <v>0</v>
      </c>
      <c r="F193" s="66" t="n">
        <f aca="false">IF(AND(F$133&gt;1,MOD(F$132-1,12)=0),Inputs!$C$8,0)*Inputs!$C$51</f>
        <v>0</v>
      </c>
      <c r="G193" s="66" t="n">
        <f aca="false">IF(AND(G$133&gt;1,MOD(G$132-1,12)=0),Inputs!$C$8,0)*Inputs!$C$51</f>
        <v>0</v>
      </c>
      <c r="H193" s="66" t="n">
        <f aca="false">IF(AND(H$133&gt;1,MOD(H$132-1,12)=0),Inputs!$C$8,0)*Inputs!$C$51</f>
        <v>0</v>
      </c>
      <c r="I193" s="66" t="n">
        <f aca="false">IF(AND(I$133&gt;1,MOD(I$132-1,12)=0),Inputs!$C$8,0)*Inputs!$C$51</f>
        <v>0</v>
      </c>
      <c r="J193" s="66" t="n">
        <f aca="false">IF(AND(J$133&gt;1,MOD(J$132-1,12)=0),Inputs!$C$8,0)*Inputs!$C$51</f>
        <v>0</v>
      </c>
      <c r="K193" s="66" t="n">
        <f aca="false">IF(AND(K$133&gt;1,MOD(K$132-1,12)=0),Inputs!$C$8,0)*Inputs!$C$51</f>
        <v>0</v>
      </c>
      <c r="L193" s="66" t="n">
        <f aca="false">IF(AND(L$133&gt;1,MOD(L$132-1,12)=0),Inputs!$C$8,0)*Inputs!$C$51</f>
        <v>0</v>
      </c>
      <c r="M193" s="66" t="n">
        <f aca="false">IF(AND(M$133&gt;1,MOD(M$132-1,12)=0),Inputs!$C$8,0)*Inputs!$C$51</f>
        <v>0</v>
      </c>
      <c r="N193" s="66" t="n">
        <f aca="false">IF(AND(N$133&gt;1,MOD(N$132-1,12)=0),Inputs!$C$8,0)*Inputs!$C$51</f>
        <v>0</v>
      </c>
      <c r="O193" s="66" t="n">
        <f aca="false">IF(AND(O$133&gt;1,MOD(O$132-1,12)=0),Inputs!$C$8,0)*Inputs!$C$51</f>
        <v>0</v>
      </c>
      <c r="P193" s="66" t="n">
        <f aca="false">IF(AND(P$133&gt;1,MOD(P$132-1,12)=0),Inputs!$C$8,0)*Inputs!$C$51</f>
        <v>0</v>
      </c>
      <c r="Q193" s="66" t="n">
        <f aca="false">IF(AND(Q$133&gt;1,MOD(Q$132-1,12)=0),Inputs!$C$8,0)*Inputs!$C$51</f>
        <v>0</v>
      </c>
      <c r="R193" s="66" t="n">
        <f aca="false">IF(AND(R$133&gt;1,MOD(R$132-1,12)=0),Inputs!$C$8,0)*Inputs!$C$51</f>
        <v>0</v>
      </c>
      <c r="S193" s="66" t="n">
        <f aca="false">IF(AND(S$133&gt;1,MOD(S$132-1,12)=0),Inputs!$C$8,0)*Inputs!$C$51</f>
        <v>0</v>
      </c>
      <c r="T193" s="66" t="n">
        <f aca="false">IF(AND(T$133&gt;1,MOD(T$132-1,12)=0),Inputs!$C$8,0)*Inputs!$C$51</f>
        <v>0</v>
      </c>
      <c r="U193" s="66" t="n">
        <f aca="false">IF(AND(U$133&gt;1,MOD(U$132-1,12)=0),Inputs!$C$8,0)*Inputs!$C$51</f>
        <v>0</v>
      </c>
      <c r="V193" s="66" t="n">
        <f aca="false">IF(AND(V$133&gt;1,MOD(V$132-1,12)=0),Inputs!$C$8,0)*Inputs!$C$51</f>
        <v>0</v>
      </c>
      <c r="W193" s="66" t="n">
        <f aca="false">IF(AND(W$133&gt;1,MOD(W$132-1,12)=0),Inputs!$C$8,0)*Inputs!$C$51</f>
        <v>0</v>
      </c>
      <c r="X193" s="66" t="n">
        <f aca="false">IF(AND(X$133&gt;1,MOD(X$132-1,12)=0),Inputs!$C$8,0)*Inputs!$C$51</f>
        <v>0</v>
      </c>
      <c r="Y193" s="66" t="n">
        <f aca="false">IF(AND(Y$133&gt;1,MOD(Y$132-1,12)=0),Inputs!$C$8,0)*Inputs!$C$51</f>
        <v>0</v>
      </c>
      <c r="Z193" s="66" t="n">
        <f aca="false">IF(AND(Z$133&gt;1,MOD(Z$132-1,12)=0),Inputs!$C$8,0)*Inputs!$C$51</f>
        <v>0</v>
      </c>
      <c r="AA193" s="66" t="n">
        <f aca="false">IF(AND(AA$133&gt;1,MOD(AA$132-1,12)=0),Inputs!$C$8,0)*Inputs!$C$51</f>
        <v>0</v>
      </c>
      <c r="AB193" s="66" t="n">
        <f aca="false">IF(AND(AB$133&gt;1,MOD(AB$132-1,12)=0),Inputs!$C$8,0)*Inputs!$C$51</f>
        <v>0</v>
      </c>
      <c r="AC193" s="66" t="n">
        <f aca="false">IF(AND(AC$133&gt;1,MOD(AC$132-1,12)=0),Inputs!$C$8,0)*Inputs!$C$51</f>
        <v>0</v>
      </c>
      <c r="AD193" s="66" t="n">
        <f aca="false">IF(AND(AD$133&gt;1,MOD(AD$132-1,12)=0),Inputs!$C$8,0)*Inputs!$C$51</f>
        <v>0</v>
      </c>
      <c r="AE193" s="66" t="n">
        <f aca="false">IF(AND(AE$133&gt;1,MOD(AE$132-1,12)=0),Inputs!$C$8,0)*Inputs!$C$51</f>
        <v>0</v>
      </c>
      <c r="AF193" s="66" t="n">
        <f aca="false">IF(AND(AF$133&gt;1,MOD(AF$132-1,12)=0),Inputs!$C$8,0)*Inputs!$C$51</f>
        <v>0</v>
      </c>
      <c r="AG193" s="66" t="n">
        <f aca="false">IF(AND(AG$133&gt;1,MOD(AG$132-1,12)=0),Inputs!$C$8,0)*Inputs!$C$51</f>
        <v>0</v>
      </c>
      <c r="AH193" s="66" t="n">
        <f aca="false">IF(AND(AH$133&gt;1,MOD(AH$132-1,12)=0),Inputs!$C$8,0)*Inputs!$C$51</f>
        <v>0</v>
      </c>
      <c r="AI193" s="66" t="n">
        <f aca="false">IF(AND(AI$133&gt;1,MOD(AI$132-1,12)=0),Inputs!$C$8,0)*Inputs!$C$51</f>
        <v>0</v>
      </c>
      <c r="AJ193" s="66" t="n">
        <f aca="false">IF(AND(AJ$133&gt;1,MOD(AJ$132-1,12)=0),Inputs!$C$8,0)*Inputs!$C$51</f>
        <v>0</v>
      </c>
      <c r="AK193" s="66" t="n">
        <f aca="false">IF(AND(AK$133&gt;1,MOD(AK$132-1,12)=0),Inputs!$C$8,0)*Inputs!$C$51</f>
        <v>0</v>
      </c>
      <c r="AL193" s="66" t="n">
        <f aca="false">IF(AND(AL$133&gt;1,MOD(AL$132-1,12)=0),Inputs!$C$8,0)*Inputs!$C$51</f>
        <v>0</v>
      </c>
      <c r="AM193" s="66" t="n">
        <f aca="false">IF(AND(AM$133&gt;1,MOD(AM$132-1,12)=0),Inputs!$C$8,0)*Inputs!$C$51</f>
        <v>0</v>
      </c>
      <c r="AN193" s="66" t="n">
        <f aca="false">IF(AND(AN$133&gt;1,MOD(AN$132-1,12)=0),Inputs!$C$8,0)*Inputs!$C$51</f>
        <v>0</v>
      </c>
      <c r="AO193" s="66" t="n">
        <f aca="false">IF(AND(AO$133&gt;1,MOD(AO$132-1,12)=0),Inputs!$C$8,0)*Inputs!$C$51</f>
        <v>0</v>
      </c>
      <c r="AP193" s="66" t="n">
        <f aca="false">IF(AND(AP$133&gt;1,MOD(AP$132-1,12)=0),Inputs!$C$8,0)*Inputs!$C$51</f>
        <v>0</v>
      </c>
      <c r="AQ193" s="66" t="n">
        <f aca="false">IF(AND(AQ$133&gt;1,MOD(AQ$132-1,12)=0),Inputs!$C$8,0)*Inputs!$C$51</f>
        <v>0</v>
      </c>
      <c r="AR193" s="66" t="n">
        <f aca="false">IF(AND(AR$133&gt;1,MOD(AR$132-1,12)=0),Inputs!$C$8,0)*Inputs!$C$51</f>
        <v>0</v>
      </c>
      <c r="AS193" s="66" t="n">
        <f aca="false">IF(AND(AS$133&gt;1,MOD(AS$132-1,12)=0),Inputs!$C$8,0)*Inputs!$C$51</f>
        <v>0</v>
      </c>
      <c r="AT193" s="66" t="n">
        <f aca="false">IF(AND(AT$133&gt;1,MOD(AT$132-1,12)=0),Inputs!$C$8,0)*Inputs!$C$51</f>
        <v>0</v>
      </c>
      <c r="AU193" s="66" t="n">
        <f aca="false">IF(AND(AU$133&gt;1,MOD(AU$132-1,12)=0),Inputs!$C$8,0)*Inputs!$C$51</f>
        <v>0</v>
      </c>
      <c r="AV193" s="66" t="n">
        <f aca="false">IF(AND(AV$133&gt;1,MOD(AV$132-1,12)=0),Inputs!$C$8,0)*Inputs!$C$51</f>
        <v>0</v>
      </c>
      <c r="AW193" s="66" t="n">
        <f aca="false">IF(AND(AW$133&gt;1,MOD(AW$132-1,12)=0),Inputs!$C$8,0)*Inputs!$C$51</f>
        <v>0</v>
      </c>
      <c r="AX193" s="66" t="n">
        <f aca="false">IF(AND(AX$133&gt;1,MOD(AX$132-1,12)=0),Inputs!$C$8,0)*Inputs!$C$51</f>
        <v>0</v>
      </c>
      <c r="AY193" s="66" t="n">
        <f aca="false">IF(AND(AY$133&gt;1,MOD(AY$132-1,12)=0),Inputs!$C$8,0)*Inputs!$C$51</f>
        <v>0</v>
      </c>
      <c r="AZ193" s="66" t="n">
        <f aca="false">IF(AND(AZ$133&gt;1,MOD(AZ$132-1,12)=0),Inputs!$C$8,0)*Inputs!$C$51</f>
        <v>0</v>
      </c>
      <c r="BA193" s="66" t="n">
        <f aca="false">IF(AND(BA$133&gt;1,MOD(BA$132-1,12)=0),Inputs!$C$8,0)*Inputs!$C$51</f>
        <v>0</v>
      </c>
      <c r="BB193" s="66" t="n">
        <f aca="false">IF(AND(BB$133&gt;1,MOD(BB$132-1,12)=0),Inputs!$C$8,0)*Inputs!$C$51</f>
        <v>0</v>
      </c>
      <c r="BC193" s="66" t="n">
        <f aca="false">IF(AND(BC$133&gt;1,MOD(BC$132-1,12)=0),Inputs!$C$8,0)*Inputs!$C$51</f>
        <v>0</v>
      </c>
      <c r="BD193" s="66" t="n">
        <f aca="false">IF(AND(BD$133&gt;1,MOD(BD$132-1,12)=0),Inputs!$C$8,0)*Inputs!$C$51</f>
        <v>0</v>
      </c>
      <c r="BE193" s="66" t="n">
        <f aca="false">IF(AND(BE$133&gt;1,MOD(BE$132-1,12)=0),Inputs!$C$8,0)*Inputs!$C$51</f>
        <v>0</v>
      </c>
      <c r="BF193" s="66" t="n">
        <f aca="false">IF(AND(BF$133&gt;1,MOD(BF$132-1,12)=0),Inputs!$C$8,0)*Inputs!$C$51</f>
        <v>0</v>
      </c>
      <c r="BG193" s="66" t="n">
        <f aca="false">IF(AND(BG$133&gt;1,MOD(BG$132-1,12)=0),Inputs!$C$8,0)*Inputs!$C$51</f>
        <v>0</v>
      </c>
      <c r="BH193" s="66" t="n">
        <f aca="false">IF(AND(BH$133&gt;1,MOD(BH$132-1,12)=0),Inputs!$C$8,0)*Inputs!$C$51</f>
        <v>0</v>
      </c>
      <c r="BI193" s="66" t="n">
        <f aca="false">IF(AND(BI$133&gt;1,MOD(BI$132-1,12)=0),Inputs!$C$8,0)*Inputs!$C$51</f>
        <v>0</v>
      </c>
      <c r="BJ193" s="66" t="n">
        <f aca="false">IF(AND(BJ$133&gt;1,MOD(BJ$132-1,12)=0),Inputs!$C$8,0)*Inputs!$C$51</f>
        <v>0</v>
      </c>
    </row>
    <row r="194" customFormat="false" ht="15" hidden="false" customHeight="false" outlineLevel="0" collapsed="false">
      <c r="A194" s="6" t="s">
        <v>442</v>
      </c>
      <c r="C194" s="66" t="n">
        <f aca="false">IF(C$132=1,Inputs!$C$53,0)</f>
        <v>40000</v>
      </c>
      <c r="D194" s="66" t="n">
        <f aca="false">IF(D$132=1,Inputs!$C$53,0)</f>
        <v>0</v>
      </c>
      <c r="E194" s="66" t="n">
        <f aca="false">IF(E$132=1,Inputs!$C$53,0)</f>
        <v>0</v>
      </c>
      <c r="F194" s="66" t="n">
        <f aca="false">IF(F$132=1,Inputs!$C$53,0)</f>
        <v>0</v>
      </c>
      <c r="G194" s="66" t="n">
        <f aca="false">IF(G$132=1,Inputs!$C$53,0)</f>
        <v>0</v>
      </c>
      <c r="H194" s="66" t="n">
        <f aca="false">IF(H$132=1,Inputs!$C$53,0)</f>
        <v>0</v>
      </c>
      <c r="I194" s="66" t="n">
        <f aca="false">IF(I$132=1,Inputs!$C$53,0)</f>
        <v>0</v>
      </c>
      <c r="J194" s="66" t="n">
        <f aca="false">IF(J$132=1,Inputs!$C$53,0)</f>
        <v>0</v>
      </c>
      <c r="K194" s="66" t="n">
        <f aca="false">IF(K$132=1,Inputs!$C$53,0)</f>
        <v>0</v>
      </c>
      <c r="L194" s="66" t="n">
        <f aca="false">IF(L$132=1,Inputs!$C$53,0)</f>
        <v>0</v>
      </c>
      <c r="M194" s="66" t="n">
        <f aca="false">IF(M$132=1,Inputs!$C$53,0)</f>
        <v>0</v>
      </c>
      <c r="N194" s="66" t="n">
        <f aca="false">IF(N$132=1,Inputs!$C$53,0)</f>
        <v>0</v>
      </c>
      <c r="O194" s="66" t="n">
        <f aca="false">IF(O$132=1,Inputs!$C$53,0)</f>
        <v>0</v>
      </c>
      <c r="P194" s="66" t="n">
        <f aca="false">IF(P$132=1,Inputs!$C$53,0)</f>
        <v>0</v>
      </c>
      <c r="Q194" s="66" t="n">
        <f aca="false">IF(Q$132=1,Inputs!$C$53,0)</f>
        <v>0</v>
      </c>
      <c r="R194" s="66" t="n">
        <f aca="false">IF(R$132=1,Inputs!$C$53,0)</f>
        <v>0</v>
      </c>
      <c r="S194" s="66" t="n">
        <f aca="false">IF(S$132=1,Inputs!$C$53,0)</f>
        <v>0</v>
      </c>
      <c r="T194" s="66" t="n">
        <f aca="false">IF(T$132=1,Inputs!$C$53,0)</f>
        <v>0</v>
      </c>
      <c r="U194" s="66" t="n">
        <f aca="false">IF(U$132=1,Inputs!$C$53,0)</f>
        <v>0</v>
      </c>
      <c r="V194" s="66" t="n">
        <f aca="false">IF(V$132=1,Inputs!$C$53,0)</f>
        <v>0</v>
      </c>
      <c r="W194" s="66" t="n">
        <f aca="false">IF(W$132=1,Inputs!$C$53,0)</f>
        <v>0</v>
      </c>
      <c r="X194" s="66" t="n">
        <f aca="false">IF(X$132=1,Inputs!$C$53,0)</f>
        <v>0</v>
      </c>
      <c r="Y194" s="66" t="n">
        <f aca="false">IF(Y$132=1,Inputs!$C$53,0)</f>
        <v>0</v>
      </c>
      <c r="Z194" s="66" t="n">
        <f aca="false">IF(Z$132=1,Inputs!$C$53,0)</f>
        <v>0</v>
      </c>
      <c r="AA194" s="66" t="n">
        <f aca="false">IF(AA$132=1,Inputs!$C$53,0)</f>
        <v>0</v>
      </c>
      <c r="AB194" s="66" t="n">
        <f aca="false">IF(AB$132=1,Inputs!$C$53,0)</f>
        <v>0</v>
      </c>
      <c r="AC194" s="66" t="n">
        <f aca="false">IF(AC$132=1,Inputs!$C$53,0)</f>
        <v>0</v>
      </c>
      <c r="AD194" s="66" t="n">
        <f aca="false">IF(AD$132=1,Inputs!$C$53,0)</f>
        <v>0</v>
      </c>
      <c r="AE194" s="66" t="n">
        <f aca="false">IF(AE$132=1,Inputs!$C$53,0)</f>
        <v>0</v>
      </c>
      <c r="AF194" s="66" t="n">
        <f aca="false">IF(AF$132=1,Inputs!$C$53,0)</f>
        <v>0</v>
      </c>
      <c r="AG194" s="66" t="n">
        <f aca="false">IF(AG$132=1,Inputs!$C$53,0)</f>
        <v>0</v>
      </c>
      <c r="AH194" s="66" t="n">
        <f aca="false">IF(AH$132=1,Inputs!$C$53,0)</f>
        <v>0</v>
      </c>
      <c r="AI194" s="66" t="n">
        <f aca="false">IF(AI$132=1,Inputs!$C$53,0)</f>
        <v>0</v>
      </c>
      <c r="AJ194" s="66" t="n">
        <f aca="false">IF(AJ$132=1,Inputs!$C$53,0)</f>
        <v>0</v>
      </c>
      <c r="AK194" s="66" t="n">
        <f aca="false">IF(AK$132=1,Inputs!$C$53,0)</f>
        <v>0</v>
      </c>
      <c r="AL194" s="66" t="n">
        <f aca="false">IF(AL$132=1,Inputs!$C$53,0)</f>
        <v>0</v>
      </c>
      <c r="AM194" s="66" t="n">
        <f aca="false">IF(AM$132=1,Inputs!$C$53,0)</f>
        <v>0</v>
      </c>
      <c r="AN194" s="66" t="n">
        <f aca="false">IF(AN$132=1,Inputs!$C$53,0)</f>
        <v>0</v>
      </c>
      <c r="AO194" s="66" t="n">
        <f aca="false">IF(AO$132=1,Inputs!$C$53,0)</f>
        <v>0</v>
      </c>
      <c r="AP194" s="66" t="n">
        <f aca="false">IF(AP$132=1,Inputs!$C$53,0)</f>
        <v>0</v>
      </c>
      <c r="AQ194" s="66" t="n">
        <f aca="false">IF(AQ$132=1,Inputs!$C$53,0)</f>
        <v>0</v>
      </c>
      <c r="AR194" s="66" t="n">
        <f aca="false">IF(AR$132=1,Inputs!$C$53,0)</f>
        <v>0</v>
      </c>
      <c r="AS194" s="66" t="n">
        <f aca="false">IF(AS$132=1,Inputs!$C$53,0)</f>
        <v>0</v>
      </c>
      <c r="AT194" s="66" t="n">
        <f aca="false">IF(AT$132=1,Inputs!$C$53,0)</f>
        <v>0</v>
      </c>
      <c r="AU194" s="66" t="n">
        <f aca="false">IF(AU$132=1,Inputs!$C$53,0)</f>
        <v>0</v>
      </c>
      <c r="AV194" s="66" t="n">
        <f aca="false">IF(AV$132=1,Inputs!$C$53,0)</f>
        <v>0</v>
      </c>
      <c r="AW194" s="66" t="n">
        <f aca="false">IF(AW$132=1,Inputs!$C$53,0)</f>
        <v>0</v>
      </c>
      <c r="AX194" s="66" t="n">
        <f aca="false">IF(AX$132=1,Inputs!$C$53,0)</f>
        <v>0</v>
      </c>
      <c r="AY194" s="66" t="n">
        <f aca="false">IF(AY$132=1,Inputs!$C$53,0)</f>
        <v>0</v>
      </c>
      <c r="AZ194" s="66" t="n">
        <f aca="false">IF(AZ$132=1,Inputs!$C$53,0)</f>
        <v>0</v>
      </c>
      <c r="BA194" s="66" t="n">
        <f aca="false">IF(BA$132=1,Inputs!$C$53,0)</f>
        <v>0</v>
      </c>
      <c r="BB194" s="66" t="n">
        <f aca="false">IF(BB$132=1,Inputs!$C$53,0)</f>
        <v>0</v>
      </c>
      <c r="BC194" s="66" t="n">
        <f aca="false">IF(BC$132=1,Inputs!$C$53,0)</f>
        <v>0</v>
      </c>
      <c r="BD194" s="66" t="n">
        <f aca="false">IF(BD$132=1,Inputs!$C$53,0)</f>
        <v>0</v>
      </c>
      <c r="BE194" s="66" t="n">
        <f aca="false">IF(BE$132=1,Inputs!$C$53,0)</f>
        <v>0</v>
      </c>
      <c r="BF194" s="66" t="n">
        <f aca="false">IF(BF$132=1,Inputs!$C$53,0)</f>
        <v>0</v>
      </c>
      <c r="BG194" s="66" t="n">
        <f aca="false">IF(BG$132=1,Inputs!$C$53,0)</f>
        <v>0</v>
      </c>
      <c r="BH194" s="66" t="n">
        <f aca="false">IF(BH$132=1,Inputs!$C$53,0)</f>
        <v>0</v>
      </c>
      <c r="BI194" s="66" t="n">
        <f aca="false">IF(BI$132=1,Inputs!$C$53,0)</f>
        <v>0</v>
      </c>
      <c r="BJ194" s="66" t="n">
        <f aca="false">IF(BJ$132=1,Inputs!$C$53,0)</f>
        <v>0</v>
      </c>
    </row>
    <row r="195" customFormat="false" ht="15" hidden="false" customHeight="false" outlineLevel="0" collapsed="false">
      <c r="A195" s="6" t="s">
        <v>443</v>
      </c>
      <c r="C195" s="66" t="n">
        <f aca="false">IF(AND(C$133&gt;1,MOD(C$132-1,12)=0),C136*Inputs!$C$54,0)</f>
        <v>0</v>
      </c>
      <c r="D195" s="66" t="n">
        <f aca="false">IF(AND(D$133&gt;1,MOD(D$132-1,12)=0),D136*Inputs!$C$54,0)</f>
        <v>0</v>
      </c>
      <c r="E195" s="66" t="n">
        <f aca="false">IF(AND(E$133&gt;1,MOD(E$132-1,12)=0),E136*Inputs!$C$54,0)</f>
        <v>0</v>
      </c>
      <c r="F195" s="66" t="n">
        <f aca="false">IF(AND(F$133&gt;1,MOD(F$132-1,12)=0),F136*Inputs!$C$54,0)</f>
        <v>0</v>
      </c>
      <c r="G195" s="66" t="n">
        <f aca="false">IF(AND(G$133&gt;1,MOD(G$132-1,12)=0),G136*Inputs!$C$54,0)</f>
        <v>0</v>
      </c>
      <c r="H195" s="66" t="n">
        <f aca="false">IF(AND(H$133&gt;1,MOD(H$132-1,12)=0),H136*Inputs!$C$54,0)</f>
        <v>0</v>
      </c>
      <c r="I195" s="66" t="n">
        <f aca="false">IF(AND(I$133&gt;1,MOD(I$132-1,12)=0),I136*Inputs!$C$54,0)</f>
        <v>0</v>
      </c>
      <c r="J195" s="66" t="n">
        <f aca="false">IF(AND(J$133&gt;1,MOD(J$132-1,12)=0),J136*Inputs!$C$54,0)</f>
        <v>0</v>
      </c>
      <c r="K195" s="66" t="n">
        <f aca="false">IF(AND(K$133&gt;1,MOD(K$132-1,12)=0),K136*Inputs!$C$54,0)</f>
        <v>0</v>
      </c>
      <c r="L195" s="66" t="n">
        <f aca="false">IF(AND(L$133&gt;1,MOD(L$132-1,12)=0),L136*Inputs!$C$54,0)</f>
        <v>0</v>
      </c>
      <c r="M195" s="66" t="n">
        <f aca="false">IF(AND(M$133&gt;1,MOD(M$132-1,12)=0),M136*Inputs!$C$54,0)</f>
        <v>0</v>
      </c>
      <c r="N195" s="66" t="n">
        <f aca="false">IF(AND(N$133&gt;1,MOD(N$132-1,12)=0),N136*Inputs!$C$54,0)</f>
        <v>0</v>
      </c>
      <c r="O195" s="66" t="n">
        <f aca="false">IF(AND(O$133&gt;1,MOD(O$132-1,12)=0),O136*Inputs!$C$54,0)</f>
        <v>9000</v>
      </c>
      <c r="P195" s="66" t="n">
        <f aca="false">IF(AND(P$133&gt;1,MOD(P$132-1,12)=0),P136*Inputs!$C$54,0)</f>
        <v>0</v>
      </c>
      <c r="Q195" s="66" t="n">
        <f aca="false">IF(AND(Q$133&gt;1,MOD(Q$132-1,12)=0),Q136*Inputs!$C$54,0)</f>
        <v>0</v>
      </c>
      <c r="R195" s="66" t="n">
        <f aca="false">IF(AND(R$133&gt;1,MOD(R$132-1,12)=0),R136*Inputs!$C$54,0)</f>
        <v>0</v>
      </c>
      <c r="S195" s="66" t="n">
        <f aca="false">IF(AND(S$133&gt;1,MOD(S$132-1,12)=0),S136*Inputs!$C$54,0)</f>
        <v>0</v>
      </c>
      <c r="T195" s="66" t="n">
        <f aca="false">IF(AND(T$133&gt;1,MOD(T$132-1,12)=0),T136*Inputs!$C$54,0)</f>
        <v>0</v>
      </c>
      <c r="U195" s="66" t="n">
        <f aca="false">IF(AND(U$133&gt;1,MOD(U$132-1,12)=0),U136*Inputs!$C$54,0)</f>
        <v>0</v>
      </c>
      <c r="V195" s="66" t="n">
        <f aca="false">IF(AND(V$133&gt;1,MOD(V$132-1,12)=0),V136*Inputs!$C$54,0)</f>
        <v>0</v>
      </c>
      <c r="W195" s="66" t="n">
        <f aca="false">IF(AND(W$133&gt;1,MOD(W$132-1,12)=0),W136*Inputs!$C$54,0)</f>
        <v>0</v>
      </c>
      <c r="X195" s="66" t="n">
        <f aca="false">IF(AND(X$133&gt;1,MOD(X$132-1,12)=0),X136*Inputs!$C$54,0)</f>
        <v>0</v>
      </c>
      <c r="Y195" s="66" t="n">
        <f aca="false">IF(AND(Y$133&gt;1,MOD(Y$132-1,12)=0),Y136*Inputs!$C$54,0)</f>
        <v>0</v>
      </c>
      <c r="Z195" s="66" t="n">
        <f aca="false">IF(AND(Z$133&gt;1,MOD(Z$132-1,12)=0),Z136*Inputs!$C$54,0)</f>
        <v>0</v>
      </c>
      <c r="AA195" s="66" t="n">
        <f aca="false">IF(AND(AA$133&gt;1,MOD(AA$132-1,12)=0),AA136*Inputs!$C$54,0)</f>
        <v>9000</v>
      </c>
      <c r="AB195" s="66" t="n">
        <f aca="false">IF(AND(AB$133&gt;1,MOD(AB$132-1,12)=0),AB136*Inputs!$C$54,0)</f>
        <v>0</v>
      </c>
      <c r="AC195" s="66" t="n">
        <f aca="false">IF(AND(AC$133&gt;1,MOD(AC$132-1,12)=0),AC136*Inputs!$C$54,0)</f>
        <v>0</v>
      </c>
      <c r="AD195" s="66" t="n">
        <f aca="false">IF(AND(AD$133&gt;1,MOD(AD$132-1,12)=0),AD136*Inputs!$C$54,0)</f>
        <v>0</v>
      </c>
      <c r="AE195" s="66" t="n">
        <f aca="false">IF(AND(AE$133&gt;1,MOD(AE$132-1,12)=0),AE136*Inputs!$C$54,0)</f>
        <v>0</v>
      </c>
      <c r="AF195" s="66" t="n">
        <f aca="false">IF(AND(AF$133&gt;1,MOD(AF$132-1,12)=0),AF136*Inputs!$C$54,0)</f>
        <v>0</v>
      </c>
      <c r="AG195" s="66" t="n">
        <f aca="false">IF(AND(AG$133&gt;1,MOD(AG$132-1,12)=0),AG136*Inputs!$C$54,0)</f>
        <v>0</v>
      </c>
      <c r="AH195" s="66" t="n">
        <f aca="false">IF(AND(AH$133&gt;1,MOD(AH$132-1,12)=0),AH136*Inputs!$C$54,0)</f>
        <v>0</v>
      </c>
      <c r="AI195" s="66" t="n">
        <f aca="false">IF(AND(AI$133&gt;1,MOD(AI$132-1,12)=0),AI136*Inputs!$C$54,0)</f>
        <v>0</v>
      </c>
      <c r="AJ195" s="66" t="n">
        <f aca="false">IF(AND(AJ$133&gt;1,MOD(AJ$132-1,12)=0),AJ136*Inputs!$C$54,0)</f>
        <v>0</v>
      </c>
      <c r="AK195" s="66" t="n">
        <f aca="false">IF(AND(AK$133&gt;1,MOD(AK$132-1,12)=0),AK136*Inputs!$C$54,0)</f>
        <v>0</v>
      </c>
      <c r="AL195" s="66" t="n">
        <f aca="false">IF(AND(AL$133&gt;1,MOD(AL$132-1,12)=0),AL136*Inputs!$C$54,0)</f>
        <v>0</v>
      </c>
      <c r="AM195" s="66" t="n">
        <f aca="false">IF(AND(AM$133&gt;1,MOD(AM$132-1,12)=0),AM136*Inputs!$C$54,0)</f>
        <v>9000</v>
      </c>
      <c r="AN195" s="66" t="n">
        <f aca="false">IF(AND(AN$133&gt;1,MOD(AN$132-1,12)=0),AN136*Inputs!$C$54,0)</f>
        <v>0</v>
      </c>
      <c r="AO195" s="66" t="n">
        <f aca="false">IF(AND(AO$133&gt;1,MOD(AO$132-1,12)=0),AO136*Inputs!$C$54,0)</f>
        <v>0</v>
      </c>
      <c r="AP195" s="66" t="n">
        <f aca="false">IF(AND(AP$133&gt;1,MOD(AP$132-1,12)=0),AP136*Inputs!$C$54,0)</f>
        <v>0</v>
      </c>
      <c r="AQ195" s="66" t="n">
        <f aca="false">IF(AND(AQ$133&gt;1,MOD(AQ$132-1,12)=0),AQ136*Inputs!$C$54,0)</f>
        <v>0</v>
      </c>
      <c r="AR195" s="66" t="n">
        <f aca="false">IF(AND(AR$133&gt;1,MOD(AR$132-1,12)=0),AR136*Inputs!$C$54,0)</f>
        <v>0</v>
      </c>
      <c r="AS195" s="66" t="n">
        <f aca="false">IF(AND(AS$133&gt;1,MOD(AS$132-1,12)=0),AS136*Inputs!$C$54,0)</f>
        <v>0</v>
      </c>
      <c r="AT195" s="66" t="n">
        <f aca="false">IF(AND(AT$133&gt;1,MOD(AT$132-1,12)=0),AT136*Inputs!$C$54,0)</f>
        <v>0</v>
      </c>
      <c r="AU195" s="66" t="n">
        <f aca="false">IF(AND(AU$133&gt;1,MOD(AU$132-1,12)=0),AU136*Inputs!$C$54,0)</f>
        <v>0</v>
      </c>
      <c r="AV195" s="66" t="n">
        <f aca="false">IF(AND(AV$133&gt;1,MOD(AV$132-1,12)=0),AV136*Inputs!$C$54,0)</f>
        <v>0</v>
      </c>
      <c r="AW195" s="66" t="n">
        <f aca="false">IF(AND(AW$133&gt;1,MOD(AW$132-1,12)=0),AW136*Inputs!$C$54,0)</f>
        <v>0</v>
      </c>
      <c r="AX195" s="66" t="n">
        <f aca="false">IF(AND(AX$133&gt;1,MOD(AX$132-1,12)=0),AX136*Inputs!$C$54,0)</f>
        <v>0</v>
      </c>
      <c r="AY195" s="66" t="n">
        <f aca="false">IF(AND(AY$133&gt;1,MOD(AY$132-1,12)=0),AY136*Inputs!$C$54,0)</f>
        <v>9000</v>
      </c>
      <c r="AZ195" s="66" t="n">
        <f aca="false">IF(AND(AZ$133&gt;1,MOD(AZ$132-1,12)=0),AZ136*Inputs!$C$54,0)</f>
        <v>0</v>
      </c>
      <c r="BA195" s="66" t="n">
        <f aca="false">IF(AND(BA$133&gt;1,MOD(BA$132-1,12)=0),BA136*Inputs!$C$54,0)</f>
        <v>0</v>
      </c>
      <c r="BB195" s="66" t="n">
        <f aca="false">IF(AND(BB$133&gt;1,MOD(BB$132-1,12)=0),BB136*Inputs!$C$54,0)</f>
        <v>0</v>
      </c>
      <c r="BC195" s="66" t="n">
        <f aca="false">IF(AND(BC$133&gt;1,MOD(BC$132-1,12)=0),BC136*Inputs!$C$54,0)</f>
        <v>0</v>
      </c>
      <c r="BD195" s="66" t="n">
        <f aca="false">IF(AND(BD$133&gt;1,MOD(BD$132-1,12)=0),BD136*Inputs!$C$54,0)</f>
        <v>0</v>
      </c>
      <c r="BE195" s="66" t="n">
        <f aca="false">IF(AND(BE$133&gt;1,MOD(BE$132-1,12)=0),BE136*Inputs!$C$54,0)</f>
        <v>0</v>
      </c>
      <c r="BF195" s="66" t="n">
        <f aca="false">IF(AND(BF$133&gt;1,MOD(BF$132-1,12)=0),BF136*Inputs!$C$54,0)</f>
        <v>0</v>
      </c>
      <c r="BG195" s="66" t="n">
        <f aca="false">IF(AND(BG$133&gt;1,MOD(BG$132-1,12)=0),BG136*Inputs!$C$54,0)</f>
        <v>0</v>
      </c>
      <c r="BH195" s="66" t="n">
        <f aca="false">IF(AND(BH$133&gt;1,MOD(BH$132-1,12)=0),BH136*Inputs!$C$54,0)</f>
        <v>0</v>
      </c>
      <c r="BI195" s="66" t="n">
        <f aca="false">IF(AND(BI$133&gt;1,MOD(BI$132-1,12)=0),BI136*Inputs!$C$54,0)</f>
        <v>0</v>
      </c>
      <c r="BJ195" s="66" t="n">
        <f aca="false">IF(AND(BJ$133&gt;1,MOD(BJ$132-1,12)=0),BJ136*Inputs!$C$54,0)</f>
        <v>0</v>
      </c>
    </row>
    <row r="196" customFormat="false" ht="15" hidden="false" customHeight="false" outlineLevel="0" collapsed="false">
      <c r="A196" s="4" t="s">
        <v>83</v>
      </c>
      <c r="C196" s="72" t="n">
        <f aca="false">C192+C193+C194+C195</f>
        <v>442000</v>
      </c>
      <c r="D196" s="72" t="n">
        <f aca="false">D192+D193+D194+D195</f>
        <v>0</v>
      </c>
      <c r="E196" s="72" t="n">
        <f aca="false">E192+E193+E194+E195</f>
        <v>0</v>
      </c>
      <c r="F196" s="72" t="n">
        <f aca="false">F192+F193+F194+F195</f>
        <v>0</v>
      </c>
      <c r="G196" s="72" t="n">
        <f aca="false">G192+G193+G194+G195</f>
        <v>0</v>
      </c>
      <c r="H196" s="72" t="n">
        <f aca="false">H192+H193+H194+H195</f>
        <v>0</v>
      </c>
      <c r="I196" s="72" t="n">
        <f aca="false">I192+I193+I194+I195</f>
        <v>0</v>
      </c>
      <c r="J196" s="72" t="n">
        <f aca="false">J192+J193+J194+J195</f>
        <v>0</v>
      </c>
      <c r="K196" s="72" t="n">
        <f aca="false">K192+K193+K194+K195</f>
        <v>0</v>
      </c>
      <c r="L196" s="72" t="n">
        <f aca="false">L192+L193+L194+L195</f>
        <v>0</v>
      </c>
      <c r="M196" s="72" t="n">
        <f aca="false">M192+M193+M194+M195</f>
        <v>0</v>
      </c>
      <c r="N196" s="72" t="n">
        <f aca="false">N192+N193+N194+N195</f>
        <v>0</v>
      </c>
      <c r="O196" s="72" t="n">
        <f aca="false">O192+O193+O194+O195</f>
        <v>9000</v>
      </c>
      <c r="P196" s="72" t="n">
        <f aca="false">P192+P193+P194+P195</f>
        <v>0</v>
      </c>
      <c r="Q196" s="72" t="n">
        <f aca="false">Q192+Q193+Q194+Q195</f>
        <v>0</v>
      </c>
      <c r="R196" s="72" t="n">
        <f aca="false">R192+R193+R194+R195</f>
        <v>0</v>
      </c>
      <c r="S196" s="72" t="n">
        <f aca="false">S192+S193+S194+S195</f>
        <v>0</v>
      </c>
      <c r="T196" s="72" t="n">
        <f aca="false">T192+T193+T194+T195</f>
        <v>0</v>
      </c>
      <c r="U196" s="72" t="n">
        <f aca="false">U192+U193+U194+U195</f>
        <v>0</v>
      </c>
      <c r="V196" s="72" t="n">
        <f aca="false">V192+V193+V194+V195</f>
        <v>0</v>
      </c>
      <c r="W196" s="72" t="n">
        <f aca="false">W192+W193+W194+W195</f>
        <v>0</v>
      </c>
      <c r="X196" s="72" t="n">
        <f aca="false">X192+X193+X194+X195</f>
        <v>0</v>
      </c>
      <c r="Y196" s="72" t="n">
        <f aca="false">Y192+Y193+Y194+Y195</f>
        <v>0</v>
      </c>
      <c r="Z196" s="72" t="n">
        <f aca="false">Z192+Z193+Z194+Z195</f>
        <v>0</v>
      </c>
      <c r="AA196" s="72" t="n">
        <f aca="false">AA192+AA193+AA194+AA195</f>
        <v>9000</v>
      </c>
      <c r="AB196" s="72" t="n">
        <f aca="false">AB192+AB193+AB194+AB195</f>
        <v>0</v>
      </c>
      <c r="AC196" s="72" t="n">
        <f aca="false">AC192+AC193+AC194+AC195</f>
        <v>0</v>
      </c>
      <c r="AD196" s="72" t="n">
        <f aca="false">AD192+AD193+AD194+AD195</f>
        <v>0</v>
      </c>
      <c r="AE196" s="72" t="n">
        <f aca="false">AE192+AE193+AE194+AE195</f>
        <v>0</v>
      </c>
      <c r="AF196" s="72" t="n">
        <f aca="false">AF192+AF193+AF194+AF195</f>
        <v>0</v>
      </c>
      <c r="AG196" s="72" t="n">
        <f aca="false">AG192+AG193+AG194+AG195</f>
        <v>0</v>
      </c>
      <c r="AH196" s="72" t="n">
        <f aca="false">AH192+AH193+AH194+AH195</f>
        <v>0</v>
      </c>
      <c r="AI196" s="72" t="n">
        <f aca="false">AI192+AI193+AI194+AI195</f>
        <v>0</v>
      </c>
      <c r="AJ196" s="72" t="n">
        <f aca="false">AJ192+AJ193+AJ194+AJ195</f>
        <v>0</v>
      </c>
      <c r="AK196" s="72" t="n">
        <f aca="false">AK192+AK193+AK194+AK195</f>
        <v>0</v>
      </c>
      <c r="AL196" s="72" t="n">
        <f aca="false">AL192+AL193+AL194+AL195</f>
        <v>0</v>
      </c>
      <c r="AM196" s="72" t="n">
        <f aca="false">AM192+AM193+AM194+AM195</f>
        <v>9000</v>
      </c>
      <c r="AN196" s="72" t="n">
        <f aca="false">AN192+AN193+AN194+AN195</f>
        <v>0</v>
      </c>
      <c r="AO196" s="72" t="n">
        <f aca="false">AO192+AO193+AO194+AO195</f>
        <v>0</v>
      </c>
      <c r="AP196" s="72" t="n">
        <f aca="false">AP192+AP193+AP194+AP195</f>
        <v>0</v>
      </c>
      <c r="AQ196" s="72" t="n">
        <f aca="false">AQ192+AQ193+AQ194+AQ195</f>
        <v>0</v>
      </c>
      <c r="AR196" s="72" t="n">
        <f aca="false">AR192+AR193+AR194+AR195</f>
        <v>0</v>
      </c>
      <c r="AS196" s="72" t="n">
        <f aca="false">AS192+AS193+AS194+AS195</f>
        <v>0</v>
      </c>
      <c r="AT196" s="72" t="n">
        <f aca="false">AT192+AT193+AT194+AT195</f>
        <v>0</v>
      </c>
      <c r="AU196" s="72" t="n">
        <f aca="false">AU192+AU193+AU194+AU195</f>
        <v>0</v>
      </c>
      <c r="AV196" s="72" t="n">
        <f aca="false">AV192+AV193+AV194+AV195</f>
        <v>0</v>
      </c>
      <c r="AW196" s="72" t="n">
        <f aca="false">AW192+AW193+AW194+AW195</f>
        <v>0</v>
      </c>
      <c r="AX196" s="72" t="n">
        <f aca="false">AX192+AX193+AX194+AX195</f>
        <v>0</v>
      </c>
      <c r="AY196" s="72" t="n">
        <f aca="false">AY192+AY193+AY194+AY195</f>
        <v>9000</v>
      </c>
      <c r="AZ196" s="72" t="n">
        <f aca="false">AZ192+AZ193+AZ194+AZ195</f>
        <v>0</v>
      </c>
      <c r="BA196" s="72" t="n">
        <f aca="false">BA192+BA193+BA194+BA195</f>
        <v>0</v>
      </c>
      <c r="BB196" s="72" t="n">
        <f aca="false">BB192+BB193+BB194+BB195</f>
        <v>0</v>
      </c>
      <c r="BC196" s="72" t="n">
        <f aca="false">BC192+BC193+BC194+BC195</f>
        <v>0</v>
      </c>
      <c r="BD196" s="72" t="n">
        <f aca="false">BD192+BD193+BD194+BD195</f>
        <v>0</v>
      </c>
      <c r="BE196" s="72" t="n">
        <f aca="false">BE192+BE193+BE194+BE195</f>
        <v>0</v>
      </c>
      <c r="BF196" s="72" t="n">
        <f aca="false">BF192+BF193+BF194+BF195</f>
        <v>0</v>
      </c>
      <c r="BG196" s="72" t="n">
        <f aca="false">BG192+BG193+BG194+BG195</f>
        <v>0</v>
      </c>
      <c r="BH196" s="72" t="n">
        <f aca="false">BH192+BH193+BH194+BH195</f>
        <v>0</v>
      </c>
      <c r="BI196" s="72" t="n">
        <f aca="false">BI192+BI193+BI194+BI195</f>
        <v>0</v>
      </c>
      <c r="BJ196" s="72" t="n">
        <f aca="false">BJ192+BJ193+BJ194+BJ195</f>
        <v>0</v>
      </c>
    </row>
    <row r="197" customFormat="false" ht="15" hidden="false" customHeight="false" outlineLevel="0" collapsed="false">
      <c r="A197" s="6" t="s">
        <v>444</v>
      </c>
      <c r="C197" s="66" t="n">
        <f aca="false">C196</f>
        <v>442000</v>
      </c>
      <c r="D197" s="66" t="n">
        <f aca="false">C197+D196</f>
        <v>442000</v>
      </c>
      <c r="E197" s="66" t="n">
        <f aca="false">D197+E196</f>
        <v>442000</v>
      </c>
      <c r="F197" s="66" t="n">
        <f aca="false">E197+F196</f>
        <v>442000</v>
      </c>
      <c r="G197" s="66" t="n">
        <f aca="false">F197+G196</f>
        <v>442000</v>
      </c>
      <c r="H197" s="66" t="n">
        <f aca="false">G197+H196</f>
        <v>442000</v>
      </c>
      <c r="I197" s="66" t="n">
        <f aca="false">H197+I196</f>
        <v>442000</v>
      </c>
      <c r="J197" s="66" t="n">
        <f aca="false">I197+J196</f>
        <v>442000</v>
      </c>
      <c r="K197" s="66" t="n">
        <f aca="false">J197+K196</f>
        <v>442000</v>
      </c>
      <c r="L197" s="66" t="n">
        <f aca="false">K197+L196</f>
        <v>442000</v>
      </c>
      <c r="M197" s="66" t="n">
        <f aca="false">L197+M196</f>
        <v>442000</v>
      </c>
      <c r="N197" s="66" t="n">
        <f aca="false">M197+N196</f>
        <v>442000</v>
      </c>
      <c r="O197" s="66" t="n">
        <f aca="false">N197+O196</f>
        <v>451000</v>
      </c>
      <c r="P197" s="66" t="n">
        <f aca="false">O197+P196</f>
        <v>451000</v>
      </c>
      <c r="Q197" s="66" t="n">
        <f aca="false">P197+Q196</f>
        <v>451000</v>
      </c>
      <c r="R197" s="66" t="n">
        <f aca="false">Q197+R196</f>
        <v>451000</v>
      </c>
      <c r="S197" s="66" t="n">
        <f aca="false">R197+S196</f>
        <v>451000</v>
      </c>
      <c r="T197" s="66" t="n">
        <f aca="false">S197+T196</f>
        <v>451000</v>
      </c>
      <c r="U197" s="66" t="n">
        <f aca="false">T197+U196</f>
        <v>451000</v>
      </c>
      <c r="V197" s="66" t="n">
        <f aca="false">U197+V196</f>
        <v>451000</v>
      </c>
      <c r="W197" s="66" t="n">
        <f aca="false">V197+W196</f>
        <v>451000</v>
      </c>
      <c r="X197" s="66" t="n">
        <f aca="false">W197+X196</f>
        <v>451000</v>
      </c>
      <c r="Y197" s="66" t="n">
        <f aca="false">X197+Y196</f>
        <v>451000</v>
      </c>
      <c r="Z197" s="66" t="n">
        <f aca="false">Y197+Z196</f>
        <v>451000</v>
      </c>
      <c r="AA197" s="66" t="n">
        <f aca="false">Z197+AA196</f>
        <v>460000</v>
      </c>
      <c r="AB197" s="66" t="n">
        <f aca="false">AA197+AB196</f>
        <v>460000</v>
      </c>
      <c r="AC197" s="66" t="n">
        <f aca="false">AB197+AC196</f>
        <v>460000</v>
      </c>
      <c r="AD197" s="66" t="n">
        <f aca="false">AC197+AD196</f>
        <v>460000</v>
      </c>
      <c r="AE197" s="66" t="n">
        <f aca="false">AD197+AE196</f>
        <v>460000</v>
      </c>
      <c r="AF197" s="66" t="n">
        <f aca="false">AE197+AF196</f>
        <v>460000</v>
      </c>
      <c r="AG197" s="66" t="n">
        <f aca="false">AF197+AG196</f>
        <v>460000</v>
      </c>
      <c r="AH197" s="66" t="n">
        <f aca="false">AG197+AH196</f>
        <v>460000</v>
      </c>
      <c r="AI197" s="66" t="n">
        <f aca="false">AH197+AI196</f>
        <v>460000</v>
      </c>
      <c r="AJ197" s="66" t="n">
        <f aca="false">AI197+AJ196</f>
        <v>460000</v>
      </c>
      <c r="AK197" s="66" t="n">
        <f aca="false">AJ197+AK196</f>
        <v>460000</v>
      </c>
      <c r="AL197" s="66" t="n">
        <f aca="false">AK197+AL196</f>
        <v>460000</v>
      </c>
      <c r="AM197" s="66" t="n">
        <f aca="false">AL197+AM196</f>
        <v>469000</v>
      </c>
      <c r="AN197" s="66" t="n">
        <f aca="false">AM197+AN196</f>
        <v>469000</v>
      </c>
      <c r="AO197" s="66" t="n">
        <f aca="false">AN197+AO196</f>
        <v>469000</v>
      </c>
      <c r="AP197" s="66" t="n">
        <f aca="false">AO197+AP196</f>
        <v>469000</v>
      </c>
      <c r="AQ197" s="66" t="n">
        <f aca="false">AP197+AQ196</f>
        <v>469000</v>
      </c>
      <c r="AR197" s="66" t="n">
        <f aca="false">AQ197+AR196</f>
        <v>469000</v>
      </c>
      <c r="AS197" s="66" t="n">
        <f aca="false">AR197+AS196</f>
        <v>469000</v>
      </c>
      <c r="AT197" s="66" t="n">
        <f aca="false">AS197+AT196</f>
        <v>469000</v>
      </c>
      <c r="AU197" s="66" t="n">
        <f aca="false">AT197+AU196</f>
        <v>469000</v>
      </c>
      <c r="AV197" s="66" t="n">
        <f aca="false">AU197+AV196</f>
        <v>469000</v>
      </c>
      <c r="AW197" s="66" t="n">
        <f aca="false">AV197+AW196</f>
        <v>469000</v>
      </c>
      <c r="AX197" s="66" t="n">
        <f aca="false">AW197+AX196</f>
        <v>469000</v>
      </c>
      <c r="AY197" s="66" t="n">
        <f aca="false">AX197+AY196</f>
        <v>478000</v>
      </c>
      <c r="AZ197" s="66" t="n">
        <f aca="false">AY197+AZ196</f>
        <v>478000</v>
      </c>
      <c r="BA197" s="66" t="n">
        <f aca="false">AZ197+BA196</f>
        <v>478000</v>
      </c>
      <c r="BB197" s="66" t="n">
        <f aca="false">BA197+BB196</f>
        <v>478000</v>
      </c>
      <c r="BC197" s="66" t="n">
        <f aca="false">BB197+BC196</f>
        <v>478000</v>
      </c>
      <c r="BD197" s="66" t="n">
        <f aca="false">BC197+BD196</f>
        <v>478000</v>
      </c>
      <c r="BE197" s="66" t="n">
        <f aca="false">BD197+BE196</f>
        <v>478000</v>
      </c>
      <c r="BF197" s="66" t="n">
        <f aca="false">BE197+BF196</f>
        <v>478000</v>
      </c>
      <c r="BG197" s="66" t="n">
        <f aca="false">BF197+BG196</f>
        <v>478000</v>
      </c>
      <c r="BH197" s="66" t="n">
        <f aca="false">BG197+BH196</f>
        <v>478000</v>
      </c>
      <c r="BI197" s="66" t="n">
        <f aca="false">BH197+BI196</f>
        <v>478000</v>
      </c>
      <c r="BJ197" s="66" t="n">
        <f aca="false">BI197+BJ196</f>
        <v>478000</v>
      </c>
    </row>
    <row r="198" customFormat="false" ht="15" hidden="false" customHeight="false" outlineLevel="0" collapsed="false">
      <c r="A198" s="6" t="s">
        <v>77</v>
      </c>
      <c r="C198" s="66" t="n">
        <f aca="false">-MIN(C197/MAX(1,Inputs!$C$84*12),C196)</f>
        <v>-3683.33333333333</v>
      </c>
      <c r="D198" s="66" t="n">
        <f aca="false">-MIN(D197/MAX(1,Inputs!$C$84*12),C200+D196)</f>
        <v>-3683.33333333333</v>
      </c>
      <c r="E198" s="66" t="n">
        <f aca="false">-MIN(E197/MAX(1,Inputs!$C$84*12),D200+E196)</f>
        <v>-3683.33333333333</v>
      </c>
      <c r="F198" s="66" t="n">
        <f aca="false">-MIN(F197/MAX(1,Inputs!$C$84*12),E200+F196)</f>
        <v>-3683.33333333333</v>
      </c>
      <c r="G198" s="66" t="n">
        <f aca="false">-MIN(G197/MAX(1,Inputs!$C$84*12),F200+G196)</f>
        <v>-3683.33333333333</v>
      </c>
      <c r="H198" s="66" t="n">
        <f aca="false">-MIN(H197/MAX(1,Inputs!$C$84*12),G200+H196)</f>
        <v>-3683.33333333333</v>
      </c>
      <c r="I198" s="66" t="n">
        <f aca="false">-MIN(I197/MAX(1,Inputs!$C$84*12),H200+I196)</f>
        <v>-3683.33333333333</v>
      </c>
      <c r="J198" s="66" t="n">
        <f aca="false">-MIN(J197/MAX(1,Inputs!$C$84*12),I200+J196)</f>
        <v>-3683.33333333333</v>
      </c>
      <c r="K198" s="66" t="n">
        <f aca="false">-MIN(K197/MAX(1,Inputs!$C$84*12),J200+K196)</f>
        <v>-3683.33333333333</v>
      </c>
      <c r="L198" s="66" t="n">
        <f aca="false">-MIN(L197/MAX(1,Inputs!$C$84*12),K200+L196)</f>
        <v>-3683.33333333333</v>
      </c>
      <c r="M198" s="66" t="n">
        <f aca="false">-MIN(M197/MAX(1,Inputs!$C$84*12),L200+M196)</f>
        <v>-3683.33333333333</v>
      </c>
      <c r="N198" s="66" t="n">
        <f aca="false">-MIN(N197/MAX(1,Inputs!$C$84*12),M200+N196)</f>
        <v>-3683.33333333333</v>
      </c>
      <c r="O198" s="66" t="n">
        <f aca="false">-MIN(O197/MAX(1,Inputs!$C$84*12),N200+O196)</f>
        <v>-3758.33333333333</v>
      </c>
      <c r="P198" s="66" t="n">
        <f aca="false">-MIN(P197/MAX(1,Inputs!$C$84*12),O200+P196)</f>
        <v>-3758.33333333333</v>
      </c>
      <c r="Q198" s="66" t="n">
        <f aca="false">-MIN(Q197/MAX(1,Inputs!$C$84*12),P200+Q196)</f>
        <v>-3758.33333333333</v>
      </c>
      <c r="R198" s="66" t="n">
        <f aca="false">-MIN(R197/MAX(1,Inputs!$C$84*12),Q200+R196)</f>
        <v>-3758.33333333333</v>
      </c>
      <c r="S198" s="66" t="n">
        <f aca="false">-MIN(S197/MAX(1,Inputs!$C$84*12),R200+S196)</f>
        <v>-3758.33333333333</v>
      </c>
      <c r="T198" s="66" t="n">
        <f aca="false">-MIN(T197/MAX(1,Inputs!$C$84*12),S200+T196)</f>
        <v>-3758.33333333333</v>
      </c>
      <c r="U198" s="66" t="n">
        <f aca="false">-MIN(U197/MAX(1,Inputs!$C$84*12),T200+U196)</f>
        <v>-3758.33333333333</v>
      </c>
      <c r="V198" s="66" t="n">
        <f aca="false">-MIN(V197/MAX(1,Inputs!$C$84*12),U200+V196)</f>
        <v>-3758.33333333333</v>
      </c>
      <c r="W198" s="66" t="n">
        <f aca="false">-MIN(W197/MAX(1,Inputs!$C$84*12),V200+W196)</f>
        <v>-3758.33333333333</v>
      </c>
      <c r="X198" s="66" t="n">
        <f aca="false">-MIN(X197/MAX(1,Inputs!$C$84*12),W200+X196)</f>
        <v>-3758.33333333333</v>
      </c>
      <c r="Y198" s="66" t="n">
        <f aca="false">-MIN(Y197/MAX(1,Inputs!$C$84*12),X200+Y196)</f>
        <v>-3758.33333333333</v>
      </c>
      <c r="Z198" s="66" t="n">
        <f aca="false">-MIN(Z197/MAX(1,Inputs!$C$84*12),Y200+Z196)</f>
        <v>-3758.33333333333</v>
      </c>
      <c r="AA198" s="66" t="n">
        <f aca="false">-MIN(AA197/MAX(1,Inputs!$C$84*12),Z200+AA196)</f>
        <v>-3833.33333333333</v>
      </c>
      <c r="AB198" s="66" t="n">
        <f aca="false">-MIN(AB197/MAX(1,Inputs!$C$84*12),AA200+AB196)</f>
        <v>-3833.33333333333</v>
      </c>
      <c r="AC198" s="66" t="n">
        <f aca="false">-MIN(AC197/MAX(1,Inputs!$C$84*12),AB200+AC196)</f>
        <v>-3833.33333333333</v>
      </c>
      <c r="AD198" s="66" t="n">
        <f aca="false">-MIN(AD197/MAX(1,Inputs!$C$84*12),AC200+AD196)</f>
        <v>-3833.33333333333</v>
      </c>
      <c r="AE198" s="66" t="n">
        <f aca="false">-MIN(AE197/MAX(1,Inputs!$C$84*12),AD200+AE196)</f>
        <v>-3833.33333333333</v>
      </c>
      <c r="AF198" s="66" t="n">
        <f aca="false">-MIN(AF197/MAX(1,Inputs!$C$84*12),AE200+AF196)</f>
        <v>-3833.33333333333</v>
      </c>
      <c r="AG198" s="66" t="n">
        <f aca="false">-MIN(AG197/MAX(1,Inputs!$C$84*12),AF200+AG196)</f>
        <v>-3833.33333333333</v>
      </c>
      <c r="AH198" s="66" t="n">
        <f aca="false">-MIN(AH197/MAX(1,Inputs!$C$84*12),AG200+AH196)</f>
        <v>-3833.33333333333</v>
      </c>
      <c r="AI198" s="66" t="n">
        <f aca="false">-MIN(AI197/MAX(1,Inputs!$C$84*12),AH200+AI196)</f>
        <v>-3833.33333333333</v>
      </c>
      <c r="AJ198" s="66" t="n">
        <f aca="false">-MIN(AJ197/MAX(1,Inputs!$C$84*12),AI200+AJ196)</f>
        <v>-3833.33333333333</v>
      </c>
      <c r="AK198" s="66" t="n">
        <f aca="false">-MIN(AK197/MAX(1,Inputs!$C$84*12),AJ200+AK196)</f>
        <v>-3833.33333333333</v>
      </c>
      <c r="AL198" s="66" t="n">
        <f aca="false">-MIN(AL197/MAX(1,Inputs!$C$84*12),AK200+AL196)</f>
        <v>-3833.33333333333</v>
      </c>
      <c r="AM198" s="66" t="n">
        <f aca="false">-MIN(AM197/MAX(1,Inputs!$C$84*12),AL200+AM196)</f>
        <v>-3908.33333333333</v>
      </c>
      <c r="AN198" s="66" t="n">
        <f aca="false">-MIN(AN197/MAX(1,Inputs!$C$84*12),AM200+AN196)</f>
        <v>-3908.33333333333</v>
      </c>
      <c r="AO198" s="66" t="n">
        <f aca="false">-MIN(AO197/MAX(1,Inputs!$C$84*12),AN200+AO196)</f>
        <v>-3908.33333333333</v>
      </c>
      <c r="AP198" s="66" t="n">
        <f aca="false">-MIN(AP197/MAX(1,Inputs!$C$84*12),AO200+AP196)</f>
        <v>-3908.33333333333</v>
      </c>
      <c r="AQ198" s="66" t="n">
        <f aca="false">-MIN(AQ197/MAX(1,Inputs!$C$84*12),AP200+AQ196)</f>
        <v>-3908.33333333333</v>
      </c>
      <c r="AR198" s="66" t="n">
        <f aca="false">-MIN(AR197/MAX(1,Inputs!$C$84*12),AQ200+AR196)</f>
        <v>-3908.33333333333</v>
      </c>
      <c r="AS198" s="66" t="n">
        <f aca="false">-MIN(AS197/MAX(1,Inputs!$C$84*12),AR200+AS196)</f>
        <v>-3908.33333333333</v>
      </c>
      <c r="AT198" s="66" t="n">
        <f aca="false">-MIN(AT197/MAX(1,Inputs!$C$84*12),AS200+AT196)</f>
        <v>-3908.33333333333</v>
      </c>
      <c r="AU198" s="66" t="n">
        <f aca="false">-MIN(AU197/MAX(1,Inputs!$C$84*12),AT200+AU196)</f>
        <v>-3908.33333333333</v>
      </c>
      <c r="AV198" s="66" t="n">
        <f aca="false">-MIN(AV197/MAX(1,Inputs!$C$84*12),AU200+AV196)</f>
        <v>-3908.33333333333</v>
      </c>
      <c r="AW198" s="66" t="n">
        <f aca="false">-MIN(AW197/MAX(1,Inputs!$C$84*12),AV200+AW196)</f>
        <v>-3908.33333333333</v>
      </c>
      <c r="AX198" s="66" t="n">
        <f aca="false">-MIN(AX197/MAX(1,Inputs!$C$84*12),AW200+AX196)</f>
        <v>-3908.33333333333</v>
      </c>
      <c r="AY198" s="66" t="n">
        <f aca="false">-MIN(AY197/MAX(1,Inputs!$C$84*12),AX200+AY196)</f>
        <v>-3983.33333333333</v>
      </c>
      <c r="AZ198" s="66" t="n">
        <f aca="false">-MIN(AZ197/MAX(1,Inputs!$C$84*12),AY200+AZ196)</f>
        <v>-3983.33333333333</v>
      </c>
      <c r="BA198" s="66" t="n">
        <f aca="false">-MIN(BA197/MAX(1,Inputs!$C$84*12),AZ200+BA196)</f>
        <v>-3983.33333333333</v>
      </c>
      <c r="BB198" s="66" t="n">
        <f aca="false">-MIN(BB197/MAX(1,Inputs!$C$84*12),BA200+BB196)</f>
        <v>-3983.33333333333</v>
      </c>
      <c r="BC198" s="66" t="n">
        <f aca="false">-MIN(BC197/MAX(1,Inputs!$C$84*12),BB200+BC196)</f>
        <v>-3983.33333333333</v>
      </c>
      <c r="BD198" s="66" t="n">
        <f aca="false">-MIN(BD197/MAX(1,Inputs!$C$84*12),BC200+BD196)</f>
        <v>-3983.33333333333</v>
      </c>
      <c r="BE198" s="66" t="n">
        <f aca="false">-MIN(BE197/MAX(1,Inputs!$C$84*12),BD200+BE196)</f>
        <v>-3983.33333333333</v>
      </c>
      <c r="BF198" s="66" t="n">
        <f aca="false">-MIN(BF197/MAX(1,Inputs!$C$84*12),BE200+BF196)</f>
        <v>-3983.33333333333</v>
      </c>
      <c r="BG198" s="66" t="n">
        <f aca="false">-MIN(BG197/MAX(1,Inputs!$C$84*12),BF200+BG196)</f>
        <v>-3983.33333333333</v>
      </c>
      <c r="BH198" s="66" t="n">
        <f aca="false">-MIN(BH197/MAX(1,Inputs!$C$84*12),BG200+BH196)</f>
        <v>-3983.33333333333</v>
      </c>
      <c r="BI198" s="66" t="n">
        <f aca="false">-MIN(BI197/MAX(1,Inputs!$C$84*12),BH200+BI196)</f>
        <v>-3983.33333333333</v>
      </c>
      <c r="BJ198" s="66" t="n">
        <f aca="false">-MIN(BJ197/MAX(1,Inputs!$C$84*12),BI200+BJ196)</f>
        <v>-3983.33333333333</v>
      </c>
    </row>
    <row r="199" customFormat="false" ht="15" hidden="false" customHeight="false" outlineLevel="0" collapsed="false">
      <c r="A199" s="6" t="s">
        <v>445</v>
      </c>
      <c r="C199" s="66" t="n">
        <f aca="false">C198</f>
        <v>-3683.33333333333</v>
      </c>
      <c r="D199" s="66" t="n">
        <f aca="false">C199+D198</f>
        <v>-7366.66666666667</v>
      </c>
      <c r="E199" s="66" t="n">
        <f aca="false">D199+E198</f>
        <v>-11050</v>
      </c>
      <c r="F199" s="66" t="n">
        <f aca="false">E199+F198</f>
        <v>-14733.3333333333</v>
      </c>
      <c r="G199" s="66" t="n">
        <f aca="false">F199+G198</f>
        <v>-18416.6666666667</v>
      </c>
      <c r="H199" s="66" t="n">
        <f aca="false">G199+H198</f>
        <v>-22100</v>
      </c>
      <c r="I199" s="66" t="n">
        <f aca="false">H199+I198</f>
        <v>-25783.3333333333</v>
      </c>
      <c r="J199" s="66" t="n">
        <f aca="false">I199+J198</f>
        <v>-29466.6666666667</v>
      </c>
      <c r="K199" s="66" t="n">
        <f aca="false">J199+K198</f>
        <v>-33150</v>
      </c>
      <c r="L199" s="66" t="n">
        <f aca="false">K199+L198</f>
        <v>-36833.3333333333</v>
      </c>
      <c r="M199" s="66" t="n">
        <f aca="false">L199+M198</f>
        <v>-40516.6666666667</v>
      </c>
      <c r="N199" s="66" t="n">
        <f aca="false">M199+N198</f>
        <v>-44200</v>
      </c>
      <c r="O199" s="66" t="n">
        <f aca="false">N199+O198</f>
        <v>-47958.3333333333</v>
      </c>
      <c r="P199" s="66" t="n">
        <f aca="false">O199+P198</f>
        <v>-51716.6666666667</v>
      </c>
      <c r="Q199" s="66" t="n">
        <f aca="false">P199+Q198</f>
        <v>-55475</v>
      </c>
      <c r="R199" s="66" t="n">
        <f aca="false">Q199+R198</f>
        <v>-59233.3333333334</v>
      </c>
      <c r="S199" s="66" t="n">
        <f aca="false">R199+S198</f>
        <v>-62991.6666666667</v>
      </c>
      <c r="T199" s="66" t="n">
        <f aca="false">S199+T198</f>
        <v>-66750</v>
      </c>
      <c r="U199" s="66" t="n">
        <f aca="false">T199+U198</f>
        <v>-70508.3333333333</v>
      </c>
      <c r="V199" s="66" t="n">
        <f aca="false">U199+V198</f>
        <v>-74266.6666666667</v>
      </c>
      <c r="W199" s="66" t="n">
        <f aca="false">V199+W198</f>
        <v>-78025</v>
      </c>
      <c r="X199" s="66" t="n">
        <f aca="false">W199+X198</f>
        <v>-81783.3333333333</v>
      </c>
      <c r="Y199" s="66" t="n">
        <f aca="false">X199+Y198</f>
        <v>-85541.6666666667</v>
      </c>
      <c r="Z199" s="66" t="n">
        <f aca="false">Y199+Z198</f>
        <v>-89300</v>
      </c>
      <c r="AA199" s="66" t="n">
        <f aca="false">Z199+AA198</f>
        <v>-93133.3333333333</v>
      </c>
      <c r="AB199" s="66" t="n">
        <f aca="false">AA199+AB198</f>
        <v>-96966.6666666666</v>
      </c>
      <c r="AC199" s="66" t="n">
        <f aca="false">AB199+AC198</f>
        <v>-100800</v>
      </c>
      <c r="AD199" s="66" t="n">
        <f aca="false">AC199+AD198</f>
        <v>-104633.333333333</v>
      </c>
      <c r="AE199" s="66" t="n">
        <f aca="false">AD199+AE198</f>
        <v>-108466.666666667</v>
      </c>
      <c r="AF199" s="66" t="n">
        <f aca="false">AE199+AF198</f>
        <v>-112300</v>
      </c>
      <c r="AG199" s="66" t="n">
        <f aca="false">AF199+AG198</f>
        <v>-116133.333333333</v>
      </c>
      <c r="AH199" s="66" t="n">
        <f aca="false">AG199+AH198</f>
        <v>-119966.666666667</v>
      </c>
      <c r="AI199" s="66" t="n">
        <f aca="false">AH199+AI198</f>
        <v>-123800</v>
      </c>
      <c r="AJ199" s="66" t="n">
        <f aca="false">AI199+AJ198</f>
        <v>-127633.333333333</v>
      </c>
      <c r="AK199" s="66" t="n">
        <f aca="false">AJ199+AK198</f>
        <v>-131466.666666667</v>
      </c>
      <c r="AL199" s="66" t="n">
        <f aca="false">AK199+AL198</f>
        <v>-135300</v>
      </c>
      <c r="AM199" s="66" t="n">
        <f aca="false">AL199+AM198</f>
        <v>-139208.333333333</v>
      </c>
      <c r="AN199" s="66" t="n">
        <f aca="false">AM199+AN198</f>
        <v>-143116.666666667</v>
      </c>
      <c r="AO199" s="66" t="n">
        <f aca="false">AN199+AO198</f>
        <v>-147025</v>
      </c>
      <c r="AP199" s="66" t="n">
        <f aca="false">AO199+AP198</f>
        <v>-150933.333333333</v>
      </c>
      <c r="AQ199" s="66" t="n">
        <f aca="false">AP199+AQ198</f>
        <v>-154841.666666667</v>
      </c>
      <c r="AR199" s="66" t="n">
        <f aca="false">AQ199+AR198</f>
        <v>-158750</v>
      </c>
      <c r="AS199" s="66" t="n">
        <f aca="false">AR199+AS198</f>
        <v>-162658.333333333</v>
      </c>
      <c r="AT199" s="66" t="n">
        <f aca="false">AS199+AT198</f>
        <v>-166566.666666667</v>
      </c>
      <c r="AU199" s="66" t="n">
        <f aca="false">AT199+AU198</f>
        <v>-170475</v>
      </c>
      <c r="AV199" s="66" t="n">
        <f aca="false">AU199+AV198</f>
        <v>-174383.333333333</v>
      </c>
      <c r="AW199" s="66" t="n">
        <f aca="false">AV199+AW198</f>
        <v>-178291.666666667</v>
      </c>
      <c r="AX199" s="66" t="n">
        <f aca="false">AW199+AX198</f>
        <v>-182200</v>
      </c>
      <c r="AY199" s="66" t="n">
        <f aca="false">AX199+AY198</f>
        <v>-186183.333333333</v>
      </c>
      <c r="AZ199" s="66" t="n">
        <f aca="false">AY199+AZ198</f>
        <v>-190166.666666667</v>
      </c>
      <c r="BA199" s="66" t="n">
        <f aca="false">AZ199+BA198</f>
        <v>-194150</v>
      </c>
      <c r="BB199" s="66" t="n">
        <f aca="false">BA199+BB198</f>
        <v>-198133.333333333</v>
      </c>
      <c r="BC199" s="66" t="n">
        <f aca="false">BB199+BC198</f>
        <v>-202116.666666667</v>
      </c>
      <c r="BD199" s="66" t="n">
        <f aca="false">BC199+BD198</f>
        <v>-206100</v>
      </c>
      <c r="BE199" s="66" t="n">
        <f aca="false">BD199+BE198</f>
        <v>-210083.333333333</v>
      </c>
      <c r="BF199" s="66" t="n">
        <f aca="false">BE199+BF198</f>
        <v>-214066.666666667</v>
      </c>
      <c r="BG199" s="66" t="n">
        <f aca="false">BF199+BG198</f>
        <v>-218050</v>
      </c>
      <c r="BH199" s="66" t="n">
        <f aca="false">BG199+BH198</f>
        <v>-222033.333333334</v>
      </c>
      <c r="BI199" s="66" t="n">
        <f aca="false">BH199+BI198</f>
        <v>-226016.666666667</v>
      </c>
      <c r="BJ199" s="66" t="n">
        <f aca="false">BI199+BJ198</f>
        <v>-230000</v>
      </c>
    </row>
    <row r="200" customFormat="false" ht="15" hidden="false" customHeight="false" outlineLevel="0" collapsed="false">
      <c r="A200" s="4" t="s">
        <v>91</v>
      </c>
      <c r="C200" s="72" t="n">
        <f aca="false">C197+C199</f>
        <v>438316.666666667</v>
      </c>
      <c r="D200" s="72" t="n">
        <f aca="false">D197+D199</f>
        <v>434633.333333333</v>
      </c>
      <c r="E200" s="72" t="n">
        <f aca="false">E197+E199</f>
        <v>430950</v>
      </c>
      <c r="F200" s="72" t="n">
        <f aca="false">F197+F199</f>
        <v>427266.666666667</v>
      </c>
      <c r="G200" s="72" t="n">
        <f aca="false">G197+G199</f>
        <v>423583.333333333</v>
      </c>
      <c r="H200" s="72" t="n">
        <f aca="false">H197+H199</f>
        <v>419900</v>
      </c>
      <c r="I200" s="72" t="n">
        <f aca="false">I197+I199</f>
        <v>416216.666666667</v>
      </c>
      <c r="J200" s="72" t="n">
        <f aca="false">J197+J199</f>
        <v>412533.333333333</v>
      </c>
      <c r="K200" s="72" t="n">
        <f aca="false">K197+K199</f>
        <v>408850</v>
      </c>
      <c r="L200" s="72" t="n">
        <f aca="false">L197+L199</f>
        <v>405166.666666667</v>
      </c>
      <c r="M200" s="72" t="n">
        <f aca="false">M197+M199</f>
        <v>401483.333333333</v>
      </c>
      <c r="N200" s="72" t="n">
        <f aca="false">N197+N199</f>
        <v>397800</v>
      </c>
      <c r="O200" s="72" t="n">
        <f aca="false">O197+O199</f>
        <v>403041.666666667</v>
      </c>
      <c r="P200" s="72" t="n">
        <f aca="false">P197+P199</f>
        <v>399283.333333333</v>
      </c>
      <c r="Q200" s="72" t="n">
        <f aca="false">Q197+Q199</f>
        <v>395525</v>
      </c>
      <c r="R200" s="72" t="n">
        <f aca="false">R197+R199</f>
        <v>391766.666666667</v>
      </c>
      <c r="S200" s="72" t="n">
        <f aca="false">S197+S199</f>
        <v>388008.333333333</v>
      </c>
      <c r="T200" s="72" t="n">
        <f aca="false">T197+T199</f>
        <v>384250</v>
      </c>
      <c r="U200" s="72" t="n">
        <f aca="false">U197+U199</f>
        <v>380491.666666667</v>
      </c>
      <c r="V200" s="72" t="n">
        <f aca="false">V197+V199</f>
        <v>376733.333333333</v>
      </c>
      <c r="W200" s="72" t="n">
        <f aca="false">W197+W199</f>
        <v>372975</v>
      </c>
      <c r="X200" s="72" t="n">
        <f aca="false">X197+X199</f>
        <v>369216.666666667</v>
      </c>
      <c r="Y200" s="72" t="n">
        <f aca="false">Y197+Y199</f>
        <v>365458.333333333</v>
      </c>
      <c r="Z200" s="72" t="n">
        <f aca="false">Z197+Z199</f>
        <v>361700</v>
      </c>
      <c r="AA200" s="72" t="n">
        <f aca="false">AA197+AA199</f>
        <v>366866.666666667</v>
      </c>
      <c r="AB200" s="72" t="n">
        <f aca="false">AB197+AB199</f>
        <v>363033.333333333</v>
      </c>
      <c r="AC200" s="72" t="n">
        <f aca="false">AC197+AC199</f>
        <v>359200</v>
      </c>
      <c r="AD200" s="72" t="n">
        <f aca="false">AD197+AD199</f>
        <v>355366.666666667</v>
      </c>
      <c r="AE200" s="72" t="n">
        <f aca="false">AE197+AE199</f>
        <v>351533.333333333</v>
      </c>
      <c r="AF200" s="72" t="n">
        <f aca="false">AF197+AF199</f>
        <v>347700</v>
      </c>
      <c r="AG200" s="72" t="n">
        <f aca="false">AG197+AG199</f>
        <v>343866.666666667</v>
      </c>
      <c r="AH200" s="72" t="n">
        <f aca="false">AH197+AH199</f>
        <v>340033.333333333</v>
      </c>
      <c r="AI200" s="72" t="n">
        <f aca="false">AI197+AI199</f>
        <v>336200</v>
      </c>
      <c r="AJ200" s="72" t="n">
        <f aca="false">AJ197+AJ199</f>
        <v>332366.666666667</v>
      </c>
      <c r="AK200" s="72" t="n">
        <f aca="false">AK197+AK199</f>
        <v>328533.333333333</v>
      </c>
      <c r="AL200" s="72" t="n">
        <f aca="false">AL197+AL199</f>
        <v>324700</v>
      </c>
      <c r="AM200" s="72" t="n">
        <f aca="false">AM197+AM199</f>
        <v>329791.666666667</v>
      </c>
      <c r="AN200" s="72" t="n">
        <f aca="false">AN197+AN199</f>
        <v>325883.333333333</v>
      </c>
      <c r="AO200" s="72" t="n">
        <f aca="false">AO197+AO199</f>
        <v>321975</v>
      </c>
      <c r="AP200" s="72" t="n">
        <f aca="false">AP197+AP199</f>
        <v>318066.666666667</v>
      </c>
      <c r="AQ200" s="72" t="n">
        <f aca="false">AQ197+AQ199</f>
        <v>314158.333333333</v>
      </c>
      <c r="AR200" s="72" t="n">
        <f aca="false">AR197+AR199</f>
        <v>310250</v>
      </c>
      <c r="AS200" s="72" t="n">
        <f aca="false">AS197+AS199</f>
        <v>306341.666666667</v>
      </c>
      <c r="AT200" s="72" t="n">
        <f aca="false">AT197+AT199</f>
        <v>302433.333333333</v>
      </c>
      <c r="AU200" s="72" t="n">
        <f aca="false">AU197+AU199</f>
        <v>298525</v>
      </c>
      <c r="AV200" s="72" t="n">
        <f aca="false">AV197+AV199</f>
        <v>294616.666666667</v>
      </c>
      <c r="AW200" s="72" t="n">
        <f aca="false">AW197+AW199</f>
        <v>290708.333333333</v>
      </c>
      <c r="AX200" s="72" t="n">
        <f aca="false">AX197+AX199</f>
        <v>286800</v>
      </c>
      <c r="AY200" s="72" t="n">
        <f aca="false">AY197+AY199</f>
        <v>291816.666666667</v>
      </c>
      <c r="AZ200" s="72" t="n">
        <f aca="false">AZ197+AZ199</f>
        <v>287833.333333333</v>
      </c>
      <c r="BA200" s="72" t="n">
        <f aca="false">BA197+BA199</f>
        <v>283850</v>
      </c>
      <c r="BB200" s="72" t="n">
        <f aca="false">BB197+BB199</f>
        <v>279866.666666667</v>
      </c>
      <c r="BC200" s="72" t="n">
        <f aca="false">BC197+BC199</f>
        <v>275883.333333333</v>
      </c>
      <c r="BD200" s="72" t="n">
        <f aca="false">BD197+BD199</f>
        <v>271900</v>
      </c>
      <c r="BE200" s="72" t="n">
        <f aca="false">BE197+BE199</f>
        <v>267916.666666667</v>
      </c>
      <c r="BF200" s="72" t="n">
        <f aca="false">BF197+BF199</f>
        <v>263933.333333333</v>
      </c>
      <c r="BG200" s="72" t="n">
        <f aca="false">BG197+BG199</f>
        <v>259950</v>
      </c>
      <c r="BH200" s="72" t="n">
        <f aca="false">BH197+BH199</f>
        <v>255966.666666667</v>
      </c>
      <c r="BI200" s="72" t="n">
        <f aca="false">BI197+BI199</f>
        <v>251983.333333333</v>
      </c>
      <c r="BJ200" s="72" t="n">
        <f aca="false">BJ197+BJ199</f>
        <v>248000</v>
      </c>
    </row>
    <row r="202" customFormat="false" ht="15.75" hidden="false" customHeight="true" outlineLevel="0" collapsed="false">
      <c r="A202" s="7" t="s">
        <v>446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447</v>
      </c>
      <c r="C203" s="66" t="n">
        <f aca="false">0</f>
        <v>0</v>
      </c>
      <c r="D203" s="66" t="n">
        <f aca="false">C206</f>
        <v>250000</v>
      </c>
      <c r="E203" s="66" t="n">
        <f aca="false">D206</f>
        <v>247916.666666667</v>
      </c>
      <c r="F203" s="66" t="n">
        <f aca="false">E206</f>
        <v>245833.333333333</v>
      </c>
      <c r="G203" s="66" t="n">
        <f aca="false">F206</f>
        <v>243750</v>
      </c>
      <c r="H203" s="66" t="n">
        <f aca="false">G206</f>
        <v>241666.666666667</v>
      </c>
      <c r="I203" s="66" t="n">
        <f aca="false">H206</f>
        <v>239583.333333333</v>
      </c>
      <c r="J203" s="66" t="n">
        <f aca="false">I206</f>
        <v>237500</v>
      </c>
      <c r="K203" s="66" t="n">
        <f aca="false">J206</f>
        <v>235416.666666667</v>
      </c>
      <c r="L203" s="66" t="n">
        <f aca="false">K206</f>
        <v>233333.333333333</v>
      </c>
      <c r="M203" s="66" t="n">
        <f aca="false">L206</f>
        <v>231250</v>
      </c>
      <c r="N203" s="66" t="n">
        <f aca="false">M206</f>
        <v>229166.666666667</v>
      </c>
      <c r="O203" s="66" t="n">
        <f aca="false">N206</f>
        <v>227083.333333333</v>
      </c>
      <c r="P203" s="66" t="n">
        <f aca="false">O206</f>
        <v>225000</v>
      </c>
      <c r="Q203" s="66" t="n">
        <f aca="false">P206</f>
        <v>222916.666666667</v>
      </c>
      <c r="R203" s="66" t="n">
        <f aca="false">Q206</f>
        <v>220833.333333333</v>
      </c>
      <c r="S203" s="66" t="n">
        <f aca="false">R206</f>
        <v>218750</v>
      </c>
      <c r="T203" s="66" t="n">
        <f aca="false">S206</f>
        <v>216666.666666667</v>
      </c>
      <c r="U203" s="66" t="n">
        <f aca="false">T206</f>
        <v>214583.333333333</v>
      </c>
      <c r="V203" s="66" t="n">
        <f aca="false">U206</f>
        <v>212500</v>
      </c>
      <c r="W203" s="66" t="n">
        <f aca="false">V206</f>
        <v>210416.666666666</v>
      </c>
      <c r="X203" s="66" t="n">
        <f aca="false">W206</f>
        <v>208333.333333333</v>
      </c>
      <c r="Y203" s="66" t="n">
        <f aca="false">X206</f>
        <v>206250</v>
      </c>
      <c r="Z203" s="66" t="n">
        <f aca="false">Y206</f>
        <v>204166.666666666</v>
      </c>
      <c r="AA203" s="66" t="n">
        <f aca="false">Z206</f>
        <v>202083.333333333</v>
      </c>
      <c r="AB203" s="66" t="n">
        <f aca="false">AA206</f>
        <v>200000</v>
      </c>
      <c r="AC203" s="66" t="n">
        <f aca="false">AB206</f>
        <v>197916.666666666</v>
      </c>
      <c r="AD203" s="66" t="n">
        <f aca="false">AC206</f>
        <v>195833.333333333</v>
      </c>
      <c r="AE203" s="66" t="n">
        <f aca="false">AD206</f>
        <v>193750</v>
      </c>
      <c r="AF203" s="66" t="n">
        <f aca="false">AE206</f>
        <v>191666.666666666</v>
      </c>
      <c r="AG203" s="66" t="n">
        <f aca="false">AF206</f>
        <v>189583.333333333</v>
      </c>
      <c r="AH203" s="66" t="n">
        <f aca="false">AG206</f>
        <v>187500</v>
      </c>
      <c r="AI203" s="66" t="n">
        <f aca="false">AH206</f>
        <v>185416.666666666</v>
      </c>
      <c r="AJ203" s="66" t="n">
        <f aca="false">AI206</f>
        <v>183333.333333333</v>
      </c>
      <c r="AK203" s="66" t="n">
        <f aca="false">AJ206</f>
        <v>181250</v>
      </c>
      <c r="AL203" s="66" t="n">
        <f aca="false">AK206</f>
        <v>179166.666666666</v>
      </c>
      <c r="AM203" s="66" t="n">
        <f aca="false">AL206</f>
        <v>177083.333333333</v>
      </c>
      <c r="AN203" s="66" t="n">
        <f aca="false">AM206</f>
        <v>175000</v>
      </c>
      <c r="AO203" s="66" t="n">
        <f aca="false">AN206</f>
        <v>172916.666666666</v>
      </c>
      <c r="AP203" s="66" t="n">
        <f aca="false">AO206</f>
        <v>170833.333333333</v>
      </c>
      <c r="AQ203" s="66" t="n">
        <f aca="false">AP206</f>
        <v>168750</v>
      </c>
      <c r="AR203" s="66" t="n">
        <f aca="false">AQ206</f>
        <v>166666.666666666</v>
      </c>
      <c r="AS203" s="66" t="n">
        <f aca="false">AR206</f>
        <v>164583.333333333</v>
      </c>
      <c r="AT203" s="66" t="n">
        <f aca="false">AS206</f>
        <v>162500</v>
      </c>
      <c r="AU203" s="66" t="n">
        <f aca="false">AT206</f>
        <v>160416.666666666</v>
      </c>
      <c r="AV203" s="66" t="n">
        <f aca="false">AU206</f>
        <v>158333.333333333</v>
      </c>
      <c r="AW203" s="66" t="n">
        <f aca="false">AV206</f>
        <v>156250</v>
      </c>
      <c r="AX203" s="66" t="n">
        <f aca="false">AW206</f>
        <v>154166.666666666</v>
      </c>
      <c r="AY203" s="66" t="n">
        <f aca="false">AX206</f>
        <v>152083.333333333</v>
      </c>
      <c r="AZ203" s="66" t="n">
        <f aca="false">AY206</f>
        <v>150000</v>
      </c>
      <c r="BA203" s="66" t="n">
        <f aca="false">AZ206</f>
        <v>147916.666666666</v>
      </c>
      <c r="BB203" s="66" t="n">
        <f aca="false">BA206</f>
        <v>145833.333333333</v>
      </c>
      <c r="BC203" s="66" t="n">
        <f aca="false">BB206</f>
        <v>143750</v>
      </c>
      <c r="BD203" s="66" t="n">
        <f aca="false">BC206</f>
        <v>141666.666666666</v>
      </c>
      <c r="BE203" s="66" t="n">
        <f aca="false">BD206</f>
        <v>139583.333333333</v>
      </c>
      <c r="BF203" s="66" t="n">
        <f aca="false">BE206</f>
        <v>137499.999999999</v>
      </c>
      <c r="BG203" s="66" t="n">
        <f aca="false">BF206</f>
        <v>135416.666666666</v>
      </c>
      <c r="BH203" s="66" t="n">
        <f aca="false">BG206</f>
        <v>133333.333333333</v>
      </c>
      <c r="BI203" s="66" t="n">
        <f aca="false">BH206</f>
        <v>131249.999999999</v>
      </c>
      <c r="BJ203" s="66" t="n">
        <f aca="false">BI206</f>
        <v>129166.666666666</v>
      </c>
    </row>
    <row r="204" customFormat="false" ht="15" hidden="false" customHeight="false" outlineLevel="0" collapsed="false">
      <c r="A204" s="6" t="s">
        <v>84</v>
      </c>
      <c r="C204" s="66" t="n">
        <f aca="false">IF(C$132=1,Inputs!$C$74,0)</f>
        <v>250000</v>
      </c>
      <c r="D204" s="66" t="n">
        <f aca="false">IF(D$132=1,Inputs!$C$74,0)</f>
        <v>0</v>
      </c>
      <c r="E204" s="66" t="n">
        <f aca="false">IF(E$132=1,Inputs!$C$74,0)</f>
        <v>0</v>
      </c>
      <c r="F204" s="66" t="n">
        <f aca="false">IF(F$132=1,Inputs!$C$74,0)</f>
        <v>0</v>
      </c>
      <c r="G204" s="66" t="n">
        <f aca="false">IF(G$132=1,Inputs!$C$74,0)</f>
        <v>0</v>
      </c>
      <c r="H204" s="66" t="n">
        <f aca="false">IF(H$132=1,Inputs!$C$74,0)</f>
        <v>0</v>
      </c>
      <c r="I204" s="66" t="n">
        <f aca="false">IF(I$132=1,Inputs!$C$74,0)</f>
        <v>0</v>
      </c>
      <c r="J204" s="66" t="n">
        <f aca="false">IF(J$132=1,Inputs!$C$74,0)</f>
        <v>0</v>
      </c>
      <c r="K204" s="66" t="n">
        <f aca="false">IF(K$132=1,Inputs!$C$74,0)</f>
        <v>0</v>
      </c>
      <c r="L204" s="66" t="n">
        <f aca="false">IF(L$132=1,Inputs!$C$74,0)</f>
        <v>0</v>
      </c>
      <c r="M204" s="66" t="n">
        <f aca="false">IF(M$132=1,Inputs!$C$74,0)</f>
        <v>0</v>
      </c>
      <c r="N204" s="66" t="n">
        <f aca="false">IF(N$132=1,Inputs!$C$74,0)</f>
        <v>0</v>
      </c>
      <c r="O204" s="66" t="n">
        <f aca="false">IF(O$132=1,Inputs!$C$74,0)</f>
        <v>0</v>
      </c>
      <c r="P204" s="66" t="n">
        <f aca="false">IF(P$132=1,Inputs!$C$74,0)</f>
        <v>0</v>
      </c>
      <c r="Q204" s="66" t="n">
        <f aca="false">IF(Q$132=1,Inputs!$C$74,0)</f>
        <v>0</v>
      </c>
      <c r="R204" s="66" t="n">
        <f aca="false">IF(R$132=1,Inputs!$C$74,0)</f>
        <v>0</v>
      </c>
      <c r="S204" s="66" t="n">
        <f aca="false">IF(S$132=1,Inputs!$C$74,0)</f>
        <v>0</v>
      </c>
      <c r="T204" s="66" t="n">
        <f aca="false">IF(T$132=1,Inputs!$C$74,0)</f>
        <v>0</v>
      </c>
      <c r="U204" s="66" t="n">
        <f aca="false">IF(U$132=1,Inputs!$C$74,0)</f>
        <v>0</v>
      </c>
      <c r="V204" s="66" t="n">
        <f aca="false">IF(V$132=1,Inputs!$C$74,0)</f>
        <v>0</v>
      </c>
      <c r="W204" s="66" t="n">
        <f aca="false">IF(W$132=1,Inputs!$C$74,0)</f>
        <v>0</v>
      </c>
      <c r="X204" s="66" t="n">
        <f aca="false">IF(X$132=1,Inputs!$C$74,0)</f>
        <v>0</v>
      </c>
      <c r="Y204" s="66" t="n">
        <f aca="false">IF(Y$132=1,Inputs!$C$74,0)</f>
        <v>0</v>
      </c>
      <c r="Z204" s="66" t="n">
        <f aca="false">IF(Z$132=1,Inputs!$C$74,0)</f>
        <v>0</v>
      </c>
      <c r="AA204" s="66" t="n">
        <f aca="false">IF(AA$132=1,Inputs!$C$74,0)</f>
        <v>0</v>
      </c>
      <c r="AB204" s="66" t="n">
        <f aca="false">IF(AB$132=1,Inputs!$C$74,0)</f>
        <v>0</v>
      </c>
      <c r="AC204" s="66" t="n">
        <f aca="false">IF(AC$132=1,Inputs!$C$74,0)</f>
        <v>0</v>
      </c>
      <c r="AD204" s="66" t="n">
        <f aca="false">IF(AD$132=1,Inputs!$C$74,0)</f>
        <v>0</v>
      </c>
      <c r="AE204" s="66" t="n">
        <f aca="false">IF(AE$132=1,Inputs!$C$74,0)</f>
        <v>0</v>
      </c>
      <c r="AF204" s="66" t="n">
        <f aca="false">IF(AF$132=1,Inputs!$C$74,0)</f>
        <v>0</v>
      </c>
      <c r="AG204" s="66" t="n">
        <f aca="false">IF(AG$132=1,Inputs!$C$74,0)</f>
        <v>0</v>
      </c>
      <c r="AH204" s="66" t="n">
        <f aca="false">IF(AH$132=1,Inputs!$C$74,0)</f>
        <v>0</v>
      </c>
      <c r="AI204" s="66" t="n">
        <f aca="false">IF(AI$132=1,Inputs!$C$74,0)</f>
        <v>0</v>
      </c>
      <c r="AJ204" s="66" t="n">
        <f aca="false">IF(AJ$132=1,Inputs!$C$74,0)</f>
        <v>0</v>
      </c>
      <c r="AK204" s="66" t="n">
        <f aca="false">IF(AK$132=1,Inputs!$C$74,0)</f>
        <v>0</v>
      </c>
      <c r="AL204" s="66" t="n">
        <f aca="false">IF(AL$132=1,Inputs!$C$74,0)</f>
        <v>0</v>
      </c>
      <c r="AM204" s="66" t="n">
        <f aca="false">IF(AM$132=1,Inputs!$C$74,0)</f>
        <v>0</v>
      </c>
      <c r="AN204" s="66" t="n">
        <f aca="false">IF(AN$132=1,Inputs!$C$74,0)</f>
        <v>0</v>
      </c>
      <c r="AO204" s="66" t="n">
        <f aca="false">IF(AO$132=1,Inputs!$C$74,0)</f>
        <v>0</v>
      </c>
      <c r="AP204" s="66" t="n">
        <f aca="false">IF(AP$132=1,Inputs!$C$74,0)</f>
        <v>0</v>
      </c>
      <c r="AQ204" s="66" t="n">
        <f aca="false">IF(AQ$132=1,Inputs!$C$74,0)</f>
        <v>0</v>
      </c>
      <c r="AR204" s="66" t="n">
        <f aca="false">IF(AR$132=1,Inputs!$C$74,0)</f>
        <v>0</v>
      </c>
      <c r="AS204" s="66" t="n">
        <f aca="false">IF(AS$132=1,Inputs!$C$74,0)</f>
        <v>0</v>
      </c>
      <c r="AT204" s="66" t="n">
        <f aca="false">IF(AT$132=1,Inputs!$C$74,0)</f>
        <v>0</v>
      </c>
      <c r="AU204" s="66" t="n">
        <f aca="false">IF(AU$132=1,Inputs!$C$74,0)</f>
        <v>0</v>
      </c>
      <c r="AV204" s="66" t="n">
        <f aca="false">IF(AV$132=1,Inputs!$C$74,0)</f>
        <v>0</v>
      </c>
      <c r="AW204" s="66" t="n">
        <f aca="false">IF(AW$132=1,Inputs!$C$74,0)</f>
        <v>0</v>
      </c>
      <c r="AX204" s="66" t="n">
        <f aca="false">IF(AX$132=1,Inputs!$C$74,0)</f>
        <v>0</v>
      </c>
      <c r="AY204" s="66" t="n">
        <f aca="false">IF(AY$132=1,Inputs!$C$74,0)</f>
        <v>0</v>
      </c>
      <c r="AZ204" s="66" t="n">
        <f aca="false">IF(AZ$132=1,Inputs!$C$74,0)</f>
        <v>0</v>
      </c>
      <c r="BA204" s="66" t="n">
        <f aca="false">IF(BA$132=1,Inputs!$C$74,0)</f>
        <v>0</v>
      </c>
      <c r="BB204" s="66" t="n">
        <f aca="false">IF(BB$132=1,Inputs!$C$74,0)</f>
        <v>0</v>
      </c>
      <c r="BC204" s="66" t="n">
        <f aca="false">IF(BC$132=1,Inputs!$C$74,0)</f>
        <v>0</v>
      </c>
      <c r="BD204" s="66" t="n">
        <f aca="false">IF(BD$132=1,Inputs!$C$74,0)</f>
        <v>0</v>
      </c>
      <c r="BE204" s="66" t="n">
        <f aca="false">IF(BE$132=1,Inputs!$C$74,0)</f>
        <v>0</v>
      </c>
      <c r="BF204" s="66" t="n">
        <f aca="false">IF(BF$132=1,Inputs!$C$74,0)</f>
        <v>0</v>
      </c>
      <c r="BG204" s="66" t="n">
        <f aca="false">IF(BG$132=1,Inputs!$C$74,0)</f>
        <v>0</v>
      </c>
      <c r="BH204" s="66" t="n">
        <f aca="false">IF(BH$132=1,Inputs!$C$74,0)</f>
        <v>0</v>
      </c>
      <c r="BI204" s="66" t="n">
        <f aca="false">IF(BI$132=1,Inputs!$C$74,0)</f>
        <v>0</v>
      </c>
      <c r="BJ204" s="66" t="n">
        <f aca="false">IF(BJ$132=1,Inputs!$C$74,0)</f>
        <v>0</v>
      </c>
    </row>
    <row r="205" customFormat="false" ht="15" hidden="false" customHeight="false" outlineLevel="0" collapsed="false">
      <c r="A205" s="6" t="s">
        <v>85</v>
      </c>
      <c r="C205" s="66" t="n">
        <f aca="false">-MIN(C203,Inputs!$C$74/MAX(1,Inputs!$C$76*12))</f>
        <v>-0</v>
      </c>
      <c r="D205" s="66" t="n">
        <f aca="false">-MIN(D203,Inputs!$C$74/MAX(1,Inputs!$C$76*12))</f>
        <v>-2083.33333333333</v>
      </c>
      <c r="E205" s="66" t="n">
        <f aca="false">-MIN(E203,Inputs!$C$74/MAX(1,Inputs!$C$76*12))</f>
        <v>-2083.33333333333</v>
      </c>
      <c r="F205" s="66" t="n">
        <f aca="false">-MIN(F203,Inputs!$C$74/MAX(1,Inputs!$C$76*12))</f>
        <v>-2083.33333333333</v>
      </c>
      <c r="G205" s="66" t="n">
        <f aca="false">-MIN(G203,Inputs!$C$74/MAX(1,Inputs!$C$76*12))</f>
        <v>-2083.33333333333</v>
      </c>
      <c r="H205" s="66" t="n">
        <f aca="false">-MIN(H203,Inputs!$C$74/MAX(1,Inputs!$C$76*12))</f>
        <v>-2083.33333333333</v>
      </c>
      <c r="I205" s="66" t="n">
        <f aca="false">-MIN(I203,Inputs!$C$74/MAX(1,Inputs!$C$76*12))</f>
        <v>-2083.33333333333</v>
      </c>
      <c r="J205" s="66" t="n">
        <f aca="false">-MIN(J203,Inputs!$C$74/MAX(1,Inputs!$C$76*12))</f>
        <v>-2083.33333333333</v>
      </c>
      <c r="K205" s="66" t="n">
        <f aca="false">-MIN(K203,Inputs!$C$74/MAX(1,Inputs!$C$76*12))</f>
        <v>-2083.33333333333</v>
      </c>
      <c r="L205" s="66" t="n">
        <f aca="false">-MIN(L203,Inputs!$C$74/MAX(1,Inputs!$C$76*12))</f>
        <v>-2083.33333333333</v>
      </c>
      <c r="M205" s="66" t="n">
        <f aca="false">-MIN(M203,Inputs!$C$74/MAX(1,Inputs!$C$76*12))</f>
        <v>-2083.33333333333</v>
      </c>
      <c r="N205" s="66" t="n">
        <f aca="false">-MIN(N203,Inputs!$C$74/MAX(1,Inputs!$C$76*12))</f>
        <v>-2083.33333333333</v>
      </c>
      <c r="O205" s="66" t="n">
        <f aca="false">-MIN(O203,Inputs!$C$74/MAX(1,Inputs!$C$76*12))</f>
        <v>-2083.33333333333</v>
      </c>
      <c r="P205" s="66" t="n">
        <f aca="false">-MIN(P203,Inputs!$C$74/MAX(1,Inputs!$C$76*12))</f>
        <v>-2083.33333333333</v>
      </c>
      <c r="Q205" s="66" t="n">
        <f aca="false">-MIN(Q203,Inputs!$C$74/MAX(1,Inputs!$C$76*12))</f>
        <v>-2083.33333333333</v>
      </c>
      <c r="R205" s="66" t="n">
        <f aca="false">-MIN(R203,Inputs!$C$74/MAX(1,Inputs!$C$76*12))</f>
        <v>-2083.33333333333</v>
      </c>
      <c r="S205" s="66" t="n">
        <f aca="false">-MIN(S203,Inputs!$C$74/MAX(1,Inputs!$C$76*12))</f>
        <v>-2083.33333333333</v>
      </c>
      <c r="T205" s="66" t="n">
        <f aca="false">-MIN(T203,Inputs!$C$74/MAX(1,Inputs!$C$76*12))</f>
        <v>-2083.33333333333</v>
      </c>
      <c r="U205" s="66" t="n">
        <f aca="false">-MIN(U203,Inputs!$C$74/MAX(1,Inputs!$C$76*12))</f>
        <v>-2083.33333333333</v>
      </c>
      <c r="V205" s="66" t="n">
        <f aca="false">-MIN(V203,Inputs!$C$74/MAX(1,Inputs!$C$76*12))</f>
        <v>-2083.33333333333</v>
      </c>
      <c r="W205" s="66" t="n">
        <f aca="false">-MIN(W203,Inputs!$C$74/MAX(1,Inputs!$C$76*12))</f>
        <v>-2083.33333333333</v>
      </c>
      <c r="X205" s="66" t="n">
        <f aca="false">-MIN(X203,Inputs!$C$74/MAX(1,Inputs!$C$76*12))</f>
        <v>-2083.33333333333</v>
      </c>
      <c r="Y205" s="66" t="n">
        <f aca="false">-MIN(Y203,Inputs!$C$74/MAX(1,Inputs!$C$76*12))</f>
        <v>-2083.33333333333</v>
      </c>
      <c r="Z205" s="66" t="n">
        <f aca="false">-MIN(Z203,Inputs!$C$74/MAX(1,Inputs!$C$76*12))</f>
        <v>-2083.33333333333</v>
      </c>
      <c r="AA205" s="66" t="n">
        <f aca="false">-MIN(AA203,Inputs!$C$74/MAX(1,Inputs!$C$76*12))</f>
        <v>-2083.33333333333</v>
      </c>
      <c r="AB205" s="66" t="n">
        <f aca="false">-MIN(AB203,Inputs!$C$74/MAX(1,Inputs!$C$76*12))</f>
        <v>-2083.33333333333</v>
      </c>
      <c r="AC205" s="66" t="n">
        <f aca="false">-MIN(AC203,Inputs!$C$74/MAX(1,Inputs!$C$76*12))</f>
        <v>-2083.33333333333</v>
      </c>
      <c r="AD205" s="66" t="n">
        <f aca="false">-MIN(AD203,Inputs!$C$74/MAX(1,Inputs!$C$76*12))</f>
        <v>-2083.33333333333</v>
      </c>
      <c r="AE205" s="66" t="n">
        <f aca="false">-MIN(AE203,Inputs!$C$74/MAX(1,Inputs!$C$76*12))</f>
        <v>-2083.33333333333</v>
      </c>
      <c r="AF205" s="66" t="n">
        <f aca="false">-MIN(AF203,Inputs!$C$74/MAX(1,Inputs!$C$76*12))</f>
        <v>-2083.33333333333</v>
      </c>
      <c r="AG205" s="66" t="n">
        <f aca="false">-MIN(AG203,Inputs!$C$74/MAX(1,Inputs!$C$76*12))</f>
        <v>-2083.33333333333</v>
      </c>
      <c r="AH205" s="66" t="n">
        <f aca="false">-MIN(AH203,Inputs!$C$74/MAX(1,Inputs!$C$76*12))</f>
        <v>-2083.33333333333</v>
      </c>
      <c r="AI205" s="66" t="n">
        <f aca="false">-MIN(AI203,Inputs!$C$74/MAX(1,Inputs!$C$76*12))</f>
        <v>-2083.33333333333</v>
      </c>
      <c r="AJ205" s="66" t="n">
        <f aca="false">-MIN(AJ203,Inputs!$C$74/MAX(1,Inputs!$C$76*12))</f>
        <v>-2083.33333333333</v>
      </c>
      <c r="AK205" s="66" t="n">
        <f aca="false">-MIN(AK203,Inputs!$C$74/MAX(1,Inputs!$C$76*12))</f>
        <v>-2083.33333333333</v>
      </c>
      <c r="AL205" s="66" t="n">
        <f aca="false">-MIN(AL203,Inputs!$C$74/MAX(1,Inputs!$C$76*12))</f>
        <v>-2083.33333333333</v>
      </c>
      <c r="AM205" s="66" t="n">
        <f aca="false">-MIN(AM203,Inputs!$C$74/MAX(1,Inputs!$C$76*12))</f>
        <v>-2083.33333333333</v>
      </c>
      <c r="AN205" s="66" t="n">
        <f aca="false">-MIN(AN203,Inputs!$C$74/MAX(1,Inputs!$C$76*12))</f>
        <v>-2083.33333333333</v>
      </c>
      <c r="AO205" s="66" t="n">
        <f aca="false">-MIN(AO203,Inputs!$C$74/MAX(1,Inputs!$C$76*12))</f>
        <v>-2083.33333333333</v>
      </c>
      <c r="AP205" s="66" t="n">
        <f aca="false">-MIN(AP203,Inputs!$C$74/MAX(1,Inputs!$C$76*12))</f>
        <v>-2083.33333333333</v>
      </c>
      <c r="AQ205" s="66" t="n">
        <f aca="false">-MIN(AQ203,Inputs!$C$74/MAX(1,Inputs!$C$76*12))</f>
        <v>-2083.33333333333</v>
      </c>
      <c r="AR205" s="66" t="n">
        <f aca="false">-MIN(AR203,Inputs!$C$74/MAX(1,Inputs!$C$76*12))</f>
        <v>-2083.33333333333</v>
      </c>
      <c r="AS205" s="66" t="n">
        <f aca="false">-MIN(AS203,Inputs!$C$74/MAX(1,Inputs!$C$76*12))</f>
        <v>-2083.33333333333</v>
      </c>
      <c r="AT205" s="66" t="n">
        <f aca="false">-MIN(AT203,Inputs!$C$74/MAX(1,Inputs!$C$76*12))</f>
        <v>-2083.33333333333</v>
      </c>
      <c r="AU205" s="66" t="n">
        <f aca="false">-MIN(AU203,Inputs!$C$74/MAX(1,Inputs!$C$76*12))</f>
        <v>-2083.33333333333</v>
      </c>
      <c r="AV205" s="66" t="n">
        <f aca="false">-MIN(AV203,Inputs!$C$74/MAX(1,Inputs!$C$76*12))</f>
        <v>-2083.33333333333</v>
      </c>
      <c r="AW205" s="66" t="n">
        <f aca="false">-MIN(AW203,Inputs!$C$74/MAX(1,Inputs!$C$76*12))</f>
        <v>-2083.33333333333</v>
      </c>
      <c r="AX205" s="66" t="n">
        <f aca="false">-MIN(AX203,Inputs!$C$74/MAX(1,Inputs!$C$76*12))</f>
        <v>-2083.33333333333</v>
      </c>
      <c r="AY205" s="66" t="n">
        <f aca="false">-MIN(AY203,Inputs!$C$74/MAX(1,Inputs!$C$76*12))</f>
        <v>-2083.33333333333</v>
      </c>
      <c r="AZ205" s="66" t="n">
        <f aca="false">-MIN(AZ203,Inputs!$C$74/MAX(1,Inputs!$C$76*12))</f>
        <v>-2083.33333333333</v>
      </c>
      <c r="BA205" s="66" t="n">
        <f aca="false">-MIN(BA203,Inputs!$C$74/MAX(1,Inputs!$C$76*12))</f>
        <v>-2083.33333333333</v>
      </c>
      <c r="BB205" s="66" t="n">
        <f aca="false">-MIN(BB203,Inputs!$C$74/MAX(1,Inputs!$C$76*12))</f>
        <v>-2083.33333333333</v>
      </c>
      <c r="BC205" s="66" t="n">
        <f aca="false">-MIN(BC203,Inputs!$C$74/MAX(1,Inputs!$C$76*12))</f>
        <v>-2083.33333333333</v>
      </c>
      <c r="BD205" s="66" t="n">
        <f aca="false">-MIN(BD203,Inputs!$C$74/MAX(1,Inputs!$C$76*12))</f>
        <v>-2083.33333333333</v>
      </c>
      <c r="BE205" s="66" t="n">
        <f aca="false">-MIN(BE203,Inputs!$C$74/MAX(1,Inputs!$C$76*12))</f>
        <v>-2083.33333333333</v>
      </c>
      <c r="BF205" s="66" t="n">
        <f aca="false">-MIN(BF203,Inputs!$C$74/MAX(1,Inputs!$C$76*12))</f>
        <v>-2083.33333333333</v>
      </c>
      <c r="BG205" s="66" t="n">
        <f aca="false">-MIN(BG203,Inputs!$C$74/MAX(1,Inputs!$C$76*12))</f>
        <v>-2083.33333333333</v>
      </c>
      <c r="BH205" s="66" t="n">
        <f aca="false">-MIN(BH203,Inputs!$C$74/MAX(1,Inputs!$C$76*12))</f>
        <v>-2083.33333333333</v>
      </c>
      <c r="BI205" s="66" t="n">
        <f aca="false">-MIN(BI203,Inputs!$C$74/MAX(1,Inputs!$C$76*12))</f>
        <v>-2083.33333333333</v>
      </c>
      <c r="BJ205" s="66" t="n">
        <f aca="false">-MIN(BJ203,Inputs!$C$74/MAX(1,Inputs!$C$76*12))</f>
        <v>-2083.33333333333</v>
      </c>
    </row>
    <row r="206" customFormat="false" ht="15" hidden="false" customHeight="false" outlineLevel="0" collapsed="false">
      <c r="A206" s="4" t="s">
        <v>448</v>
      </c>
      <c r="C206" s="72" t="n">
        <f aca="false">C203+C204+C205</f>
        <v>250000</v>
      </c>
      <c r="D206" s="72" t="n">
        <f aca="false">D203+D204+D205</f>
        <v>247916.666666667</v>
      </c>
      <c r="E206" s="72" t="n">
        <f aca="false">E203+E204+E205</f>
        <v>245833.333333333</v>
      </c>
      <c r="F206" s="72" t="n">
        <f aca="false">F203+F204+F205</f>
        <v>243750</v>
      </c>
      <c r="G206" s="72" t="n">
        <f aca="false">G203+G204+G205</f>
        <v>241666.666666667</v>
      </c>
      <c r="H206" s="72" t="n">
        <f aca="false">H203+H204+H205</f>
        <v>239583.333333333</v>
      </c>
      <c r="I206" s="72" t="n">
        <f aca="false">I203+I204+I205</f>
        <v>237500</v>
      </c>
      <c r="J206" s="72" t="n">
        <f aca="false">J203+J204+J205</f>
        <v>235416.666666667</v>
      </c>
      <c r="K206" s="72" t="n">
        <f aca="false">K203+K204+K205</f>
        <v>233333.333333333</v>
      </c>
      <c r="L206" s="72" t="n">
        <f aca="false">L203+L204+L205</f>
        <v>231250</v>
      </c>
      <c r="M206" s="72" t="n">
        <f aca="false">M203+M204+M205</f>
        <v>229166.666666667</v>
      </c>
      <c r="N206" s="72" t="n">
        <f aca="false">N203+N204+N205</f>
        <v>227083.333333333</v>
      </c>
      <c r="O206" s="72" t="n">
        <f aca="false">O203+O204+O205</f>
        <v>225000</v>
      </c>
      <c r="P206" s="72" t="n">
        <f aca="false">P203+P204+P205</f>
        <v>222916.666666667</v>
      </c>
      <c r="Q206" s="72" t="n">
        <f aca="false">Q203+Q204+Q205</f>
        <v>220833.333333333</v>
      </c>
      <c r="R206" s="72" t="n">
        <f aca="false">R203+R204+R205</f>
        <v>218750</v>
      </c>
      <c r="S206" s="72" t="n">
        <f aca="false">S203+S204+S205</f>
        <v>216666.666666667</v>
      </c>
      <c r="T206" s="72" t="n">
        <f aca="false">T203+T204+T205</f>
        <v>214583.333333333</v>
      </c>
      <c r="U206" s="72" t="n">
        <f aca="false">U203+U204+U205</f>
        <v>212500</v>
      </c>
      <c r="V206" s="72" t="n">
        <f aca="false">V203+V204+V205</f>
        <v>210416.666666666</v>
      </c>
      <c r="W206" s="72" t="n">
        <f aca="false">W203+W204+W205</f>
        <v>208333.333333333</v>
      </c>
      <c r="X206" s="72" t="n">
        <f aca="false">X203+X204+X205</f>
        <v>206250</v>
      </c>
      <c r="Y206" s="72" t="n">
        <f aca="false">Y203+Y204+Y205</f>
        <v>204166.666666666</v>
      </c>
      <c r="Z206" s="72" t="n">
        <f aca="false">Z203+Z204+Z205</f>
        <v>202083.333333333</v>
      </c>
      <c r="AA206" s="72" t="n">
        <f aca="false">AA203+AA204+AA205</f>
        <v>200000</v>
      </c>
      <c r="AB206" s="72" t="n">
        <f aca="false">AB203+AB204+AB205</f>
        <v>197916.666666666</v>
      </c>
      <c r="AC206" s="72" t="n">
        <f aca="false">AC203+AC204+AC205</f>
        <v>195833.333333333</v>
      </c>
      <c r="AD206" s="72" t="n">
        <f aca="false">AD203+AD204+AD205</f>
        <v>193750</v>
      </c>
      <c r="AE206" s="72" t="n">
        <f aca="false">AE203+AE204+AE205</f>
        <v>191666.666666666</v>
      </c>
      <c r="AF206" s="72" t="n">
        <f aca="false">AF203+AF204+AF205</f>
        <v>189583.333333333</v>
      </c>
      <c r="AG206" s="72" t="n">
        <f aca="false">AG203+AG204+AG205</f>
        <v>187500</v>
      </c>
      <c r="AH206" s="72" t="n">
        <f aca="false">AH203+AH204+AH205</f>
        <v>185416.666666666</v>
      </c>
      <c r="AI206" s="72" t="n">
        <f aca="false">AI203+AI204+AI205</f>
        <v>183333.333333333</v>
      </c>
      <c r="AJ206" s="72" t="n">
        <f aca="false">AJ203+AJ204+AJ205</f>
        <v>181250</v>
      </c>
      <c r="AK206" s="72" t="n">
        <f aca="false">AK203+AK204+AK205</f>
        <v>179166.666666666</v>
      </c>
      <c r="AL206" s="72" t="n">
        <f aca="false">AL203+AL204+AL205</f>
        <v>177083.333333333</v>
      </c>
      <c r="AM206" s="72" t="n">
        <f aca="false">AM203+AM204+AM205</f>
        <v>175000</v>
      </c>
      <c r="AN206" s="72" t="n">
        <f aca="false">AN203+AN204+AN205</f>
        <v>172916.666666666</v>
      </c>
      <c r="AO206" s="72" t="n">
        <f aca="false">AO203+AO204+AO205</f>
        <v>170833.333333333</v>
      </c>
      <c r="AP206" s="72" t="n">
        <f aca="false">AP203+AP204+AP205</f>
        <v>168750</v>
      </c>
      <c r="AQ206" s="72" t="n">
        <f aca="false">AQ203+AQ204+AQ205</f>
        <v>166666.666666666</v>
      </c>
      <c r="AR206" s="72" t="n">
        <f aca="false">AR203+AR204+AR205</f>
        <v>164583.333333333</v>
      </c>
      <c r="AS206" s="72" t="n">
        <f aca="false">AS203+AS204+AS205</f>
        <v>162500</v>
      </c>
      <c r="AT206" s="72" t="n">
        <f aca="false">AT203+AT204+AT205</f>
        <v>160416.666666666</v>
      </c>
      <c r="AU206" s="72" t="n">
        <f aca="false">AU203+AU204+AU205</f>
        <v>158333.333333333</v>
      </c>
      <c r="AV206" s="72" t="n">
        <f aca="false">AV203+AV204+AV205</f>
        <v>156250</v>
      </c>
      <c r="AW206" s="72" t="n">
        <f aca="false">AW203+AW204+AW205</f>
        <v>154166.666666666</v>
      </c>
      <c r="AX206" s="72" t="n">
        <f aca="false">AX203+AX204+AX205</f>
        <v>152083.333333333</v>
      </c>
      <c r="AY206" s="72" t="n">
        <f aca="false">AY203+AY204+AY205</f>
        <v>150000</v>
      </c>
      <c r="AZ206" s="72" t="n">
        <f aca="false">AZ203+AZ204+AZ205</f>
        <v>147916.666666666</v>
      </c>
      <c r="BA206" s="72" t="n">
        <f aca="false">BA203+BA204+BA205</f>
        <v>145833.333333333</v>
      </c>
      <c r="BB206" s="72" t="n">
        <f aca="false">BB203+BB204+BB205</f>
        <v>143750</v>
      </c>
      <c r="BC206" s="72" t="n">
        <f aca="false">BC203+BC204+BC205</f>
        <v>141666.666666666</v>
      </c>
      <c r="BD206" s="72" t="n">
        <f aca="false">BD203+BD204+BD205</f>
        <v>139583.333333333</v>
      </c>
      <c r="BE206" s="72" t="n">
        <f aca="false">BE203+BE204+BE205</f>
        <v>137499.999999999</v>
      </c>
      <c r="BF206" s="72" t="n">
        <f aca="false">BF203+BF204+BF205</f>
        <v>135416.666666666</v>
      </c>
      <c r="BG206" s="72" t="n">
        <f aca="false">BG203+BG204+BG205</f>
        <v>133333.333333333</v>
      </c>
      <c r="BH206" s="72" t="n">
        <f aca="false">BH203+BH204+BH205</f>
        <v>131249.999999999</v>
      </c>
      <c r="BI206" s="72" t="n">
        <f aca="false">BI203+BI204+BI205</f>
        <v>129166.666666666</v>
      </c>
      <c r="BJ206" s="72" t="n">
        <f aca="false">BJ203+BJ204+BJ205</f>
        <v>127083.333333333</v>
      </c>
    </row>
    <row r="208" customFormat="false" ht="15.75" hidden="false" customHeight="true" outlineLevel="0" collapsed="false">
      <c r="A208" s="7" t="s">
        <v>323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customFormat="false" ht="15" hidden="false" customHeight="false" outlineLevel="0" collapsed="false">
      <c r="A209" s="6" t="s">
        <v>89</v>
      </c>
      <c r="C209" s="66" t="n">
        <f aca="false">C160*Inputs!$C$79/30</f>
        <v>6763.9</v>
      </c>
      <c r="D209" s="66" t="n">
        <f aca="false">D160*Inputs!$C$79/30</f>
        <v>7815.78958333333</v>
      </c>
      <c r="E209" s="66" t="n">
        <f aca="false">E160*Inputs!$C$79/30</f>
        <v>9436.42916666667</v>
      </c>
      <c r="F209" s="66" t="n">
        <f aca="false">F160*Inputs!$C$79/30</f>
        <v>11057.06875</v>
      </c>
      <c r="G209" s="66" t="n">
        <f aca="false">G160*Inputs!$C$79/30</f>
        <v>12677.7083333333</v>
      </c>
      <c r="H209" s="66" t="n">
        <f aca="false">H160*Inputs!$C$79/30</f>
        <v>14298.3479166667</v>
      </c>
      <c r="I209" s="66" t="n">
        <f aca="false">I160*Inputs!$C$79/30</f>
        <v>15918.9875</v>
      </c>
      <c r="J209" s="66" t="n">
        <f aca="false">J160*Inputs!$C$79/30</f>
        <v>17539.6270833333</v>
      </c>
      <c r="K209" s="66" t="n">
        <f aca="false">K160*Inputs!$C$79/30</f>
        <v>19160.2666666667</v>
      </c>
      <c r="L209" s="66" t="n">
        <f aca="false">L160*Inputs!$C$79/30</f>
        <v>20780.90625</v>
      </c>
      <c r="M209" s="66" t="n">
        <f aca="false">M160*Inputs!$C$79/30</f>
        <v>22401.5458333333</v>
      </c>
      <c r="N209" s="66" t="n">
        <f aca="false">N160*Inputs!$C$79/30</f>
        <v>24022.1854166667</v>
      </c>
      <c r="O209" s="66" t="n">
        <f aca="false">O160*Inputs!$C$79/30</f>
        <v>26412.10975</v>
      </c>
      <c r="P209" s="66" t="n">
        <f aca="false">P160*Inputs!$C$79/30</f>
        <v>26194.52225</v>
      </c>
      <c r="Q209" s="66" t="n">
        <f aca="false">Q160*Inputs!$C$79/30</f>
        <v>26194.52225</v>
      </c>
      <c r="R209" s="66" t="n">
        <f aca="false">R160*Inputs!$C$79/30</f>
        <v>26194.52225</v>
      </c>
      <c r="S209" s="66" t="n">
        <f aca="false">S160*Inputs!$C$79/30</f>
        <v>26194.52225</v>
      </c>
      <c r="T209" s="66" t="n">
        <f aca="false">T160*Inputs!$C$79/30</f>
        <v>26194.52225</v>
      </c>
      <c r="U209" s="66" t="n">
        <f aca="false">U160*Inputs!$C$79/30</f>
        <v>26194.52225</v>
      </c>
      <c r="V209" s="66" t="n">
        <f aca="false">V160*Inputs!$C$79/30</f>
        <v>26194.52225</v>
      </c>
      <c r="W209" s="66" t="n">
        <f aca="false">W160*Inputs!$C$79/30</f>
        <v>26194.52225</v>
      </c>
      <c r="X209" s="66" t="n">
        <f aca="false">X160*Inputs!$C$79/30</f>
        <v>26194.52225</v>
      </c>
      <c r="Y209" s="66" t="n">
        <f aca="false">Y160*Inputs!$C$79/30</f>
        <v>26194.52225</v>
      </c>
      <c r="Z209" s="66" t="n">
        <f aca="false">Z160*Inputs!$C$79/30</f>
        <v>26194.52225</v>
      </c>
      <c r="AA209" s="66" t="n">
        <f aca="false">AA160*Inputs!$C$79/30</f>
        <v>26980.3579175</v>
      </c>
      <c r="AB209" s="66" t="n">
        <f aca="false">AB160*Inputs!$C$79/30</f>
        <v>26980.3579175</v>
      </c>
      <c r="AC209" s="66" t="n">
        <f aca="false">AC160*Inputs!$C$79/30</f>
        <v>26980.3579175</v>
      </c>
      <c r="AD209" s="66" t="n">
        <f aca="false">AD160*Inputs!$C$79/30</f>
        <v>26980.3579175</v>
      </c>
      <c r="AE209" s="66" t="n">
        <f aca="false">AE160*Inputs!$C$79/30</f>
        <v>26980.3579175</v>
      </c>
      <c r="AF209" s="66" t="n">
        <f aca="false">AF160*Inputs!$C$79/30</f>
        <v>26980.3579175</v>
      </c>
      <c r="AG209" s="66" t="n">
        <f aca="false">AG160*Inputs!$C$79/30</f>
        <v>26980.3579175</v>
      </c>
      <c r="AH209" s="66" t="n">
        <f aca="false">AH160*Inputs!$C$79/30</f>
        <v>26980.3579175</v>
      </c>
      <c r="AI209" s="66" t="n">
        <f aca="false">AI160*Inputs!$C$79/30</f>
        <v>26980.3579175</v>
      </c>
      <c r="AJ209" s="66" t="n">
        <f aca="false">AJ160*Inputs!$C$79/30</f>
        <v>26980.3579175</v>
      </c>
      <c r="AK209" s="66" t="n">
        <f aca="false">AK160*Inputs!$C$79/30</f>
        <v>26980.3579175</v>
      </c>
      <c r="AL209" s="66" t="n">
        <f aca="false">AL160*Inputs!$C$79/30</f>
        <v>26980.3579175</v>
      </c>
      <c r="AM209" s="66" t="n">
        <f aca="false">AM160*Inputs!$C$79/30</f>
        <v>27789.768655025</v>
      </c>
      <c r="AN209" s="66" t="n">
        <f aca="false">AN160*Inputs!$C$79/30</f>
        <v>27789.768655025</v>
      </c>
      <c r="AO209" s="66" t="n">
        <f aca="false">AO160*Inputs!$C$79/30</f>
        <v>27789.768655025</v>
      </c>
      <c r="AP209" s="66" t="n">
        <f aca="false">AP160*Inputs!$C$79/30</f>
        <v>27789.768655025</v>
      </c>
      <c r="AQ209" s="66" t="n">
        <f aca="false">AQ160*Inputs!$C$79/30</f>
        <v>27789.768655025</v>
      </c>
      <c r="AR209" s="66" t="n">
        <f aca="false">AR160*Inputs!$C$79/30</f>
        <v>27789.768655025</v>
      </c>
      <c r="AS209" s="66" t="n">
        <f aca="false">AS160*Inputs!$C$79/30</f>
        <v>27789.768655025</v>
      </c>
      <c r="AT209" s="66" t="n">
        <f aca="false">AT160*Inputs!$C$79/30</f>
        <v>27789.768655025</v>
      </c>
      <c r="AU209" s="66" t="n">
        <f aca="false">AU160*Inputs!$C$79/30</f>
        <v>27789.768655025</v>
      </c>
      <c r="AV209" s="66" t="n">
        <f aca="false">AV160*Inputs!$C$79/30</f>
        <v>27789.768655025</v>
      </c>
      <c r="AW209" s="66" t="n">
        <f aca="false">AW160*Inputs!$C$79/30</f>
        <v>27789.768655025</v>
      </c>
      <c r="AX209" s="66" t="n">
        <f aca="false">AX160*Inputs!$C$79/30</f>
        <v>27789.768655025</v>
      </c>
      <c r="AY209" s="66" t="n">
        <f aca="false">AY160*Inputs!$C$79/30</f>
        <v>28623.4617146758</v>
      </c>
      <c r="AZ209" s="66" t="n">
        <f aca="false">AZ160*Inputs!$C$79/30</f>
        <v>28623.4617146758</v>
      </c>
      <c r="BA209" s="66" t="n">
        <f aca="false">BA160*Inputs!$C$79/30</f>
        <v>28623.4617146758</v>
      </c>
      <c r="BB209" s="66" t="n">
        <f aca="false">BB160*Inputs!$C$79/30</f>
        <v>28623.4617146758</v>
      </c>
      <c r="BC209" s="66" t="n">
        <f aca="false">BC160*Inputs!$C$79/30</f>
        <v>28623.4617146758</v>
      </c>
      <c r="BD209" s="66" t="n">
        <f aca="false">BD160*Inputs!$C$79/30</f>
        <v>28623.4617146758</v>
      </c>
      <c r="BE209" s="66" t="n">
        <f aca="false">BE160*Inputs!$C$79/30</f>
        <v>28623.4617146758</v>
      </c>
      <c r="BF209" s="66" t="n">
        <f aca="false">BF160*Inputs!$C$79/30</f>
        <v>28623.4617146758</v>
      </c>
      <c r="BG209" s="66" t="n">
        <f aca="false">BG160*Inputs!$C$79/30</f>
        <v>28623.4617146758</v>
      </c>
      <c r="BH209" s="66" t="n">
        <f aca="false">BH160*Inputs!$C$79/30</f>
        <v>28623.4617146758</v>
      </c>
      <c r="BI209" s="66" t="n">
        <f aca="false">BI160*Inputs!$C$79/30</f>
        <v>28623.4617146758</v>
      </c>
      <c r="BJ209" s="66" t="n">
        <f aca="false">BJ160*Inputs!$C$79/30</f>
        <v>28623.4617146758</v>
      </c>
    </row>
    <row r="210" customFormat="false" ht="15" hidden="false" customHeight="false" outlineLevel="0" collapsed="false">
      <c r="A210" s="6" t="s">
        <v>90</v>
      </c>
      <c r="C210" s="66" t="n">
        <f aca="false">-C166*Inputs!$C$80/30</f>
        <v>920.8</v>
      </c>
      <c r="D210" s="66" t="n">
        <f aca="false">-D166*Inputs!$C$80/30</f>
        <v>957.85</v>
      </c>
      <c r="E210" s="66" t="n">
        <f aca="false">-E166*Inputs!$C$80/30</f>
        <v>1778.9</v>
      </c>
      <c r="F210" s="66" t="n">
        <f aca="false">-F166*Inputs!$C$80/30</f>
        <v>1815.95</v>
      </c>
      <c r="G210" s="66" t="n">
        <f aca="false">-G166*Inputs!$C$80/30</f>
        <v>1853</v>
      </c>
      <c r="H210" s="66" t="n">
        <f aca="false">-H166*Inputs!$C$80/30</f>
        <v>1890.05</v>
      </c>
      <c r="I210" s="66" t="n">
        <f aca="false">-I166*Inputs!$C$80/30</f>
        <v>1927.1</v>
      </c>
      <c r="J210" s="66" t="n">
        <f aca="false">-J166*Inputs!$C$80/30</f>
        <v>2356.15</v>
      </c>
      <c r="K210" s="66" t="n">
        <f aca="false">-K166*Inputs!$C$80/30</f>
        <v>2785.2</v>
      </c>
      <c r="L210" s="66" t="n">
        <f aca="false">-L166*Inputs!$C$80/30</f>
        <v>2822.25</v>
      </c>
      <c r="M210" s="66" t="n">
        <f aca="false">-M166*Inputs!$C$80/30</f>
        <v>2859.3</v>
      </c>
      <c r="N210" s="66" t="n">
        <f aca="false">-N166*Inputs!$C$80/30</f>
        <v>2896.35</v>
      </c>
      <c r="O210" s="66" t="n">
        <f aca="false">-O166*Inputs!$C$80/30</f>
        <v>3021.402</v>
      </c>
      <c r="P210" s="66" t="n">
        <f aca="false">-P166*Inputs!$C$80/30</f>
        <v>3021.402</v>
      </c>
      <c r="Q210" s="66" t="n">
        <f aca="false">-Q166*Inputs!$C$80/30</f>
        <v>3021.402</v>
      </c>
      <c r="R210" s="66" t="n">
        <f aca="false">-R166*Inputs!$C$80/30</f>
        <v>3021.402</v>
      </c>
      <c r="S210" s="66" t="n">
        <f aca="false">-S166*Inputs!$C$80/30</f>
        <v>3021.402</v>
      </c>
      <c r="T210" s="66" t="n">
        <f aca="false">-T166*Inputs!$C$80/30</f>
        <v>3021.402</v>
      </c>
      <c r="U210" s="66" t="n">
        <f aca="false">-U166*Inputs!$C$80/30</f>
        <v>3021.402</v>
      </c>
      <c r="V210" s="66" t="n">
        <f aca="false">-V166*Inputs!$C$80/30</f>
        <v>3021.402</v>
      </c>
      <c r="W210" s="66" t="n">
        <f aca="false">-W166*Inputs!$C$80/30</f>
        <v>3021.402</v>
      </c>
      <c r="X210" s="66" t="n">
        <f aca="false">-X166*Inputs!$C$80/30</f>
        <v>3021.402</v>
      </c>
      <c r="Y210" s="66" t="n">
        <f aca="false">-Y166*Inputs!$C$80/30</f>
        <v>3021.402</v>
      </c>
      <c r="Z210" s="66" t="n">
        <f aca="false">-Z166*Inputs!$C$80/30</f>
        <v>3021.402</v>
      </c>
      <c r="AA210" s="66" t="n">
        <f aca="false">-AA166*Inputs!$C$80/30</f>
        <v>3112.04406</v>
      </c>
      <c r="AB210" s="66" t="n">
        <f aca="false">-AB166*Inputs!$C$80/30</f>
        <v>3112.04406</v>
      </c>
      <c r="AC210" s="66" t="n">
        <f aca="false">-AC166*Inputs!$C$80/30</f>
        <v>3112.04406</v>
      </c>
      <c r="AD210" s="66" t="n">
        <f aca="false">-AD166*Inputs!$C$80/30</f>
        <v>3112.04406</v>
      </c>
      <c r="AE210" s="66" t="n">
        <f aca="false">-AE166*Inputs!$C$80/30</f>
        <v>3112.04406</v>
      </c>
      <c r="AF210" s="66" t="n">
        <f aca="false">-AF166*Inputs!$C$80/30</f>
        <v>3112.04406</v>
      </c>
      <c r="AG210" s="66" t="n">
        <f aca="false">-AG166*Inputs!$C$80/30</f>
        <v>3112.04406</v>
      </c>
      <c r="AH210" s="66" t="n">
        <f aca="false">-AH166*Inputs!$C$80/30</f>
        <v>3112.04406</v>
      </c>
      <c r="AI210" s="66" t="n">
        <f aca="false">-AI166*Inputs!$C$80/30</f>
        <v>3112.04406</v>
      </c>
      <c r="AJ210" s="66" t="n">
        <f aca="false">-AJ166*Inputs!$C$80/30</f>
        <v>3112.04406</v>
      </c>
      <c r="AK210" s="66" t="n">
        <f aca="false">-AK166*Inputs!$C$80/30</f>
        <v>3112.04406</v>
      </c>
      <c r="AL210" s="66" t="n">
        <f aca="false">-AL166*Inputs!$C$80/30</f>
        <v>3112.04406</v>
      </c>
      <c r="AM210" s="66" t="n">
        <f aca="false">-AM166*Inputs!$C$80/30</f>
        <v>3205.4053818</v>
      </c>
      <c r="AN210" s="66" t="n">
        <f aca="false">-AN166*Inputs!$C$80/30</f>
        <v>3205.4053818</v>
      </c>
      <c r="AO210" s="66" t="n">
        <f aca="false">-AO166*Inputs!$C$80/30</f>
        <v>3205.4053818</v>
      </c>
      <c r="AP210" s="66" t="n">
        <f aca="false">-AP166*Inputs!$C$80/30</f>
        <v>3205.4053818</v>
      </c>
      <c r="AQ210" s="66" t="n">
        <f aca="false">-AQ166*Inputs!$C$80/30</f>
        <v>3205.4053818</v>
      </c>
      <c r="AR210" s="66" t="n">
        <f aca="false">-AR166*Inputs!$C$80/30</f>
        <v>3205.4053818</v>
      </c>
      <c r="AS210" s="66" t="n">
        <f aca="false">-AS166*Inputs!$C$80/30</f>
        <v>3205.4053818</v>
      </c>
      <c r="AT210" s="66" t="n">
        <f aca="false">-AT166*Inputs!$C$80/30</f>
        <v>3205.4053818</v>
      </c>
      <c r="AU210" s="66" t="n">
        <f aca="false">-AU166*Inputs!$C$80/30</f>
        <v>3205.4053818</v>
      </c>
      <c r="AV210" s="66" t="n">
        <f aca="false">-AV166*Inputs!$C$80/30</f>
        <v>3205.4053818</v>
      </c>
      <c r="AW210" s="66" t="n">
        <f aca="false">-AW166*Inputs!$C$80/30</f>
        <v>3205.4053818</v>
      </c>
      <c r="AX210" s="66" t="n">
        <f aca="false">-AX166*Inputs!$C$80/30</f>
        <v>3205.4053818</v>
      </c>
      <c r="AY210" s="66" t="n">
        <f aca="false">-AY166*Inputs!$C$80/30</f>
        <v>3301.567543254</v>
      </c>
      <c r="AZ210" s="66" t="n">
        <f aca="false">-AZ166*Inputs!$C$80/30</f>
        <v>3301.567543254</v>
      </c>
      <c r="BA210" s="66" t="n">
        <f aca="false">-BA166*Inputs!$C$80/30</f>
        <v>3301.567543254</v>
      </c>
      <c r="BB210" s="66" t="n">
        <f aca="false">-BB166*Inputs!$C$80/30</f>
        <v>3301.567543254</v>
      </c>
      <c r="BC210" s="66" t="n">
        <f aca="false">-BC166*Inputs!$C$80/30</f>
        <v>3301.567543254</v>
      </c>
      <c r="BD210" s="66" t="n">
        <f aca="false">-BD166*Inputs!$C$80/30</f>
        <v>3301.567543254</v>
      </c>
      <c r="BE210" s="66" t="n">
        <f aca="false">-BE166*Inputs!$C$80/30</f>
        <v>3301.567543254</v>
      </c>
      <c r="BF210" s="66" t="n">
        <f aca="false">-BF166*Inputs!$C$80/30</f>
        <v>3301.567543254</v>
      </c>
      <c r="BG210" s="66" t="n">
        <f aca="false">-BG166*Inputs!$C$80/30</f>
        <v>3301.567543254</v>
      </c>
      <c r="BH210" s="66" t="n">
        <f aca="false">-BH166*Inputs!$C$80/30</f>
        <v>3301.567543254</v>
      </c>
      <c r="BI210" s="66" t="n">
        <f aca="false">-BI166*Inputs!$C$80/30</f>
        <v>3301.567543254</v>
      </c>
      <c r="BJ210" s="66" t="n">
        <f aca="false">-BJ166*Inputs!$C$80/30</f>
        <v>3301.567543254</v>
      </c>
    </row>
    <row r="211" customFormat="false" ht="15" hidden="false" customHeight="false" outlineLevel="0" collapsed="false">
      <c r="A211" s="6" t="s">
        <v>93</v>
      </c>
      <c r="C211" s="66" t="n">
        <f aca="false">-C166*Inputs!$C$81/30</f>
        <v>3376.26666666667</v>
      </c>
      <c r="D211" s="66" t="n">
        <f aca="false">-D166*Inputs!$C$81/30</f>
        <v>3512.11666666667</v>
      </c>
      <c r="E211" s="66" t="n">
        <f aca="false">-E166*Inputs!$C$81/30</f>
        <v>6522.63333333333</v>
      </c>
      <c r="F211" s="66" t="n">
        <f aca="false">-F166*Inputs!$C$81/30</f>
        <v>6658.48333333333</v>
      </c>
      <c r="G211" s="66" t="n">
        <f aca="false">-G166*Inputs!$C$81/30</f>
        <v>6794.33333333333</v>
      </c>
      <c r="H211" s="66" t="n">
        <f aca="false">-H166*Inputs!$C$81/30</f>
        <v>6930.18333333333</v>
      </c>
      <c r="I211" s="66" t="n">
        <f aca="false">-I166*Inputs!$C$81/30</f>
        <v>7066.03333333333</v>
      </c>
      <c r="J211" s="66" t="n">
        <f aca="false">-J166*Inputs!$C$81/30</f>
        <v>8639.21666666667</v>
      </c>
      <c r="K211" s="66" t="n">
        <f aca="false">-K166*Inputs!$C$81/30</f>
        <v>10212.4</v>
      </c>
      <c r="L211" s="66" t="n">
        <f aca="false">-L166*Inputs!$C$81/30</f>
        <v>10348.25</v>
      </c>
      <c r="M211" s="66" t="n">
        <f aca="false">-M166*Inputs!$C$81/30</f>
        <v>10484.1</v>
      </c>
      <c r="N211" s="66" t="n">
        <f aca="false">-N166*Inputs!$C$81/30</f>
        <v>10619.95</v>
      </c>
      <c r="O211" s="66" t="n">
        <f aca="false">-O166*Inputs!$C$81/30</f>
        <v>11078.474</v>
      </c>
      <c r="P211" s="66" t="n">
        <f aca="false">-P166*Inputs!$C$81/30</f>
        <v>11078.474</v>
      </c>
      <c r="Q211" s="66" t="n">
        <f aca="false">-Q166*Inputs!$C$81/30</f>
        <v>11078.474</v>
      </c>
      <c r="R211" s="66" t="n">
        <f aca="false">-R166*Inputs!$C$81/30</f>
        <v>11078.474</v>
      </c>
      <c r="S211" s="66" t="n">
        <f aca="false">-S166*Inputs!$C$81/30</f>
        <v>11078.474</v>
      </c>
      <c r="T211" s="66" t="n">
        <f aca="false">-T166*Inputs!$C$81/30</f>
        <v>11078.474</v>
      </c>
      <c r="U211" s="66" t="n">
        <f aca="false">-U166*Inputs!$C$81/30</f>
        <v>11078.474</v>
      </c>
      <c r="V211" s="66" t="n">
        <f aca="false">-V166*Inputs!$C$81/30</f>
        <v>11078.474</v>
      </c>
      <c r="W211" s="66" t="n">
        <f aca="false">-W166*Inputs!$C$81/30</f>
        <v>11078.474</v>
      </c>
      <c r="X211" s="66" t="n">
        <f aca="false">-X166*Inputs!$C$81/30</f>
        <v>11078.474</v>
      </c>
      <c r="Y211" s="66" t="n">
        <f aca="false">-Y166*Inputs!$C$81/30</f>
        <v>11078.474</v>
      </c>
      <c r="Z211" s="66" t="n">
        <f aca="false">-Z166*Inputs!$C$81/30</f>
        <v>11078.474</v>
      </c>
      <c r="AA211" s="66" t="n">
        <f aca="false">-AA166*Inputs!$C$81/30</f>
        <v>11410.82822</v>
      </c>
      <c r="AB211" s="66" t="n">
        <f aca="false">-AB166*Inputs!$C$81/30</f>
        <v>11410.82822</v>
      </c>
      <c r="AC211" s="66" t="n">
        <f aca="false">-AC166*Inputs!$C$81/30</f>
        <v>11410.82822</v>
      </c>
      <c r="AD211" s="66" t="n">
        <f aca="false">-AD166*Inputs!$C$81/30</f>
        <v>11410.82822</v>
      </c>
      <c r="AE211" s="66" t="n">
        <f aca="false">-AE166*Inputs!$C$81/30</f>
        <v>11410.82822</v>
      </c>
      <c r="AF211" s="66" t="n">
        <f aca="false">-AF166*Inputs!$C$81/30</f>
        <v>11410.82822</v>
      </c>
      <c r="AG211" s="66" t="n">
        <f aca="false">-AG166*Inputs!$C$81/30</f>
        <v>11410.82822</v>
      </c>
      <c r="AH211" s="66" t="n">
        <f aca="false">-AH166*Inputs!$C$81/30</f>
        <v>11410.82822</v>
      </c>
      <c r="AI211" s="66" t="n">
        <f aca="false">-AI166*Inputs!$C$81/30</f>
        <v>11410.82822</v>
      </c>
      <c r="AJ211" s="66" t="n">
        <f aca="false">-AJ166*Inputs!$C$81/30</f>
        <v>11410.82822</v>
      </c>
      <c r="AK211" s="66" t="n">
        <f aca="false">-AK166*Inputs!$C$81/30</f>
        <v>11410.82822</v>
      </c>
      <c r="AL211" s="66" t="n">
        <f aca="false">-AL166*Inputs!$C$81/30</f>
        <v>11410.82822</v>
      </c>
      <c r="AM211" s="66" t="n">
        <f aca="false">-AM166*Inputs!$C$81/30</f>
        <v>11753.1530666</v>
      </c>
      <c r="AN211" s="66" t="n">
        <f aca="false">-AN166*Inputs!$C$81/30</f>
        <v>11753.1530666</v>
      </c>
      <c r="AO211" s="66" t="n">
        <f aca="false">-AO166*Inputs!$C$81/30</f>
        <v>11753.1530666</v>
      </c>
      <c r="AP211" s="66" t="n">
        <f aca="false">-AP166*Inputs!$C$81/30</f>
        <v>11753.1530666</v>
      </c>
      <c r="AQ211" s="66" t="n">
        <f aca="false">-AQ166*Inputs!$C$81/30</f>
        <v>11753.1530666</v>
      </c>
      <c r="AR211" s="66" t="n">
        <f aca="false">-AR166*Inputs!$C$81/30</f>
        <v>11753.1530666</v>
      </c>
      <c r="AS211" s="66" t="n">
        <f aca="false">-AS166*Inputs!$C$81/30</f>
        <v>11753.1530666</v>
      </c>
      <c r="AT211" s="66" t="n">
        <f aca="false">-AT166*Inputs!$C$81/30</f>
        <v>11753.1530666</v>
      </c>
      <c r="AU211" s="66" t="n">
        <f aca="false">-AU166*Inputs!$C$81/30</f>
        <v>11753.1530666</v>
      </c>
      <c r="AV211" s="66" t="n">
        <f aca="false">-AV166*Inputs!$C$81/30</f>
        <v>11753.1530666</v>
      </c>
      <c r="AW211" s="66" t="n">
        <f aca="false">-AW166*Inputs!$C$81/30</f>
        <v>11753.1530666</v>
      </c>
      <c r="AX211" s="66" t="n">
        <f aca="false">-AX166*Inputs!$C$81/30</f>
        <v>11753.1530666</v>
      </c>
      <c r="AY211" s="66" t="n">
        <f aca="false">-AY166*Inputs!$C$81/30</f>
        <v>12105.747658598</v>
      </c>
      <c r="AZ211" s="66" t="n">
        <f aca="false">-AZ166*Inputs!$C$81/30</f>
        <v>12105.747658598</v>
      </c>
      <c r="BA211" s="66" t="n">
        <f aca="false">-BA166*Inputs!$C$81/30</f>
        <v>12105.747658598</v>
      </c>
      <c r="BB211" s="66" t="n">
        <f aca="false">-BB166*Inputs!$C$81/30</f>
        <v>12105.747658598</v>
      </c>
      <c r="BC211" s="66" t="n">
        <f aca="false">-BC166*Inputs!$C$81/30</f>
        <v>12105.747658598</v>
      </c>
      <c r="BD211" s="66" t="n">
        <f aca="false">-BD166*Inputs!$C$81/30</f>
        <v>12105.747658598</v>
      </c>
      <c r="BE211" s="66" t="n">
        <f aca="false">-BE166*Inputs!$C$81/30</f>
        <v>12105.747658598</v>
      </c>
      <c r="BF211" s="66" t="n">
        <f aca="false">-BF166*Inputs!$C$81/30</f>
        <v>12105.747658598</v>
      </c>
      <c r="BG211" s="66" t="n">
        <f aca="false">-BG166*Inputs!$C$81/30</f>
        <v>12105.747658598</v>
      </c>
      <c r="BH211" s="66" t="n">
        <f aca="false">-BH166*Inputs!$C$81/30</f>
        <v>12105.747658598</v>
      </c>
      <c r="BI211" s="66" t="n">
        <f aca="false">-BI166*Inputs!$C$81/30</f>
        <v>12105.747658598</v>
      </c>
      <c r="BJ211" s="66" t="n">
        <f aca="false">-BJ166*Inputs!$C$81/30</f>
        <v>12105.747658598</v>
      </c>
    </row>
    <row r="212" customFormat="false" ht="15" hidden="false" customHeight="false" outlineLevel="0" collapsed="false">
      <c r="A212" s="6" t="s">
        <v>348</v>
      </c>
      <c r="C212" s="66" t="n">
        <f aca="false">-C209</f>
        <v>-6763.9</v>
      </c>
      <c r="D212" s="66" t="n">
        <f aca="false">C209-D209</f>
        <v>-1051.88958333333</v>
      </c>
      <c r="E212" s="66" t="n">
        <f aca="false">D209-E209</f>
        <v>-1620.63958333333</v>
      </c>
      <c r="F212" s="66" t="n">
        <f aca="false">E209-F209</f>
        <v>-1620.63958333333</v>
      </c>
      <c r="G212" s="66" t="n">
        <f aca="false">F209-G209</f>
        <v>-1620.63958333333</v>
      </c>
      <c r="H212" s="66" t="n">
        <f aca="false">G209-H209</f>
        <v>-1620.63958333333</v>
      </c>
      <c r="I212" s="66" t="n">
        <f aca="false">H209-I209</f>
        <v>-1620.63958333333</v>
      </c>
      <c r="J212" s="66" t="n">
        <f aca="false">I209-J209</f>
        <v>-1620.63958333334</v>
      </c>
      <c r="K212" s="66" t="n">
        <f aca="false">J209-K209</f>
        <v>-1620.63958333333</v>
      </c>
      <c r="L212" s="66" t="n">
        <f aca="false">K209-L209</f>
        <v>-1620.63958333333</v>
      </c>
      <c r="M212" s="66" t="n">
        <f aca="false">L209-M209</f>
        <v>-1620.63958333333</v>
      </c>
      <c r="N212" s="66" t="n">
        <f aca="false">M209-N209</f>
        <v>-1620.63958333333</v>
      </c>
      <c r="O212" s="66" t="n">
        <f aca="false">N209-O209</f>
        <v>-2389.92433333333</v>
      </c>
      <c r="P212" s="66" t="n">
        <f aca="false">O209-P209</f>
        <v>217.587500000001</v>
      </c>
      <c r="Q212" s="66" t="n">
        <f aca="false">P209-Q209</f>
        <v>0</v>
      </c>
      <c r="R212" s="66" t="n">
        <f aca="false">Q209-R209</f>
        <v>0</v>
      </c>
      <c r="S212" s="66" t="n">
        <f aca="false">R209-S209</f>
        <v>0</v>
      </c>
      <c r="T212" s="66" t="n">
        <f aca="false">S209-T209</f>
        <v>0</v>
      </c>
      <c r="U212" s="66" t="n">
        <f aca="false">T209-U209</f>
        <v>0</v>
      </c>
      <c r="V212" s="66" t="n">
        <f aca="false">U209-V209</f>
        <v>0</v>
      </c>
      <c r="W212" s="66" t="n">
        <f aca="false">V209-W209</f>
        <v>0</v>
      </c>
      <c r="X212" s="66" t="n">
        <f aca="false">W209-X209</f>
        <v>0</v>
      </c>
      <c r="Y212" s="66" t="n">
        <f aca="false">X209-Y209</f>
        <v>0</v>
      </c>
      <c r="Z212" s="66" t="n">
        <f aca="false">Y209-Z209</f>
        <v>0</v>
      </c>
      <c r="AA212" s="66" t="n">
        <f aca="false">Z209-AA209</f>
        <v>-785.8356675</v>
      </c>
      <c r="AB212" s="66" t="n">
        <f aca="false">AA209-AB209</f>
        <v>0</v>
      </c>
      <c r="AC212" s="66" t="n">
        <f aca="false">AB209-AC209</f>
        <v>0</v>
      </c>
      <c r="AD212" s="66" t="n">
        <f aca="false">AC209-AD209</f>
        <v>0</v>
      </c>
      <c r="AE212" s="66" t="n">
        <f aca="false">AD209-AE209</f>
        <v>0</v>
      </c>
      <c r="AF212" s="66" t="n">
        <f aca="false">AE209-AF209</f>
        <v>0</v>
      </c>
      <c r="AG212" s="66" t="n">
        <f aca="false">AF209-AG209</f>
        <v>0</v>
      </c>
      <c r="AH212" s="66" t="n">
        <f aca="false">AG209-AH209</f>
        <v>0</v>
      </c>
      <c r="AI212" s="66" t="n">
        <f aca="false">AH209-AI209</f>
        <v>0</v>
      </c>
      <c r="AJ212" s="66" t="n">
        <f aca="false">AI209-AJ209</f>
        <v>0</v>
      </c>
      <c r="AK212" s="66" t="n">
        <f aca="false">AJ209-AK209</f>
        <v>0</v>
      </c>
      <c r="AL212" s="66" t="n">
        <f aca="false">AK209-AL209</f>
        <v>0</v>
      </c>
      <c r="AM212" s="66" t="n">
        <f aca="false">AL209-AM209</f>
        <v>-809.410737524999</v>
      </c>
      <c r="AN212" s="66" t="n">
        <f aca="false">AM209-AN209</f>
        <v>0</v>
      </c>
      <c r="AO212" s="66" t="n">
        <f aca="false">AN209-AO209</f>
        <v>0</v>
      </c>
      <c r="AP212" s="66" t="n">
        <f aca="false">AO209-AP209</f>
        <v>0</v>
      </c>
      <c r="AQ212" s="66" t="n">
        <f aca="false">AP209-AQ209</f>
        <v>0</v>
      </c>
      <c r="AR212" s="66" t="n">
        <f aca="false">AQ209-AR209</f>
        <v>0</v>
      </c>
      <c r="AS212" s="66" t="n">
        <f aca="false">AR209-AS209</f>
        <v>0</v>
      </c>
      <c r="AT212" s="66" t="n">
        <f aca="false">AS209-AT209</f>
        <v>0</v>
      </c>
      <c r="AU212" s="66" t="n">
        <f aca="false">AT209-AU209</f>
        <v>0</v>
      </c>
      <c r="AV212" s="66" t="n">
        <f aca="false">AU209-AV209</f>
        <v>0</v>
      </c>
      <c r="AW212" s="66" t="n">
        <f aca="false">AV209-AW209</f>
        <v>0</v>
      </c>
      <c r="AX212" s="66" t="n">
        <f aca="false">AW209-AX209</f>
        <v>0</v>
      </c>
      <c r="AY212" s="66" t="n">
        <f aca="false">AX209-AY209</f>
        <v>-833.693059650756</v>
      </c>
      <c r="AZ212" s="66" t="n">
        <f aca="false">AY209-AZ209</f>
        <v>0</v>
      </c>
      <c r="BA212" s="66" t="n">
        <f aca="false">AZ209-BA209</f>
        <v>0</v>
      </c>
      <c r="BB212" s="66" t="n">
        <f aca="false">BA209-BB209</f>
        <v>0</v>
      </c>
      <c r="BC212" s="66" t="n">
        <f aca="false">BB209-BC209</f>
        <v>0</v>
      </c>
      <c r="BD212" s="66" t="n">
        <f aca="false">BC209-BD209</f>
        <v>0</v>
      </c>
      <c r="BE212" s="66" t="n">
        <f aca="false">BD209-BE209</f>
        <v>0</v>
      </c>
      <c r="BF212" s="66" t="n">
        <f aca="false">BE209-BF209</f>
        <v>0</v>
      </c>
      <c r="BG212" s="66" t="n">
        <f aca="false">BF209-BG209</f>
        <v>0</v>
      </c>
      <c r="BH212" s="66" t="n">
        <f aca="false">BG209-BH209</f>
        <v>0</v>
      </c>
      <c r="BI212" s="66" t="n">
        <f aca="false">BH209-BI209</f>
        <v>0</v>
      </c>
      <c r="BJ212" s="66" t="n">
        <f aca="false">BI209-BJ209</f>
        <v>0</v>
      </c>
    </row>
    <row r="213" customFormat="false" ht="15" hidden="false" customHeight="false" outlineLevel="0" collapsed="false">
      <c r="A213" s="6" t="s">
        <v>349</v>
      </c>
      <c r="C213" s="66" t="n">
        <f aca="false">-C210</f>
        <v>-920.8</v>
      </c>
      <c r="D213" s="66" t="n">
        <f aca="false">C210-D210</f>
        <v>-37.0500000000001</v>
      </c>
      <c r="E213" s="66" t="n">
        <f aca="false">D210-E210</f>
        <v>-821.05</v>
      </c>
      <c r="F213" s="66" t="n">
        <f aca="false">E210-F210</f>
        <v>-37.05</v>
      </c>
      <c r="G213" s="66" t="n">
        <f aca="false">F210-G210</f>
        <v>-37.05</v>
      </c>
      <c r="H213" s="66" t="n">
        <f aca="false">G210-H210</f>
        <v>-37.05</v>
      </c>
      <c r="I213" s="66" t="n">
        <f aca="false">H210-I210</f>
        <v>-37.05</v>
      </c>
      <c r="J213" s="66" t="n">
        <f aca="false">I210-J210</f>
        <v>-429.050000000001</v>
      </c>
      <c r="K213" s="66" t="n">
        <f aca="false">J210-K210</f>
        <v>-429.049999999999</v>
      </c>
      <c r="L213" s="66" t="n">
        <f aca="false">K210-L210</f>
        <v>-37.0500000000002</v>
      </c>
      <c r="M213" s="66" t="n">
        <f aca="false">L210-M210</f>
        <v>-37.0500000000002</v>
      </c>
      <c r="N213" s="66" t="n">
        <f aca="false">M210-N210</f>
        <v>-37.0499999999997</v>
      </c>
      <c r="O213" s="66" t="n">
        <f aca="false">N210-O210</f>
        <v>-125.052000000001</v>
      </c>
      <c r="P213" s="66" t="n">
        <f aca="false">O210-P210</f>
        <v>0</v>
      </c>
      <c r="Q213" s="66" t="n">
        <f aca="false">P210-Q210</f>
        <v>0</v>
      </c>
      <c r="R213" s="66" t="n">
        <f aca="false">Q210-R210</f>
        <v>0</v>
      </c>
      <c r="S213" s="66" t="n">
        <f aca="false">R210-S210</f>
        <v>0</v>
      </c>
      <c r="T213" s="66" t="n">
        <f aca="false">S210-T210</f>
        <v>0</v>
      </c>
      <c r="U213" s="66" t="n">
        <f aca="false">T210-U210</f>
        <v>0</v>
      </c>
      <c r="V213" s="66" t="n">
        <f aca="false">U210-V210</f>
        <v>0</v>
      </c>
      <c r="W213" s="66" t="n">
        <f aca="false">V210-W210</f>
        <v>0</v>
      </c>
      <c r="X213" s="66" t="n">
        <f aca="false">W210-X210</f>
        <v>0</v>
      </c>
      <c r="Y213" s="66" t="n">
        <f aca="false">X210-Y210</f>
        <v>0</v>
      </c>
      <c r="Z213" s="66" t="n">
        <f aca="false">Y210-Z210</f>
        <v>0</v>
      </c>
      <c r="AA213" s="66" t="n">
        <f aca="false">Z210-AA210</f>
        <v>-90.6420599999992</v>
      </c>
      <c r="AB213" s="66" t="n">
        <f aca="false">AA210-AB210</f>
        <v>0</v>
      </c>
      <c r="AC213" s="66" t="n">
        <f aca="false">AB210-AC210</f>
        <v>0</v>
      </c>
      <c r="AD213" s="66" t="n">
        <f aca="false">AC210-AD210</f>
        <v>0</v>
      </c>
      <c r="AE213" s="66" t="n">
        <f aca="false">AD210-AE210</f>
        <v>0</v>
      </c>
      <c r="AF213" s="66" t="n">
        <f aca="false">AE210-AF210</f>
        <v>0</v>
      </c>
      <c r="AG213" s="66" t="n">
        <f aca="false">AF210-AG210</f>
        <v>0</v>
      </c>
      <c r="AH213" s="66" t="n">
        <f aca="false">AG210-AH210</f>
        <v>0</v>
      </c>
      <c r="AI213" s="66" t="n">
        <f aca="false">AH210-AI210</f>
        <v>0</v>
      </c>
      <c r="AJ213" s="66" t="n">
        <f aca="false">AI210-AJ210</f>
        <v>0</v>
      </c>
      <c r="AK213" s="66" t="n">
        <f aca="false">AJ210-AK210</f>
        <v>0</v>
      </c>
      <c r="AL213" s="66" t="n">
        <f aca="false">AK210-AL210</f>
        <v>0</v>
      </c>
      <c r="AM213" s="66" t="n">
        <f aca="false">AL210-AM210</f>
        <v>-93.3613218000005</v>
      </c>
      <c r="AN213" s="66" t="n">
        <f aca="false">AM210-AN210</f>
        <v>0</v>
      </c>
      <c r="AO213" s="66" t="n">
        <f aca="false">AN210-AO210</f>
        <v>0</v>
      </c>
      <c r="AP213" s="66" t="n">
        <f aca="false">AO210-AP210</f>
        <v>0</v>
      </c>
      <c r="AQ213" s="66" t="n">
        <f aca="false">AP210-AQ210</f>
        <v>0</v>
      </c>
      <c r="AR213" s="66" t="n">
        <f aca="false">AQ210-AR210</f>
        <v>0</v>
      </c>
      <c r="AS213" s="66" t="n">
        <f aca="false">AR210-AS210</f>
        <v>0</v>
      </c>
      <c r="AT213" s="66" t="n">
        <f aca="false">AS210-AT210</f>
        <v>0</v>
      </c>
      <c r="AU213" s="66" t="n">
        <f aca="false">AT210-AU210</f>
        <v>0</v>
      </c>
      <c r="AV213" s="66" t="n">
        <f aca="false">AU210-AV210</f>
        <v>0</v>
      </c>
      <c r="AW213" s="66" t="n">
        <f aca="false">AV210-AW210</f>
        <v>0</v>
      </c>
      <c r="AX213" s="66" t="n">
        <f aca="false">AW210-AX210</f>
        <v>0</v>
      </c>
      <c r="AY213" s="66" t="n">
        <f aca="false">AX210-AY210</f>
        <v>-96.1621614540004</v>
      </c>
      <c r="AZ213" s="66" t="n">
        <f aca="false">AY210-AZ210</f>
        <v>0</v>
      </c>
      <c r="BA213" s="66" t="n">
        <f aca="false">AZ210-BA210</f>
        <v>0</v>
      </c>
      <c r="BB213" s="66" t="n">
        <f aca="false">BA210-BB210</f>
        <v>0</v>
      </c>
      <c r="BC213" s="66" t="n">
        <f aca="false">BB210-BC210</f>
        <v>0</v>
      </c>
      <c r="BD213" s="66" t="n">
        <f aca="false">BC210-BD210</f>
        <v>0</v>
      </c>
      <c r="BE213" s="66" t="n">
        <f aca="false">BD210-BE210</f>
        <v>0</v>
      </c>
      <c r="BF213" s="66" t="n">
        <f aca="false">BE210-BF210</f>
        <v>0</v>
      </c>
      <c r="BG213" s="66" t="n">
        <f aca="false">BF210-BG210</f>
        <v>0</v>
      </c>
      <c r="BH213" s="66" t="n">
        <f aca="false">BG210-BH210</f>
        <v>0</v>
      </c>
      <c r="BI213" s="66" t="n">
        <f aca="false">BH210-BI210</f>
        <v>0</v>
      </c>
      <c r="BJ213" s="66" t="n">
        <f aca="false">BI210-BJ210</f>
        <v>0</v>
      </c>
    </row>
    <row r="214" customFormat="false" ht="15" hidden="false" customHeight="false" outlineLevel="0" collapsed="false">
      <c r="A214" s="6" t="s">
        <v>350</v>
      </c>
      <c r="C214" s="66" t="n">
        <f aca="false">C211</f>
        <v>3376.26666666667</v>
      </c>
      <c r="D214" s="66" t="n">
        <f aca="false">D211-C211</f>
        <v>135.85</v>
      </c>
      <c r="E214" s="66" t="n">
        <f aca="false">E211-D211</f>
        <v>3010.51666666667</v>
      </c>
      <c r="F214" s="66" t="n">
        <f aca="false">F211-E211</f>
        <v>135.85</v>
      </c>
      <c r="G214" s="66" t="n">
        <f aca="false">G211-F211</f>
        <v>135.849999999999</v>
      </c>
      <c r="H214" s="66" t="n">
        <f aca="false">H211-G211</f>
        <v>135.85</v>
      </c>
      <c r="I214" s="66" t="n">
        <f aca="false">I211-H211</f>
        <v>135.85</v>
      </c>
      <c r="J214" s="66" t="n">
        <f aca="false">J211-I211</f>
        <v>1573.18333333333</v>
      </c>
      <c r="K214" s="66" t="n">
        <f aca="false">K211-J211</f>
        <v>1573.18333333333</v>
      </c>
      <c r="L214" s="66" t="n">
        <f aca="false">L211-K211</f>
        <v>135.85</v>
      </c>
      <c r="M214" s="66" t="n">
        <f aca="false">M211-L211</f>
        <v>135.85</v>
      </c>
      <c r="N214" s="66" t="n">
        <f aca="false">N211-M211</f>
        <v>135.85</v>
      </c>
      <c r="O214" s="66" t="n">
        <f aca="false">O211-N211</f>
        <v>458.524000000001</v>
      </c>
      <c r="P214" s="66" t="n">
        <f aca="false">P211-O211</f>
        <v>0</v>
      </c>
      <c r="Q214" s="66" t="n">
        <f aca="false">Q211-P211</f>
        <v>0</v>
      </c>
      <c r="R214" s="66" t="n">
        <f aca="false">R211-Q211</f>
        <v>0</v>
      </c>
      <c r="S214" s="66" t="n">
        <f aca="false">S211-R211</f>
        <v>0</v>
      </c>
      <c r="T214" s="66" t="n">
        <f aca="false">T211-S211</f>
        <v>0</v>
      </c>
      <c r="U214" s="66" t="n">
        <f aca="false">U211-T211</f>
        <v>0</v>
      </c>
      <c r="V214" s="66" t="n">
        <f aca="false">V211-U211</f>
        <v>0</v>
      </c>
      <c r="W214" s="66" t="n">
        <f aca="false">W211-V211</f>
        <v>0</v>
      </c>
      <c r="X214" s="66" t="n">
        <f aca="false">X211-W211</f>
        <v>0</v>
      </c>
      <c r="Y214" s="66" t="n">
        <f aca="false">Y211-X211</f>
        <v>0</v>
      </c>
      <c r="Z214" s="66" t="n">
        <f aca="false">Z211-Y211</f>
        <v>0</v>
      </c>
      <c r="AA214" s="66" t="n">
        <f aca="false">AA211-Z211</f>
        <v>332.354219999997</v>
      </c>
      <c r="AB214" s="66" t="n">
        <f aca="false">AB211-AA211</f>
        <v>0</v>
      </c>
      <c r="AC214" s="66" t="n">
        <f aca="false">AC211-AB211</f>
        <v>0</v>
      </c>
      <c r="AD214" s="66" t="n">
        <f aca="false">AD211-AC211</f>
        <v>0</v>
      </c>
      <c r="AE214" s="66" t="n">
        <f aca="false">AE211-AD211</f>
        <v>0</v>
      </c>
      <c r="AF214" s="66" t="n">
        <f aca="false">AF211-AE211</f>
        <v>0</v>
      </c>
      <c r="AG214" s="66" t="n">
        <f aca="false">AG211-AF211</f>
        <v>0</v>
      </c>
      <c r="AH214" s="66" t="n">
        <f aca="false">AH211-AG211</f>
        <v>0</v>
      </c>
      <c r="AI214" s="66" t="n">
        <f aca="false">AI211-AH211</f>
        <v>0</v>
      </c>
      <c r="AJ214" s="66" t="n">
        <f aca="false">AJ211-AI211</f>
        <v>0</v>
      </c>
      <c r="AK214" s="66" t="n">
        <f aca="false">AK211-AJ211</f>
        <v>0</v>
      </c>
      <c r="AL214" s="66" t="n">
        <f aca="false">AL211-AK211</f>
        <v>0</v>
      </c>
      <c r="AM214" s="66" t="n">
        <f aca="false">AM211-AL211</f>
        <v>342.324846600002</v>
      </c>
      <c r="AN214" s="66" t="n">
        <f aca="false">AN211-AM211</f>
        <v>0</v>
      </c>
      <c r="AO214" s="66" t="n">
        <f aca="false">AO211-AN211</f>
        <v>0</v>
      </c>
      <c r="AP214" s="66" t="n">
        <f aca="false">AP211-AO211</f>
        <v>0</v>
      </c>
      <c r="AQ214" s="66" t="n">
        <f aca="false">AQ211-AP211</f>
        <v>0</v>
      </c>
      <c r="AR214" s="66" t="n">
        <f aca="false">AR211-AQ211</f>
        <v>0</v>
      </c>
      <c r="AS214" s="66" t="n">
        <f aca="false">AS211-AR211</f>
        <v>0</v>
      </c>
      <c r="AT214" s="66" t="n">
        <f aca="false">AT211-AS211</f>
        <v>0</v>
      </c>
      <c r="AU214" s="66" t="n">
        <f aca="false">AU211-AT211</f>
        <v>0</v>
      </c>
      <c r="AV214" s="66" t="n">
        <f aca="false">AV211-AU211</f>
        <v>0</v>
      </c>
      <c r="AW214" s="66" t="n">
        <f aca="false">AW211-AV211</f>
        <v>0</v>
      </c>
      <c r="AX214" s="66" t="n">
        <f aca="false">AX211-AW211</f>
        <v>0</v>
      </c>
      <c r="AY214" s="66" t="n">
        <f aca="false">AY211-AX211</f>
        <v>352.594591998002</v>
      </c>
      <c r="AZ214" s="66" t="n">
        <f aca="false">AZ211-AY211</f>
        <v>0</v>
      </c>
      <c r="BA214" s="66" t="n">
        <f aca="false">BA211-AZ211</f>
        <v>0</v>
      </c>
      <c r="BB214" s="66" t="n">
        <f aca="false">BB211-BA211</f>
        <v>0</v>
      </c>
      <c r="BC214" s="66" t="n">
        <f aca="false">BC211-BB211</f>
        <v>0</v>
      </c>
      <c r="BD214" s="66" t="n">
        <f aca="false">BD211-BC211</f>
        <v>0</v>
      </c>
      <c r="BE214" s="66" t="n">
        <f aca="false">BE211-BD211</f>
        <v>0</v>
      </c>
      <c r="BF214" s="66" t="n">
        <f aca="false">BF211-BE211</f>
        <v>0</v>
      </c>
      <c r="BG214" s="66" t="n">
        <f aca="false">BG211-BF211</f>
        <v>0</v>
      </c>
      <c r="BH214" s="66" t="n">
        <f aca="false">BH211-BG211</f>
        <v>0</v>
      </c>
      <c r="BI214" s="66" t="n">
        <f aca="false">BI211-BH211</f>
        <v>0</v>
      </c>
      <c r="BJ214" s="66" t="n">
        <f aca="false">BJ211-BI211</f>
        <v>0</v>
      </c>
    </row>
    <row r="216" customFormat="false" ht="15.75" hidden="false" customHeight="true" outlineLevel="0" collapsed="false">
      <c r="A216" s="7" t="s">
        <v>449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4" t="s">
        <v>52</v>
      </c>
      <c r="C217" s="72" t="n">
        <f aca="false">C189-C198+C212+C213+C214</f>
        <v>-23923.3166666667</v>
      </c>
      <c r="D217" s="72" t="n">
        <f aca="false">D189-D198+D212+D213+D214</f>
        <v>-18575.8753472222</v>
      </c>
      <c r="E217" s="72" t="n">
        <f aca="false">E189-E198+E212+E213+E214</f>
        <v>-21582.4166666667</v>
      </c>
      <c r="F217" s="72" t="n">
        <f aca="false">F189-F198+F212+F213+F214</f>
        <v>-20361.5413194444</v>
      </c>
      <c r="G217" s="72" t="n">
        <f aca="false">G189-G198+G212+G213+G214</f>
        <v>-17049.9993055556</v>
      </c>
      <c r="H217" s="72" t="n">
        <f aca="false">H189-H198+H212+H213+H214</f>
        <v>-13738.4572916667</v>
      </c>
      <c r="I217" s="72" t="n">
        <f aca="false">I189-I198+I212+I213+I214</f>
        <v>-10426.9152777778</v>
      </c>
      <c r="J217" s="72" t="n">
        <f aca="false">J189-J198+J212+J213+J214</f>
        <v>-9990.03993055557</v>
      </c>
      <c r="K217" s="72" t="n">
        <f aca="false">K189-K198+K212+K213+K214</f>
        <v>-10598.4979166667</v>
      </c>
      <c r="L217" s="72" t="n">
        <f aca="false">L189-L198+L212+L213+L214</f>
        <v>-8332.28923611111</v>
      </c>
      <c r="M217" s="72" t="n">
        <f aca="false">M189-M198+M212+M213+M214</f>
        <v>-5020.74722222222</v>
      </c>
      <c r="N217" s="72" t="n">
        <f aca="false">N189-N198+N212+N213+N214</f>
        <v>-1709.20520833333</v>
      </c>
      <c r="O217" s="72" t="n">
        <f aca="false">O189-O198+O212+O213+O214</f>
        <v>1401.65768055555</v>
      </c>
      <c r="P217" s="72" t="n">
        <f aca="false">P189-P198+P212+P213+P214</f>
        <v>3187.46140277778</v>
      </c>
      <c r="Q217" s="72" t="n">
        <f aca="false">Q189-Q198+Q212+Q213+Q214</f>
        <v>2983.76279166666</v>
      </c>
      <c r="R217" s="72" t="n">
        <f aca="false">R189-R198+R212+R213+R214</f>
        <v>2997.65168055555</v>
      </c>
      <c r="S217" s="72" t="n">
        <f aca="false">S189-S198+S212+S213+S214</f>
        <v>3011.54056944444</v>
      </c>
      <c r="T217" s="72" t="n">
        <f aca="false">T189-T198+T212+T213+T214</f>
        <v>3025.42945833333</v>
      </c>
      <c r="U217" s="72" t="n">
        <f aca="false">U189-U198+U212+U213+U214</f>
        <v>3039.31834722222</v>
      </c>
      <c r="V217" s="72" t="n">
        <f aca="false">V189-V198+V212+V213+V214</f>
        <v>3053.20723611111</v>
      </c>
      <c r="W217" s="72" t="n">
        <f aca="false">W189-W198+W212+W213+W214</f>
        <v>3067.096125</v>
      </c>
      <c r="X217" s="72" t="n">
        <f aca="false">X189-X198+X212+X213+X214</f>
        <v>3080.98501388889</v>
      </c>
      <c r="Y217" s="72" t="n">
        <f aca="false">Y189-Y198+Y212+Y213+Y214</f>
        <v>3094.87390277777</v>
      </c>
      <c r="Z217" s="72" t="n">
        <f aca="false">Z189-Z198+Z212+Z213+Z214</f>
        <v>3108.76279166666</v>
      </c>
      <c r="AA217" s="72" t="n">
        <f aca="false">AA189-AA198+AA212+AA213+AA214</f>
        <v>2907.41605680555</v>
      </c>
      <c r="AB217" s="72" t="n">
        <f aca="false">AB189-AB198+AB212+AB213+AB214</f>
        <v>3465.42845319444</v>
      </c>
      <c r="AC217" s="72" t="n">
        <f aca="false">AC189-AC198+AC212+AC213+AC214</f>
        <v>3479.31734208333</v>
      </c>
      <c r="AD217" s="72" t="n">
        <f aca="false">AD189-AD198+AD212+AD213+AD214</f>
        <v>3493.20623097222</v>
      </c>
      <c r="AE217" s="72" t="n">
        <f aca="false">AE189-AE198+AE212+AE213+AE214</f>
        <v>3507.09511986111</v>
      </c>
      <c r="AF217" s="72" t="n">
        <f aca="false">AF189-AF198+AF212+AF213+AF214</f>
        <v>3520.98400875</v>
      </c>
      <c r="AG217" s="72" t="n">
        <f aca="false">AG189-AG198+AG212+AG213+AG214</f>
        <v>3534.87289763889</v>
      </c>
      <c r="AH217" s="72" t="n">
        <f aca="false">AH189-AH198+AH212+AH213+AH214</f>
        <v>3548.76178652778</v>
      </c>
      <c r="AI217" s="72" t="n">
        <f aca="false">AI189-AI198+AI212+AI213+AI214</f>
        <v>3562.65067541667</v>
      </c>
      <c r="AJ217" s="72" t="n">
        <f aca="false">AJ189-AJ198+AJ212+AJ213+AJ214</f>
        <v>3576.53956430555</v>
      </c>
      <c r="AK217" s="72" t="n">
        <f aca="false">AK189-AK198+AK212+AK213+AK214</f>
        <v>3590.42845319444</v>
      </c>
      <c r="AL217" s="72" t="n">
        <f aca="false">AL189-AL198+AL212+AL213+AL214</f>
        <v>3604.31734208333</v>
      </c>
      <c r="AM217" s="72" t="n">
        <f aca="false">AM189-AM198+AM212+AM213+AM214</f>
        <v>3396.51353850973</v>
      </c>
      <c r="AN217" s="72" t="n">
        <f aca="false">AN189-AN198+AN212+AN213+AN214</f>
        <v>3970.84964012361</v>
      </c>
      <c r="AO217" s="72" t="n">
        <f aca="false">AO189-AO198+AO212+AO213+AO214</f>
        <v>3984.7385290125</v>
      </c>
      <c r="AP217" s="72" t="n">
        <f aca="false">AP189-AP198+AP212+AP213+AP214</f>
        <v>3998.62741790139</v>
      </c>
      <c r="AQ217" s="72" t="n">
        <f aca="false">AQ189-AQ198+AQ212+AQ213+AQ214</f>
        <v>4012.51630679028</v>
      </c>
      <c r="AR217" s="72" t="n">
        <f aca="false">AR189-AR198+AR212+AR213+AR214</f>
        <v>4026.40519567917</v>
      </c>
      <c r="AS217" s="72" t="n">
        <f aca="false">AS189-AS198+AS212+AS213+AS214</f>
        <v>4040.29408456806</v>
      </c>
      <c r="AT217" s="72" t="n">
        <f aca="false">AT189-AT198+AT212+AT213+AT214</f>
        <v>4054.18297345694</v>
      </c>
      <c r="AU217" s="72" t="n">
        <f aca="false">AU189-AU198+AU212+AU213+AU214</f>
        <v>4068.07186234583</v>
      </c>
      <c r="AV217" s="72" t="n">
        <f aca="false">AV189-AV198+AV212+AV213+AV214</f>
        <v>4081.96075123472</v>
      </c>
      <c r="AW217" s="72" t="n">
        <f aca="false">AW189-AW198+AW212+AW213+AW214</f>
        <v>4095.84964012361</v>
      </c>
      <c r="AX217" s="72" t="n">
        <f aca="false">AX189-AX198+AX212+AX213+AX214</f>
        <v>4109.7385290125</v>
      </c>
      <c r="AY217" s="72" t="n">
        <f aca="false">AY189-AY198+AY212+AY213+AY214</f>
        <v>3895.28394466501</v>
      </c>
      <c r="AZ217" s="72" t="n">
        <f aca="false">AZ189-AZ198+AZ212+AZ213+AZ214</f>
        <v>4486.43346266065</v>
      </c>
      <c r="BA217" s="72" t="n">
        <f aca="false">BA189-BA198+BA212+BA213+BA214</f>
        <v>4500.32235154954</v>
      </c>
      <c r="BB217" s="72" t="n">
        <f aca="false">BB189-BB198+BB212+BB213+BB214</f>
        <v>4514.21124043843</v>
      </c>
      <c r="BC217" s="72" t="n">
        <f aca="false">BC189-BC198+BC212+BC213+BC214</f>
        <v>4528.10012932732</v>
      </c>
      <c r="BD217" s="72" t="n">
        <f aca="false">BD189-BD198+BD212+BD213+BD214</f>
        <v>4541.98901821621</v>
      </c>
      <c r="BE217" s="72" t="n">
        <f aca="false">BE189-BE198+BE212+BE213+BE214</f>
        <v>4555.87790710509</v>
      </c>
      <c r="BF217" s="72" t="n">
        <f aca="false">BF189-BF198+BF212+BF213+BF214</f>
        <v>4569.76679599398</v>
      </c>
      <c r="BG217" s="72" t="n">
        <f aca="false">BG189-BG198+BG212+BG213+BG214</f>
        <v>4583.65568488287</v>
      </c>
      <c r="BH217" s="72" t="n">
        <f aca="false">BH189-BH198+BH212+BH213+BH214</f>
        <v>4597.54457377176</v>
      </c>
      <c r="BI217" s="72" t="n">
        <f aca="false">BI189-BI198+BI212+BI213+BI214</f>
        <v>4611.43346266065</v>
      </c>
      <c r="BJ217" s="72" t="n">
        <f aca="false">BJ189-BJ198+BJ212+BJ213+BJ214</f>
        <v>4625.32235154954</v>
      </c>
    </row>
    <row r="218" customFormat="false" ht="15" hidden="false" customHeight="false" outlineLevel="0" collapsed="false">
      <c r="A218" s="6" t="s">
        <v>450</v>
      </c>
      <c r="C218" s="66" t="n">
        <f aca="false">-C196</f>
        <v>-442000</v>
      </c>
      <c r="D218" s="66" t="n">
        <f aca="false">-D196</f>
        <v>-0</v>
      </c>
      <c r="E218" s="66" t="n">
        <f aca="false">-E196</f>
        <v>-0</v>
      </c>
      <c r="F218" s="66" t="n">
        <f aca="false">-F196</f>
        <v>-0</v>
      </c>
      <c r="G218" s="66" t="n">
        <f aca="false">-G196</f>
        <v>-0</v>
      </c>
      <c r="H218" s="66" t="n">
        <f aca="false">-H196</f>
        <v>-0</v>
      </c>
      <c r="I218" s="66" t="n">
        <f aca="false">-I196</f>
        <v>-0</v>
      </c>
      <c r="J218" s="66" t="n">
        <f aca="false">-J196</f>
        <v>-0</v>
      </c>
      <c r="K218" s="66" t="n">
        <f aca="false">-K196</f>
        <v>-0</v>
      </c>
      <c r="L218" s="66" t="n">
        <f aca="false">-L196</f>
        <v>-0</v>
      </c>
      <c r="M218" s="66" t="n">
        <f aca="false">-M196</f>
        <v>-0</v>
      </c>
      <c r="N218" s="66" t="n">
        <f aca="false">-N196</f>
        <v>-0</v>
      </c>
      <c r="O218" s="66" t="n">
        <f aca="false">-O196</f>
        <v>-9000</v>
      </c>
      <c r="P218" s="66" t="n">
        <f aca="false">-P196</f>
        <v>-0</v>
      </c>
      <c r="Q218" s="66" t="n">
        <f aca="false">-Q196</f>
        <v>-0</v>
      </c>
      <c r="R218" s="66" t="n">
        <f aca="false">-R196</f>
        <v>-0</v>
      </c>
      <c r="S218" s="66" t="n">
        <f aca="false">-S196</f>
        <v>-0</v>
      </c>
      <c r="T218" s="66" t="n">
        <f aca="false">-T196</f>
        <v>-0</v>
      </c>
      <c r="U218" s="66" t="n">
        <f aca="false">-U196</f>
        <v>-0</v>
      </c>
      <c r="V218" s="66" t="n">
        <f aca="false">-V196</f>
        <v>-0</v>
      </c>
      <c r="W218" s="66" t="n">
        <f aca="false">-W196</f>
        <v>-0</v>
      </c>
      <c r="X218" s="66" t="n">
        <f aca="false">-X196</f>
        <v>-0</v>
      </c>
      <c r="Y218" s="66" t="n">
        <f aca="false">-Y196</f>
        <v>-0</v>
      </c>
      <c r="Z218" s="66" t="n">
        <f aca="false">-Z196</f>
        <v>-0</v>
      </c>
      <c r="AA218" s="66" t="n">
        <f aca="false">-AA196</f>
        <v>-9000</v>
      </c>
      <c r="AB218" s="66" t="n">
        <f aca="false">-AB196</f>
        <v>-0</v>
      </c>
      <c r="AC218" s="66" t="n">
        <f aca="false">-AC196</f>
        <v>-0</v>
      </c>
      <c r="AD218" s="66" t="n">
        <f aca="false">-AD196</f>
        <v>-0</v>
      </c>
      <c r="AE218" s="66" t="n">
        <f aca="false">-AE196</f>
        <v>-0</v>
      </c>
      <c r="AF218" s="66" t="n">
        <f aca="false">-AF196</f>
        <v>-0</v>
      </c>
      <c r="AG218" s="66" t="n">
        <f aca="false">-AG196</f>
        <v>-0</v>
      </c>
      <c r="AH218" s="66" t="n">
        <f aca="false">-AH196</f>
        <v>-0</v>
      </c>
      <c r="AI218" s="66" t="n">
        <f aca="false">-AI196</f>
        <v>-0</v>
      </c>
      <c r="AJ218" s="66" t="n">
        <f aca="false">-AJ196</f>
        <v>-0</v>
      </c>
      <c r="AK218" s="66" t="n">
        <f aca="false">-AK196</f>
        <v>-0</v>
      </c>
      <c r="AL218" s="66" t="n">
        <f aca="false">-AL196</f>
        <v>-0</v>
      </c>
      <c r="AM218" s="66" t="n">
        <f aca="false">-AM196</f>
        <v>-9000</v>
      </c>
      <c r="AN218" s="66" t="n">
        <f aca="false">-AN196</f>
        <v>-0</v>
      </c>
      <c r="AO218" s="66" t="n">
        <f aca="false">-AO196</f>
        <v>-0</v>
      </c>
      <c r="AP218" s="66" t="n">
        <f aca="false">-AP196</f>
        <v>-0</v>
      </c>
      <c r="AQ218" s="66" t="n">
        <f aca="false">-AQ196</f>
        <v>-0</v>
      </c>
      <c r="AR218" s="66" t="n">
        <f aca="false">-AR196</f>
        <v>-0</v>
      </c>
      <c r="AS218" s="66" t="n">
        <f aca="false">-AS196</f>
        <v>-0</v>
      </c>
      <c r="AT218" s="66" t="n">
        <f aca="false">-AT196</f>
        <v>-0</v>
      </c>
      <c r="AU218" s="66" t="n">
        <f aca="false">-AU196</f>
        <v>-0</v>
      </c>
      <c r="AV218" s="66" t="n">
        <f aca="false">-AV196</f>
        <v>-0</v>
      </c>
      <c r="AW218" s="66" t="n">
        <f aca="false">-AW196</f>
        <v>-0</v>
      </c>
      <c r="AX218" s="66" t="n">
        <f aca="false">-AX196</f>
        <v>-0</v>
      </c>
      <c r="AY218" s="66" t="n">
        <f aca="false">-AY196</f>
        <v>-9000</v>
      </c>
      <c r="AZ218" s="66" t="n">
        <f aca="false">-AZ196</f>
        <v>-0</v>
      </c>
      <c r="BA218" s="66" t="n">
        <f aca="false">-BA196</f>
        <v>-0</v>
      </c>
      <c r="BB218" s="66" t="n">
        <f aca="false">-BB196</f>
        <v>-0</v>
      </c>
      <c r="BC218" s="66" t="n">
        <f aca="false">-BC196</f>
        <v>-0</v>
      </c>
      <c r="BD218" s="66" t="n">
        <f aca="false">-BD196</f>
        <v>-0</v>
      </c>
      <c r="BE218" s="66" t="n">
        <f aca="false">-BE196</f>
        <v>-0</v>
      </c>
      <c r="BF218" s="66" t="n">
        <f aca="false">-BF196</f>
        <v>-0</v>
      </c>
      <c r="BG218" s="66" t="n">
        <f aca="false">-BG196</f>
        <v>-0</v>
      </c>
      <c r="BH218" s="66" t="n">
        <f aca="false">-BH196</f>
        <v>-0</v>
      </c>
      <c r="BI218" s="66" t="n">
        <f aca="false">-BI196</f>
        <v>-0</v>
      </c>
      <c r="BJ218" s="66" t="n">
        <f aca="false">-BJ196</f>
        <v>-0</v>
      </c>
    </row>
    <row r="219" customFormat="false" ht="15" hidden="false" customHeight="false" outlineLevel="0" collapsed="false">
      <c r="A219" s="6" t="s">
        <v>63</v>
      </c>
      <c r="C219" s="66" t="n">
        <f aca="false">IF(C$132=1,Inputs!$C$73,0)</f>
        <v>450000</v>
      </c>
      <c r="D219" s="66" t="n">
        <f aca="false">IF(D$132=1,Inputs!$C$73,0)</f>
        <v>0</v>
      </c>
      <c r="E219" s="66" t="n">
        <f aca="false">IF(E$132=1,Inputs!$C$73,0)</f>
        <v>0</v>
      </c>
      <c r="F219" s="66" t="n">
        <f aca="false">IF(F$132=1,Inputs!$C$73,0)</f>
        <v>0</v>
      </c>
      <c r="G219" s="66" t="n">
        <f aca="false">IF(G$132=1,Inputs!$C$73,0)</f>
        <v>0</v>
      </c>
      <c r="H219" s="66" t="n">
        <f aca="false">IF(H$132=1,Inputs!$C$73,0)</f>
        <v>0</v>
      </c>
      <c r="I219" s="66" t="n">
        <f aca="false">IF(I$132=1,Inputs!$C$73,0)</f>
        <v>0</v>
      </c>
      <c r="J219" s="66" t="n">
        <f aca="false">IF(J$132=1,Inputs!$C$73,0)</f>
        <v>0</v>
      </c>
      <c r="K219" s="66" t="n">
        <f aca="false">IF(K$132=1,Inputs!$C$73,0)</f>
        <v>0</v>
      </c>
      <c r="L219" s="66" t="n">
        <f aca="false">IF(L$132=1,Inputs!$C$73,0)</f>
        <v>0</v>
      </c>
      <c r="M219" s="66" t="n">
        <f aca="false">IF(M$132=1,Inputs!$C$73,0)</f>
        <v>0</v>
      </c>
      <c r="N219" s="66" t="n">
        <f aca="false">IF(N$132=1,Inputs!$C$73,0)</f>
        <v>0</v>
      </c>
      <c r="O219" s="66" t="n">
        <f aca="false">IF(O$132=1,Inputs!$C$73,0)</f>
        <v>0</v>
      </c>
      <c r="P219" s="66" t="n">
        <f aca="false">IF(P$132=1,Inputs!$C$73,0)</f>
        <v>0</v>
      </c>
      <c r="Q219" s="66" t="n">
        <f aca="false">IF(Q$132=1,Inputs!$C$73,0)</f>
        <v>0</v>
      </c>
      <c r="R219" s="66" t="n">
        <f aca="false">IF(R$132=1,Inputs!$C$73,0)</f>
        <v>0</v>
      </c>
      <c r="S219" s="66" t="n">
        <f aca="false">IF(S$132=1,Inputs!$C$73,0)</f>
        <v>0</v>
      </c>
      <c r="T219" s="66" t="n">
        <f aca="false">IF(T$132=1,Inputs!$C$73,0)</f>
        <v>0</v>
      </c>
      <c r="U219" s="66" t="n">
        <f aca="false">IF(U$132=1,Inputs!$C$73,0)</f>
        <v>0</v>
      </c>
      <c r="V219" s="66" t="n">
        <f aca="false">IF(V$132=1,Inputs!$C$73,0)</f>
        <v>0</v>
      </c>
      <c r="W219" s="66" t="n">
        <f aca="false">IF(W$132=1,Inputs!$C$73,0)</f>
        <v>0</v>
      </c>
      <c r="X219" s="66" t="n">
        <f aca="false">IF(X$132=1,Inputs!$C$73,0)</f>
        <v>0</v>
      </c>
      <c r="Y219" s="66" t="n">
        <f aca="false">IF(Y$132=1,Inputs!$C$73,0)</f>
        <v>0</v>
      </c>
      <c r="Z219" s="66" t="n">
        <f aca="false">IF(Z$132=1,Inputs!$C$73,0)</f>
        <v>0</v>
      </c>
      <c r="AA219" s="66" t="n">
        <f aca="false">IF(AA$132=1,Inputs!$C$73,0)</f>
        <v>0</v>
      </c>
      <c r="AB219" s="66" t="n">
        <f aca="false">IF(AB$132=1,Inputs!$C$73,0)</f>
        <v>0</v>
      </c>
      <c r="AC219" s="66" t="n">
        <f aca="false">IF(AC$132=1,Inputs!$C$73,0)</f>
        <v>0</v>
      </c>
      <c r="AD219" s="66" t="n">
        <f aca="false">IF(AD$132=1,Inputs!$C$73,0)</f>
        <v>0</v>
      </c>
      <c r="AE219" s="66" t="n">
        <f aca="false">IF(AE$132=1,Inputs!$C$73,0)</f>
        <v>0</v>
      </c>
      <c r="AF219" s="66" t="n">
        <f aca="false">IF(AF$132=1,Inputs!$C$73,0)</f>
        <v>0</v>
      </c>
      <c r="AG219" s="66" t="n">
        <f aca="false">IF(AG$132=1,Inputs!$C$73,0)</f>
        <v>0</v>
      </c>
      <c r="AH219" s="66" t="n">
        <f aca="false">IF(AH$132=1,Inputs!$C$73,0)</f>
        <v>0</v>
      </c>
      <c r="AI219" s="66" t="n">
        <f aca="false">IF(AI$132=1,Inputs!$C$73,0)</f>
        <v>0</v>
      </c>
      <c r="AJ219" s="66" t="n">
        <f aca="false">IF(AJ$132=1,Inputs!$C$73,0)</f>
        <v>0</v>
      </c>
      <c r="AK219" s="66" t="n">
        <f aca="false">IF(AK$132=1,Inputs!$C$73,0)</f>
        <v>0</v>
      </c>
      <c r="AL219" s="66" t="n">
        <f aca="false">IF(AL$132=1,Inputs!$C$73,0)</f>
        <v>0</v>
      </c>
      <c r="AM219" s="66" t="n">
        <f aca="false">IF(AM$132=1,Inputs!$C$73,0)</f>
        <v>0</v>
      </c>
      <c r="AN219" s="66" t="n">
        <f aca="false">IF(AN$132=1,Inputs!$C$73,0)</f>
        <v>0</v>
      </c>
      <c r="AO219" s="66" t="n">
        <f aca="false">IF(AO$132=1,Inputs!$C$73,0)</f>
        <v>0</v>
      </c>
      <c r="AP219" s="66" t="n">
        <f aca="false">IF(AP$132=1,Inputs!$C$73,0)</f>
        <v>0</v>
      </c>
      <c r="AQ219" s="66" t="n">
        <f aca="false">IF(AQ$132=1,Inputs!$C$73,0)</f>
        <v>0</v>
      </c>
      <c r="AR219" s="66" t="n">
        <f aca="false">IF(AR$132=1,Inputs!$C$73,0)</f>
        <v>0</v>
      </c>
      <c r="AS219" s="66" t="n">
        <f aca="false">IF(AS$132=1,Inputs!$C$73,0)</f>
        <v>0</v>
      </c>
      <c r="AT219" s="66" t="n">
        <f aca="false">IF(AT$132=1,Inputs!$C$73,0)</f>
        <v>0</v>
      </c>
      <c r="AU219" s="66" t="n">
        <f aca="false">IF(AU$132=1,Inputs!$C$73,0)</f>
        <v>0</v>
      </c>
      <c r="AV219" s="66" t="n">
        <f aca="false">IF(AV$132=1,Inputs!$C$73,0)</f>
        <v>0</v>
      </c>
      <c r="AW219" s="66" t="n">
        <f aca="false">IF(AW$132=1,Inputs!$C$73,0)</f>
        <v>0</v>
      </c>
      <c r="AX219" s="66" t="n">
        <f aca="false">IF(AX$132=1,Inputs!$C$73,0)</f>
        <v>0</v>
      </c>
      <c r="AY219" s="66" t="n">
        <f aca="false">IF(AY$132=1,Inputs!$C$73,0)</f>
        <v>0</v>
      </c>
      <c r="AZ219" s="66" t="n">
        <f aca="false">IF(AZ$132=1,Inputs!$C$73,0)</f>
        <v>0</v>
      </c>
      <c r="BA219" s="66" t="n">
        <f aca="false">IF(BA$132=1,Inputs!$C$73,0)</f>
        <v>0</v>
      </c>
      <c r="BB219" s="66" t="n">
        <f aca="false">IF(BB$132=1,Inputs!$C$73,0)</f>
        <v>0</v>
      </c>
      <c r="BC219" s="66" t="n">
        <f aca="false">IF(BC$132=1,Inputs!$C$73,0)</f>
        <v>0</v>
      </c>
      <c r="BD219" s="66" t="n">
        <f aca="false">IF(BD$132=1,Inputs!$C$73,0)</f>
        <v>0</v>
      </c>
      <c r="BE219" s="66" t="n">
        <f aca="false">IF(BE$132=1,Inputs!$C$73,0)</f>
        <v>0</v>
      </c>
      <c r="BF219" s="66" t="n">
        <f aca="false">IF(BF$132=1,Inputs!$C$73,0)</f>
        <v>0</v>
      </c>
      <c r="BG219" s="66" t="n">
        <f aca="false">IF(BG$132=1,Inputs!$C$73,0)</f>
        <v>0</v>
      </c>
      <c r="BH219" s="66" t="n">
        <f aca="false">IF(BH$132=1,Inputs!$C$73,0)</f>
        <v>0</v>
      </c>
      <c r="BI219" s="66" t="n">
        <f aca="false">IF(BI$132=1,Inputs!$C$73,0)</f>
        <v>0</v>
      </c>
      <c r="BJ219" s="66" t="n">
        <f aca="false">IF(BJ$132=1,Inputs!$C$73,0)</f>
        <v>0</v>
      </c>
    </row>
    <row r="220" customFormat="false" ht="15" hidden="false" customHeight="false" outlineLevel="0" collapsed="false">
      <c r="A220" s="6" t="s">
        <v>54</v>
      </c>
      <c r="C220" s="66" t="n">
        <f aca="false">C219+C204+C205</f>
        <v>700000</v>
      </c>
      <c r="D220" s="66" t="n">
        <f aca="false">D219+D204+D205</f>
        <v>-2083.33333333333</v>
      </c>
      <c r="E220" s="66" t="n">
        <f aca="false">E219+E204+E205</f>
        <v>-2083.33333333333</v>
      </c>
      <c r="F220" s="66" t="n">
        <f aca="false">F219+F204+F205</f>
        <v>-2083.33333333333</v>
      </c>
      <c r="G220" s="66" t="n">
        <f aca="false">G219+G204+G205</f>
        <v>-2083.33333333333</v>
      </c>
      <c r="H220" s="66" t="n">
        <f aca="false">H219+H204+H205</f>
        <v>-2083.33333333333</v>
      </c>
      <c r="I220" s="66" t="n">
        <f aca="false">I219+I204+I205</f>
        <v>-2083.33333333333</v>
      </c>
      <c r="J220" s="66" t="n">
        <f aca="false">J219+J204+J205</f>
        <v>-2083.33333333333</v>
      </c>
      <c r="K220" s="66" t="n">
        <f aca="false">K219+K204+K205</f>
        <v>-2083.33333333333</v>
      </c>
      <c r="L220" s="66" t="n">
        <f aca="false">L219+L204+L205</f>
        <v>-2083.33333333333</v>
      </c>
      <c r="M220" s="66" t="n">
        <f aca="false">M219+M204+M205</f>
        <v>-2083.33333333333</v>
      </c>
      <c r="N220" s="66" t="n">
        <f aca="false">N219+N204+N205</f>
        <v>-2083.33333333333</v>
      </c>
      <c r="O220" s="66" t="n">
        <f aca="false">O219+O204+O205</f>
        <v>-2083.33333333333</v>
      </c>
      <c r="P220" s="66" t="n">
        <f aca="false">P219+P204+P205</f>
        <v>-2083.33333333333</v>
      </c>
      <c r="Q220" s="66" t="n">
        <f aca="false">Q219+Q204+Q205</f>
        <v>-2083.33333333333</v>
      </c>
      <c r="R220" s="66" t="n">
        <f aca="false">R219+R204+R205</f>
        <v>-2083.33333333333</v>
      </c>
      <c r="S220" s="66" t="n">
        <f aca="false">S219+S204+S205</f>
        <v>-2083.33333333333</v>
      </c>
      <c r="T220" s="66" t="n">
        <f aca="false">T219+T204+T205</f>
        <v>-2083.33333333333</v>
      </c>
      <c r="U220" s="66" t="n">
        <f aca="false">U219+U204+U205</f>
        <v>-2083.33333333333</v>
      </c>
      <c r="V220" s="66" t="n">
        <f aca="false">V219+V204+V205</f>
        <v>-2083.33333333333</v>
      </c>
      <c r="W220" s="66" t="n">
        <f aca="false">W219+W204+W205</f>
        <v>-2083.33333333333</v>
      </c>
      <c r="X220" s="66" t="n">
        <f aca="false">X219+X204+X205</f>
        <v>-2083.33333333333</v>
      </c>
      <c r="Y220" s="66" t="n">
        <f aca="false">Y219+Y204+Y205</f>
        <v>-2083.33333333333</v>
      </c>
      <c r="Z220" s="66" t="n">
        <f aca="false">Z219+Z204+Z205</f>
        <v>-2083.33333333333</v>
      </c>
      <c r="AA220" s="66" t="n">
        <f aca="false">AA219+AA204+AA205</f>
        <v>-2083.33333333333</v>
      </c>
      <c r="AB220" s="66" t="n">
        <f aca="false">AB219+AB204+AB205</f>
        <v>-2083.33333333333</v>
      </c>
      <c r="AC220" s="66" t="n">
        <f aca="false">AC219+AC204+AC205</f>
        <v>-2083.33333333333</v>
      </c>
      <c r="AD220" s="66" t="n">
        <f aca="false">AD219+AD204+AD205</f>
        <v>-2083.33333333333</v>
      </c>
      <c r="AE220" s="66" t="n">
        <f aca="false">AE219+AE204+AE205</f>
        <v>-2083.33333333333</v>
      </c>
      <c r="AF220" s="66" t="n">
        <f aca="false">AF219+AF204+AF205</f>
        <v>-2083.33333333333</v>
      </c>
      <c r="AG220" s="66" t="n">
        <f aca="false">AG219+AG204+AG205</f>
        <v>-2083.33333333333</v>
      </c>
      <c r="AH220" s="66" t="n">
        <f aca="false">AH219+AH204+AH205</f>
        <v>-2083.33333333333</v>
      </c>
      <c r="AI220" s="66" t="n">
        <f aca="false">AI219+AI204+AI205</f>
        <v>-2083.33333333333</v>
      </c>
      <c r="AJ220" s="66" t="n">
        <f aca="false">AJ219+AJ204+AJ205</f>
        <v>-2083.33333333333</v>
      </c>
      <c r="AK220" s="66" t="n">
        <f aca="false">AK219+AK204+AK205</f>
        <v>-2083.33333333333</v>
      </c>
      <c r="AL220" s="66" t="n">
        <f aca="false">AL219+AL204+AL205</f>
        <v>-2083.33333333333</v>
      </c>
      <c r="AM220" s="66" t="n">
        <f aca="false">AM219+AM204+AM205</f>
        <v>-2083.33333333333</v>
      </c>
      <c r="AN220" s="66" t="n">
        <f aca="false">AN219+AN204+AN205</f>
        <v>-2083.33333333333</v>
      </c>
      <c r="AO220" s="66" t="n">
        <f aca="false">AO219+AO204+AO205</f>
        <v>-2083.33333333333</v>
      </c>
      <c r="AP220" s="66" t="n">
        <f aca="false">AP219+AP204+AP205</f>
        <v>-2083.33333333333</v>
      </c>
      <c r="AQ220" s="66" t="n">
        <f aca="false">AQ219+AQ204+AQ205</f>
        <v>-2083.33333333333</v>
      </c>
      <c r="AR220" s="66" t="n">
        <f aca="false">AR219+AR204+AR205</f>
        <v>-2083.33333333333</v>
      </c>
      <c r="AS220" s="66" t="n">
        <f aca="false">AS219+AS204+AS205</f>
        <v>-2083.33333333333</v>
      </c>
      <c r="AT220" s="66" t="n">
        <f aca="false">AT219+AT204+AT205</f>
        <v>-2083.33333333333</v>
      </c>
      <c r="AU220" s="66" t="n">
        <f aca="false">AU219+AU204+AU205</f>
        <v>-2083.33333333333</v>
      </c>
      <c r="AV220" s="66" t="n">
        <f aca="false">AV219+AV204+AV205</f>
        <v>-2083.33333333333</v>
      </c>
      <c r="AW220" s="66" t="n">
        <f aca="false">AW219+AW204+AW205</f>
        <v>-2083.33333333333</v>
      </c>
      <c r="AX220" s="66" t="n">
        <f aca="false">AX219+AX204+AX205</f>
        <v>-2083.33333333333</v>
      </c>
      <c r="AY220" s="66" t="n">
        <f aca="false">AY219+AY204+AY205</f>
        <v>-2083.33333333333</v>
      </c>
      <c r="AZ220" s="66" t="n">
        <f aca="false">AZ219+AZ204+AZ205</f>
        <v>-2083.33333333333</v>
      </c>
      <c r="BA220" s="66" t="n">
        <f aca="false">BA219+BA204+BA205</f>
        <v>-2083.33333333333</v>
      </c>
      <c r="BB220" s="66" t="n">
        <f aca="false">BB219+BB204+BB205</f>
        <v>-2083.33333333333</v>
      </c>
      <c r="BC220" s="66" t="n">
        <f aca="false">BC219+BC204+BC205</f>
        <v>-2083.33333333333</v>
      </c>
      <c r="BD220" s="66" t="n">
        <f aca="false">BD219+BD204+BD205</f>
        <v>-2083.33333333333</v>
      </c>
      <c r="BE220" s="66" t="n">
        <f aca="false">BE219+BE204+BE205</f>
        <v>-2083.33333333333</v>
      </c>
      <c r="BF220" s="66" t="n">
        <f aca="false">BF219+BF204+BF205</f>
        <v>-2083.33333333333</v>
      </c>
      <c r="BG220" s="66" t="n">
        <f aca="false">BG219+BG204+BG205</f>
        <v>-2083.33333333333</v>
      </c>
      <c r="BH220" s="66" t="n">
        <f aca="false">BH219+BH204+BH205</f>
        <v>-2083.33333333333</v>
      </c>
      <c r="BI220" s="66" t="n">
        <f aca="false">BI219+BI204+BI205</f>
        <v>-2083.33333333333</v>
      </c>
      <c r="BJ220" s="66" t="n">
        <f aca="false">BJ219+BJ204+BJ205</f>
        <v>-2083.33333333333</v>
      </c>
    </row>
    <row r="221" customFormat="false" ht="15" hidden="false" customHeight="false" outlineLevel="0" collapsed="false">
      <c r="A221" s="110" t="s">
        <v>451</v>
      </c>
      <c r="C221" s="67" t="n">
        <f aca="false">C217+C218+C220</f>
        <v>234076.683333333</v>
      </c>
      <c r="D221" s="67" t="n">
        <f aca="false">D217+D218+D220</f>
        <v>-20659.2086805556</v>
      </c>
      <c r="E221" s="67" t="n">
        <f aca="false">E217+E218+E220</f>
        <v>-23665.75</v>
      </c>
      <c r="F221" s="67" t="n">
        <f aca="false">F217+F218+F220</f>
        <v>-22444.8746527778</v>
      </c>
      <c r="G221" s="67" t="n">
        <f aca="false">G217+G218+G220</f>
        <v>-19133.3326388889</v>
      </c>
      <c r="H221" s="67" t="n">
        <f aca="false">H217+H218+H220</f>
        <v>-15821.790625</v>
      </c>
      <c r="I221" s="67" t="n">
        <f aca="false">I217+I218+I220</f>
        <v>-12510.2486111111</v>
      </c>
      <c r="J221" s="67" t="n">
        <f aca="false">J217+J218+J220</f>
        <v>-12073.3732638889</v>
      </c>
      <c r="K221" s="67" t="n">
        <f aca="false">K217+K218+K220</f>
        <v>-12681.83125</v>
      </c>
      <c r="L221" s="67" t="n">
        <f aca="false">L217+L218+L220</f>
        <v>-10415.6225694444</v>
      </c>
      <c r="M221" s="67" t="n">
        <f aca="false">M217+M218+M220</f>
        <v>-7104.08055555555</v>
      </c>
      <c r="N221" s="67" t="n">
        <f aca="false">N217+N218+N220</f>
        <v>-3792.53854166666</v>
      </c>
      <c r="O221" s="67" t="n">
        <f aca="false">O217+O218+O220</f>
        <v>-9681.67565277778</v>
      </c>
      <c r="P221" s="67" t="n">
        <f aca="false">P217+P218+P220</f>
        <v>1104.12806944444</v>
      </c>
      <c r="Q221" s="67" t="n">
        <f aca="false">Q217+Q218+Q220</f>
        <v>900.429458333329</v>
      </c>
      <c r="R221" s="67" t="n">
        <f aca="false">R217+R218+R220</f>
        <v>914.318347222219</v>
      </c>
      <c r="S221" s="67" t="n">
        <f aca="false">S217+S218+S220</f>
        <v>928.207236111107</v>
      </c>
      <c r="T221" s="67" t="n">
        <f aca="false">T217+T218+T220</f>
        <v>942.096124999996</v>
      </c>
      <c r="U221" s="67" t="n">
        <f aca="false">U217+U218+U220</f>
        <v>955.985013888885</v>
      </c>
      <c r="V221" s="67" t="n">
        <f aca="false">V217+V218+V220</f>
        <v>969.873902777774</v>
      </c>
      <c r="W221" s="67" t="n">
        <f aca="false">W217+W218+W220</f>
        <v>983.762791666663</v>
      </c>
      <c r="X221" s="67" t="n">
        <f aca="false">X217+X218+X220</f>
        <v>997.651680555552</v>
      </c>
      <c r="Y221" s="67" t="n">
        <f aca="false">Y217+Y218+Y220</f>
        <v>1011.54056944444</v>
      </c>
      <c r="Z221" s="67" t="n">
        <f aca="false">Z217+Z218+Z220</f>
        <v>1025.42945833333</v>
      </c>
      <c r="AA221" s="67" t="n">
        <f aca="false">AA217+AA218+AA220</f>
        <v>-8175.91727652778</v>
      </c>
      <c r="AB221" s="67" t="n">
        <f aca="false">AB217+AB218+AB220</f>
        <v>1382.09511986111</v>
      </c>
      <c r="AC221" s="67" t="n">
        <f aca="false">AC217+AC218+AC220</f>
        <v>1395.98400875</v>
      </c>
      <c r="AD221" s="67" t="n">
        <f aca="false">AD217+AD218+AD220</f>
        <v>1409.87289763889</v>
      </c>
      <c r="AE221" s="67" t="n">
        <f aca="false">AE217+AE218+AE220</f>
        <v>1423.76178652778</v>
      </c>
      <c r="AF221" s="67" t="n">
        <f aca="false">AF217+AF218+AF220</f>
        <v>1437.65067541667</v>
      </c>
      <c r="AG221" s="67" t="n">
        <f aca="false">AG217+AG218+AG220</f>
        <v>1451.53956430555</v>
      </c>
      <c r="AH221" s="67" t="n">
        <f aca="false">AH217+AH218+AH220</f>
        <v>1465.42845319444</v>
      </c>
      <c r="AI221" s="67" t="n">
        <f aca="false">AI217+AI218+AI220</f>
        <v>1479.31734208333</v>
      </c>
      <c r="AJ221" s="67" t="n">
        <f aca="false">AJ217+AJ218+AJ220</f>
        <v>1493.20623097222</v>
      </c>
      <c r="AK221" s="67" t="n">
        <f aca="false">AK217+AK218+AK220</f>
        <v>1507.09511986111</v>
      </c>
      <c r="AL221" s="67" t="n">
        <f aca="false">AL217+AL218+AL220</f>
        <v>1520.98400875</v>
      </c>
      <c r="AM221" s="67" t="n">
        <f aca="false">AM217+AM218+AM220</f>
        <v>-7686.81979482361</v>
      </c>
      <c r="AN221" s="67" t="n">
        <f aca="false">AN217+AN218+AN220</f>
        <v>1887.51630679028</v>
      </c>
      <c r="AO221" s="67" t="n">
        <f aca="false">AO217+AO218+AO220</f>
        <v>1901.40519567917</v>
      </c>
      <c r="AP221" s="67" t="n">
        <f aca="false">AP217+AP218+AP220</f>
        <v>1915.29408456806</v>
      </c>
      <c r="AQ221" s="67" t="n">
        <f aca="false">AQ217+AQ218+AQ220</f>
        <v>1929.18297345694</v>
      </c>
      <c r="AR221" s="67" t="n">
        <f aca="false">AR217+AR218+AR220</f>
        <v>1943.07186234583</v>
      </c>
      <c r="AS221" s="67" t="n">
        <f aca="false">AS217+AS218+AS220</f>
        <v>1956.96075123472</v>
      </c>
      <c r="AT221" s="67" t="n">
        <f aca="false">AT217+AT218+AT220</f>
        <v>1970.84964012361</v>
      </c>
      <c r="AU221" s="67" t="n">
        <f aca="false">AU217+AU218+AU220</f>
        <v>1984.7385290125</v>
      </c>
      <c r="AV221" s="67" t="n">
        <f aca="false">AV217+AV218+AV220</f>
        <v>1998.62741790139</v>
      </c>
      <c r="AW221" s="67" t="n">
        <f aca="false">AW217+AW218+AW220</f>
        <v>2012.51630679028</v>
      </c>
      <c r="AX221" s="67" t="n">
        <f aca="false">AX217+AX218+AX220</f>
        <v>2026.40519567917</v>
      </c>
      <c r="AY221" s="67" t="n">
        <f aca="false">AY217+AY218+AY220</f>
        <v>-7188.04938866833</v>
      </c>
      <c r="AZ221" s="67" t="n">
        <f aca="false">AZ217+AZ218+AZ220</f>
        <v>2403.10012932732</v>
      </c>
      <c r="BA221" s="67" t="n">
        <f aca="false">BA217+BA218+BA220</f>
        <v>2416.98901821621</v>
      </c>
      <c r="BB221" s="67" t="n">
        <f aca="false">BB217+BB218+BB220</f>
        <v>2430.87790710509</v>
      </c>
      <c r="BC221" s="67" t="n">
        <f aca="false">BC217+BC218+BC220</f>
        <v>2444.76679599398</v>
      </c>
      <c r="BD221" s="67" t="n">
        <f aca="false">BD217+BD218+BD220</f>
        <v>2458.65568488287</v>
      </c>
      <c r="BE221" s="67" t="n">
        <f aca="false">BE217+BE218+BE220</f>
        <v>2472.54457377176</v>
      </c>
      <c r="BF221" s="67" t="n">
        <f aca="false">BF217+BF218+BF220</f>
        <v>2486.43346266065</v>
      </c>
      <c r="BG221" s="67" t="n">
        <f aca="false">BG217+BG218+BG220</f>
        <v>2500.32235154954</v>
      </c>
      <c r="BH221" s="67" t="n">
        <f aca="false">BH217+BH218+BH220</f>
        <v>2514.21124043843</v>
      </c>
      <c r="BI221" s="67" t="n">
        <f aca="false">BI217+BI218+BI220</f>
        <v>2528.10012932732</v>
      </c>
      <c r="BJ221" s="67" t="n">
        <f aca="false">BJ217+BJ218+BJ220</f>
        <v>2541.98901821621</v>
      </c>
    </row>
    <row r="222" customFormat="false" ht="15" hidden="false" customHeight="false" outlineLevel="0" collapsed="false">
      <c r="A222" s="6" t="s">
        <v>351</v>
      </c>
      <c r="C222" s="66" t="n">
        <f aca="false">0</f>
        <v>0</v>
      </c>
      <c r="D222" s="66" t="n">
        <f aca="false">C223</f>
        <v>234076.683333333</v>
      </c>
      <c r="E222" s="66" t="n">
        <f aca="false">D223</f>
        <v>213417.474652778</v>
      </c>
      <c r="F222" s="66" t="n">
        <f aca="false">E223</f>
        <v>189751.724652778</v>
      </c>
      <c r="G222" s="66" t="n">
        <f aca="false">F223</f>
        <v>167306.85</v>
      </c>
      <c r="H222" s="66" t="n">
        <f aca="false">G223</f>
        <v>148173.517361111</v>
      </c>
      <c r="I222" s="66" t="n">
        <f aca="false">H223</f>
        <v>132351.726736111</v>
      </c>
      <c r="J222" s="66" t="n">
        <f aca="false">I223</f>
        <v>119841.478125</v>
      </c>
      <c r="K222" s="66" t="n">
        <f aca="false">J223</f>
        <v>107768.104861111</v>
      </c>
      <c r="L222" s="66" t="n">
        <f aca="false">K223</f>
        <v>95086.2736111111</v>
      </c>
      <c r="M222" s="66" t="n">
        <f aca="false">L223</f>
        <v>84670.6510416667</v>
      </c>
      <c r="N222" s="66" t="n">
        <f aca="false">M223</f>
        <v>77566.5704861111</v>
      </c>
      <c r="O222" s="66" t="n">
        <f aca="false">N223</f>
        <v>73774.0319444445</v>
      </c>
      <c r="P222" s="66" t="n">
        <f aca="false">O223</f>
        <v>64092.3562916667</v>
      </c>
      <c r="Q222" s="66" t="n">
        <f aca="false">P223</f>
        <v>65196.4843611111</v>
      </c>
      <c r="R222" s="66" t="n">
        <f aca="false">Q223</f>
        <v>66096.9138194445</v>
      </c>
      <c r="S222" s="66" t="n">
        <f aca="false">R223</f>
        <v>67011.2321666667</v>
      </c>
      <c r="T222" s="66" t="n">
        <f aca="false">S223</f>
        <v>67939.4394027778</v>
      </c>
      <c r="U222" s="66" t="n">
        <f aca="false">T223</f>
        <v>68881.5355277778</v>
      </c>
      <c r="V222" s="66" t="n">
        <f aca="false">U223</f>
        <v>69837.5205416667</v>
      </c>
      <c r="W222" s="66" t="n">
        <f aca="false">V223</f>
        <v>70807.3944444445</v>
      </c>
      <c r="X222" s="66" t="n">
        <f aca="false">W223</f>
        <v>71791.1572361111</v>
      </c>
      <c r="Y222" s="66" t="n">
        <f aca="false">X223</f>
        <v>72788.8089166667</v>
      </c>
      <c r="Z222" s="66" t="n">
        <f aca="false">Y223</f>
        <v>73800.3494861111</v>
      </c>
      <c r="AA222" s="66" t="n">
        <f aca="false">Z223</f>
        <v>74825.7789444444</v>
      </c>
      <c r="AB222" s="66" t="n">
        <f aca="false">AA223</f>
        <v>66649.8616679167</v>
      </c>
      <c r="AC222" s="66" t="n">
        <f aca="false">AB223</f>
        <v>68031.9567877778</v>
      </c>
      <c r="AD222" s="66" t="n">
        <f aca="false">AC223</f>
        <v>69427.9407965278</v>
      </c>
      <c r="AE222" s="66" t="n">
        <f aca="false">AD223</f>
        <v>70837.8136941667</v>
      </c>
      <c r="AF222" s="66" t="n">
        <f aca="false">AE223</f>
        <v>72261.5754806944</v>
      </c>
      <c r="AG222" s="66" t="n">
        <f aca="false">AF223</f>
        <v>73699.2261561111</v>
      </c>
      <c r="AH222" s="66" t="n">
        <f aca="false">AG223</f>
        <v>75150.7657204167</v>
      </c>
      <c r="AI222" s="66" t="n">
        <f aca="false">AH223</f>
        <v>76616.1941736111</v>
      </c>
      <c r="AJ222" s="66" t="n">
        <f aca="false">AI223</f>
        <v>78095.5115156944</v>
      </c>
      <c r="AK222" s="66" t="n">
        <f aca="false">AJ223</f>
        <v>79588.7177466667</v>
      </c>
      <c r="AL222" s="66" t="n">
        <f aca="false">AK223</f>
        <v>81095.8128665278</v>
      </c>
      <c r="AM222" s="66" t="n">
        <f aca="false">AL223</f>
        <v>82616.7968752778</v>
      </c>
      <c r="AN222" s="66" t="n">
        <f aca="false">AM223</f>
        <v>74929.9770804542</v>
      </c>
      <c r="AO222" s="66" t="n">
        <f aca="false">AN223</f>
        <v>76817.4933872444</v>
      </c>
      <c r="AP222" s="66" t="n">
        <f aca="false">AO223</f>
        <v>78718.8985829236</v>
      </c>
      <c r="AQ222" s="66" t="n">
        <f aca="false">AP223</f>
        <v>80634.1926674917</v>
      </c>
      <c r="AR222" s="66" t="n">
        <f aca="false">AQ223</f>
        <v>82563.3756409486</v>
      </c>
      <c r="AS222" s="66" t="n">
        <f aca="false">AR223</f>
        <v>84506.4475032945</v>
      </c>
      <c r="AT222" s="66" t="n">
        <f aca="false">AS223</f>
        <v>86463.4082545292</v>
      </c>
      <c r="AU222" s="66" t="n">
        <f aca="false">AT223</f>
        <v>88434.2578946528</v>
      </c>
      <c r="AV222" s="66" t="n">
        <f aca="false">AU223</f>
        <v>90418.9964236653</v>
      </c>
      <c r="AW222" s="66" t="n">
        <f aca="false">AV223</f>
        <v>92417.6238415667</v>
      </c>
      <c r="AX222" s="66" t="n">
        <f aca="false">AW223</f>
        <v>94430.1401483569</v>
      </c>
      <c r="AY222" s="66" t="n">
        <f aca="false">AX223</f>
        <v>96456.5453440361</v>
      </c>
      <c r="AZ222" s="66" t="n">
        <f aca="false">AY223</f>
        <v>89268.4959553678</v>
      </c>
      <c r="BA222" s="66" t="n">
        <f aca="false">AZ223</f>
        <v>91671.5960846951</v>
      </c>
      <c r="BB222" s="66" t="n">
        <f aca="false">BA223</f>
        <v>94088.5851029113</v>
      </c>
      <c r="BC222" s="66" t="n">
        <f aca="false">BB223</f>
        <v>96519.4630100164</v>
      </c>
      <c r="BD222" s="66" t="n">
        <f aca="false">BC223</f>
        <v>98964.2298060104</v>
      </c>
      <c r="BE222" s="66" t="n">
        <f aca="false">BD223</f>
        <v>101422.885490893</v>
      </c>
      <c r="BF222" s="66" t="n">
        <f aca="false">BE223</f>
        <v>103895.430064665</v>
      </c>
      <c r="BG222" s="66" t="n">
        <f aca="false">BF223</f>
        <v>106381.863527326</v>
      </c>
      <c r="BH222" s="66" t="n">
        <f aca="false">BG223</f>
        <v>108882.185878875</v>
      </c>
      <c r="BI222" s="66" t="n">
        <f aca="false">BH223</f>
        <v>111396.397119314</v>
      </c>
      <c r="BJ222" s="66" t="n">
        <f aca="false">BI223</f>
        <v>113924.497248641</v>
      </c>
    </row>
    <row r="223" customFormat="false" ht="15" hidden="false" customHeight="false" outlineLevel="0" collapsed="false">
      <c r="A223" s="110" t="s">
        <v>86</v>
      </c>
      <c r="C223" s="67" t="n">
        <f aca="false">C222+C221</f>
        <v>234076.683333333</v>
      </c>
      <c r="D223" s="67" t="n">
        <f aca="false">D222+D221</f>
        <v>213417.474652778</v>
      </c>
      <c r="E223" s="67" t="n">
        <f aca="false">E222+E221</f>
        <v>189751.724652778</v>
      </c>
      <c r="F223" s="67" t="n">
        <f aca="false">F222+F221</f>
        <v>167306.85</v>
      </c>
      <c r="G223" s="67" t="n">
        <f aca="false">G222+G221</f>
        <v>148173.517361111</v>
      </c>
      <c r="H223" s="67" t="n">
        <f aca="false">H222+H221</f>
        <v>132351.726736111</v>
      </c>
      <c r="I223" s="67" t="n">
        <f aca="false">I222+I221</f>
        <v>119841.478125</v>
      </c>
      <c r="J223" s="67" t="n">
        <f aca="false">J222+J221</f>
        <v>107768.104861111</v>
      </c>
      <c r="K223" s="67" t="n">
        <f aca="false">K222+K221</f>
        <v>95086.2736111111</v>
      </c>
      <c r="L223" s="67" t="n">
        <f aca="false">L222+L221</f>
        <v>84670.6510416667</v>
      </c>
      <c r="M223" s="67" t="n">
        <f aca="false">M222+M221</f>
        <v>77566.5704861111</v>
      </c>
      <c r="N223" s="67" t="n">
        <f aca="false">N222+N221</f>
        <v>73774.0319444445</v>
      </c>
      <c r="O223" s="67" t="n">
        <f aca="false">O222+O221</f>
        <v>64092.3562916667</v>
      </c>
      <c r="P223" s="67" t="n">
        <f aca="false">P222+P221</f>
        <v>65196.4843611111</v>
      </c>
      <c r="Q223" s="67" t="n">
        <f aca="false">Q222+Q221</f>
        <v>66096.9138194445</v>
      </c>
      <c r="R223" s="67" t="n">
        <f aca="false">R222+R221</f>
        <v>67011.2321666667</v>
      </c>
      <c r="S223" s="67" t="n">
        <f aca="false">S222+S221</f>
        <v>67939.4394027778</v>
      </c>
      <c r="T223" s="67" t="n">
        <f aca="false">T222+T221</f>
        <v>68881.5355277778</v>
      </c>
      <c r="U223" s="67" t="n">
        <f aca="false">U222+U221</f>
        <v>69837.5205416667</v>
      </c>
      <c r="V223" s="67" t="n">
        <f aca="false">V222+V221</f>
        <v>70807.3944444445</v>
      </c>
      <c r="W223" s="67" t="n">
        <f aca="false">W222+W221</f>
        <v>71791.1572361111</v>
      </c>
      <c r="X223" s="67" t="n">
        <f aca="false">X222+X221</f>
        <v>72788.8089166667</v>
      </c>
      <c r="Y223" s="67" t="n">
        <f aca="false">Y222+Y221</f>
        <v>73800.3494861111</v>
      </c>
      <c r="Z223" s="67" t="n">
        <f aca="false">Z222+Z221</f>
        <v>74825.7789444444</v>
      </c>
      <c r="AA223" s="67" t="n">
        <f aca="false">AA222+AA221</f>
        <v>66649.8616679167</v>
      </c>
      <c r="AB223" s="67" t="n">
        <f aca="false">AB222+AB221</f>
        <v>68031.9567877778</v>
      </c>
      <c r="AC223" s="67" t="n">
        <f aca="false">AC222+AC221</f>
        <v>69427.9407965278</v>
      </c>
      <c r="AD223" s="67" t="n">
        <f aca="false">AD222+AD221</f>
        <v>70837.8136941667</v>
      </c>
      <c r="AE223" s="67" t="n">
        <f aca="false">AE222+AE221</f>
        <v>72261.5754806944</v>
      </c>
      <c r="AF223" s="67" t="n">
        <f aca="false">AF222+AF221</f>
        <v>73699.2261561111</v>
      </c>
      <c r="AG223" s="67" t="n">
        <f aca="false">AG222+AG221</f>
        <v>75150.7657204167</v>
      </c>
      <c r="AH223" s="67" t="n">
        <f aca="false">AH222+AH221</f>
        <v>76616.1941736111</v>
      </c>
      <c r="AI223" s="67" t="n">
        <f aca="false">AI222+AI221</f>
        <v>78095.5115156944</v>
      </c>
      <c r="AJ223" s="67" t="n">
        <f aca="false">AJ222+AJ221</f>
        <v>79588.7177466667</v>
      </c>
      <c r="AK223" s="67" t="n">
        <f aca="false">AK222+AK221</f>
        <v>81095.8128665278</v>
      </c>
      <c r="AL223" s="67" t="n">
        <f aca="false">AL222+AL221</f>
        <v>82616.7968752778</v>
      </c>
      <c r="AM223" s="67" t="n">
        <f aca="false">AM222+AM221</f>
        <v>74929.9770804542</v>
      </c>
      <c r="AN223" s="67" t="n">
        <f aca="false">AN222+AN221</f>
        <v>76817.4933872444</v>
      </c>
      <c r="AO223" s="67" t="n">
        <f aca="false">AO222+AO221</f>
        <v>78718.8985829236</v>
      </c>
      <c r="AP223" s="67" t="n">
        <f aca="false">AP222+AP221</f>
        <v>80634.1926674917</v>
      </c>
      <c r="AQ223" s="67" t="n">
        <f aca="false">AQ222+AQ221</f>
        <v>82563.3756409486</v>
      </c>
      <c r="AR223" s="67" t="n">
        <f aca="false">AR222+AR221</f>
        <v>84506.4475032945</v>
      </c>
      <c r="AS223" s="67" t="n">
        <f aca="false">AS222+AS221</f>
        <v>86463.4082545292</v>
      </c>
      <c r="AT223" s="67" t="n">
        <f aca="false">AT222+AT221</f>
        <v>88434.2578946528</v>
      </c>
      <c r="AU223" s="67" t="n">
        <f aca="false">AU222+AU221</f>
        <v>90418.9964236653</v>
      </c>
      <c r="AV223" s="67" t="n">
        <f aca="false">AV222+AV221</f>
        <v>92417.6238415667</v>
      </c>
      <c r="AW223" s="67" t="n">
        <f aca="false">AW222+AW221</f>
        <v>94430.1401483569</v>
      </c>
      <c r="AX223" s="67" t="n">
        <f aca="false">AX222+AX221</f>
        <v>96456.5453440361</v>
      </c>
      <c r="AY223" s="67" t="n">
        <f aca="false">AY222+AY221</f>
        <v>89268.4959553678</v>
      </c>
      <c r="AZ223" s="67" t="n">
        <f aca="false">AZ222+AZ221</f>
        <v>91671.5960846951</v>
      </c>
      <c r="BA223" s="67" t="n">
        <f aca="false">BA222+BA221</f>
        <v>94088.5851029113</v>
      </c>
      <c r="BB223" s="67" t="n">
        <f aca="false">BB222+BB221</f>
        <v>96519.4630100164</v>
      </c>
      <c r="BC223" s="67" t="n">
        <f aca="false">BC222+BC221</f>
        <v>98964.2298060104</v>
      </c>
      <c r="BD223" s="67" t="n">
        <f aca="false">BD222+BD221</f>
        <v>101422.885490893</v>
      </c>
      <c r="BE223" s="67" t="n">
        <f aca="false">BE222+BE221</f>
        <v>103895.430064665</v>
      </c>
      <c r="BF223" s="67" t="n">
        <f aca="false">BF222+BF221</f>
        <v>106381.863527326</v>
      </c>
      <c r="BG223" s="67" t="n">
        <f aca="false">BG222+BG221</f>
        <v>108882.185878875</v>
      </c>
      <c r="BH223" s="67" t="n">
        <f aca="false">BH222+BH221</f>
        <v>111396.397119314</v>
      </c>
      <c r="BI223" s="67" t="n">
        <f aca="false">BI222+BI221</f>
        <v>113924.497248641</v>
      </c>
      <c r="BJ223" s="67" t="n">
        <f aca="false">BJ222+BJ221</f>
        <v>116466.486266857</v>
      </c>
    </row>
    <row r="224" customFormat="false" ht="15" hidden="false" customHeight="false" outlineLevel="0" collapsed="false">
      <c r="A224" s="114" t="s">
        <v>452</v>
      </c>
      <c r="C224" s="113" t="n">
        <f aca="false">IF(C180&gt;0,1,0)</f>
        <v>0</v>
      </c>
      <c r="D224" s="113" t="n">
        <f aca="false">IF(D180&gt;0,1,0)</f>
        <v>0</v>
      </c>
      <c r="E224" s="113" t="n">
        <f aca="false">IF(E180&gt;0,1,0)</f>
        <v>0</v>
      </c>
      <c r="F224" s="113" t="n">
        <f aca="false">IF(F180&gt;0,1,0)</f>
        <v>0</v>
      </c>
      <c r="G224" s="113" t="n">
        <f aca="false">IF(G180&gt;0,1,0)</f>
        <v>0</v>
      </c>
      <c r="H224" s="113" t="n">
        <f aca="false">IF(H180&gt;0,1,0)</f>
        <v>0</v>
      </c>
      <c r="I224" s="113" t="n">
        <f aca="false">IF(I180&gt;0,1,0)</f>
        <v>0</v>
      </c>
      <c r="J224" s="113" t="n">
        <f aca="false">IF(J180&gt;0,1,0)</f>
        <v>0</v>
      </c>
      <c r="K224" s="113" t="n">
        <f aca="false">IF(K180&gt;0,1,0)</f>
        <v>0</v>
      </c>
      <c r="L224" s="113" t="n">
        <f aca="false">IF(L180&gt;0,1,0)</f>
        <v>0</v>
      </c>
      <c r="M224" s="113" t="n">
        <f aca="false">IF(M180&gt;0,1,0)</f>
        <v>0</v>
      </c>
      <c r="N224" s="113" t="n">
        <f aca="false">IF(N180&gt;0,1,0)</f>
        <v>1</v>
      </c>
      <c r="O224" s="113" t="n">
        <f aca="false">IF(O180&gt;0,1,0)</f>
        <v>1</v>
      </c>
      <c r="P224" s="113" t="n">
        <f aca="false">IF(P180&gt;0,1,0)</f>
        <v>1</v>
      </c>
      <c r="Q224" s="113" t="n">
        <f aca="false">IF(Q180&gt;0,1,0)</f>
        <v>1</v>
      </c>
      <c r="R224" s="113" t="n">
        <f aca="false">IF(R180&gt;0,1,0)</f>
        <v>1</v>
      </c>
      <c r="S224" s="113" t="n">
        <f aca="false">IF(S180&gt;0,1,0)</f>
        <v>1</v>
      </c>
      <c r="T224" s="113" t="n">
        <f aca="false">IF(T180&gt;0,1,0)</f>
        <v>1</v>
      </c>
      <c r="U224" s="113" t="n">
        <f aca="false">IF(U180&gt;0,1,0)</f>
        <v>1</v>
      </c>
      <c r="V224" s="113" t="n">
        <f aca="false">IF(V180&gt;0,1,0)</f>
        <v>1</v>
      </c>
      <c r="W224" s="113" t="n">
        <f aca="false">IF(W180&gt;0,1,0)</f>
        <v>1</v>
      </c>
      <c r="X224" s="113" t="n">
        <f aca="false">IF(X180&gt;0,1,0)</f>
        <v>1</v>
      </c>
      <c r="Y224" s="113" t="n">
        <f aca="false">IF(Y180&gt;0,1,0)</f>
        <v>1</v>
      </c>
      <c r="Z224" s="113" t="n">
        <f aca="false">IF(Z180&gt;0,1,0)</f>
        <v>1</v>
      </c>
      <c r="AA224" s="113" t="n">
        <f aca="false">IF(AA180&gt;0,1,0)</f>
        <v>1</v>
      </c>
      <c r="AB224" s="113" t="n">
        <f aca="false">IF(AB180&gt;0,1,0)</f>
        <v>1</v>
      </c>
      <c r="AC224" s="113" t="n">
        <f aca="false">IF(AC180&gt;0,1,0)</f>
        <v>1</v>
      </c>
      <c r="AD224" s="113" t="n">
        <f aca="false">IF(AD180&gt;0,1,0)</f>
        <v>1</v>
      </c>
      <c r="AE224" s="113" t="n">
        <f aca="false">IF(AE180&gt;0,1,0)</f>
        <v>1</v>
      </c>
      <c r="AF224" s="113" t="n">
        <f aca="false">IF(AF180&gt;0,1,0)</f>
        <v>1</v>
      </c>
      <c r="AG224" s="113" t="n">
        <f aca="false">IF(AG180&gt;0,1,0)</f>
        <v>1</v>
      </c>
      <c r="AH224" s="113" t="n">
        <f aca="false">IF(AH180&gt;0,1,0)</f>
        <v>1</v>
      </c>
      <c r="AI224" s="113" t="n">
        <f aca="false">IF(AI180&gt;0,1,0)</f>
        <v>1</v>
      </c>
      <c r="AJ224" s="113" t="n">
        <f aca="false">IF(AJ180&gt;0,1,0)</f>
        <v>1</v>
      </c>
      <c r="AK224" s="113" t="n">
        <f aca="false">IF(AK180&gt;0,1,0)</f>
        <v>1</v>
      </c>
      <c r="AL224" s="113" t="n">
        <f aca="false">IF(AL180&gt;0,1,0)</f>
        <v>1</v>
      </c>
      <c r="AM224" s="113" t="n">
        <f aca="false">IF(AM180&gt;0,1,0)</f>
        <v>1</v>
      </c>
      <c r="AN224" s="113" t="n">
        <f aca="false">IF(AN180&gt;0,1,0)</f>
        <v>1</v>
      </c>
      <c r="AO224" s="113" t="n">
        <f aca="false">IF(AO180&gt;0,1,0)</f>
        <v>1</v>
      </c>
      <c r="AP224" s="113" t="n">
        <f aca="false">IF(AP180&gt;0,1,0)</f>
        <v>1</v>
      </c>
      <c r="AQ224" s="113" t="n">
        <f aca="false">IF(AQ180&gt;0,1,0)</f>
        <v>1</v>
      </c>
      <c r="AR224" s="113" t="n">
        <f aca="false">IF(AR180&gt;0,1,0)</f>
        <v>1</v>
      </c>
      <c r="AS224" s="113" t="n">
        <f aca="false">IF(AS180&gt;0,1,0)</f>
        <v>1</v>
      </c>
      <c r="AT224" s="113" t="n">
        <f aca="false">IF(AT180&gt;0,1,0)</f>
        <v>1</v>
      </c>
      <c r="AU224" s="113" t="n">
        <f aca="false">IF(AU180&gt;0,1,0)</f>
        <v>1</v>
      </c>
      <c r="AV224" s="113" t="n">
        <f aca="false">IF(AV180&gt;0,1,0)</f>
        <v>1</v>
      </c>
      <c r="AW224" s="113" t="n">
        <f aca="false">IF(AW180&gt;0,1,0)</f>
        <v>1</v>
      </c>
      <c r="AX224" s="113" t="n">
        <f aca="false">IF(AX180&gt;0,1,0)</f>
        <v>1</v>
      </c>
      <c r="AY224" s="113" t="n">
        <f aca="false">IF(AY180&gt;0,1,0)</f>
        <v>1</v>
      </c>
      <c r="AZ224" s="113" t="n">
        <f aca="false">IF(AZ180&gt;0,1,0)</f>
        <v>1</v>
      </c>
      <c r="BA224" s="113" t="n">
        <f aca="false">IF(BA180&gt;0,1,0)</f>
        <v>1</v>
      </c>
      <c r="BB224" s="113" t="n">
        <f aca="false">IF(BB180&gt;0,1,0)</f>
        <v>1</v>
      </c>
      <c r="BC224" s="113" t="n">
        <f aca="false">IF(BC180&gt;0,1,0)</f>
        <v>1</v>
      </c>
      <c r="BD224" s="113" t="n">
        <f aca="false">IF(BD180&gt;0,1,0)</f>
        <v>1</v>
      </c>
      <c r="BE224" s="113" t="n">
        <f aca="false">IF(BE180&gt;0,1,0)</f>
        <v>1</v>
      </c>
      <c r="BF224" s="113" t="n">
        <f aca="false">IF(BF180&gt;0,1,0)</f>
        <v>1</v>
      </c>
      <c r="BG224" s="113" t="n">
        <f aca="false">IF(BG180&gt;0,1,0)</f>
        <v>1</v>
      </c>
      <c r="BH224" s="113" t="n">
        <f aca="false">IF(BH180&gt;0,1,0)</f>
        <v>1</v>
      </c>
      <c r="BI224" s="113" t="n">
        <f aca="false">IF(BI180&gt;0,1,0)</f>
        <v>1</v>
      </c>
      <c r="BJ224" s="113" t="n">
        <f aca="false">IF(BJ180&gt;0,1,0)</f>
        <v>1</v>
      </c>
    </row>
    <row r="226" customFormat="false" ht="15.75" hidden="false" customHeight="true" outlineLevel="0" collapsed="false">
      <c r="A226" s="7" t="s">
        <v>453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114" t="s">
        <v>454</v>
      </c>
      <c r="C227" s="113" t="n">
        <f aca="false">IF(C189&gt;0,1,0)</f>
        <v>0</v>
      </c>
      <c r="D227" s="113" t="n">
        <f aca="false">IF(D189&gt;0,1,0)</f>
        <v>0</v>
      </c>
      <c r="E227" s="113" t="n">
        <f aca="false">IF(E189&gt;0,1,0)</f>
        <v>0</v>
      </c>
      <c r="F227" s="113" t="n">
        <f aca="false">IF(F189&gt;0,1,0)</f>
        <v>0</v>
      </c>
      <c r="G227" s="113" t="n">
        <f aca="false">IF(G189&gt;0,1,0)</f>
        <v>0</v>
      </c>
      <c r="H227" s="113" t="n">
        <f aca="false">IF(H189&gt;0,1,0)</f>
        <v>0</v>
      </c>
      <c r="I227" s="113" t="n">
        <f aca="false">IF(I189&gt;0,1,0)</f>
        <v>0</v>
      </c>
      <c r="J227" s="113" t="n">
        <f aca="false">IF(J189&gt;0,1,0)</f>
        <v>0</v>
      </c>
      <c r="K227" s="113" t="n">
        <f aca="false">IF(K189&gt;0,1,0)</f>
        <v>0</v>
      </c>
      <c r="L227" s="113" t="n">
        <f aca="false">IF(L189&gt;0,1,0)</f>
        <v>0</v>
      </c>
      <c r="M227" s="113" t="n">
        <f aca="false">IF(M189&gt;0,1,0)</f>
        <v>0</v>
      </c>
      <c r="N227" s="113" t="n">
        <f aca="false">IF(N189&gt;0,1,0)</f>
        <v>0</v>
      </c>
      <c r="O227" s="113" t="n">
        <f aca="false">IF(O189&gt;0,1,0)</f>
        <v>0</v>
      </c>
      <c r="P227" s="113" t="n">
        <f aca="false">IF(P189&gt;0,1,0)</f>
        <v>0</v>
      </c>
      <c r="Q227" s="113" t="n">
        <f aca="false">IF(Q189&gt;0,1,0)</f>
        <v>0</v>
      </c>
      <c r="R227" s="113" t="n">
        <f aca="false">IF(R189&gt;0,1,0)</f>
        <v>0</v>
      </c>
      <c r="S227" s="113" t="n">
        <f aca="false">IF(S189&gt;0,1,0)</f>
        <v>0</v>
      </c>
      <c r="T227" s="113" t="n">
        <f aca="false">IF(T189&gt;0,1,0)</f>
        <v>0</v>
      </c>
      <c r="U227" s="113" t="n">
        <f aca="false">IF(U189&gt;0,1,0)</f>
        <v>0</v>
      </c>
      <c r="V227" s="113" t="n">
        <f aca="false">IF(V189&gt;0,1,0)</f>
        <v>0</v>
      </c>
      <c r="W227" s="113" t="n">
        <f aca="false">IF(W189&gt;0,1,0)</f>
        <v>0</v>
      </c>
      <c r="X227" s="113" t="n">
        <f aca="false">IF(X189&gt;0,1,0)</f>
        <v>0</v>
      </c>
      <c r="Y227" s="113" t="n">
        <f aca="false">IF(Y189&gt;0,1,0)</f>
        <v>0</v>
      </c>
      <c r="Z227" s="113" t="n">
        <f aca="false">IF(Z189&gt;0,1,0)</f>
        <v>0</v>
      </c>
      <c r="AA227" s="113" t="n">
        <f aca="false">IF(AA189&gt;0,1,0)</f>
        <v>0</v>
      </c>
      <c r="AB227" s="113" t="n">
        <f aca="false">IF(AB189&gt;0,1,0)</f>
        <v>0</v>
      </c>
      <c r="AC227" s="113" t="n">
        <f aca="false">IF(AC189&gt;0,1,0)</f>
        <v>0</v>
      </c>
      <c r="AD227" s="113" t="n">
        <f aca="false">IF(AD189&gt;0,1,0)</f>
        <v>0</v>
      </c>
      <c r="AE227" s="113" t="n">
        <f aca="false">IF(AE189&gt;0,1,0)</f>
        <v>0</v>
      </c>
      <c r="AF227" s="113" t="n">
        <f aca="false">IF(AF189&gt;0,1,0)</f>
        <v>0</v>
      </c>
      <c r="AG227" s="113" t="n">
        <f aca="false">IF(AG189&gt;0,1,0)</f>
        <v>0</v>
      </c>
      <c r="AH227" s="113" t="n">
        <f aca="false">IF(AH189&gt;0,1,0)</f>
        <v>0</v>
      </c>
      <c r="AI227" s="113" t="n">
        <f aca="false">IF(AI189&gt;0,1,0)</f>
        <v>0</v>
      </c>
      <c r="AJ227" s="113" t="n">
        <f aca="false">IF(AJ189&gt;0,1,0)</f>
        <v>0</v>
      </c>
      <c r="AK227" s="113" t="n">
        <f aca="false">IF(AK189&gt;0,1,0)</f>
        <v>0</v>
      </c>
      <c r="AL227" s="113" t="n">
        <f aca="false">IF(AL189&gt;0,1,0)</f>
        <v>0</v>
      </c>
      <c r="AM227" s="113" t="n">
        <f aca="false">IF(AM189&gt;0,1,0)</f>
        <v>1</v>
      </c>
      <c r="AN227" s="113" t="n">
        <f aca="false">IF(AN189&gt;0,1,0)</f>
        <v>1</v>
      </c>
      <c r="AO227" s="113" t="n">
        <f aca="false">IF(AO189&gt;0,1,0)</f>
        <v>1</v>
      </c>
      <c r="AP227" s="113" t="n">
        <f aca="false">IF(AP189&gt;0,1,0)</f>
        <v>1</v>
      </c>
      <c r="AQ227" s="113" t="n">
        <f aca="false">IF(AQ189&gt;0,1,0)</f>
        <v>1</v>
      </c>
      <c r="AR227" s="113" t="n">
        <f aca="false">IF(AR189&gt;0,1,0)</f>
        <v>1</v>
      </c>
      <c r="AS227" s="113" t="n">
        <f aca="false">IF(AS189&gt;0,1,0)</f>
        <v>1</v>
      </c>
      <c r="AT227" s="113" t="n">
        <f aca="false">IF(AT189&gt;0,1,0)</f>
        <v>1</v>
      </c>
      <c r="AU227" s="113" t="n">
        <f aca="false">IF(AU189&gt;0,1,0)</f>
        <v>1</v>
      </c>
      <c r="AV227" s="113" t="n">
        <f aca="false">IF(AV189&gt;0,1,0)</f>
        <v>1</v>
      </c>
      <c r="AW227" s="113" t="n">
        <f aca="false">IF(AW189&gt;0,1,0)</f>
        <v>1</v>
      </c>
      <c r="AX227" s="113" t="n">
        <f aca="false">IF(AX189&gt;0,1,0)</f>
        <v>1</v>
      </c>
      <c r="AY227" s="113" t="n">
        <f aca="false">IF(AY189&gt;0,1,0)</f>
        <v>1</v>
      </c>
      <c r="AZ227" s="113" t="n">
        <f aca="false">IF(AZ189&gt;0,1,0)</f>
        <v>1</v>
      </c>
      <c r="BA227" s="113" t="n">
        <f aca="false">IF(BA189&gt;0,1,0)</f>
        <v>1</v>
      </c>
      <c r="BB227" s="113" t="n">
        <f aca="false">IF(BB189&gt;0,1,0)</f>
        <v>1</v>
      </c>
      <c r="BC227" s="113" t="n">
        <f aca="false">IF(BC189&gt;0,1,0)</f>
        <v>1</v>
      </c>
      <c r="BD227" s="113" t="n">
        <f aca="false">IF(BD189&gt;0,1,0)</f>
        <v>1</v>
      </c>
      <c r="BE227" s="113" t="n">
        <f aca="false">IF(BE189&gt;0,1,0)</f>
        <v>1</v>
      </c>
      <c r="BF227" s="113" t="n">
        <f aca="false">IF(BF189&gt;0,1,0)</f>
        <v>1</v>
      </c>
      <c r="BG227" s="113" t="n">
        <f aca="false">IF(BG189&gt;0,1,0)</f>
        <v>1</v>
      </c>
      <c r="BH227" s="113" t="n">
        <f aca="false">IF(BH189&gt;0,1,0)</f>
        <v>1</v>
      </c>
      <c r="BI227" s="113" t="n">
        <f aca="false">IF(BI189&gt;0,1,0)</f>
        <v>1</v>
      </c>
      <c r="BJ227" s="113" t="n">
        <f aca="false">IF(BJ189&gt;0,1,0)</f>
        <v>1</v>
      </c>
    </row>
    <row r="228" customFormat="false" ht="15" hidden="false" customHeight="false" outlineLevel="0" collapsed="false">
      <c r="A228" s="6" t="s">
        <v>455</v>
      </c>
      <c r="C228" s="66" t="n">
        <f aca="false">C217+C218</f>
        <v>-465923.316666667</v>
      </c>
      <c r="D228" s="66" t="n">
        <f aca="false">D217+D218</f>
        <v>-18575.8753472222</v>
      </c>
      <c r="E228" s="66" t="n">
        <f aca="false">E217+E218</f>
        <v>-21582.4166666667</v>
      </c>
      <c r="F228" s="66" t="n">
        <f aca="false">F217+F218</f>
        <v>-20361.5413194444</v>
      </c>
      <c r="G228" s="66" t="n">
        <f aca="false">G217+G218</f>
        <v>-17049.9993055556</v>
      </c>
      <c r="H228" s="66" t="n">
        <f aca="false">H217+H218</f>
        <v>-13738.4572916667</v>
      </c>
      <c r="I228" s="66" t="n">
        <f aca="false">I217+I218</f>
        <v>-10426.9152777778</v>
      </c>
      <c r="J228" s="66" t="n">
        <f aca="false">J217+J218</f>
        <v>-9990.03993055557</v>
      </c>
      <c r="K228" s="66" t="n">
        <f aca="false">K217+K218</f>
        <v>-10598.4979166667</v>
      </c>
      <c r="L228" s="66" t="n">
        <f aca="false">L217+L218</f>
        <v>-8332.28923611111</v>
      </c>
      <c r="M228" s="66" t="n">
        <f aca="false">M217+M218</f>
        <v>-5020.74722222222</v>
      </c>
      <c r="N228" s="66" t="n">
        <f aca="false">N217+N218</f>
        <v>-1709.20520833333</v>
      </c>
      <c r="O228" s="66" t="n">
        <f aca="false">O217+O218</f>
        <v>-7598.34231944445</v>
      </c>
      <c r="P228" s="66" t="n">
        <f aca="false">P217+P218</f>
        <v>3187.46140277778</v>
      </c>
      <c r="Q228" s="66" t="n">
        <f aca="false">Q217+Q218</f>
        <v>2983.76279166666</v>
      </c>
      <c r="R228" s="66" t="n">
        <f aca="false">R217+R218</f>
        <v>2997.65168055555</v>
      </c>
      <c r="S228" s="66" t="n">
        <f aca="false">S217+S218</f>
        <v>3011.54056944444</v>
      </c>
      <c r="T228" s="66" t="n">
        <f aca="false">T217+T218</f>
        <v>3025.42945833333</v>
      </c>
      <c r="U228" s="66" t="n">
        <f aca="false">U217+U218</f>
        <v>3039.31834722222</v>
      </c>
      <c r="V228" s="66" t="n">
        <f aca="false">V217+V218</f>
        <v>3053.20723611111</v>
      </c>
      <c r="W228" s="66" t="n">
        <f aca="false">W217+W218</f>
        <v>3067.096125</v>
      </c>
      <c r="X228" s="66" t="n">
        <f aca="false">X217+X218</f>
        <v>3080.98501388889</v>
      </c>
      <c r="Y228" s="66" t="n">
        <f aca="false">Y217+Y218</f>
        <v>3094.87390277777</v>
      </c>
      <c r="Z228" s="66" t="n">
        <f aca="false">Z217+Z218</f>
        <v>3108.76279166666</v>
      </c>
      <c r="AA228" s="66" t="n">
        <f aca="false">AA217+AA218</f>
        <v>-6092.58394319445</v>
      </c>
      <c r="AB228" s="66" t="n">
        <f aca="false">AB217+AB218</f>
        <v>3465.42845319444</v>
      </c>
      <c r="AC228" s="66" t="n">
        <f aca="false">AC217+AC218</f>
        <v>3479.31734208333</v>
      </c>
      <c r="AD228" s="66" t="n">
        <f aca="false">AD217+AD218</f>
        <v>3493.20623097222</v>
      </c>
      <c r="AE228" s="66" t="n">
        <f aca="false">AE217+AE218</f>
        <v>3507.09511986111</v>
      </c>
      <c r="AF228" s="66" t="n">
        <f aca="false">AF217+AF218</f>
        <v>3520.98400875</v>
      </c>
      <c r="AG228" s="66" t="n">
        <f aca="false">AG217+AG218</f>
        <v>3534.87289763889</v>
      </c>
      <c r="AH228" s="66" t="n">
        <f aca="false">AH217+AH218</f>
        <v>3548.76178652778</v>
      </c>
      <c r="AI228" s="66" t="n">
        <f aca="false">AI217+AI218</f>
        <v>3562.65067541667</v>
      </c>
      <c r="AJ228" s="66" t="n">
        <f aca="false">AJ217+AJ218</f>
        <v>3576.53956430555</v>
      </c>
      <c r="AK228" s="66" t="n">
        <f aca="false">AK217+AK218</f>
        <v>3590.42845319444</v>
      </c>
      <c r="AL228" s="66" t="n">
        <f aca="false">AL217+AL218</f>
        <v>3604.31734208333</v>
      </c>
      <c r="AM228" s="66" t="n">
        <f aca="false">AM217+AM218</f>
        <v>-5603.48646149027</v>
      </c>
      <c r="AN228" s="66" t="n">
        <f aca="false">AN217+AN218</f>
        <v>3970.84964012361</v>
      </c>
      <c r="AO228" s="66" t="n">
        <f aca="false">AO217+AO218</f>
        <v>3984.7385290125</v>
      </c>
      <c r="AP228" s="66" t="n">
        <f aca="false">AP217+AP218</f>
        <v>3998.62741790139</v>
      </c>
      <c r="AQ228" s="66" t="n">
        <f aca="false">AQ217+AQ218</f>
        <v>4012.51630679028</v>
      </c>
      <c r="AR228" s="66" t="n">
        <f aca="false">AR217+AR218</f>
        <v>4026.40519567917</v>
      </c>
      <c r="AS228" s="66" t="n">
        <f aca="false">AS217+AS218</f>
        <v>4040.29408456806</v>
      </c>
      <c r="AT228" s="66" t="n">
        <f aca="false">AT217+AT218</f>
        <v>4054.18297345694</v>
      </c>
      <c r="AU228" s="66" t="n">
        <f aca="false">AU217+AU218</f>
        <v>4068.07186234583</v>
      </c>
      <c r="AV228" s="66" t="n">
        <f aca="false">AV217+AV218</f>
        <v>4081.96075123472</v>
      </c>
      <c r="AW228" s="66" t="n">
        <f aca="false">AW217+AW218</f>
        <v>4095.84964012361</v>
      </c>
      <c r="AX228" s="66" t="n">
        <f aca="false">AX217+AX218</f>
        <v>4109.7385290125</v>
      </c>
      <c r="AY228" s="66" t="n">
        <f aca="false">AY217+AY218</f>
        <v>-5104.71605533499</v>
      </c>
      <c r="AZ228" s="66" t="n">
        <f aca="false">AZ217+AZ218</f>
        <v>4486.43346266065</v>
      </c>
      <c r="BA228" s="66" t="n">
        <f aca="false">BA217+BA218</f>
        <v>4500.32235154954</v>
      </c>
      <c r="BB228" s="66" t="n">
        <f aca="false">BB217+BB218</f>
        <v>4514.21124043843</v>
      </c>
      <c r="BC228" s="66" t="n">
        <f aca="false">BC217+BC218</f>
        <v>4528.10012932732</v>
      </c>
      <c r="BD228" s="66" t="n">
        <f aca="false">BD217+BD218</f>
        <v>4541.98901821621</v>
      </c>
      <c r="BE228" s="66" t="n">
        <f aca="false">BE217+BE218</f>
        <v>4555.87790710509</v>
      </c>
      <c r="BF228" s="66" t="n">
        <f aca="false">BF217+BF218</f>
        <v>4569.76679599398</v>
      </c>
      <c r="BG228" s="66" t="n">
        <f aca="false">BG217+BG218</f>
        <v>4583.65568488287</v>
      </c>
      <c r="BH228" s="66" t="n">
        <f aca="false">BH217+BH218</f>
        <v>4597.54457377176</v>
      </c>
      <c r="BI228" s="66" t="n">
        <f aca="false">BI217+BI218</f>
        <v>4611.43346266065</v>
      </c>
      <c r="BJ228" s="66" t="n">
        <f aca="false">BJ217+BJ218</f>
        <v>4625.32235154954</v>
      </c>
    </row>
    <row r="229" customFormat="false" ht="15" hidden="false" customHeight="false" outlineLevel="0" collapsed="false">
      <c r="A229" s="6" t="s">
        <v>456</v>
      </c>
      <c r="C229" s="66" t="n">
        <f aca="false">C228</f>
        <v>-465923.316666667</v>
      </c>
      <c r="D229" s="66" t="n">
        <f aca="false">C229+D228</f>
        <v>-484499.192013889</v>
      </c>
      <c r="E229" s="66" t="n">
        <f aca="false">D229+E228</f>
        <v>-506081.608680556</v>
      </c>
      <c r="F229" s="66" t="n">
        <f aca="false">E229+F228</f>
        <v>-526443.15</v>
      </c>
      <c r="G229" s="66" t="n">
        <f aca="false">F229+G228</f>
        <v>-543493.149305556</v>
      </c>
      <c r="H229" s="66" t="n">
        <f aca="false">G229+H228</f>
        <v>-557231.606597222</v>
      </c>
      <c r="I229" s="66" t="n">
        <f aca="false">H229+I228</f>
        <v>-567658.521875</v>
      </c>
      <c r="J229" s="66" t="n">
        <f aca="false">I229+J228</f>
        <v>-577648.561805556</v>
      </c>
      <c r="K229" s="66" t="n">
        <f aca="false">J229+K228</f>
        <v>-588247.059722222</v>
      </c>
      <c r="L229" s="66" t="n">
        <f aca="false">K229+L228</f>
        <v>-596579.348958334</v>
      </c>
      <c r="M229" s="66" t="n">
        <f aca="false">L229+M228</f>
        <v>-601600.096180556</v>
      </c>
      <c r="N229" s="66" t="n">
        <f aca="false">M229+N228</f>
        <v>-603309.301388889</v>
      </c>
      <c r="O229" s="66" t="n">
        <f aca="false">N229+O228</f>
        <v>-610907.643708334</v>
      </c>
      <c r="P229" s="66" t="n">
        <f aca="false">O229+P228</f>
        <v>-607720.182305556</v>
      </c>
      <c r="Q229" s="66" t="n">
        <f aca="false">P229+Q228</f>
        <v>-604736.419513889</v>
      </c>
      <c r="R229" s="66" t="n">
        <f aca="false">Q229+R228</f>
        <v>-601738.767833334</v>
      </c>
      <c r="S229" s="66" t="n">
        <f aca="false">R229+S228</f>
        <v>-598727.227263889</v>
      </c>
      <c r="T229" s="66" t="n">
        <f aca="false">S229+T228</f>
        <v>-595701.797805556</v>
      </c>
      <c r="U229" s="66" t="n">
        <f aca="false">T229+U228</f>
        <v>-592662.479458334</v>
      </c>
      <c r="V229" s="66" t="n">
        <f aca="false">U229+V228</f>
        <v>-589609.272222222</v>
      </c>
      <c r="W229" s="66" t="n">
        <f aca="false">V229+W228</f>
        <v>-586542.176097222</v>
      </c>
      <c r="X229" s="66" t="n">
        <f aca="false">W229+X228</f>
        <v>-583461.191083334</v>
      </c>
      <c r="Y229" s="66" t="n">
        <f aca="false">X229+Y228</f>
        <v>-580366.317180556</v>
      </c>
      <c r="Z229" s="66" t="n">
        <f aca="false">Y229+Z228</f>
        <v>-577257.554388889</v>
      </c>
      <c r="AA229" s="66" t="n">
        <f aca="false">Z229+AA228</f>
        <v>-583350.138332084</v>
      </c>
      <c r="AB229" s="66" t="n">
        <f aca="false">AA229+AB228</f>
        <v>-579884.709878889</v>
      </c>
      <c r="AC229" s="66" t="n">
        <f aca="false">AB229+AC228</f>
        <v>-576405.392536806</v>
      </c>
      <c r="AD229" s="66" t="n">
        <f aca="false">AC229+AD228</f>
        <v>-572912.186305834</v>
      </c>
      <c r="AE229" s="66" t="n">
        <f aca="false">AD229+AE228</f>
        <v>-569405.091185972</v>
      </c>
      <c r="AF229" s="66" t="n">
        <f aca="false">AE229+AF228</f>
        <v>-565884.107177223</v>
      </c>
      <c r="AG229" s="66" t="n">
        <f aca="false">AF229+AG228</f>
        <v>-562349.234279584</v>
      </c>
      <c r="AH229" s="66" t="n">
        <f aca="false">AG229+AH228</f>
        <v>-558800.472493056</v>
      </c>
      <c r="AI229" s="66" t="n">
        <f aca="false">AH229+AI228</f>
        <v>-555237.821817639</v>
      </c>
      <c r="AJ229" s="66" t="n">
        <f aca="false">AI229+AJ228</f>
        <v>-551661.282253334</v>
      </c>
      <c r="AK229" s="66" t="n">
        <f aca="false">AJ229+AK228</f>
        <v>-548070.853800139</v>
      </c>
      <c r="AL229" s="66" t="n">
        <f aca="false">AK229+AL228</f>
        <v>-544466.536458056</v>
      </c>
      <c r="AM229" s="66" t="n">
        <f aca="false">AL229+AM228</f>
        <v>-550070.022919546</v>
      </c>
      <c r="AN229" s="66" t="n">
        <f aca="false">AM229+AN228</f>
        <v>-546099.173279422</v>
      </c>
      <c r="AO229" s="66" t="n">
        <f aca="false">AN229+AO228</f>
        <v>-542114.43475041</v>
      </c>
      <c r="AP229" s="66" t="n">
        <f aca="false">AO229+AP228</f>
        <v>-538115.807332508</v>
      </c>
      <c r="AQ229" s="66" t="n">
        <f aca="false">AP229+AQ228</f>
        <v>-534103.291025718</v>
      </c>
      <c r="AR229" s="66" t="n">
        <f aca="false">AQ229+AR228</f>
        <v>-530076.885830039</v>
      </c>
      <c r="AS229" s="66" t="n">
        <f aca="false">AR229+AS228</f>
        <v>-526036.591745471</v>
      </c>
      <c r="AT229" s="66" t="n">
        <f aca="false">AS229+AT228</f>
        <v>-521982.408772014</v>
      </c>
      <c r="AU229" s="66" t="n">
        <f aca="false">AT229+AU228</f>
        <v>-517914.336909668</v>
      </c>
      <c r="AV229" s="66" t="n">
        <f aca="false">AU229+AV228</f>
        <v>-513832.376158433</v>
      </c>
      <c r="AW229" s="66" t="n">
        <f aca="false">AV229+AW228</f>
        <v>-509736.52651831</v>
      </c>
      <c r="AX229" s="66" t="n">
        <f aca="false">AW229+AX228</f>
        <v>-505626.787989297</v>
      </c>
      <c r="AY229" s="66" t="n">
        <f aca="false">AX229+AY228</f>
        <v>-510731.504044632</v>
      </c>
      <c r="AZ229" s="66" t="n">
        <f aca="false">AY229+AZ228</f>
        <v>-506245.070581972</v>
      </c>
      <c r="BA229" s="66" t="n">
        <f aca="false">AZ229+BA228</f>
        <v>-501744.748230422</v>
      </c>
      <c r="BB229" s="66" t="n">
        <f aca="false">BA229+BB228</f>
        <v>-497230.536989984</v>
      </c>
      <c r="BC229" s="66" t="n">
        <f aca="false">BB229+BC228</f>
        <v>-492702.436860656</v>
      </c>
      <c r="BD229" s="66" t="n">
        <f aca="false">BC229+BD228</f>
        <v>-488160.44784244</v>
      </c>
      <c r="BE229" s="66" t="n">
        <f aca="false">BD229+BE228</f>
        <v>-483604.569935335</v>
      </c>
      <c r="BF229" s="66" t="n">
        <f aca="false">BE229+BF228</f>
        <v>-479034.803139341</v>
      </c>
      <c r="BG229" s="66" t="n">
        <f aca="false">BF229+BG228</f>
        <v>-474451.147454458</v>
      </c>
      <c r="BH229" s="66" t="n">
        <f aca="false">BG229+BH228</f>
        <v>-469853.602880686</v>
      </c>
      <c r="BI229" s="66" t="n">
        <f aca="false">BH229+BI228</f>
        <v>-465242.169418026</v>
      </c>
      <c r="BJ229" s="66" t="n">
        <f aca="false">BI229+BJ228</f>
        <v>-460616.847066476</v>
      </c>
    </row>
    <row r="230" customFormat="false" ht="15" hidden="false" customHeight="false" outlineLevel="0" collapsed="false">
      <c r="A230" s="114" t="s">
        <v>457</v>
      </c>
      <c r="C230" s="66" t="n">
        <f aca="false">C229</f>
        <v>-465923.316666667</v>
      </c>
      <c r="D230" s="66" t="n">
        <f aca="false">MIN(C230,D229)</f>
        <v>-484499.192013889</v>
      </c>
      <c r="E230" s="66" t="n">
        <f aca="false">MIN(D230,E229)</f>
        <v>-506081.608680556</v>
      </c>
      <c r="F230" s="66" t="n">
        <f aca="false">MIN(E230,F229)</f>
        <v>-526443.15</v>
      </c>
      <c r="G230" s="66" t="n">
        <f aca="false">MIN(F230,G229)</f>
        <v>-543493.149305556</v>
      </c>
      <c r="H230" s="66" t="n">
        <f aca="false">MIN(G230,H229)</f>
        <v>-557231.606597222</v>
      </c>
      <c r="I230" s="66" t="n">
        <f aca="false">MIN(H230,I229)</f>
        <v>-567658.521875</v>
      </c>
      <c r="J230" s="66" t="n">
        <f aca="false">MIN(I230,J229)</f>
        <v>-577648.561805556</v>
      </c>
      <c r="K230" s="66" t="n">
        <f aca="false">MIN(J230,K229)</f>
        <v>-588247.059722222</v>
      </c>
      <c r="L230" s="66" t="n">
        <f aca="false">MIN(K230,L229)</f>
        <v>-596579.348958334</v>
      </c>
      <c r="M230" s="66" t="n">
        <f aca="false">MIN(L230,M229)</f>
        <v>-601600.096180556</v>
      </c>
      <c r="N230" s="66" t="n">
        <f aca="false">MIN(M230,N229)</f>
        <v>-603309.301388889</v>
      </c>
      <c r="O230" s="66" t="n">
        <f aca="false">MIN(N230,O229)</f>
        <v>-610907.643708334</v>
      </c>
      <c r="P230" s="66" t="n">
        <f aca="false">MIN(O230,P229)</f>
        <v>-610907.643708334</v>
      </c>
      <c r="Q230" s="66" t="n">
        <f aca="false">MIN(P230,Q229)</f>
        <v>-610907.643708334</v>
      </c>
      <c r="R230" s="66" t="n">
        <f aca="false">MIN(Q230,R229)</f>
        <v>-610907.643708334</v>
      </c>
      <c r="S230" s="66" t="n">
        <f aca="false">MIN(R230,S229)</f>
        <v>-610907.643708334</v>
      </c>
      <c r="T230" s="66" t="n">
        <f aca="false">MIN(S230,T229)</f>
        <v>-610907.643708334</v>
      </c>
      <c r="U230" s="66" t="n">
        <f aca="false">MIN(T230,U229)</f>
        <v>-610907.643708334</v>
      </c>
      <c r="V230" s="66" t="n">
        <f aca="false">MIN(U230,V229)</f>
        <v>-610907.643708334</v>
      </c>
      <c r="W230" s="66" t="n">
        <f aca="false">MIN(V230,W229)</f>
        <v>-610907.643708334</v>
      </c>
      <c r="X230" s="66" t="n">
        <f aca="false">MIN(W230,X229)</f>
        <v>-610907.643708334</v>
      </c>
      <c r="Y230" s="66" t="n">
        <f aca="false">MIN(X230,Y229)</f>
        <v>-610907.643708334</v>
      </c>
      <c r="Z230" s="66" t="n">
        <f aca="false">MIN(Y230,Z229)</f>
        <v>-610907.643708334</v>
      </c>
      <c r="AA230" s="66" t="n">
        <f aca="false">MIN(Z230,AA229)</f>
        <v>-610907.643708334</v>
      </c>
      <c r="AB230" s="66" t="n">
        <f aca="false">MIN(AA230,AB229)</f>
        <v>-610907.643708334</v>
      </c>
      <c r="AC230" s="66" t="n">
        <f aca="false">MIN(AB230,AC229)</f>
        <v>-610907.643708334</v>
      </c>
      <c r="AD230" s="66" t="n">
        <f aca="false">MIN(AC230,AD229)</f>
        <v>-610907.643708334</v>
      </c>
      <c r="AE230" s="66" t="n">
        <f aca="false">MIN(AD230,AE229)</f>
        <v>-610907.643708334</v>
      </c>
      <c r="AF230" s="66" t="n">
        <f aca="false">MIN(AE230,AF229)</f>
        <v>-610907.643708334</v>
      </c>
      <c r="AG230" s="66" t="n">
        <f aca="false">MIN(AF230,AG229)</f>
        <v>-610907.643708334</v>
      </c>
      <c r="AH230" s="66" t="n">
        <f aca="false">MIN(AG230,AH229)</f>
        <v>-610907.643708334</v>
      </c>
      <c r="AI230" s="66" t="n">
        <f aca="false">MIN(AH230,AI229)</f>
        <v>-610907.643708334</v>
      </c>
      <c r="AJ230" s="66" t="n">
        <f aca="false">MIN(AI230,AJ229)</f>
        <v>-610907.643708334</v>
      </c>
      <c r="AK230" s="66" t="n">
        <f aca="false">MIN(AJ230,AK229)</f>
        <v>-610907.643708334</v>
      </c>
      <c r="AL230" s="66" t="n">
        <f aca="false">MIN(AK230,AL229)</f>
        <v>-610907.643708334</v>
      </c>
      <c r="AM230" s="66" t="n">
        <f aca="false">MIN(AL230,AM229)</f>
        <v>-610907.643708334</v>
      </c>
      <c r="AN230" s="66" t="n">
        <f aca="false">MIN(AM230,AN229)</f>
        <v>-610907.643708334</v>
      </c>
      <c r="AO230" s="66" t="n">
        <f aca="false">MIN(AN230,AO229)</f>
        <v>-610907.643708334</v>
      </c>
      <c r="AP230" s="66" t="n">
        <f aca="false">MIN(AO230,AP229)</f>
        <v>-610907.643708334</v>
      </c>
      <c r="AQ230" s="66" t="n">
        <f aca="false">MIN(AP230,AQ229)</f>
        <v>-610907.643708334</v>
      </c>
      <c r="AR230" s="66" t="n">
        <f aca="false">MIN(AQ230,AR229)</f>
        <v>-610907.643708334</v>
      </c>
      <c r="AS230" s="66" t="n">
        <f aca="false">MIN(AR230,AS229)</f>
        <v>-610907.643708334</v>
      </c>
      <c r="AT230" s="66" t="n">
        <f aca="false">MIN(AS230,AT229)</f>
        <v>-610907.643708334</v>
      </c>
      <c r="AU230" s="66" t="n">
        <f aca="false">MIN(AT230,AU229)</f>
        <v>-610907.643708334</v>
      </c>
      <c r="AV230" s="66" t="n">
        <f aca="false">MIN(AU230,AV229)</f>
        <v>-610907.643708334</v>
      </c>
      <c r="AW230" s="66" t="n">
        <f aca="false">MIN(AV230,AW229)</f>
        <v>-610907.643708334</v>
      </c>
      <c r="AX230" s="66" t="n">
        <f aca="false">MIN(AW230,AX229)</f>
        <v>-610907.643708334</v>
      </c>
      <c r="AY230" s="66" t="n">
        <f aca="false">MIN(AX230,AY229)</f>
        <v>-610907.643708334</v>
      </c>
      <c r="AZ230" s="66" t="n">
        <f aca="false">MIN(AY230,AZ229)</f>
        <v>-610907.643708334</v>
      </c>
      <c r="BA230" s="66" t="n">
        <f aca="false">MIN(AZ230,BA229)</f>
        <v>-610907.643708334</v>
      </c>
      <c r="BB230" s="66" t="n">
        <f aca="false">MIN(BA230,BB229)</f>
        <v>-610907.643708334</v>
      </c>
      <c r="BC230" s="66" t="n">
        <f aca="false">MIN(BB230,BC229)</f>
        <v>-610907.643708334</v>
      </c>
      <c r="BD230" s="66" t="n">
        <f aca="false">MIN(BC230,BD229)</f>
        <v>-610907.643708334</v>
      </c>
      <c r="BE230" s="66" t="n">
        <f aca="false">MIN(BD230,BE229)</f>
        <v>-610907.643708334</v>
      </c>
      <c r="BF230" s="66" t="n">
        <f aca="false">MIN(BE230,BF229)</f>
        <v>-610907.643708334</v>
      </c>
      <c r="BG230" s="66" t="n">
        <f aca="false">MIN(BF230,BG229)</f>
        <v>-610907.643708334</v>
      </c>
      <c r="BH230" s="66" t="n">
        <f aca="false">MIN(BG230,BH229)</f>
        <v>-610907.643708334</v>
      </c>
      <c r="BI230" s="66" t="n">
        <f aca="false">MIN(BH230,BI229)</f>
        <v>-610907.643708334</v>
      </c>
      <c r="BJ230" s="66" t="n">
        <f aca="false">MIN(BI230,BJ229)</f>
        <v>-610907.643708334</v>
      </c>
    </row>
    <row r="231" customFormat="false" ht="15" hidden="false" customHeight="false" outlineLevel="0" collapsed="false">
      <c r="A231" s="114" t="s">
        <v>458</v>
      </c>
      <c r="C231" s="113" t="n">
        <f aca="false">IF(AND(C229&gt;=0,C230&lt;0),1,0)</f>
        <v>0</v>
      </c>
      <c r="D231" s="113" t="n">
        <f aca="false">IF(AND(D229&gt;=0,D230&lt;0),1,0)</f>
        <v>0</v>
      </c>
      <c r="E231" s="113" t="n">
        <f aca="false">IF(AND(E229&gt;=0,E230&lt;0),1,0)</f>
        <v>0</v>
      </c>
      <c r="F231" s="113" t="n">
        <f aca="false">IF(AND(F229&gt;=0,F230&lt;0),1,0)</f>
        <v>0</v>
      </c>
      <c r="G231" s="113" t="n">
        <f aca="false">IF(AND(G229&gt;=0,G230&lt;0),1,0)</f>
        <v>0</v>
      </c>
      <c r="H231" s="113" t="n">
        <f aca="false">IF(AND(H229&gt;=0,H230&lt;0),1,0)</f>
        <v>0</v>
      </c>
      <c r="I231" s="113" t="n">
        <f aca="false">IF(AND(I229&gt;=0,I230&lt;0),1,0)</f>
        <v>0</v>
      </c>
      <c r="J231" s="113" t="n">
        <f aca="false">IF(AND(J229&gt;=0,J230&lt;0),1,0)</f>
        <v>0</v>
      </c>
      <c r="K231" s="113" t="n">
        <f aca="false">IF(AND(K229&gt;=0,K230&lt;0),1,0)</f>
        <v>0</v>
      </c>
      <c r="L231" s="113" t="n">
        <f aca="false">IF(AND(L229&gt;=0,L230&lt;0),1,0)</f>
        <v>0</v>
      </c>
      <c r="M231" s="113" t="n">
        <f aca="false">IF(AND(M229&gt;=0,M230&lt;0),1,0)</f>
        <v>0</v>
      </c>
      <c r="N231" s="113" t="n">
        <f aca="false">IF(AND(N229&gt;=0,N230&lt;0),1,0)</f>
        <v>0</v>
      </c>
      <c r="O231" s="113" t="n">
        <f aca="false">IF(AND(O229&gt;=0,O230&lt;0),1,0)</f>
        <v>0</v>
      </c>
      <c r="P231" s="113" t="n">
        <f aca="false">IF(AND(P229&gt;=0,P230&lt;0),1,0)</f>
        <v>0</v>
      </c>
      <c r="Q231" s="113" t="n">
        <f aca="false">IF(AND(Q229&gt;=0,Q230&lt;0),1,0)</f>
        <v>0</v>
      </c>
      <c r="R231" s="113" t="n">
        <f aca="false">IF(AND(R229&gt;=0,R230&lt;0),1,0)</f>
        <v>0</v>
      </c>
      <c r="S231" s="113" t="n">
        <f aca="false">IF(AND(S229&gt;=0,S230&lt;0),1,0)</f>
        <v>0</v>
      </c>
      <c r="T231" s="113" t="n">
        <f aca="false">IF(AND(T229&gt;=0,T230&lt;0),1,0)</f>
        <v>0</v>
      </c>
      <c r="U231" s="113" t="n">
        <f aca="false">IF(AND(U229&gt;=0,U230&lt;0),1,0)</f>
        <v>0</v>
      </c>
      <c r="V231" s="113" t="n">
        <f aca="false">IF(AND(V229&gt;=0,V230&lt;0),1,0)</f>
        <v>0</v>
      </c>
      <c r="W231" s="113" t="n">
        <f aca="false">IF(AND(W229&gt;=0,W230&lt;0),1,0)</f>
        <v>0</v>
      </c>
      <c r="X231" s="113" t="n">
        <f aca="false">IF(AND(X229&gt;=0,X230&lt;0),1,0)</f>
        <v>0</v>
      </c>
      <c r="Y231" s="113" t="n">
        <f aca="false">IF(AND(Y229&gt;=0,Y230&lt;0),1,0)</f>
        <v>0</v>
      </c>
      <c r="Z231" s="113" t="n">
        <f aca="false">IF(AND(Z229&gt;=0,Z230&lt;0),1,0)</f>
        <v>0</v>
      </c>
      <c r="AA231" s="113" t="n">
        <f aca="false">IF(AND(AA229&gt;=0,AA230&lt;0),1,0)</f>
        <v>0</v>
      </c>
      <c r="AB231" s="113" t="n">
        <f aca="false">IF(AND(AB229&gt;=0,AB230&lt;0),1,0)</f>
        <v>0</v>
      </c>
      <c r="AC231" s="113" t="n">
        <f aca="false">IF(AND(AC229&gt;=0,AC230&lt;0),1,0)</f>
        <v>0</v>
      </c>
      <c r="AD231" s="113" t="n">
        <f aca="false">IF(AND(AD229&gt;=0,AD230&lt;0),1,0)</f>
        <v>0</v>
      </c>
      <c r="AE231" s="113" t="n">
        <f aca="false">IF(AND(AE229&gt;=0,AE230&lt;0),1,0)</f>
        <v>0</v>
      </c>
      <c r="AF231" s="113" t="n">
        <f aca="false">IF(AND(AF229&gt;=0,AF230&lt;0),1,0)</f>
        <v>0</v>
      </c>
      <c r="AG231" s="113" t="n">
        <f aca="false">IF(AND(AG229&gt;=0,AG230&lt;0),1,0)</f>
        <v>0</v>
      </c>
      <c r="AH231" s="113" t="n">
        <f aca="false">IF(AND(AH229&gt;=0,AH230&lt;0),1,0)</f>
        <v>0</v>
      </c>
      <c r="AI231" s="113" t="n">
        <f aca="false">IF(AND(AI229&gt;=0,AI230&lt;0),1,0)</f>
        <v>0</v>
      </c>
      <c r="AJ231" s="113" t="n">
        <f aca="false">IF(AND(AJ229&gt;=0,AJ230&lt;0),1,0)</f>
        <v>0</v>
      </c>
      <c r="AK231" s="113" t="n">
        <f aca="false">IF(AND(AK229&gt;=0,AK230&lt;0),1,0)</f>
        <v>0</v>
      </c>
      <c r="AL231" s="113" t="n">
        <f aca="false">IF(AND(AL229&gt;=0,AL230&lt;0),1,0)</f>
        <v>0</v>
      </c>
      <c r="AM231" s="113" t="n">
        <f aca="false">IF(AND(AM229&gt;=0,AM230&lt;0),1,0)</f>
        <v>0</v>
      </c>
      <c r="AN231" s="113" t="n">
        <f aca="false">IF(AND(AN229&gt;=0,AN230&lt;0),1,0)</f>
        <v>0</v>
      </c>
      <c r="AO231" s="113" t="n">
        <f aca="false">IF(AND(AO229&gt;=0,AO230&lt;0),1,0)</f>
        <v>0</v>
      </c>
      <c r="AP231" s="113" t="n">
        <f aca="false">IF(AND(AP229&gt;=0,AP230&lt;0),1,0)</f>
        <v>0</v>
      </c>
      <c r="AQ231" s="113" t="n">
        <f aca="false">IF(AND(AQ229&gt;=0,AQ230&lt;0),1,0)</f>
        <v>0</v>
      </c>
      <c r="AR231" s="113" t="n">
        <f aca="false">IF(AND(AR229&gt;=0,AR230&lt;0),1,0)</f>
        <v>0</v>
      </c>
      <c r="AS231" s="113" t="n">
        <f aca="false">IF(AND(AS229&gt;=0,AS230&lt;0),1,0)</f>
        <v>0</v>
      </c>
      <c r="AT231" s="113" t="n">
        <f aca="false">IF(AND(AT229&gt;=0,AT230&lt;0),1,0)</f>
        <v>0</v>
      </c>
      <c r="AU231" s="113" t="n">
        <f aca="false">IF(AND(AU229&gt;=0,AU230&lt;0),1,0)</f>
        <v>0</v>
      </c>
      <c r="AV231" s="113" t="n">
        <f aca="false">IF(AND(AV229&gt;=0,AV230&lt;0),1,0)</f>
        <v>0</v>
      </c>
      <c r="AW231" s="113" t="n">
        <f aca="false">IF(AND(AW229&gt;=0,AW230&lt;0),1,0)</f>
        <v>0</v>
      </c>
      <c r="AX231" s="113" t="n">
        <f aca="false">IF(AND(AX229&gt;=0,AX230&lt;0),1,0)</f>
        <v>0</v>
      </c>
      <c r="AY231" s="113" t="n">
        <f aca="false">IF(AND(AY229&gt;=0,AY230&lt;0),1,0)</f>
        <v>0</v>
      </c>
      <c r="AZ231" s="113" t="n">
        <f aca="false">IF(AND(AZ229&gt;=0,AZ230&lt;0),1,0)</f>
        <v>0</v>
      </c>
      <c r="BA231" s="113" t="n">
        <f aca="false">IF(AND(BA229&gt;=0,BA230&lt;0),1,0)</f>
        <v>0</v>
      </c>
      <c r="BB231" s="113" t="n">
        <f aca="false">IF(AND(BB229&gt;=0,BB230&lt;0),1,0)</f>
        <v>0</v>
      </c>
      <c r="BC231" s="113" t="n">
        <f aca="false">IF(AND(BC229&gt;=0,BC230&lt;0),1,0)</f>
        <v>0</v>
      </c>
      <c r="BD231" s="113" t="n">
        <f aca="false">IF(AND(BD229&gt;=0,BD230&lt;0),1,0)</f>
        <v>0</v>
      </c>
      <c r="BE231" s="113" t="n">
        <f aca="false">IF(AND(BE229&gt;=0,BE230&lt;0),1,0)</f>
        <v>0</v>
      </c>
      <c r="BF231" s="113" t="n">
        <f aca="false">IF(AND(BF229&gt;=0,BF230&lt;0),1,0)</f>
        <v>0</v>
      </c>
      <c r="BG231" s="113" t="n">
        <f aca="false">IF(AND(BG229&gt;=0,BG230&lt;0),1,0)</f>
        <v>0</v>
      </c>
      <c r="BH231" s="113" t="n">
        <f aca="false">IF(AND(BH229&gt;=0,BH230&lt;0),1,0)</f>
        <v>0</v>
      </c>
      <c r="BI231" s="113" t="n">
        <f aca="false">IF(AND(BI229&gt;=0,BI230&lt;0),1,0)</f>
        <v>0</v>
      </c>
      <c r="BJ231" s="113" t="n">
        <f aca="false">IF(AND(BJ229&gt;=0,BJ230&lt;0),1,0)</f>
        <v>0</v>
      </c>
    </row>
    <row r="232" customFormat="false" ht="15" hidden="false" customHeight="false" outlineLevel="0" collapsed="false">
      <c r="A232" s="6" t="s">
        <v>459</v>
      </c>
      <c r="C232" s="66" t="n">
        <f aca="false">C217-C184*(1-Inputs!$C$85)+C218</f>
        <v>-464606.65</v>
      </c>
      <c r="D232" s="66" t="n">
        <f aca="false">D217-D184*(1-Inputs!$C$85)+D218</f>
        <v>-17264.6947916667</v>
      </c>
      <c r="E232" s="66" t="n">
        <f aca="false">E217-E184*(1-Inputs!$C$85)+E218</f>
        <v>-20282.2083333333</v>
      </c>
      <c r="F232" s="66" t="n">
        <f aca="false">F217-F184*(1-Inputs!$C$85)+F218</f>
        <v>-19072.3052083333</v>
      </c>
      <c r="G232" s="66" t="n">
        <f aca="false">G217-G184*(1-Inputs!$C$85)+G218</f>
        <v>-15771.7354166667</v>
      </c>
      <c r="H232" s="66" t="n">
        <f aca="false">H217-H184*(1-Inputs!$C$85)+H218</f>
        <v>-12471.165625</v>
      </c>
      <c r="I232" s="66" t="n">
        <f aca="false">I217-I184*(1-Inputs!$C$85)+I218</f>
        <v>-9170.59583333333</v>
      </c>
      <c r="J232" s="66" t="n">
        <f aca="false">J217-J184*(1-Inputs!$C$85)+J218</f>
        <v>-8744.69270833334</v>
      </c>
      <c r="K232" s="66" t="n">
        <f aca="false">K217-K184*(1-Inputs!$C$85)+K218</f>
        <v>-9364.12291666667</v>
      </c>
      <c r="L232" s="66" t="n">
        <f aca="false">L217-L184*(1-Inputs!$C$85)+L218</f>
        <v>-7108.88645833333</v>
      </c>
      <c r="M232" s="66" t="n">
        <f aca="false">M217-M184*(1-Inputs!$C$85)+M218</f>
        <v>-3808.31666666666</v>
      </c>
      <c r="N232" s="66" t="n">
        <f aca="false">N217-N184*(1-Inputs!$C$85)+N218</f>
        <v>-507.746874999995</v>
      </c>
      <c r="O232" s="66" t="n">
        <f aca="false">O217-O184*(1-Inputs!$C$85)+O218</f>
        <v>-6407.85620833334</v>
      </c>
      <c r="P232" s="66" t="n">
        <f aca="false">P217-P184*(1-Inputs!$C$85)+P218</f>
        <v>4366.97529166666</v>
      </c>
      <c r="Q232" s="66" t="n">
        <f aca="false">Q217-Q184*(1-Inputs!$C$85)+Q218</f>
        <v>4152.30445833333</v>
      </c>
      <c r="R232" s="66" t="n">
        <f aca="false">R217-R184*(1-Inputs!$C$85)+R218</f>
        <v>4155.221125</v>
      </c>
      <c r="S232" s="66" t="n">
        <f aca="false">S217-S184*(1-Inputs!$C$85)+S218</f>
        <v>4158.13779166666</v>
      </c>
      <c r="T232" s="66" t="n">
        <f aca="false">T217-T184*(1-Inputs!$C$85)+T218</f>
        <v>4161.05445833333</v>
      </c>
      <c r="U232" s="66" t="n">
        <f aca="false">U217-U184*(1-Inputs!$C$85)+U218</f>
        <v>4163.971125</v>
      </c>
      <c r="V232" s="66" t="n">
        <f aca="false">V217-V184*(1-Inputs!$C$85)+V218</f>
        <v>4166.88779166666</v>
      </c>
      <c r="W232" s="66" t="n">
        <f aca="false">W217-W184*(1-Inputs!$C$85)+W218</f>
        <v>4169.80445833333</v>
      </c>
      <c r="X232" s="66" t="n">
        <f aca="false">X217-X184*(1-Inputs!$C$85)+X218</f>
        <v>4172.721125</v>
      </c>
      <c r="Y232" s="66" t="n">
        <f aca="false">Y217-Y184*(1-Inputs!$C$85)+Y218</f>
        <v>4175.63779166666</v>
      </c>
      <c r="Z232" s="66" t="n">
        <f aca="false">Z217-Z184*(1-Inputs!$C$85)+Z218</f>
        <v>4178.55445833333</v>
      </c>
      <c r="AA232" s="66" t="n">
        <f aca="false">AA217-AA184*(1-Inputs!$C$85)+AA218</f>
        <v>-5033.76449875</v>
      </c>
      <c r="AB232" s="66" t="n">
        <f aca="false">AB217-AB184*(1-Inputs!$C$85)+AB218</f>
        <v>4513.27567541666</v>
      </c>
      <c r="AC232" s="66" t="n">
        <f aca="false">AC217-AC184*(1-Inputs!$C$85)+AC218</f>
        <v>4516.19234208333</v>
      </c>
      <c r="AD232" s="66" t="n">
        <f aca="false">AD217-AD184*(1-Inputs!$C$85)+AD218</f>
        <v>4519.10900875</v>
      </c>
      <c r="AE232" s="66" t="n">
        <f aca="false">AE217-AE184*(1-Inputs!$C$85)+AE218</f>
        <v>4522.02567541666</v>
      </c>
      <c r="AF232" s="66" t="n">
        <f aca="false">AF217-AF184*(1-Inputs!$C$85)+AF218</f>
        <v>4524.94234208333</v>
      </c>
      <c r="AG232" s="66" t="n">
        <f aca="false">AG217-AG184*(1-Inputs!$C$85)+AG218</f>
        <v>4527.85900875</v>
      </c>
      <c r="AH232" s="66" t="n">
        <f aca="false">AH217-AH184*(1-Inputs!$C$85)+AH218</f>
        <v>4530.77567541666</v>
      </c>
      <c r="AI232" s="66" t="n">
        <f aca="false">AI217-AI184*(1-Inputs!$C$85)+AI218</f>
        <v>4533.69234208333</v>
      </c>
      <c r="AJ232" s="66" t="n">
        <f aca="false">AJ217-AJ184*(1-Inputs!$C$85)+AJ218</f>
        <v>4536.60900875</v>
      </c>
      <c r="AK232" s="66" t="n">
        <f aca="false">AK217-AK184*(1-Inputs!$C$85)+AK218</f>
        <v>4539.52567541666</v>
      </c>
      <c r="AL232" s="66" t="n">
        <f aca="false">AL217-AL184*(1-Inputs!$C$85)+AL218</f>
        <v>4542.44234208333</v>
      </c>
      <c r="AM232" s="66" t="n">
        <f aca="false">AM217-AM184*(1-Inputs!$C$85)+AM218</f>
        <v>-4676.3336837125</v>
      </c>
      <c r="AN232" s="66" t="n">
        <f aca="false">AN217-AN184*(1-Inputs!$C$85)+AN218</f>
        <v>4887.03019567916</v>
      </c>
      <c r="AO232" s="66" t="n">
        <f aca="false">AO217-AO184*(1-Inputs!$C$85)+AO218</f>
        <v>4889.94686234583</v>
      </c>
      <c r="AP232" s="66" t="n">
        <f aca="false">AP217-AP184*(1-Inputs!$C$85)+AP218</f>
        <v>4892.8635290125</v>
      </c>
      <c r="AQ232" s="66" t="n">
        <f aca="false">AQ217-AQ184*(1-Inputs!$C$85)+AQ218</f>
        <v>4895.78019567916</v>
      </c>
      <c r="AR232" s="66" t="n">
        <f aca="false">AR217-AR184*(1-Inputs!$C$85)+AR218</f>
        <v>4898.69686234583</v>
      </c>
      <c r="AS232" s="66" t="n">
        <f aca="false">AS217-AS184*(1-Inputs!$C$85)+AS218</f>
        <v>4901.6135290125</v>
      </c>
      <c r="AT232" s="66" t="n">
        <f aca="false">AT217-AT184*(1-Inputs!$C$85)+AT218</f>
        <v>4904.53019567916</v>
      </c>
      <c r="AU232" s="66" t="n">
        <f aca="false">AU217-AU184*(1-Inputs!$C$85)+AU218</f>
        <v>4907.44686234583</v>
      </c>
      <c r="AV232" s="66" t="n">
        <f aca="false">AV217-AV184*(1-Inputs!$C$85)+AV218</f>
        <v>4910.3635290125</v>
      </c>
      <c r="AW232" s="66" t="n">
        <f aca="false">AW217-AW184*(1-Inputs!$C$85)+AW218</f>
        <v>4913.28019567916</v>
      </c>
      <c r="AX232" s="66" t="n">
        <f aca="false">AX217-AX184*(1-Inputs!$C$85)+AX218</f>
        <v>4916.19686234583</v>
      </c>
      <c r="AY232" s="66" t="n">
        <f aca="false">AY217-AY184*(1-Inputs!$C$85)+AY218</f>
        <v>-4309.22994422389</v>
      </c>
      <c r="AZ232" s="66" t="n">
        <f aca="false">AZ217-AZ184*(1-Inputs!$C$85)+AZ218</f>
        <v>5270.94735154954</v>
      </c>
      <c r="BA232" s="66" t="n">
        <f aca="false">BA217-BA184*(1-Inputs!$C$85)+BA218</f>
        <v>5273.8640182162</v>
      </c>
      <c r="BB232" s="66" t="n">
        <f aca="false">BB217-BB184*(1-Inputs!$C$85)+BB218</f>
        <v>5276.78068488287</v>
      </c>
      <c r="BC232" s="66" t="n">
        <f aca="false">BC217-BC184*(1-Inputs!$C$85)+BC218</f>
        <v>5279.69735154954</v>
      </c>
      <c r="BD232" s="66" t="n">
        <f aca="false">BD217-BD184*(1-Inputs!$C$85)+BD218</f>
        <v>5282.6140182162</v>
      </c>
      <c r="BE232" s="66" t="n">
        <f aca="false">BE217-BE184*(1-Inputs!$C$85)+BE218</f>
        <v>5285.53068488287</v>
      </c>
      <c r="BF232" s="66" t="n">
        <f aca="false">BF217-BF184*(1-Inputs!$C$85)+BF218</f>
        <v>5288.44735154954</v>
      </c>
      <c r="BG232" s="66" t="n">
        <f aca="false">BG217-BG184*(1-Inputs!$C$85)+BG218</f>
        <v>5291.3640182162</v>
      </c>
      <c r="BH232" s="66" t="n">
        <f aca="false">BH217-BH184*(1-Inputs!$C$85)+BH218</f>
        <v>5294.28068488287</v>
      </c>
      <c r="BI232" s="66" t="n">
        <f aca="false">BI217-BI184*(1-Inputs!$C$85)+BI218</f>
        <v>5297.19735154954</v>
      </c>
      <c r="BJ232" s="66" t="n">
        <f aca="false">BJ217-BJ184*(1-Inputs!$C$85)+BJ218</f>
        <v>5300.1140182162</v>
      </c>
    </row>
    <row r="234" customFormat="false" ht="15.75" hidden="false" customHeight="true" outlineLevel="0" collapsed="false">
      <c r="A234" s="7" t="s">
        <v>460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customFormat="false" ht="15" hidden="false" customHeight="false" outlineLevel="0" collapsed="false">
      <c r="A235" s="6" t="s">
        <v>96</v>
      </c>
      <c r="C235" s="66" t="n">
        <f aca="false">C219</f>
        <v>450000</v>
      </c>
      <c r="D235" s="66" t="n">
        <f aca="false">C235+D219</f>
        <v>450000</v>
      </c>
      <c r="E235" s="66" t="n">
        <f aca="false">D235+E219</f>
        <v>450000</v>
      </c>
      <c r="F235" s="66" t="n">
        <f aca="false">E235+F219</f>
        <v>450000</v>
      </c>
      <c r="G235" s="66" t="n">
        <f aca="false">F235+G219</f>
        <v>450000</v>
      </c>
      <c r="H235" s="66" t="n">
        <f aca="false">G235+H219</f>
        <v>450000</v>
      </c>
      <c r="I235" s="66" t="n">
        <f aca="false">H235+I219</f>
        <v>450000</v>
      </c>
      <c r="J235" s="66" t="n">
        <f aca="false">I235+J219</f>
        <v>450000</v>
      </c>
      <c r="K235" s="66" t="n">
        <f aca="false">J235+K219</f>
        <v>450000</v>
      </c>
      <c r="L235" s="66" t="n">
        <f aca="false">K235+L219</f>
        <v>450000</v>
      </c>
      <c r="M235" s="66" t="n">
        <f aca="false">L235+M219</f>
        <v>450000</v>
      </c>
      <c r="N235" s="66" t="n">
        <f aca="false">M235+N219</f>
        <v>450000</v>
      </c>
      <c r="O235" s="66" t="n">
        <f aca="false">N235+O219</f>
        <v>450000</v>
      </c>
      <c r="P235" s="66" t="n">
        <f aca="false">O235+P219</f>
        <v>450000</v>
      </c>
      <c r="Q235" s="66" t="n">
        <f aca="false">P235+Q219</f>
        <v>450000</v>
      </c>
      <c r="R235" s="66" t="n">
        <f aca="false">Q235+R219</f>
        <v>450000</v>
      </c>
      <c r="S235" s="66" t="n">
        <f aca="false">R235+S219</f>
        <v>450000</v>
      </c>
      <c r="T235" s="66" t="n">
        <f aca="false">S235+T219</f>
        <v>450000</v>
      </c>
      <c r="U235" s="66" t="n">
        <f aca="false">T235+U219</f>
        <v>450000</v>
      </c>
      <c r="V235" s="66" t="n">
        <f aca="false">U235+V219</f>
        <v>450000</v>
      </c>
      <c r="W235" s="66" t="n">
        <f aca="false">V235+W219</f>
        <v>450000</v>
      </c>
      <c r="X235" s="66" t="n">
        <f aca="false">W235+X219</f>
        <v>450000</v>
      </c>
      <c r="Y235" s="66" t="n">
        <f aca="false">X235+Y219</f>
        <v>450000</v>
      </c>
      <c r="Z235" s="66" t="n">
        <f aca="false">Y235+Z219</f>
        <v>450000</v>
      </c>
      <c r="AA235" s="66" t="n">
        <f aca="false">Z235+AA219</f>
        <v>450000</v>
      </c>
      <c r="AB235" s="66" t="n">
        <f aca="false">AA235+AB219</f>
        <v>450000</v>
      </c>
      <c r="AC235" s="66" t="n">
        <f aca="false">AB235+AC219</f>
        <v>450000</v>
      </c>
      <c r="AD235" s="66" t="n">
        <f aca="false">AC235+AD219</f>
        <v>450000</v>
      </c>
      <c r="AE235" s="66" t="n">
        <f aca="false">AD235+AE219</f>
        <v>450000</v>
      </c>
      <c r="AF235" s="66" t="n">
        <f aca="false">AE235+AF219</f>
        <v>450000</v>
      </c>
      <c r="AG235" s="66" t="n">
        <f aca="false">AF235+AG219</f>
        <v>450000</v>
      </c>
      <c r="AH235" s="66" t="n">
        <f aca="false">AG235+AH219</f>
        <v>450000</v>
      </c>
      <c r="AI235" s="66" t="n">
        <f aca="false">AH235+AI219</f>
        <v>450000</v>
      </c>
      <c r="AJ235" s="66" t="n">
        <f aca="false">AI235+AJ219</f>
        <v>450000</v>
      </c>
      <c r="AK235" s="66" t="n">
        <f aca="false">AJ235+AK219</f>
        <v>450000</v>
      </c>
      <c r="AL235" s="66" t="n">
        <f aca="false">AK235+AL219</f>
        <v>450000</v>
      </c>
      <c r="AM235" s="66" t="n">
        <f aca="false">AL235+AM219</f>
        <v>450000</v>
      </c>
      <c r="AN235" s="66" t="n">
        <f aca="false">AM235+AN219</f>
        <v>450000</v>
      </c>
      <c r="AO235" s="66" t="n">
        <f aca="false">AN235+AO219</f>
        <v>450000</v>
      </c>
      <c r="AP235" s="66" t="n">
        <f aca="false">AO235+AP219</f>
        <v>450000</v>
      </c>
      <c r="AQ235" s="66" t="n">
        <f aca="false">AP235+AQ219</f>
        <v>450000</v>
      </c>
      <c r="AR235" s="66" t="n">
        <f aca="false">AQ235+AR219</f>
        <v>450000</v>
      </c>
      <c r="AS235" s="66" t="n">
        <f aca="false">AR235+AS219</f>
        <v>450000</v>
      </c>
      <c r="AT235" s="66" t="n">
        <f aca="false">AS235+AT219</f>
        <v>450000</v>
      </c>
      <c r="AU235" s="66" t="n">
        <f aca="false">AT235+AU219</f>
        <v>450000</v>
      </c>
      <c r="AV235" s="66" t="n">
        <f aca="false">AU235+AV219</f>
        <v>450000</v>
      </c>
      <c r="AW235" s="66" t="n">
        <f aca="false">AV235+AW219</f>
        <v>450000</v>
      </c>
      <c r="AX235" s="66" t="n">
        <f aca="false">AW235+AX219</f>
        <v>450000</v>
      </c>
      <c r="AY235" s="66" t="n">
        <f aca="false">AX235+AY219</f>
        <v>450000</v>
      </c>
      <c r="AZ235" s="66" t="n">
        <f aca="false">AY235+AZ219</f>
        <v>450000</v>
      </c>
      <c r="BA235" s="66" t="n">
        <f aca="false">AZ235+BA219</f>
        <v>450000</v>
      </c>
      <c r="BB235" s="66" t="n">
        <f aca="false">BA235+BB219</f>
        <v>450000</v>
      </c>
      <c r="BC235" s="66" t="n">
        <f aca="false">BB235+BC219</f>
        <v>450000</v>
      </c>
      <c r="BD235" s="66" t="n">
        <f aca="false">BC235+BD219</f>
        <v>450000</v>
      </c>
      <c r="BE235" s="66" t="n">
        <f aca="false">BD235+BE219</f>
        <v>450000</v>
      </c>
      <c r="BF235" s="66" t="n">
        <f aca="false">BE235+BF219</f>
        <v>450000</v>
      </c>
      <c r="BG235" s="66" t="n">
        <f aca="false">BF235+BG219</f>
        <v>450000</v>
      </c>
      <c r="BH235" s="66" t="n">
        <f aca="false">BG235+BH219</f>
        <v>450000</v>
      </c>
      <c r="BI235" s="66" t="n">
        <f aca="false">BH235+BI219</f>
        <v>450000</v>
      </c>
      <c r="BJ235" s="66" t="n">
        <f aca="false">BI235+BJ219</f>
        <v>450000</v>
      </c>
    </row>
    <row r="236" customFormat="false" ht="15" hidden="false" customHeight="false" outlineLevel="0" collapsed="false">
      <c r="A236" s="6" t="s">
        <v>97</v>
      </c>
      <c r="C236" s="66" t="n">
        <f aca="false">C189</f>
        <v>-23298.2166666667</v>
      </c>
      <c r="D236" s="66" t="n">
        <f aca="false">C236+D189</f>
        <v>-44604.3357638889</v>
      </c>
      <c r="E236" s="66" t="n">
        <f aca="false">D236+E189</f>
        <v>-70438.9128472222</v>
      </c>
      <c r="F236" s="66" t="n">
        <f aca="false">E236+F189</f>
        <v>-92961.9479166667</v>
      </c>
      <c r="G236" s="66" t="n">
        <f aca="false">F236+G189</f>
        <v>-112173.440972222</v>
      </c>
      <c r="H236" s="66" t="n">
        <f aca="false">G236+H189</f>
        <v>-128073.392013889</v>
      </c>
      <c r="I236" s="66" t="n">
        <f aca="false">H236+I189</f>
        <v>-140661.801041667</v>
      </c>
      <c r="J236" s="66" t="n">
        <f aca="false">I236+J189</f>
        <v>-153858.668055556</v>
      </c>
      <c r="K236" s="66" t="n">
        <f aca="false">J236+K189</f>
        <v>-167663.993055556</v>
      </c>
      <c r="L236" s="66" t="n">
        <f aca="false">K236+L189</f>
        <v>-178157.776041667</v>
      </c>
      <c r="M236" s="66" t="n">
        <f aca="false">L236+M189</f>
        <v>-185340.017013889</v>
      </c>
      <c r="N236" s="66" t="n">
        <f aca="false">M236+N189</f>
        <v>-189210.715972222</v>
      </c>
      <c r="O236" s="66" t="n">
        <f aca="false">N236+O189</f>
        <v>-189510.939291667</v>
      </c>
      <c r="P236" s="66" t="n">
        <f aca="false">O236+P189</f>
        <v>-190299.398722222</v>
      </c>
      <c r="Q236" s="66" t="n">
        <f aca="false">P236+Q189</f>
        <v>-191073.969263889</v>
      </c>
      <c r="R236" s="66" t="n">
        <f aca="false">Q236+R189</f>
        <v>-191834.650916667</v>
      </c>
      <c r="S236" s="66" t="n">
        <f aca="false">R236+S189</f>
        <v>-192581.443680556</v>
      </c>
      <c r="T236" s="66" t="n">
        <f aca="false">S236+T189</f>
        <v>-193314.347555556</v>
      </c>
      <c r="U236" s="66" t="n">
        <f aca="false">T236+U189</f>
        <v>-194033.362541667</v>
      </c>
      <c r="V236" s="66" t="n">
        <f aca="false">U236+V189</f>
        <v>-194738.488638889</v>
      </c>
      <c r="W236" s="66" t="n">
        <f aca="false">V236+W189</f>
        <v>-195429.725847222</v>
      </c>
      <c r="X236" s="66" t="n">
        <f aca="false">W236+X189</f>
        <v>-196107.074166667</v>
      </c>
      <c r="Y236" s="66" t="n">
        <f aca="false">X236+Y189</f>
        <v>-196770.533597222</v>
      </c>
      <c r="Z236" s="66" t="n">
        <f aca="false">Y236+Z189</f>
        <v>-197420.104138889</v>
      </c>
      <c r="AA236" s="66" t="n">
        <f aca="false">Z236+AA189</f>
        <v>-197801.897907917</v>
      </c>
      <c r="AB236" s="66" t="n">
        <f aca="false">AA236+AB189</f>
        <v>-198169.802788056</v>
      </c>
      <c r="AC236" s="66" t="n">
        <f aca="false">AB236+AC189</f>
        <v>-198523.818779306</v>
      </c>
      <c r="AD236" s="66" t="n">
        <f aca="false">AC236+AD189</f>
        <v>-198863.945881667</v>
      </c>
      <c r="AE236" s="66" t="n">
        <f aca="false">AD236+AE189</f>
        <v>-199190.184095139</v>
      </c>
      <c r="AF236" s="66" t="n">
        <f aca="false">AE236+AF189</f>
        <v>-199502.533419722</v>
      </c>
      <c r="AG236" s="66" t="n">
        <f aca="false">AF236+AG189</f>
        <v>-199800.993855417</v>
      </c>
      <c r="AH236" s="66" t="n">
        <f aca="false">AG236+AH189</f>
        <v>-200085.565402222</v>
      </c>
      <c r="AI236" s="66" t="n">
        <f aca="false">AH236+AI189</f>
        <v>-200356.248060139</v>
      </c>
      <c r="AJ236" s="66" t="n">
        <f aca="false">AI236+AJ189</f>
        <v>-200613.041829167</v>
      </c>
      <c r="AK236" s="66" t="n">
        <f aca="false">AJ236+AK189</f>
        <v>-200855.946709306</v>
      </c>
      <c r="AL236" s="66" t="n">
        <f aca="false">AK236+AL189</f>
        <v>-201084.962700556</v>
      </c>
      <c r="AM236" s="66" t="n">
        <f aca="false">AL236+AM189</f>
        <v>-201036.335282654</v>
      </c>
      <c r="AN236" s="66" t="n">
        <f aca="false">AM236+AN189</f>
        <v>-200973.818975864</v>
      </c>
      <c r="AO236" s="66" t="n">
        <f aca="false">AN236+AO189</f>
        <v>-200897.413780185</v>
      </c>
      <c r="AP236" s="66" t="n">
        <f aca="false">AO236+AP189</f>
        <v>-200807.119695617</v>
      </c>
      <c r="AQ236" s="66" t="n">
        <f aca="false">AP236+AQ189</f>
        <v>-200702.93672216</v>
      </c>
      <c r="AR236" s="66" t="n">
        <f aca="false">AQ236+AR189</f>
        <v>-200584.864859814</v>
      </c>
      <c r="AS236" s="66" t="n">
        <f aca="false">AR236+AS189</f>
        <v>-200452.904108579</v>
      </c>
      <c r="AT236" s="66" t="n">
        <f aca="false">AS236+AT189</f>
        <v>-200307.054468456</v>
      </c>
      <c r="AU236" s="66" t="n">
        <f aca="false">AT236+AU189</f>
        <v>-200147.315939443</v>
      </c>
      <c r="AV236" s="66" t="n">
        <f aca="false">AU236+AV189</f>
        <v>-199973.688521542</v>
      </c>
      <c r="AW236" s="66" t="n">
        <f aca="false">AV236+AW189</f>
        <v>-199786.172214751</v>
      </c>
      <c r="AX236" s="66" t="n">
        <f aca="false">AW236+AX189</f>
        <v>-199584.767019072</v>
      </c>
      <c r="AY236" s="66" t="n">
        <f aca="false">AX236+AY189</f>
        <v>-199095.555778634</v>
      </c>
      <c r="AZ236" s="66" t="n">
        <f aca="false">AY236+AZ189</f>
        <v>-198592.455649307</v>
      </c>
      <c r="BA236" s="66" t="n">
        <f aca="false">AZ236+BA189</f>
        <v>-198075.46663109</v>
      </c>
      <c r="BB236" s="66" t="n">
        <f aca="false">BA236+BB189</f>
        <v>-197544.588723985</v>
      </c>
      <c r="BC236" s="66" t="n">
        <f aca="false">BB236+BC189</f>
        <v>-196999.821927991</v>
      </c>
      <c r="BD236" s="66" t="n">
        <f aca="false">BC236+BD189</f>
        <v>-196441.166243108</v>
      </c>
      <c r="BE236" s="66" t="n">
        <f aca="false">BD236+BE189</f>
        <v>-195868.621669337</v>
      </c>
      <c r="BF236" s="66" t="n">
        <f aca="false">BE236+BF189</f>
        <v>-195282.188206676</v>
      </c>
      <c r="BG236" s="66" t="n">
        <f aca="false">BF236+BG189</f>
        <v>-194681.865855126</v>
      </c>
      <c r="BH236" s="66" t="n">
        <f aca="false">BG236+BH189</f>
        <v>-194067.654614688</v>
      </c>
      <c r="BI236" s="66" t="n">
        <f aca="false">BH236+BI189</f>
        <v>-193439.554485361</v>
      </c>
      <c r="BJ236" s="66" t="n">
        <f aca="false">BI236+BJ189</f>
        <v>-192797.565467144</v>
      </c>
    </row>
    <row r="237" customFormat="false" ht="15" hidden="false" customHeight="false" outlineLevel="0" collapsed="false">
      <c r="A237" s="4" t="s">
        <v>92</v>
      </c>
      <c r="C237" s="72" t="n">
        <f aca="false">C223+C209+C210+C200</f>
        <v>680078.05</v>
      </c>
      <c r="D237" s="72" t="n">
        <f aca="false">D223+D209+D210+D200</f>
        <v>656824.447569444</v>
      </c>
      <c r="E237" s="72" t="n">
        <f aca="false">E223+E209+E210+E200</f>
        <v>631917.053819445</v>
      </c>
      <c r="F237" s="72" t="n">
        <f aca="false">F223+F209+F210+F200</f>
        <v>607446.535416667</v>
      </c>
      <c r="G237" s="72" t="n">
        <f aca="false">G223+G209+G210+G200</f>
        <v>586287.559027778</v>
      </c>
      <c r="H237" s="72" t="n">
        <f aca="false">H223+H209+H210+H200</f>
        <v>568440.124652778</v>
      </c>
      <c r="I237" s="72" t="n">
        <f aca="false">I223+I209+I210+I200</f>
        <v>553904.232291667</v>
      </c>
      <c r="J237" s="72" t="n">
        <f aca="false">J223+J209+J210+J200</f>
        <v>540197.215277778</v>
      </c>
      <c r="K237" s="72" t="n">
        <f aca="false">K223+K209+K210+K200</f>
        <v>525881.740277778</v>
      </c>
      <c r="L237" s="72" t="n">
        <f aca="false">L223+L209+L210+L200</f>
        <v>513440.473958333</v>
      </c>
      <c r="M237" s="72" t="n">
        <f aca="false">M223+M209+M210+M200</f>
        <v>504310.749652778</v>
      </c>
      <c r="N237" s="72" t="n">
        <f aca="false">N223+N209+N210+N200</f>
        <v>498492.567361111</v>
      </c>
      <c r="O237" s="72" t="n">
        <f aca="false">O223+O209+O210+O200</f>
        <v>496567.534708333</v>
      </c>
      <c r="P237" s="72" t="n">
        <f aca="false">P223+P209+P210+P200</f>
        <v>493695.741944445</v>
      </c>
      <c r="Q237" s="72" t="n">
        <f aca="false">Q223+Q209+Q210+Q200</f>
        <v>490837.838069444</v>
      </c>
      <c r="R237" s="72" t="n">
        <f aca="false">R223+R209+R210+R200</f>
        <v>487993.823083333</v>
      </c>
      <c r="S237" s="72" t="n">
        <f aca="false">S223+S209+S210+S200</f>
        <v>485163.696986111</v>
      </c>
      <c r="T237" s="72" t="n">
        <f aca="false">T223+T209+T210+T200</f>
        <v>482347.459777778</v>
      </c>
      <c r="U237" s="72" t="n">
        <f aca="false">U223+U209+U210+U200</f>
        <v>479545.111458333</v>
      </c>
      <c r="V237" s="72" t="n">
        <f aca="false">V223+V209+V210+V200</f>
        <v>476756.652027778</v>
      </c>
      <c r="W237" s="72" t="n">
        <f aca="false">W223+W209+W210+W200</f>
        <v>473982.081486111</v>
      </c>
      <c r="X237" s="72" t="n">
        <f aca="false">X223+X209+X210+X200</f>
        <v>471221.399833333</v>
      </c>
      <c r="Y237" s="72" t="n">
        <f aca="false">Y223+Y209+Y210+Y200</f>
        <v>468474.607069445</v>
      </c>
      <c r="Z237" s="72" t="n">
        <f aca="false">Z223+Z209+Z210+Z200</f>
        <v>465741.703194444</v>
      </c>
      <c r="AA237" s="72" t="n">
        <f aca="false">AA223+AA209+AA210+AA200</f>
        <v>463608.930312083</v>
      </c>
      <c r="AB237" s="72" t="n">
        <f aca="false">AB223+AB209+AB210+AB200</f>
        <v>461157.692098611</v>
      </c>
      <c r="AC237" s="72" t="n">
        <f aca="false">AC223+AC209+AC210+AC200</f>
        <v>458720.342774028</v>
      </c>
      <c r="AD237" s="72" t="n">
        <f aca="false">AD223+AD209+AD210+AD200</f>
        <v>456296.882338333</v>
      </c>
      <c r="AE237" s="72" t="n">
        <f aca="false">AE223+AE209+AE210+AE200</f>
        <v>453887.310791528</v>
      </c>
      <c r="AF237" s="72" t="n">
        <f aca="false">AF223+AF209+AF210+AF200</f>
        <v>451491.628133611</v>
      </c>
      <c r="AG237" s="72" t="n">
        <f aca="false">AG223+AG209+AG210+AG200</f>
        <v>449109.834364583</v>
      </c>
      <c r="AH237" s="72" t="n">
        <f aca="false">AH223+AH209+AH210+AH200</f>
        <v>446741.929484444</v>
      </c>
      <c r="AI237" s="72" t="n">
        <f aca="false">AI223+AI209+AI210+AI200</f>
        <v>444387.913493195</v>
      </c>
      <c r="AJ237" s="72" t="n">
        <f aca="false">AJ223+AJ209+AJ210+AJ200</f>
        <v>442047.786390833</v>
      </c>
      <c r="AK237" s="72" t="n">
        <f aca="false">AK223+AK209+AK210+AK200</f>
        <v>439721.548177361</v>
      </c>
      <c r="AL237" s="72" t="n">
        <f aca="false">AL223+AL209+AL210+AL200</f>
        <v>437409.198852778</v>
      </c>
      <c r="AM237" s="72" t="n">
        <f aca="false">AM223+AM209+AM210+AM200</f>
        <v>435716.817783946</v>
      </c>
      <c r="AN237" s="72" t="n">
        <f aca="false">AN223+AN209+AN210+AN200</f>
        <v>433696.000757403</v>
      </c>
      <c r="AO237" s="72" t="n">
        <f aca="false">AO223+AO209+AO210+AO200</f>
        <v>431689.072619749</v>
      </c>
      <c r="AP237" s="72" t="n">
        <f aca="false">AP223+AP209+AP210+AP200</f>
        <v>429696.033370983</v>
      </c>
      <c r="AQ237" s="72" t="n">
        <f aca="false">AQ223+AQ209+AQ210+AQ200</f>
        <v>427716.883011107</v>
      </c>
      <c r="AR237" s="72" t="n">
        <f aca="false">AR223+AR209+AR210+AR200</f>
        <v>425751.621540119</v>
      </c>
      <c r="AS237" s="72" t="n">
        <f aca="false">AS223+AS209+AS210+AS200</f>
        <v>423800.248958021</v>
      </c>
      <c r="AT237" s="72" t="n">
        <f aca="false">AT223+AT209+AT210+AT200</f>
        <v>421862.765264811</v>
      </c>
      <c r="AU237" s="72" t="n">
        <f aca="false">AU223+AU209+AU210+AU200</f>
        <v>419939.17046049</v>
      </c>
      <c r="AV237" s="72" t="n">
        <f aca="false">AV223+AV209+AV210+AV200</f>
        <v>418029.464545058</v>
      </c>
      <c r="AW237" s="72" t="n">
        <f aca="false">AW223+AW209+AW210+AW200</f>
        <v>416133.647518515</v>
      </c>
      <c r="AX237" s="72" t="n">
        <f aca="false">AX223+AX209+AX210+AX200</f>
        <v>414251.719380861</v>
      </c>
      <c r="AY237" s="72" t="n">
        <f aca="false">AY223+AY209+AY210+AY200</f>
        <v>413010.191879964</v>
      </c>
      <c r="AZ237" s="72" t="n">
        <f aca="false">AZ223+AZ209+AZ210+AZ200</f>
        <v>411429.958675958</v>
      </c>
      <c r="BA237" s="72" t="n">
        <f aca="false">BA223+BA209+BA210+BA200</f>
        <v>409863.614360841</v>
      </c>
      <c r="BB237" s="72" t="n">
        <f aca="false">BB223+BB209+BB210+BB200</f>
        <v>408311.158934613</v>
      </c>
      <c r="BC237" s="72" t="n">
        <f aca="false">BC223+BC209+BC210+BC200</f>
        <v>406772.592397273</v>
      </c>
      <c r="BD237" s="72" t="n">
        <f aca="false">BD223+BD209+BD210+BD200</f>
        <v>405247.914748823</v>
      </c>
      <c r="BE237" s="72" t="n">
        <f aca="false">BE223+BE209+BE210+BE200</f>
        <v>403737.125989261</v>
      </c>
      <c r="BF237" s="72" t="n">
        <f aca="false">BF223+BF209+BF210+BF200</f>
        <v>402240.226118589</v>
      </c>
      <c r="BG237" s="72" t="n">
        <f aca="false">BG223+BG209+BG210+BG200</f>
        <v>400757.215136805</v>
      </c>
      <c r="BH237" s="72" t="n">
        <f aca="false">BH223+BH209+BH210+BH200</f>
        <v>399288.09304391</v>
      </c>
      <c r="BI237" s="72" t="n">
        <f aca="false">BI223+BI209+BI210+BI200</f>
        <v>397832.859839904</v>
      </c>
      <c r="BJ237" s="72" t="n">
        <f aca="false">BJ223+BJ209+BJ210+BJ200</f>
        <v>396391.515524787</v>
      </c>
    </row>
    <row r="238" customFormat="false" ht="15" hidden="false" customHeight="false" outlineLevel="0" collapsed="false">
      <c r="A238" s="6" t="s">
        <v>95</v>
      </c>
      <c r="C238" s="66" t="n">
        <f aca="false">C211+C206</f>
        <v>253376.266666667</v>
      </c>
      <c r="D238" s="66" t="n">
        <f aca="false">D211+D206</f>
        <v>251428.783333333</v>
      </c>
      <c r="E238" s="66" t="n">
        <f aca="false">E211+E206</f>
        <v>252355.966666667</v>
      </c>
      <c r="F238" s="66" t="n">
        <f aca="false">F211+F206</f>
        <v>250408.483333333</v>
      </c>
      <c r="G238" s="66" t="n">
        <f aca="false">G211+G206</f>
        <v>248461</v>
      </c>
      <c r="H238" s="66" t="n">
        <f aca="false">H211+H206</f>
        <v>246513.516666667</v>
      </c>
      <c r="I238" s="66" t="n">
        <f aca="false">I211+I206</f>
        <v>244566.033333333</v>
      </c>
      <c r="J238" s="66" t="n">
        <f aca="false">J211+J206</f>
        <v>244055.883333333</v>
      </c>
      <c r="K238" s="66" t="n">
        <f aca="false">K211+K206</f>
        <v>243545.733333333</v>
      </c>
      <c r="L238" s="66" t="n">
        <f aca="false">L211+L206</f>
        <v>241598.25</v>
      </c>
      <c r="M238" s="66" t="n">
        <f aca="false">M211+M206</f>
        <v>239650.766666667</v>
      </c>
      <c r="N238" s="66" t="n">
        <f aca="false">N211+N206</f>
        <v>237703.283333333</v>
      </c>
      <c r="O238" s="66" t="n">
        <f aca="false">O211+O206</f>
        <v>236078.474</v>
      </c>
      <c r="P238" s="66" t="n">
        <f aca="false">P211+P206</f>
        <v>233995.140666667</v>
      </c>
      <c r="Q238" s="66" t="n">
        <f aca="false">Q211+Q206</f>
        <v>231911.807333333</v>
      </c>
      <c r="R238" s="66" t="n">
        <f aca="false">R211+R206</f>
        <v>229828.474</v>
      </c>
      <c r="S238" s="66" t="n">
        <f aca="false">S211+S206</f>
        <v>227745.140666667</v>
      </c>
      <c r="T238" s="66" t="n">
        <f aca="false">T211+T206</f>
        <v>225661.807333333</v>
      </c>
      <c r="U238" s="66" t="n">
        <f aca="false">U211+U206</f>
        <v>223578.474</v>
      </c>
      <c r="V238" s="66" t="n">
        <f aca="false">V211+V206</f>
        <v>221495.140666666</v>
      </c>
      <c r="W238" s="66" t="n">
        <f aca="false">W211+W206</f>
        <v>219411.807333333</v>
      </c>
      <c r="X238" s="66" t="n">
        <f aca="false">X211+X206</f>
        <v>217328.474</v>
      </c>
      <c r="Y238" s="66" t="n">
        <f aca="false">Y211+Y206</f>
        <v>215245.140666666</v>
      </c>
      <c r="Z238" s="66" t="n">
        <f aca="false">Z211+Z206</f>
        <v>213161.807333333</v>
      </c>
      <c r="AA238" s="66" t="n">
        <f aca="false">AA211+AA206</f>
        <v>211410.82822</v>
      </c>
      <c r="AB238" s="66" t="n">
        <f aca="false">AB211+AB206</f>
        <v>209327.494886666</v>
      </c>
      <c r="AC238" s="66" t="n">
        <f aca="false">AC211+AC206</f>
        <v>207244.161553333</v>
      </c>
      <c r="AD238" s="66" t="n">
        <f aca="false">AD211+AD206</f>
        <v>205160.82822</v>
      </c>
      <c r="AE238" s="66" t="n">
        <f aca="false">AE211+AE206</f>
        <v>203077.494886666</v>
      </c>
      <c r="AF238" s="66" t="n">
        <f aca="false">AF211+AF206</f>
        <v>200994.161553333</v>
      </c>
      <c r="AG238" s="66" t="n">
        <f aca="false">AG211+AG206</f>
        <v>198910.82822</v>
      </c>
      <c r="AH238" s="66" t="n">
        <f aca="false">AH211+AH206</f>
        <v>196827.494886666</v>
      </c>
      <c r="AI238" s="66" t="n">
        <f aca="false">AI211+AI206</f>
        <v>194744.161553333</v>
      </c>
      <c r="AJ238" s="66" t="n">
        <f aca="false">AJ211+AJ206</f>
        <v>192660.82822</v>
      </c>
      <c r="AK238" s="66" t="n">
        <f aca="false">AK211+AK206</f>
        <v>190577.494886666</v>
      </c>
      <c r="AL238" s="66" t="n">
        <f aca="false">AL211+AL206</f>
        <v>188494.161553333</v>
      </c>
      <c r="AM238" s="66" t="n">
        <f aca="false">AM211+AM206</f>
        <v>186753.1530666</v>
      </c>
      <c r="AN238" s="66" t="n">
        <f aca="false">AN211+AN206</f>
        <v>184669.819733266</v>
      </c>
      <c r="AO238" s="66" t="n">
        <f aca="false">AO211+AO206</f>
        <v>182586.486399933</v>
      </c>
      <c r="AP238" s="66" t="n">
        <f aca="false">AP211+AP206</f>
        <v>180503.1530666</v>
      </c>
      <c r="AQ238" s="66" t="n">
        <f aca="false">AQ211+AQ206</f>
        <v>178419.819733266</v>
      </c>
      <c r="AR238" s="66" t="n">
        <f aca="false">AR211+AR206</f>
        <v>176336.486399933</v>
      </c>
      <c r="AS238" s="66" t="n">
        <f aca="false">AS211+AS206</f>
        <v>174253.1530666</v>
      </c>
      <c r="AT238" s="66" t="n">
        <f aca="false">AT211+AT206</f>
        <v>172169.819733266</v>
      </c>
      <c r="AU238" s="66" t="n">
        <f aca="false">AU211+AU206</f>
        <v>170086.486399933</v>
      </c>
      <c r="AV238" s="66" t="n">
        <f aca="false">AV211+AV206</f>
        <v>168003.1530666</v>
      </c>
      <c r="AW238" s="66" t="n">
        <f aca="false">AW211+AW206</f>
        <v>165919.819733266</v>
      </c>
      <c r="AX238" s="66" t="n">
        <f aca="false">AX211+AX206</f>
        <v>163836.486399933</v>
      </c>
      <c r="AY238" s="66" t="n">
        <f aca="false">AY211+AY206</f>
        <v>162105.747658598</v>
      </c>
      <c r="AZ238" s="66" t="n">
        <f aca="false">AZ211+AZ206</f>
        <v>160022.414325264</v>
      </c>
      <c r="BA238" s="66" t="n">
        <f aca="false">BA211+BA206</f>
        <v>157939.080991931</v>
      </c>
      <c r="BB238" s="66" t="n">
        <f aca="false">BB211+BB206</f>
        <v>155855.747658598</v>
      </c>
      <c r="BC238" s="66" t="n">
        <f aca="false">BC211+BC206</f>
        <v>153772.414325264</v>
      </c>
      <c r="BD238" s="66" t="n">
        <f aca="false">BD211+BD206</f>
        <v>151689.080991931</v>
      </c>
      <c r="BE238" s="66" t="n">
        <f aca="false">BE211+BE206</f>
        <v>149605.747658597</v>
      </c>
      <c r="BF238" s="66" t="n">
        <f aca="false">BF211+BF206</f>
        <v>147522.414325264</v>
      </c>
      <c r="BG238" s="66" t="n">
        <f aca="false">BG211+BG206</f>
        <v>145439.080991931</v>
      </c>
      <c r="BH238" s="66" t="n">
        <f aca="false">BH211+BH206</f>
        <v>143355.747658597</v>
      </c>
      <c r="BI238" s="66" t="n">
        <f aca="false">BI211+BI206</f>
        <v>141272.414325264</v>
      </c>
      <c r="BJ238" s="66" t="n">
        <f aca="false">BJ211+BJ206</f>
        <v>139189.080991931</v>
      </c>
    </row>
    <row r="239" customFormat="false" ht="15" hidden="false" customHeight="false" outlineLevel="0" collapsed="false">
      <c r="A239" s="6" t="s">
        <v>98</v>
      </c>
      <c r="C239" s="66" t="n">
        <f aca="false">C235+C236</f>
        <v>426701.783333333</v>
      </c>
      <c r="D239" s="66" t="n">
        <f aca="false">D235+D236</f>
        <v>405395.664236111</v>
      </c>
      <c r="E239" s="66" t="n">
        <f aca="false">E235+E236</f>
        <v>379561.087152778</v>
      </c>
      <c r="F239" s="66" t="n">
        <f aca="false">F235+F236</f>
        <v>357038.052083333</v>
      </c>
      <c r="G239" s="66" t="n">
        <f aca="false">G235+G236</f>
        <v>337826.559027778</v>
      </c>
      <c r="H239" s="66" t="n">
        <f aca="false">H235+H236</f>
        <v>321926.607986111</v>
      </c>
      <c r="I239" s="66" t="n">
        <f aca="false">I235+I236</f>
        <v>309338.198958333</v>
      </c>
      <c r="J239" s="66" t="n">
        <f aca="false">J235+J236</f>
        <v>296141.331944444</v>
      </c>
      <c r="K239" s="66" t="n">
        <f aca="false">K235+K236</f>
        <v>282336.006944444</v>
      </c>
      <c r="L239" s="66" t="n">
        <f aca="false">L235+L236</f>
        <v>271842.223958333</v>
      </c>
      <c r="M239" s="66" t="n">
        <f aca="false">M235+M236</f>
        <v>264659.982986111</v>
      </c>
      <c r="N239" s="66" t="n">
        <f aca="false">N235+N236</f>
        <v>260789.284027778</v>
      </c>
      <c r="O239" s="66" t="n">
        <f aca="false">O235+O236</f>
        <v>260489.060708333</v>
      </c>
      <c r="P239" s="66" t="n">
        <f aca="false">P235+P236</f>
        <v>259700.601277778</v>
      </c>
      <c r="Q239" s="66" t="n">
        <f aca="false">Q235+Q236</f>
        <v>258926.030736111</v>
      </c>
      <c r="R239" s="66" t="n">
        <f aca="false">R235+R236</f>
        <v>258165.349083333</v>
      </c>
      <c r="S239" s="66" t="n">
        <f aca="false">S235+S236</f>
        <v>257418.556319444</v>
      </c>
      <c r="T239" s="66" t="n">
        <f aca="false">T235+T236</f>
        <v>256685.652444444</v>
      </c>
      <c r="U239" s="66" t="n">
        <f aca="false">U235+U236</f>
        <v>255966.637458333</v>
      </c>
      <c r="V239" s="66" t="n">
        <f aca="false">V235+V236</f>
        <v>255261.511361111</v>
      </c>
      <c r="W239" s="66" t="n">
        <f aca="false">W235+W236</f>
        <v>254570.274152778</v>
      </c>
      <c r="X239" s="66" t="n">
        <f aca="false">X235+X236</f>
        <v>253892.925833333</v>
      </c>
      <c r="Y239" s="66" t="n">
        <f aca="false">Y235+Y236</f>
        <v>253229.466402778</v>
      </c>
      <c r="Z239" s="66" t="n">
        <f aca="false">Z235+Z236</f>
        <v>252579.895861111</v>
      </c>
      <c r="AA239" s="66" t="n">
        <f aca="false">AA235+AA236</f>
        <v>252198.102092083</v>
      </c>
      <c r="AB239" s="66" t="n">
        <f aca="false">AB235+AB236</f>
        <v>251830.197211944</v>
      </c>
      <c r="AC239" s="66" t="n">
        <f aca="false">AC235+AC236</f>
        <v>251476.181220694</v>
      </c>
      <c r="AD239" s="66" t="n">
        <f aca="false">AD235+AD236</f>
        <v>251136.054118333</v>
      </c>
      <c r="AE239" s="66" t="n">
        <f aca="false">AE235+AE236</f>
        <v>250809.815904861</v>
      </c>
      <c r="AF239" s="66" t="n">
        <f aca="false">AF235+AF236</f>
        <v>250497.466580278</v>
      </c>
      <c r="AG239" s="66" t="n">
        <f aca="false">AG235+AG236</f>
        <v>250199.006144583</v>
      </c>
      <c r="AH239" s="66" t="n">
        <f aca="false">AH235+AH236</f>
        <v>249914.434597778</v>
      </c>
      <c r="AI239" s="66" t="n">
        <f aca="false">AI235+AI236</f>
        <v>249643.751939861</v>
      </c>
      <c r="AJ239" s="66" t="n">
        <f aca="false">AJ235+AJ236</f>
        <v>249386.958170833</v>
      </c>
      <c r="AK239" s="66" t="n">
        <f aca="false">AK235+AK236</f>
        <v>249144.053290694</v>
      </c>
      <c r="AL239" s="66" t="n">
        <f aca="false">AL235+AL236</f>
        <v>248915.037299444</v>
      </c>
      <c r="AM239" s="66" t="n">
        <f aca="false">AM235+AM236</f>
        <v>248963.664717346</v>
      </c>
      <c r="AN239" s="66" t="n">
        <f aca="false">AN235+AN236</f>
        <v>249026.181024136</v>
      </c>
      <c r="AO239" s="66" t="n">
        <f aca="false">AO235+AO236</f>
        <v>249102.586219815</v>
      </c>
      <c r="AP239" s="66" t="n">
        <f aca="false">AP235+AP236</f>
        <v>249192.880304383</v>
      </c>
      <c r="AQ239" s="66" t="n">
        <f aca="false">AQ235+AQ236</f>
        <v>249297.06327784</v>
      </c>
      <c r="AR239" s="66" t="n">
        <f aca="false">AR235+AR236</f>
        <v>249415.135140186</v>
      </c>
      <c r="AS239" s="66" t="n">
        <f aca="false">AS235+AS236</f>
        <v>249547.095891421</v>
      </c>
      <c r="AT239" s="66" t="n">
        <f aca="false">AT235+AT236</f>
        <v>249692.945531544</v>
      </c>
      <c r="AU239" s="66" t="n">
        <f aca="false">AU235+AU236</f>
        <v>249852.684060557</v>
      </c>
      <c r="AV239" s="66" t="n">
        <f aca="false">AV235+AV236</f>
        <v>250026.311478458</v>
      </c>
      <c r="AW239" s="66" t="n">
        <f aca="false">AW235+AW236</f>
        <v>250213.827785249</v>
      </c>
      <c r="AX239" s="66" t="n">
        <f aca="false">AX235+AX236</f>
        <v>250415.232980928</v>
      </c>
      <c r="AY239" s="66" t="n">
        <f aca="false">AY235+AY236</f>
        <v>250904.444221366</v>
      </c>
      <c r="AZ239" s="66" t="n">
        <f aca="false">AZ235+AZ236</f>
        <v>251407.544350693</v>
      </c>
      <c r="BA239" s="66" t="n">
        <f aca="false">BA235+BA236</f>
        <v>251924.53336891</v>
      </c>
      <c r="BB239" s="66" t="n">
        <f aca="false">BB235+BB236</f>
        <v>252455.411276015</v>
      </c>
      <c r="BC239" s="66" t="n">
        <f aca="false">BC235+BC236</f>
        <v>253000.178072009</v>
      </c>
      <c r="BD239" s="66" t="n">
        <f aca="false">BD235+BD236</f>
        <v>253558.833756892</v>
      </c>
      <c r="BE239" s="66" t="n">
        <f aca="false">BE235+BE236</f>
        <v>254131.378330663</v>
      </c>
      <c r="BF239" s="66" t="n">
        <f aca="false">BF235+BF236</f>
        <v>254717.811793324</v>
      </c>
      <c r="BG239" s="66" t="n">
        <f aca="false">BG235+BG236</f>
        <v>255318.134144874</v>
      </c>
      <c r="BH239" s="66" t="n">
        <f aca="false">BH235+BH236</f>
        <v>255932.345385312</v>
      </c>
      <c r="BI239" s="66" t="n">
        <f aca="false">BI235+BI236</f>
        <v>256560.445514639</v>
      </c>
      <c r="BJ239" s="66" t="n">
        <f aca="false">BJ235+BJ236</f>
        <v>257202.434532856</v>
      </c>
    </row>
    <row r="240" customFormat="false" ht="15" hidden="false" customHeight="false" outlineLevel="0" collapsed="false">
      <c r="A240" s="4" t="s">
        <v>99</v>
      </c>
      <c r="C240" s="72" t="n">
        <f aca="false">C238+C239</f>
        <v>680078.05</v>
      </c>
      <c r="D240" s="72" t="n">
        <f aca="false">D238+D239</f>
        <v>656824.447569444</v>
      </c>
      <c r="E240" s="72" t="n">
        <f aca="false">E238+E239</f>
        <v>631917.053819444</v>
      </c>
      <c r="F240" s="72" t="n">
        <f aca="false">F238+F239</f>
        <v>607446.535416667</v>
      </c>
      <c r="G240" s="72" t="n">
        <f aca="false">G238+G239</f>
        <v>586287.559027778</v>
      </c>
      <c r="H240" s="72" t="n">
        <f aca="false">H238+H239</f>
        <v>568440.124652778</v>
      </c>
      <c r="I240" s="72" t="n">
        <f aca="false">I238+I239</f>
        <v>553904.232291667</v>
      </c>
      <c r="J240" s="72" t="n">
        <f aca="false">J238+J239</f>
        <v>540197.215277778</v>
      </c>
      <c r="K240" s="72" t="n">
        <f aca="false">K238+K239</f>
        <v>525881.740277778</v>
      </c>
      <c r="L240" s="72" t="n">
        <f aca="false">L238+L239</f>
        <v>513440.473958333</v>
      </c>
      <c r="M240" s="72" t="n">
        <f aca="false">M238+M239</f>
        <v>504310.749652778</v>
      </c>
      <c r="N240" s="72" t="n">
        <f aca="false">N238+N239</f>
        <v>498492.567361111</v>
      </c>
      <c r="O240" s="72" t="n">
        <f aca="false">O238+O239</f>
        <v>496567.534708333</v>
      </c>
      <c r="P240" s="72" t="n">
        <f aca="false">P238+P239</f>
        <v>493695.741944444</v>
      </c>
      <c r="Q240" s="72" t="n">
        <f aca="false">Q238+Q239</f>
        <v>490837.838069444</v>
      </c>
      <c r="R240" s="72" t="n">
        <f aca="false">R238+R239</f>
        <v>487993.823083333</v>
      </c>
      <c r="S240" s="72" t="n">
        <f aca="false">S238+S239</f>
        <v>485163.696986111</v>
      </c>
      <c r="T240" s="72" t="n">
        <f aca="false">T238+T239</f>
        <v>482347.459777778</v>
      </c>
      <c r="U240" s="72" t="n">
        <f aca="false">U238+U239</f>
        <v>479545.111458333</v>
      </c>
      <c r="V240" s="72" t="n">
        <f aca="false">V238+V239</f>
        <v>476756.652027778</v>
      </c>
      <c r="W240" s="72" t="n">
        <f aca="false">W238+W239</f>
        <v>473982.081486111</v>
      </c>
      <c r="X240" s="72" t="n">
        <f aca="false">X238+X239</f>
        <v>471221.399833333</v>
      </c>
      <c r="Y240" s="72" t="n">
        <f aca="false">Y238+Y239</f>
        <v>468474.607069444</v>
      </c>
      <c r="Z240" s="72" t="n">
        <f aca="false">Z238+Z239</f>
        <v>465741.703194444</v>
      </c>
      <c r="AA240" s="72" t="n">
        <f aca="false">AA238+AA239</f>
        <v>463608.930312083</v>
      </c>
      <c r="AB240" s="72" t="n">
        <f aca="false">AB238+AB239</f>
        <v>461157.692098611</v>
      </c>
      <c r="AC240" s="72" t="n">
        <f aca="false">AC238+AC239</f>
        <v>458720.342774028</v>
      </c>
      <c r="AD240" s="72" t="n">
        <f aca="false">AD238+AD239</f>
        <v>456296.882338333</v>
      </c>
      <c r="AE240" s="72" t="n">
        <f aca="false">AE238+AE239</f>
        <v>453887.310791527</v>
      </c>
      <c r="AF240" s="72" t="n">
        <f aca="false">AF238+AF239</f>
        <v>451491.628133611</v>
      </c>
      <c r="AG240" s="72" t="n">
        <f aca="false">AG238+AG239</f>
        <v>449109.834364583</v>
      </c>
      <c r="AH240" s="72" t="n">
        <f aca="false">AH238+AH239</f>
        <v>446741.929484444</v>
      </c>
      <c r="AI240" s="72" t="n">
        <f aca="false">AI238+AI239</f>
        <v>444387.913493194</v>
      </c>
      <c r="AJ240" s="72" t="n">
        <f aca="false">AJ238+AJ239</f>
        <v>442047.786390833</v>
      </c>
      <c r="AK240" s="72" t="n">
        <f aca="false">AK238+AK239</f>
        <v>439721.548177361</v>
      </c>
      <c r="AL240" s="72" t="n">
        <f aca="false">AL238+AL239</f>
        <v>437409.198852777</v>
      </c>
      <c r="AM240" s="72" t="n">
        <f aca="false">AM238+AM239</f>
        <v>435716.817783945</v>
      </c>
      <c r="AN240" s="72" t="n">
        <f aca="false">AN238+AN239</f>
        <v>433696.000757402</v>
      </c>
      <c r="AO240" s="72" t="n">
        <f aca="false">AO238+AO239</f>
        <v>431689.072619748</v>
      </c>
      <c r="AP240" s="72" t="n">
        <f aca="false">AP238+AP239</f>
        <v>429696.033370983</v>
      </c>
      <c r="AQ240" s="72" t="n">
        <f aca="false">AQ238+AQ239</f>
        <v>427716.883011107</v>
      </c>
      <c r="AR240" s="72" t="n">
        <f aca="false">AR238+AR239</f>
        <v>425751.621540119</v>
      </c>
      <c r="AS240" s="72" t="n">
        <f aca="false">AS238+AS239</f>
        <v>423800.24895802</v>
      </c>
      <c r="AT240" s="72" t="n">
        <f aca="false">AT238+AT239</f>
        <v>421862.765264811</v>
      </c>
      <c r="AU240" s="72" t="n">
        <f aca="false">AU238+AU239</f>
        <v>419939.17046049</v>
      </c>
      <c r="AV240" s="72" t="n">
        <f aca="false">AV238+AV239</f>
        <v>418029.464545058</v>
      </c>
      <c r="AW240" s="72" t="n">
        <f aca="false">AW238+AW239</f>
        <v>416133.647518515</v>
      </c>
      <c r="AX240" s="72" t="n">
        <f aca="false">AX238+AX239</f>
        <v>414251.719380861</v>
      </c>
      <c r="AY240" s="72" t="n">
        <f aca="false">AY238+AY239</f>
        <v>413010.191879964</v>
      </c>
      <c r="AZ240" s="72" t="n">
        <f aca="false">AZ238+AZ239</f>
        <v>411429.958675958</v>
      </c>
      <c r="BA240" s="72" t="n">
        <f aca="false">BA238+BA239</f>
        <v>409863.614360841</v>
      </c>
      <c r="BB240" s="72" t="n">
        <f aca="false">BB238+BB239</f>
        <v>408311.158934612</v>
      </c>
      <c r="BC240" s="72" t="n">
        <f aca="false">BC238+BC239</f>
        <v>406772.592397273</v>
      </c>
      <c r="BD240" s="72" t="n">
        <f aca="false">BD238+BD239</f>
        <v>405247.914748822</v>
      </c>
      <c r="BE240" s="72" t="n">
        <f aca="false">BE238+BE239</f>
        <v>403737.125989261</v>
      </c>
      <c r="BF240" s="72" t="n">
        <f aca="false">BF238+BF239</f>
        <v>402240.226118588</v>
      </c>
      <c r="BG240" s="72" t="n">
        <f aca="false">BG238+BG239</f>
        <v>400757.215136804</v>
      </c>
      <c r="BH240" s="72" t="n">
        <f aca="false">BH238+BH239</f>
        <v>399288.093043909</v>
      </c>
      <c r="BI240" s="72" t="n">
        <f aca="false">BI238+BI239</f>
        <v>397832.859839903</v>
      </c>
      <c r="BJ240" s="72" t="n">
        <f aca="false">BJ238+BJ239</f>
        <v>396391.515524786</v>
      </c>
    </row>
    <row r="241" customFormat="false" ht="15" hidden="false" customHeight="false" outlineLevel="0" collapsed="false">
      <c r="A241" s="6" t="s">
        <v>461</v>
      </c>
      <c r="C241" s="66" t="n">
        <f aca="false">C237-C240</f>
        <v>0</v>
      </c>
      <c r="D241" s="66" t="n">
        <f aca="false">D237-D240</f>
        <v>0</v>
      </c>
      <c r="E241" s="66" t="n">
        <f aca="false">E237-E240</f>
        <v>0</v>
      </c>
      <c r="F241" s="66" t="n">
        <f aca="false">F237-F240</f>
        <v>0</v>
      </c>
      <c r="G241" s="66" t="n">
        <f aca="false">G237-G240</f>
        <v>0</v>
      </c>
      <c r="H241" s="66" t="n">
        <f aca="false">H237-H240</f>
        <v>0</v>
      </c>
      <c r="I241" s="66" t="n">
        <f aca="false">I237-I240</f>
        <v>0</v>
      </c>
      <c r="J241" s="66" t="n">
        <f aca="false">J237-J240</f>
        <v>0</v>
      </c>
      <c r="K241" s="66" t="n">
        <f aca="false">K237-K240</f>
        <v>0</v>
      </c>
      <c r="L241" s="66" t="n">
        <f aca="false">L237-L240</f>
        <v>0</v>
      </c>
      <c r="M241" s="66" t="n">
        <f aca="false">M237-M240</f>
        <v>0</v>
      </c>
      <c r="N241" s="66" t="n">
        <f aca="false">N237-N240</f>
        <v>0</v>
      </c>
      <c r="O241" s="66" t="n">
        <f aca="false">O237-O240</f>
        <v>0</v>
      </c>
      <c r="P241" s="66" t="n">
        <f aca="false">P237-P240</f>
        <v>0</v>
      </c>
      <c r="Q241" s="66" t="n">
        <f aca="false">Q237-Q240</f>
        <v>0</v>
      </c>
      <c r="R241" s="66" t="n">
        <f aca="false">R237-R240</f>
        <v>0</v>
      </c>
      <c r="S241" s="66" t="n">
        <f aca="false">S237-S240</f>
        <v>0</v>
      </c>
      <c r="T241" s="66" t="n">
        <f aca="false">T237-T240</f>
        <v>0</v>
      </c>
      <c r="U241" s="66" t="n">
        <f aca="false">U237-U240</f>
        <v>0</v>
      </c>
      <c r="V241" s="66" t="n">
        <f aca="false">V237-V240</f>
        <v>0</v>
      </c>
      <c r="W241" s="66" t="n">
        <f aca="false">W237-W240</f>
        <v>0</v>
      </c>
      <c r="X241" s="66" t="n">
        <f aca="false">X237-X240</f>
        <v>0</v>
      </c>
      <c r="Y241" s="66" t="n">
        <f aca="false">Y237-Y240</f>
        <v>0</v>
      </c>
      <c r="Z241" s="66" t="n">
        <f aca="false">Z237-Z240</f>
        <v>0</v>
      </c>
      <c r="AA241" s="66" t="n">
        <f aca="false">AA237-AA240</f>
        <v>0</v>
      </c>
      <c r="AB241" s="66" t="n">
        <f aca="false">AB237-AB240</f>
        <v>0</v>
      </c>
      <c r="AC241" s="66" t="n">
        <f aca="false">AC237-AC240</f>
        <v>0</v>
      </c>
      <c r="AD241" s="66" t="n">
        <f aca="false">AD237-AD240</f>
        <v>0</v>
      </c>
      <c r="AE241" s="66" t="n">
        <f aca="false">AE237-AE240</f>
        <v>0</v>
      </c>
      <c r="AF241" s="66" t="n">
        <f aca="false">AF237-AF240</f>
        <v>0</v>
      </c>
      <c r="AG241" s="66" t="n">
        <f aca="false">AG237-AG240</f>
        <v>0</v>
      </c>
      <c r="AH241" s="66" t="n">
        <f aca="false">AH237-AH240</f>
        <v>0</v>
      </c>
      <c r="AI241" s="66" t="n">
        <f aca="false">AI237-AI240</f>
        <v>0</v>
      </c>
      <c r="AJ241" s="66" t="n">
        <f aca="false">AJ237-AJ240</f>
        <v>0</v>
      </c>
      <c r="AK241" s="66" t="n">
        <f aca="false">AK237-AK240</f>
        <v>0</v>
      </c>
      <c r="AL241" s="66" t="n">
        <f aca="false">AL237-AL240</f>
        <v>0</v>
      </c>
      <c r="AM241" s="66" t="n">
        <f aca="false">AM237-AM240</f>
        <v>0</v>
      </c>
      <c r="AN241" s="66" t="n">
        <f aca="false">AN237-AN240</f>
        <v>0</v>
      </c>
      <c r="AO241" s="66" t="n">
        <f aca="false">AO237-AO240</f>
        <v>0</v>
      </c>
      <c r="AP241" s="66" t="n">
        <f aca="false">AP237-AP240</f>
        <v>0</v>
      </c>
      <c r="AQ241" s="66" t="n">
        <f aca="false">AQ237-AQ240</f>
        <v>0</v>
      </c>
      <c r="AR241" s="66" t="n">
        <f aca="false">AR237-AR240</f>
        <v>0</v>
      </c>
      <c r="AS241" s="66" t="n">
        <f aca="false">AS237-AS240</f>
        <v>0</v>
      </c>
      <c r="AT241" s="66" t="n">
        <f aca="false">AT237-AT240</f>
        <v>0</v>
      </c>
      <c r="AU241" s="66" t="n">
        <f aca="false">AU237-AU240</f>
        <v>0</v>
      </c>
      <c r="AV241" s="66" t="n">
        <f aca="false">AV237-AV240</f>
        <v>0</v>
      </c>
      <c r="AW241" s="66" t="n">
        <f aca="false">AW237-AW240</f>
        <v>0</v>
      </c>
      <c r="AX241" s="66" t="n">
        <f aca="false">AX237-AX240</f>
        <v>0</v>
      </c>
      <c r="AY241" s="66" t="n">
        <f aca="false">AY237-AY240</f>
        <v>0</v>
      </c>
      <c r="AZ241" s="66" t="n">
        <f aca="false">AZ237-AZ240</f>
        <v>0</v>
      </c>
      <c r="BA241" s="66" t="n">
        <f aca="false">BA237-BA240</f>
        <v>0</v>
      </c>
      <c r="BB241" s="66" t="n">
        <f aca="false">BB237-BB240</f>
        <v>0</v>
      </c>
      <c r="BC241" s="66" t="n">
        <f aca="false">BC237-BC240</f>
        <v>0</v>
      </c>
      <c r="BD241" s="66" t="n">
        <f aca="false">BD237-BD240</f>
        <v>0</v>
      </c>
      <c r="BE241" s="66" t="n">
        <f aca="false">BE237-BE240</f>
        <v>0</v>
      </c>
      <c r="BF241" s="66" t="n">
        <f aca="false">BF237-BF240</f>
        <v>0</v>
      </c>
      <c r="BG241" s="66" t="n">
        <f aca="false">BG237-BG240</f>
        <v>0</v>
      </c>
      <c r="BH241" s="66" t="n">
        <f aca="false">BH237-BH240</f>
        <v>0</v>
      </c>
      <c r="BI241" s="66" t="n">
        <f aca="false">BI237-BI240</f>
        <v>0</v>
      </c>
      <c r="BJ241" s="66" t="n">
        <f aca="false">BJ237-BJ240</f>
        <v>0</v>
      </c>
    </row>
    <row r="243" customFormat="false" ht="15.75" hidden="false" customHeight="true" outlineLevel="0" collapsed="false">
      <c r="A243" s="7" t="s">
        <v>463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customFormat="false" ht="15" hidden="false" customHeight="false" outlineLevel="0" collapsed="false">
      <c r="A244" s="6" t="s">
        <v>464</v>
      </c>
      <c r="C244" s="115" t="n">
        <f aca="false">Inputs!$C$57*(1+Inputs!$C$59)^(C$133-1)*MAX(0,MIN(1,C$132*1-Inputs!$C$60+1))/1</f>
        <v>1</v>
      </c>
      <c r="D244" s="115" t="n">
        <f aca="false">Inputs!$C$57*(1+Inputs!$C$59)^(D$133-1)*MAX(0,MIN(1,D$132*1-Inputs!$C$60+1))/1</f>
        <v>1</v>
      </c>
      <c r="E244" s="115" t="n">
        <f aca="false">Inputs!$C$57*(1+Inputs!$C$59)^(E$133-1)*MAX(0,MIN(1,E$132*1-Inputs!$C$60+1))/1</f>
        <v>1</v>
      </c>
      <c r="F244" s="115" t="n">
        <f aca="false">Inputs!$C$57*(1+Inputs!$C$59)^(F$133-1)*MAX(0,MIN(1,F$132*1-Inputs!$C$60+1))/1</f>
        <v>1</v>
      </c>
      <c r="G244" s="115" t="n">
        <f aca="false">Inputs!$C$57*(1+Inputs!$C$59)^(G$133-1)*MAX(0,MIN(1,G$132*1-Inputs!$C$60+1))/1</f>
        <v>1</v>
      </c>
      <c r="H244" s="115" t="n">
        <f aca="false">Inputs!$C$57*(1+Inputs!$C$59)^(H$133-1)*MAX(0,MIN(1,H$132*1-Inputs!$C$60+1))/1</f>
        <v>1</v>
      </c>
      <c r="I244" s="115" t="n">
        <f aca="false">Inputs!$C$57*(1+Inputs!$C$59)^(I$133-1)*MAX(0,MIN(1,I$132*1-Inputs!$C$60+1))/1</f>
        <v>1</v>
      </c>
      <c r="J244" s="115" t="n">
        <f aca="false">Inputs!$C$57*(1+Inputs!$C$59)^(J$133-1)*MAX(0,MIN(1,J$132*1-Inputs!$C$60+1))/1</f>
        <v>1</v>
      </c>
      <c r="K244" s="115" t="n">
        <f aca="false">Inputs!$C$57*(1+Inputs!$C$59)^(K$133-1)*MAX(0,MIN(1,K$132*1-Inputs!$C$60+1))/1</f>
        <v>1</v>
      </c>
      <c r="L244" s="115" t="n">
        <f aca="false">Inputs!$C$57*(1+Inputs!$C$59)^(L$133-1)*MAX(0,MIN(1,L$132*1-Inputs!$C$60+1))/1</f>
        <v>1</v>
      </c>
      <c r="M244" s="115" t="n">
        <f aca="false">Inputs!$C$57*(1+Inputs!$C$59)^(M$133-1)*MAX(0,MIN(1,M$132*1-Inputs!$C$60+1))/1</f>
        <v>1</v>
      </c>
      <c r="N244" s="115" t="n">
        <f aca="false">Inputs!$C$57*(1+Inputs!$C$59)^(N$133-1)*MAX(0,MIN(1,N$132*1-Inputs!$C$60+1))/1</f>
        <v>1</v>
      </c>
      <c r="O244" s="115" t="n">
        <f aca="false">Inputs!$C$57*(1+Inputs!$C$59)^(O$133-1)*MAX(0,MIN(1,O$132*1-Inputs!$C$60+1))/1</f>
        <v>1</v>
      </c>
      <c r="P244" s="115" t="n">
        <f aca="false">Inputs!$C$57*(1+Inputs!$C$59)^(P$133-1)*MAX(0,MIN(1,P$132*1-Inputs!$C$60+1))/1</f>
        <v>1</v>
      </c>
      <c r="Q244" s="115" t="n">
        <f aca="false">Inputs!$C$57*(1+Inputs!$C$59)^(Q$133-1)*MAX(0,MIN(1,Q$132*1-Inputs!$C$60+1))/1</f>
        <v>1</v>
      </c>
      <c r="R244" s="115" t="n">
        <f aca="false">Inputs!$C$57*(1+Inputs!$C$59)^(R$133-1)*MAX(0,MIN(1,R$132*1-Inputs!$C$60+1))/1</f>
        <v>1</v>
      </c>
      <c r="S244" s="115" t="n">
        <f aca="false">Inputs!$C$57*(1+Inputs!$C$59)^(S$133-1)*MAX(0,MIN(1,S$132*1-Inputs!$C$60+1))/1</f>
        <v>1</v>
      </c>
      <c r="T244" s="115" t="n">
        <f aca="false">Inputs!$C$57*(1+Inputs!$C$59)^(T$133-1)*MAX(0,MIN(1,T$132*1-Inputs!$C$60+1))/1</f>
        <v>1</v>
      </c>
      <c r="U244" s="115" t="n">
        <f aca="false">Inputs!$C$57*(1+Inputs!$C$59)^(U$133-1)*MAX(0,MIN(1,U$132*1-Inputs!$C$60+1))/1</f>
        <v>1</v>
      </c>
      <c r="V244" s="115" t="n">
        <f aca="false">Inputs!$C$57*(1+Inputs!$C$59)^(V$133-1)*MAX(0,MIN(1,V$132*1-Inputs!$C$60+1))/1</f>
        <v>1</v>
      </c>
      <c r="W244" s="115" t="n">
        <f aca="false">Inputs!$C$57*(1+Inputs!$C$59)^(W$133-1)*MAX(0,MIN(1,W$132*1-Inputs!$C$60+1))/1</f>
        <v>1</v>
      </c>
      <c r="X244" s="115" t="n">
        <f aca="false">Inputs!$C$57*(1+Inputs!$C$59)^(X$133-1)*MAX(0,MIN(1,X$132*1-Inputs!$C$60+1))/1</f>
        <v>1</v>
      </c>
      <c r="Y244" s="115" t="n">
        <f aca="false">Inputs!$C$57*(1+Inputs!$C$59)^(Y$133-1)*MAX(0,MIN(1,Y$132*1-Inputs!$C$60+1))/1</f>
        <v>1</v>
      </c>
      <c r="Z244" s="115" t="n">
        <f aca="false">Inputs!$C$57*(1+Inputs!$C$59)^(Z$133-1)*MAX(0,MIN(1,Z$132*1-Inputs!$C$60+1))/1</f>
        <v>1</v>
      </c>
      <c r="AA244" s="115" t="n">
        <f aca="false">Inputs!$C$57*(1+Inputs!$C$59)^(AA$133-1)*MAX(0,MIN(1,AA$132*1-Inputs!$C$60+1))/1</f>
        <v>1</v>
      </c>
      <c r="AB244" s="115" t="n">
        <f aca="false">Inputs!$C$57*(1+Inputs!$C$59)^(AB$133-1)*MAX(0,MIN(1,AB$132*1-Inputs!$C$60+1))/1</f>
        <v>1</v>
      </c>
      <c r="AC244" s="115" t="n">
        <f aca="false">Inputs!$C$57*(1+Inputs!$C$59)^(AC$133-1)*MAX(0,MIN(1,AC$132*1-Inputs!$C$60+1))/1</f>
        <v>1</v>
      </c>
      <c r="AD244" s="115" t="n">
        <f aca="false">Inputs!$C$57*(1+Inputs!$C$59)^(AD$133-1)*MAX(0,MIN(1,AD$132*1-Inputs!$C$60+1))/1</f>
        <v>1</v>
      </c>
      <c r="AE244" s="115" t="n">
        <f aca="false">Inputs!$C$57*(1+Inputs!$C$59)^(AE$133-1)*MAX(0,MIN(1,AE$132*1-Inputs!$C$60+1))/1</f>
        <v>1</v>
      </c>
      <c r="AF244" s="115" t="n">
        <f aca="false">Inputs!$C$57*(1+Inputs!$C$59)^(AF$133-1)*MAX(0,MIN(1,AF$132*1-Inputs!$C$60+1))/1</f>
        <v>1</v>
      </c>
      <c r="AG244" s="115" t="n">
        <f aca="false">Inputs!$C$57*(1+Inputs!$C$59)^(AG$133-1)*MAX(0,MIN(1,AG$132*1-Inputs!$C$60+1))/1</f>
        <v>1</v>
      </c>
      <c r="AH244" s="115" t="n">
        <f aca="false">Inputs!$C$57*(1+Inputs!$C$59)^(AH$133-1)*MAX(0,MIN(1,AH$132*1-Inputs!$C$60+1))/1</f>
        <v>1</v>
      </c>
      <c r="AI244" s="115" t="n">
        <f aca="false">Inputs!$C$57*(1+Inputs!$C$59)^(AI$133-1)*MAX(0,MIN(1,AI$132*1-Inputs!$C$60+1))/1</f>
        <v>1</v>
      </c>
      <c r="AJ244" s="115" t="n">
        <f aca="false">Inputs!$C$57*(1+Inputs!$C$59)^(AJ$133-1)*MAX(0,MIN(1,AJ$132*1-Inputs!$C$60+1))/1</f>
        <v>1</v>
      </c>
      <c r="AK244" s="115" t="n">
        <f aca="false">Inputs!$C$57*(1+Inputs!$C$59)^(AK$133-1)*MAX(0,MIN(1,AK$132*1-Inputs!$C$60+1))/1</f>
        <v>1</v>
      </c>
      <c r="AL244" s="115" t="n">
        <f aca="false">Inputs!$C$57*(1+Inputs!$C$59)^(AL$133-1)*MAX(0,MIN(1,AL$132*1-Inputs!$C$60+1))/1</f>
        <v>1</v>
      </c>
      <c r="AM244" s="115" t="n">
        <f aca="false">Inputs!$C$57*(1+Inputs!$C$59)^(AM$133-1)*MAX(0,MIN(1,AM$132*1-Inputs!$C$60+1))/1</f>
        <v>1</v>
      </c>
      <c r="AN244" s="115" t="n">
        <f aca="false">Inputs!$C$57*(1+Inputs!$C$59)^(AN$133-1)*MAX(0,MIN(1,AN$132*1-Inputs!$C$60+1))/1</f>
        <v>1</v>
      </c>
      <c r="AO244" s="115" t="n">
        <f aca="false">Inputs!$C$57*(1+Inputs!$C$59)^(AO$133-1)*MAX(0,MIN(1,AO$132*1-Inputs!$C$60+1))/1</f>
        <v>1</v>
      </c>
      <c r="AP244" s="115" t="n">
        <f aca="false">Inputs!$C$57*(1+Inputs!$C$59)^(AP$133-1)*MAX(0,MIN(1,AP$132*1-Inputs!$C$60+1))/1</f>
        <v>1</v>
      </c>
      <c r="AQ244" s="115" t="n">
        <f aca="false">Inputs!$C$57*(1+Inputs!$C$59)^(AQ$133-1)*MAX(0,MIN(1,AQ$132*1-Inputs!$C$60+1))/1</f>
        <v>1</v>
      </c>
      <c r="AR244" s="115" t="n">
        <f aca="false">Inputs!$C$57*(1+Inputs!$C$59)^(AR$133-1)*MAX(0,MIN(1,AR$132*1-Inputs!$C$60+1))/1</f>
        <v>1</v>
      </c>
      <c r="AS244" s="115" t="n">
        <f aca="false">Inputs!$C$57*(1+Inputs!$C$59)^(AS$133-1)*MAX(0,MIN(1,AS$132*1-Inputs!$C$60+1))/1</f>
        <v>1</v>
      </c>
      <c r="AT244" s="115" t="n">
        <f aca="false">Inputs!$C$57*(1+Inputs!$C$59)^(AT$133-1)*MAX(0,MIN(1,AT$132*1-Inputs!$C$60+1))/1</f>
        <v>1</v>
      </c>
      <c r="AU244" s="115" t="n">
        <f aca="false">Inputs!$C$57*(1+Inputs!$C$59)^(AU$133-1)*MAX(0,MIN(1,AU$132*1-Inputs!$C$60+1))/1</f>
        <v>1</v>
      </c>
      <c r="AV244" s="115" t="n">
        <f aca="false">Inputs!$C$57*(1+Inputs!$C$59)^(AV$133-1)*MAX(0,MIN(1,AV$132*1-Inputs!$C$60+1))/1</f>
        <v>1</v>
      </c>
      <c r="AW244" s="115" t="n">
        <f aca="false">Inputs!$C$57*(1+Inputs!$C$59)^(AW$133-1)*MAX(0,MIN(1,AW$132*1-Inputs!$C$60+1))/1</f>
        <v>1</v>
      </c>
      <c r="AX244" s="115" t="n">
        <f aca="false">Inputs!$C$57*(1+Inputs!$C$59)^(AX$133-1)*MAX(0,MIN(1,AX$132*1-Inputs!$C$60+1))/1</f>
        <v>1</v>
      </c>
      <c r="AY244" s="115" t="n">
        <f aca="false">Inputs!$C$57*(1+Inputs!$C$59)^(AY$133-1)*MAX(0,MIN(1,AY$132*1-Inputs!$C$60+1))/1</f>
        <v>1</v>
      </c>
      <c r="AZ244" s="115" t="n">
        <f aca="false">Inputs!$C$57*(1+Inputs!$C$59)^(AZ$133-1)*MAX(0,MIN(1,AZ$132*1-Inputs!$C$60+1))/1</f>
        <v>1</v>
      </c>
      <c r="BA244" s="115" t="n">
        <f aca="false">Inputs!$C$57*(1+Inputs!$C$59)^(BA$133-1)*MAX(0,MIN(1,BA$132*1-Inputs!$C$60+1))/1</f>
        <v>1</v>
      </c>
      <c r="BB244" s="115" t="n">
        <f aca="false">Inputs!$C$57*(1+Inputs!$C$59)^(BB$133-1)*MAX(0,MIN(1,BB$132*1-Inputs!$C$60+1))/1</f>
        <v>1</v>
      </c>
      <c r="BC244" s="115" t="n">
        <f aca="false">Inputs!$C$57*(1+Inputs!$C$59)^(BC$133-1)*MAX(0,MIN(1,BC$132*1-Inputs!$C$60+1))/1</f>
        <v>1</v>
      </c>
      <c r="BD244" s="115" t="n">
        <f aca="false">Inputs!$C$57*(1+Inputs!$C$59)^(BD$133-1)*MAX(0,MIN(1,BD$132*1-Inputs!$C$60+1))/1</f>
        <v>1</v>
      </c>
      <c r="BE244" s="115" t="n">
        <f aca="false">Inputs!$C$57*(1+Inputs!$C$59)^(BE$133-1)*MAX(0,MIN(1,BE$132*1-Inputs!$C$60+1))/1</f>
        <v>1</v>
      </c>
      <c r="BF244" s="115" t="n">
        <f aca="false">Inputs!$C$57*(1+Inputs!$C$59)^(BF$133-1)*MAX(0,MIN(1,BF$132*1-Inputs!$C$60+1))/1</f>
        <v>1</v>
      </c>
      <c r="BG244" s="115" t="n">
        <f aca="false">Inputs!$C$57*(1+Inputs!$C$59)^(BG$133-1)*MAX(0,MIN(1,BG$132*1-Inputs!$C$60+1))/1</f>
        <v>1</v>
      </c>
      <c r="BH244" s="115" t="n">
        <f aca="false">Inputs!$C$57*(1+Inputs!$C$59)^(BH$133-1)*MAX(0,MIN(1,BH$132*1-Inputs!$C$60+1))/1</f>
        <v>1</v>
      </c>
      <c r="BI244" s="115" t="n">
        <f aca="false">Inputs!$C$57*(1+Inputs!$C$59)^(BI$133-1)*MAX(0,MIN(1,BI$132*1-Inputs!$C$60+1))/1</f>
        <v>1</v>
      </c>
      <c r="BJ244" s="115" t="n">
        <f aca="false">Inputs!$C$57*(1+Inputs!$C$59)^(BJ$133-1)*MAX(0,MIN(1,BJ$132*1-Inputs!$C$60+1))/1</f>
        <v>1</v>
      </c>
    </row>
    <row r="245" customFormat="false" ht="15" hidden="false" customHeight="false" outlineLevel="0" collapsed="false">
      <c r="A245" s="6" t="s">
        <v>465</v>
      </c>
      <c r="C245" s="115" t="n">
        <f aca="false">Inputs!$C$61*(1+Inputs!$C$63)^(C$133-1)*MAX(0,MIN(1,C$132*1-Inputs!$C$64+1))/1</f>
        <v>0.5</v>
      </c>
      <c r="D245" s="115" t="n">
        <f aca="false">Inputs!$C$61*(1+Inputs!$C$63)^(D$133-1)*MAX(0,MIN(1,D$132*1-Inputs!$C$64+1))/1</f>
        <v>0.5</v>
      </c>
      <c r="E245" s="115" t="n">
        <f aca="false">Inputs!$C$61*(1+Inputs!$C$63)^(E$133-1)*MAX(0,MIN(1,E$132*1-Inputs!$C$64+1))/1</f>
        <v>0.5</v>
      </c>
      <c r="F245" s="115" t="n">
        <f aca="false">Inputs!$C$61*(1+Inputs!$C$63)^(F$133-1)*MAX(0,MIN(1,F$132*1-Inputs!$C$64+1))/1</f>
        <v>0.5</v>
      </c>
      <c r="G245" s="115" t="n">
        <f aca="false">Inputs!$C$61*(1+Inputs!$C$63)^(G$133-1)*MAX(0,MIN(1,G$132*1-Inputs!$C$64+1))/1</f>
        <v>0.5</v>
      </c>
      <c r="H245" s="115" t="n">
        <f aca="false">Inputs!$C$61*(1+Inputs!$C$63)^(H$133-1)*MAX(0,MIN(1,H$132*1-Inputs!$C$64+1))/1</f>
        <v>0.5</v>
      </c>
      <c r="I245" s="115" t="n">
        <f aca="false">Inputs!$C$61*(1+Inputs!$C$63)^(I$133-1)*MAX(0,MIN(1,I$132*1-Inputs!$C$64+1))/1</f>
        <v>0.5</v>
      </c>
      <c r="J245" s="115" t="n">
        <f aca="false">Inputs!$C$61*(1+Inputs!$C$63)^(J$133-1)*MAX(0,MIN(1,J$132*1-Inputs!$C$64+1))/1</f>
        <v>0.5</v>
      </c>
      <c r="K245" s="115" t="n">
        <f aca="false">Inputs!$C$61*(1+Inputs!$C$63)^(K$133-1)*MAX(0,MIN(1,K$132*1-Inputs!$C$64+1))/1</f>
        <v>0.5</v>
      </c>
      <c r="L245" s="115" t="n">
        <f aca="false">Inputs!$C$61*(1+Inputs!$C$63)^(L$133-1)*MAX(0,MIN(1,L$132*1-Inputs!$C$64+1))/1</f>
        <v>0.5</v>
      </c>
      <c r="M245" s="115" t="n">
        <f aca="false">Inputs!$C$61*(1+Inputs!$C$63)^(M$133-1)*MAX(0,MIN(1,M$132*1-Inputs!$C$64+1))/1</f>
        <v>0.5</v>
      </c>
      <c r="N245" s="115" t="n">
        <f aca="false">Inputs!$C$61*(1+Inputs!$C$63)^(N$133-1)*MAX(0,MIN(1,N$132*1-Inputs!$C$64+1))/1</f>
        <v>0.5</v>
      </c>
      <c r="O245" s="115" t="n">
        <f aca="false">Inputs!$C$61*(1+Inputs!$C$63)^(O$133-1)*MAX(0,MIN(1,O$132*1-Inputs!$C$64+1))/1</f>
        <v>0.5</v>
      </c>
      <c r="P245" s="115" t="n">
        <f aca="false">Inputs!$C$61*(1+Inputs!$C$63)^(P$133-1)*MAX(0,MIN(1,P$132*1-Inputs!$C$64+1))/1</f>
        <v>0.5</v>
      </c>
      <c r="Q245" s="115" t="n">
        <f aca="false">Inputs!$C$61*(1+Inputs!$C$63)^(Q$133-1)*MAX(0,MIN(1,Q$132*1-Inputs!$C$64+1))/1</f>
        <v>0.5</v>
      </c>
      <c r="R245" s="115" t="n">
        <f aca="false">Inputs!$C$61*(1+Inputs!$C$63)^(R$133-1)*MAX(0,MIN(1,R$132*1-Inputs!$C$64+1))/1</f>
        <v>0.5</v>
      </c>
      <c r="S245" s="115" t="n">
        <f aca="false">Inputs!$C$61*(1+Inputs!$C$63)^(S$133-1)*MAX(0,MIN(1,S$132*1-Inputs!$C$64+1))/1</f>
        <v>0.5</v>
      </c>
      <c r="T245" s="115" t="n">
        <f aca="false">Inputs!$C$61*(1+Inputs!$C$63)^(T$133-1)*MAX(0,MIN(1,T$132*1-Inputs!$C$64+1))/1</f>
        <v>0.5</v>
      </c>
      <c r="U245" s="115" t="n">
        <f aca="false">Inputs!$C$61*(1+Inputs!$C$63)^(U$133-1)*MAX(0,MIN(1,U$132*1-Inputs!$C$64+1))/1</f>
        <v>0.5</v>
      </c>
      <c r="V245" s="115" t="n">
        <f aca="false">Inputs!$C$61*(1+Inputs!$C$63)^(V$133-1)*MAX(0,MIN(1,V$132*1-Inputs!$C$64+1))/1</f>
        <v>0.5</v>
      </c>
      <c r="W245" s="115" t="n">
        <f aca="false">Inputs!$C$61*(1+Inputs!$C$63)^(W$133-1)*MAX(0,MIN(1,W$132*1-Inputs!$C$64+1))/1</f>
        <v>0.5</v>
      </c>
      <c r="X245" s="115" t="n">
        <f aca="false">Inputs!$C$61*(1+Inputs!$C$63)^(X$133-1)*MAX(0,MIN(1,X$132*1-Inputs!$C$64+1))/1</f>
        <v>0.5</v>
      </c>
      <c r="Y245" s="115" t="n">
        <f aca="false">Inputs!$C$61*(1+Inputs!$C$63)^(Y$133-1)*MAX(0,MIN(1,Y$132*1-Inputs!$C$64+1))/1</f>
        <v>0.5</v>
      </c>
      <c r="Z245" s="115" t="n">
        <f aca="false">Inputs!$C$61*(1+Inputs!$C$63)^(Z$133-1)*MAX(0,MIN(1,Z$132*1-Inputs!$C$64+1))/1</f>
        <v>0.5</v>
      </c>
      <c r="AA245" s="115" t="n">
        <f aca="false">Inputs!$C$61*(1+Inputs!$C$63)^(AA$133-1)*MAX(0,MIN(1,AA$132*1-Inputs!$C$64+1))/1</f>
        <v>0.5</v>
      </c>
      <c r="AB245" s="115" t="n">
        <f aca="false">Inputs!$C$61*(1+Inputs!$C$63)^(AB$133-1)*MAX(0,MIN(1,AB$132*1-Inputs!$C$64+1))/1</f>
        <v>0.5</v>
      </c>
      <c r="AC245" s="115" t="n">
        <f aca="false">Inputs!$C$61*(1+Inputs!$C$63)^(AC$133-1)*MAX(0,MIN(1,AC$132*1-Inputs!$C$64+1))/1</f>
        <v>0.5</v>
      </c>
      <c r="AD245" s="115" t="n">
        <f aca="false">Inputs!$C$61*(1+Inputs!$C$63)^(AD$133-1)*MAX(0,MIN(1,AD$132*1-Inputs!$C$64+1))/1</f>
        <v>0.5</v>
      </c>
      <c r="AE245" s="115" t="n">
        <f aca="false">Inputs!$C$61*(1+Inputs!$C$63)^(AE$133-1)*MAX(0,MIN(1,AE$132*1-Inputs!$C$64+1))/1</f>
        <v>0.5</v>
      </c>
      <c r="AF245" s="115" t="n">
        <f aca="false">Inputs!$C$61*(1+Inputs!$C$63)^(AF$133-1)*MAX(0,MIN(1,AF$132*1-Inputs!$C$64+1))/1</f>
        <v>0.5</v>
      </c>
      <c r="AG245" s="115" t="n">
        <f aca="false">Inputs!$C$61*(1+Inputs!$C$63)^(AG$133-1)*MAX(0,MIN(1,AG$132*1-Inputs!$C$64+1))/1</f>
        <v>0.5</v>
      </c>
      <c r="AH245" s="115" t="n">
        <f aca="false">Inputs!$C$61*(1+Inputs!$C$63)^(AH$133-1)*MAX(0,MIN(1,AH$132*1-Inputs!$C$64+1))/1</f>
        <v>0.5</v>
      </c>
      <c r="AI245" s="115" t="n">
        <f aca="false">Inputs!$C$61*(1+Inputs!$C$63)^(AI$133-1)*MAX(0,MIN(1,AI$132*1-Inputs!$C$64+1))/1</f>
        <v>0.5</v>
      </c>
      <c r="AJ245" s="115" t="n">
        <f aca="false">Inputs!$C$61*(1+Inputs!$C$63)^(AJ$133-1)*MAX(0,MIN(1,AJ$132*1-Inputs!$C$64+1))/1</f>
        <v>0.5</v>
      </c>
      <c r="AK245" s="115" t="n">
        <f aca="false">Inputs!$C$61*(1+Inputs!$C$63)^(AK$133-1)*MAX(0,MIN(1,AK$132*1-Inputs!$C$64+1))/1</f>
        <v>0.5</v>
      </c>
      <c r="AL245" s="115" t="n">
        <f aca="false">Inputs!$C$61*(1+Inputs!$C$63)^(AL$133-1)*MAX(0,MIN(1,AL$132*1-Inputs!$C$64+1))/1</f>
        <v>0.5</v>
      </c>
      <c r="AM245" s="115" t="n">
        <f aca="false">Inputs!$C$61*(1+Inputs!$C$63)^(AM$133-1)*MAX(0,MIN(1,AM$132*1-Inputs!$C$64+1))/1</f>
        <v>0.5</v>
      </c>
      <c r="AN245" s="115" t="n">
        <f aca="false">Inputs!$C$61*(1+Inputs!$C$63)^(AN$133-1)*MAX(0,MIN(1,AN$132*1-Inputs!$C$64+1))/1</f>
        <v>0.5</v>
      </c>
      <c r="AO245" s="115" t="n">
        <f aca="false">Inputs!$C$61*(1+Inputs!$C$63)^(AO$133-1)*MAX(0,MIN(1,AO$132*1-Inputs!$C$64+1))/1</f>
        <v>0.5</v>
      </c>
      <c r="AP245" s="115" t="n">
        <f aca="false">Inputs!$C$61*(1+Inputs!$C$63)^(AP$133-1)*MAX(0,MIN(1,AP$132*1-Inputs!$C$64+1))/1</f>
        <v>0.5</v>
      </c>
      <c r="AQ245" s="115" t="n">
        <f aca="false">Inputs!$C$61*(1+Inputs!$C$63)^(AQ$133-1)*MAX(0,MIN(1,AQ$132*1-Inputs!$C$64+1))/1</f>
        <v>0.5</v>
      </c>
      <c r="AR245" s="115" t="n">
        <f aca="false">Inputs!$C$61*(1+Inputs!$C$63)^(AR$133-1)*MAX(0,MIN(1,AR$132*1-Inputs!$C$64+1))/1</f>
        <v>0.5</v>
      </c>
      <c r="AS245" s="115" t="n">
        <f aca="false">Inputs!$C$61*(1+Inputs!$C$63)^(AS$133-1)*MAX(0,MIN(1,AS$132*1-Inputs!$C$64+1))/1</f>
        <v>0.5</v>
      </c>
      <c r="AT245" s="115" t="n">
        <f aca="false">Inputs!$C$61*(1+Inputs!$C$63)^(AT$133-1)*MAX(0,MIN(1,AT$132*1-Inputs!$C$64+1))/1</f>
        <v>0.5</v>
      </c>
      <c r="AU245" s="115" t="n">
        <f aca="false">Inputs!$C$61*(1+Inputs!$C$63)^(AU$133-1)*MAX(0,MIN(1,AU$132*1-Inputs!$C$64+1))/1</f>
        <v>0.5</v>
      </c>
      <c r="AV245" s="115" t="n">
        <f aca="false">Inputs!$C$61*(1+Inputs!$C$63)^(AV$133-1)*MAX(0,MIN(1,AV$132*1-Inputs!$C$64+1))/1</f>
        <v>0.5</v>
      </c>
      <c r="AW245" s="115" t="n">
        <f aca="false">Inputs!$C$61*(1+Inputs!$C$63)^(AW$133-1)*MAX(0,MIN(1,AW$132*1-Inputs!$C$64+1))/1</f>
        <v>0.5</v>
      </c>
      <c r="AX245" s="115" t="n">
        <f aca="false">Inputs!$C$61*(1+Inputs!$C$63)^(AX$133-1)*MAX(0,MIN(1,AX$132*1-Inputs!$C$64+1))/1</f>
        <v>0.5</v>
      </c>
      <c r="AY245" s="115" t="n">
        <f aca="false">Inputs!$C$61*(1+Inputs!$C$63)^(AY$133-1)*MAX(0,MIN(1,AY$132*1-Inputs!$C$64+1))/1</f>
        <v>0.5</v>
      </c>
      <c r="AZ245" s="115" t="n">
        <f aca="false">Inputs!$C$61*(1+Inputs!$C$63)^(AZ$133-1)*MAX(0,MIN(1,AZ$132*1-Inputs!$C$64+1))/1</f>
        <v>0.5</v>
      </c>
      <c r="BA245" s="115" t="n">
        <f aca="false">Inputs!$C$61*(1+Inputs!$C$63)^(BA$133-1)*MAX(0,MIN(1,BA$132*1-Inputs!$C$64+1))/1</f>
        <v>0.5</v>
      </c>
      <c r="BB245" s="115" t="n">
        <f aca="false">Inputs!$C$61*(1+Inputs!$C$63)^(BB$133-1)*MAX(0,MIN(1,BB$132*1-Inputs!$C$64+1))/1</f>
        <v>0.5</v>
      </c>
      <c r="BC245" s="115" t="n">
        <f aca="false">Inputs!$C$61*(1+Inputs!$C$63)^(BC$133-1)*MAX(0,MIN(1,BC$132*1-Inputs!$C$64+1))/1</f>
        <v>0.5</v>
      </c>
      <c r="BD245" s="115" t="n">
        <f aca="false">Inputs!$C$61*(1+Inputs!$C$63)^(BD$133-1)*MAX(0,MIN(1,BD$132*1-Inputs!$C$64+1))/1</f>
        <v>0.5</v>
      </c>
      <c r="BE245" s="115" t="n">
        <f aca="false">Inputs!$C$61*(1+Inputs!$C$63)^(BE$133-1)*MAX(0,MIN(1,BE$132*1-Inputs!$C$64+1))/1</f>
        <v>0.5</v>
      </c>
      <c r="BF245" s="115" t="n">
        <f aca="false">Inputs!$C$61*(1+Inputs!$C$63)^(BF$133-1)*MAX(0,MIN(1,BF$132*1-Inputs!$C$64+1))/1</f>
        <v>0.5</v>
      </c>
      <c r="BG245" s="115" t="n">
        <f aca="false">Inputs!$C$61*(1+Inputs!$C$63)^(BG$133-1)*MAX(0,MIN(1,BG$132*1-Inputs!$C$64+1))/1</f>
        <v>0.5</v>
      </c>
      <c r="BH245" s="115" t="n">
        <f aca="false">Inputs!$C$61*(1+Inputs!$C$63)^(BH$133-1)*MAX(0,MIN(1,BH$132*1-Inputs!$C$64+1))/1</f>
        <v>0.5</v>
      </c>
      <c r="BI245" s="115" t="n">
        <f aca="false">Inputs!$C$61*(1+Inputs!$C$63)^(BI$133-1)*MAX(0,MIN(1,BI$132*1-Inputs!$C$64+1))/1</f>
        <v>0.5</v>
      </c>
      <c r="BJ245" s="115" t="n">
        <f aca="false">Inputs!$C$61*(1+Inputs!$C$63)^(BJ$133-1)*MAX(0,MIN(1,BJ$132*1-Inputs!$C$64+1))/1</f>
        <v>0.5</v>
      </c>
    </row>
    <row r="246" customFormat="false" ht="15" hidden="false" customHeight="false" outlineLevel="0" collapsed="false">
      <c r="A246" s="6" t="s">
        <v>466</v>
      </c>
      <c r="C246" s="115" t="n">
        <f aca="false">Inputs!$C$65*(1+Inputs!$C$67)^(C$133-1)*MAX(0,MIN(1,C$132*1-Inputs!$C$68+1))/1</f>
        <v>0.5</v>
      </c>
      <c r="D246" s="115" t="n">
        <f aca="false">Inputs!$C$65*(1+Inputs!$C$67)^(D$133-1)*MAX(0,MIN(1,D$132*1-Inputs!$C$68+1))/1</f>
        <v>0.5</v>
      </c>
      <c r="E246" s="115" t="n">
        <f aca="false">Inputs!$C$65*(1+Inputs!$C$67)^(E$133-1)*MAX(0,MIN(1,E$132*1-Inputs!$C$68+1))/1</f>
        <v>0.5</v>
      </c>
      <c r="F246" s="115" t="n">
        <f aca="false">Inputs!$C$65*(1+Inputs!$C$67)^(F$133-1)*MAX(0,MIN(1,F$132*1-Inputs!$C$68+1))/1</f>
        <v>0.5</v>
      </c>
      <c r="G246" s="115" t="n">
        <f aca="false">Inputs!$C$65*(1+Inputs!$C$67)^(G$133-1)*MAX(0,MIN(1,G$132*1-Inputs!$C$68+1))/1</f>
        <v>0.5</v>
      </c>
      <c r="H246" s="115" t="n">
        <f aca="false">Inputs!$C$65*(1+Inputs!$C$67)^(H$133-1)*MAX(0,MIN(1,H$132*1-Inputs!$C$68+1))/1</f>
        <v>0.5</v>
      </c>
      <c r="I246" s="115" t="n">
        <f aca="false">Inputs!$C$65*(1+Inputs!$C$67)^(I$133-1)*MAX(0,MIN(1,I$132*1-Inputs!$C$68+1))/1</f>
        <v>0.5</v>
      </c>
      <c r="J246" s="115" t="n">
        <f aca="false">Inputs!$C$65*(1+Inputs!$C$67)^(J$133-1)*MAX(0,MIN(1,J$132*1-Inputs!$C$68+1))/1</f>
        <v>0.5</v>
      </c>
      <c r="K246" s="115" t="n">
        <f aca="false">Inputs!$C$65*(1+Inputs!$C$67)^(K$133-1)*MAX(0,MIN(1,K$132*1-Inputs!$C$68+1))/1</f>
        <v>0.5</v>
      </c>
      <c r="L246" s="115" t="n">
        <f aca="false">Inputs!$C$65*(1+Inputs!$C$67)^(L$133-1)*MAX(0,MIN(1,L$132*1-Inputs!$C$68+1))/1</f>
        <v>0.5</v>
      </c>
      <c r="M246" s="115" t="n">
        <f aca="false">Inputs!$C$65*(1+Inputs!$C$67)^(M$133-1)*MAX(0,MIN(1,M$132*1-Inputs!$C$68+1))/1</f>
        <v>0.5</v>
      </c>
      <c r="N246" s="115" t="n">
        <f aca="false">Inputs!$C$65*(1+Inputs!$C$67)^(N$133-1)*MAX(0,MIN(1,N$132*1-Inputs!$C$68+1))/1</f>
        <v>0.5</v>
      </c>
      <c r="O246" s="115" t="n">
        <f aca="false">Inputs!$C$65*(1+Inputs!$C$67)^(O$133-1)*MAX(0,MIN(1,O$132*1-Inputs!$C$68+1))/1</f>
        <v>0.5</v>
      </c>
      <c r="P246" s="115" t="n">
        <f aca="false">Inputs!$C$65*(1+Inputs!$C$67)^(P$133-1)*MAX(0,MIN(1,P$132*1-Inputs!$C$68+1))/1</f>
        <v>0.5</v>
      </c>
      <c r="Q246" s="115" t="n">
        <f aca="false">Inputs!$C$65*(1+Inputs!$C$67)^(Q$133-1)*MAX(0,MIN(1,Q$132*1-Inputs!$C$68+1))/1</f>
        <v>0.5</v>
      </c>
      <c r="R246" s="115" t="n">
        <f aca="false">Inputs!$C$65*(1+Inputs!$C$67)^(R$133-1)*MAX(0,MIN(1,R$132*1-Inputs!$C$68+1))/1</f>
        <v>0.5</v>
      </c>
      <c r="S246" s="115" t="n">
        <f aca="false">Inputs!$C$65*(1+Inputs!$C$67)^(S$133-1)*MAX(0,MIN(1,S$132*1-Inputs!$C$68+1))/1</f>
        <v>0.5</v>
      </c>
      <c r="T246" s="115" t="n">
        <f aca="false">Inputs!$C$65*(1+Inputs!$C$67)^(T$133-1)*MAX(0,MIN(1,T$132*1-Inputs!$C$68+1))/1</f>
        <v>0.5</v>
      </c>
      <c r="U246" s="115" t="n">
        <f aca="false">Inputs!$C$65*(1+Inputs!$C$67)^(U$133-1)*MAX(0,MIN(1,U$132*1-Inputs!$C$68+1))/1</f>
        <v>0.5</v>
      </c>
      <c r="V246" s="115" t="n">
        <f aca="false">Inputs!$C$65*(1+Inputs!$C$67)^(V$133-1)*MAX(0,MIN(1,V$132*1-Inputs!$C$68+1))/1</f>
        <v>0.5</v>
      </c>
      <c r="W246" s="115" t="n">
        <f aca="false">Inputs!$C$65*(1+Inputs!$C$67)^(W$133-1)*MAX(0,MIN(1,W$132*1-Inputs!$C$68+1))/1</f>
        <v>0.5</v>
      </c>
      <c r="X246" s="115" t="n">
        <f aca="false">Inputs!$C$65*(1+Inputs!$C$67)^(X$133-1)*MAX(0,MIN(1,X$132*1-Inputs!$C$68+1))/1</f>
        <v>0.5</v>
      </c>
      <c r="Y246" s="115" t="n">
        <f aca="false">Inputs!$C$65*(1+Inputs!$C$67)^(Y$133-1)*MAX(0,MIN(1,Y$132*1-Inputs!$C$68+1))/1</f>
        <v>0.5</v>
      </c>
      <c r="Z246" s="115" t="n">
        <f aca="false">Inputs!$C$65*(1+Inputs!$C$67)^(Z$133-1)*MAX(0,MIN(1,Z$132*1-Inputs!$C$68+1))/1</f>
        <v>0.5</v>
      </c>
      <c r="AA246" s="115" t="n">
        <f aca="false">Inputs!$C$65*(1+Inputs!$C$67)^(AA$133-1)*MAX(0,MIN(1,AA$132*1-Inputs!$C$68+1))/1</f>
        <v>0.5</v>
      </c>
      <c r="AB246" s="115" t="n">
        <f aca="false">Inputs!$C$65*(1+Inputs!$C$67)^(AB$133-1)*MAX(0,MIN(1,AB$132*1-Inputs!$C$68+1))/1</f>
        <v>0.5</v>
      </c>
      <c r="AC246" s="115" t="n">
        <f aca="false">Inputs!$C$65*(1+Inputs!$C$67)^(AC$133-1)*MAX(0,MIN(1,AC$132*1-Inputs!$C$68+1))/1</f>
        <v>0.5</v>
      </c>
      <c r="AD246" s="115" t="n">
        <f aca="false">Inputs!$C$65*(1+Inputs!$C$67)^(AD$133-1)*MAX(0,MIN(1,AD$132*1-Inputs!$C$68+1))/1</f>
        <v>0.5</v>
      </c>
      <c r="AE246" s="115" t="n">
        <f aca="false">Inputs!$C$65*(1+Inputs!$C$67)^(AE$133-1)*MAX(0,MIN(1,AE$132*1-Inputs!$C$68+1))/1</f>
        <v>0.5</v>
      </c>
      <c r="AF246" s="115" t="n">
        <f aca="false">Inputs!$C$65*(1+Inputs!$C$67)^(AF$133-1)*MAX(0,MIN(1,AF$132*1-Inputs!$C$68+1))/1</f>
        <v>0.5</v>
      </c>
      <c r="AG246" s="115" t="n">
        <f aca="false">Inputs!$C$65*(1+Inputs!$C$67)^(AG$133-1)*MAX(0,MIN(1,AG$132*1-Inputs!$C$68+1))/1</f>
        <v>0.5</v>
      </c>
      <c r="AH246" s="115" t="n">
        <f aca="false">Inputs!$C$65*(1+Inputs!$C$67)^(AH$133-1)*MAX(0,MIN(1,AH$132*1-Inputs!$C$68+1))/1</f>
        <v>0.5</v>
      </c>
      <c r="AI246" s="115" t="n">
        <f aca="false">Inputs!$C$65*(1+Inputs!$C$67)^(AI$133-1)*MAX(0,MIN(1,AI$132*1-Inputs!$C$68+1))/1</f>
        <v>0.5</v>
      </c>
      <c r="AJ246" s="115" t="n">
        <f aca="false">Inputs!$C$65*(1+Inputs!$C$67)^(AJ$133-1)*MAX(0,MIN(1,AJ$132*1-Inputs!$C$68+1))/1</f>
        <v>0.5</v>
      </c>
      <c r="AK246" s="115" t="n">
        <f aca="false">Inputs!$C$65*(1+Inputs!$C$67)^(AK$133-1)*MAX(0,MIN(1,AK$132*1-Inputs!$C$68+1))/1</f>
        <v>0.5</v>
      </c>
      <c r="AL246" s="115" t="n">
        <f aca="false">Inputs!$C$65*(1+Inputs!$C$67)^(AL$133-1)*MAX(0,MIN(1,AL$132*1-Inputs!$C$68+1))/1</f>
        <v>0.5</v>
      </c>
      <c r="AM246" s="115" t="n">
        <f aca="false">Inputs!$C$65*(1+Inputs!$C$67)^(AM$133-1)*MAX(0,MIN(1,AM$132*1-Inputs!$C$68+1))/1</f>
        <v>0.5</v>
      </c>
      <c r="AN246" s="115" t="n">
        <f aca="false">Inputs!$C$65*(1+Inputs!$C$67)^(AN$133-1)*MAX(0,MIN(1,AN$132*1-Inputs!$C$68+1))/1</f>
        <v>0.5</v>
      </c>
      <c r="AO246" s="115" t="n">
        <f aca="false">Inputs!$C$65*(1+Inputs!$C$67)^(AO$133-1)*MAX(0,MIN(1,AO$132*1-Inputs!$C$68+1))/1</f>
        <v>0.5</v>
      </c>
      <c r="AP246" s="115" t="n">
        <f aca="false">Inputs!$C$65*(1+Inputs!$C$67)^(AP$133-1)*MAX(0,MIN(1,AP$132*1-Inputs!$C$68+1))/1</f>
        <v>0.5</v>
      </c>
      <c r="AQ246" s="115" t="n">
        <f aca="false">Inputs!$C$65*(1+Inputs!$C$67)^(AQ$133-1)*MAX(0,MIN(1,AQ$132*1-Inputs!$C$68+1))/1</f>
        <v>0.5</v>
      </c>
      <c r="AR246" s="115" t="n">
        <f aca="false">Inputs!$C$65*(1+Inputs!$C$67)^(AR$133-1)*MAX(0,MIN(1,AR$132*1-Inputs!$C$68+1))/1</f>
        <v>0.5</v>
      </c>
      <c r="AS246" s="115" t="n">
        <f aca="false">Inputs!$C$65*(1+Inputs!$C$67)^(AS$133-1)*MAX(0,MIN(1,AS$132*1-Inputs!$C$68+1))/1</f>
        <v>0.5</v>
      </c>
      <c r="AT246" s="115" t="n">
        <f aca="false">Inputs!$C$65*(1+Inputs!$C$67)^(AT$133-1)*MAX(0,MIN(1,AT$132*1-Inputs!$C$68+1))/1</f>
        <v>0.5</v>
      </c>
      <c r="AU246" s="115" t="n">
        <f aca="false">Inputs!$C$65*(1+Inputs!$C$67)^(AU$133-1)*MAX(0,MIN(1,AU$132*1-Inputs!$C$68+1))/1</f>
        <v>0.5</v>
      </c>
      <c r="AV246" s="115" t="n">
        <f aca="false">Inputs!$C$65*(1+Inputs!$C$67)^(AV$133-1)*MAX(0,MIN(1,AV$132*1-Inputs!$C$68+1))/1</f>
        <v>0.5</v>
      </c>
      <c r="AW246" s="115" t="n">
        <f aca="false">Inputs!$C$65*(1+Inputs!$C$67)^(AW$133-1)*MAX(0,MIN(1,AW$132*1-Inputs!$C$68+1))/1</f>
        <v>0.5</v>
      </c>
      <c r="AX246" s="115" t="n">
        <f aca="false">Inputs!$C$65*(1+Inputs!$C$67)^(AX$133-1)*MAX(0,MIN(1,AX$132*1-Inputs!$C$68+1))/1</f>
        <v>0.5</v>
      </c>
      <c r="AY246" s="115" t="n">
        <f aca="false">Inputs!$C$65*(1+Inputs!$C$67)^(AY$133-1)*MAX(0,MIN(1,AY$132*1-Inputs!$C$68+1))/1</f>
        <v>0.5</v>
      </c>
      <c r="AZ246" s="115" t="n">
        <f aca="false">Inputs!$C$65*(1+Inputs!$C$67)^(AZ$133-1)*MAX(0,MIN(1,AZ$132*1-Inputs!$C$68+1))/1</f>
        <v>0.5</v>
      </c>
      <c r="BA246" s="115" t="n">
        <f aca="false">Inputs!$C$65*(1+Inputs!$C$67)^(BA$133-1)*MAX(0,MIN(1,BA$132*1-Inputs!$C$68+1))/1</f>
        <v>0.5</v>
      </c>
      <c r="BB246" s="115" t="n">
        <f aca="false">Inputs!$C$65*(1+Inputs!$C$67)^(BB$133-1)*MAX(0,MIN(1,BB$132*1-Inputs!$C$68+1))/1</f>
        <v>0.5</v>
      </c>
      <c r="BC246" s="115" t="n">
        <f aca="false">Inputs!$C$65*(1+Inputs!$C$67)^(BC$133-1)*MAX(0,MIN(1,BC$132*1-Inputs!$C$68+1))/1</f>
        <v>0.5</v>
      </c>
      <c r="BD246" s="115" t="n">
        <f aca="false">Inputs!$C$65*(1+Inputs!$C$67)^(BD$133-1)*MAX(0,MIN(1,BD$132*1-Inputs!$C$68+1))/1</f>
        <v>0.5</v>
      </c>
      <c r="BE246" s="115" t="n">
        <f aca="false">Inputs!$C$65*(1+Inputs!$C$67)^(BE$133-1)*MAX(0,MIN(1,BE$132*1-Inputs!$C$68+1))/1</f>
        <v>0.5</v>
      </c>
      <c r="BF246" s="115" t="n">
        <f aca="false">Inputs!$C$65*(1+Inputs!$C$67)^(BF$133-1)*MAX(0,MIN(1,BF$132*1-Inputs!$C$68+1))/1</f>
        <v>0.5</v>
      </c>
      <c r="BG246" s="115" t="n">
        <f aca="false">Inputs!$C$65*(1+Inputs!$C$67)^(BG$133-1)*MAX(0,MIN(1,BG$132*1-Inputs!$C$68+1))/1</f>
        <v>0.5</v>
      </c>
      <c r="BH246" s="115" t="n">
        <f aca="false">Inputs!$C$65*(1+Inputs!$C$67)^(BH$133-1)*MAX(0,MIN(1,BH$132*1-Inputs!$C$68+1))/1</f>
        <v>0.5</v>
      </c>
      <c r="BI246" s="115" t="n">
        <f aca="false">Inputs!$C$65*(1+Inputs!$C$67)^(BI$133-1)*MAX(0,MIN(1,BI$132*1-Inputs!$C$68+1))/1</f>
        <v>0.5</v>
      </c>
      <c r="BJ246" s="115" t="n">
        <f aca="false">Inputs!$C$65*(1+Inputs!$C$67)^(BJ$133-1)*MAX(0,MIN(1,BJ$132*1-Inputs!$C$68+1))/1</f>
        <v>0.5</v>
      </c>
    </row>
    <row r="247" customFormat="false" ht="15" hidden="false" customHeight="false" outlineLevel="0" collapsed="false">
      <c r="A247" s="110" t="s">
        <v>467</v>
      </c>
      <c r="C247" s="118" t="n">
        <f aca="false">C244+C245+C246</f>
        <v>2</v>
      </c>
      <c r="D247" s="118" t="n">
        <f aca="false">D244+D245+D246</f>
        <v>2</v>
      </c>
      <c r="E247" s="118" t="n">
        <f aca="false">E244+E245+E246</f>
        <v>2</v>
      </c>
      <c r="F247" s="118" t="n">
        <f aca="false">F244+F245+F246</f>
        <v>2</v>
      </c>
      <c r="G247" s="118" t="n">
        <f aca="false">G244+G245+G246</f>
        <v>2</v>
      </c>
      <c r="H247" s="118" t="n">
        <f aca="false">H244+H245+H246</f>
        <v>2</v>
      </c>
      <c r="I247" s="118" t="n">
        <f aca="false">I244+I245+I246</f>
        <v>2</v>
      </c>
      <c r="J247" s="118" t="n">
        <f aca="false">J244+J245+J246</f>
        <v>2</v>
      </c>
      <c r="K247" s="118" t="n">
        <f aca="false">K244+K245+K246</f>
        <v>2</v>
      </c>
      <c r="L247" s="118" t="n">
        <f aca="false">L244+L245+L246</f>
        <v>2</v>
      </c>
      <c r="M247" s="118" t="n">
        <f aca="false">M244+M245+M246</f>
        <v>2</v>
      </c>
      <c r="N247" s="118" t="n">
        <f aca="false">N244+N245+N246</f>
        <v>2</v>
      </c>
      <c r="O247" s="118" t="n">
        <f aca="false">O244+O245+O246</f>
        <v>2</v>
      </c>
      <c r="P247" s="118" t="n">
        <f aca="false">P244+P245+P246</f>
        <v>2</v>
      </c>
      <c r="Q247" s="118" t="n">
        <f aca="false">Q244+Q245+Q246</f>
        <v>2</v>
      </c>
      <c r="R247" s="118" t="n">
        <f aca="false">R244+R245+R246</f>
        <v>2</v>
      </c>
      <c r="S247" s="118" t="n">
        <f aca="false">S244+S245+S246</f>
        <v>2</v>
      </c>
      <c r="T247" s="118" t="n">
        <f aca="false">T244+T245+T246</f>
        <v>2</v>
      </c>
      <c r="U247" s="118" t="n">
        <f aca="false">U244+U245+U246</f>
        <v>2</v>
      </c>
      <c r="V247" s="118" t="n">
        <f aca="false">V244+V245+V246</f>
        <v>2</v>
      </c>
      <c r="W247" s="118" t="n">
        <f aca="false">W244+W245+W246</f>
        <v>2</v>
      </c>
      <c r="X247" s="118" t="n">
        <f aca="false">X244+X245+X246</f>
        <v>2</v>
      </c>
      <c r="Y247" s="118" t="n">
        <f aca="false">Y244+Y245+Y246</f>
        <v>2</v>
      </c>
      <c r="Z247" s="118" t="n">
        <f aca="false">Z244+Z245+Z246</f>
        <v>2</v>
      </c>
      <c r="AA247" s="118" t="n">
        <f aca="false">AA244+AA245+AA246</f>
        <v>2</v>
      </c>
      <c r="AB247" s="118" t="n">
        <f aca="false">AB244+AB245+AB246</f>
        <v>2</v>
      </c>
      <c r="AC247" s="118" t="n">
        <f aca="false">AC244+AC245+AC246</f>
        <v>2</v>
      </c>
      <c r="AD247" s="118" t="n">
        <f aca="false">AD244+AD245+AD246</f>
        <v>2</v>
      </c>
      <c r="AE247" s="118" t="n">
        <f aca="false">AE244+AE245+AE246</f>
        <v>2</v>
      </c>
      <c r="AF247" s="118" t="n">
        <f aca="false">AF244+AF245+AF246</f>
        <v>2</v>
      </c>
      <c r="AG247" s="118" t="n">
        <f aca="false">AG244+AG245+AG246</f>
        <v>2</v>
      </c>
      <c r="AH247" s="118" t="n">
        <f aca="false">AH244+AH245+AH246</f>
        <v>2</v>
      </c>
      <c r="AI247" s="118" t="n">
        <f aca="false">AI244+AI245+AI246</f>
        <v>2</v>
      </c>
      <c r="AJ247" s="118" t="n">
        <f aca="false">AJ244+AJ245+AJ246</f>
        <v>2</v>
      </c>
      <c r="AK247" s="118" t="n">
        <f aca="false">AK244+AK245+AK246</f>
        <v>2</v>
      </c>
      <c r="AL247" s="118" t="n">
        <f aca="false">AL244+AL245+AL246</f>
        <v>2</v>
      </c>
      <c r="AM247" s="118" t="n">
        <f aca="false">AM244+AM245+AM246</f>
        <v>2</v>
      </c>
      <c r="AN247" s="118" t="n">
        <f aca="false">AN244+AN245+AN246</f>
        <v>2</v>
      </c>
      <c r="AO247" s="118" t="n">
        <f aca="false">AO244+AO245+AO246</f>
        <v>2</v>
      </c>
      <c r="AP247" s="118" t="n">
        <f aca="false">AP244+AP245+AP246</f>
        <v>2</v>
      </c>
      <c r="AQ247" s="118" t="n">
        <f aca="false">AQ244+AQ245+AQ246</f>
        <v>2</v>
      </c>
      <c r="AR247" s="118" t="n">
        <f aca="false">AR244+AR245+AR246</f>
        <v>2</v>
      </c>
      <c r="AS247" s="118" t="n">
        <f aca="false">AS244+AS245+AS246</f>
        <v>2</v>
      </c>
      <c r="AT247" s="118" t="n">
        <f aca="false">AT244+AT245+AT246</f>
        <v>2</v>
      </c>
      <c r="AU247" s="118" t="n">
        <f aca="false">AU244+AU245+AU246</f>
        <v>2</v>
      </c>
      <c r="AV247" s="118" t="n">
        <f aca="false">AV244+AV245+AV246</f>
        <v>2</v>
      </c>
      <c r="AW247" s="118" t="n">
        <f aca="false">AW244+AW245+AW246</f>
        <v>2</v>
      </c>
      <c r="AX247" s="118" t="n">
        <f aca="false">AX244+AX245+AX246</f>
        <v>2</v>
      </c>
      <c r="AY247" s="118" t="n">
        <f aca="false">AY244+AY245+AY246</f>
        <v>2</v>
      </c>
      <c r="AZ247" s="118" t="n">
        <f aca="false">AZ244+AZ245+AZ246</f>
        <v>2</v>
      </c>
      <c r="BA247" s="118" t="n">
        <f aca="false">BA244+BA245+BA246</f>
        <v>2</v>
      </c>
      <c r="BB247" s="118" t="n">
        <f aca="false">BB244+BB245+BB246</f>
        <v>2</v>
      </c>
      <c r="BC247" s="118" t="n">
        <f aca="false">BC244+BC245+BC246</f>
        <v>2</v>
      </c>
      <c r="BD247" s="118" t="n">
        <f aca="false">BD244+BD245+BD246</f>
        <v>2</v>
      </c>
      <c r="BE247" s="118" t="n">
        <f aca="false">BE244+BE245+BE246</f>
        <v>2</v>
      </c>
      <c r="BF247" s="118" t="n">
        <f aca="false">BF244+BF245+BF246</f>
        <v>2</v>
      </c>
      <c r="BG247" s="118" t="n">
        <f aca="false">BG244+BG245+BG246</f>
        <v>2</v>
      </c>
      <c r="BH247" s="118" t="n">
        <f aca="false">BH244+BH245+BH246</f>
        <v>2</v>
      </c>
      <c r="BI247" s="118" t="n">
        <f aca="false">BI244+BI245+BI246</f>
        <v>2</v>
      </c>
      <c r="BJ247" s="118" t="n">
        <f aca="false">BJ244+BJ245+BJ246</f>
        <v>2</v>
      </c>
    </row>
    <row r="249" customFormat="false" ht="15.75" hidden="false" customHeight="true" outlineLevel="0" collapsed="false">
      <c r="A249" s="7" t="s">
        <v>468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6" t="s">
        <v>469</v>
      </c>
      <c r="C250" s="66" t="n">
        <f aca="false">-C244*Inputs!$C$58/12*1*(1+Inputs!$C$69)*(1+Inputs!$C$70)^(C$133-1)</f>
        <v>-5786.66666666667</v>
      </c>
      <c r="D250" s="66" t="n">
        <f aca="false">-D244*Inputs!$C$58/12*1*(1+Inputs!$C$69)*(1+Inputs!$C$70)^(D$133-1)</f>
        <v>-5786.66666666667</v>
      </c>
      <c r="E250" s="66" t="n">
        <f aca="false">-E244*Inputs!$C$58/12*1*(1+Inputs!$C$69)*(1+Inputs!$C$70)^(E$133-1)</f>
        <v>-5786.66666666667</v>
      </c>
      <c r="F250" s="66" t="n">
        <f aca="false">-F244*Inputs!$C$58/12*1*(1+Inputs!$C$69)*(1+Inputs!$C$70)^(F$133-1)</f>
        <v>-5786.66666666667</v>
      </c>
      <c r="G250" s="66" t="n">
        <f aca="false">-G244*Inputs!$C$58/12*1*(1+Inputs!$C$69)*(1+Inputs!$C$70)^(G$133-1)</f>
        <v>-5786.66666666667</v>
      </c>
      <c r="H250" s="66" t="n">
        <f aca="false">-H244*Inputs!$C$58/12*1*(1+Inputs!$C$69)*(1+Inputs!$C$70)^(H$133-1)</f>
        <v>-5786.66666666667</v>
      </c>
      <c r="I250" s="66" t="n">
        <f aca="false">-I244*Inputs!$C$58/12*1*(1+Inputs!$C$69)*(1+Inputs!$C$70)^(I$133-1)</f>
        <v>-5786.66666666667</v>
      </c>
      <c r="J250" s="66" t="n">
        <f aca="false">-J244*Inputs!$C$58/12*1*(1+Inputs!$C$69)*(1+Inputs!$C$70)^(J$133-1)</f>
        <v>-5786.66666666667</v>
      </c>
      <c r="K250" s="66" t="n">
        <f aca="false">-K244*Inputs!$C$58/12*1*(1+Inputs!$C$69)*(1+Inputs!$C$70)^(K$133-1)</f>
        <v>-5786.66666666667</v>
      </c>
      <c r="L250" s="66" t="n">
        <f aca="false">-L244*Inputs!$C$58/12*1*(1+Inputs!$C$69)*(1+Inputs!$C$70)^(L$133-1)</f>
        <v>-5786.66666666667</v>
      </c>
      <c r="M250" s="66" t="n">
        <f aca="false">-M244*Inputs!$C$58/12*1*(1+Inputs!$C$69)*(1+Inputs!$C$70)^(M$133-1)</f>
        <v>-5786.66666666667</v>
      </c>
      <c r="N250" s="66" t="n">
        <f aca="false">-N244*Inputs!$C$58/12*1*(1+Inputs!$C$69)*(1+Inputs!$C$70)^(N$133-1)</f>
        <v>-5786.66666666667</v>
      </c>
      <c r="O250" s="66" t="n">
        <f aca="false">-O244*Inputs!$C$58/12*1*(1+Inputs!$C$69)*(1+Inputs!$C$70)^(O$133-1)</f>
        <v>-5960.26666666667</v>
      </c>
      <c r="P250" s="66" t="n">
        <f aca="false">-P244*Inputs!$C$58/12*1*(1+Inputs!$C$69)*(1+Inputs!$C$70)^(P$133-1)</f>
        <v>-5960.26666666667</v>
      </c>
      <c r="Q250" s="66" t="n">
        <f aca="false">-Q244*Inputs!$C$58/12*1*(1+Inputs!$C$69)*(1+Inputs!$C$70)^(Q$133-1)</f>
        <v>-5960.26666666667</v>
      </c>
      <c r="R250" s="66" t="n">
        <f aca="false">-R244*Inputs!$C$58/12*1*(1+Inputs!$C$69)*(1+Inputs!$C$70)^(R$133-1)</f>
        <v>-5960.26666666667</v>
      </c>
      <c r="S250" s="66" t="n">
        <f aca="false">-S244*Inputs!$C$58/12*1*(1+Inputs!$C$69)*(1+Inputs!$C$70)^(S$133-1)</f>
        <v>-5960.26666666667</v>
      </c>
      <c r="T250" s="66" t="n">
        <f aca="false">-T244*Inputs!$C$58/12*1*(1+Inputs!$C$69)*(1+Inputs!$C$70)^(T$133-1)</f>
        <v>-5960.26666666667</v>
      </c>
      <c r="U250" s="66" t="n">
        <f aca="false">-U244*Inputs!$C$58/12*1*(1+Inputs!$C$69)*(1+Inputs!$C$70)^(U$133-1)</f>
        <v>-5960.26666666667</v>
      </c>
      <c r="V250" s="66" t="n">
        <f aca="false">-V244*Inputs!$C$58/12*1*(1+Inputs!$C$69)*(1+Inputs!$C$70)^(V$133-1)</f>
        <v>-5960.26666666667</v>
      </c>
      <c r="W250" s="66" t="n">
        <f aca="false">-W244*Inputs!$C$58/12*1*(1+Inputs!$C$69)*(1+Inputs!$C$70)^(W$133-1)</f>
        <v>-5960.26666666667</v>
      </c>
      <c r="X250" s="66" t="n">
        <f aca="false">-X244*Inputs!$C$58/12*1*(1+Inputs!$C$69)*(1+Inputs!$C$70)^(X$133-1)</f>
        <v>-5960.26666666667</v>
      </c>
      <c r="Y250" s="66" t="n">
        <f aca="false">-Y244*Inputs!$C$58/12*1*(1+Inputs!$C$69)*(1+Inputs!$C$70)^(Y$133-1)</f>
        <v>-5960.26666666667</v>
      </c>
      <c r="Z250" s="66" t="n">
        <f aca="false">-Z244*Inputs!$C$58/12*1*(1+Inputs!$C$69)*(1+Inputs!$C$70)^(Z$133-1)</f>
        <v>-5960.26666666667</v>
      </c>
      <c r="AA250" s="66" t="n">
        <f aca="false">-AA244*Inputs!$C$58/12*1*(1+Inputs!$C$69)*(1+Inputs!$C$70)^(AA$133-1)</f>
        <v>-6139.07466666667</v>
      </c>
      <c r="AB250" s="66" t="n">
        <f aca="false">-AB244*Inputs!$C$58/12*1*(1+Inputs!$C$69)*(1+Inputs!$C$70)^(AB$133-1)</f>
        <v>-6139.07466666667</v>
      </c>
      <c r="AC250" s="66" t="n">
        <f aca="false">-AC244*Inputs!$C$58/12*1*(1+Inputs!$C$69)*(1+Inputs!$C$70)^(AC$133-1)</f>
        <v>-6139.07466666667</v>
      </c>
      <c r="AD250" s="66" t="n">
        <f aca="false">-AD244*Inputs!$C$58/12*1*(1+Inputs!$C$69)*(1+Inputs!$C$70)^(AD$133-1)</f>
        <v>-6139.07466666667</v>
      </c>
      <c r="AE250" s="66" t="n">
        <f aca="false">-AE244*Inputs!$C$58/12*1*(1+Inputs!$C$69)*(1+Inputs!$C$70)^(AE$133-1)</f>
        <v>-6139.07466666667</v>
      </c>
      <c r="AF250" s="66" t="n">
        <f aca="false">-AF244*Inputs!$C$58/12*1*(1+Inputs!$C$69)*(1+Inputs!$C$70)^(AF$133-1)</f>
        <v>-6139.07466666667</v>
      </c>
      <c r="AG250" s="66" t="n">
        <f aca="false">-AG244*Inputs!$C$58/12*1*(1+Inputs!$C$69)*(1+Inputs!$C$70)^(AG$133-1)</f>
        <v>-6139.07466666667</v>
      </c>
      <c r="AH250" s="66" t="n">
        <f aca="false">-AH244*Inputs!$C$58/12*1*(1+Inputs!$C$69)*(1+Inputs!$C$70)^(AH$133-1)</f>
        <v>-6139.07466666667</v>
      </c>
      <c r="AI250" s="66" t="n">
        <f aca="false">-AI244*Inputs!$C$58/12*1*(1+Inputs!$C$69)*(1+Inputs!$C$70)^(AI$133-1)</f>
        <v>-6139.07466666667</v>
      </c>
      <c r="AJ250" s="66" t="n">
        <f aca="false">-AJ244*Inputs!$C$58/12*1*(1+Inputs!$C$69)*(1+Inputs!$C$70)^(AJ$133-1)</f>
        <v>-6139.07466666667</v>
      </c>
      <c r="AK250" s="66" t="n">
        <f aca="false">-AK244*Inputs!$C$58/12*1*(1+Inputs!$C$69)*(1+Inputs!$C$70)^(AK$133-1)</f>
        <v>-6139.07466666667</v>
      </c>
      <c r="AL250" s="66" t="n">
        <f aca="false">-AL244*Inputs!$C$58/12*1*(1+Inputs!$C$69)*(1+Inputs!$C$70)^(AL$133-1)</f>
        <v>-6139.07466666667</v>
      </c>
      <c r="AM250" s="66" t="n">
        <f aca="false">-AM244*Inputs!$C$58/12*1*(1+Inputs!$C$69)*(1+Inputs!$C$70)^(AM$133-1)</f>
        <v>-6323.24690666667</v>
      </c>
      <c r="AN250" s="66" t="n">
        <f aca="false">-AN244*Inputs!$C$58/12*1*(1+Inputs!$C$69)*(1+Inputs!$C$70)^(AN$133-1)</f>
        <v>-6323.24690666667</v>
      </c>
      <c r="AO250" s="66" t="n">
        <f aca="false">-AO244*Inputs!$C$58/12*1*(1+Inputs!$C$69)*(1+Inputs!$C$70)^(AO$133-1)</f>
        <v>-6323.24690666667</v>
      </c>
      <c r="AP250" s="66" t="n">
        <f aca="false">-AP244*Inputs!$C$58/12*1*(1+Inputs!$C$69)*(1+Inputs!$C$70)^(AP$133-1)</f>
        <v>-6323.24690666667</v>
      </c>
      <c r="AQ250" s="66" t="n">
        <f aca="false">-AQ244*Inputs!$C$58/12*1*(1+Inputs!$C$69)*(1+Inputs!$C$70)^(AQ$133-1)</f>
        <v>-6323.24690666667</v>
      </c>
      <c r="AR250" s="66" t="n">
        <f aca="false">-AR244*Inputs!$C$58/12*1*(1+Inputs!$C$69)*(1+Inputs!$C$70)^(AR$133-1)</f>
        <v>-6323.24690666667</v>
      </c>
      <c r="AS250" s="66" t="n">
        <f aca="false">-AS244*Inputs!$C$58/12*1*(1+Inputs!$C$69)*(1+Inputs!$C$70)^(AS$133-1)</f>
        <v>-6323.24690666667</v>
      </c>
      <c r="AT250" s="66" t="n">
        <f aca="false">-AT244*Inputs!$C$58/12*1*(1+Inputs!$C$69)*(1+Inputs!$C$70)^(AT$133-1)</f>
        <v>-6323.24690666667</v>
      </c>
      <c r="AU250" s="66" t="n">
        <f aca="false">-AU244*Inputs!$C$58/12*1*(1+Inputs!$C$69)*(1+Inputs!$C$70)^(AU$133-1)</f>
        <v>-6323.24690666667</v>
      </c>
      <c r="AV250" s="66" t="n">
        <f aca="false">-AV244*Inputs!$C$58/12*1*(1+Inputs!$C$69)*(1+Inputs!$C$70)^(AV$133-1)</f>
        <v>-6323.24690666667</v>
      </c>
      <c r="AW250" s="66" t="n">
        <f aca="false">-AW244*Inputs!$C$58/12*1*(1+Inputs!$C$69)*(1+Inputs!$C$70)^(AW$133-1)</f>
        <v>-6323.24690666667</v>
      </c>
      <c r="AX250" s="66" t="n">
        <f aca="false">-AX244*Inputs!$C$58/12*1*(1+Inputs!$C$69)*(1+Inputs!$C$70)^(AX$133-1)</f>
        <v>-6323.24690666667</v>
      </c>
      <c r="AY250" s="66" t="n">
        <f aca="false">-AY244*Inputs!$C$58/12*1*(1+Inputs!$C$69)*(1+Inputs!$C$70)^(AY$133-1)</f>
        <v>-6512.94431386667</v>
      </c>
      <c r="AZ250" s="66" t="n">
        <f aca="false">-AZ244*Inputs!$C$58/12*1*(1+Inputs!$C$69)*(1+Inputs!$C$70)^(AZ$133-1)</f>
        <v>-6512.94431386667</v>
      </c>
      <c r="BA250" s="66" t="n">
        <f aca="false">-BA244*Inputs!$C$58/12*1*(1+Inputs!$C$69)*(1+Inputs!$C$70)^(BA$133-1)</f>
        <v>-6512.94431386667</v>
      </c>
      <c r="BB250" s="66" t="n">
        <f aca="false">-BB244*Inputs!$C$58/12*1*(1+Inputs!$C$69)*(1+Inputs!$C$70)^(BB$133-1)</f>
        <v>-6512.94431386667</v>
      </c>
      <c r="BC250" s="66" t="n">
        <f aca="false">-BC244*Inputs!$C$58/12*1*(1+Inputs!$C$69)*(1+Inputs!$C$70)^(BC$133-1)</f>
        <v>-6512.94431386667</v>
      </c>
      <c r="BD250" s="66" t="n">
        <f aca="false">-BD244*Inputs!$C$58/12*1*(1+Inputs!$C$69)*(1+Inputs!$C$70)^(BD$133-1)</f>
        <v>-6512.94431386667</v>
      </c>
      <c r="BE250" s="66" t="n">
        <f aca="false">-BE244*Inputs!$C$58/12*1*(1+Inputs!$C$69)*(1+Inputs!$C$70)^(BE$133-1)</f>
        <v>-6512.94431386667</v>
      </c>
      <c r="BF250" s="66" t="n">
        <f aca="false">-BF244*Inputs!$C$58/12*1*(1+Inputs!$C$69)*(1+Inputs!$C$70)^(BF$133-1)</f>
        <v>-6512.94431386667</v>
      </c>
      <c r="BG250" s="66" t="n">
        <f aca="false">-BG244*Inputs!$C$58/12*1*(1+Inputs!$C$69)*(1+Inputs!$C$70)^(BG$133-1)</f>
        <v>-6512.94431386667</v>
      </c>
      <c r="BH250" s="66" t="n">
        <f aca="false">-BH244*Inputs!$C$58/12*1*(1+Inputs!$C$69)*(1+Inputs!$C$70)^(BH$133-1)</f>
        <v>-6512.94431386667</v>
      </c>
      <c r="BI250" s="66" t="n">
        <f aca="false">-BI244*Inputs!$C$58/12*1*(1+Inputs!$C$69)*(1+Inputs!$C$70)^(BI$133-1)</f>
        <v>-6512.94431386667</v>
      </c>
      <c r="BJ250" s="66" t="n">
        <f aca="false">-BJ244*Inputs!$C$58/12*1*(1+Inputs!$C$69)*(1+Inputs!$C$70)^(BJ$133-1)</f>
        <v>-6512.94431386667</v>
      </c>
    </row>
    <row r="251" customFormat="false" ht="15" hidden="false" customHeight="false" outlineLevel="0" collapsed="false">
      <c r="A251" s="6" t="s">
        <v>470</v>
      </c>
      <c r="C251" s="66" t="n">
        <f aca="false">-C245*Inputs!$C$62/12*1*(1+Inputs!$C$69)*(1+Inputs!$C$70)^(C$133-1)</f>
        <v>-1773.33333333333</v>
      </c>
      <c r="D251" s="66" t="n">
        <f aca="false">-D245*Inputs!$C$62/12*1*(1+Inputs!$C$69)*(1+Inputs!$C$70)^(D$133-1)</f>
        <v>-1773.33333333333</v>
      </c>
      <c r="E251" s="66" t="n">
        <f aca="false">-E245*Inputs!$C$62/12*1*(1+Inputs!$C$69)*(1+Inputs!$C$70)^(E$133-1)</f>
        <v>-1773.33333333333</v>
      </c>
      <c r="F251" s="66" t="n">
        <f aca="false">-F245*Inputs!$C$62/12*1*(1+Inputs!$C$69)*(1+Inputs!$C$70)^(F$133-1)</f>
        <v>-1773.33333333333</v>
      </c>
      <c r="G251" s="66" t="n">
        <f aca="false">-G245*Inputs!$C$62/12*1*(1+Inputs!$C$69)*(1+Inputs!$C$70)^(G$133-1)</f>
        <v>-1773.33333333333</v>
      </c>
      <c r="H251" s="66" t="n">
        <f aca="false">-H245*Inputs!$C$62/12*1*(1+Inputs!$C$69)*(1+Inputs!$C$70)^(H$133-1)</f>
        <v>-1773.33333333333</v>
      </c>
      <c r="I251" s="66" t="n">
        <f aca="false">-I245*Inputs!$C$62/12*1*(1+Inputs!$C$69)*(1+Inputs!$C$70)^(I$133-1)</f>
        <v>-1773.33333333333</v>
      </c>
      <c r="J251" s="66" t="n">
        <f aca="false">-J245*Inputs!$C$62/12*1*(1+Inputs!$C$69)*(1+Inputs!$C$70)^(J$133-1)</f>
        <v>-1773.33333333333</v>
      </c>
      <c r="K251" s="66" t="n">
        <f aca="false">-K245*Inputs!$C$62/12*1*(1+Inputs!$C$69)*(1+Inputs!$C$70)^(K$133-1)</f>
        <v>-1773.33333333333</v>
      </c>
      <c r="L251" s="66" t="n">
        <f aca="false">-L245*Inputs!$C$62/12*1*(1+Inputs!$C$69)*(1+Inputs!$C$70)^(L$133-1)</f>
        <v>-1773.33333333333</v>
      </c>
      <c r="M251" s="66" t="n">
        <f aca="false">-M245*Inputs!$C$62/12*1*(1+Inputs!$C$69)*(1+Inputs!$C$70)^(M$133-1)</f>
        <v>-1773.33333333333</v>
      </c>
      <c r="N251" s="66" t="n">
        <f aca="false">-N245*Inputs!$C$62/12*1*(1+Inputs!$C$69)*(1+Inputs!$C$70)^(N$133-1)</f>
        <v>-1773.33333333333</v>
      </c>
      <c r="O251" s="66" t="n">
        <f aca="false">-O245*Inputs!$C$62/12*1*(1+Inputs!$C$69)*(1+Inputs!$C$70)^(O$133-1)</f>
        <v>-1826.53333333333</v>
      </c>
      <c r="P251" s="66" t="n">
        <f aca="false">-P245*Inputs!$C$62/12*1*(1+Inputs!$C$69)*(1+Inputs!$C$70)^(P$133-1)</f>
        <v>-1826.53333333333</v>
      </c>
      <c r="Q251" s="66" t="n">
        <f aca="false">-Q245*Inputs!$C$62/12*1*(1+Inputs!$C$69)*(1+Inputs!$C$70)^(Q$133-1)</f>
        <v>-1826.53333333333</v>
      </c>
      <c r="R251" s="66" t="n">
        <f aca="false">-R245*Inputs!$C$62/12*1*(1+Inputs!$C$69)*(1+Inputs!$C$70)^(R$133-1)</f>
        <v>-1826.53333333333</v>
      </c>
      <c r="S251" s="66" t="n">
        <f aca="false">-S245*Inputs!$C$62/12*1*(1+Inputs!$C$69)*(1+Inputs!$C$70)^(S$133-1)</f>
        <v>-1826.53333333333</v>
      </c>
      <c r="T251" s="66" t="n">
        <f aca="false">-T245*Inputs!$C$62/12*1*(1+Inputs!$C$69)*(1+Inputs!$C$70)^(T$133-1)</f>
        <v>-1826.53333333333</v>
      </c>
      <c r="U251" s="66" t="n">
        <f aca="false">-U245*Inputs!$C$62/12*1*(1+Inputs!$C$69)*(1+Inputs!$C$70)^(U$133-1)</f>
        <v>-1826.53333333333</v>
      </c>
      <c r="V251" s="66" t="n">
        <f aca="false">-V245*Inputs!$C$62/12*1*(1+Inputs!$C$69)*(1+Inputs!$C$70)^(V$133-1)</f>
        <v>-1826.53333333333</v>
      </c>
      <c r="W251" s="66" t="n">
        <f aca="false">-W245*Inputs!$C$62/12*1*(1+Inputs!$C$69)*(1+Inputs!$C$70)^(W$133-1)</f>
        <v>-1826.53333333333</v>
      </c>
      <c r="X251" s="66" t="n">
        <f aca="false">-X245*Inputs!$C$62/12*1*(1+Inputs!$C$69)*(1+Inputs!$C$70)^(X$133-1)</f>
        <v>-1826.53333333333</v>
      </c>
      <c r="Y251" s="66" t="n">
        <f aca="false">-Y245*Inputs!$C$62/12*1*(1+Inputs!$C$69)*(1+Inputs!$C$70)^(Y$133-1)</f>
        <v>-1826.53333333333</v>
      </c>
      <c r="Z251" s="66" t="n">
        <f aca="false">-Z245*Inputs!$C$62/12*1*(1+Inputs!$C$69)*(1+Inputs!$C$70)^(Z$133-1)</f>
        <v>-1826.53333333333</v>
      </c>
      <c r="AA251" s="66" t="n">
        <f aca="false">-AA245*Inputs!$C$62/12*1*(1+Inputs!$C$69)*(1+Inputs!$C$70)^(AA$133-1)</f>
        <v>-1881.32933333333</v>
      </c>
      <c r="AB251" s="66" t="n">
        <f aca="false">-AB245*Inputs!$C$62/12*1*(1+Inputs!$C$69)*(1+Inputs!$C$70)^(AB$133-1)</f>
        <v>-1881.32933333333</v>
      </c>
      <c r="AC251" s="66" t="n">
        <f aca="false">-AC245*Inputs!$C$62/12*1*(1+Inputs!$C$69)*(1+Inputs!$C$70)^(AC$133-1)</f>
        <v>-1881.32933333333</v>
      </c>
      <c r="AD251" s="66" t="n">
        <f aca="false">-AD245*Inputs!$C$62/12*1*(1+Inputs!$C$69)*(1+Inputs!$C$70)^(AD$133-1)</f>
        <v>-1881.32933333333</v>
      </c>
      <c r="AE251" s="66" t="n">
        <f aca="false">-AE245*Inputs!$C$62/12*1*(1+Inputs!$C$69)*(1+Inputs!$C$70)^(AE$133-1)</f>
        <v>-1881.32933333333</v>
      </c>
      <c r="AF251" s="66" t="n">
        <f aca="false">-AF245*Inputs!$C$62/12*1*(1+Inputs!$C$69)*(1+Inputs!$C$70)^(AF$133-1)</f>
        <v>-1881.32933333333</v>
      </c>
      <c r="AG251" s="66" t="n">
        <f aca="false">-AG245*Inputs!$C$62/12*1*(1+Inputs!$C$69)*(1+Inputs!$C$70)^(AG$133-1)</f>
        <v>-1881.32933333333</v>
      </c>
      <c r="AH251" s="66" t="n">
        <f aca="false">-AH245*Inputs!$C$62/12*1*(1+Inputs!$C$69)*(1+Inputs!$C$70)^(AH$133-1)</f>
        <v>-1881.32933333333</v>
      </c>
      <c r="AI251" s="66" t="n">
        <f aca="false">-AI245*Inputs!$C$62/12*1*(1+Inputs!$C$69)*(1+Inputs!$C$70)^(AI$133-1)</f>
        <v>-1881.32933333333</v>
      </c>
      <c r="AJ251" s="66" t="n">
        <f aca="false">-AJ245*Inputs!$C$62/12*1*(1+Inputs!$C$69)*(1+Inputs!$C$70)^(AJ$133-1)</f>
        <v>-1881.32933333333</v>
      </c>
      <c r="AK251" s="66" t="n">
        <f aca="false">-AK245*Inputs!$C$62/12*1*(1+Inputs!$C$69)*(1+Inputs!$C$70)^(AK$133-1)</f>
        <v>-1881.32933333333</v>
      </c>
      <c r="AL251" s="66" t="n">
        <f aca="false">-AL245*Inputs!$C$62/12*1*(1+Inputs!$C$69)*(1+Inputs!$C$70)^(AL$133-1)</f>
        <v>-1881.32933333333</v>
      </c>
      <c r="AM251" s="66" t="n">
        <f aca="false">-AM245*Inputs!$C$62/12*1*(1+Inputs!$C$69)*(1+Inputs!$C$70)^(AM$133-1)</f>
        <v>-1937.76921333333</v>
      </c>
      <c r="AN251" s="66" t="n">
        <f aca="false">-AN245*Inputs!$C$62/12*1*(1+Inputs!$C$69)*(1+Inputs!$C$70)^(AN$133-1)</f>
        <v>-1937.76921333333</v>
      </c>
      <c r="AO251" s="66" t="n">
        <f aca="false">-AO245*Inputs!$C$62/12*1*(1+Inputs!$C$69)*(1+Inputs!$C$70)^(AO$133-1)</f>
        <v>-1937.76921333333</v>
      </c>
      <c r="AP251" s="66" t="n">
        <f aca="false">-AP245*Inputs!$C$62/12*1*(1+Inputs!$C$69)*(1+Inputs!$C$70)^(AP$133-1)</f>
        <v>-1937.76921333333</v>
      </c>
      <c r="AQ251" s="66" t="n">
        <f aca="false">-AQ245*Inputs!$C$62/12*1*(1+Inputs!$C$69)*(1+Inputs!$C$70)^(AQ$133-1)</f>
        <v>-1937.76921333333</v>
      </c>
      <c r="AR251" s="66" t="n">
        <f aca="false">-AR245*Inputs!$C$62/12*1*(1+Inputs!$C$69)*(1+Inputs!$C$70)^(AR$133-1)</f>
        <v>-1937.76921333333</v>
      </c>
      <c r="AS251" s="66" t="n">
        <f aca="false">-AS245*Inputs!$C$62/12*1*(1+Inputs!$C$69)*(1+Inputs!$C$70)^(AS$133-1)</f>
        <v>-1937.76921333333</v>
      </c>
      <c r="AT251" s="66" t="n">
        <f aca="false">-AT245*Inputs!$C$62/12*1*(1+Inputs!$C$69)*(1+Inputs!$C$70)^(AT$133-1)</f>
        <v>-1937.76921333333</v>
      </c>
      <c r="AU251" s="66" t="n">
        <f aca="false">-AU245*Inputs!$C$62/12*1*(1+Inputs!$C$69)*(1+Inputs!$C$70)^(AU$133-1)</f>
        <v>-1937.76921333333</v>
      </c>
      <c r="AV251" s="66" t="n">
        <f aca="false">-AV245*Inputs!$C$62/12*1*(1+Inputs!$C$69)*(1+Inputs!$C$70)^(AV$133-1)</f>
        <v>-1937.76921333333</v>
      </c>
      <c r="AW251" s="66" t="n">
        <f aca="false">-AW245*Inputs!$C$62/12*1*(1+Inputs!$C$69)*(1+Inputs!$C$70)^(AW$133-1)</f>
        <v>-1937.76921333333</v>
      </c>
      <c r="AX251" s="66" t="n">
        <f aca="false">-AX245*Inputs!$C$62/12*1*(1+Inputs!$C$69)*(1+Inputs!$C$70)^(AX$133-1)</f>
        <v>-1937.76921333333</v>
      </c>
      <c r="AY251" s="66" t="n">
        <f aca="false">-AY245*Inputs!$C$62/12*1*(1+Inputs!$C$69)*(1+Inputs!$C$70)^(AY$133-1)</f>
        <v>-1995.90228973333</v>
      </c>
      <c r="AZ251" s="66" t="n">
        <f aca="false">-AZ245*Inputs!$C$62/12*1*(1+Inputs!$C$69)*(1+Inputs!$C$70)^(AZ$133-1)</f>
        <v>-1995.90228973333</v>
      </c>
      <c r="BA251" s="66" t="n">
        <f aca="false">-BA245*Inputs!$C$62/12*1*(1+Inputs!$C$69)*(1+Inputs!$C$70)^(BA$133-1)</f>
        <v>-1995.90228973333</v>
      </c>
      <c r="BB251" s="66" t="n">
        <f aca="false">-BB245*Inputs!$C$62/12*1*(1+Inputs!$C$69)*(1+Inputs!$C$70)^(BB$133-1)</f>
        <v>-1995.90228973333</v>
      </c>
      <c r="BC251" s="66" t="n">
        <f aca="false">-BC245*Inputs!$C$62/12*1*(1+Inputs!$C$69)*(1+Inputs!$C$70)^(BC$133-1)</f>
        <v>-1995.90228973333</v>
      </c>
      <c r="BD251" s="66" t="n">
        <f aca="false">-BD245*Inputs!$C$62/12*1*(1+Inputs!$C$69)*(1+Inputs!$C$70)^(BD$133-1)</f>
        <v>-1995.90228973333</v>
      </c>
      <c r="BE251" s="66" t="n">
        <f aca="false">-BE245*Inputs!$C$62/12*1*(1+Inputs!$C$69)*(1+Inputs!$C$70)^(BE$133-1)</f>
        <v>-1995.90228973333</v>
      </c>
      <c r="BF251" s="66" t="n">
        <f aca="false">-BF245*Inputs!$C$62/12*1*(1+Inputs!$C$69)*(1+Inputs!$C$70)^(BF$133-1)</f>
        <v>-1995.90228973333</v>
      </c>
      <c r="BG251" s="66" t="n">
        <f aca="false">-BG245*Inputs!$C$62/12*1*(1+Inputs!$C$69)*(1+Inputs!$C$70)^(BG$133-1)</f>
        <v>-1995.90228973333</v>
      </c>
      <c r="BH251" s="66" t="n">
        <f aca="false">-BH245*Inputs!$C$62/12*1*(1+Inputs!$C$69)*(1+Inputs!$C$70)^(BH$133-1)</f>
        <v>-1995.90228973333</v>
      </c>
      <c r="BI251" s="66" t="n">
        <f aca="false">-BI245*Inputs!$C$62/12*1*(1+Inputs!$C$69)*(1+Inputs!$C$70)^(BI$133-1)</f>
        <v>-1995.90228973333</v>
      </c>
      <c r="BJ251" s="66" t="n">
        <f aca="false">-BJ245*Inputs!$C$62/12*1*(1+Inputs!$C$69)*(1+Inputs!$C$70)^(BJ$133-1)</f>
        <v>-1995.90228973333</v>
      </c>
    </row>
    <row r="252" customFormat="false" ht="15" hidden="false" customHeight="false" outlineLevel="0" collapsed="false">
      <c r="A252" s="6" t="s">
        <v>471</v>
      </c>
      <c r="C252" s="66" t="n">
        <f aca="false">-C246*Inputs!$C$66/12*1*(1+Inputs!$C$69)*(1+Inputs!$C$70)^(C$133-1)</f>
        <v>-1586.66666666667</v>
      </c>
      <c r="D252" s="66" t="n">
        <f aca="false">-D246*Inputs!$C$66/12*1*(1+Inputs!$C$69)*(1+Inputs!$C$70)^(D$133-1)</f>
        <v>-1586.66666666667</v>
      </c>
      <c r="E252" s="66" t="n">
        <f aca="false">-E246*Inputs!$C$66/12*1*(1+Inputs!$C$69)*(1+Inputs!$C$70)^(E$133-1)</f>
        <v>-1586.66666666667</v>
      </c>
      <c r="F252" s="66" t="n">
        <f aca="false">-F246*Inputs!$C$66/12*1*(1+Inputs!$C$69)*(1+Inputs!$C$70)^(F$133-1)</f>
        <v>-1586.66666666667</v>
      </c>
      <c r="G252" s="66" t="n">
        <f aca="false">-G246*Inputs!$C$66/12*1*(1+Inputs!$C$69)*(1+Inputs!$C$70)^(G$133-1)</f>
        <v>-1586.66666666667</v>
      </c>
      <c r="H252" s="66" t="n">
        <f aca="false">-H246*Inputs!$C$66/12*1*(1+Inputs!$C$69)*(1+Inputs!$C$70)^(H$133-1)</f>
        <v>-1586.66666666667</v>
      </c>
      <c r="I252" s="66" t="n">
        <f aca="false">-I246*Inputs!$C$66/12*1*(1+Inputs!$C$69)*(1+Inputs!$C$70)^(I$133-1)</f>
        <v>-1586.66666666667</v>
      </c>
      <c r="J252" s="66" t="n">
        <f aca="false">-J246*Inputs!$C$66/12*1*(1+Inputs!$C$69)*(1+Inputs!$C$70)^(J$133-1)</f>
        <v>-1586.66666666667</v>
      </c>
      <c r="K252" s="66" t="n">
        <f aca="false">-K246*Inputs!$C$66/12*1*(1+Inputs!$C$69)*(1+Inputs!$C$70)^(K$133-1)</f>
        <v>-1586.66666666667</v>
      </c>
      <c r="L252" s="66" t="n">
        <f aca="false">-L246*Inputs!$C$66/12*1*(1+Inputs!$C$69)*(1+Inputs!$C$70)^(L$133-1)</f>
        <v>-1586.66666666667</v>
      </c>
      <c r="M252" s="66" t="n">
        <f aca="false">-M246*Inputs!$C$66/12*1*(1+Inputs!$C$69)*(1+Inputs!$C$70)^(M$133-1)</f>
        <v>-1586.66666666667</v>
      </c>
      <c r="N252" s="66" t="n">
        <f aca="false">-N246*Inputs!$C$66/12*1*(1+Inputs!$C$69)*(1+Inputs!$C$70)^(N$133-1)</f>
        <v>-1586.66666666667</v>
      </c>
      <c r="O252" s="66" t="n">
        <f aca="false">-O246*Inputs!$C$66/12*1*(1+Inputs!$C$69)*(1+Inputs!$C$70)^(O$133-1)</f>
        <v>-1634.26666666667</v>
      </c>
      <c r="P252" s="66" t="n">
        <f aca="false">-P246*Inputs!$C$66/12*1*(1+Inputs!$C$69)*(1+Inputs!$C$70)^(P$133-1)</f>
        <v>-1634.26666666667</v>
      </c>
      <c r="Q252" s="66" t="n">
        <f aca="false">-Q246*Inputs!$C$66/12*1*(1+Inputs!$C$69)*(1+Inputs!$C$70)^(Q$133-1)</f>
        <v>-1634.26666666667</v>
      </c>
      <c r="R252" s="66" t="n">
        <f aca="false">-R246*Inputs!$C$66/12*1*(1+Inputs!$C$69)*(1+Inputs!$C$70)^(R$133-1)</f>
        <v>-1634.26666666667</v>
      </c>
      <c r="S252" s="66" t="n">
        <f aca="false">-S246*Inputs!$C$66/12*1*(1+Inputs!$C$69)*(1+Inputs!$C$70)^(S$133-1)</f>
        <v>-1634.26666666667</v>
      </c>
      <c r="T252" s="66" t="n">
        <f aca="false">-T246*Inputs!$C$66/12*1*(1+Inputs!$C$69)*(1+Inputs!$C$70)^(T$133-1)</f>
        <v>-1634.26666666667</v>
      </c>
      <c r="U252" s="66" t="n">
        <f aca="false">-U246*Inputs!$C$66/12*1*(1+Inputs!$C$69)*(1+Inputs!$C$70)^(U$133-1)</f>
        <v>-1634.26666666667</v>
      </c>
      <c r="V252" s="66" t="n">
        <f aca="false">-V246*Inputs!$C$66/12*1*(1+Inputs!$C$69)*(1+Inputs!$C$70)^(V$133-1)</f>
        <v>-1634.26666666667</v>
      </c>
      <c r="W252" s="66" t="n">
        <f aca="false">-W246*Inputs!$C$66/12*1*(1+Inputs!$C$69)*(1+Inputs!$C$70)^(W$133-1)</f>
        <v>-1634.26666666667</v>
      </c>
      <c r="X252" s="66" t="n">
        <f aca="false">-X246*Inputs!$C$66/12*1*(1+Inputs!$C$69)*(1+Inputs!$C$70)^(X$133-1)</f>
        <v>-1634.26666666667</v>
      </c>
      <c r="Y252" s="66" t="n">
        <f aca="false">-Y246*Inputs!$C$66/12*1*(1+Inputs!$C$69)*(1+Inputs!$C$70)^(Y$133-1)</f>
        <v>-1634.26666666667</v>
      </c>
      <c r="Z252" s="66" t="n">
        <f aca="false">-Z246*Inputs!$C$66/12*1*(1+Inputs!$C$69)*(1+Inputs!$C$70)^(Z$133-1)</f>
        <v>-1634.26666666667</v>
      </c>
      <c r="AA252" s="66" t="n">
        <f aca="false">-AA246*Inputs!$C$66/12*1*(1+Inputs!$C$69)*(1+Inputs!$C$70)^(AA$133-1)</f>
        <v>-1683.29466666667</v>
      </c>
      <c r="AB252" s="66" t="n">
        <f aca="false">-AB246*Inputs!$C$66/12*1*(1+Inputs!$C$69)*(1+Inputs!$C$70)^(AB$133-1)</f>
        <v>-1683.29466666667</v>
      </c>
      <c r="AC252" s="66" t="n">
        <f aca="false">-AC246*Inputs!$C$66/12*1*(1+Inputs!$C$69)*(1+Inputs!$C$70)^(AC$133-1)</f>
        <v>-1683.29466666667</v>
      </c>
      <c r="AD252" s="66" t="n">
        <f aca="false">-AD246*Inputs!$C$66/12*1*(1+Inputs!$C$69)*(1+Inputs!$C$70)^(AD$133-1)</f>
        <v>-1683.29466666667</v>
      </c>
      <c r="AE252" s="66" t="n">
        <f aca="false">-AE246*Inputs!$C$66/12*1*(1+Inputs!$C$69)*(1+Inputs!$C$70)^(AE$133-1)</f>
        <v>-1683.29466666667</v>
      </c>
      <c r="AF252" s="66" t="n">
        <f aca="false">-AF246*Inputs!$C$66/12*1*(1+Inputs!$C$69)*(1+Inputs!$C$70)^(AF$133-1)</f>
        <v>-1683.29466666667</v>
      </c>
      <c r="AG252" s="66" t="n">
        <f aca="false">-AG246*Inputs!$C$66/12*1*(1+Inputs!$C$69)*(1+Inputs!$C$70)^(AG$133-1)</f>
        <v>-1683.29466666667</v>
      </c>
      <c r="AH252" s="66" t="n">
        <f aca="false">-AH246*Inputs!$C$66/12*1*(1+Inputs!$C$69)*(1+Inputs!$C$70)^(AH$133-1)</f>
        <v>-1683.29466666667</v>
      </c>
      <c r="AI252" s="66" t="n">
        <f aca="false">-AI246*Inputs!$C$66/12*1*(1+Inputs!$C$69)*(1+Inputs!$C$70)^(AI$133-1)</f>
        <v>-1683.29466666667</v>
      </c>
      <c r="AJ252" s="66" t="n">
        <f aca="false">-AJ246*Inputs!$C$66/12*1*(1+Inputs!$C$69)*(1+Inputs!$C$70)^(AJ$133-1)</f>
        <v>-1683.29466666667</v>
      </c>
      <c r="AK252" s="66" t="n">
        <f aca="false">-AK246*Inputs!$C$66/12*1*(1+Inputs!$C$69)*(1+Inputs!$C$70)^(AK$133-1)</f>
        <v>-1683.29466666667</v>
      </c>
      <c r="AL252" s="66" t="n">
        <f aca="false">-AL246*Inputs!$C$66/12*1*(1+Inputs!$C$69)*(1+Inputs!$C$70)^(AL$133-1)</f>
        <v>-1683.29466666667</v>
      </c>
      <c r="AM252" s="66" t="n">
        <f aca="false">-AM246*Inputs!$C$66/12*1*(1+Inputs!$C$69)*(1+Inputs!$C$70)^(AM$133-1)</f>
        <v>-1733.79350666667</v>
      </c>
      <c r="AN252" s="66" t="n">
        <f aca="false">-AN246*Inputs!$C$66/12*1*(1+Inputs!$C$69)*(1+Inputs!$C$70)^(AN$133-1)</f>
        <v>-1733.79350666667</v>
      </c>
      <c r="AO252" s="66" t="n">
        <f aca="false">-AO246*Inputs!$C$66/12*1*(1+Inputs!$C$69)*(1+Inputs!$C$70)^(AO$133-1)</f>
        <v>-1733.79350666667</v>
      </c>
      <c r="AP252" s="66" t="n">
        <f aca="false">-AP246*Inputs!$C$66/12*1*(1+Inputs!$C$69)*(1+Inputs!$C$70)^(AP$133-1)</f>
        <v>-1733.79350666667</v>
      </c>
      <c r="AQ252" s="66" t="n">
        <f aca="false">-AQ246*Inputs!$C$66/12*1*(1+Inputs!$C$69)*(1+Inputs!$C$70)^(AQ$133-1)</f>
        <v>-1733.79350666667</v>
      </c>
      <c r="AR252" s="66" t="n">
        <f aca="false">-AR246*Inputs!$C$66/12*1*(1+Inputs!$C$69)*(1+Inputs!$C$70)^(AR$133-1)</f>
        <v>-1733.79350666667</v>
      </c>
      <c r="AS252" s="66" t="n">
        <f aca="false">-AS246*Inputs!$C$66/12*1*(1+Inputs!$C$69)*(1+Inputs!$C$70)^(AS$133-1)</f>
        <v>-1733.79350666667</v>
      </c>
      <c r="AT252" s="66" t="n">
        <f aca="false">-AT246*Inputs!$C$66/12*1*(1+Inputs!$C$69)*(1+Inputs!$C$70)^(AT$133-1)</f>
        <v>-1733.79350666667</v>
      </c>
      <c r="AU252" s="66" t="n">
        <f aca="false">-AU246*Inputs!$C$66/12*1*(1+Inputs!$C$69)*(1+Inputs!$C$70)^(AU$133-1)</f>
        <v>-1733.79350666667</v>
      </c>
      <c r="AV252" s="66" t="n">
        <f aca="false">-AV246*Inputs!$C$66/12*1*(1+Inputs!$C$69)*(1+Inputs!$C$70)^(AV$133-1)</f>
        <v>-1733.79350666667</v>
      </c>
      <c r="AW252" s="66" t="n">
        <f aca="false">-AW246*Inputs!$C$66/12*1*(1+Inputs!$C$69)*(1+Inputs!$C$70)^(AW$133-1)</f>
        <v>-1733.79350666667</v>
      </c>
      <c r="AX252" s="66" t="n">
        <f aca="false">-AX246*Inputs!$C$66/12*1*(1+Inputs!$C$69)*(1+Inputs!$C$70)^(AX$133-1)</f>
        <v>-1733.79350666667</v>
      </c>
      <c r="AY252" s="66" t="n">
        <f aca="false">-AY246*Inputs!$C$66/12*1*(1+Inputs!$C$69)*(1+Inputs!$C$70)^(AY$133-1)</f>
        <v>-1785.80731186667</v>
      </c>
      <c r="AZ252" s="66" t="n">
        <f aca="false">-AZ246*Inputs!$C$66/12*1*(1+Inputs!$C$69)*(1+Inputs!$C$70)^(AZ$133-1)</f>
        <v>-1785.80731186667</v>
      </c>
      <c r="BA252" s="66" t="n">
        <f aca="false">-BA246*Inputs!$C$66/12*1*(1+Inputs!$C$69)*(1+Inputs!$C$70)^(BA$133-1)</f>
        <v>-1785.80731186667</v>
      </c>
      <c r="BB252" s="66" t="n">
        <f aca="false">-BB246*Inputs!$C$66/12*1*(1+Inputs!$C$69)*(1+Inputs!$C$70)^(BB$133-1)</f>
        <v>-1785.80731186667</v>
      </c>
      <c r="BC252" s="66" t="n">
        <f aca="false">-BC246*Inputs!$C$66/12*1*(1+Inputs!$C$69)*(1+Inputs!$C$70)^(BC$133-1)</f>
        <v>-1785.80731186667</v>
      </c>
      <c r="BD252" s="66" t="n">
        <f aca="false">-BD246*Inputs!$C$66/12*1*(1+Inputs!$C$69)*(1+Inputs!$C$70)^(BD$133-1)</f>
        <v>-1785.80731186667</v>
      </c>
      <c r="BE252" s="66" t="n">
        <f aca="false">-BE246*Inputs!$C$66/12*1*(1+Inputs!$C$69)*(1+Inputs!$C$70)^(BE$133-1)</f>
        <v>-1785.80731186667</v>
      </c>
      <c r="BF252" s="66" t="n">
        <f aca="false">-BF246*Inputs!$C$66/12*1*(1+Inputs!$C$69)*(1+Inputs!$C$70)^(BF$133-1)</f>
        <v>-1785.80731186667</v>
      </c>
      <c r="BG252" s="66" t="n">
        <f aca="false">-BG246*Inputs!$C$66/12*1*(1+Inputs!$C$69)*(1+Inputs!$C$70)^(BG$133-1)</f>
        <v>-1785.80731186667</v>
      </c>
      <c r="BH252" s="66" t="n">
        <f aca="false">-BH246*Inputs!$C$66/12*1*(1+Inputs!$C$69)*(1+Inputs!$C$70)^(BH$133-1)</f>
        <v>-1785.80731186667</v>
      </c>
      <c r="BI252" s="66" t="n">
        <f aca="false">-BI246*Inputs!$C$66/12*1*(1+Inputs!$C$69)*(1+Inputs!$C$70)^(BI$133-1)</f>
        <v>-1785.80731186667</v>
      </c>
      <c r="BJ252" s="66" t="n">
        <f aca="false">-BJ246*Inputs!$C$66/12*1*(1+Inputs!$C$69)*(1+Inputs!$C$70)^(BJ$133-1)</f>
        <v>-1785.80731186667</v>
      </c>
    </row>
    <row r="253" customFormat="false" ht="15" hidden="false" customHeight="false" outlineLevel="0" collapsed="false">
      <c r="A253" s="110" t="s">
        <v>472</v>
      </c>
      <c r="C253" s="67" t="n">
        <f aca="false">C250+C251+C252</f>
        <v>-9146.66666666667</v>
      </c>
      <c r="D253" s="67" t="n">
        <f aca="false">D250+D251+D252</f>
        <v>-9146.66666666667</v>
      </c>
      <c r="E253" s="67" t="n">
        <f aca="false">E250+E251+E252</f>
        <v>-9146.66666666667</v>
      </c>
      <c r="F253" s="67" t="n">
        <f aca="false">F250+F251+F252</f>
        <v>-9146.66666666667</v>
      </c>
      <c r="G253" s="67" t="n">
        <f aca="false">G250+G251+G252</f>
        <v>-9146.66666666667</v>
      </c>
      <c r="H253" s="67" t="n">
        <f aca="false">H250+H251+H252</f>
        <v>-9146.66666666667</v>
      </c>
      <c r="I253" s="67" t="n">
        <f aca="false">I250+I251+I252</f>
        <v>-9146.66666666667</v>
      </c>
      <c r="J253" s="67" t="n">
        <f aca="false">J250+J251+J252</f>
        <v>-9146.66666666667</v>
      </c>
      <c r="K253" s="67" t="n">
        <f aca="false">K250+K251+K252</f>
        <v>-9146.66666666667</v>
      </c>
      <c r="L253" s="67" t="n">
        <f aca="false">L250+L251+L252</f>
        <v>-9146.66666666667</v>
      </c>
      <c r="M253" s="67" t="n">
        <f aca="false">M250+M251+M252</f>
        <v>-9146.66666666667</v>
      </c>
      <c r="N253" s="67" t="n">
        <f aca="false">N250+N251+N252</f>
        <v>-9146.66666666667</v>
      </c>
      <c r="O253" s="67" t="n">
        <f aca="false">O250+O251+O252</f>
        <v>-9421.06666666667</v>
      </c>
      <c r="P253" s="67" t="n">
        <f aca="false">P250+P251+P252</f>
        <v>-9421.06666666667</v>
      </c>
      <c r="Q253" s="67" t="n">
        <f aca="false">Q250+Q251+Q252</f>
        <v>-9421.06666666667</v>
      </c>
      <c r="R253" s="67" t="n">
        <f aca="false">R250+R251+R252</f>
        <v>-9421.06666666667</v>
      </c>
      <c r="S253" s="67" t="n">
        <f aca="false">S250+S251+S252</f>
        <v>-9421.06666666667</v>
      </c>
      <c r="T253" s="67" t="n">
        <f aca="false">T250+T251+T252</f>
        <v>-9421.06666666667</v>
      </c>
      <c r="U253" s="67" t="n">
        <f aca="false">U250+U251+U252</f>
        <v>-9421.06666666667</v>
      </c>
      <c r="V253" s="67" t="n">
        <f aca="false">V250+V251+V252</f>
        <v>-9421.06666666667</v>
      </c>
      <c r="W253" s="67" t="n">
        <f aca="false">W250+W251+W252</f>
        <v>-9421.06666666667</v>
      </c>
      <c r="X253" s="67" t="n">
        <f aca="false">X250+X251+X252</f>
        <v>-9421.06666666667</v>
      </c>
      <c r="Y253" s="67" t="n">
        <f aca="false">Y250+Y251+Y252</f>
        <v>-9421.06666666667</v>
      </c>
      <c r="Z253" s="67" t="n">
        <f aca="false">Z250+Z251+Z252</f>
        <v>-9421.06666666667</v>
      </c>
      <c r="AA253" s="67" t="n">
        <f aca="false">AA250+AA251+AA252</f>
        <v>-9703.69866666667</v>
      </c>
      <c r="AB253" s="67" t="n">
        <f aca="false">AB250+AB251+AB252</f>
        <v>-9703.69866666667</v>
      </c>
      <c r="AC253" s="67" t="n">
        <f aca="false">AC250+AC251+AC252</f>
        <v>-9703.69866666667</v>
      </c>
      <c r="AD253" s="67" t="n">
        <f aca="false">AD250+AD251+AD252</f>
        <v>-9703.69866666667</v>
      </c>
      <c r="AE253" s="67" t="n">
        <f aca="false">AE250+AE251+AE252</f>
        <v>-9703.69866666667</v>
      </c>
      <c r="AF253" s="67" t="n">
        <f aca="false">AF250+AF251+AF252</f>
        <v>-9703.69866666667</v>
      </c>
      <c r="AG253" s="67" t="n">
        <f aca="false">AG250+AG251+AG252</f>
        <v>-9703.69866666667</v>
      </c>
      <c r="AH253" s="67" t="n">
        <f aca="false">AH250+AH251+AH252</f>
        <v>-9703.69866666667</v>
      </c>
      <c r="AI253" s="67" t="n">
        <f aca="false">AI250+AI251+AI252</f>
        <v>-9703.69866666667</v>
      </c>
      <c r="AJ253" s="67" t="n">
        <f aca="false">AJ250+AJ251+AJ252</f>
        <v>-9703.69866666667</v>
      </c>
      <c r="AK253" s="67" t="n">
        <f aca="false">AK250+AK251+AK252</f>
        <v>-9703.69866666667</v>
      </c>
      <c r="AL253" s="67" t="n">
        <f aca="false">AL250+AL251+AL252</f>
        <v>-9703.69866666667</v>
      </c>
      <c r="AM253" s="67" t="n">
        <f aca="false">AM250+AM251+AM252</f>
        <v>-9994.80962666667</v>
      </c>
      <c r="AN253" s="67" t="n">
        <f aca="false">AN250+AN251+AN252</f>
        <v>-9994.80962666667</v>
      </c>
      <c r="AO253" s="67" t="n">
        <f aca="false">AO250+AO251+AO252</f>
        <v>-9994.80962666667</v>
      </c>
      <c r="AP253" s="67" t="n">
        <f aca="false">AP250+AP251+AP252</f>
        <v>-9994.80962666667</v>
      </c>
      <c r="AQ253" s="67" t="n">
        <f aca="false">AQ250+AQ251+AQ252</f>
        <v>-9994.80962666667</v>
      </c>
      <c r="AR253" s="67" t="n">
        <f aca="false">AR250+AR251+AR252</f>
        <v>-9994.80962666667</v>
      </c>
      <c r="AS253" s="67" t="n">
        <f aca="false">AS250+AS251+AS252</f>
        <v>-9994.80962666667</v>
      </c>
      <c r="AT253" s="67" t="n">
        <f aca="false">AT250+AT251+AT252</f>
        <v>-9994.80962666667</v>
      </c>
      <c r="AU253" s="67" t="n">
        <f aca="false">AU250+AU251+AU252</f>
        <v>-9994.80962666667</v>
      </c>
      <c r="AV253" s="67" t="n">
        <f aca="false">AV250+AV251+AV252</f>
        <v>-9994.80962666667</v>
      </c>
      <c r="AW253" s="67" t="n">
        <f aca="false">AW250+AW251+AW252</f>
        <v>-9994.80962666667</v>
      </c>
      <c r="AX253" s="67" t="n">
        <f aca="false">AX250+AX251+AX252</f>
        <v>-9994.80962666667</v>
      </c>
      <c r="AY253" s="67" t="n">
        <f aca="false">AY250+AY251+AY252</f>
        <v>-10294.6539154667</v>
      </c>
      <c r="AZ253" s="67" t="n">
        <f aca="false">AZ250+AZ251+AZ252</f>
        <v>-10294.6539154667</v>
      </c>
      <c r="BA253" s="67" t="n">
        <f aca="false">BA250+BA251+BA252</f>
        <v>-10294.6539154667</v>
      </c>
      <c r="BB253" s="67" t="n">
        <f aca="false">BB250+BB251+BB252</f>
        <v>-10294.6539154667</v>
      </c>
      <c r="BC253" s="67" t="n">
        <f aca="false">BC250+BC251+BC252</f>
        <v>-10294.6539154667</v>
      </c>
      <c r="BD253" s="67" t="n">
        <f aca="false">BD250+BD251+BD252</f>
        <v>-10294.6539154667</v>
      </c>
      <c r="BE253" s="67" t="n">
        <f aca="false">BE250+BE251+BE252</f>
        <v>-10294.6539154667</v>
      </c>
      <c r="BF253" s="67" t="n">
        <f aca="false">BF250+BF251+BF252</f>
        <v>-10294.6539154667</v>
      </c>
      <c r="BG253" s="67" t="n">
        <f aca="false">BG250+BG251+BG252</f>
        <v>-10294.6539154667</v>
      </c>
      <c r="BH253" s="67" t="n">
        <f aca="false">BH250+BH251+BH252</f>
        <v>-10294.6539154667</v>
      </c>
      <c r="BI253" s="67" t="n">
        <f aca="false">BI250+BI251+BI252</f>
        <v>-10294.6539154667</v>
      </c>
      <c r="BJ253" s="67" t="n">
        <f aca="false">BJ250+BJ251+BJ252</f>
        <v>-10294.6539154667</v>
      </c>
    </row>
    <row r="256" customFormat="false" ht="15.75" hidden="false" customHeight="true" outlineLevel="0" collapsed="false">
      <c r="A256" s="7" t="s">
        <v>477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customFormat="false" ht="15" hidden="false" customHeight="false" outlineLevel="0" collapsed="false">
      <c r="A257" s="33" t="s">
        <v>355</v>
      </c>
      <c r="C257" s="51" t="s">
        <v>356</v>
      </c>
      <c r="D257" s="51" t="s">
        <v>357</v>
      </c>
      <c r="E257" s="51" t="s">
        <v>358</v>
      </c>
      <c r="F257" s="51" t="s">
        <v>359</v>
      </c>
      <c r="G257" s="51" t="s">
        <v>360</v>
      </c>
      <c r="H257" s="51" t="s">
        <v>361</v>
      </c>
      <c r="I257" s="51" t="s">
        <v>362</v>
      </c>
      <c r="J257" s="51" t="s">
        <v>363</v>
      </c>
      <c r="K257" s="51" t="s">
        <v>364</v>
      </c>
      <c r="L257" s="51" t="s">
        <v>365</v>
      </c>
      <c r="M257" s="51" t="s">
        <v>366</v>
      </c>
      <c r="N257" s="51" t="s">
        <v>367</v>
      </c>
      <c r="O257" s="51" t="s">
        <v>368</v>
      </c>
      <c r="P257" s="51" t="s">
        <v>369</v>
      </c>
      <c r="Q257" s="51" t="s">
        <v>370</v>
      </c>
      <c r="R257" s="51" t="s">
        <v>371</v>
      </c>
      <c r="S257" s="51" t="s">
        <v>372</v>
      </c>
      <c r="T257" s="51" t="s">
        <v>373</v>
      </c>
      <c r="U257" s="51" t="s">
        <v>374</v>
      </c>
      <c r="V257" s="51" t="s">
        <v>375</v>
      </c>
      <c r="W257" s="51" t="s">
        <v>376</v>
      </c>
      <c r="X257" s="51" t="s">
        <v>377</v>
      </c>
      <c r="Y257" s="51" t="s">
        <v>378</v>
      </c>
      <c r="Z257" s="51" t="s">
        <v>379</v>
      </c>
      <c r="AA257" s="51" t="s">
        <v>380</v>
      </c>
      <c r="AB257" s="51" t="s">
        <v>381</v>
      </c>
      <c r="AC257" s="51" t="s">
        <v>382</v>
      </c>
      <c r="AD257" s="51" t="s">
        <v>383</v>
      </c>
      <c r="AE257" s="51" t="s">
        <v>384</v>
      </c>
      <c r="AF257" s="51" t="s">
        <v>385</v>
      </c>
      <c r="AG257" s="51" t="s">
        <v>386</v>
      </c>
      <c r="AH257" s="51" t="s">
        <v>387</v>
      </c>
      <c r="AI257" s="51" t="s">
        <v>388</v>
      </c>
      <c r="AJ257" s="51" t="s">
        <v>389</v>
      </c>
      <c r="AK257" s="51" t="s">
        <v>390</v>
      </c>
      <c r="AL257" s="51" t="s">
        <v>391</v>
      </c>
      <c r="AM257" s="51" t="s">
        <v>392</v>
      </c>
      <c r="AN257" s="51" t="s">
        <v>393</v>
      </c>
      <c r="AO257" s="51" t="s">
        <v>394</v>
      </c>
      <c r="AP257" s="51" t="s">
        <v>395</v>
      </c>
      <c r="AQ257" s="51" t="s">
        <v>396</v>
      </c>
      <c r="AR257" s="51" t="s">
        <v>397</v>
      </c>
      <c r="AS257" s="51" t="s">
        <v>398</v>
      </c>
      <c r="AT257" s="51" t="s">
        <v>399</v>
      </c>
      <c r="AU257" s="51" t="s">
        <v>400</v>
      </c>
      <c r="AV257" s="51" t="s">
        <v>401</v>
      </c>
      <c r="AW257" s="51" t="s">
        <v>402</v>
      </c>
      <c r="AX257" s="51" t="s">
        <v>403</v>
      </c>
      <c r="AY257" s="51" t="s">
        <v>404</v>
      </c>
      <c r="AZ257" s="51" t="s">
        <v>405</v>
      </c>
      <c r="BA257" s="51" t="s">
        <v>406</v>
      </c>
      <c r="BB257" s="51" t="s">
        <v>407</v>
      </c>
      <c r="BC257" s="51" t="s">
        <v>408</v>
      </c>
      <c r="BD257" s="51" t="s">
        <v>409</v>
      </c>
      <c r="BE257" s="51" t="s">
        <v>410</v>
      </c>
      <c r="BF257" s="51" t="s">
        <v>411</v>
      </c>
      <c r="BG257" s="51" t="s">
        <v>412</v>
      </c>
      <c r="BH257" s="51" t="s">
        <v>413</v>
      </c>
      <c r="BI257" s="51" t="s">
        <v>414</v>
      </c>
      <c r="BJ257" s="51" t="s">
        <v>415</v>
      </c>
    </row>
    <row r="258" customFormat="false" ht="15" hidden="false" customHeight="false" outlineLevel="0" collapsed="false">
      <c r="A258" s="71" t="s">
        <v>416</v>
      </c>
      <c r="C258" s="71" t="n">
        <v>1</v>
      </c>
      <c r="D258" s="71" t="n">
        <v>2</v>
      </c>
      <c r="E258" s="71" t="n">
        <v>3</v>
      </c>
      <c r="F258" s="71" t="n">
        <v>4</v>
      </c>
      <c r="G258" s="71" t="n">
        <v>5</v>
      </c>
      <c r="H258" s="71" t="n">
        <v>6</v>
      </c>
      <c r="I258" s="71" t="n">
        <v>7</v>
      </c>
      <c r="J258" s="71" t="n">
        <v>8</v>
      </c>
      <c r="K258" s="71" t="n">
        <v>9</v>
      </c>
      <c r="L258" s="71" t="n">
        <v>10</v>
      </c>
      <c r="M258" s="71" t="n">
        <v>11</v>
      </c>
      <c r="N258" s="71" t="n">
        <v>12</v>
      </c>
      <c r="O258" s="71" t="n">
        <v>13</v>
      </c>
      <c r="P258" s="71" t="n">
        <v>14</v>
      </c>
      <c r="Q258" s="71" t="n">
        <v>15</v>
      </c>
      <c r="R258" s="71" t="n">
        <v>16</v>
      </c>
      <c r="S258" s="71" t="n">
        <v>17</v>
      </c>
      <c r="T258" s="71" t="n">
        <v>18</v>
      </c>
      <c r="U258" s="71" t="n">
        <v>19</v>
      </c>
      <c r="V258" s="71" t="n">
        <v>20</v>
      </c>
      <c r="W258" s="71" t="n">
        <v>21</v>
      </c>
      <c r="X258" s="71" t="n">
        <v>22</v>
      </c>
      <c r="Y258" s="71" t="n">
        <v>23</v>
      </c>
      <c r="Z258" s="71" t="n">
        <v>24</v>
      </c>
      <c r="AA258" s="71" t="n">
        <v>25</v>
      </c>
      <c r="AB258" s="71" t="n">
        <v>26</v>
      </c>
      <c r="AC258" s="71" t="n">
        <v>27</v>
      </c>
      <c r="AD258" s="71" t="n">
        <v>28</v>
      </c>
      <c r="AE258" s="71" t="n">
        <v>29</v>
      </c>
      <c r="AF258" s="71" t="n">
        <v>30</v>
      </c>
      <c r="AG258" s="71" t="n">
        <v>31</v>
      </c>
      <c r="AH258" s="71" t="n">
        <v>32</v>
      </c>
      <c r="AI258" s="71" t="n">
        <v>33</v>
      </c>
      <c r="AJ258" s="71" t="n">
        <v>34</v>
      </c>
      <c r="AK258" s="71" t="n">
        <v>35</v>
      </c>
      <c r="AL258" s="71" t="n">
        <v>36</v>
      </c>
      <c r="AM258" s="71" t="n">
        <v>37</v>
      </c>
      <c r="AN258" s="71" t="n">
        <v>38</v>
      </c>
      <c r="AO258" s="71" t="n">
        <v>39</v>
      </c>
      <c r="AP258" s="71" t="n">
        <v>40</v>
      </c>
      <c r="AQ258" s="71" t="n">
        <v>41</v>
      </c>
      <c r="AR258" s="71" t="n">
        <v>42</v>
      </c>
      <c r="AS258" s="71" t="n">
        <v>43</v>
      </c>
      <c r="AT258" s="71" t="n">
        <v>44</v>
      </c>
      <c r="AU258" s="71" t="n">
        <v>45</v>
      </c>
      <c r="AV258" s="71" t="n">
        <v>46</v>
      </c>
      <c r="AW258" s="71" t="n">
        <v>47</v>
      </c>
      <c r="AX258" s="71" t="n">
        <v>48</v>
      </c>
      <c r="AY258" s="71" t="n">
        <v>49</v>
      </c>
      <c r="AZ258" s="71" t="n">
        <v>50</v>
      </c>
      <c r="BA258" s="71" t="n">
        <v>51</v>
      </c>
      <c r="BB258" s="71" t="n">
        <v>52</v>
      </c>
      <c r="BC258" s="71" t="n">
        <v>53</v>
      </c>
      <c r="BD258" s="71" t="n">
        <v>54</v>
      </c>
      <c r="BE258" s="71" t="n">
        <v>55</v>
      </c>
      <c r="BF258" s="71" t="n">
        <v>56</v>
      </c>
      <c r="BG258" s="71" t="n">
        <v>57</v>
      </c>
      <c r="BH258" s="71" t="n">
        <v>58</v>
      </c>
      <c r="BI258" s="71" t="n">
        <v>59</v>
      </c>
      <c r="BJ258" s="71" t="n">
        <v>60</v>
      </c>
    </row>
    <row r="259" customFormat="false" ht="15" hidden="false" customHeight="false" outlineLevel="0" collapsed="false">
      <c r="A259" s="71" t="s">
        <v>153</v>
      </c>
      <c r="C259" s="71" t="n">
        <f aca="false">ROUNDUP(C258*1/12,0)</f>
        <v>1</v>
      </c>
      <c r="D259" s="71" t="n">
        <f aca="false">ROUNDUP(D258*1/12,0)</f>
        <v>1</v>
      </c>
      <c r="E259" s="71" t="n">
        <f aca="false">ROUNDUP(E258*1/12,0)</f>
        <v>1</v>
      </c>
      <c r="F259" s="71" t="n">
        <f aca="false">ROUNDUP(F258*1/12,0)</f>
        <v>1</v>
      </c>
      <c r="G259" s="71" t="n">
        <f aca="false">ROUNDUP(G258*1/12,0)</f>
        <v>1</v>
      </c>
      <c r="H259" s="71" t="n">
        <f aca="false">ROUNDUP(H258*1/12,0)</f>
        <v>1</v>
      </c>
      <c r="I259" s="71" t="n">
        <f aca="false">ROUNDUP(I258*1/12,0)</f>
        <v>1</v>
      </c>
      <c r="J259" s="71" t="n">
        <f aca="false">ROUNDUP(J258*1/12,0)</f>
        <v>1</v>
      </c>
      <c r="K259" s="71" t="n">
        <f aca="false">ROUNDUP(K258*1/12,0)</f>
        <v>1</v>
      </c>
      <c r="L259" s="71" t="n">
        <f aca="false">ROUNDUP(L258*1/12,0)</f>
        <v>1</v>
      </c>
      <c r="M259" s="71" t="n">
        <f aca="false">ROUNDUP(M258*1/12,0)</f>
        <v>1</v>
      </c>
      <c r="N259" s="71" t="n">
        <f aca="false">ROUNDUP(N258*1/12,0)</f>
        <v>1</v>
      </c>
      <c r="O259" s="71" t="n">
        <f aca="false">ROUNDUP(O258*1/12,0)</f>
        <v>2</v>
      </c>
      <c r="P259" s="71" t="n">
        <f aca="false">ROUNDUP(P258*1/12,0)</f>
        <v>2</v>
      </c>
      <c r="Q259" s="71" t="n">
        <f aca="false">ROUNDUP(Q258*1/12,0)</f>
        <v>2</v>
      </c>
      <c r="R259" s="71" t="n">
        <f aca="false">ROUNDUP(R258*1/12,0)</f>
        <v>2</v>
      </c>
      <c r="S259" s="71" t="n">
        <f aca="false">ROUNDUP(S258*1/12,0)</f>
        <v>2</v>
      </c>
      <c r="T259" s="71" t="n">
        <f aca="false">ROUNDUP(T258*1/12,0)</f>
        <v>2</v>
      </c>
      <c r="U259" s="71" t="n">
        <f aca="false">ROUNDUP(U258*1/12,0)</f>
        <v>2</v>
      </c>
      <c r="V259" s="71" t="n">
        <f aca="false">ROUNDUP(V258*1/12,0)</f>
        <v>2</v>
      </c>
      <c r="W259" s="71" t="n">
        <f aca="false">ROUNDUP(W258*1/12,0)</f>
        <v>2</v>
      </c>
      <c r="X259" s="71" t="n">
        <f aca="false">ROUNDUP(X258*1/12,0)</f>
        <v>2</v>
      </c>
      <c r="Y259" s="71" t="n">
        <f aca="false">ROUNDUP(Y258*1/12,0)</f>
        <v>2</v>
      </c>
      <c r="Z259" s="71" t="n">
        <f aca="false">ROUNDUP(Z258*1/12,0)</f>
        <v>2</v>
      </c>
      <c r="AA259" s="71" t="n">
        <f aca="false">ROUNDUP(AA258*1/12,0)</f>
        <v>3</v>
      </c>
      <c r="AB259" s="71" t="n">
        <f aca="false">ROUNDUP(AB258*1/12,0)</f>
        <v>3</v>
      </c>
      <c r="AC259" s="71" t="n">
        <f aca="false">ROUNDUP(AC258*1/12,0)</f>
        <v>3</v>
      </c>
      <c r="AD259" s="71" t="n">
        <f aca="false">ROUNDUP(AD258*1/12,0)</f>
        <v>3</v>
      </c>
      <c r="AE259" s="71" t="n">
        <f aca="false">ROUNDUP(AE258*1/12,0)</f>
        <v>3</v>
      </c>
      <c r="AF259" s="71" t="n">
        <f aca="false">ROUNDUP(AF258*1/12,0)</f>
        <v>3</v>
      </c>
      <c r="AG259" s="71" t="n">
        <f aca="false">ROUNDUP(AG258*1/12,0)</f>
        <v>3</v>
      </c>
      <c r="AH259" s="71" t="n">
        <f aca="false">ROUNDUP(AH258*1/12,0)</f>
        <v>3</v>
      </c>
      <c r="AI259" s="71" t="n">
        <f aca="false">ROUNDUP(AI258*1/12,0)</f>
        <v>3</v>
      </c>
      <c r="AJ259" s="71" t="n">
        <f aca="false">ROUNDUP(AJ258*1/12,0)</f>
        <v>3</v>
      </c>
      <c r="AK259" s="71" t="n">
        <f aca="false">ROUNDUP(AK258*1/12,0)</f>
        <v>3</v>
      </c>
      <c r="AL259" s="71" t="n">
        <f aca="false">ROUNDUP(AL258*1/12,0)</f>
        <v>3</v>
      </c>
      <c r="AM259" s="71" t="n">
        <f aca="false">ROUNDUP(AM258*1/12,0)</f>
        <v>4</v>
      </c>
      <c r="AN259" s="71" t="n">
        <f aca="false">ROUNDUP(AN258*1/12,0)</f>
        <v>4</v>
      </c>
      <c r="AO259" s="71" t="n">
        <f aca="false">ROUNDUP(AO258*1/12,0)</f>
        <v>4</v>
      </c>
      <c r="AP259" s="71" t="n">
        <f aca="false">ROUNDUP(AP258*1/12,0)</f>
        <v>4</v>
      </c>
      <c r="AQ259" s="71" t="n">
        <f aca="false">ROUNDUP(AQ258*1/12,0)</f>
        <v>4</v>
      </c>
      <c r="AR259" s="71" t="n">
        <f aca="false">ROUNDUP(AR258*1/12,0)</f>
        <v>4</v>
      </c>
      <c r="AS259" s="71" t="n">
        <f aca="false">ROUNDUP(AS258*1/12,0)</f>
        <v>4</v>
      </c>
      <c r="AT259" s="71" t="n">
        <f aca="false">ROUNDUP(AT258*1/12,0)</f>
        <v>4</v>
      </c>
      <c r="AU259" s="71" t="n">
        <f aca="false">ROUNDUP(AU258*1/12,0)</f>
        <v>4</v>
      </c>
      <c r="AV259" s="71" t="n">
        <f aca="false">ROUNDUP(AV258*1/12,0)</f>
        <v>4</v>
      </c>
      <c r="AW259" s="71" t="n">
        <f aca="false">ROUNDUP(AW258*1/12,0)</f>
        <v>4</v>
      </c>
      <c r="AX259" s="71" t="n">
        <f aca="false">ROUNDUP(AX258*1/12,0)</f>
        <v>4</v>
      </c>
      <c r="AY259" s="71" t="n">
        <f aca="false">ROUNDUP(AY258*1/12,0)</f>
        <v>5</v>
      </c>
      <c r="AZ259" s="71" t="n">
        <f aca="false">ROUNDUP(AZ258*1/12,0)</f>
        <v>5</v>
      </c>
      <c r="BA259" s="71" t="n">
        <f aca="false">ROUNDUP(BA258*1/12,0)</f>
        <v>5</v>
      </c>
      <c r="BB259" s="71" t="n">
        <f aca="false">ROUNDUP(BB258*1/12,0)</f>
        <v>5</v>
      </c>
      <c r="BC259" s="71" t="n">
        <f aca="false">ROUNDUP(BC258*1/12,0)</f>
        <v>5</v>
      </c>
      <c r="BD259" s="71" t="n">
        <f aca="false">ROUNDUP(BD258*1/12,0)</f>
        <v>5</v>
      </c>
      <c r="BE259" s="71" t="n">
        <f aca="false">ROUNDUP(BE258*1/12,0)</f>
        <v>5</v>
      </c>
      <c r="BF259" s="71" t="n">
        <f aca="false">ROUNDUP(BF258*1/12,0)</f>
        <v>5</v>
      </c>
      <c r="BG259" s="71" t="n">
        <f aca="false">ROUNDUP(BG258*1/12,0)</f>
        <v>5</v>
      </c>
      <c r="BH259" s="71" t="n">
        <f aca="false">ROUNDUP(BH258*1/12,0)</f>
        <v>5</v>
      </c>
      <c r="BI259" s="71" t="n">
        <f aca="false">ROUNDUP(BI258*1/12,0)</f>
        <v>5</v>
      </c>
      <c r="BJ259" s="71" t="n">
        <f aca="false">ROUNDUP(BJ258*1/12,0)</f>
        <v>5</v>
      </c>
    </row>
    <row r="261" customFormat="false" ht="15.75" hidden="false" customHeight="true" outlineLevel="0" collapsed="false">
      <c r="A261" s="7" t="s">
        <v>248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customFormat="false" ht="15" hidden="false" customHeight="false" outlineLevel="0" collapsed="false">
      <c r="A262" s="6" t="s">
        <v>417</v>
      </c>
      <c r="C262" s="113" t="n">
        <f aca="false">Inputs!$D$7+Inputs!$D$8*(C$259-1)</f>
        <v>60</v>
      </c>
      <c r="D262" s="113" t="n">
        <f aca="false">Inputs!$D$7+Inputs!$D$8*(D$259-1)</f>
        <v>60</v>
      </c>
      <c r="E262" s="113" t="n">
        <f aca="false">Inputs!$D$7+Inputs!$D$8*(E$259-1)</f>
        <v>60</v>
      </c>
      <c r="F262" s="113" t="n">
        <f aca="false">Inputs!$D$7+Inputs!$D$8*(F$259-1)</f>
        <v>60</v>
      </c>
      <c r="G262" s="113" t="n">
        <f aca="false">Inputs!$D$7+Inputs!$D$8*(G$259-1)</f>
        <v>60</v>
      </c>
      <c r="H262" s="113" t="n">
        <f aca="false">Inputs!$D$7+Inputs!$D$8*(H$259-1)</f>
        <v>60</v>
      </c>
      <c r="I262" s="113" t="n">
        <f aca="false">Inputs!$D$7+Inputs!$D$8*(I$259-1)</f>
        <v>60</v>
      </c>
      <c r="J262" s="113" t="n">
        <f aca="false">Inputs!$D$7+Inputs!$D$8*(J$259-1)</f>
        <v>60</v>
      </c>
      <c r="K262" s="113" t="n">
        <f aca="false">Inputs!$D$7+Inputs!$D$8*(K$259-1)</f>
        <v>60</v>
      </c>
      <c r="L262" s="113" t="n">
        <f aca="false">Inputs!$D$7+Inputs!$D$8*(L$259-1)</f>
        <v>60</v>
      </c>
      <c r="M262" s="113" t="n">
        <f aca="false">Inputs!$D$7+Inputs!$D$8*(M$259-1)</f>
        <v>60</v>
      </c>
      <c r="N262" s="113" t="n">
        <f aca="false">Inputs!$D$7+Inputs!$D$8*(N$259-1)</f>
        <v>60</v>
      </c>
      <c r="O262" s="113" t="n">
        <f aca="false">Inputs!$D$7+Inputs!$D$8*(O$259-1)</f>
        <v>60</v>
      </c>
      <c r="P262" s="113" t="n">
        <f aca="false">Inputs!$D$7+Inputs!$D$8*(P$259-1)</f>
        <v>60</v>
      </c>
      <c r="Q262" s="113" t="n">
        <f aca="false">Inputs!$D$7+Inputs!$D$8*(Q$259-1)</f>
        <v>60</v>
      </c>
      <c r="R262" s="113" t="n">
        <f aca="false">Inputs!$D$7+Inputs!$D$8*(R$259-1)</f>
        <v>60</v>
      </c>
      <c r="S262" s="113" t="n">
        <f aca="false">Inputs!$D$7+Inputs!$D$8*(S$259-1)</f>
        <v>60</v>
      </c>
      <c r="T262" s="113" t="n">
        <f aca="false">Inputs!$D$7+Inputs!$D$8*(T$259-1)</f>
        <v>60</v>
      </c>
      <c r="U262" s="113" t="n">
        <f aca="false">Inputs!$D$7+Inputs!$D$8*(U$259-1)</f>
        <v>60</v>
      </c>
      <c r="V262" s="113" t="n">
        <f aca="false">Inputs!$D$7+Inputs!$D$8*(V$259-1)</f>
        <v>60</v>
      </c>
      <c r="W262" s="113" t="n">
        <f aca="false">Inputs!$D$7+Inputs!$D$8*(W$259-1)</f>
        <v>60</v>
      </c>
      <c r="X262" s="113" t="n">
        <f aca="false">Inputs!$D$7+Inputs!$D$8*(X$259-1)</f>
        <v>60</v>
      </c>
      <c r="Y262" s="113" t="n">
        <f aca="false">Inputs!$D$7+Inputs!$D$8*(Y$259-1)</f>
        <v>60</v>
      </c>
      <c r="Z262" s="113" t="n">
        <f aca="false">Inputs!$D$7+Inputs!$D$8*(Z$259-1)</f>
        <v>60</v>
      </c>
      <c r="AA262" s="113" t="n">
        <f aca="false">Inputs!$D$7+Inputs!$D$8*(AA$259-1)</f>
        <v>60</v>
      </c>
      <c r="AB262" s="113" t="n">
        <f aca="false">Inputs!$D$7+Inputs!$D$8*(AB$259-1)</f>
        <v>60</v>
      </c>
      <c r="AC262" s="113" t="n">
        <f aca="false">Inputs!$D$7+Inputs!$D$8*(AC$259-1)</f>
        <v>60</v>
      </c>
      <c r="AD262" s="113" t="n">
        <f aca="false">Inputs!$D$7+Inputs!$D$8*(AD$259-1)</f>
        <v>60</v>
      </c>
      <c r="AE262" s="113" t="n">
        <f aca="false">Inputs!$D$7+Inputs!$D$8*(AE$259-1)</f>
        <v>60</v>
      </c>
      <c r="AF262" s="113" t="n">
        <f aca="false">Inputs!$D$7+Inputs!$D$8*(AF$259-1)</f>
        <v>60</v>
      </c>
      <c r="AG262" s="113" t="n">
        <f aca="false">Inputs!$D$7+Inputs!$D$8*(AG$259-1)</f>
        <v>60</v>
      </c>
      <c r="AH262" s="113" t="n">
        <f aca="false">Inputs!$D$7+Inputs!$D$8*(AH$259-1)</f>
        <v>60</v>
      </c>
      <c r="AI262" s="113" t="n">
        <f aca="false">Inputs!$D$7+Inputs!$D$8*(AI$259-1)</f>
        <v>60</v>
      </c>
      <c r="AJ262" s="113" t="n">
        <f aca="false">Inputs!$D$7+Inputs!$D$8*(AJ$259-1)</f>
        <v>60</v>
      </c>
      <c r="AK262" s="113" t="n">
        <f aca="false">Inputs!$D$7+Inputs!$D$8*(AK$259-1)</f>
        <v>60</v>
      </c>
      <c r="AL262" s="113" t="n">
        <f aca="false">Inputs!$D$7+Inputs!$D$8*(AL$259-1)</f>
        <v>60</v>
      </c>
      <c r="AM262" s="113" t="n">
        <f aca="false">Inputs!$D$7+Inputs!$D$8*(AM$259-1)</f>
        <v>60</v>
      </c>
      <c r="AN262" s="113" t="n">
        <f aca="false">Inputs!$D$7+Inputs!$D$8*(AN$259-1)</f>
        <v>60</v>
      </c>
      <c r="AO262" s="113" t="n">
        <f aca="false">Inputs!$D$7+Inputs!$D$8*(AO$259-1)</f>
        <v>60</v>
      </c>
      <c r="AP262" s="113" t="n">
        <f aca="false">Inputs!$D$7+Inputs!$D$8*(AP$259-1)</f>
        <v>60</v>
      </c>
      <c r="AQ262" s="113" t="n">
        <f aca="false">Inputs!$D$7+Inputs!$D$8*(AQ$259-1)</f>
        <v>60</v>
      </c>
      <c r="AR262" s="113" t="n">
        <f aca="false">Inputs!$D$7+Inputs!$D$8*(AR$259-1)</f>
        <v>60</v>
      </c>
      <c r="AS262" s="113" t="n">
        <f aca="false">Inputs!$D$7+Inputs!$D$8*(AS$259-1)</f>
        <v>60</v>
      </c>
      <c r="AT262" s="113" t="n">
        <f aca="false">Inputs!$D$7+Inputs!$D$8*(AT$259-1)</f>
        <v>60</v>
      </c>
      <c r="AU262" s="113" t="n">
        <f aca="false">Inputs!$D$7+Inputs!$D$8*(AU$259-1)</f>
        <v>60</v>
      </c>
      <c r="AV262" s="113" t="n">
        <f aca="false">Inputs!$D$7+Inputs!$D$8*(AV$259-1)</f>
        <v>60</v>
      </c>
      <c r="AW262" s="113" t="n">
        <f aca="false">Inputs!$D$7+Inputs!$D$8*(AW$259-1)</f>
        <v>60</v>
      </c>
      <c r="AX262" s="113" t="n">
        <f aca="false">Inputs!$D$7+Inputs!$D$8*(AX$259-1)</f>
        <v>60</v>
      </c>
      <c r="AY262" s="113" t="n">
        <f aca="false">Inputs!$D$7+Inputs!$D$8*(AY$259-1)</f>
        <v>60</v>
      </c>
      <c r="AZ262" s="113" t="n">
        <f aca="false">Inputs!$D$7+Inputs!$D$8*(AZ$259-1)</f>
        <v>60</v>
      </c>
      <c r="BA262" s="113" t="n">
        <f aca="false">Inputs!$D$7+Inputs!$D$8*(BA$259-1)</f>
        <v>60</v>
      </c>
      <c r="BB262" s="113" t="n">
        <f aca="false">Inputs!$D$7+Inputs!$D$8*(BB$259-1)</f>
        <v>60</v>
      </c>
      <c r="BC262" s="113" t="n">
        <f aca="false">Inputs!$D$7+Inputs!$D$8*(BC$259-1)</f>
        <v>60</v>
      </c>
      <c r="BD262" s="113" t="n">
        <f aca="false">Inputs!$D$7+Inputs!$D$8*(BD$259-1)</f>
        <v>60</v>
      </c>
      <c r="BE262" s="113" t="n">
        <f aca="false">Inputs!$D$7+Inputs!$D$8*(BE$259-1)</f>
        <v>60</v>
      </c>
      <c r="BF262" s="113" t="n">
        <f aca="false">Inputs!$D$7+Inputs!$D$8*(BF$259-1)</f>
        <v>60</v>
      </c>
      <c r="BG262" s="113" t="n">
        <f aca="false">Inputs!$D$7+Inputs!$D$8*(BG$259-1)</f>
        <v>60</v>
      </c>
      <c r="BH262" s="113" t="n">
        <f aca="false">Inputs!$D$7+Inputs!$D$8*(BH$259-1)</f>
        <v>60</v>
      </c>
      <c r="BI262" s="113" t="n">
        <f aca="false">Inputs!$D$7+Inputs!$D$8*(BI$259-1)</f>
        <v>60</v>
      </c>
      <c r="BJ262" s="113" t="n">
        <f aca="false">Inputs!$D$7+Inputs!$D$8*(BJ$259-1)</f>
        <v>60</v>
      </c>
    </row>
    <row r="263" customFormat="false" ht="15" hidden="false" customHeight="false" outlineLevel="0" collapsed="false">
      <c r="A263" s="38" t="s">
        <v>418</v>
      </c>
      <c r="C263" s="73" t="n">
        <f aca="false">MIN(Inputs!$D$11,Inputs!$D$10)</f>
        <v>0.25</v>
      </c>
      <c r="D263" s="73" t="n">
        <f aca="false">MIN(Inputs!$D$11,Inputs!$D$10)</f>
        <v>0.25</v>
      </c>
      <c r="E263" s="73" t="n">
        <f aca="false">MIN(Inputs!$D$11,Inputs!$D$10)</f>
        <v>0.25</v>
      </c>
      <c r="F263" s="73" t="n">
        <f aca="false">MIN(Inputs!$D$11,Inputs!$D$10)</f>
        <v>0.25</v>
      </c>
      <c r="G263" s="73" t="n">
        <f aca="false">MIN(Inputs!$D$11,Inputs!$D$10)</f>
        <v>0.25</v>
      </c>
      <c r="H263" s="73" t="n">
        <f aca="false">MIN(Inputs!$D$11,Inputs!$D$10)</f>
        <v>0.25</v>
      </c>
      <c r="I263" s="73" t="n">
        <f aca="false">MIN(Inputs!$D$11,Inputs!$D$10)</f>
        <v>0.25</v>
      </c>
      <c r="J263" s="73" t="n">
        <f aca="false">MIN(Inputs!$D$11,Inputs!$D$10)</f>
        <v>0.25</v>
      </c>
      <c r="K263" s="73" t="n">
        <f aca="false">MIN(Inputs!$D$11,Inputs!$D$10)</f>
        <v>0.25</v>
      </c>
      <c r="L263" s="73" t="n">
        <f aca="false">MIN(Inputs!$D$11,Inputs!$D$10)</f>
        <v>0.25</v>
      </c>
      <c r="M263" s="73" t="n">
        <f aca="false">MIN(Inputs!$D$11,Inputs!$D$10)</f>
        <v>0.25</v>
      </c>
      <c r="N263" s="73" t="n">
        <f aca="false">MIN(Inputs!$D$11,Inputs!$D$10)</f>
        <v>0.25</v>
      </c>
      <c r="O263" s="73" t="n">
        <f aca="false">MIN(Inputs!$D$11,Inputs!$D$10)</f>
        <v>0.25</v>
      </c>
      <c r="P263" s="73" t="n">
        <f aca="false">MIN(Inputs!$D$11,Inputs!$D$10)</f>
        <v>0.25</v>
      </c>
      <c r="Q263" s="73" t="n">
        <f aca="false">MIN(Inputs!$D$11,Inputs!$D$10)</f>
        <v>0.25</v>
      </c>
      <c r="R263" s="73" t="n">
        <f aca="false">MIN(Inputs!$D$11,Inputs!$D$10)</f>
        <v>0.25</v>
      </c>
      <c r="S263" s="73" t="n">
        <f aca="false">MIN(Inputs!$D$11,Inputs!$D$10)</f>
        <v>0.25</v>
      </c>
      <c r="T263" s="73" t="n">
        <f aca="false">MIN(Inputs!$D$11,Inputs!$D$10)</f>
        <v>0.25</v>
      </c>
      <c r="U263" s="73" t="n">
        <f aca="false">MIN(Inputs!$D$11,Inputs!$D$10)</f>
        <v>0.25</v>
      </c>
      <c r="V263" s="73" t="n">
        <f aca="false">MIN(Inputs!$D$11,Inputs!$D$10)</f>
        <v>0.25</v>
      </c>
      <c r="W263" s="73" t="n">
        <f aca="false">MIN(Inputs!$D$11,Inputs!$D$10)</f>
        <v>0.25</v>
      </c>
      <c r="X263" s="73" t="n">
        <f aca="false">MIN(Inputs!$D$11,Inputs!$D$10)</f>
        <v>0.25</v>
      </c>
      <c r="Y263" s="73" t="n">
        <f aca="false">MIN(Inputs!$D$11,Inputs!$D$10)</f>
        <v>0.25</v>
      </c>
      <c r="Z263" s="73" t="n">
        <f aca="false">MIN(Inputs!$D$11,Inputs!$D$10)</f>
        <v>0.25</v>
      </c>
      <c r="AA263" s="73" t="n">
        <f aca="false">MIN(Inputs!$D$11,Inputs!$D$10)</f>
        <v>0.25</v>
      </c>
      <c r="AB263" s="73" t="n">
        <f aca="false">MIN(Inputs!$D$11,Inputs!$D$10)</f>
        <v>0.25</v>
      </c>
      <c r="AC263" s="73" t="n">
        <f aca="false">MIN(Inputs!$D$11,Inputs!$D$10)</f>
        <v>0.25</v>
      </c>
      <c r="AD263" s="73" t="n">
        <f aca="false">MIN(Inputs!$D$11,Inputs!$D$10)</f>
        <v>0.25</v>
      </c>
      <c r="AE263" s="73" t="n">
        <f aca="false">MIN(Inputs!$D$11,Inputs!$D$10)</f>
        <v>0.25</v>
      </c>
      <c r="AF263" s="73" t="n">
        <f aca="false">MIN(Inputs!$D$11,Inputs!$D$10)</f>
        <v>0.25</v>
      </c>
      <c r="AG263" s="73" t="n">
        <f aca="false">MIN(Inputs!$D$11,Inputs!$D$10)</f>
        <v>0.25</v>
      </c>
      <c r="AH263" s="73" t="n">
        <f aca="false">MIN(Inputs!$D$11,Inputs!$D$10)</f>
        <v>0.25</v>
      </c>
      <c r="AI263" s="73" t="n">
        <f aca="false">MIN(Inputs!$D$11,Inputs!$D$10)</f>
        <v>0.25</v>
      </c>
      <c r="AJ263" s="73" t="n">
        <f aca="false">MIN(Inputs!$D$11,Inputs!$D$10)</f>
        <v>0.25</v>
      </c>
      <c r="AK263" s="73" t="n">
        <f aca="false">MIN(Inputs!$D$11,Inputs!$D$10)</f>
        <v>0.25</v>
      </c>
      <c r="AL263" s="73" t="n">
        <f aca="false">MIN(Inputs!$D$11,Inputs!$D$10)</f>
        <v>0.25</v>
      </c>
      <c r="AM263" s="73" t="n">
        <f aca="false">MIN(Inputs!$D$11,Inputs!$D$10)</f>
        <v>0.25</v>
      </c>
      <c r="AN263" s="73" t="n">
        <f aca="false">MIN(Inputs!$D$11,Inputs!$D$10)</f>
        <v>0.25</v>
      </c>
      <c r="AO263" s="73" t="n">
        <f aca="false">MIN(Inputs!$D$11,Inputs!$D$10)</f>
        <v>0.25</v>
      </c>
      <c r="AP263" s="73" t="n">
        <f aca="false">MIN(Inputs!$D$11,Inputs!$D$10)</f>
        <v>0.25</v>
      </c>
      <c r="AQ263" s="73" t="n">
        <f aca="false">MIN(Inputs!$D$11,Inputs!$D$10)</f>
        <v>0.25</v>
      </c>
      <c r="AR263" s="73" t="n">
        <f aca="false">MIN(Inputs!$D$11,Inputs!$D$10)</f>
        <v>0.25</v>
      </c>
      <c r="AS263" s="73" t="n">
        <f aca="false">MIN(Inputs!$D$11,Inputs!$D$10)</f>
        <v>0.25</v>
      </c>
      <c r="AT263" s="73" t="n">
        <f aca="false">MIN(Inputs!$D$11,Inputs!$D$10)</f>
        <v>0.25</v>
      </c>
      <c r="AU263" s="73" t="n">
        <f aca="false">MIN(Inputs!$D$11,Inputs!$D$10)</f>
        <v>0.25</v>
      </c>
      <c r="AV263" s="73" t="n">
        <f aca="false">MIN(Inputs!$D$11,Inputs!$D$10)</f>
        <v>0.25</v>
      </c>
      <c r="AW263" s="73" t="n">
        <f aca="false">MIN(Inputs!$D$11,Inputs!$D$10)</f>
        <v>0.25</v>
      </c>
      <c r="AX263" s="73" t="n">
        <f aca="false">MIN(Inputs!$D$11,Inputs!$D$10)</f>
        <v>0.25</v>
      </c>
      <c r="AY263" s="73" t="n">
        <f aca="false">MIN(Inputs!$D$11,Inputs!$D$10)</f>
        <v>0.25</v>
      </c>
      <c r="AZ263" s="73" t="n">
        <f aca="false">MIN(Inputs!$D$11,Inputs!$D$10)</f>
        <v>0.25</v>
      </c>
      <c r="BA263" s="73" t="n">
        <f aca="false">MIN(Inputs!$D$11,Inputs!$D$10)</f>
        <v>0.25</v>
      </c>
      <c r="BB263" s="73" t="n">
        <f aca="false">MIN(Inputs!$D$11,Inputs!$D$10)</f>
        <v>0.25</v>
      </c>
      <c r="BC263" s="73" t="n">
        <f aca="false">MIN(Inputs!$D$11,Inputs!$D$10)</f>
        <v>0.25</v>
      </c>
      <c r="BD263" s="73" t="n">
        <f aca="false">MIN(Inputs!$D$11,Inputs!$D$10)</f>
        <v>0.25</v>
      </c>
      <c r="BE263" s="73" t="n">
        <f aca="false">MIN(Inputs!$D$11,Inputs!$D$10)</f>
        <v>0.25</v>
      </c>
      <c r="BF263" s="73" t="n">
        <f aca="false">MIN(Inputs!$D$11,Inputs!$D$10)</f>
        <v>0.25</v>
      </c>
      <c r="BG263" s="73" t="n">
        <f aca="false">MIN(Inputs!$D$11,Inputs!$D$10)</f>
        <v>0.25</v>
      </c>
      <c r="BH263" s="73" t="n">
        <f aca="false">MIN(Inputs!$D$11,Inputs!$D$10)</f>
        <v>0.25</v>
      </c>
      <c r="BI263" s="73" t="n">
        <f aca="false">MIN(Inputs!$D$11,Inputs!$D$10)</f>
        <v>0.25</v>
      </c>
      <c r="BJ263" s="73" t="n">
        <f aca="false">MIN(Inputs!$D$11,Inputs!$D$10)</f>
        <v>0.25</v>
      </c>
    </row>
    <row r="264" customFormat="false" ht="15" hidden="false" customHeight="false" outlineLevel="0" collapsed="false">
      <c r="A264" s="114" t="s">
        <v>419</v>
      </c>
      <c r="C264" s="115" t="n">
        <f aca="false">MAX(0,MIN(1,Inputs!$D$12-(C$258-1)*1))</f>
        <v>1</v>
      </c>
      <c r="D264" s="115" t="n">
        <f aca="false">MAX(0,MIN(1,Inputs!$D$12-(D$258-1)*1))</f>
        <v>1</v>
      </c>
      <c r="E264" s="115" t="n">
        <f aca="false">MAX(0,MIN(1,Inputs!$D$12-(E$258-1)*1))</f>
        <v>1</v>
      </c>
      <c r="F264" s="115" t="n">
        <f aca="false">MAX(0,MIN(1,Inputs!$D$12-(F$258-1)*1))</f>
        <v>1</v>
      </c>
      <c r="G264" s="115" t="n">
        <f aca="false">MAX(0,MIN(1,Inputs!$D$12-(G$258-1)*1))</f>
        <v>1</v>
      </c>
      <c r="H264" s="115" t="n">
        <f aca="false">MAX(0,MIN(1,Inputs!$D$12-(H$258-1)*1))</f>
        <v>1</v>
      </c>
      <c r="I264" s="115" t="n">
        <f aca="false">MAX(0,MIN(1,Inputs!$D$12-(I$258-1)*1))</f>
        <v>1</v>
      </c>
      <c r="J264" s="115" t="n">
        <f aca="false">MAX(0,MIN(1,Inputs!$D$12-(J$258-1)*1))</f>
        <v>1</v>
      </c>
      <c r="K264" s="115" t="n">
        <f aca="false">MAX(0,MIN(1,Inputs!$D$12-(K$258-1)*1))</f>
        <v>1</v>
      </c>
      <c r="L264" s="115" t="n">
        <f aca="false">MAX(0,MIN(1,Inputs!$D$12-(L$258-1)*1))</f>
        <v>0</v>
      </c>
      <c r="M264" s="115" t="n">
        <f aca="false">MAX(0,MIN(1,Inputs!$D$12-(M$258-1)*1))</f>
        <v>0</v>
      </c>
      <c r="N264" s="115" t="n">
        <f aca="false">MAX(0,MIN(1,Inputs!$D$12-(N$258-1)*1))</f>
        <v>0</v>
      </c>
      <c r="O264" s="115" t="n">
        <f aca="false">MAX(0,MIN(1,Inputs!$D$12-(O$258-1)*1))</f>
        <v>0</v>
      </c>
      <c r="P264" s="115" t="n">
        <f aca="false">MAX(0,MIN(1,Inputs!$D$12-(P$258-1)*1))</f>
        <v>0</v>
      </c>
      <c r="Q264" s="115" t="n">
        <f aca="false">MAX(0,MIN(1,Inputs!$D$12-(Q$258-1)*1))</f>
        <v>0</v>
      </c>
      <c r="R264" s="115" t="n">
        <f aca="false">MAX(0,MIN(1,Inputs!$D$12-(R$258-1)*1))</f>
        <v>0</v>
      </c>
      <c r="S264" s="115" t="n">
        <f aca="false">MAX(0,MIN(1,Inputs!$D$12-(S$258-1)*1))</f>
        <v>0</v>
      </c>
      <c r="T264" s="115" t="n">
        <f aca="false">MAX(0,MIN(1,Inputs!$D$12-(T$258-1)*1))</f>
        <v>0</v>
      </c>
      <c r="U264" s="115" t="n">
        <f aca="false">MAX(0,MIN(1,Inputs!$D$12-(U$258-1)*1))</f>
        <v>0</v>
      </c>
      <c r="V264" s="115" t="n">
        <f aca="false">MAX(0,MIN(1,Inputs!$D$12-(V$258-1)*1))</f>
        <v>0</v>
      </c>
      <c r="W264" s="115" t="n">
        <f aca="false">MAX(0,MIN(1,Inputs!$D$12-(W$258-1)*1))</f>
        <v>0</v>
      </c>
      <c r="X264" s="115" t="n">
        <f aca="false">MAX(0,MIN(1,Inputs!$D$12-(X$258-1)*1))</f>
        <v>0</v>
      </c>
      <c r="Y264" s="115" t="n">
        <f aca="false">MAX(0,MIN(1,Inputs!$D$12-(Y$258-1)*1))</f>
        <v>0</v>
      </c>
      <c r="Z264" s="115" t="n">
        <f aca="false">MAX(0,MIN(1,Inputs!$D$12-(Z$258-1)*1))</f>
        <v>0</v>
      </c>
      <c r="AA264" s="115" t="n">
        <f aca="false">MAX(0,MIN(1,Inputs!$D$12-(AA$258-1)*1))</f>
        <v>0</v>
      </c>
      <c r="AB264" s="115" t="n">
        <f aca="false">MAX(0,MIN(1,Inputs!$D$12-(AB$258-1)*1))</f>
        <v>0</v>
      </c>
      <c r="AC264" s="115" t="n">
        <f aca="false">MAX(0,MIN(1,Inputs!$D$12-(AC$258-1)*1))</f>
        <v>0</v>
      </c>
      <c r="AD264" s="115" t="n">
        <f aca="false">MAX(0,MIN(1,Inputs!$D$12-(AD$258-1)*1))</f>
        <v>0</v>
      </c>
      <c r="AE264" s="115" t="n">
        <f aca="false">MAX(0,MIN(1,Inputs!$D$12-(AE$258-1)*1))</f>
        <v>0</v>
      </c>
      <c r="AF264" s="115" t="n">
        <f aca="false">MAX(0,MIN(1,Inputs!$D$12-(AF$258-1)*1))</f>
        <v>0</v>
      </c>
      <c r="AG264" s="115" t="n">
        <f aca="false">MAX(0,MIN(1,Inputs!$D$12-(AG$258-1)*1))</f>
        <v>0</v>
      </c>
      <c r="AH264" s="115" t="n">
        <f aca="false">MAX(0,MIN(1,Inputs!$D$12-(AH$258-1)*1))</f>
        <v>0</v>
      </c>
      <c r="AI264" s="115" t="n">
        <f aca="false">MAX(0,MIN(1,Inputs!$D$12-(AI$258-1)*1))</f>
        <v>0</v>
      </c>
      <c r="AJ264" s="115" t="n">
        <f aca="false">MAX(0,MIN(1,Inputs!$D$12-(AJ$258-1)*1))</f>
        <v>0</v>
      </c>
      <c r="AK264" s="115" t="n">
        <f aca="false">MAX(0,MIN(1,Inputs!$D$12-(AK$258-1)*1))</f>
        <v>0</v>
      </c>
      <c r="AL264" s="115" t="n">
        <f aca="false">MAX(0,MIN(1,Inputs!$D$12-(AL$258-1)*1))</f>
        <v>0</v>
      </c>
      <c r="AM264" s="115" t="n">
        <f aca="false">MAX(0,MIN(1,Inputs!$D$12-(AM$258-1)*1))</f>
        <v>0</v>
      </c>
      <c r="AN264" s="115" t="n">
        <f aca="false">MAX(0,MIN(1,Inputs!$D$12-(AN$258-1)*1))</f>
        <v>0</v>
      </c>
      <c r="AO264" s="115" t="n">
        <f aca="false">MAX(0,MIN(1,Inputs!$D$12-(AO$258-1)*1))</f>
        <v>0</v>
      </c>
      <c r="AP264" s="115" t="n">
        <f aca="false">MAX(0,MIN(1,Inputs!$D$12-(AP$258-1)*1))</f>
        <v>0</v>
      </c>
      <c r="AQ264" s="115" t="n">
        <f aca="false">MAX(0,MIN(1,Inputs!$D$12-(AQ$258-1)*1))</f>
        <v>0</v>
      </c>
      <c r="AR264" s="115" t="n">
        <f aca="false">MAX(0,MIN(1,Inputs!$D$12-(AR$258-1)*1))</f>
        <v>0</v>
      </c>
      <c r="AS264" s="115" t="n">
        <f aca="false">MAX(0,MIN(1,Inputs!$D$12-(AS$258-1)*1))</f>
        <v>0</v>
      </c>
      <c r="AT264" s="115" t="n">
        <f aca="false">MAX(0,MIN(1,Inputs!$D$12-(AT$258-1)*1))</f>
        <v>0</v>
      </c>
      <c r="AU264" s="115" t="n">
        <f aca="false">MAX(0,MIN(1,Inputs!$D$12-(AU$258-1)*1))</f>
        <v>0</v>
      </c>
      <c r="AV264" s="115" t="n">
        <f aca="false">MAX(0,MIN(1,Inputs!$D$12-(AV$258-1)*1))</f>
        <v>0</v>
      </c>
      <c r="AW264" s="115" t="n">
        <f aca="false">MAX(0,MIN(1,Inputs!$D$12-(AW$258-1)*1))</f>
        <v>0</v>
      </c>
      <c r="AX264" s="115" t="n">
        <f aca="false">MAX(0,MIN(1,Inputs!$D$12-(AX$258-1)*1))</f>
        <v>0</v>
      </c>
      <c r="AY264" s="115" t="n">
        <f aca="false">MAX(0,MIN(1,Inputs!$D$12-(AY$258-1)*1))</f>
        <v>0</v>
      </c>
      <c r="AZ264" s="115" t="n">
        <f aca="false">MAX(0,MIN(1,Inputs!$D$12-(AZ$258-1)*1))</f>
        <v>0</v>
      </c>
      <c r="BA264" s="115" t="n">
        <f aca="false">MAX(0,MIN(1,Inputs!$D$12-(BA$258-1)*1))</f>
        <v>0</v>
      </c>
      <c r="BB264" s="115" t="n">
        <f aca="false">MAX(0,MIN(1,Inputs!$D$12-(BB$258-1)*1))</f>
        <v>0</v>
      </c>
      <c r="BC264" s="115" t="n">
        <f aca="false">MAX(0,MIN(1,Inputs!$D$12-(BC$258-1)*1))</f>
        <v>0</v>
      </c>
      <c r="BD264" s="115" t="n">
        <f aca="false">MAX(0,MIN(1,Inputs!$D$12-(BD$258-1)*1))</f>
        <v>0</v>
      </c>
      <c r="BE264" s="115" t="n">
        <f aca="false">MAX(0,MIN(1,Inputs!$D$12-(BE$258-1)*1))</f>
        <v>0</v>
      </c>
      <c r="BF264" s="115" t="n">
        <f aca="false">MAX(0,MIN(1,Inputs!$D$12-(BF$258-1)*1))</f>
        <v>0</v>
      </c>
      <c r="BG264" s="115" t="n">
        <f aca="false">MAX(0,MIN(1,Inputs!$D$12-(BG$258-1)*1))</f>
        <v>0</v>
      </c>
      <c r="BH264" s="115" t="n">
        <f aca="false">MAX(0,MIN(1,Inputs!$D$12-(BH$258-1)*1))</f>
        <v>0</v>
      </c>
      <c r="BI264" s="115" t="n">
        <f aca="false">MAX(0,MIN(1,Inputs!$D$12-(BI$258-1)*1))</f>
        <v>0</v>
      </c>
      <c r="BJ264" s="115" t="n">
        <f aca="false">MAX(0,MIN(1,Inputs!$D$12-(BJ$258-1)*1))</f>
        <v>0</v>
      </c>
    </row>
    <row r="265" customFormat="false" ht="15" hidden="false" customHeight="false" outlineLevel="0" collapsed="false">
      <c r="A265" s="38" t="s">
        <v>420</v>
      </c>
      <c r="C265" s="73" t="n">
        <f aca="false">(C264*C263+(Inputs!$D$10-C263)/MAX(1,Inputs!$D$12)*(C264*(C$258-1)*1+C264*(C264-1)/2)+(1-C264)*Inputs!$D$10)/1</f>
        <v>0.25</v>
      </c>
      <c r="D265" s="73" t="n">
        <f aca="false">(D264*D263+(Inputs!$D$10-D263)/MAX(1,Inputs!$D$12)*(D264*(D$258-1)*1+D264*(D264-1)/2)+(1-D264)*Inputs!$D$10)/1</f>
        <v>0.322222222222222</v>
      </c>
      <c r="E265" s="73" t="n">
        <f aca="false">(E264*E263+(Inputs!$D$10-E263)/MAX(1,Inputs!$D$12)*(E264*(E$258-1)*1+E264*(E264-1)/2)+(1-E264)*Inputs!$D$10)/1</f>
        <v>0.394444444444445</v>
      </c>
      <c r="F265" s="73" t="n">
        <f aca="false">(F264*F263+(Inputs!$D$10-F263)/MAX(1,Inputs!$D$12)*(F264*(F$258-1)*1+F264*(F264-1)/2)+(1-F264)*Inputs!$D$10)/1</f>
        <v>0.466666666666667</v>
      </c>
      <c r="G265" s="73" t="n">
        <f aca="false">(G264*G263+(Inputs!$D$10-G263)/MAX(1,Inputs!$D$12)*(G264*(G$258-1)*1+G264*(G264-1)/2)+(1-G264)*Inputs!$D$10)/1</f>
        <v>0.538888888888889</v>
      </c>
      <c r="H265" s="73" t="n">
        <f aca="false">(H264*H263+(Inputs!$D$10-H263)/MAX(1,Inputs!$D$12)*(H264*(H$258-1)*1+H264*(H264-1)/2)+(1-H264)*Inputs!$D$10)/1</f>
        <v>0.611111111111111</v>
      </c>
      <c r="I265" s="73" t="n">
        <f aca="false">(I264*I263+(Inputs!$D$10-I263)/MAX(1,Inputs!$D$12)*(I264*(I$258-1)*1+I264*(I264-1)/2)+(1-I264)*Inputs!$D$10)/1</f>
        <v>0.683333333333333</v>
      </c>
      <c r="J265" s="73" t="n">
        <f aca="false">(J264*J263+(Inputs!$D$10-J263)/MAX(1,Inputs!$D$12)*(J264*(J$258-1)*1+J264*(J264-1)/2)+(1-J264)*Inputs!$D$10)/1</f>
        <v>0.755555555555556</v>
      </c>
      <c r="K265" s="73" t="n">
        <f aca="false">(K264*K263+(Inputs!$D$10-K263)/MAX(1,Inputs!$D$12)*(K264*(K$258-1)*1+K264*(K264-1)/2)+(1-K264)*Inputs!$D$10)/1</f>
        <v>0.827777777777778</v>
      </c>
      <c r="L265" s="73" t="n">
        <f aca="false">(L264*L263+(Inputs!$D$10-L263)/MAX(1,Inputs!$D$12)*(L264*(L$258-1)*1+L264*(L264-1)/2)+(1-L264)*Inputs!$D$10)/1</f>
        <v>0.9</v>
      </c>
      <c r="M265" s="73" t="n">
        <f aca="false">(M264*M263+(Inputs!$D$10-M263)/MAX(1,Inputs!$D$12)*(M264*(M$258-1)*1+M264*(M264-1)/2)+(1-M264)*Inputs!$D$10)/1</f>
        <v>0.9</v>
      </c>
      <c r="N265" s="73" t="n">
        <f aca="false">(N264*N263+(Inputs!$D$10-N263)/MAX(1,Inputs!$D$12)*(N264*(N$258-1)*1+N264*(N264-1)/2)+(1-N264)*Inputs!$D$10)/1</f>
        <v>0.9</v>
      </c>
      <c r="O265" s="73" t="n">
        <f aca="false">(O264*O263+(Inputs!$D$10-O263)/MAX(1,Inputs!$D$12)*(O264*(O$258-1)*1+O264*(O264-1)/2)+(1-O264)*Inputs!$D$10)/1</f>
        <v>0.9</v>
      </c>
      <c r="P265" s="73" t="n">
        <f aca="false">(P264*P263+(Inputs!$D$10-P263)/MAX(1,Inputs!$D$12)*(P264*(P$258-1)*1+P264*(P264-1)/2)+(1-P264)*Inputs!$D$10)/1</f>
        <v>0.9</v>
      </c>
      <c r="Q265" s="73" t="n">
        <f aca="false">(Q264*Q263+(Inputs!$D$10-Q263)/MAX(1,Inputs!$D$12)*(Q264*(Q$258-1)*1+Q264*(Q264-1)/2)+(1-Q264)*Inputs!$D$10)/1</f>
        <v>0.9</v>
      </c>
      <c r="R265" s="73" t="n">
        <f aca="false">(R264*R263+(Inputs!$D$10-R263)/MAX(1,Inputs!$D$12)*(R264*(R$258-1)*1+R264*(R264-1)/2)+(1-R264)*Inputs!$D$10)/1</f>
        <v>0.9</v>
      </c>
      <c r="S265" s="73" t="n">
        <f aca="false">(S264*S263+(Inputs!$D$10-S263)/MAX(1,Inputs!$D$12)*(S264*(S$258-1)*1+S264*(S264-1)/2)+(1-S264)*Inputs!$D$10)/1</f>
        <v>0.9</v>
      </c>
      <c r="T265" s="73" t="n">
        <f aca="false">(T264*T263+(Inputs!$D$10-T263)/MAX(1,Inputs!$D$12)*(T264*(T$258-1)*1+T264*(T264-1)/2)+(1-T264)*Inputs!$D$10)/1</f>
        <v>0.9</v>
      </c>
      <c r="U265" s="73" t="n">
        <f aca="false">(U264*U263+(Inputs!$D$10-U263)/MAX(1,Inputs!$D$12)*(U264*(U$258-1)*1+U264*(U264-1)/2)+(1-U264)*Inputs!$D$10)/1</f>
        <v>0.9</v>
      </c>
      <c r="V265" s="73" t="n">
        <f aca="false">(V264*V263+(Inputs!$D$10-V263)/MAX(1,Inputs!$D$12)*(V264*(V$258-1)*1+V264*(V264-1)/2)+(1-V264)*Inputs!$D$10)/1</f>
        <v>0.9</v>
      </c>
      <c r="W265" s="73" t="n">
        <f aca="false">(W264*W263+(Inputs!$D$10-W263)/MAX(1,Inputs!$D$12)*(W264*(W$258-1)*1+W264*(W264-1)/2)+(1-W264)*Inputs!$D$10)/1</f>
        <v>0.9</v>
      </c>
      <c r="X265" s="73" t="n">
        <f aca="false">(X264*X263+(Inputs!$D$10-X263)/MAX(1,Inputs!$D$12)*(X264*(X$258-1)*1+X264*(X264-1)/2)+(1-X264)*Inputs!$D$10)/1</f>
        <v>0.9</v>
      </c>
      <c r="Y265" s="73" t="n">
        <f aca="false">(Y264*Y263+(Inputs!$D$10-Y263)/MAX(1,Inputs!$D$12)*(Y264*(Y$258-1)*1+Y264*(Y264-1)/2)+(1-Y264)*Inputs!$D$10)/1</f>
        <v>0.9</v>
      </c>
      <c r="Z265" s="73" t="n">
        <f aca="false">(Z264*Z263+(Inputs!$D$10-Z263)/MAX(1,Inputs!$D$12)*(Z264*(Z$258-1)*1+Z264*(Z264-1)/2)+(1-Z264)*Inputs!$D$10)/1</f>
        <v>0.9</v>
      </c>
      <c r="AA265" s="73" t="n">
        <f aca="false">(AA264*AA263+(Inputs!$D$10-AA263)/MAX(1,Inputs!$D$12)*(AA264*(AA$258-1)*1+AA264*(AA264-1)/2)+(1-AA264)*Inputs!$D$10)/1</f>
        <v>0.9</v>
      </c>
      <c r="AB265" s="73" t="n">
        <f aca="false">(AB264*AB263+(Inputs!$D$10-AB263)/MAX(1,Inputs!$D$12)*(AB264*(AB$258-1)*1+AB264*(AB264-1)/2)+(1-AB264)*Inputs!$D$10)/1</f>
        <v>0.9</v>
      </c>
      <c r="AC265" s="73" t="n">
        <f aca="false">(AC264*AC263+(Inputs!$D$10-AC263)/MAX(1,Inputs!$D$12)*(AC264*(AC$258-1)*1+AC264*(AC264-1)/2)+(1-AC264)*Inputs!$D$10)/1</f>
        <v>0.9</v>
      </c>
      <c r="AD265" s="73" t="n">
        <f aca="false">(AD264*AD263+(Inputs!$D$10-AD263)/MAX(1,Inputs!$D$12)*(AD264*(AD$258-1)*1+AD264*(AD264-1)/2)+(1-AD264)*Inputs!$D$10)/1</f>
        <v>0.9</v>
      </c>
      <c r="AE265" s="73" t="n">
        <f aca="false">(AE264*AE263+(Inputs!$D$10-AE263)/MAX(1,Inputs!$D$12)*(AE264*(AE$258-1)*1+AE264*(AE264-1)/2)+(1-AE264)*Inputs!$D$10)/1</f>
        <v>0.9</v>
      </c>
      <c r="AF265" s="73" t="n">
        <f aca="false">(AF264*AF263+(Inputs!$D$10-AF263)/MAX(1,Inputs!$D$12)*(AF264*(AF$258-1)*1+AF264*(AF264-1)/2)+(1-AF264)*Inputs!$D$10)/1</f>
        <v>0.9</v>
      </c>
      <c r="AG265" s="73" t="n">
        <f aca="false">(AG264*AG263+(Inputs!$D$10-AG263)/MAX(1,Inputs!$D$12)*(AG264*(AG$258-1)*1+AG264*(AG264-1)/2)+(1-AG264)*Inputs!$D$10)/1</f>
        <v>0.9</v>
      </c>
      <c r="AH265" s="73" t="n">
        <f aca="false">(AH264*AH263+(Inputs!$D$10-AH263)/MAX(1,Inputs!$D$12)*(AH264*(AH$258-1)*1+AH264*(AH264-1)/2)+(1-AH264)*Inputs!$D$10)/1</f>
        <v>0.9</v>
      </c>
      <c r="AI265" s="73" t="n">
        <f aca="false">(AI264*AI263+(Inputs!$D$10-AI263)/MAX(1,Inputs!$D$12)*(AI264*(AI$258-1)*1+AI264*(AI264-1)/2)+(1-AI264)*Inputs!$D$10)/1</f>
        <v>0.9</v>
      </c>
      <c r="AJ265" s="73" t="n">
        <f aca="false">(AJ264*AJ263+(Inputs!$D$10-AJ263)/MAX(1,Inputs!$D$12)*(AJ264*(AJ$258-1)*1+AJ264*(AJ264-1)/2)+(1-AJ264)*Inputs!$D$10)/1</f>
        <v>0.9</v>
      </c>
      <c r="AK265" s="73" t="n">
        <f aca="false">(AK264*AK263+(Inputs!$D$10-AK263)/MAX(1,Inputs!$D$12)*(AK264*(AK$258-1)*1+AK264*(AK264-1)/2)+(1-AK264)*Inputs!$D$10)/1</f>
        <v>0.9</v>
      </c>
      <c r="AL265" s="73" t="n">
        <f aca="false">(AL264*AL263+(Inputs!$D$10-AL263)/MAX(1,Inputs!$D$12)*(AL264*(AL$258-1)*1+AL264*(AL264-1)/2)+(1-AL264)*Inputs!$D$10)/1</f>
        <v>0.9</v>
      </c>
      <c r="AM265" s="73" t="n">
        <f aca="false">(AM264*AM263+(Inputs!$D$10-AM263)/MAX(1,Inputs!$D$12)*(AM264*(AM$258-1)*1+AM264*(AM264-1)/2)+(1-AM264)*Inputs!$D$10)/1</f>
        <v>0.9</v>
      </c>
      <c r="AN265" s="73" t="n">
        <f aca="false">(AN264*AN263+(Inputs!$D$10-AN263)/MAX(1,Inputs!$D$12)*(AN264*(AN$258-1)*1+AN264*(AN264-1)/2)+(1-AN264)*Inputs!$D$10)/1</f>
        <v>0.9</v>
      </c>
      <c r="AO265" s="73" t="n">
        <f aca="false">(AO264*AO263+(Inputs!$D$10-AO263)/MAX(1,Inputs!$D$12)*(AO264*(AO$258-1)*1+AO264*(AO264-1)/2)+(1-AO264)*Inputs!$D$10)/1</f>
        <v>0.9</v>
      </c>
      <c r="AP265" s="73" t="n">
        <f aca="false">(AP264*AP263+(Inputs!$D$10-AP263)/MAX(1,Inputs!$D$12)*(AP264*(AP$258-1)*1+AP264*(AP264-1)/2)+(1-AP264)*Inputs!$D$10)/1</f>
        <v>0.9</v>
      </c>
      <c r="AQ265" s="73" t="n">
        <f aca="false">(AQ264*AQ263+(Inputs!$D$10-AQ263)/MAX(1,Inputs!$D$12)*(AQ264*(AQ$258-1)*1+AQ264*(AQ264-1)/2)+(1-AQ264)*Inputs!$D$10)/1</f>
        <v>0.9</v>
      </c>
      <c r="AR265" s="73" t="n">
        <f aca="false">(AR264*AR263+(Inputs!$D$10-AR263)/MAX(1,Inputs!$D$12)*(AR264*(AR$258-1)*1+AR264*(AR264-1)/2)+(1-AR264)*Inputs!$D$10)/1</f>
        <v>0.9</v>
      </c>
      <c r="AS265" s="73" t="n">
        <f aca="false">(AS264*AS263+(Inputs!$D$10-AS263)/MAX(1,Inputs!$D$12)*(AS264*(AS$258-1)*1+AS264*(AS264-1)/2)+(1-AS264)*Inputs!$D$10)/1</f>
        <v>0.9</v>
      </c>
      <c r="AT265" s="73" t="n">
        <f aca="false">(AT264*AT263+(Inputs!$D$10-AT263)/MAX(1,Inputs!$D$12)*(AT264*(AT$258-1)*1+AT264*(AT264-1)/2)+(1-AT264)*Inputs!$D$10)/1</f>
        <v>0.9</v>
      </c>
      <c r="AU265" s="73" t="n">
        <f aca="false">(AU264*AU263+(Inputs!$D$10-AU263)/MAX(1,Inputs!$D$12)*(AU264*(AU$258-1)*1+AU264*(AU264-1)/2)+(1-AU264)*Inputs!$D$10)/1</f>
        <v>0.9</v>
      </c>
      <c r="AV265" s="73" t="n">
        <f aca="false">(AV264*AV263+(Inputs!$D$10-AV263)/MAX(1,Inputs!$D$12)*(AV264*(AV$258-1)*1+AV264*(AV264-1)/2)+(1-AV264)*Inputs!$D$10)/1</f>
        <v>0.9</v>
      </c>
      <c r="AW265" s="73" t="n">
        <f aca="false">(AW264*AW263+(Inputs!$D$10-AW263)/MAX(1,Inputs!$D$12)*(AW264*(AW$258-1)*1+AW264*(AW264-1)/2)+(1-AW264)*Inputs!$D$10)/1</f>
        <v>0.9</v>
      </c>
      <c r="AX265" s="73" t="n">
        <f aca="false">(AX264*AX263+(Inputs!$D$10-AX263)/MAX(1,Inputs!$D$12)*(AX264*(AX$258-1)*1+AX264*(AX264-1)/2)+(1-AX264)*Inputs!$D$10)/1</f>
        <v>0.9</v>
      </c>
      <c r="AY265" s="73" t="n">
        <f aca="false">(AY264*AY263+(Inputs!$D$10-AY263)/MAX(1,Inputs!$D$12)*(AY264*(AY$258-1)*1+AY264*(AY264-1)/2)+(1-AY264)*Inputs!$D$10)/1</f>
        <v>0.9</v>
      </c>
      <c r="AZ265" s="73" t="n">
        <f aca="false">(AZ264*AZ263+(Inputs!$D$10-AZ263)/MAX(1,Inputs!$D$12)*(AZ264*(AZ$258-1)*1+AZ264*(AZ264-1)/2)+(1-AZ264)*Inputs!$D$10)/1</f>
        <v>0.9</v>
      </c>
      <c r="BA265" s="73" t="n">
        <f aca="false">(BA264*BA263+(Inputs!$D$10-BA263)/MAX(1,Inputs!$D$12)*(BA264*(BA$258-1)*1+BA264*(BA264-1)/2)+(1-BA264)*Inputs!$D$10)/1</f>
        <v>0.9</v>
      </c>
      <c r="BB265" s="73" t="n">
        <f aca="false">(BB264*BB263+(Inputs!$D$10-BB263)/MAX(1,Inputs!$D$12)*(BB264*(BB$258-1)*1+BB264*(BB264-1)/2)+(1-BB264)*Inputs!$D$10)/1</f>
        <v>0.9</v>
      </c>
      <c r="BC265" s="73" t="n">
        <f aca="false">(BC264*BC263+(Inputs!$D$10-BC263)/MAX(1,Inputs!$D$12)*(BC264*(BC$258-1)*1+BC264*(BC264-1)/2)+(1-BC264)*Inputs!$D$10)/1</f>
        <v>0.9</v>
      </c>
      <c r="BD265" s="73" t="n">
        <f aca="false">(BD264*BD263+(Inputs!$D$10-BD263)/MAX(1,Inputs!$D$12)*(BD264*(BD$258-1)*1+BD264*(BD264-1)/2)+(1-BD264)*Inputs!$D$10)/1</f>
        <v>0.9</v>
      </c>
      <c r="BE265" s="73" t="n">
        <f aca="false">(BE264*BE263+(Inputs!$D$10-BE263)/MAX(1,Inputs!$D$12)*(BE264*(BE$258-1)*1+BE264*(BE264-1)/2)+(1-BE264)*Inputs!$D$10)/1</f>
        <v>0.9</v>
      </c>
      <c r="BF265" s="73" t="n">
        <f aca="false">(BF264*BF263+(Inputs!$D$10-BF263)/MAX(1,Inputs!$D$12)*(BF264*(BF$258-1)*1+BF264*(BF264-1)/2)+(1-BF264)*Inputs!$D$10)/1</f>
        <v>0.9</v>
      </c>
      <c r="BG265" s="73" t="n">
        <f aca="false">(BG264*BG263+(Inputs!$D$10-BG263)/MAX(1,Inputs!$D$12)*(BG264*(BG$258-1)*1+BG264*(BG264-1)/2)+(1-BG264)*Inputs!$D$10)/1</f>
        <v>0.9</v>
      </c>
      <c r="BH265" s="73" t="n">
        <f aca="false">(BH264*BH263+(Inputs!$D$10-BH263)/MAX(1,Inputs!$D$12)*(BH264*(BH$258-1)*1+BH264*(BH264-1)/2)+(1-BH264)*Inputs!$D$10)/1</f>
        <v>0.9</v>
      </c>
      <c r="BI265" s="73" t="n">
        <f aca="false">(BI264*BI263+(Inputs!$D$10-BI263)/MAX(1,Inputs!$D$12)*(BI264*(BI$258-1)*1+BI264*(BI264-1)/2)+(1-BI264)*Inputs!$D$10)/1</f>
        <v>0.9</v>
      </c>
      <c r="BJ265" s="73" t="n">
        <f aca="false">(BJ264*BJ263+(Inputs!$D$10-BJ263)/MAX(1,Inputs!$D$12)*(BJ264*(BJ$258-1)*1+BJ264*(BJ264-1)/2)+(1-BJ264)*Inputs!$D$10)/1</f>
        <v>0.9</v>
      </c>
    </row>
    <row r="266" customFormat="false" ht="15" hidden="false" customHeight="false" outlineLevel="0" collapsed="false">
      <c r="A266" s="38" t="s">
        <v>421</v>
      </c>
      <c r="C266" s="73" t="n">
        <f aca="false">IF(Inputs!$D$12&lt;=0,Inputs!$D$10,C263+(Inputs!$D$10-C263)*MIN(1,(C$258*1-1)/MAX(1,Inputs!$D$12)))</f>
        <v>0.25</v>
      </c>
      <c r="D266" s="73" t="n">
        <f aca="false">IF(Inputs!$D$12&lt;=0,Inputs!$D$10,D263+(Inputs!$D$10-D263)*MIN(1,(D$258*1-1)/MAX(1,Inputs!$D$12)))</f>
        <v>0.322222222222222</v>
      </c>
      <c r="E266" s="73" t="n">
        <f aca="false">IF(Inputs!$D$12&lt;=0,Inputs!$D$10,E263+(Inputs!$D$10-E263)*MIN(1,(E$258*1-1)/MAX(1,Inputs!$D$12)))</f>
        <v>0.394444444444444</v>
      </c>
      <c r="F266" s="73" t="n">
        <f aca="false">IF(Inputs!$D$12&lt;=0,Inputs!$D$10,F263+(Inputs!$D$10-F263)*MIN(1,(F$258*1-1)/MAX(1,Inputs!$D$12)))</f>
        <v>0.466666666666667</v>
      </c>
      <c r="G266" s="73" t="n">
        <f aca="false">IF(Inputs!$D$12&lt;=0,Inputs!$D$10,G263+(Inputs!$D$10-G263)*MIN(1,(G$258*1-1)/MAX(1,Inputs!$D$12)))</f>
        <v>0.538888888888889</v>
      </c>
      <c r="H266" s="73" t="n">
        <f aca="false">IF(Inputs!$D$12&lt;=0,Inputs!$D$10,H263+(Inputs!$D$10-H263)*MIN(1,(H$258*1-1)/MAX(1,Inputs!$D$12)))</f>
        <v>0.611111111111111</v>
      </c>
      <c r="I266" s="73" t="n">
        <f aca="false">IF(Inputs!$D$12&lt;=0,Inputs!$D$10,I263+(Inputs!$D$10-I263)*MIN(1,(I$258*1-1)/MAX(1,Inputs!$D$12)))</f>
        <v>0.683333333333333</v>
      </c>
      <c r="J266" s="73" t="n">
        <f aca="false">IF(Inputs!$D$12&lt;=0,Inputs!$D$10,J263+(Inputs!$D$10-J263)*MIN(1,(J$258*1-1)/MAX(1,Inputs!$D$12)))</f>
        <v>0.755555555555556</v>
      </c>
      <c r="K266" s="73" t="n">
        <f aca="false">IF(Inputs!$D$12&lt;=0,Inputs!$D$10,K263+(Inputs!$D$10-K263)*MIN(1,(K$258*1-1)/MAX(1,Inputs!$D$12)))</f>
        <v>0.827777777777778</v>
      </c>
      <c r="L266" s="73" t="n">
        <f aca="false">IF(Inputs!$D$12&lt;=0,Inputs!$D$10,L263+(Inputs!$D$10-L263)*MIN(1,(L$258*1-1)/MAX(1,Inputs!$D$12)))</f>
        <v>0.9</v>
      </c>
      <c r="M266" s="73" t="n">
        <f aca="false">IF(Inputs!$D$12&lt;=0,Inputs!$D$10,M263+(Inputs!$D$10-M263)*MIN(1,(M$258*1-1)/MAX(1,Inputs!$D$12)))</f>
        <v>0.9</v>
      </c>
      <c r="N266" s="73" t="n">
        <f aca="false">IF(Inputs!$D$12&lt;=0,Inputs!$D$10,N263+(Inputs!$D$10-N263)*MIN(1,(N$258*1-1)/MAX(1,Inputs!$D$12)))</f>
        <v>0.9</v>
      </c>
      <c r="O266" s="73" t="n">
        <f aca="false">IF(Inputs!$D$12&lt;=0,Inputs!$D$10,O263+(Inputs!$D$10-O263)*MIN(1,(O$258*1-1)/MAX(1,Inputs!$D$12)))</f>
        <v>0.9</v>
      </c>
      <c r="P266" s="73" t="n">
        <f aca="false">IF(Inputs!$D$12&lt;=0,Inputs!$D$10,P263+(Inputs!$D$10-P263)*MIN(1,(P$258*1-1)/MAX(1,Inputs!$D$12)))</f>
        <v>0.9</v>
      </c>
      <c r="Q266" s="73" t="n">
        <f aca="false">IF(Inputs!$D$12&lt;=0,Inputs!$D$10,Q263+(Inputs!$D$10-Q263)*MIN(1,(Q$258*1-1)/MAX(1,Inputs!$D$12)))</f>
        <v>0.9</v>
      </c>
      <c r="R266" s="73" t="n">
        <f aca="false">IF(Inputs!$D$12&lt;=0,Inputs!$D$10,R263+(Inputs!$D$10-R263)*MIN(1,(R$258*1-1)/MAX(1,Inputs!$D$12)))</f>
        <v>0.9</v>
      </c>
      <c r="S266" s="73" t="n">
        <f aca="false">IF(Inputs!$D$12&lt;=0,Inputs!$D$10,S263+(Inputs!$D$10-S263)*MIN(1,(S$258*1-1)/MAX(1,Inputs!$D$12)))</f>
        <v>0.9</v>
      </c>
      <c r="T266" s="73" t="n">
        <f aca="false">IF(Inputs!$D$12&lt;=0,Inputs!$D$10,T263+(Inputs!$D$10-T263)*MIN(1,(T$258*1-1)/MAX(1,Inputs!$D$12)))</f>
        <v>0.9</v>
      </c>
      <c r="U266" s="73" t="n">
        <f aca="false">IF(Inputs!$D$12&lt;=0,Inputs!$D$10,U263+(Inputs!$D$10-U263)*MIN(1,(U$258*1-1)/MAX(1,Inputs!$D$12)))</f>
        <v>0.9</v>
      </c>
      <c r="V266" s="73" t="n">
        <f aca="false">IF(Inputs!$D$12&lt;=0,Inputs!$D$10,V263+(Inputs!$D$10-V263)*MIN(1,(V$258*1-1)/MAX(1,Inputs!$D$12)))</f>
        <v>0.9</v>
      </c>
      <c r="W266" s="73" t="n">
        <f aca="false">IF(Inputs!$D$12&lt;=0,Inputs!$D$10,W263+(Inputs!$D$10-W263)*MIN(1,(W$258*1-1)/MAX(1,Inputs!$D$12)))</f>
        <v>0.9</v>
      </c>
      <c r="X266" s="73" t="n">
        <f aca="false">IF(Inputs!$D$12&lt;=0,Inputs!$D$10,X263+(Inputs!$D$10-X263)*MIN(1,(X$258*1-1)/MAX(1,Inputs!$D$12)))</f>
        <v>0.9</v>
      </c>
      <c r="Y266" s="73" t="n">
        <f aca="false">IF(Inputs!$D$12&lt;=0,Inputs!$D$10,Y263+(Inputs!$D$10-Y263)*MIN(1,(Y$258*1-1)/MAX(1,Inputs!$D$12)))</f>
        <v>0.9</v>
      </c>
      <c r="Z266" s="73" t="n">
        <f aca="false">IF(Inputs!$D$12&lt;=0,Inputs!$D$10,Z263+(Inputs!$D$10-Z263)*MIN(1,(Z$258*1-1)/MAX(1,Inputs!$D$12)))</f>
        <v>0.9</v>
      </c>
      <c r="AA266" s="73" t="n">
        <f aca="false">IF(Inputs!$D$12&lt;=0,Inputs!$D$10,AA263+(Inputs!$D$10-AA263)*MIN(1,(AA$258*1-1)/MAX(1,Inputs!$D$12)))</f>
        <v>0.9</v>
      </c>
      <c r="AB266" s="73" t="n">
        <f aca="false">IF(Inputs!$D$12&lt;=0,Inputs!$D$10,AB263+(Inputs!$D$10-AB263)*MIN(1,(AB$258*1-1)/MAX(1,Inputs!$D$12)))</f>
        <v>0.9</v>
      </c>
      <c r="AC266" s="73" t="n">
        <f aca="false">IF(Inputs!$D$12&lt;=0,Inputs!$D$10,AC263+(Inputs!$D$10-AC263)*MIN(1,(AC$258*1-1)/MAX(1,Inputs!$D$12)))</f>
        <v>0.9</v>
      </c>
      <c r="AD266" s="73" t="n">
        <f aca="false">IF(Inputs!$D$12&lt;=0,Inputs!$D$10,AD263+(Inputs!$D$10-AD263)*MIN(1,(AD$258*1-1)/MAX(1,Inputs!$D$12)))</f>
        <v>0.9</v>
      </c>
      <c r="AE266" s="73" t="n">
        <f aca="false">IF(Inputs!$D$12&lt;=0,Inputs!$D$10,AE263+(Inputs!$D$10-AE263)*MIN(1,(AE$258*1-1)/MAX(1,Inputs!$D$12)))</f>
        <v>0.9</v>
      </c>
      <c r="AF266" s="73" t="n">
        <f aca="false">IF(Inputs!$D$12&lt;=0,Inputs!$D$10,AF263+(Inputs!$D$10-AF263)*MIN(1,(AF$258*1-1)/MAX(1,Inputs!$D$12)))</f>
        <v>0.9</v>
      </c>
      <c r="AG266" s="73" t="n">
        <f aca="false">IF(Inputs!$D$12&lt;=0,Inputs!$D$10,AG263+(Inputs!$D$10-AG263)*MIN(1,(AG$258*1-1)/MAX(1,Inputs!$D$12)))</f>
        <v>0.9</v>
      </c>
      <c r="AH266" s="73" t="n">
        <f aca="false">IF(Inputs!$D$12&lt;=0,Inputs!$D$10,AH263+(Inputs!$D$10-AH263)*MIN(1,(AH$258*1-1)/MAX(1,Inputs!$D$12)))</f>
        <v>0.9</v>
      </c>
      <c r="AI266" s="73" t="n">
        <f aca="false">IF(Inputs!$D$12&lt;=0,Inputs!$D$10,AI263+(Inputs!$D$10-AI263)*MIN(1,(AI$258*1-1)/MAX(1,Inputs!$D$12)))</f>
        <v>0.9</v>
      </c>
      <c r="AJ266" s="73" t="n">
        <f aca="false">IF(Inputs!$D$12&lt;=0,Inputs!$D$10,AJ263+(Inputs!$D$10-AJ263)*MIN(1,(AJ$258*1-1)/MAX(1,Inputs!$D$12)))</f>
        <v>0.9</v>
      </c>
      <c r="AK266" s="73" t="n">
        <f aca="false">IF(Inputs!$D$12&lt;=0,Inputs!$D$10,AK263+(Inputs!$D$10-AK263)*MIN(1,(AK$258*1-1)/MAX(1,Inputs!$D$12)))</f>
        <v>0.9</v>
      </c>
      <c r="AL266" s="73" t="n">
        <f aca="false">IF(Inputs!$D$12&lt;=0,Inputs!$D$10,AL263+(Inputs!$D$10-AL263)*MIN(1,(AL$258*1-1)/MAX(1,Inputs!$D$12)))</f>
        <v>0.9</v>
      </c>
      <c r="AM266" s="73" t="n">
        <f aca="false">IF(Inputs!$D$12&lt;=0,Inputs!$D$10,AM263+(Inputs!$D$10-AM263)*MIN(1,(AM$258*1-1)/MAX(1,Inputs!$D$12)))</f>
        <v>0.9</v>
      </c>
      <c r="AN266" s="73" t="n">
        <f aca="false">IF(Inputs!$D$12&lt;=0,Inputs!$D$10,AN263+(Inputs!$D$10-AN263)*MIN(1,(AN$258*1-1)/MAX(1,Inputs!$D$12)))</f>
        <v>0.9</v>
      </c>
      <c r="AO266" s="73" t="n">
        <f aca="false">IF(Inputs!$D$12&lt;=0,Inputs!$D$10,AO263+(Inputs!$D$10-AO263)*MIN(1,(AO$258*1-1)/MAX(1,Inputs!$D$12)))</f>
        <v>0.9</v>
      </c>
      <c r="AP266" s="73" t="n">
        <f aca="false">IF(Inputs!$D$12&lt;=0,Inputs!$D$10,AP263+(Inputs!$D$10-AP263)*MIN(1,(AP$258*1-1)/MAX(1,Inputs!$D$12)))</f>
        <v>0.9</v>
      </c>
      <c r="AQ266" s="73" t="n">
        <f aca="false">IF(Inputs!$D$12&lt;=0,Inputs!$D$10,AQ263+(Inputs!$D$10-AQ263)*MIN(1,(AQ$258*1-1)/MAX(1,Inputs!$D$12)))</f>
        <v>0.9</v>
      </c>
      <c r="AR266" s="73" t="n">
        <f aca="false">IF(Inputs!$D$12&lt;=0,Inputs!$D$10,AR263+(Inputs!$D$10-AR263)*MIN(1,(AR$258*1-1)/MAX(1,Inputs!$D$12)))</f>
        <v>0.9</v>
      </c>
      <c r="AS266" s="73" t="n">
        <f aca="false">IF(Inputs!$D$12&lt;=0,Inputs!$D$10,AS263+(Inputs!$D$10-AS263)*MIN(1,(AS$258*1-1)/MAX(1,Inputs!$D$12)))</f>
        <v>0.9</v>
      </c>
      <c r="AT266" s="73" t="n">
        <f aca="false">IF(Inputs!$D$12&lt;=0,Inputs!$D$10,AT263+(Inputs!$D$10-AT263)*MIN(1,(AT$258*1-1)/MAX(1,Inputs!$D$12)))</f>
        <v>0.9</v>
      </c>
      <c r="AU266" s="73" t="n">
        <f aca="false">IF(Inputs!$D$12&lt;=0,Inputs!$D$10,AU263+(Inputs!$D$10-AU263)*MIN(1,(AU$258*1-1)/MAX(1,Inputs!$D$12)))</f>
        <v>0.9</v>
      </c>
      <c r="AV266" s="73" t="n">
        <f aca="false">IF(Inputs!$D$12&lt;=0,Inputs!$D$10,AV263+(Inputs!$D$10-AV263)*MIN(1,(AV$258*1-1)/MAX(1,Inputs!$D$12)))</f>
        <v>0.9</v>
      </c>
      <c r="AW266" s="73" t="n">
        <f aca="false">IF(Inputs!$D$12&lt;=0,Inputs!$D$10,AW263+(Inputs!$D$10-AW263)*MIN(1,(AW$258*1-1)/MAX(1,Inputs!$D$12)))</f>
        <v>0.9</v>
      </c>
      <c r="AX266" s="73" t="n">
        <f aca="false">IF(Inputs!$D$12&lt;=0,Inputs!$D$10,AX263+(Inputs!$D$10-AX263)*MIN(1,(AX$258*1-1)/MAX(1,Inputs!$D$12)))</f>
        <v>0.9</v>
      </c>
      <c r="AY266" s="73" t="n">
        <f aca="false">IF(Inputs!$D$12&lt;=0,Inputs!$D$10,AY263+(Inputs!$D$10-AY263)*MIN(1,(AY$258*1-1)/MAX(1,Inputs!$D$12)))</f>
        <v>0.9</v>
      </c>
      <c r="AZ266" s="73" t="n">
        <f aca="false">IF(Inputs!$D$12&lt;=0,Inputs!$D$10,AZ263+(Inputs!$D$10-AZ263)*MIN(1,(AZ$258*1-1)/MAX(1,Inputs!$D$12)))</f>
        <v>0.9</v>
      </c>
      <c r="BA266" s="73" t="n">
        <f aca="false">IF(Inputs!$D$12&lt;=0,Inputs!$D$10,BA263+(Inputs!$D$10-BA263)*MIN(1,(BA$258*1-1)/MAX(1,Inputs!$D$12)))</f>
        <v>0.9</v>
      </c>
      <c r="BB266" s="73" t="n">
        <f aca="false">IF(Inputs!$D$12&lt;=0,Inputs!$D$10,BB263+(Inputs!$D$10-BB263)*MIN(1,(BB$258*1-1)/MAX(1,Inputs!$D$12)))</f>
        <v>0.9</v>
      </c>
      <c r="BC266" s="73" t="n">
        <f aca="false">IF(Inputs!$D$12&lt;=0,Inputs!$D$10,BC263+(Inputs!$D$10-BC263)*MIN(1,(BC$258*1-1)/MAX(1,Inputs!$D$12)))</f>
        <v>0.9</v>
      </c>
      <c r="BD266" s="73" t="n">
        <f aca="false">IF(Inputs!$D$12&lt;=0,Inputs!$D$10,BD263+(Inputs!$D$10-BD263)*MIN(1,(BD$258*1-1)/MAX(1,Inputs!$D$12)))</f>
        <v>0.9</v>
      </c>
      <c r="BE266" s="73" t="n">
        <f aca="false">IF(Inputs!$D$12&lt;=0,Inputs!$D$10,BE263+(Inputs!$D$10-BE263)*MIN(1,(BE$258*1-1)/MAX(1,Inputs!$D$12)))</f>
        <v>0.9</v>
      </c>
      <c r="BF266" s="73" t="n">
        <f aca="false">IF(Inputs!$D$12&lt;=0,Inputs!$D$10,BF263+(Inputs!$D$10-BF263)*MIN(1,(BF$258*1-1)/MAX(1,Inputs!$D$12)))</f>
        <v>0.9</v>
      </c>
      <c r="BG266" s="73" t="n">
        <f aca="false">IF(Inputs!$D$12&lt;=0,Inputs!$D$10,BG263+(Inputs!$D$10-BG263)*MIN(1,(BG$258*1-1)/MAX(1,Inputs!$D$12)))</f>
        <v>0.9</v>
      </c>
      <c r="BH266" s="73" t="n">
        <f aca="false">IF(Inputs!$D$12&lt;=0,Inputs!$D$10,BH263+(Inputs!$D$10-BH263)*MIN(1,(BH$258*1-1)/MAX(1,Inputs!$D$12)))</f>
        <v>0.9</v>
      </c>
      <c r="BI266" s="73" t="n">
        <f aca="false">IF(Inputs!$D$12&lt;=0,Inputs!$D$10,BI263+(Inputs!$D$10-BI263)*MIN(1,(BI$258*1-1)/MAX(1,Inputs!$D$12)))</f>
        <v>0.9</v>
      </c>
      <c r="BJ266" s="73" t="n">
        <f aca="false">IF(Inputs!$D$12&lt;=0,Inputs!$D$10,BJ263+(Inputs!$D$10-BJ263)*MIN(1,(BJ$258*1-1)/MAX(1,Inputs!$D$12)))</f>
        <v>0.9</v>
      </c>
    </row>
    <row r="267" customFormat="false" ht="15" hidden="false" customHeight="false" outlineLevel="0" collapsed="false">
      <c r="A267" s="6" t="s">
        <v>422</v>
      </c>
      <c r="C267" s="115" t="n">
        <f aca="false">C262*Inputs!$D$9*C265</f>
        <v>5.25</v>
      </c>
      <c r="D267" s="115" t="n">
        <f aca="false">D262*Inputs!$D$9*D265</f>
        <v>6.76666666666667</v>
      </c>
      <c r="E267" s="115" t="n">
        <f aca="false">E262*Inputs!$D$9*E265</f>
        <v>8.28333333333334</v>
      </c>
      <c r="F267" s="115" t="n">
        <f aca="false">F262*Inputs!$D$9*F265</f>
        <v>9.8</v>
      </c>
      <c r="G267" s="115" t="n">
        <f aca="false">G262*Inputs!$D$9*G265</f>
        <v>11.3166666666667</v>
      </c>
      <c r="H267" s="115" t="n">
        <f aca="false">H262*Inputs!$D$9*H265</f>
        <v>12.8333333333333</v>
      </c>
      <c r="I267" s="115" t="n">
        <f aca="false">I262*Inputs!$D$9*I265</f>
        <v>14.35</v>
      </c>
      <c r="J267" s="115" t="n">
        <f aca="false">J262*Inputs!$D$9*J265</f>
        <v>15.8666666666667</v>
      </c>
      <c r="K267" s="115" t="n">
        <f aca="false">K262*Inputs!$D$9*K265</f>
        <v>17.3833333333333</v>
      </c>
      <c r="L267" s="115" t="n">
        <f aca="false">L262*Inputs!$D$9*L265</f>
        <v>18.9</v>
      </c>
      <c r="M267" s="115" t="n">
        <f aca="false">M262*Inputs!$D$9*M265</f>
        <v>18.9</v>
      </c>
      <c r="N267" s="115" t="n">
        <f aca="false">N262*Inputs!$D$9*N265</f>
        <v>18.9</v>
      </c>
      <c r="O267" s="115" t="n">
        <f aca="false">O262*Inputs!$D$9*O265</f>
        <v>18.9</v>
      </c>
      <c r="P267" s="115" t="n">
        <f aca="false">P262*Inputs!$D$9*P265</f>
        <v>18.9</v>
      </c>
      <c r="Q267" s="115" t="n">
        <f aca="false">Q262*Inputs!$D$9*Q265</f>
        <v>18.9</v>
      </c>
      <c r="R267" s="115" t="n">
        <f aca="false">R262*Inputs!$D$9*R265</f>
        <v>18.9</v>
      </c>
      <c r="S267" s="115" t="n">
        <f aca="false">S262*Inputs!$D$9*S265</f>
        <v>18.9</v>
      </c>
      <c r="T267" s="115" t="n">
        <f aca="false">T262*Inputs!$D$9*T265</f>
        <v>18.9</v>
      </c>
      <c r="U267" s="115" t="n">
        <f aca="false">U262*Inputs!$D$9*U265</f>
        <v>18.9</v>
      </c>
      <c r="V267" s="115" t="n">
        <f aca="false">V262*Inputs!$D$9*V265</f>
        <v>18.9</v>
      </c>
      <c r="W267" s="115" t="n">
        <f aca="false">W262*Inputs!$D$9*W265</f>
        <v>18.9</v>
      </c>
      <c r="X267" s="115" t="n">
        <f aca="false">X262*Inputs!$D$9*X265</f>
        <v>18.9</v>
      </c>
      <c r="Y267" s="115" t="n">
        <f aca="false">Y262*Inputs!$D$9*Y265</f>
        <v>18.9</v>
      </c>
      <c r="Z267" s="115" t="n">
        <f aca="false">Z262*Inputs!$D$9*Z265</f>
        <v>18.9</v>
      </c>
      <c r="AA267" s="115" t="n">
        <f aca="false">AA262*Inputs!$D$9*AA265</f>
        <v>18.9</v>
      </c>
      <c r="AB267" s="115" t="n">
        <f aca="false">AB262*Inputs!$D$9*AB265</f>
        <v>18.9</v>
      </c>
      <c r="AC267" s="115" t="n">
        <f aca="false">AC262*Inputs!$D$9*AC265</f>
        <v>18.9</v>
      </c>
      <c r="AD267" s="115" t="n">
        <f aca="false">AD262*Inputs!$D$9*AD265</f>
        <v>18.9</v>
      </c>
      <c r="AE267" s="115" t="n">
        <f aca="false">AE262*Inputs!$D$9*AE265</f>
        <v>18.9</v>
      </c>
      <c r="AF267" s="115" t="n">
        <f aca="false">AF262*Inputs!$D$9*AF265</f>
        <v>18.9</v>
      </c>
      <c r="AG267" s="115" t="n">
        <f aca="false">AG262*Inputs!$D$9*AG265</f>
        <v>18.9</v>
      </c>
      <c r="AH267" s="115" t="n">
        <f aca="false">AH262*Inputs!$D$9*AH265</f>
        <v>18.9</v>
      </c>
      <c r="AI267" s="115" t="n">
        <f aca="false">AI262*Inputs!$D$9*AI265</f>
        <v>18.9</v>
      </c>
      <c r="AJ267" s="115" t="n">
        <f aca="false">AJ262*Inputs!$D$9*AJ265</f>
        <v>18.9</v>
      </c>
      <c r="AK267" s="115" t="n">
        <f aca="false">AK262*Inputs!$D$9*AK265</f>
        <v>18.9</v>
      </c>
      <c r="AL267" s="115" t="n">
        <f aca="false">AL262*Inputs!$D$9*AL265</f>
        <v>18.9</v>
      </c>
      <c r="AM267" s="115" t="n">
        <f aca="false">AM262*Inputs!$D$9*AM265</f>
        <v>18.9</v>
      </c>
      <c r="AN267" s="115" t="n">
        <f aca="false">AN262*Inputs!$D$9*AN265</f>
        <v>18.9</v>
      </c>
      <c r="AO267" s="115" t="n">
        <f aca="false">AO262*Inputs!$D$9*AO265</f>
        <v>18.9</v>
      </c>
      <c r="AP267" s="115" t="n">
        <f aca="false">AP262*Inputs!$D$9*AP265</f>
        <v>18.9</v>
      </c>
      <c r="AQ267" s="115" t="n">
        <f aca="false">AQ262*Inputs!$D$9*AQ265</f>
        <v>18.9</v>
      </c>
      <c r="AR267" s="115" t="n">
        <f aca="false">AR262*Inputs!$D$9*AR265</f>
        <v>18.9</v>
      </c>
      <c r="AS267" s="115" t="n">
        <f aca="false">AS262*Inputs!$D$9*AS265</f>
        <v>18.9</v>
      </c>
      <c r="AT267" s="115" t="n">
        <f aca="false">AT262*Inputs!$D$9*AT265</f>
        <v>18.9</v>
      </c>
      <c r="AU267" s="115" t="n">
        <f aca="false">AU262*Inputs!$D$9*AU265</f>
        <v>18.9</v>
      </c>
      <c r="AV267" s="115" t="n">
        <f aca="false">AV262*Inputs!$D$9*AV265</f>
        <v>18.9</v>
      </c>
      <c r="AW267" s="115" t="n">
        <f aca="false">AW262*Inputs!$D$9*AW265</f>
        <v>18.9</v>
      </c>
      <c r="AX267" s="115" t="n">
        <f aca="false">AX262*Inputs!$D$9*AX265</f>
        <v>18.9</v>
      </c>
      <c r="AY267" s="115" t="n">
        <f aca="false">AY262*Inputs!$D$9*AY265</f>
        <v>18.9</v>
      </c>
      <c r="AZ267" s="115" t="n">
        <f aca="false">AZ262*Inputs!$D$9*AZ265</f>
        <v>18.9</v>
      </c>
      <c r="BA267" s="115" t="n">
        <f aca="false">BA262*Inputs!$D$9*BA265</f>
        <v>18.9</v>
      </c>
      <c r="BB267" s="115" t="n">
        <f aca="false">BB262*Inputs!$D$9*BB265</f>
        <v>18.9</v>
      </c>
      <c r="BC267" s="115" t="n">
        <f aca="false">BC262*Inputs!$D$9*BC265</f>
        <v>18.9</v>
      </c>
      <c r="BD267" s="115" t="n">
        <f aca="false">BD262*Inputs!$D$9*BD265</f>
        <v>18.9</v>
      </c>
      <c r="BE267" s="115" t="n">
        <f aca="false">BE262*Inputs!$D$9*BE265</f>
        <v>18.9</v>
      </c>
      <c r="BF267" s="115" t="n">
        <f aca="false">BF262*Inputs!$D$9*BF265</f>
        <v>18.9</v>
      </c>
      <c r="BG267" s="115" t="n">
        <f aca="false">BG262*Inputs!$D$9*BG265</f>
        <v>18.9</v>
      </c>
      <c r="BH267" s="115" t="n">
        <f aca="false">BH262*Inputs!$D$9*BH265</f>
        <v>18.9</v>
      </c>
      <c r="BI267" s="115" t="n">
        <f aca="false">BI262*Inputs!$D$9*BI265</f>
        <v>18.9</v>
      </c>
      <c r="BJ267" s="115" t="n">
        <f aca="false">BJ262*Inputs!$D$9*BJ265</f>
        <v>18.9</v>
      </c>
    </row>
    <row r="268" customFormat="false" ht="15" hidden="false" customHeight="false" outlineLevel="0" collapsed="false">
      <c r="A268" s="6" t="s">
        <v>423</v>
      </c>
      <c r="C268" s="115" t="n">
        <f aca="false">C262*(1-Inputs!$D$9)*C265</f>
        <v>9.75</v>
      </c>
      <c r="D268" s="115" t="n">
        <f aca="false">D262*(1-Inputs!$D$9)*D265</f>
        <v>12.5666666666667</v>
      </c>
      <c r="E268" s="115" t="n">
        <f aca="false">E262*(1-Inputs!$D$9)*E265</f>
        <v>15.3833333333333</v>
      </c>
      <c r="F268" s="115" t="n">
        <f aca="false">F262*(1-Inputs!$D$9)*F265</f>
        <v>18.2</v>
      </c>
      <c r="G268" s="115" t="n">
        <f aca="false">G262*(1-Inputs!$D$9)*G265</f>
        <v>21.0166666666667</v>
      </c>
      <c r="H268" s="115" t="n">
        <f aca="false">H262*(1-Inputs!$D$9)*H265</f>
        <v>23.8333333333333</v>
      </c>
      <c r="I268" s="115" t="n">
        <f aca="false">I262*(1-Inputs!$D$9)*I265</f>
        <v>26.65</v>
      </c>
      <c r="J268" s="115" t="n">
        <f aca="false">J262*(1-Inputs!$D$9)*J265</f>
        <v>29.4666666666667</v>
      </c>
      <c r="K268" s="115" t="n">
        <f aca="false">K262*(1-Inputs!$D$9)*K265</f>
        <v>32.2833333333333</v>
      </c>
      <c r="L268" s="115" t="n">
        <f aca="false">L262*(1-Inputs!$D$9)*L265</f>
        <v>35.1</v>
      </c>
      <c r="M268" s="115" t="n">
        <f aca="false">M262*(1-Inputs!$D$9)*M265</f>
        <v>35.1</v>
      </c>
      <c r="N268" s="115" t="n">
        <f aca="false">N262*(1-Inputs!$D$9)*N265</f>
        <v>35.1</v>
      </c>
      <c r="O268" s="115" t="n">
        <f aca="false">O262*(1-Inputs!$D$9)*O265</f>
        <v>35.1</v>
      </c>
      <c r="P268" s="115" t="n">
        <f aca="false">P262*(1-Inputs!$D$9)*P265</f>
        <v>35.1</v>
      </c>
      <c r="Q268" s="115" t="n">
        <f aca="false">Q262*(1-Inputs!$D$9)*Q265</f>
        <v>35.1</v>
      </c>
      <c r="R268" s="115" t="n">
        <f aca="false">R262*(1-Inputs!$D$9)*R265</f>
        <v>35.1</v>
      </c>
      <c r="S268" s="115" t="n">
        <f aca="false">S262*(1-Inputs!$D$9)*S265</f>
        <v>35.1</v>
      </c>
      <c r="T268" s="115" t="n">
        <f aca="false">T262*(1-Inputs!$D$9)*T265</f>
        <v>35.1</v>
      </c>
      <c r="U268" s="115" t="n">
        <f aca="false">U262*(1-Inputs!$D$9)*U265</f>
        <v>35.1</v>
      </c>
      <c r="V268" s="115" t="n">
        <f aca="false">V262*(1-Inputs!$D$9)*V265</f>
        <v>35.1</v>
      </c>
      <c r="W268" s="115" t="n">
        <f aca="false">W262*(1-Inputs!$D$9)*W265</f>
        <v>35.1</v>
      </c>
      <c r="X268" s="115" t="n">
        <f aca="false">X262*(1-Inputs!$D$9)*X265</f>
        <v>35.1</v>
      </c>
      <c r="Y268" s="115" t="n">
        <f aca="false">Y262*(1-Inputs!$D$9)*Y265</f>
        <v>35.1</v>
      </c>
      <c r="Z268" s="115" t="n">
        <f aca="false">Z262*(1-Inputs!$D$9)*Z265</f>
        <v>35.1</v>
      </c>
      <c r="AA268" s="115" t="n">
        <f aca="false">AA262*(1-Inputs!$D$9)*AA265</f>
        <v>35.1</v>
      </c>
      <c r="AB268" s="115" t="n">
        <f aca="false">AB262*(1-Inputs!$D$9)*AB265</f>
        <v>35.1</v>
      </c>
      <c r="AC268" s="115" t="n">
        <f aca="false">AC262*(1-Inputs!$D$9)*AC265</f>
        <v>35.1</v>
      </c>
      <c r="AD268" s="115" t="n">
        <f aca="false">AD262*(1-Inputs!$D$9)*AD265</f>
        <v>35.1</v>
      </c>
      <c r="AE268" s="115" t="n">
        <f aca="false">AE262*(1-Inputs!$D$9)*AE265</f>
        <v>35.1</v>
      </c>
      <c r="AF268" s="115" t="n">
        <f aca="false">AF262*(1-Inputs!$D$9)*AF265</f>
        <v>35.1</v>
      </c>
      <c r="AG268" s="115" t="n">
        <f aca="false">AG262*(1-Inputs!$D$9)*AG265</f>
        <v>35.1</v>
      </c>
      <c r="AH268" s="115" t="n">
        <f aca="false">AH262*(1-Inputs!$D$9)*AH265</f>
        <v>35.1</v>
      </c>
      <c r="AI268" s="115" t="n">
        <f aca="false">AI262*(1-Inputs!$D$9)*AI265</f>
        <v>35.1</v>
      </c>
      <c r="AJ268" s="115" t="n">
        <f aca="false">AJ262*(1-Inputs!$D$9)*AJ265</f>
        <v>35.1</v>
      </c>
      <c r="AK268" s="115" t="n">
        <f aca="false">AK262*(1-Inputs!$D$9)*AK265</f>
        <v>35.1</v>
      </c>
      <c r="AL268" s="115" t="n">
        <f aca="false">AL262*(1-Inputs!$D$9)*AL265</f>
        <v>35.1</v>
      </c>
      <c r="AM268" s="115" t="n">
        <f aca="false">AM262*(1-Inputs!$D$9)*AM265</f>
        <v>35.1</v>
      </c>
      <c r="AN268" s="115" t="n">
        <f aca="false">AN262*(1-Inputs!$D$9)*AN265</f>
        <v>35.1</v>
      </c>
      <c r="AO268" s="115" t="n">
        <f aca="false">AO262*(1-Inputs!$D$9)*AO265</f>
        <v>35.1</v>
      </c>
      <c r="AP268" s="115" t="n">
        <f aca="false">AP262*(1-Inputs!$D$9)*AP265</f>
        <v>35.1</v>
      </c>
      <c r="AQ268" s="115" t="n">
        <f aca="false">AQ262*(1-Inputs!$D$9)*AQ265</f>
        <v>35.1</v>
      </c>
      <c r="AR268" s="115" t="n">
        <f aca="false">AR262*(1-Inputs!$D$9)*AR265</f>
        <v>35.1</v>
      </c>
      <c r="AS268" s="115" t="n">
        <f aca="false">AS262*(1-Inputs!$D$9)*AS265</f>
        <v>35.1</v>
      </c>
      <c r="AT268" s="115" t="n">
        <f aca="false">AT262*(1-Inputs!$D$9)*AT265</f>
        <v>35.1</v>
      </c>
      <c r="AU268" s="115" t="n">
        <f aca="false">AU262*(1-Inputs!$D$9)*AU265</f>
        <v>35.1</v>
      </c>
      <c r="AV268" s="115" t="n">
        <f aca="false">AV262*(1-Inputs!$D$9)*AV265</f>
        <v>35.1</v>
      </c>
      <c r="AW268" s="115" t="n">
        <f aca="false">AW262*(1-Inputs!$D$9)*AW265</f>
        <v>35.1</v>
      </c>
      <c r="AX268" s="115" t="n">
        <f aca="false">AX262*(1-Inputs!$D$9)*AX265</f>
        <v>35.1</v>
      </c>
      <c r="AY268" s="115" t="n">
        <f aca="false">AY262*(1-Inputs!$D$9)*AY265</f>
        <v>35.1</v>
      </c>
      <c r="AZ268" s="115" t="n">
        <f aca="false">AZ262*(1-Inputs!$D$9)*AZ265</f>
        <v>35.1</v>
      </c>
      <c r="BA268" s="115" t="n">
        <f aca="false">BA262*(1-Inputs!$D$9)*BA265</f>
        <v>35.1</v>
      </c>
      <c r="BB268" s="115" t="n">
        <f aca="false">BB262*(1-Inputs!$D$9)*BB265</f>
        <v>35.1</v>
      </c>
      <c r="BC268" s="115" t="n">
        <f aca="false">BC262*(1-Inputs!$D$9)*BC265</f>
        <v>35.1</v>
      </c>
      <c r="BD268" s="115" t="n">
        <f aca="false">BD262*(1-Inputs!$D$9)*BD265</f>
        <v>35.1</v>
      </c>
      <c r="BE268" s="115" t="n">
        <f aca="false">BE262*(1-Inputs!$D$9)*BE265</f>
        <v>35.1</v>
      </c>
      <c r="BF268" s="115" t="n">
        <f aca="false">BF262*(1-Inputs!$D$9)*BF265</f>
        <v>35.1</v>
      </c>
      <c r="BG268" s="115" t="n">
        <f aca="false">BG262*(1-Inputs!$D$9)*BG265</f>
        <v>35.1</v>
      </c>
      <c r="BH268" s="115" t="n">
        <f aca="false">BH262*(1-Inputs!$D$9)*BH265</f>
        <v>35.1</v>
      </c>
      <c r="BI268" s="115" t="n">
        <f aca="false">BI262*(1-Inputs!$D$9)*BI265</f>
        <v>35.1</v>
      </c>
      <c r="BJ268" s="115" t="n">
        <f aca="false">BJ262*(1-Inputs!$D$9)*BJ265</f>
        <v>35.1</v>
      </c>
    </row>
    <row r="269" customFormat="false" ht="15" hidden="false" customHeight="false" outlineLevel="0" collapsed="false">
      <c r="A269" s="4" t="s">
        <v>424</v>
      </c>
      <c r="C269" s="116" t="n">
        <f aca="false">C267+C268</f>
        <v>15</v>
      </c>
      <c r="D269" s="116" t="n">
        <f aca="false">D267+D268</f>
        <v>19.3333333333333</v>
      </c>
      <c r="E269" s="116" t="n">
        <f aca="false">E267+E268</f>
        <v>23.6666666666667</v>
      </c>
      <c r="F269" s="116" t="n">
        <f aca="false">F267+F268</f>
        <v>28</v>
      </c>
      <c r="G269" s="116" t="n">
        <f aca="false">G267+G268</f>
        <v>32.3333333333333</v>
      </c>
      <c r="H269" s="116" t="n">
        <f aca="false">H267+H268</f>
        <v>36.6666666666667</v>
      </c>
      <c r="I269" s="116" t="n">
        <f aca="false">I267+I268</f>
        <v>41</v>
      </c>
      <c r="J269" s="116" t="n">
        <f aca="false">J267+J268</f>
        <v>45.3333333333333</v>
      </c>
      <c r="K269" s="116" t="n">
        <f aca="false">K267+K268</f>
        <v>49.6666666666667</v>
      </c>
      <c r="L269" s="116" t="n">
        <f aca="false">L267+L268</f>
        <v>54</v>
      </c>
      <c r="M269" s="116" t="n">
        <f aca="false">M267+M268</f>
        <v>54</v>
      </c>
      <c r="N269" s="116" t="n">
        <f aca="false">N267+N268</f>
        <v>54</v>
      </c>
      <c r="O269" s="116" t="n">
        <f aca="false">O267+O268</f>
        <v>54</v>
      </c>
      <c r="P269" s="116" t="n">
        <f aca="false">P267+P268</f>
        <v>54</v>
      </c>
      <c r="Q269" s="116" t="n">
        <f aca="false">Q267+Q268</f>
        <v>54</v>
      </c>
      <c r="R269" s="116" t="n">
        <f aca="false">R267+R268</f>
        <v>54</v>
      </c>
      <c r="S269" s="116" t="n">
        <f aca="false">S267+S268</f>
        <v>54</v>
      </c>
      <c r="T269" s="116" t="n">
        <f aca="false">T267+T268</f>
        <v>54</v>
      </c>
      <c r="U269" s="116" t="n">
        <f aca="false">U267+U268</f>
        <v>54</v>
      </c>
      <c r="V269" s="116" t="n">
        <f aca="false">V267+V268</f>
        <v>54</v>
      </c>
      <c r="W269" s="116" t="n">
        <f aca="false">W267+W268</f>
        <v>54</v>
      </c>
      <c r="X269" s="116" t="n">
        <f aca="false">X267+X268</f>
        <v>54</v>
      </c>
      <c r="Y269" s="116" t="n">
        <f aca="false">Y267+Y268</f>
        <v>54</v>
      </c>
      <c r="Z269" s="116" t="n">
        <f aca="false">Z267+Z268</f>
        <v>54</v>
      </c>
      <c r="AA269" s="116" t="n">
        <f aca="false">AA267+AA268</f>
        <v>54</v>
      </c>
      <c r="AB269" s="116" t="n">
        <f aca="false">AB267+AB268</f>
        <v>54</v>
      </c>
      <c r="AC269" s="116" t="n">
        <f aca="false">AC267+AC268</f>
        <v>54</v>
      </c>
      <c r="AD269" s="116" t="n">
        <f aca="false">AD267+AD268</f>
        <v>54</v>
      </c>
      <c r="AE269" s="116" t="n">
        <f aca="false">AE267+AE268</f>
        <v>54</v>
      </c>
      <c r="AF269" s="116" t="n">
        <f aca="false">AF267+AF268</f>
        <v>54</v>
      </c>
      <c r="AG269" s="116" t="n">
        <f aca="false">AG267+AG268</f>
        <v>54</v>
      </c>
      <c r="AH269" s="116" t="n">
        <f aca="false">AH267+AH268</f>
        <v>54</v>
      </c>
      <c r="AI269" s="116" t="n">
        <f aca="false">AI267+AI268</f>
        <v>54</v>
      </c>
      <c r="AJ269" s="116" t="n">
        <f aca="false">AJ267+AJ268</f>
        <v>54</v>
      </c>
      <c r="AK269" s="116" t="n">
        <f aca="false">AK267+AK268</f>
        <v>54</v>
      </c>
      <c r="AL269" s="116" t="n">
        <f aca="false">AL267+AL268</f>
        <v>54</v>
      </c>
      <c r="AM269" s="116" t="n">
        <f aca="false">AM267+AM268</f>
        <v>54</v>
      </c>
      <c r="AN269" s="116" t="n">
        <f aca="false">AN267+AN268</f>
        <v>54</v>
      </c>
      <c r="AO269" s="116" t="n">
        <f aca="false">AO267+AO268</f>
        <v>54</v>
      </c>
      <c r="AP269" s="116" t="n">
        <f aca="false">AP267+AP268</f>
        <v>54</v>
      </c>
      <c r="AQ269" s="116" t="n">
        <f aca="false">AQ267+AQ268</f>
        <v>54</v>
      </c>
      <c r="AR269" s="116" t="n">
        <f aca="false">AR267+AR268</f>
        <v>54</v>
      </c>
      <c r="AS269" s="116" t="n">
        <f aca="false">AS267+AS268</f>
        <v>54</v>
      </c>
      <c r="AT269" s="116" t="n">
        <f aca="false">AT267+AT268</f>
        <v>54</v>
      </c>
      <c r="AU269" s="116" t="n">
        <f aca="false">AU267+AU268</f>
        <v>54</v>
      </c>
      <c r="AV269" s="116" t="n">
        <f aca="false">AV267+AV268</f>
        <v>54</v>
      </c>
      <c r="AW269" s="116" t="n">
        <f aca="false">AW267+AW268</f>
        <v>54</v>
      </c>
      <c r="AX269" s="116" t="n">
        <f aca="false">AX267+AX268</f>
        <v>54</v>
      </c>
      <c r="AY269" s="116" t="n">
        <f aca="false">AY267+AY268</f>
        <v>54</v>
      </c>
      <c r="AZ269" s="116" t="n">
        <f aca="false">AZ267+AZ268</f>
        <v>54</v>
      </c>
      <c r="BA269" s="116" t="n">
        <f aca="false">BA267+BA268</f>
        <v>54</v>
      </c>
      <c r="BB269" s="116" t="n">
        <f aca="false">BB267+BB268</f>
        <v>54</v>
      </c>
      <c r="BC269" s="116" t="n">
        <f aca="false">BC267+BC268</f>
        <v>54</v>
      </c>
      <c r="BD269" s="116" t="n">
        <f aca="false">BD267+BD268</f>
        <v>54</v>
      </c>
      <c r="BE269" s="116" t="n">
        <f aca="false">BE267+BE268</f>
        <v>54</v>
      </c>
      <c r="BF269" s="116" t="n">
        <f aca="false">BF267+BF268</f>
        <v>54</v>
      </c>
      <c r="BG269" s="116" t="n">
        <f aca="false">BG267+BG268</f>
        <v>54</v>
      </c>
      <c r="BH269" s="116" t="n">
        <f aca="false">BH267+BH268</f>
        <v>54</v>
      </c>
      <c r="BI269" s="116" t="n">
        <f aca="false">BI267+BI268</f>
        <v>54</v>
      </c>
      <c r="BJ269" s="116" t="n">
        <f aca="false">BJ267+BJ268</f>
        <v>54</v>
      </c>
    </row>
    <row r="270" customFormat="false" ht="15" hidden="false" customHeight="false" outlineLevel="0" collapsed="false">
      <c r="A270" s="6" t="s">
        <v>234</v>
      </c>
      <c r="C270" s="113" t="n">
        <f aca="false">C269*1</f>
        <v>15</v>
      </c>
      <c r="D270" s="113" t="n">
        <f aca="false">D269*1</f>
        <v>19.3333333333333</v>
      </c>
      <c r="E270" s="113" t="n">
        <f aca="false">E269*1</f>
        <v>23.6666666666667</v>
      </c>
      <c r="F270" s="113" t="n">
        <f aca="false">F269*1</f>
        <v>28</v>
      </c>
      <c r="G270" s="113" t="n">
        <f aca="false">G269*1</f>
        <v>32.3333333333333</v>
      </c>
      <c r="H270" s="113" t="n">
        <f aca="false">H269*1</f>
        <v>36.6666666666667</v>
      </c>
      <c r="I270" s="113" t="n">
        <f aca="false">I269*1</f>
        <v>41</v>
      </c>
      <c r="J270" s="113" t="n">
        <f aca="false">J269*1</f>
        <v>45.3333333333333</v>
      </c>
      <c r="K270" s="113" t="n">
        <f aca="false">K269*1</f>
        <v>49.6666666666667</v>
      </c>
      <c r="L270" s="113" t="n">
        <f aca="false">L269*1</f>
        <v>54</v>
      </c>
      <c r="M270" s="113" t="n">
        <f aca="false">M269*1</f>
        <v>54</v>
      </c>
      <c r="N270" s="113" t="n">
        <f aca="false">N269*1</f>
        <v>54</v>
      </c>
      <c r="O270" s="113" t="n">
        <f aca="false">O269*1</f>
        <v>54</v>
      </c>
      <c r="P270" s="113" t="n">
        <f aca="false">P269*1</f>
        <v>54</v>
      </c>
      <c r="Q270" s="113" t="n">
        <f aca="false">Q269*1</f>
        <v>54</v>
      </c>
      <c r="R270" s="113" t="n">
        <f aca="false">R269*1</f>
        <v>54</v>
      </c>
      <c r="S270" s="113" t="n">
        <f aca="false">S269*1</f>
        <v>54</v>
      </c>
      <c r="T270" s="113" t="n">
        <f aca="false">T269*1</f>
        <v>54</v>
      </c>
      <c r="U270" s="113" t="n">
        <f aca="false">U269*1</f>
        <v>54</v>
      </c>
      <c r="V270" s="113" t="n">
        <f aca="false">V269*1</f>
        <v>54</v>
      </c>
      <c r="W270" s="113" t="n">
        <f aca="false">W269*1</f>
        <v>54</v>
      </c>
      <c r="X270" s="113" t="n">
        <f aca="false">X269*1</f>
        <v>54</v>
      </c>
      <c r="Y270" s="113" t="n">
        <f aca="false">Y269*1</f>
        <v>54</v>
      </c>
      <c r="Z270" s="113" t="n">
        <f aca="false">Z269*1</f>
        <v>54</v>
      </c>
      <c r="AA270" s="113" t="n">
        <f aca="false">AA269*1</f>
        <v>54</v>
      </c>
      <c r="AB270" s="113" t="n">
        <f aca="false">AB269*1</f>
        <v>54</v>
      </c>
      <c r="AC270" s="113" t="n">
        <f aca="false">AC269*1</f>
        <v>54</v>
      </c>
      <c r="AD270" s="113" t="n">
        <f aca="false">AD269*1</f>
        <v>54</v>
      </c>
      <c r="AE270" s="113" t="n">
        <f aca="false">AE269*1</f>
        <v>54</v>
      </c>
      <c r="AF270" s="113" t="n">
        <f aca="false">AF269*1</f>
        <v>54</v>
      </c>
      <c r="AG270" s="113" t="n">
        <f aca="false">AG269*1</f>
        <v>54</v>
      </c>
      <c r="AH270" s="113" t="n">
        <f aca="false">AH269*1</f>
        <v>54</v>
      </c>
      <c r="AI270" s="113" t="n">
        <f aca="false">AI269*1</f>
        <v>54</v>
      </c>
      <c r="AJ270" s="113" t="n">
        <f aca="false">AJ269*1</f>
        <v>54</v>
      </c>
      <c r="AK270" s="113" t="n">
        <f aca="false">AK269*1</f>
        <v>54</v>
      </c>
      <c r="AL270" s="113" t="n">
        <f aca="false">AL269*1</f>
        <v>54</v>
      </c>
      <c r="AM270" s="113" t="n">
        <f aca="false">AM269*1</f>
        <v>54</v>
      </c>
      <c r="AN270" s="113" t="n">
        <f aca="false">AN269*1</f>
        <v>54</v>
      </c>
      <c r="AO270" s="113" t="n">
        <f aca="false">AO269*1</f>
        <v>54</v>
      </c>
      <c r="AP270" s="113" t="n">
        <f aca="false">AP269*1</f>
        <v>54</v>
      </c>
      <c r="AQ270" s="113" t="n">
        <f aca="false">AQ269*1</f>
        <v>54</v>
      </c>
      <c r="AR270" s="113" t="n">
        <f aca="false">AR269*1</f>
        <v>54</v>
      </c>
      <c r="AS270" s="113" t="n">
        <f aca="false">AS269*1</f>
        <v>54</v>
      </c>
      <c r="AT270" s="113" t="n">
        <f aca="false">AT269*1</f>
        <v>54</v>
      </c>
      <c r="AU270" s="113" t="n">
        <f aca="false">AU269*1</f>
        <v>54</v>
      </c>
      <c r="AV270" s="113" t="n">
        <f aca="false">AV269*1</f>
        <v>54</v>
      </c>
      <c r="AW270" s="113" t="n">
        <f aca="false">AW269*1</f>
        <v>54</v>
      </c>
      <c r="AX270" s="113" t="n">
        <f aca="false">AX269*1</f>
        <v>54</v>
      </c>
      <c r="AY270" s="113" t="n">
        <f aca="false">AY269*1</f>
        <v>54</v>
      </c>
      <c r="AZ270" s="113" t="n">
        <f aca="false">AZ269*1</f>
        <v>54</v>
      </c>
      <c r="BA270" s="113" t="n">
        <f aca="false">BA269*1</f>
        <v>54</v>
      </c>
      <c r="BB270" s="113" t="n">
        <f aca="false">BB269*1</f>
        <v>54</v>
      </c>
      <c r="BC270" s="113" t="n">
        <f aca="false">BC269*1</f>
        <v>54</v>
      </c>
      <c r="BD270" s="113" t="n">
        <f aca="false">BD269*1</f>
        <v>54</v>
      </c>
      <c r="BE270" s="113" t="n">
        <f aca="false">BE269*1</f>
        <v>54</v>
      </c>
      <c r="BF270" s="113" t="n">
        <f aca="false">BF269*1</f>
        <v>54</v>
      </c>
      <c r="BG270" s="113" t="n">
        <f aca="false">BG269*1</f>
        <v>54</v>
      </c>
      <c r="BH270" s="113" t="n">
        <f aca="false">BH269*1</f>
        <v>54</v>
      </c>
      <c r="BI270" s="113" t="n">
        <f aca="false">BI269*1</f>
        <v>54</v>
      </c>
      <c r="BJ270" s="113" t="n">
        <f aca="false">BJ269*1</f>
        <v>54</v>
      </c>
    </row>
    <row r="271" customFormat="false" ht="15" hidden="false" customHeight="false" outlineLevel="0" collapsed="false">
      <c r="A271" s="6" t="s">
        <v>233</v>
      </c>
      <c r="C271" s="113" t="n">
        <f aca="false">C262*1</f>
        <v>60</v>
      </c>
      <c r="D271" s="113" t="n">
        <f aca="false">D262*1</f>
        <v>60</v>
      </c>
      <c r="E271" s="113" t="n">
        <f aca="false">E262*1</f>
        <v>60</v>
      </c>
      <c r="F271" s="113" t="n">
        <f aca="false">F262*1</f>
        <v>60</v>
      </c>
      <c r="G271" s="113" t="n">
        <f aca="false">G262*1</f>
        <v>60</v>
      </c>
      <c r="H271" s="113" t="n">
        <f aca="false">H262*1</f>
        <v>60</v>
      </c>
      <c r="I271" s="113" t="n">
        <f aca="false">I262*1</f>
        <v>60</v>
      </c>
      <c r="J271" s="113" t="n">
        <f aca="false">J262*1</f>
        <v>60</v>
      </c>
      <c r="K271" s="113" t="n">
        <f aca="false">K262*1</f>
        <v>60</v>
      </c>
      <c r="L271" s="113" t="n">
        <f aca="false">L262*1</f>
        <v>60</v>
      </c>
      <c r="M271" s="113" t="n">
        <f aca="false">M262*1</f>
        <v>60</v>
      </c>
      <c r="N271" s="113" t="n">
        <f aca="false">N262*1</f>
        <v>60</v>
      </c>
      <c r="O271" s="113" t="n">
        <f aca="false">O262*1</f>
        <v>60</v>
      </c>
      <c r="P271" s="113" t="n">
        <f aca="false">P262*1</f>
        <v>60</v>
      </c>
      <c r="Q271" s="113" t="n">
        <f aca="false">Q262*1</f>
        <v>60</v>
      </c>
      <c r="R271" s="113" t="n">
        <f aca="false">R262*1</f>
        <v>60</v>
      </c>
      <c r="S271" s="113" t="n">
        <f aca="false">S262*1</f>
        <v>60</v>
      </c>
      <c r="T271" s="113" t="n">
        <f aca="false">T262*1</f>
        <v>60</v>
      </c>
      <c r="U271" s="113" t="n">
        <f aca="false">U262*1</f>
        <v>60</v>
      </c>
      <c r="V271" s="113" t="n">
        <f aca="false">V262*1</f>
        <v>60</v>
      </c>
      <c r="W271" s="113" t="n">
        <f aca="false">W262*1</f>
        <v>60</v>
      </c>
      <c r="X271" s="113" t="n">
        <f aca="false">X262*1</f>
        <v>60</v>
      </c>
      <c r="Y271" s="113" t="n">
        <f aca="false">Y262*1</f>
        <v>60</v>
      </c>
      <c r="Z271" s="113" t="n">
        <f aca="false">Z262*1</f>
        <v>60</v>
      </c>
      <c r="AA271" s="113" t="n">
        <f aca="false">AA262*1</f>
        <v>60</v>
      </c>
      <c r="AB271" s="113" t="n">
        <f aca="false">AB262*1</f>
        <v>60</v>
      </c>
      <c r="AC271" s="113" t="n">
        <f aca="false">AC262*1</f>
        <v>60</v>
      </c>
      <c r="AD271" s="113" t="n">
        <f aca="false">AD262*1</f>
        <v>60</v>
      </c>
      <c r="AE271" s="113" t="n">
        <f aca="false">AE262*1</f>
        <v>60</v>
      </c>
      <c r="AF271" s="113" t="n">
        <f aca="false">AF262*1</f>
        <v>60</v>
      </c>
      <c r="AG271" s="113" t="n">
        <f aca="false">AG262*1</f>
        <v>60</v>
      </c>
      <c r="AH271" s="113" t="n">
        <f aca="false">AH262*1</f>
        <v>60</v>
      </c>
      <c r="AI271" s="113" t="n">
        <f aca="false">AI262*1</f>
        <v>60</v>
      </c>
      <c r="AJ271" s="113" t="n">
        <f aca="false">AJ262*1</f>
        <v>60</v>
      </c>
      <c r="AK271" s="113" t="n">
        <f aca="false">AK262*1</f>
        <v>60</v>
      </c>
      <c r="AL271" s="113" t="n">
        <f aca="false">AL262*1</f>
        <v>60</v>
      </c>
      <c r="AM271" s="113" t="n">
        <f aca="false">AM262*1</f>
        <v>60</v>
      </c>
      <c r="AN271" s="113" t="n">
        <f aca="false">AN262*1</f>
        <v>60</v>
      </c>
      <c r="AO271" s="113" t="n">
        <f aca="false">AO262*1</f>
        <v>60</v>
      </c>
      <c r="AP271" s="113" t="n">
        <f aca="false">AP262*1</f>
        <v>60</v>
      </c>
      <c r="AQ271" s="113" t="n">
        <f aca="false">AQ262*1</f>
        <v>60</v>
      </c>
      <c r="AR271" s="113" t="n">
        <f aca="false">AR262*1</f>
        <v>60</v>
      </c>
      <c r="AS271" s="113" t="n">
        <f aca="false">AS262*1</f>
        <v>60</v>
      </c>
      <c r="AT271" s="113" t="n">
        <f aca="false">AT262*1</f>
        <v>60</v>
      </c>
      <c r="AU271" s="113" t="n">
        <f aca="false">AU262*1</f>
        <v>60</v>
      </c>
      <c r="AV271" s="113" t="n">
        <f aca="false">AV262*1</f>
        <v>60</v>
      </c>
      <c r="AW271" s="113" t="n">
        <f aca="false">AW262*1</f>
        <v>60</v>
      </c>
      <c r="AX271" s="113" t="n">
        <f aca="false">AX262*1</f>
        <v>60</v>
      </c>
      <c r="AY271" s="113" t="n">
        <f aca="false">AY262*1</f>
        <v>60</v>
      </c>
      <c r="AZ271" s="113" t="n">
        <f aca="false">AZ262*1</f>
        <v>60</v>
      </c>
      <c r="BA271" s="113" t="n">
        <f aca="false">BA262*1</f>
        <v>60</v>
      </c>
      <c r="BB271" s="113" t="n">
        <f aca="false">BB262*1</f>
        <v>60</v>
      </c>
      <c r="BC271" s="113" t="n">
        <f aca="false">BC262*1</f>
        <v>60</v>
      </c>
      <c r="BD271" s="113" t="n">
        <f aca="false">BD262*1</f>
        <v>60</v>
      </c>
      <c r="BE271" s="113" t="n">
        <f aca="false">BE262*1</f>
        <v>60</v>
      </c>
      <c r="BF271" s="113" t="n">
        <f aca="false">BF262*1</f>
        <v>60</v>
      </c>
      <c r="BG271" s="113" t="n">
        <f aca="false">BG262*1</f>
        <v>60</v>
      </c>
      <c r="BH271" s="113" t="n">
        <f aca="false">BH262*1</f>
        <v>60</v>
      </c>
      <c r="BI271" s="113" t="n">
        <f aca="false">BI262*1</f>
        <v>60</v>
      </c>
      <c r="BJ271" s="113" t="n">
        <f aca="false">BJ262*1</f>
        <v>60</v>
      </c>
    </row>
    <row r="272" customFormat="false" ht="15" hidden="false" customHeight="false" outlineLevel="0" collapsed="false">
      <c r="A272" s="6" t="s">
        <v>425</v>
      </c>
      <c r="C272" s="115" t="n">
        <f aca="false">C262*C266</f>
        <v>15</v>
      </c>
      <c r="D272" s="115" t="n">
        <f aca="false">D262*D266</f>
        <v>19.3333333333333</v>
      </c>
      <c r="E272" s="115" t="n">
        <f aca="false">E262*E266</f>
        <v>23.6666666666667</v>
      </c>
      <c r="F272" s="115" t="n">
        <f aca="false">F262*F266</f>
        <v>28</v>
      </c>
      <c r="G272" s="115" t="n">
        <f aca="false">G262*G266</f>
        <v>32.3333333333333</v>
      </c>
      <c r="H272" s="115" t="n">
        <f aca="false">H262*H266</f>
        <v>36.6666666666667</v>
      </c>
      <c r="I272" s="115" t="n">
        <f aca="false">I262*I266</f>
        <v>41</v>
      </c>
      <c r="J272" s="115" t="n">
        <f aca="false">J262*J266</f>
        <v>45.3333333333333</v>
      </c>
      <c r="K272" s="115" t="n">
        <f aca="false">K262*K266</f>
        <v>49.6666666666667</v>
      </c>
      <c r="L272" s="115" t="n">
        <f aca="false">L262*L266</f>
        <v>54</v>
      </c>
      <c r="M272" s="115" t="n">
        <f aca="false">M262*M266</f>
        <v>54</v>
      </c>
      <c r="N272" s="115" t="n">
        <f aca="false">N262*N266</f>
        <v>54</v>
      </c>
      <c r="O272" s="115" t="n">
        <f aca="false">O262*O266</f>
        <v>54</v>
      </c>
      <c r="P272" s="115" t="n">
        <f aca="false">P262*P266</f>
        <v>54</v>
      </c>
      <c r="Q272" s="115" t="n">
        <f aca="false">Q262*Q266</f>
        <v>54</v>
      </c>
      <c r="R272" s="115" t="n">
        <f aca="false">R262*R266</f>
        <v>54</v>
      </c>
      <c r="S272" s="115" t="n">
        <f aca="false">S262*S266</f>
        <v>54</v>
      </c>
      <c r="T272" s="115" t="n">
        <f aca="false">T262*T266</f>
        <v>54</v>
      </c>
      <c r="U272" s="115" t="n">
        <f aca="false">U262*U266</f>
        <v>54</v>
      </c>
      <c r="V272" s="115" t="n">
        <f aca="false">V262*V266</f>
        <v>54</v>
      </c>
      <c r="W272" s="115" t="n">
        <f aca="false">W262*W266</f>
        <v>54</v>
      </c>
      <c r="X272" s="115" t="n">
        <f aca="false">X262*X266</f>
        <v>54</v>
      </c>
      <c r="Y272" s="115" t="n">
        <f aca="false">Y262*Y266</f>
        <v>54</v>
      </c>
      <c r="Z272" s="115" t="n">
        <f aca="false">Z262*Z266</f>
        <v>54</v>
      </c>
      <c r="AA272" s="115" t="n">
        <f aca="false">AA262*AA266</f>
        <v>54</v>
      </c>
      <c r="AB272" s="115" t="n">
        <f aca="false">AB262*AB266</f>
        <v>54</v>
      </c>
      <c r="AC272" s="115" t="n">
        <f aca="false">AC262*AC266</f>
        <v>54</v>
      </c>
      <c r="AD272" s="115" t="n">
        <f aca="false">AD262*AD266</f>
        <v>54</v>
      </c>
      <c r="AE272" s="115" t="n">
        <f aca="false">AE262*AE266</f>
        <v>54</v>
      </c>
      <c r="AF272" s="115" t="n">
        <f aca="false">AF262*AF266</f>
        <v>54</v>
      </c>
      <c r="AG272" s="115" t="n">
        <f aca="false">AG262*AG266</f>
        <v>54</v>
      </c>
      <c r="AH272" s="115" t="n">
        <f aca="false">AH262*AH266</f>
        <v>54</v>
      </c>
      <c r="AI272" s="115" t="n">
        <f aca="false">AI262*AI266</f>
        <v>54</v>
      </c>
      <c r="AJ272" s="115" t="n">
        <f aca="false">AJ262*AJ266</f>
        <v>54</v>
      </c>
      <c r="AK272" s="115" t="n">
        <f aca="false">AK262*AK266</f>
        <v>54</v>
      </c>
      <c r="AL272" s="115" t="n">
        <f aca="false">AL262*AL266</f>
        <v>54</v>
      </c>
      <c r="AM272" s="115" t="n">
        <f aca="false">AM262*AM266</f>
        <v>54</v>
      </c>
      <c r="AN272" s="115" t="n">
        <f aca="false">AN262*AN266</f>
        <v>54</v>
      </c>
      <c r="AO272" s="115" t="n">
        <f aca="false">AO262*AO266</f>
        <v>54</v>
      </c>
      <c r="AP272" s="115" t="n">
        <f aca="false">AP262*AP266</f>
        <v>54</v>
      </c>
      <c r="AQ272" s="115" t="n">
        <f aca="false">AQ262*AQ266</f>
        <v>54</v>
      </c>
      <c r="AR272" s="115" t="n">
        <f aca="false">AR262*AR266</f>
        <v>54</v>
      </c>
      <c r="AS272" s="115" t="n">
        <f aca="false">AS262*AS266</f>
        <v>54</v>
      </c>
      <c r="AT272" s="115" t="n">
        <f aca="false">AT262*AT266</f>
        <v>54</v>
      </c>
      <c r="AU272" s="115" t="n">
        <f aca="false">AU262*AU266</f>
        <v>54</v>
      </c>
      <c r="AV272" s="115" t="n">
        <f aca="false">AV262*AV266</f>
        <v>54</v>
      </c>
      <c r="AW272" s="115" t="n">
        <f aca="false">AW262*AW266</f>
        <v>54</v>
      </c>
      <c r="AX272" s="115" t="n">
        <f aca="false">AX262*AX266</f>
        <v>54</v>
      </c>
      <c r="AY272" s="115" t="n">
        <f aca="false">AY262*AY266</f>
        <v>54</v>
      </c>
      <c r="AZ272" s="115" t="n">
        <f aca="false">AZ262*AZ266</f>
        <v>54</v>
      </c>
      <c r="BA272" s="115" t="n">
        <f aca="false">BA262*BA266</f>
        <v>54</v>
      </c>
      <c r="BB272" s="115" t="n">
        <f aca="false">BB262*BB266</f>
        <v>54</v>
      </c>
      <c r="BC272" s="115" t="n">
        <f aca="false">BC262*BC266</f>
        <v>54</v>
      </c>
      <c r="BD272" s="115" t="n">
        <f aca="false">BD262*BD266</f>
        <v>54</v>
      </c>
      <c r="BE272" s="115" t="n">
        <f aca="false">BE262*BE266</f>
        <v>54</v>
      </c>
      <c r="BF272" s="115" t="n">
        <f aca="false">BF262*BF266</f>
        <v>54</v>
      </c>
      <c r="BG272" s="115" t="n">
        <f aca="false">BG262*BG266</f>
        <v>54</v>
      </c>
      <c r="BH272" s="115" t="n">
        <f aca="false">BH262*BH266</f>
        <v>54</v>
      </c>
      <c r="BI272" s="115" t="n">
        <f aca="false">BI262*BI266</f>
        <v>54</v>
      </c>
      <c r="BJ272" s="115" t="n">
        <f aca="false">BJ262*BJ266</f>
        <v>54</v>
      </c>
    </row>
    <row r="273" customFormat="false" ht="15" hidden="false" customHeight="false" outlineLevel="0" collapsed="false">
      <c r="A273" s="6" t="s">
        <v>426</v>
      </c>
      <c r="C273" s="115" t="n">
        <f aca="false">MAX(0,C272)+C269*Inputs!$D$14*1/12</f>
        <v>15.3125</v>
      </c>
      <c r="D273" s="115" t="n">
        <f aca="false">MAX(0,D272-C272)+D269*Inputs!$D$14*1/12</f>
        <v>4.73611111111111</v>
      </c>
      <c r="E273" s="115" t="n">
        <f aca="false">MAX(0,E272-D272)+E269*Inputs!$D$14*1/12</f>
        <v>4.82638888888889</v>
      </c>
      <c r="F273" s="115" t="n">
        <f aca="false">MAX(0,F272-E272)+F269*Inputs!$D$14*1/12</f>
        <v>4.91666666666667</v>
      </c>
      <c r="G273" s="115" t="n">
        <f aca="false">MAX(0,G272-F272)+G269*Inputs!$D$14*1/12</f>
        <v>5.00694444444444</v>
      </c>
      <c r="H273" s="115" t="n">
        <f aca="false">MAX(0,H272-G272)+H269*Inputs!$D$14*1/12</f>
        <v>5.09722222222223</v>
      </c>
      <c r="I273" s="115" t="n">
        <f aca="false">MAX(0,I272-H272)+I269*Inputs!$D$14*1/12</f>
        <v>5.1875</v>
      </c>
      <c r="J273" s="115" t="n">
        <f aca="false">MAX(0,J272-I272)+J269*Inputs!$D$14*1/12</f>
        <v>5.27777777777777</v>
      </c>
      <c r="K273" s="115" t="n">
        <f aca="false">MAX(0,K272-J272)+K269*Inputs!$D$14*1/12</f>
        <v>5.36805555555556</v>
      </c>
      <c r="L273" s="115" t="n">
        <f aca="false">MAX(0,L272-K272)+L269*Inputs!$D$14*1/12</f>
        <v>5.45833333333334</v>
      </c>
      <c r="M273" s="115" t="n">
        <f aca="false">MAX(0,M272-L272)+M269*Inputs!$D$14*1/12</f>
        <v>1.125</v>
      </c>
      <c r="N273" s="115" t="n">
        <f aca="false">MAX(0,N272-M272)+N269*Inputs!$D$14*1/12</f>
        <v>1.125</v>
      </c>
      <c r="O273" s="115" t="n">
        <f aca="false">MAX(0,O272-N272)+O269*Inputs!$D$14*1/12</f>
        <v>1.125</v>
      </c>
      <c r="P273" s="115" t="n">
        <f aca="false">MAX(0,P272-O272)+P269*Inputs!$D$14*1/12</f>
        <v>1.125</v>
      </c>
      <c r="Q273" s="115" t="n">
        <f aca="false">MAX(0,Q272-P272)+Q269*Inputs!$D$14*1/12</f>
        <v>1.125</v>
      </c>
      <c r="R273" s="115" t="n">
        <f aca="false">MAX(0,R272-Q272)+R269*Inputs!$D$14*1/12</f>
        <v>1.125</v>
      </c>
      <c r="S273" s="115" t="n">
        <f aca="false">MAX(0,S272-R272)+S269*Inputs!$D$14*1/12</f>
        <v>1.125</v>
      </c>
      <c r="T273" s="115" t="n">
        <f aca="false">MAX(0,T272-S272)+T269*Inputs!$D$14*1/12</f>
        <v>1.125</v>
      </c>
      <c r="U273" s="115" t="n">
        <f aca="false">MAX(0,U272-T272)+U269*Inputs!$D$14*1/12</f>
        <v>1.125</v>
      </c>
      <c r="V273" s="115" t="n">
        <f aca="false">MAX(0,V272-U272)+V269*Inputs!$D$14*1/12</f>
        <v>1.125</v>
      </c>
      <c r="W273" s="115" t="n">
        <f aca="false">MAX(0,W272-V272)+W269*Inputs!$D$14*1/12</f>
        <v>1.125</v>
      </c>
      <c r="X273" s="115" t="n">
        <f aca="false">MAX(0,X272-W272)+X269*Inputs!$D$14*1/12</f>
        <v>1.125</v>
      </c>
      <c r="Y273" s="115" t="n">
        <f aca="false">MAX(0,Y272-X272)+Y269*Inputs!$D$14*1/12</f>
        <v>1.125</v>
      </c>
      <c r="Z273" s="115" t="n">
        <f aca="false">MAX(0,Z272-Y272)+Z269*Inputs!$D$14*1/12</f>
        <v>1.125</v>
      </c>
      <c r="AA273" s="115" t="n">
        <f aca="false">MAX(0,AA272-Z272)+AA269*Inputs!$D$14*1/12</f>
        <v>1.125</v>
      </c>
      <c r="AB273" s="115" t="n">
        <f aca="false">MAX(0,AB272-AA272)+AB269*Inputs!$D$14*1/12</f>
        <v>1.125</v>
      </c>
      <c r="AC273" s="115" t="n">
        <f aca="false">MAX(0,AC272-AB272)+AC269*Inputs!$D$14*1/12</f>
        <v>1.125</v>
      </c>
      <c r="AD273" s="115" t="n">
        <f aca="false">MAX(0,AD272-AC272)+AD269*Inputs!$D$14*1/12</f>
        <v>1.125</v>
      </c>
      <c r="AE273" s="115" t="n">
        <f aca="false">MAX(0,AE272-AD272)+AE269*Inputs!$D$14*1/12</f>
        <v>1.125</v>
      </c>
      <c r="AF273" s="115" t="n">
        <f aca="false">MAX(0,AF272-AE272)+AF269*Inputs!$D$14*1/12</f>
        <v>1.125</v>
      </c>
      <c r="AG273" s="115" t="n">
        <f aca="false">MAX(0,AG272-AF272)+AG269*Inputs!$D$14*1/12</f>
        <v>1.125</v>
      </c>
      <c r="AH273" s="115" t="n">
        <f aca="false">MAX(0,AH272-AG272)+AH269*Inputs!$D$14*1/12</f>
        <v>1.125</v>
      </c>
      <c r="AI273" s="115" t="n">
        <f aca="false">MAX(0,AI272-AH272)+AI269*Inputs!$D$14*1/12</f>
        <v>1.125</v>
      </c>
      <c r="AJ273" s="115" t="n">
        <f aca="false">MAX(0,AJ272-AI272)+AJ269*Inputs!$D$14*1/12</f>
        <v>1.125</v>
      </c>
      <c r="AK273" s="115" t="n">
        <f aca="false">MAX(0,AK272-AJ272)+AK269*Inputs!$D$14*1/12</f>
        <v>1.125</v>
      </c>
      <c r="AL273" s="115" t="n">
        <f aca="false">MAX(0,AL272-AK272)+AL269*Inputs!$D$14*1/12</f>
        <v>1.125</v>
      </c>
      <c r="AM273" s="115" t="n">
        <f aca="false">MAX(0,AM272-AL272)+AM269*Inputs!$D$14*1/12</f>
        <v>1.125</v>
      </c>
      <c r="AN273" s="115" t="n">
        <f aca="false">MAX(0,AN272-AM272)+AN269*Inputs!$D$14*1/12</f>
        <v>1.125</v>
      </c>
      <c r="AO273" s="115" t="n">
        <f aca="false">MAX(0,AO272-AN272)+AO269*Inputs!$D$14*1/12</f>
        <v>1.125</v>
      </c>
      <c r="AP273" s="115" t="n">
        <f aca="false">MAX(0,AP272-AO272)+AP269*Inputs!$D$14*1/12</f>
        <v>1.125</v>
      </c>
      <c r="AQ273" s="115" t="n">
        <f aca="false">MAX(0,AQ272-AP272)+AQ269*Inputs!$D$14*1/12</f>
        <v>1.125</v>
      </c>
      <c r="AR273" s="115" t="n">
        <f aca="false">MAX(0,AR272-AQ272)+AR269*Inputs!$D$14*1/12</f>
        <v>1.125</v>
      </c>
      <c r="AS273" s="115" t="n">
        <f aca="false">MAX(0,AS272-AR272)+AS269*Inputs!$D$14*1/12</f>
        <v>1.125</v>
      </c>
      <c r="AT273" s="115" t="n">
        <f aca="false">MAX(0,AT272-AS272)+AT269*Inputs!$D$14*1/12</f>
        <v>1.125</v>
      </c>
      <c r="AU273" s="115" t="n">
        <f aca="false">MAX(0,AU272-AT272)+AU269*Inputs!$D$14*1/12</f>
        <v>1.125</v>
      </c>
      <c r="AV273" s="115" t="n">
        <f aca="false">MAX(0,AV272-AU272)+AV269*Inputs!$D$14*1/12</f>
        <v>1.125</v>
      </c>
      <c r="AW273" s="115" t="n">
        <f aca="false">MAX(0,AW272-AV272)+AW269*Inputs!$D$14*1/12</f>
        <v>1.125</v>
      </c>
      <c r="AX273" s="115" t="n">
        <f aca="false">MAX(0,AX272-AW272)+AX269*Inputs!$D$14*1/12</f>
        <v>1.125</v>
      </c>
      <c r="AY273" s="115" t="n">
        <f aca="false">MAX(0,AY272-AX272)+AY269*Inputs!$D$14*1/12</f>
        <v>1.125</v>
      </c>
      <c r="AZ273" s="115" t="n">
        <f aca="false">MAX(0,AZ272-AY272)+AZ269*Inputs!$D$14*1/12</f>
        <v>1.125</v>
      </c>
      <c r="BA273" s="115" t="n">
        <f aca="false">MAX(0,BA272-AZ272)+BA269*Inputs!$D$14*1/12</f>
        <v>1.125</v>
      </c>
      <c r="BB273" s="115" t="n">
        <f aca="false">MAX(0,BB272-BA272)+BB269*Inputs!$D$14*1/12</f>
        <v>1.125</v>
      </c>
      <c r="BC273" s="115" t="n">
        <f aca="false">MAX(0,BC272-BB272)+BC269*Inputs!$D$14*1/12</f>
        <v>1.125</v>
      </c>
      <c r="BD273" s="115" t="n">
        <f aca="false">MAX(0,BD272-BC272)+BD269*Inputs!$D$14*1/12</f>
        <v>1.125</v>
      </c>
      <c r="BE273" s="115" t="n">
        <f aca="false">MAX(0,BE272-BD272)+BE269*Inputs!$D$14*1/12</f>
        <v>1.125</v>
      </c>
      <c r="BF273" s="115" t="n">
        <f aca="false">MAX(0,BF272-BE272)+BF269*Inputs!$D$14*1/12</f>
        <v>1.125</v>
      </c>
      <c r="BG273" s="115" t="n">
        <f aca="false">MAX(0,BG272-BF272)+BG269*Inputs!$D$14*1/12</f>
        <v>1.125</v>
      </c>
      <c r="BH273" s="115" t="n">
        <f aca="false">MAX(0,BH272-BG272)+BH269*Inputs!$D$14*1/12</f>
        <v>1.125</v>
      </c>
      <c r="BI273" s="115" t="n">
        <f aca="false">MAX(0,BI272-BH272)+BI269*Inputs!$D$14*1/12</f>
        <v>1.125</v>
      </c>
      <c r="BJ273" s="115" t="n">
        <f aca="false">MAX(0,BJ272-BI272)+BJ269*Inputs!$D$14*1/12</f>
        <v>1.125</v>
      </c>
    </row>
    <row r="275" customFormat="false" ht="15.75" hidden="false" customHeight="true" outlineLevel="0" collapsed="false">
      <c r="A275" s="7" t="s">
        <v>272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customFormat="false" ht="15" hidden="false" customHeight="false" outlineLevel="0" collapsed="false">
      <c r="A276" s="6" t="s">
        <v>427</v>
      </c>
      <c r="C276" s="113" t="n">
        <f aca="false">ROUNDUP(ROUND(C267/MAX(1,Inputs!$D$26),6),0)</f>
        <v>1</v>
      </c>
      <c r="D276" s="113" t="n">
        <f aca="false">ROUNDUP(ROUND(D267/MAX(1,Inputs!$D$26),6),0)</f>
        <v>2</v>
      </c>
      <c r="E276" s="113" t="n">
        <f aca="false">ROUNDUP(ROUND(E267/MAX(1,Inputs!$D$26),6),0)</f>
        <v>2</v>
      </c>
      <c r="F276" s="113" t="n">
        <f aca="false">ROUNDUP(ROUND(F267/MAX(1,Inputs!$D$26),6),0)</f>
        <v>2</v>
      </c>
      <c r="G276" s="113" t="n">
        <f aca="false">ROUNDUP(ROUND(G267/MAX(1,Inputs!$D$26),6),0)</f>
        <v>2</v>
      </c>
      <c r="H276" s="113" t="n">
        <f aca="false">ROUNDUP(ROUND(H267/MAX(1,Inputs!$D$26),6),0)</f>
        <v>3</v>
      </c>
      <c r="I276" s="113" t="n">
        <f aca="false">ROUNDUP(ROUND(I267/MAX(1,Inputs!$D$26),6),0)</f>
        <v>3</v>
      </c>
      <c r="J276" s="113" t="n">
        <f aca="false">ROUNDUP(ROUND(J267/MAX(1,Inputs!$D$26),6),0)</f>
        <v>3</v>
      </c>
      <c r="K276" s="113" t="n">
        <f aca="false">ROUNDUP(ROUND(K267/MAX(1,Inputs!$D$26),6),0)</f>
        <v>3</v>
      </c>
      <c r="L276" s="113" t="n">
        <f aca="false">ROUNDUP(ROUND(L267/MAX(1,Inputs!$D$26),6),0)</f>
        <v>4</v>
      </c>
      <c r="M276" s="113" t="n">
        <f aca="false">ROUNDUP(ROUND(M267/MAX(1,Inputs!$D$26),6),0)</f>
        <v>4</v>
      </c>
      <c r="N276" s="113" t="n">
        <f aca="false">ROUNDUP(ROUND(N267/MAX(1,Inputs!$D$26),6),0)</f>
        <v>4</v>
      </c>
      <c r="O276" s="113" t="n">
        <f aca="false">ROUNDUP(ROUND(O267/MAX(1,Inputs!$D$26),6),0)</f>
        <v>4</v>
      </c>
      <c r="P276" s="113" t="n">
        <f aca="false">ROUNDUP(ROUND(P267/MAX(1,Inputs!$D$26),6),0)</f>
        <v>4</v>
      </c>
      <c r="Q276" s="113" t="n">
        <f aca="false">ROUNDUP(ROUND(Q267/MAX(1,Inputs!$D$26),6),0)</f>
        <v>4</v>
      </c>
      <c r="R276" s="113" t="n">
        <f aca="false">ROUNDUP(ROUND(R267/MAX(1,Inputs!$D$26),6),0)</f>
        <v>4</v>
      </c>
      <c r="S276" s="113" t="n">
        <f aca="false">ROUNDUP(ROUND(S267/MAX(1,Inputs!$D$26),6),0)</f>
        <v>4</v>
      </c>
      <c r="T276" s="113" t="n">
        <f aca="false">ROUNDUP(ROUND(T267/MAX(1,Inputs!$D$26),6),0)</f>
        <v>4</v>
      </c>
      <c r="U276" s="113" t="n">
        <f aca="false">ROUNDUP(ROUND(U267/MAX(1,Inputs!$D$26),6),0)</f>
        <v>4</v>
      </c>
      <c r="V276" s="113" t="n">
        <f aca="false">ROUNDUP(ROUND(V267/MAX(1,Inputs!$D$26),6),0)</f>
        <v>4</v>
      </c>
      <c r="W276" s="113" t="n">
        <f aca="false">ROUNDUP(ROUND(W267/MAX(1,Inputs!$D$26),6),0)</f>
        <v>4</v>
      </c>
      <c r="X276" s="113" t="n">
        <f aca="false">ROUNDUP(ROUND(X267/MAX(1,Inputs!$D$26),6),0)</f>
        <v>4</v>
      </c>
      <c r="Y276" s="113" t="n">
        <f aca="false">ROUNDUP(ROUND(Y267/MAX(1,Inputs!$D$26),6),0)</f>
        <v>4</v>
      </c>
      <c r="Z276" s="113" t="n">
        <f aca="false">ROUNDUP(ROUND(Z267/MAX(1,Inputs!$D$26),6),0)</f>
        <v>4</v>
      </c>
      <c r="AA276" s="113" t="n">
        <f aca="false">ROUNDUP(ROUND(AA267/MAX(1,Inputs!$D$26),6),0)</f>
        <v>4</v>
      </c>
      <c r="AB276" s="113" t="n">
        <f aca="false">ROUNDUP(ROUND(AB267/MAX(1,Inputs!$D$26),6),0)</f>
        <v>4</v>
      </c>
      <c r="AC276" s="113" t="n">
        <f aca="false">ROUNDUP(ROUND(AC267/MAX(1,Inputs!$D$26),6),0)</f>
        <v>4</v>
      </c>
      <c r="AD276" s="113" t="n">
        <f aca="false">ROUNDUP(ROUND(AD267/MAX(1,Inputs!$D$26),6),0)</f>
        <v>4</v>
      </c>
      <c r="AE276" s="113" t="n">
        <f aca="false">ROUNDUP(ROUND(AE267/MAX(1,Inputs!$D$26),6),0)</f>
        <v>4</v>
      </c>
      <c r="AF276" s="113" t="n">
        <f aca="false">ROUNDUP(ROUND(AF267/MAX(1,Inputs!$D$26),6),0)</f>
        <v>4</v>
      </c>
      <c r="AG276" s="113" t="n">
        <f aca="false">ROUNDUP(ROUND(AG267/MAX(1,Inputs!$D$26),6),0)</f>
        <v>4</v>
      </c>
      <c r="AH276" s="113" t="n">
        <f aca="false">ROUNDUP(ROUND(AH267/MAX(1,Inputs!$D$26),6),0)</f>
        <v>4</v>
      </c>
      <c r="AI276" s="113" t="n">
        <f aca="false">ROUNDUP(ROUND(AI267/MAX(1,Inputs!$D$26),6),0)</f>
        <v>4</v>
      </c>
      <c r="AJ276" s="113" t="n">
        <f aca="false">ROUNDUP(ROUND(AJ267/MAX(1,Inputs!$D$26),6),0)</f>
        <v>4</v>
      </c>
      <c r="AK276" s="113" t="n">
        <f aca="false">ROUNDUP(ROUND(AK267/MAX(1,Inputs!$D$26),6),0)</f>
        <v>4</v>
      </c>
      <c r="AL276" s="113" t="n">
        <f aca="false">ROUNDUP(ROUND(AL267/MAX(1,Inputs!$D$26),6),0)</f>
        <v>4</v>
      </c>
      <c r="AM276" s="113" t="n">
        <f aca="false">ROUNDUP(ROUND(AM267/MAX(1,Inputs!$D$26),6),0)</f>
        <v>4</v>
      </c>
      <c r="AN276" s="113" t="n">
        <f aca="false">ROUNDUP(ROUND(AN267/MAX(1,Inputs!$D$26),6),0)</f>
        <v>4</v>
      </c>
      <c r="AO276" s="113" t="n">
        <f aca="false">ROUNDUP(ROUND(AO267/MAX(1,Inputs!$D$26),6),0)</f>
        <v>4</v>
      </c>
      <c r="AP276" s="113" t="n">
        <f aca="false">ROUNDUP(ROUND(AP267/MAX(1,Inputs!$D$26),6),0)</f>
        <v>4</v>
      </c>
      <c r="AQ276" s="113" t="n">
        <f aca="false">ROUNDUP(ROUND(AQ267/MAX(1,Inputs!$D$26),6),0)</f>
        <v>4</v>
      </c>
      <c r="AR276" s="113" t="n">
        <f aca="false">ROUNDUP(ROUND(AR267/MAX(1,Inputs!$D$26),6),0)</f>
        <v>4</v>
      </c>
      <c r="AS276" s="113" t="n">
        <f aca="false">ROUNDUP(ROUND(AS267/MAX(1,Inputs!$D$26),6),0)</f>
        <v>4</v>
      </c>
      <c r="AT276" s="113" t="n">
        <f aca="false">ROUNDUP(ROUND(AT267/MAX(1,Inputs!$D$26),6),0)</f>
        <v>4</v>
      </c>
      <c r="AU276" s="113" t="n">
        <f aca="false">ROUNDUP(ROUND(AU267/MAX(1,Inputs!$D$26),6),0)</f>
        <v>4</v>
      </c>
      <c r="AV276" s="113" t="n">
        <f aca="false">ROUNDUP(ROUND(AV267/MAX(1,Inputs!$D$26),6),0)</f>
        <v>4</v>
      </c>
      <c r="AW276" s="113" t="n">
        <f aca="false">ROUNDUP(ROUND(AW267/MAX(1,Inputs!$D$26),6),0)</f>
        <v>4</v>
      </c>
      <c r="AX276" s="113" t="n">
        <f aca="false">ROUNDUP(ROUND(AX267/MAX(1,Inputs!$D$26),6),0)</f>
        <v>4</v>
      </c>
      <c r="AY276" s="113" t="n">
        <f aca="false">ROUNDUP(ROUND(AY267/MAX(1,Inputs!$D$26),6),0)</f>
        <v>4</v>
      </c>
      <c r="AZ276" s="113" t="n">
        <f aca="false">ROUNDUP(ROUND(AZ267/MAX(1,Inputs!$D$26),6),0)</f>
        <v>4</v>
      </c>
      <c r="BA276" s="113" t="n">
        <f aca="false">ROUNDUP(ROUND(BA267/MAX(1,Inputs!$D$26),6),0)</f>
        <v>4</v>
      </c>
      <c r="BB276" s="113" t="n">
        <f aca="false">ROUNDUP(ROUND(BB267/MAX(1,Inputs!$D$26),6),0)</f>
        <v>4</v>
      </c>
      <c r="BC276" s="113" t="n">
        <f aca="false">ROUNDUP(ROUND(BC267/MAX(1,Inputs!$D$26),6),0)</f>
        <v>4</v>
      </c>
      <c r="BD276" s="113" t="n">
        <f aca="false">ROUNDUP(ROUND(BD267/MAX(1,Inputs!$D$26),6),0)</f>
        <v>4</v>
      </c>
      <c r="BE276" s="113" t="n">
        <f aca="false">ROUNDUP(ROUND(BE267/MAX(1,Inputs!$D$26),6),0)</f>
        <v>4</v>
      </c>
      <c r="BF276" s="113" t="n">
        <f aca="false">ROUNDUP(ROUND(BF267/MAX(1,Inputs!$D$26),6),0)</f>
        <v>4</v>
      </c>
      <c r="BG276" s="113" t="n">
        <f aca="false">ROUNDUP(ROUND(BG267/MAX(1,Inputs!$D$26),6),0)</f>
        <v>4</v>
      </c>
      <c r="BH276" s="113" t="n">
        <f aca="false">ROUNDUP(ROUND(BH267/MAX(1,Inputs!$D$26),6),0)</f>
        <v>4</v>
      </c>
      <c r="BI276" s="113" t="n">
        <f aca="false">ROUNDUP(ROUND(BI267/MAX(1,Inputs!$D$26),6),0)</f>
        <v>4</v>
      </c>
      <c r="BJ276" s="113" t="n">
        <f aca="false">ROUNDUP(ROUND(BJ267/MAX(1,Inputs!$D$26),6),0)</f>
        <v>4</v>
      </c>
    </row>
    <row r="277" customFormat="false" ht="15" hidden="false" customHeight="false" outlineLevel="0" collapsed="false">
      <c r="A277" s="6" t="s">
        <v>428</v>
      </c>
      <c r="C277" s="113" t="n">
        <f aca="false">ROUNDUP(ROUND(C268/MAX(1,Inputs!$D$27),6),0)</f>
        <v>1</v>
      </c>
      <c r="D277" s="113" t="n">
        <f aca="false">ROUNDUP(ROUND(D268/MAX(1,Inputs!$D$27),6),0)</f>
        <v>2</v>
      </c>
      <c r="E277" s="113" t="n">
        <f aca="false">ROUNDUP(ROUND(E268/MAX(1,Inputs!$D$27),6),0)</f>
        <v>2</v>
      </c>
      <c r="F277" s="113" t="n">
        <f aca="false">ROUNDUP(ROUND(F268/MAX(1,Inputs!$D$27),6),0)</f>
        <v>2</v>
      </c>
      <c r="G277" s="113" t="n">
        <f aca="false">ROUNDUP(ROUND(G268/MAX(1,Inputs!$D$27),6),0)</f>
        <v>2</v>
      </c>
      <c r="H277" s="113" t="n">
        <f aca="false">ROUNDUP(ROUND(H268/MAX(1,Inputs!$D$27),6),0)</f>
        <v>2</v>
      </c>
      <c r="I277" s="113" t="n">
        <f aca="false">ROUNDUP(ROUND(I268/MAX(1,Inputs!$D$27),6),0)</f>
        <v>3</v>
      </c>
      <c r="J277" s="113" t="n">
        <f aca="false">ROUNDUP(ROUND(J268/MAX(1,Inputs!$D$27),6),0)</f>
        <v>3</v>
      </c>
      <c r="K277" s="113" t="n">
        <f aca="false">ROUNDUP(ROUND(K268/MAX(1,Inputs!$D$27),6),0)</f>
        <v>3</v>
      </c>
      <c r="L277" s="113" t="n">
        <f aca="false">ROUNDUP(ROUND(L268/MAX(1,Inputs!$D$27),6),0)</f>
        <v>3</v>
      </c>
      <c r="M277" s="113" t="n">
        <f aca="false">ROUNDUP(ROUND(M268/MAX(1,Inputs!$D$27),6),0)</f>
        <v>3</v>
      </c>
      <c r="N277" s="113" t="n">
        <f aca="false">ROUNDUP(ROUND(N268/MAX(1,Inputs!$D$27),6),0)</f>
        <v>3</v>
      </c>
      <c r="O277" s="113" t="n">
        <f aca="false">ROUNDUP(ROUND(O268/MAX(1,Inputs!$D$27),6),0)</f>
        <v>3</v>
      </c>
      <c r="P277" s="113" t="n">
        <f aca="false">ROUNDUP(ROUND(P268/MAX(1,Inputs!$D$27),6),0)</f>
        <v>3</v>
      </c>
      <c r="Q277" s="113" t="n">
        <f aca="false">ROUNDUP(ROUND(Q268/MAX(1,Inputs!$D$27),6),0)</f>
        <v>3</v>
      </c>
      <c r="R277" s="113" t="n">
        <f aca="false">ROUNDUP(ROUND(R268/MAX(1,Inputs!$D$27),6),0)</f>
        <v>3</v>
      </c>
      <c r="S277" s="113" t="n">
        <f aca="false">ROUNDUP(ROUND(S268/MAX(1,Inputs!$D$27),6),0)</f>
        <v>3</v>
      </c>
      <c r="T277" s="113" t="n">
        <f aca="false">ROUNDUP(ROUND(T268/MAX(1,Inputs!$D$27),6),0)</f>
        <v>3</v>
      </c>
      <c r="U277" s="113" t="n">
        <f aca="false">ROUNDUP(ROUND(U268/MAX(1,Inputs!$D$27),6),0)</f>
        <v>3</v>
      </c>
      <c r="V277" s="113" t="n">
        <f aca="false">ROUNDUP(ROUND(V268/MAX(1,Inputs!$D$27),6),0)</f>
        <v>3</v>
      </c>
      <c r="W277" s="113" t="n">
        <f aca="false">ROUNDUP(ROUND(W268/MAX(1,Inputs!$D$27),6),0)</f>
        <v>3</v>
      </c>
      <c r="X277" s="113" t="n">
        <f aca="false">ROUNDUP(ROUND(X268/MAX(1,Inputs!$D$27),6),0)</f>
        <v>3</v>
      </c>
      <c r="Y277" s="113" t="n">
        <f aca="false">ROUNDUP(ROUND(Y268/MAX(1,Inputs!$D$27),6),0)</f>
        <v>3</v>
      </c>
      <c r="Z277" s="113" t="n">
        <f aca="false">ROUNDUP(ROUND(Z268/MAX(1,Inputs!$D$27),6),0)</f>
        <v>3</v>
      </c>
      <c r="AA277" s="113" t="n">
        <f aca="false">ROUNDUP(ROUND(AA268/MAX(1,Inputs!$D$27),6),0)</f>
        <v>3</v>
      </c>
      <c r="AB277" s="113" t="n">
        <f aca="false">ROUNDUP(ROUND(AB268/MAX(1,Inputs!$D$27),6),0)</f>
        <v>3</v>
      </c>
      <c r="AC277" s="113" t="n">
        <f aca="false">ROUNDUP(ROUND(AC268/MAX(1,Inputs!$D$27),6),0)</f>
        <v>3</v>
      </c>
      <c r="AD277" s="113" t="n">
        <f aca="false">ROUNDUP(ROUND(AD268/MAX(1,Inputs!$D$27),6),0)</f>
        <v>3</v>
      </c>
      <c r="AE277" s="113" t="n">
        <f aca="false">ROUNDUP(ROUND(AE268/MAX(1,Inputs!$D$27),6),0)</f>
        <v>3</v>
      </c>
      <c r="AF277" s="113" t="n">
        <f aca="false">ROUNDUP(ROUND(AF268/MAX(1,Inputs!$D$27),6),0)</f>
        <v>3</v>
      </c>
      <c r="AG277" s="113" t="n">
        <f aca="false">ROUNDUP(ROUND(AG268/MAX(1,Inputs!$D$27),6),0)</f>
        <v>3</v>
      </c>
      <c r="AH277" s="113" t="n">
        <f aca="false">ROUNDUP(ROUND(AH268/MAX(1,Inputs!$D$27),6),0)</f>
        <v>3</v>
      </c>
      <c r="AI277" s="113" t="n">
        <f aca="false">ROUNDUP(ROUND(AI268/MAX(1,Inputs!$D$27),6),0)</f>
        <v>3</v>
      </c>
      <c r="AJ277" s="113" t="n">
        <f aca="false">ROUNDUP(ROUND(AJ268/MAX(1,Inputs!$D$27),6),0)</f>
        <v>3</v>
      </c>
      <c r="AK277" s="113" t="n">
        <f aca="false">ROUNDUP(ROUND(AK268/MAX(1,Inputs!$D$27),6),0)</f>
        <v>3</v>
      </c>
      <c r="AL277" s="113" t="n">
        <f aca="false">ROUNDUP(ROUND(AL268/MAX(1,Inputs!$D$27),6),0)</f>
        <v>3</v>
      </c>
      <c r="AM277" s="113" t="n">
        <f aca="false">ROUNDUP(ROUND(AM268/MAX(1,Inputs!$D$27),6),0)</f>
        <v>3</v>
      </c>
      <c r="AN277" s="113" t="n">
        <f aca="false">ROUNDUP(ROUND(AN268/MAX(1,Inputs!$D$27),6),0)</f>
        <v>3</v>
      </c>
      <c r="AO277" s="113" t="n">
        <f aca="false">ROUNDUP(ROUND(AO268/MAX(1,Inputs!$D$27),6),0)</f>
        <v>3</v>
      </c>
      <c r="AP277" s="113" t="n">
        <f aca="false">ROUNDUP(ROUND(AP268/MAX(1,Inputs!$D$27),6),0)</f>
        <v>3</v>
      </c>
      <c r="AQ277" s="113" t="n">
        <f aca="false">ROUNDUP(ROUND(AQ268/MAX(1,Inputs!$D$27),6),0)</f>
        <v>3</v>
      </c>
      <c r="AR277" s="113" t="n">
        <f aca="false">ROUNDUP(ROUND(AR268/MAX(1,Inputs!$D$27),6),0)</f>
        <v>3</v>
      </c>
      <c r="AS277" s="113" t="n">
        <f aca="false">ROUNDUP(ROUND(AS268/MAX(1,Inputs!$D$27),6),0)</f>
        <v>3</v>
      </c>
      <c r="AT277" s="113" t="n">
        <f aca="false">ROUNDUP(ROUND(AT268/MAX(1,Inputs!$D$27),6),0)</f>
        <v>3</v>
      </c>
      <c r="AU277" s="113" t="n">
        <f aca="false">ROUNDUP(ROUND(AU268/MAX(1,Inputs!$D$27),6),0)</f>
        <v>3</v>
      </c>
      <c r="AV277" s="113" t="n">
        <f aca="false">ROUNDUP(ROUND(AV268/MAX(1,Inputs!$D$27),6),0)</f>
        <v>3</v>
      </c>
      <c r="AW277" s="113" t="n">
        <f aca="false">ROUNDUP(ROUND(AW268/MAX(1,Inputs!$D$27),6),0)</f>
        <v>3</v>
      </c>
      <c r="AX277" s="113" t="n">
        <f aca="false">ROUNDUP(ROUND(AX268/MAX(1,Inputs!$D$27),6),0)</f>
        <v>3</v>
      </c>
      <c r="AY277" s="113" t="n">
        <f aca="false">ROUNDUP(ROUND(AY268/MAX(1,Inputs!$D$27),6),0)</f>
        <v>3</v>
      </c>
      <c r="AZ277" s="113" t="n">
        <f aca="false">ROUNDUP(ROUND(AZ268/MAX(1,Inputs!$D$27),6),0)</f>
        <v>3</v>
      </c>
      <c r="BA277" s="113" t="n">
        <f aca="false">ROUNDUP(ROUND(BA268/MAX(1,Inputs!$D$27),6),0)</f>
        <v>3</v>
      </c>
      <c r="BB277" s="113" t="n">
        <f aca="false">ROUNDUP(ROUND(BB268/MAX(1,Inputs!$D$27),6),0)</f>
        <v>3</v>
      </c>
      <c r="BC277" s="113" t="n">
        <f aca="false">ROUNDUP(ROUND(BC268/MAX(1,Inputs!$D$27),6),0)</f>
        <v>3</v>
      </c>
      <c r="BD277" s="113" t="n">
        <f aca="false">ROUNDUP(ROUND(BD268/MAX(1,Inputs!$D$27),6),0)</f>
        <v>3</v>
      </c>
      <c r="BE277" s="113" t="n">
        <f aca="false">ROUNDUP(ROUND(BE268/MAX(1,Inputs!$D$27),6),0)</f>
        <v>3</v>
      </c>
      <c r="BF277" s="113" t="n">
        <f aca="false">ROUNDUP(ROUND(BF268/MAX(1,Inputs!$D$27),6),0)</f>
        <v>3</v>
      </c>
      <c r="BG277" s="113" t="n">
        <f aca="false">ROUNDUP(ROUND(BG268/MAX(1,Inputs!$D$27),6),0)</f>
        <v>3</v>
      </c>
      <c r="BH277" s="113" t="n">
        <f aca="false">ROUNDUP(ROUND(BH268/MAX(1,Inputs!$D$27),6),0)</f>
        <v>3</v>
      </c>
      <c r="BI277" s="113" t="n">
        <f aca="false">ROUNDUP(ROUND(BI268/MAX(1,Inputs!$D$27),6),0)</f>
        <v>3</v>
      </c>
      <c r="BJ277" s="113" t="n">
        <f aca="false">ROUNDUP(ROUND(BJ268/MAX(1,Inputs!$D$27),6),0)</f>
        <v>3</v>
      </c>
    </row>
    <row r="278" customFormat="false" ht="15" hidden="false" customHeight="false" outlineLevel="0" collapsed="false">
      <c r="A278" s="4" t="s">
        <v>429</v>
      </c>
      <c r="C278" s="117" t="n">
        <f aca="false">C276+C277</f>
        <v>2</v>
      </c>
      <c r="D278" s="117" t="n">
        <f aca="false">D276+D277</f>
        <v>4</v>
      </c>
      <c r="E278" s="117" t="n">
        <f aca="false">E276+E277</f>
        <v>4</v>
      </c>
      <c r="F278" s="117" t="n">
        <f aca="false">F276+F277</f>
        <v>4</v>
      </c>
      <c r="G278" s="117" t="n">
        <f aca="false">G276+G277</f>
        <v>4</v>
      </c>
      <c r="H278" s="117" t="n">
        <f aca="false">H276+H277</f>
        <v>5</v>
      </c>
      <c r="I278" s="117" t="n">
        <f aca="false">I276+I277</f>
        <v>6</v>
      </c>
      <c r="J278" s="117" t="n">
        <f aca="false">J276+J277</f>
        <v>6</v>
      </c>
      <c r="K278" s="117" t="n">
        <f aca="false">K276+K277</f>
        <v>6</v>
      </c>
      <c r="L278" s="117" t="n">
        <f aca="false">L276+L277</f>
        <v>7</v>
      </c>
      <c r="M278" s="117" t="n">
        <f aca="false">M276+M277</f>
        <v>7</v>
      </c>
      <c r="N278" s="117" t="n">
        <f aca="false">N276+N277</f>
        <v>7</v>
      </c>
      <c r="O278" s="117" t="n">
        <f aca="false">O276+O277</f>
        <v>7</v>
      </c>
      <c r="P278" s="117" t="n">
        <f aca="false">P276+P277</f>
        <v>7</v>
      </c>
      <c r="Q278" s="117" t="n">
        <f aca="false">Q276+Q277</f>
        <v>7</v>
      </c>
      <c r="R278" s="117" t="n">
        <f aca="false">R276+R277</f>
        <v>7</v>
      </c>
      <c r="S278" s="117" t="n">
        <f aca="false">S276+S277</f>
        <v>7</v>
      </c>
      <c r="T278" s="117" t="n">
        <f aca="false">T276+T277</f>
        <v>7</v>
      </c>
      <c r="U278" s="117" t="n">
        <f aca="false">U276+U277</f>
        <v>7</v>
      </c>
      <c r="V278" s="117" t="n">
        <f aca="false">V276+V277</f>
        <v>7</v>
      </c>
      <c r="W278" s="117" t="n">
        <f aca="false">W276+W277</f>
        <v>7</v>
      </c>
      <c r="X278" s="117" t="n">
        <f aca="false">X276+X277</f>
        <v>7</v>
      </c>
      <c r="Y278" s="117" t="n">
        <f aca="false">Y276+Y277</f>
        <v>7</v>
      </c>
      <c r="Z278" s="117" t="n">
        <f aca="false">Z276+Z277</f>
        <v>7</v>
      </c>
      <c r="AA278" s="117" t="n">
        <f aca="false">AA276+AA277</f>
        <v>7</v>
      </c>
      <c r="AB278" s="117" t="n">
        <f aca="false">AB276+AB277</f>
        <v>7</v>
      </c>
      <c r="AC278" s="117" t="n">
        <f aca="false">AC276+AC277</f>
        <v>7</v>
      </c>
      <c r="AD278" s="117" t="n">
        <f aca="false">AD276+AD277</f>
        <v>7</v>
      </c>
      <c r="AE278" s="117" t="n">
        <f aca="false">AE276+AE277</f>
        <v>7</v>
      </c>
      <c r="AF278" s="117" t="n">
        <f aca="false">AF276+AF277</f>
        <v>7</v>
      </c>
      <c r="AG278" s="117" t="n">
        <f aca="false">AG276+AG277</f>
        <v>7</v>
      </c>
      <c r="AH278" s="117" t="n">
        <f aca="false">AH276+AH277</f>
        <v>7</v>
      </c>
      <c r="AI278" s="117" t="n">
        <f aca="false">AI276+AI277</f>
        <v>7</v>
      </c>
      <c r="AJ278" s="117" t="n">
        <f aca="false">AJ276+AJ277</f>
        <v>7</v>
      </c>
      <c r="AK278" s="117" t="n">
        <f aca="false">AK276+AK277</f>
        <v>7</v>
      </c>
      <c r="AL278" s="117" t="n">
        <f aca="false">AL276+AL277</f>
        <v>7</v>
      </c>
      <c r="AM278" s="117" t="n">
        <f aca="false">AM276+AM277</f>
        <v>7</v>
      </c>
      <c r="AN278" s="117" t="n">
        <f aca="false">AN276+AN277</f>
        <v>7</v>
      </c>
      <c r="AO278" s="117" t="n">
        <f aca="false">AO276+AO277</f>
        <v>7</v>
      </c>
      <c r="AP278" s="117" t="n">
        <f aca="false">AP276+AP277</f>
        <v>7</v>
      </c>
      <c r="AQ278" s="117" t="n">
        <f aca="false">AQ276+AQ277</f>
        <v>7</v>
      </c>
      <c r="AR278" s="117" t="n">
        <f aca="false">AR276+AR277</f>
        <v>7</v>
      </c>
      <c r="AS278" s="117" t="n">
        <f aca="false">AS276+AS277</f>
        <v>7</v>
      </c>
      <c r="AT278" s="117" t="n">
        <f aca="false">AT276+AT277</f>
        <v>7</v>
      </c>
      <c r="AU278" s="117" t="n">
        <f aca="false">AU276+AU277</f>
        <v>7</v>
      </c>
      <c r="AV278" s="117" t="n">
        <f aca="false">AV276+AV277</f>
        <v>7</v>
      </c>
      <c r="AW278" s="117" t="n">
        <f aca="false">AW276+AW277</f>
        <v>7</v>
      </c>
      <c r="AX278" s="117" t="n">
        <f aca="false">AX276+AX277</f>
        <v>7</v>
      </c>
      <c r="AY278" s="117" t="n">
        <f aca="false">AY276+AY277</f>
        <v>7</v>
      </c>
      <c r="AZ278" s="117" t="n">
        <f aca="false">AZ276+AZ277</f>
        <v>7</v>
      </c>
      <c r="BA278" s="117" t="n">
        <f aca="false">BA276+BA277</f>
        <v>7</v>
      </c>
      <c r="BB278" s="117" t="n">
        <f aca="false">BB276+BB277</f>
        <v>7</v>
      </c>
      <c r="BC278" s="117" t="n">
        <f aca="false">BC276+BC277</f>
        <v>7</v>
      </c>
      <c r="BD278" s="117" t="n">
        <f aca="false">BD276+BD277</f>
        <v>7</v>
      </c>
      <c r="BE278" s="117" t="n">
        <f aca="false">BE276+BE277</f>
        <v>7</v>
      </c>
      <c r="BF278" s="117" t="n">
        <f aca="false">BF276+BF277</f>
        <v>7</v>
      </c>
      <c r="BG278" s="117" t="n">
        <f aca="false">BG276+BG277</f>
        <v>7</v>
      </c>
      <c r="BH278" s="117" t="n">
        <f aca="false">BH276+BH277</f>
        <v>7</v>
      </c>
      <c r="BI278" s="117" t="n">
        <f aca="false">BI276+BI277</f>
        <v>7</v>
      </c>
      <c r="BJ278" s="117" t="n">
        <f aca="false">BJ276+BJ277</f>
        <v>7</v>
      </c>
    </row>
    <row r="279" customFormat="false" ht="15" hidden="false" customHeight="false" outlineLevel="0" collapsed="false">
      <c r="A279" s="6" t="s">
        <v>430</v>
      </c>
      <c r="C279" s="115" t="n">
        <f aca="false">C278*Inputs!$D$28</f>
        <v>2.3</v>
      </c>
      <c r="D279" s="115" t="n">
        <f aca="false">D278*Inputs!$D$28</f>
        <v>4.6</v>
      </c>
      <c r="E279" s="115" t="n">
        <f aca="false">E278*Inputs!$D$28</f>
        <v>4.6</v>
      </c>
      <c r="F279" s="115" t="n">
        <f aca="false">F278*Inputs!$D$28</f>
        <v>4.6</v>
      </c>
      <c r="G279" s="115" t="n">
        <f aca="false">G278*Inputs!$D$28</f>
        <v>4.6</v>
      </c>
      <c r="H279" s="115" t="n">
        <f aca="false">H278*Inputs!$D$28</f>
        <v>5.75</v>
      </c>
      <c r="I279" s="115" t="n">
        <f aca="false">I278*Inputs!$D$28</f>
        <v>6.9</v>
      </c>
      <c r="J279" s="115" t="n">
        <f aca="false">J278*Inputs!$D$28</f>
        <v>6.9</v>
      </c>
      <c r="K279" s="115" t="n">
        <f aca="false">K278*Inputs!$D$28</f>
        <v>6.9</v>
      </c>
      <c r="L279" s="115" t="n">
        <f aca="false">L278*Inputs!$D$28</f>
        <v>8.05</v>
      </c>
      <c r="M279" s="115" t="n">
        <f aca="false">M278*Inputs!$D$28</f>
        <v>8.05</v>
      </c>
      <c r="N279" s="115" t="n">
        <f aca="false">N278*Inputs!$D$28</f>
        <v>8.05</v>
      </c>
      <c r="O279" s="115" t="n">
        <f aca="false">O278*Inputs!$D$28</f>
        <v>8.05</v>
      </c>
      <c r="P279" s="115" t="n">
        <f aca="false">P278*Inputs!$D$28</f>
        <v>8.05</v>
      </c>
      <c r="Q279" s="115" t="n">
        <f aca="false">Q278*Inputs!$D$28</f>
        <v>8.05</v>
      </c>
      <c r="R279" s="115" t="n">
        <f aca="false">R278*Inputs!$D$28</f>
        <v>8.05</v>
      </c>
      <c r="S279" s="115" t="n">
        <f aca="false">S278*Inputs!$D$28</f>
        <v>8.05</v>
      </c>
      <c r="T279" s="115" t="n">
        <f aca="false">T278*Inputs!$D$28</f>
        <v>8.05</v>
      </c>
      <c r="U279" s="115" t="n">
        <f aca="false">U278*Inputs!$D$28</f>
        <v>8.05</v>
      </c>
      <c r="V279" s="115" t="n">
        <f aca="false">V278*Inputs!$D$28</f>
        <v>8.05</v>
      </c>
      <c r="W279" s="115" t="n">
        <f aca="false">W278*Inputs!$D$28</f>
        <v>8.05</v>
      </c>
      <c r="X279" s="115" t="n">
        <f aca="false">X278*Inputs!$D$28</f>
        <v>8.05</v>
      </c>
      <c r="Y279" s="115" t="n">
        <f aca="false">Y278*Inputs!$D$28</f>
        <v>8.05</v>
      </c>
      <c r="Z279" s="115" t="n">
        <f aca="false">Z278*Inputs!$D$28</f>
        <v>8.05</v>
      </c>
      <c r="AA279" s="115" t="n">
        <f aca="false">AA278*Inputs!$D$28</f>
        <v>8.05</v>
      </c>
      <c r="AB279" s="115" t="n">
        <f aca="false">AB278*Inputs!$D$28</f>
        <v>8.05</v>
      </c>
      <c r="AC279" s="115" t="n">
        <f aca="false">AC278*Inputs!$D$28</f>
        <v>8.05</v>
      </c>
      <c r="AD279" s="115" t="n">
        <f aca="false">AD278*Inputs!$D$28</f>
        <v>8.05</v>
      </c>
      <c r="AE279" s="115" t="n">
        <f aca="false">AE278*Inputs!$D$28</f>
        <v>8.05</v>
      </c>
      <c r="AF279" s="115" t="n">
        <f aca="false">AF278*Inputs!$D$28</f>
        <v>8.05</v>
      </c>
      <c r="AG279" s="115" t="n">
        <f aca="false">AG278*Inputs!$D$28</f>
        <v>8.05</v>
      </c>
      <c r="AH279" s="115" t="n">
        <f aca="false">AH278*Inputs!$D$28</f>
        <v>8.05</v>
      </c>
      <c r="AI279" s="115" t="n">
        <f aca="false">AI278*Inputs!$D$28</f>
        <v>8.05</v>
      </c>
      <c r="AJ279" s="115" t="n">
        <f aca="false">AJ278*Inputs!$D$28</f>
        <v>8.05</v>
      </c>
      <c r="AK279" s="115" t="n">
        <f aca="false">AK278*Inputs!$D$28</f>
        <v>8.05</v>
      </c>
      <c r="AL279" s="115" t="n">
        <f aca="false">AL278*Inputs!$D$28</f>
        <v>8.05</v>
      </c>
      <c r="AM279" s="115" t="n">
        <f aca="false">AM278*Inputs!$D$28</f>
        <v>8.05</v>
      </c>
      <c r="AN279" s="115" t="n">
        <f aca="false">AN278*Inputs!$D$28</f>
        <v>8.05</v>
      </c>
      <c r="AO279" s="115" t="n">
        <f aca="false">AO278*Inputs!$D$28</f>
        <v>8.05</v>
      </c>
      <c r="AP279" s="115" t="n">
        <f aca="false">AP278*Inputs!$D$28</f>
        <v>8.05</v>
      </c>
      <c r="AQ279" s="115" t="n">
        <f aca="false">AQ278*Inputs!$D$28</f>
        <v>8.05</v>
      </c>
      <c r="AR279" s="115" t="n">
        <f aca="false">AR278*Inputs!$D$28</f>
        <v>8.05</v>
      </c>
      <c r="AS279" s="115" t="n">
        <f aca="false">AS278*Inputs!$D$28</f>
        <v>8.05</v>
      </c>
      <c r="AT279" s="115" t="n">
        <f aca="false">AT278*Inputs!$D$28</f>
        <v>8.05</v>
      </c>
      <c r="AU279" s="115" t="n">
        <f aca="false">AU278*Inputs!$D$28</f>
        <v>8.05</v>
      </c>
      <c r="AV279" s="115" t="n">
        <f aca="false">AV278*Inputs!$D$28</f>
        <v>8.05</v>
      </c>
      <c r="AW279" s="115" t="n">
        <f aca="false">AW278*Inputs!$D$28</f>
        <v>8.05</v>
      </c>
      <c r="AX279" s="115" t="n">
        <f aca="false">AX278*Inputs!$D$28</f>
        <v>8.05</v>
      </c>
      <c r="AY279" s="115" t="n">
        <f aca="false">AY278*Inputs!$D$28</f>
        <v>8.05</v>
      </c>
      <c r="AZ279" s="115" t="n">
        <f aca="false">AZ278*Inputs!$D$28</f>
        <v>8.05</v>
      </c>
      <c r="BA279" s="115" t="n">
        <f aca="false">BA278*Inputs!$D$28</f>
        <v>8.05</v>
      </c>
      <c r="BB279" s="115" t="n">
        <f aca="false">BB278*Inputs!$D$28</f>
        <v>8.05</v>
      </c>
      <c r="BC279" s="115" t="n">
        <f aca="false">BC278*Inputs!$D$28</f>
        <v>8.05</v>
      </c>
      <c r="BD279" s="115" t="n">
        <f aca="false">BD278*Inputs!$D$28</f>
        <v>8.05</v>
      </c>
      <c r="BE279" s="115" t="n">
        <f aca="false">BE278*Inputs!$D$28</f>
        <v>8.05</v>
      </c>
      <c r="BF279" s="115" t="n">
        <f aca="false">BF278*Inputs!$D$28</f>
        <v>8.05</v>
      </c>
      <c r="BG279" s="115" t="n">
        <f aca="false">BG278*Inputs!$D$28</f>
        <v>8.05</v>
      </c>
      <c r="BH279" s="115" t="n">
        <f aca="false">BH278*Inputs!$D$28</f>
        <v>8.05</v>
      </c>
      <c r="BI279" s="115" t="n">
        <f aca="false">BI278*Inputs!$D$28</f>
        <v>8.05</v>
      </c>
      <c r="BJ279" s="115" t="n">
        <f aca="false">BJ278*Inputs!$D$28</f>
        <v>8.05</v>
      </c>
    </row>
    <row r="281" customFormat="false" ht="15.75" hidden="false" customHeight="true" outlineLevel="0" collapsed="false">
      <c r="A281" s="7" t="s">
        <v>44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customFormat="false" ht="15" hidden="false" customHeight="false" outlineLevel="0" collapsed="false">
      <c r="A282" s="6" t="s">
        <v>431</v>
      </c>
      <c r="C282" s="66" t="n">
        <f aca="false">(C267*Inputs!$D$17+C268*Inputs!$D$18)*1*(1+Inputs!$D$19)^(C$259-1)</f>
        <v>19552.5</v>
      </c>
      <c r="D282" s="66" t="n">
        <f aca="false">(D267*Inputs!$D$17+D268*Inputs!$D$18)*1*(1+Inputs!$D$19)^(D$259-1)</f>
        <v>25201</v>
      </c>
      <c r="E282" s="66" t="n">
        <f aca="false">(E267*Inputs!$D$17+E268*Inputs!$D$18)*1*(1+Inputs!$D$19)^(E$259-1)</f>
        <v>30849.5</v>
      </c>
      <c r="F282" s="66" t="n">
        <f aca="false">(F267*Inputs!$D$17+F268*Inputs!$D$18)*1*(1+Inputs!$D$19)^(F$259-1)</f>
        <v>36498</v>
      </c>
      <c r="G282" s="66" t="n">
        <f aca="false">(G267*Inputs!$D$17+G268*Inputs!$D$18)*1*(1+Inputs!$D$19)^(G$259-1)</f>
        <v>42146.5</v>
      </c>
      <c r="H282" s="66" t="n">
        <f aca="false">(H267*Inputs!$D$17+H268*Inputs!$D$18)*1*(1+Inputs!$D$19)^(H$259-1)</f>
        <v>47795</v>
      </c>
      <c r="I282" s="66" t="n">
        <f aca="false">(I267*Inputs!$D$17+I268*Inputs!$D$18)*1*(1+Inputs!$D$19)^(I$259-1)</f>
        <v>53443.5</v>
      </c>
      <c r="J282" s="66" t="n">
        <f aca="false">(J267*Inputs!$D$17+J268*Inputs!$D$18)*1*(1+Inputs!$D$19)^(J$259-1)</f>
        <v>59092</v>
      </c>
      <c r="K282" s="66" t="n">
        <f aca="false">(K267*Inputs!$D$17+K268*Inputs!$D$18)*1*(1+Inputs!$D$19)^(K$259-1)</f>
        <v>64740.5</v>
      </c>
      <c r="L282" s="66" t="n">
        <f aca="false">(L267*Inputs!$D$17+L268*Inputs!$D$18)*1*(1+Inputs!$D$19)^(L$259-1)</f>
        <v>70389</v>
      </c>
      <c r="M282" s="66" t="n">
        <f aca="false">(M267*Inputs!$D$17+M268*Inputs!$D$18)*1*(1+Inputs!$D$19)^(M$259-1)</f>
        <v>70389</v>
      </c>
      <c r="N282" s="66" t="n">
        <f aca="false">(N267*Inputs!$D$17+N268*Inputs!$D$18)*1*(1+Inputs!$D$19)^(N$259-1)</f>
        <v>70389</v>
      </c>
      <c r="O282" s="66" t="n">
        <f aca="false">(O267*Inputs!$D$17+O268*Inputs!$D$18)*1*(1+Inputs!$D$19)^(O$259-1)</f>
        <v>73204.56</v>
      </c>
      <c r="P282" s="66" t="n">
        <f aca="false">(P267*Inputs!$D$17+P268*Inputs!$D$18)*1*(1+Inputs!$D$19)^(P$259-1)</f>
        <v>73204.56</v>
      </c>
      <c r="Q282" s="66" t="n">
        <f aca="false">(Q267*Inputs!$D$17+Q268*Inputs!$D$18)*1*(1+Inputs!$D$19)^(Q$259-1)</f>
        <v>73204.56</v>
      </c>
      <c r="R282" s="66" t="n">
        <f aca="false">(R267*Inputs!$D$17+R268*Inputs!$D$18)*1*(1+Inputs!$D$19)^(R$259-1)</f>
        <v>73204.56</v>
      </c>
      <c r="S282" s="66" t="n">
        <f aca="false">(S267*Inputs!$D$17+S268*Inputs!$D$18)*1*(1+Inputs!$D$19)^(S$259-1)</f>
        <v>73204.56</v>
      </c>
      <c r="T282" s="66" t="n">
        <f aca="false">(T267*Inputs!$D$17+T268*Inputs!$D$18)*1*(1+Inputs!$D$19)^(T$259-1)</f>
        <v>73204.56</v>
      </c>
      <c r="U282" s="66" t="n">
        <f aca="false">(U267*Inputs!$D$17+U268*Inputs!$D$18)*1*(1+Inputs!$D$19)^(U$259-1)</f>
        <v>73204.56</v>
      </c>
      <c r="V282" s="66" t="n">
        <f aca="false">(V267*Inputs!$D$17+V268*Inputs!$D$18)*1*(1+Inputs!$D$19)^(V$259-1)</f>
        <v>73204.56</v>
      </c>
      <c r="W282" s="66" t="n">
        <f aca="false">(W267*Inputs!$D$17+W268*Inputs!$D$18)*1*(1+Inputs!$D$19)^(W$259-1)</f>
        <v>73204.56</v>
      </c>
      <c r="X282" s="66" t="n">
        <f aca="false">(X267*Inputs!$D$17+X268*Inputs!$D$18)*1*(1+Inputs!$D$19)^(X$259-1)</f>
        <v>73204.56</v>
      </c>
      <c r="Y282" s="66" t="n">
        <f aca="false">(Y267*Inputs!$D$17+Y268*Inputs!$D$18)*1*(1+Inputs!$D$19)^(Y$259-1)</f>
        <v>73204.56</v>
      </c>
      <c r="Z282" s="66" t="n">
        <f aca="false">(Z267*Inputs!$D$17+Z268*Inputs!$D$18)*1*(1+Inputs!$D$19)^(Z$259-1)</f>
        <v>73204.56</v>
      </c>
      <c r="AA282" s="66" t="n">
        <f aca="false">(AA267*Inputs!$D$17+AA268*Inputs!$D$18)*1*(1+Inputs!$D$19)^(AA$259-1)</f>
        <v>76132.7424</v>
      </c>
      <c r="AB282" s="66" t="n">
        <f aca="false">(AB267*Inputs!$D$17+AB268*Inputs!$D$18)*1*(1+Inputs!$D$19)^(AB$259-1)</f>
        <v>76132.7424</v>
      </c>
      <c r="AC282" s="66" t="n">
        <f aca="false">(AC267*Inputs!$D$17+AC268*Inputs!$D$18)*1*(1+Inputs!$D$19)^(AC$259-1)</f>
        <v>76132.7424</v>
      </c>
      <c r="AD282" s="66" t="n">
        <f aca="false">(AD267*Inputs!$D$17+AD268*Inputs!$D$18)*1*(1+Inputs!$D$19)^(AD$259-1)</f>
        <v>76132.7424</v>
      </c>
      <c r="AE282" s="66" t="n">
        <f aca="false">(AE267*Inputs!$D$17+AE268*Inputs!$D$18)*1*(1+Inputs!$D$19)^(AE$259-1)</f>
        <v>76132.7424</v>
      </c>
      <c r="AF282" s="66" t="n">
        <f aca="false">(AF267*Inputs!$D$17+AF268*Inputs!$D$18)*1*(1+Inputs!$D$19)^(AF$259-1)</f>
        <v>76132.7424</v>
      </c>
      <c r="AG282" s="66" t="n">
        <f aca="false">(AG267*Inputs!$D$17+AG268*Inputs!$D$18)*1*(1+Inputs!$D$19)^(AG$259-1)</f>
        <v>76132.7424</v>
      </c>
      <c r="AH282" s="66" t="n">
        <f aca="false">(AH267*Inputs!$D$17+AH268*Inputs!$D$18)*1*(1+Inputs!$D$19)^(AH$259-1)</f>
        <v>76132.7424</v>
      </c>
      <c r="AI282" s="66" t="n">
        <f aca="false">(AI267*Inputs!$D$17+AI268*Inputs!$D$18)*1*(1+Inputs!$D$19)^(AI$259-1)</f>
        <v>76132.7424</v>
      </c>
      <c r="AJ282" s="66" t="n">
        <f aca="false">(AJ267*Inputs!$D$17+AJ268*Inputs!$D$18)*1*(1+Inputs!$D$19)^(AJ$259-1)</f>
        <v>76132.7424</v>
      </c>
      <c r="AK282" s="66" t="n">
        <f aca="false">(AK267*Inputs!$D$17+AK268*Inputs!$D$18)*1*(1+Inputs!$D$19)^(AK$259-1)</f>
        <v>76132.7424</v>
      </c>
      <c r="AL282" s="66" t="n">
        <f aca="false">(AL267*Inputs!$D$17+AL268*Inputs!$D$18)*1*(1+Inputs!$D$19)^(AL$259-1)</f>
        <v>76132.7424</v>
      </c>
      <c r="AM282" s="66" t="n">
        <f aca="false">(AM267*Inputs!$D$17+AM268*Inputs!$D$18)*1*(1+Inputs!$D$19)^(AM$259-1)</f>
        <v>79178.052096</v>
      </c>
      <c r="AN282" s="66" t="n">
        <f aca="false">(AN267*Inputs!$D$17+AN268*Inputs!$D$18)*1*(1+Inputs!$D$19)^(AN$259-1)</f>
        <v>79178.052096</v>
      </c>
      <c r="AO282" s="66" t="n">
        <f aca="false">(AO267*Inputs!$D$17+AO268*Inputs!$D$18)*1*(1+Inputs!$D$19)^(AO$259-1)</f>
        <v>79178.052096</v>
      </c>
      <c r="AP282" s="66" t="n">
        <f aca="false">(AP267*Inputs!$D$17+AP268*Inputs!$D$18)*1*(1+Inputs!$D$19)^(AP$259-1)</f>
        <v>79178.052096</v>
      </c>
      <c r="AQ282" s="66" t="n">
        <f aca="false">(AQ267*Inputs!$D$17+AQ268*Inputs!$D$18)*1*(1+Inputs!$D$19)^(AQ$259-1)</f>
        <v>79178.052096</v>
      </c>
      <c r="AR282" s="66" t="n">
        <f aca="false">(AR267*Inputs!$D$17+AR268*Inputs!$D$18)*1*(1+Inputs!$D$19)^(AR$259-1)</f>
        <v>79178.052096</v>
      </c>
      <c r="AS282" s="66" t="n">
        <f aca="false">(AS267*Inputs!$D$17+AS268*Inputs!$D$18)*1*(1+Inputs!$D$19)^(AS$259-1)</f>
        <v>79178.052096</v>
      </c>
      <c r="AT282" s="66" t="n">
        <f aca="false">(AT267*Inputs!$D$17+AT268*Inputs!$D$18)*1*(1+Inputs!$D$19)^(AT$259-1)</f>
        <v>79178.052096</v>
      </c>
      <c r="AU282" s="66" t="n">
        <f aca="false">(AU267*Inputs!$D$17+AU268*Inputs!$D$18)*1*(1+Inputs!$D$19)^(AU$259-1)</f>
        <v>79178.052096</v>
      </c>
      <c r="AV282" s="66" t="n">
        <f aca="false">(AV267*Inputs!$D$17+AV268*Inputs!$D$18)*1*(1+Inputs!$D$19)^(AV$259-1)</f>
        <v>79178.052096</v>
      </c>
      <c r="AW282" s="66" t="n">
        <f aca="false">(AW267*Inputs!$D$17+AW268*Inputs!$D$18)*1*(1+Inputs!$D$19)^(AW$259-1)</f>
        <v>79178.052096</v>
      </c>
      <c r="AX282" s="66" t="n">
        <f aca="false">(AX267*Inputs!$D$17+AX268*Inputs!$D$18)*1*(1+Inputs!$D$19)^(AX$259-1)</f>
        <v>79178.052096</v>
      </c>
      <c r="AY282" s="66" t="n">
        <f aca="false">(AY267*Inputs!$D$17+AY268*Inputs!$D$18)*1*(1+Inputs!$D$19)^(AY$259-1)</f>
        <v>82345.17417984</v>
      </c>
      <c r="AZ282" s="66" t="n">
        <f aca="false">(AZ267*Inputs!$D$17+AZ268*Inputs!$D$18)*1*(1+Inputs!$D$19)^(AZ$259-1)</f>
        <v>82345.17417984</v>
      </c>
      <c r="BA282" s="66" t="n">
        <f aca="false">(BA267*Inputs!$D$17+BA268*Inputs!$D$18)*1*(1+Inputs!$D$19)^(BA$259-1)</f>
        <v>82345.17417984</v>
      </c>
      <c r="BB282" s="66" t="n">
        <f aca="false">(BB267*Inputs!$D$17+BB268*Inputs!$D$18)*1*(1+Inputs!$D$19)^(BB$259-1)</f>
        <v>82345.17417984</v>
      </c>
      <c r="BC282" s="66" t="n">
        <f aca="false">(BC267*Inputs!$D$17+BC268*Inputs!$D$18)*1*(1+Inputs!$D$19)^(BC$259-1)</f>
        <v>82345.17417984</v>
      </c>
      <c r="BD282" s="66" t="n">
        <f aca="false">(BD267*Inputs!$D$17+BD268*Inputs!$D$18)*1*(1+Inputs!$D$19)^(BD$259-1)</f>
        <v>82345.17417984</v>
      </c>
      <c r="BE282" s="66" t="n">
        <f aca="false">(BE267*Inputs!$D$17+BE268*Inputs!$D$18)*1*(1+Inputs!$D$19)^(BE$259-1)</f>
        <v>82345.17417984</v>
      </c>
      <c r="BF282" s="66" t="n">
        <f aca="false">(BF267*Inputs!$D$17+BF268*Inputs!$D$18)*1*(1+Inputs!$D$19)^(BF$259-1)</f>
        <v>82345.17417984</v>
      </c>
      <c r="BG282" s="66" t="n">
        <f aca="false">(BG267*Inputs!$D$17+BG268*Inputs!$D$18)*1*(1+Inputs!$D$19)^(BG$259-1)</f>
        <v>82345.17417984</v>
      </c>
      <c r="BH282" s="66" t="n">
        <f aca="false">(BH267*Inputs!$D$17+BH268*Inputs!$D$18)*1*(1+Inputs!$D$19)^(BH$259-1)</f>
        <v>82345.17417984</v>
      </c>
      <c r="BI282" s="66" t="n">
        <f aca="false">(BI267*Inputs!$D$17+BI268*Inputs!$D$18)*1*(1+Inputs!$D$19)^(BI$259-1)</f>
        <v>82345.17417984</v>
      </c>
      <c r="BJ282" s="66" t="n">
        <f aca="false">(BJ267*Inputs!$D$17+BJ268*Inputs!$D$18)*1*(1+Inputs!$D$19)^(BJ$259-1)</f>
        <v>82345.17417984</v>
      </c>
    </row>
    <row r="283" customFormat="false" ht="15" hidden="false" customHeight="false" outlineLevel="0" collapsed="false">
      <c r="A283" s="6" t="s">
        <v>432</v>
      </c>
      <c r="C283" s="66" t="n">
        <f aca="false">C282*(1-Inputs!$D$22)*(1-Inputs!$D$20)</f>
        <v>14077.8</v>
      </c>
      <c r="D283" s="66" t="n">
        <f aca="false">D282*(1-Inputs!$D$22)*(1-Inputs!$D$20)</f>
        <v>18144.72</v>
      </c>
      <c r="E283" s="66" t="n">
        <f aca="false">E282*(1-Inputs!$D$22)*(1-Inputs!$D$20)</f>
        <v>22211.64</v>
      </c>
      <c r="F283" s="66" t="n">
        <f aca="false">F282*(1-Inputs!$D$22)*(1-Inputs!$D$20)</f>
        <v>26278.56</v>
      </c>
      <c r="G283" s="66" t="n">
        <f aca="false">G282*(1-Inputs!$D$22)*(1-Inputs!$D$20)</f>
        <v>30345.48</v>
      </c>
      <c r="H283" s="66" t="n">
        <f aca="false">H282*(1-Inputs!$D$22)*(1-Inputs!$D$20)</f>
        <v>34412.4</v>
      </c>
      <c r="I283" s="66" t="n">
        <f aca="false">I282*(1-Inputs!$D$22)*(1-Inputs!$D$20)</f>
        <v>38479.32</v>
      </c>
      <c r="J283" s="66" t="n">
        <f aca="false">J282*(1-Inputs!$D$22)*(1-Inputs!$D$20)</f>
        <v>42546.24</v>
      </c>
      <c r="K283" s="66" t="n">
        <f aca="false">K282*(1-Inputs!$D$22)*(1-Inputs!$D$20)</f>
        <v>46613.16</v>
      </c>
      <c r="L283" s="66" t="n">
        <f aca="false">L282*(1-Inputs!$D$22)*(1-Inputs!$D$20)</f>
        <v>50680.08</v>
      </c>
      <c r="M283" s="66" t="n">
        <f aca="false">M282*(1-Inputs!$D$22)*(1-Inputs!$D$20)</f>
        <v>50680.08</v>
      </c>
      <c r="N283" s="66" t="n">
        <f aca="false">N282*(1-Inputs!$D$22)*(1-Inputs!$D$20)</f>
        <v>50680.08</v>
      </c>
      <c r="O283" s="66" t="n">
        <f aca="false">O282*(1-Inputs!$D$22)*(1-Inputs!$D$20)</f>
        <v>52707.2832</v>
      </c>
      <c r="P283" s="66" t="n">
        <f aca="false">P282*(1-Inputs!$D$22)*(1-Inputs!$D$20)</f>
        <v>52707.2832</v>
      </c>
      <c r="Q283" s="66" t="n">
        <f aca="false">Q282*(1-Inputs!$D$22)*(1-Inputs!$D$20)</f>
        <v>52707.2832</v>
      </c>
      <c r="R283" s="66" t="n">
        <f aca="false">R282*(1-Inputs!$D$22)*(1-Inputs!$D$20)</f>
        <v>52707.2832</v>
      </c>
      <c r="S283" s="66" t="n">
        <f aca="false">S282*(1-Inputs!$D$22)*(1-Inputs!$D$20)</f>
        <v>52707.2832</v>
      </c>
      <c r="T283" s="66" t="n">
        <f aca="false">T282*(1-Inputs!$D$22)*(1-Inputs!$D$20)</f>
        <v>52707.2832</v>
      </c>
      <c r="U283" s="66" t="n">
        <f aca="false">U282*(1-Inputs!$D$22)*(1-Inputs!$D$20)</f>
        <v>52707.2832</v>
      </c>
      <c r="V283" s="66" t="n">
        <f aca="false">V282*(1-Inputs!$D$22)*(1-Inputs!$D$20)</f>
        <v>52707.2832</v>
      </c>
      <c r="W283" s="66" t="n">
        <f aca="false">W282*(1-Inputs!$D$22)*(1-Inputs!$D$20)</f>
        <v>52707.2832</v>
      </c>
      <c r="X283" s="66" t="n">
        <f aca="false">X282*(1-Inputs!$D$22)*(1-Inputs!$D$20)</f>
        <v>52707.2832</v>
      </c>
      <c r="Y283" s="66" t="n">
        <f aca="false">Y282*(1-Inputs!$D$22)*(1-Inputs!$D$20)</f>
        <v>52707.2832</v>
      </c>
      <c r="Z283" s="66" t="n">
        <f aca="false">Z282*(1-Inputs!$D$22)*(1-Inputs!$D$20)</f>
        <v>52707.2832</v>
      </c>
      <c r="AA283" s="66" t="n">
        <f aca="false">AA282*(1-Inputs!$D$22)*(1-Inputs!$D$20)</f>
        <v>54815.574528</v>
      </c>
      <c r="AB283" s="66" t="n">
        <f aca="false">AB282*(1-Inputs!$D$22)*(1-Inputs!$D$20)</f>
        <v>54815.574528</v>
      </c>
      <c r="AC283" s="66" t="n">
        <f aca="false">AC282*(1-Inputs!$D$22)*(1-Inputs!$D$20)</f>
        <v>54815.574528</v>
      </c>
      <c r="AD283" s="66" t="n">
        <f aca="false">AD282*(1-Inputs!$D$22)*(1-Inputs!$D$20)</f>
        <v>54815.574528</v>
      </c>
      <c r="AE283" s="66" t="n">
        <f aca="false">AE282*(1-Inputs!$D$22)*(1-Inputs!$D$20)</f>
        <v>54815.574528</v>
      </c>
      <c r="AF283" s="66" t="n">
        <f aca="false">AF282*(1-Inputs!$D$22)*(1-Inputs!$D$20)</f>
        <v>54815.574528</v>
      </c>
      <c r="AG283" s="66" t="n">
        <f aca="false">AG282*(1-Inputs!$D$22)*(1-Inputs!$D$20)</f>
        <v>54815.574528</v>
      </c>
      <c r="AH283" s="66" t="n">
        <f aca="false">AH282*(1-Inputs!$D$22)*(1-Inputs!$D$20)</f>
        <v>54815.574528</v>
      </c>
      <c r="AI283" s="66" t="n">
        <f aca="false">AI282*(1-Inputs!$D$22)*(1-Inputs!$D$20)</f>
        <v>54815.574528</v>
      </c>
      <c r="AJ283" s="66" t="n">
        <f aca="false">AJ282*(1-Inputs!$D$22)*(1-Inputs!$D$20)</f>
        <v>54815.574528</v>
      </c>
      <c r="AK283" s="66" t="n">
        <f aca="false">AK282*(1-Inputs!$D$22)*(1-Inputs!$D$20)</f>
        <v>54815.574528</v>
      </c>
      <c r="AL283" s="66" t="n">
        <f aca="false">AL282*(1-Inputs!$D$22)*(1-Inputs!$D$20)</f>
        <v>54815.574528</v>
      </c>
      <c r="AM283" s="66" t="n">
        <f aca="false">AM282*(1-Inputs!$D$22)*(1-Inputs!$D$20)</f>
        <v>57008.19750912</v>
      </c>
      <c r="AN283" s="66" t="n">
        <f aca="false">AN282*(1-Inputs!$D$22)*(1-Inputs!$D$20)</f>
        <v>57008.19750912</v>
      </c>
      <c r="AO283" s="66" t="n">
        <f aca="false">AO282*(1-Inputs!$D$22)*(1-Inputs!$D$20)</f>
        <v>57008.19750912</v>
      </c>
      <c r="AP283" s="66" t="n">
        <f aca="false">AP282*(1-Inputs!$D$22)*(1-Inputs!$D$20)</f>
        <v>57008.19750912</v>
      </c>
      <c r="AQ283" s="66" t="n">
        <f aca="false">AQ282*(1-Inputs!$D$22)*(1-Inputs!$D$20)</f>
        <v>57008.19750912</v>
      </c>
      <c r="AR283" s="66" t="n">
        <f aca="false">AR282*(1-Inputs!$D$22)*(1-Inputs!$D$20)</f>
        <v>57008.19750912</v>
      </c>
      <c r="AS283" s="66" t="n">
        <f aca="false">AS282*(1-Inputs!$D$22)*(1-Inputs!$D$20)</f>
        <v>57008.19750912</v>
      </c>
      <c r="AT283" s="66" t="n">
        <f aca="false">AT282*(1-Inputs!$D$22)*(1-Inputs!$D$20)</f>
        <v>57008.19750912</v>
      </c>
      <c r="AU283" s="66" t="n">
        <f aca="false">AU282*(1-Inputs!$D$22)*(1-Inputs!$D$20)</f>
        <v>57008.19750912</v>
      </c>
      <c r="AV283" s="66" t="n">
        <f aca="false">AV282*(1-Inputs!$D$22)*(1-Inputs!$D$20)</f>
        <v>57008.19750912</v>
      </c>
      <c r="AW283" s="66" t="n">
        <f aca="false">AW282*(1-Inputs!$D$22)*(1-Inputs!$D$20)</f>
        <v>57008.19750912</v>
      </c>
      <c r="AX283" s="66" t="n">
        <f aca="false">AX282*(1-Inputs!$D$22)*(1-Inputs!$D$20)</f>
        <v>57008.19750912</v>
      </c>
      <c r="AY283" s="66" t="n">
        <f aca="false">AY282*(1-Inputs!$D$22)*(1-Inputs!$D$20)</f>
        <v>59288.5254094848</v>
      </c>
      <c r="AZ283" s="66" t="n">
        <f aca="false">AZ282*(1-Inputs!$D$22)*(1-Inputs!$D$20)</f>
        <v>59288.5254094848</v>
      </c>
      <c r="BA283" s="66" t="n">
        <f aca="false">BA282*(1-Inputs!$D$22)*(1-Inputs!$D$20)</f>
        <v>59288.5254094848</v>
      </c>
      <c r="BB283" s="66" t="n">
        <f aca="false">BB282*(1-Inputs!$D$22)*(1-Inputs!$D$20)</f>
        <v>59288.5254094848</v>
      </c>
      <c r="BC283" s="66" t="n">
        <f aca="false">BC282*(1-Inputs!$D$22)*(1-Inputs!$D$20)</f>
        <v>59288.5254094848</v>
      </c>
      <c r="BD283" s="66" t="n">
        <f aca="false">BD282*(1-Inputs!$D$22)*(1-Inputs!$D$20)</f>
        <v>59288.5254094848</v>
      </c>
      <c r="BE283" s="66" t="n">
        <f aca="false">BE282*(1-Inputs!$D$22)*(1-Inputs!$D$20)</f>
        <v>59288.5254094848</v>
      </c>
      <c r="BF283" s="66" t="n">
        <f aca="false">BF282*(1-Inputs!$D$22)*(1-Inputs!$D$20)</f>
        <v>59288.5254094848</v>
      </c>
      <c r="BG283" s="66" t="n">
        <f aca="false">BG282*(1-Inputs!$D$22)*(1-Inputs!$D$20)</f>
        <v>59288.5254094848</v>
      </c>
      <c r="BH283" s="66" t="n">
        <f aca="false">BH282*(1-Inputs!$D$22)*(1-Inputs!$D$20)</f>
        <v>59288.5254094848</v>
      </c>
      <c r="BI283" s="66" t="n">
        <f aca="false">BI282*(1-Inputs!$D$22)*(1-Inputs!$D$20)</f>
        <v>59288.5254094848</v>
      </c>
      <c r="BJ283" s="66" t="n">
        <f aca="false">BJ282*(1-Inputs!$D$22)*(1-Inputs!$D$20)</f>
        <v>59288.5254094848</v>
      </c>
    </row>
    <row r="284" customFormat="false" ht="15" hidden="false" customHeight="false" outlineLevel="0" collapsed="false">
      <c r="A284" s="6" t="s">
        <v>239</v>
      </c>
      <c r="C284" s="66" t="n">
        <f aca="false">C282*Inputs!$D$22*Inputs!$D$23</f>
        <v>4301.55</v>
      </c>
      <c r="D284" s="66" t="n">
        <f aca="false">D282*Inputs!$D$22*Inputs!$D$23</f>
        <v>5544.22</v>
      </c>
      <c r="E284" s="66" t="n">
        <f aca="false">E282*Inputs!$D$22*Inputs!$D$23</f>
        <v>6786.89</v>
      </c>
      <c r="F284" s="66" t="n">
        <f aca="false">F282*Inputs!$D$22*Inputs!$D$23</f>
        <v>8029.56</v>
      </c>
      <c r="G284" s="66" t="n">
        <f aca="false">G282*Inputs!$D$22*Inputs!$D$23</f>
        <v>9272.23</v>
      </c>
      <c r="H284" s="66" t="n">
        <f aca="false">H282*Inputs!$D$22*Inputs!$D$23</f>
        <v>10514.9</v>
      </c>
      <c r="I284" s="66" t="n">
        <f aca="false">I282*Inputs!$D$22*Inputs!$D$23</f>
        <v>11757.57</v>
      </c>
      <c r="J284" s="66" t="n">
        <f aca="false">J282*Inputs!$D$22*Inputs!$D$23</f>
        <v>13000.24</v>
      </c>
      <c r="K284" s="66" t="n">
        <f aca="false">K282*Inputs!$D$22*Inputs!$D$23</f>
        <v>14242.91</v>
      </c>
      <c r="L284" s="66" t="n">
        <f aca="false">L282*Inputs!$D$22*Inputs!$D$23</f>
        <v>15485.58</v>
      </c>
      <c r="M284" s="66" t="n">
        <f aca="false">M282*Inputs!$D$22*Inputs!$D$23</f>
        <v>15485.58</v>
      </c>
      <c r="N284" s="66" t="n">
        <f aca="false">N282*Inputs!$D$22*Inputs!$D$23</f>
        <v>15485.58</v>
      </c>
      <c r="O284" s="66" t="n">
        <f aca="false">O282*Inputs!$D$22*Inputs!$D$23</f>
        <v>16105.0032</v>
      </c>
      <c r="P284" s="66" t="n">
        <f aca="false">P282*Inputs!$D$22*Inputs!$D$23</f>
        <v>16105.0032</v>
      </c>
      <c r="Q284" s="66" t="n">
        <f aca="false">Q282*Inputs!$D$22*Inputs!$D$23</f>
        <v>16105.0032</v>
      </c>
      <c r="R284" s="66" t="n">
        <f aca="false">R282*Inputs!$D$22*Inputs!$D$23</f>
        <v>16105.0032</v>
      </c>
      <c r="S284" s="66" t="n">
        <f aca="false">S282*Inputs!$D$22*Inputs!$D$23</f>
        <v>16105.0032</v>
      </c>
      <c r="T284" s="66" t="n">
        <f aca="false">T282*Inputs!$D$22*Inputs!$D$23</f>
        <v>16105.0032</v>
      </c>
      <c r="U284" s="66" t="n">
        <f aca="false">U282*Inputs!$D$22*Inputs!$D$23</f>
        <v>16105.0032</v>
      </c>
      <c r="V284" s="66" t="n">
        <f aca="false">V282*Inputs!$D$22*Inputs!$D$23</f>
        <v>16105.0032</v>
      </c>
      <c r="W284" s="66" t="n">
        <f aca="false">W282*Inputs!$D$22*Inputs!$D$23</f>
        <v>16105.0032</v>
      </c>
      <c r="X284" s="66" t="n">
        <f aca="false">X282*Inputs!$D$22*Inputs!$D$23</f>
        <v>16105.0032</v>
      </c>
      <c r="Y284" s="66" t="n">
        <f aca="false">Y282*Inputs!$D$22*Inputs!$D$23</f>
        <v>16105.0032</v>
      </c>
      <c r="Z284" s="66" t="n">
        <f aca="false">Z282*Inputs!$D$22*Inputs!$D$23</f>
        <v>16105.0032</v>
      </c>
      <c r="AA284" s="66" t="n">
        <f aca="false">AA282*Inputs!$D$22*Inputs!$D$23</f>
        <v>16749.203328</v>
      </c>
      <c r="AB284" s="66" t="n">
        <f aca="false">AB282*Inputs!$D$22*Inputs!$D$23</f>
        <v>16749.203328</v>
      </c>
      <c r="AC284" s="66" t="n">
        <f aca="false">AC282*Inputs!$D$22*Inputs!$D$23</f>
        <v>16749.203328</v>
      </c>
      <c r="AD284" s="66" t="n">
        <f aca="false">AD282*Inputs!$D$22*Inputs!$D$23</f>
        <v>16749.203328</v>
      </c>
      <c r="AE284" s="66" t="n">
        <f aca="false">AE282*Inputs!$D$22*Inputs!$D$23</f>
        <v>16749.203328</v>
      </c>
      <c r="AF284" s="66" t="n">
        <f aca="false">AF282*Inputs!$D$22*Inputs!$D$23</f>
        <v>16749.203328</v>
      </c>
      <c r="AG284" s="66" t="n">
        <f aca="false">AG282*Inputs!$D$22*Inputs!$D$23</f>
        <v>16749.203328</v>
      </c>
      <c r="AH284" s="66" t="n">
        <f aca="false">AH282*Inputs!$D$22*Inputs!$D$23</f>
        <v>16749.203328</v>
      </c>
      <c r="AI284" s="66" t="n">
        <f aca="false">AI282*Inputs!$D$22*Inputs!$D$23</f>
        <v>16749.203328</v>
      </c>
      <c r="AJ284" s="66" t="n">
        <f aca="false">AJ282*Inputs!$D$22*Inputs!$D$23</f>
        <v>16749.203328</v>
      </c>
      <c r="AK284" s="66" t="n">
        <f aca="false">AK282*Inputs!$D$22*Inputs!$D$23</f>
        <v>16749.203328</v>
      </c>
      <c r="AL284" s="66" t="n">
        <f aca="false">AL282*Inputs!$D$22*Inputs!$D$23</f>
        <v>16749.203328</v>
      </c>
      <c r="AM284" s="66" t="n">
        <f aca="false">AM282*Inputs!$D$22*Inputs!$D$23</f>
        <v>17419.17146112</v>
      </c>
      <c r="AN284" s="66" t="n">
        <f aca="false">AN282*Inputs!$D$22*Inputs!$D$23</f>
        <v>17419.17146112</v>
      </c>
      <c r="AO284" s="66" t="n">
        <f aca="false">AO282*Inputs!$D$22*Inputs!$D$23</f>
        <v>17419.17146112</v>
      </c>
      <c r="AP284" s="66" t="n">
        <f aca="false">AP282*Inputs!$D$22*Inputs!$D$23</f>
        <v>17419.17146112</v>
      </c>
      <c r="AQ284" s="66" t="n">
        <f aca="false">AQ282*Inputs!$D$22*Inputs!$D$23</f>
        <v>17419.17146112</v>
      </c>
      <c r="AR284" s="66" t="n">
        <f aca="false">AR282*Inputs!$D$22*Inputs!$D$23</f>
        <v>17419.17146112</v>
      </c>
      <c r="AS284" s="66" t="n">
        <f aca="false">AS282*Inputs!$D$22*Inputs!$D$23</f>
        <v>17419.17146112</v>
      </c>
      <c r="AT284" s="66" t="n">
        <f aca="false">AT282*Inputs!$D$22*Inputs!$D$23</f>
        <v>17419.17146112</v>
      </c>
      <c r="AU284" s="66" t="n">
        <f aca="false">AU282*Inputs!$D$22*Inputs!$D$23</f>
        <v>17419.17146112</v>
      </c>
      <c r="AV284" s="66" t="n">
        <f aca="false">AV282*Inputs!$D$22*Inputs!$D$23</f>
        <v>17419.17146112</v>
      </c>
      <c r="AW284" s="66" t="n">
        <f aca="false">AW282*Inputs!$D$22*Inputs!$D$23</f>
        <v>17419.17146112</v>
      </c>
      <c r="AX284" s="66" t="n">
        <f aca="false">AX282*Inputs!$D$22*Inputs!$D$23</f>
        <v>17419.17146112</v>
      </c>
      <c r="AY284" s="66" t="n">
        <f aca="false">AY282*Inputs!$D$22*Inputs!$D$23</f>
        <v>18115.9383195648</v>
      </c>
      <c r="AZ284" s="66" t="n">
        <f aca="false">AZ282*Inputs!$D$22*Inputs!$D$23</f>
        <v>18115.9383195648</v>
      </c>
      <c r="BA284" s="66" t="n">
        <f aca="false">BA282*Inputs!$D$22*Inputs!$D$23</f>
        <v>18115.9383195648</v>
      </c>
      <c r="BB284" s="66" t="n">
        <f aca="false">BB282*Inputs!$D$22*Inputs!$D$23</f>
        <v>18115.9383195648</v>
      </c>
      <c r="BC284" s="66" t="n">
        <f aca="false">BC282*Inputs!$D$22*Inputs!$D$23</f>
        <v>18115.9383195648</v>
      </c>
      <c r="BD284" s="66" t="n">
        <f aca="false">BD282*Inputs!$D$22*Inputs!$D$23</f>
        <v>18115.9383195648</v>
      </c>
      <c r="BE284" s="66" t="n">
        <f aca="false">BE282*Inputs!$D$22*Inputs!$D$23</f>
        <v>18115.9383195648</v>
      </c>
      <c r="BF284" s="66" t="n">
        <f aca="false">BF282*Inputs!$D$22*Inputs!$D$23</f>
        <v>18115.9383195648</v>
      </c>
      <c r="BG284" s="66" t="n">
        <f aca="false">BG282*Inputs!$D$22*Inputs!$D$23</f>
        <v>18115.9383195648</v>
      </c>
      <c r="BH284" s="66" t="n">
        <f aca="false">BH282*Inputs!$D$22*Inputs!$D$23</f>
        <v>18115.9383195648</v>
      </c>
      <c r="BI284" s="66" t="n">
        <f aca="false">BI282*Inputs!$D$22*Inputs!$D$23</f>
        <v>18115.9383195648</v>
      </c>
      <c r="BJ284" s="66" t="n">
        <f aca="false">BJ282*Inputs!$D$22*Inputs!$D$23</f>
        <v>18115.9383195648</v>
      </c>
    </row>
    <row r="285" customFormat="false" ht="15" hidden="false" customHeight="false" outlineLevel="0" collapsed="false">
      <c r="A285" s="6" t="s">
        <v>241</v>
      </c>
      <c r="C285" s="66" t="n">
        <f aca="false">C273*Inputs!$D$21*(1+Inputs!$D$19)^(C$259-1)</f>
        <v>3062.5</v>
      </c>
      <c r="D285" s="66" t="n">
        <f aca="false">D273*Inputs!$D$21*(1+Inputs!$D$19)^(D$259-1)</f>
        <v>947.222222222222</v>
      </c>
      <c r="E285" s="66" t="n">
        <f aca="false">E273*Inputs!$D$21*(1+Inputs!$D$19)^(E$259-1)</f>
        <v>965.277777777778</v>
      </c>
      <c r="F285" s="66" t="n">
        <f aca="false">F273*Inputs!$D$21*(1+Inputs!$D$19)^(F$259-1)</f>
        <v>983.333333333334</v>
      </c>
      <c r="G285" s="66" t="n">
        <f aca="false">G273*Inputs!$D$21*(1+Inputs!$D$19)^(G$259-1)</f>
        <v>1001.38888888889</v>
      </c>
      <c r="H285" s="66" t="n">
        <f aca="false">H273*Inputs!$D$21*(1+Inputs!$D$19)^(H$259-1)</f>
        <v>1019.44444444445</v>
      </c>
      <c r="I285" s="66" t="n">
        <f aca="false">I273*Inputs!$D$21*(1+Inputs!$D$19)^(I$259-1)</f>
        <v>1037.5</v>
      </c>
      <c r="J285" s="66" t="n">
        <f aca="false">J273*Inputs!$D$21*(1+Inputs!$D$19)^(J$259-1)</f>
        <v>1055.55555555555</v>
      </c>
      <c r="K285" s="66" t="n">
        <f aca="false">K273*Inputs!$D$21*(1+Inputs!$D$19)^(K$259-1)</f>
        <v>1073.61111111111</v>
      </c>
      <c r="L285" s="66" t="n">
        <f aca="false">L273*Inputs!$D$21*(1+Inputs!$D$19)^(L$259-1)</f>
        <v>1091.66666666667</v>
      </c>
      <c r="M285" s="66" t="n">
        <f aca="false">M273*Inputs!$D$21*(1+Inputs!$D$19)^(M$259-1)</f>
        <v>225</v>
      </c>
      <c r="N285" s="66" t="n">
        <f aca="false">N273*Inputs!$D$21*(1+Inputs!$D$19)^(N$259-1)</f>
        <v>225</v>
      </c>
      <c r="O285" s="66" t="n">
        <f aca="false">O273*Inputs!$D$21*(1+Inputs!$D$19)^(O$259-1)</f>
        <v>234</v>
      </c>
      <c r="P285" s="66" t="n">
        <f aca="false">P273*Inputs!$D$21*(1+Inputs!$D$19)^(P$259-1)</f>
        <v>234</v>
      </c>
      <c r="Q285" s="66" t="n">
        <f aca="false">Q273*Inputs!$D$21*(1+Inputs!$D$19)^(Q$259-1)</f>
        <v>234</v>
      </c>
      <c r="R285" s="66" t="n">
        <f aca="false">R273*Inputs!$D$21*(1+Inputs!$D$19)^(R$259-1)</f>
        <v>234</v>
      </c>
      <c r="S285" s="66" t="n">
        <f aca="false">S273*Inputs!$D$21*(1+Inputs!$D$19)^(S$259-1)</f>
        <v>234</v>
      </c>
      <c r="T285" s="66" t="n">
        <f aca="false">T273*Inputs!$D$21*(1+Inputs!$D$19)^(T$259-1)</f>
        <v>234</v>
      </c>
      <c r="U285" s="66" t="n">
        <f aca="false">U273*Inputs!$D$21*(1+Inputs!$D$19)^(U$259-1)</f>
        <v>234</v>
      </c>
      <c r="V285" s="66" t="n">
        <f aca="false">V273*Inputs!$D$21*(1+Inputs!$D$19)^(V$259-1)</f>
        <v>234</v>
      </c>
      <c r="W285" s="66" t="n">
        <f aca="false">W273*Inputs!$D$21*(1+Inputs!$D$19)^(W$259-1)</f>
        <v>234</v>
      </c>
      <c r="X285" s="66" t="n">
        <f aca="false">X273*Inputs!$D$21*(1+Inputs!$D$19)^(X$259-1)</f>
        <v>234</v>
      </c>
      <c r="Y285" s="66" t="n">
        <f aca="false">Y273*Inputs!$D$21*(1+Inputs!$D$19)^(Y$259-1)</f>
        <v>234</v>
      </c>
      <c r="Z285" s="66" t="n">
        <f aca="false">Z273*Inputs!$D$21*(1+Inputs!$D$19)^(Z$259-1)</f>
        <v>234</v>
      </c>
      <c r="AA285" s="66" t="n">
        <f aca="false">AA273*Inputs!$D$21*(1+Inputs!$D$19)^(AA$259-1)</f>
        <v>243.36</v>
      </c>
      <c r="AB285" s="66" t="n">
        <f aca="false">AB273*Inputs!$D$21*(1+Inputs!$D$19)^(AB$259-1)</f>
        <v>243.36</v>
      </c>
      <c r="AC285" s="66" t="n">
        <f aca="false">AC273*Inputs!$D$21*(1+Inputs!$D$19)^(AC$259-1)</f>
        <v>243.36</v>
      </c>
      <c r="AD285" s="66" t="n">
        <f aca="false">AD273*Inputs!$D$21*(1+Inputs!$D$19)^(AD$259-1)</f>
        <v>243.36</v>
      </c>
      <c r="AE285" s="66" t="n">
        <f aca="false">AE273*Inputs!$D$21*(1+Inputs!$D$19)^(AE$259-1)</f>
        <v>243.36</v>
      </c>
      <c r="AF285" s="66" t="n">
        <f aca="false">AF273*Inputs!$D$21*(1+Inputs!$D$19)^(AF$259-1)</f>
        <v>243.36</v>
      </c>
      <c r="AG285" s="66" t="n">
        <f aca="false">AG273*Inputs!$D$21*(1+Inputs!$D$19)^(AG$259-1)</f>
        <v>243.36</v>
      </c>
      <c r="AH285" s="66" t="n">
        <f aca="false">AH273*Inputs!$D$21*(1+Inputs!$D$19)^(AH$259-1)</f>
        <v>243.36</v>
      </c>
      <c r="AI285" s="66" t="n">
        <f aca="false">AI273*Inputs!$D$21*(1+Inputs!$D$19)^(AI$259-1)</f>
        <v>243.36</v>
      </c>
      <c r="AJ285" s="66" t="n">
        <f aca="false">AJ273*Inputs!$D$21*(1+Inputs!$D$19)^(AJ$259-1)</f>
        <v>243.36</v>
      </c>
      <c r="AK285" s="66" t="n">
        <f aca="false">AK273*Inputs!$D$21*(1+Inputs!$D$19)^(AK$259-1)</f>
        <v>243.36</v>
      </c>
      <c r="AL285" s="66" t="n">
        <f aca="false">AL273*Inputs!$D$21*(1+Inputs!$D$19)^(AL$259-1)</f>
        <v>243.36</v>
      </c>
      <c r="AM285" s="66" t="n">
        <f aca="false">AM273*Inputs!$D$21*(1+Inputs!$D$19)^(AM$259-1)</f>
        <v>253.0944</v>
      </c>
      <c r="AN285" s="66" t="n">
        <f aca="false">AN273*Inputs!$D$21*(1+Inputs!$D$19)^(AN$259-1)</f>
        <v>253.0944</v>
      </c>
      <c r="AO285" s="66" t="n">
        <f aca="false">AO273*Inputs!$D$21*(1+Inputs!$D$19)^(AO$259-1)</f>
        <v>253.0944</v>
      </c>
      <c r="AP285" s="66" t="n">
        <f aca="false">AP273*Inputs!$D$21*(1+Inputs!$D$19)^(AP$259-1)</f>
        <v>253.0944</v>
      </c>
      <c r="AQ285" s="66" t="n">
        <f aca="false">AQ273*Inputs!$D$21*(1+Inputs!$D$19)^(AQ$259-1)</f>
        <v>253.0944</v>
      </c>
      <c r="AR285" s="66" t="n">
        <f aca="false">AR273*Inputs!$D$21*(1+Inputs!$D$19)^(AR$259-1)</f>
        <v>253.0944</v>
      </c>
      <c r="AS285" s="66" t="n">
        <f aca="false">AS273*Inputs!$D$21*(1+Inputs!$D$19)^(AS$259-1)</f>
        <v>253.0944</v>
      </c>
      <c r="AT285" s="66" t="n">
        <f aca="false">AT273*Inputs!$D$21*(1+Inputs!$D$19)^(AT$259-1)</f>
        <v>253.0944</v>
      </c>
      <c r="AU285" s="66" t="n">
        <f aca="false">AU273*Inputs!$D$21*(1+Inputs!$D$19)^(AU$259-1)</f>
        <v>253.0944</v>
      </c>
      <c r="AV285" s="66" t="n">
        <f aca="false">AV273*Inputs!$D$21*(1+Inputs!$D$19)^(AV$259-1)</f>
        <v>253.0944</v>
      </c>
      <c r="AW285" s="66" t="n">
        <f aca="false">AW273*Inputs!$D$21*(1+Inputs!$D$19)^(AW$259-1)</f>
        <v>253.0944</v>
      </c>
      <c r="AX285" s="66" t="n">
        <f aca="false">AX273*Inputs!$D$21*(1+Inputs!$D$19)^(AX$259-1)</f>
        <v>253.0944</v>
      </c>
      <c r="AY285" s="66" t="n">
        <f aca="false">AY273*Inputs!$D$21*(1+Inputs!$D$19)^(AY$259-1)</f>
        <v>263.218176</v>
      </c>
      <c r="AZ285" s="66" t="n">
        <f aca="false">AZ273*Inputs!$D$21*(1+Inputs!$D$19)^(AZ$259-1)</f>
        <v>263.218176</v>
      </c>
      <c r="BA285" s="66" t="n">
        <f aca="false">BA273*Inputs!$D$21*(1+Inputs!$D$19)^(BA$259-1)</f>
        <v>263.218176</v>
      </c>
      <c r="BB285" s="66" t="n">
        <f aca="false">BB273*Inputs!$D$21*(1+Inputs!$D$19)^(BB$259-1)</f>
        <v>263.218176</v>
      </c>
      <c r="BC285" s="66" t="n">
        <f aca="false">BC273*Inputs!$D$21*(1+Inputs!$D$19)^(BC$259-1)</f>
        <v>263.218176</v>
      </c>
      <c r="BD285" s="66" t="n">
        <f aca="false">BD273*Inputs!$D$21*(1+Inputs!$D$19)^(BD$259-1)</f>
        <v>263.218176</v>
      </c>
      <c r="BE285" s="66" t="n">
        <f aca="false">BE273*Inputs!$D$21*(1+Inputs!$D$19)^(BE$259-1)</f>
        <v>263.218176</v>
      </c>
      <c r="BF285" s="66" t="n">
        <f aca="false">BF273*Inputs!$D$21*(1+Inputs!$D$19)^(BF$259-1)</f>
        <v>263.218176</v>
      </c>
      <c r="BG285" s="66" t="n">
        <f aca="false">BG273*Inputs!$D$21*(1+Inputs!$D$19)^(BG$259-1)</f>
        <v>263.218176</v>
      </c>
      <c r="BH285" s="66" t="n">
        <f aca="false">BH273*Inputs!$D$21*(1+Inputs!$D$19)^(BH$259-1)</f>
        <v>263.218176</v>
      </c>
      <c r="BI285" s="66" t="n">
        <f aca="false">BI273*Inputs!$D$21*(1+Inputs!$D$19)^(BI$259-1)</f>
        <v>263.218176</v>
      </c>
      <c r="BJ285" s="66" t="n">
        <f aca="false">BJ273*Inputs!$D$21*(1+Inputs!$D$19)^(BJ$259-1)</f>
        <v>263.218176</v>
      </c>
    </row>
    <row r="286" customFormat="false" ht="15" hidden="false" customHeight="false" outlineLevel="0" collapsed="false">
      <c r="A286" s="110" t="s">
        <v>44</v>
      </c>
      <c r="C286" s="67" t="n">
        <f aca="false">C283+C284+C285</f>
        <v>21441.85</v>
      </c>
      <c r="D286" s="67" t="n">
        <f aca="false">D283+D284+D285</f>
        <v>24636.1622222222</v>
      </c>
      <c r="E286" s="67" t="n">
        <f aca="false">E283+E284+E285</f>
        <v>29963.8077777778</v>
      </c>
      <c r="F286" s="67" t="n">
        <f aca="false">F283+F284+F285</f>
        <v>35291.4533333333</v>
      </c>
      <c r="G286" s="67" t="n">
        <f aca="false">G283+G284+G285</f>
        <v>40619.0988888889</v>
      </c>
      <c r="H286" s="67" t="n">
        <f aca="false">H283+H284+H285</f>
        <v>45946.7444444445</v>
      </c>
      <c r="I286" s="67" t="n">
        <f aca="false">I283+I284+I285</f>
        <v>51274.39</v>
      </c>
      <c r="J286" s="67" t="n">
        <f aca="false">J283+J284+J285</f>
        <v>56602.0355555556</v>
      </c>
      <c r="K286" s="67" t="n">
        <f aca="false">K283+K284+K285</f>
        <v>61929.6811111111</v>
      </c>
      <c r="L286" s="67" t="n">
        <f aca="false">L283+L284+L285</f>
        <v>67257.3266666667</v>
      </c>
      <c r="M286" s="67" t="n">
        <f aca="false">M283+M284+M285</f>
        <v>66390.66</v>
      </c>
      <c r="N286" s="67" t="n">
        <f aca="false">N283+N284+N285</f>
        <v>66390.66</v>
      </c>
      <c r="O286" s="67" t="n">
        <f aca="false">O283+O284+O285</f>
        <v>69046.2864</v>
      </c>
      <c r="P286" s="67" t="n">
        <f aca="false">P283+P284+P285</f>
        <v>69046.2864</v>
      </c>
      <c r="Q286" s="67" t="n">
        <f aca="false">Q283+Q284+Q285</f>
        <v>69046.2864</v>
      </c>
      <c r="R286" s="67" t="n">
        <f aca="false">R283+R284+R285</f>
        <v>69046.2864</v>
      </c>
      <c r="S286" s="67" t="n">
        <f aca="false">S283+S284+S285</f>
        <v>69046.2864</v>
      </c>
      <c r="T286" s="67" t="n">
        <f aca="false">T283+T284+T285</f>
        <v>69046.2864</v>
      </c>
      <c r="U286" s="67" t="n">
        <f aca="false">U283+U284+U285</f>
        <v>69046.2864</v>
      </c>
      <c r="V286" s="67" t="n">
        <f aca="false">V283+V284+V285</f>
        <v>69046.2864</v>
      </c>
      <c r="W286" s="67" t="n">
        <f aca="false">W283+W284+W285</f>
        <v>69046.2864</v>
      </c>
      <c r="X286" s="67" t="n">
        <f aca="false">X283+X284+X285</f>
        <v>69046.2864</v>
      </c>
      <c r="Y286" s="67" t="n">
        <f aca="false">Y283+Y284+Y285</f>
        <v>69046.2864</v>
      </c>
      <c r="Z286" s="67" t="n">
        <f aca="false">Z283+Z284+Z285</f>
        <v>69046.2864</v>
      </c>
      <c r="AA286" s="67" t="n">
        <f aca="false">AA283+AA284+AA285</f>
        <v>71808.137856</v>
      </c>
      <c r="AB286" s="67" t="n">
        <f aca="false">AB283+AB284+AB285</f>
        <v>71808.137856</v>
      </c>
      <c r="AC286" s="67" t="n">
        <f aca="false">AC283+AC284+AC285</f>
        <v>71808.137856</v>
      </c>
      <c r="AD286" s="67" t="n">
        <f aca="false">AD283+AD284+AD285</f>
        <v>71808.137856</v>
      </c>
      <c r="AE286" s="67" t="n">
        <f aca="false">AE283+AE284+AE285</f>
        <v>71808.137856</v>
      </c>
      <c r="AF286" s="67" t="n">
        <f aca="false">AF283+AF284+AF285</f>
        <v>71808.137856</v>
      </c>
      <c r="AG286" s="67" t="n">
        <f aca="false">AG283+AG284+AG285</f>
        <v>71808.137856</v>
      </c>
      <c r="AH286" s="67" t="n">
        <f aca="false">AH283+AH284+AH285</f>
        <v>71808.137856</v>
      </c>
      <c r="AI286" s="67" t="n">
        <f aca="false">AI283+AI284+AI285</f>
        <v>71808.137856</v>
      </c>
      <c r="AJ286" s="67" t="n">
        <f aca="false">AJ283+AJ284+AJ285</f>
        <v>71808.137856</v>
      </c>
      <c r="AK286" s="67" t="n">
        <f aca="false">AK283+AK284+AK285</f>
        <v>71808.137856</v>
      </c>
      <c r="AL286" s="67" t="n">
        <f aca="false">AL283+AL284+AL285</f>
        <v>71808.137856</v>
      </c>
      <c r="AM286" s="67" t="n">
        <f aca="false">AM283+AM284+AM285</f>
        <v>74680.46337024</v>
      </c>
      <c r="AN286" s="67" t="n">
        <f aca="false">AN283+AN284+AN285</f>
        <v>74680.46337024</v>
      </c>
      <c r="AO286" s="67" t="n">
        <f aca="false">AO283+AO284+AO285</f>
        <v>74680.46337024</v>
      </c>
      <c r="AP286" s="67" t="n">
        <f aca="false">AP283+AP284+AP285</f>
        <v>74680.46337024</v>
      </c>
      <c r="AQ286" s="67" t="n">
        <f aca="false">AQ283+AQ284+AQ285</f>
        <v>74680.46337024</v>
      </c>
      <c r="AR286" s="67" t="n">
        <f aca="false">AR283+AR284+AR285</f>
        <v>74680.46337024</v>
      </c>
      <c r="AS286" s="67" t="n">
        <f aca="false">AS283+AS284+AS285</f>
        <v>74680.46337024</v>
      </c>
      <c r="AT286" s="67" t="n">
        <f aca="false">AT283+AT284+AT285</f>
        <v>74680.46337024</v>
      </c>
      <c r="AU286" s="67" t="n">
        <f aca="false">AU283+AU284+AU285</f>
        <v>74680.46337024</v>
      </c>
      <c r="AV286" s="67" t="n">
        <f aca="false">AV283+AV284+AV285</f>
        <v>74680.46337024</v>
      </c>
      <c r="AW286" s="67" t="n">
        <f aca="false">AW283+AW284+AW285</f>
        <v>74680.46337024</v>
      </c>
      <c r="AX286" s="67" t="n">
        <f aca="false">AX283+AX284+AX285</f>
        <v>74680.46337024</v>
      </c>
      <c r="AY286" s="67" t="n">
        <f aca="false">AY283+AY284+AY285</f>
        <v>77667.6819050496</v>
      </c>
      <c r="AZ286" s="67" t="n">
        <f aca="false">AZ283+AZ284+AZ285</f>
        <v>77667.6819050496</v>
      </c>
      <c r="BA286" s="67" t="n">
        <f aca="false">BA283+BA284+BA285</f>
        <v>77667.6819050496</v>
      </c>
      <c r="BB286" s="67" t="n">
        <f aca="false">BB283+BB284+BB285</f>
        <v>77667.6819050496</v>
      </c>
      <c r="BC286" s="67" t="n">
        <f aca="false">BC283+BC284+BC285</f>
        <v>77667.6819050496</v>
      </c>
      <c r="BD286" s="67" t="n">
        <f aca="false">BD283+BD284+BD285</f>
        <v>77667.6819050496</v>
      </c>
      <c r="BE286" s="67" t="n">
        <f aca="false">BE283+BE284+BE285</f>
        <v>77667.6819050496</v>
      </c>
      <c r="BF286" s="67" t="n">
        <f aca="false">BF283+BF284+BF285</f>
        <v>77667.6819050496</v>
      </c>
      <c r="BG286" s="67" t="n">
        <f aca="false">BG283+BG284+BG285</f>
        <v>77667.6819050496</v>
      </c>
      <c r="BH286" s="67" t="n">
        <f aca="false">BH283+BH284+BH285</f>
        <v>77667.6819050496</v>
      </c>
      <c r="BI286" s="67" t="n">
        <f aca="false">BI283+BI284+BI285</f>
        <v>77667.6819050496</v>
      </c>
      <c r="BJ286" s="67" t="n">
        <f aca="false">BJ283+BJ284+BJ285</f>
        <v>77667.6819050496</v>
      </c>
    </row>
    <row r="288" customFormat="false" ht="15.75" hidden="false" customHeight="true" outlineLevel="0" collapsed="false">
      <c r="A288" s="7" t="s">
        <v>75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customFormat="false" ht="15" hidden="false" customHeight="false" outlineLevel="0" collapsed="false">
      <c r="A289" s="6" t="s">
        <v>243</v>
      </c>
      <c r="C289" s="66" t="n">
        <f aca="false">-C279*Inputs!$D$29/12*1*(1+Inputs!$D$69)*(1+Inputs!$D$70)^(C$259-1)</f>
        <v>-7191.33333333333</v>
      </c>
      <c r="D289" s="66" t="n">
        <f aca="false">-D279*Inputs!$D$29/12*1*(1+Inputs!$D$69)*(1+Inputs!$D$70)^(D$259-1)</f>
        <v>-14382.6666666667</v>
      </c>
      <c r="E289" s="66" t="n">
        <f aca="false">-E279*Inputs!$D$29/12*1*(1+Inputs!$D$69)*(1+Inputs!$D$70)^(E$259-1)</f>
        <v>-14382.6666666667</v>
      </c>
      <c r="F289" s="66" t="n">
        <f aca="false">-F279*Inputs!$D$29/12*1*(1+Inputs!$D$69)*(1+Inputs!$D$70)^(F$259-1)</f>
        <v>-14382.6666666667</v>
      </c>
      <c r="G289" s="66" t="n">
        <f aca="false">-G279*Inputs!$D$29/12*1*(1+Inputs!$D$69)*(1+Inputs!$D$70)^(G$259-1)</f>
        <v>-14382.6666666667</v>
      </c>
      <c r="H289" s="66" t="n">
        <f aca="false">-H279*Inputs!$D$29/12*1*(1+Inputs!$D$69)*(1+Inputs!$D$70)^(H$259-1)</f>
        <v>-17978.3333333333</v>
      </c>
      <c r="I289" s="66" t="n">
        <f aca="false">-I279*Inputs!$D$29/12*1*(1+Inputs!$D$69)*(1+Inputs!$D$70)^(I$259-1)</f>
        <v>-21574</v>
      </c>
      <c r="J289" s="66" t="n">
        <f aca="false">-J279*Inputs!$D$29/12*1*(1+Inputs!$D$69)*(1+Inputs!$D$70)^(J$259-1)</f>
        <v>-21574</v>
      </c>
      <c r="K289" s="66" t="n">
        <f aca="false">-K279*Inputs!$D$29/12*1*(1+Inputs!$D$69)*(1+Inputs!$D$70)^(K$259-1)</f>
        <v>-21574</v>
      </c>
      <c r="L289" s="66" t="n">
        <f aca="false">-L279*Inputs!$D$29/12*1*(1+Inputs!$D$69)*(1+Inputs!$D$70)^(L$259-1)</f>
        <v>-25169.6666666667</v>
      </c>
      <c r="M289" s="66" t="n">
        <f aca="false">-M279*Inputs!$D$29/12*1*(1+Inputs!$D$69)*(1+Inputs!$D$70)^(M$259-1)</f>
        <v>-25169.6666666667</v>
      </c>
      <c r="N289" s="66" t="n">
        <f aca="false">-N279*Inputs!$D$29/12*1*(1+Inputs!$D$69)*(1+Inputs!$D$70)^(N$259-1)</f>
        <v>-25169.6666666667</v>
      </c>
      <c r="O289" s="66" t="n">
        <f aca="false">-O279*Inputs!$D$29/12*1*(1+Inputs!$D$69)*(1+Inputs!$D$70)^(O$259-1)</f>
        <v>-25924.7566666667</v>
      </c>
      <c r="P289" s="66" t="n">
        <f aca="false">-P279*Inputs!$D$29/12*1*(1+Inputs!$D$69)*(1+Inputs!$D$70)^(P$259-1)</f>
        <v>-25924.7566666667</v>
      </c>
      <c r="Q289" s="66" t="n">
        <f aca="false">-Q279*Inputs!$D$29/12*1*(1+Inputs!$D$69)*(1+Inputs!$D$70)^(Q$259-1)</f>
        <v>-25924.7566666667</v>
      </c>
      <c r="R289" s="66" t="n">
        <f aca="false">-R279*Inputs!$D$29/12*1*(1+Inputs!$D$69)*(1+Inputs!$D$70)^(R$259-1)</f>
        <v>-25924.7566666667</v>
      </c>
      <c r="S289" s="66" t="n">
        <f aca="false">-S279*Inputs!$D$29/12*1*(1+Inputs!$D$69)*(1+Inputs!$D$70)^(S$259-1)</f>
        <v>-25924.7566666667</v>
      </c>
      <c r="T289" s="66" t="n">
        <f aca="false">-T279*Inputs!$D$29/12*1*(1+Inputs!$D$69)*(1+Inputs!$D$70)^(T$259-1)</f>
        <v>-25924.7566666667</v>
      </c>
      <c r="U289" s="66" t="n">
        <f aca="false">-U279*Inputs!$D$29/12*1*(1+Inputs!$D$69)*(1+Inputs!$D$70)^(U$259-1)</f>
        <v>-25924.7566666667</v>
      </c>
      <c r="V289" s="66" t="n">
        <f aca="false">-V279*Inputs!$D$29/12*1*(1+Inputs!$D$69)*(1+Inputs!$D$70)^(V$259-1)</f>
        <v>-25924.7566666667</v>
      </c>
      <c r="W289" s="66" t="n">
        <f aca="false">-W279*Inputs!$D$29/12*1*(1+Inputs!$D$69)*(1+Inputs!$D$70)^(W$259-1)</f>
        <v>-25924.7566666667</v>
      </c>
      <c r="X289" s="66" t="n">
        <f aca="false">-X279*Inputs!$D$29/12*1*(1+Inputs!$D$69)*(1+Inputs!$D$70)^(X$259-1)</f>
        <v>-25924.7566666667</v>
      </c>
      <c r="Y289" s="66" t="n">
        <f aca="false">-Y279*Inputs!$D$29/12*1*(1+Inputs!$D$69)*(1+Inputs!$D$70)^(Y$259-1)</f>
        <v>-25924.7566666667</v>
      </c>
      <c r="Z289" s="66" t="n">
        <f aca="false">-Z279*Inputs!$D$29/12*1*(1+Inputs!$D$69)*(1+Inputs!$D$70)^(Z$259-1)</f>
        <v>-25924.7566666667</v>
      </c>
      <c r="AA289" s="66" t="n">
        <f aca="false">-AA279*Inputs!$D$29/12*1*(1+Inputs!$D$69)*(1+Inputs!$D$70)^(AA$259-1)</f>
        <v>-26702.4993666667</v>
      </c>
      <c r="AB289" s="66" t="n">
        <f aca="false">-AB279*Inputs!$D$29/12*1*(1+Inputs!$D$69)*(1+Inputs!$D$70)^(AB$259-1)</f>
        <v>-26702.4993666667</v>
      </c>
      <c r="AC289" s="66" t="n">
        <f aca="false">-AC279*Inputs!$D$29/12*1*(1+Inputs!$D$69)*(1+Inputs!$D$70)^(AC$259-1)</f>
        <v>-26702.4993666667</v>
      </c>
      <c r="AD289" s="66" t="n">
        <f aca="false">-AD279*Inputs!$D$29/12*1*(1+Inputs!$D$69)*(1+Inputs!$D$70)^(AD$259-1)</f>
        <v>-26702.4993666667</v>
      </c>
      <c r="AE289" s="66" t="n">
        <f aca="false">-AE279*Inputs!$D$29/12*1*(1+Inputs!$D$69)*(1+Inputs!$D$70)^(AE$259-1)</f>
        <v>-26702.4993666667</v>
      </c>
      <c r="AF289" s="66" t="n">
        <f aca="false">-AF279*Inputs!$D$29/12*1*(1+Inputs!$D$69)*(1+Inputs!$D$70)^(AF$259-1)</f>
        <v>-26702.4993666667</v>
      </c>
      <c r="AG289" s="66" t="n">
        <f aca="false">-AG279*Inputs!$D$29/12*1*(1+Inputs!$D$69)*(1+Inputs!$D$70)^(AG$259-1)</f>
        <v>-26702.4993666667</v>
      </c>
      <c r="AH289" s="66" t="n">
        <f aca="false">-AH279*Inputs!$D$29/12*1*(1+Inputs!$D$69)*(1+Inputs!$D$70)^(AH$259-1)</f>
        <v>-26702.4993666667</v>
      </c>
      <c r="AI289" s="66" t="n">
        <f aca="false">-AI279*Inputs!$D$29/12*1*(1+Inputs!$D$69)*(1+Inputs!$D$70)^(AI$259-1)</f>
        <v>-26702.4993666667</v>
      </c>
      <c r="AJ289" s="66" t="n">
        <f aca="false">-AJ279*Inputs!$D$29/12*1*(1+Inputs!$D$69)*(1+Inputs!$D$70)^(AJ$259-1)</f>
        <v>-26702.4993666667</v>
      </c>
      <c r="AK289" s="66" t="n">
        <f aca="false">-AK279*Inputs!$D$29/12*1*(1+Inputs!$D$69)*(1+Inputs!$D$70)^(AK$259-1)</f>
        <v>-26702.4993666667</v>
      </c>
      <c r="AL289" s="66" t="n">
        <f aca="false">-AL279*Inputs!$D$29/12*1*(1+Inputs!$D$69)*(1+Inputs!$D$70)^(AL$259-1)</f>
        <v>-26702.4993666667</v>
      </c>
      <c r="AM289" s="66" t="n">
        <f aca="false">-AM279*Inputs!$D$29/12*1*(1+Inputs!$D$69)*(1+Inputs!$D$70)^(AM$259-1)</f>
        <v>-27503.5743476667</v>
      </c>
      <c r="AN289" s="66" t="n">
        <f aca="false">-AN279*Inputs!$D$29/12*1*(1+Inputs!$D$69)*(1+Inputs!$D$70)^(AN$259-1)</f>
        <v>-27503.5743476667</v>
      </c>
      <c r="AO289" s="66" t="n">
        <f aca="false">-AO279*Inputs!$D$29/12*1*(1+Inputs!$D$69)*(1+Inputs!$D$70)^(AO$259-1)</f>
        <v>-27503.5743476667</v>
      </c>
      <c r="AP289" s="66" t="n">
        <f aca="false">-AP279*Inputs!$D$29/12*1*(1+Inputs!$D$69)*(1+Inputs!$D$70)^(AP$259-1)</f>
        <v>-27503.5743476667</v>
      </c>
      <c r="AQ289" s="66" t="n">
        <f aca="false">-AQ279*Inputs!$D$29/12*1*(1+Inputs!$D$69)*(1+Inputs!$D$70)^(AQ$259-1)</f>
        <v>-27503.5743476667</v>
      </c>
      <c r="AR289" s="66" t="n">
        <f aca="false">-AR279*Inputs!$D$29/12*1*(1+Inputs!$D$69)*(1+Inputs!$D$70)^(AR$259-1)</f>
        <v>-27503.5743476667</v>
      </c>
      <c r="AS289" s="66" t="n">
        <f aca="false">-AS279*Inputs!$D$29/12*1*(1+Inputs!$D$69)*(1+Inputs!$D$70)^(AS$259-1)</f>
        <v>-27503.5743476667</v>
      </c>
      <c r="AT289" s="66" t="n">
        <f aca="false">-AT279*Inputs!$D$29/12*1*(1+Inputs!$D$69)*(1+Inputs!$D$70)^(AT$259-1)</f>
        <v>-27503.5743476667</v>
      </c>
      <c r="AU289" s="66" t="n">
        <f aca="false">-AU279*Inputs!$D$29/12*1*(1+Inputs!$D$69)*(1+Inputs!$D$70)^(AU$259-1)</f>
        <v>-27503.5743476667</v>
      </c>
      <c r="AV289" s="66" t="n">
        <f aca="false">-AV279*Inputs!$D$29/12*1*(1+Inputs!$D$69)*(1+Inputs!$D$70)^(AV$259-1)</f>
        <v>-27503.5743476667</v>
      </c>
      <c r="AW289" s="66" t="n">
        <f aca="false">-AW279*Inputs!$D$29/12*1*(1+Inputs!$D$69)*(1+Inputs!$D$70)^(AW$259-1)</f>
        <v>-27503.5743476667</v>
      </c>
      <c r="AX289" s="66" t="n">
        <f aca="false">-AX279*Inputs!$D$29/12*1*(1+Inputs!$D$69)*(1+Inputs!$D$70)^(AX$259-1)</f>
        <v>-27503.5743476667</v>
      </c>
      <c r="AY289" s="66" t="n">
        <f aca="false">-AY279*Inputs!$D$29/12*1*(1+Inputs!$D$69)*(1+Inputs!$D$70)^(AY$259-1)</f>
        <v>-28328.6815780967</v>
      </c>
      <c r="AZ289" s="66" t="n">
        <f aca="false">-AZ279*Inputs!$D$29/12*1*(1+Inputs!$D$69)*(1+Inputs!$D$70)^(AZ$259-1)</f>
        <v>-28328.6815780967</v>
      </c>
      <c r="BA289" s="66" t="n">
        <f aca="false">-BA279*Inputs!$D$29/12*1*(1+Inputs!$D$69)*(1+Inputs!$D$70)^(BA$259-1)</f>
        <v>-28328.6815780967</v>
      </c>
      <c r="BB289" s="66" t="n">
        <f aca="false">-BB279*Inputs!$D$29/12*1*(1+Inputs!$D$69)*(1+Inputs!$D$70)^(BB$259-1)</f>
        <v>-28328.6815780967</v>
      </c>
      <c r="BC289" s="66" t="n">
        <f aca="false">-BC279*Inputs!$D$29/12*1*(1+Inputs!$D$69)*(1+Inputs!$D$70)^(BC$259-1)</f>
        <v>-28328.6815780967</v>
      </c>
      <c r="BD289" s="66" t="n">
        <f aca="false">-BD279*Inputs!$D$29/12*1*(1+Inputs!$D$69)*(1+Inputs!$D$70)^(BD$259-1)</f>
        <v>-28328.6815780967</v>
      </c>
      <c r="BE289" s="66" t="n">
        <f aca="false">-BE279*Inputs!$D$29/12*1*(1+Inputs!$D$69)*(1+Inputs!$D$70)^(BE$259-1)</f>
        <v>-28328.6815780967</v>
      </c>
      <c r="BF289" s="66" t="n">
        <f aca="false">-BF279*Inputs!$D$29/12*1*(1+Inputs!$D$69)*(1+Inputs!$D$70)^(BF$259-1)</f>
        <v>-28328.6815780967</v>
      </c>
      <c r="BG289" s="66" t="n">
        <f aca="false">-BG279*Inputs!$D$29/12*1*(1+Inputs!$D$69)*(1+Inputs!$D$70)^(BG$259-1)</f>
        <v>-28328.6815780967</v>
      </c>
      <c r="BH289" s="66" t="n">
        <f aca="false">-BH279*Inputs!$D$29/12*1*(1+Inputs!$D$69)*(1+Inputs!$D$70)^(BH$259-1)</f>
        <v>-28328.6815780967</v>
      </c>
      <c r="BI289" s="66" t="n">
        <f aca="false">-BI279*Inputs!$D$29/12*1*(1+Inputs!$D$69)*(1+Inputs!$D$70)^(BI$259-1)</f>
        <v>-28328.6815780967</v>
      </c>
      <c r="BJ289" s="66" t="n">
        <f aca="false">-BJ279*Inputs!$D$29/12*1*(1+Inputs!$D$69)*(1+Inputs!$D$70)^(BJ$259-1)</f>
        <v>-28328.6815780967</v>
      </c>
    </row>
    <row r="290" customFormat="false" ht="15" hidden="false" customHeight="false" outlineLevel="0" collapsed="false">
      <c r="A290" s="6" t="s">
        <v>433</v>
      </c>
      <c r="C290" s="66" t="n">
        <f aca="false">-C269*Inputs!$D$32*Inputs!$D$13*1*(1+Inputs!$D$34)^(C$259-1)</f>
        <v>-1197</v>
      </c>
      <c r="D290" s="66" t="n">
        <f aca="false">-D269*Inputs!$D$32*Inputs!$D$13*1*(1+Inputs!$D$34)^(D$259-1)</f>
        <v>-1542.8</v>
      </c>
      <c r="E290" s="66" t="n">
        <f aca="false">-E269*Inputs!$D$32*Inputs!$D$13*1*(1+Inputs!$D$34)^(E$259-1)</f>
        <v>-1888.6</v>
      </c>
      <c r="F290" s="66" t="n">
        <f aca="false">-F269*Inputs!$D$32*Inputs!$D$13*1*(1+Inputs!$D$34)^(F$259-1)</f>
        <v>-2234.4</v>
      </c>
      <c r="G290" s="66" t="n">
        <f aca="false">-G269*Inputs!$D$32*Inputs!$D$13*1*(1+Inputs!$D$34)^(G$259-1)</f>
        <v>-2580.2</v>
      </c>
      <c r="H290" s="66" t="n">
        <f aca="false">-H269*Inputs!$D$32*Inputs!$D$13*1*(1+Inputs!$D$34)^(H$259-1)</f>
        <v>-2926</v>
      </c>
      <c r="I290" s="66" t="n">
        <f aca="false">-I269*Inputs!$D$32*Inputs!$D$13*1*(1+Inputs!$D$34)^(I$259-1)</f>
        <v>-3271.8</v>
      </c>
      <c r="J290" s="66" t="n">
        <f aca="false">-J269*Inputs!$D$32*Inputs!$D$13*1*(1+Inputs!$D$34)^(J$259-1)</f>
        <v>-3617.6</v>
      </c>
      <c r="K290" s="66" t="n">
        <f aca="false">-K269*Inputs!$D$32*Inputs!$D$13*1*(1+Inputs!$D$34)^(K$259-1)</f>
        <v>-3963.4</v>
      </c>
      <c r="L290" s="66" t="n">
        <f aca="false">-L269*Inputs!$D$32*Inputs!$D$13*1*(1+Inputs!$D$34)^(L$259-1)</f>
        <v>-4309.2</v>
      </c>
      <c r="M290" s="66" t="n">
        <f aca="false">-M269*Inputs!$D$32*Inputs!$D$13*1*(1+Inputs!$D$34)^(M$259-1)</f>
        <v>-4309.2</v>
      </c>
      <c r="N290" s="66" t="n">
        <f aca="false">-N269*Inputs!$D$32*Inputs!$D$13*1*(1+Inputs!$D$34)^(N$259-1)</f>
        <v>-4309.2</v>
      </c>
      <c r="O290" s="66" t="n">
        <f aca="false">-O269*Inputs!$D$32*Inputs!$D$13*1*(1+Inputs!$D$34)^(O$259-1)</f>
        <v>-4438.476</v>
      </c>
      <c r="P290" s="66" t="n">
        <f aca="false">-P269*Inputs!$D$32*Inputs!$D$13*1*(1+Inputs!$D$34)^(P$259-1)</f>
        <v>-4438.476</v>
      </c>
      <c r="Q290" s="66" t="n">
        <f aca="false">-Q269*Inputs!$D$32*Inputs!$D$13*1*(1+Inputs!$D$34)^(Q$259-1)</f>
        <v>-4438.476</v>
      </c>
      <c r="R290" s="66" t="n">
        <f aca="false">-R269*Inputs!$D$32*Inputs!$D$13*1*(1+Inputs!$D$34)^(R$259-1)</f>
        <v>-4438.476</v>
      </c>
      <c r="S290" s="66" t="n">
        <f aca="false">-S269*Inputs!$D$32*Inputs!$D$13*1*(1+Inputs!$D$34)^(S$259-1)</f>
        <v>-4438.476</v>
      </c>
      <c r="T290" s="66" t="n">
        <f aca="false">-T269*Inputs!$D$32*Inputs!$D$13*1*(1+Inputs!$D$34)^(T$259-1)</f>
        <v>-4438.476</v>
      </c>
      <c r="U290" s="66" t="n">
        <f aca="false">-U269*Inputs!$D$32*Inputs!$D$13*1*(1+Inputs!$D$34)^(U$259-1)</f>
        <v>-4438.476</v>
      </c>
      <c r="V290" s="66" t="n">
        <f aca="false">-V269*Inputs!$D$32*Inputs!$D$13*1*(1+Inputs!$D$34)^(V$259-1)</f>
        <v>-4438.476</v>
      </c>
      <c r="W290" s="66" t="n">
        <f aca="false">-W269*Inputs!$D$32*Inputs!$D$13*1*(1+Inputs!$D$34)^(W$259-1)</f>
        <v>-4438.476</v>
      </c>
      <c r="X290" s="66" t="n">
        <f aca="false">-X269*Inputs!$D$32*Inputs!$D$13*1*(1+Inputs!$D$34)^(X$259-1)</f>
        <v>-4438.476</v>
      </c>
      <c r="Y290" s="66" t="n">
        <f aca="false">-Y269*Inputs!$D$32*Inputs!$D$13*1*(1+Inputs!$D$34)^(Y$259-1)</f>
        <v>-4438.476</v>
      </c>
      <c r="Z290" s="66" t="n">
        <f aca="false">-Z269*Inputs!$D$32*Inputs!$D$13*1*(1+Inputs!$D$34)^(Z$259-1)</f>
        <v>-4438.476</v>
      </c>
      <c r="AA290" s="66" t="n">
        <f aca="false">-AA269*Inputs!$D$32*Inputs!$D$13*1*(1+Inputs!$D$34)^(AA$259-1)</f>
        <v>-4571.63028</v>
      </c>
      <c r="AB290" s="66" t="n">
        <f aca="false">-AB269*Inputs!$D$32*Inputs!$D$13*1*(1+Inputs!$D$34)^(AB$259-1)</f>
        <v>-4571.63028</v>
      </c>
      <c r="AC290" s="66" t="n">
        <f aca="false">-AC269*Inputs!$D$32*Inputs!$D$13*1*(1+Inputs!$D$34)^(AC$259-1)</f>
        <v>-4571.63028</v>
      </c>
      <c r="AD290" s="66" t="n">
        <f aca="false">-AD269*Inputs!$D$32*Inputs!$D$13*1*(1+Inputs!$D$34)^(AD$259-1)</f>
        <v>-4571.63028</v>
      </c>
      <c r="AE290" s="66" t="n">
        <f aca="false">-AE269*Inputs!$D$32*Inputs!$D$13*1*(1+Inputs!$D$34)^(AE$259-1)</f>
        <v>-4571.63028</v>
      </c>
      <c r="AF290" s="66" t="n">
        <f aca="false">-AF269*Inputs!$D$32*Inputs!$D$13*1*(1+Inputs!$D$34)^(AF$259-1)</f>
        <v>-4571.63028</v>
      </c>
      <c r="AG290" s="66" t="n">
        <f aca="false">-AG269*Inputs!$D$32*Inputs!$D$13*1*(1+Inputs!$D$34)^(AG$259-1)</f>
        <v>-4571.63028</v>
      </c>
      <c r="AH290" s="66" t="n">
        <f aca="false">-AH269*Inputs!$D$32*Inputs!$D$13*1*(1+Inputs!$D$34)^(AH$259-1)</f>
        <v>-4571.63028</v>
      </c>
      <c r="AI290" s="66" t="n">
        <f aca="false">-AI269*Inputs!$D$32*Inputs!$D$13*1*(1+Inputs!$D$34)^(AI$259-1)</f>
        <v>-4571.63028</v>
      </c>
      <c r="AJ290" s="66" t="n">
        <f aca="false">-AJ269*Inputs!$D$32*Inputs!$D$13*1*(1+Inputs!$D$34)^(AJ$259-1)</f>
        <v>-4571.63028</v>
      </c>
      <c r="AK290" s="66" t="n">
        <f aca="false">-AK269*Inputs!$D$32*Inputs!$D$13*1*(1+Inputs!$D$34)^(AK$259-1)</f>
        <v>-4571.63028</v>
      </c>
      <c r="AL290" s="66" t="n">
        <f aca="false">-AL269*Inputs!$D$32*Inputs!$D$13*1*(1+Inputs!$D$34)^(AL$259-1)</f>
        <v>-4571.63028</v>
      </c>
      <c r="AM290" s="66" t="n">
        <f aca="false">-AM269*Inputs!$D$32*Inputs!$D$13*1*(1+Inputs!$D$34)^(AM$259-1)</f>
        <v>-4708.7791884</v>
      </c>
      <c r="AN290" s="66" t="n">
        <f aca="false">-AN269*Inputs!$D$32*Inputs!$D$13*1*(1+Inputs!$D$34)^(AN$259-1)</f>
        <v>-4708.7791884</v>
      </c>
      <c r="AO290" s="66" t="n">
        <f aca="false">-AO269*Inputs!$D$32*Inputs!$D$13*1*(1+Inputs!$D$34)^(AO$259-1)</f>
        <v>-4708.7791884</v>
      </c>
      <c r="AP290" s="66" t="n">
        <f aca="false">-AP269*Inputs!$D$32*Inputs!$D$13*1*(1+Inputs!$D$34)^(AP$259-1)</f>
        <v>-4708.7791884</v>
      </c>
      <c r="AQ290" s="66" t="n">
        <f aca="false">-AQ269*Inputs!$D$32*Inputs!$D$13*1*(1+Inputs!$D$34)^(AQ$259-1)</f>
        <v>-4708.7791884</v>
      </c>
      <c r="AR290" s="66" t="n">
        <f aca="false">-AR269*Inputs!$D$32*Inputs!$D$13*1*(1+Inputs!$D$34)^(AR$259-1)</f>
        <v>-4708.7791884</v>
      </c>
      <c r="AS290" s="66" t="n">
        <f aca="false">-AS269*Inputs!$D$32*Inputs!$D$13*1*(1+Inputs!$D$34)^(AS$259-1)</f>
        <v>-4708.7791884</v>
      </c>
      <c r="AT290" s="66" t="n">
        <f aca="false">-AT269*Inputs!$D$32*Inputs!$D$13*1*(1+Inputs!$D$34)^(AT$259-1)</f>
        <v>-4708.7791884</v>
      </c>
      <c r="AU290" s="66" t="n">
        <f aca="false">-AU269*Inputs!$D$32*Inputs!$D$13*1*(1+Inputs!$D$34)^(AU$259-1)</f>
        <v>-4708.7791884</v>
      </c>
      <c r="AV290" s="66" t="n">
        <f aca="false">-AV269*Inputs!$D$32*Inputs!$D$13*1*(1+Inputs!$D$34)^(AV$259-1)</f>
        <v>-4708.7791884</v>
      </c>
      <c r="AW290" s="66" t="n">
        <f aca="false">-AW269*Inputs!$D$32*Inputs!$D$13*1*(1+Inputs!$D$34)^(AW$259-1)</f>
        <v>-4708.7791884</v>
      </c>
      <c r="AX290" s="66" t="n">
        <f aca="false">-AX269*Inputs!$D$32*Inputs!$D$13*1*(1+Inputs!$D$34)^(AX$259-1)</f>
        <v>-4708.7791884</v>
      </c>
      <c r="AY290" s="66" t="n">
        <f aca="false">-AY269*Inputs!$D$32*Inputs!$D$13*1*(1+Inputs!$D$34)^(AY$259-1)</f>
        <v>-4850.042564052</v>
      </c>
      <c r="AZ290" s="66" t="n">
        <f aca="false">-AZ269*Inputs!$D$32*Inputs!$D$13*1*(1+Inputs!$D$34)^(AZ$259-1)</f>
        <v>-4850.042564052</v>
      </c>
      <c r="BA290" s="66" t="n">
        <f aca="false">-BA269*Inputs!$D$32*Inputs!$D$13*1*(1+Inputs!$D$34)^(BA$259-1)</f>
        <v>-4850.042564052</v>
      </c>
      <c r="BB290" s="66" t="n">
        <f aca="false">-BB269*Inputs!$D$32*Inputs!$D$13*1*(1+Inputs!$D$34)^(BB$259-1)</f>
        <v>-4850.042564052</v>
      </c>
      <c r="BC290" s="66" t="n">
        <f aca="false">-BC269*Inputs!$D$32*Inputs!$D$13*1*(1+Inputs!$D$34)^(BC$259-1)</f>
        <v>-4850.042564052</v>
      </c>
      <c r="BD290" s="66" t="n">
        <f aca="false">-BD269*Inputs!$D$32*Inputs!$D$13*1*(1+Inputs!$D$34)^(BD$259-1)</f>
        <v>-4850.042564052</v>
      </c>
      <c r="BE290" s="66" t="n">
        <f aca="false">-BE269*Inputs!$D$32*Inputs!$D$13*1*(1+Inputs!$D$34)^(BE$259-1)</f>
        <v>-4850.042564052</v>
      </c>
      <c r="BF290" s="66" t="n">
        <f aca="false">-BF269*Inputs!$D$32*Inputs!$D$13*1*(1+Inputs!$D$34)^(BF$259-1)</f>
        <v>-4850.042564052</v>
      </c>
      <c r="BG290" s="66" t="n">
        <f aca="false">-BG269*Inputs!$D$32*Inputs!$D$13*1*(1+Inputs!$D$34)^(BG$259-1)</f>
        <v>-4850.042564052</v>
      </c>
      <c r="BH290" s="66" t="n">
        <f aca="false">-BH269*Inputs!$D$32*Inputs!$D$13*1*(1+Inputs!$D$34)^(BH$259-1)</f>
        <v>-4850.042564052</v>
      </c>
      <c r="BI290" s="66" t="n">
        <f aca="false">-BI269*Inputs!$D$32*Inputs!$D$13*1*(1+Inputs!$D$34)^(BI$259-1)</f>
        <v>-4850.042564052</v>
      </c>
      <c r="BJ290" s="66" t="n">
        <f aca="false">-BJ269*Inputs!$D$32*Inputs!$D$13*1*(1+Inputs!$D$34)^(BJ$259-1)</f>
        <v>-4850.042564052</v>
      </c>
    </row>
    <row r="291" customFormat="false" ht="15" hidden="false" customHeight="false" outlineLevel="0" collapsed="false">
      <c r="A291" s="6" t="s">
        <v>434</v>
      </c>
      <c r="C291" s="66" t="n">
        <f aca="false">-C269*Inputs!$D$33*1*(1+Inputs!$D$34)^(C$259-1)</f>
        <v>-405</v>
      </c>
      <c r="D291" s="66" t="n">
        <f aca="false">-D269*Inputs!$D$33*1*(1+Inputs!$D$34)^(D$259-1)</f>
        <v>-522</v>
      </c>
      <c r="E291" s="66" t="n">
        <f aca="false">-E269*Inputs!$D$33*1*(1+Inputs!$D$34)^(E$259-1)</f>
        <v>-639</v>
      </c>
      <c r="F291" s="66" t="n">
        <f aca="false">-F269*Inputs!$D$33*1*(1+Inputs!$D$34)^(F$259-1)</f>
        <v>-756</v>
      </c>
      <c r="G291" s="66" t="n">
        <f aca="false">-G269*Inputs!$D$33*1*(1+Inputs!$D$34)^(G$259-1)</f>
        <v>-873</v>
      </c>
      <c r="H291" s="66" t="n">
        <f aca="false">-H269*Inputs!$D$33*1*(1+Inputs!$D$34)^(H$259-1)</f>
        <v>-990</v>
      </c>
      <c r="I291" s="66" t="n">
        <f aca="false">-I269*Inputs!$D$33*1*(1+Inputs!$D$34)^(I$259-1)</f>
        <v>-1107</v>
      </c>
      <c r="J291" s="66" t="n">
        <f aca="false">-J269*Inputs!$D$33*1*(1+Inputs!$D$34)^(J$259-1)</f>
        <v>-1224</v>
      </c>
      <c r="K291" s="66" t="n">
        <f aca="false">-K269*Inputs!$D$33*1*(1+Inputs!$D$34)^(K$259-1)</f>
        <v>-1341</v>
      </c>
      <c r="L291" s="66" t="n">
        <f aca="false">-L269*Inputs!$D$33*1*(1+Inputs!$D$34)^(L$259-1)</f>
        <v>-1458</v>
      </c>
      <c r="M291" s="66" t="n">
        <f aca="false">-M269*Inputs!$D$33*1*(1+Inputs!$D$34)^(M$259-1)</f>
        <v>-1458</v>
      </c>
      <c r="N291" s="66" t="n">
        <f aca="false">-N269*Inputs!$D$33*1*(1+Inputs!$D$34)^(N$259-1)</f>
        <v>-1458</v>
      </c>
      <c r="O291" s="66" t="n">
        <f aca="false">-O269*Inputs!$D$33*1*(1+Inputs!$D$34)^(O$259-1)</f>
        <v>-1501.74</v>
      </c>
      <c r="P291" s="66" t="n">
        <f aca="false">-P269*Inputs!$D$33*1*(1+Inputs!$D$34)^(P$259-1)</f>
        <v>-1501.74</v>
      </c>
      <c r="Q291" s="66" t="n">
        <f aca="false">-Q269*Inputs!$D$33*1*(1+Inputs!$D$34)^(Q$259-1)</f>
        <v>-1501.74</v>
      </c>
      <c r="R291" s="66" t="n">
        <f aca="false">-R269*Inputs!$D$33*1*(1+Inputs!$D$34)^(R$259-1)</f>
        <v>-1501.74</v>
      </c>
      <c r="S291" s="66" t="n">
        <f aca="false">-S269*Inputs!$D$33*1*(1+Inputs!$D$34)^(S$259-1)</f>
        <v>-1501.74</v>
      </c>
      <c r="T291" s="66" t="n">
        <f aca="false">-T269*Inputs!$D$33*1*(1+Inputs!$D$34)^(T$259-1)</f>
        <v>-1501.74</v>
      </c>
      <c r="U291" s="66" t="n">
        <f aca="false">-U269*Inputs!$D$33*1*(1+Inputs!$D$34)^(U$259-1)</f>
        <v>-1501.74</v>
      </c>
      <c r="V291" s="66" t="n">
        <f aca="false">-V269*Inputs!$D$33*1*(1+Inputs!$D$34)^(V$259-1)</f>
        <v>-1501.74</v>
      </c>
      <c r="W291" s="66" t="n">
        <f aca="false">-W269*Inputs!$D$33*1*(1+Inputs!$D$34)^(W$259-1)</f>
        <v>-1501.74</v>
      </c>
      <c r="X291" s="66" t="n">
        <f aca="false">-X269*Inputs!$D$33*1*(1+Inputs!$D$34)^(X$259-1)</f>
        <v>-1501.74</v>
      </c>
      <c r="Y291" s="66" t="n">
        <f aca="false">-Y269*Inputs!$D$33*1*(1+Inputs!$D$34)^(Y$259-1)</f>
        <v>-1501.74</v>
      </c>
      <c r="Z291" s="66" t="n">
        <f aca="false">-Z269*Inputs!$D$33*1*(1+Inputs!$D$34)^(Z$259-1)</f>
        <v>-1501.74</v>
      </c>
      <c r="AA291" s="66" t="n">
        <f aca="false">-AA269*Inputs!$D$33*1*(1+Inputs!$D$34)^(AA$259-1)</f>
        <v>-1546.7922</v>
      </c>
      <c r="AB291" s="66" t="n">
        <f aca="false">-AB269*Inputs!$D$33*1*(1+Inputs!$D$34)^(AB$259-1)</f>
        <v>-1546.7922</v>
      </c>
      <c r="AC291" s="66" t="n">
        <f aca="false">-AC269*Inputs!$D$33*1*(1+Inputs!$D$34)^(AC$259-1)</f>
        <v>-1546.7922</v>
      </c>
      <c r="AD291" s="66" t="n">
        <f aca="false">-AD269*Inputs!$D$33*1*(1+Inputs!$D$34)^(AD$259-1)</f>
        <v>-1546.7922</v>
      </c>
      <c r="AE291" s="66" t="n">
        <f aca="false">-AE269*Inputs!$D$33*1*(1+Inputs!$D$34)^(AE$259-1)</f>
        <v>-1546.7922</v>
      </c>
      <c r="AF291" s="66" t="n">
        <f aca="false">-AF269*Inputs!$D$33*1*(1+Inputs!$D$34)^(AF$259-1)</f>
        <v>-1546.7922</v>
      </c>
      <c r="AG291" s="66" t="n">
        <f aca="false">-AG269*Inputs!$D$33*1*(1+Inputs!$D$34)^(AG$259-1)</f>
        <v>-1546.7922</v>
      </c>
      <c r="AH291" s="66" t="n">
        <f aca="false">-AH269*Inputs!$D$33*1*(1+Inputs!$D$34)^(AH$259-1)</f>
        <v>-1546.7922</v>
      </c>
      <c r="AI291" s="66" t="n">
        <f aca="false">-AI269*Inputs!$D$33*1*(1+Inputs!$D$34)^(AI$259-1)</f>
        <v>-1546.7922</v>
      </c>
      <c r="AJ291" s="66" t="n">
        <f aca="false">-AJ269*Inputs!$D$33*1*(1+Inputs!$D$34)^(AJ$259-1)</f>
        <v>-1546.7922</v>
      </c>
      <c r="AK291" s="66" t="n">
        <f aca="false">-AK269*Inputs!$D$33*1*(1+Inputs!$D$34)^(AK$259-1)</f>
        <v>-1546.7922</v>
      </c>
      <c r="AL291" s="66" t="n">
        <f aca="false">-AL269*Inputs!$D$33*1*(1+Inputs!$D$34)^(AL$259-1)</f>
        <v>-1546.7922</v>
      </c>
      <c r="AM291" s="66" t="n">
        <f aca="false">-AM269*Inputs!$D$33*1*(1+Inputs!$D$34)^(AM$259-1)</f>
        <v>-1593.195966</v>
      </c>
      <c r="AN291" s="66" t="n">
        <f aca="false">-AN269*Inputs!$D$33*1*(1+Inputs!$D$34)^(AN$259-1)</f>
        <v>-1593.195966</v>
      </c>
      <c r="AO291" s="66" t="n">
        <f aca="false">-AO269*Inputs!$D$33*1*(1+Inputs!$D$34)^(AO$259-1)</f>
        <v>-1593.195966</v>
      </c>
      <c r="AP291" s="66" t="n">
        <f aca="false">-AP269*Inputs!$D$33*1*(1+Inputs!$D$34)^(AP$259-1)</f>
        <v>-1593.195966</v>
      </c>
      <c r="AQ291" s="66" t="n">
        <f aca="false">-AQ269*Inputs!$D$33*1*(1+Inputs!$D$34)^(AQ$259-1)</f>
        <v>-1593.195966</v>
      </c>
      <c r="AR291" s="66" t="n">
        <f aca="false">-AR269*Inputs!$D$33*1*(1+Inputs!$D$34)^(AR$259-1)</f>
        <v>-1593.195966</v>
      </c>
      <c r="AS291" s="66" t="n">
        <f aca="false">-AS269*Inputs!$D$33*1*(1+Inputs!$D$34)^(AS$259-1)</f>
        <v>-1593.195966</v>
      </c>
      <c r="AT291" s="66" t="n">
        <f aca="false">-AT269*Inputs!$D$33*1*(1+Inputs!$D$34)^(AT$259-1)</f>
        <v>-1593.195966</v>
      </c>
      <c r="AU291" s="66" t="n">
        <f aca="false">-AU269*Inputs!$D$33*1*(1+Inputs!$D$34)^(AU$259-1)</f>
        <v>-1593.195966</v>
      </c>
      <c r="AV291" s="66" t="n">
        <f aca="false">-AV269*Inputs!$D$33*1*(1+Inputs!$D$34)^(AV$259-1)</f>
        <v>-1593.195966</v>
      </c>
      <c r="AW291" s="66" t="n">
        <f aca="false">-AW269*Inputs!$D$33*1*(1+Inputs!$D$34)^(AW$259-1)</f>
        <v>-1593.195966</v>
      </c>
      <c r="AX291" s="66" t="n">
        <f aca="false">-AX269*Inputs!$D$33*1*(1+Inputs!$D$34)^(AX$259-1)</f>
        <v>-1593.195966</v>
      </c>
      <c r="AY291" s="66" t="n">
        <f aca="false">-AY269*Inputs!$D$33*1*(1+Inputs!$D$34)^(AY$259-1)</f>
        <v>-1640.99184498</v>
      </c>
      <c r="AZ291" s="66" t="n">
        <f aca="false">-AZ269*Inputs!$D$33*1*(1+Inputs!$D$34)^(AZ$259-1)</f>
        <v>-1640.99184498</v>
      </c>
      <c r="BA291" s="66" t="n">
        <f aca="false">-BA269*Inputs!$D$33*1*(1+Inputs!$D$34)^(BA$259-1)</f>
        <v>-1640.99184498</v>
      </c>
      <c r="BB291" s="66" t="n">
        <f aca="false">-BB269*Inputs!$D$33*1*(1+Inputs!$D$34)^(BB$259-1)</f>
        <v>-1640.99184498</v>
      </c>
      <c r="BC291" s="66" t="n">
        <f aca="false">-BC269*Inputs!$D$33*1*(1+Inputs!$D$34)^(BC$259-1)</f>
        <v>-1640.99184498</v>
      </c>
      <c r="BD291" s="66" t="n">
        <f aca="false">-BD269*Inputs!$D$33*1*(1+Inputs!$D$34)^(BD$259-1)</f>
        <v>-1640.99184498</v>
      </c>
      <c r="BE291" s="66" t="n">
        <f aca="false">-BE269*Inputs!$D$33*1*(1+Inputs!$D$34)^(BE$259-1)</f>
        <v>-1640.99184498</v>
      </c>
      <c r="BF291" s="66" t="n">
        <f aca="false">-BF269*Inputs!$D$33*1*(1+Inputs!$D$34)^(BF$259-1)</f>
        <v>-1640.99184498</v>
      </c>
      <c r="BG291" s="66" t="n">
        <f aca="false">-BG269*Inputs!$D$33*1*(1+Inputs!$D$34)^(BG$259-1)</f>
        <v>-1640.99184498</v>
      </c>
      <c r="BH291" s="66" t="n">
        <f aca="false">-BH269*Inputs!$D$33*1*(1+Inputs!$D$34)^(BH$259-1)</f>
        <v>-1640.99184498</v>
      </c>
      <c r="BI291" s="66" t="n">
        <f aca="false">-BI269*Inputs!$D$33*1*(1+Inputs!$D$34)^(BI$259-1)</f>
        <v>-1640.99184498</v>
      </c>
      <c r="BJ291" s="66" t="n">
        <f aca="false">-BJ269*Inputs!$D$33*1*(1+Inputs!$D$34)^(BJ$259-1)</f>
        <v>-1640.99184498</v>
      </c>
    </row>
    <row r="292" customFormat="false" ht="15" hidden="false" customHeight="false" outlineLevel="0" collapsed="false">
      <c r="A292" s="4" t="s">
        <v>75</v>
      </c>
      <c r="C292" s="72" t="n">
        <f aca="false">C289+C290+C291</f>
        <v>-8793.33333333333</v>
      </c>
      <c r="D292" s="72" t="n">
        <f aca="false">D289+D290+D291</f>
        <v>-16447.4666666667</v>
      </c>
      <c r="E292" s="72" t="n">
        <f aca="false">E289+E290+E291</f>
        <v>-16910.2666666667</v>
      </c>
      <c r="F292" s="72" t="n">
        <f aca="false">F289+F290+F291</f>
        <v>-17373.0666666667</v>
      </c>
      <c r="G292" s="72" t="n">
        <f aca="false">G289+G290+G291</f>
        <v>-17835.8666666667</v>
      </c>
      <c r="H292" s="72" t="n">
        <f aca="false">H289+H290+H291</f>
        <v>-21894.3333333333</v>
      </c>
      <c r="I292" s="72" t="n">
        <f aca="false">I289+I290+I291</f>
        <v>-25952.8</v>
      </c>
      <c r="J292" s="72" t="n">
        <f aca="false">J289+J290+J291</f>
        <v>-26415.6</v>
      </c>
      <c r="K292" s="72" t="n">
        <f aca="false">K289+K290+K291</f>
        <v>-26878.4</v>
      </c>
      <c r="L292" s="72" t="n">
        <f aca="false">L289+L290+L291</f>
        <v>-30936.8666666667</v>
      </c>
      <c r="M292" s="72" t="n">
        <f aca="false">M289+M290+M291</f>
        <v>-30936.8666666667</v>
      </c>
      <c r="N292" s="72" t="n">
        <f aca="false">N289+N290+N291</f>
        <v>-30936.8666666667</v>
      </c>
      <c r="O292" s="72" t="n">
        <f aca="false">O289+O290+O291</f>
        <v>-31864.9726666667</v>
      </c>
      <c r="P292" s="72" t="n">
        <f aca="false">P289+P290+P291</f>
        <v>-31864.9726666667</v>
      </c>
      <c r="Q292" s="72" t="n">
        <f aca="false">Q289+Q290+Q291</f>
        <v>-31864.9726666667</v>
      </c>
      <c r="R292" s="72" t="n">
        <f aca="false">R289+R290+R291</f>
        <v>-31864.9726666667</v>
      </c>
      <c r="S292" s="72" t="n">
        <f aca="false">S289+S290+S291</f>
        <v>-31864.9726666667</v>
      </c>
      <c r="T292" s="72" t="n">
        <f aca="false">T289+T290+T291</f>
        <v>-31864.9726666667</v>
      </c>
      <c r="U292" s="72" t="n">
        <f aca="false">U289+U290+U291</f>
        <v>-31864.9726666667</v>
      </c>
      <c r="V292" s="72" t="n">
        <f aca="false">V289+V290+V291</f>
        <v>-31864.9726666667</v>
      </c>
      <c r="W292" s="72" t="n">
        <f aca="false">W289+W290+W291</f>
        <v>-31864.9726666667</v>
      </c>
      <c r="X292" s="72" t="n">
        <f aca="false">X289+X290+X291</f>
        <v>-31864.9726666667</v>
      </c>
      <c r="Y292" s="72" t="n">
        <f aca="false">Y289+Y290+Y291</f>
        <v>-31864.9726666667</v>
      </c>
      <c r="Z292" s="72" t="n">
        <f aca="false">Z289+Z290+Z291</f>
        <v>-31864.9726666667</v>
      </c>
      <c r="AA292" s="72" t="n">
        <f aca="false">AA289+AA290+AA291</f>
        <v>-32820.9218466667</v>
      </c>
      <c r="AB292" s="72" t="n">
        <f aca="false">AB289+AB290+AB291</f>
        <v>-32820.9218466667</v>
      </c>
      <c r="AC292" s="72" t="n">
        <f aca="false">AC289+AC290+AC291</f>
        <v>-32820.9218466667</v>
      </c>
      <c r="AD292" s="72" t="n">
        <f aca="false">AD289+AD290+AD291</f>
        <v>-32820.9218466667</v>
      </c>
      <c r="AE292" s="72" t="n">
        <f aca="false">AE289+AE290+AE291</f>
        <v>-32820.9218466667</v>
      </c>
      <c r="AF292" s="72" t="n">
        <f aca="false">AF289+AF290+AF291</f>
        <v>-32820.9218466667</v>
      </c>
      <c r="AG292" s="72" t="n">
        <f aca="false">AG289+AG290+AG291</f>
        <v>-32820.9218466667</v>
      </c>
      <c r="AH292" s="72" t="n">
        <f aca="false">AH289+AH290+AH291</f>
        <v>-32820.9218466667</v>
      </c>
      <c r="AI292" s="72" t="n">
        <f aca="false">AI289+AI290+AI291</f>
        <v>-32820.9218466667</v>
      </c>
      <c r="AJ292" s="72" t="n">
        <f aca="false">AJ289+AJ290+AJ291</f>
        <v>-32820.9218466667</v>
      </c>
      <c r="AK292" s="72" t="n">
        <f aca="false">AK289+AK290+AK291</f>
        <v>-32820.9218466667</v>
      </c>
      <c r="AL292" s="72" t="n">
        <f aca="false">AL289+AL290+AL291</f>
        <v>-32820.9218466667</v>
      </c>
      <c r="AM292" s="72" t="n">
        <f aca="false">AM289+AM290+AM291</f>
        <v>-33805.5495020667</v>
      </c>
      <c r="AN292" s="72" t="n">
        <f aca="false">AN289+AN290+AN291</f>
        <v>-33805.5495020667</v>
      </c>
      <c r="AO292" s="72" t="n">
        <f aca="false">AO289+AO290+AO291</f>
        <v>-33805.5495020667</v>
      </c>
      <c r="AP292" s="72" t="n">
        <f aca="false">AP289+AP290+AP291</f>
        <v>-33805.5495020667</v>
      </c>
      <c r="AQ292" s="72" t="n">
        <f aca="false">AQ289+AQ290+AQ291</f>
        <v>-33805.5495020667</v>
      </c>
      <c r="AR292" s="72" t="n">
        <f aca="false">AR289+AR290+AR291</f>
        <v>-33805.5495020667</v>
      </c>
      <c r="AS292" s="72" t="n">
        <f aca="false">AS289+AS290+AS291</f>
        <v>-33805.5495020667</v>
      </c>
      <c r="AT292" s="72" t="n">
        <f aca="false">AT289+AT290+AT291</f>
        <v>-33805.5495020667</v>
      </c>
      <c r="AU292" s="72" t="n">
        <f aca="false">AU289+AU290+AU291</f>
        <v>-33805.5495020667</v>
      </c>
      <c r="AV292" s="72" t="n">
        <f aca="false">AV289+AV290+AV291</f>
        <v>-33805.5495020667</v>
      </c>
      <c r="AW292" s="72" t="n">
        <f aca="false">AW289+AW290+AW291</f>
        <v>-33805.5495020667</v>
      </c>
      <c r="AX292" s="72" t="n">
        <f aca="false">AX289+AX290+AX291</f>
        <v>-33805.5495020667</v>
      </c>
      <c r="AY292" s="72" t="n">
        <f aca="false">AY289+AY290+AY291</f>
        <v>-34819.7159871287</v>
      </c>
      <c r="AZ292" s="72" t="n">
        <f aca="false">AZ289+AZ290+AZ291</f>
        <v>-34819.7159871287</v>
      </c>
      <c r="BA292" s="72" t="n">
        <f aca="false">BA289+BA290+BA291</f>
        <v>-34819.7159871287</v>
      </c>
      <c r="BB292" s="72" t="n">
        <f aca="false">BB289+BB290+BB291</f>
        <v>-34819.7159871287</v>
      </c>
      <c r="BC292" s="72" t="n">
        <f aca="false">BC289+BC290+BC291</f>
        <v>-34819.7159871287</v>
      </c>
      <c r="BD292" s="72" t="n">
        <f aca="false">BD289+BD290+BD291</f>
        <v>-34819.7159871287</v>
      </c>
      <c r="BE292" s="72" t="n">
        <f aca="false">BE289+BE290+BE291</f>
        <v>-34819.7159871287</v>
      </c>
      <c r="BF292" s="72" t="n">
        <f aca="false">BF289+BF290+BF291</f>
        <v>-34819.7159871287</v>
      </c>
      <c r="BG292" s="72" t="n">
        <f aca="false">BG289+BG290+BG291</f>
        <v>-34819.7159871287</v>
      </c>
      <c r="BH292" s="72" t="n">
        <f aca="false">BH289+BH290+BH291</f>
        <v>-34819.7159871287</v>
      </c>
      <c r="BI292" s="72" t="n">
        <f aca="false">BI289+BI290+BI291</f>
        <v>-34819.7159871287</v>
      </c>
      <c r="BJ292" s="72" t="n">
        <f aca="false">BJ289+BJ290+BJ291</f>
        <v>-34819.7159871287</v>
      </c>
    </row>
    <row r="293" customFormat="false" ht="15" hidden="false" customHeight="false" outlineLevel="0" collapsed="false">
      <c r="A293" s="110" t="s">
        <v>45</v>
      </c>
      <c r="C293" s="67" t="n">
        <f aca="false">C286+C292</f>
        <v>12648.5166666667</v>
      </c>
      <c r="D293" s="67" t="n">
        <f aca="false">D286+D292</f>
        <v>8188.69555555556</v>
      </c>
      <c r="E293" s="67" t="n">
        <f aca="false">E286+E292</f>
        <v>13053.5411111111</v>
      </c>
      <c r="F293" s="67" t="n">
        <f aca="false">F286+F292</f>
        <v>17918.3866666667</v>
      </c>
      <c r="G293" s="67" t="n">
        <f aca="false">G286+G292</f>
        <v>22783.2322222222</v>
      </c>
      <c r="H293" s="67" t="n">
        <f aca="false">H286+H292</f>
        <v>24052.4111111111</v>
      </c>
      <c r="I293" s="67" t="n">
        <f aca="false">I286+I292</f>
        <v>25321.59</v>
      </c>
      <c r="J293" s="67" t="n">
        <f aca="false">J286+J292</f>
        <v>30186.4355555556</v>
      </c>
      <c r="K293" s="67" t="n">
        <f aca="false">K286+K292</f>
        <v>35051.2811111111</v>
      </c>
      <c r="L293" s="67" t="n">
        <f aca="false">L286+L292</f>
        <v>36320.46</v>
      </c>
      <c r="M293" s="67" t="n">
        <f aca="false">M286+M292</f>
        <v>35453.7933333333</v>
      </c>
      <c r="N293" s="67" t="n">
        <f aca="false">N286+N292</f>
        <v>35453.7933333333</v>
      </c>
      <c r="O293" s="67" t="n">
        <f aca="false">O286+O292</f>
        <v>37181.3137333333</v>
      </c>
      <c r="P293" s="67" t="n">
        <f aca="false">P286+P292</f>
        <v>37181.3137333333</v>
      </c>
      <c r="Q293" s="67" t="n">
        <f aca="false">Q286+Q292</f>
        <v>37181.3137333333</v>
      </c>
      <c r="R293" s="67" t="n">
        <f aca="false">R286+R292</f>
        <v>37181.3137333333</v>
      </c>
      <c r="S293" s="67" t="n">
        <f aca="false">S286+S292</f>
        <v>37181.3137333333</v>
      </c>
      <c r="T293" s="67" t="n">
        <f aca="false">T286+T292</f>
        <v>37181.3137333333</v>
      </c>
      <c r="U293" s="67" t="n">
        <f aca="false">U286+U292</f>
        <v>37181.3137333333</v>
      </c>
      <c r="V293" s="67" t="n">
        <f aca="false">V286+V292</f>
        <v>37181.3137333333</v>
      </c>
      <c r="W293" s="67" t="n">
        <f aca="false">W286+W292</f>
        <v>37181.3137333333</v>
      </c>
      <c r="X293" s="67" t="n">
        <f aca="false">X286+X292</f>
        <v>37181.3137333333</v>
      </c>
      <c r="Y293" s="67" t="n">
        <f aca="false">Y286+Y292</f>
        <v>37181.3137333333</v>
      </c>
      <c r="Z293" s="67" t="n">
        <f aca="false">Z286+Z292</f>
        <v>37181.3137333333</v>
      </c>
      <c r="AA293" s="67" t="n">
        <f aca="false">AA286+AA292</f>
        <v>38987.2160093333</v>
      </c>
      <c r="AB293" s="67" t="n">
        <f aca="false">AB286+AB292</f>
        <v>38987.2160093333</v>
      </c>
      <c r="AC293" s="67" t="n">
        <f aca="false">AC286+AC292</f>
        <v>38987.2160093333</v>
      </c>
      <c r="AD293" s="67" t="n">
        <f aca="false">AD286+AD292</f>
        <v>38987.2160093333</v>
      </c>
      <c r="AE293" s="67" t="n">
        <f aca="false">AE286+AE292</f>
        <v>38987.2160093333</v>
      </c>
      <c r="AF293" s="67" t="n">
        <f aca="false">AF286+AF292</f>
        <v>38987.2160093333</v>
      </c>
      <c r="AG293" s="67" t="n">
        <f aca="false">AG286+AG292</f>
        <v>38987.2160093333</v>
      </c>
      <c r="AH293" s="67" t="n">
        <f aca="false">AH286+AH292</f>
        <v>38987.2160093333</v>
      </c>
      <c r="AI293" s="67" t="n">
        <f aca="false">AI286+AI292</f>
        <v>38987.2160093333</v>
      </c>
      <c r="AJ293" s="67" t="n">
        <f aca="false">AJ286+AJ292</f>
        <v>38987.2160093333</v>
      </c>
      <c r="AK293" s="67" t="n">
        <f aca="false">AK286+AK292</f>
        <v>38987.2160093333</v>
      </c>
      <c r="AL293" s="67" t="n">
        <f aca="false">AL286+AL292</f>
        <v>38987.2160093333</v>
      </c>
      <c r="AM293" s="67" t="n">
        <f aca="false">AM286+AM292</f>
        <v>40874.9138681733</v>
      </c>
      <c r="AN293" s="67" t="n">
        <f aca="false">AN286+AN292</f>
        <v>40874.9138681733</v>
      </c>
      <c r="AO293" s="67" t="n">
        <f aca="false">AO286+AO292</f>
        <v>40874.9138681733</v>
      </c>
      <c r="AP293" s="67" t="n">
        <f aca="false">AP286+AP292</f>
        <v>40874.9138681733</v>
      </c>
      <c r="AQ293" s="67" t="n">
        <f aca="false">AQ286+AQ292</f>
        <v>40874.9138681733</v>
      </c>
      <c r="AR293" s="67" t="n">
        <f aca="false">AR286+AR292</f>
        <v>40874.9138681733</v>
      </c>
      <c r="AS293" s="67" t="n">
        <f aca="false">AS286+AS292</f>
        <v>40874.9138681733</v>
      </c>
      <c r="AT293" s="67" t="n">
        <f aca="false">AT286+AT292</f>
        <v>40874.9138681733</v>
      </c>
      <c r="AU293" s="67" t="n">
        <f aca="false">AU286+AU292</f>
        <v>40874.9138681733</v>
      </c>
      <c r="AV293" s="67" t="n">
        <f aca="false">AV286+AV292</f>
        <v>40874.9138681733</v>
      </c>
      <c r="AW293" s="67" t="n">
        <f aca="false">AW286+AW292</f>
        <v>40874.9138681733</v>
      </c>
      <c r="AX293" s="67" t="n">
        <f aca="false">AX286+AX292</f>
        <v>40874.9138681733</v>
      </c>
      <c r="AY293" s="67" t="n">
        <f aca="false">AY286+AY292</f>
        <v>42847.9659179209</v>
      </c>
      <c r="AZ293" s="67" t="n">
        <f aca="false">AZ286+AZ292</f>
        <v>42847.9659179209</v>
      </c>
      <c r="BA293" s="67" t="n">
        <f aca="false">BA286+BA292</f>
        <v>42847.9659179209</v>
      </c>
      <c r="BB293" s="67" t="n">
        <f aca="false">BB286+BB292</f>
        <v>42847.9659179209</v>
      </c>
      <c r="BC293" s="67" t="n">
        <f aca="false">BC286+BC292</f>
        <v>42847.9659179209</v>
      </c>
      <c r="BD293" s="67" t="n">
        <f aca="false">BD286+BD292</f>
        <v>42847.9659179209</v>
      </c>
      <c r="BE293" s="67" t="n">
        <f aca="false">BE286+BE292</f>
        <v>42847.9659179209</v>
      </c>
      <c r="BF293" s="67" t="n">
        <f aca="false">BF286+BF292</f>
        <v>42847.9659179209</v>
      </c>
      <c r="BG293" s="67" t="n">
        <f aca="false">BG286+BG292</f>
        <v>42847.9659179209</v>
      </c>
      <c r="BH293" s="67" t="n">
        <f aca="false">BH286+BH292</f>
        <v>42847.9659179209</v>
      </c>
      <c r="BI293" s="67" t="n">
        <f aca="false">BI286+BI292</f>
        <v>42847.9659179209</v>
      </c>
      <c r="BJ293" s="67" t="n">
        <f aca="false">BJ286+BJ292</f>
        <v>42847.9659179209</v>
      </c>
    </row>
    <row r="295" customFormat="false" ht="15.75" hidden="false" customHeight="true" outlineLevel="0" collapsed="false">
      <c r="A295" s="7" t="s">
        <v>47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6" t="s">
        <v>338</v>
      </c>
      <c r="C296" s="66" t="n">
        <f aca="false">C379</f>
        <v>-9146.66666666667</v>
      </c>
      <c r="D296" s="66" t="n">
        <f aca="false">D379</f>
        <v>-9146.66666666667</v>
      </c>
      <c r="E296" s="66" t="n">
        <f aca="false">E379</f>
        <v>-9146.66666666667</v>
      </c>
      <c r="F296" s="66" t="n">
        <f aca="false">F379</f>
        <v>-9146.66666666667</v>
      </c>
      <c r="G296" s="66" t="n">
        <f aca="false">G379</f>
        <v>-9146.66666666667</v>
      </c>
      <c r="H296" s="66" t="n">
        <f aca="false">H379</f>
        <v>-9146.66666666667</v>
      </c>
      <c r="I296" s="66" t="n">
        <f aca="false">I379</f>
        <v>-9146.66666666667</v>
      </c>
      <c r="J296" s="66" t="n">
        <f aca="false">J379</f>
        <v>-9146.66666666667</v>
      </c>
      <c r="K296" s="66" t="n">
        <f aca="false">K379</f>
        <v>-9146.66666666667</v>
      </c>
      <c r="L296" s="66" t="n">
        <f aca="false">L379</f>
        <v>-9146.66666666667</v>
      </c>
      <c r="M296" s="66" t="n">
        <f aca="false">M379</f>
        <v>-9146.66666666667</v>
      </c>
      <c r="N296" s="66" t="n">
        <f aca="false">N379</f>
        <v>-9146.66666666667</v>
      </c>
      <c r="O296" s="66" t="n">
        <f aca="false">O379</f>
        <v>-9421.06666666667</v>
      </c>
      <c r="P296" s="66" t="n">
        <f aca="false">P379</f>
        <v>-9421.06666666667</v>
      </c>
      <c r="Q296" s="66" t="n">
        <f aca="false">Q379</f>
        <v>-9421.06666666667</v>
      </c>
      <c r="R296" s="66" t="n">
        <f aca="false">R379</f>
        <v>-9421.06666666667</v>
      </c>
      <c r="S296" s="66" t="n">
        <f aca="false">S379</f>
        <v>-9421.06666666667</v>
      </c>
      <c r="T296" s="66" t="n">
        <f aca="false">T379</f>
        <v>-9421.06666666667</v>
      </c>
      <c r="U296" s="66" t="n">
        <f aca="false">U379</f>
        <v>-9421.06666666667</v>
      </c>
      <c r="V296" s="66" t="n">
        <f aca="false">V379</f>
        <v>-9421.06666666667</v>
      </c>
      <c r="W296" s="66" t="n">
        <f aca="false">W379</f>
        <v>-9421.06666666667</v>
      </c>
      <c r="X296" s="66" t="n">
        <f aca="false">X379</f>
        <v>-9421.06666666667</v>
      </c>
      <c r="Y296" s="66" t="n">
        <f aca="false">Y379</f>
        <v>-9421.06666666667</v>
      </c>
      <c r="Z296" s="66" t="n">
        <f aca="false">Z379</f>
        <v>-9421.06666666667</v>
      </c>
      <c r="AA296" s="66" t="n">
        <f aca="false">AA379</f>
        <v>-9703.69866666667</v>
      </c>
      <c r="AB296" s="66" t="n">
        <f aca="false">AB379</f>
        <v>-9703.69866666667</v>
      </c>
      <c r="AC296" s="66" t="n">
        <f aca="false">AC379</f>
        <v>-9703.69866666667</v>
      </c>
      <c r="AD296" s="66" t="n">
        <f aca="false">AD379</f>
        <v>-9703.69866666667</v>
      </c>
      <c r="AE296" s="66" t="n">
        <f aca="false">AE379</f>
        <v>-9703.69866666667</v>
      </c>
      <c r="AF296" s="66" t="n">
        <f aca="false">AF379</f>
        <v>-9703.69866666667</v>
      </c>
      <c r="AG296" s="66" t="n">
        <f aca="false">AG379</f>
        <v>-9703.69866666667</v>
      </c>
      <c r="AH296" s="66" t="n">
        <f aca="false">AH379</f>
        <v>-9703.69866666667</v>
      </c>
      <c r="AI296" s="66" t="n">
        <f aca="false">AI379</f>
        <v>-9703.69866666667</v>
      </c>
      <c r="AJ296" s="66" t="n">
        <f aca="false">AJ379</f>
        <v>-9703.69866666667</v>
      </c>
      <c r="AK296" s="66" t="n">
        <f aca="false">AK379</f>
        <v>-9703.69866666667</v>
      </c>
      <c r="AL296" s="66" t="n">
        <f aca="false">AL379</f>
        <v>-9703.69866666667</v>
      </c>
      <c r="AM296" s="66" t="n">
        <f aca="false">AM379</f>
        <v>-9994.80962666667</v>
      </c>
      <c r="AN296" s="66" t="n">
        <f aca="false">AN379</f>
        <v>-9994.80962666667</v>
      </c>
      <c r="AO296" s="66" t="n">
        <f aca="false">AO379</f>
        <v>-9994.80962666667</v>
      </c>
      <c r="AP296" s="66" t="n">
        <f aca="false">AP379</f>
        <v>-9994.80962666667</v>
      </c>
      <c r="AQ296" s="66" t="n">
        <f aca="false">AQ379</f>
        <v>-9994.80962666667</v>
      </c>
      <c r="AR296" s="66" t="n">
        <f aca="false">AR379</f>
        <v>-9994.80962666667</v>
      </c>
      <c r="AS296" s="66" t="n">
        <f aca="false">AS379</f>
        <v>-9994.80962666667</v>
      </c>
      <c r="AT296" s="66" t="n">
        <f aca="false">AT379</f>
        <v>-9994.80962666667</v>
      </c>
      <c r="AU296" s="66" t="n">
        <f aca="false">AU379</f>
        <v>-9994.80962666667</v>
      </c>
      <c r="AV296" s="66" t="n">
        <f aca="false">AV379</f>
        <v>-9994.80962666667</v>
      </c>
      <c r="AW296" s="66" t="n">
        <f aca="false">AW379</f>
        <v>-9994.80962666667</v>
      </c>
      <c r="AX296" s="66" t="n">
        <f aca="false">AX379</f>
        <v>-9994.80962666667</v>
      </c>
      <c r="AY296" s="66" t="n">
        <f aca="false">AY379</f>
        <v>-10294.6539154667</v>
      </c>
      <c r="AZ296" s="66" t="n">
        <f aca="false">AZ379</f>
        <v>-10294.6539154667</v>
      </c>
      <c r="BA296" s="66" t="n">
        <f aca="false">BA379</f>
        <v>-10294.6539154667</v>
      </c>
      <c r="BB296" s="66" t="n">
        <f aca="false">BB379</f>
        <v>-10294.6539154667</v>
      </c>
      <c r="BC296" s="66" t="n">
        <f aca="false">BC379</f>
        <v>-10294.6539154667</v>
      </c>
      <c r="BD296" s="66" t="n">
        <f aca="false">BD379</f>
        <v>-10294.6539154667</v>
      </c>
      <c r="BE296" s="66" t="n">
        <f aca="false">BE379</f>
        <v>-10294.6539154667</v>
      </c>
      <c r="BF296" s="66" t="n">
        <f aca="false">BF379</f>
        <v>-10294.6539154667</v>
      </c>
      <c r="BG296" s="66" t="n">
        <f aca="false">BG379</f>
        <v>-10294.6539154667</v>
      </c>
      <c r="BH296" s="66" t="n">
        <f aca="false">BH379</f>
        <v>-10294.6539154667</v>
      </c>
      <c r="BI296" s="66" t="n">
        <f aca="false">BI379</f>
        <v>-10294.6539154667</v>
      </c>
      <c r="BJ296" s="66" t="n">
        <f aca="false">BJ379</f>
        <v>-10294.6539154667</v>
      </c>
    </row>
    <row r="297" customFormat="false" ht="15" hidden="false" customHeight="false" outlineLevel="0" collapsed="false">
      <c r="A297" s="6" t="s">
        <v>339</v>
      </c>
      <c r="C297" s="66" t="n">
        <f aca="false">-C262*Inputs!$D$37*Inputs!$D$38/12*(1+Inputs!$D$39)^(C$259-1)*1</f>
        <v>-5625</v>
      </c>
      <c r="D297" s="66" t="n">
        <f aca="false">-D262*Inputs!$D$37*Inputs!$D$38/12*(1+Inputs!$D$39)^(D$259-1)*1</f>
        <v>-5625</v>
      </c>
      <c r="E297" s="66" t="n">
        <f aca="false">-E262*Inputs!$D$37*Inputs!$D$38/12*(1+Inputs!$D$39)^(E$259-1)*1</f>
        <v>-5625</v>
      </c>
      <c r="F297" s="66" t="n">
        <f aca="false">-F262*Inputs!$D$37*Inputs!$D$38/12*(1+Inputs!$D$39)^(F$259-1)*1</f>
        <v>-5625</v>
      </c>
      <c r="G297" s="66" t="n">
        <f aca="false">-G262*Inputs!$D$37*Inputs!$D$38/12*(1+Inputs!$D$39)^(G$259-1)*1</f>
        <v>-5625</v>
      </c>
      <c r="H297" s="66" t="n">
        <f aca="false">-H262*Inputs!$D$37*Inputs!$D$38/12*(1+Inputs!$D$39)^(H$259-1)*1</f>
        <v>-5625</v>
      </c>
      <c r="I297" s="66" t="n">
        <f aca="false">-I262*Inputs!$D$37*Inputs!$D$38/12*(1+Inputs!$D$39)^(I$259-1)*1</f>
        <v>-5625</v>
      </c>
      <c r="J297" s="66" t="n">
        <f aca="false">-J262*Inputs!$D$37*Inputs!$D$38/12*(1+Inputs!$D$39)^(J$259-1)*1</f>
        <v>-5625</v>
      </c>
      <c r="K297" s="66" t="n">
        <f aca="false">-K262*Inputs!$D$37*Inputs!$D$38/12*(1+Inputs!$D$39)^(K$259-1)*1</f>
        <v>-5625</v>
      </c>
      <c r="L297" s="66" t="n">
        <f aca="false">-L262*Inputs!$D$37*Inputs!$D$38/12*(1+Inputs!$D$39)^(L$259-1)*1</f>
        <v>-5625</v>
      </c>
      <c r="M297" s="66" t="n">
        <f aca="false">-M262*Inputs!$D$37*Inputs!$D$38/12*(1+Inputs!$D$39)^(M$259-1)*1</f>
        <v>-5625</v>
      </c>
      <c r="N297" s="66" t="n">
        <f aca="false">-N262*Inputs!$D$37*Inputs!$D$38/12*(1+Inputs!$D$39)^(N$259-1)*1</f>
        <v>-5625</v>
      </c>
      <c r="O297" s="66" t="n">
        <f aca="false">-O262*Inputs!$D$37*Inputs!$D$38/12*(1+Inputs!$D$39)^(O$259-1)*1</f>
        <v>-5793.75</v>
      </c>
      <c r="P297" s="66" t="n">
        <f aca="false">-P262*Inputs!$D$37*Inputs!$D$38/12*(1+Inputs!$D$39)^(P$259-1)*1</f>
        <v>-5793.75</v>
      </c>
      <c r="Q297" s="66" t="n">
        <f aca="false">-Q262*Inputs!$D$37*Inputs!$D$38/12*(1+Inputs!$D$39)^(Q$259-1)*1</f>
        <v>-5793.75</v>
      </c>
      <c r="R297" s="66" t="n">
        <f aca="false">-R262*Inputs!$D$37*Inputs!$D$38/12*(1+Inputs!$D$39)^(R$259-1)*1</f>
        <v>-5793.75</v>
      </c>
      <c r="S297" s="66" t="n">
        <f aca="false">-S262*Inputs!$D$37*Inputs!$D$38/12*(1+Inputs!$D$39)^(S$259-1)*1</f>
        <v>-5793.75</v>
      </c>
      <c r="T297" s="66" t="n">
        <f aca="false">-T262*Inputs!$D$37*Inputs!$D$38/12*(1+Inputs!$D$39)^(T$259-1)*1</f>
        <v>-5793.75</v>
      </c>
      <c r="U297" s="66" t="n">
        <f aca="false">-U262*Inputs!$D$37*Inputs!$D$38/12*(1+Inputs!$D$39)^(U$259-1)*1</f>
        <v>-5793.75</v>
      </c>
      <c r="V297" s="66" t="n">
        <f aca="false">-V262*Inputs!$D$37*Inputs!$D$38/12*(1+Inputs!$D$39)^(V$259-1)*1</f>
        <v>-5793.75</v>
      </c>
      <c r="W297" s="66" t="n">
        <f aca="false">-W262*Inputs!$D$37*Inputs!$D$38/12*(1+Inputs!$D$39)^(W$259-1)*1</f>
        <v>-5793.75</v>
      </c>
      <c r="X297" s="66" t="n">
        <f aca="false">-X262*Inputs!$D$37*Inputs!$D$38/12*(1+Inputs!$D$39)^(X$259-1)*1</f>
        <v>-5793.75</v>
      </c>
      <c r="Y297" s="66" t="n">
        <f aca="false">-Y262*Inputs!$D$37*Inputs!$D$38/12*(1+Inputs!$D$39)^(Y$259-1)*1</f>
        <v>-5793.75</v>
      </c>
      <c r="Z297" s="66" t="n">
        <f aca="false">-Z262*Inputs!$D$37*Inputs!$D$38/12*(1+Inputs!$D$39)^(Z$259-1)*1</f>
        <v>-5793.75</v>
      </c>
      <c r="AA297" s="66" t="n">
        <f aca="false">-AA262*Inputs!$D$37*Inputs!$D$38/12*(1+Inputs!$D$39)^(AA$259-1)*1</f>
        <v>-5967.5625</v>
      </c>
      <c r="AB297" s="66" t="n">
        <f aca="false">-AB262*Inputs!$D$37*Inputs!$D$38/12*(1+Inputs!$D$39)^(AB$259-1)*1</f>
        <v>-5967.5625</v>
      </c>
      <c r="AC297" s="66" t="n">
        <f aca="false">-AC262*Inputs!$D$37*Inputs!$D$38/12*(1+Inputs!$D$39)^(AC$259-1)*1</f>
        <v>-5967.5625</v>
      </c>
      <c r="AD297" s="66" t="n">
        <f aca="false">-AD262*Inputs!$D$37*Inputs!$D$38/12*(1+Inputs!$D$39)^(AD$259-1)*1</f>
        <v>-5967.5625</v>
      </c>
      <c r="AE297" s="66" t="n">
        <f aca="false">-AE262*Inputs!$D$37*Inputs!$D$38/12*(1+Inputs!$D$39)^(AE$259-1)*1</f>
        <v>-5967.5625</v>
      </c>
      <c r="AF297" s="66" t="n">
        <f aca="false">-AF262*Inputs!$D$37*Inputs!$D$38/12*(1+Inputs!$D$39)^(AF$259-1)*1</f>
        <v>-5967.5625</v>
      </c>
      <c r="AG297" s="66" t="n">
        <f aca="false">-AG262*Inputs!$D$37*Inputs!$D$38/12*(1+Inputs!$D$39)^(AG$259-1)*1</f>
        <v>-5967.5625</v>
      </c>
      <c r="AH297" s="66" t="n">
        <f aca="false">-AH262*Inputs!$D$37*Inputs!$D$38/12*(1+Inputs!$D$39)^(AH$259-1)*1</f>
        <v>-5967.5625</v>
      </c>
      <c r="AI297" s="66" t="n">
        <f aca="false">-AI262*Inputs!$D$37*Inputs!$D$38/12*(1+Inputs!$D$39)^(AI$259-1)*1</f>
        <v>-5967.5625</v>
      </c>
      <c r="AJ297" s="66" t="n">
        <f aca="false">-AJ262*Inputs!$D$37*Inputs!$D$38/12*(1+Inputs!$D$39)^(AJ$259-1)*1</f>
        <v>-5967.5625</v>
      </c>
      <c r="AK297" s="66" t="n">
        <f aca="false">-AK262*Inputs!$D$37*Inputs!$D$38/12*(1+Inputs!$D$39)^(AK$259-1)*1</f>
        <v>-5967.5625</v>
      </c>
      <c r="AL297" s="66" t="n">
        <f aca="false">-AL262*Inputs!$D$37*Inputs!$D$38/12*(1+Inputs!$D$39)^(AL$259-1)*1</f>
        <v>-5967.5625</v>
      </c>
      <c r="AM297" s="66" t="n">
        <f aca="false">-AM262*Inputs!$D$37*Inputs!$D$38/12*(1+Inputs!$D$39)^(AM$259-1)*1</f>
        <v>-6146.589375</v>
      </c>
      <c r="AN297" s="66" t="n">
        <f aca="false">-AN262*Inputs!$D$37*Inputs!$D$38/12*(1+Inputs!$D$39)^(AN$259-1)*1</f>
        <v>-6146.589375</v>
      </c>
      <c r="AO297" s="66" t="n">
        <f aca="false">-AO262*Inputs!$D$37*Inputs!$D$38/12*(1+Inputs!$D$39)^(AO$259-1)*1</f>
        <v>-6146.589375</v>
      </c>
      <c r="AP297" s="66" t="n">
        <f aca="false">-AP262*Inputs!$D$37*Inputs!$D$38/12*(1+Inputs!$D$39)^(AP$259-1)*1</f>
        <v>-6146.589375</v>
      </c>
      <c r="AQ297" s="66" t="n">
        <f aca="false">-AQ262*Inputs!$D$37*Inputs!$D$38/12*(1+Inputs!$D$39)^(AQ$259-1)*1</f>
        <v>-6146.589375</v>
      </c>
      <c r="AR297" s="66" t="n">
        <f aca="false">-AR262*Inputs!$D$37*Inputs!$D$38/12*(1+Inputs!$D$39)^(AR$259-1)*1</f>
        <v>-6146.589375</v>
      </c>
      <c r="AS297" s="66" t="n">
        <f aca="false">-AS262*Inputs!$D$37*Inputs!$D$38/12*(1+Inputs!$D$39)^(AS$259-1)*1</f>
        <v>-6146.589375</v>
      </c>
      <c r="AT297" s="66" t="n">
        <f aca="false">-AT262*Inputs!$D$37*Inputs!$D$38/12*(1+Inputs!$D$39)^(AT$259-1)*1</f>
        <v>-6146.589375</v>
      </c>
      <c r="AU297" s="66" t="n">
        <f aca="false">-AU262*Inputs!$D$37*Inputs!$D$38/12*(1+Inputs!$D$39)^(AU$259-1)*1</f>
        <v>-6146.589375</v>
      </c>
      <c r="AV297" s="66" t="n">
        <f aca="false">-AV262*Inputs!$D$37*Inputs!$D$38/12*(1+Inputs!$D$39)^(AV$259-1)*1</f>
        <v>-6146.589375</v>
      </c>
      <c r="AW297" s="66" t="n">
        <f aca="false">-AW262*Inputs!$D$37*Inputs!$D$38/12*(1+Inputs!$D$39)^(AW$259-1)*1</f>
        <v>-6146.589375</v>
      </c>
      <c r="AX297" s="66" t="n">
        <f aca="false">-AX262*Inputs!$D$37*Inputs!$D$38/12*(1+Inputs!$D$39)^(AX$259-1)*1</f>
        <v>-6146.589375</v>
      </c>
      <c r="AY297" s="66" t="n">
        <f aca="false">-AY262*Inputs!$D$37*Inputs!$D$38/12*(1+Inputs!$D$39)^(AY$259-1)*1</f>
        <v>-6330.98705625</v>
      </c>
      <c r="AZ297" s="66" t="n">
        <f aca="false">-AZ262*Inputs!$D$37*Inputs!$D$38/12*(1+Inputs!$D$39)^(AZ$259-1)*1</f>
        <v>-6330.98705625</v>
      </c>
      <c r="BA297" s="66" t="n">
        <f aca="false">-BA262*Inputs!$D$37*Inputs!$D$38/12*(1+Inputs!$D$39)^(BA$259-1)*1</f>
        <v>-6330.98705625</v>
      </c>
      <c r="BB297" s="66" t="n">
        <f aca="false">-BB262*Inputs!$D$37*Inputs!$D$38/12*(1+Inputs!$D$39)^(BB$259-1)*1</f>
        <v>-6330.98705625</v>
      </c>
      <c r="BC297" s="66" t="n">
        <f aca="false">-BC262*Inputs!$D$37*Inputs!$D$38/12*(1+Inputs!$D$39)^(BC$259-1)*1</f>
        <v>-6330.98705625</v>
      </c>
      <c r="BD297" s="66" t="n">
        <f aca="false">-BD262*Inputs!$D$37*Inputs!$D$38/12*(1+Inputs!$D$39)^(BD$259-1)*1</f>
        <v>-6330.98705625</v>
      </c>
      <c r="BE297" s="66" t="n">
        <f aca="false">-BE262*Inputs!$D$37*Inputs!$D$38/12*(1+Inputs!$D$39)^(BE$259-1)*1</f>
        <v>-6330.98705625</v>
      </c>
      <c r="BF297" s="66" t="n">
        <f aca="false">-BF262*Inputs!$D$37*Inputs!$D$38/12*(1+Inputs!$D$39)^(BF$259-1)*1</f>
        <v>-6330.98705625</v>
      </c>
      <c r="BG297" s="66" t="n">
        <f aca="false">-BG262*Inputs!$D$37*Inputs!$D$38/12*(1+Inputs!$D$39)^(BG$259-1)*1</f>
        <v>-6330.98705625</v>
      </c>
      <c r="BH297" s="66" t="n">
        <f aca="false">-BH262*Inputs!$D$37*Inputs!$D$38/12*(1+Inputs!$D$39)^(BH$259-1)*1</f>
        <v>-6330.98705625</v>
      </c>
      <c r="BI297" s="66" t="n">
        <f aca="false">-BI262*Inputs!$D$37*Inputs!$D$38/12*(1+Inputs!$D$39)^(BI$259-1)*1</f>
        <v>-6330.98705625</v>
      </c>
      <c r="BJ297" s="66" t="n">
        <f aca="false">-BJ262*Inputs!$D$37*Inputs!$D$38/12*(1+Inputs!$D$39)^(BJ$259-1)*1</f>
        <v>-6330.98705625</v>
      </c>
    </row>
    <row r="298" customFormat="false" ht="15" hidden="false" customHeight="false" outlineLevel="0" collapsed="false">
      <c r="A298" s="6" t="s">
        <v>340</v>
      </c>
      <c r="C298" s="66" t="n">
        <f aca="false">-C262*Inputs!$D$37*Inputs!$D$40/12*(1+Inputs!$D$34)^(C$259-1)*1</f>
        <v>-2325</v>
      </c>
      <c r="D298" s="66" t="n">
        <f aca="false">-D262*Inputs!$D$37*Inputs!$D$40/12*(1+Inputs!$D$34)^(D$259-1)*1</f>
        <v>-2325</v>
      </c>
      <c r="E298" s="66" t="n">
        <f aca="false">-E262*Inputs!$D$37*Inputs!$D$40/12*(1+Inputs!$D$34)^(E$259-1)*1</f>
        <v>-2325</v>
      </c>
      <c r="F298" s="66" t="n">
        <f aca="false">-F262*Inputs!$D$37*Inputs!$D$40/12*(1+Inputs!$D$34)^(F$259-1)*1</f>
        <v>-2325</v>
      </c>
      <c r="G298" s="66" t="n">
        <f aca="false">-G262*Inputs!$D$37*Inputs!$D$40/12*(1+Inputs!$D$34)^(G$259-1)*1</f>
        <v>-2325</v>
      </c>
      <c r="H298" s="66" t="n">
        <f aca="false">-H262*Inputs!$D$37*Inputs!$D$40/12*(1+Inputs!$D$34)^(H$259-1)*1</f>
        <v>-2325</v>
      </c>
      <c r="I298" s="66" t="n">
        <f aca="false">-I262*Inputs!$D$37*Inputs!$D$40/12*(1+Inputs!$D$34)^(I$259-1)*1</f>
        <v>-2325</v>
      </c>
      <c r="J298" s="66" t="n">
        <f aca="false">-J262*Inputs!$D$37*Inputs!$D$40/12*(1+Inputs!$D$34)^(J$259-1)*1</f>
        <v>-2325</v>
      </c>
      <c r="K298" s="66" t="n">
        <f aca="false">-K262*Inputs!$D$37*Inputs!$D$40/12*(1+Inputs!$D$34)^(K$259-1)*1</f>
        <v>-2325</v>
      </c>
      <c r="L298" s="66" t="n">
        <f aca="false">-L262*Inputs!$D$37*Inputs!$D$40/12*(1+Inputs!$D$34)^(L$259-1)*1</f>
        <v>-2325</v>
      </c>
      <c r="M298" s="66" t="n">
        <f aca="false">-M262*Inputs!$D$37*Inputs!$D$40/12*(1+Inputs!$D$34)^(M$259-1)*1</f>
        <v>-2325</v>
      </c>
      <c r="N298" s="66" t="n">
        <f aca="false">-N262*Inputs!$D$37*Inputs!$D$40/12*(1+Inputs!$D$34)^(N$259-1)*1</f>
        <v>-2325</v>
      </c>
      <c r="O298" s="66" t="n">
        <f aca="false">-O262*Inputs!$D$37*Inputs!$D$40/12*(1+Inputs!$D$34)^(O$259-1)*1</f>
        <v>-2394.75</v>
      </c>
      <c r="P298" s="66" t="n">
        <f aca="false">-P262*Inputs!$D$37*Inputs!$D$40/12*(1+Inputs!$D$34)^(P$259-1)*1</f>
        <v>-2394.75</v>
      </c>
      <c r="Q298" s="66" t="n">
        <f aca="false">-Q262*Inputs!$D$37*Inputs!$D$40/12*(1+Inputs!$D$34)^(Q$259-1)*1</f>
        <v>-2394.75</v>
      </c>
      <c r="R298" s="66" t="n">
        <f aca="false">-R262*Inputs!$D$37*Inputs!$D$40/12*(1+Inputs!$D$34)^(R$259-1)*1</f>
        <v>-2394.75</v>
      </c>
      <c r="S298" s="66" t="n">
        <f aca="false">-S262*Inputs!$D$37*Inputs!$D$40/12*(1+Inputs!$D$34)^(S$259-1)*1</f>
        <v>-2394.75</v>
      </c>
      <c r="T298" s="66" t="n">
        <f aca="false">-T262*Inputs!$D$37*Inputs!$D$40/12*(1+Inputs!$D$34)^(T$259-1)*1</f>
        <v>-2394.75</v>
      </c>
      <c r="U298" s="66" t="n">
        <f aca="false">-U262*Inputs!$D$37*Inputs!$D$40/12*(1+Inputs!$D$34)^(U$259-1)*1</f>
        <v>-2394.75</v>
      </c>
      <c r="V298" s="66" t="n">
        <f aca="false">-V262*Inputs!$D$37*Inputs!$D$40/12*(1+Inputs!$D$34)^(V$259-1)*1</f>
        <v>-2394.75</v>
      </c>
      <c r="W298" s="66" t="n">
        <f aca="false">-W262*Inputs!$D$37*Inputs!$D$40/12*(1+Inputs!$D$34)^(W$259-1)*1</f>
        <v>-2394.75</v>
      </c>
      <c r="X298" s="66" t="n">
        <f aca="false">-X262*Inputs!$D$37*Inputs!$D$40/12*(1+Inputs!$D$34)^(X$259-1)*1</f>
        <v>-2394.75</v>
      </c>
      <c r="Y298" s="66" t="n">
        <f aca="false">-Y262*Inputs!$D$37*Inputs!$D$40/12*(1+Inputs!$D$34)^(Y$259-1)*1</f>
        <v>-2394.75</v>
      </c>
      <c r="Z298" s="66" t="n">
        <f aca="false">-Z262*Inputs!$D$37*Inputs!$D$40/12*(1+Inputs!$D$34)^(Z$259-1)*1</f>
        <v>-2394.75</v>
      </c>
      <c r="AA298" s="66" t="n">
        <f aca="false">-AA262*Inputs!$D$37*Inputs!$D$40/12*(1+Inputs!$D$34)^(AA$259-1)*1</f>
        <v>-2466.5925</v>
      </c>
      <c r="AB298" s="66" t="n">
        <f aca="false">-AB262*Inputs!$D$37*Inputs!$D$40/12*(1+Inputs!$D$34)^(AB$259-1)*1</f>
        <v>-2466.5925</v>
      </c>
      <c r="AC298" s="66" t="n">
        <f aca="false">-AC262*Inputs!$D$37*Inputs!$D$40/12*(1+Inputs!$D$34)^(AC$259-1)*1</f>
        <v>-2466.5925</v>
      </c>
      <c r="AD298" s="66" t="n">
        <f aca="false">-AD262*Inputs!$D$37*Inputs!$D$40/12*(1+Inputs!$D$34)^(AD$259-1)*1</f>
        <v>-2466.5925</v>
      </c>
      <c r="AE298" s="66" t="n">
        <f aca="false">-AE262*Inputs!$D$37*Inputs!$D$40/12*(1+Inputs!$D$34)^(AE$259-1)*1</f>
        <v>-2466.5925</v>
      </c>
      <c r="AF298" s="66" t="n">
        <f aca="false">-AF262*Inputs!$D$37*Inputs!$D$40/12*(1+Inputs!$D$34)^(AF$259-1)*1</f>
        <v>-2466.5925</v>
      </c>
      <c r="AG298" s="66" t="n">
        <f aca="false">-AG262*Inputs!$D$37*Inputs!$D$40/12*(1+Inputs!$D$34)^(AG$259-1)*1</f>
        <v>-2466.5925</v>
      </c>
      <c r="AH298" s="66" t="n">
        <f aca="false">-AH262*Inputs!$D$37*Inputs!$D$40/12*(1+Inputs!$D$34)^(AH$259-1)*1</f>
        <v>-2466.5925</v>
      </c>
      <c r="AI298" s="66" t="n">
        <f aca="false">-AI262*Inputs!$D$37*Inputs!$D$40/12*(1+Inputs!$D$34)^(AI$259-1)*1</f>
        <v>-2466.5925</v>
      </c>
      <c r="AJ298" s="66" t="n">
        <f aca="false">-AJ262*Inputs!$D$37*Inputs!$D$40/12*(1+Inputs!$D$34)^(AJ$259-1)*1</f>
        <v>-2466.5925</v>
      </c>
      <c r="AK298" s="66" t="n">
        <f aca="false">-AK262*Inputs!$D$37*Inputs!$D$40/12*(1+Inputs!$D$34)^(AK$259-1)*1</f>
        <v>-2466.5925</v>
      </c>
      <c r="AL298" s="66" t="n">
        <f aca="false">-AL262*Inputs!$D$37*Inputs!$D$40/12*(1+Inputs!$D$34)^(AL$259-1)*1</f>
        <v>-2466.5925</v>
      </c>
      <c r="AM298" s="66" t="n">
        <f aca="false">-AM262*Inputs!$D$37*Inputs!$D$40/12*(1+Inputs!$D$34)^(AM$259-1)*1</f>
        <v>-2540.590275</v>
      </c>
      <c r="AN298" s="66" t="n">
        <f aca="false">-AN262*Inputs!$D$37*Inputs!$D$40/12*(1+Inputs!$D$34)^(AN$259-1)*1</f>
        <v>-2540.590275</v>
      </c>
      <c r="AO298" s="66" t="n">
        <f aca="false">-AO262*Inputs!$D$37*Inputs!$D$40/12*(1+Inputs!$D$34)^(AO$259-1)*1</f>
        <v>-2540.590275</v>
      </c>
      <c r="AP298" s="66" t="n">
        <f aca="false">-AP262*Inputs!$D$37*Inputs!$D$40/12*(1+Inputs!$D$34)^(AP$259-1)*1</f>
        <v>-2540.590275</v>
      </c>
      <c r="AQ298" s="66" t="n">
        <f aca="false">-AQ262*Inputs!$D$37*Inputs!$D$40/12*(1+Inputs!$D$34)^(AQ$259-1)*1</f>
        <v>-2540.590275</v>
      </c>
      <c r="AR298" s="66" t="n">
        <f aca="false">-AR262*Inputs!$D$37*Inputs!$D$40/12*(1+Inputs!$D$34)^(AR$259-1)*1</f>
        <v>-2540.590275</v>
      </c>
      <c r="AS298" s="66" t="n">
        <f aca="false">-AS262*Inputs!$D$37*Inputs!$D$40/12*(1+Inputs!$D$34)^(AS$259-1)*1</f>
        <v>-2540.590275</v>
      </c>
      <c r="AT298" s="66" t="n">
        <f aca="false">-AT262*Inputs!$D$37*Inputs!$D$40/12*(1+Inputs!$D$34)^(AT$259-1)*1</f>
        <v>-2540.590275</v>
      </c>
      <c r="AU298" s="66" t="n">
        <f aca="false">-AU262*Inputs!$D$37*Inputs!$D$40/12*(1+Inputs!$D$34)^(AU$259-1)*1</f>
        <v>-2540.590275</v>
      </c>
      <c r="AV298" s="66" t="n">
        <f aca="false">-AV262*Inputs!$D$37*Inputs!$D$40/12*(1+Inputs!$D$34)^(AV$259-1)*1</f>
        <v>-2540.590275</v>
      </c>
      <c r="AW298" s="66" t="n">
        <f aca="false">-AW262*Inputs!$D$37*Inputs!$D$40/12*(1+Inputs!$D$34)^(AW$259-1)*1</f>
        <v>-2540.590275</v>
      </c>
      <c r="AX298" s="66" t="n">
        <f aca="false">-AX262*Inputs!$D$37*Inputs!$D$40/12*(1+Inputs!$D$34)^(AX$259-1)*1</f>
        <v>-2540.590275</v>
      </c>
      <c r="AY298" s="66" t="n">
        <f aca="false">-AY262*Inputs!$D$37*Inputs!$D$40/12*(1+Inputs!$D$34)^(AY$259-1)*1</f>
        <v>-2616.80798325</v>
      </c>
      <c r="AZ298" s="66" t="n">
        <f aca="false">-AZ262*Inputs!$D$37*Inputs!$D$40/12*(1+Inputs!$D$34)^(AZ$259-1)*1</f>
        <v>-2616.80798325</v>
      </c>
      <c r="BA298" s="66" t="n">
        <f aca="false">-BA262*Inputs!$D$37*Inputs!$D$40/12*(1+Inputs!$D$34)^(BA$259-1)*1</f>
        <v>-2616.80798325</v>
      </c>
      <c r="BB298" s="66" t="n">
        <f aca="false">-BB262*Inputs!$D$37*Inputs!$D$40/12*(1+Inputs!$D$34)^(BB$259-1)*1</f>
        <v>-2616.80798325</v>
      </c>
      <c r="BC298" s="66" t="n">
        <f aca="false">-BC262*Inputs!$D$37*Inputs!$D$40/12*(1+Inputs!$D$34)^(BC$259-1)*1</f>
        <v>-2616.80798325</v>
      </c>
      <c r="BD298" s="66" t="n">
        <f aca="false">-BD262*Inputs!$D$37*Inputs!$D$40/12*(1+Inputs!$D$34)^(BD$259-1)*1</f>
        <v>-2616.80798325</v>
      </c>
      <c r="BE298" s="66" t="n">
        <f aca="false">-BE262*Inputs!$D$37*Inputs!$D$40/12*(1+Inputs!$D$34)^(BE$259-1)*1</f>
        <v>-2616.80798325</v>
      </c>
      <c r="BF298" s="66" t="n">
        <f aca="false">-BF262*Inputs!$D$37*Inputs!$D$40/12*(1+Inputs!$D$34)^(BF$259-1)*1</f>
        <v>-2616.80798325</v>
      </c>
      <c r="BG298" s="66" t="n">
        <f aca="false">-BG262*Inputs!$D$37*Inputs!$D$40/12*(1+Inputs!$D$34)^(BG$259-1)*1</f>
        <v>-2616.80798325</v>
      </c>
      <c r="BH298" s="66" t="n">
        <f aca="false">-BH262*Inputs!$D$37*Inputs!$D$40/12*(1+Inputs!$D$34)^(BH$259-1)*1</f>
        <v>-2616.80798325</v>
      </c>
      <c r="BI298" s="66" t="n">
        <f aca="false">-BI262*Inputs!$D$37*Inputs!$D$40/12*(1+Inputs!$D$34)^(BI$259-1)*1</f>
        <v>-2616.80798325</v>
      </c>
      <c r="BJ298" s="66" t="n">
        <f aca="false">-BJ262*Inputs!$D$37*Inputs!$D$40/12*(1+Inputs!$D$34)^(BJ$259-1)*1</f>
        <v>-2616.80798325</v>
      </c>
    </row>
    <row r="299" customFormat="false" ht="15" hidden="false" customHeight="false" outlineLevel="0" collapsed="false">
      <c r="A299" s="6" t="s">
        <v>341</v>
      </c>
      <c r="C299" s="66" t="n">
        <f aca="false">-Inputs!$D$41*1</f>
        <v>-1800</v>
      </c>
      <c r="D299" s="66" t="n">
        <f aca="false">-Inputs!$D$41*1</f>
        <v>-1800</v>
      </c>
      <c r="E299" s="66" t="n">
        <f aca="false">-Inputs!$D$41*1</f>
        <v>-1800</v>
      </c>
      <c r="F299" s="66" t="n">
        <f aca="false">-Inputs!$D$41*1</f>
        <v>-1800</v>
      </c>
      <c r="G299" s="66" t="n">
        <f aca="false">-Inputs!$D$41*1</f>
        <v>-1800</v>
      </c>
      <c r="H299" s="66" t="n">
        <f aca="false">-Inputs!$D$41*1</f>
        <v>-1800</v>
      </c>
      <c r="I299" s="66" t="n">
        <f aca="false">-Inputs!$D$41*1</f>
        <v>-1800</v>
      </c>
      <c r="J299" s="66" t="n">
        <f aca="false">-Inputs!$D$41*1</f>
        <v>-1800</v>
      </c>
      <c r="K299" s="66" t="n">
        <f aca="false">-Inputs!$D$41*1</f>
        <v>-1800</v>
      </c>
      <c r="L299" s="66" t="n">
        <f aca="false">-Inputs!$D$41*1</f>
        <v>-1800</v>
      </c>
      <c r="M299" s="66" t="n">
        <f aca="false">-Inputs!$D$41*1</f>
        <v>-1800</v>
      </c>
      <c r="N299" s="66" t="n">
        <f aca="false">-Inputs!$D$41*1</f>
        <v>-1800</v>
      </c>
      <c r="O299" s="66" t="n">
        <f aca="false">-Inputs!$D$41*1</f>
        <v>-1800</v>
      </c>
      <c r="P299" s="66" t="n">
        <f aca="false">-Inputs!$D$41*1</f>
        <v>-1800</v>
      </c>
      <c r="Q299" s="66" t="n">
        <f aca="false">-Inputs!$D$41*1</f>
        <v>-1800</v>
      </c>
      <c r="R299" s="66" t="n">
        <f aca="false">-Inputs!$D$41*1</f>
        <v>-1800</v>
      </c>
      <c r="S299" s="66" t="n">
        <f aca="false">-Inputs!$D$41*1</f>
        <v>-1800</v>
      </c>
      <c r="T299" s="66" t="n">
        <f aca="false">-Inputs!$D$41*1</f>
        <v>-1800</v>
      </c>
      <c r="U299" s="66" t="n">
        <f aca="false">-Inputs!$D$41*1</f>
        <v>-1800</v>
      </c>
      <c r="V299" s="66" t="n">
        <f aca="false">-Inputs!$D$41*1</f>
        <v>-1800</v>
      </c>
      <c r="W299" s="66" t="n">
        <f aca="false">-Inputs!$D$41*1</f>
        <v>-1800</v>
      </c>
      <c r="X299" s="66" t="n">
        <f aca="false">-Inputs!$D$41*1</f>
        <v>-1800</v>
      </c>
      <c r="Y299" s="66" t="n">
        <f aca="false">-Inputs!$D$41*1</f>
        <v>-1800</v>
      </c>
      <c r="Z299" s="66" t="n">
        <f aca="false">-Inputs!$D$41*1</f>
        <v>-1800</v>
      </c>
      <c r="AA299" s="66" t="n">
        <f aca="false">-Inputs!$D$41*1</f>
        <v>-1800</v>
      </c>
      <c r="AB299" s="66" t="n">
        <f aca="false">-Inputs!$D$41*1</f>
        <v>-1800</v>
      </c>
      <c r="AC299" s="66" t="n">
        <f aca="false">-Inputs!$D$41*1</f>
        <v>-1800</v>
      </c>
      <c r="AD299" s="66" t="n">
        <f aca="false">-Inputs!$D$41*1</f>
        <v>-1800</v>
      </c>
      <c r="AE299" s="66" t="n">
        <f aca="false">-Inputs!$D$41*1</f>
        <v>-1800</v>
      </c>
      <c r="AF299" s="66" t="n">
        <f aca="false">-Inputs!$D$41*1</f>
        <v>-1800</v>
      </c>
      <c r="AG299" s="66" t="n">
        <f aca="false">-Inputs!$D$41*1</f>
        <v>-1800</v>
      </c>
      <c r="AH299" s="66" t="n">
        <f aca="false">-Inputs!$D$41*1</f>
        <v>-1800</v>
      </c>
      <c r="AI299" s="66" t="n">
        <f aca="false">-Inputs!$D$41*1</f>
        <v>-1800</v>
      </c>
      <c r="AJ299" s="66" t="n">
        <f aca="false">-Inputs!$D$41*1</f>
        <v>-1800</v>
      </c>
      <c r="AK299" s="66" t="n">
        <f aca="false">-Inputs!$D$41*1</f>
        <v>-1800</v>
      </c>
      <c r="AL299" s="66" t="n">
        <f aca="false">-Inputs!$D$41*1</f>
        <v>-1800</v>
      </c>
      <c r="AM299" s="66" t="n">
        <f aca="false">-Inputs!$D$41*1</f>
        <v>-1800</v>
      </c>
      <c r="AN299" s="66" t="n">
        <f aca="false">-Inputs!$D$41*1</f>
        <v>-1800</v>
      </c>
      <c r="AO299" s="66" t="n">
        <f aca="false">-Inputs!$D$41*1</f>
        <v>-1800</v>
      </c>
      <c r="AP299" s="66" t="n">
        <f aca="false">-Inputs!$D$41*1</f>
        <v>-1800</v>
      </c>
      <c r="AQ299" s="66" t="n">
        <f aca="false">-Inputs!$D$41*1</f>
        <v>-1800</v>
      </c>
      <c r="AR299" s="66" t="n">
        <f aca="false">-Inputs!$D$41*1</f>
        <v>-1800</v>
      </c>
      <c r="AS299" s="66" t="n">
        <f aca="false">-Inputs!$D$41*1</f>
        <v>-1800</v>
      </c>
      <c r="AT299" s="66" t="n">
        <f aca="false">-Inputs!$D$41*1</f>
        <v>-1800</v>
      </c>
      <c r="AU299" s="66" t="n">
        <f aca="false">-Inputs!$D$41*1</f>
        <v>-1800</v>
      </c>
      <c r="AV299" s="66" t="n">
        <f aca="false">-Inputs!$D$41*1</f>
        <v>-1800</v>
      </c>
      <c r="AW299" s="66" t="n">
        <f aca="false">-Inputs!$D$41*1</f>
        <v>-1800</v>
      </c>
      <c r="AX299" s="66" t="n">
        <f aca="false">-Inputs!$D$41*1</f>
        <v>-1800</v>
      </c>
      <c r="AY299" s="66" t="n">
        <f aca="false">-Inputs!$D$41*1</f>
        <v>-1800</v>
      </c>
      <c r="AZ299" s="66" t="n">
        <f aca="false">-Inputs!$D$41*1</f>
        <v>-1800</v>
      </c>
      <c r="BA299" s="66" t="n">
        <f aca="false">-Inputs!$D$41*1</f>
        <v>-1800</v>
      </c>
      <c r="BB299" s="66" t="n">
        <f aca="false">-Inputs!$D$41*1</f>
        <v>-1800</v>
      </c>
      <c r="BC299" s="66" t="n">
        <f aca="false">-Inputs!$D$41*1</f>
        <v>-1800</v>
      </c>
      <c r="BD299" s="66" t="n">
        <f aca="false">-Inputs!$D$41*1</f>
        <v>-1800</v>
      </c>
      <c r="BE299" s="66" t="n">
        <f aca="false">-Inputs!$D$41*1</f>
        <v>-1800</v>
      </c>
      <c r="BF299" s="66" t="n">
        <f aca="false">-Inputs!$D$41*1</f>
        <v>-1800</v>
      </c>
      <c r="BG299" s="66" t="n">
        <f aca="false">-Inputs!$D$41*1</f>
        <v>-1800</v>
      </c>
      <c r="BH299" s="66" t="n">
        <f aca="false">-Inputs!$D$41*1</f>
        <v>-1800</v>
      </c>
      <c r="BI299" s="66" t="n">
        <f aca="false">-Inputs!$D$41*1</f>
        <v>-1800</v>
      </c>
      <c r="BJ299" s="66" t="n">
        <f aca="false">-Inputs!$D$41*1</f>
        <v>-1800</v>
      </c>
    </row>
    <row r="300" customFormat="false" ht="15" hidden="false" customHeight="false" outlineLevel="0" collapsed="false">
      <c r="A300" s="6" t="s">
        <v>342</v>
      </c>
      <c r="C300" s="66" t="n">
        <f aca="false">-Inputs!$D$42*1</f>
        <v>-600</v>
      </c>
      <c r="D300" s="66" t="n">
        <f aca="false">-Inputs!$D$42*1</f>
        <v>-600</v>
      </c>
      <c r="E300" s="66" t="n">
        <f aca="false">-Inputs!$D$42*1</f>
        <v>-600</v>
      </c>
      <c r="F300" s="66" t="n">
        <f aca="false">-Inputs!$D$42*1</f>
        <v>-600</v>
      </c>
      <c r="G300" s="66" t="n">
        <f aca="false">-Inputs!$D$42*1</f>
        <v>-600</v>
      </c>
      <c r="H300" s="66" t="n">
        <f aca="false">-Inputs!$D$42*1</f>
        <v>-600</v>
      </c>
      <c r="I300" s="66" t="n">
        <f aca="false">-Inputs!$D$42*1</f>
        <v>-600</v>
      </c>
      <c r="J300" s="66" t="n">
        <f aca="false">-Inputs!$D$42*1</f>
        <v>-600</v>
      </c>
      <c r="K300" s="66" t="n">
        <f aca="false">-Inputs!$D$42*1</f>
        <v>-600</v>
      </c>
      <c r="L300" s="66" t="n">
        <f aca="false">-Inputs!$D$42*1</f>
        <v>-600</v>
      </c>
      <c r="M300" s="66" t="n">
        <f aca="false">-Inputs!$D$42*1</f>
        <v>-600</v>
      </c>
      <c r="N300" s="66" t="n">
        <f aca="false">-Inputs!$D$42*1</f>
        <v>-600</v>
      </c>
      <c r="O300" s="66" t="n">
        <f aca="false">-Inputs!$D$42*1</f>
        <v>-600</v>
      </c>
      <c r="P300" s="66" t="n">
        <f aca="false">-Inputs!$D$42*1</f>
        <v>-600</v>
      </c>
      <c r="Q300" s="66" t="n">
        <f aca="false">-Inputs!$D$42*1</f>
        <v>-600</v>
      </c>
      <c r="R300" s="66" t="n">
        <f aca="false">-Inputs!$D$42*1</f>
        <v>-600</v>
      </c>
      <c r="S300" s="66" t="n">
        <f aca="false">-Inputs!$D$42*1</f>
        <v>-600</v>
      </c>
      <c r="T300" s="66" t="n">
        <f aca="false">-Inputs!$D$42*1</f>
        <v>-600</v>
      </c>
      <c r="U300" s="66" t="n">
        <f aca="false">-Inputs!$D$42*1</f>
        <v>-600</v>
      </c>
      <c r="V300" s="66" t="n">
        <f aca="false">-Inputs!$D$42*1</f>
        <v>-600</v>
      </c>
      <c r="W300" s="66" t="n">
        <f aca="false">-Inputs!$D$42*1</f>
        <v>-600</v>
      </c>
      <c r="X300" s="66" t="n">
        <f aca="false">-Inputs!$D$42*1</f>
        <v>-600</v>
      </c>
      <c r="Y300" s="66" t="n">
        <f aca="false">-Inputs!$D$42*1</f>
        <v>-600</v>
      </c>
      <c r="Z300" s="66" t="n">
        <f aca="false">-Inputs!$D$42*1</f>
        <v>-600</v>
      </c>
      <c r="AA300" s="66" t="n">
        <f aca="false">-Inputs!$D$42*1</f>
        <v>-600</v>
      </c>
      <c r="AB300" s="66" t="n">
        <f aca="false">-Inputs!$D$42*1</f>
        <v>-600</v>
      </c>
      <c r="AC300" s="66" t="n">
        <f aca="false">-Inputs!$D$42*1</f>
        <v>-600</v>
      </c>
      <c r="AD300" s="66" t="n">
        <f aca="false">-Inputs!$D$42*1</f>
        <v>-600</v>
      </c>
      <c r="AE300" s="66" t="n">
        <f aca="false">-Inputs!$D$42*1</f>
        <v>-600</v>
      </c>
      <c r="AF300" s="66" t="n">
        <f aca="false">-Inputs!$D$42*1</f>
        <v>-600</v>
      </c>
      <c r="AG300" s="66" t="n">
        <f aca="false">-Inputs!$D$42*1</f>
        <v>-600</v>
      </c>
      <c r="AH300" s="66" t="n">
        <f aca="false">-Inputs!$D$42*1</f>
        <v>-600</v>
      </c>
      <c r="AI300" s="66" t="n">
        <f aca="false">-Inputs!$D$42*1</f>
        <v>-600</v>
      </c>
      <c r="AJ300" s="66" t="n">
        <f aca="false">-Inputs!$D$42*1</f>
        <v>-600</v>
      </c>
      <c r="AK300" s="66" t="n">
        <f aca="false">-Inputs!$D$42*1</f>
        <v>-600</v>
      </c>
      <c r="AL300" s="66" t="n">
        <f aca="false">-Inputs!$D$42*1</f>
        <v>-600</v>
      </c>
      <c r="AM300" s="66" t="n">
        <f aca="false">-Inputs!$D$42*1</f>
        <v>-600</v>
      </c>
      <c r="AN300" s="66" t="n">
        <f aca="false">-Inputs!$D$42*1</f>
        <v>-600</v>
      </c>
      <c r="AO300" s="66" t="n">
        <f aca="false">-Inputs!$D$42*1</f>
        <v>-600</v>
      </c>
      <c r="AP300" s="66" t="n">
        <f aca="false">-Inputs!$D$42*1</f>
        <v>-600</v>
      </c>
      <c r="AQ300" s="66" t="n">
        <f aca="false">-Inputs!$D$42*1</f>
        <v>-600</v>
      </c>
      <c r="AR300" s="66" t="n">
        <f aca="false">-Inputs!$D$42*1</f>
        <v>-600</v>
      </c>
      <c r="AS300" s="66" t="n">
        <f aca="false">-Inputs!$D$42*1</f>
        <v>-600</v>
      </c>
      <c r="AT300" s="66" t="n">
        <f aca="false">-Inputs!$D$42*1</f>
        <v>-600</v>
      </c>
      <c r="AU300" s="66" t="n">
        <f aca="false">-Inputs!$D$42*1</f>
        <v>-600</v>
      </c>
      <c r="AV300" s="66" t="n">
        <f aca="false">-Inputs!$D$42*1</f>
        <v>-600</v>
      </c>
      <c r="AW300" s="66" t="n">
        <f aca="false">-Inputs!$D$42*1</f>
        <v>-600</v>
      </c>
      <c r="AX300" s="66" t="n">
        <f aca="false">-Inputs!$D$42*1</f>
        <v>-600</v>
      </c>
      <c r="AY300" s="66" t="n">
        <f aca="false">-Inputs!$D$42*1</f>
        <v>-600</v>
      </c>
      <c r="AZ300" s="66" t="n">
        <f aca="false">-Inputs!$D$42*1</f>
        <v>-600</v>
      </c>
      <c r="BA300" s="66" t="n">
        <f aca="false">-Inputs!$D$42*1</f>
        <v>-600</v>
      </c>
      <c r="BB300" s="66" t="n">
        <f aca="false">-Inputs!$D$42*1</f>
        <v>-600</v>
      </c>
      <c r="BC300" s="66" t="n">
        <f aca="false">-Inputs!$D$42*1</f>
        <v>-600</v>
      </c>
      <c r="BD300" s="66" t="n">
        <f aca="false">-Inputs!$D$42*1</f>
        <v>-600</v>
      </c>
      <c r="BE300" s="66" t="n">
        <f aca="false">-Inputs!$D$42*1</f>
        <v>-600</v>
      </c>
      <c r="BF300" s="66" t="n">
        <f aca="false">-Inputs!$D$42*1</f>
        <v>-600</v>
      </c>
      <c r="BG300" s="66" t="n">
        <f aca="false">-Inputs!$D$42*1</f>
        <v>-600</v>
      </c>
      <c r="BH300" s="66" t="n">
        <f aca="false">-Inputs!$D$42*1</f>
        <v>-600</v>
      </c>
      <c r="BI300" s="66" t="n">
        <f aca="false">-Inputs!$D$42*1</f>
        <v>-600</v>
      </c>
      <c r="BJ300" s="66" t="n">
        <f aca="false">-Inputs!$D$42*1</f>
        <v>-600</v>
      </c>
    </row>
    <row r="301" customFormat="false" ht="15" hidden="false" customHeight="false" outlineLevel="0" collapsed="false">
      <c r="A301" s="6" t="s">
        <v>343</v>
      </c>
      <c r="C301" s="66" t="n">
        <f aca="false">-Inputs!$D$43*(1+Inputs!$D$44)^(C$259-1)*1</f>
        <v>-2500</v>
      </c>
      <c r="D301" s="66" t="n">
        <f aca="false">-Inputs!$D$43*(1+Inputs!$D$44)^(D$259-1)*1</f>
        <v>-2500</v>
      </c>
      <c r="E301" s="66" t="n">
        <f aca="false">-Inputs!$D$43*(1+Inputs!$D$44)^(E$259-1)*1</f>
        <v>-2500</v>
      </c>
      <c r="F301" s="66" t="n">
        <f aca="false">-Inputs!$D$43*(1+Inputs!$D$44)^(F$259-1)*1</f>
        <v>-2500</v>
      </c>
      <c r="G301" s="66" t="n">
        <f aca="false">-Inputs!$D$43*(1+Inputs!$D$44)^(G$259-1)*1</f>
        <v>-2500</v>
      </c>
      <c r="H301" s="66" t="n">
        <f aca="false">-Inputs!$D$43*(1+Inputs!$D$44)^(H$259-1)*1</f>
        <v>-2500</v>
      </c>
      <c r="I301" s="66" t="n">
        <f aca="false">-Inputs!$D$43*(1+Inputs!$D$44)^(I$259-1)*1</f>
        <v>-2500</v>
      </c>
      <c r="J301" s="66" t="n">
        <f aca="false">-Inputs!$D$43*(1+Inputs!$D$44)^(J$259-1)*1</f>
        <v>-2500</v>
      </c>
      <c r="K301" s="66" t="n">
        <f aca="false">-Inputs!$D$43*(1+Inputs!$D$44)^(K$259-1)*1</f>
        <v>-2500</v>
      </c>
      <c r="L301" s="66" t="n">
        <f aca="false">-Inputs!$D$43*(1+Inputs!$D$44)^(L$259-1)*1</f>
        <v>-2500</v>
      </c>
      <c r="M301" s="66" t="n">
        <f aca="false">-Inputs!$D$43*(1+Inputs!$D$44)^(M$259-1)*1</f>
        <v>-2500</v>
      </c>
      <c r="N301" s="66" t="n">
        <f aca="false">-Inputs!$D$43*(1+Inputs!$D$44)^(N$259-1)*1</f>
        <v>-2500</v>
      </c>
      <c r="O301" s="66" t="n">
        <f aca="false">-Inputs!$D$43*(1+Inputs!$D$44)^(O$259-1)*1</f>
        <v>-2500</v>
      </c>
      <c r="P301" s="66" t="n">
        <f aca="false">-Inputs!$D$43*(1+Inputs!$D$44)^(P$259-1)*1</f>
        <v>-2500</v>
      </c>
      <c r="Q301" s="66" t="n">
        <f aca="false">-Inputs!$D$43*(1+Inputs!$D$44)^(Q$259-1)*1</f>
        <v>-2500</v>
      </c>
      <c r="R301" s="66" t="n">
        <f aca="false">-Inputs!$D$43*(1+Inputs!$D$44)^(R$259-1)*1</f>
        <v>-2500</v>
      </c>
      <c r="S301" s="66" t="n">
        <f aca="false">-Inputs!$D$43*(1+Inputs!$D$44)^(S$259-1)*1</f>
        <v>-2500</v>
      </c>
      <c r="T301" s="66" t="n">
        <f aca="false">-Inputs!$D$43*(1+Inputs!$D$44)^(T$259-1)*1</f>
        <v>-2500</v>
      </c>
      <c r="U301" s="66" t="n">
        <f aca="false">-Inputs!$D$43*(1+Inputs!$D$44)^(U$259-1)*1</f>
        <v>-2500</v>
      </c>
      <c r="V301" s="66" t="n">
        <f aca="false">-Inputs!$D$43*(1+Inputs!$D$44)^(V$259-1)*1</f>
        <v>-2500</v>
      </c>
      <c r="W301" s="66" t="n">
        <f aca="false">-Inputs!$D$43*(1+Inputs!$D$44)^(W$259-1)*1</f>
        <v>-2500</v>
      </c>
      <c r="X301" s="66" t="n">
        <f aca="false">-Inputs!$D$43*(1+Inputs!$D$44)^(X$259-1)*1</f>
        <v>-2500</v>
      </c>
      <c r="Y301" s="66" t="n">
        <f aca="false">-Inputs!$D$43*(1+Inputs!$D$44)^(Y$259-1)*1</f>
        <v>-2500</v>
      </c>
      <c r="Z301" s="66" t="n">
        <f aca="false">-Inputs!$D$43*(1+Inputs!$D$44)^(Z$259-1)*1</f>
        <v>-2500</v>
      </c>
      <c r="AA301" s="66" t="n">
        <f aca="false">-Inputs!$D$43*(1+Inputs!$D$44)^(AA$259-1)*1</f>
        <v>-2500</v>
      </c>
      <c r="AB301" s="66" t="n">
        <f aca="false">-Inputs!$D$43*(1+Inputs!$D$44)^(AB$259-1)*1</f>
        <v>-2500</v>
      </c>
      <c r="AC301" s="66" t="n">
        <f aca="false">-Inputs!$D$43*(1+Inputs!$D$44)^(AC$259-1)*1</f>
        <v>-2500</v>
      </c>
      <c r="AD301" s="66" t="n">
        <f aca="false">-Inputs!$D$43*(1+Inputs!$D$44)^(AD$259-1)*1</f>
        <v>-2500</v>
      </c>
      <c r="AE301" s="66" t="n">
        <f aca="false">-Inputs!$D$43*(1+Inputs!$D$44)^(AE$259-1)*1</f>
        <v>-2500</v>
      </c>
      <c r="AF301" s="66" t="n">
        <f aca="false">-Inputs!$D$43*(1+Inputs!$D$44)^(AF$259-1)*1</f>
        <v>-2500</v>
      </c>
      <c r="AG301" s="66" t="n">
        <f aca="false">-Inputs!$D$43*(1+Inputs!$D$44)^(AG$259-1)*1</f>
        <v>-2500</v>
      </c>
      <c r="AH301" s="66" t="n">
        <f aca="false">-Inputs!$D$43*(1+Inputs!$D$44)^(AH$259-1)*1</f>
        <v>-2500</v>
      </c>
      <c r="AI301" s="66" t="n">
        <f aca="false">-Inputs!$D$43*(1+Inputs!$D$44)^(AI$259-1)*1</f>
        <v>-2500</v>
      </c>
      <c r="AJ301" s="66" t="n">
        <f aca="false">-Inputs!$D$43*(1+Inputs!$D$44)^(AJ$259-1)*1</f>
        <v>-2500</v>
      </c>
      <c r="AK301" s="66" t="n">
        <f aca="false">-Inputs!$D$43*(1+Inputs!$D$44)^(AK$259-1)*1</f>
        <v>-2500</v>
      </c>
      <c r="AL301" s="66" t="n">
        <f aca="false">-Inputs!$D$43*(1+Inputs!$D$44)^(AL$259-1)*1</f>
        <v>-2500</v>
      </c>
      <c r="AM301" s="66" t="n">
        <f aca="false">-Inputs!$D$43*(1+Inputs!$D$44)^(AM$259-1)*1</f>
        <v>-2500</v>
      </c>
      <c r="AN301" s="66" t="n">
        <f aca="false">-Inputs!$D$43*(1+Inputs!$D$44)^(AN$259-1)*1</f>
        <v>-2500</v>
      </c>
      <c r="AO301" s="66" t="n">
        <f aca="false">-Inputs!$D$43*(1+Inputs!$D$44)^(AO$259-1)*1</f>
        <v>-2500</v>
      </c>
      <c r="AP301" s="66" t="n">
        <f aca="false">-Inputs!$D$43*(1+Inputs!$D$44)^(AP$259-1)*1</f>
        <v>-2500</v>
      </c>
      <c r="AQ301" s="66" t="n">
        <f aca="false">-Inputs!$D$43*(1+Inputs!$D$44)^(AQ$259-1)*1</f>
        <v>-2500</v>
      </c>
      <c r="AR301" s="66" t="n">
        <f aca="false">-Inputs!$D$43*(1+Inputs!$D$44)^(AR$259-1)*1</f>
        <v>-2500</v>
      </c>
      <c r="AS301" s="66" t="n">
        <f aca="false">-Inputs!$D$43*(1+Inputs!$D$44)^(AS$259-1)*1</f>
        <v>-2500</v>
      </c>
      <c r="AT301" s="66" t="n">
        <f aca="false">-Inputs!$D$43*(1+Inputs!$D$44)^(AT$259-1)*1</f>
        <v>-2500</v>
      </c>
      <c r="AU301" s="66" t="n">
        <f aca="false">-Inputs!$D$43*(1+Inputs!$D$44)^(AU$259-1)*1</f>
        <v>-2500</v>
      </c>
      <c r="AV301" s="66" t="n">
        <f aca="false">-Inputs!$D$43*(1+Inputs!$D$44)^(AV$259-1)*1</f>
        <v>-2500</v>
      </c>
      <c r="AW301" s="66" t="n">
        <f aca="false">-Inputs!$D$43*(1+Inputs!$D$44)^(AW$259-1)*1</f>
        <v>-2500</v>
      </c>
      <c r="AX301" s="66" t="n">
        <f aca="false">-Inputs!$D$43*(1+Inputs!$D$44)^(AX$259-1)*1</f>
        <v>-2500</v>
      </c>
      <c r="AY301" s="66" t="n">
        <f aca="false">-Inputs!$D$43*(1+Inputs!$D$44)^(AY$259-1)*1</f>
        <v>-2500</v>
      </c>
      <c r="AZ301" s="66" t="n">
        <f aca="false">-Inputs!$D$43*(1+Inputs!$D$44)^(AZ$259-1)*1</f>
        <v>-2500</v>
      </c>
      <c r="BA301" s="66" t="n">
        <f aca="false">-Inputs!$D$43*(1+Inputs!$D$44)^(BA$259-1)*1</f>
        <v>-2500</v>
      </c>
      <c r="BB301" s="66" t="n">
        <f aca="false">-Inputs!$D$43*(1+Inputs!$D$44)^(BB$259-1)*1</f>
        <v>-2500</v>
      </c>
      <c r="BC301" s="66" t="n">
        <f aca="false">-Inputs!$D$43*(1+Inputs!$D$44)^(BC$259-1)*1</f>
        <v>-2500</v>
      </c>
      <c r="BD301" s="66" t="n">
        <f aca="false">-Inputs!$D$43*(1+Inputs!$D$44)^(BD$259-1)*1</f>
        <v>-2500</v>
      </c>
      <c r="BE301" s="66" t="n">
        <f aca="false">-Inputs!$D$43*(1+Inputs!$D$44)^(BE$259-1)*1</f>
        <v>-2500</v>
      </c>
      <c r="BF301" s="66" t="n">
        <f aca="false">-Inputs!$D$43*(1+Inputs!$D$44)^(BF$259-1)*1</f>
        <v>-2500</v>
      </c>
      <c r="BG301" s="66" t="n">
        <f aca="false">-Inputs!$D$43*(1+Inputs!$D$44)^(BG$259-1)*1</f>
        <v>-2500</v>
      </c>
      <c r="BH301" s="66" t="n">
        <f aca="false">-Inputs!$D$43*(1+Inputs!$D$44)^(BH$259-1)*1</f>
        <v>-2500</v>
      </c>
      <c r="BI301" s="66" t="n">
        <f aca="false">-Inputs!$D$43*(1+Inputs!$D$44)^(BI$259-1)*1</f>
        <v>-2500</v>
      </c>
      <c r="BJ301" s="66" t="n">
        <f aca="false">-Inputs!$D$43*(1+Inputs!$D$44)^(BJ$259-1)*1</f>
        <v>-2500</v>
      </c>
    </row>
    <row r="302" customFormat="false" ht="15" hidden="false" customHeight="false" outlineLevel="0" collapsed="false">
      <c r="A302" s="6" t="s">
        <v>344</v>
      </c>
      <c r="C302" s="66" t="n">
        <f aca="false">-Inputs!$D$45*1</f>
        <v>-400</v>
      </c>
      <c r="D302" s="66" t="n">
        <f aca="false">-Inputs!$D$45*1</f>
        <v>-400</v>
      </c>
      <c r="E302" s="66" t="n">
        <f aca="false">-Inputs!$D$45*1</f>
        <v>-400</v>
      </c>
      <c r="F302" s="66" t="n">
        <f aca="false">-Inputs!$D$45*1</f>
        <v>-400</v>
      </c>
      <c r="G302" s="66" t="n">
        <f aca="false">-Inputs!$D$45*1</f>
        <v>-400</v>
      </c>
      <c r="H302" s="66" t="n">
        <f aca="false">-Inputs!$D$45*1</f>
        <v>-400</v>
      </c>
      <c r="I302" s="66" t="n">
        <f aca="false">-Inputs!$D$45*1</f>
        <v>-400</v>
      </c>
      <c r="J302" s="66" t="n">
        <f aca="false">-Inputs!$D$45*1</f>
        <v>-400</v>
      </c>
      <c r="K302" s="66" t="n">
        <f aca="false">-Inputs!$D$45*1</f>
        <v>-400</v>
      </c>
      <c r="L302" s="66" t="n">
        <f aca="false">-Inputs!$D$45*1</f>
        <v>-400</v>
      </c>
      <c r="M302" s="66" t="n">
        <f aca="false">-Inputs!$D$45*1</f>
        <v>-400</v>
      </c>
      <c r="N302" s="66" t="n">
        <f aca="false">-Inputs!$D$45*1</f>
        <v>-400</v>
      </c>
      <c r="O302" s="66" t="n">
        <f aca="false">-Inputs!$D$45*1</f>
        <v>-400</v>
      </c>
      <c r="P302" s="66" t="n">
        <f aca="false">-Inputs!$D$45*1</f>
        <v>-400</v>
      </c>
      <c r="Q302" s="66" t="n">
        <f aca="false">-Inputs!$D$45*1</f>
        <v>-400</v>
      </c>
      <c r="R302" s="66" t="n">
        <f aca="false">-Inputs!$D$45*1</f>
        <v>-400</v>
      </c>
      <c r="S302" s="66" t="n">
        <f aca="false">-Inputs!$D$45*1</f>
        <v>-400</v>
      </c>
      <c r="T302" s="66" t="n">
        <f aca="false">-Inputs!$D$45*1</f>
        <v>-400</v>
      </c>
      <c r="U302" s="66" t="n">
        <f aca="false">-Inputs!$D$45*1</f>
        <v>-400</v>
      </c>
      <c r="V302" s="66" t="n">
        <f aca="false">-Inputs!$D$45*1</f>
        <v>-400</v>
      </c>
      <c r="W302" s="66" t="n">
        <f aca="false">-Inputs!$D$45*1</f>
        <v>-400</v>
      </c>
      <c r="X302" s="66" t="n">
        <f aca="false">-Inputs!$D$45*1</f>
        <v>-400</v>
      </c>
      <c r="Y302" s="66" t="n">
        <f aca="false">-Inputs!$D$45*1</f>
        <v>-400</v>
      </c>
      <c r="Z302" s="66" t="n">
        <f aca="false">-Inputs!$D$45*1</f>
        <v>-400</v>
      </c>
      <c r="AA302" s="66" t="n">
        <f aca="false">-Inputs!$D$45*1</f>
        <v>-400</v>
      </c>
      <c r="AB302" s="66" t="n">
        <f aca="false">-Inputs!$D$45*1</f>
        <v>-400</v>
      </c>
      <c r="AC302" s="66" t="n">
        <f aca="false">-Inputs!$D$45*1</f>
        <v>-400</v>
      </c>
      <c r="AD302" s="66" t="n">
        <f aca="false">-Inputs!$D$45*1</f>
        <v>-400</v>
      </c>
      <c r="AE302" s="66" t="n">
        <f aca="false">-Inputs!$D$45*1</f>
        <v>-400</v>
      </c>
      <c r="AF302" s="66" t="n">
        <f aca="false">-Inputs!$D$45*1</f>
        <v>-400</v>
      </c>
      <c r="AG302" s="66" t="n">
        <f aca="false">-Inputs!$D$45*1</f>
        <v>-400</v>
      </c>
      <c r="AH302" s="66" t="n">
        <f aca="false">-Inputs!$D$45*1</f>
        <v>-400</v>
      </c>
      <c r="AI302" s="66" t="n">
        <f aca="false">-Inputs!$D$45*1</f>
        <v>-400</v>
      </c>
      <c r="AJ302" s="66" t="n">
        <f aca="false">-Inputs!$D$45*1</f>
        <v>-400</v>
      </c>
      <c r="AK302" s="66" t="n">
        <f aca="false">-Inputs!$D$45*1</f>
        <v>-400</v>
      </c>
      <c r="AL302" s="66" t="n">
        <f aca="false">-Inputs!$D$45*1</f>
        <v>-400</v>
      </c>
      <c r="AM302" s="66" t="n">
        <f aca="false">-Inputs!$D$45*1</f>
        <v>-400</v>
      </c>
      <c r="AN302" s="66" t="n">
        <f aca="false">-Inputs!$D$45*1</f>
        <v>-400</v>
      </c>
      <c r="AO302" s="66" t="n">
        <f aca="false">-Inputs!$D$45*1</f>
        <v>-400</v>
      </c>
      <c r="AP302" s="66" t="n">
        <f aca="false">-Inputs!$D$45*1</f>
        <v>-400</v>
      </c>
      <c r="AQ302" s="66" t="n">
        <f aca="false">-Inputs!$D$45*1</f>
        <v>-400</v>
      </c>
      <c r="AR302" s="66" t="n">
        <f aca="false">-Inputs!$D$45*1</f>
        <v>-400</v>
      </c>
      <c r="AS302" s="66" t="n">
        <f aca="false">-Inputs!$D$45*1</f>
        <v>-400</v>
      </c>
      <c r="AT302" s="66" t="n">
        <f aca="false">-Inputs!$D$45*1</f>
        <v>-400</v>
      </c>
      <c r="AU302" s="66" t="n">
        <f aca="false">-Inputs!$D$45*1</f>
        <v>-400</v>
      </c>
      <c r="AV302" s="66" t="n">
        <f aca="false">-Inputs!$D$45*1</f>
        <v>-400</v>
      </c>
      <c r="AW302" s="66" t="n">
        <f aca="false">-Inputs!$D$45*1</f>
        <v>-400</v>
      </c>
      <c r="AX302" s="66" t="n">
        <f aca="false">-Inputs!$D$45*1</f>
        <v>-400</v>
      </c>
      <c r="AY302" s="66" t="n">
        <f aca="false">-Inputs!$D$45*1</f>
        <v>-400</v>
      </c>
      <c r="AZ302" s="66" t="n">
        <f aca="false">-Inputs!$D$45*1</f>
        <v>-400</v>
      </c>
      <c r="BA302" s="66" t="n">
        <f aca="false">-Inputs!$D$45*1</f>
        <v>-400</v>
      </c>
      <c r="BB302" s="66" t="n">
        <f aca="false">-Inputs!$D$45*1</f>
        <v>-400</v>
      </c>
      <c r="BC302" s="66" t="n">
        <f aca="false">-Inputs!$D$45*1</f>
        <v>-400</v>
      </c>
      <c r="BD302" s="66" t="n">
        <f aca="false">-Inputs!$D$45*1</f>
        <v>-400</v>
      </c>
      <c r="BE302" s="66" t="n">
        <f aca="false">-Inputs!$D$45*1</f>
        <v>-400</v>
      </c>
      <c r="BF302" s="66" t="n">
        <f aca="false">-Inputs!$D$45*1</f>
        <v>-400</v>
      </c>
      <c r="BG302" s="66" t="n">
        <f aca="false">-Inputs!$D$45*1</f>
        <v>-400</v>
      </c>
      <c r="BH302" s="66" t="n">
        <f aca="false">-Inputs!$D$45*1</f>
        <v>-400</v>
      </c>
      <c r="BI302" s="66" t="n">
        <f aca="false">-Inputs!$D$45*1</f>
        <v>-400</v>
      </c>
      <c r="BJ302" s="66" t="n">
        <f aca="false">-Inputs!$D$45*1</f>
        <v>-400</v>
      </c>
    </row>
    <row r="303" customFormat="false" ht="15" hidden="false" customHeight="false" outlineLevel="0" collapsed="false">
      <c r="A303" s="6" t="s">
        <v>345</v>
      </c>
      <c r="C303" s="66" t="n">
        <f aca="false">-C283*Inputs!$D$46</f>
        <v>-309.7116</v>
      </c>
      <c r="D303" s="66" t="n">
        <f aca="false">-D283*Inputs!$D$46</f>
        <v>-399.18384</v>
      </c>
      <c r="E303" s="66" t="n">
        <f aca="false">-E283*Inputs!$D$46</f>
        <v>-488.65608</v>
      </c>
      <c r="F303" s="66" t="n">
        <f aca="false">-F283*Inputs!$D$46</f>
        <v>-578.12832</v>
      </c>
      <c r="G303" s="66" t="n">
        <f aca="false">-G283*Inputs!$D$46</f>
        <v>-667.60056</v>
      </c>
      <c r="H303" s="66" t="n">
        <f aca="false">-H283*Inputs!$D$46</f>
        <v>-757.0728</v>
      </c>
      <c r="I303" s="66" t="n">
        <f aca="false">-I283*Inputs!$D$46</f>
        <v>-846.54504</v>
      </c>
      <c r="J303" s="66" t="n">
        <f aca="false">-J283*Inputs!$D$46</f>
        <v>-936.01728</v>
      </c>
      <c r="K303" s="66" t="n">
        <f aca="false">-K283*Inputs!$D$46</f>
        <v>-1025.48952</v>
      </c>
      <c r="L303" s="66" t="n">
        <f aca="false">-L283*Inputs!$D$46</f>
        <v>-1114.96176</v>
      </c>
      <c r="M303" s="66" t="n">
        <f aca="false">-M283*Inputs!$D$46</f>
        <v>-1114.96176</v>
      </c>
      <c r="N303" s="66" t="n">
        <f aca="false">-N283*Inputs!$D$46</f>
        <v>-1114.96176</v>
      </c>
      <c r="O303" s="66" t="n">
        <f aca="false">-O283*Inputs!$D$46</f>
        <v>-1159.5602304</v>
      </c>
      <c r="P303" s="66" t="n">
        <f aca="false">-P283*Inputs!$D$46</f>
        <v>-1159.5602304</v>
      </c>
      <c r="Q303" s="66" t="n">
        <f aca="false">-Q283*Inputs!$D$46</f>
        <v>-1159.5602304</v>
      </c>
      <c r="R303" s="66" t="n">
        <f aca="false">-R283*Inputs!$D$46</f>
        <v>-1159.5602304</v>
      </c>
      <c r="S303" s="66" t="n">
        <f aca="false">-S283*Inputs!$D$46</f>
        <v>-1159.5602304</v>
      </c>
      <c r="T303" s="66" t="n">
        <f aca="false">-T283*Inputs!$D$46</f>
        <v>-1159.5602304</v>
      </c>
      <c r="U303" s="66" t="n">
        <f aca="false">-U283*Inputs!$D$46</f>
        <v>-1159.5602304</v>
      </c>
      <c r="V303" s="66" t="n">
        <f aca="false">-V283*Inputs!$D$46</f>
        <v>-1159.5602304</v>
      </c>
      <c r="W303" s="66" t="n">
        <f aca="false">-W283*Inputs!$D$46</f>
        <v>-1159.5602304</v>
      </c>
      <c r="X303" s="66" t="n">
        <f aca="false">-X283*Inputs!$D$46</f>
        <v>-1159.5602304</v>
      </c>
      <c r="Y303" s="66" t="n">
        <f aca="false">-Y283*Inputs!$D$46</f>
        <v>-1159.5602304</v>
      </c>
      <c r="Z303" s="66" t="n">
        <f aca="false">-Z283*Inputs!$D$46</f>
        <v>-1159.5602304</v>
      </c>
      <c r="AA303" s="66" t="n">
        <f aca="false">-AA283*Inputs!$D$46</f>
        <v>-1205.942639616</v>
      </c>
      <c r="AB303" s="66" t="n">
        <f aca="false">-AB283*Inputs!$D$46</f>
        <v>-1205.942639616</v>
      </c>
      <c r="AC303" s="66" t="n">
        <f aca="false">-AC283*Inputs!$D$46</f>
        <v>-1205.942639616</v>
      </c>
      <c r="AD303" s="66" t="n">
        <f aca="false">-AD283*Inputs!$D$46</f>
        <v>-1205.942639616</v>
      </c>
      <c r="AE303" s="66" t="n">
        <f aca="false">-AE283*Inputs!$D$46</f>
        <v>-1205.942639616</v>
      </c>
      <c r="AF303" s="66" t="n">
        <f aca="false">-AF283*Inputs!$D$46</f>
        <v>-1205.942639616</v>
      </c>
      <c r="AG303" s="66" t="n">
        <f aca="false">-AG283*Inputs!$D$46</f>
        <v>-1205.942639616</v>
      </c>
      <c r="AH303" s="66" t="n">
        <f aca="false">-AH283*Inputs!$D$46</f>
        <v>-1205.942639616</v>
      </c>
      <c r="AI303" s="66" t="n">
        <f aca="false">-AI283*Inputs!$D$46</f>
        <v>-1205.942639616</v>
      </c>
      <c r="AJ303" s="66" t="n">
        <f aca="false">-AJ283*Inputs!$D$46</f>
        <v>-1205.942639616</v>
      </c>
      <c r="AK303" s="66" t="n">
        <f aca="false">-AK283*Inputs!$D$46</f>
        <v>-1205.942639616</v>
      </c>
      <c r="AL303" s="66" t="n">
        <f aca="false">-AL283*Inputs!$D$46</f>
        <v>-1205.942639616</v>
      </c>
      <c r="AM303" s="66" t="n">
        <f aca="false">-AM283*Inputs!$D$46</f>
        <v>-1254.18034520064</v>
      </c>
      <c r="AN303" s="66" t="n">
        <f aca="false">-AN283*Inputs!$D$46</f>
        <v>-1254.18034520064</v>
      </c>
      <c r="AO303" s="66" t="n">
        <f aca="false">-AO283*Inputs!$D$46</f>
        <v>-1254.18034520064</v>
      </c>
      <c r="AP303" s="66" t="n">
        <f aca="false">-AP283*Inputs!$D$46</f>
        <v>-1254.18034520064</v>
      </c>
      <c r="AQ303" s="66" t="n">
        <f aca="false">-AQ283*Inputs!$D$46</f>
        <v>-1254.18034520064</v>
      </c>
      <c r="AR303" s="66" t="n">
        <f aca="false">-AR283*Inputs!$D$46</f>
        <v>-1254.18034520064</v>
      </c>
      <c r="AS303" s="66" t="n">
        <f aca="false">-AS283*Inputs!$D$46</f>
        <v>-1254.18034520064</v>
      </c>
      <c r="AT303" s="66" t="n">
        <f aca="false">-AT283*Inputs!$D$46</f>
        <v>-1254.18034520064</v>
      </c>
      <c r="AU303" s="66" t="n">
        <f aca="false">-AU283*Inputs!$D$46</f>
        <v>-1254.18034520064</v>
      </c>
      <c r="AV303" s="66" t="n">
        <f aca="false">-AV283*Inputs!$D$46</f>
        <v>-1254.18034520064</v>
      </c>
      <c r="AW303" s="66" t="n">
        <f aca="false">-AW283*Inputs!$D$46</f>
        <v>-1254.18034520064</v>
      </c>
      <c r="AX303" s="66" t="n">
        <f aca="false">-AX283*Inputs!$D$46</f>
        <v>-1254.18034520064</v>
      </c>
      <c r="AY303" s="66" t="n">
        <f aca="false">-AY283*Inputs!$D$46</f>
        <v>-1304.34755900867</v>
      </c>
      <c r="AZ303" s="66" t="n">
        <f aca="false">-AZ283*Inputs!$D$46</f>
        <v>-1304.34755900867</v>
      </c>
      <c r="BA303" s="66" t="n">
        <f aca="false">-BA283*Inputs!$D$46</f>
        <v>-1304.34755900867</v>
      </c>
      <c r="BB303" s="66" t="n">
        <f aca="false">-BB283*Inputs!$D$46</f>
        <v>-1304.34755900867</v>
      </c>
      <c r="BC303" s="66" t="n">
        <f aca="false">-BC283*Inputs!$D$46</f>
        <v>-1304.34755900867</v>
      </c>
      <c r="BD303" s="66" t="n">
        <f aca="false">-BD283*Inputs!$D$46</f>
        <v>-1304.34755900867</v>
      </c>
      <c r="BE303" s="66" t="n">
        <f aca="false">-BE283*Inputs!$D$46</f>
        <v>-1304.34755900867</v>
      </c>
      <c r="BF303" s="66" t="n">
        <f aca="false">-BF283*Inputs!$D$46</f>
        <v>-1304.34755900867</v>
      </c>
      <c r="BG303" s="66" t="n">
        <f aca="false">-BG283*Inputs!$D$46</f>
        <v>-1304.34755900867</v>
      </c>
      <c r="BH303" s="66" t="n">
        <f aca="false">-BH283*Inputs!$D$46</f>
        <v>-1304.34755900867</v>
      </c>
      <c r="BI303" s="66" t="n">
        <f aca="false">-BI283*Inputs!$D$46</f>
        <v>-1304.34755900867</v>
      </c>
      <c r="BJ303" s="66" t="n">
        <f aca="false">-BJ283*Inputs!$D$46</f>
        <v>-1304.34755900867</v>
      </c>
    </row>
    <row r="304" customFormat="false" ht="15" hidden="false" customHeight="false" outlineLevel="0" collapsed="false">
      <c r="A304" s="6" t="s">
        <v>346</v>
      </c>
      <c r="C304" s="66" t="n">
        <f aca="false">-Inputs!$D$47*1</f>
        <v>-1200</v>
      </c>
      <c r="D304" s="66" t="n">
        <f aca="false">-Inputs!$D$47*1</f>
        <v>-1200</v>
      </c>
      <c r="E304" s="66" t="n">
        <f aca="false">-Inputs!$D$47*1</f>
        <v>-1200</v>
      </c>
      <c r="F304" s="66" t="n">
        <f aca="false">-Inputs!$D$47*1</f>
        <v>-1200</v>
      </c>
      <c r="G304" s="66" t="n">
        <f aca="false">-Inputs!$D$47*1</f>
        <v>-1200</v>
      </c>
      <c r="H304" s="66" t="n">
        <f aca="false">-Inputs!$D$47*1</f>
        <v>-1200</v>
      </c>
      <c r="I304" s="66" t="n">
        <f aca="false">-Inputs!$D$47*1</f>
        <v>-1200</v>
      </c>
      <c r="J304" s="66" t="n">
        <f aca="false">-Inputs!$D$47*1</f>
        <v>-1200</v>
      </c>
      <c r="K304" s="66" t="n">
        <f aca="false">-Inputs!$D$47*1</f>
        <v>-1200</v>
      </c>
      <c r="L304" s="66" t="n">
        <f aca="false">-Inputs!$D$47*1</f>
        <v>-1200</v>
      </c>
      <c r="M304" s="66" t="n">
        <f aca="false">-Inputs!$D$47*1</f>
        <v>-1200</v>
      </c>
      <c r="N304" s="66" t="n">
        <f aca="false">-Inputs!$D$47*1</f>
        <v>-1200</v>
      </c>
      <c r="O304" s="66" t="n">
        <f aca="false">-Inputs!$D$47*1</f>
        <v>-1200</v>
      </c>
      <c r="P304" s="66" t="n">
        <f aca="false">-Inputs!$D$47*1</f>
        <v>-1200</v>
      </c>
      <c r="Q304" s="66" t="n">
        <f aca="false">-Inputs!$D$47*1</f>
        <v>-1200</v>
      </c>
      <c r="R304" s="66" t="n">
        <f aca="false">-Inputs!$D$47*1</f>
        <v>-1200</v>
      </c>
      <c r="S304" s="66" t="n">
        <f aca="false">-Inputs!$D$47*1</f>
        <v>-1200</v>
      </c>
      <c r="T304" s="66" t="n">
        <f aca="false">-Inputs!$D$47*1</f>
        <v>-1200</v>
      </c>
      <c r="U304" s="66" t="n">
        <f aca="false">-Inputs!$D$47*1</f>
        <v>-1200</v>
      </c>
      <c r="V304" s="66" t="n">
        <f aca="false">-Inputs!$D$47*1</f>
        <v>-1200</v>
      </c>
      <c r="W304" s="66" t="n">
        <f aca="false">-Inputs!$D$47*1</f>
        <v>-1200</v>
      </c>
      <c r="X304" s="66" t="n">
        <f aca="false">-Inputs!$D$47*1</f>
        <v>-1200</v>
      </c>
      <c r="Y304" s="66" t="n">
        <f aca="false">-Inputs!$D$47*1</f>
        <v>-1200</v>
      </c>
      <c r="Z304" s="66" t="n">
        <f aca="false">-Inputs!$D$47*1</f>
        <v>-1200</v>
      </c>
      <c r="AA304" s="66" t="n">
        <f aca="false">-Inputs!$D$47*1</f>
        <v>-1200</v>
      </c>
      <c r="AB304" s="66" t="n">
        <f aca="false">-Inputs!$D$47*1</f>
        <v>-1200</v>
      </c>
      <c r="AC304" s="66" t="n">
        <f aca="false">-Inputs!$D$47*1</f>
        <v>-1200</v>
      </c>
      <c r="AD304" s="66" t="n">
        <f aca="false">-Inputs!$D$47*1</f>
        <v>-1200</v>
      </c>
      <c r="AE304" s="66" t="n">
        <f aca="false">-Inputs!$D$47*1</f>
        <v>-1200</v>
      </c>
      <c r="AF304" s="66" t="n">
        <f aca="false">-Inputs!$D$47*1</f>
        <v>-1200</v>
      </c>
      <c r="AG304" s="66" t="n">
        <f aca="false">-Inputs!$D$47*1</f>
        <v>-1200</v>
      </c>
      <c r="AH304" s="66" t="n">
        <f aca="false">-Inputs!$D$47*1</f>
        <v>-1200</v>
      </c>
      <c r="AI304" s="66" t="n">
        <f aca="false">-Inputs!$D$47*1</f>
        <v>-1200</v>
      </c>
      <c r="AJ304" s="66" t="n">
        <f aca="false">-Inputs!$D$47*1</f>
        <v>-1200</v>
      </c>
      <c r="AK304" s="66" t="n">
        <f aca="false">-Inputs!$D$47*1</f>
        <v>-1200</v>
      </c>
      <c r="AL304" s="66" t="n">
        <f aca="false">-Inputs!$D$47*1</f>
        <v>-1200</v>
      </c>
      <c r="AM304" s="66" t="n">
        <f aca="false">-Inputs!$D$47*1</f>
        <v>-1200</v>
      </c>
      <c r="AN304" s="66" t="n">
        <f aca="false">-Inputs!$D$47*1</f>
        <v>-1200</v>
      </c>
      <c r="AO304" s="66" t="n">
        <f aca="false">-Inputs!$D$47*1</f>
        <v>-1200</v>
      </c>
      <c r="AP304" s="66" t="n">
        <f aca="false">-Inputs!$D$47*1</f>
        <v>-1200</v>
      </c>
      <c r="AQ304" s="66" t="n">
        <f aca="false">-Inputs!$D$47*1</f>
        <v>-1200</v>
      </c>
      <c r="AR304" s="66" t="n">
        <f aca="false">-Inputs!$D$47*1</f>
        <v>-1200</v>
      </c>
      <c r="AS304" s="66" t="n">
        <f aca="false">-Inputs!$D$47*1</f>
        <v>-1200</v>
      </c>
      <c r="AT304" s="66" t="n">
        <f aca="false">-Inputs!$D$47*1</f>
        <v>-1200</v>
      </c>
      <c r="AU304" s="66" t="n">
        <f aca="false">-Inputs!$D$47*1</f>
        <v>-1200</v>
      </c>
      <c r="AV304" s="66" t="n">
        <f aca="false">-Inputs!$D$47*1</f>
        <v>-1200</v>
      </c>
      <c r="AW304" s="66" t="n">
        <f aca="false">-Inputs!$D$47*1</f>
        <v>-1200</v>
      </c>
      <c r="AX304" s="66" t="n">
        <f aca="false">-Inputs!$D$47*1</f>
        <v>-1200</v>
      </c>
      <c r="AY304" s="66" t="n">
        <f aca="false">-Inputs!$D$47*1</f>
        <v>-1200</v>
      </c>
      <c r="AZ304" s="66" t="n">
        <f aca="false">-Inputs!$D$47*1</f>
        <v>-1200</v>
      </c>
      <c r="BA304" s="66" t="n">
        <f aca="false">-Inputs!$D$47*1</f>
        <v>-1200</v>
      </c>
      <c r="BB304" s="66" t="n">
        <f aca="false">-Inputs!$D$47*1</f>
        <v>-1200</v>
      </c>
      <c r="BC304" s="66" t="n">
        <f aca="false">-Inputs!$D$47*1</f>
        <v>-1200</v>
      </c>
      <c r="BD304" s="66" t="n">
        <f aca="false">-Inputs!$D$47*1</f>
        <v>-1200</v>
      </c>
      <c r="BE304" s="66" t="n">
        <f aca="false">-Inputs!$D$47*1</f>
        <v>-1200</v>
      </c>
      <c r="BF304" s="66" t="n">
        <f aca="false">-Inputs!$D$47*1</f>
        <v>-1200</v>
      </c>
      <c r="BG304" s="66" t="n">
        <f aca="false">-Inputs!$D$47*1</f>
        <v>-1200</v>
      </c>
      <c r="BH304" s="66" t="n">
        <f aca="false">-Inputs!$D$47*1</f>
        <v>-1200</v>
      </c>
      <c r="BI304" s="66" t="n">
        <f aca="false">-Inputs!$D$47*1</f>
        <v>-1200</v>
      </c>
      <c r="BJ304" s="66" t="n">
        <f aca="false">-Inputs!$D$47*1</f>
        <v>-1200</v>
      </c>
    </row>
    <row r="305" customFormat="false" ht="15" hidden="false" customHeight="false" outlineLevel="0" collapsed="false">
      <c r="A305" s="110" t="s">
        <v>76</v>
      </c>
      <c r="C305" s="67" t="n">
        <f aca="false">C296+C297+C298+C299+C300+C301+C302+C303+C304</f>
        <v>-23906.3782666667</v>
      </c>
      <c r="D305" s="67" t="n">
        <f aca="false">D296+D297+D298+D299+D300+D301+D302+D303+D304</f>
        <v>-23995.8505066667</v>
      </c>
      <c r="E305" s="67" t="n">
        <f aca="false">E296+E297+E298+E299+E300+E301+E302+E303+E304</f>
        <v>-24085.3227466667</v>
      </c>
      <c r="F305" s="67" t="n">
        <f aca="false">F296+F297+F298+F299+F300+F301+F302+F303+F304</f>
        <v>-24174.7949866667</v>
      </c>
      <c r="G305" s="67" t="n">
        <f aca="false">G296+G297+G298+G299+G300+G301+G302+G303+G304</f>
        <v>-24264.2672266667</v>
      </c>
      <c r="H305" s="67" t="n">
        <f aca="false">H296+H297+H298+H299+H300+H301+H302+H303+H304</f>
        <v>-24353.7394666667</v>
      </c>
      <c r="I305" s="67" t="n">
        <f aca="false">I296+I297+I298+I299+I300+I301+I302+I303+I304</f>
        <v>-24443.2117066667</v>
      </c>
      <c r="J305" s="67" t="n">
        <f aca="false">J296+J297+J298+J299+J300+J301+J302+J303+J304</f>
        <v>-24532.6839466667</v>
      </c>
      <c r="K305" s="67" t="n">
        <f aca="false">K296+K297+K298+K299+K300+K301+K302+K303+K304</f>
        <v>-24622.1561866667</v>
      </c>
      <c r="L305" s="67" t="n">
        <f aca="false">L296+L297+L298+L299+L300+L301+L302+L303+L304</f>
        <v>-24711.6284266667</v>
      </c>
      <c r="M305" s="67" t="n">
        <f aca="false">M296+M297+M298+M299+M300+M301+M302+M303+M304</f>
        <v>-24711.6284266667</v>
      </c>
      <c r="N305" s="67" t="n">
        <f aca="false">N296+N297+N298+N299+N300+N301+N302+N303+N304</f>
        <v>-24711.6284266667</v>
      </c>
      <c r="O305" s="67" t="n">
        <f aca="false">O296+O297+O298+O299+O300+O301+O302+O303+O304</f>
        <v>-25269.1268970667</v>
      </c>
      <c r="P305" s="67" t="n">
        <f aca="false">P296+P297+P298+P299+P300+P301+P302+P303+P304</f>
        <v>-25269.1268970667</v>
      </c>
      <c r="Q305" s="67" t="n">
        <f aca="false">Q296+Q297+Q298+Q299+Q300+Q301+Q302+Q303+Q304</f>
        <v>-25269.1268970667</v>
      </c>
      <c r="R305" s="67" t="n">
        <f aca="false">R296+R297+R298+R299+R300+R301+R302+R303+R304</f>
        <v>-25269.1268970667</v>
      </c>
      <c r="S305" s="67" t="n">
        <f aca="false">S296+S297+S298+S299+S300+S301+S302+S303+S304</f>
        <v>-25269.1268970667</v>
      </c>
      <c r="T305" s="67" t="n">
        <f aca="false">T296+T297+T298+T299+T300+T301+T302+T303+T304</f>
        <v>-25269.1268970667</v>
      </c>
      <c r="U305" s="67" t="n">
        <f aca="false">U296+U297+U298+U299+U300+U301+U302+U303+U304</f>
        <v>-25269.1268970667</v>
      </c>
      <c r="V305" s="67" t="n">
        <f aca="false">V296+V297+V298+V299+V300+V301+V302+V303+V304</f>
        <v>-25269.1268970667</v>
      </c>
      <c r="W305" s="67" t="n">
        <f aca="false">W296+W297+W298+W299+W300+W301+W302+W303+W304</f>
        <v>-25269.1268970667</v>
      </c>
      <c r="X305" s="67" t="n">
        <f aca="false">X296+X297+X298+X299+X300+X301+X302+X303+X304</f>
        <v>-25269.1268970667</v>
      </c>
      <c r="Y305" s="67" t="n">
        <f aca="false">Y296+Y297+Y298+Y299+Y300+Y301+Y302+Y303+Y304</f>
        <v>-25269.1268970667</v>
      </c>
      <c r="Z305" s="67" t="n">
        <f aca="false">Z296+Z297+Z298+Z299+Z300+Z301+Z302+Z303+Z304</f>
        <v>-25269.1268970667</v>
      </c>
      <c r="AA305" s="67" t="n">
        <f aca="false">AA296+AA297+AA298+AA299+AA300+AA301+AA302+AA303+AA304</f>
        <v>-25843.7963062827</v>
      </c>
      <c r="AB305" s="67" t="n">
        <f aca="false">AB296+AB297+AB298+AB299+AB300+AB301+AB302+AB303+AB304</f>
        <v>-25843.7963062827</v>
      </c>
      <c r="AC305" s="67" t="n">
        <f aca="false">AC296+AC297+AC298+AC299+AC300+AC301+AC302+AC303+AC304</f>
        <v>-25843.7963062827</v>
      </c>
      <c r="AD305" s="67" t="n">
        <f aca="false">AD296+AD297+AD298+AD299+AD300+AD301+AD302+AD303+AD304</f>
        <v>-25843.7963062827</v>
      </c>
      <c r="AE305" s="67" t="n">
        <f aca="false">AE296+AE297+AE298+AE299+AE300+AE301+AE302+AE303+AE304</f>
        <v>-25843.7963062827</v>
      </c>
      <c r="AF305" s="67" t="n">
        <f aca="false">AF296+AF297+AF298+AF299+AF300+AF301+AF302+AF303+AF304</f>
        <v>-25843.7963062827</v>
      </c>
      <c r="AG305" s="67" t="n">
        <f aca="false">AG296+AG297+AG298+AG299+AG300+AG301+AG302+AG303+AG304</f>
        <v>-25843.7963062827</v>
      </c>
      <c r="AH305" s="67" t="n">
        <f aca="false">AH296+AH297+AH298+AH299+AH300+AH301+AH302+AH303+AH304</f>
        <v>-25843.7963062827</v>
      </c>
      <c r="AI305" s="67" t="n">
        <f aca="false">AI296+AI297+AI298+AI299+AI300+AI301+AI302+AI303+AI304</f>
        <v>-25843.7963062827</v>
      </c>
      <c r="AJ305" s="67" t="n">
        <f aca="false">AJ296+AJ297+AJ298+AJ299+AJ300+AJ301+AJ302+AJ303+AJ304</f>
        <v>-25843.7963062827</v>
      </c>
      <c r="AK305" s="67" t="n">
        <f aca="false">AK296+AK297+AK298+AK299+AK300+AK301+AK302+AK303+AK304</f>
        <v>-25843.7963062827</v>
      </c>
      <c r="AL305" s="67" t="n">
        <f aca="false">AL296+AL297+AL298+AL299+AL300+AL301+AL302+AL303+AL304</f>
        <v>-25843.7963062827</v>
      </c>
      <c r="AM305" s="67" t="n">
        <f aca="false">AM296+AM297+AM298+AM299+AM300+AM301+AM302+AM303+AM304</f>
        <v>-26436.1696218673</v>
      </c>
      <c r="AN305" s="67" t="n">
        <f aca="false">AN296+AN297+AN298+AN299+AN300+AN301+AN302+AN303+AN304</f>
        <v>-26436.1696218673</v>
      </c>
      <c r="AO305" s="67" t="n">
        <f aca="false">AO296+AO297+AO298+AO299+AO300+AO301+AO302+AO303+AO304</f>
        <v>-26436.1696218673</v>
      </c>
      <c r="AP305" s="67" t="n">
        <f aca="false">AP296+AP297+AP298+AP299+AP300+AP301+AP302+AP303+AP304</f>
        <v>-26436.1696218673</v>
      </c>
      <c r="AQ305" s="67" t="n">
        <f aca="false">AQ296+AQ297+AQ298+AQ299+AQ300+AQ301+AQ302+AQ303+AQ304</f>
        <v>-26436.1696218673</v>
      </c>
      <c r="AR305" s="67" t="n">
        <f aca="false">AR296+AR297+AR298+AR299+AR300+AR301+AR302+AR303+AR304</f>
        <v>-26436.1696218673</v>
      </c>
      <c r="AS305" s="67" t="n">
        <f aca="false">AS296+AS297+AS298+AS299+AS300+AS301+AS302+AS303+AS304</f>
        <v>-26436.1696218673</v>
      </c>
      <c r="AT305" s="67" t="n">
        <f aca="false">AT296+AT297+AT298+AT299+AT300+AT301+AT302+AT303+AT304</f>
        <v>-26436.1696218673</v>
      </c>
      <c r="AU305" s="67" t="n">
        <f aca="false">AU296+AU297+AU298+AU299+AU300+AU301+AU302+AU303+AU304</f>
        <v>-26436.1696218673</v>
      </c>
      <c r="AV305" s="67" t="n">
        <f aca="false">AV296+AV297+AV298+AV299+AV300+AV301+AV302+AV303+AV304</f>
        <v>-26436.1696218673</v>
      </c>
      <c r="AW305" s="67" t="n">
        <f aca="false">AW296+AW297+AW298+AW299+AW300+AW301+AW302+AW303+AW304</f>
        <v>-26436.1696218673</v>
      </c>
      <c r="AX305" s="67" t="n">
        <f aca="false">AX296+AX297+AX298+AX299+AX300+AX301+AX302+AX303+AX304</f>
        <v>-26436.1696218673</v>
      </c>
      <c r="AY305" s="67" t="n">
        <f aca="false">AY296+AY297+AY298+AY299+AY300+AY301+AY302+AY303+AY304</f>
        <v>-27046.7965139753</v>
      </c>
      <c r="AZ305" s="67" t="n">
        <f aca="false">AZ296+AZ297+AZ298+AZ299+AZ300+AZ301+AZ302+AZ303+AZ304</f>
        <v>-27046.7965139753</v>
      </c>
      <c r="BA305" s="67" t="n">
        <f aca="false">BA296+BA297+BA298+BA299+BA300+BA301+BA302+BA303+BA304</f>
        <v>-27046.7965139753</v>
      </c>
      <c r="BB305" s="67" t="n">
        <f aca="false">BB296+BB297+BB298+BB299+BB300+BB301+BB302+BB303+BB304</f>
        <v>-27046.7965139753</v>
      </c>
      <c r="BC305" s="67" t="n">
        <f aca="false">BC296+BC297+BC298+BC299+BC300+BC301+BC302+BC303+BC304</f>
        <v>-27046.7965139753</v>
      </c>
      <c r="BD305" s="67" t="n">
        <f aca="false">BD296+BD297+BD298+BD299+BD300+BD301+BD302+BD303+BD304</f>
        <v>-27046.7965139753</v>
      </c>
      <c r="BE305" s="67" t="n">
        <f aca="false">BE296+BE297+BE298+BE299+BE300+BE301+BE302+BE303+BE304</f>
        <v>-27046.7965139753</v>
      </c>
      <c r="BF305" s="67" t="n">
        <f aca="false">BF296+BF297+BF298+BF299+BF300+BF301+BF302+BF303+BF304</f>
        <v>-27046.7965139753</v>
      </c>
      <c r="BG305" s="67" t="n">
        <f aca="false">BG296+BG297+BG298+BG299+BG300+BG301+BG302+BG303+BG304</f>
        <v>-27046.7965139753</v>
      </c>
      <c r="BH305" s="67" t="n">
        <f aca="false">BH296+BH297+BH298+BH299+BH300+BH301+BH302+BH303+BH304</f>
        <v>-27046.7965139753</v>
      </c>
      <c r="BI305" s="67" t="n">
        <f aca="false">BI296+BI297+BI298+BI299+BI300+BI301+BI302+BI303+BI304</f>
        <v>-27046.7965139753</v>
      </c>
      <c r="BJ305" s="67" t="n">
        <f aca="false">BJ296+BJ297+BJ298+BJ299+BJ300+BJ301+BJ302+BJ303+BJ304</f>
        <v>-27046.7965139753</v>
      </c>
    </row>
    <row r="306" customFormat="false" ht="15" hidden="false" customHeight="false" outlineLevel="0" collapsed="false">
      <c r="A306" s="110" t="s">
        <v>48</v>
      </c>
      <c r="C306" s="67" t="n">
        <f aca="false">C293+C305</f>
        <v>-11257.8616</v>
      </c>
      <c r="D306" s="67" t="n">
        <f aca="false">D293+D305</f>
        <v>-15807.1549511111</v>
      </c>
      <c r="E306" s="67" t="n">
        <f aca="false">E293+E305</f>
        <v>-11031.7816355556</v>
      </c>
      <c r="F306" s="67" t="n">
        <f aca="false">F293+F305</f>
        <v>-6256.40832</v>
      </c>
      <c r="G306" s="67" t="n">
        <f aca="false">G293+G305</f>
        <v>-1481.03500444445</v>
      </c>
      <c r="H306" s="67" t="n">
        <f aca="false">H293+H305</f>
        <v>-301.328355555557</v>
      </c>
      <c r="I306" s="67" t="n">
        <f aca="false">I293+I305</f>
        <v>878.378293333335</v>
      </c>
      <c r="J306" s="67" t="n">
        <f aca="false">J293+J305</f>
        <v>5653.7516088889</v>
      </c>
      <c r="K306" s="67" t="n">
        <f aca="false">K293+K305</f>
        <v>10429.1249244444</v>
      </c>
      <c r="L306" s="67" t="n">
        <f aca="false">L293+L305</f>
        <v>11608.8315733333</v>
      </c>
      <c r="M306" s="67" t="n">
        <f aca="false">M293+M305</f>
        <v>10742.1649066667</v>
      </c>
      <c r="N306" s="67" t="n">
        <f aca="false">N293+N305</f>
        <v>10742.1649066667</v>
      </c>
      <c r="O306" s="67" t="n">
        <f aca="false">O293+O305</f>
        <v>11912.1868362667</v>
      </c>
      <c r="P306" s="67" t="n">
        <f aca="false">P293+P305</f>
        <v>11912.1868362667</v>
      </c>
      <c r="Q306" s="67" t="n">
        <f aca="false">Q293+Q305</f>
        <v>11912.1868362667</v>
      </c>
      <c r="R306" s="67" t="n">
        <f aca="false">R293+R305</f>
        <v>11912.1868362667</v>
      </c>
      <c r="S306" s="67" t="n">
        <f aca="false">S293+S305</f>
        <v>11912.1868362667</v>
      </c>
      <c r="T306" s="67" t="n">
        <f aca="false">T293+T305</f>
        <v>11912.1868362667</v>
      </c>
      <c r="U306" s="67" t="n">
        <f aca="false">U293+U305</f>
        <v>11912.1868362667</v>
      </c>
      <c r="V306" s="67" t="n">
        <f aca="false">V293+V305</f>
        <v>11912.1868362667</v>
      </c>
      <c r="W306" s="67" t="n">
        <f aca="false">W293+W305</f>
        <v>11912.1868362667</v>
      </c>
      <c r="X306" s="67" t="n">
        <f aca="false">X293+X305</f>
        <v>11912.1868362667</v>
      </c>
      <c r="Y306" s="67" t="n">
        <f aca="false">Y293+Y305</f>
        <v>11912.1868362667</v>
      </c>
      <c r="Z306" s="67" t="n">
        <f aca="false">Z293+Z305</f>
        <v>11912.1868362667</v>
      </c>
      <c r="AA306" s="67" t="n">
        <f aca="false">AA293+AA305</f>
        <v>13143.4197030507</v>
      </c>
      <c r="AB306" s="67" t="n">
        <f aca="false">AB293+AB305</f>
        <v>13143.4197030507</v>
      </c>
      <c r="AC306" s="67" t="n">
        <f aca="false">AC293+AC305</f>
        <v>13143.4197030507</v>
      </c>
      <c r="AD306" s="67" t="n">
        <f aca="false">AD293+AD305</f>
        <v>13143.4197030507</v>
      </c>
      <c r="AE306" s="67" t="n">
        <f aca="false">AE293+AE305</f>
        <v>13143.4197030507</v>
      </c>
      <c r="AF306" s="67" t="n">
        <f aca="false">AF293+AF305</f>
        <v>13143.4197030507</v>
      </c>
      <c r="AG306" s="67" t="n">
        <f aca="false">AG293+AG305</f>
        <v>13143.4197030507</v>
      </c>
      <c r="AH306" s="67" t="n">
        <f aca="false">AH293+AH305</f>
        <v>13143.4197030507</v>
      </c>
      <c r="AI306" s="67" t="n">
        <f aca="false">AI293+AI305</f>
        <v>13143.4197030507</v>
      </c>
      <c r="AJ306" s="67" t="n">
        <f aca="false">AJ293+AJ305</f>
        <v>13143.4197030507</v>
      </c>
      <c r="AK306" s="67" t="n">
        <f aca="false">AK293+AK305</f>
        <v>13143.4197030507</v>
      </c>
      <c r="AL306" s="67" t="n">
        <f aca="false">AL293+AL305</f>
        <v>13143.4197030507</v>
      </c>
      <c r="AM306" s="67" t="n">
        <f aca="false">AM293+AM305</f>
        <v>14438.744246306</v>
      </c>
      <c r="AN306" s="67" t="n">
        <f aca="false">AN293+AN305</f>
        <v>14438.744246306</v>
      </c>
      <c r="AO306" s="67" t="n">
        <f aca="false">AO293+AO305</f>
        <v>14438.744246306</v>
      </c>
      <c r="AP306" s="67" t="n">
        <f aca="false">AP293+AP305</f>
        <v>14438.744246306</v>
      </c>
      <c r="AQ306" s="67" t="n">
        <f aca="false">AQ293+AQ305</f>
        <v>14438.744246306</v>
      </c>
      <c r="AR306" s="67" t="n">
        <f aca="false">AR293+AR305</f>
        <v>14438.744246306</v>
      </c>
      <c r="AS306" s="67" t="n">
        <f aca="false">AS293+AS305</f>
        <v>14438.744246306</v>
      </c>
      <c r="AT306" s="67" t="n">
        <f aca="false">AT293+AT305</f>
        <v>14438.744246306</v>
      </c>
      <c r="AU306" s="67" t="n">
        <f aca="false">AU293+AU305</f>
        <v>14438.744246306</v>
      </c>
      <c r="AV306" s="67" t="n">
        <f aca="false">AV293+AV305</f>
        <v>14438.744246306</v>
      </c>
      <c r="AW306" s="67" t="n">
        <f aca="false">AW293+AW305</f>
        <v>14438.744246306</v>
      </c>
      <c r="AX306" s="67" t="n">
        <f aca="false">AX293+AX305</f>
        <v>14438.744246306</v>
      </c>
      <c r="AY306" s="67" t="n">
        <f aca="false">AY293+AY305</f>
        <v>15801.1694039456</v>
      </c>
      <c r="AZ306" s="67" t="n">
        <f aca="false">AZ293+AZ305</f>
        <v>15801.1694039456</v>
      </c>
      <c r="BA306" s="67" t="n">
        <f aca="false">BA293+BA305</f>
        <v>15801.1694039456</v>
      </c>
      <c r="BB306" s="67" t="n">
        <f aca="false">BB293+BB305</f>
        <v>15801.1694039456</v>
      </c>
      <c r="BC306" s="67" t="n">
        <f aca="false">BC293+BC305</f>
        <v>15801.1694039456</v>
      </c>
      <c r="BD306" s="67" t="n">
        <f aca="false">BD293+BD305</f>
        <v>15801.1694039456</v>
      </c>
      <c r="BE306" s="67" t="n">
        <f aca="false">BE293+BE305</f>
        <v>15801.1694039456</v>
      </c>
      <c r="BF306" s="67" t="n">
        <f aca="false">BF293+BF305</f>
        <v>15801.1694039456</v>
      </c>
      <c r="BG306" s="67" t="n">
        <f aca="false">BG293+BG305</f>
        <v>15801.1694039456</v>
      </c>
      <c r="BH306" s="67" t="n">
        <f aca="false">BH293+BH305</f>
        <v>15801.1694039456</v>
      </c>
      <c r="BI306" s="67" t="n">
        <f aca="false">BI293+BI305</f>
        <v>15801.1694039456</v>
      </c>
      <c r="BJ306" s="67" t="n">
        <f aca="false">BJ293+BJ305</f>
        <v>15801.1694039456</v>
      </c>
    </row>
    <row r="308" customFormat="false" ht="15.75" hidden="false" customHeight="true" outlineLevel="0" collapsed="false">
      <c r="A308" s="7" t="s">
        <v>435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customFormat="false" ht="15" hidden="false" customHeight="false" outlineLevel="0" collapsed="false">
      <c r="A309" s="4" t="s">
        <v>78</v>
      </c>
      <c r="C309" s="72" t="n">
        <f aca="false">C306+C324</f>
        <v>-14941.1949333333</v>
      </c>
      <c r="D309" s="72" t="n">
        <f aca="false">D306+D324</f>
        <v>-19490.4882844444</v>
      </c>
      <c r="E309" s="72" t="n">
        <f aca="false">E306+E324</f>
        <v>-14715.1149688889</v>
      </c>
      <c r="F309" s="72" t="n">
        <f aca="false">F306+F324</f>
        <v>-9939.74165333334</v>
      </c>
      <c r="G309" s="72" t="n">
        <f aca="false">G306+G324</f>
        <v>-5164.36833777778</v>
      </c>
      <c r="H309" s="72" t="n">
        <f aca="false">H306+H324</f>
        <v>-3984.66168888889</v>
      </c>
      <c r="I309" s="72" t="n">
        <f aca="false">I306+I324</f>
        <v>-2804.95504</v>
      </c>
      <c r="J309" s="72" t="n">
        <f aca="false">J306+J324</f>
        <v>1970.41827555557</v>
      </c>
      <c r="K309" s="72" t="n">
        <f aca="false">K306+K324</f>
        <v>6745.79159111111</v>
      </c>
      <c r="L309" s="72" t="n">
        <f aca="false">L306+L324</f>
        <v>7925.49824000001</v>
      </c>
      <c r="M309" s="72" t="n">
        <f aca="false">M306+M324</f>
        <v>7058.83157333334</v>
      </c>
      <c r="N309" s="72" t="n">
        <f aca="false">N306+N324</f>
        <v>7058.83157333334</v>
      </c>
      <c r="O309" s="72" t="n">
        <f aca="false">O306+O324</f>
        <v>8153.85350293333</v>
      </c>
      <c r="P309" s="72" t="n">
        <f aca="false">P306+P324</f>
        <v>8153.85350293333</v>
      </c>
      <c r="Q309" s="72" t="n">
        <f aca="false">Q306+Q324</f>
        <v>8153.85350293333</v>
      </c>
      <c r="R309" s="72" t="n">
        <f aca="false">R306+R324</f>
        <v>8153.85350293333</v>
      </c>
      <c r="S309" s="72" t="n">
        <f aca="false">S306+S324</f>
        <v>8153.85350293333</v>
      </c>
      <c r="T309" s="72" t="n">
        <f aca="false">T306+T324</f>
        <v>8153.85350293333</v>
      </c>
      <c r="U309" s="72" t="n">
        <f aca="false">U306+U324</f>
        <v>8153.85350293333</v>
      </c>
      <c r="V309" s="72" t="n">
        <f aca="false">V306+V324</f>
        <v>8153.85350293333</v>
      </c>
      <c r="W309" s="72" t="n">
        <f aca="false">W306+W324</f>
        <v>8153.85350293333</v>
      </c>
      <c r="X309" s="72" t="n">
        <f aca="false">X306+X324</f>
        <v>8153.85350293333</v>
      </c>
      <c r="Y309" s="72" t="n">
        <f aca="false">Y306+Y324</f>
        <v>8153.85350293333</v>
      </c>
      <c r="Z309" s="72" t="n">
        <f aca="false">Z306+Z324</f>
        <v>8153.85350293333</v>
      </c>
      <c r="AA309" s="72" t="n">
        <f aca="false">AA306+AA324</f>
        <v>9310.08636971734</v>
      </c>
      <c r="AB309" s="72" t="n">
        <f aca="false">AB306+AB324</f>
        <v>9310.08636971734</v>
      </c>
      <c r="AC309" s="72" t="n">
        <f aca="false">AC306+AC324</f>
        <v>9310.08636971734</v>
      </c>
      <c r="AD309" s="72" t="n">
        <f aca="false">AD306+AD324</f>
        <v>9310.08636971734</v>
      </c>
      <c r="AE309" s="72" t="n">
        <f aca="false">AE306+AE324</f>
        <v>9310.08636971734</v>
      </c>
      <c r="AF309" s="72" t="n">
        <f aca="false">AF306+AF324</f>
        <v>9310.08636971734</v>
      </c>
      <c r="AG309" s="72" t="n">
        <f aca="false">AG306+AG324</f>
        <v>9310.08636971734</v>
      </c>
      <c r="AH309" s="72" t="n">
        <f aca="false">AH306+AH324</f>
        <v>9310.08636971734</v>
      </c>
      <c r="AI309" s="72" t="n">
        <f aca="false">AI306+AI324</f>
        <v>9310.08636971734</v>
      </c>
      <c r="AJ309" s="72" t="n">
        <f aca="false">AJ306+AJ324</f>
        <v>9310.08636971734</v>
      </c>
      <c r="AK309" s="72" t="n">
        <f aca="false">AK306+AK324</f>
        <v>9310.08636971734</v>
      </c>
      <c r="AL309" s="72" t="n">
        <f aca="false">AL306+AL324</f>
        <v>9310.08636971734</v>
      </c>
      <c r="AM309" s="72" t="n">
        <f aca="false">AM306+AM324</f>
        <v>10530.4109129727</v>
      </c>
      <c r="AN309" s="72" t="n">
        <f aca="false">AN306+AN324</f>
        <v>10530.4109129727</v>
      </c>
      <c r="AO309" s="72" t="n">
        <f aca="false">AO306+AO324</f>
        <v>10530.4109129727</v>
      </c>
      <c r="AP309" s="72" t="n">
        <f aca="false">AP306+AP324</f>
        <v>10530.4109129727</v>
      </c>
      <c r="AQ309" s="72" t="n">
        <f aca="false">AQ306+AQ324</f>
        <v>10530.4109129727</v>
      </c>
      <c r="AR309" s="72" t="n">
        <f aca="false">AR306+AR324</f>
        <v>10530.4109129727</v>
      </c>
      <c r="AS309" s="72" t="n">
        <f aca="false">AS306+AS324</f>
        <v>10530.4109129727</v>
      </c>
      <c r="AT309" s="72" t="n">
        <f aca="false">AT306+AT324</f>
        <v>10530.4109129727</v>
      </c>
      <c r="AU309" s="72" t="n">
        <f aca="false">AU306+AU324</f>
        <v>10530.4109129727</v>
      </c>
      <c r="AV309" s="72" t="n">
        <f aca="false">AV306+AV324</f>
        <v>10530.4109129727</v>
      </c>
      <c r="AW309" s="72" t="n">
        <f aca="false">AW306+AW324</f>
        <v>10530.4109129727</v>
      </c>
      <c r="AX309" s="72" t="n">
        <f aca="false">AX306+AX324</f>
        <v>10530.4109129727</v>
      </c>
      <c r="AY309" s="72" t="n">
        <f aca="false">AY306+AY324</f>
        <v>11817.8360706123</v>
      </c>
      <c r="AZ309" s="72" t="n">
        <f aca="false">AZ306+AZ324</f>
        <v>11817.8360706123</v>
      </c>
      <c r="BA309" s="72" t="n">
        <f aca="false">BA306+BA324</f>
        <v>11817.8360706123</v>
      </c>
      <c r="BB309" s="72" t="n">
        <f aca="false">BB306+BB324</f>
        <v>11817.8360706123</v>
      </c>
      <c r="BC309" s="72" t="n">
        <f aca="false">BC306+BC324</f>
        <v>11817.8360706123</v>
      </c>
      <c r="BD309" s="72" t="n">
        <f aca="false">BD306+BD324</f>
        <v>11817.8360706123</v>
      </c>
      <c r="BE309" s="72" t="n">
        <f aca="false">BE306+BE324</f>
        <v>11817.8360706123</v>
      </c>
      <c r="BF309" s="72" t="n">
        <f aca="false">BF306+BF324</f>
        <v>11817.8360706123</v>
      </c>
      <c r="BG309" s="72" t="n">
        <f aca="false">BG306+BG324</f>
        <v>11817.8360706123</v>
      </c>
      <c r="BH309" s="72" t="n">
        <f aca="false">BH306+BH324</f>
        <v>11817.8360706123</v>
      </c>
      <c r="BI309" s="72" t="n">
        <f aca="false">BI306+BI324</f>
        <v>11817.8360706123</v>
      </c>
      <c r="BJ309" s="72" t="n">
        <f aca="false">BJ306+BJ324</f>
        <v>11817.8360706123</v>
      </c>
    </row>
    <row r="310" customFormat="false" ht="15" hidden="false" customHeight="false" outlineLevel="0" collapsed="false">
      <c r="A310" s="6" t="s">
        <v>436</v>
      </c>
      <c r="C310" s="66" t="n">
        <f aca="false">-(C329+C330+C332)/2*Inputs!$D$75/12</f>
        <v>-1666.66666666667</v>
      </c>
      <c r="D310" s="66" t="n">
        <f aca="false">-(D329+D330+D332)/2*Inputs!$D$75/12</f>
        <v>-1659.72222222222</v>
      </c>
      <c r="E310" s="66" t="n">
        <f aca="false">-(E329+E330+E332)/2*Inputs!$D$75/12</f>
        <v>-1645.83333333333</v>
      </c>
      <c r="F310" s="66" t="n">
        <f aca="false">-(F329+F330+F332)/2*Inputs!$D$75/12</f>
        <v>-1631.94444444444</v>
      </c>
      <c r="G310" s="66" t="n">
        <f aca="false">-(G329+G330+G332)/2*Inputs!$D$75/12</f>
        <v>-1618.05555555556</v>
      </c>
      <c r="H310" s="66" t="n">
        <f aca="false">-(H329+H330+H332)/2*Inputs!$D$75/12</f>
        <v>-1604.16666666667</v>
      </c>
      <c r="I310" s="66" t="n">
        <f aca="false">-(I329+I330+I332)/2*Inputs!$D$75/12</f>
        <v>-1590.27777777778</v>
      </c>
      <c r="J310" s="66" t="n">
        <f aca="false">-(J329+J330+J332)/2*Inputs!$D$75/12</f>
        <v>-1576.38888888889</v>
      </c>
      <c r="K310" s="66" t="n">
        <f aca="false">-(K329+K330+K332)/2*Inputs!$D$75/12</f>
        <v>-1562.5</v>
      </c>
      <c r="L310" s="66" t="n">
        <f aca="false">-(L329+L330+L332)/2*Inputs!$D$75/12</f>
        <v>-1548.61111111111</v>
      </c>
      <c r="M310" s="66" t="n">
        <f aca="false">-(M329+M330+M332)/2*Inputs!$D$75/12</f>
        <v>-1534.72222222222</v>
      </c>
      <c r="N310" s="66" t="n">
        <f aca="false">-(N329+N330+N332)/2*Inputs!$D$75/12</f>
        <v>-1520.83333333333</v>
      </c>
      <c r="O310" s="66" t="n">
        <f aca="false">-(O329+O330+O332)/2*Inputs!$D$75/12</f>
        <v>-1506.94444444444</v>
      </c>
      <c r="P310" s="66" t="n">
        <f aca="false">-(P329+P330+P332)/2*Inputs!$D$75/12</f>
        <v>-1493.05555555555</v>
      </c>
      <c r="Q310" s="66" t="n">
        <f aca="false">-(Q329+Q330+Q332)/2*Inputs!$D$75/12</f>
        <v>-1479.16666666667</v>
      </c>
      <c r="R310" s="66" t="n">
        <f aca="false">-(R329+R330+R332)/2*Inputs!$D$75/12</f>
        <v>-1465.27777777778</v>
      </c>
      <c r="S310" s="66" t="n">
        <f aca="false">-(S329+S330+S332)/2*Inputs!$D$75/12</f>
        <v>-1451.38888888889</v>
      </c>
      <c r="T310" s="66" t="n">
        <f aca="false">-(T329+T330+T332)/2*Inputs!$D$75/12</f>
        <v>-1437.5</v>
      </c>
      <c r="U310" s="66" t="n">
        <f aca="false">-(U329+U330+U332)/2*Inputs!$D$75/12</f>
        <v>-1423.61111111111</v>
      </c>
      <c r="V310" s="66" t="n">
        <f aca="false">-(V329+V330+V332)/2*Inputs!$D$75/12</f>
        <v>-1409.72222222222</v>
      </c>
      <c r="W310" s="66" t="n">
        <f aca="false">-(W329+W330+W332)/2*Inputs!$D$75/12</f>
        <v>-1395.83333333333</v>
      </c>
      <c r="X310" s="66" t="n">
        <f aca="false">-(X329+X330+X332)/2*Inputs!$D$75/12</f>
        <v>-1381.94444444444</v>
      </c>
      <c r="Y310" s="66" t="n">
        <f aca="false">-(Y329+Y330+Y332)/2*Inputs!$D$75/12</f>
        <v>-1368.05555555555</v>
      </c>
      <c r="Z310" s="66" t="n">
        <f aca="false">-(Z329+Z330+Z332)/2*Inputs!$D$75/12</f>
        <v>-1354.16666666667</v>
      </c>
      <c r="AA310" s="66" t="n">
        <f aca="false">-(AA329+AA330+AA332)/2*Inputs!$D$75/12</f>
        <v>-1340.27777777778</v>
      </c>
      <c r="AB310" s="66" t="n">
        <f aca="false">-(AB329+AB330+AB332)/2*Inputs!$D$75/12</f>
        <v>-1326.38888888889</v>
      </c>
      <c r="AC310" s="66" t="n">
        <f aca="false">-(AC329+AC330+AC332)/2*Inputs!$D$75/12</f>
        <v>-1312.5</v>
      </c>
      <c r="AD310" s="66" t="n">
        <f aca="false">-(AD329+AD330+AD332)/2*Inputs!$D$75/12</f>
        <v>-1298.61111111111</v>
      </c>
      <c r="AE310" s="66" t="n">
        <f aca="false">-(AE329+AE330+AE332)/2*Inputs!$D$75/12</f>
        <v>-1284.72222222222</v>
      </c>
      <c r="AF310" s="66" t="n">
        <f aca="false">-(AF329+AF330+AF332)/2*Inputs!$D$75/12</f>
        <v>-1270.83333333333</v>
      </c>
      <c r="AG310" s="66" t="n">
        <f aca="false">-(AG329+AG330+AG332)/2*Inputs!$D$75/12</f>
        <v>-1256.94444444444</v>
      </c>
      <c r="AH310" s="66" t="n">
        <f aca="false">-(AH329+AH330+AH332)/2*Inputs!$D$75/12</f>
        <v>-1243.05555555555</v>
      </c>
      <c r="AI310" s="66" t="n">
        <f aca="false">-(AI329+AI330+AI332)/2*Inputs!$D$75/12</f>
        <v>-1229.16666666666</v>
      </c>
      <c r="AJ310" s="66" t="n">
        <f aca="false">-(AJ329+AJ330+AJ332)/2*Inputs!$D$75/12</f>
        <v>-1215.27777777778</v>
      </c>
      <c r="AK310" s="66" t="n">
        <f aca="false">-(AK329+AK330+AK332)/2*Inputs!$D$75/12</f>
        <v>-1201.38888888889</v>
      </c>
      <c r="AL310" s="66" t="n">
        <f aca="false">-(AL329+AL330+AL332)/2*Inputs!$D$75/12</f>
        <v>-1187.5</v>
      </c>
      <c r="AM310" s="66" t="n">
        <f aca="false">-(AM329+AM330+AM332)/2*Inputs!$D$75/12</f>
        <v>-1173.61111111111</v>
      </c>
      <c r="AN310" s="66" t="n">
        <f aca="false">-(AN329+AN330+AN332)/2*Inputs!$D$75/12</f>
        <v>-1159.72222222222</v>
      </c>
      <c r="AO310" s="66" t="n">
        <f aca="false">-(AO329+AO330+AO332)/2*Inputs!$D$75/12</f>
        <v>-1145.83333333333</v>
      </c>
      <c r="AP310" s="66" t="n">
        <f aca="false">-(AP329+AP330+AP332)/2*Inputs!$D$75/12</f>
        <v>-1131.94444444444</v>
      </c>
      <c r="AQ310" s="66" t="n">
        <f aca="false">-(AQ329+AQ330+AQ332)/2*Inputs!$D$75/12</f>
        <v>-1118.05555555555</v>
      </c>
      <c r="AR310" s="66" t="n">
        <f aca="false">-(AR329+AR330+AR332)/2*Inputs!$D$75/12</f>
        <v>-1104.16666666666</v>
      </c>
      <c r="AS310" s="66" t="n">
        <f aca="false">-(AS329+AS330+AS332)/2*Inputs!$D$75/12</f>
        <v>-1090.27777777778</v>
      </c>
      <c r="AT310" s="66" t="n">
        <f aca="false">-(AT329+AT330+AT332)/2*Inputs!$D$75/12</f>
        <v>-1076.38888888889</v>
      </c>
      <c r="AU310" s="66" t="n">
        <f aca="false">-(AU329+AU330+AU332)/2*Inputs!$D$75/12</f>
        <v>-1062.5</v>
      </c>
      <c r="AV310" s="66" t="n">
        <f aca="false">-(AV329+AV330+AV332)/2*Inputs!$D$75/12</f>
        <v>-1048.61111111111</v>
      </c>
      <c r="AW310" s="66" t="n">
        <f aca="false">-(AW329+AW330+AW332)/2*Inputs!$D$75/12</f>
        <v>-1034.72222222222</v>
      </c>
      <c r="AX310" s="66" t="n">
        <f aca="false">-(AX329+AX330+AX332)/2*Inputs!$D$75/12</f>
        <v>-1020.83333333333</v>
      </c>
      <c r="AY310" s="66" t="n">
        <f aca="false">-(AY329+AY330+AY332)/2*Inputs!$D$75/12</f>
        <v>-1006.94444444444</v>
      </c>
      <c r="AZ310" s="66" t="n">
        <f aca="false">-(AZ329+AZ330+AZ332)/2*Inputs!$D$75/12</f>
        <v>-993.055555555552</v>
      </c>
      <c r="BA310" s="66" t="n">
        <f aca="false">-(BA329+BA330+BA332)/2*Inputs!$D$75/12</f>
        <v>-979.166666666664</v>
      </c>
      <c r="BB310" s="66" t="n">
        <f aca="false">-(BB329+BB330+BB332)/2*Inputs!$D$75/12</f>
        <v>-965.277777777775</v>
      </c>
      <c r="BC310" s="66" t="n">
        <f aca="false">-(BC329+BC330+BC332)/2*Inputs!$D$75/12</f>
        <v>-951.388888888886</v>
      </c>
      <c r="BD310" s="66" t="n">
        <f aca="false">-(BD329+BD330+BD332)/2*Inputs!$D$75/12</f>
        <v>-937.499999999997</v>
      </c>
      <c r="BE310" s="66" t="n">
        <f aca="false">-(BE329+BE330+BE332)/2*Inputs!$D$75/12</f>
        <v>-923.611111111108</v>
      </c>
      <c r="BF310" s="66" t="n">
        <f aca="false">-(BF329+BF330+BF332)/2*Inputs!$D$75/12</f>
        <v>-909.722222222219</v>
      </c>
      <c r="BG310" s="66" t="n">
        <f aca="false">-(BG329+BG330+BG332)/2*Inputs!$D$75/12</f>
        <v>-895.83333333333</v>
      </c>
      <c r="BH310" s="66" t="n">
        <f aca="false">-(BH329+BH330+BH332)/2*Inputs!$D$75/12</f>
        <v>-881.944444444441</v>
      </c>
      <c r="BI310" s="66" t="n">
        <f aca="false">-(BI329+BI330+BI332)/2*Inputs!$D$75/12</f>
        <v>-868.055555555552</v>
      </c>
      <c r="BJ310" s="66" t="n">
        <f aca="false">-(BJ329+BJ330+BJ332)/2*Inputs!$D$75/12</f>
        <v>-854.166666666663</v>
      </c>
    </row>
    <row r="311" customFormat="false" ht="15" hidden="false" customHeight="false" outlineLevel="0" collapsed="false">
      <c r="A311" s="110" t="s">
        <v>80</v>
      </c>
      <c r="C311" s="67" t="n">
        <f aca="false">C309+C310</f>
        <v>-16607.8616</v>
      </c>
      <c r="D311" s="67" t="n">
        <f aca="false">D309+D310</f>
        <v>-21150.2105066667</v>
      </c>
      <c r="E311" s="67" t="n">
        <f aca="false">E309+E310</f>
        <v>-16360.9483022222</v>
      </c>
      <c r="F311" s="67" t="n">
        <f aca="false">F309+F310</f>
        <v>-11571.6860977778</v>
      </c>
      <c r="G311" s="67" t="n">
        <f aca="false">G309+G310</f>
        <v>-6782.42389333334</v>
      </c>
      <c r="H311" s="67" t="n">
        <f aca="false">H309+H310</f>
        <v>-5588.82835555556</v>
      </c>
      <c r="I311" s="67" t="n">
        <f aca="false">I309+I310</f>
        <v>-4395.23281777778</v>
      </c>
      <c r="J311" s="67" t="n">
        <f aca="false">J309+J310</f>
        <v>394.029386666677</v>
      </c>
      <c r="K311" s="67" t="n">
        <f aca="false">K309+K310</f>
        <v>5183.29159111111</v>
      </c>
      <c r="L311" s="67" t="n">
        <f aca="false">L309+L310</f>
        <v>6376.8871288889</v>
      </c>
      <c r="M311" s="67" t="n">
        <f aca="false">M309+M310</f>
        <v>5524.10935111112</v>
      </c>
      <c r="N311" s="67" t="n">
        <f aca="false">N309+N310</f>
        <v>5537.99824000001</v>
      </c>
      <c r="O311" s="67" t="n">
        <f aca="false">O309+O310</f>
        <v>6646.90905848889</v>
      </c>
      <c r="P311" s="67" t="n">
        <f aca="false">P309+P310</f>
        <v>6660.79794737778</v>
      </c>
      <c r="Q311" s="67" t="n">
        <f aca="false">Q309+Q310</f>
        <v>6674.68683626667</v>
      </c>
      <c r="R311" s="67" t="n">
        <f aca="false">R309+R310</f>
        <v>6688.57572515556</v>
      </c>
      <c r="S311" s="67" t="n">
        <f aca="false">S309+S310</f>
        <v>6702.46461404445</v>
      </c>
      <c r="T311" s="67" t="n">
        <f aca="false">T309+T310</f>
        <v>6716.35350293334</v>
      </c>
      <c r="U311" s="67" t="n">
        <f aca="false">U309+U310</f>
        <v>6730.24239182222</v>
      </c>
      <c r="V311" s="67" t="n">
        <f aca="false">V309+V310</f>
        <v>6744.13128071111</v>
      </c>
      <c r="W311" s="67" t="n">
        <f aca="false">W309+W310</f>
        <v>6758.0201696</v>
      </c>
      <c r="X311" s="67" t="n">
        <f aca="false">X309+X310</f>
        <v>6771.90905848889</v>
      </c>
      <c r="Y311" s="67" t="n">
        <f aca="false">Y309+Y310</f>
        <v>6785.79794737778</v>
      </c>
      <c r="Z311" s="67" t="n">
        <f aca="false">Z309+Z310</f>
        <v>6799.68683626667</v>
      </c>
      <c r="AA311" s="67" t="n">
        <f aca="false">AA309+AA310</f>
        <v>7969.80859193956</v>
      </c>
      <c r="AB311" s="67" t="n">
        <f aca="false">AB309+AB310</f>
        <v>7983.69748082845</v>
      </c>
      <c r="AC311" s="67" t="n">
        <f aca="false">AC309+AC310</f>
        <v>7997.58636971734</v>
      </c>
      <c r="AD311" s="67" t="n">
        <f aca="false">AD309+AD310</f>
        <v>8011.47525860623</v>
      </c>
      <c r="AE311" s="67" t="n">
        <f aca="false">AE309+AE310</f>
        <v>8025.36414749512</v>
      </c>
      <c r="AF311" s="67" t="n">
        <f aca="false">AF309+AF310</f>
        <v>8039.253036384</v>
      </c>
      <c r="AG311" s="67" t="n">
        <f aca="false">AG309+AG310</f>
        <v>8053.14192527289</v>
      </c>
      <c r="AH311" s="67" t="n">
        <f aca="false">AH309+AH310</f>
        <v>8067.03081416178</v>
      </c>
      <c r="AI311" s="67" t="n">
        <f aca="false">AI309+AI310</f>
        <v>8080.91970305067</v>
      </c>
      <c r="AJ311" s="67" t="n">
        <f aca="false">AJ309+AJ310</f>
        <v>8094.80859193956</v>
      </c>
      <c r="AK311" s="67" t="n">
        <f aca="false">AK309+AK310</f>
        <v>8108.69748082845</v>
      </c>
      <c r="AL311" s="67" t="n">
        <f aca="false">AL309+AL310</f>
        <v>8122.58636971734</v>
      </c>
      <c r="AM311" s="67" t="n">
        <f aca="false">AM309+AM310</f>
        <v>9356.79980186159</v>
      </c>
      <c r="AN311" s="67" t="n">
        <f aca="false">AN309+AN310</f>
        <v>9370.68869075048</v>
      </c>
      <c r="AO311" s="67" t="n">
        <f aca="false">AO309+AO310</f>
        <v>9384.57757963937</v>
      </c>
      <c r="AP311" s="67" t="n">
        <f aca="false">AP309+AP310</f>
        <v>9398.46646852826</v>
      </c>
      <c r="AQ311" s="67" t="n">
        <f aca="false">AQ309+AQ310</f>
        <v>9412.35535741715</v>
      </c>
      <c r="AR311" s="67" t="n">
        <f aca="false">AR309+AR310</f>
        <v>9426.24424630603</v>
      </c>
      <c r="AS311" s="67" t="n">
        <f aca="false">AS309+AS310</f>
        <v>9440.13313519492</v>
      </c>
      <c r="AT311" s="67" t="n">
        <f aca="false">AT309+AT310</f>
        <v>9454.02202408381</v>
      </c>
      <c r="AU311" s="67" t="n">
        <f aca="false">AU309+AU310</f>
        <v>9467.9109129727</v>
      </c>
      <c r="AV311" s="67" t="n">
        <f aca="false">AV309+AV310</f>
        <v>9481.79980186159</v>
      </c>
      <c r="AW311" s="67" t="n">
        <f aca="false">AW309+AW310</f>
        <v>9495.68869075048</v>
      </c>
      <c r="AX311" s="67" t="n">
        <f aca="false">AX309+AX310</f>
        <v>9509.57757963937</v>
      </c>
      <c r="AY311" s="67" t="n">
        <f aca="false">AY309+AY310</f>
        <v>10810.8916261678</v>
      </c>
      <c r="AZ311" s="67" t="n">
        <f aca="false">AZ309+AZ310</f>
        <v>10824.7805150567</v>
      </c>
      <c r="BA311" s="67" t="n">
        <f aca="false">BA309+BA310</f>
        <v>10838.6694039456</v>
      </c>
      <c r="BB311" s="67" t="n">
        <f aca="false">BB309+BB310</f>
        <v>10852.5582928345</v>
      </c>
      <c r="BC311" s="67" t="n">
        <f aca="false">BC309+BC310</f>
        <v>10866.4471817234</v>
      </c>
      <c r="BD311" s="67" t="n">
        <f aca="false">BD309+BD310</f>
        <v>10880.3360706123</v>
      </c>
      <c r="BE311" s="67" t="n">
        <f aca="false">BE309+BE310</f>
        <v>10894.2249595012</v>
      </c>
      <c r="BF311" s="67" t="n">
        <f aca="false">BF309+BF310</f>
        <v>10908.11384839</v>
      </c>
      <c r="BG311" s="67" t="n">
        <f aca="false">BG309+BG310</f>
        <v>10922.0027372789</v>
      </c>
      <c r="BH311" s="67" t="n">
        <f aca="false">BH309+BH310</f>
        <v>10935.8916261678</v>
      </c>
      <c r="BI311" s="67" t="n">
        <f aca="false">BI309+BI310</f>
        <v>10949.7805150567</v>
      </c>
      <c r="BJ311" s="67" t="n">
        <f aca="false">BJ309+BJ310</f>
        <v>10963.6694039456</v>
      </c>
    </row>
    <row r="312" customFormat="false" ht="15" hidden="false" customHeight="false" outlineLevel="0" collapsed="false">
      <c r="A312" s="114" t="s">
        <v>437</v>
      </c>
      <c r="C312" s="66" t="n">
        <f aca="false">C311</f>
        <v>-16607.8616</v>
      </c>
      <c r="D312" s="66" t="n">
        <f aca="false">C312+D311</f>
        <v>-37758.0721066667</v>
      </c>
      <c r="E312" s="66" t="n">
        <f aca="false">D312+E311</f>
        <v>-54119.0204088889</v>
      </c>
      <c r="F312" s="66" t="n">
        <f aca="false">E312+F311</f>
        <v>-65690.7065066667</v>
      </c>
      <c r="G312" s="66" t="n">
        <f aca="false">F312+G311</f>
        <v>-72473.1304</v>
      </c>
      <c r="H312" s="66" t="n">
        <f aca="false">G312+H311</f>
        <v>-78061.9587555556</v>
      </c>
      <c r="I312" s="66" t="n">
        <f aca="false">H312+I311</f>
        <v>-82457.1915733334</v>
      </c>
      <c r="J312" s="66" t="n">
        <f aca="false">I312+J311</f>
        <v>-82063.1621866667</v>
      </c>
      <c r="K312" s="66" t="n">
        <f aca="false">J312+K311</f>
        <v>-76879.8705955556</v>
      </c>
      <c r="L312" s="66" t="n">
        <f aca="false">K312+L311</f>
        <v>-70502.9834666667</v>
      </c>
      <c r="M312" s="66" t="n">
        <f aca="false">L312+M311</f>
        <v>-64978.8741155556</v>
      </c>
      <c r="N312" s="66" t="n">
        <f aca="false">M312+N311</f>
        <v>-59440.8758755556</v>
      </c>
      <c r="O312" s="66" t="n">
        <f aca="false">N312+O311</f>
        <v>-52793.9668170667</v>
      </c>
      <c r="P312" s="66" t="n">
        <f aca="false">O312+P311</f>
        <v>-46133.1688696889</v>
      </c>
      <c r="Q312" s="66" t="n">
        <f aca="false">P312+Q311</f>
        <v>-39458.4820334222</v>
      </c>
      <c r="R312" s="66" t="n">
        <f aca="false">Q312+R311</f>
        <v>-32769.9063082667</v>
      </c>
      <c r="S312" s="66" t="n">
        <f aca="false">R312+S311</f>
        <v>-26067.4416942222</v>
      </c>
      <c r="T312" s="66" t="n">
        <f aca="false">S312+T311</f>
        <v>-19351.0881912889</v>
      </c>
      <c r="U312" s="66" t="n">
        <f aca="false">T312+U311</f>
        <v>-12620.8457994666</v>
      </c>
      <c r="V312" s="66" t="n">
        <f aca="false">U312+V311</f>
        <v>-5876.71451875553</v>
      </c>
      <c r="W312" s="66" t="n">
        <f aca="false">V312+W311</f>
        <v>881.305650844473</v>
      </c>
      <c r="X312" s="66" t="n">
        <f aca="false">W312+X311</f>
        <v>7653.21470933336</v>
      </c>
      <c r="Y312" s="66" t="n">
        <f aca="false">X312+Y311</f>
        <v>14439.0126567111</v>
      </c>
      <c r="Z312" s="66" t="n">
        <f aca="false">Y312+Z311</f>
        <v>21238.6994929778</v>
      </c>
      <c r="AA312" s="66" t="n">
        <f aca="false">Z312+AA311</f>
        <v>29208.5080849174</v>
      </c>
      <c r="AB312" s="66" t="n">
        <f aca="false">AA312+AB311</f>
        <v>37192.2055657458</v>
      </c>
      <c r="AC312" s="66" t="n">
        <f aca="false">AB312+AC311</f>
        <v>45189.7919354632</v>
      </c>
      <c r="AD312" s="66" t="n">
        <f aca="false">AC312+AD311</f>
        <v>53201.2671940694</v>
      </c>
      <c r="AE312" s="66" t="n">
        <f aca="false">AD312+AE311</f>
        <v>61226.6313415645</v>
      </c>
      <c r="AF312" s="66" t="n">
        <f aca="false">AE312+AF311</f>
        <v>69265.8843779485</v>
      </c>
      <c r="AG312" s="66" t="n">
        <f aca="false">AF312+AG311</f>
        <v>77319.0263032214</v>
      </c>
      <c r="AH312" s="66" t="n">
        <f aca="false">AG312+AH311</f>
        <v>85386.0571173832</v>
      </c>
      <c r="AI312" s="66" t="n">
        <f aca="false">AH312+AI311</f>
        <v>93466.9768204339</v>
      </c>
      <c r="AJ312" s="66" t="n">
        <f aca="false">AI312+AJ311</f>
        <v>101561.785412373</v>
      </c>
      <c r="AK312" s="66" t="n">
        <f aca="false">AJ312+AK311</f>
        <v>109670.482893202</v>
      </c>
      <c r="AL312" s="66" t="n">
        <f aca="false">AK312+AL311</f>
        <v>117793.069262919</v>
      </c>
      <c r="AM312" s="66" t="n">
        <f aca="false">AL312+AM311</f>
        <v>127149.869064781</v>
      </c>
      <c r="AN312" s="66" t="n">
        <f aca="false">AM312+AN311</f>
        <v>136520.557755531</v>
      </c>
      <c r="AO312" s="66" t="n">
        <f aca="false">AN312+AO311</f>
        <v>145905.135335171</v>
      </c>
      <c r="AP312" s="66" t="n">
        <f aca="false">AO312+AP311</f>
        <v>155303.601803699</v>
      </c>
      <c r="AQ312" s="66" t="n">
        <f aca="false">AP312+AQ311</f>
        <v>164715.957161116</v>
      </c>
      <c r="AR312" s="66" t="n">
        <f aca="false">AQ312+AR311</f>
        <v>174142.201407422</v>
      </c>
      <c r="AS312" s="66" t="n">
        <f aca="false">AR312+AS311</f>
        <v>183582.334542617</v>
      </c>
      <c r="AT312" s="66" t="n">
        <f aca="false">AS312+AT311</f>
        <v>193036.356566701</v>
      </c>
      <c r="AU312" s="66" t="n">
        <f aca="false">AT312+AU311</f>
        <v>202504.267479674</v>
      </c>
      <c r="AV312" s="66" t="n">
        <f aca="false">AU312+AV311</f>
        <v>211986.067281535</v>
      </c>
      <c r="AW312" s="66" t="n">
        <f aca="false">AV312+AW311</f>
        <v>221481.755972286</v>
      </c>
      <c r="AX312" s="66" t="n">
        <f aca="false">AW312+AX311</f>
        <v>230991.333551925</v>
      </c>
      <c r="AY312" s="66" t="n">
        <f aca="false">AX312+AY311</f>
        <v>241802.225178093</v>
      </c>
      <c r="AZ312" s="66" t="n">
        <f aca="false">AY312+AZ311</f>
        <v>252627.00569315</v>
      </c>
      <c r="BA312" s="66" t="n">
        <f aca="false">AZ312+BA311</f>
        <v>263465.675097095</v>
      </c>
      <c r="BB312" s="66" t="n">
        <f aca="false">BA312+BB311</f>
        <v>274318.23338993</v>
      </c>
      <c r="BC312" s="66" t="n">
        <f aca="false">BB312+BC311</f>
        <v>285184.680571653</v>
      </c>
      <c r="BD312" s="66" t="n">
        <f aca="false">BC312+BD311</f>
        <v>296065.016642265</v>
      </c>
      <c r="BE312" s="66" t="n">
        <f aca="false">BD312+BE311</f>
        <v>306959.241601766</v>
      </c>
      <c r="BF312" s="66" t="n">
        <f aca="false">BE312+BF311</f>
        <v>317867.355450157</v>
      </c>
      <c r="BG312" s="66" t="n">
        <f aca="false">BF312+BG311</f>
        <v>328789.358187435</v>
      </c>
      <c r="BH312" s="66" t="n">
        <f aca="false">BG312+BH311</f>
        <v>339725.249813603</v>
      </c>
      <c r="BI312" s="66" t="n">
        <f aca="false">BH312+BI311</f>
        <v>350675.03032866</v>
      </c>
      <c r="BJ312" s="66" t="n">
        <f aca="false">BI312+BJ311</f>
        <v>361638.699732606</v>
      </c>
    </row>
    <row r="313" customFormat="false" ht="15" hidden="false" customHeight="false" outlineLevel="0" collapsed="false">
      <c r="A313" s="114" t="s">
        <v>438</v>
      </c>
      <c r="C313" s="66" t="n">
        <f aca="false">MAX(0,C312)</f>
        <v>0</v>
      </c>
      <c r="D313" s="66" t="n">
        <f aca="false">MAX(C313,D312)</f>
        <v>0</v>
      </c>
      <c r="E313" s="66" t="n">
        <f aca="false">MAX(D313,E312)</f>
        <v>0</v>
      </c>
      <c r="F313" s="66" t="n">
        <f aca="false">MAX(E313,F312)</f>
        <v>0</v>
      </c>
      <c r="G313" s="66" t="n">
        <f aca="false">MAX(F313,G312)</f>
        <v>0</v>
      </c>
      <c r="H313" s="66" t="n">
        <f aca="false">MAX(G313,H312)</f>
        <v>0</v>
      </c>
      <c r="I313" s="66" t="n">
        <f aca="false">MAX(H313,I312)</f>
        <v>0</v>
      </c>
      <c r="J313" s="66" t="n">
        <f aca="false">MAX(I313,J312)</f>
        <v>0</v>
      </c>
      <c r="K313" s="66" t="n">
        <f aca="false">MAX(J313,K312)</f>
        <v>0</v>
      </c>
      <c r="L313" s="66" t="n">
        <f aca="false">MAX(K313,L312)</f>
        <v>0</v>
      </c>
      <c r="M313" s="66" t="n">
        <f aca="false">MAX(L313,M312)</f>
        <v>0</v>
      </c>
      <c r="N313" s="66" t="n">
        <f aca="false">MAX(M313,N312)</f>
        <v>0</v>
      </c>
      <c r="O313" s="66" t="n">
        <f aca="false">MAX(N313,O312)</f>
        <v>0</v>
      </c>
      <c r="P313" s="66" t="n">
        <f aca="false">MAX(O313,P312)</f>
        <v>0</v>
      </c>
      <c r="Q313" s="66" t="n">
        <f aca="false">MAX(P313,Q312)</f>
        <v>0</v>
      </c>
      <c r="R313" s="66" t="n">
        <f aca="false">MAX(Q313,R312)</f>
        <v>0</v>
      </c>
      <c r="S313" s="66" t="n">
        <f aca="false">MAX(R313,S312)</f>
        <v>0</v>
      </c>
      <c r="T313" s="66" t="n">
        <f aca="false">MAX(S313,T312)</f>
        <v>0</v>
      </c>
      <c r="U313" s="66" t="n">
        <f aca="false">MAX(T313,U312)</f>
        <v>0</v>
      </c>
      <c r="V313" s="66" t="n">
        <f aca="false">MAX(U313,V312)</f>
        <v>0</v>
      </c>
      <c r="W313" s="66" t="n">
        <f aca="false">MAX(V313,W312)</f>
        <v>881.305650844473</v>
      </c>
      <c r="X313" s="66" t="n">
        <f aca="false">MAX(W313,X312)</f>
        <v>7653.21470933336</v>
      </c>
      <c r="Y313" s="66" t="n">
        <f aca="false">MAX(X313,Y312)</f>
        <v>14439.0126567111</v>
      </c>
      <c r="Z313" s="66" t="n">
        <f aca="false">MAX(Y313,Z312)</f>
        <v>21238.6994929778</v>
      </c>
      <c r="AA313" s="66" t="n">
        <f aca="false">MAX(Z313,AA312)</f>
        <v>29208.5080849174</v>
      </c>
      <c r="AB313" s="66" t="n">
        <f aca="false">MAX(AA313,AB312)</f>
        <v>37192.2055657458</v>
      </c>
      <c r="AC313" s="66" t="n">
        <f aca="false">MAX(AB313,AC312)</f>
        <v>45189.7919354632</v>
      </c>
      <c r="AD313" s="66" t="n">
        <f aca="false">MAX(AC313,AD312)</f>
        <v>53201.2671940694</v>
      </c>
      <c r="AE313" s="66" t="n">
        <f aca="false">MAX(AD313,AE312)</f>
        <v>61226.6313415645</v>
      </c>
      <c r="AF313" s="66" t="n">
        <f aca="false">MAX(AE313,AF312)</f>
        <v>69265.8843779485</v>
      </c>
      <c r="AG313" s="66" t="n">
        <f aca="false">MAX(AF313,AG312)</f>
        <v>77319.0263032214</v>
      </c>
      <c r="AH313" s="66" t="n">
        <f aca="false">MAX(AG313,AH312)</f>
        <v>85386.0571173832</v>
      </c>
      <c r="AI313" s="66" t="n">
        <f aca="false">MAX(AH313,AI312)</f>
        <v>93466.9768204339</v>
      </c>
      <c r="AJ313" s="66" t="n">
        <f aca="false">MAX(AI313,AJ312)</f>
        <v>101561.785412373</v>
      </c>
      <c r="AK313" s="66" t="n">
        <f aca="false">MAX(AJ313,AK312)</f>
        <v>109670.482893202</v>
      </c>
      <c r="AL313" s="66" t="n">
        <f aca="false">MAX(AK313,AL312)</f>
        <v>117793.069262919</v>
      </c>
      <c r="AM313" s="66" t="n">
        <f aca="false">MAX(AL313,AM312)</f>
        <v>127149.869064781</v>
      </c>
      <c r="AN313" s="66" t="n">
        <f aca="false">MAX(AM313,AN312)</f>
        <v>136520.557755531</v>
      </c>
      <c r="AO313" s="66" t="n">
        <f aca="false">MAX(AN313,AO312)</f>
        <v>145905.135335171</v>
      </c>
      <c r="AP313" s="66" t="n">
        <f aca="false">MAX(AO313,AP312)</f>
        <v>155303.601803699</v>
      </c>
      <c r="AQ313" s="66" t="n">
        <f aca="false">MAX(AP313,AQ312)</f>
        <v>164715.957161116</v>
      </c>
      <c r="AR313" s="66" t="n">
        <f aca="false">MAX(AQ313,AR312)</f>
        <v>174142.201407422</v>
      </c>
      <c r="AS313" s="66" t="n">
        <f aca="false">MAX(AR313,AS312)</f>
        <v>183582.334542617</v>
      </c>
      <c r="AT313" s="66" t="n">
        <f aca="false">MAX(AS313,AT312)</f>
        <v>193036.356566701</v>
      </c>
      <c r="AU313" s="66" t="n">
        <f aca="false">MAX(AT313,AU312)</f>
        <v>202504.267479674</v>
      </c>
      <c r="AV313" s="66" t="n">
        <f aca="false">MAX(AU313,AV312)</f>
        <v>211986.067281535</v>
      </c>
      <c r="AW313" s="66" t="n">
        <f aca="false">MAX(AV313,AW312)</f>
        <v>221481.755972286</v>
      </c>
      <c r="AX313" s="66" t="n">
        <f aca="false">MAX(AW313,AX312)</f>
        <v>230991.333551925</v>
      </c>
      <c r="AY313" s="66" t="n">
        <f aca="false">MAX(AX313,AY312)</f>
        <v>241802.225178093</v>
      </c>
      <c r="AZ313" s="66" t="n">
        <f aca="false">MAX(AY313,AZ312)</f>
        <v>252627.00569315</v>
      </c>
      <c r="BA313" s="66" t="n">
        <f aca="false">MAX(AZ313,BA312)</f>
        <v>263465.675097095</v>
      </c>
      <c r="BB313" s="66" t="n">
        <f aca="false">MAX(BA313,BB312)</f>
        <v>274318.23338993</v>
      </c>
      <c r="BC313" s="66" t="n">
        <f aca="false">MAX(BB313,BC312)</f>
        <v>285184.680571653</v>
      </c>
      <c r="BD313" s="66" t="n">
        <f aca="false">MAX(BC313,BD312)</f>
        <v>296065.016642265</v>
      </c>
      <c r="BE313" s="66" t="n">
        <f aca="false">MAX(BD313,BE312)</f>
        <v>306959.241601766</v>
      </c>
      <c r="BF313" s="66" t="n">
        <f aca="false">MAX(BE313,BF312)</f>
        <v>317867.355450157</v>
      </c>
      <c r="BG313" s="66" t="n">
        <f aca="false">MAX(BF313,BG312)</f>
        <v>328789.358187435</v>
      </c>
      <c r="BH313" s="66" t="n">
        <f aca="false">MAX(BG313,BH312)</f>
        <v>339725.249813603</v>
      </c>
      <c r="BI313" s="66" t="n">
        <f aca="false">MAX(BH313,BI312)</f>
        <v>350675.03032866</v>
      </c>
      <c r="BJ313" s="66" t="n">
        <f aca="false">MAX(BI313,BJ312)</f>
        <v>361638.699732606</v>
      </c>
    </row>
    <row r="314" customFormat="false" ht="15" hidden="false" customHeight="false" outlineLevel="0" collapsed="false">
      <c r="A314" s="6" t="s">
        <v>81</v>
      </c>
      <c r="C314" s="66" t="n">
        <f aca="false">-C313*Inputs!$D$85</f>
        <v>-0</v>
      </c>
      <c r="D314" s="66" t="n">
        <f aca="false">-(D313-C313)*Inputs!$D$85</f>
        <v>-0</v>
      </c>
      <c r="E314" s="66" t="n">
        <f aca="false">-(E313-D313)*Inputs!$D$85</f>
        <v>-0</v>
      </c>
      <c r="F314" s="66" t="n">
        <f aca="false">-(F313-E313)*Inputs!$D$85</f>
        <v>-0</v>
      </c>
      <c r="G314" s="66" t="n">
        <f aca="false">-(G313-F313)*Inputs!$D$85</f>
        <v>-0</v>
      </c>
      <c r="H314" s="66" t="n">
        <f aca="false">-(H313-G313)*Inputs!$D$85</f>
        <v>-0</v>
      </c>
      <c r="I314" s="66" t="n">
        <f aca="false">-(I313-H313)*Inputs!$D$85</f>
        <v>-0</v>
      </c>
      <c r="J314" s="66" t="n">
        <f aca="false">-(J313-I313)*Inputs!$D$85</f>
        <v>-0</v>
      </c>
      <c r="K314" s="66" t="n">
        <f aca="false">-(K313-J313)*Inputs!$D$85</f>
        <v>-0</v>
      </c>
      <c r="L314" s="66" t="n">
        <f aca="false">-(L313-K313)*Inputs!$D$85</f>
        <v>-0</v>
      </c>
      <c r="M314" s="66" t="n">
        <f aca="false">-(M313-L313)*Inputs!$D$85</f>
        <v>-0</v>
      </c>
      <c r="N314" s="66" t="n">
        <f aca="false">-(N313-M313)*Inputs!$D$85</f>
        <v>-0</v>
      </c>
      <c r="O314" s="66" t="n">
        <f aca="false">-(O313-N313)*Inputs!$D$85</f>
        <v>-0</v>
      </c>
      <c r="P314" s="66" t="n">
        <f aca="false">-(P313-O313)*Inputs!$D$85</f>
        <v>-0</v>
      </c>
      <c r="Q314" s="66" t="n">
        <f aca="false">-(Q313-P313)*Inputs!$D$85</f>
        <v>-0</v>
      </c>
      <c r="R314" s="66" t="n">
        <f aca="false">-(R313-Q313)*Inputs!$D$85</f>
        <v>-0</v>
      </c>
      <c r="S314" s="66" t="n">
        <f aca="false">-(S313-R313)*Inputs!$D$85</f>
        <v>-0</v>
      </c>
      <c r="T314" s="66" t="n">
        <f aca="false">-(T313-S313)*Inputs!$D$85</f>
        <v>-0</v>
      </c>
      <c r="U314" s="66" t="n">
        <f aca="false">-(U313-T313)*Inputs!$D$85</f>
        <v>-0</v>
      </c>
      <c r="V314" s="66" t="n">
        <f aca="false">-(V313-U313)*Inputs!$D$85</f>
        <v>-0</v>
      </c>
      <c r="W314" s="66" t="n">
        <f aca="false">-(W313-V313)*Inputs!$D$85</f>
        <v>-185.074186677339</v>
      </c>
      <c r="X314" s="66" t="n">
        <f aca="false">-(X313-W313)*Inputs!$D$85</f>
        <v>-1422.10090228267</v>
      </c>
      <c r="Y314" s="66" t="n">
        <f aca="false">-(Y313-X313)*Inputs!$D$85</f>
        <v>-1425.01756894933</v>
      </c>
      <c r="Z314" s="66" t="n">
        <f aca="false">-(Z313-Y313)*Inputs!$D$85</f>
        <v>-1427.934235616</v>
      </c>
      <c r="AA314" s="66" t="n">
        <f aca="false">-(AA313-Z313)*Inputs!$D$85</f>
        <v>-1673.65980430731</v>
      </c>
      <c r="AB314" s="66" t="n">
        <f aca="false">-(AB313-AA313)*Inputs!$D$85</f>
        <v>-1676.57647097397</v>
      </c>
      <c r="AC314" s="66" t="n">
        <f aca="false">-(AC313-AB313)*Inputs!$D$85</f>
        <v>-1679.49313764064</v>
      </c>
      <c r="AD314" s="66" t="n">
        <f aca="false">-(AD313-AC313)*Inputs!$D$85</f>
        <v>-1682.40980430731</v>
      </c>
      <c r="AE314" s="66" t="n">
        <f aca="false">-(AE313-AD313)*Inputs!$D$85</f>
        <v>-1685.32647097397</v>
      </c>
      <c r="AF314" s="66" t="n">
        <f aca="false">-(AF313-AE313)*Inputs!$D$85</f>
        <v>-1688.24313764064</v>
      </c>
      <c r="AG314" s="66" t="n">
        <f aca="false">-(AG313-AF313)*Inputs!$D$85</f>
        <v>-1691.15980430731</v>
      </c>
      <c r="AH314" s="66" t="n">
        <f aca="false">-(AH313-AG313)*Inputs!$D$85</f>
        <v>-1694.07647097398</v>
      </c>
      <c r="AI314" s="66" t="n">
        <f aca="false">-(AI313-AH313)*Inputs!$D$85</f>
        <v>-1696.99313764064</v>
      </c>
      <c r="AJ314" s="66" t="n">
        <f aca="false">-(AJ313-AI313)*Inputs!$D$85</f>
        <v>-1699.90980430731</v>
      </c>
      <c r="AK314" s="66" t="n">
        <f aca="false">-(AK313-AJ313)*Inputs!$D$85</f>
        <v>-1702.82647097397</v>
      </c>
      <c r="AL314" s="66" t="n">
        <f aca="false">-(AL313-AK313)*Inputs!$D$85</f>
        <v>-1705.74313764064</v>
      </c>
      <c r="AM314" s="66" t="n">
        <f aca="false">-(AM313-AL313)*Inputs!$D$85</f>
        <v>-1964.92795839093</v>
      </c>
      <c r="AN314" s="66" t="n">
        <f aca="false">-(AN313-AM313)*Inputs!$D$85</f>
        <v>-1967.8446250576</v>
      </c>
      <c r="AO314" s="66" t="n">
        <f aca="false">-(AO313-AN313)*Inputs!$D$85</f>
        <v>-1970.76129172427</v>
      </c>
      <c r="AP314" s="66" t="n">
        <f aca="false">-(AP313-AO313)*Inputs!$D$85</f>
        <v>-1973.67795839094</v>
      </c>
      <c r="AQ314" s="66" t="n">
        <f aca="false">-(AQ313-AP313)*Inputs!$D$85</f>
        <v>-1976.5946250576</v>
      </c>
      <c r="AR314" s="66" t="n">
        <f aca="false">-(AR313-AQ313)*Inputs!$D$85</f>
        <v>-1979.51129172427</v>
      </c>
      <c r="AS314" s="66" t="n">
        <f aca="false">-(AS313-AR313)*Inputs!$D$85</f>
        <v>-1982.42795839093</v>
      </c>
      <c r="AT314" s="66" t="n">
        <f aca="false">-(AT313-AS313)*Inputs!$D$85</f>
        <v>-1985.3446250576</v>
      </c>
      <c r="AU314" s="66" t="n">
        <f aca="false">-(AU313-AT313)*Inputs!$D$85</f>
        <v>-1988.26129172427</v>
      </c>
      <c r="AV314" s="66" t="n">
        <f aca="false">-(AV313-AU313)*Inputs!$D$85</f>
        <v>-1991.17795839094</v>
      </c>
      <c r="AW314" s="66" t="n">
        <f aca="false">-(AW313-AV313)*Inputs!$D$85</f>
        <v>-1994.0946250576</v>
      </c>
      <c r="AX314" s="66" t="n">
        <f aca="false">-(AX313-AW313)*Inputs!$D$85</f>
        <v>-1997.01129172427</v>
      </c>
      <c r="AY314" s="66" t="n">
        <f aca="false">-(AY313-AX313)*Inputs!$D$85</f>
        <v>-2270.28724149525</v>
      </c>
      <c r="AZ314" s="66" t="n">
        <f aca="false">-(AZ313-AY313)*Inputs!$D$85</f>
        <v>-2273.20390816191</v>
      </c>
      <c r="BA314" s="66" t="n">
        <f aca="false">-(BA313-AZ313)*Inputs!$D$85</f>
        <v>-2276.12057482858</v>
      </c>
      <c r="BB314" s="66" t="n">
        <f aca="false">-(BB313-BA313)*Inputs!$D$85</f>
        <v>-2279.03724149524</v>
      </c>
      <c r="BC314" s="66" t="n">
        <f aca="false">-(BC313-BB313)*Inputs!$D$85</f>
        <v>-2281.95390816191</v>
      </c>
      <c r="BD314" s="66" t="n">
        <f aca="false">-(BD313-BC313)*Inputs!$D$85</f>
        <v>-2284.87057482857</v>
      </c>
      <c r="BE314" s="66" t="n">
        <f aca="false">-(BE313-BD313)*Inputs!$D$85</f>
        <v>-2287.78724149525</v>
      </c>
      <c r="BF314" s="66" t="n">
        <f aca="false">-(BF313-BE313)*Inputs!$D$85</f>
        <v>-2290.70390816191</v>
      </c>
      <c r="BG314" s="66" t="n">
        <f aca="false">-(BG313-BF313)*Inputs!$D$85</f>
        <v>-2293.62057482858</v>
      </c>
      <c r="BH314" s="66" t="n">
        <f aca="false">-(BH313-BG313)*Inputs!$D$85</f>
        <v>-2296.53724149524</v>
      </c>
      <c r="BI314" s="66" t="n">
        <f aca="false">-(BI313-BH313)*Inputs!$D$85</f>
        <v>-2299.4539081619</v>
      </c>
      <c r="BJ314" s="66" t="n">
        <f aca="false">-(BJ313-BI313)*Inputs!$D$85</f>
        <v>-2302.37057482858</v>
      </c>
    </row>
    <row r="315" customFormat="false" ht="15" hidden="false" customHeight="false" outlineLevel="0" collapsed="false">
      <c r="A315" s="110" t="s">
        <v>50</v>
      </c>
      <c r="C315" s="67" t="n">
        <f aca="false">C311+C314</f>
        <v>-16607.8616</v>
      </c>
      <c r="D315" s="67" t="n">
        <f aca="false">D311+D314</f>
        <v>-21150.2105066667</v>
      </c>
      <c r="E315" s="67" t="n">
        <f aca="false">E311+E314</f>
        <v>-16360.9483022222</v>
      </c>
      <c r="F315" s="67" t="n">
        <f aca="false">F311+F314</f>
        <v>-11571.6860977778</v>
      </c>
      <c r="G315" s="67" t="n">
        <f aca="false">G311+G314</f>
        <v>-6782.42389333334</v>
      </c>
      <c r="H315" s="67" t="n">
        <f aca="false">H311+H314</f>
        <v>-5588.82835555556</v>
      </c>
      <c r="I315" s="67" t="n">
        <f aca="false">I311+I314</f>
        <v>-4395.23281777778</v>
      </c>
      <c r="J315" s="67" t="n">
        <f aca="false">J311+J314</f>
        <v>394.029386666677</v>
      </c>
      <c r="K315" s="67" t="n">
        <f aca="false">K311+K314</f>
        <v>5183.29159111111</v>
      </c>
      <c r="L315" s="67" t="n">
        <f aca="false">L311+L314</f>
        <v>6376.8871288889</v>
      </c>
      <c r="M315" s="67" t="n">
        <f aca="false">M311+M314</f>
        <v>5524.10935111112</v>
      </c>
      <c r="N315" s="67" t="n">
        <f aca="false">N311+N314</f>
        <v>5537.99824000001</v>
      </c>
      <c r="O315" s="67" t="n">
        <f aca="false">O311+O314</f>
        <v>6646.90905848889</v>
      </c>
      <c r="P315" s="67" t="n">
        <f aca="false">P311+P314</f>
        <v>6660.79794737778</v>
      </c>
      <c r="Q315" s="67" t="n">
        <f aca="false">Q311+Q314</f>
        <v>6674.68683626667</v>
      </c>
      <c r="R315" s="67" t="n">
        <f aca="false">R311+R314</f>
        <v>6688.57572515556</v>
      </c>
      <c r="S315" s="67" t="n">
        <f aca="false">S311+S314</f>
        <v>6702.46461404445</v>
      </c>
      <c r="T315" s="67" t="n">
        <f aca="false">T311+T314</f>
        <v>6716.35350293334</v>
      </c>
      <c r="U315" s="67" t="n">
        <f aca="false">U311+U314</f>
        <v>6730.24239182222</v>
      </c>
      <c r="V315" s="67" t="n">
        <f aca="false">V311+V314</f>
        <v>6744.13128071111</v>
      </c>
      <c r="W315" s="67" t="n">
        <f aca="false">W311+W314</f>
        <v>6572.94598292266</v>
      </c>
      <c r="X315" s="67" t="n">
        <f aca="false">X311+X314</f>
        <v>5349.80815620622</v>
      </c>
      <c r="Y315" s="67" t="n">
        <f aca="false">Y311+Y314</f>
        <v>5360.78037842845</v>
      </c>
      <c r="Z315" s="67" t="n">
        <f aca="false">Z311+Z314</f>
        <v>5371.75260065067</v>
      </c>
      <c r="AA315" s="67" t="n">
        <f aca="false">AA311+AA314</f>
        <v>6296.14878763225</v>
      </c>
      <c r="AB315" s="67" t="n">
        <f aca="false">AB311+AB314</f>
        <v>6307.12100985447</v>
      </c>
      <c r="AC315" s="67" t="n">
        <f aca="false">AC311+AC314</f>
        <v>6318.0932320767</v>
      </c>
      <c r="AD315" s="67" t="n">
        <f aca="false">AD311+AD314</f>
        <v>6329.06545429892</v>
      </c>
      <c r="AE315" s="67" t="n">
        <f aca="false">AE311+AE314</f>
        <v>6340.03767652114</v>
      </c>
      <c r="AF315" s="67" t="n">
        <f aca="false">AF311+AF314</f>
        <v>6351.00989874336</v>
      </c>
      <c r="AG315" s="67" t="n">
        <f aca="false">AG311+AG314</f>
        <v>6361.98212096559</v>
      </c>
      <c r="AH315" s="67" t="n">
        <f aca="false">AH311+AH314</f>
        <v>6372.95434318781</v>
      </c>
      <c r="AI315" s="67" t="n">
        <f aca="false">AI311+AI314</f>
        <v>6383.92656541003</v>
      </c>
      <c r="AJ315" s="67" t="n">
        <f aca="false">AJ311+AJ314</f>
        <v>6394.89878763225</v>
      </c>
      <c r="AK315" s="67" t="n">
        <f aca="false">AK311+AK314</f>
        <v>6405.87100985448</v>
      </c>
      <c r="AL315" s="67" t="n">
        <f aca="false">AL311+AL314</f>
        <v>6416.8432320767</v>
      </c>
      <c r="AM315" s="67" t="n">
        <f aca="false">AM311+AM314</f>
        <v>7391.87184347066</v>
      </c>
      <c r="AN315" s="67" t="n">
        <f aca="false">AN311+AN314</f>
        <v>7402.84406569288</v>
      </c>
      <c r="AO315" s="67" t="n">
        <f aca="false">AO311+AO314</f>
        <v>7413.8162879151</v>
      </c>
      <c r="AP315" s="67" t="n">
        <f aca="false">AP311+AP314</f>
        <v>7424.78851013732</v>
      </c>
      <c r="AQ315" s="67" t="n">
        <f aca="false">AQ311+AQ314</f>
        <v>7435.76073235955</v>
      </c>
      <c r="AR315" s="67" t="n">
        <f aca="false">AR311+AR314</f>
        <v>7446.73295458177</v>
      </c>
      <c r="AS315" s="67" t="n">
        <f aca="false">AS311+AS314</f>
        <v>7457.70517680399</v>
      </c>
      <c r="AT315" s="67" t="n">
        <f aca="false">AT311+AT314</f>
        <v>7468.67739902621</v>
      </c>
      <c r="AU315" s="67" t="n">
        <f aca="false">AU311+AU314</f>
        <v>7479.64962124843</v>
      </c>
      <c r="AV315" s="67" t="n">
        <f aca="false">AV311+AV314</f>
        <v>7490.62184347065</v>
      </c>
      <c r="AW315" s="67" t="n">
        <f aca="false">AW311+AW314</f>
        <v>7501.59406569288</v>
      </c>
      <c r="AX315" s="67" t="n">
        <f aca="false">AX311+AX314</f>
        <v>7512.5662879151</v>
      </c>
      <c r="AY315" s="67" t="n">
        <f aca="false">AY311+AY314</f>
        <v>8540.60438467258</v>
      </c>
      <c r="AZ315" s="67" t="n">
        <f aca="false">AZ311+AZ314</f>
        <v>8551.57660689481</v>
      </c>
      <c r="BA315" s="67" t="n">
        <f aca="false">BA311+BA314</f>
        <v>8562.54882911702</v>
      </c>
      <c r="BB315" s="67" t="n">
        <f aca="false">BB311+BB314</f>
        <v>8573.52105133925</v>
      </c>
      <c r="BC315" s="67" t="n">
        <f aca="false">BC311+BC314</f>
        <v>8584.49327356148</v>
      </c>
      <c r="BD315" s="67" t="n">
        <f aca="false">BD311+BD314</f>
        <v>8595.4654957837</v>
      </c>
      <c r="BE315" s="67" t="n">
        <f aca="false">BE311+BE314</f>
        <v>8606.43771800591</v>
      </c>
      <c r="BF315" s="67" t="n">
        <f aca="false">BF311+BF314</f>
        <v>8617.40994022814</v>
      </c>
      <c r="BG315" s="67" t="n">
        <f aca="false">BG311+BG314</f>
        <v>8628.38216245036</v>
      </c>
      <c r="BH315" s="67" t="n">
        <f aca="false">BH311+BH314</f>
        <v>8639.35438467259</v>
      </c>
      <c r="BI315" s="67" t="n">
        <f aca="false">BI311+BI314</f>
        <v>8650.32660689481</v>
      </c>
      <c r="BJ315" s="67" t="n">
        <f aca="false">BJ311+BJ314</f>
        <v>8661.29882911703</v>
      </c>
    </row>
    <row r="317" customFormat="false" ht="15.75" hidden="false" customHeight="true" outlineLevel="0" collapsed="false">
      <c r="A317" s="7" t="s">
        <v>439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customFormat="false" ht="15" hidden="false" customHeight="false" outlineLevel="0" collapsed="false">
      <c r="A318" s="6" t="s">
        <v>440</v>
      </c>
      <c r="C318" s="66" t="n">
        <f aca="false">MAX(0,Inputs!$D$7-Inputs!$D$52)*Inputs!$D$37*Inputs!$D$50</f>
        <v>270000</v>
      </c>
      <c r="D318" s="66" t="n">
        <f aca="false">IF(AND(D$259&gt;1,MOD(D$258-1,12)=0),Inputs!$D$8,0)*Inputs!$D$37*Inputs!$D$50</f>
        <v>0</v>
      </c>
      <c r="E318" s="66" t="n">
        <f aca="false">IF(AND(E$259&gt;1,MOD(E$258-1,12)=0),Inputs!$D$8,0)*Inputs!$D$37*Inputs!$D$50</f>
        <v>0</v>
      </c>
      <c r="F318" s="66" t="n">
        <f aca="false">IF(AND(F$259&gt;1,MOD(F$258-1,12)=0),Inputs!$D$8,0)*Inputs!$D$37*Inputs!$D$50</f>
        <v>0</v>
      </c>
      <c r="G318" s="66" t="n">
        <f aca="false">IF(AND(G$259&gt;1,MOD(G$258-1,12)=0),Inputs!$D$8,0)*Inputs!$D$37*Inputs!$D$50</f>
        <v>0</v>
      </c>
      <c r="H318" s="66" t="n">
        <f aca="false">IF(AND(H$259&gt;1,MOD(H$258-1,12)=0),Inputs!$D$8,0)*Inputs!$D$37*Inputs!$D$50</f>
        <v>0</v>
      </c>
      <c r="I318" s="66" t="n">
        <f aca="false">IF(AND(I$259&gt;1,MOD(I$258-1,12)=0),Inputs!$D$8,0)*Inputs!$D$37*Inputs!$D$50</f>
        <v>0</v>
      </c>
      <c r="J318" s="66" t="n">
        <f aca="false">IF(AND(J$259&gt;1,MOD(J$258-1,12)=0),Inputs!$D$8,0)*Inputs!$D$37*Inputs!$D$50</f>
        <v>0</v>
      </c>
      <c r="K318" s="66" t="n">
        <f aca="false">IF(AND(K$259&gt;1,MOD(K$258-1,12)=0),Inputs!$D$8,0)*Inputs!$D$37*Inputs!$D$50</f>
        <v>0</v>
      </c>
      <c r="L318" s="66" t="n">
        <f aca="false">IF(AND(L$259&gt;1,MOD(L$258-1,12)=0),Inputs!$D$8,0)*Inputs!$D$37*Inputs!$D$50</f>
        <v>0</v>
      </c>
      <c r="M318" s="66" t="n">
        <f aca="false">IF(AND(M$259&gt;1,MOD(M$258-1,12)=0),Inputs!$D$8,0)*Inputs!$D$37*Inputs!$D$50</f>
        <v>0</v>
      </c>
      <c r="N318" s="66" t="n">
        <f aca="false">IF(AND(N$259&gt;1,MOD(N$258-1,12)=0),Inputs!$D$8,0)*Inputs!$D$37*Inputs!$D$50</f>
        <v>0</v>
      </c>
      <c r="O318" s="66" t="n">
        <f aca="false">IF(AND(O$259&gt;1,MOD(O$258-1,12)=0),Inputs!$D$8,0)*Inputs!$D$37*Inputs!$D$50</f>
        <v>0</v>
      </c>
      <c r="P318" s="66" t="n">
        <f aca="false">IF(AND(P$259&gt;1,MOD(P$258-1,12)=0),Inputs!$D$8,0)*Inputs!$D$37*Inputs!$D$50</f>
        <v>0</v>
      </c>
      <c r="Q318" s="66" t="n">
        <f aca="false">IF(AND(Q$259&gt;1,MOD(Q$258-1,12)=0),Inputs!$D$8,0)*Inputs!$D$37*Inputs!$D$50</f>
        <v>0</v>
      </c>
      <c r="R318" s="66" t="n">
        <f aca="false">IF(AND(R$259&gt;1,MOD(R$258-1,12)=0),Inputs!$D$8,0)*Inputs!$D$37*Inputs!$D$50</f>
        <v>0</v>
      </c>
      <c r="S318" s="66" t="n">
        <f aca="false">IF(AND(S$259&gt;1,MOD(S$258-1,12)=0),Inputs!$D$8,0)*Inputs!$D$37*Inputs!$D$50</f>
        <v>0</v>
      </c>
      <c r="T318" s="66" t="n">
        <f aca="false">IF(AND(T$259&gt;1,MOD(T$258-1,12)=0),Inputs!$D$8,0)*Inputs!$D$37*Inputs!$D$50</f>
        <v>0</v>
      </c>
      <c r="U318" s="66" t="n">
        <f aca="false">IF(AND(U$259&gt;1,MOD(U$258-1,12)=0),Inputs!$D$8,0)*Inputs!$D$37*Inputs!$D$50</f>
        <v>0</v>
      </c>
      <c r="V318" s="66" t="n">
        <f aca="false">IF(AND(V$259&gt;1,MOD(V$258-1,12)=0),Inputs!$D$8,0)*Inputs!$D$37*Inputs!$D$50</f>
        <v>0</v>
      </c>
      <c r="W318" s="66" t="n">
        <f aca="false">IF(AND(W$259&gt;1,MOD(W$258-1,12)=0),Inputs!$D$8,0)*Inputs!$D$37*Inputs!$D$50</f>
        <v>0</v>
      </c>
      <c r="X318" s="66" t="n">
        <f aca="false">IF(AND(X$259&gt;1,MOD(X$258-1,12)=0),Inputs!$D$8,0)*Inputs!$D$37*Inputs!$D$50</f>
        <v>0</v>
      </c>
      <c r="Y318" s="66" t="n">
        <f aca="false">IF(AND(Y$259&gt;1,MOD(Y$258-1,12)=0),Inputs!$D$8,0)*Inputs!$D$37*Inputs!$D$50</f>
        <v>0</v>
      </c>
      <c r="Z318" s="66" t="n">
        <f aca="false">IF(AND(Z$259&gt;1,MOD(Z$258-1,12)=0),Inputs!$D$8,0)*Inputs!$D$37*Inputs!$D$50</f>
        <v>0</v>
      </c>
      <c r="AA318" s="66" t="n">
        <f aca="false">IF(AND(AA$259&gt;1,MOD(AA$258-1,12)=0),Inputs!$D$8,0)*Inputs!$D$37*Inputs!$D$50</f>
        <v>0</v>
      </c>
      <c r="AB318" s="66" t="n">
        <f aca="false">IF(AND(AB$259&gt;1,MOD(AB$258-1,12)=0),Inputs!$D$8,0)*Inputs!$D$37*Inputs!$D$50</f>
        <v>0</v>
      </c>
      <c r="AC318" s="66" t="n">
        <f aca="false">IF(AND(AC$259&gt;1,MOD(AC$258-1,12)=0),Inputs!$D$8,0)*Inputs!$D$37*Inputs!$D$50</f>
        <v>0</v>
      </c>
      <c r="AD318" s="66" t="n">
        <f aca="false">IF(AND(AD$259&gt;1,MOD(AD$258-1,12)=0),Inputs!$D$8,0)*Inputs!$D$37*Inputs!$D$50</f>
        <v>0</v>
      </c>
      <c r="AE318" s="66" t="n">
        <f aca="false">IF(AND(AE$259&gt;1,MOD(AE$258-1,12)=0),Inputs!$D$8,0)*Inputs!$D$37*Inputs!$D$50</f>
        <v>0</v>
      </c>
      <c r="AF318" s="66" t="n">
        <f aca="false">IF(AND(AF$259&gt;1,MOD(AF$258-1,12)=0),Inputs!$D$8,0)*Inputs!$D$37*Inputs!$D$50</f>
        <v>0</v>
      </c>
      <c r="AG318" s="66" t="n">
        <f aca="false">IF(AND(AG$259&gt;1,MOD(AG$258-1,12)=0),Inputs!$D$8,0)*Inputs!$D$37*Inputs!$D$50</f>
        <v>0</v>
      </c>
      <c r="AH318" s="66" t="n">
        <f aca="false">IF(AND(AH$259&gt;1,MOD(AH$258-1,12)=0),Inputs!$D$8,0)*Inputs!$D$37*Inputs!$D$50</f>
        <v>0</v>
      </c>
      <c r="AI318" s="66" t="n">
        <f aca="false">IF(AND(AI$259&gt;1,MOD(AI$258-1,12)=0),Inputs!$D$8,0)*Inputs!$D$37*Inputs!$D$50</f>
        <v>0</v>
      </c>
      <c r="AJ318" s="66" t="n">
        <f aca="false">IF(AND(AJ$259&gt;1,MOD(AJ$258-1,12)=0),Inputs!$D$8,0)*Inputs!$D$37*Inputs!$D$50</f>
        <v>0</v>
      </c>
      <c r="AK318" s="66" t="n">
        <f aca="false">IF(AND(AK$259&gt;1,MOD(AK$258-1,12)=0),Inputs!$D$8,0)*Inputs!$D$37*Inputs!$D$50</f>
        <v>0</v>
      </c>
      <c r="AL318" s="66" t="n">
        <f aca="false">IF(AND(AL$259&gt;1,MOD(AL$258-1,12)=0),Inputs!$D$8,0)*Inputs!$D$37*Inputs!$D$50</f>
        <v>0</v>
      </c>
      <c r="AM318" s="66" t="n">
        <f aca="false">IF(AND(AM$259&gt;1,MOD(AM$258-1,12)=0),Inputs!$D$8,0)*Inputs!$D$37*Inputs!$D$50</f>
        <v>0</v>
      </c>
      <c r="AN318" s="66" t="n">
        <f aca="false">IF(AND(AN$259&gt;1,MOD(AN$258-1,12)=0),Inputs!$D$8,0)*Inputs!$D$37*Inputs!$D$50</f>
        <v>0</v>
      </c>
      <c r="AO318" s="66" t="n">
        <f aca="false">IF(AND(AO$259&gt;1,MOD(AO$258-1,12)=0),Inputs!$D$8,0)*Inputs!$D$37*Inputs!$D$50</f>
        <v>0</v>
      </c>
      <c r="AP318" s="66" t="n">
        <f aca="false">IF(AND(AP$259&gt;1,MOD(AP$258-1,12)=0),Inputs!$D$8,0)*Inputs!$D$37*Inputs!$D$50</f>
        <v>0</v>
      </c>
      <c r="AQ318" s="66" t="n">
        <f aca="false">IF(AND(AQ$259&gt;1,MOD(AQ$258-1,12)=0),Inputs!$D$8,0)*Inputs!$D$37*Inputs!$D$50</f>
        <v>0</v>
      </c>
      <c r="AR318" s="66" t="n">
        <f aca="false">IF(AND(AR$259&gt;1,MOD(AR$258-1,12)=0),Inputs!$D$8,0)*Inputs!$D$37*Inputs!$D$50</f>
        <v>0</v>
      </c>
      <c r="AS318" s="66" t="n">
        <f aca="false">IF(AND(AS$259&gt;1,MOD(AS$258-1,12)=0),Inputs!$D$8,0)*Inputs!$D$37*Inputs!$D$50</f>
        <v>0</v>
      </c>
      <c r="AT318" s="66" t="n">
        <f aca="false">IF(AND(AT$259&gt;1,MOD(AT$258-1,12)=0),Inputs!$D$8,0)*Inputs!$D$37*Inputs!$D$50</f>
        <v>0</v>
      </c>
      <c r="AU318" s="66" t="n">
        <f aca="false">IF(AND(AU$259&gt;1,MOD(AU$258-1,12)=0),Inputs!$D$8,0)*Inputs!$D$37*Inputs!$D$50</f>
        <v>0</v>
      </c>
      <c r="AV318" s="66" t="n">
        <f aca="false">IF(AND(AV$259&gt;1,MOD(AV$258-1,12)=0),Inputs!$D$8,0)*Inputs!$D$37*Inputs!$D$50</f>
        <v>0</v>
      </c>
      <c r="AW318" s="66" t="n">
        <f aca="false">IF(AND(AW$259&gt;1,MOD(AW$258-1,12)=0),Inputs!$D$8,0)*Inputs!$D$37*Inputs!$D$50</f>
        <v>0</v>
      </c>
      <c r="AX318" s="66" t="n">
        <f aca="false">IF(AND(AX$259&gt;1,MOD(AX$258-1,12)=0),Inputs!$D$8,0)*Inputs!$D$37*Inputs!$D$50</f>
        <v>0</v>
      </c>
      <c r="AY318" s="66" t="n">
        <f aca="false">IF(AND(AY$259&gt;1,MOD(AY$258-1,12)=0),Inputs!$D$8,0)*Inputs!$D$37*Inputs!$D$50</f>
        <v>0</v>
      </c>
      <c r="AZ318" s="66" t="n">
        <f aca="false">IF(AND(AZ$259&gt;1,MOD(AZ$258-1,12)=0),Inputs!$D$8,0)*Inputs!$D$37*Inputs!$D$50</f>
        <v>0</v>
      </c>
      <c r="BA318" s="66" t="n">
        <f aca="false">IF(AND(BA$259&gt;1,MOD(BA$258-1,12)=0),Inputs!$D$8,0)*Inputs!$D$37*Inputs!$D$50</f>
        <v>0</v>
      </c>
      <c r="BB318" s="66" t="n">
        <f aca="false">IF(AND(BB$259&gt;1,MOD(BB$258-1,12)=0),Inputs!$D$8,0)*Inputs!$D$37*Inputs!$D$50</f>
        <v>0</v>
      </c>
      <c r="BC318" s="66" t="n">
        <f aca="false">IF(AND(BC$259&gt;1,MOD(BC$258-1,12)=0),Inputs!$D$8,0)*Inputs!$D$37*Inputs!$D$50</f>
        <v>0</v>
      </c>
      <c r="BD318" s="66" t="n">
        <f aca="false">IF(AND(BD$259&gt;1,MOD(BD$258-1,12)=0),Inputs!$D$8,0)*Inputs!$D$37*Inputs!$D$50</f>
        <v>0</v>
      </c>
      <c r="BE318" s="66" t="n">
        <f aca="false">IF(AND(BE$259&gt;1,MOD(BE$258-1,12)=0),Inputs!$D$8,0)*Inputs!$D$37*Inputs!$D$50</f>
        <v>0</v>
      </c>
      <c r="BF318" s="66" t="n">
        <f aca="false">IF(AND(BF$259&gt;1,MOD(BF$258-1,12)=0),Inputs!$D$8,0)*Inputs!$D$37*Inputs!$D$50</f>
        <v>0</v>
      </c>
      <c r="BG318" s="66" t="n">
        <f aca="false">IF(AND(BG$259&gt;1,MOD(BG$258-1,12)=0),Inputs!$D$8,0)*Inputs!$D$37*Inputs!$D$50</f>
        <v>0</v>
      </c>
      <c r="BH318" s="66" t="n">
        <f aca="false">IF(AND(BH$259&gt;1,MOD(BH$258-1,12)=0),Inputs!$D$8,0)*Inputs!$D$37*Inputs!$D$50</f>
        <v>0</v>
      </c>
      <c r="BI318" s="66" t="n">
        <f aca="false">IF(AND(BI$259&gt;1,MOD(BI$258-1,12)=0),Inputs!$D$8,0)*Inputs!$D$37*Inputs!$D$50</f>
        <v>0</v>
      </c>
      <c r="BJ318" s="66" t="n">
        <f aca="false">IF(AND(BJ$259&gt;1,MOD(BJ$258-1,12)=0),Inputs!$D$8,0)*Inputs!$D$37*Inputs!$D$50</f>
        <v>0</v>
      </c>
    </row>
    <row r="319" customFormat="false" ht="15" hidden="false" customHeight="false" outlineLevel="0" collapsed="false">
      <c r="A319" s="6" t="s">
        <v>441</v>
      </c>
      <c r="C319" s="66" t="n">
        <f aca="false">MAX(0,Inputs!$D$7-Inputs!$D$52)*Inputs!$D$51</f>
        <v>132000</v>
      </c>
      <c r="D319" s="66" t="n">
        <f aca="false">IF(AND(D$259&gt;1,MOD(D$258-1,12)=0),Inputs!$D$8,0)*Inputs!$D$51</f>
        <v>0</v>
      </c>
      <c r="E319" s="66" t="n">
        <f aca="false">IF(AND(E$259&gt;1,MOD(E$258-1,12)=0),Inputs!$D$8,0)*Inputs!$D$51</f>
        <v>0</v>
      </c>
      <c r="F319" s="66" t="n">
        <f aca="false">IF(AND(F$259&gt;1,MOD(F$258-1,12)=0),Inputs!$D$8,0)*Inputs!$D$51</f>
        <v>0</v>
      </c>
      <c r="G319" s="66" t="n">
        <f aca="false">IF(AND(G$259&gt;1,MOD(G$258-1,12)=0),Inputs!$D$8,0)*Inputs!$D$51</f>
        <v>0</v>
      </c>
      <c r="H319" s="66" t="n">
        <f aca="false">IF(AND(H$259&gt;1,MOD(H$258-1,12)=0),Inputs!$D$8,0)*Inputs!$D$51</f>
        <v>0</v>
      </c>
      <c r="I319" s="66" t="n">
        <f aca="false">IF(AND(I$259&gt;1,MOD(I$258-1,12)=0),Inputs!$D$8,0)*Inputs!$D$51</f>
        <v>0</v>
      </c>
      <c r="J319" s="66" t="n">
        <f aca="false">IF(AND(J$259&gt;1,MOD(J$258-1,12)=0),Inputs!$D$8,0)*Inputs!$D$51</f>
        <v>0</v>
      </c>
      <c r="K319" s="66" t="n">
        <f aca="false">IF(AND(K$259&gt;1,MOD(K$258-1,12)=0),Inputs!$D$8,0)*Inputs!$D$51</f>
        <v>0</v>
      </c>
      <c r="L319" s="66" t="n">
        <f aca="false">IF(AND(L$259&gt;1,MOD(L$258-1,12)=0),Inputs!$D$8,0)*Inputs!$D$51</f>
        <v>0</v>
      </c>
      <c r="M319" s="66" t="n">
        <f aca="false">IF(AND(M$259&gt;1,MOD(M$258-1,12)=0),Inputs!$D$8,0)*Inputs!$D$51</f>
        <v>0</v>
      </c>
      <c r="N319" s="66" t="n">
        <f aca="false">IF(AND(N$259&gt;1,MOD(N$258-1,12)=0),Inputs!$D$8,0)*Inputs!$D$51</f>
        <v>0</v>
      </c>
      <c r="O319" s="66" t="n">
        <f aca="false">IF(AND(O$259&gt;1,MOD(O$258-1,12)=0),Inputs!$D$8,0)*Inputs!$D$51</f>
        <v>0</v>
      </c>
      <c r="P319" s="66" t="n">
        <f aca="false">IF(AND(P$259&gt;1,MOD(P$258-1,12)=0),Inputs!$D$8,0)*Inputs!$D$51</f>
        <v>0</v>
      </c>
      <c r="Q319" s="66" t="n">
        <f aca="false">IF(AND(Q$259&gt;1,MOD(Q$258-1,12)=0),Inputs!$D$8,0)*Inputs!$D$51</f>
        <v>0</v>
      </c>
      <c r="R319" s="66" t="n">
        <f aca="false">IF(AND(R$259&gt;1,MOD(R$258-1,12)=0),Inputs!$D$8,0)*Inputs!$D$51</f>
        <v>0</v>
      </c>
      <c r="S319" s="66" t="n">
        <f aca="false">IF(AND(S$259&gt;1,MOD(S$258-1,12)=0),Inputs!$D$8,0)*Inputs!$D$51</f>
        <v>0</v>
      </c>
      <c r="T319" s="66" t="n">
        <f aca="false">IF(AND(T$259&gt;1,MOD(T$258-1,12)=0),Inputs!$D$8,0)*Inputs!$D$51</f>
        <v>0</v>
      </c>
      <c r="U319" s="66" t="n">
        <f aca="false">IF(AND(U$259&gt;1,MOD(U$258-1,12)=0),Inputs!$D$8,0)*Inputs!$D$51</f>
        <v>0</v>
      </c>
      <c r="V319" s="66" t="n">
        <f aca="false">IF(AND(V$259&gt;1,MOD(V$258-1,12)=0),Inputs!$D$8,0)*Inputs!$D$51</f>
        <v>0</v>
      </c>
      <c r="W319" s="66" t="n">
        <f aca="false">IF(AND(W$259&gt;1,MOD(W$258-1,12)=0),Inputs!$D$8,0)*Inputs!$D$51</f>
        <v>0</v>
      </c>
      <c r="X319" s="66" t="n">
        <f aca="false">IF(AND(X$259&gt;1,MOD(X$258-1,12)=0),Inputs!$D$8,0)*Inputs!$D$51</f>
        <v>0</v>
      </c>
      <c r="Y319" s="66" t="n">
        <f aca="false">IF(AND(Y$259&gt;1,MOD(Y$258-1,12)=0),Inputs!$D$8,0)*Inputs!$D$51</f>
        <v>0</v>
      </c>
      <c r="Z319" s="66" t="n">
        <f aca="false">IF(AND(Z$259&gt;1,MOD(Z$258-1,12)=0),Inputs!$D$8,0)*Inputs!$D$51</f>
        <v>0</v>
      </c>
      <c r="AA319" s="66" t="n">
        <f aca="false">IF(AND(AA$259&gt;1,MOD(AA$258-1,12)=0),Inputs!$D$8,0)*Inputs!$D$51</f>
        <v>0</v>
      </c>
      <c r="AB319" s="66" t="n">
        <f aca="false">IF(AND(AB$259&gt;1,MOD(AB$258-1,12)=0),Inputs!$D$8,0)*Inputs!$D$51</f>
        <v>0</v>
      </c>
      <c r="AC319" s="66" t="n">
        <f aca="false">IF(AND(AC$259&gt;1,MOD(AC$258-1,12)=0),Inputs!$D$8,0)*Inputs!$D$51</f>
        <v>0</v>
      </c>
      <c r="AD319" s="66" t="n">
        <f aca="false">IF(AND(AD$259&gt;1,MOD(AD$258-1,12)=0),Inputs!$D$8,0)*Inputs!$D$51</f>
        <v>0</v>
      </c>
      <c r="AE319" s="66" t="n">
        <f aca="false">IF(AND(AE$259&gt;1,MOD(AE$258-1,12)=0),Inputs!$D$8,0)*Inputs!$D$51</f>
        <v>0</v>
      </c>
      <c r="AF319" s="66" t="n">
        <f aca="false">IF(AND(AF$259&gt;1,MOD(AF$258-1,12)=0),Inputs!$D$8,0)*Inputs!$D$51</f>
        <v>0</v>
      </c>
      <c r="AG319" s="66" t="n">
        <f aca="false">IF(AND(AG$259&gt;1,MOD(AG$258-1,12)=0),Inputs!$D$8,0)*Inputs!$D$51</f>
        <v>0</v>
      </c>
      <c r="AH319" s="66" t="n">
        <f aca="false">IF(AND(AH$259&gt;1,MOD(AH$258-1,12)=0),Inputs!$D$8,0)*Inputs!$D$51</f>
        <v>0</v>
      </c>
      <c r="AI319" s="66" t="n">
        <f aca="false">IF(AND(AI$259&gt;1,MOD(AI$258-1,12)=0),Inputs!$D$8,0)*Inputs!$D$51</f>
        <v>0</v>
      </c>
      <c r="AJ319" s="66" t="n">
        <f aca="false">IF(AND(AJ$259&gt;1,MOD(AJ$258-1,12)=0),Inputs!$D$8,0)*Inputs!$D$51</f>
        <v>0</v>
      </c>
      <c r="AK319" s="66" t="n">
        <f aca="false">IF(AND(AK$259&gt;1,MOD(AK$258-1,12)=0),Inputs!$D$8,0)*Inputs!$D$51</f>
        <v>0</v>
      </c>
      <c r="AL319" s="66" t="n">
        <f aca="false">IF(AND(AL$259&gt;1,MOD(AL$258-1,12)=0),Inputs!$D$8,0)*Inputs!$D$51</f>
        <v>0</v>
      </c>
      <c r="AM319" s="66" t="n">
        <f aca="false">IF(AND(AM$259&gt;1,MOD(AM$258-1,12)=0),Inputs!$D$8,0)*Inputs!$D$51</f>
        <v>0</v>
      </c>
      <c r="AN319" s="66" t="n">
        <f aca="false">IF(AND(AN$259&gt;1,MOD(AN$258-1,12)=0),Inputs!$D$8,0)*Inputs!$D$51</f>
        <v>0</v>
      </c>
      <c r="AO319" s="66" t="n">
        <f aca="false">IF(AND(AO$259&gt;1,MOD(AO$258-1,12)=0),Inputs!$D$8,0)*Inputs!$D$51</f>
        <v>0</v>
      </c>
      <c r="AP319" s="66" t="n">
        <f aca="false">IF(AND(AP$259&gt;1,MOD(AP$258-1,12)=0),Inputs!$D$8,0)*Inputs!$D$51</f>
        <v>0</v>
      </c>
      <c r="AQ319" s="66" t="n">
        <f aca="false">IF(AND(AQ$259&gt;1,MOD(AQ$258-1,12)=0),Inputs!$D$8,0)*Inputs!$D$51</f>
        <v>0</v>
      </c>
      <c r="AR319" s="66" t="n">
        <f aca="false">IF(AND(AR$259&gt;1,MOD(AR$258-1,12)=0),Inputs!$D$8,0)*Inputs!$D$51</f>
        <v>0</v>
      </c>
      <c r="AS319" s="66" t="n">
        <f aca="false">IF(AND(AS$259&gt;1,MOD(AS$258-1,12)=0),Inputs!$D$8,0)*Inputs!$D$51</f>
        <v>0</v>
      </c>
      <c r="AT319" s="66" t="n">
        <f aca="false">IF(AND(AT$259&gt;1,MOD(AT$258-1,12)=0),Inputs!$D$8,0)*Inputs!$D$51</f>
        <v>0</v>
      </c>
      <c r="AU319" s="66" t="n">
        <f aca="false">IF(AND(AU$259&gt;1,MOD(AU$258-1,12)=0),Inputs!$D$8,0)*Inputs!$D$51</f>
        <v>0</v>
      </c>
      <c r="AV319" s="66" t="n">
        <f aca="false">IF(AND(AV$259&gt;1,MOD(AV$258-1,12)=0),Inputs!$D$8,0)*Inputs!$D$51</f>
        <v>0</v>
      </c>
      <c r="AW319" s="66" t="n">
        <f aca="false">IF(AND(AW$259&gt;1,MOD(AW$258-1,12)=0),Inputs!$D$8,0)*Inputs!$D$51</f>
        <v>0</v>
      </c>
      <c r="AX319" s="66" t="n">
        <f aca="false">IF(AND(AX$259&gt;1,MOD(AX$258-1,12)=0),Inputs!$D$8,0)*Inputs!$D$51</f>
        <v>0</v>
      </c>
      <c r="AY319" s="66" t="n">
        <f aca="false">IF(AND(AY$259&gt;1,MOD(AY$258-1,12)=0),Inputs!$D$8,0)*Inputs!$D$51</f>
        <v>0</v>
      </c>
      <c r="AZ319" s="66" t="n">
        <f aca="false">IF(AND(AZ$259&gt;1,MOD(AZ$258-1,12)=0),Inputs!$D$8,0)*Inputs!$D$51</f>
        <v>0</v>
      </c>
      <c r="BA319" s="66" t="n">
        <f aca="false">IF(AND(BA$259&gt;1,MOD(BA$258-1,12)=0),Inputs!$D$8,0)*Inputs!$D$51</f>
        <v>0</v>
      </c>
      <c r="BB319" s="66" t="n">
        <f aca="false">IF(AND(BB$259&gt;1,MOD(BB$258-1,12)=0),Inputs!$D$8,0)*Inputs!$D$51</f>
        <v>0</v>
      </c>
      <c r="BC319" s="66" t="n">
        <f aca="false">IF(AND(BC$259&gt;1,MOD(BC$258-1,12)=0),Inputs!$D$8,0)*Inputs!$D$51</f>
        <v>0</v>
      </c>
      <c r="BD319" s="66" t="n">
        <f aca="false">IF(AND(BD$259&gt;1,MOD(BD$258-1,12)=0),Inputs!$D$8,0)*Inputs!$D$51</f>
        <v>0</v>
      </c>
      <c r="BE319" s="66" t="n">
        <f aca="false">IF(AND(BE$259&gt;1,MOD(BE$258-1,12)=0),Inputs!$D$8,0)*Inputs!$D$51</f>
        <v>0</v>
      </c>
      <c r="BF319" s="66" t="n">
        <f aca="false">IF(AND(BF$259&gt;1,MOD(BF$258-1,12)=0),Inputs!$D$8,0)*Inputs!$D$51</f>
        <v>0</v>
      </c>
      <c r="BG319" s="66" t="n">
        <f aca="false">IF(AND(BG$259&gt;1,MOD(BG$258-1,12)=0),Inputs!$D$8,0)*Inputs!$D$51</f>
        <v>0</v>
      </c>
      <c r="BH319" s="66" t="n">
        <f aca="false">IF(AND(BH$259&gt;1,MOD(BH$258-1,12)=0),Inputs!$D$8,0)*Inputs!$D$51</f>
        <v>0</v>
      </c>
      <c r="BI319" s="66" t="n">
        <f aca="false">IF(AND(BI$259&gt;1,MOD(BI$258-1,12)=0),Inputs!$D$8,0)*Inputs!$D$51</f>
        <v>0</v>
      </c>
      <c r="BJ319" s="66" t="n">
        <f aca="false">IF(AND(BJ$259&gt;1,MOD(BJ$258-1,12)=0),Inputs!$D$8,0)*Inputs!$D$51</f>
        <v>0</v>
      </c>
    </row>
    <row r="320" customFormat="false" ht="15" hidden="false" customHeight="false" outlineLevel="0" collapsed="false">
      <c r="A320" s="6" t="s">
        <v>442</v>
      </c>
      <c r="C320" s="66" t="n">
        <f aca="false">IF(C$258=1,Inputs!$D$53,0)</f>
        <v>40000</v>
      </c>
      <c r="D320" s="66" t="n">
        <f aca="false">IF(D$258=1,Inputs!$D$53,0)</f>
        <v>0</v>
      </c>
      <c r="E320" s="66" t="n">
        <f aca="false">IF(E$258=1,Inputs!$D$53,0)</f>
        <v>0</v>
      </c>
      <c r="F320" s="66" t="n">
        <f aca="false">IF(F$258=1,Inputs!$D$53,0)</f>
        <v>0</v>
      </c>
      <c r="G320" s="66" t="n">
        <f aca="false">IF(G$258=1,Inputs!$D$53,0)</f>
        <v>0</v>
      </c>
      <c r="H320" s="66" t="n">
        <f aca="false">IF(H$258=1,Inputs!$D$53,0)</f>
        <v>0</v>
      </c>
      <c r="I320" s="66" t="n">
        <f aca="false">IF(I$258=1,Inputs!$D$53,0)</f>
        <v>0</v>
      </c>
      <c r="J320" s="66" t="n">
        <f aca="false">IF(J$258=1,Inputs!$D$53,0)</f>
        <v>0</v>
      </c>
      <c r="K320" s="66" t="n">
        <f aca="false">IF(K$258=1,Inputs!$D$53,0)</f>
        <v>0</v>
      </c>
      <c r="L320" s="66" t="n">
        <f aca="false">IF(L$258=1,Inputs!$D$53,0)</f>
        <v>0</v>
      </c>
      <c r="M320" s="66" t="n">
        <f aca="false">IF(M$258=1,Inputs!$D$53,0)</f>
        <v>0</v>
      </c>
      <c r="N320" s="66" t="n">
        <f aca="false">IF(N$258=1,Inputs!$D$53,0)</f>
        <v>0</v>
      </c>
      <c r="O320" s="66" t="n">
        <f aca="false">IF(O$258=1,Inputs!$D$53,0)</f>
        <v>0</v>
      </c>
      <c r="P320" s="66" t="n">
        <f aca="false">IF(P$258=1,Inputs!$D$53,0)</f>
        <v>0</v>
      </c>
      <c r="Q320" s="66" t="n">
        <f aca="false">IF(Q$258=1,Inputs!$D$53,0)</f>
        <v>0</v>
      </c>
      <c r="R320" s="66" t="n">
        <f aca="false">IF(R$258=1,Inputs!$D$53,0)</f>
        <v>0</v>
      </c>
      <c r="S320" s="66" t="n">
        <f aca="false">IF(S$258=1,Inputs!$D$53,0)</f>
        <v>0</v>
      </c>
      <c r="T320" s="66" t="n">
        <f aca="false">IF(T$258=1,Inputs!$D$53,0)</f>
        <v>0</v>
      </c>
      <c r="U320" s="66" t="n">
        <f aca="false">IF(U$258=1,Inputs!$D$53,0)</f>
        <v>0</v>
      </c>
      <c r="V320" s="66" t="n">
        <f aca="false">IF(V$258=1,Inputs!$D$53,0)</f>
        <v>0</v>
      </c>
      <c r="W320" s="66" t="n">
        <f aca="false">IF(W$258=1,Inputs!$D$53,0)</f>
        <v>0</v>
      </c>
      <c r="X320" s="66" t="n">
        <f aca="false">IF(X$258=1,Inputs!$D$53,0)</f>
        <v>0</v>
      </c>
      <c r="Y320" s="66" t="n">
        <f aca="false">IF(Y$258=1,Inputs!$D$53,0)</f>
        <v>0</v>
      </c>
      <c r="Z320" s="66" t="n">
        <f aca="false">IF(Z$258=1,Inputs!$D$53,0)</f>
        <v>0</v>
      </c>
      <c r="AA320" s="66" t="n">
        <f aca="false">IF(AA$258=1,Inputs!$D$53,0)</f>
        <v>0</v>
      </c>
      <c r="AB320" s="66" t="n">
        <f aca="false">IF(AB$258=1,Inputs!$D$53,0)</f>
        <v>0</v>
      </c>
      <c r="AC320" s="66" t="n">
        <f aca="false">IF(AC$258=1,Inputs!$D$53,0)</f>
        <v>0</v>
      </c>
      <c r="AD320" s="66" t="n">
        <f aca="false">IF(AD$258=1,Inputs!$D$53,0)</f>
        <v>0</v>
      </c>
      <c r="AE320" s="66" t="n">
        <f aca="false">IF(AE$258=1,Inputs!$D$53,0)</f>
        <v>0</v>
      </c>
      <c r="AF320" s="66" t="n">
        <f aca="false">IF(AF$258=1,Inputs!$D$53,0)</f>
        <v>0</v>
      </c>
      <c r="AG320" s="66" t="n">
        <f aca="false">IF(AG$258=1,Inputs!$D$53,0)</f>
        <v>0</v>
      </c>
      <c r="AH320" s="66" t="n">
        <f aca="false">IF(AH$258=1,Inputs!$D$53,0)</f>
        <v>0</v>
      </c>
      <c r="AI320" s="66" t="n">
        <f aca="false">IF(AI$258=1,Inputs!$D$53,0)</f>
        <v>0</v>
      </c>
      <c r="AJ320" s="66" t="n">
        <f aca="false">IF(AJ$258=1,Inputs!$D$53,0)</f>
        <v>0</v>
      </c>
      <c r="AK320" s="66" t="n">
        <f aca="false">IF(AK$258=1,Inputs!$D$53,0)</f>
        <v>0</v>
      </c>
      <c r="AL320" s="66" t="n">
        <f aca="false">IF(AL$258=1,Inputs!$D$53,0)</f>
        <v>0</v>
      </c>
      <c r="AM320" s="66" t="n">
        <f aca="false">IF(AM$258=1,Inputs!$D$53,0)</f>
        <v>0</v>
      </c>
      <c r="AN320" s="66" t="n">
        <f aca="false">IF(AN$258=1,Inputs!$D$53,0)</f>
        <v>0</v>
      </c>
      <c r="AO320" s="66" t="n">
        <f aca="false">IF(AO$258=1,Inputs!$D$53,0)</f>
        <v>0</v>
      </c>
      <c r="AP320" s="66" t="n">
        <f aca="false">IF(AP$258=1,Inputs!$D$53,0)</f>
        <v>0</v>
      </c>
      <c r="AQ320" s="66" t="n">
        <f aca="false">IF(AQ$258=1,Inputs!$D$53,0)</f>
        <v>0</v>
      </c>
      <c r="AR320" s="66" t="n">
        <f aca="false">IF(AR$258=1,Inputs!$D$53,0)</f>
        <v>0</v>
      </c>
      <c r="AS320" s="66" t="n">
        <f aca="false">IF(AS$258=1,Inputs!$D$53,0)</f>
        <v>0</v>
      </c>
      <c r="AT320" s="66" t="n">
        <f aca="false">IF(AT$258=1,Inputs!$D$53,0)</f>
        <v>0</v>
      </c>
      <c r="AU320" s="66" t="n">
        <f aca="false">IF(AU$258=1,Inputs!$D$53,0)</f>
        <v>0</v>
      </c>
      <c r="AV320" s="66" t="n">
        <f aca="false">IF(AV$258=1,Inputs!$D$53,0)</f>
        <v>0</v>
      </c>
      <c r="AW320" s="66" t="n">
        <f aca="false">IF(AW$258=1,Inputs!$D$53,0)</f>
        <v>0</v>
      </c>
      <c r="AX320" s="66" t="n">
        <f aca="false">IF(AX$258=1,Inputs!$D$53,0)</f>
        <v>0</v>
      </c>
      <c r="AY320" s="66" t="n">
        <f aca="false">IF(AY$258=1,Inputs!$D$53,0)</f>
        <v>0</v>
      </c>
      <c r="AZ320" s="66" t="n">
        <f aca="false">IF(AZ$258=1,Inputs!$D$53,0)</f>
        <v>0</v>
      </c>
      <c r="BA320" s="66" t="n">
        <f aca="false">IF(BA$258=1,Inputs!$D$53,0)</f>
        <v>0</v>
      </c>
      <c r="BB320" s="66" t="n">
        <f aca="false">IF(BB$258=1,Inputs!$D$53,0)</f>
        <v>0</v>
      </c>
      <c r="BC320" s="66" t="n">
        <f aca="false">IF(BC$258=1,Inputs!$D$53,0)</f>
        <v>0</v>
      </c>
      <c r="BD320" s="66" t="n">
        <f aca="false">IF(BD$258=1,Inputs!$D$53,0)</f>
        <v>0</v>
      </c>
      <c r="BE320" s="66" t="n">
        <f aca="false">IF(BE$258=1,Inputs!$D$53,0)</f>
        <v>0</v>
      </c>
      <c r="BF320" s="66" t="n">
        <f aca="false">IF(BF$258=1,Inputs!$D$53,0)</f>
        <v>0</v>
      </c>
      <c r="BG320" s="66" t="n">
        <f aca="false">IF(BG$258=1,Inputs!$D$53,0)</f>
        <v>0</v>
      </c>
      <c r="BH320" s="66" t="n">
        <f aca="false">IF(BH$258=1,Inputs!$D$53,0)</f>
        <v>0</v>
      </c>
      <c r="BI320" s="66" t="n">
        <f aca="false">IF(BI$258=1,Inputs!$D$53,0)</f>
        <v>0</v>
      </c>
      <c r="BJ320" s="66" t="n">
        <f aca="false">IF(BJ$258=1,Inputs!$D$53,0)</f>
        <v>0</v>
      </c>
    </row>
    <row r="321" customFormat="false" ht="15" hidden="false" customHeight="false" outlineLevel="0" collapsed="false">
      <c r="A321" s="6" t="s">
        <v>443</v>
      </c>
      <c r="C321" s="66" t="n">
        <f aca="false">IF(AND(C$259&gt;1,MOD(C$258-1,12)=0),C262*Inputs!$D$54,0)</f>
        <v>0</v>
      </c>
      <c r="D321" s="66" t="n">
        <f aca="false">IF(AND(D$259&gt;1,MOD(D$258-1,12)=0),D262*Inputs!$D$54,0)</f>
        <v>0</v>
      </c>
      <c r="E321" s="66" t="n">
        <f aca="false">IF(AND(E$259&gt;1,MOD(E$258-1,12)=0),E262*Inputs!$D$54,0)</f>
        <v>0</v>
      </c>
      <c r="F321" s="66" t="n">
        <f aca="false">IF(AND(F$259&gt;1,MOD(F$258-1,12)=0),F262*Inputs!$D$54,0)</f>
        <v>0</v>
      </c>
      <c r="G321" s="66" t="n">
        <f aca="false">IF(AND(G$259&gt;1,MOD(G$258-1,12)=0),G262*Inputs!$D$54,0)</f>
        <v>0</v>
      </c>
      <c r="H321" s="66" t="n">
        <f aca="false">IF(AND(H$259&gt;1,MOD(H$258-1,12)=0),H262*Inputs!$D$54,0)</f>
        <v>0</v>
      </c>
      <c r="I321" s="66" t="n">
        <f aca="false">IF(AND(I$259&gt;1,MOD(I$258-1,12)=0),I262*Inputs!$D$54,0)</f>
        <v>0</v>
      </c>
      <c r="J321" s="66" t="n">
        <f aca="false">IF(AND(J$259&gt;1,MOD(J$258-1,12)=0),J262*Inputs!$D$54,0)</f>
        <v>0</v>
      </c>
      <c r="K321" s="66" t="n">
        <f aca="false">IF(AND(K$259&gt;1,MOD(K$258-1,12)=0),K262*Inputs!$D$54,0)</f>
        <v>0</v>
      </c>
      <c r="L321" s="66" t="n">
        <f aca="false">IF(AND(L$259&gt;1,MOD(L$258-1,12)=0),L262*Inputs!$D$54,0)</f>
        <v>0</v>
      </c>
      <c r="M321" s="66" t="n">
        <f aca="false">IF(AND(M$259&gt;1,MOD(M$258-1,12)=0),M262*Inputs!$D$54,0)</f>
        <v>0</v>
      </c>
      <c r="N321" s="66" t="n">
        <f aca="false">IF(AND(N$259&gt;1,MOD(N$258-1,12)=0),N262*Inputs!$D$54,0)</f>
        <v>0</v>
      </c>
      <c r="O321" s="66" t="n">
        <f aca="false">IF(AND(O$259&gt;1,MOD(O$258-1,12)=0),O262*Inputs!$D$54,0)</f>
        <v>9000</v>
      </c>
      <c r="P321" s="66" t="n">
        <f aca="false">IF(AND(P$259&gt;1,MOD(P$258-1,12)=0),P262*Inputs!$D$54,0)</f>
        <v>0</v>
      </c>
      <c r="Q321" s="66" t="n">
        <f aca="false">IF(AND(Q$259&gt;1,MOD(Q$258-1,12)=0),Q262*Inputs!$D$54,0)</f>
        <v>0</v>
      </c>
      <c r="R321" s="66" t="n">
        <f aca="false">IF(AND(R$259&gt;1,MOD(R$258-1,12)=0),R262*Inputs!$D$54,0)</f>
        <v>0</v>
      </c>
      <c r="S321" s="66" t="n">
        <f aca="false">IF(AND(S$259&gt;1,MOD(S$258-1,12)=0),S262*Inputs!$D$54,0)</f>
        <v>0</v>
      </c>
      <c r="T321" s="66" t="n">
        <f aca="false">IF(AND(T$259&gt;1,MOD(T$258-1,12)=0),T262*Inputs!$D$54,0)</f>
        <v>0</v>
      </c>
      <c r="U321" s="66" t="n">
        <f aca="false">IF(AND(U$259&gt;1,MOD(U$258-1,12)=0),U262*Inputs!$D$54,0)</f>
        <v>0</v>
      </c>
      <c r="V321" s="66" t="n">
        <f aca="false">IF(AND(V$259&gt;1,MOD(V$258-1,12)=0),V262*Inputs!$D$54,0)</f>
        <v>0</v>
      </c>
      <c r="W321" s="66" t="n">
        <f aca="false">IF(AND(W$259&gt;1,MOD(W$258-1,12)=0),W262*Inputs!$D$54,0)</f>
        <v>0</v>
      </c>
      <c r="X321" s="66" t="n">
        <f aca="false">IF(AND(X$259&gt;1,MOD(X$258-1,12)=0),X262*Inputs!$D$54,0)</f>
        <v>0</v>
      </c>
      <c r="Y321" s="66" t="n">
        <f aca="false">IF(AND(Y$259&gt;1,MOD(Y$258-1,12)=0),Y262*Inputs!$D$54,0)</f>
        <v>0</v>
      </c>
      <c r="Z321" s="66" t="n">
        <f aca="false">IF(AND(Z$259&gt;1,MOD(Z$258-1,12)=0),Z262*Inputs!$D$54,0)</f>
        <v>0</v>
      </c>
      <c r="AA321" s="66" t="n">
        <f aca="false">IF(AND(AA$259&gt;1,MOD(AA$258-1,12)=0),AA262*Inputs!$D$54,0)</f>
        <v>9000</v>
      </c>
      <c r="AB321" s="66" t="n">
        <f aca="false">IF(AND(AB$259&gt;1,MOD(AB$258-1,12)=0),AB262*Inputs!$D$54,0)</f>
        <v>0</v>
      </c>
      <c r="AC321" s="66" t="n">
        <f aca="false">IF(AND(AC$259&gt;1,MOD(AC$258-1,12)=0),AC262*Inputs!$D$54,0)</f>
        <v>0</v>
      </c>
      <c r="AD321" s="66" t="n">
        <f aca="false">IF(AND(AD$259&gt;1,MOD(AD$258-1,12)=0),AD262*Inputs!$D$54,0)</f>
        <v>0</v>
      </c>
      <c r="AE321" s="66" t="n">
        <f aca="false">IF(AND(AE$259&gt;1,MOD(AE$258-1,12)=0),AE262*Inputs!$D$54,0)</f>
        <v>0</v>
      </c>
      <c r="AF321" s="66" t="n">
        <f aca="false">IF(AND(AF$259&gt;1,MOD(AF$258-1,12)=0),AF262*Inputs!$D$54,0)</f>
        <v>0</v>
      </c>
      <c r="AG321" s="66" t="n">
        <f aca="false">IF(AND(AG$259&gt;1,MOD(AG$258-1,12)=0),AG262*Inputs!$D$54,0)</f>
        <v>0</v>
      </c>
      <c r="AH321" s="66" t="n">
        <f aca="false">IF(AND(AH$259&gt;1,MOD(AH$258-1,12)=0),AH262*Inputs!$D$54,0)</f>
        <v>0</v>
      </c>
      <c r="AI321" s="66" t="n">
        <f aca="false">IF(AND(AI$259&gt;1,MOD(AI$258-1,12)=0),AI262*Inputs!$D$54,0)</f>
        <v>0</v>
      </c>
      <c r="AJ321" s="66" t="n">
        <f aca="false">IF(AND(AJ$259&gt;1,MOD(AJ$258-1,12)=0),AJ262*Inputs!$D$54,0)</f>
        <v>0</v>
      </c>
      <c r="AK321" s="66" t="n">
        <f aca="false">IF(AND(AK$259&gt;1,MOD(AK$258-1,12)=0),AK262*Inputs!$D$54,0)</f>
        <v>0</v>
      </c>
      <c r="AL321" s="66" t="n">
        <f aca="false">IF(AND(AL$259&gt;1,MOD(AL$258-1,12)=0),AL262*Inputs!$D$54,0)</f>
        <v>0</v>
      </c>
      <c r="AM321" s="66" t="n">
        <f aca="false">IF(AND(AM$259&gt;1,MOD(AM$258-1,12)=0),AM262*Inputs!$D$54,0)</f>
        <v>9000</v>
      </c>
      <c r="AN321" s="66" t="n">
        <f aca="false">IF(AND(AN$259&gt;1,MOD(AN$258-1,12)=0),AN262*Inputs!$D$54,0)</f>
        <v>0</v>
      </c>
      <c r="AO321" s="66" t="n">
        <f aca="false">IF(AND(AO$259&gt;1,MOD(AO$258-1,12)=0),AO262*Inputs!$D$54,0)</f>
        <v>0</v>
      </c>
      <c r="AP321" s="66" t="n">
        <f aca="false">IF(AND(AP$259&gt;1,MOD(AP$258-1,12)=0),AP262*Inputs!$D$54,0)</f>
        <v>0</v>
      </c>
      <c r="AQ321" s="66" t="n">
        <f aca="false">IF(AND(AQ$259&gt;1,MOD(AQ$258-1,12)=0),AQ262*Inputs!$D$54,0)</f>
        <v>0</v>
      </c>
      <c r="AR321" s="66" t="n">
        <f aca="false">IF(AND(AR$259&gt;1,MOD(AR$258-1,12)=0),AR262*Inputs!$D$54,0)</f>
        <v>0</v>
      </c>
      <c r="AS321" s="66" t="n">
        <f aca="false">IF(AND(AS$259&gt;1,MOD(AS$258-1,12)=0),AS262*Inputs!$D$54,0)</f>
        <v>0</v>
      </c>
      <c r="AT321" s="66" t="n">
        <f aca="false">IF(AND(AT$259&gt;1,MOD(AT$258-1,12)=0),AT262*Inputs!$D$54,0)</f>
        <v>0</v>
      </c>
      <c r="AU321" s="66" t="n">
        <f aca="false">IF(AND(AU$259&gt;1,MOD(AU$258-1,12)=0),AU262*Inputs!$D$54,0)</f>
        <v>0</v>
      </c>
      <c r="AV321" s="66" t="n">
        <f aca="false">IF(AND(AV$259&gt;1,MOD(AV$258-1,12)=0),AV262*Inputs!$D$54,0)</f>
        <v>0</v>
      </c>
      <c r="AW321" s="66" t="n">
        <f aca="false">IF(AND(AW$259&gt;1,MOD(AW$258-1,12)=0),AW262*Inputs!$D$54,0)</f>
        <v>0</v>
      </c>
      <c r="AX321" s="66" t="n">
        <f aca="false">IF(AND(AX$259&gt;1,MOD(AX$258-1,12)=0),AX262*Inputs!$D$54,0)</f>
        <v>0</v>
      </c>
      <c r="AY321" s="66" t="n">
        <f aca="false">IF(AND(AY$259&gt;1,MOD(AY$258-1,12)=0),AY262*Inputs!$D$54,0)</f>
        <v>9000</v>
      </c>
      <c r="AZ321" s="66" t="n">
        <f aca="false">IF(AND(AZ$259&gt;1,MOD(AZ$258-1,12)=0),AZ262*Inputs!$D$54,0)</f>
        <v>0</v>
      </c>
      <c r="BA321" s="66" t="n">
        <f aca="false">IF(AND(BA$259&gt;1,MOD(BA$258-1,12)=0),BA262*Inputs!$D$54,0)</f>
        <v>0</v>
      </c>
      <c r="BB321" s="66" t="n">
        <f aca="false">IF(AND(BB$259&gt;1,MOD(BB$258-1,12)=0),BB262*Inputs!$D$54,0)</f>
        <v>0</v>
      </c>
      <c r="BC321" s="66" t="n">
        <f aca="false">IF(AND(BC$259&gt;1,MOD(BC$258-1,12)=0),BC262*Inputs!$D$54,0)</f>
        <v>0</v>
      </c>
      <c r="BD321" s="66" t="n">
        <f aca="false">IF(AND(BD$259&gt;1,MOD(BD$258-1,12)=0),BD262*Inputs!$D$54,0)</f>
        <v>0</v>
      </c>
      <c r="BE321" s="66" t="n">
        <f aca="false">IF(AND(BE$259&gt;1,MOD(BE$258-1,12)=0),BE262*Inputs!$D$54,0)</f>
        <v>0</v>
      </c>
      <c r="BF321" s="66" t="n">
        <f aca="false">IF(AND(BF$259&gt;1,MOD(BF$258-1,12)=0),BF262*Inputs!$D$54,0)</f>
        <v>0</v>
      </c>
      <c r="BG321" s="66" t="n">
        <f aca="false">IF(AND(BG$259&gt;1,MOD(BG$258-1,12)=0),BG262*Inputs!$D$54,0)</f>
        <v>0</v>
      </c>
      <c r="BH321" s="66" t="n">
        <f aca="false">IF(AND(BH$259&gt;1,MOD(BH$258-1,12)=0),BH262*Inputs!$D$54,0)</f>
        <v>0</v>
      </c>
      <c r="BI321" s="66" t="n">
        <f aca="false">IF(AND(BI$259&gt;1,MOD(BI$258-1,12)=0),BI262*Inputs!$D$54,0)</f>
        <v>0</v>
      </c>
      <c r="BJ321" s="66" t="n">
        <f aca="false">IF(AND(BJ$259&gt;1,MOD(BJ$258-1,12)=0),BJ262*Inputs!$D$54,0)</f>
        <v>0</v>
      </c>
    </row>
    <row r="322" customFormat="false" ht="15" hidden="false" customHeight="false" outlineLevel="0" collapsed="false">
      <c r="A322" s="4" t="s">
        <v>83</v>
      </c>
      <c r="C322" s="72" t="n">
        <f aca="false">C318+C319+C320+C321</f>
        <v>442000</v>
      </c>
      <c r="D322" s="72" t="n">
        <f aca="false">D318+D319+D320+D321</f>
        <v>0</v>
      </c>
      <c r="E322" s="72" t="n">
        <f aca="false">E318+E319+E320+E321</f>
        <v>0</v>
      </c>
      <c r="F322" s="72" t="n">
        <f aca="false">F318+F319+F320+F321</f>
        <v>0</v>
      </c>
      <c r="G322" s="72" t="n">
        <f aca="false">G318+G319+G320+G321</f>
        <v>0</v>
      </c>
      <c r="H322" s="72" t="n">
        <f aca="false">H318+H319+H320+H321</f>
        <v>0</v>
      </c>
      <c r="I322" s="72" t="n">
        <f aca="false">I318+I319+I320+I321</f>
        <v>0</v>
      </c>
      <c r="J322" s="72" t="n">
        <f aca="false">J318+J319+J320+J321</f>
        <v>0</v>
      </c>
      <c r="K322" s="72" t="n">
        <f aca="false">K318+K319+K320+K321</f>
        <v>0</v>
      </c>
      <c r="L322" s="72" t="n">
        <f aca="false">L318+L319+L320+L321</f>
        <v>0</v>
      </c>
      <c r="M322" s="72" t="n">
        <f aca="false">M318+M319+M320+M321</f>
        <v>0</v>
      </c>
      <c r="N322" s="72" t="n">
        <f aca="false">N318+N319+N320+N321</f>
        <v>0</v>
      </c>
      <c r="O322" s="72" t="n">
        <f aca="false">O318+O319+O320+O321</f>
        <v>9000</v>
      </c>
      <c r="P322" s="72" t="n">
        <f aca="false">P318+P319+P320+P321</f>
        <v>0</v>
      </c>
      <c r="Q322" s="72" t="n">
        <f aca="false">Q318+Q319+Q320+Q321</f>
        <v>0</v>
      </c>
      <c r="R322" s="72" t="n">
        <f aca="false">R318+R319+R320+R321</f>
        <v>0</v>
      </c>
      <c r="S322" s="72" t="n">
        <f aca="false">S318+S319+S320+S321</f>
        <v>0</v>
      </c>
      <c r="T322" s="72" t="n">
        <f aca="false">T318+T319+T320+T321</f>
        <v>0</v>
      </c>
      <c r="U322" s="72" t="n">
        <f aca="false">U318+U319+U320+U321</f>
        <v>0</v>
      </c>
      <c r="V322" s="72" t="n">
        <f aca="false">V318+V319+V320+V321</f>
        <v>0</v>
      </c>
      <c r="W322" s="72" t="n">
        <f aca="false">W318+W319+W320+W321</f>
        <v>0</v>
      </c>
      <c r="X322" s="72" t="n">
        <f aca="false">X318+X319+X320+X321</f>
        <v>0</v>
      </c>
      <c r="Y322" s="72" t="n">
        <f aca="false">Y318+Y319+Y320+Y321</f>
        <v>0</v>
      </c>
      <c r="Z322" s="72" t="n">
        <f aca="false">Z318+Z319+Z320+Z321</f>
        <v>0</v>
      </c>
      <c r="AA322" s="72" t="n">
        <f aca="false">AA318+AA319+AA320+AA321</f>
        <v>9000</v>
      </c>
      <c r="AB322" s="72" t="n">
        <f aca="false">AB318+AB319+AB320+AB321</f>
        <v>0</v>
      </c>
      <c r="AC322" s="72" t="n">
        <f aca="false">AC318+AC319+AC320+AC321</f>
        <v>0</v>
      </c>
      <c r="AD322" s="72" t="n">
        <f aca="false">AD318+AD319+AD320+AD321</f>
        <v>0</v>
      </c>
      <c r="AE322" s="72" t="n">
        <f aca="false">AE318+AE319+AE320+AE321</f>
        <v>0</v>
      </c>
      <c r="AF322" s="72" t="n">
        <f aca="false">AF318+AF319+AF320+AF321</f>
        <v>0</v>
      </c>
      <c r="AG322" s="72" t="n">
        <f aca="false">AG318+AG319+AG320+AG321</f>
        <v>0</v>
      </c>
      <c r="AH322" s="72" t="n">
        <f aca="false">AH318+AH319+AH320+AH321</f>
        <v>0</v>
      </c>
      <c r="AI322" s="72" t="n">
        <f aca="false">AI318+AI319+AI320+AI321</f>
        <v>0</v>
      </c>
      <c r="AJ322" s="72" t="n">
        <f aca="false">AJ318+AJ319+AJ320+AJ321</f>
        <v>0</v>
      </c>
      <c r="AK322" s="72" t="n">
        <f aca="false">AK318+AK319+AK320+AK321</f>
        <v>0</v>
      </c>
      <c r="AL322" s="72" t="n">
        <f aca="false">AL318+AL319+AL320+AL321</f>
        <v>0</v>
      </c>
      <c r="AM322" s="72" t="n">
        <f aca="false">AM318+AM319+AM320+AM321</f>
        <v>9000</v>
      </c>
      <c r="AN322" s="72" t="n">
        <f aca="false">AN318+AN319+AN320+AN321</f>
        <v>0</v>
      </c>
      <c r="AO322" s="72" t="n">
        <f aca="false">AO318+AO319+AO320+AO321</f>
        <v>0</v>
      </c>
      <c r="AP322" s="72" t="n">
        <f aca="false">AP318+AP319+AP320+AP321</f>
        <v>0</v>
      </c>
      <c r="AQ322" s="72" t="n">
        <f aca="false">AQ318+AQ319+AQ320+AQ321</f>
        <v>0</v>
      </c>
      <c r="AR322" s="72" t="n">
        <f aca="false">AR318+AR319+AR320+AR321</f>
        <v>0</v>
      </c>
      <c r="AS322" s="72" t="n">
        <f aca="false">AS318+AS319+AS320+AS321</f>
        <v>0</v>
      </c>
      <c r="AT322" s="72" t="n">
        <f aca="false">AT318+AT319+AT320+AT321</f>
        <v>0</v>
      </c>
      <c r="AU322" s="72" t="n">
        <f aca="false">AU318+AU319+AU320+AU321</f>
        <v>0</v>
      </c>
      <c r="AV322" s="72" t="n">
        <f aca="false">AV318+AV319+AV320+AV321</f>
        <v>0</v>
      </c>
      <c r="AW322" s="72" t="n">
        <f aca="false">AW318+AW319+AW320+AW321</f>
        <v>0</v>
      </c>
      <c r="AX322" s="72" t="n">
        <f aca="false">AX318+AX319+AX320+AX321</f>
        <v>0</v>
      </c>
      <c r="AY322" s="72" t="n">
        <f aca="false">AY318+AY319+AY320+AY321</f>
        <v>9000</v>
      </c>
      <c r="AZ322" s="72" t="n">
        <f aca="false">AZ318+AZ319+AZ320+AZ321</f>
        <v>0</v>
      </c>
      <c r="BA322" s="72" t="n">
        <f aca="false">BA318+BA319+BA320+BA321</f>
        <v>0</v>
      </c>
      <c r="BB322" s="72" t="n">
        <f aca="false">BB318+BB319+BB320+BB321</f>
        <v>0</v>
      </c>
      <c r="BC322" s="72" t="n">
        <f aca="false">BC318+BC319+BC320+BC321</f>
        <v>0</v>
      </c>
      <c r="BD322" s="72" t="n">
        <f aca="false">BD318+BD319+BD320+BD321</f>
        <v>0</v>
      </c>
      <c r="BE322" s="72" t="n">
        <f aca="false">BE318+BE319+BE320+BE321</f>
        <v>0</v>
      </c>
      <c r="BF322" s="72" t="n">
        <f aca="false">BF318+BF319+BF320+BF321</f>
        <v>0</v>
      </c>
      <c r="BG322" s="72" t="n">
        <f aca="false">BG318+BG319+BG320+BG321</f>
        <v>0</v>
      </c>
      <c r="BH322" s="72" t="n">
        <f aca="false">BH318+BH319+BH320+BH321</f>
        <v>0</v>
      </c>
      <c r="BI322" s="72" t="n">
        <f aca="false">BI318+BI319+BI320+BI321</f>
        <v>0</v>
      </c>
      <c r="BJ322" s="72" t="n">
        <f aca="false">BJ318+BJ319+BJ320+BJ321</f>
        <v>0</v>
      </c>
    </row>
    <row r="323" customFormat="false" ht="15" hidden="false" customHeight="false" outlineLevel="0" collapsed="false">
      <c r="A323" s="6" t="s">
        <v>444</v>
      </c>
      <c r="C323" s="66" t="n">
        <f aca="false">C322</f>
        <v>442000</v>
      </c>
      <c r="D323" s="66" t="n">
        <f aca="false">C323+D322</f>
        <v>442000</v>
      </c>
      <c r="E323" s="66" t="n">
        <f aca="false">D323+E322</f>
        <v>442000</v>
      </c>
      <c r="F323" s="66" t="n">
        <f aca="false">E323+F322</f>
        <v>442000</v>
      </c>
      <c r="G323" s="66" t="n">
        <f aca="false">F323+G322</f>
        <v>442000</v>
      </c>
      <c r="H323" s="66" t="n">
        <f aca="false">G323+H322</f>
        <v>442000</v>
      </c>
      <c r="I323" s="66" t="n">
        <f aca="false">H323+I322</f>
        <v>442000</v>
      </c>
      <c r="J323" s="66" t="n">
        <f aca="false">I323+J322</f>
        <v>442000</v>
      </c>
      <c r="K323" s="66" t="n">
        <f aca="false">J323+K322</f>
        <v>442000</v>
      </c>
      <c r="L323" s="66" t="n">
        <f aca="false">K323+L322</f>
        <v>442000</v>
      </c>
      <c r="M323" s="66" t="n">
        <f aca="false">L323+M322</f>
        <v>442000</v>
      </c>
      <c r="N323" s="66" t="n">
        <f aca="false">M323+N322</f>
        <v>442000</v>
      </c>
      <c r="O323" s="66" t="n">
        <f aca="false">N323+O322</f>
        <v>451000</v>
      </c>
      <c r="P323" s="66" t="n">
        <f aca="false">O323+P322</f>
        <v>451000</v>
      </c>
      <c r="Q323" s="66" t="n">
        <f aca="false">P323+Q322</f>
        <v>451000</v>
      </c>
      <c r="R323" s="66" t="n">
        <f aca="false">Q323+R322</f>
        <v>451000</v>
      </c>
      <c r="S323" s="66" t="n">
        <f aca="false">R323+S322</f>
        <v>451000</v>
      </c>
      <c r="T323" s="66" t="n">
        <f aca="false">S323+T322</f>
        <v>451000</v>
      </c>
      <c r="U323" s="66" t="n">
        <f aca="false">T323+U322</f>
        <v>451000</v>
      </c>
      <c r="V323" s="66" t="n">
        <f aca="false">U323+V322</f>
        <v>451000</v>
      </c>
      <c r="W323" s="66" t="n">
        <f aca="false">V323+W322</f>
        <v>451000</v>
      </c>
      <c r="X323" s="66" t="n">
        <f aca="false">W323+X322</f>
        <v>451000</v>
      </c>
      <c r="Y323" s="66" t="n">
        <f aca="false">X323+Y322</f>
        <v>451000</v>
      </c>
      <c r="Z323" s="66" t="n">
        <f aca="false">Y323+Z322</f>
        <v>451000</v>
      </c>
      <c r="AA323" s="66" t="n">
        <f aca="false">Z323+AA322</f>
        <v>460000</v>
      </c>
      <c r="AB323" s="66" t="n">
        <f aca="false">AA323+AB322</f>
        <v>460000</v>
      </c>
      <c r="AC323" s="66" t="n">
        <f aca="false">AB323+AC322</f>
        <v>460000</v>
      </c>
      <c r="AD323" s="66" t="n">
        <f aca="false">AC323+AD322</f>
        <v>460000</v>
      </c>
      <c r="AE323" s="66" t="n">
        <f aca="false">AD323+AE322</f>
        <v>460000</v>
      </c>
      <c r="AF323" s="66" t="n">
        <f aca="false">AE323+AF322</f>
        <v>460000</v>
      </c>
      <c r="AG323" s="66" t="n">
        <f aca="false">AF323+AG322</f>
        <v>460000</v>
      </c>
      <c r="AH323" s="66" t="n">
        <f aca="false">AG323+AH322</f>
        <v>460000</v>
      </c>
      <c r="AI323" s="66" t="n">
        <f aca="false">AH323+AI322</f>
        <v>460000</v>
      </c>
      <c r="AJ323" s="66" t="n">
        <f aca="false">AI323+AJ322</f>
        <v>460000</v>
      </c>
      <c r="AK323" s="66" t="n">
        <f aca="false">AJ323+AK322</f>
        <v>460000</v>
      </c>
      <c r="AL323" s="66" t="n">
        <f aca="false">AK323+AL322</f>
        <v>460000</v>
      </c>
      <c r="AM323" s="66" t="n">
        <f aca="false">AL323+AM322</f>
        <v>469000</v>
      </c>
      <c r="AN323" s="66" t="n">
        <f aca="false">AM323+AN322</f>
        <v>469000</v>
      </c>
      <c r="AO323" s="66" t="n">
        <f aca="false">AN323+AO322</f>
        <v>469000</v>
      </c>
      <c r="AP323" s="66" t="n">
        <f aca="false">AO323+AP322</f>
        <v>469000</v>
      </c>
      <c r="AQ323" s="66" t="n">
        <f aca="false">AP323+AQ322</f>
        <v>469000</v>
      </c>
      <c r="AR323" s="66" t="n">
        <f aca="false">AQ323+AR322</f>
        <v>469000</v>
      </c>
      <c r="AS323" s="66" t="n">
        <f aca="false">AR323+AS322</f>
        <v>469000</v>
      </c>
      <c r="AT323" s="66" t="n">
        <f aca="false">AS323+AT322</f>
        <v>469000</v>
      </c>
      <c r="AU323" s="66" t="n">
        <f aca="false">AT323+AU322</f>
        <v>469000</v>
      </c>
      <c r="AV323" s="66" t="n">
        <f aca="false">AU323+AV322</f>
        <v>469000</v>
      </c>
      <c r="AW323" s="66" t="n">
        <f aca="false">AV323+AW322</f>
        <v>469000</v>
      </c>
      <c r="AX323" s="66" t="n">
        <f aca="false">AW323+AX322</f>
        <v>469000</v>
      </c>
      <c r="AY323" s="66" t="n">
        <f aca="false">AX323+AY322</f>
        <v>478000</v>
      </c>
      <c r="AZ323" s="66" t="n">
        <f aca="false">AY323+AZ322</f>
        <v>478000</v>
      </c>
      <c r="BA323" s="66" t="n">
        <f aca="false">AZ323+BA322</f>
        <v>478000</v>
      </c>
      <c r="BB323" s="66" t="n">
        <f aca="false">BA323+BB322</f>
        <v>478000</v>
      </c>
      <c r="BC323" s="66" t="n">
        <f aca="false">BB323+BC322</f>
        <v>478000</v>
      </c>
      <c r="BD323" s="66" t="n">
        <f aca="false">BC323+BD322</f>
        <v>478000</v>
      </c>
      <c r="BE323" s="66" t="n">
        <f aca="false">BD323+BE322</f>
        <v>478000</v>
      </c>
      <c r="BF323" s="66" t="n">
        <f aca="false">BE323+BF322</f>
        <v>478000</v>
      </c>
      <c r="BG323" s="66" t="n">
        <f aca="false">BF323+BG322</f>
        <v>478000</v>
      </c>
      <c r="BH323" s="66" t="n">
        <f aca="false">BG323+BH322</f>
        <v>478000</v>
      </c>
      <c r="BI323" s="66" t="n">
        <f aca="false">BH323+BI322</f>
        <v>478000</v>
      </c>
      <c r="BJ323" s="66" t="n">
        <f aca="false">BI323+BJ322</f>
        <v>478000</v>
      </c>
    </row>
    <row r="324" customFormat="false" ht="15" hidden="false" customHeight="false" outlineLevel="0" collapsed="false">
      <c r="A324" s="6" t="s">
        <v>77</v>
      </c>
      <c r="C324" s="66" t="n">
        <f aca="false">-MIN(C323/MAX(1,Inputs!$D$84*12),C322)</f>
        <v>-3683.33333333333</v>
      </c>
      <c r="D324" s="66" t="n">
        <f aca="false">-MIN(D323/MAX(1,Inputs!$D$84*12),C326+D322)</f>
        <v>-3683.33333333333</v>
      </c>
      <c r="E324" s="66" t="n">
        <f aca="false">-MIN(E323/MAX(1,Inputs!$D$84*12),D326+E322)</f>
        <v>-3683.33333333333</v>
      </c>
      <c r="F324" s="66" t="n">
        <f aca="false">-MIN(F323/MAX(1,Inputs!$D$84*12),E326+F322)</f>
        <v>-3683.33333333333</v>
      </c>
      <c r="G324" s="66" t="n">
        <f aca="false">-MIN(G323/MAX(1,Inputs!$D$84*12),F326+G322)</f>
        <v>-3683.33333333333</v>
      </c>
      <c r="H324" s="66" t="n">
        <f aca="false">-MIN(H323/MAX(1,Inputs!$D$84*12),G326+H322)</f>
        <v>-3683.33333333333</v>
      </c>
      <c r="I324" s="66" t="n">
        <f aca="false">-MIN(I323/MAX(1,Inputs!$D$84*12),H326+I322)</f>
        <v>-3683.33333333333</v>
      </c>
      <c r="J324" s="66" t="n">
        <f aca="false">-MIN(J323/MAX(1,Inputs!$D$84*12),I326+J322)</f>
        <v>-3683.33333333333</v>
      </c>
      <c r="K324" s="66" t="n">
        <f aca="false">-MIN(K323/MAX(1,Inputs!$D$84*12),J326+K322)</f>
        <v>-3683.33333333333</v>
      </c>
      <c r="L324" s="66" t="n">
        <f aca="false">-MIN(L323/MAX(1,Inputs!$D$84*12),K326+L322)</f>
        <v>-3683.33333333333</v>
      </c>
      <c r="M324" s="66" t="n">
        <f aca="false">-MIN(M323/MAX(1,Inputs!$D$84*12),L326+M322)</f>
        <v>-3683.33333333333</v>
      </c>
      <c r="N324" s="66" t="n">
        <f aca="false">-MIN(N323/MAX(1,Inputs!$D$84*12),M326+N322)</f>
        <v>-3683.33333333333</v>
      </c>
      <c r="O324" s="66" t="n">
        <f aca="false">-MIN(O323/MAX(1,Inputs!$D$84*12),N326+O322)</f>
        <v>-3758.33333333333</v>
      </c>
      <c r="P324" s="66" t="n">
        <f aca="false">-MIN(P323/MAX(1,Inputs!$D$84*12),O326+P322)</f>
        <v>-3758.33333333333</v>
      </c>
      <c r="Q324" s="66" t="n">
        <f aca="false">-MIN(Q323/MAX(1,Inputs!$D$84*12),P326+Q322)</f>
        <v>-3758.33333333333</v>
      </c>
      <c r="R324" s="66" t="n">
        <f aca="false">-MIN(R323/MAX(1,Inputs!$D$84*12),Q326+R322)</f>
        <v>-3758.33333333333</v>
      </c>
      <c r="S324" s="66" t="n">
        <f aca="false">-MIN(S323/MAX(1,Inputs!$D$84*12),R326+S322)</f>
        <v>-3758.33333333333</v>
      </c>
      <c r="T324" s="66" t="n">
        <f aca="false">-MIN(T323/MAX(1,Inputs!$D$84*12),S326+T322)</f>
        <v>-3758.33333333333</v>
      </c>
      <c r="U324" s="66" t="n">
        <f aca="false">-MIN(U323/MAX(1,Inputs!$D$84*12),T326+U322)</f>
        <v>-3758.33333333333</v>
      </c>
      <c r="V324" s="66" t="n">
        <f aca="false">-MIN(V323/MAX(1,Inputs!$D$84*12),U326+V322)</f>
        <v>-3758.33333333333</v>
      </c>
      <c r="W324" s="66" t="n">
        <f aca="false">-MIN(W323/MAX(1,Inputs!$D$84*12),V326+W322)</f>
        <v>-3758.33333333333</v>
      </c>
      <c r="X324" s="66" t="n">
        <f aca="false">-MIN(X323/MAX(1,Inputs!$D$84*12),W326+X322)</f>
        <v>-3758.33333333333</v>
      </c>
      <c r="Y324" s="66" t="n">
        <f aca="false">-MIN(Y323/MAX(1,Inputs!$D$84*12),X326+Y322)</f>
        <v>-3758.33333333333</v>
      </c>
      <c r="Z324" s="66" t="n">
        <f aca="false">-MIN(Z323/MAX(1,Inputs!$D$84*12),Y326+Z322)</f>
        <v>-3758.33333333333</v>
      </c>
      <c r="AA324" s="66" t="n">
        <f aca="false">-MIN(AA323/MAX(1,Inputs!$D$84*12),Z326+AA322)</f>
        <v>-3833.33333333333</v>
      </c>
      <c r="AB324" s="66" t="n">
        <f aca="false">-MIN(AB323/MAX(1,Inputs!$D$84*12),AA326+AB322)</f>
        <v>-3833.33333333333</v>
      </c>
      <c r="AC324" s="66" t="n">
        <f aca="false">-MIN(AC323/MAX(1,Inputs!$D$84*12),AB326+AC322)</f>
        <v>-3833.33333333333</v>
      </c>
      <c r="AD324" s="66" t="n">
        <f aca="false">-MIN(AD323/MAX(1,Inputs!$D$84*12),AC326+AD322)</f>
        <v>-3833.33333333333</v>
      </c>
      <c r="AE324" s="66" t="n">
        <f aca="false">-MIN(AE323/MAX(1,Inputs!$D$84*12),AD326+AE322)</f>
        <v>-3833.33333333333</v>
      </c>
      <c r="AF324" s="66" t="n">
        <f aca="false">-MIN(AF323/MAX(1,Inputs!$D$84*12),AE326+AF322)</f>
        <v>-3833.33333333333</v>
      </c>
      <c r="AG324" s="66" t="n">
        <f aca="false">-MIN(AG323/MAX(1,Inputs!$D$84*12),AF326+AG322)</f>
        <v>-3833.33333333333</v>
      </c>
      <c r="AH324" s="66" t="n">
        <f aca="false">-MIN(AH323/MAX(1,Inputs!$D$84*12),AG326+AH322)</f>
        <v>-3833.33333333333</v>
      </c>
      <c r="AI324" s="66" t="n">
        <f aca="false">-MIN(AI323/MAX(1,Inputs!$D$84*12),AH326+AI322)</f>
        <v>-3833.33333333333</v>
      </c>
      <c r="AJ324" s="66" t="n">
        <f aca="false">-MIN(AJ323/MAX(1,Inputs!$D$84*12),AI326+AJ322)</f>
        <v>-3833.33333333333</v>
      </c>
      <c r="AK324" s="66" t="n">
        <f aca="false">-MIN(AK323/MAX(1,Inputs!$D$84*12),AJ326+AK322)</f>
        <v>-3833.33333333333</v>
      </c>
      <c r="AL324" s="66" t="n">
        <f aca="false">-MIN(AL323/MAX(1,Inputs!$D$84*12),AK326+AL322)</f>
        <v>-3833.33333333333</v>
      </c>
      <c r="AM324" s="66" t="n">
        <f aca="false">-MIN(AM323/MAX(1,Inputs!$D$84*12),AL326+AM322)</f>
        <v>-3908.33333333333</v>
      </c>
      <c r="AN324" s="66" t="n">
        <f aca="false">-MIN(AN323/MAX(1,Inputs!$D$84*12),AM326+AN322)</f>
        <v>-3908.33333333333</v>
      </c>
      <c r="AO324" s="66" t="n">
        <f aca="false">-MIN(AO323/MAX(1,Inputs!$D$84*12),AN326+AO322)</f>
        <v>-3908.33333333333</v>
      </c>
      <c r="AP324" s="66" t="n">
        <f aca="false">-MIN(AP323/MAX(1,Inputs!$D$84*12),AO326+AP322)</f>
        <v>-3908.33333333333</v>
      </c>
      <c r="AQ324" s="66" t="n">
        <f aca="false">-MIN(AQ323/MAX(1,Inputs!$D$84*12),AP326+AQ322)</f>
        <v>-3908.33333333333</v>
      </c>
      <c r="AR324" s="66" t="n">
        <f aca="false">-MIN(AR323/MAX(1,Inputs!$D$84*12),AQ326+AR322)</f>
        <v>-3908.33333333333</v>
      </c>
      <c r="AS324" s="66" t="n">
        <f aca="false">-MIN(AS323/MAX(1,Inputs!$D$84*12),AR326+AS322)</f>
        <v>-3908.33333333333</v>
      </c>
      <c r="AT324" s="66" t="n">
        <f aca="false">-MIN(AT323/MAX(1,Inputs!$D$84*12),AS326+AT322)</f>
        <v>-3908.33333333333</v>
      </c>
      <c r="AU324" s="66" t="n">
        <f aca="false">-MIN(AU323/MAX(1,Inputs!$D$84*12),AT326+AU322)</f>
        <v>-3908.33333333333</v>
      </c>
      <c r="AV324" s="66" t="n">
        <f aca="false">-MIN(AV323/MAX(1,Inputs!$D$84*12),AU326+AV322)</f>
        <v>-3908.33333333333</v>
      </c>
      <c r="AW324" s="66" t="n">
        <f aca="false">-MIN(AW323/MAX(1,Inputs!$D$84*12),AV326+AW322)</f>
        <v>-3908.33333333333</v>
      </c>
      <c r="AX324" s="66" t="n">
        <f aca="false">-MIN(AX323/MAX(1,Inputs!$D$84*12),AW326+AX322)</f>
        <v>-3908.33333333333</v>
      </c>
      <c r="AY324" s="66" t="n">
        <f aca="false">-MIN(AY323/MAX(1,Inputs!$D$84*12),AX326+AY322)</f>
        <v>-3983.33333333333</v>
      </c>
      <c r="AZ324" s="66" t="n">
        <f aca="false">-MIN(AZ323/MAX(1,Inputs!$D$84*12),AY326+AZ322)</f>
        <v>-3983.33333333333</v>
      </c>
      <c r="BA324" s="66" t="n">
        <f aca="false">-MIN(BA323/MAX(1,Inputs!$D$84*12),AZ326+BA322)</f>
        <v>-3983.33333333333</v>
      </c>
      <c r="BB324" s="66" t="n">
        <f aca="false">-MIN(BB323/MAX(1,Inputs!$D$84*12),BA326+BB322)</f>
        <v>-3983.33333333333</v>
      </c>
      <c r="BC324" s="66" t="n">
        <f aca="false">-MIN(BC323/MAX(1,Inputs!$D$84*12),BB326+BC322)</f>
        <v>-3983.33333333333</v>
      </c>
      <c r="BD324" s="66" t="n">
        <f aca="false">-MIN(BD323/MAX(1,Inputs!$D$84*12),BC326+BD322)</f>
        <v>-3983.33333333333</v>
      </c>
      <c r="BE324" s="66" t="n">
        <f aca="false">-MIN(BE323/MAX(1,Inputs!$D$84*12),BD326+BE322)</f>
        <v>-3983.33333333333</v>
      </c>
      <c r="BF324" s="66" t="n">
        <f aca="false">-MIN(BF323/MAX(1,Inputs!$D$84*12),BE326+BF322)</f>
        <v>-3983.33333333333</v>
      </c>
      <c r="BG324" s="66" t="n">
        <f aca="false">-MIN(BG323/MAX(1,Inputs!$D$84*12),BF326+BG322)</f>
        <v>-3983.33333333333</v>
      </c>
      <c r="BH324" s="66" t="n">
        <f aca="false">-MIN(BH323/MAX(1,Inputs!$D$84*12),BG326+BH322)</f>
        <v>-3983.33333333333</v>
      </c>
      <c r="BI324" s="66" t="n">
        <f aca="false">-MIN(BI323/MAX(1,Inputs!$D$84*12),BH326+BI322)</f>
        <v>-3983.33333333333</v>
      </c>
      <c r="BJ324" s="66" t="n">
        <f aca="false">-MIN(BJ323/MAX(1,Inputs!$D$84*12),BI326+BJ322)</f>
        <v>-3983.33333333333</v>
      </c>
    </row>
    <row r="325" customFormat="false" ht="15" hidden="false" customHeight="false" outlineLevel="0" collapsed="false">
      <c r="A325" s="6" t="s">
        <v>445</v>
      </c>
      <c r="C325" s="66" t="n">
        <f aca="false">C324</f>
        <v>-3683.33333333333</v>
      </c>
      <c r="D325" s="66" t="n">
        <f aca="false">C325+D324</f>
        <v>-7366.66666666667</v>
      </c>
      <c r="E325" s="66" t="n">
        <f aca="false">D325+E324</f>
        <v>-11050</v>
      </c>
      <c r="F325" s="66" t="n">
        <f aca="false">E325+F324</f>
        <v>-14733.3333333333</v>
      </c>
      <c r="G325" s="66" t="n">
        <f aca="false">F325+G324</f>
        <v>-18416.6666666667</v>
      </c>
      <c r="H325" s="66" t="n">
        <f aca="false">G325+H324</f>
        <v>-22100</v>
      </c>
      <c r="I325" s="66" t="n">
        <f aca="false">H325+I324</f>
        <v>-25783.3333333333</v>
      </c>
      <c r="J325" s="66" t="n">
        <f aca="false">I325+J324</f>
        <v>-29466.6666666667</v>
      </c>
      <c r="K325" s="66" t="n">
        <f aca="false">J325+K324</f>
        <v>-33150</v>
      </c>
      <c r="L325" s="66" t="n">
        <f aca="false">K325+L324</f>
        <v>-36833.3333333333</v>
      </c>
      <c r="M325" s="66" t="n">
        <f aca="false">L325+M324</f>
        <v>-40516.6666666667</v>
      </c>
      <c r="N325" s="66" t="n">
        <f aca="false">M325+N324</f>
        <v>-44200</v>
      </c>
      <c r="O325" s="66" t="n">
        <f aca="false">N325+O324</f>
        <v>-47958.3333333333</v>
      </c>
      <c r="P325" s="66" t="n">
        <f aca="false">O325+P324</f>
        <v>-51716.6666666667</v>
      </c>
      <c r="Q325" s="66" t="n">
        <f aca="false">P325+Q324</f>
        <v>-55475</v>
      </c>
      <c r="R325" s="66" t="n">
        <f aca="false">Q325+R324</f>
        <v>-59233.3333333334</v>
      </c>
      <c r="S325" s="66" t="n">
        <f aca="false">R325+S324</f>
        <v>-62991.6666666667</v>
      </c>
      <c r="T325" s="66" t="n">
        <f aca="false">S325+T324</f>
        <v>-66750</v>
      </c>
      <c r="U325" s="66" t="n">
        <f aca="false">T325+U324</f>
        <v>-70508.3333333333</v>
      </c>
      <c r="V325" s="66" t="n">
        <f aca="false">U325+V324</f>
        <v>-74266.6666666667</v>
      </c>
      <c r="W325" s="66" t="n">
        <f aca="false">V325+W324</f>
        <v>-78025</v>
      </c>
      <c r="X325" s="66" t="n">
        <f aca="false">W325+X324</f>
        <v>-81783.3333333333</v>
      </c>
      <c r="Y325" s="66" t="n">
        <f aca="false">X325+Y324</f>
        <v>-85541.6666666667</v>
      </c>
      <c r="Z325" s="66" t="n">
        <f aca="false">Y325+Z324</f>
        <v>-89300</v>
      </c>
      <c r="AA325" s="66" t="n">
        <f aca="false">Z325+AA324</f>
        <v>-93133.3333333333</v>
      </c>
      <c r="AB325" s="66" t="n">
        <f aca="false">AA325+AB324</f>
        <v>-96966.6666666666</v>
      </c>
      <c r="AC325" s="66" t="n">
        <f aca="false">AB325+AC324</f>
        <v>-100800</v>
      </c>
      <c r="AD325" s="66" t="n">
        <f aca="false">AC325+AD324</f>
        <v>-104633.333333333</v>
      </c>
      <c r="AE325" s="66" t="n">
        <f aca="false">AD325+AE324</f>
        <v>-108466.666666667</v>
      </c>
      <c r="AF325" s="66" t="n">
        <f aca="false">AE325+AF324</f>
        <v>-112300</v>
      </c>
      <c r="AG325" s="66" t="n">
        <f aca="false">AF325+AG324</f>
        <v>-116133.333333333</v>
      </c>
      <c r="AH325" s="66" t="n">
        <f aca="false">AG325+AH324</f>
        <v>-119966.666666667</v>
      </c>
      <c r="AI325" s="66" t="n">
        <f aca="false">AH325+AI324</f>
        <v>-123800</v>
      </c>
      <c r="AJ325" s="66" t="n">
        <f aca="false">AI325+AJ324</f>
        <v>-127633.333333333</v>
      </c>
      <c r="AK325" s="66" t="n">
        <f aca="false">AJ325+AK324</f>
        <v>-131466.666666667</v>
      </c>
      <c r="AL325" s="66" t="n">
        <f aca="false">AK325+AL324</f>
        <v>-135300</v>
      </c>
      <c r="AM325" s="66" t="n">
        <f aca="false">AL325+AM324</f>
        <v>-139208.333333333</v>
      </c>
      <c r="AN325" s="66" t="n">
        <f aca="false">AM325+AN324</f>
        <v>-143116.666666667</v>
      </c>
      <c r="AO325" s="66" t="n">
        <f aca="false">AN325+AO324</f>
        <v>-147025</v>
      </c>
      <c r="AP325" s="66" t="n">
        <f aca="false">AO325+AP324</f>
        <v>-150933.333333333</v>
      </c>
      <c r="AQ325" s="66" t="n">
        <f aca="false">AP325+AQ324</f>
        <v>-154841.666666667</v>
      </c>
      <c r="AR325" s="66" t="n">
        <f aca="false">AQ325+AR324</f>
        <v>-158750</v>
      </c>
      <c r="AS325" s="66" t="n">
        <f aca="false">AR325+AS324</f>
        <v>-162658.333333333</v>
      </c>
      <c r="AT325" s="66" t="n">
        <f aca="false">AS325+AT324</f>
        <v>-166566.666666667</v>
      </c>
      <c r="AU325" s="66" t="n">
        <f aca="false">AT325+AU324</f>
        <v>-170475</v>
      </c>
      <c r="AV325" s="66" t="n">
        <f aca="false">AU325+AV324</f>
        <v>-174383.333333333</v>
      </c>
      <c r="AW325" s="66" t="n">
        <f aca="false">AV325+AW324</f>
        <v>-178291.666666667</v>
      </c>
      <c r="AX325" s="66" t="n">
        <f aca="false">AW325+AX324</f>
        <v>-182200</v>
      </c>
      <c r="AY325" s="66" t="n">
        <f aca="false">AX325+AY324</f>
        <v>-186183.333333333</v>
      </c>
      <c r="AZ325" s="66" t="n">
        <f aca="false">AY325+AZ324</f>
        <v>-190166.666666667</v>
      </c>
      <c r="BA325" s="66" t="n">
        <f aca="false">AZ325+BA324</f>
        <v>-194150</v>
      </c>
      <c r="BB325" s="66" t="n">
        <f aca="false">BA325+BB324</f>
        <v>-198133.333333333</v>
      </c>
      <c r="BC325" s="66" t="n">
        <f aca="false">BB325+BC324</f>
        <v>-202116.666666667</v>
      </c>
      <c r="BD325" s="66" t="n">
        <f aca="false">BC325+BD324</f>
        <v>-206100</v>
      </c>
      <c r="BE325" s="66" t="n">
        <f aca="false">BD325+BE324</f>
        <v>-210083.333333333</v>
      </c>
      <c r="BF325" s="66" t="n">
        <f aca="false">BE325+BF324</f>
        <v>-214066.666666667</v>
      </c>
      <c r="BG325" s="66" t="n">
        <f aca="false">BF325+BG324</f>
        <v>-218050</v>
      </c>
      <c r="BH325" s="66" t="n">
        <f aca="false">BG325+BH324</f>
        <v>-222033.333333334</v>
      </c>
      <c r="BI325" s="66" t="n">
        <f aca="false">BH325+BI324</f>
        <v>-226016.666666667</v>
      </c>
      <c r="BJ325" s="66" t="n">
        <f aca="false">BI325+BJ324</f>
        <v>-230000</v>
      </c>
    </row>
    <row r="326" customFormat="false" ht="15" hidden="false" customHeight="false" outlineLevel="0" collapsed="false">
      <c r="A326" s="4" t="s">
        <v>91</v>
      </c>
      <c r="C326" s="72" t="n">
        <f aca="false">C323+C325</f>
        <v>438316.666666667</v>
      </c>
      <c r="D326" s="72" t="n">
        <f aca="false">D323+D325</f>
        <v>434633.333333333</v>
      </c>
      <c r="E326" s="72" t="n">
        <f aca="false">E323+E325</f>
        <v>430950</v>
      </c>
      <c r="F326" s="72" t="n">
        <f aca="false">F323+F325</f>
        <v>427266.666666667</v>
      </c>
      <c r="G326" s="72" t="n">
        <f aca="false">G323+G325</f>
        <v>423583.333333333</v>
      </c>
      <c r="H326" s="72" t="n">
        <f aca="false">H323+H325</f>
        <v>419900</v>
      </c>
      <c r="I326" s="72" t="n">
        <f aca="false">I323+I325</f>
        <v>416216.666666667</v>
      </c>
      <c r="J326" s="72" t="n">
        <f aca="false">J323+J325</f>
        <v>412533.333333333</v>
      </c>
      <c r="K326" s="72" t="n">
        <f aca="false">K323+K325</f>
        <v>408850</v>
      </c>
      <c r="L326" s="72" t="n">
        <f aca="false">L323+L325</f>
        <v>405166.666666667</v>
      </c>
      <c r="M326" s="72" t="n">
        <f aca="false">M323+M325</f>
        <v>401483.333333333</v>
      </c>
      <c r="N326" s="72" t="n">
        <f aca="false">N323+N325</f>
        <v>397800</v>
      </c>
      <c r="O326" s="72" t="n">
        <f aca="false">O323+O325</f>
        <v>403041.666666667</v>
      </c>
      <c r="P326" s="72" t="n">
        <f aca="false">P323+P325</f>
        <v>399283.333333333</v>
      </c>
      <c r="Q326" s="72" t="n">
        <f aca="false">Q323+Q325</f>
        <v>395525</v>
      </c>
      <c r="R326" s="72" t="n">
        <f aca="false">R323+R325</f>
        <v>391766.666666667</v>
      </c>
      <c r="S326" s="72" t="n">
        <f aca="false">S323+S325</f>
        <v>388008.333333333</v>
      </c>
      <c r="T326" s="72" t="n">
        <f aca="false">T323+T325</f>
        <v>384250</v>
      </c>
      <c r="U326" s="72" t="n">
        <f aca="false">U323+U325</f>
        <v>380491.666666667</v>
      </c>
      <c r="V326" s="72" t="n">
        <f aca="false">V323+V325</f>
        <v>376733.333333333</v>
      </c>
      <c r="W326" s="72" t="n">
        <f aca="false">W323+W325</f>
        <v>372975</v>
      </c>
      <c r="X326" s="72" t="n">
        <f aca="false">X323+X325</f>
        <v>369216.666666667</v>
      </c>
      <c r="Y326" s="72" t="n">
        <f aca="false">Y323+Y325</f>
        <v>365458.333333333</v>
      </c>
      <c r="Z326" s="72" t="n">
        <f aca="false">Z323+Z325</f>
        <v>361700</v>
      </c>
      <c r="AA326" s="72" t="n">
        <f aca="false">AA323+AA325</f>
        <v>366866.666666667</v>
      </c>
      <c r="AB326" s="72" t="n">
        <f aca="false">AB323+AB325</f>
        <v>363033.333333333</v>
      </c>
      <c r="AC326" s="72" t="n">
        <f aca="false">AC323+AC325</f>
        <v>359200</v>
      </c>
      <c r="AD326" s="72" t="n">
        <f aca="false">AD323+AD325</f>
        <v>355366.666666667</v>
      </c>
      <c r="AE326" s="72" t="n">
        <f aca="false">AE323+AE325</f>
        <v>351533.333333333</v>
      </c>
      <c r="AF326" s="72" t="n">
        <f aca="false">AF323+AF325</f>
        <v>347700</v>
      </c>
      <c r="AG326" s="72" t="n">
        <f aca="false">AG323+AG325</f>
        <v>343866.666666667</v>
      </c>
      <c r="AH326" s="72" t="n">
        <f aca="false">AH323+AH325</f>
        <v>340033.333333333</v>
      </c>
      <c r="AI326" s="72" t="n">
        <f aca="false">AI323+AI325</f>
        <v>336200</v>
      </c>
      <c r="AJ326" s="72" t="n">
        <f aca="false">AJ323+AJ325</f>
        <v>332366.666666667</v>
      </c>
      <c r="AK326" s="72" t="n">
        <f aca="false">AK323+AK325</f>
        <v>328533.333333333</v>
      </c>
      <c r="AL326" s="72" t="n">
        <f aca="false">AL323+AL325</f>
        <v>324700</v>
      </c>
      <c r="AM326" s="72" t="n">
        <f aca="false">AM323+AM325</f>
        <v>329791.666666667</v>
      </c>
      <c r="AN326" s="72" t="n">
        <f aca="false">AN323+AN325</f>
        <v>325883.333333333</v>
      </c>
      <c r="AO326" s="72" t="n">
        <f aca="false">AO323+AO325</f>
        <v>321975</v>
      </c>
      <c r="AP326" s="72" t="n">
        <f aca="false">AP323+AP325</f>
        <v>318066.666666667</v>
      </c>
      <c r="AQ326" s="72" t="n">
        <f aca="false">AQ323+AQ325</f>
        <v>314158.333333333</v>
      </c>
      <c r="AR326" s="72" t="n">
        <f aca="false">AR323+AR325</f>
        <v>310250</v>
      </c>
      <c r="AS326" s="72" t="n">
        <f aca="false">AS323+AS325</f>
        <v>306341.666666667</v>
      </c>
      <c r="AT326" s="72" t="n">
        <f aca="false">AT323+AT325</f>
        <v>302433.333333333</v>
      </c>
      <c r="AU326" s="72" t="n">
        <f aca="false">AU323+AU325</f>
        <v>298525</v>
      </c>
      <c r="AV326" s="72" t="n">
        <f aca="false">AV323+AV325</f>
        <v>294616.666666667</v>
      </c>
      <c r="AW326" s="72" t="n">
        <f aca="false">AW323+AW325</f>
        <v>290708.333333333</v>
      </c>
      <c r="AX326" s="72" t="n">
        <f aca="false">AX323+AX325</f>
        <v>286800</v>
      </c>
      <c r="AY326" s="72" t="n">
        <f aca="false">AY323+AY325</f>
        <v>291816.666666667</v>
      </c>
      <c r="AZ326" s="72" t="n">
        <f aca="false">AZ323+AZ325</f>
        <v>287833.333333333</v>
      </c>
      <c r="BA326" s="72" t="n">
        <f aca="false">BA323+BA325</f>
        <v>283850</v>
      </c>
      <c r="BB326" s="72" t="n">
        <f aca="false">BB323+BB325</f>
        <v>279866.666666667</v>
      </c>
      <c r="BC326" s="72" t="n">
        <f aca="false">BC323+BC325</f>
        <v>275883.333333333</v>
      </c>
      <c r="BD326" s="72" t="n">
        <f aca="false">BD323+BD325</f>
        <v>271900</v>
      </c>
      <c r="BE326" s="72" t="n">
        <f aca="false">BE323+BE325</f>
        <v>267916.666666667</v>
      </c>
      <c r="BF326" s="72" t="n">
        <f aca="false">BF323+BF325</f>
        <v>263933.333333333</v>
      </c>
      <c r="BG326" s="72" t="n">
        <f aca="false">BG323+BG325</f>
        <v>259950</v>
      </c>
      <c r="BH326" s="72" t="n">
        <f aca="false">BH323+BH325</f>
        <v>255966.666666667</v>
      </c>
      <c r="BI326" s="72" t="n">
        <f aca="false">BI323+BI325</f>
        <v>251983.333333333</v>
      </c>
      <c r="BJ326" s="72" t="n">
        <f aca="false">BJ323+BJ325</f>
        <v>248000</v>
      </c>
    </row>
    <row r="328" customFormat="false" ht="15.75" hidden="false" customHeight="true" outlineLevel="0" collapsed="false">
      <c r="A328" s="7" t="s">
        <v>446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customFormat="false" ht="15" hidden="false" customHeight="false" outlineLevel="0" collapsed="false">
      <c r="A329" s="6" t="s">
        <v>447</v>
      </c>
      <c r="C329" s="66" t="n">
        <f aca="false">0</f>
        <v>0</v>
      </c>
      <c r="D329" s="66" t="n">
        <f aca="false">C332</f>
        <v>250000</v>
      </c>
      <c r="E329" s="66" t="n">
        <f aca="false">D332</f>
        <v>247916.666666667</v>
      </c>
      <c r="F329" s="66" t="n">
        <f aca="false">E332</f>
        <v>245833.333333333</v>
      </c>
      <c r="G329" s="66" t="n">
        <f aca="false">F332</f>
        <v>243750</v>
      </c>
      <c r="H329" s="66" t="n">
        <f aca="false">G332</f>
        <v>241666.666666667</v>
      </c>
      <c r="I329" s="66" t="n">
        <f aca="false">H332</f>
        <v>239583.333333333</v>
      </c>
      <c r="J329" s="66" t="n">
        <f aca="false">I332</f>
        <v>237500</v>
      </c>
      <c r="K329" s="66" t="n">
        <f aca="false">J332</f>
        <v>235416.666666667</v>
      </c>
      <c r="L329" s="66" t="n">
        <f aca="false">K332</f>
        <v>233333.333333333</v>
      </c>
      <c r="M329" s="66" t="n">
        <f aca="false">L332</f>
        <v>231250</v>
      </c>
      <c r="N329" s="66" t="n">
        <f aca="false">M332</f>
        <v>229166.666666667</v>
      </c>
      <c r="O329" s="66" t="n">
        <f aca="false">N332</f>
        <v>227083.333333333</v>
      </c>
      <c r="P329" s="66" t="n">
        <f aca="false">O332</f>
        <v>225000</v>
      </c>
      <c r="Q329" s="66" t="n">
        <f aca="false">P332</f>
        <v>222916.666666667</v>
      </c>
      <c r="R329" s="66" t="n">
        <f aca="false">Q332</f>
        <v>220833.333333333</v>
      </c>
      <c r="S329" s="66" t="n">
        <f aca="false">R332</f>
        <v>218750</v>
      </c>
      <c r="T329" s="66" t="n">
        <f aca="false">S332</f>
        <v>216666.666666667</v>
      </c>
      <c r="U329" s="66" t="n">
        <f aca="false">T332</f>
        <v>214583.333333333</v>
      </c>
      <c r="V329" s="66" t="n">
        <f aca="false">U332</f>
        <v>212500</v>
      </c>
      <c r="W329" s="66" t="n">
        <f aca="false">V332</f>
        <v>210416.666666666</v>
      </c>
      <c r="X329" s="66" t="n">
        <f aca="false">W332</f>
        <v>208333.333333333</v>
      </c>
      <c r="Y329" s="66" t="n">
        <f aca="false">X332</f>
        <v>206250</v>
      </c>
      <c r="Z329" s="66" t="n">
        <f aca="false">Y332</f>
        <v>204166.666666666</v>
      </c>
      <c r="AA329" s="66" t="n">
        <f aca="false">Z332</f>
        <v>202083.333333333</v>
      </c>
      <c r="AB329" s="66" t="n">
        <f aca="false">AA332</f>
        <v>200000</v>
      </c>
      <c r="AC329" s="66" t="n">
        <f aca="false">AB332</f>
        <v>197916.666666666</v>
      </c>
      <c r="AD329" s="66" t="n">
        <f aca="false">AC332</f>
        <v>195833.333333333</v>
      </c>
      <c r="AE329" s="66" t="n">
        <f aca="false">AD332</f>
        <v>193750</v>
      </c>
      <c r="AF329" s="66" t="n">
        <f aca="false">AE332</f>
        <v>191666.666666666</v>
      </c>
      <c r="AG329" s="66" t="n">
        <f aca="false">AF332</f>
        <v>189583.333333333</v>
      </c>
      <c r="AH329" s="66" t="n">
        <f aca="false">AG332</f>
        <v>187500</v>
      </c>
      <c r="AI329" s="66" t="n">
        <f aca="false">AH332</f>
        <v>185416.666666666</v>
      </c>
      <c r="AJ329" s="66" t="n">
        <f aca="false">AI332</f>
        <v>183333.333333333</v>
      </c>
      <c r="AK329" s="66" t="n">
        <f aca="false">AJ332</f>
        <v>181250</v>
      </c>
      <c r="AL329" s="66" t="n">
        <f aca="false">AK332</f>
        <v>179166.666666666</v>
      </c>
      <c r="AM329" s="66" t="n">
        <f aca="false">AL332</f>
        <v>177083.333333333</v>
      </c>
      <c r="AN329" s="66" t="n">
        <f aca="false">AM332</f>
        <v>175000</v>
      </c>
      <c r="AO329" s="66" t="n">
        <f aca="false">AN332</f>
        <v>172916.666666666</v>
      </c>
      <c r="AP329" s="66" t="n">
        <f aca="false">AO332</f>
        <v>170833.333333333</v>
      </c>
      <c r="AQ329" s="66" t="n">
        <f aca="false">AP332</f>
        <v>168750</v>
      </c>
      <c r="AR329" s="66" t="n">
        <f aca="false">AQ332</f>
        <v>166666.666666666</v>
      </c>
      <c r="AS329" s="66" t="n">
        <f aca="false">AR332</f>
        <v>164583.333333333</v>
      </c>
      <c r="AT329" s="66" t="n">
        <f aca="false">AS332</f>
        <v>162500</v>
      </c>
      <c r="AU329" s="66" t="n">
        <f aca="false">AT332</f>
        <v>160416.666666666</v>
      </c>
      <c r="AV329" s="66" t="n">
        <f aca="false">AU332</f>
        <v>158333.333333333</v>
      </c>
      <c r="AW329" s="66" t="n">
        <f aca="false">AV332</f>
        <v>156250</v>
      </c>
      <c r="AX329" s="66" t="n">
        <f aca="false">AW332</f>
        <v>154166.666666666</v>
      </c>
      <c r="AY329" s="66" t="n">
        <f aca="false">AX332</f>
        <v>152083.333333333</v>
      </c>
      <c r="AZ329" s="66" t="n">
        <f aca="false">AY332</f>
        <v>150000</v>
      </c>
      <c r="BA329" s="66" t="n">
        <f aca="false">AZ332</f>
        <v>147916.666666666</v>
      </c>
      <c r="BB329" s="66" t="n">
        <f aca="false">BA332</f>
        <v>145833.333333333</v>
      </c>
      <c r="BC329" s="66" t="n">
        <f aca="false">BB332</f>
        <v>143750</v>
      </c>
      <c r="BD329" s="66" t="n">
        <f aca="false">BC332</f>
        <v>141666.666666666</v>
      </c>
      <c r="BE329" s="66" t="n">
        <f aca="false">BD332</f>
        <v>139583.333333333</v>
      </c>
      <c r="BF329" s="66" t="n">
        <f aca="false">BE332</f>
        <v>137499.999999999</v>
      </c>
      <c r="BG329" s="66" t="n">
        <f aca="false">BF332</f>
        <v>135416.666666666</v>
      </c>
      <c r="BH329" s="66" t="n">
        <f aca="false">BG332</f>
        <v>133333.333333333</v>
      </c>
      <c r="BI329" s="66" t="n">
        <f aca="false">BH332</f>
        <v>131249.999999999</v>
      </c>
      <c r="BJ329" s="66" t="n">
        <f aca="false">BI332</f>
        <v>129166.666666666</v>
      </c>
    </row>
    <row r="330" customFormat="false" ht="15" hidden="false" customHeight="false" outlineLevel="0" collapsed="false">
      <c r="A330" s="6" t="s">
        <v>84</v>
      </c>
      <c r="C330" s="66" t="n">
        <f aca="false">IF(C$258=1,Inputs!$D$74,0)</f>
        <v>250000</v>
      </c>
      <c r="D330" s="66" t="n">
        <f aca="false">IF(D$258=1,Inputs!$D$74,0)</f>
        <v>0</v>
      </c>
      <c r="E330" s="66" t="n">
        <f aca="false">IF(E$258=1,Inputs!$D$74,0)</f>
        <v>0</v>
      </c>
      <c r="F330" s="66" t="n">
        <f aca="false">IF(F$258=1,Inputs!$D$74,0)</f>
        <v>0</v>
      </c>
      <c r="G330" s="66" t="n">
        <f aca="false">IF(G$258=1,Inputs!$D$74,0)</f>
        <v>0</v>
      </c>
      <c r="H330" s="66" t="n">
        <f aca="false">IF(H$258=1,Inputs!$D$74,0)</f>
        <v>0</v>
      </c>
      <c r="I330" s="66" t="n">
        <f aca="false">IF(I$258=1,Inputs!$D$74,0)</f>
        <v>0</v>
      </c>
      <c r="J330" s="66" t="n">
        <f aca="false">IF(J$258=1,Inputs!$D$74,0)</f>
        <v>0</v>
      </c>
      <c r="K330" s="66" t="n">
        <f aca="false">IF(K$258=1,Inputs!$D$74,0)</f>
        <v>0</v>
      </c>
      <c r="L330" s="66" t="n">
        <f aca="false">IF(L$258=1,Inputs!$D$74,0)</f>
        <v>0</v>
      </c>
      <c r="M330" s="66" t="n">
        <f aca="false">IF(M$258=1,Inputs!$D$74,0)</f>
        <v>0</v>
      </c>
      <c r="N330" s="66" t="n">
        <f aca="false">IF(N$258=1,Inputs!$D$74,0)</f>
        <v>0</v>
      </c>
      <c r="O330" s="66" t="n">
        <f aca="false">IF(O$258=1,Inputs!$D$74,0)</f>
        <v>0</v>
      </c>
      <c r="P330" s="66" t="n">
        <f aca="false">IF(P$258=1,Inputs!$D$74,0)</f>
        <v>0</v>
      </c>
      <c r="Q330" s="66" t="n">
        <f aca="false">IF(Q$258=1,Inputs!$D$74,0)</f>
        <v>0</v>
      </c>
      <c r="R330" s="66" t="n">
        <f aca="false">IF(R$258=1,Inputs!$D$74,0)</f>
        <v>0</v>
      </c>
      <c r="S330" s="66" t="n">
        <f aca="false">IF(S$258=1,Inputs!$D$74,0)</f>
        <v>0</v>
      </c>
      <c r="T330" s="66" t="n">
        <f aca="false">IF(T$258=1,Inputs!$D$74,0)</f>
        <v>0</v>
      </c>
      <c r="U330" s="66" t="n">
        <f aca="false">IF(U$258=1,Inputs!$D$74,0)</f>
        <v>0</v>
      </c>
      <c r="V330" s="66" t="n">
        <f aca="false">IF(V$258=1,Inputs!$D$74,0)</f>
        <v>0</v>
      </c>
      <c r="W330" s="66" t="n">
        <f aca="false">IF(W$258=1,Inputs!$D$74,0)</f>
        <v>0</v>
      </c>
      <c r="X330" s="66" t="n">
        <f aca="false">IF(X$258=1,Inputs!$D$74,0)</f>
        <v>0</v>
      </c>
      <c r="Y330" s="66" t="n">
        <f aca="false">IF(Y$258=1,Inputs!$D$74,0)</f>
        <v>0</v>
      </c>
      <c r="Z330" s="66" t="n">
        <f aca="false">IF(Z$258=1,Inputs!$D$74,0)</f>
        <v>0</v>
      </c>
      <c r="AA330" s="66" t="n">
        <f aca="false">IF(AA$258=1,Inputs!$D$74,0)</f>
        <v>0</v>
      </c>
      <c r="AB330" s="66" t="n">
        <f aca="false">IF(AB$258=1,Inputs!$D$74,0)</f>
        <v>0</v>
      </c>
      <c r="AC330" s="66" t="n">
        <f aca="false">IF(AC$258=1,Inputs!$D$74,0)</f>
        <v>0</v>
      </c>
      <c r="AD330" s="66" t="n">
        <f aca="false">IF(AD$258=1,Inputs!$D$74,0)</f>
        <v>0</v>
      </c>
      <c r="AE330" s="66" t="n">
        <f aca="false">IF(AE$258=1,Inputs!$D$74,0)</f>
        <v>0</v>
      </c>
      <c r="AF330" s="66" t="n">
        <f aca="false">IF(AF$258=1,Inputs!$D$74,0)</f>
        <v>0</v>
      </c>
      <c r="AG330" s="66" t="n">
        <f aca="false">IF(AG$258=1,Inputs!$D$74,0)</f>
        <v>0</v>
      </c>
      <c r="AH330" s="66" t="n">
        <f aca="false">IF(AH$258=1,Inputs!$D$74,0)</f>
        <v>0</v>
      </c>
      <c r="AI330" s="66" t="n">
        <f aca="false">IF(AI$258=1,Inputs!$D$74,0)</f>
        <v>0</v>
      </c>
      <c r="AJ330" s="66" t="n">
        <f aca="false">IF(AJ$258=1,Inputs!$D$74,0)</f>
        <v>0</v>
      </c>
      <c r="AK330" s="66" t="n">
        <f aca="false">IF(AK$258=1,Inputs!$D$74,0)</f>
        <v>0</v>
      </c>
      <c r="AL330" s="66" t="n">
        <f aca="false">IF(AL$258=1,Inputs!$D$74,0)</f>
        <v>0</v>
      </c>
      <c r="AM330" s="66" t="n">
        <f aca="false">IF(AM$258=1,Inputs!$D$74,0)</f>
        <v>0</v>
      </c>
      <c r="AN330" s="66" t="n">
        <f aca="false">IF(AN$258=1,Inputs!$D$74,0)</f>
        <v>0</v>
      </c>
      <c r="AO330" s="66" t="n">
        <f aca="false">IF(AO$258=1,Inputs!$D$74,0)</f>
        <v>0</v>
      </c>
      <c r="AP330" s="66" t="n">
        <f aca="false">IF(AP$258=1,Inputs!$D$74,0)</f>
        <v>0</v>
      </c>
      <c r="AQ330" s="66" t="n">
        <f aca="false">IF(AQ$258=1,Inputs!$D$74,0)</f>
        <v>0</v>
      </c>
      <c r="AR330" s="66" t="n">
        <f aca="false">IF(AR$258=1,Inputs!$D$74,0)</f>
        <v>0</v>
      </c>
      <c r="AS330" s="66" t="n">
        <f aca="false">IF(AS$258=1,Inputs!$D$74,0)</f>
        <v>0</v>
      </c>
      <c r="AT330" s="66" t="n">
        <f aca="false">IF(AT$258=1,Inputs!$D$74,0)</f>
        <v>0</v>
      </c>
      <c r="AU330" s="66" t="n">
        <f aca="false">IF(AU$258=1,Inputs!$D$74,0)</f>
        <v>0</v>
      </c>
      <c r="AV330" s="66" t="n">
        <f aca="false">IF(AV$258=1,Inputs!$D$74,0)</f>
        <v>0</v>
      </c>
      <c r="AW330" s="66" t="n">
        <f aca="false">IF(AW$258=1,Inputs!$D$74,0)</f>
        <v>0</v>
      </c>
      <c r="AX330" s="66" t="n">
        <f aca="false">IF(AX$258=1,Inputs!$D$74,0)</f>
        <v>0</v>
      </c>
      <c r="AY330" s="66" t="n">
        <f aca="false">IF(AY$258=1,Inputs!$D$74,0)</f>
        <v>0</v>
      </c>
      <c r="AZ330" s="66" t="n">
        <f aca="false">IF(AZ$258=1,Inputs!$D$74,0)</f>
        <v>0</v>
      </c>
      <c r="BA330" s="66" t="n">
        <f aca="false">IF(BA$258=1,Inputs!$D$74,0)</f>
        <v>0</v>
      </c>
      <c r="BB330" s="66" t="n">
        <f aca="false">IF(BB$258=1,Inputs!$D$74,0)</f>
        <v>0</v>
      </c>
      <c r="BC330" s="66" t="n">
        <f aca="false">IF(BC$258=1,Inputs!$D$74,0)</f>
        <v>0</v>
      </c>
      <c r="BD330" s="66" t="n">
        <f aca="false">IF(BD$258=1,Inputs!$D$74,0)</f>
        <v>0</v>
      </c>
      <c r="BE330" s="66" t="n">
        <f aca="false">IF(BE$258=1,Inputs!$D$74,0)</f>
        <v>0</v>
      </c>
      <c r="BF330" s="66" t="n">
        <f aca="false">IF(BF$258=1,Inputs!$D$74,0)</f>
        <v>0</v>
      </c>
      <c r="BG330" s="66" t="n">
        <f aca="false">IF(BG$258=1,Inputs!$D$74,0)</f>
        <v>0</v>
      </c>
      <c r="BH330" s="66" t="n">
        <f aca="false">IF(BH$258=1,Inputs!$D$74,0)</f>
        <v>0</v>
      </c>
      <c r="BI330" s="66" t="n">
        <f aca="false">IF(BI$258=1,Inputs!$D$74,0)</f>
        <v>0</v>
      </c>
      <c r="BJ330" s="66" t="n">
        <f aca="false">IF(BJ$258=1,Inputs!$D$74,0)</f>
        <v>0</v>
      </c>
    </row>
    <row r="331" customFormat="false" ht="15" hidden="false" customHeight="false" outlineLevel="0" collapsed="false">
      <c r="A331" s="6" t="s">
        <v>85</v>
      </c>
      <c r="C331" s="66" t="n">
        <f aca="false">-MIN(C329,Inputs!$D$74/MAX(1,Inputs!$D$76*12))</f>
        <v>-0</v>
      </c>
      <c r="D331" s="66" t="n">
        <f aca="false">-MIN(D329,Inputs!$D$74/MAX(1,Inputs!$D$76*12))</f>
        <v>-2083.33333333333</v>
      </c>
      <c r="E331" s="66" t="n">
        <f aca="false">-MIN(E329,Inputs!$D$74/MAX(1,Inputs!$D$76*12))</f>
        <v>-2083.33333333333</v>
      </c>
      <c r="F331" s="66" t="n">
        <f aca="false">-MIN(F329,Inputs!$D$74/MAX(1,Inputs!$D$76*12))</f>
        <v>-2083.33333333333</v>
      </c>
      <c r="G331" s="66" t="n">
        <f aca="false">-MIN(G329,Inputs!$D$74/MAX(1,Inputs!$D$76*12))</f>
        <v>-2083.33333333333</v>
      </c>
      <c r="H331" s="66" t="n">
        <f aca="false">-MIN(H329,Inputs!$D$74/MAX(1,Inputs!$D$76*12))</f>
        <v>-2083.33333333333</v>
      </c>
      <c r="I331" s="66" t="n">
        <f aca="false">-MIN(I329,Inputs!$D$74/MAX(1,Inputs!$D$76*12))</f>
        <v>-2083.33333333333</v>
      </c>
      <c r="J331" s="66" t="n">
        <f aca="false">-MIN(J329,Inputs!$D$74/MAX(1,Inputs!$D$76*12))</f>
        <v>-2083.33333333333</v>
      </c>
      <c r="K331" s="66" t="n">
        <f aca="false">-MIN(K329,Inputs!$D$74/MAX(1,Inputs!$D$76*12))</f>
        <v>-2083.33333333333</v>
      </c>
      <c r="L331" s="66" t="n">
        <f aca="false">-MIN(L329,Inputs!$D$74/MAX(1,Inputs!$D$76*12))</f>
        <v>-2083.33333333333</v>
      </c>
      <c r="M331" s="66" t="n">
        <f aca="false">-MIN(M329,Inputs!$D$74/MAX(1,Inputs!$D$76*12))</f>
        <v>-2083.33333333333</v>
      </c>
      <c r="N331" s="66" t="n">
        <f aca="false">-MIN(N329,Inputs!$D$74/MAX(1,Inputs!$D$76*12))</f>
        <v>-2083.33333333333</v>
      </c>
      <c r="O331" s="66" t="n">
        <f aca="false">-MIN(O329,Inputs!$D$74/MAX(1,Inputs!$D$76*12))</f>
        <v>-2083.33333333333</v>
      </c>
      <c r="P331" s="66" t="n">
        <f aca="false">-MIN(P329,Inputs!$D$74/MAX(1,Inputs!$D$76*12))</f>
        <v>-2083.33333333333</v>
      </c>
      <c r="Q331" s="66" t="n">
        <f aca="false">-MIN(Q329,Inputs!$D$74/MAX(1,Inputs!$D$76*12))</f>
        <v>-2083.33333333333</v>
      </c>
      <c r="R331" s="66" t="n">
        <f aca="false">-MIN(R329,Inputs!$D$74/MAX(1,Inputs!$D$76*12))</f>
        <v>-2083.33333333333</v>
      </c>
      <c r="S331" s="66" t="n">
        <f aca="false">-MIN(S329,Inputs!$D$74/MAX(1,Inputs!$D$76*12))</f>
        <v>-2083.33333333333</v>
      </c>
      <c r="T331" s="66" t="n">
        <f aca="false">-MIN(T329,Inputs!$D$74/MAX(1,Inputs!$D$76*12))</f>
        <v>-2083.33333333333</v>
      </c>
      <c r="U331" s="66" t="n">
        <f aca="false">-MIN(U329,Inputs!$D$74/MAX(1,Inputs!$D$76*12))</f>
        <v>-2083.33333333333</v>
      </c>
      <c r="V331" s="66" t="n">
        <f aca="false">-MIN(V329,Inputs!$D$74/MAX(1,Inputs!$D$76*12))</f>
        <v>-2083.33333333333</v>
      </c>
      <c r="W331" s="66" t="n">
        <f aca="false">-MIN(W329,Inputs!$D$74/MAX(1,Inputs!$D$76*12))</f>
        <v>-2083.33333333333</v>
      </c>
      <c r="X331" s="66" t="n">
        <f aca="false">-MIN(X329,Inputs!$D$74/MAX(1,Inputs!$D$76*12))</f>
        <v>-2083.33333333333</v>
      </c>
      <c r="Y331" s="66" t="n">
        <f aca="false">-MIN(Y329,Inputs!$D$74/MAX(1,Inputs!$D$76*12))</f>
        <v>-2083.33333333333</v>
      </c>
      <c r="Z331" s="66" t="n">
        <f aca="false">-MIN(Z329,Inputs!$D$74/MAX(1,Inputs!$D$76*12))</f>
        <v>-2083.33333333333</v>
      </c>
      <c r="AA331" s="66" t="n">
        <f aca="false">-MIN(AA329,Inputs!$D$74/MAX(1,Inputs!$D$76*12))</f>
        <v>-2083.33333333333</v>
      </c>
      <c r="AB331" s="66" t="n">
        <f aca="false">-MIN(AB329,Inputs!$D$74/MAX(1,Inputs!$D$76*12))</f>
        <v>-2083.33333333333</v>
      </c>
      <c r="AC331" s="66" t="n">
        <f aca="false">-MIN(AC329,Inputs!$D$74/MAX(1,Inputs!$D$76*12))</f>
        <v>-2083.33333333333</v>
      </c>
      <c r="AD331" s="66" t="n">
        <f aca="false">-MIN(AD329,Inputs!$D$74/MAX(1,Inputs!$D$76*12))</f>
        <v>-2083.33333333333</v>
      </c>
      <c r="AE331" s="66" t="n">
        <f aca="false">-MIN(AE329,Inputs!$D$74/MAX(1,Inputs!$D$76*12))</f>
        <v>-2083.33333333333</v>
      </c>
      <c r="AF331" s="66" t="n">
        <f aca="false">-MIN(AF329,Inputs!$D$74/MAX(1,Inputs!$D$76*12))</f>
        <v>-2083.33333333333</v>
      </c>
      <c r="AG331" s="66" t="n">
        <f aca="false">-MIN(AG329,Inputs!$D$74/MAX(1,Inputs!$D$76*12))</f>
        <v>-2083.33333333333</v>
      </c>
      <c r="AH331" s="66" t="n">
        <f aca="false">-MIN(AH329,Inputs!$D$74/MAX(1,Inputs!$D$76*12))</f>
        <v>-2083.33333333333</v>
      </c>
      <c r="AI331" s="66" t="n">
        <f aca="false">-MIN(AI329,Inputs!$D$74/MAX(1,Inputs!$D$76*12))</f>
        <v>-2083.33333333333</v>
      </c>
      <c r="AJ331" s="66" t="n">
        <f aca="false">-MIN(AJ329,Inputs!$D$74/MAX(1,Inputs!$D$76*12))</f>
        <v>-2083.33333333333</v>
      </c>
      <c r="AK331" s="66" t="n">
        <f aca="false">-MIN(AK329,Inputs!$D$74/MAX(1,Inputs!$D$76*12))</f>
        <v>-2083.33333333333</v>
      </c>
      <c r="AL331" s="66" t="n">
        <f aca="false">-MIN(AL329,Inputs!$D$74/MAX(1,Inputs!$D$76*12))</f>
        <v>-2083.33333333333</v>
      </c>
      <c r="AM331" s="66" t="n">
        <f aca="false">-MIN(AM329,Inputs!$D$74/MAX(1,Inputs!$D$76*12))</f>
        <v>-2083.33333333333</v>
      </c>
      <c r="AN331" s="66" t="n">
        <f aca="false">-MIN(AN329,Inputs!$D$74/MAX(1,Inputs!$D$76*12))</f>
        <v>-2083.33333333333</v>
      </c>
      <c r="AO331" s="66" t="n">
        <f aca="false">-MIN(AO329,Inputs!$D$74/MAX(1,Inputs!$D$76*12))</f>
        <v>-2083.33333333333</v>
      </c>
      <c r="AP331" s="66" t="n">
        <f aca="false">-MIN(AP329,Inputs!$D$74/MAX(1,Inputs!$D$76*12))</f>
        <v>-2083.33333333333</v>
      </c>
      <c r="AQ331" s="66" t="n">
        <f aca="false">-MIN(AQ329,Inputs!$D$74/MAX(1,Inputs!$D$76*12))</f>
        <v>-2083.33333333333</v>
      </c>
      <c r="AR331" s="66" t="n">
        <f aca="false">-MIN(AR329,Inputs!$D$74/MAX(1,Inputs!$D$76*12))</f>
        <v>-2083.33333333333</v>
      </c>
      <c r="AS331" s="66" t="n">
        <f aca="false">-MIN(AS329,Inputs!$D$74/MAX(1,Inputs!$D$76*12))</f>
        <v>-2083.33333333333</v>
      </c>
      <c r="AT331" s="66" t="n">
        <f aca="false">-MIN(AT329,Inputs!$D$74/MAX(1,Inputs!$D$76*12))</f>
        <v>-2083.33333333333</v>
      </c>
      <c r="AU331" s="66" t="n">
        <f aca="false">-MIN(AU329,Inputs!$D$74/MAX(1,Inputs!$D$76*12))</f>
        <v>-2083.33333333333</v>
      </c>
      <c r="AV331" s="66" t="n">
        <f aca="false">-MIN(AV329,Inputs!$D$74/MAX(1,Inputs!$D$76*12))</f>
        <v>-2083.33333333333</v>
      </c>
      <c r="AW331" s="66" t="n">
        <f aca="false">-MIN(AW329,Inputs!$D$74/MAX(1,Inputs!$D$76*12))</f>
        <v>-2083.33333333333</v>
      </c>
      <c r="AX331" s="66" t="n">
        <f aca="false">-MIN(AX329,Inputs!$D$74/MAX(1,Inputs!$D$76*12))</f>
        <v>-2083.33333333333</v>
      </c>
      <c r="AY331" s="66" t="n">
        <f aca="false">-MIN(AY329,Inputs!$D$74/MAX(1,Inputs!$D$76*12))</f>
        <v>-2083.33333333333</v>
      </c>
      <c r="AZ331" s="66" t="n">
        <f aca="false">-MIN(AZ329,Inputs!$D$74/MAX(1,Inputs!$D$76*12))</f>
        <v>-2083.33333333333</v>
      </c>
      <c r="BA331" s="66" t="n">
        <f aca="false">-MIN(BA329,Inputs!$D$74/MAX(1,Inputs!$D$76*12))</f>
        <v>-2083.33333333333</v>
      </c>
      <c r="BB331" s="66" t="n">
        <f aca="false">-MIN(BB329,Inputs!$D$74/MAX(1,Inputs!$D$76*12))</f>
        <v>-2083.33333333333</v>
      </c>
      <c r="BC331" s="66" t="n">
        <f aca="false">-MIN(BC329,Inputs!$D$74/MAX(1,Inputs!$D$76*12))</f>
        <v>-2083.33333333333</v>
      </c>
      <c r="BD331" s="66" t="n">
        <f aca="false">-MIN(BD329,Inputs!$D$74/MAX(1,Inputs!$D$76*12))</f>
        <v>-2083.33333333333</v>
      </c>
      <c r="BE331" s="66" t="n">
        <f aca="false">-MIN(BE329,Inputs!$D$74/MAX(1,Inputs!$D$76*12))</f>
        <v>-2083.33333333333</v>
      </c>
      <c r="BF331" s="66" t="n">
        <f aca="false">-MIN(BF329,Inputs!$D$74/MAX(1,Inputs!$D$76*12))</f>
        <v>-2083.33333333333</v>
      </c>
      <c r="BG331" s="66" t="n">
        <f aca="false">-MIN(BG329,Inputs!$D$74/MAX(1,Inputs!$D$76*12))</f>
        <v>-2083.33333333333</v>
      </c>
      <c r="BH331" s="66" t="n">
        <f aca="false">-MIN(BH329,Inputs!$D$74/MAX(1,Inputs!$D$76*12))</f>
        <v>-2083.33333333333</v>
      </c>
      <c r="BI331" s="66" t="n">
        <f aca="false">-MIN(BI329,Inputs!$D$74/MAX(1,Inputs!$D$76*12))</f>
        <v>-2083.33333333333</v>
      </c>
      <c r="BJ331" s="66" t="n">
        <f aca="false">-MIN(BJ329,Inputs!$D$74/MAX(1,Inputs!$D$76*12))</f>
        <v>-2083.33333333333</v>
      </c>
    </row>
    <row r="332" customFormat="false" ht="15" hidden="false" customHeight="false" outlineLevel="0" collapsed="false">
      <c r="A332" s="4" t="s">
        <v>448</v>
      </c>
      <c r="C332" s="72" t="n">
        <f aca="false">C329+C330+C331</f>
        <v>250000</v>
      </c>
      <c r="D332" s="72" t="n">
        <f aca="false">D329+D330+D331</f>
        <v>247916.666666667</v>
      </c>
      <c r="E332" s="72" t="n">
        <f aca="false">E329+E330+E331</f>
        <v>245833.333333333</v>
      </c>
      <c r="F332" s="72" t="n">
        <f aca="false">F329+F330+F331</f>
        <v>243750</v>
      </c>
      <c r="G332" s="72" t="n">
        <f aca="false">G329+G330+G331</f>
        <v>241666.666666667</v>
      </c>
      <c r="H332" s="72" t="n">
        <f aca="false">H329+H330+H331</f>
        <v>239583.333333333</v>
      </c>
      <c r="I332" s="72" t="n">
        <f aca="false">I329+I330+I331</f>
        <v>237500</v>
      </c>
      <c r="J332" s="72" t="n">
        <f aca="false">J329+J330+J331</f>
        <v>235416.666666667</v>
      </c>
      <c r="K332" s="72" t="n">
        <f aca="false">K329+K330+K331</f>
        <v>233333.333333333</v>
      </c>
      <c r="L332" s="72" t="n">
        <f aca="false">L329+L330+L331</f>
        <v>231250</v>
      </c>
      <c r="M332" s="72" t="n">
        <f aca="false">M329+M330+M331</f>
        <v>229166.666666667</v>
      </c>
      <c r="N332" s="72" t="n">
        <f aca="false">N329+N330+N331</f>
        <v>227083.333333333</v>
      </c>
      <c r="O332" s="72" t="n">
        <f aca="false">O329+O330+O331</f>
        <v>225000</v>
      </c>
      <c r="P332" s="72" t="n">
        <f aca="false">P329+P330+P331</f>
        <v>222916.666666667</v>
      </c>
      <c r="Q332" s="72" t="n">
        <f aca="false">Q329+Q330+Q331</f>
        <v>220833.333333333</v>
      </c>
      <c r="R332" s="72" t="n">
        <f aca="false">R329+R330+R331</f>
        <v>218750</v>
      </c>
      <c r="S332" s="72" t="n">
        <f aca="false">S329+S330+S331</f>
        <v>216666.666666667</v>
      </c>
      <c r="T332" s="72" t="n">
        <f aca="false">T329+T330+T331</f>
        <v>214583.333333333</v>
      </c>
      <c r="U332" s="72" t="n">
        <f aca="false">U329+U330+U331</f>
        <v>212500</v>
      </c>
      <c r="V332" s="72" t="n">
        <f aca="false">V329+V330+V331</f>
        <v>210416.666666666</v>
      </c>
      <c r="W332" s="72" t="n">
        <f aca="false">W329+W330+W331</f>
        <v>208333.333333333</v>
      </c>
      <c r="X332" s="72" t="n">
        <f aca="false">X329+X330+X331</f>
        <v>206250</v>
      </c>
      <c r="Y332" s="72" t="n">
        <f aca="false">Y329+Y330+Y331</f>
        <v>204166.666666666</v>
      </c>
      <c r="Z332" s="72" t="n">
        <f aca="false">Z329+Z330+Z331</f>
        <v>202083.333333333</v>
      </c>
      <c r="AA332" s="72" t="n">
        <f aca="false">AA329+AA330+AA331</f>
        <v>200000</v>
      </c>
      <c r="AB332" s="72" t="n">
        <f aca="false">AB329+AB330+AB331</f>
        <v>197916.666666666</v>
      </c>
      <c r="AC332" s="72" t="n">
        <f aca="false">AC329+AC330+AC331</f>
        <v>195833.333333333</v>
      </c>
      <c r="AD332" s="72" t="n">
        <f aca="false">AD329+AD330+AD331</f>
        <v>193750</v>
      </c>
      <c r="AE332" s="72" t="n">
        <f aca="false">AE329+AE330+AE331</f>
        <v>191666.666666666</v>
      </c>
      <c r="AF332" s="72" t="n">
        <f aca="false">AF329+AF330+AF331</f>
        <v>189583.333333333</v>
      </c>
      <c r="AG332" s="72" t="n">
        <f aca="false">AG329+AG330+AG331</f>
        <v>187500</v>
      </c>
      <c r="AH332" s="72" t="n">
        <f aca="false">AH329+AH330+AH331</f>
        <v>185416.666666666</v>
      </c>
      <c r="AI332" s="72" t="n">
        <f aca="false">AI329+AI330+AI331</f>
        <v>183333.333333333</v>
      </c>
      <c r="AJ332" s="72" t="n">
        <f aca="false">AJ329+AJ330+AJ331</f>
        <v>181250</v>
      </c>
      <c r="AK332" s="72" t="n">
        <f aca="false">AK329+AK330+AK331</f>
        <v>179166.666666666</v>
      </c>
      <c r="AL332" s="72" t="n">
        <f aca="false">AL329+AL330+AL331</f>
        <v>177083.333333333</v>
      </c>
      <c r="AM332" s="72" t="n">
        <f aca="false">AM329+AM330+AM331</f>
        <v>175000</v>
      </c>
      <c r="AN332" s="72" t="n">
        <f aca="false">AN329+AN330+AN331</f>
        <v>172916.666666666</v>
      </c>
      <c r="AO332" s="72" t="n">
        <f aca="false">AO329+AO330+AO331</f>
        <v>170833.333333333</v>
      </c>
      <c r="AP332" s="72" t="n">
        <f aca="false">AP329+AP330+AP331</f>
        <v>168750</v>
      </c>
      <c r="AQ332" s="72" t="n">
        <f aca="false">AQ329+AQ330+AQ331</f>
        <v>166666.666666666</v>
      </c>
      <c r="AR332" s="72" t="n">
        <f aca="false">AR329+AR330+AR331</f>
        <v>164583.333333333</v>
      </c>
      <c r="AS332" s="72" t="n">
        <f aca="false">AS329+AS330+AS331</f>
        <v>162500</v>
      </c>
      <c r="AT332" s="72" t="n">
        <f aca="false">AT329+AT330+AT331</f>
        <v>160416.666666666</v>
      </c>
      <c r="AU332" s="72" t="n">
        <f aca="false">AU329+AU330+AU331</f>
        <v>158333.333333333</v>
      </c>
      <c r="AV332" s="72" t="n">
        <f aca="false">AV329+AV330+AV331</f>
        <v>156250</v>
      </c>
      <c r="AW332" s="72" t="n">
        <f aca="false">AW329+AW330+AW331</f>
        <v>154166.666666666</v>
      </c>
      <c r="AX332" s="72" t="n">
        <f aca="false">AX329+AX330+AX331</f>
        <v>152083.333333333</v>
      </c>
      <c r="AY332" s="72" t="n">
        <f aca="false">AY329+AY330+AY331</f>
        <v>150000</v>
      </c>
      <c r="AZ332" s="72" t="n">
        <f aca="false">AZ329+AZ330+AZ331</f>
        <v>147916.666666666</v>
      </c>
      <c r="BA332" s="72" t="n">
        <f aca="false">BA329+BA330+BA331</f>
        <v>145833.333333333</v>
      </c>
      <c r="BB332" s="72" t="n">
        <f aca="false">BB329+BB330+BB331</f>
        <v>143750</v>
      </c>
      <c r="BC332" s="72" t="n">
        <f aca="false">BC329+BC330+BC331</f>
        <v>141666.666666666</v>
      </c>
      <c r="BD332" s="72" t="n">
        <f aca="false">BD329+BD330+BD331</f>
        <v>139583.333333333</v>
      </c>
      <c r="BE332" s="72" t="n">
        <f aca="false">BE329+BE330+BE331</f>
        <v>137499.999999999</v>
      </c>
      <c r="BF332" s="72" t="n">
        <f aca="false">BF329+BF330+BF331</f>
        <v>135416.666666666</v>
      </c>
      <c r="BG332" s="72" t="n">
        <f aca="false">BG329+BG330+BG331</f>
        <v>133333.333333333</v>
      </c>
      <c r="BH332" s="72" t="n">
        <f aca="false">BH329+BH330+BH331</f>
        <v>131249.999999999</v>
      </c>
      <c r="BI332" s="72" t="n">
        <f aca="false">BI329+BI330+BI331</f>
        <v>129166.666666666</v>
      </c>
      <c r="BJ332" s="72" t="n">
        <f aca="false">BJ329+BJ330+BJ331</f>
        <v>127083.333333333</v>
      </c>
    </row>
    <row r="334" customFormat="false" ht="15.75" hidden="false" customHeight="true" outlineLevel="0" collapsed="false">
      <c r="A334" s="7" t="s">
        <v>323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6" t="s">
        <v>89</v>
      </c>
      <c r="C335" s="66" t="n">
        <f aca="false">C286*Inputs!$D$79/30</f>
        <v>9291.46833333333</v>
      </c>
      <c r="D335" s="66" t="n">
        <f aca="false">D286*Inputs!$D$79/30</f>
        <v>10675.6702962963</v>
      </c>
      <c r="E335" s="66" t="n">
        <f aca="false">E286*Inputs!$D$79/30</f>
        <v>12984.3167037037</v>
      </c>
      <c r="F335" s="66" t="n">
        <f aca="false">F286*Inputs!$D$79/30</f>
        <v>15292.9631111111</v>
      </c>
      <c r="G335" s="66" t="n">
        <f aca="false">G286*Inputs!$D$79/30</f>
        <v>17601.6095185185</v>
      </c>
      <c r="H335" s="66" t="n">
        <f aca="false">H286*Inputs!$D$79/30</f>
        <v>19910.2559259259</v>
      </c>
      <c r="I335" s="66" t="n">
        <f aca="false">I286*Inputs!$D$79/30</f>
        <v>22218.9023333333</v>
      </c>
      <c r="J335" s="66" t="n">
        <f aca="false">J286*Inputs!$D$79/30</f>
        <v>24527.5487407407</v>
      </c>
      <c r="K335" s="66" t="n">
        <f aca="false">K286*Inputs!$D$79/30</f>
        <v>26836.1951481481</v>
      </c>
      <c r="L335" s="66" t="n">
        <f aca="false">L286*Inputs!$D$79/30</f>
        <v>29144.8415555556</v>
      </c>
      <c r="M335" s="66" t="n">
        <f aca="false">M286*Inputs!$D$79/30</f>
        <v>28769.286</v>
      </c>
      <c r="N335" s="66" t="n">
        <f aca="false">N286*Inputs!$D$79/30</f>
        <v>28769.286</v>
      </c>
      <c r="O335" s="66" t="n">
        <f aca="false">O286*Inputs!$D$79/30</f>
        <v>29920.05744</v>
      </c>
      <c r="P335" s="66" t="n">
        <f aca="false">P286*Inputs!$D$79/30</f>
        <v>29920.05744</v>
      </c>
      <c r="Q335" s="66" t="n">
        <f aca="false">Q286*Inputs!$D$79/30</f>
        <v>29920.05744</v>
      </c>
      <c r="R335" s="66" t="n">
        <f aca="false">R286*Inputs!$D$79/30</f>
        <v>29920.05744</v>
      </c>
      <c r="S335" s="66" t="n">
        <f aca="false">S286*Inputs!$D$79/30</f>
        <v>29920.05744</v>
      </c>
      <c r="T335" s="66" t="n">
        <f aca="false">T286*Inputs!$D$79/30</f>
        <v>29920.05744</v>
      </c>
      <c r="U335" s="66" t="n">
        <f aca="false">U286*Inputs!$D$79/30</f>
        <v>29920.05744</v>
      </c>
      <c r="V335" s="66" t="n">
        <f aca="false">V286*Inputs!$D$79/30</f>
        <v>29920.05744</v>
      </c>
      <c r="W335" s="66" t="n">
        <f aca="false">W286*Inputs!$D$79/30</f>
        <v>29920.05744</v>
      </c>
      <c r="X335" s="66" t="n">
        <f aca="false">X286*Inputs!$D$79/30</f>
        <v>29920.05744</v>
      </c>
      <c r="Y335" s="66" t="n">
        <f aca="false">Y286*Inputs!$D$79/30</f>
        <v>29920.05744</v>
      </c>
      <c r="Z335" s="66" t="n">
        <f aca="false">Z286*Inputs!$D$79/30</f>
        <v>29920.05744</v>
      </c>
      <c r="AA335" s="66" t="n">
        <f aca="false">AA286*Inputs!$D$79/30</f>
        <v>31116.8597376</v>
      </c>
      <c r="AB335" s="66" t="n">
        <f aca="false">AB286*Inputs!$D$79/30</f>
        <v>31116.8597376</v>
      </c>
      <c r="AC335" s="66" t="n">
        <f aca="false">AC286*Inputs!$D$79/30</f>
        <v>31116.8597376</v>
      </c>
      <c r="AD335" s="66" t="n">
        <f aca="false">AD286*Inputs!$D$79/30</f>
        <v>31116.8597376</v>
      </c>
      <c r="AE335" s="66" t="n">
        <f aca="false">AE286*Inputs!$D$79/30</f>
        <v>31116.8597376</v>
      </c>
      <c r="AF335" s="66" t="n">
        <f aca="false">AF286*Inputs!$D$79/30</f>
        <v>31116.8597376</v>
      </c>
      <c r="AG335" s="66" t="n">
        <f aca="false">AG286*Inputs!$D$79/30</f>
        <v>31116.8597376</v>
      </c>
      <c r="AH335" s="66" t="n">
        <f aca="false">AH286*Inputs!$D$79/30</f>
        <v>31116.8597376</v>
      </c>
      <c r="AI335" s="66" t="n">
        <f aca="false">AI286*Inputs!$D$79/30</f>
        <v>31116.8597376</v>
      </c>
      <c r="AJ335" s="66" t="n">
        <f aca="false">AJ286*Inputs!$D$79/30</f>
        <v>31116.8597376</v>
      </c>
      <c r="AK335" s="66" t="n">
        <f aca="false">AK286*Inputs!$D$79/30</f>
        <v>31116.8597376</v>
      </c>
      <c r="AL335" s="66" t="n">
        <f aca="false">AL286*Inputs!$D$79/30</f>
        <v>31116.8597376</v>
      </c>
      <c r="AM335" s="66" t="n">
        <f aca="false">AM286*Inputs!$D$79/30</f>
        <v>32361.534127104</v>
      </c>
      <c r="AN335" s="66" t="n">
        <f aca="false">AN286*Inputs!$D$79/30</f>
        <v>32361.534127104</v>
      </c>
      <c r="AO335" s="66" t="n">
        <f aca="false">AO286*Inputs!$D$79/30</f>
        <v>32361.534127104</v>
      </c>
      <c r="AP335" s="66" t="n">
        <f aca="false">AP286*Inputs!$D$79/30</f>
        <v>32361.534127104</v>
      </c>
      <c r="AQ335" s="66" t="n">
        <f aca="false">AQ286*Inputs!$D$79/30</f>
        <v>32361.534127104</v>
      </c>
      <c r="AR335" s="66" t="n">
        <f aca="false">AR286*Inputs!$D$79/30</f>
        <v>32361.534127104</v>
      </c>
      <c r="AS335" s="66" t="n">
        <f aca="false">AS286*Inputs!$D$79/30</f>
        <v>32361.534127104</v>
      </c>
      <c r="AT335" s="66" t="n">
        <f aca="false">AT286*Inputs!$D$79/30</f>
        <v>32361.534127104</v>
      </c>
      <c r="AU335" s="66" t="n">
        <f aca="false">AU286*Inputs!$D$79/30</f>
        <v>32361.534127104</v>
      </c>
      <c r="AV335" s="66" t="n">
        <f aca="false">AV286*Inputs!$D$79/30</f>
        <v>32361.534127104</v>
      </c>
      <c r="AW335" s="66" t="n">
        <f aca="false">AW286*Inputs!$D$79/30</f>
        <v>32361.534127104</v>
      </c>
      <c r="AX335" s="66" t="n">
        <f aca="false">AX286*Inputs!$D$79/30</f>
        <v>32361.534127104</v>
      </c>
      <c r="AY335" s="66" t="n">
        <f aca="false">AY286*Inputs!$D$79/30</f>
        <v>33655.9954921882</v>
      </c>
      <c r="AZ335" s="66" t="n">
        <f aca="false">AZ286*Inputs!$D$79/30</f>
        <v>33655.9954921882</v>
      </c>
      <c r="BA335" s="66" t="n">
        <f aca="false">BA286*Inputs!$D$79/30</f>
        <v>33655.9954921882</v>
      </c>
      <c r="BB335" s="66" t="n">
        <f aca="false">BB286*Inputs!$D$79/30</f>
        <v>33655.9954921882</v>
      </c>
      <c r="BC335" s="66" t="n">
        <f aca="false">BC286*Inputs!$D$79/30</f>
        <v>33655.9954921882</v>
      </c>
      <c r="BD335" s="66" t="n">
        <f aca="false">BD286*Inputs!$D$79/30</f>
        <v>33655.9954921882</v>
      </c>
      <c r="BE335" s="66" t="n">
        <f aca="false">BE286*Inputs!$D$79/30</f>
        <v>33655.9954921882</v>
      </c>
      <c r="BF335" s="66" t="n">
        <f aca="false">BF286*Inputs!$D$79/30</f>
        <v>33655.9954921882</v>
      </c>
      <c r="BG335" s="66" t="n">
        <f aca="false">BG286*Inputs!$D$79/30</f>
        <v>33655.9954921882</v>
      </c>
      <c r="BH335" s="66" t="n">
        <f aca="false">BH286*Inputs!$D$79/30</f>
        <v>33655.9954921882</v>
      </c>
      <c r="BI335" s="66" t="n">
        <f aca="false">BI286*Inputs!$D$79/30</f>
        <v>33655.9954921882</v>
      </c>
      <c r="BJ335" s="66" t="n">
        <f aca="false">BJ286*Inputs!$D$79/30</f>
        <v>33655.9954921882</v>
      </c>
    </row>
    <row r="336" customFormat="false" ht="15" hidden="false" customHeight="false" outlineLevel="0" collapsed="false">
      <c r="A336" s="6" t="s">
        <v>90</v>
      </c>
      <c r="C336" s="66" t="n">
        <f aca="false">-C292*Inputs!$D$80/30</f>
        <v>879.333333333333</v>
      </c>
      <c r="D336" s="66" t="n">
        <f aca="false">-D292*Inputs!$D$80/30</f>
        <v>1644.74666666667</v>
      </c>
      <c r="E336" s="66" t="n">
        <f aca="false">-E292*Inputs!$D$80/30</f>
        <v>1691.02666666667</v>
      </c>
      <c r="F336" s="66" t="n">
        <f aca="false">-F292*Inputs!$D$80/30</f>
        <v>1737.30666666667</v>
      </c>
      <c r="G336" s="66" t="n">
        <f aca="false">-G292*Inputs!$D$80/30</f>
        <v>1783.58666666667</v>
      </c>
      <c r="H336" s="66" t="n">
        <f aca="false">-H292*Inputs!$D$80/30</f>
        <v>2189.43333333333</v>
      </c>
      <c r="I336" s="66" t="n">
        <f aca="false">-I292*Inputs!$D$80/30</f>
        <v>2595.28</v>
      </c>
      <c r="J336" s="66" t="n">
        <f aca="false">-J292*Inputs!$D$80/30</f>
        <v>2641.56</v>
      </c>
      <c r="K336" s="66" t="n">
        <f aca="false">-K292*Inputs!$D$80/30</f>
        <v>2687.84</v>
      </c>
      <c r="L336" s="66" t="n">
        <f aca="false">-L292*Inputs!$D$80/30</f>
        <v>3093.68666666667</v>
      </c>
      <c r="M336" s="66" t="n">
        <f aca="false">-M292*Inputs!$D$80/30</f>
        <v>3093.68666666667</v>
      </c>
      <c r="N336" s="66" t="n">
        <f aca="false">-N292*Inputs!$D$80/30</f>
        <v>3093.68666666667</v>
      </c>
      <c r="O336" s="66" t="n">
        <f aca="false">-O292*Inputs!$D$80/30</f>
        <v>3186.49726666667</v>
      </c>
      <c r="P336" s="66" t="n">
        <f aca="false">-P292*Inputs!$D$80/30</f>
        <v>3186.49726666667</v>
      </c>
      <c r="Q336" s="66" t="n">
        <f aca="false">-Q292*Inputs!$D$80/30</f>
        <v>3186.49726666667</v>
      </c>
      <c r="R336" s="66" t="n">
        <f aca="false">-R292*Inputs!$D$80/30</f>
        <v>3186.49726666667</v>
      </c>
      <c r="S336" s="66" t="n">
        <f aca="false">-S292*Inputs!$D$80/30</f>
        <v>3186.49726666667</v>
      </c>
      <c r="T336" s="66" t="n">
        <f aca="false">-T292*Inputs!$D$80/30</f>
        <v>3186.49726666667</v>
      </c>
      <c r="U336" s="66" t="n">
        <f aca="false">-U292*Inputs!$D$80/30</f>
        <v>3186.49726666667</v>
      </c>
      <c r="V336" s="66" t="n">
        <f aca="false">-V292*Inputs!$D$80/30</f>
        <v>3186.49726666667</v>
      </c>
      <c r="W336" s="66" t="n">
        <f aca="false">-W292*Inputs!$D$80/30</f>
        <v>3186.49726666667</v>
      </c>
      <c r="X336" s="66" t="n">
        <f aca="false">-X292*Inputs!$D$80/30</f>
        <v>3186.49726666667</v>
      </c>
      <c r="Y336" s="66" t="n">
        <f aca="false">-Y292*Inputs!$D$80/30</f>
        <v>3186.49726666667</v>
      </c>
      <c r="Z336" s="66" t="n">
        <f aca="false">-Z292*Inputs!$D$80/30</f>
        <v>3186.49726666667</v>
      </c>
      <c r="AA336" s="66" t="n">
        <f aca="false">-AA292*Inputs!$D$80/30</f>
        <v>3282.09218466667</v>
      </c>
      <c r="AB336" s="66" t="n">
        <f aca="false">-AB292*Inputs!$D$80/30</f>
        <v>3282.09218466667</v>
      </c>
      <c r="AC336" s="66" t="n">
        <f aca="false">-AC292*Inputs!$D$80/30</f>
        <v>3282.09218466667</v>
      </c>
      <c r="AD336" s="66" t="n">
        <f aca="false">-AD292*Inputs!$D$80/30</f>
        <v>3282.09218466667</v>
      </c>
      <c r="AE336" s="66" t="n">
        <f aca="false">-AE292*Inputs!$D$80/30</f>
        <v>3282.09218466667</v>
      </c>
      <c r="AF336" s="66" t="n">
        <f aca="false">-AF292*Inputs!$D$80/30</f>
        <v>3282.09218466667</v>
      </c>
      <c r="AG336" s="66" t="n">
        <f aca="false">-AG292*Inputs!$D$80/30</f>
        <v>3282.09218466667</v>
      </c>
      <c r="AH336" s="66" t="n">
        <f aca="false">-AH292*Inputs!$D$80/30</f>
        <v>3282.09218466667</v>
      </c>
      <c r="AI336" s="66" t="n">
        <f aca="false">-AI292*Inputs!$D$80/30</f>
        <v>3282.09218466667</v>
      </c>
      <c r="AJ336" s="66" t="n">
        <f aca="false">-AJ292*Inputs!$D$80/30</f>
        <v>3282.09218466667</v>
      </c>
      <c r="AK336" s="66" t="n">
        <f aca="false">-AK292*Inputs!$D$80/30</f>
        <v>3282.09218466667</v>
      </c>
      <c r="AL336" s="66" t="n">
        <f aca="false">-AL292*Inputs!$D$80/30</f>
        <v>3282.09218466667</v>
      </c>
      <c r="AM336" s="66" t="n">
        <f aca="false">-AM292*Inputs!$D$80/30</f>
        <v>3380.55495020667</v>
      </c>
      <c r="AN336" s="66" t="n">
        <f aca="false">-AN292*Inputs!$D$80/30</f>
        <v>3380.55495020667</v>
      </c>
      <c r="AO336" s="66" t="n">
        <f aca="false">-AO292*Inputs!$D$80/30</f>
        <v>3380.55495020667</v>
      </c>
      <c r="AP336" s="66" t="n">
        <f aca="false">-AP292*Inputs!$D$80/30</f>
        <v>3380.55495020667</v>
      </c>
      <c r="AQ336" s="66" t="n">
        <f aca="false">-AQ292*Inputs!$D$80/30</f>
        <v>3380.55495020667</v>
      </c>
      <c r="AR336" s="66" t="n">
        <f aca="false">-AR292*Inputs!$D$80/30</f>
        <v>3380.55495020667</v>
      </c>
      <c r="AS336" s="66" t="n">
        <f aca="false">-AS292*Inputs!$D$80/30</f>
        <v>3380.55495020667</v>
      </c>
      <c r="AT336" s="66" t="n">
        <f aca="false">-AT292*Inputs!$D$80/30</f>
        <v>3380.55495020667</v>
      </c>
      <c r="AU336" s="66" t="n">
        <f aca="false">-AU292*Inputs!$D$80/30</f>
        <v>3380.55495020667</v>
      </c>
      <c r="AV336" s="66" t="n">
        <f aca="false">-AV292*Inputs!$D$80/30</f>
        <v>3380.55495020667</v>
      </c>
      <c r="AW336" s="66" t="n">
        <f aca="false">-AW292*Inputs!$D$80/30</f>
        <v>3380.55495020667</v>
      </c>
      <c r="AX336" s="66" t="n">
        <f aca="false">-AX292*Inputs!$D$80/30</f>
        <v>3380.55495020667</v>
      </c>
      <c r="AY336" s="66" t="n">
        <f aca="false">-AY292*Inputs!$D$80/30</f>
        <v>3481.97159871287</v>
      </c>
      <c r="AZ336" s="66" t="n">
        <f aca="false">-AZ292*Inputs!$D$80/30</f>
        <v>3481.97159871287</v>
      </c>
      <c r="BA336" s="66" t="n">
        <f aca="false">-BA292*Inputs!$D$80/30</f>
        <v>3481.97159871287</v>
      </c>
      <c r="BB336" s="66" t="n">
        <f aca="false">-BB292*Inputs!$D$80/30</f>
        <v>3481.97159871287</v>
      </c>
      <c r="BC336" s="66" t="n">
        <f aca="false">-BC292*Inputs!$D$80/30</f>
        <v>3481.97159871287</v>
      </c>
      <c r="BD336" s="66" t="n">
        <f aca="false">-BD292*Inputs!$D$80/30</f>
        <v>3481.97159871287</v>
      </c>
      <c r="BE336" s="66" t="n">
        <f aca="false">-BE292*Inputs!$D$80/30</f>
        <v>3481.97159871287</v>
      </c>
      <c r="BF336" s="66" t="n">
        <f aca="false">-BF292*Inputs!$D$80/30</f>
        <v>3481.97159871287</v>
      </c>
      <c r="BG336" s="66" t="n">
        <f aca="false">-BG292*Inputs!$D$80/30</f>
        <v>3481.97159871287</v>
      </c>
      <c r="BH336" s="66" t="n">
        <f aca="false">-BH292*Inputs!$D$80/30</f>
        <v>3481.97159871287</v>
      </c>
      <c r="BI336" s="66" t="n">
        <f aca="false">-BI292*Inputs!$D$80/30</f>
        <v>3481.97159871287</v>
      </c>
      <c r="BJ336" s="66" t="n">
        <f aca="false">-BJ292*Inputs!$D$80/30</f>
        <v>3481.97159871287</v>
      </c>
    </row>
    <row r="337" customFormat="false" ht="15" hidden="false" customHeight="false" outlineLevel="0" collapsed="false">
      <c r="A337" s="6" t="s">
        <v>93</v>
      </c>
      <c r="C337" s="66" t="n">
        <f aca="false">-C292*Inputs!$D$81/30</f>
        <v>3224.22222222222</v>
      </c>
      <c r="D337" s="66" t="n">
        <f aca="false">-D292*Inputs!$D$81/30</f>
        <v>6030.73777777778</v>
      </c>
      <c r="E337" s="66" t="n">
        <f aca="false">-E292*Inputs!$D$81/30</f>
        <v>6200.43111111111</v>
      </c>
      <c r="F337" s="66" t="n">
        <f aca="false">-F292*Inputs!$D$81/30</f>
        <v>6370.12444444445</v>
      </c>
      <c r="G337" s="66" t="n">
        <f aca="false">-G292*Inputs!$D$81/30</f>
        <v>6539.81777777778</v>
      </c>
      <c r="H337" s="66" t="n">
        <f aca="false">-H292*Inputs!$D$81/30</f>
        <v>8027.92222222222</v>
      </c>
      <c r="I337" s="66" t="n">
        <f aca="false">-I292*Inputs!$D$81/30</f>
        <v>9516.02666666667</v>
      </c>
      <c r="J337" s="66" t="n">
        <f aca="false">-J292*Inputs!$D$81/30</f>
        <v>9685.72</v>
      </c>
      <c r="K337" s="66" t="n">
        <f aca="false">-K292*Inputs!$D$81/30</f>
        <v>9855.41333333333</v>
      </c>
      <c r="L337" s="66" t="n">
        <f aca="false">-L292*Inputs!$D$81/30</f>
        <v>11343.5177777778</v>
      </c>
      <c r="M337" s="66" t="n">
        <f aca="false">-M292*Inputs!$D$81/30</f>
        <v>11343.5177777778</v>
      </c>
      <c r="N337" s="66" t="n">
        <f aca="false">-N292*Inputs!$D$81/30</f>
        <v>11343.5177777778</v>
      </c>
      <c r="O337" s="66" t="n">
        <f aca="false">-O292*Inputs!$D$81/30</f>
        <v>11683.8233111111</v>
      </c>
      <c r="P337" s="66" t="n">
        <f aca="false">-P292*Inputs!$D$81/30</f>
        <v>11683.8233111111</v>
      </c>
      <c r="Q337" s="66" t="n">
        <f aca="false">-Q292*Inputs!$D$81/30</f>
        <v>11683.8233111111</v>
      </c>
      <c r="R337" s="66" t="n">
        <f aca="false">-R292*Inputs!$D$81/30</f>
        <v>11683.8233111111</v>
      </c>
      <c r="S337" s="66" t="n">
        <f aca="false">-S292*Inputs!$D$81/30</f>
        <v>11683.8233111111</v>
      </c>
      <c r="T337" s="66" t="n">
        <f aca="false">-T292*Inputs!$D$81/30</f>
        <v>11683.8233111111</v>
      </c>
      <c r="U337" s="66" t="n">
        <f aca="false">-U292*Inputs!$D$81/30</f>
        <v>11683.8233111111</v>
      </c>
      <c r="V337" s="66" t="n">
        <f aca="false">-V292*Inputs!$D$81/30</f>
        <v>11683.8233111111</v>
      </c>
      <c r="W337" s="66" t="n">
        <f aca="false">-W292*Inputs!$D$81/30</f>
        <v>11683.8233111111</v>
      </c>
      <c r="X337" s="66" t="n">
        <f aca="false">-X292*Inputs!$D$81/30</f>
        <v>11683.8233111111</v>
      </c>
      <c r="Y337" s="66" t="n">
        <f aca="false">-Y292*Inputs!$D$81/30</f>
        <v>11683.8233111111</v>
      </c>
      <c r="Z337" s="66" t="n">
        <f aca="false">-Z292*Inputs!$D$81/30</f>
        <v>11683.8233111111</v>
      </c>
      <c r="AA337" s="66" t="n">
        <f aca="false">-AA292*Inputs!$D$81/30</f>
        <v>12034.3380104444</v>
      </c>
      <c r="AB337" s="66" t="n">
        <f aca="false">-AB292*Inputs!$D$81/30</f>
        <v>12034.3380104444</v>
      </c>
      <c r="AC337" s="66" t="n">
        <f aca="false">-AC292*Inputs!$D$81/30</f>
        <v>12034.3380104444</v>
      </c>
      <c r="AD337" s="66" t="n">
        <f aca="false">-AD292*Inputs!$D$81/30</f>
        <v>12034.3380104444</v>
      </c>
      <c r="AE337" s="66" t="n">
        <f aca="false">-AE292*Inputs!$D$81/30</f>
        <v>12034.3380104444</v>
      </c>
      <c r="AF337" s="66" t="n">
        <f aca="false">-AF292*Inputs!$D$81/30</f>
        <v>12034.3380104444</v>
      </c>
      <c r="AG337" s="66" t="n">
        <f aca="false">-AG292*Inputs!$D$81/30</f>
        <v>12034.3380104444</v>
      </c>
      <c r="AH337" s="66" t="n">
        <f aca="false">-AH292*Inputs!$D$81/30</f>
        <v>12034.3380104444</v>
      </c>
      <c r="AI337" s="66" t="n">
        <f aca="false">-AI292*Inputs!$D$81/30</f>
        <v>12034.3380104444</v>
      </c>
      <c r="AJ337" s="66" t="n">
        <f aca="false">-AJ292*Inputs!$D$81/30</f>
        <v>12034.3380104444</v>
      </c>
      <c r="AK337" s="66" t="n">
        <f aca="false">-AK292*Inputs!$D$81/30</f>
        <v>12034.3380104444</v>
      </c>
      <c r="AL337" s="66" t="n">
        <f aca="false">-AL292*Inputs!$D$81/30</f>
        <v>12034.3380104444</v>
      </c>
      <c r="AM337" s="66" t="n">
        <f aca="false">-AM292*Inputs!$D$81/30</f>
        <v>12395.3681507578</v>
      </c>
      <c r="AN337" s="66" t="n">
        <f aca="false">-AN292*Inputs!$D$81/30</f>
        <v>12395.3681507578</v>
      </c>
      <c r="AO337" s="66" t="n">
        <f aca="false">-AO292*Inputs!$D$81/30</f>
        <v>12395.3681507578</v>
      </c>
      <c r="AP337" s="66" t="n">
        <f aca="false">-AP292*Inputs!$D$81/30</f>
        <v>12395.3681507578</v>
      </c>
      <c r="AQ337" s="66" t="n">
        <f aca="false">-AQ292*Inputs!$D$81/30</f>
        <v>12395.3681507578</v>
      </c>
      <c r="AR337" s="66" t="n">
        <f aca="false">-AR292*Inputs!$D$81/30</f>
        <v>12395.3681507578</v>
      </c>
      <c r="AS337" s="66" t="n">
        <f aca="false">-AS292*Inputs!$D$81/30</f>
        <v>12395.3681507578</v>
      </c>
      <c r="AT337" s="66" t="n">
        <f aca="false">-AT292*Inputs!$D$81/30</f>
        <v>12395.3681507578</v>
      </c>
      <c r="AU337" s="66" t="n">
        <f aca="false">-AU292*Inputs!$D$81/30</f>
        <v>12395.3681507578</v>
      </c>
      <c r="AV337" s="66" t="n">
        <f aca="false">-AV292*Inputs!$D$81/30</f>
        <v>12395.3681507578</v>
      </c>
      <c r="AW337" s="66" t="n">
        <f aca="false">-AW292*Inputs!$D$81/30</f>
        <v>12395.3681507578</v>
      </c>
      <c r="AX337" s="66" t="n">
        <f aca="false">-AX292*Inputs!$D$81/30</f>
        <v>12395.3681507578</v>
      </c>
      <c r="AY337" s="66" t="n">
        <f aca="false">-AY292*Inputs!$D$81/30</f>
        <v>12767.2291952805</v>
      </c>
      <c r="AZ337" s="66" t="n">
        <f aca="false">-AZ292*Inputs!$D$81/30</f>
        <v>12767.2291952805</v>
      </c>
      <c r="BA337" s="66" t="n">
        <f aca="false">-BA292*Inputs!$D$81/30</f>
        <v>12767.2291952805</v>
      </c>
      <c r="BB337" s="66" t="n">
        <f aca="false">-BB292*Inputs!$D$81/30</f>
        <v>12767.2291952805</v>
      </c>
      <c r="BC337" s="66" t="n">
        <f aca="false">-BC292*Inputs!$D$81/30</f>
        <v>12767.2291952805</v>
      </c>
      <c r="BD337" s="66" t="n">
        <f aca="false">-BD292*Inputs!$D$81/30</f>
        <v>12767.2291952805</v>
      </c>
      <c r="BE337" s="66" t="n">
        <f aca="false">-BE292*Inputs!$D$81/30</f>
        <v>12767.2291952805</v>
      </c>
      <c r="BF337" s="66" t="n">
        <f aca="false">-BF292*Inputs!$D$81/30</f>
        <v>12767.2291952805</v>
      </c>
      <c r="BG337" s="66" t="n">
        <f aca="false">-BG292*Inputs!$D$81/30</f>
        <v>12767.2291952805</v>
      </c>
      <c r="BH337" s="66" t="n">
        <f aca="false">-BH292*Inputs!$D$81/30</f>
        <v>12767.2291952805</v>
      </c>
      <c r="BI337" s="66" t="n">
        <f aca="false">-BI292*Inputs!$D$81/30</f>
        <v>12767.2291952805</v>
      </c>
      <c r="BJ337" s="66" t="n">
        <f aca="false">-BJ292*Inputs!$D$81/30</f>
        <v>12767.2291952805</v>
      </c>
    </row>
    <row r="338" customFormat="false" ht="15" hidden="false" customHeight="false" outlineLevel="0" collapsed="false">
      <c r="A338" s="6" t="s">
        <v>348</v>
      </c>
      <c r="C338" s="66" t="n">
        <f aca="false">-C335</f>
        <v>-9291.46833333333</v>
      </c>
      <c r="D338" s="66" t="n">
        <f aca="false">C335-D335</f>
        <v>-1384.20196296297</v>
      </c>
      <c r="E338" s="66" t="n">
        <f aca="false">D335-E335</f>
        <v>-2308.64640740741</v>
      </c>
      <c r="F338" s="66" t="n">
        <f aca="false">E335-F335</f>
        <v>-2308.6464074074</v>
      </c>
      <c r="G338" s="66" t="n">
        <f aca="false">F335-G335</f>
        <v>-2308.64640740741</v>
      </c>
      <c r="H338" s="66" t="n">
        <f aca="false">G335-H335</f>
        <v>-2308.64640740741</v>
      </c>
      <c r="I338" s="66" t="n">
        <f aca="false">H335-I335</f>
        <v>-2308.64640740741</v>
      </c>
      <c r="J338" s="66" t="n">
        <f aca="false">I335-J335</f>
        <v>-2308.64640740741</v>
      </c>
      <c r="K338" s="66" t="n">
        <f aca="false">J335-K335</f>
        <v>-2308.6464074074</v>
      </c>
      <c r="L338" s="66" t="n">
        <f aca="false">K335-L335</f>
        <v>-2308.64640740742</v>
      </c>
      <c r="M338" s="66" t="n">
        <f aca="false">L335-M335</f>
        <v>375.555555555558</v>
      </c>
      <c r="N338" s="66" t="n">
        <f aca="false">M335-N335</f>
        <v>0</v>
      </c>
      <c r="O338" s="66" t="n">
        <f aca="false">N335-O335</f>
        <v>-1150.77144</v>
      </c>
      <c r="P338" s="66" t="n">
        <f aca="false">O335-P335</f>
        <v>0</v>
      </c>
      <c r="Q338" s="66" t="n">
        <f aca="false">P335-Q335</f>
        <v>0</v>
      </c>
      <c r="R338" s="66" t="n">
        <f aca="false">Q335-R335</f>
        <v>0</v>
      </c>
      <c r="S338" s="66" t="n">
        <f aca="false">R335-S335</f>
        <v>0</v>
      </c>
      <c r="T338" s="66" t="n">
        <f aca="false">S335-T335</f>
        <v>0</v>
      </c>
      <c r="U338" s="66" t="n">
        <f aca="false">T335-U335</f>
        <v>0</v>
      </c>
      <c r="V338" s="66" t="n">
        <f aca="false">U335-V335</f>
        <v>0</v>
      </c>
      <c r="W338" s="66" t="n">
        <f aca="false">V335-W335</f>
        <v>0</v>
      </c>
      <c r="X338" s="66" t="n">
        <f aca="false">W335-X335</f>
        <v>0</v>
      </c>
      <c r="Y338" s="66" t="n">
        <f aca="false">X335-Y335</f>
        <v>0</v>
      </c>
      <c r="Z338" s="66" t="n">
        <f aca="false">Y335-Z335</f>
        <v>0</v>
      </c>
      <c r="AA338" s="66" t="n">
        <f aca="false">Z335-AA335</f>
        <v>-1196.8022976</v>
      </c>
      <c r="AB338" s="66" t="n">
        <f aca="false">AA335-AB335</f>
        <v>0</v>
      </c>
      <c r="AC338" s="66" t="n">
        <f aca="false">AB335-AC335</f>
        <v>0</v>
      </c>
      <c r="AD338" s="66" t="n">
        <f aca="false">AC335-AD335</f>
        <v>0</v>
      </c>
      <c r="AE338" s="66" t="n">
        <f aca="false">AD335-AE335</f>
        <v>0</v>
      </c>
      <c r="AF338" s="66" t="n">
        <f aca="false">AE335-AF335</f>
        <v>0</v>
      </c>
      <c r="AG338" s="66" t="n">
        <f aca="false">AF335-AG335</f>
        <v>0</v>
      </c>
      <c r="AH338" s="66" t="n">
        <f aca="false">AG335-AH335</f>
        <v>0</v>
      </c>
      <c r="AI338" s="66" t="n">
        <f aca="false">AH335-AI335</f>
        <v>0</v>
      </c>
      <c r="AJ338" s="66" t="n">
        <f aca="false">AI335-AJ335</f>
        <v>0</v>
      </c>
      <c r="AK338" s="66" t="n">
        <f aca="false">AJ335-AK335</f>
        <v>0</v>
      </c>
      <c r="AL338" s="66" t="n">
        <f aca="false">AK335-AL335</f>
        <v>0</v>
      </c>
      <c r="AM338" s="66" t="n">
        <f aca="false">AL335-AM335</f>
        <v>-1244.674389504</v>
      </c>
      <c r="AN338" s="66" t="n">
        <f aca="false">AM335-AN335</f>
        <v>0</v>
      </c>
      <c r="AO338" s="66" t="n">
        <f aca="false">AN335-AO335</f>
        <v>0</v>
      </c>
      <c r="AP338" s="66" t="n">
        <f aca="false">AO335-AP335</f>
        <v>0</v>
      </c>
      <c r="AQ338" s="66" t="n">
        <f aca="false">AP335-AQ335</f>
        <v>0</v>
      </c>
      <c r="AR338" s="66" t="n">
        <f aca="false">AQ335-AR335</f>
        <v>0</v>
      </c>
      <c r="AS338" s="66" t="n">
        <f aca="false">AR335-AS335</f>
        <v>0</v>
      </c>
      <c r="AT338" s="66" t="n">
        <f aca="false">AS335-AT335</f>
        <v>0</v>
      </c>
      <c r="AU338" s="66" t="n">
        <f aca="false">AT335-AU335</f>
        <v>0</v>
      </c>
      <c r="AV338" s="66" t="n">
        <f aca="false">AU335-AV335</f>
        <v>0</v>
      </c>
      <c r="AW338" s="66" t="n">
        <f aca="false">AV335-AW335</f>
        <v>0</v>
      </c>
      <c r="AX338" s="66" t="n">
        <f aca="false">AW335-AX335</f>
        <v>0</v>
      </c>
      <c r="AY338" s="66" t="n">
        <f aca="false">AX335-AY335</f>
        <v>-1294.46136508416</v>
      </c>
      <c r="AZ338" s="66" t="n">
        <f aca="false">AY335-AZ335</f>
        <v>0</v>
      </c>
      <c r="BA338" s="66" t="n">
        <f aca="false">AZ335-BA335</f>
        <v>0</v>
      </c>
      <c r="BB338" s="66" t="n">
        <f aca="false">BA335-BB335</f>
        <v>0</v>
      </c>
      <c r="BC338" s="66" t="n">
        <f aca="false">BB335-BC335</f>
        <v>0</v>
      </c>
      <c r="BD338" s="66" t="n">
        <f aca="false">BC335-BD335</f>
        <v>0</v>
      </c>
      <c r="BE338" s="66" t="n">
        <f aca="false">BD335-BE335</f>
        <v>0</v>
      </c>
      <c r="BF338" s="66" t="n">
        <f aca="false">BE335-BF335</f>
        <v>0</v>
      </c>
      <c r="BG338" s="66" t="n">
        <f aca="false">BF335-BG335</f>
        <v>0</v>
      </c>
      <c r="BH338" s="66" t="n">
        <f aca="false">BG335-BH335</f>
        <v>0</v>
      </c>
      <c r="BI338" s="66" t="n">
        <f aca="false">BH335-BI335</f>
        <v>0</v>
      </c>
      <c r="BJ338" s="66" t="n">
        <f aca="false">BI335-BJ335</f>
        <v>0</v>
      </c>
    </row>
    <row r="339" customFormat="false" ht="15" hidden="false" customHeight="false" outlineLevel="0" collapsed="false">
      <c r="A339" s="6" t="s">
        <v>349</v>
      </c>
      <c r="C339" s="66" t="n">
        <f aca="false">-C336</f>
        <v>-879.333333333333</v>
      </c>
      <c r="D339" s="66" t="n">
        <f aca="false">C336-D336</f>
        <v>-765.413333333333</v>
      </c>
      <c r="E339" s="66" t="n">
        <f aca="false">D336-E336</f>
        <v>-46.2800000000004</v>
      </c>
      <c r="F339" s="66" t="n">
        <f aca="false">E336-F336</f>
        <v>-46.2799999999995</v>
      </c>
      <c r="G339" s="66" t="n">
        <f aca="false">F336-G336</f>
        <v>-46.2800000000002</v>
      </c>
      <c r="H339" s="66" t="n">
        <f aca="false">G336-H336</f>
        <v>-405.846666666667</v>
      </c>
      <c r="I339" s="66" t="n">
        <f aca="false">H336-I336</f>
        <v>-405.846666666666</v>
      </c>
      <c r="J339" s="66" t="n">
        <f aca="false">I336-J336</f>
        <v>-46.2799999999997</v>
      </c>
      <c r="K339" s="66" t="n">
        <f aca="false">J336-K336</f>
        <v>-46.2800000000002</v>
      </c>
      <c r="L339" s="66" t="n">
        <f aca="false">K336-L336</f>
        <v>-405.846666666666</v>
      </c>
      <c r="M339" s="66" t="n">
        <f aca="false">L336-M336</f>
        <v>0</v>
      </c>
      <c r="N339" s="66" t="n">
        <f aca="false">M336-N336</f>
        <v>0</v>
      </c>
      <c r="O339" s="66" t="n">
        <f aca="false">N336-O336</f>
        <v>-92.8105999999998</v>
      </c>
      <c r="P339" s="66" t="n">
        <f aca="false">O336-P336</f>
        <v>0</v>
      </c>
      <c r="Q339" s="66" t="n">
        <f aca="false">P336-Q336</f>
        <v>0</v>
      </c>
      <c r="R339" s="66" t="n">
        <f aca="false">Q336-R336</f>
        <v>0</v>
      </c>
      <c r="S339" s="66" t="n">
        <f aca="false">R336-S336</f>
        <v>0</v>
      </c>
      <c r="T339" s="66" t="n">
        <f aca="false">S336-T336</f>
        <v>0</v>
      </c>
      <c r="U339" s="66" t="n">
        <f aca="false">T336-U336</f>
        <v>0</v>
      </c>
      <c r="V339" s="66" t="n">
        <f aca="false">U336-V336</f>
        <v>0</v>
      </c>
      <c r="W339" s="66" t="n">
        <f aca="false">V336-W336</f>
        <v>0</v>
      </c>
      <c r="X339" s="66" t="n">
        <f aca="false">W336-X336</f>
        <v>0</v>
      </c>
      <c r="Y339" s="66" t="n">
        <f aca="false">X336-Y336</f>
        <v>0</v>
      </c>
      <c r="Z339" s="66" t="n">
        <f aca="false">Y336-Z336</f>
        <v>0</v>
      </c>
      <c r="AA339" s="66" t="n">
        <f aca="false">Z336-AA336</f>
        <v>-95.5949180000007</v>
      </c>
      <c r="AB339" s="66" t="n">
        <f aca="false">AA336-AB336</f>
        <v>0</v>
      </c>
      <c r="AC339" s="66" t="n">
        <f aca="false">AB336-AC336</f>
        <v>0</v>
      </c>
      <c r="AD339" s="66" t="n">
        <f aca="false">AC336-AD336</f>
        <v>0</v>
      </c>
      <c r="AE339" s="66" t="n">
        <f aca="false">AD336-AE336</f>
        <v>0</v>
      </c>
      <c r="AF339" s="66" t="n">
        <f aca="false">AE336-AF336</f>
        <v>0</v>
      </c>
      <c r="AG339" s="66" t="n">
        <f aca="false">AF336-AG336</f>
        <v>0</v>
      </c>
      <c r="AH339" s="66" t="n">
        <f aca="false">AG336-AH336</f>
        <v>0</v>
      </c>
      <c r="AI339" s="66" t="n">
        <f aca="false">AH336-AI336</f>
        <v>0</v>
      </c>
      <c r="AJ339" s="66" t="n">
        <f aca="false">AI336-AJ336</f>
        <v>0</v>
      </c>
      <c r="AK339" s="66" t="n">
        <f aca="false">AJ336-AK336</f>
        <v>0</v>
      </c>
      <c r="AL339" s="66" t="n">
        <f aca="false">AK336-AL336</f>
        <v>0</v>
      </c>
      <c r="AM339" s="66" t="n">
        <f aca="false">AL336-AM336</f>
        <v>-98.46276554</v>
      </c>
      <c r="AN339" s="66" t="n">
        <f aca="false">AM336-AN336</f>
        <v>0</v>
      </c>
      <c r="AO339" s="66" t="n">
        <f aca="false">AN336-AO336</f>
        <v>0</v>
      </c>
      <c r="AP339" s="66" t="n">
        <f aca="false">AO336-AP336</f>
        <v>0</v>
      </c>
      <c r="AQ339" s="66" t="n">
        <f aca="false">AP336-AQ336</f>
        <v>0</v>
      </c>
      <c r="AR339" s="66" t="n">
        <f aca="false">AQ336-AR336</f>
        <v>0</v>
      </c>
      <c r="AS339" s="66" t="n">
        <f aca="false">AR336-AS336</f>
        <v>0</v>
      </c>
      <c r="AT339" s="66" t="n">
        <f aca="false">AS336-AT336</f>
        <v>0</v>
      </c>
      <c r="AU339" s="66" t="n">
        <f aca="false">AT336-AU336</f>
        <v>0</v>
      </c>
      <c r="AV339" s="66" t="n">
        <f aca="false">AU336-AV336</f>
        <v>0</v>
      </c>
      <c r="AW339" s="66" t="n">
        <f aca="false">AV336-AW336</f>
        <v>0</v>
      </c>
      <c r="AX339" s="66" t="n">
        <f aca="false">AW336-AX336</f>
        <v>0</v>
      </c>
      <c r="AY339" s="66" t="n">
        <f aca="false">AX336-AY336</f>
        <v>-101.416648506201</v>
      </c>
      <c r="AZ339" s="66" t="n">
        <f aca="false">AY336-AZ336</f>
        <v>0</v>
      </c>
      <c r="BA339" s="66" t="n">
        <f aca="false">AZ336-BA336</f>
        <v>0</v>
      </c>
      <c r="BB339" s="66" t="n">
        <f aca="false">BA336-BB336</f>
        <v>0</v>
      </c>
      <c r="BC339" s="66" t="n">
        <f aca="false">BB336-BC336</f>
        <v>0</v>
      </c>
      <c r="BD339" s="66" t="n">
        <f aca="false">BC336-BD336</f>
        <v>0</v>
      </c>
      <c r="BE339" s="66" t="n">
        <f aca="false">BD336-BE336</f>
        <v>0</v>
      </c>
      <c r="BF339" s="66" t="n">
        <f aca="false">BE336-BF336</f>
        <v>0</v>
      </c>
      <c r="BG339" s="66" t="n">
        <f aca="false">BF336-BG336</f>
        <v>0</v>
      </c>
      <c r="BH339" s="66" t="n">
        <f aca="false">BG336-BH336</f>
        <v>0</v>
      </c>
      <c r="BI339" s="66" t="n">
        <f aca="false">BH336-BI336</f>
        <v>0</v>
      </c>
      <c r="BJ339" s="66" t="n">
        <f aca="false">BI336-BJ336</f>
        <v>0</v>
      </c>
    </row>
    <row r="340" customFormat="false" ht="15" hidden="false" customHeight="false" outlineLevel="0" collapsed="false">
      <c r="A340" s="6" t="s">
        <v>350</v>
      </c>
      <c r="C340" s="66" t="n">
        <f aca="false">C337</f>
        <v>3224.22222222222</v>
      </c>
      <c r="D340" s="66" t="n">
        <f aca="false">D337-C337</f>
        <v>2806.51555555556</v>
      </c>
      <c r="E340" s="66" t="n">
        <f aca="false">E337-D337</f>
        <v>169.693333333335</v>
      </c>
      <c r="F340" s="66" t="n">
        <f aca="false">F337-E337</f>
        <v>169.693333333332</v>
      </c>
      <c r="G340" s="66" t="n">
        <f aca="false">G337-F337</f>
        <v>169.693333333334</v>
      </c>
      <c r="H340" s="66" t="n">
        <f aca="false">H337-G337</f>
        <v>1488.10444444444</v>
      </c>
      <c r="I340" s="66" t="n">
        <f aca="false">I337-H337</f>
        <v>1488.10444444444</v>
      </c>
      <c r="J340" s="66" t="n">
        <f aca="false">J337-I337</f>
        <v>169.693333333335</v>
      </c>
      <c r="K340" s="66" t="n">
        <f aca="false">K337-J337</f>
        <v>169.693333333333</v>
      </c>
      <c r="L340" s="66" t="n">
        <f aca="false">L337-K337</f>
        <v>1488.10444444444</v>
      </c>
      <c r="M340" s="66" t="n">
        <f aca="false">M337-L337</f>
        <v>0</v>
      </c>
      <c r="N340" s="66" t="n">
        <f aca="false">N337-M337</f>
        <v>0</v>
      </c>
      <c r="O340" s="66" t="n">
        <f aca="false">O337-N337</f>
        <v>340.305533333334</v>
      </c>
      <c r="P340" s="66" t="n">
        <f aca="false">P337-O337</f>
        <v>0</v>
      </c>
      <c r="Q340" s="66" t="n">
        <f aca="false">Q337-P337</f>
        <v>0</v>
      </c>
      <c r="R340" s="66" t="n">
        <f aca="false">R337-Q337</f>
        <v>0</v>
      </c>
      <c r="S340" s="66" t="n">
        <f aca="false">S337-R337</f>
        <v>0</v>
      </c>
      <c r="T340" s="66" t="n">
        <f aca="false">T337-S337</f>
        <v>0</v>
      </c>
      <c r="U340" s="66" t="n">
        <f aca="false">U337-T337</f>
        <v>0</v>
      </c>
      <c r="V340" s="66" t="n">
        <f aca="false">V337-U337</f>
        <v>0</v>
      </c>
      <c r="W340" s="66" t="n">
        <f aca="false">W337-V337</f>
        <v>0</v>
      </c>
      <c r="X340" s="66" t="n">
        <f aca="false">X337-W337</f>
        <v>0</v>
      </c>
      <c r="Y340" s="66" t="n">
        <f aca="false">Y337-X337</f>
        <v>0</v>
      </c>
      <c r="Z340" s="66" t="n">
        <f aca="false">Z337-Y337</f>
        <v>0</v>
      </c>
      <c r="AA340" s="66" t="n">
        <f aca="false">AA337-Z337</f>
        <v>350.514699333335</v>
      </c>
      <c r="AB340" s="66" t="n">
        <f aca="false">AB337-AA337</f>
        <v>0</v>
      </c>
      <c r="AC340" s="66" t="n">
        <f aca="false">AC337-AB337</f>
        <v>0</v>
      </c>
      <c r="AD340" s="66" t="n">
        <f aca="false">AD337-AC337</f>
        <v>0</v>
      </c>
      <c r="AE340" s="66" t="n">
        <f aca="false">AE337-AD337</f>
        <v>0</v>
      </c>
      <c r="AF340" s="66" t="n">
        <f aca="false">AF337-AE337</f>
        <v>0</v>
      </c>
      <c r="AG340" s="66" t="n">
        <f aca="false">AG337-AF337</f>
        <v>0</v>
      </c>
      <c r="AH340" s="66" t="n">
        <f aca="false">AH337-AG337</f>
        <v>0</v>
      </c>
      <c r="AI340" s="66" t="n">
        <f aca="false">AI337-AH337</f>
        <v>0</v>
      </c>
      <c r="AJ340" s="66" t="n">
        <f aca="false">AJ337-AI337</f>
        <v>0</v>
      </c>
      <c r="AK340" s="66" t="n">
        <f aca="false">AK337-AJ337</f>
        <v>0</v>
      </c>
      <c r="AL340" s="66" t="n">
        <f aca="false">AL337-AK337</f>
        <v>0</v>
      </c>
      <c r="AM340" s="66" t="n">
        <f aca="false">AM337-AL337</f>
        <v>361.030140313333</v>
      </c>
      <c r="AN340" s="66" t="n">
        <f aca="false">AN337-AM337</f>
        <v>0</v>
      </c>
      <c r="AO340" s="66" t="n">
        <f aca="false">AO337-AN337</f>
        <v>0</v>
      </c>
      <c r="AP340" s="66" t="n">
        <f aca="false">AP337-AO337</f>
        <v>0</v>
      </c>
      <c r="AQ340" s="66" t="n">
        <f aca="false">AQ337-AP337</f>
        <v>0</v>
      </c>
      <c r="AR340" s="66" t="n">
        <f aca="false">AR337-AQ337</f>
        <v>0</v>
      </c>
      <c r="AS340" s="66" t="n">
        <f aca="false">AS337-AR337</f>
        <v>0</v>
      </c>
      <c r="AT340" s="66" t="n">
        <f aca="false">AT337-AS337</f>
        <v>0</v>
      </c>
      <c r="AU340" s="66" t="n">
        <f aca="false">AU337-AT337</f>
        <v>0</v>
      </c>
      <c r="AV340" s="66" t="n">
        <f aca="false">AV337-AU337</f>
        <v>0</v>
      </c>
      <c r="AW340" s="66" t="n">
        <f aca="false">AW337-AV337</f>
        <v>0</v>
      </c>
      <c r="AX340" s="66" t="n">
        <f aca="false">AX337-AW337</f>
        <v>0</v>
      </c>
      <c r="AY340" s="66" t="n">
        <f aca="false">AY337-AX337</f>
        <v>371.861044522737</v>
      </c>
      <c r="AZ340" s="66" t="n">
        <f aca="false">AZ337-AY337</f>
        <v>0</v>
      </c>
      <c r="BA340" s="66" t="n">
        <f aca="false">BA337-AZ337</f>
        <v>0</v>
      </c>
      <c r="BB340" s="66" t="n">
        <f aca="false">BB337-BA337</f>
        <v>0</v>
      </c>
      <c r="BC340" s="66" t="n">
        <f aca="false">BC337-BB337</f>
        <v>0</v>
      </c>
      <c r="BD340" s="66" t="n">
        <f aca="false">BD337-BC337</f>
        <v>0</v>
      </c>
      <c r="BE340" s="66" t="n">
        <f aca="false">BE337-BD337</f>
        <v>0</v>
      </c>
      <c r="BF340" s="66" t="n">
        <f aca="false">BF337-BE337</f>
        <v>0</v>
      </c>
      <c r="BG340" s="66" t="n">
        <f aca="false">BG337-BF337</f>
        <v>0</v>
      </c>
      <c r="BH340" s="66" t="n">
        <f aca="false">BH337-BG337</f>
        <v>0</v>
      </c>
      <c r="BI340" s="66" t="n">
        <f aca="false">BI337-BH337</f>
        <v>0</v>
      </c>
      <c r="BJ340" s="66" t="n">
        <f aca="false">BJ337-BI337</f>
        <v>0</v>
      </c>
    </row>
    <row r="342" customFormat="false" ht="15.75" hidden="false" customHeight="true" outlineLevel="0" collapsed="false">
      <c r="A342" s="7" t="s">
        <v>449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4" t="s">
        <v>52</v>
      </c>
      <c r="C343" s="72" t="n">
        <f aca="false">C315-C324+C338+C339+C340</f>
        <v>-19871.1077111111</v>
      </c>
      <c r="D343" s="72" t="n">
        <f aca="false">D315-D324+D338+D339+D340</f>
        <v>-16809.9769140741</v>
      </c>
      <c r="E343" s="72" t="n">
        <f aca="false">E315-E324+E338+E339+E340</f>
        <v>-14862.848042963</v>
      </c>
      <c r="F343" s="72" t="n">
        <f aca="false">F315-F324+F338+F339+F340</f>
        <v>-10073.5858385185</v>
      </c>
      <c r="G343" s="72" t="n">
        <f aca="false">G315-G324+G338+G339+G340</f>
        <v>-5284.32363407408</v>
      </c>
      <c r="H343" s="72" t="n">
        <f aca="false">H315-H324+H338+H339+H340</f>
        <v>-3131.88365185185</v>
      </c>
      <c r="I343" s="72" t="n">
        <f aca="false">I315-I324+I338+I339+I340</f>
        <v>-1938.28811407407</v>
      </c>
      <c r="J343" s="72" t="n">
        <f aca="false">J315-J324+J338+J339+J340</f>
        <v>1892.12964592593</v>
      </c>
      <c r="K343" s="72" t="n">
        <f aca="false">K315-K324+K338+K339+K340</f>
        <v>6681.39185037037</v>
      </c>
      <c r="L343" s="72" t="n">
        <f aca="false">L315-L324+L338+L339+L340</f>
        <v>8833.8318325926</v>
      </c>
      <c r="M343" s="72" t="n">
        <f aca="false">M315-M324+M338+M339+M340</f>
        <v>9582.99824000001</v>
      </c>
      <c r="N343" s="72" t="n">
        <f aca="false">N315-N324+N338+N339+N340</f>
        <v>9221.33157333334</v>
      </c>
      <c r="O343" s="72" t="n">
        <f aca="false">O315-O324+O338+O339+O340</f>
        <v>9501.96588515556</v>
      </c>
      <c r="P343" s="72" t="n">
        <f aca="false">P315-P324+P338+P339+P340</f>
        <v>10419.1312807111</v>
      </c>
      <c r="Q343" s="72" t="n">
        <f aca="false">Q315-Q324+Q338+Q339+Q340</f>
        <v>10433.0201696</v>
      </c>
      <c r="R343" s="72" t="n">
        <f aca="false">R315-R324+R338+R339+R340</f>
        <v>10446.9090584889</v>
      </c>
      <c r="S343" s="72" t="n">
        <f aca="false">S315-S324+S338+S339+S340</f>
        <v>10460.7979473778</v>
      </c>
      <c r="T343" s="72" t="n">
        <f aca="false">T315-T324+T338+T339+T340</f>
        <v>10474.6868362667</v>
      </c>
      <c r="U343" s="72" t="n">
        <f aca="false">U315-U324+U338+U339+U340</f>
        <v>10488.5757251556</v>
      </c>
      <c r="V343" s="72" t="n">
        <f aca="false">V315-V324+V338+V339+V340</f>
        <v>10502.4646140444</v>
      </c>
      <c r="W343" s="72" t="n">
        <f aca="false">W315-W324+W338+W339+W340</f>
        <v>10331.279316256</v>
      </c>
      <c r="X343" s="72" t="n">
        <f aca="false">X315-X324+X338+X339+X340</f>
        <v>9108.14148953956</v>
      </c>
      <c r="Y343" s="72" t="n">
        <f aca="false">Y315-Y324+Y338+Y339+Y340</f>
        <v>9119.11371176178</v>
      </c>
      <c r="Z343" s="72" t="n">
        <f aca="false">Z315-Z324+Z338+Z339+Z340</f>
        <v>9130.085933984</v>
      </c>
      <c r="AA343" s="72" t="n">
        <f aca="false">AA315-AA324+AA338+AA339+AA340</f>
        <v>9187.59960469892</v>
      </c>
      <c r="AB343" s="72" t="n">
        <f aca="false">AB315-AB324+AB338+AB339+AB340</f>
        <v>10140.4543431878</v>
      </c>
      <c r="AC343" s="72" t="n">
        <f aca="false">AC315-AC324+AC338+AC339+AC340</f>
        <v>10151.42656541</v>
      </c>
      <c r="AD343" s="72" t="n">
        <f aca="false">AD315-AD324+AD338+AD339+AD340</f>
        <v>10162.3987876323</v>
      </c>
      <c r="AE343" s="72" t="n">
        <f aca="false">AE315-AE324+AE338+AE339+AE340</f>
        <v>10173.3710098545</v>
      </c>
      <c r="AF343" s="72" t="n">
        <f aca="false">AF315-AF324+AF338+AF339+AF340</f>
        <v>10184.3432320767</v>
      </c>
      <c r="AG343" s="72" t="n">
        <f aca="false">AG315-AG324+AG338+AG339+AG340</f>
        <v>10195.3154542989</v>
      </c>
      <c r="AH343" s="72" t="n">
        <f aca="false">AH315-AH324+AH338+AH339+AH340</f>
        <v>10206.2876765211</v>
      </c>
      <c r="AI343" s="72" t="n">
        <f aca="false">AI315-AI324+AI338+AI339+AI340</f>
        <v>10217.2598987434</v>
      </c>
      <c r="AJ343" s="72" t="n">
        <f aca="false">AJ315-AJ324+AJ338+AJ339+AJ340</f>
        <v>10228.2321209656</v>
      </c>
      <c r="AK343" s="72" t="n">
        <f aca="false">AK315-AK324+AK338+AK339+AK340</f>
        <v>10239.2043431878</v>
      </c>
      <c r="AL343" s="72" t="n">
        <f aca="false">AL315-AL324+AL338+AL339+AL340</f>
        <v>10250.17656541</v>
      </c>
      <c r="AM343" s="72" t="n">
        <f aca="false">AM315-AM324+AM338+AM339+AM340</f>
        <v>10318.0981620733</v>
      </c>
      <c r="AN343" s="72" t="n">
        <f aca="false">AN315-AN324+AN338+AN339+AN340</f>
        <v>11311.1773990262</v>
      </c>
      <c r="AO343" s="72" t="n">
        <f aca="false">AO315-AO324+AO338+AO339+AO340</f>
        <v>11322.1496212484</v>
      </c>
      <c r="AP343" s="72" t="n">
        <f aca="false">AP315-AP324+AP338+AP339+AP340</f>
        <v>11333.1218434707</v>
      </c>
      <c r="AQ343" s="72" t="n">
        <f aca="false">AQ315-AQ324+AQ338+AQ339+AQ340</f>
        <v>11344.0940656929</v>
      </c>
      <c r="AR343" s="72" t="n">
        <f aca="false">AR315-AR324+AR338+AR339+AR340</f>
        <v>11355.0662879151</v>
      </c>
      <c r="AS343" s="72" t="n">
        <f aca="false">AS315-AS324+AS338+AS339+AS340</f>
        <v>11366.0385101373</v>
      </c>
      <c r="AT343" s="72" t="n">
        <f aca="false">AT315-AT324+AT338+AT339+AT340</f>
        <v>11377.0107323595</v>
      </c>
      <c r="AU343" s="72" t="n">
        <f aca="false">AU315-AU324+AU338+AU339+AU340</f>
        <v>11387.9829545818</v>
      </c>
      <c r="AV343" s="72" t="n">
        <f aca="false">AV315-AV324+AV338+AV339+AV340</f>
        <v>11398.955176804</v>
      </c>
      <c r="AW343" s="72" t="n">
        <f aca="false">AW315-AW324+AW338+AW339+AW340</f>
        <v>11409.9273990262</v>
      </c>
      <c r="AX343" s="72" t="n">
        <f aca="false">AX315-AX324+AX338+AX339+AX340</f>
        <v>11420.8996212484</v>
      </c>
      <c r="AY343" s="72" t="n">
        <f aca="false">AY315-AY324+AY338+AY339+AY340</f>
        <v>11499.9207489383</v>
      </c>
      <c r="AZ343" s="72" t="n">
        <f aca="false">AZ315-AZ324+AZ338+AZ339+AZ340</f>
        <v>12534.9099402281</v>
      </c>
      <c r="BA343" s="72" t="n">
        <f aca="false">BA315-BA324+BA338+BA339+BA340</f>
        <v>12545.8821624504</v>
      </c>
      <c r="BB343" s="72" t="n">
        <f aca="false">BB315-BB324+BB338+BB339+BB340</f>
        <v>12556.8543846726</v>
      </c>
      <c r="BC343" s="72" t="n">
        <f aca="false">BC315-BC324+BC338+BC339+BC340</f>
        <v>12567.8266068948</v>
      </c>
      <c r="BD343" s="72" t="n">
        <f aca="false">BD315-BD324+BD338+BD339+BD340</f>
        <v>12578.798829117</v>
      </c>
      <c r="BE343" s="72" t="n">
        <f aca="false">BE315-BE324+BE338+BE339+BE340</f>
        <v>12589.7710513392</v>
      </c>
      <c r="BF343" s="72" t="n">
        <f aca="false">BF315-BF324+BF338+BF339+BF340</f>
        <v>12600.7432735615</v>
      </c>
      <c r="BG343" s="72" t="n">
        <f aca="false">BG315-BG324+BG338+BG339+BG340</f>
        <v>12611.7154957837</v>
      </c>
      <c r="BH343" s="72" t="n">
        <f aca="false">BH315-BH324+BH338+BH339+BH340</f>
        <v>12622.6877180059</v>
      </c>
      <c r="BI343" s="72" t="n">
        <f aca="false">BI315-BI324+BI338+BI339+BI340</f>
        <v>12633.6599402281</v>
      </c>
      <c r="BJ343" s="72" t="n">
        <f aca="false">BJ315-BJ324+BJ338+BJ339+BJ340</f>
        <v>12644.6321624504</v>
      </c>
    </row>
    <row r="344" customFormat="false" ht="15" hidden="false" customHeight="false" outlineLevel="0" collapsed="false">
      <c r="A344" s="6" t="s">
        <v>450</v>
      </c>
      <c r="C344" s="66" t="n">
        <f aca="false">-C322</f>
        <v>-442000</v>
      </c>
      <c r="D344" s="66" t="n">
        <f aca="false">-D322</f>
        <v>-0</v>
      </c>
      <c r="E344" s="66" t="n">
        <f aca="false">-E322</f>
        <v>-0</v>
      </c>
      <c r="F344" s="66" t="n">
        <f aca="false">-F322</f>
        <v>-0</v>
      </c>
      <c r="G344" s="66" t="n">
        <f aca="false">-G322</f>
        <v>-0</v>
      </c>
      <c r="H344" s="66" t="n">
        <f aca="false">-H322</f>
        <v>-0</v>
      </c>
      <c r="I344" s="66" t="n">
        <f aca="false">-I322</f>
        <v>-0</v>
      </c>
      <c r="J344" s="66" t="n">
        <f aca="false">-J322</f>
        <v>-0</v>
      </c>
      <c r="K344" s="66" t="n">
        <f aca="false">-K322</f>
        <v>-0</v>
      </c>
      <c r="L344" s="66" t="n">
        <f aca="false">-L322</f>
        <v>-0</v>
      </c>
      <c r="M344" s="66" t="n">
        <f aca="false">-M322</f>
        <v>-0</v>
      </c>
      <c r="N344" s="66" t="n">
        <f aca="false">-N322</f>
        <v>-0</v>
      </c>
      <c r="O344" s="66" t="n">
        <f aca="false">-O322</f>
        <v>-9000</v>
      </c>
      <c r="P344" s="66" t="n">
        <f aca="false">-P322</f>
        <v>-0</v>
      </c>
      <c r="Q344" s="66" t="n">
        <f aca="false">-Q322</f>
        <v>-0</v>
      </c>
      <c r="R344" s="66" t="n">
        <f aca="false">-R322</f>
        <v>-0</v>
      </c>
      <c r="S344" s="66" t="n">
        <f aca="false">-S322</f>
        <v>-0</v>
      </c>
      <c r="T344" s="66" t="n">
        <f aca="false">-T322</f>
        <v>-0</v>
      </c>
      <c r="U344" s="66" t="n">
        <f aca="false">-U322</f>
        <v>-0</v>
      </c>
      <c r="V344" s="66" t="n">
        <f aca="false">-V322</f>
        <v>-0</v>
      </c>
      <c r="W344" s="66" t="n">
        <f aca="false">-W322</f>
        <v>-0</v>
      </c>
      <c r="X344" s="66" t="n">
        <f aca="false">-X322</f>
        <v>-0</v>
      </c>
      <c r="Y344" s="66" t="n">
        <f aca="false">-Y322</f>
        <v>-0</v>
      </c>
      <c r="Z344" s="66" t="n">
        <f aca="false">-Z322</f>
        <v>-0</v>
      </c>
      <c r="AA344" s="66" t="n">
        <f aca="false">-AA322</f>
        <v>-9000</v>
      </c>
      <c r="AB344" s="66" t="n">
        <f aca="false">-AB322</f>
        <v>-0</v>
      </c>
      <c r="AC344" s="66" t="n">
        <f aca="false">-AC322</f>
        <v>-0</v>
      </c>
      <c r="AD344" s="66" t="n">
        <f aca="false">-AD322</f>
        <v>-0</v>
      </c>
      <c r="AE344" s="66" t="n">
        <f aca="false">-AE322</f>
        <v>-0</v>
      </c>
      <c r="AF344" s="66" t="n">
        <f aca="false">-AF322</f>
        <v>-0</v>
      </c>
      <c r="AG344" s="66" t="n">
        <f aca="false">-AG322</f>
        <v>-0</v>
      </c>
      <c r="AH344" s="66" t="n">
        <f aca="false">-AH322</f>
        <v>-0</v>
      </c>
      <c r="AI344" s="66" t="n">
        <f aca="false">-AI322</f>
        <v>-0</v>
      </c>
      <c r="AJ344" s="66" t="n">
        <f aca="false">-AJ322</f>
        <v>-0</v>
      </c>
      <c r="AK344" s="66" t="n">
        <f aca="false">-AK322</f>
        <v>-0</v>
      </c>
      <c r="AL344" s="66" t="n">
        <f aca="false">-AL322</f>
        <v>-0</v>
      </c>
      <c r="AM344" s="66" t="n">
        <f aca="false">-AM322</f>
        <v>-9000</v>
      </c>
      <c r="AN344" s="66" t="n">
        <f aca="false">-AN322</f>
        <v>-0</v>
      </c>
      <c r="AO344" s="66" t="n">
        <f aca="false">-AO322</f>
        <v>-0</v>
      </c>
      <c r="AP344" s="66" t="n">
        <f aca="false">-AP322</f>
        <v>-0</v>
      </c>
      <c r="AQ344" s="66" t="n">
        <f aca="false">-AQ322</f>
        <v>-0</v>
      </c>
      <c r="AR344" s="66" t="n">
        <f aca="false">-AR322</f>
        <v>-0</v>
      </c>
      <c r="AS344" s="66" t="n">
        <f aca="false">-AS322</f>
        <v>-0</v>
      </c>
      <c r="AT344" s="66" t="n">
        <f aca="false">-AT322</f>
        <v>-0</v>
      </c>
      <c r="AU344" s="66" t="n">
        <f aca="false">-AU322</f>
        <v>-0</v>
      </c>
      <c r="AV344" s="66" t="n">
        <f aca="false">-AV322</f>
        <v>-0</v>
      </c>
      <c r="AW344" s="66" t="n">
        <f aca="false">-AW322</f>
        <v>-0</v>
      </c>
      <c r="AX344" s="66" t="n">
        <f aca="false">-AX322</f>
        <v>-0</v>
      </c>
      <c r="AY344" s="66" t="n">
        <f aca="false">-AY322</f>
        <v>-9000</v>
      </c>
      <c r="AZ344" s="66" t="n">
        <f aca="false">-AZ322</f>
        <v>-0</v>
      </c>
      <c r="BA344" s="66" t="n">
        <f aca="false">-BA322</f>
        <v>-0</v>
      </c>
      <c r="BB344" s="66" t="n">
        <f aca="false">-BB322</f>
        <v>-0</v>
      </c>
      <c r="BC344" s="66" t="n">
        <f aca="false">-BC322</f>
        <v>-0</v>
      </c>
      <c r="BD344" s="66" t="n">
        <f aca="false">-BD322</f>
        <v>-0</v>
      </c>
      <c r="BE344" s="66" t="n">
        <f aca="false">-BE322</f>
        <v>-0</v>
      </c>
      <c r="BF344" s="66" t="n">
        <f aca="false">-BF322</f>
        <v>-0</v>
      </c>
      <c r="BG344" s="66" t="n">
        <f aca="false">-BG322</f>
        <v>-0</v>
      </c>
      <c r="BH344" s="66" t="n">
        <f aca="false">-BH322</f>
        <v>-0</v>
      </c>
      <c r="BI344" s="66" t="n">
        <f aca="false">-BI322</f>
        <v>-0</v>
      </c>
      <c r="BJ344" s="66" t="n">
        <f aca="false">-BJ322</f>
        <v>-0</v>
      </c>
    </row>
    <row r="345" customFormat="false" ht="15" hidden="false" customHeight="false" outlineLevel="0" collapsed="false">
      <c r="A345" s="6" t="s">
        <v>63</v>
      </c>
      <c r="C345" s="66" t="n">
        <f aca="false">IF(C$258=1,Inputs!$D$73,0)</f>
        <v>450000</v>
      </c>
      <c r="D345" s="66" t="n">
        <f aca="false">IF(D$258=1,Inputs!$D$73,0)</f>
        <v>0</v>
      </c>
      <c r="E345" s="66" t="n">
        <f aca="false">IF(E$258=1,Inputs!$D$73,0)</f>
        <v>0</v>
      </c>
      <c r="F345" s="66" t="n">
        <f aca="false">IF(F$258=1,Inputs!$D$73,0)</f>
        <v>0</v>
      </c>
      <c r="G345" s="66" t="n">
        <f aca="false">IF(G$258=1,Inputs!$D$73,0)</f>
        <v>0</v>
      </c>
      <c r="H345" s="66" t="n">
        <f aca="false">IF(H$258=1,Inputs!$D$73,0)</f>
        <v>0</v>
      </c>
      <c r="I345" s="66" t="n">
        <f aca="false">IF(I$258=1,Inputs!$D$73,0)</f>
        <v>0</v>
      </c>
      <c r="J345" s="66" t="n">
        <f aca="false">IF(J$258=1,Inputs!$D$73,0)</f>
        <v>0</v>
      </c>
      <c r="K345" s="66" t="n">
        <f aca="false">IF(K$258=1,Inputs!$D$73,0)</f>
        <v>0</v>
      </c>
      <c r="L345" s="66" t="n">
        <f aca="false">IF(L$258=1,Inputs!$D$73,0)</f>
        <v>0</v>
      </c>
      <c r="M345" s="66" t="n">
        <f aca="false">IF(M$258=1,Inputs!$D$73,0)</f>
        <v>0</v>
      </c>
      <c r="N345" s="66" t="n">
        <f aca="false">IF(N$258=1,Inputs!$D$73,0)</f>
        <v>0</v>
      </c>
      <c r="O345" s="66" t="n">
        <f aca="false">IF(O$258=1,Inputs!$D$73,0)</f>
        <v>0</v>
      </c>
      <c r="P345" s="66" t="n">
        <f aca="false">IF(P$258=1,Inputs!$D$73,0)</f>
        <v>0</v>
      </c>
      <c r="Q345" s="66" t="n">
        <f aca="false">IF(Q$258=1,Inputs!$D$73,0)</f>
        <v>0</v>
      </c>
      <c r="R345" s="66" t="n">
        <f aca="false">IF(R$258=1,Inputs!$D$73,0)</f>
        <v>0</v>
      </c>
      <c r="S345" s="66" t="n">
        <f aca="false">IF(S$258=1,Inputs!$D$73,0)</f>
        <v>0</v>
      </c>
      <c r="T345" s="66" t="n">
        <f aca="false">IF(T$258=1,Inputs!$D$73,0)</f>
        <v>0</v>
      </c>
      <c r="U345" s="66" t="n">
        <f aca="false">IF(U$258=1,Inputs!$D$73,0)</f>
        <v>0</v>
      </c>
      <c r="V345" s="66" t="n">
        <f aca="false">IF(V$258=1,Inputs!$D$73,0)</f>
        <v>0</v>
      </c>
      <c r="W345" s="66" t="n">
        <f aca="false">IF(W$258=1,Inputs!$D$73,0)</f>
        <v>0</v>
      </c>
      <c r="X345" s="66" t="n">
        <f aca="false">IF(X$258=1,Inputs!$D$73,0)</f>
        <v>0</v>
      </c>
      <c r="Y345" s="66" t="n">
        <f aca="false">IF(Y$258=1,Inputs!$D$73,0)</f>
        <v>0</v>
      </c>
      <c r="Z345" s="66" t="n">
        <f aca="false">IF(Z$258=1,Inputs!$D$73,0)</f>
        <v>0</v>
      </c>
      <c r="AA345" s="66" t="n">
        <f aca="false">IF(AA$258=1,Inputs!$D$73,0)</f>
        <v>0</v>
      </c>
      <c r="AB345" s="66" t="n">
        <f aca="false">IF(AB$258=1,Inputs!$D$73,0)</f>
        <v>0</v>
      </c>
      <c r="AC345" s="66" t="n">
        <f aca="false">IF(AC$258=1,Inputs!$D$73,0)</f>
        <v>0</v>
      </c>
      <c r="AD345" s="66" t="n">
        <f aca="false">IF(AD$258=1,Inputs!$D$73,0)</f>
        <v>0</v>
      </c>
      <c r="AE345" s="66" t="n">
        <f aca="false">IF(AE$258=1,Inputs!$D$73,0)</f>
        <v>0</v>
      </c>
      <c r="AF345" s="66" t="n">
        <f aca="false">IF(AF$258=1,Inputs!$D$73,0)</f>
        <v>0</v>
      </c>
      <c r="AG345" s="66" t="n">
        <f aca="false">IF(AG$258=1,Inputs!$D$73,0)</f>
        <v>0</v>
      </c>
      <c r="AH345" s="66" t="n">
        <f aca="false">IF(AH$258=1,Inputs!$D$73,0)</f>
        <v>0</v>
      </c>
      <c r="AI345" s="66" t="n">
        <f aca="false">IF(AI$258=1,Inputs!$D$73,0)</f>
        <v>0</v>
      </c>
      <c r="AJ345" s="66" t="n">
        <f aca="false">IF(AJ$258=1,Inputs!$D$73,0)</f>
        <v>0</v>
      </c>
      <c r="AK345" s="66" t="n">
        <f aca="false">IF(AK$258=1,Inputs!$D$73,0)</f>
        <v>0</v>
      </c>
      <c r="AL345" s="66" t="n">
        <f aca="false">IF(AL$258=1,Inputs!$D$73,0)</f>
        <v>0</v>
      </c>
      <c r="AM345" s="66" t="n">
        <f aca="false">IF(AM$258=1,Inputs!$D$73,0)</f>
        <v>0</v>
      </c>
      <c r="AN345" s="66" t="n">
        <f aca="false">IF(AN$258=1,Inputs!$D$73,0)</f>
        <v>0</v>
      </c>
      <c r="AO345" s="66" t="n">
        <f aca="false">IF(AO$258=1,Inputs!$D$73,0)</f>
        <v>0</v>
      </c>
      <c r="AP345" s="66" t="n">
        <f aca="false">IF(AP$258=1,Inputs!$D$73,0)</f>
        <v>0</v>
      </c>
      <c r="AQ345" s="66" t="n">
        <f aca="false">IF(AQ$258=1,Inputs!$D$73,0)</f>
        <v>0</v>
      </c>
      <c r="AR345" s="66" t="n">
        <f aca="false">IF(AR$258=1,Inputs!$D$73,0)</f>
        <v>0</v>
      </c>
      <c r="AS345" s="66" t="n">
        <f aca="false">IF(AS$258=1,Inputs!$D$73,0)</f>
        <v>0</v>
      </c>
      <c r="AT345" s="66" t="n">
        <f aca="false">IF(AT$258=1,Inputs!$D$73,0)</f>
        <v>0</v>
      </c>
      <c r="AU345" s="66" t="n">
        <f aca="false">IF(AU$258=1,Inputs!$D$73,0)</f>
        <v>0</v>
      </c>
      <c r="AV345" s="66" t="n">
        <f aca="false">IF(AV$258=1,Inputs!$D$73,0)</f>
        <v>0</v>
      </c>
      <c r="AW345" s="66" t="n">
        <f aca="false">IF(AW$258=1,Inputs!$D$73,0)</f>
        <v>0</v>
      </c>
      <c r="AX345" s="66" t="n">
        <f aca="false">IF(AX$258=1,Inputs!$D$73,0)</f>
        <v>0</v>
      </c>
      <c r="AY345" s="66" t="n">
        <f aca="false">IF(AY$258=1,Inputs!$D$73,0)</f>
        <v>0</v>
      </c>
      <c r="AZ345" s="66" t="n">
        <f aca="false">IF(AZ$258=1,Inputs!$D$73,0)</f>
        <v>0</v>
      </c>
      <c r="BA345" s="66" t="n">
        <f aca="false">IF(BA$258=1,Inputs!$D$73,0)</f>
        <v>0</v>
      </c>
      <c r="BB345" s="66" t="n">
        <f aca="false">IF(BB$258=1,Inputs!$D$73,0)</f>
        <v>0</v>
      </c>
      <c r="BC345" s="66" t="n">
        <f aca="false">IF(BC$258=1,Inputs!$D$73,0)</f>
        <v>0</v>
      </c>
      <c r="BD345" s="66" t="n">
        <f aca="false">IF(BD$258=1,Inputs!$D$73,0)</f>
        <v>0</v>
      </c>
      <c r="BE345" s="66" t="n">
        <f aca="false">IF(BE$258=1,Inputs!$D$73,0)</f>
        <v>0</v>
      </c>
      <c r="BF345" s="66" t="n">
        <f aca="false">IF(BF$258=1,Inputs!$D$73,0)</f>
        <v>0</v>
      </c>
      <c r="BG345" s="66" t="n">
        <f aca="false">IF(BG$258=1,Inputs!$D$73,0)</f>
        <v>0</v>
      </c>
      <c r="BH345" s="66" t="n">
        <f aca="false">IF(BH$258=1,Inputs!$D$73,0)</f>
        <v>0</v>
      </c>
      <c r="BI345" s="66" t="n">
        <f aca="false">IF(BI$258=1,Inputs!$D$73,0)</f>
        <v>0</v>
      </c>
      <c r="BJ345" s="66" t="n">
        <f aca="false">IF(BJ$258=1,Inputs!$D$73,0)</f>
        <v>0</v>
      </c>
    </row>
    <row r="346" customFormat="false" ht="15" hidden="false" customHeight="false" outlineLevel="0" collapsed="false">
      <c r="A346" s="6" t="s">
        <v>54</v>
      </c>
      <c r="C346" s="66" t="n">
        <f aca="false">C345+C330+C331</f>
        <v>700000</v>
      </c>
      <c r="D346" s="66" t="n">
        <f aca="false">D345+D330+D331</f>
        <v>-2083.33333333333</v>
      </c>
      <c r="E346" s="66" t="n">
        <f aca="false">E345+E330+E331</f>
        <v>-2083.33333333333</v>
      </c>
      <c r="F346" s="66" t="n">
        <f aca="false">F345+F330+F331</f>
        <v>-2083.33333333333</v>
      </c>
      <c r="G346" s="66" t="n">
        <f aca="false">G345+G330+G331</f>
        <v>-2083.33333333333</v>
      </c>
      <c r="H346" s="66" t="n">
        <f aca="false">H345+H330+H331</f>
        <v>-2083.33333333333</v>
      </c>
      <c r="I346" s="66" t="n">
        <f aca="false">I345+I330+I331</f>
        <v>-2083.33333333333</v>
      </c>
      <c r="J346" s="66" t="n">
        <f aca="false">J345+J330+J331</f>
        <v>-2083.33333333333</v>
      </c>
      <c r="K346" s="66" t="n">
        <f aca="false">K345+K330+K331</f>
        <v>-2083.33333333333</v>
      </c>
      <c r="L346" s="66" t="n">
        <f aca="false">L345+L330+L331</f>
        <v>-2083.33333333333</v>
      </c>
      <c r="M346" s="66" t="n">
        <f aca="false">M345+M330+M331</f>
        <v>-2083.33333333333</v>
      </c>
      <c r="N346" s="66" t="n">
        <f aca="false">N345+N330+N331</f>
        <v>-2083.33333333333</v>
      </c>
      <c r="O346" s="66" t="n">
        <f aca="false">O345+O330+O331</f>
        <v>-2083.33333333333</v>
      </c>
      <c r="P346" s="66" t="n">
        <f aca="false">P345+P330+P331</f>
        <v>-2083.33333333333</v>
      </c>
      <c r="Q346" s="66" t="n">
        <f aca="false">Q345+Q330+Q331</f>
        <v>-2083.33333333333</v>
      </c>
      <c r="R346" s="66" t="n">
        <f aca="false">R345+R330+R331</f>
        <v>-2083.33333333333</v>
      </c>
      <c r="S346" s="66" t="n">
        <f aca="false">S345+S330+S331</f>
        <v>-2083.33333333333</v>
      </c>
      <c r="T346" s="66" t="n">
        <f aca="false">T345+T330+T331</f>
        <v>-2083.33333333333</v>
      </c>
      <c r="U346" s="66" t="n">
        <f aca="false">U345+U330+U331</f>
        <v>-2083.33333333333</v>
      </c>
      <c r="V346" s="66" t="n">
        <f aca="false">V345+V330+V331</f>
        <v>-2083.33333333333</v>
      </c>
      <c r="W346" s="66" t="n">
        <f aca="false">W345+W330+W331</f>
        <v>-2083.33333333333</v>
      </c>
      <c r="X346" s="66" t="n">
        <f aca="false">X345+X330+X331</f>
        <v>-2083.33333333333</v>
      </c>
      <c r="Y346" s="66" t="n">
        <f aca="false">Y345+Y330+Y331</f>
        <v>-2083.33333333333</v>
      </c>
      <c r="Z346" s="66" t="n">
        <f aca="false">Z345+Z330+Z331</f>
        <v>-2083.33333333333</v>
      </c>
      <c r="AA346" s="66" t="n">
        <f aca="false">AA345+AA330+AA331</f>
        <v>-2083.33333333333</v>
      </c>
      <c r="AB346" s="66" t="n">
        <f aca="false">AB345+AB330+AB331</f>
        <v>-2083.33333333333</v>
      </c>
      <c r="AC346" s="66" t="n">
        <f aca="false">AC345+AC330+AC331</f>
        <v>-2083.33333333333</v>
      </c>
      <c r="AD346" s="66" t="n">
        <f aca="false">AD345+AD330+AD331</f>
        <v>-2083.33333333333</v>
      </c>
      <c r="AE346" s="66" t="n">
        <f aca="false">AE345+AE330+AE331</f>
        <v>-2083.33333333333</v>
      </c>
      <c r="AF346" s="66" t="n">
        <f aca="false">AF345+AF330+AF331</f>
        <v>-2083.33333333333</v>
      </c>
      <c r="AG346" s="66" t="n">
        <f aca="false">AG345+AG330+AG331</f>
        <v>-2083.33333333333</v>
      </c>
      <c r="AH346" s="66" t="n">
        <f aca="false">AH345+AH330+AH331</f>
        <v>-2083.33333333333</v>
      </c>
      <c r="AI346" s="66" t="n">
        <f aca="false">AI345+AI330+AI331</f>
        <v>-2083.33333333333</v>
      </c>
      <c r="AJ346" s="66" t="n">
        <f aca="false">AJ345+AJ330+AJ331</f>
        <v>-2083.33333333333</v>
      </c>
      <c r="AK346" s="66" t="n">
        <f aca="false">AK345+AK330+AK331</f>
        <v>-2083.33333333333</v>
      </c>
      <c r="AL346" s="66" t="n">
        <f aca="false">AL345+AL330+AL331</f>
        <v>-2083.33333333333</v>
      </c>
      <c r="AM346" s="66" t="n">
        <f aca="false">AM345+AM330+AM331</f>
        <v>-2083.33333333333</v>
      </c>
      <c r="AN346" s="66" t="n">
        <f aca="false">AN345+AN330+AN331</f>
        <v>-2083.33333333333</v>
      </c>
      <c r="AO346" s="66" t="n">
        <f aca="false">AO345+AO330+AO331</f>
        <v>-2083.33333333333</v>
      </c>
      <c r="AP346" s="66" t="n">
        <f aca="false">AP345+AP330+AP331</f>
        <v>-2083.33333333333</v>
      </c>
      <c r="AQ346" s="66" t="n">
        <f aca="false">AQ345+AQ330+AQ331</f>
        <v>-2083.33333333333</v>
      </c>
      <c r="AR346" s="66" t="n">
        <f aca="false">AR345+AR330+AR331</f>
        <v>-2083.33333333333</v>
      </c>
      <c r="AS346" s="66" t="n">
        <f aca="false">AS345+AS330+AS331</f>
        <v>-2083.33333333333</v>
      </c>
      <c r="AT346" s="66" t="n">
        <f aca="false">AT345+AT330+AT331</f>
        <v>-2083.33333333333</v>
      </c>
      <c r="AU346" s="66" t="n">
        <f aca="false">AU345+AU330+AU331</f>
        <v>-2083.33333333333</v>
      </c>
      <c r="AV346" s="66" t="n">
        <f aca="false">AV345+AV330+AV331</f>
        <v>-2083.33333333333</v>
      </c>
      <c r="AW346" s="66" t="n">
        <f aca="false">AW345+AW330+AW331</f>
        <v>-2083.33333333333</v>
      </c>
      <c r="AX346" s="66" t="n">
        <f aca="false">AX345+AX330+AX331</f>
        <v>-2083.33333333333</v>
      </c>
      <c r="AY346" s="66" t="n">
        <f aca="false">AY345+AY330+AY331</f>
        <v>-2083.33333333333</v>
      </c>
      <c r="AZ346" s="66" t="n">
        <f aca="false">AZ345+AZ330+AZ331</f>
        <v>-2083.33333333333</v>
      </c>
      <c r="BA346" s="66" t="n">
        <f aca="false">BA345+BA330+BA331</f>
        <v>-2083.33333333333</v>
      </c>
      <c r="BB346" s="66" t="n">
        <f aca="false">BB345+BB330+BB331</f>
        <v>-2083.33333333333</v>
      </c>
      <c r="BC346" s="66" t="n">
        <f aca="false">BC345+BC330+BC331</f>
        <v>-2083.33333333333</v>
      </c>
      <c r="BD346" s="66" t="n">
        <f aca="false">BD345+BD330+BD331</f>
        <v>-2083.33333333333</v>
      </c>
      <c r="BE346" s="66" t="n">
        <f aca="false">BE345+BE330+BE331</f>
        <v>-2083.33333333333</v>
      </c>
      <c r="BF346" s="66" t="n">
        <f aca="false">BF345+BF330+BF331</f>
        <v>-2083.33333333333</v>
      </c>
      <c r="BG346" s="66" t="n">
        <f aca="false">BG345+BG330+BG331</f>
        <v>-2083.33333333333</v>
      </c>
      <c r="BH346" s="66" t="n">
        <f aca="false">BH345+BH330+BH331</f>
        <v>-2083.33333333333</v>
      </c>
      <c r="BI346" s="66" t="n">
        <f aca="false">BI345+BI330+BI331</f>
        <v>-2083.33333333333</v>
      </c>
      <c r="BJ346" s="66" t="n">
        <f aca="false">BJ345+BJ330+BJ331</f>
        <v>-2083.33333333333</v>
      </c>
    </row>
    <row r="347" customFormat="false" ht="15" hidden="false" customHeight="false" outlineLevel="0" collapsed="false">
      <c r="A347" s="110" t="s">
        <v>451</v>
      </c>
      <c r="C347" s="67" t="n">
        <f aca="false">C343+C344+C346</f>
        <v>238128.892288889</v>
      </c>
      <c r="D347" s="67" t="n">
        <f aca="false">D343+D344+D346</f>
        <v>-18893.3102474074</v>
      </c>
      <c r="E347" s="67" t="n">
        <f aca="false">E343+E344+E346</f>
        <v>-16946.1813762963</v>
      </c>
      <c r="F347" s="67" t="n">
        <f aca="false">F343+F344+F346</f>
        <v>-12156.9191718519</v>
      </c>
      <c r="G347" s="67" t="n">
        <f aca="false">G343+G344+G346</f>
        <v>-7367.65696740741</v>
      </c>
      <c r="H347" s="67" t="n">
        <f aca="false">H343+H344+H346</f>
        <v>-5215.21698518519</v>
      </c>
      <c r="I347" s="67" t="n">
        <f aca="false">I343+I344+I346</f>
        <v>-4021.62144740741</v>
      </c>
      <c r="J347" s="67" t="n">
        <f aca="false">J343+J344+J346</f>
        <v>-191.203687407402</v>
      </c>
      <c r="K347" s="67" t="n">
        <f aca="false">K343+K344+K346</f>
        <v>4598.05851703704</v>
      </c>
      <c r="L347" s="67" t="n">
        <f aca="false">L343+L344+L346</f>
        <v>6750.49849925926</v>
      </c>
      <c r="M347" s="67" t="n">
        <f aca="false">M343+M344+M346</f>
        <v>7499.66490666668</v>
      </c>
      <c r="N347" s="67" t="n">
        <f aca="false">N343+N344+N346</f>
        <v>7137.99824000001</v>
      </c>
      <c r="O347" s="67" t="n">
        <f aca="false">O343+O344+O346</f>
        <v>-1581.36744817777</v>
      </c>
      <c r="P347" s="67" t="n">
        <f aca="false">P343+P344+P346</f>
        <v>8335.79794737778</v>
      </c>
      <c r="Q347" s="67" t="n">
        <f aca="false">Q343+Q344+Q346</f>
        <v>8349.68683626667</v>
      </c>
      <c r="R347" s="67" t="n">
        <f aca="false">R343+R344+R346</f>
        <v>8363.57572515556</v>
      </c>
      <c r="S347" s="67" t="n">
        <f aca="false">S343+S344+S346</f>
        <v>8377.46461404445</v>
      </c>
      <c r="T347" s="67" t="n">
        <f aca="false">T343+T344+T346</f>
        <v>8391.35350293333</v>
      </c>
      <c r="U347" s="67" t="n">
        <f aca="false">U343+U344+U346</f>
        <v>8405.24239182222</v>
      </c>
      <c r="V347" s="67" t="n">
        <f aca="false">V343+V344+V346</f>
        <v>8419.13128071111</v>
      </c>
      <c r="W347" s="67" t="n">
        <f aca="false">W343+W344+W346</f>
        <v>8247.94598292266</v>
      </c>
      <c r="X347" s="67" t="n">
        <f aca="false">X343+X344+X346</f>
        <v>7024.80815620622</v>
      </c>
      <c r="Y347" s="67" t="n">
        <f aca="false">Y343+Y344+Y346</f>
        <v>7035.78037842845</v>
      </c>
      <c r="Z347" s="67" t="n">
        <f aca="false">Z343+Z344+Z346</f>
        <v>7046.75260065067</v>
      </c>
      <c r="AA347" s="67" t="n">
        <f aca="false">AA343+AA344+AA346</f>
        <v>-1895.73372863442</v>
      </c>
      <c r="AB347" s="67" t="n">
        <f aca="false">AB343+AB344+AB346</f>
        <v>8057.12100985447</v>
      </c>
      <c r="AC347" s="67" t="n">
        <f aca="false">AC343+AC344+AC346</f>
        <v>8068.0932320767</v>
      </c>
      <c r="AD347" s="67" t="n">
        <f aca="false">AD343+AD344+AD346</f>
        <v>8079.06545429892</v>
      </c>
      <c r="AE347" s="67" t="n">
        <f aca="false">AE343+AE344+AE346</f>
        <v>8090.03767652114</v>
      </c>
      <c r="AF347" s="67" t="n">
        <f aca="false">AF343+AF344+AF346</f>
        <v>8101.00989874336</v>
      </c>
      <c r="AG347" s="67" t="n">
        <f aca="false">AG343+AG344+AG346</f>
        <v>8111.98212096558</v>
      </c>
      <c r="AH347" s="67" t="n">
        <f aca="false">AH343+AH344+AH346</f>
        <v>8122.95434318781</v>
      </c>
      <c r="AI347" s="67" t="n">
        <f aca="false">AI343+AI344+AI346</f>
        <v>8133.92656541003</v>
      </c>
      <c r="AJ347" s="67" t="n">
        <f aca="false">AJ343+AJ344+AJ346</f>
        <v>8144.89878763225</v>
      </c>
      <c r="AK347" s="67" t="n">
        <f aca="false">AK343+AK344+AK346</f>
        <v>8155.87100985447</v>
      </c>
      <c r="AL347" s="67" t="n">
        <f aca="false">AL343+AL344+AL346</f>
        <v>8166.8432320767</v>
      </c>
      <c r="AM347" s="67" t="n">
        <f aca="false">AM343+AM344+AM346</f>
        <v>-765.23517126001</v>
      </c>
      <c r="AN347" s="67" t="n">
        <f aca="false">AN343+AN344+AN346</f>
        <v>9227.84406569288</v>
      </c>
      <c r="AO347" s="67" t="n">
        <f aca="false">AO343+AO344+AO346</f>
        <v>9238.8162879151</v>
      </c>
      <c r="AP347" s="67" t="n">
        <f aca="false">AP343+AP344+AP346</f>
        <v>9249.78851013732</v>
      </c>
      <c r="AQ347" s="67" t="n">
        <f aca="false">AQ343+AQ344+AQ346</f>
        <v>9260.76073235955</v>
      </c>
      <c r="AR347" s="67" t="n">
        <f aca="false">AR343+AR344+AR346</f>
        <v>9271.73295458177</v>
      </c>
      <c r="AS347" s="67" t="n">
        <f aca="false">AS343+AS344+AS346</f>
        <v>9282.70517680399</v>
      </c>
      <c r="AT347" s="67" t="n">
        <f aca="false">AT343+AT344+AT346</f>
        <v>9293.67739902621</v>
      </c>
      <c r="AU347" s="67" t="n">
        <f aca="false">AU343+AU344+AU346</f>
        <v>9304.64962124843</v>
      </c>
      <c r="AV347" s="67" t="n">
        <f aca="false">AV343+AV344+AV346</f>
        <v>9315.62184347065</v>
      </c>
      <c r="AW347" s="67" t="n">
        <f aca="false">AW343+AW344+AW346</f>
        <v>9326.59406569288</v>
      </c>
      <c r="AX347" s="67" t="n">
        <f aca="false">AX343+AX344+AX346</f>
        <v>9337.5662879151</v>
      </c>
      <c r="AY347" s="67" t="n">
        <f aca="false">AY343+AY344+AY346</f>
        <v>416.587415604954</v>
      </c>
      <c r="AZ347" s="67" t="n">
        <f aca="false">AZ343+AZ344+AZ346</f>
        <v>10451.5766068948</v>
      </c>
      <c r="BA347" s="67" t="n">
        <f aca="false">BA343+BA344+BA346</f>
        <v>10462.548829117</v>
      </c>
      <c r="BB347" s="67" t="n">
        <f aca="false">BB343+BB344+BB346</f>
        <v>10473.5210513393</v>
      </c>
      <c r="BC347" s="67" t="n">
        <f aca="false">BC343+BC344+BC346</f>
        <v>10484.4932735615</v>
      </c>
      <c r="BD347" s="67" t="n">
        <f aca="false">BD343+BD344+BD346</f>
        <v>10495.4654957837</v>
      </c>
      <c r="BE347" s="67" t="n">
        <f aca="false">BE343+BE344+BE346</f>
        <v>10506.4377180059</v>
      </c>
      <c r="BF347" s="67" t="n">
        <f aca="false">BF343+BF344+BF346</f>
        <v>10517.4099402281</v>
      </c>
      <c r="BG347" s="67" t="n">
        <f aca="false">BG343+BG344+BG346</f>
        <v>10528.3821624504</v>
      </c>
      <c r="BH347" s="67" t="n">
        <f aca="false">BH343+BH344+BH346</f>
        <v>10539.3543846726</v>
      </c>
      <c r="BI347" s="67" t="n">
        <f aca="false">BI343+BI344+BI346</f>
        <v>10550.3266068948</v>
      </c>
      <c r="BJ347" s="67" t="n">
        <f aca="false">BJ343+BJ344+BJ346</f>
        <v>10561.298829117</v>
      </c>
    </row>
    <row r="348" customFormat="false" ht="15" hidden="false" customHeight="false" outlineLevel="0" collapsed="false">
      <c r="A348" s="6" t="s">
        <v>351</v>
      </c>
      <c r="C348" s="66" t="n">
        <f aca="false">0</f>
        <v>0</v>
      </c>
      <c r="D348" s="66" t="n">
        <f aca="false">C349</f>
        <v>238128.892288889</v>
      </c>
      <c r="E348" s="66" t="n">
        <f aca="false">D349</f>
        <v>219235.582041481</v>
      </c>
      <c r="F348" s="66" t="n">
        <f aca="false">E349</f>
        <v>202289.400665185</v>
      </c>
      <c r="G348" s="66" t="n">
        <f aca="false">F349</f>
        <v>190132.481493333</v>
      </c>
      <c r="H348" s="66" t="n">
        <f aca="false">G349</f>
        <v>182764.824525926</v>
      </c>
      <c r="I348" s="66" t="n">
        <f aca="false">H349</f>
        <v>177549.607540741</v>
      </c>
      <c r="J348" s="66" t="n">
        <f aca="false">I349</f>
        <v>173527.986093333</v>
      </c>
      <c r="K348" s="66" t="n">
        <f aca="false">J349</f>
        <v>173336.782405926</v>
      </c>
      <c r="L348" s="66" t="n">
        <f aca="false">K349</f>
        <v>177934.840922963</v>
      </c>
      <c r="M348" s="66" t="n">
        <f aca="false">L349</f>
        <v>184685.339422222</v>
      </c>
      <c r="N348" s="66" t="n">
        <f aca="false">M349</f>
        <v>192185.004328889</v>
      </c>
      <c r="O348" s="66" t="n">
        <f aca="false">N349</f>
        <v>199323.002568889</v>
      </c>
      <c r="P348" s="66" t="n">
        <f aca="false">O349</f>
        <v>197741.635120711</v>
      </c>
      <c r="Q348" s="66" t="n">
        <f aca="false">P349</f>
        <v>206077.433068089</v>
      </c>
      <c r="R348" s="66" t="n">
        <f aca="false">Q349</f>
        <v>214427.119904356</v>
      </c>
      <c r="S348" s="66" t="n">
        <f aca="false">R349</f>
        <v>222790.695629511</v>
      </c>
      <c r="T348" s="66" t="n">
        <f aca="false">S349</f>
        <v>231168.160243556</v>
      </c>
      <c r="U348" s="66" t="n">
        <f aca="false">T349</f>
        <v>239559.513746489</v>
      </c>
      <c r="V348" s="66" t="n">
        <f aca="false">U349</f>
        <v>247964.756138311</v>
      </c>
      <c r="W348" s="66" t="n">
        <f aca="false">V349</f>
        <v>256383.887419022</v>
      </c>
      <c r="X348" s="66" t="n">
        <f aca="false">W349</f>
        <v>264631.833401945</v>
      </c>
      <c r="Y348" s="66" t="n">
        <f aca="false">X349</f>
        <v>271656.641558151</v>
      </c>
      <c r="Z348" s="66" t="n">
        <f aca="false">Y349</f>
        <v>278692.42193658</v>
      </c>
      <c r="AA348" s="66" t="n">
        <f aca="false">Z349</f>
        <v>285739.17453723</v>
      </c>
      <c r="AB348" s="66" t="n">
        <f aca="false">AA349</f>
        <v>283843.440808596</v>
      </c>
      <c r="AC348" s="66" t="n">
        <f aca="false">AB349</f>
        <v>291900.56181845</v>
      </c>
      <c r="AD348" s="66" t="n">
        <f aca="false">AC349</f>
        <v>299968.655050527</v>
      </c>
      <c r="AE348" s="66" t="n">
        <f aca="false">AD349</f>
        <v>308047.720504826</v>
      </c>
      <c r="AF348" s="66" t="n">
        <f aca="false">AE349</f>
        <v>316137.758181347</v>
      </c>
      <c r="AG348" s="66" t="n">
        <f aca="false">AF349</f>
        <v>324238.76808009</v>
      </c>
      <c r="AH348" s="66" t="n">
        <f aca="false">AG349</f>
        <v>332350.750201056</v>
      </c>
      <c r="AI348" s="66" t="n">
        <f aca="false">AH349</f>
        <v>340473.704544244</v>
      </c>
      <c r="AJ348" s="66" t="n">
        <f aca="false">AI349</f>
        <v>348607.631109654</v>
      </c>
      <c r="AK348" s="66" t="n">
        <f aca="false">AJ349</f>
        <v>356752.529897286</v>
      </c>
      <c r="AL348" s="66" t="n">
        <f aca="false">AK349</f>
        <v>364908.400907141</v>
      </c>
      <c r="AM348" s="66" t="n">
        <f aca="false">AL349</f>
        <v>373075.244139217</v>
      </c>
      <c r="AN348" s="66" t="n">
        <f aca="false">AM349</f>
        <v>372310.008967957</v>
      </c>
      <c r="AO348" s="66" t="n">
        <f aca="false">AN349</f>
        <v>381537.85303365</v>
      </c>
      <c r="AP348" s="66" t="n">
        <f aca="false">AO349</f>
        <v>390776.669321565</v>
      </c>
      <c r="AQ348" s="66" t="n">
        <f aca="false">AP349</f>
        <v>400026.457831703</v>
      </c>
      <c r="AR348" s="66" t="n">
        <f aca="false">AQ349</f>
        <v>409287.218564062</v>
      </c>
      <c r="AS348" s="66" t="n">
        <f aca="false">AR349</f>
        <v>418558.951518644</v>
      </c>
      <c r="AT348" s="66" t="n">
        <f aca="false">AS349</f>
        <v>427841.656695448</v>
      </c>
      <c r="AU348" s="66" t="n">
        <f aca="false">AT349</f>
        <v>437135.334094474</v>
      </c>
      <c r="AV348" s="66" t="n">
        <f aca="false">AU349</f>
        <v>446439.983715722</v>
      </c>
      <c r="AW348" s="66" t="n">
        <f aca="false">AV349</f>
        <v>455755.605559193</v>
      </c>
      <c r="AX348" s="66" t="n">
        <f aca="false">AW349</f>
        <v>465082.199624886</v>
      </c>
      <c r="AY348" s="66" t="n">
        <f aca="false">AX349</f>
        <v>474419.765912801</v>
      </c>
      <c r="AZ348" s="66" t="n">
        <f aca="false">AY349</f>
        <v>474836.353328406</v>
      </c>
      <c r="BA348" s="66" t="n">
        <f aca="false">AZ349</f>
        <v>485287.929935301</v>
      </c>
      <c r="BB348" s="66" t="n">
        <f aca="false">BA349</f>
        <v>495750.478764418</v>
      </c>
      <c r="BC348" s="66" t="n">
        <f aca="false">BB349</f>
        <v>506223.999815757</v>
      </c>
      <c r="BD348" s="66" t="n">
        <f aca="false">BC349</f>
        <v>516708.493089319</v>
      </c>
      <c r="BE348" s="66" t="n">
        <f aca="false">BD349</f>
        <v>527203.958585102</v>
      </c>
      <c r="BF348" s="66" t="n">
        <f aca="false">BE349</f>
        <v>537710.396303108</v>
      </c>
      <c r="BG348" s="66" t="n">
        <f aca="false">BF349</f>
        <v>548227.806243336</v>
      </c>
      <c r="BH348" s="66" t="n">
        <f aca="false">BG349</f>
        <v>558756.188405787</v>
      </c>
      <c r="BI348" s="66" t="n">
        <f aca="false">BH349</f>
        <v>569295.542790459</v>
      </c>
      <c r="BJ348" s="66" t="n">
        <f aca="false">BI349</f>
        <v>579845.869397354</v>
      </c>
    </row>
    <row r="349" customFormat="false" ht="15" hidden="false" customHeight="false" outlineLevel="0" collapsed="false">
      <c r="A349" s="110" t="s">
        <v>86</v>
      </c>
      <c r="C349" s="67" t="n">
        <f aca="false">C348+C347</f>
        <v>238128.892288889</v>
      </c>
      <c r="D349" s="67" t="n">
        <f aca="false">D348+D347</f>
        <v>219235.582041481</v>
      </c>
      <c r="E349" s="67" t="n">
        <f aca="false">E348+E347</f>
        <v>202289.400665185</v>
      </c>
      <c r="F349" s="67" t="n">
        <f aca="false">F348+F347</f>
        <v>190132.481493333</v>
      </c>
      <c r="G349" s="67" t="n">
        <f aca="false">G348+G347</f>
        <v>182764.824525926</v>
      </c>
      <c r="H349" s="67" t="n">
        <f aca="false">H348+H347</f>
        <v>177549.607540741</v>
      </c>
      <c r="I349" s="67" t="n">
        <f aca="false">I348+I347</f>
        <v>173527.986093333</v>
      </c>
      <c r="J349" s="67" t="n">
        <f aca="false">J348+J347</f>
        <v>173336.782405926</v>
      </c>
      <c r="K349" s="67" t="n">
        <f aca="false">K348+K347</f>
        <v>177934.840922963</v>
      </c>
      <c r="L349" s="67" t="n">
        <f aca="false">L348+L347</f>
        <v>184685.339422222</v>
      </c>
      <c r="M349" s="67" t="n">
        <f aca="false">M348+M347</f>
        <v>192185.004328889</v>
      </c>
      <c r="N349" s="67" t="n">
        <f aca="false">N348+N347</f>
        <v>199323.002568889</v>
      </c>
      <c r="O349" s="67" t="n">
        <f aca="false">O348+O347</f>
        <v>197741.635120711</v>
      </c>
      <c r="P349" s="67" t="n">
        <f aca="false">P348+P347</f>
        <v>206077.433068089</v>
      </c>
      <c r="Q349" s="67" t="n">
        <f aca="false">Q348+Q347</f>
        <v>214427.119904356</v>
      </c>
      <c r="R349" s="67" t="n">
        <f aca="false">R348+R347</f>
        <v>222790.695629511</v>
      </c>
      <c r="S349" s="67" t="n">
        <f aca="false">S348+S347</f>
        <v>231168.160243556</v>
      </c>
      <c r="T349" s="67" t="n">
        <f aca="false">T348+T347</f>
        <v>239559.513746489</v>
      </c>
      <c r="U349" s="67" t="n">
        <f aca="false">U348+U347</f>
        <v>247964.756138311</v>
      </c>
      <c r="V349" s="67" t="n">
        <f aca="false">V348+V347</f>
        <v>256383.887419022</v>
      </c>
      <c r="W349" s="67" t="n">
        <f aca="false">W348+W347</f>
        <v>264631.833401945</v>
      </c>
      <c r="X349" s="67" t="n">
        <f aca="false">X348+X347</f>
        <v>271656.641558151</v>
      </c>
      <c r="Y349" s="67" t="n">
        <f aca="false">Y348+Y347</f>
        <v>278692.42193658</v>
      </c>
      <c r="Z349" s="67" t="n">
        <f aca="false">Z348+Z347</f>
        <v>285739.17453723</v>
      </c>
      <c r="AA349" s="67" t="n">
        <f aca="false">AA348+AA347</f>
        <v>283843.440808596</v>
      </c>
      <c r="AB349" s="67" t="n">
        <f aca="false">AB348+AB347</f>
        <v>291900.56181845</v>
      </c>
      <c r="AC349" s="67" t="n">
        <f aca="false">AC348+AC347</f>
        <v>299968.655050527</v>
      </c>
      <c r="AD349" s="67" t="n">
        <f aca="false">AD348+AD347</f>
        <v>308047.720504826</v>
      </c>
      <c r="AE349" s="67" t="n">
        <f aca="false">AE348+AE347</f>
        <v>316137.758181347</v>
      </c>
      <c r="AF349" s="67" t="n">
        <f aca="false">AF348+AF347</f>
        <v>324238.76808009</v>
      </c>
      <c r="AG349" s="67" t="n">
        <f aca="false">AG348+AG347</f>
        <v>332350.750201056</v>
      </c>
      <c r="AH349" s="67" t="n">
        <f aca="false">AH348+AH347</f>
        <v>340473.704544244</v>
      </c>
      <c r="AI349" s="67" t="n">
        <f aca="false">AI348+AI347</f>
        <v>348607.631109654</v>
      </c>
      <c r="AJ349" s="67" t="n">
        <f aca="false">AJ348+AJ347</f>
        <v>356752.529897286</v>
      </c>
      <c r="AK349" s="67" t="n">
        <f aca="false">AK348+AK347</f>
        <v>364908.400907141</v>
      </c>
      <c r="AL349" s="67" t="n">
        <f aca="false">AL348+AL347</f>
        <v>373075.244139217</v>
      </c>
      <c r="AM349" s="67" t="n">
        <f aca="false">AM348+AM347</f>
        <v>372310.008967957</v>
      </c>
      <c r="AN349" s="67" t="n">
        <f aca="false">AN348+AN347</f>
        <v>381537.85303365</v>
      </c>
      <c r="AO349" s="67" t="n">
        <f aca="false">AO348+AO347</f>
        <v>390776.669321565</v>
      </c>
      <c r="AP349" s="67" t="n">
        <f aca="false">AP348+AP347</f>
        <v>400026.457831703</v>
      </c>
      <c r="AQ349" s="67" t="n">
        <f aca="false">AQ348+AQ347</f>
        <v>409287.218564062</v>
      </c>
      <c r="AR349" s="67" t="n">
        <f aca="false">AR348+AR347</f>
        <v>418558.951518644</v>
      </c>
      <c r="AS349" s="67" t="n">
        <f aca="false">AS348+AS347</f>
        <v>427841.656695448</v>
      </c>
      <c r="AT349" s="67" t="n">
        <f aca="false">AT348+AT347</f>
        <v>437135.334094474</v>
      </c>
      <c r="AU349" s="67" t="n">
        <f aca="false">AU348+AU347</f>
        <v>446439.983715722</v>
      </c>
      <c r="AV349" s="67" t="n">
        <f aca="false">AV348+AV347</f>
        <v>455755.605559193</v>
      </c>
      <c r="AW349" s="67" t="n">
        <f aca="false">AW348+AW347</f>
        <v>465082.199624886</v>
      </c>
      <c r="AX349" s="67" t="n">
        <f aca="false">AX348+AX347</f>
        <v>474419.765912801</v>
      </c>
      <c r="AY349" s="67" t="n">
        <f aca="false">AY348+AY347</f>
        <v>474836.353328406</v>
      </c>
      <c r="AZ349" s="67" t="n">
        <f aca="false">AZ348+AZ347</f>
        <v>485287.929935301</v>
      </c>
      <c r="BA349" s="67" t="n">
        <f aca="false">BA348+BA347</f>
        <v>495750.478764418</v>
      </c>
      <c r="BB349" s="67" t="n">
        <f aca="false">BB348+BB347</f>
        <v>506223.999815757</v>
      </c>
      <c r="BC349" s="67" t="n">
        <f aca="false">BC348+BC347</f>
        <v>516708.493089319</v>
      </c>
      <c r="BD349" s="67" t="n">
        <f aca="false">BD348+BD347</f>
        <v>527203.958585102</v>
      </c>
      <c r="BE349" s="67" t="n">
        <f aca="false">BE348+BE347</f>
        <v>537710.396303108</v>
      </c>
      <c r="BF349" s="67" t="n">
        <f aca="false">BF348+BF347</f>
        <v>548227.806243336</v>
      </c>
      <c r="BG349" s="67" t="n">
        <f aca="false">BG348+BG347</f>
        <v>558756.188405787</v>
      </c>
      <c r="BH349" s="67" t="n">
        <f aca="false">BH348+BH347</f>
        <v>569295.542790459</v>
      </c>
      <c r="BI349" s="67" t="n">
        <f aca="false">BI348+BI347</f>
        <v>579845.869397354</v>
      </c>
      <c r="BJ349" s="67" t="n">
        <f aca="false">BJ348+BJ347</f>
        <v>590407.168226471</v>
      </c>
    </row>
    <row r="350" customFormat="false" ht="15" hidden="false" customHeight="false" outlineLevel="0" collapsed="false">
      <c r="A350" s="114" t="s">
        <v>452</v>
      </c>
      <c r="C350" s="113" t="n">
        <f aca="false">IF(C306&gt;0,1,0)</f>
        <v>0</v>
      </c>
      <c r="D350" s="113" t="n">
        <f aca="false">IF(D306&gt;0,1,0)</f>
        <v>0</v>
      </c>
      <c r="E350" s="113" t="n">
        <f aca="false">IF(E306&gt;0,1,0)</f>
        <v>0</v>
      </c>
      <c r="F350" s="113" t="n">
        <f aca="false">IF(F306&gt;0,1,0)</f>
        <v>0</v>
      </c>
      <c r="G350" s="113" t="n">
        <f aca="false">IF(G306&gt;0,1,0)</f>
        <v>0</v>
      </c>
      <c r="H350" s="113" t="n">
        <f aca="false">IF(H306&gt;0,1,0)</f>
        <v>0</v>
      </c>
      <c r="I350" s="113" t="n">
        <f aca="false">IF(I306&gt;0,1,0)</f>
        <v>1</v>
      </c>
      <c r="J350" s="113" t="n">
        <f aca="false">IF(J306&gt;0,1,0)</f>
        <v>1</v>
      </c>
      <c r="K350" s="113" t="n">
        <f aca="false">IF(K306&gt;0,1,0)</f>
        <v>1</v>
      </c>
      <c r="L350" s="113" t="n">
        <f aca="false">IF(L306&gt;0,1,0)</f>
        <v>1</v>
      </c>
      <c r="M350" s="113" t="n">
        <f aca="false">IF(M306&gt;0,1,0)</f>
        <v>1</v>
      </c>
      <c r="N350" s="113" t="n">
        <f aca="false">IF(N306&gt;0,1,0)</f>
        <v>1</v>
      </c>
      <c r="O350" s="113" t="n">
        <f aca="false">IF(O306&gt;0,1,0)</f>
        <v>1</v>
      </c>
      <c r="P350" s="113" t="n">
        <f aca="false">IF(P306&gt;0,1,0)</f>
        <v>1</v>
      </c>
      <c r="Q350" s="113" t="n">
        <f aca="false">IF(Q306&gt;0,1,0)</f>
        <v>1</v>
      </c>
      <c r="R350" s="113" t="n">
        <f aca="false">IF(R306&gt;0,1,0)</f>
        <v>1</v>
      </c>
      <c r="S350" s="113" t="n">
        <f aca="false">IF(S306&gt;0,1,0)</f>
        <v>1</v>
      </c>
      <c r="T350" s="113" t="n">
        <f aca="false">IF(T306&gt;0,1,0)</f>
        <v>1</v>
      </c>
      <c r="U350" s="113" t="n">
        <f aca="false">IF(U306&gt;0,1,0)</f>
        <v>1</v>
      </c>
      <c r="V350" s="113" t="n">
        <f aca="false">IF(V306&gt;0,1,0)</f>
        <v>1</v>
      </c>
      <c r="W350" s="113" t="n">
        <f aca="false">IF(W306&gt;0,1,0)</f>
        <v>1</v>
      </c>
      <c r="X350" s="113" t="n">
        <f aca="false">IF(X306&gt;0,1,0)</f>
        <v>1</v>
      </c>
      <c r="Y350" s="113" t="n">
        <f aca="false">IF(Y306&gt;0,1,0)</f>
        <v>1</v>
      </c>
      <c r="Z350" s="113" t="n">
        <f aca="false">IF(Z306&gt;0,1,0)</f>
        <v>1</v>
      </c>
      <c r="AA350" s="113" t="n">
        <f aca="false">IF(AA306&gt;0,1,0)</f>
        <v>1</v>
      </c>
      <c r="AB350" s="113" t="n">
        <f aca="false">IF(AB306&gt;0,1,0)</f>
        <v>1</v>
      </c>
      <c r="AC350" s="113" t="n">
        <f aca="false">IF(AC306&gt;0,1,0)</f>
        <v>1</v>
      </c>
      <c r="AD350" s="113" t="n">
        <f aca="false">IF(AD306&gt;0,1,0)</f>
        <v>1</v>
      </c>
      <c r="AE350" s="113" t="n">
        <f aca="false">IF(AE306&gt;0,1,0)</f>
        <v>1</v>
      </c>
      <c r="AF350" s="113" t="n">
        <f aca="false">IF(AF306&gt;0,1,0)</f>
        <v>1</v>
      </c>
      <c r="AG350" s="113" t="n">
        <f aca="false">IF(AG306&gt;0,1,0)</f>
        <v>1</v>
      </c>
      <c r="AH350" s="113" t="n">
        <f aca="false">IF(AH306&gt;0,1,0)</f>
        <v>1</v>
      </c>
      <c r="AI350" s="113" t="n">
        <f aca="false">IF(AI306&gt;0,1,0)</f>
        <v>1</v>
      </c>
      <c r="AJ350" s="113" t="n">
        <f aca="false">IF(AJ306&gt;0,1,0)</f>
        <v>1</v>
      </c>
      <c r="AK350" s="113" t="n">
        <f aca="false">IF(AK306&gt;0,1,0)</f>
        <v>1</v>
      </c>
      <c r="AL350" s="113" t="n">
        <f aca="false">IF(AL306&gt;0,1,0)</f>
        <v>1</v>
      </c>
      <c r="AM350" s="113" t="n">
        <f aca="false">IF(AM306&gt;0,1,0)</f>
        <v>1</v>
      </c>
      <c r="AN350" s="113" t="n">
        <f aca="false">IF(AN306&gt;0,1,0)</f>
        <v>1</v>
      </c>
      <c r="AO350" s="113" t="n">
        <f aca="false">IF(AO306&gt;0,1,0)</f>
        <v>1</v>
      </c>
      <c r="AP350" s="113" t="n">
        <f aca="false">IF(AP306&gt;0,1,0)</f>
        <v>1</v>
      </c>
      <c r="AQ350" s="113" t="n">
        <f aca="false">IF(AQ306&gt;0,1,0)</f>
        <v>1</v>
      </c>
      <c r="AR350" s="113" t="n">
        <f aca="false">IF(AR306&gt;0,1,0)</f>
        <v>1</v>
      </c>
      <c r="AS350" s="113" t="n">
        <f aca="false">IF(AS306&gt;0,1,0)</f>
        <v>1</v>
      </c>
      <c r="AT350" s="113" t="n">
        <f aca="false">IF(AT306&gt;0,1,0)</f>
        <v>1</v>
      </c>
      <c r="AU350" s="113" t="n">
        <f aca="false">IF(AU306&gt;0,1,0)</f>
        <v>1</v>
      </c>
      <c r="AV350" s="113" t="n">
        <f aca="false">IF(AV306&gt;0,1,0)</f>
        <v>1</v>
      </c>
      <c r="AW350" s="113" t="n">
        <f aca="false">IF(AW306&gt;0,1,0)</f>
        <v>1</v>
      </c>
      <c r="AX350" s="113" t="n">
        <f aca="false">IF(AX306&gt;0,1,0)</f>
        <v>1</v>
      </c>
      <c r="AY350" s="113" t="n">
        <f aca="false">IF(AY306&gt;0,1,0)</f>
        <v>1</v>
      </c>
      <c r="AZ350" s="113" t="n">
        <f aca="false">IF(AZ306&gt;0,1,0)</f>
        <v>1</v>
      </c>
      <c r="BA350" s="113" t="n">
        <f aca="false">IF(BA306&gt;0,1,0)</f>
        <v>1</v>
      </c>
      <c r="BB350" s="113" t="n">
        <f aca="false">IF(BB306&gt;0,1,0)</f>
        <v>1</v>
      </c>
      <c r="BC350" s="113" t="n">
        <f aca="false">IF(BC306&gt;0,1,0)</f>
        <v>1</v>
      </c>
      <c r="BD350" s="113" t="n">
        <f aca="false">IF(BD306&gt;0,1,0)</f>
        <v>1</v>
      </c>
      <c r="BE350" s="113" t="n">
        <f aca="false">IF(BE306&gt;0,1,0)</f>
        <v>1</v>
      </c>
      <c r="BF350" s="113" t="n">
        <f aca="false">IF(BF306&gt;0,1,0)</f>
        <v>1</v>
      </c>
      <c r="BG350" s="113" t="n">
        <f aca="false">IF(BG306&gt;0,1,0)</f>
        <v>1</v>
      </c>
      <c r="BH350" s="113" t="n">
        <f aca="false">IF(BH306&gt;0,1,0)</f>
        <v>1</v>
      </c>
      <c r="BI350" s="113" t="n">
        <f aca="false">IF(BI306&gt;0,1,0)</f>
        <v>1</v>
      </c>
      <c r="BJ350" s="113" t="n">
        <f aca="false">IF(BJ306&gt;0,1,0)</f>
        <v>1</v>
      </c>
    </row>
    <row r="352" customFormat="false" ht="15.75" hidden="false" customHeight="true" outlineLevel="0" collapsed="false">
      <c r="A352" s="7" t="s">
        <v>453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customFormat="false" ht="15" hidden="false" customHeight="false" outlineLevel="0" collapsed="false">
      <c r="A353" s="114" t="s">
        <v>454</v>
      </c>
      <c r="C353" s="113" t="n">
        <f aca="false">IF(C315&gt;0,1,0)</f>
        <v>0</v>
      </c>
      <c r="D353" s="113" t="n">
        <f aca="false">IF(D315&gt;0,1,0)</f>
        <v>0</v>
      </c>
      <c r="E353" s="113" t="n">
        <f aca="false">IF(E315&gt;0,1,0)</f>
        <v>0</v>
      </c>
      <c r="F353" s="113" t="n">
        <f aca="false">IF(F315&gt;0,1,0)</f>
        <v>0</v>
      </c>
      <c r="G353" s="113" t="n">
        <f aca="false">IF(G315&gt;0,1,0)</f>
        <v>0</v>
      </c>
      <c r="H353" s="113" t="n">
        <f aca="false">IF(H315&gt;0,1,0)</f>
        <v>0</v>
      </c>
      <c r="I353" s="113" t="n">
        <f aca="false">IF(I315&gt;0,1,0)</f>
        <v>0</v>
      </c>
      <c r="J353" s="113" t="n">
        <f aca="false">IF(J315&gt;0,1,0)</f>
        <v>1</v>
      </c>
      <c r="K353" s="113" t="n">
        <f aca="false">IF(K315&gt;0,1,0)</f>
        <v>1</v>
      </c>
      <c r="L353" s="113" t="n">
        <f aca="false">IF(L315&gt;0,1,0)</f>
        <v>1</v>
      </c>
      <c r="M353" s="113" t="n">
        <f aca="false">IF(M315&gt;0,1,0)</f>
        <v>1</v>
      </c>
      <c r="N353" s="113" t="n">
        <f aca="false">IF(N315&gt;0,1,0)</f>
        <v>1</v>
      </c>
      <c r="O353" s="113" t="n">
        <f aca="false">IF(O315&gt;0,1,0)</f>
        <v>1</v>
      </c>
      <c r="P353" s="113" t="n">
        <f aca="false">IF(P315&gt;0,1,0)</f>
        <v>1</v>
      </c>
      <c r="Q353" s="113" t="n">
        <f aca="false">IF(Q315&gt;0,1,0)</f>
        <v>1</v>
      </c>
      <c r="R353" s="113" t="n">
        <f aca="false">IF(R315&gt;0,1,0)</f>
        <v>1</v>
      </c>
      <c r="S353" s="113" t="n">
        <f aca="false">IF(S315&gt;0,1,0)</f>
        <v>1</v>
      </c>
      <c r="T353" s="113" t="n">
        <f aca="false">IF(T315&gt;0,1,0)</f>
        <v>1</v>
      </c>
      <c r="U353" s="113" t="n">
        <f aca="false">IF(U315&gt;0,1,0)</f>
        <v>1</v>
      </c>
      <c r="V353" s="113" t="n">
        <f aca="false">IF(V315&gt;0,1,0)</f>
        <v>1</v>
      </c>
      <c r="W353" s="113" t="n">
        <f aca="false">IF(W315&gt;0,1,0)</f>
        <v>1</v>
      </c>
      <c r="X353" s="113" t="n">
        <f aca="false">IF(X315&gt;0,1,0)</f>
        <v>1</v>
      </c>
      <c r="Y353" s="113" t="n">
        <f aca="false">IF(Y315&gt;0,1,0)</f>
        <v>1</v>
      </c>
      <c r="Z353" s="113" t="n">
        <f aca="false">IF(Z315&gt;0,1,0)</f>
        <v>1</v>
      </c>
      <c r="AA353" s="113" t="n">
        <f aca="false">IF(AA315&gt;0,1,0)</f>
        <v>1</v>
      </c>
      <c r="AB353" s="113" t="n">
        <f aca="false">IF(AB315&gt;0,1,0)</f>
        <v>1</v>
      </c>
      <c r="AC353" s="113" t="n">
        <f aca="false">IF(AC315&gt;0,1,0)</f>
        <v>1</v>
      </c>
      <c r="AD353" s="113" t="n">
        <f aca="false">IF(AD315&gt;0,1,0)</f>
        <v>1</v>
      </c>
      <c r="AE353" s="113" t="n">
        <f aca="false">IF(AE315&gt;0,1,0)</f>
        <v>1</v>
      </c>
      <c r="AF353" s="113" t="n">
        <f aca="false">IF(AF315&gt;0,1,0)</f>
        <v>1</v>
      </c>
      <c r="AG353" s="113" t="n">
        <f aca="false">IF(AG315&gt;0,1,0)</f>
        <v>1</v>
      </c>
      <c r="AH353" s="113" t="n">
        <f aca="false">IF(AH315&gt;0,1,0)</f>
        <v>1</v>
      </c>
      <c r="AI353" s="113" t="n">
        <f aca="false">IF(AI315&gt;0,1,0)</f>
        <v>1</v>
      </c>
      <c r="AJ353" s="113" t="n">
        <f aca="false">IF(AJ315&gt;0,1,0)</f>
        <v>1</v>
      </c>
      <c r="AK353" s="113" t="n">
        <f aca="false">IF(AK315&gt;0,1,0)</f>
        <v>1</v>
      </c>
      <c r="AL353" s="113" t="n">
        <f aca="false">IF(AL315&gt;0,1,0)</f>
        <v>1</v>
      </c>
      <c r="AM353" s="113" t="n">
        <f aca="false">IF(AM315&gt;0,1,0)</f>
        <v>1</v>
      </c>
      <c r="AN353" s="113" t="n">
        <f aca="false">IF(AN315&gt;0,1,0)</f>
        <v>1</v>
      </c>
      <c r="AO353" s="113" t="n">
        <f aca="false">IF(AO315&gt;0,1,0)</f>
        <v>1</v>
      </c>
      <c r="AP353" s="113" t="n">
        <f aca="false">IF(AP315&gt;0,1,0)</f>
        <v>1</v>
      </c>
      <c r="AQ353" s="113" t="n">
        <f aca="false">IF(AQ315&gt;0,1,0)</f>
        <v>1</v>
      </c>
      <c r="AR353" s="113" t="n">
        <f aca="false">IF(AR315&gt;0,1,0)</f>
        <v>1</v>
      </c>
      <c r="AS353" s="113" t="n">
        <f aca="false">IF(AS315&gt;0,1,0)</f>
        <v>1</v>
      </c>
      <c r="AT353" s="113" t="n">
        <f aca="false">IF(AT315&gt;0,1,0)</f>
        <v>1</v>
      </c>
      <c r="AU353" s="113" t="n">
        <f aca="false">IF(AU315&gt;0,1,0)</f>
        <v>1</v>
      </c>
      <c r="AV353" s="113" t="n">
        <f aca="false">IF(AV315&gt;0,1,0)</f>
        <v>1</v>
      </c>
      <c r="AW353" s="113" t="n">
        <f aca="false">IF(AW315&gt;0,1,0)</f>
        <v>1</v>
      </c>
      <c r="AX353" s="113" t="n">
        <f aca="false">IF(AX315&gt;0,1,0)</f>
        <v>1</v>
      </c>
      <c r="AY353" s="113" t="n">
        <f aca="false">IF(AY315&gt;0,1,0)</f>
        <v>1</v>
      </c>
      <c r="AZ353" s="113" t="n">
        <f aca="false">IF(AZ315&gt;0,1,0)</f>
        <v>1</v>
      </c>
      <c r="BA353" s="113" t="n">
        <f aca="false">IF(BA315&gt;0,1,0)</f>
        <v>1</v>
      </c>
      <c r="BB353" s="113" t="n">
        <f aca="false">IF(BB315&gt;0,1,0)</f>
        <v>1</v>
      </c>
      <c r="BC353" s="113" t="n">
        <f aca="false">IF(BC315&gt;0,1,0)</f>
        <v>1</v>
      </c>
      <c r="BD353" s="113" t="n">
        <f aca="false">IF(BD315&gt;0,1,0)</f>
        <v>1</v>
      </c>
      <c r="BE353" s="113" t="n">
        <f aca="false">IF(BE315&gt;0,1,0)</f>
        <v>1</v>
      </c>
      <c r="BF353" s="113" t="n">
        <f aca="false">IF(BF315&gt;0,1,0)</f>
        <v>1</v>
      </c>
      <c r="BG353" s="113" t="n">
        <f aca="false">IF(BG315&gt;0,1,0)</f>
        <v>1</v>
      </c>
      <c r="BH353" s="113" t="n">
        <f aca="false">IF(BH315&gt;0,1,0)</f>
        <v>1</v>
      </c>
      <c r="BI353" s="113" t="n">
        <f aca="false">IF(BI315&gt;0,1,0)</f>
        <v>1</v>
      </c>
      <c r="BJ353" s="113" t="n">
        <f aca="false">IF(BJ315&gt;0,1,0)</f>
        <v>1</v>
      </c>
    </row>
    <row r="354" customFormat="false" ht="15" hidden="false" customHeight="false" outlineLevel="0" collapsed="false">
      <c r="A354" s="6" t="s">
        <v>455</v>
      </c>
      <c r="C354" s="66" t="n">
        <f aca="false">C343+C344</f>
        <v>-461871.107711111</v>
      </c>
      <c r="D354" s="66" t="n">
        <f aca="false">D343+D344</f>
        <v>-16809.9769140741</v>
      </c>
      <c r="E354" s="66" t="n">
        <f aca="false">E343+E344</f>
        <v>-14862.848042963</v>
      </c>
      <c r="F354" s="66" t="n">
        <f aca="false">F343+F344</f>
        <v>-10073.5858385185</v>
      </c>
      <c r="G354" s="66" t="n">
        <f aca="false">G343+G344</f>
        <v>-5284.32363407408</v>
      </c>
      <c r="H354" s="66" t="n">
        <f aca="false">H343+H344</f>
        <v>-3131.88365185185</v>
      </c>
      <c r="I354" s="66" t="n">
        <f aca="false">I343+I344</f>
        <v>-1938.28811407407</v>
      </c>
      <c r="J354" s="66" t="n">
        <f aca="false">J343+J344</f>
        <v>1892.12964592593</v>
      </c>
      <c r="K354" s="66" t="n">
        <f aca="false">K343+K344</f>
        <v>6681.39185037037</v>
      </c>
      <c r="L354" s="66" t="n">
        <f aca="false">L343+L344</f>
        <v>8833.8318325926</v>
      </c>
      <c r="M354" s="66" t="n">
        <f aca="false">M343+M344</f>
        <v>9582.99824000001</v>
      </c>
      <c r="N354" s="66" t="n">
        <f aca="false">N343+N344</f>
        <v>9221.33157333334</v>
      </c>
      <c r="O354" s="66" t="n">
        <f aca="false">O343+O344</f>
        <v>501.965885155563</v>
      </c>
      <c r="P354" s="66" t="n">
        <f aca="false">P343+P344</f>
        <v>10419.1312807111</v>
      </c>
      <c r="Q354" s="66" t="n">
        <f aca="false">Q343+Q344</f>
        <v>10433.0201696</v>
      </c>
      <c r="R354" s="66" t="n">
        <f aca="false">R343+R344</f>
        <v>10446.9090584889</v>
      </c>
      <c r="S354" s="66" t="n">
        <f aca="false">S343+S344</f>
        <v>10460.7979473778</v>
      </c>
      <c r="T354" s="66" t="n">
        <f aca="false">T343+T344</f>
        <v>10474.6868362667</v>
      </c>
      <c r="U354" s="66" t="n">
        <f aca="false">U343+U344</f>
        <v>10488.5757251556</v>
      </c>
      <c r="V354" s="66" t="n">
        <f aca="false">V343+V344</f>
        <v>10502.4646140444</v>
      </c>
      <c r="W354" s="66" t="n">
        <f aca="false">W343+W344</f>
        <v>10331.279316256</v>
      </c>
      <c r="X354" s="66" t="n">
        <f aca="false">X343+X344</f>
        <v>9108.14148953956</v>
      </c>
      <c r="Y354" s="66" t="n">
        <f aca="false">Y343+Y344</f>
        <v>9119.11371176178</v>
      </c>
      <c r="Z354" s="66" t="n">
        <f aca="false">Z343+Z344</f>
        <v>9130.085933984</v>
      </c>
      <c r="AA354" s="66" t="n">
        <f aca="false">AA343+AA344</f>
        <v>187.599604698917</v>
      </c>
      <c r="AB354" s="66" t="n">
        <f aca="false">AB343+AB344</f>
        <v>10140.4543431878</v>
      </c>
      <c r="AC354" s="66" t="n">
        <f aca="false">AC343+AC344</f>
        <v>10151.42656541</v>
      </c>
      <c r="AD354" s="66" t="n">
        <f aca="false">AD343+AD344</f>
        <v>10162.3987876323</v>
      </c>
      <c r="AE354" s="66" t="n">
        <f aca="false">AE343+AE344</f>
        <v>10173.3710098545</v>
      </c>
      <c r="AF354" s="66" t="n">
        <f aca="false">AF343+AF344</f>
        <v>10184.3432320767</v>
      </c>
      <c r="AG354" s="66" t="n">
        <f aca="false">AG343+AG344</f>
        <v>10195.3154542989</v>
      </c>
      <c r="AH354" s="66" t="n">
        <f aca="false">AH343+AH344</f>
        <v>10206.2876765211</v>
      </c>
      <c r="AI354" s="66" t="n">
        <f aca="false">AI343+AI344</f>
        <v>10217.2598987434</v>
      </c>
      <c r="AJ354" s="66" t="n">
        <f aca="false">AJ343+AJ344</f>
        <v>10228.2321209656</v>
      </c>
      <c r="AK354" s="66" t="n">
        <f aca="false">AK343+AK344</f>
        <v>10239.2043431878</v>
      </c>
      <c r="AL354" s="66" t="n">
        <f aca="false">AL343+AL344</f>
        <v>10250.17656541</v>
      </c>
      <c r="AM354" s="66" t="n">
        <f aca="false">AM343+AM344</f>
        <v>1318.09816207332</v>
      </c>
      <c r="AN354" s="66" t="n">
        <f aca="false">AN343+AN344</f>
        <v>11311.1773990262</v>
      </c>
      <c r="AO354" s="66" t="n">
        <f aca="false">AO343+AO344</f>
        <v>11322.1496212484</v>
      </c>
      <c r="AP354" s="66" t="n">
        <f aca="false">AP343+AP344</f>
        <v>11333.1218434707</v>
      </c>
      <c r="AQ354" s="66" t="n">
        <f aca="false">AQ343+AQ344</f>
        <v>11344.0940656929</v>
      </c>
      <c r="AR354" s="66" t="n">
        <f aca="false">AR343+AR344</f>
        <v>11355.0662879151</v>
      </c>
      <c r="AS354" s="66" t="n">
        <f aca="false">AS343+AS344</f>
        <v>11366.0385101373</v>
      </c>
      <c r="AT354" s="66" t="n">
        <f aca="false">AT343+AT344</f>
        <v>11377.0107323595</v>
      </c>
      <c r="AU354" s="66" t="n">
        <f aca="false">AU343+AU344</f>
        <v>11387.9829545818</v>
      </c>
      <c r="AV354" s="66" t="n">
        <f aca="false">AV343+AV344</f>
        <v>11398.955176804</v>
      </c>
      <c r="AW354" s="66" t="n">
        <f aca="false">AW343+AW344</f>
        <v>11409.9273990262</v>
      </c>
      <c r="AX354" s="66" t="n">
        <f aca="false">AX343+AX344</f>
        <v>11420.8996212484</v>
      </c>
      <c r="AY354" s="66" t="n">
        <f aca="false">AY343+AY344</f>
        <v>2499.92074893829</v>
      </c>
      <c r="AZ354" s="66" t="n">
        <f aca="false">AZ343+AZ344</f>
        <v>12534.9099402281</v>
      </c>
      <c r="BA354" s="66" t="n">
        <f aca="false">BA343+BA344</f>
        <v>12545.8821624504</v>
      </c>
      <c r="BB354" s="66" t="n">
        <f aca="false">BB343+BB344</f>
        <v>12556.8543846726</v>
      </c>
      <c r="BC354" s="66" t="n">
        <f aca="false">BC343+BC344</f>
        <v>12567.8266068948</v>
      </c>
      <c r="BD354" s="66" t="n">
        <f aca="false">BD343+BD344</f>
        <v>12578.798829117</v>
      </c>
      <c r="BE354" s="66" t="n">
        <f aca="false">BE343+BE344</f>
        <v>12589.7710513392</v>
      </c>
      <c r="BF354" s="66" t="n">
        <f aca="false">BF343+BF344</f>
        <v>12600.7432735615</v>
      </c>
      <c r="BG354" s="66" t="n">
        <f aca="false">BG343+BG344</f>
        <v>12611.7154957837</v>
      </c>
      <c r="BH354" s="66" t="n">
        <f aca="false">BH343+BH344</f>
        <v>12622.6877180059</v>
      </c>
      <c r="BI354" s="66" t="n">
        <f aca="false">BI343+BI344</f>
        <v>12633.6599402281</v>
      </c>
      <c r="BJ354" s="66" t="n">
        <f aca="false">BJ343+BJ344</f>
        <v>12644.6321624504</v>
      </c>
    </row>
    <row r="355" customFormat="false" ht="15" hidden="false" customHeight="false" outlineLevel="0" collapsed="false">
      <c r="A355" s="6" t="s">
        <v>456</v>
      </c>
      <c r="C355" s="66" t="n">
        <f aca="false">C354</f>
        <v>-461871.107711111</v>
      </c>
      <c r="D355" s="66" t="n">
        <f aca="false">C355+D354</f>
        <v>-478681.084625185</v>
      </c>
      <c r="E355" s="66" t="n">
        <f aca="false">D355+E354</f>
        <v>-493543.932668148</v>
      </c>
      <c r="F355" s="66" t="n">
        <f aca="false">E355+F354</f>
        <v>-503617.518506667</v>
      </c>
      <c r="G355" s="66" t="n">
        <f aca="false">F355+G354</f>
        <v>-508901.842140741</v>
      </c>
      <c r="H355" s="66" t="n">
        <f aca="false">G355+H354</f>
        <v>-512033.725792593</v>
      </c>
      <c r="I355" s="66" t="n">
        <f aca="false">H355+I354</f>
        <v>-513972.013906667</v>
      </c>
      <c r="J355" s="66" t="n">
        <f aca="false">I355+J354</f>
        <v>-512079.884260741</v>
      </c>
      <c r="K355" s="66" t="n">
        <f aca="false">J355+K354</f>
        <v>-505398.49241037</v>
      </c>
      <c r="L355" s="66" t="n">
        <f aca="false">K355+L354</f>
        <v>-496564.660577778</v>
      </c>
      <c r="M355" s="66" t="n">
        <f aca="false">L355+M354</f>
        <v>-486981.662337778</v>
      </c>
      <c r="N355" s="66" t="n">
        <f aca="false">M355+N354</f>
        <v>-477760.330764444</v>
      </c>
      <c r="O355" s="66" t="n">
        <f aca="false">N355+O354</f>
        <v>-477258.364879289</v>
      </c>
      <c r="P355" s="66" t="n">
        <f aca="false">O355+P354</f>
        <v>-466839.233598578</v>
      </c>
      <c r="Q355" s="66" t="n">
        <f aca="false">P355+Q354</f>
        <v>-456406.213428978</v>
      </c>
      <c r="R355" s="66" t="n">
        <f aca="false">Q355+R354</f>
        <v>-445959.304370489</v>
      </c>
      <c r="S355" s="66" t="n">
        <f aca="false">R355+S354</f>
        <v>-435498.506423111</v>
      </c>
      <c r="T355" s="66" t="n">
        <f aca="false">S355+T354</f>
        <v>-425023.819586844</v>
      </c>
      <c r="U355" s="66" t="n">
        <f aca="false">T355+U354</f>
        <v>-414535.243861689</v>
      </c>
      <c r="V355" s="66" t="n">
        <f aca="false">U355+V354</f>
        <v>-404032.779247644</v>
      </c>
      <c r="W355" s="66" t="n">
        <f aca="false">V355+W354</f>
        <v>-393701.499931388</v>
      </c>
      <c r="X355" s="66" t="n">
        <f aca="false">W355+X354</f>
        <v>-384593.358441849</v>
      </c>
      <c r="Y355" s="66" t="n">
        <f aca="false">X355+Y354</f>
        <v>-375474.244730087</v>
      </c>
      <c r="Z355" s="66" t="n">
        <f aca="false">Y355+Z354</f>
        <v>-366344.158796103</v>
      </c>
      <c r="AA355" s="66" t="n">
        <f aca="false">Z355+AA354</f>
        <v>-366156.559191404</v>
      </c>
      <c r="AB355" s="66" t="n">
        <f aca="false">AA355+AB354</f>
        <v>-356016.104848216</v>
      </c>
      <c r="AC355" s="66" t="n">
        <f aca="false">AB355+AC354</f>
        <v>-345864.678282806</v>
      </c>
      <c r="AD355" s="66" t="n">
        <f aca="false">AC355+AD354</f>
        <v>-335702.279495174</v>
      </c>
      <c r="AE355" s="66" t="n">
        <f aca="false">AD355+AE354</f>
        <v>-325528.90848532</v>
      </c>
      <c r="AF355" s="66" t="n">
        <f aca="false">AE355+AF354</f>
        <v>-315344.565253243</v>
      </c>
      <c r="AG355" s="66" t="n">
        <f aca="false">AF355+AG354</f>
        <v>-305149.249798944</v>
      </c>
      <c r="AH355" s="66" t="n">
        <f aca="false">AG355+AH354</f>
        <v>-294942.962122423</v>
      </c>
      <c r="AI355" s="66" t="n">
        <f aca="false">AH355+AI354</f>
        <v>-284725.70222368</v>
      </c>
      <c r="AJ355" s="66" t="n">
        <f aca="false">AI355+AJ354</f>
        <v>-274497.470102714</v>
      </c>
      <c r="AK355" s="66" t="n">
        <f aca="false">AJ355+AK354</f>
        <v>-264258.265759526</v>
      </c>
      <c r="AL355" s="66" t="n">
        <f aca="false">AK355+AL354</f>
        <v>-254008.089194116</v>
      </c>
      <c r="AM355" s="66" t="n">
        <f aca="false">AL355+AM354</f>
        <v>-252689.991032043</v>
      </c>
      <c r="AN355" s="66" t="n">
        <f aca="false">AM355+AN354</f>
        <v>-241378.813633017</v>
      </c>
      <c r="AO355" s="66" t="n">
        <f aca="false">AN355+AO354</f>
        <v>-230056.664011768</v>
      </c>
      <c r="AP355" s="66" t="n">
        <f aca="false">AO355+AP354</f>
        <v>-218723.542168297</v>
      </c>
      <c r="AQ355" s="66" t="n">
        <f aca="false">AP355+AQ354</f>
        <v>-207379.448102605</v>
      </c>
      <c r="AR355" s="66" t="n">
        <f aca="false">AQ355+AR354</f>
        <v>-196024.381814689</v>
      </c>
      <c r="AS355" s="66" t="n">
        <f aca="false">AR355+AS354</f>
        <v>-184658.343304552</v>
      </c>
      <c r="AT355" s="66" t="n">
        <f aca="false">AS355+AT354</f>
        <v>-173281.332572193</v>
      </c>
      <c r="AU355" s="66" t="n">
        <f aca="false">AT355+AU354</f>
        <v>-161893.349617611</v>
      </c>
      <c r="AV355" s="66" t="n">
        <f aca="false">AU355+AV354</f>
        <v>-150494.394440807</v>
      </c>
      <c r="AW355" s="66" t="n">
        <f aca="false">AV355+AW354</f>
        <v>-139084.467041781</v>
      </c>
      <c r="AX355" s="66" t="n">
        <f aca="false">AW355+AX354</f>
        <v>-127663.567420532</v>
      </c>
      <c r="AY355" s="66" t="n">
        <f aca="false">AX355+AY354</f>
        <v>-125163.646671594</v>
      </c>
      <c r="AZ355" s="66" t="n">
        <f aca="false">AY355+AZ354</f>
        <v>-112628.736731366</v>
      </c>
      <c r="BA355" s="66" t="n">
        <f aca="false">AZ355+BA354</f>
        <v>-100082.854568915</v>
      </c>
      <c r="BB355" s="66" t="n">
        <f aca="false">BA355+BB354</f>
        <v>-87526.0001842428</v>
      </c>
      <c r="BC355" s="66" t="n">
        <f aca="false">BB355+BC354</f>
        <v>-74958.173577348</v>
      </c>
      <c r="BD355" s="66" t="n">
        <f aca="false">BC355+BD354</f>
        <v>-62379.374748231</v>
      </c>
      <c r="BE355" s="66" t="n">
        <f aca="false">BD355+BE354</f>
        <v>-49789.6036968917</v>
      </c>
      <c r="BF355" s="66" t="n">
        <f aca="false">BE355+BF354</f>
        <v>-37188.8604233303</v>
      </c>
      <c r="BG355" s="66" t="n">
        <f aca="false">BF355+BG354</f>
        <v>-24577.1449275466</v>
      </c>
      <c r="BH355" s="66" t="n">
        <f aca="false">BG355+BH354</f>
        <v>-11954.4572095406</v>
      </c>
      <c r="BI355" s="66" t="n">
        <f aca="false">BH355+BI354</f>
        <v>679.20273068751</v>
      </c>
      <c r="BJ355" s="66" t="n">
        <f aca="false">BI355+BJ354</f>
        <v>13323.8348931379</v>
      </c>
    </row>
    <row r="356" customFormat="false" ht="15" hidden="false" customHeight="false" outlineLevel="0" collapsed="false">
      <c r="A356" s="114" t="s">
        <v>457</v>
      </c>
      <c r="C356" s="66" t="n">
        <f aca="false">C355</f>
        <v>-461871.107711111</v>
      </c>
      <c r="D356" s="66" t="n">
        <f aca="false">MIN(C356,D355)</f>
        <v>-478681.084625185</v>
      </c>
      <c r="E356" s="66" t="n">
        <f aca="false">MIN(D356,E355)</f>
        <v>-493543.932668148</v>
      </c>
      <c r="F356" s="66" t="n">
        <f aca="false">MIN(E356,F355)</f>
        <v>-503617.518506667</v>
      </c>
      <c r="G356" s="66" t="n">
        <f aca="false">MIN(F356,G355)</f>
        <v>-508901.842140741</v>
      </c>
      <c r="H356" s="66" t="n">
        <f aca="false">MIN(G356,H355)</f>
        <v>-512033.725792593</v>
      </c>
      <c r="I356" s="66" t="n">
        <f aca="false">MIN(H356,I355)</f>
        <v>-513972.013906667</v>
      </c>
      <c r="J356" s="66" t="n">
        <f aca="false">MIN(I356,J355)</f>
        <v>-513972.013906667</v>
      </c>
      <c r="K356" s="66" t="n">
        <f aca="false">MIN(J356,K355)</f>
        <v>-513972.013906667</v>
      </c>
      <c r="L356" s="66" t="n">
        <f aca="false">MIN(K356,L355)</f>
        <v>-513972.013906667</v>
      </c>
      <c r="M356" s="66" t="n">
        <f aca="false">MIN(L356,M355)</f>
        <v>-513972.013906667</v>
      </c>
      <c r="N356" s="66" t="n">
        <f aca="false">MIN(M356,N355)</f>
        <v>-513972.013906667</v>
      </c>
      <c r="O356" s="66" t="n">
        <f aca="false">MIN(N356,O355)</f>
        <v>-513972.013906667</v>
      </c>
      <c r="P356" s="66" t="n">
        <f aca="false">MIN(O356,P355)</f>
        <v>-513972.013906667</v>
      </c>
      <c r="Q356" s="66" t="n">
        <f aca="false">MIN(P356,Q355)</f>
        <v>-513972.013906667</v>
      </c>
      <c r="R356" s="66" t="n">
        <f aca="false">MIN(Q356,R355)</f>
        <v>-513972.013906667</v>
      </c>
      <c r="S356" s="66" t="n">
        <f aca="false">MIN(R356,S355)</f>
        <v>-513972.013906667</v>
      </c>
      <c r="T356" s="66" t="n">
        <f aca="false">MIN(S356,T355)</f>
        <v>-513972.013906667</v>
      </c>
      <c r="U356" s="66" t="n">
        <f aca="false">MIN(T356,U355)</f>
        <v>-513972.013906667</v>
      </c>
      <c r="V356" s="66" t="n">
        <f aca="false">MIN(U356,V355)</f>
        <v>-513972.013906667</v>
      </c>
      <c r="W356" s="66" t="n">
        <f aca="false">MIN(V356,W355)</f>
        <v>-513972.013906667</v>
      </c>
      <c r="X356" s="66" t="n">
        <f aca="false">MIN(W356,X355)</f>
        <v>-513972.013906667</v>
      </c>
      <c r="Y356" s="66" t="n">
        <f aca="false">MIN(X356,Y355)</f>
        <v>-513972.013906667</v>
      </c>
      <c r="Z356" s="66" t="n">
        <f aca="false">MIN(Y356,Z355)</f>
        <v>-513972.013906667</v>
      </c>
      <c r="AA356" s="66" t="n">
        <f aca="false">MIN(Z356,AA355)</f>
        <v>-513972.013906667</v>
      </c>
      <c r="AB356" s="66" t="n">
        <f aca="false">MIN(AA356,AB355)</f>
        <v>-513972.013906667</v>
      </c>
      <c r="AC356" s="66" t="n">
        <f aca="false">MIN(AB356,AC355)</f>
        <v>-513972.013906667</v>
      </c>
      <c r="AD356" s="66" t="n">
        <f aca="false">MIN(AC356,AD355)</f>
        <v>-513972.013906667</v>
      </c>
      <c r="AE356" s="66" t="n">
        <f aca="false">MIN(AD356,AE355)</f>
        <v>-513972.013906667</v>
      </c>
      <c r="AF356" s="66" t="n">
        <f aca="false">MIN(AE356,AF355)</f>
        <v>-513972.013906667</v>
      </c>
      <c r="AG356" s="66" t="n">
        <f aca="false">MIN(AF356,AG355)</f>
        <v>-513972.013906667</v>
      </c>
      <c r="AH356" s="66" t="n">
        <f aca="false">MIN(AG356,AH355)</f>
        <v>-513972.013906667</v>
      </c>
      <c r="AI356" s="66" t="n">
        <f aca="false">MIN(AH356,AI355)</f>
        <v>-513972.013906667</v>
      </c>
      <c r="AJ356" s="66" t="n">
        <f aca="false">MIN(AI356,AJ355)</f>
        <v>-513972.013906667</v>
      </c>
      <c r="AK356" s="66" t="n">
        <f aca="false">MIN(AJ356,AK355)</f>
        <v>-513972.013906667</v>
      </c>
      <c r="AL356" s="66" t="n">
        <f aca="false">MIN(AK356,AL355)</f>
        <v>-513972.013906667</v>
      </c>
      <c r="AM356" s="66" t="n">
        <f aca="false">MIN(AL356,AM355)</f>
        <v>-513972.013906667</v>
      </c>
      <c r="AN356" s="66" t="n">
        <f aca="false">MIN(AM356,AN355)</f>
        <v>-513972.013906667</v>
      </c>
      <c r="AO356" s="66" t="n">
        <f aca="false">MIN(AN356,AO355)</f>
        <v>-513972.013906667</v>
      </c>
      <c r="AP356" s="66" t="n">
        <f aca="false">MIN(AO356,AP355)</f>
        <v>-513972.013906667</v>
      </c>
      <c r="AQ356" s="66" t="n">
        <f aca="false">MIN(AP356,AQ355)</f>
        <v>-513972.013906667</v>
      </c>
      <c r="AR356" s="66" t="n">
        <f aca="false">MIN(AQ356,AR355)</f>
        <v>-513972.013906667</v>
      </c>
      <c r="AS356" s="66" t="n">
        <f aca="false">MIN(AR356,AS355)</f>
        <v>-513972.013906667</v>
      </c>
      <c r="AT356" s="66" t="n">
        <f aca="false">MIN(AS356,AT355)</f>
        <v>-513972.013906667</v>
      </c>
      <c r="AU356" s="66" t="n">
        <f aca="false">MIN(AT356,AU355)</f>
        <v>-513972.013906667</v>
      </c>
      <c r="AV356" s="66" t="n">
        <f aca="false">MIN(AU356,AV355)</f>
        <v>-513972.013906667</v>
      </c>
      <c r="AW356" s="66" t="n">
        <f aca="false">MIN(AV356,AW355)</f>
        <v>-513972.013906667</v>
      </c>
      <c r="AX356" s="66" t="n">
        <f aca="false">MIN(AW356,AX355)</f>
        <v>-513972.013906667</v>
      </c>
      <c r="AY356" s="66" t="n">
        <f aca="false">MIN(AX356,AY355)</f>
        <v>-513972.013906667</v>
      </c>
      <c r="AZ356" s="66" t="n">
        <f aca="false">MIN(AY356,AZ355)</f>
        <v>-513972.013906667</v>
      </c>
      <c r="BA356" s="66" t="n">
        <f aca="false">MIN(AZ356,BA355)</f>
        <v>-513972.013906667</v>
      </c>
      <c r="BB356" s="66" t="n">
        <f aca="false">MIN(BA356,BB355)</f>
        <v>-513972.013906667</v>
      </c>
      <c r="BC356" s="66" t="n">
        <f aca="false">MIN(BB356,BC355)</f>
        <v>-513972.013906667</v>
      </c>
      <c r="BD356" s="66" t="n">
        <f aca="false">MIN(BC356,BD355)</f>
        <v>-513972.013906667</v>
      </c>
      <c r="BE356" s="66" t="n">
        <f aca="false">MIN(BD356,BE355)</f>
        <v>-513972.013906667</v>
      </c>
      <c r="BF356" s="66" t="n">
        <f aca="false">MIN(BE356,BF355)</f>
        <v>-513972.013906667</v>
      </c>
      <c r="BG356" s="66" t="n">
        <f aca="false">MIN(BF356,BG355)</f>
        <v>-513972.013906667</v>
      </c>
      <c r="BH356" s="66" t="n">
        <f aca="false">MIN(BG356,BH355)</f>
        <v>-513972.013906667</v>
      </c>
      <c r="BI356" s="66" t="n">
        <f aca="false">MIN(BH356,BI355)</f>
        <v>-513972.013906667</v>
      </c>
      <c r="BJ356" s="66" t="n">
        <f aca="false">MIN(BI356,BJ355)</f>
        <v>-513972.013906667</v>
      </c>
    </row>
    <row r="357" customFormat="false" ht="15" hidden="false" customHeight="false" outlineLevel="0" collapsed="false">
      <c r="A357" s="114" t="s">
        <v>458</v>
      </c>
      <c r="C357" s="113" t="n">
        <f aca="false">IF(AND(C355&gt;=0,C356&lt;0),1,0)</f>
        <v>0</v>
      </c>
      <c r="D357" s="113" t="n">
        <f aca="false">IF(AND(D355&gt;=0,D356&lt;0),1,0)</f>
        <v>0</v>
      </c>
      <c r="E357" s="113" t="n">
        <f aca="false">IF(AND(E355&gt;=0,E356&lt;0),1,0)</f>
        <v>0</v>
      </c>
      <c r="F357" s="113" t="n">
        <f aca="false">IF(AND(F355&gt;=0,F356&lt;0),1,0)</f>
        <v>0</v>
      </c>
      <c r="G357" s="113" t="n">
        <f aca="false">IF(AND(G355&gt;=0,G356&lt;0),1,0)</f>
        <v>0</v>
      </c>
      <c r="H357" s="113" t="n">
        <f aca="false">IF(AND(H355&gt;=0,H356&lt;0),1,0)</f>
        <v>0</v>
      </c>
      <c r="I357" s="113" t="n">
        <f aca="false">IF(AND(I355&gt;=0,I356&lt;0),1,0)</f>
        <v>0</v>
      </c>
      <c r="J357" s="113" t="n">
        <f aca="false">IF(AND(J355&gt;=0,J356&lt;0),1,0)</f>
        <v>0</v>
      </c>
      <c r="K357" s="113" t="n">
        <f aca="false">IF(AND(K355&gt;=0,K356&lt;0),1,0)</f>
        <v>0</v>
      </c>
      <c r="L357" s="113" t="n">
        <f aca="false">IF(AND(L355&gt;=0,L356&lt;0),1,0)</f>
        <v>0</v>
      </c>
      <c r="M357" s="113" t="n">
        <f aca="false">IF(AND(M355&gt;=0,M356&lt;0),1,0)</f>
        <v>0</v>
      </c>
      <c r="N357" s="113" t="n">
        <f aca="false">IF(AND(N355&gt;=0,N356&lt;0),1,0)</f>
        <v>0</v>
      </c>
      <c r="O357" s="113" t="n">
        <f aca="false">IF(AND(O355&gt;=0,O356&lt;0),1,0)</f>
        <v>0</v>
      </c>
      <c r="P357" s="113" t="n">
        <f aca="false">IF(AND(P355&gt;=0,P356&lt;0),1,0)</f>
        <v>0</v>
      </c>
      <c r="Q357" s="113" t="n">
        <f aca="false">IF(AND(Q355&gt;=0,Q356&lt;0),1,0)</f>
        <v>0</v>
      </c>
      <c r="R357" s="113" t="n">
        <f aca="false">IF(AND(R355&gt;=0,R356&lt;0),1,0)</f>
        <v>0</v>
      </c>
      <c r="S357" s="113" t="n">
        <f aca="false">IF(AND(S355&gt;=0,S356&lt;0),1,0)</f>
        <v>0</v>
      </c>
      <c r="T357" s="113" t="n">
        <f aca="false">IF(AND(T355&gt;=0,T356&lt;0),1,0)</f>
        <v>0</v>
      </c>
      <c r="U357" s="113" t="n">
        <f aca="false">IF(AND(U355&gt;=0,U356&lt;0),1,0)</f>
        <v>0</v>
      </c>
      <c r="V357" s="113" t="n">
        <f aca="false">IF(AND(V355&gt;=0,V356&lt;0),1,0)</f>
        <v>0</v>
      </c>
      <c r="W357" s="113" t="n">
        <f aca="false">IF(AND(W355&gt;=0,W356&lt;0),1,0)</f>
        <v>0</v>
      </c>
      <c r="X357" s="113" t="n">
        <f aca="false">IF(AND(X355&gt;=0,X356&lt;0),1,0)</f>
        <v>0</v>
      </c>
      <c r="Y357" s="113" t="n">
        <f aca="false">IF(AND(Y355&gt;=0,Y356&lt;0),1,0)</f>
        <v>0</v>
      </c>
      <c r="Z357" s="113" t="n">
        <f aca="false">IF(AND(Z355&gt;=0,Z356&lt;0),1,0)</f>
        <v>0</v>
      </c>
      <c r="AA357" s="113" t="n">
        <f aca="false">IF(AND(AA355&gt;=0,AA356&lt;0),1,0)</f>
        <v>0</v>
      </c>
      <c r="AB357" s="113" t="n">
        <f aca="false">IF(AND(AB355&gt;=0,AB356&lt;0),1,0)</f>
        <v>0</v>
      </c>
      <c r="AC357" s="113" t="n">
        <f aca="false">IF(AND(AC355&gt;=0,AC356&lt;0),1,0)</f>
        <v>0</v>
      </c>
      <c r="AD357" s="113" t="n">
        <f aca="false">IF(AND(AD355&gt;=0,AD356&lt;0),1,0)</f>
        <v>0</v>
      </c>
      <c r="AE357" s="113" t="n">
        <f aca="false">IF(AND(AE355&gt;=0,AE356&lt;0),1,0)</f>
        <v>0</v>
      </c>
      <c r="AF357" s="113" t="n">
        <f aca="false">IF(AND(AF355&gt;=0,AF356&lt;0),1,0)</f>
        <v>0</v>
      </c>
      <c r="AG357" s="113" t="n">
        <f aca="false">IF(AND(AG355&gt;=0,AG356&lt;0),1,0)</f>
        <v>0</v>
      </c>
      <c r="AH357" s="113" t="n">
        <f aca="false">IF(AND(AH355&gt;=0,AH356&lt;0),1,0)</f>
        <v>0</v>
      </c>
      <c r="AI357" s="113" t="n">
        <f aca="false">IF(AND(AI355&gt;=0,AI356&lt;0),1,0)</f>
        <v>0</v>
      </c>
      <c r="AJ357" s="113" t="n">
        <f aca="false">IF(AND(AJ355&gt;=0,AJ356&lt;0),1,0)</f>
        <v>0</v>
      </c>
      <c r="AK357" s="113" t="n">
        <f aca="false">IF(AND(AK355&gt;=0,AK356&lt;0),1,0)</f>
        <v>0</v>
      </c>
      <c r="AL357" s="113" t="n">
        <f aca="false">IF(AND(AL355&gt;=0,AL356&lt;0),1,0)</f>
        <v>0</v>
      </c>
      <c r="AM357" s="113" t="n">
        <f aca="false">IF(AND(AM355&gt;=0,AM356&lt;0),1,0)</f>
        <v>0</v>
      </c>
      <c r="AN357" s="113" t="n">
        <f aca="false">IF(AND(AN355&gt;=0,AN356&lt;0),1,0)</f>
        <v>0</v>
      </c>
      <c r="AO357" s="113" t="n">
        <f aca="false">IF(AND(AO355&gt;=0,AO356&lt;0),1,0)</f>
        <v>0</v>
      </c>
      <c r="AP357" s="113" t="n">
        <f aca="false">IF(AND(AP355&gt;=0,AP356&lt;0),1,0)</f>
        <v>0</v>
      </c>
      <c r="AQ357" s="113" t="n">
        <f aca="false">IF(AND(AQ355&gt;=0,AQ356&lt;0),1,0)</f>
        <v>0</v>
      </c>
      <c r="AR357" s="113" t="n">
        <f aca="false">IF(AND(AR355&gt;=0,AR356&lt;0),1,0)</f>
        <v>0</v>
      </c>
      <c r="AS357" s="113" t="n">
        <f aca="false">IF(AND(AS355&gt;=0,AS356&lt;0),1,0)</f>
        <v>0</v>
      </c>
      <c r="AT357" s="113" t="n">
        <f aca="false">IF(AND(AT355&gt;=0,AT356&lt;0),1,0)</f>
        <v>0</v>
      </c>
      <c r="AU357" s="113" t="n">
        <f aca="false">IF(AND(AU355&gt;=0,AU356&lt;0),1,0)</f>
        <v>0</v>
      </c>
      <c r="AV357" s="113" t="n">
        <f aca="false">IF(AND(AV355&gt;=0,AV356&lt;0),1,0)</f>
        <v>0</v>
      </c>
      <c r="AW357" s="113" t="n">
        <f aca="false">IF(AND(AW355&gt;=0,AW356&lt;0),1,0)</f>
        <v>0</v>
      </c>
      <c r="AX357" s="113" t="n">
        <f aca="false">IF(AND(AX355&gt;=0,AX356&lt;0),1,0)</f>
        <v>0</v>
      </c>
      <c r="AY357" s="113" t="n">
        <f aca="false">IF(AND(AY355&gt;=0,AY356&lt;0),1,0)</f>
        <v>0</v>
      </c>
      <c r="AZ357" s="113" t="n">
        <f aca="false">IF(AND(AZ355&gt;=0,AZ356&lt;0),1,0)</f>
        <v>0</v>
      </c>
      <c r="BA357" s="113" t="n">
        <f aca="false">IF(AND(BA355&gt;=0,BA356&lt;0),1,0)</f>
        <v>0</v>
      </c>
      <c r="BB357" s="113" t="n">
        <f aca="false">IF(AND(BB355&gt;=0,BB356&lt;0),1,0)</f>
        <v>0</v>
      </c>
      <c r="BC357" s="113" t="n">
        <f aca="false">IF(AND(BC355&gt;=0,BC356&lt;0),1,0)</f>
        <v>0</v>
      </c>
      <c r="BD357" s="113" t="n">
        <f aca="false">IF(AND(BD355&gt;=0,BD356&lt;0),1,0)</f>
        <v>0</v>
      </c>
      <c r="BE357" s="113" t="n">
        <f aca="false">IF(AND(BE355&gt;=0,BE356&lt;0),1,0)</f>
        <v>0</v>
      </c>
      <c r="BF357" s="113" t="n">
        <f aca="false">IF(AND(BF355&gt;=0,BF356&lt;0),1,0)</f>
        <v>0</v>
      </c>
      <c r="BG357" s="113" t="n">
        <f aca="false">IF(AND(BG355&gt;=0,BG356&lt;0),1,0)</f>
        <v>0</v>
      </c>
      <c r="BH357" s="113" t="n">
        <f aca="false">IF(AND(BH355&gt;=0,BH356&lt;0),1,0)</f>
        <v>0</v>
      </c>
      <c r="BI357" s="113" t="n">
        <f aca="false">IF(AND(BI355&gt;=0,BI356&lt;0),1,0)</f>
        <v>1</v>
      </c>
      <c r="BJ357" s="113" t="n">
        <f aca="false">IF(AND(BJ355&gt;=0,BJ356&lt;0),1,0)</f>
        <v>1</v>
      </c>
    </row>
    <row r="358" customFormat="false" ht="15" hidden="false" customHeight="false" outlineLevel="0" collapsed="false">
      <c r="A358" s="6" t="s">
        <v>459</v>
      </c>
      <c r="C358" s="66" t="n">
        <f aca="false">C343-C310*(1-Inputs!$D$85)+C344</f>
        <v>-460554.441044444</v>
      </c>
      <c r="D358" s="66" t="n">
        <f aca="false">D343-D310*(1-Inputs!$D$85)+D344</f>
        <v>-15498.7963585185</v>
      </c>
      <c r="E358" s="66" t="n">
        <f aca="false">E343-E310*(1-Inputs!$D$85)+E344</f>
        <v>-13562.6397096296</v>
      </c>
      <c r="F358" s="66" t="n">
        <f aca="false">F343-F310*(1-Inputs!$D$85)+F344</f>
        <v>-8784.34972740741</v>
      </c>
      <c r="G358" s="66" t="n">
        <f aca="false">G343-G310*(1-Inputs!$D$85)+G344</f>
        <v>-4006.05974518519</v>
      </c>
      <c r="H358" s="66" t="n">
        <f aca="false">H343-H310*(1-Inputs!$D$85)+H344</f>
        <v>-1864.59198518519</v>
      </c>
      <c r="I358" s="66" t="n">
        <f aca="false">I343-I310*(1-Inputs!$D$85)+I344</f>
        <v>-681.968669629629</v>
      </c>
      <c r="J358" s="66" t="n">
        <f aca="false">J343-J310*(1-Inputs!$D$85)+J344</f>
        <v>3137.47686814815</v>
      </c>
      <c r="K358" s="66" t="n">
        <f aca="false">K343-K310*(1-Inputs!$D$85)+K344</f>
        <v>7915.76685037037</v>
      </c>
      <c r="L358" s="66" t="n">
        <f aca="false">L343-L310*(1-Inputs!$D$85)+L344</f>
        <v>10057.2346103704</v>
      </c>
      <c r="M358" s="66" t="n">
        <f aca="false">M343-M310*(1-Inputs!$D$85)+M344</f>
        <v>10795.4287955556</v>
      </c>
      <c r="N358" s="66" t="n">
        <f aca="false">N343-N310*(1-Inputs!$D$85)+N344</f>
        <v>10422.7899066667</v>
      </c>
      <c r="O358" s="66" t="n">
        <f aca="false">O343-O310*(1-Inputs!$D$85)+O344</f>
        <v>1692.45199626667</v>
      </c>
      <c r="P358" s="66" t="n">
        <f aca="false">P343-P310*(1-Inputs!$D$85)+P344</f>
        <v>11598.6451696</v>
      </c>
      <c r="Q358" s="66" t="n">
        <f aca="false">Q343-Q310*(1-Inputs!$D$85)+Q344</f>
        <v>11601.5618362667</v>
      </c>
      <c r="R358" s="66" t="n">
        <f aca="false">R343-R310*(1-Inputs!$D$85)+R344</f>
        <v>11604.4785029333</v>
      </c>
      <c r="S358" s="66" t="n">
        <f aca="false">S343-S310*(1-Inputs!$D$85)+S344</f>
        <v>11607.3951696</v>
      </c>
      <c r="T358" s="66" t="n">
        <f aca="false">T343-T310*(1-Inputs!$D$85)+T344</f>
        <v>11610.3118362667</v>
      </c>
      <c r="U358" s="66" t="n">
        <f aca="false">U343-U310*(1-Inputs!$D$85)+U344</f>
        <v>11613.2285029333</v>
      </c>
      <c r="V358" s="66" t="n">
        <f aca="false">V343-V310*(1-Inputs!$D$85)+V344</f>
        <v>11616.1451696</v>
      </c>
      <c r="W358" s="66" t="n">
        <f aca="false">W343-W310*(1-Inputs!$D$85)+W344</f>
        <v>11433.9876495893</v>
      </c>
      <c r="X358" s="66" t="n">
        <f aca="false">X343-X310*(1-Inputs!$D$85)+X344</f>
        <v>10199.8776006507</v>
      </c>
      <c r="Y358" s="66" t="n">
        <f aca="false">Y343-Y310*(1-Inputs!$D$85)+Y344</f>
        <v>10199.8776006507</v>
      </c>
      <c r="Z358" s="66" t="n">
        <f aca="false">Z343-Z310*(1-Inputs!$D$85)+Z344</f>
        <v>10199.8776006507</v>
      </c>
      <c r="AA358" s="66" t="n">
        <f aca="false">AA343-AA310*(1-Inputs!$D$85)+AA344</f>
        <v>1246.41904914336</v>
      </c>
      <c r="AB358" s="66" t="n">
        <f aca="false">AB343-AB310*(1-Inputs!$D$85)+AB344</f>
        <v>11188.30156541</v>
      </c>
      <c r="AC358" s="66" t="n">
        <f aca="false">AC343-AC310*(1-Inputs!$D$85)+AC344</f>
        <v>11188.30156541</v>
      </c>
      <c r="AD358" s="66" t="n">
        <f aca="false">AD343-AD310*(1-Inputs!$D$85)+AD344</f>
        <v>11188.30156541</v>
      </c>
      <c r="AE358" s="66" t="n">
        <f aca="false">AE343-AE310*(1-Inputs!$D$85)+AE344</f>
        <v>11188.30156541</v>
      </c>
      <c r="AF358" s="66" t="n">
        <f aca="false">AF343-AF310*(1-Inputs!$D$85)+AF344</f>
        <v>11188.30156541</v>
      </c>
      <c r="AG358" s="66" t="n">
        <f aca="false">AG343-AG310*(1-Inputs!$D$85)+AG344</f>
        <v>11188.30156541</v>
      </c>
      <c r="AH358" s="66" t="n">
        <f aca="false">AH343-AH310*(1-Inputs!$D$85)+AH344</f>
        <v>11188.30156541</v>
      </c>
      <c r="AI358" s="66" t="n">
        <f aca="false">AI343-AI310*(1-Inputs!$D$85)+AI344</f>
        <v>11188.30156541</v>
      </c>
      <c r="AJ358" s="66" t="n">
        <f aca="false">AJ343-AJ310*(1-Inputs!$D$85)+AJ344</f>
        <v>11188.30156541</v>
      </c>
      <c r="AK358" s="66" t="n">
        <f aca="false">AK343-AK310*(1-Inputs!$D$85)+AK344</f>
        <v>11188.30156541</v>
      </c>
      <c r="AL358" s="66" t="n">
        <f aca="false">AL343-AL310*(1-Inputs!$D$85)+AL344</f>
        <v>11188.30156541</v>
      </c>
      <c r="AM358" s="66" t="n">
        <f aca="false">AM343-AM310*(1-Inputs!$D$85)+AM344</f>
        <v>2245.2509398511</v>
      </c>
      <c r="AN358" s="66" t="n">
        <f aca="false">AN343-AN310*(1-Inputs!$D$85)+AN344</f>
        <v>12227.3579545818</v>
      </c>
      <c r="AO358" s="66" t="n">
        <f aca="false">AO343-AO310*(1-Inputs!$D$85)+AO344</f>
        <v>12227.3579545818</v>
      </c>
      <c r="AP358" s="66" t="n">
        <f aca="false">AP343-AP310*(1-Inputs!$D$85)+AP344</f>
        <v>12227.3579545818</v>
      </c>
      <c r="AQ358" s="66" t="n">
        <f aca="false">AQ343-AQ310*(1-Inputs!$D$85)+AQ344</f>
        <v>12227.3579545818</v>
      </c>
      <c r="AR358" s="66" t="n">
        <f aca="false">AR343-AR310*(1-Inputs!$D$85)+AR344</f>
        <v>12227.3579545818</v>
      </c>
      <c r="AS358" s="66" t="n">
        <f aca="false">AS343-AS310*(1-Inputs!$D$85)+AS344</f>
        <v>12227.3579545818</v>
      </c>
      <c r="AT358" s="66" t="n">
        <f aca="false">AT343-AT310*(1-Inputs!$D$85)+AT344</f>
        <v>12227.3579545818</v>
      </c>
      <c r="AU358" s="66" t="n">
        <f aca="false">AU343-AU310*(1-Inputs!$D$85)+AU344</f>
        <v>12227.3579545818</v>
      </c>
      <c r="AV358" s="66" t="n">
        <f aca="false">AV343-AV310*(1-Inputs!$D$85)+AV344</f>
        <v>12227.3579545818</v>
      </c>
      <c r="AW358" s="66" t="n">
        <f aca="false">AW343-AW310*(1-Inputs!$D$85)+AW344</f>
        <v>12227.3579545818</v>
      </c>
      <c r="AX358" s="66" t="n">
        <f aca="false">AX343-AX310*(1-Inputs!$D$85)+AX344</f>
        <v>12227.3579545818</v>
      </c>
      <c r="AY358" s="66" t="n">
        <f aca="false">AY343-AY310*(1-Inputs!$D$85)+AY344</f>
        <v>3295.4068600494</v>
      </c>
      <c r="AZ358" s="66" t="n">
        <f aca="false">AZ343-AZ310*(1-Inputs!$D$85)+AZ344</f>
        <v>13319.423829117</v>
      </c>
      <c r="BA358" s="66" t="n">
        <f aca="false">BA343-BA310*(1-Inputs!$D$85)+BA344</f>
        <v>13319.423829117</v>
      </c>
      <c r="BB358" s="66" t="n">
        <f aca="false">BB343-BB310*(1-Inputs!$D$85)+BB344</f>
        <v>13319.423829117</v>
      </c>
      <c r="BC358" s="66" t="n">
        <f aca="false">BC343-BC310*(1-Inputs!$D$85)+BC344</f>
        <v>13319.423829117</v>
      </c>
      <c r="BD358" s="66" t="n">
        <f aca="false">BD343-BD310*(1-Inputs!$D$85)+BD344</f>
        <v>13319.423829117</v>
      </c>
      <c r="BE358" s="66" t="n">
        <f aca="false">BE343-BE310*(1-Inputs!$D$85)+BE344</f>
        <v>13319.423829117</v>
      </c>
      <c r="BF358" s="66" t="n">
        <f aca="false">BF343-BF310*(1-Inputs!$D$85)+BF344</f>
        <v>13319.423829117</v>
      </c>
      <c r="BG358" s="66" t="n">
        <f aca="false">BG343-BG310*(1-Inputs!$D$85)+BG344</f>
        <v>13319.423829117</v>
      </c>
      <c r="BH358" s="66" t="n">
        <f aca="false">BH343-BH310*(1-Inputs!$D$85)+BH344</f>
        <v>13319.423829117</v>
      </c>
      <c r="BI358" s="66" t="n">
        <f aca="false">BI343-BI310*(1-Inputs!$D$85)+BI344</f>
        <v>13319.423829117</v>
      </c>
      <c r="BJ358" s="66" t="n">
        <f aca="false">BJ343-BJ310*(1-Inputs!$D$85)+BJ344</f>
        <v>13319.423829117</v>
      </c>
    </row>
    <row r="360" customFormat="false" ht="15.75" hidden="false" customHeight="true" outlineLevel="0" collapsed="false">
      <c r="A360" s="7" t="s">
        <v>460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customFormat="false" ht="15" hidden="false" customHeight="false" outlineLevel="0" collapsed="false">
      <c r="A361" s="6" t="s">
        <v>96</v>
      </c>
      <c r="C361" s="66" t="n">
        <f aca="false">C345</f>
        <v>450000</v>
      </c>
      <c r="D361" s="66" t="n">
        <f aca="false">C361+D345</f>
        <v>450000</v>
      </c>
      <c r="E361" s="66" t="n">
        <f aca="false">D361+E345</f>
        <v>450000</v>
      </c>
      <c r="F361" s="66" t="n">
        <f aca="false">E361+F345</f>
        <v>450000</v>
      </c>
      <c r="G361" s="66" t="n">
        <f aca="false">F361+G345</f>
        <v>450000</v>
      </c>
      <c r="H361" s="66" t="n">
        <f aca="false">G361+H345</f>
        <v>450000</v>
      </c>
      <c r="I361" s="66" t="n">
        <f aca="false">H361+I345</f>
        <v>450000</v>
      </c>
      <c r="J361" s="66" t="n">
        <f aca="false">I361+J345</f>
        <v>450000</v>
      </c>
      <c r="K361" s="66" t="n">
        <f aca="false">J361+K345</f>
        <v>450000</v>
      </c>
      <c r="L361" s="66" t="n">
        <f aca="false">K361+L345</f>
        <v>450000</v>
      </c>
      <c r="M361" s="66" t="n">
        <f aca="false">L361+M345</f>
        <v>450000</v>
      </c>
      <c r="N361" s="66" t="n">
        <f aca="false">M361+N345</f>
        <v>450000</v>
      </c>
      <c r="O361" s="66" t="n">
        <f aca="false">N361+O345</f>
        <v>450000</v>
      </c>
      <c r="P361" s="66" t="n">
        <f aca="false">O361+P345</f>
        <v>450000</v>
      </c>
      <c r="Q361" s="66" t="n">
        <f aca="false">P361+Q345</f>
        <v>450000</v>
      </c>
      <c r="R361" s="66" t="n">
        <f aca="false">Q361+R345</f>
        <v>450000</v>
      </c>
      <c r="S361" s="66" t="n">
        <f aca="false">R361+S345</f>
        <v>450000</v>
      </c>
      <c r="T361" s="66" t="n">
        <f aca="false">S361+T345</f>
        <v>450000</v>
      </c>
      <c r="U361" s="66" t="n">
        <f aca="false">T361+U345</f>
        <v>450000</v>
      </c>
      <c r="V361" s="66" t="n">
        <f aca="false">U361+V345</f>
        <v>450000</v>
      </c>
      <c r="W361" s="66" t="n">
        <f aca="false">V361+W345</f>
        <v>450000</v>
      </c>
      <c r="X361" s="66" t="n">
        <f aca="false">W361+X345</f>
        <v>450000</v>
      </c>
      <c r="Y361" s="66" t="n">
        <f aca="false">X361+Y345</f>
        <v>450000</v>
      </c>
      <c r="Z361" s="66" t="n">
        <f aca="false">Y361+Z345</f>
        <v>450000</v>
      </c>
      <c r="AA361" s="66" t="n">
        <f aca="false">Z361+AA345</f>
        <v>450000</v>
      </c>
      <c r="AB361" s="66" t="n">
        <f aca="false">AA361+AB345</f>
        <v>450000</v>
      </c>
      <c r="AC361" s="66" t="n">
        <f aca="false">AB361+AC345</f>
        <v>450000</v>
      </c>
      <c r="AD361" s="66" t="n">
        <f aca="false">AC361+AD345</f>
        <v>450000</v>
      </c>
      <c r="AE361" s="66" t="n">
        <f aca="false">AD361+AE345</f>
        <v>450000</v>
      </c>
      <c r="AF361" s="66" t="n">
        <f aca="false">AE361+AF345</f>
        <v>450000</v>
      </c>
      <c r="AG361" s="66" t="n">
        <f aca="false">AF361+AG345</f>
        <v>450000</v>
      </c>
      <c r="AH361" s="66" t="n">
        <f aca="false">AG361+AH345</f>
        <v>450000</v>
      </c>
      <c r="AI361" s="66" t="n">
        <f aca="false">AH361+AI345</f>
        <v>450000</v>
      </c>
      <c r="AJ361" s="66" t="n">
        <f aca="false">AI361+AJ345</f>
        <v>450000</v>
      </c>
      <c r="AK361" s="66" t="n">
        <f aca="false">AJ361+AK345</f>
        <v>450000</v>
      </c>
      <c r="AL361" s="66" t="n">
        <f aca="false">AK361+AL345</f>
        <v>450000</v>
      </c>
      <c r="AM361" s="66" t="n">
        <f aca="false">AL361+AM345</f>
        <v>450000</v>
      </c>
      <c r="AN361" s="66" t="n">
        <f aca="false">AM361+AN345</f>
        <v>450000</v>
      </c>
      <c r="AO361" s="66" t="n">
        <f aca="false">AN361+AO345</f>
        <v>450000</v>
      </c>
      <c r="AP361" s="66" t="n">
        <f aca="false">AO361+AP345</f>
        <v>450000</v>
      </c>
      <c r="AQ361" s="66" t="n">
        <f aca="false">AP361+AQ345</f>
        <v>450000</v>
      </c>
      <c r="AR361" s="66" t="n">
        <f aca="false">AQ361+AR345</f>
        <v>450000</v>
      </c>
      <c r="AS361" s="66" t="n">
        <f aca="false">AR361+AS345</f>
        <v>450000</v>
      </c>
      <c r="AT361" s="66" t="n">
        <f aca="false">AS361+AT345</f>
        <v>450000</v>
      </c>
      <c r="AU361" s="66" t="n">
        <f aca="false">AT361+AU345</f>
        <v>450000</v>
      </c>
      <c r="AV361" s="66" t="n">
        <f aca="false">AU361+AV345</f>
        <v>450000</v>
      </c>
      <c r="AW361" s="66" t="n">
        <f aca="false">AV361+AW345</f>
        <v>450000</v>
      </c>
      <c r="AX361" s="66" t="n">
        <f aca="false">AW361+AX345</f>
        <v>450000</v>
      </c>
      <c r="AY361" s="66" t="n">
        <f aca="false">AX361+AY345</f>
        <v>450000</v>
      </c>
      <c r="AZ361" s="66" t="n">
        <f aca="false">AY361+AZ345</f>
        <v>450000</v>
      </c>
      <c r="BA361" s="66" t="n">
        <f aca="false">AZ361+BA345</f>
        <v>450000</v>
      </c>
      <c r="BB361" s="66" t="n">
        <f aca="false">BA361+BB345</f>
        <v>450000</v>
      </c>
      <c r="BC361" s="66" t="n">
        <f aca="false">BB361+BC345</f>
        <v>450000</v>
      </c>
      <c r="BD361" s="66" t="n">
        <f aca="false">BC361+BD345</f>
        <v>450000</v>
      </c>
      <c r="BE361" s="66" t="n">
        <f aca="false">BD361+BE345</f>
        <v>450000</v>
      </c>
      <c r="BF361" s="66" t="n">
        <f aca="false">BE361+BF345</f>
        <v>450000</v>
      </c>
      <c r="BG361" s="66" t="n">
        <f aca="false">BF361+BG345</f>
        <v>450000</v>
      </c>
      <c r="BH361" s="66" t="n">
        <f aca="false">BG361+BH345</f>
        <v>450000</v>
      </c>
      <c r="BI361" s="66" t="n">
        <f aca="false">BH361+BI345</f>
        <v>450000</v>
      </c>
      <c r="BJ361" s="66" t="n">
        <f aca="false">BI361+BJ345</f>
        <v>450000</v>
      </c>
    </row>
    <row r="362" customFormat="false" ht="15" hidden="false" customHeight="false" outlineLevel="0" collapsed="false">
      <c r="A362" s="6" t="s">
        <v>97</v>
      </c>
      <c r="C362" s="66" t="n">
        <f aca="false">C315</f>
        <v>-16607.8616</v>
      </c>
      <c r="D362" s="66" t="n">
        <f aca="false">C362+D315</f>
        <v>-37758.0721066667</v>
      </c>
      <c r="E362" s="66" t="n">
        <f aca="false">D362+E315</f>
        <v>-54119.0204088889</v>
      </c>
      <c r="F362" s="66" t="n">
        <f aca="false">E362+F315</f>
        <v>-65690.7065066667</v>
      </c>
      <c r="G362" s="66" t="n">
        <f aca="false">F362+G315</f>
        <v>-72473.1304</v>
      </c>
      <c r="H362" s="66" t="n">
        <f aca="false">G362+H315</f>
        <v>-78061.9587555556</v>
      </c>
      <c r="I362" s="66" t="n">
        <f aca="false">H362+I315</f>
        <v>-82457.1915733334</v>
      </c>
      <c r="J362" s="66" t="n">
        <f aca="false">I362+J315</f>
        <v>-82063.1621866667</v>
      </c>
      <c r="K362" s="66" t="n">
        <f aca="false">J362+K315</f>
        <v>-76879.8705955556</v>
      </c>
      <c r="L362" s="66" t="n">
        <f aca="false">K362+L315</f>
        <v>-70502.9834666667</v>
      </c>
      <c r="M362" s="66" t="n">
        <f aca="false">L362+M315</f>
        <v>-64978.8741155556</v>
      </c>
      <c r="N362" s="66" t="n">
        <f aca="false">M362+N315</f>
        <v>-59440.8758755556</v>
      </c>
      <c r="O362" s="66" t="n">
        <f aca="false">N362+O315</f>
        <v>-52793.9668170667</v>
      </c>
      <c r="P362" s="66" t="n">
        <f aca="false">O362+P315</f>
        <v>-46133.1688696889</v>
      </c>
      <c r="Q362" s="66" t="n">
        <f aca="false">P362+Q315</f>
        <v>-39458.4820334222</v>
      </c>
      <c r="R362" s="66" t="n">
        <f aca="false">Q362+R315</f>
        <v>-32769.9063082667</v>
      </c>
      <c r="S362" s="66" t="n">
        <f aca="false">R362+S315</f>
        <v>-26067.4416942222</v>
      </c>
      <c r="T362" s="66" t="n">
        <f aca="false">S362+T315</f>
        <v>-19351.0881912889</v>
      </c>
      <c r="U362" s="66" t="n">
        <f aca="false">T362+U315</f>
        <v>-12620.8457994666</v>
      </c>
      <c r="V362" s="66" t="n">
        <f aca="false">U362+V315</f>
        <v>-5876.71451875553</v>
      </c>
      <c r="W362" s="66" t="n">
        <f aca="false">V362+W315</f>
        <v>696.231464167134</v>
      </c>
      <c r="X362" s="66" t="n">
        <f aca="false">W362+X315</f>
        <v>6046.03962037336</v>
      </c>
      <c r="Y362" s="66" t="n">
        <f aca="false">X362+Y315</f>
        <v>11406.8199988018</v>
      </c>
      <c r="Z362" s="66" t="n">
        <f aca="false">Y362+Z315</f>
        <v>16778.5725994525</v>
      </c>
      <c r="AA362" s="66" t="n">
        <f aca="false">Z362+AA315</f>
        <v>23074.7213870847</v>
      </c>
      <c r="AB362" s="66" t="n">
        <f aca="false">AA362+AB315</f>
        <v>29381.8423969392</v>
      </c>
      <c r="AC362" s="66" t="n">
        <f aca="false">AB362+AC315</f>
        <v>35699.9356290159</v>
      </c>
      <c r="AD362" s="66" t="n">
        <f aca="false">AC362+AD315</f>
        <v>42029.0010833148</v>
      </c>
      <c r="AE362" s="66" t="n">
        <f aca="false">AD362+AE315</f>
        <v>48369.038759836</v>
      </c>
      <c r="AF362" s="66" t="n">
        <f aca="false">AE362+AF315</f>
        <v>54720.0486585793</v>
      </c>
      <c r="AG362" s="66" t="n">
        <f aca="false">AF362+AG315</f>
        <v>61082.0307795449</v>
      </c>
      <c r="AH362" s="66" t="n">
        <f aca="false">AG362+AH315</f>
        <v>67454.9851227327</v>
      </c>
      <c r="AI362" s="66" t="n">
        <f aca="false">AH362+AI315</f>
        <v>73838.9116881428</v>
      </c>
      <c r="AJ362" s="66" t="n">
        <f aca="false">AI362+AJ315</f>
        <v>80233.810475775</v>
      </c>
      <c r="AK362" s="66" t="n">
        <f aca="false">AJ362+AK315</f>
        <v>86639.6814856295</v>
      </c>
      <c r="AL362" s="66" t="n">
        <f aca="false">AK362+AL315</f>
        <v>93056.5247177062</v>
      </c>
      <c r="AM362" s="66" t="n">
        <f aca="false">AL362+AM315</f>
        <v>100448.396561177</v>
      </c>
      <c r="AN362" s="66" t="n">
        <f aca="false">AM362+AN315</f>
        <v>107851.24062687</v>
      </c>
      <c r="AO362" s="66" t="n">
        <f aca="false">AN362+AO315</f>
        <v>115265.056914785</v>
      </c>
      <c r="AP362" s="66" t="n">
        <f aca="false">AO362+AP315</f>
        <v>122689.845424922</v>
      </c>
      <c r="AQ362" s="66" t="n">
        <f aca="false">AP362+AQ315</f>
        <v>130125.606157282</v>
      </c>
      <c r="AR362" s="66" t="n">
        <f aca="false">AQ362+AR315</f>
        <v>137572.339111863</v>
      </c>
      <c r="AS362" s="66" t="n">
        <f aca="false">AR362+AS315</f>
        <v>145030.044288667</v>
      </c>
      <c r="AT362" s="66" t="n">
        <f aca="false">AS362+AT315</f>
        <v>152498.721687694</v>
      </c>
      <c r="AU362" s="66" t="n">
        <f aca="false">AT362+AU315</f>
        <v>159978.371308942</v>
      </c>
      <c r="AV362" s="66" t="n">
        <f aca="false">AU362+AV315</f>
        <v>167468.993152413</v>
      </c>
      <c r="AW362" s="66" t="n">
        <f aca="false">AV362+AW315</f>
        <v>174970.587218106</v>
      </c>
      <c r="AX362" s="66" t="n">
        <f aca="false">AW362+AX315</f>
        <v>182483.153506021</v>
      </c>
      <c r="AY362" s="66" t="n">
        <f aca="false">AX362+AY315</f>
        <v>191023.757890693</v>
      </c>
      <c r="AZ362" s="66" t="n">
        <f aca="false">AY362+AZ315</f>
        <v>199575.334497588</v>
      </c>
      <c r="BA362" s="66" t="n">
        <f aca="false">AZ362+BA315</f>
        <v>208137.883326705</v>
      </c>
      <c r="BB362" s="66" t="n">
        <f aca="false">BA362+BB315</f>
        <v>216711.404378044</v>
      </c>
      <c r="BC362" s="66" t="n">
        <f aca="false">BB362+BC315</f>
        <v>225295.897651606</v>
      </c>
      <c r="BD362" s="66" t="n">
        <f aca="false">BC362+BD315</f>
        <v>233891.36314739</v>
      </c>
      <c r="BE362" s="66" t="n">
        <f aca="false">BD362+BE315</f>
        <v>242497.800865395</v>
      </c>
      <c r="BF362" s="66" t="n">
        <f aca="false">BE362+BF315</f>
        <v>251115.210805624</v>
      </c>
      <c r="BG362" s="66" t="n">
        <f aca="false">BF362+BG315</f>
        <v>259743.592968074</v>
      </c>
      <c r="BH362" s="66" t="n">
        <f aca="false">BG362+BH315</f>
        <v>268382.947352747</v>
      </c>
      <c r="BI362" s="66" t="n">
        <f aca="false">BH362+BI315</f>
        <v>277033.273959641</v>
      </c>
      <c r="BJ362" s="66" t="n">
        <f aca="false">BI362+BJ315</f>
        <v>285694.572788758</v>
      </c>
    </row>
    <row r="363" customFormat="false" ht="15" hidden="false" customHeight="false" outlineLevel="0" collapsed="false">
      <c r="A363" s="4" t="s">
        <v>92</v>
      </c>
      <c r="C363" s="72" t="n">
        <f aca="false">C349+C335+C336+C326</f>
        <v>686616.360622222</v>
      </c>
      <c r="D363" s="72" t="n">
        <f aca="false">D349+D335+D336+D326</f>
        <v>666189.332337778</v>
      </c>
      <c r="E363" s="72" t="n">
        <f aca="false">E349+E335+E336+E326</f>
        <v>647914.744035556</v>
      </c>
      <c r="F363" s="72" t="n">
        <f aca="false">F349+F335+F336+F326</f>
        <v>634429.417937778</v>
      </c>
      <c r="G363" s="72" t="n">
        <f aca="false">G349+G335+G336+G326</f>
        <v>625733.354044444</v>
      </c>
      <c r="H363" s="72" t="n">
        <f aca="false">H349+H335+H336+H326</f>
        <v>619549.2968</v>
      </c>
      <c r="I363" s="72" t="n">
        <f aca="false">I349+I335+I336+I326</f>
        <v>614558.835093333</v>
      </c>
      <c r="J363" s="72" t="n">
        <f aca="false">J349+J335+J336+J326</f>
        <v>613039.22448</v>
      </c>
      <c r="K363" s="72" t="n">
        <f aca="false">K349+K335+K336+K326</f>
        <v>616308.876071111</v>
      </c>
      <c r="L363" s="72" t="n">
        <f aca="false">L349+L335+L336+L326</f>
        <v>622090.534311111</v>
      </c>
      <c r="M363" s="72" t="n">
        <f aca="false">M349+M335+M336+M326</f>
        <v>625531.310328889</v>
      </c>
      <c r="N363" s="72" t="n">
        <f aca="false">N349+N335+N336+N326</f>
        <v>628985.975235556</v>
      </c>
      <c r="O363" s="72" t="n">
        <f aca="false">O349+O335+O336+O326</f>
        <v>633889.856494044</v>
      </c>
      <c r="P363" s="72" t="n">
        <f aca="false">P349+P335+P336+P326</f>
        <v>638467.321108089</v>
      </c>
      <c r="Q363" s="72" t="n">
        <f aca="false">Q349+Q335+Q336+Q326</f>
        <v>643058.674611022</v>
      </c>
      <c r="R363" s="72" t="n">
        <f aca="false">R349+R335+R336+R326</f>
        <v>647663.917002844</v>
      </c>
      <c r="S363" s="72" t="n">
        <f aca="false">S349+S335+S336+S326</f>
        <v>652283.048283556</v>
      </c>
      <c r="T363" s="72" t="n">
        <f aca="false">T349+T335+T336+T326</f>
        <v>656916.068453156</v>
      </c>
      <c r="U363" s="72" t="n">
        <f aca="false">U349+U335+U336+U326</f>
        <v>661562.977511644</v>
      </c>
      <c r="V363" s="72" t="n">
        <f aca="false">V349+V335+V336+V326</f>
        <v>666223.775459022</v>
      </c>
      <c r="W363" s="72" t="n">
        <f aca="false">W349+W335+W336+W326</f>
        <v>670713.388108612</v>
      </c>
      <c r="X363" s="72" t="n">
        <f aca="false">X349+X335+X336+X326</f>
        <v>673979.862931485</v>
      </c>
      <c r="Y363" s="72" t="n">
        <f aca="false">Y349+Y335+Y336+Y326</f>
        <v>677257.30997658</v>
      </c>
      <c r="Z363" s="72" t="n">
        <f aca="false">Z349+Z335+Z336+Z326</f>
        <v>680545.729243897</v>
      </c>
      <c r="AA363" s="72" t="n">
        <f aca="false">AA349+AA335+AA336+AA326</f>
        <v>685109.059397529</v>
      </c>
      <c r="AB363" s="72" t="n">
        <f aca="false">AB349+AB335+AB336+AB326</f>
        <v>689332.84707405</v>
      </c>
      <c r="AC363" s="72" t="n">
        <f aca="false">AC349+AC335+AC336+AC326</f>
        <v>693567.606972794</v>
      </c>
      <c r="AD363" s="72" t="n">
        <f aca="false">AD349+AD335+AD336+AD326</f>
        <v>697813.339093759</v>
      </c>
      <c r="AE363" s="72" t="n">
        <f aca="false">AE349+AE335+AE336+AE326</f>
        <v>702070.043436947</v>
      </c>
      <c r="AF363" s="72" t="n">
        <f aca="false">AF349+AF335+AF336+AF326</f>
        <v>706337.720002357</v>
      </c>
      <c r="AG363" s="72" t="n">
        <f aca="false">AG349+AG335+AG336+AG326</f>
        <v>710616.36878999</v>
      </c>
      <c r="AH363" s="72" t="n">
        <f aca="false">AH349+AH335+AH336+AH326</f>
        <v>714905.989799844</v>
      </c>
      <c r="AI363" s="72" t="n">
        <f aca="false">AI349+AI335+AI336+AI326</f>
        <v>719206.583031921</v>
      </c>
      <c r="AJ363" s="72" t="n">
        <f aca="false">AJ349+AJ335+AJ336+AJ326</f>
        <v>723518.14848622</v>
      </c>
      <c r="AK363" s="72" t="n">
        <f aca="false">AK349+AK335+AK336+AK326</f>
        <v>727840.686162741</v>
      </c>
      <c r="AL363" s="72" t="n">
        <f aca="false">AL349+AL335+AL336+AL326</f>
        <v>732174.196061484</v>
      </c>
      <c r="AM363" s="72" t="n">
        <f aca="false">AM349+AM335+AM336+AM326</f>
        <v>737843.764711935</v>
      </c>
      <c r="AN363" s="72" t="n">
        <f aca="false">AN349+AN335+AN336+AN326</f>
        <v>743163.275444294</v>
      </c>
      <c r="AO363" s="72" t="n">
        <f aca="false">AO349+AO335+AO336+AO326</f>
        <v>748493.758398876</v>
      </c>
      <c r="AP363" s="72" t="n">
        <f aca="false">AP349+AP335+AP336+AP326</f>
        <v>753835.21357568</v>
      </c>
      <c r="AQ363" s="72" t="n">
        <f aca="false">AQ349+AQ335+AQ336+AQ326</f>
        <v>759187.640974706</v>
      </c>
      <c r="AR363" s="72" t="n">
        <f aca="false">AR349+AR335+AR336+AR326</f>
        <v>764551.040595955</v>
      </c>
      <c r="AS363" s="72" t="n">
        <f aca="false">AS349+AS335+AS336+AS326</f>
        <v>769925.412439425</v>
      </c>
      <c r="AT363" s="72" t="n">
        <f aca="false">AT349+AT335+AT336+AT326</f>
        <v>775310.756505118</v>
      </c>
      <c r="AU363" s="72" t="n">
        <f aca="false">AU349+AU335+AU336+AU326</f>
        <v>780707.072793033</v>
      </c>
      <c r="AV363" s="72" t="n">
        <f aca="false">AV349+AV335+AV336+AV326</f>
        <v>786114.36130317</v>
      </c>
      <c r="AW363" s="72" t="n">
        <f aca="false">AW349+AW335+AW336+AW326</f>
        <v>791532.62203553</v>
      </c>
      <c r="AX363" s="72" t="n">
        <f aca="false">AX349+AX335+AX336+AX326</f>
        <v>796961.854990112</v>
      </c>
      <c r="AY363" s="72" t="n">
        <f aca="false">AY349+AY335+AY336+AY326</f>
        <v>803790.987085974</v>
      </c>
      <c r="AZ363" s="72" t="n">
        <f aca="false">AZ349+AZ335+AZ336+AZ326</f>
        <v>810259.230359535</v>
      </c>
      <c r="BA363" s="72" t="n">
        <f aca="false">BA349+BA335+BA336+BA326</f>
        <v>816738.445855319</v>
      </c>
      <c r="BB363" s="72" t="n">
        <f aca="false">BB349+BB335+BB336+BB326</f>
        <v>823228.633573325</v>
      </c>
      <c r="BC363" s="72" t="n">
        <f aca="false">BC349+BC335+BC336+BC326</f>
        <v>829729.793513553</v>
      </c>
      <c r="BD363" s="72" t="n">
        <f aca="false">BD349+BD335+BD336+BD326</f>
        <v>836241.925676003</v>
      </c>
      <c r="BE363" s="72" t="n">
        <f aca="false">BE349+BE335+BE336+BE326</f>
        <v>842765.030060676</v>
      </c>
      <c r="BF363" s="72" t="n">
        <f aca="false">BF349+BF335+BF336+BF326</f>
        <v>849299.106667571</v>
      </c>
      <c r="BG363" s="72" t="n">
        <f aca="false">BG349+BG335+BG336+BG326</f>
        <v>855844.155496688</v>
      </c>
      <c r="BH363" s="72" t="n">
        <f aca="false">BH349+BH335+BH336+BH326</f>
        <v>862400.176548027</v>
      </c>
      <c r="BI363" s="72" t="n">
        <f aca="false">BI349+BI335+BI336+BI326</f>
        <v>868967.169821588</v>
      </c>
      <c r="BJ363" s="72" t="n">
        <f aca="false">BJ349+BJ335+BJ336+BJ326</f>
        <v>875545.135317372</v>
      </c>
    </row>
    <row r="364" customFormat="false" ht="15" hidden="false" customHeight="false" outlineLevel="0" collapsed="false">
      <c r="A364" s="6" t="s">
        <v>95</v>
      </c>
      <c r="C364" s="66" t="n">
        <f aca="false">C337+C332</f>
        <v>253224.222222222</v>
      </c>
      <c r="D364" s="66" t="n">
        <f aca="false">D337+D332</f>
        <v>253947.404444444</v>
      </c>
      <c r="E364" s="66" t="n">
        <f aca="false">E337+E332</f>
        <v>252033.764444444</v>
      </c>
      <c r="F364" s="66" t="n">
        <f aca="false">F337+F332</f>
        <v>250120.124444444</v>
      </c>
      <c r="G364" s="66" t="n">
        <f aca="false">G337+G332</f>
        <v>248206.484444444</v>
      </c>
      <c r="H364" s="66" t="n">
        <f aca="false">H337+H332</f>
        <v>247611.255555556</v>
      </c>
      <c r="I364" s="66" t="n">
        <f aca="false">I337+I332</f>
        <v>247016.026666667</v>
      </c>
      <c r="J364" s="66" t="n">
        <f aca="false">J337+J332</f>
        <v>245102.386666667</v>
      </c>
      <c r="K364" s="66" t="n">
        <f aca="false">K337+K332</f>
        <v>243188.746666667</v>
      </c>
      <c r="L364" s="66" t="n">
        <f aca="false">L337+L332</f>
        <v>242593.517777778</v>
      </c>
      <c r="M364" s="66" t="n">
        <f aca="false">M337+M332</f>
        <v>240510.184444444</v>
      </c>
      <c r="N364" s="66" t="n">
        <f aca="false">N337+N332</f>
        <v>238426.851111111</v>
      </c>
      <c r="O364" s="66" t="n">
        <f aca="false">O337+O332</f>
        <v>236683.823311111</v>
      </c>
      <c r="P364" s="66" t="n">
        <f aca="false">P337+P332</f>
        <v>234600.489977778</v>
      </c>
      <c r="Q364" s="66" t="n">
        <f aca="false">Q337+Q332</f>
        <v>232517.156644444</v>
      </c>
      <c r="R364" s="66" t="n">
        <f aca="false">R337+R332</f>
        <v>230433.823311111</v>
      </c>
      <c r="S364" s="66" t="n">
        <f aca="false">S337+S332</f>
        <v>228350.489977778</v>
      </c>
      <c r="T364" s="66" t="n">
        <f aca="false">T337+T332</f>
        <v>226267.156644444</v>
      </c>
      <c r="U364" s="66" t="n">
        <f aca="false">U337+U332</f>
        <v>224183.823311111</v>
      </c>
      <c r="V364" s="66" t="n">
        <f aca="false">V337+V332</f>
        <v>222100.489977778</v>
      </c>
      <c r="W364" s="66" t="n">
        <f aca="false">W337+W332</f>
        <v>220017.156644444</v>
      </c>
      <c r="X364" s="66" t="n">
        <f aca="false">X337+X332</f>
        <v>217933.823311111</v>
      </c>
      <c r="Y364" s="66" t="n">
        <f aca="false">Y337+Y332</f>
        <v>215850.489977778</v>
      </c>
      <c r="Z364" s="66" t="n">
        <f aca="false">Z337+Z332</f>
        <v>213767.156644444</v>
      </c>
      <c r="AA364" s="66" t="n">
        <f aca="false">AA337+AA332</f>
        <v>212034.338010444</v>
      </c>
      <c r="AB364" s="66" t="n">
        <f aca="false">AB337+AB332</f>
        <v>209951.004677111</v>
      </c>
      <c r="AC364" s="66" t="n">
        <f aca="false">AC337+AC332</f>
        <v>207867.671343778</v>
      </c>
      <c r="AD364" s="66" t="n">
        <f aca="false">AD337+AD332</f>
        <v>205784.338010444</v>
      </c>
      <c r="AE364" s="66" t="n">
        <f aca="false">AE337+AE332</f>
        <v>203701.004677111</v>
      </c>
      <c r="AF364" s="66" t="n">
        <f aca="false">AF337+AF332</f>
        <v>201617.671343778</v>
      </c>
      <c r="AG364" s="66" t="n">
        <f aca="false">AG337+AG332</f>
        <v>199534.338010444</v>
      </c>
      <c r="AH364" s="66" t="n">
        <f aca="false">AH337+AH332</f>
        <v>197451.004677111</v>
      </c>
      <c r="AI364" s="66" t="n">
        <f aca="false">AI337+AI332</f>
        <v>195367.671343777</v>
      </c>
      <c r="AJ364" s="66" t="n">
        <f aca="false">AJ337+AJ332</f>
        <v>193284.338010444</v>
      </c>
      <c r="AK364" s="66" t="n">
        <f aca="false">AK337+AK332</f>
        <v>191201.004677111</v>
      </c>
      <c r="AL364" s="66" t="n">
        <f aca="false">AL337+AL332</f>
        <v>189117.671343777</v>
      </c>
      <c r="AM364" s="66" t="n">
        <f aca="false">AM337+AM332</f>
        <v>187395.368150757</v>
      </c>
      <c r="AN364" s="66" t="n">
        <f aca="false">AN337+AN332</f>
        <v>185312.034817424</v>
      </c>
      <c r="AO364" s="66" t="n">
        <f aca="false">AO337+AO332</f>
        <v>183228.701484091</v>
      </c>
      <c r="AP364" s="66" t="n">
        <f aca="false">AP337+AP332</f>
        <v>181145.368150757</v>
      </c>
      <c r="AQ364" s="66" t="n">
        <f aca="false">AQ337+AQ332</f>
        <v>179062.034817424</v>
      </c>
      <c r="AR364" s="66" t="n">
        <f aca="false">AR337+AR332</f>
        <v>176978.701484091</v>
      </c>
      <c r="AS364" s="66" t="n">
        <f aca="false">AS337+AS332</f>
        <v>174895.368150757</v>
      </c>
      <c r="AT364" s="66" t="n">
        <f aca="false">AT337+AT332</f>
        <v>172812.034817424</v>
      </c>
      <c r="AU364" s="66" t="n">
        <f aca="false">AU337+AU332</f>
        <v>170728.701484091</v>
      </c>
      <c r="AV364" s="66" t="n">
        <f aca="false">AV337+AV332</f>
        <v>168645.368150757</v>
      </c>
      <c r="AW364" s="66" t="n">
        <f aca="false">AW337+AW332</f>
        <v>166562.034817424</v>
      </c>
      <c r="AX364" s="66" t="n">
        <f aca="false">AX337+AX332</f>
        <v>164478.701484091</v>
      </c>
      <c r="AY364" s="66" t="n">
        <f aca="false">AY337+AY332</f>
        <v>162767.22919528</v>
      </c>
      <c r="AZ364" s="66" t="n">
        <f aca="false">AZ337+AZ332</f>
        <v>160683.895861947</v>
      </c>
      <c r="BA364" s="66" t="n">
        <f aca="false">BA337+BA332</f>
        <v>158600.562528613</v>
      </c>
      <c r="BB364" s="66" t="n">
        <f aca="false">BB337+BB332</f>
        <v>156517.22919528</v>
      </c>
      <c r="BC364" s="66" t="n">
        <f aca="false">BC337+BC332</f>
        <v>154433.895861947</v>
      </c>
      <c r="BD364" s="66" t="n">
        <f aca="false">BD337+BD332</f>
        <v>152350.562528613</v>
      </c>
      <c r="BE364" s="66" t="n">
        <f aca="false">BE337+BE332</f>
        <v>150267.22919528</v>
      </c>
      <c r="BF364" s="66" t="n">
        <f aca="false">BF337+BF332</f>
        <v>148183.895861947</v>
      </c>
      <c r="BG364" s="66" t="n">
        <f aca="false">BG337+BG332</f>
        <v>146100.562528613</v>
      </c>
      <c r="BH364" s="66" t="n">
        <f aca="false">BH337+BH332</f>
        <v>144017.22919528</v>
      </c>
      <c r="BI364" s="66" t="n">
        <f aca="false">BI337+BI332</f>
        <v>141933.895861947</v>
      </c>
      <c r="BJ364" s="66" t="n">
        <f aca="false">BJ337+BJ332</f>
        <v>139850.562528613</v>
      </c>
    </row>
    <row r="365" customFormat="false" ht="15" hidden="false" customHeight="false" outlineLevel="0" collapsed="false">
      <c r="A365" s="6" t="s">
        <v>98</v>
      </c>
      <c r="C365" s="66" t="n">
        <f aca="false">C361+C362</f>
        <v>433392.1384</v>
      </c>
      <c r="D365" s="66" t="n">
        <f aca="false">D361+D362</f>
        <v>412241.927893333</v>
      </c>
      <c r="E365" s="66" t="n">
        <f aca="false">E361+E362</f>
        <v>395880.979591111</v>
      </c>
      <c r="F365" s="66" t="n">
        <f aca="false">F361+F362</f>
        <v>384309.293493333</v>
      </c>
      <c r="G365" s="66" t="n">
        <f aca="false">G361+G362</f>
        <v>377526.8696</v>
      </c>
      <c r="H365" s="66" t="n">
        <f aca="false">H361+H362</f>
        <v>371938.041244444</v>
      </c>
      <c r="I365" s="66" t="n">
        <f aca="false">I361+I362</f>
        <v>367542.808426667</v>
      </c>
      <c r="J365" s="66" t="n">
        <f aca="false">J361+J362</f>
        <v>367936.837813333</v>
      </c>
      <c r="K365" s="66" t="n">
        <f aca="false">K361+K362</f>
        <v>373120.129404444</v>
      </c>
      <c r="L365" s="66" t="n">
        <f aca="false">L361+L362</f>
        <v>379497.016533333</v>
      </c>
      <c r="M365" s="66" t="n">
        <f aca="false">M361+M362</f>
        <v>385021.125884444</v>
      </c>
      <c r="N365" s="66" t="n">
        <f aca="false">N361+N362</f>
        <v>390559.124124444</v>
      </c>
      <c r="O365" s="66" t="n">
        <f aca="false">O361+O362</f>
        <v>397206.033182933</v>
      </c>
      <c r="P365" s="66" t="n">
        <f aca="false">P361+P362</f>
        <v>403866.831130311</v>
      </c>
      <c r="Q365" s="66" t="n">
        <f aca="false">Q361+Q362</f>
        <v>410541.517966578</v>
      </c>
      <c r="R365" s="66" t="n">
        <f aca="false">R361+R362</f>
        <v>417230.093691733</v>
      </c>
      <c r="S365" s="66" t="n">
        <f aca="false">S361+S362</f>
        <v>423932.558305778</v>
      </c>
      <c r="T365" s="66" t="n">
        <f aca="false">T361+T362</f>
        <v>430648.911808711</v>
      </c>
      <c r="U365" s="66" t="n">
        <f aca="false">U361+U362</f>
        <v>437379.154200533</v>
      </c>
      <c r="V365" s="66" t="n">
        <f aca="false">V361+V362</f>
        <v>444123.285481244</v>
      </c>
      <c r="W365" s="66" t="n">
        <f aca="false">W361+W362</f>
        <v>450696.231464167</v>
      </c>
      <c r="X365" s="66" t="n">
        <f aca="false">X361+X362</f>
        <v>456046.039620373</v>
      </c>
      <c r="Y365" s="66" t="n">
        <f aca="false">Y361+Y362</f>
        <v>461406.819998802</v>
      </c>
      <c r="Z365" s="66" t="n">
        <f aca="false">Z361+Z362</f>
        <v>466778.572599452</v>
      </c>
      <c r="AA365" s="66" t="n">
        <f aca="false">AA361+AA362</f>
        <v>473074.721387085</v>
      </c>
      <c r="AB365" s="66" t="n">
        <f aca="false">AB361+AB362</f>
        <v>479381.842396939</v>
      </c>
      <c r="AC365" s="66" t="n">
        <f aca="false">AC361+AC362</f>
        <v>485699.935629016</v>
      </c>
      <c r="AD365" s="66" t="n">
        <f aca="false">AD361+AD362</f>
        <v>492029.001083315</v>
      </c>
      <c r="AE365" s="66" t="n">
        <f aca="false">AE361+AE362</f>
        <v>498369.038759836</v>
      </c>
      <c r="AF365" s="66" t="n">
        <f aca="false">AF361+AF362</f>
        <v>504720.048658579</v>
      </c>
      <c r="AG365" s="66" t="n">
        <f aca="false">AG361+AG362</f>
        <v>511082.030779545</v>
      </c>
      <c r="AH365" s="66" t="n">
        <f aca="false">AH361+AH362</f>
        <v>517454.985122733</v>
      </c>
      <c r="AI365" s="66" t="n">
        <f aca="false">AI361+AI362</f>
        <v>523838.911688143</v>
      </c>
      <c r="AJ365" s="66" t="n">
        <f aca="false">AJ361+AJ362</f>
        <v>530233.810475775</v>
      </c>
      <c r="AK365" s="66" t="n">
        <f aca="false">AK361+AK362</f>
        <v>536639.681485629</v>
      </c>
      <c r="AL365" s="66" t="n">
        <f aca="false">AL361+AL362</f>
        <v>543056.524717706</v>
      </c>
      <c r="AM365" s="66" t="n">
        <f aca="false">AM361+AM362</f>
        <v>550448.396561177</v>
      </c>
      <c r="AN365" s="66" t="n">
        <f aca="false">AN361+AN362</f>
        <v>557851.24062687</v>
      </c>
      <c r="AO365" s="66" t="n">
        <f aca="false">AO361+AO362</f>
        <v>565265.056914785</v>
      </c>
      <c r="AP365" s="66" t="n">
        <f aca="false">AP361+AP362</f>
        <v>572689.845424922</v>
      </c>
      <c r="AQ365" s="66" t="n">
        <f aca="false">AQ361+AQ362</f>
        <v>580125.606157282</v>
      </c>
      <c r="AR365" s="66" t="n">
        <f aca="false">AR361+AR362</f>
        <v>587572.339111863</v>
      </c>
      <c r="AS365" s="66" t="n">
        <f aca="false">AS361+AS362</f>
        <v>595030.044288667</v>
      </c>
      <c r="AT365" s="66" t="n">
        <f aca="false">AT361+AT362</f>
        <v>602498.721687694</v>
      </c>
      <c r="AU365" s="66" t="n">
        <f aca="false">AU361+AU362</f>
        <v>609978.371308942</v>
      </c>
      <c r="AV365" s="66" t="n">
        <f aca="false">AV361+AV362</f>
        <v>617468.993152413</v>
      </c>
      <c r="AW365" s="66" t="n">
        <f aca="false">AW361+AW362</f>
        <v>624970.587218106</v>
      </c>
      <c r="AX365" s="66" t="n">
        <f aca="false">AX361+AX362</f>
        <v>632483.153506021</v>
      </c>
      <c r="AY365" s="66" t="n">
        <f aca="false">AY361+AY362</f>
        <v>641023.757890693</v>
      </c>
      <c r="AZ365" s="66" t="n">
        <f aca="false">AZ361+AZ362</f>
        <v>649575.334497588</v>
      </c>
      <c r="BA365" s="66" t="n">
        <f aca="false">BA361+BA362</f>
        <v>658137.883326705</v>
      </c>
      <c r="BB365" s="66" t="n">
        <f aca="false">BB361+BB362</f>
        <v>666711.404378044</v>
      </c>
      <c r="BC365" s="66" t="n">
        <f aca="false">BC361+BC362</f>
        <v>675295.897651606</v>
      </c>
      <c r="BD365" s="66" t="n">
        <f aca="false">BD361+BD362</f>
        <v>683891.36314739</v>
      </c>
      <c r="BE365" s="66" t="n">
        <f aca="false">BE361+BE362</f>
        <v>692497.800865396</v>
      </c>
      <c r="BF365" s="66" t="n">
        <f aca="false">BF361+BF362</f>
        <v>701115.210805624</v>
      </c>
      <c r="BG365" s="66" t="n">
        <f aca="false">BG361+BG362</f>
        <v>709743.592968074</v>
      </c>
      <c r="BH365" s="66" t="n">
        <f aca="false">BH361+BH362</f>
        <v>718382.947352747</v>
      </c>
      <c r="BI365" s="66" t="n">
        <f aca="false">BI361+BI362</f>
        <v>727033.273959641</v>
      </c>
      <c r="BJ365" s="66" t="n">
        <f aca="false">BJ361+BJ362</f>
        <v>735694.572788758</v>
      </c>
    </row>
    <row r="366" customFormat="false" ht="15" hidden="false" customHeight="false" outlineLevel="0" collapsed="false">
      <c r="A366" s="4" t="s">
        <v>99</v>
      </c>
      <c r="C366" s="72" t="n">
        <f aca="false">C364+C365</f>
        <v>686616.360622222</v>
      </c>
      <c r="D366" s="72" t="n">
        <f aca="false">D364+D365</f>
        <v>666189.332337778</v>
      </c>
      <c r="E366" s="72" t="n">
        <f aca="false">E364+E365</f>
        <v>647914.744035556</v>
      </c>
      <c r="F366" s="72" t="n">
        <f aca="false">F364+F365</f>
        <v>634429.417937778</v>
      </c>
      <c r="G366" s="72" t="n">
        <f aca="false">G364+G365</f>
        <v>625733.354044444</v>
      </c>
      <c r="H366" s="72" t="n">
        <f aca="false">H364+H365</f>
        <v>619549.2968</v>
      </c>
      <c r="I366" s="72" t="n">
        <f aca="false">I364+I365</f>
        <v>614558.835093333</v>
      </c>
      <c r="J366" s="72" t="n">
        <f aca="false">J364+J365</f>
        <v>613039.22448</v>
      </c>
      <c r="K366" s="72" t="n">
        <f aca="false">K364+K365</f>
        <v>616308.876071111</v>
      </c>
      <c r="L366" s="72" t="n">
        <f aca="false">L364+L365</f>
        <v>622090.534311111</v>
      </c>
      <c r="M366" s="72" t="n">
        <f aca="false">M364+M365</f>
        <v>625531.310328889</v>
      </c>
      <c r="N366" s="72" t="n">
        <f aca="false">N364+N365</f>
        <v>628985.975235555</v>
      </c>
      <c r="O366" s="72" t="n">
        <f aca="false">O364+O365</f>
        <v>633889.856494044</v>
      </c>
      <c r="P366" s="72" t="n">
        <f aca="false">P364+P365</f>
        <v>638467.321108089</v>
      </c>
      <c r="Q366" s="72" t="n">
        <f aca="false">Q364+Q365</f>
        <v>643058.674611022</v>
      </c>
      <c r="R366" s="72" t="n">
        <f aca="false">R364+R365</f>
        <v>647663.917002844</v>
      </c>
      <c r="S366" s="72" t="n">
        <f aca="false">S364+S365</f>
        <v>652283.048283555</v>
      </c>
      <c r="T366" s="72" t="n">
        <f aca="false">T364+T365</f>
        <v>656916.068453156</v>
      </c>
      <c r="U366" s="72" t="n">
        <f aca="false">U364+U365</f>
        <v>661562.977511644</v>
      </c>
      <c r="V366" s="72" t="n">
        <f aca="false">V364+V365</f>
        <v>666223.775459022</v>
      </c>
      <c r="W366" s="72" t="n">
        <f aca="false">W364+W365</f>
        <v>670713.388108611</v>
      </c>
      <c r="X366" s="72" t="n">
        <f aca="false">X364+X365</f>
        <v>673979.862931484</v>
      </c>
      <c r="Y366" s="72" t="n">
        <f aca="false">Y364+Y365</f>
        <v>677257.309976579</v>
      </c>
      <c r="Z366" s="72" t="n">
        <f aca="false">Z364+Z365</f>
        <v>680545.729243897</v>
      </c>
      <c r="AA366" s="72" t="n">
        <f aca="false">AA364+AA365</f>
        <v>685109.059397529</v>
      </c>
      <c r="AB366" s="72" t="n">
        <f aca="false">AB364+AB365</f>
        <v>689332.84707405</v>
      </c>
      <c r="AC366" s="72" t="n">
        <f aca="false">AC364+AC365</f>
        <v>693567.606972794</v>
      </c>
      <c r="AD366" s="72" t="n">
        <f aca="false">AD364+AD365</f>
        <v>697813.339093759</v>
      </c>
      <c r="AE366" s="72" t="n">
        <f aca="false">AE364+AE365</f>
        <v>702070.043436947</v>
      </c>
      <c r="AF366" s="72" t="n">
        <f aca="false">AF364+AF365</f>
        <v>706337.720002357</v>
      </c>
      <c r="AG366" s="72" t="n">
        <f aca="false">AG364+AG365</f>
        <v>710616.368789989</v>
      </c>
      <c r="AH366" s="72" t="n">
        <f aca="false">AH364+AH365</f>
        <v>714905.989799844</v>
      </c>
      <c r="AI366" s="72" t="n">
        <f aca="false">AI364+AI365</f>
        <v>719206.58303192</v>
      </c>
      <c r="AJ366" s="72" t="n">
        <f aca="false">AJ364+AJ365</f>
        <v>723518.148486219</v>
      </c>
      <c r="AK366" s="72" t="n">
        <f aca="false">AK364+AK365</f>
        <v>727840.68616274</v>
      </c>
      <c r="AL366" s="72" t="n">
        <f aca="false">AL364+AL365</f>
        <v>732174.196061484</v>
      </c>
      <c r="AM366" s="72" t="n">
        <f aca="false">AM364+AM365</f>
        <v>737843.764711934</v>
      </c>
      <c r="AN366" s="72" t="n">
        <f aca="false">AN364+AN365</f>
        <v>743163.275444294</v>
      </c>
      <c r="AO366" s="72" t="n">
        <f aca="false">AO364+AO365</f>
        <v>748493.758398876</v>
      </c>
      <c r="AP366" s="72" t="n">
        <f aca="false">AP364+AP365</f>
        <v>753835.21357568</v>
      </c>
      <c r="AQ366" s="72" t="n">
        <f aca="false">AQ364+AQ365</f>
        <v>759187.640974706</v>
      </c>
      <c r="AR366" s="72" t="n">
        <f aca="false">AR364+AR365</f>
        <v>764551.040595954</v>
      </c>
      <c r="AS366" s="72" t="n">
        <f aca="false">AS364+AS365</f>
        <v>769925.412439425</v>
      </c>
      <c r="AT366" s="72" t="n">
        <f aca="false">AT364+AT365</f>
        <v>775310.756505118</v>
      </c>
      <c r="AU366" s="72" t="n">
        <f aca="false">AU364+AU365</f>
        <v>780707.072793033</v>
      </c>
      <c r="AV366" s="72" t="n">
        <f aca="false">AV364+AV365</f>
        <v>786114.36130317</v>
      </c>
      <c r="AW366" s="72" t="n">
        <f aca="false">AW364+AW365</f>
        <v>791532.62203553</v>
      </c>
      <c r="AX366" s="72" t="n">
        <f aca="false">AX364+AX365</f>
        <v>796961.854990111</v>
      </c>
      <c r="AY366" s="72" t="n">
        <f aca="false">AY364+AY365</f>
        <v>803790.987085973</v>
      </c>
      <c r="AZ366" s="72" t="n">
        <f aca="false">AZ364+AZ365</f>
        <v>810259.230359535</v>
      </c>
      <c r="BA366" s="72" t="n">
        <f aca="false">BA364+BA365</f>
        <v>816738.445855319</v>
      </c>
      <c r="BB366" s="72" t="n">
        <f aca="false">BB364+BB365</f>
        <v>823228.633573324</v>
      </c>
      <c r="BC366" s="72" t="n">
        <f aca="false">BC364+BC365</f>
        <v>829729.793513553</v>
      </c>
      <c r="BD366" s="72" t="n">
        <f aca="false">BD364+BD365</f>
        <v>836241.925676003</v>
      </c>
      <c r="BE366" s="72" t="n">
        <f aca="false">BE364+BE365</f>
        <v>842765.030060676</v>
      </c>
      <c r="BF366" s="72" t="n">
        <f aca="false">BF364+BF365</f>
        <v>849299.10666757</v>
      </c>
      <c r="BG366" s="72" t="n">
        <f aca="false">BG364+BG365</f>
        <v>855844.155496687</v>
      </c>
      <c r="BH366" s="72" t="n">
        <f aca="false">BH364+BH365</f>
        <v>862400.176548027</v>
      </c>
      <c r="BI366" s="72" t="n">
        <f aca="false">BI364+BI365</f>
        <v>868967.169821588</v>
      </c>
      <c r="BJ366" s="72" t="n">
        <f aca="false">BJ364+BJ365</f>
        <v>875545.135317372</v>
      </c>
    </row>
    <row r="367" customFormat="false" ht="15" hidden="false" customHeight="false" outlineLevel="0" collapsed="false">
      <c r="A367" s="6" t="s">
        <v>461</v>
      </c>
      <c r="C367" s="66" t="n">
        <f aca="false">C363-C366</f>
        <v>0</v>
      </c>
      <c r="D367" s="66" t="n">
        <f aca="false">D363-D366</f>
        <v>0</v>
      </c>
      <c r="E367" s="66" t="n">
        <f aca="false">E363-E366</f>
        <v>0</v>
      </c>
      <c r="F367" s="66" t="n">
        <f aca="false">F363-F366</f>
        <v>0</v>
      </c>
      <c r="G367" s="66" t="n">
        <f aca="false">G363-G366</f>
        <v>0</v>
      </c>
      <c r="H367" s="66" t="n">
        <f aca="false">H363-H366</f>
        <v>0</v>
      </c>
      <c r="I367" s="66" t="n">
        <f aca="false">I363-I366</f>
        <v>0</v>
      </c>
      <c r="J367" s="66" t="n">
        <f aca="false">J363-J366</f>
        <v>0</v>
      </c>
      <c r="K367" s="66" t="n">
        <f aca="false">K363-K366</f>
        <v>0</v>
      </c>
      <c r="L367" s="66" t="n">
        <f aca="false">L363-L366</f>
        <v>0</v>
      </c>
      <c r="M367" s="66" t="n">
        <f aca="false">M363-M366</f>
        <v>0</v>
      </c>
      <c r="N367" s="66" t="n">
        <f aca="false">N363-N366</f>
        <v>0</v>
      </c>
      <c r="O367" s="66" t="n">
        <f aca="false">O363-O366</f>
        <v>0</v>
      </c>
      <c r="P367" s="66" t="n">
        <f aca="false">P363-P366</f>
        <v>0</v>
      </c>
      <c r="Q367" s="66" t="n">
        <f aca="false">Q363-Q366</f>
        <v>0</v>
      </c>
      <c r="R367" s="66" t="n">
        <f aca="false">R363-R366</f>
        <v>0</v>
      </c>
      <c r="S367" s="66" t="n">
        <f aca="false">S363-S366</f>
        <v>0</v>
      </c>
      <c r="T367" s="66" t="n">
        <f aca="false">T363-T366</f>
        <v>0</v>
      </c>
      <c r="U367" s="66" t="n">
        <f aca="false">U363-U366</f>
        <v>0</v>
      </c>
      <c r="V367" s="66" t="n">
        <f aca="false">V363-V366</f>
        <v>0</v>
      </c>
      <c r="W367" s="66" t="n">
        <f aca="false">W363-W366</f>
        <v>0</v>
      </c>
      <c r="X367" s="66" t="n">
        <f aca="false">X363-X366</f>
        <v>0</v>
      </c>
      <c r="Y367" s="66" t="n">
        <f aca="false">Y363-Y366</f>
        <v>0</v>
      </c>
      <c r="Z367" s="66" t="n">
        <f aca="false">Z363-Z366</f>
        <v>0</v>
      </c>
      <c r="AA367" s="66" t="n">
        <f aca="false">AA363-AA366</f>
        <v>0</v>
      </c>
      <c r="AB367" s="66" t="n">
        <f aca="false">AB363-AB366</f>
        <v>0</v>
      </c>
      <c r="AC367" s="66" t="n">
        <f aca="false">AC363-AC366</f>
        <v>0</v>
      </c>
      <c r="AD367" s="66" t="n">
        <f aca="false">AD363-AD366</f>
        <v>0</v>
      </c>
      <c r="AE367" s="66" t="n">
        <f aca="false">AE363-AE366</f>
        <v>0</v>
      </c>
      <c r="AF367" s="66" t="n">
        <f aca="false">AF363-AF366</f>
        <v>0</v>
      </c>
      <c r="AG367" s="66" t="n">
        <f aca="false">AG363-AG366</f>
        <v>0</v>
      </c>
      <c r="AH367" s="66" t="n">
        <f aca="false">AH363-AH366</f>
        <v>0</v>
      </c>
      <c r="AI367" s="66" t="n">
        <f aca="false">AI363-AI366</f>
        <v>0</v>
      </c>
      <c r="AJ367" s="66" t="n">
        <f aca="false">AJ363-AJ366</f>
        <v>0</v>
      </c>
      <c r="AK367" s="66" t="n">
        <f aca="false">AK363-AK366</f>
        <v>0</v>
      </c>
      <c r="AL367" s="66" t="n">
        <f aca="false">AL363-AL366</f>
        <v>0</v>
      </c>
      <c r="AM367" s="66" t="n">
        <f aca="false">AM363-AM366</f>
        <v>0</v>
      </c>
      <c r="AN367" s="66" t="n">
        <f aca="false">AN363-AN366</f>
        <v>0</v>
      </c>
      <c r="AO367" s="66" t="n">
        <f aca="false">AO363-AO366</f>
        <v>0</v>
      </c>
      <c r="AP367" s="66" t="n">
        <f aca="false">AP363-AP366</f>
        <v>0</v>
      </c>
      <c r="AQ367" s="66" t="n">
        <f aca="false">AQ363-AQ366</f>
        <v>0</v>
      </c>
      <c r="AR367" s="66" t="n">
        <f aca="false">AR363-AR366</f>
        <v>0</v>
      </c>
      <c r="AS367" s="66" t="n">
        <f aca="false">AS363-AS366</f>
        <v>0</v>
      </c>
      <c r="AT367" s="66" t="n">
        <f aca="false">AT363-AT366</f>
        <v>0</v>
      </c>
      <c r="AU367" s="66" t="n">
        <f aca="false">AU363-AU366</f>
        <v>0</v>
      </c>
      <c r="AV367" s="66" t="n">
        <f aca="false">AV363-AV366</f>
        <v>0</v>
      </c>
      <c r="AW367" s="66" t="n">
        <f aca="false">AW363-AW366</f>
        <v>0</v>
      </c>
      <c r="AX367" s="66" t="n">
        <f aca="false">AX363-AX366</f>
        <v>0</v>
      </c>
      <c r="AY367" s="66" t="n">
        <f aca="false">AY363-AY366</f>
        <v>0</v>
      </c>
      <c r="AZ367" s="66" t="n">
        <f aca="false">AZ363-AZ366</f>
        <v>0</v>
      </c>
      <c r="BA367" s="66" t="n">
        <f aca="false">BA363-BA366</f>
        <v>0</v>
      </c>
      <c r="BB367" s="66" t="n">
        <f aca="false">BB363-BB366</f>
        <v>0</v>
      </c>
      <c r="BC367" s="66" t="n">
        <f aca="false">BC363-BC366</f>
        <v>0</v>
      </c>
      <c r="BD367" s="66" t="n">
        <f aca="false">BD363-BD366</f>
        <v>0</v>
      </c>
      <c r="BE367" s="66" t="n">
        <f aca="false">BE363-BE366</f>
        <v>0</v>
      </c>
      <c r="BF367" s="66" t="n">
        <f aca="false">BF363-BF366</f>
        <v>0</v>
      </c>
      <c r="BG367" s="66" t="n">
        <f aca="false">BG363-BG366</f>
        <v>0</v>
      </c>
      <c r="BH367" s="66" t="n">
        <f aca="false">BH363-BH366</f>
        <v>0</v>
      </c>
      <c r="BI367" s="66" t="n">
        <f aca="false">BI363-BI366</f>
        <v>0</v>
      </c>
      <c r="BJ367" s="66" t="n">
        <f aca="false">BJ363-BJ366</f>
        <v>0</v>
      </c>
    </row>
    <row r="369" customFormat="false" ht="15.75" hidden="false" customHeight="true" outlineLevel="0" collapsed="false">
      <c r="A369" s="7" t="s">
        <v>463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customFormat="false" ht="15" hidden="false" customHeight="false" outlineLevel="0" collapsed="false">
      <c r="A370" s="6" t="s">
        <v>464</v>
      </c>
      <c r="C370" s="115" t="n">
        <f aca="false">Inputs!$D$57*(1+Inputs!$D$59)^(C$259-1)*MAX(0,MIN(1,C$258*1-Inputs!$D$60+1))/1</f>
        <v>1</v>
      </c>
      <c r="D370" s="115" t="n">
        <f aca="false">Inputs!$D$57*(1+Inputs!$D$59)^(D$259-1)*MAX(0,MIN(1,D$258*1-Inputs!$D$60+1))/1</f>
        <v>1</v>
      </c>
      <c r="E370" s="115" t="n">
        <f aca="false">Inputs!$D$57*(1+Inputs!$D$59)^(E$259-1)*MAX(0,MIN(1,E$258*1-Inputs!$D$60+1))/1</f>
        <v>1</v>
      </c>
      <c r="F370" s="115" t="n">
        <f aca="false">Inputs!$D$57*(1+Inputs!$D$59)^(F$259-1)*MAX(0,MIN(1,F$258*1-Inputs!$D$60+1))/1</f>
        <v>1</v>
      </c>
      <c r="G370" s="115" t="n">
        <f aca="false">Inputs!$D$57*(1+Inputs!$D$59)^(G$259-1)*MAX(0,MIN(1,G$258*1-Inputs!$D$60+1))/1</f>
        <v>1</v>
      </c>
      <c r="H370" s="115" t="n">
        <f aca="false">Inputs!$D$57*(1+Inputs!$D$59)^(H$259-1)*MAX(0,MIN(1,H$258*1-Inputs!$D$60+1))/1</f>
        <v>1</v>
      </c>
      <c r="I370" s="115" t="n">
        <f aca="false">Inputs!$D$57*(1+Inputs!$D$59)^(I$259-1)*MAX(0,MIN(1,I$258*1-Inputs!$D$60+1))/1</f>
        <v>1</v>
      </c>
      <c r="J370" s="115" t="n">
        <f aca="false">Inputs!$D$57*(1+Inputs!$D$59)^(J$259-1)*MAX(0,MIN(1,J$258*1-Inputs!$D$60+1))/1</f>
        <v>1</v>
      </c>
      <c r="K370" s="115" t="n">
        <f aca="false">Inputs!$D$57*(1+Inputs!$D$59)^(K$259-1)*MAX(0,MIN(1,K$258*1-Inputs!$D$60+1))/1</f>
        <v>1</v>
      </c>
      <c r="L370" s="115" t="n">
        <f aca="false">Inputs!$D$57*(1+Inputs!$D$59)^(L$259-1)*MAX(0,MIN(1,L$258*1-Inputs!$D$60+1))/1</f>
        <v>1</v>
      </c>
      <c r="M370" s="115" t="n">
        <f aca="false">Inputs!$D$57*(1+Inputs!$D$59)^(M$259-1)*MAX(0,MIN(1,M$258*1-Inputs!$D$60+1))/1</f>
        <v>1</v>
      </c>
      <c r="N370" s="115" t="n">
        <f aca="false">Inputs!$D$57*(1+Inputs!$D$59)^(N$259-1)*MAX(0,MIN(1,N$258*1-Inputs!$D$60+1))/1</f>
        <v>1</v>
      </c>
      <c r="O370" s="115" t="n">
        <f aca="false">Inputs!$D$57*(1+Inputs!$D$59)^(O$259-1)*MAX(0,MIN(1,O$258*1-Inputs!$D$60+1))/1</f>
        <v>1</v>
      </c>
      <c r="P370" s="115" t="n">
        <f aca="false">Inputs!$D$57*(1+Inputs!$D$59)^(P$259-1)*MAX(0,MIN(1,P$258*1-Inputs!$D$60+1))/1</f>
        <v>1</v>
      </c>
      <c r="Q370" s="115" t="n">
        <f aca="false">Inputs!$D$57*(1+Inputs!$D$59)^(Q$259-1)*MAX(0,MIN(1,Q$258*1-Inputs!$D$60+1))/1</f>
        <v>1</v>
      </c>
      <c r="R370" s="115" t="n">
        <f aca="false">Inputs!$D$57*(1+Inputs!$D$59)^(R$259-1)*MAX(0,MIN(1,R$258*1-Inputs!$D$60+1))/1</f>
        <v>1</v>
      </c>
      <c r="S370" s="115" t="n">
        <f aca="false">Inputs!$D$57*(1+Inputs!$D$59)^(S$259-1)*MAX(0,MIN(1,S$258*1-Inputs!$D$60+1))/1</f>
        <v>1</v>
      </c>
      <c r="T370" s="115" t="n">
        <f aca="false">Inputs!$D$57*(1+Inputs!$D$59)^(T$259-1)*MAX(0,MIN(1,T$258*1-Inputs!$D$60+1))/1</f>
        <v>1</v>
      </c>
      <c r="U370" s="115" t="n">
        <f aca="false">Inputs!$D$57*(1+Inputs!$D$59)^(U$259-1)*MAX(0,MIN(1,U$258*1-Inputs!$D$60+1))/1</f>
        <v>1</v>
      </c>
      <c r="V370" s="115" t="n">
        <f aca="false">Inputs!$D$57*(1+Inputs!$D$59)^(V$259-1)*MAX(0,MIN(1,V$258*1-Inputs!$D$60+1))/1</f>
        <v>1</v>
      </c>
      <c r="W370" s="115" t="n">
        <f aca="false">Inputs!$D$57*(1+Inputs!$D$59)^(W$259-1)*MAX(0,MIN(1,W$258*1-Inputs!$D$60+1))/1</f>
        <v>1</v>
      </c>
      <c r="X370" s="115" t="n">
        <f aca="false">Inputs!$D$57*(1+Inputs!$D$59)^(X$259-1)*MAX(0,MIN(1,X$258*1-Inputs!$D$60+1))/1</f>
        <v>1</v>
      </c>
      <c r="Y370" s="115" t="n">
        <f aca="false">Inputs!$D$57*(1+Inputs!$D$59)^(Y$259-1)*MAX(0,MIN(1,Y$258*1-Inputs!$D$60+1))/1</f>
        <v>1</v>
      </c>
      <c r="Z370" s="115" t="n">
        <f aca="false">Inputs!$D$57*(1+Inputs!$D$59)^(Z$259-1)*MAX(0,MIN(1,Z$258*1-Inputs!$D$60+1))/1</f>
        <v>1</v>
      </c>
      <c r="AA370" s="115" t="n">
        <f aca="false">Inputs!$D$57*(1+Inputs!$D$59)^(AA$259-1)*MAX(0,MIN(1,AA$258*1-Inputs!$D$60+1))/1</f>
        <v>1</v>
      </c>
      <c r="AB370" s="115" t="n">
        <f aca="false">Inputs!$D$57*(1+Inputs!$D$59)^(AB$259-1)*MAX(0,MIN(1,AB$258*1-Inputs!$D$60+1))/1</f>
        <v>1</v>
      </c>
      <c r="AC370" s="115" t="n">
        <f aca="false">Inputs!$D$57*(1+Inputs!$D$59)^(AC$259-1)*MAX(0,MIN(1,AC$258*1-Inputs!$D$60+1))/1</f>
        <v>1</v>
      </c>
      <c r="AD370" s="115" t="n">
        <f aca="false">Inputs!$D$57*(1+Inputs!$D$59)^(AD$259-1)*MAX(0,MIN(1,AD$258*1-Inputs!$D$60+1))/1</f>
        <v>1</v>
      </c>
      <c r="AE370" s="115" t="n">
        <f aca="false">Inputs!$D$57*(1+Inputs!$D$59)^(AE$259-1)*MAX(0,MIN(1,AE$258*1-Inputs!$D$60+1))/1</f>
        <v>1</v>
      </c>
      <c r="AF370" s="115" t="n">
        <f aca="false">Inputs!$D$57*(1+Inputs!$D$59)^(AF$259-1)*MAX(0,MIN(1,AF$258*1-Inputs!$D$60+1))/1</f>
        <v>1</v>
      </c>
      <c r="AG370" s="115" t="n">
        <f aca="false">Inputs!$D$57*(1+Inputs!$D$59)^(AG$259-1)*MAX(0,MIN(1,AG$258*1-Inputs!$D$60+1))/1</f>
        <v>1</v>
      </c>
      <c r="AH370" s="115" t="n">
        <f aca="false">Inputs!$D$57*(1+Inputs!$D$59)^(AH$259-1)*MAX(0,MIN(1,AH$258*1-Inputs!$D$60+1))/1</f>
        <v>1</v>
      </c>
      <c r="AI370" s="115" t="n">
        <f aca="false">Inputs!$D$57*(1+Inputs!$D$59)^(AI$259-1)*MAX(0,MIN(1,AI$258*1-Inputs!$D$60+1))/1</f>
        <v>1</v>
      </c>
      <c r="AJ370" s="115" t="n">
        <f aca="false">Inputs!$D$57*(1+Inputs!$D$59)^(AJ$259-1)*MAX(0,MIN(1,AJ$258*1-Inputs!$D$60+1))/1</f>
        <v>1</v>
      </c>
      <c r="AK370" s="115" t="n">
        <f aca="false">Inputs!$D$57*(1+Inputs!$D$59)^(AK$259-1)*MAX(0,MIN(1,AK$258*1-Inputs!$D$60+1))/1</f>
        <v>1</v>
      </c>
      <c r="AL370" s="115" t="n">
        <f aca="false">Inputs!$D$57*(1+Inputs!$D$59)^(AL$259-1)*MAX(0,MIN(1,AL$258*1-Inputs!$D$60+1))/1</f>
        <v>1</v>
      </c>
      <c r="AM370" s="115" t="n">
        <f aca="false">Inputs!$D$57*(1+Inputs!$D$59)^(AM$259-1)*MAX(0,MIN(1,AM$258*1-Inputs!$D$60+1))/1</f>
        <v>1</v>
      </c>
      <c r="AN370" s="115" t="n">
        <f aca="false">Inputs!$D$57*(1+Inputs!$D$59)^(AN$259-1)*MAX(0,MIN(1,AN$258*1-Inputs!$D$60+1))/1</f>
        <v>1</v>
      </c>
      <c r="AO370" s="115" t="n">
        <f aca="false">Inputs!$D$57*(1+Inputs!$D$59)^(AO$259-1)*MAX(0,MIN(1,AO$258*1-Inputs!$D$60+1))/1</f>
        <v>1</v>
      </c>
      <c r="AP370" s="115" t="n">
        <f aca="false">Inputs!$D$57*(1+Inputs!$D$59)^(AP$259-1)*MAX(0,MIN(1,AP$258*1-Inputs!$D$60+1))/1</f>
        <v>1</v>
      </c>
      <c r="AQ370" s="115" t="n">
        <f aca="false">Inputs!$D$57*(1+Inputs!$D$59)^(AQ$259-1)*MAX(0,MIN(1,AQ$258*1-Inputs!$D$60+1))/1</f>
        <v>1</v>
      </c>
      <c r="AR370" s="115" t="n">
        <f aca="false">Inputs!$D$57*(1+Inputs!$D$59)^(AR$259-1)*MAX(0,MIN(1,AR$258*1-Inputs!$D$60+1))/1</f>
        <v>1</v>
      </c>
      <c r="AS370" s="115" t="n">
        <f aca="false">Inputs!$D$57*(1+Inputs!$D$59)^(AS$259-1)*MAX(0,MIN(1,AS$258*1-Inputs!$D$60+1))/1</f>
        <v>1</v>
      </c>
      <c r="AT370" s="115" t="n">
        <f aca="false">Inputs!$D$57*(1+Inputs!$D$59)^(AT$259-1)*MAX(0,MIN(1,AT$258*1-Inputs!$D$60+1))/1</f>
        <v>1</v>
      </c>
      <c r="AU370" s="115" t="n">
        <f aca="false">Inputs!$D$57*(1+Inputs!$D$59)^(AU$259-1)*MAX(0,MIN(1,AU$258*1-Inputs!$D$60+1))/1</f>
        <v>1</v>
      </c>
      <c r="AV370" s="115" t="n">
        <f aca="false">Inputs!$D$57*(1+Inputs!$D$59)^(AV$259-1)*MAX(0,MIN(1,AV$258*1-Inputs!$D$60+1))/1</f>
        <v>1</v>
      </c>
      <c r="AW370" s="115" t="n">
        <f aca="false">Inputs!$D$57*(1+Inputs!$D$59)^(AW$259-1)*MAX(0,MIN(1,AW$258*1-Inputs!$D$60+1))/1</f>
        <v>1</v>
      </c>
      <c r="AX370" s="115" t="n">
        <f aca="false">Inputs!$D$57*(1+Inputs!$D$59)^(AX$259-1)*MAX(0,MIN(1,AX$258*1-Inputs!$D$60+1))/1</f>
        <v>1</v>
      </c>
      <c r="AY370" s="115" t="n">
        <f aca="false">Inputs!$D$57*(1+Inputs!$D$59)^(AY$259-1)*MAX(0,MIN(1,AY$258*1-Inputs!$D$60+1))/1</f>
        <v>1</v>
      </c>
      <c r="AZ370" s="115" t="n">
        <f aca="false">Inputs!$D$57*(1+Inputs!$D$59)^(AZ$259-1)*MAX(0,MIN(1,AZ$258*1-Inputs!$D$60+1))/1</f>
        <v>1</v>
      </c>
      <c r="BA370" s="115" t="n">
        <f aca="false">Inputs!$D$57*(1+Inputs!$D$59)^(BA$259-1)*MAX(0,MIN(1,BA$258*1-Inputs!$D$60+1))/1</f>
        <v>1</v>
      </c>
      <c r="BB370" s="115" t="n">
        <f aca="false">Inputs!$D$57*(1+Inputs!$D$59)^(BB$259-1)*MAX(0,MIN(1,BB$258*1-Inputs!$D$60+1))/1</f>
        <v>1</v>
      </c>
      <c r="BC370" s="115" t="n">
        <f aca="false">Inputs!$D$57*(1+Inputs!$D$59)^(BC$259-1)*MAX(0,MIN(1,BC$258*1-Inputs!$D$60+1))/1</f>
        <v>1</v>
      </c>
      <c r="BD370" s="115" t="n">
        <f aca="false">Inputs!$D$57*(1+Inputs!$D$59)^(BD$259-1)*MAX(0,MIN(1,BD$258*1-Inputs!$D$60+1))/1</f>
        <v>1</v>
      </c>
      <c r="BE370" s="115" t="n">
        <f aca="false">Inputs!$D$57*(1+Inputs!$D$59)^(BE$259-1)*MAX(0,MIN(1,BE$258*1-Inputs!$D$60+1))/1</f>
        <v>1</v>
      </c>
      <c r="BF370" s="115" t="n">
        <f aca="false">Inputs!$D$57*(1+Inputs!$D$59)^(BF$259-1)*MAX(0,MIN(1,BF$258*1-Inputs!$D$60+1))/1</f>
        <v>1</v>
      </c>
      <c r="BG370" s="115" t="n">
        <f aca="false">Inputs!$D$57*(1+Inputs!$D$59)^(BG$259-1)*MAX(0,MIN(1,BG$258*1-Inputs!$D$60+1))/1</f>
        <v>1</v>
      </c>
      <c r="BH370" s="115" t="n">
        <f aca="false">Inputs!$D$57*(1+Inputs!$D$59)^(BH$259-1)*MAX(0,MIN(1,BH$258*1-Inputs!$D$60+1))/1</f>
        <v>1</v>
      </c>
      <c r="BI370" s="115" t="n">
        <f aca="false">Inputs!$D$57*(1+Inputs!$D$59)^(BI$259-1)*MAX(0,MIN(1,BI$258*1-Inputs!$D$60+1))/1</f>
        <v>1</v>
      </c>
      <c r="BJ370" s="115" t="n">
        <f aca="false">Inputs!$D$57*(1+Inputs!$D$59)^(BJ$259-1)*MAX(0,MIN(1,BJ$258*1-Inputs!$D$60+1))/1</f>
        <v>1</v>
      </c>
    </row>
    <row r="371" customFormat="false" ht="15" hidden="false" customHeight="false" outlineLevel="0" collapsed="false">
      <c r="A371" s="6" t="s">
        <v>465</v>
      </c>
      <c r="C371" s="115" t="n">
        <f aca="false">Inputs!$D$61*(1+Inputs!$D$63)^(C$259-1)*MAX(0,MIN(1,C$258*1-Inputs!$D$64+1))/1</f>
        <v>0.5</v>
      </c>
      <c r="D371" s="115" t="n">
        <f aca="false">Inputs!$D$61*(1+Inputs!$D$63)^(D$259-1)*MAX(0,MIN(1,D$258*1-Inputs!$D$64+1))/1</f>
        <v>0.5</v>
      </c>
      <c r="E371" s="115" t="n">
        <f aca="false">Inputs!$D$61*(1+Inputs!$D$63)^(E$259-1)*MAX(0,MIN(1,E$258*1-Inputs!$D$64+1))/1</f>
        <v>0.5</v>
      </c>
      <c r="F371" s="115" t="n">
        <f aca="false">Inputs!$D$61*(1+Inputs!$D$63)^(F$259-1)*MAX(0,MIN(1,F$258*1-Inputs!$D$64+1))/1</f>
        <v>0.5</v>
      </c>
      <c r="G371" s="115" t="n">
        <f aca="false">Inputs!$D$61*(1+Inputs!$D$63)^(G$259-1)*MAX(0,MIN(1,G$258*1-Inputs!$D$64+1))/1</f>
        <v>0.5</v>
      </c>
      <c r="H371" s="115" t="n">
        <f aca="false">Inputs!$D$61*(1+Inputs!$D$63)^(H$259-1)*MAX(0,MIN(1,H$258*1-Inputs!$D$64+1))/1</f>
        <v>0.5</v>
      </c>
      <c r="I371" s="115" t="n">
        <f aca="false">Inputs!$D$61*(1+Inputs!$D$63)^(I$259-1)*MAX(0,MIN(1,I$258*1-Inputs!$D$64+1))/1</f>
        <v>0.5</v>
      </c>
      <c r="J371" s="115" t="n">
        <f aca="false">Inputs!$D$61*(1+Inputs!$D$63)^(J$259-1)*MAX(0,MIN(1,J$258*1-Inputs!$D$64+1))/1</f>
        <v>0.5</v>
      </c>
      <c r="K371" s="115" t="n">
        <f aca="false">Inputs!$D$61*(1+Inputs!$D$63)^(K$259-1)*MAX(0,MIN(1,K$258*1-Inputs!$D$64+1))/1</f>
        <v>0.5</v>
      </c>
      <c r="L371" s="115" t="n">
        <f aca="false">Inputs!$D$61*(1+Inputs!$D$63)^(L$259-1)*MAX(0,MIN(1,L$258*1-Inputs!$D$64+1))/1</f>
        <v>0.5</v>
      </c>
      <c r="M371" s="115" t="n">
        <f aca="false">Inputs!$D$61*(1+Inputs!$D$63)^(M$259-1)*MAX(0,MIN(1,M$258*1-Inputs!$D$64+1))/1</f>
        <v>0.5</v>
      </c>
      <c r="N371" s="115" t="n">
        <f aca="false">Inputs!$D$61*(1+Inputs!$D$63)^(N$259-1)*MAX(0,MIN(1,N$258*1-Inputs!$D$64+1))/1</f>
        <v>0.5</v>
      </c>
      <c r="O371" s="115" t="n">
        <f aca="false">Inputs!$D$61*(1+Inputs!$D$63)^(O$259-1)*MAX(0,MIN(1,O$258*1-Inputs!$D$64+1))/1</f>
        <v>0.5</v>
      </c>
      <c r="P371" s="115" t="n">
        <f aca="false">Inputs!$D$61*(1+Inputs!$D$63)^(P$259-1)*MAX(0,MIN(1,P$258*1-Inputs!$D$64+1))/1</f>
        <v>0.5</v>
      </c>
      <c r="Q371" s="115" t="n">
        <f aca="false">Inputs!$D$61*(1+Inputs!$D$63)^(Q$259-1)*MAX(0,MIN(1,Q$258*1-Inputs!$D$64+1))/1</f>
        <v>0.5</v>
      </c>
      <c r="R371" s="115" t="n">
        <f aca="false">Inputs!$D$61*(1+Inputs!$D$63)^(R$259-1)*MAX(0,MIN(1,R$258*1-Inputs!$D$64+1))/1</f>
        <v>0.5</v>
      </c>
      <c r="S371" s="115" t="n">
        <f aca="false">Inputs!$D$61*(1+Inputs!$D$63)^(S$259-1)*MAX(0,MIN(1,S$258*1-Inputs!$D$64+1))/1</f>
        <v>0.5</v>
      </c>
      <c r="T371" s="115" t="n">
        <f aca="false">Inputs!$D$61*(1+Inputs!$D$63)^(T$259-1)*MAX(0,MIN(1,T$258*1-Inputs!$D$64+1))/1</f>
        <v>0.5</v>
      </c>
      <c r="U371" s="115" t="n">
        <f aca="false">Inputs!$D$61*(1+Inputs!$D$63)^(U$259-1)*MAX(0,MIN(1,U$258*1-Inputs!$D$64+1))/1</f>
        <v>0.5</v>
      </c>
      <c r="V371" s="115" t="n">
        <f aca="false">Inputs!$D$61*(1+Inputs!$D$63)^(V$259-1)*MAX(0,MIN(1,V$258*1-Inputs!$D$64+1))/1</f>
        <v>0.5</v>
      </c>
      <c r="W371" s="115" t="n">
        <f aca="false">Inputs!$D$61*(1+Inputs!$D$63)^(W$259-1)*MAX(0,MIN(1,W$258*1-Inputs!$D$64+1))/1</f>
        <v>0.5</v>
      </c>
      <c r="X371" s="115" t="n">
        <f aca="false">Inputs!$D$61*(1+Inputs!$D$63)^(X$259-1)*MAX(0,MIN(1,X$258*1-Inputs!$D$64+1))/1</f>
        <v>0.5</v>
      </c>
      <c r="Y371" s="115" t="n">
        <f aca="false">Inputs!$D$61*(1+Inputs!$D$63)^(Y$259-1)*MAX(0,MIN(1,Y$258*1-Inputs!$D$64+1))/1</f>
        <v>0.5</v>
      </c>
      <c r="Z371" s="115" t="n">
        <f aca="false">Inputs!$D$61*(1+Inputs!$D$63)^(Z$259-1)*MAX(0,MIN(1,Z$258*1-Inputs!$D$64+1))/1</f>
        <v>0.5</v>
      </c>
      <c r="AA371" s="115" t="n">
        <f aca="false">Inputs!$D$61*(1+Inputs!$D$63)^(AA$259-1)*MAX(0,MIN(1,AA$258*1-Inputs!$D$64+1))/1</f>
        <v>0.5</v>
      </c>
      <c r="AB371" s="115" t="n">
        <f aca="false">Inputs!$D$61*(1+Inputs!$D$63)^(AB$259-1)*MAX(0,MIN(1,AB$258*1-Inputs!$D$64+1))/1</f>
        <v>0.5</v>
      </c>
      <c r="AC371" s="115" t="n">
        <f aca="false">Inputs!$D$61*(1+Inputs!$D$63)^(AC$259-1)*MAX(0,MIN(1,AC$258*1-Inputs!$D$64+1))/1</f>
        <v>0.5</v>
      </c>
      <c r="AD371" s="115" t="n">
        <f aca="false">Inputs!$D$61*(1+Inputs!$D$63)^(AD$259-1)*MAX(0,MIN(1,AD$258*1-Inputs!$D$64+1))/1</f>
        <v>0.5</v>
      </c>
      <c r="AE371" s="115" t="n">
        <f aca="false">Inputs!$D$61*(1+Inputs!$D$63)^(AE$259-1)*MAX(0,MIN(1,AE$258*1-Inputs!$D$64+1))/1</f>
        <v>0.5</v>
      </c>
      <c r="AF371" s="115" t="n">
        <f aca="false">Inputs!$D$61*(1+Inputs!$D$63)^(AF$259-1)*MAX(0,MIN(1,AF$258*1-Inputs!$D$64+1))/1</f>
        <v>0.5</v>
      </c>
      <c r="AG371" s="115" t="n">
        <f aca="false">Inputs!$D$61*(1+Inputs!$D$63)^(AG$259-1)*MAX(0,MIN(1,AG$258*1-Inputs!$D$64+1))/1</f>
        <v>0.5</v>
      </c>
      <c r="AH371" s="115" t="n">
        <f aca="false">Inputs!$D$61*(1+Inputs!$D$63)^(AH$259-1)*MAX(0,MIN(1,AH$258*1-Inputs!$D$64+1))/1</f>
        <v>0.5</v>
      </c>
      <c r="AI371" s="115" t="n">
        <f aca="false">Inputs!$D$61*(1+Inputs!$D$63)^(AI$259-1)*MAX(0,MIN(1,AI$258*1-Inputs!$D$64+1))/1</f>
        <v>0.5</v>
      </c>
      <c r="AJ371" s="115" t="n">
        <f aca="false">Inputs!$D$61*(1+Inputs!$D$63)^(AJ$259-1)*MAX(0,MIN(1,AJ$258*1-Inputs!$D$64+1))/1</f>
        <v>0.5</v>
      </c>
      <c r="AK371" s="115" t="n">
        <f aca="false">Inputs!$D$61*(1+Inputs!$D$63)^(AK$259-1)*MAX(0,MIN(1,AK$258*1-Inputs!$D$64+1))/1</f>
        <v>0.5</v>
      </c>
      <c r="AL371" s="115" t="n">
        <f aca="false">Inputs!$D$61*(1+Inputs!$D$63)^(AL$259-1)*MAX(0,MIN(1,AL$258*1-Inputs!$D$64+1))/1</f>
        <v>0.5</v>
      </c>
      <c r="AM371" s="115" t="n">
        <f aca="false">Inputs!$D$61*(1+Inputs!$D$63)^(AM$259-1)*MAX(0,MIN(1,AM$258*1-Inputs!$D$64+1))/1</f>
        <v>0.5</v>
      </c>
      <c r="AN371" s="115" t="n">
        <f aca="false">Inputs!$D$61*(1+Inputs!$D$63)^(AN$259-1)*MAX(0,MIN(1,AN$258*1-Inputs!$D$64+1))/1</f>
        <v>0.5</v>
      </c>
      <c r="AO371" s="115" t="n">
        <f aca="false">Inputs!$D$61*(1+Inputs!$D$63)^(AO$259-1)*MAX(0,MIN(1,AO$258*1-Inputs!$D$64+1))/1</f>
        <v>0.5</v>
      </c>
      <c r="AP371" s="115" t="n">
        <f aca="false">Inputs!$D$61*(1+Inputs!$D$63)^(AP$259-1)*MAX(0,MIN(1,AP$258*1-Inputs!$D$64+1))/1</f>
        <v>0.5</v>
      </c>
      <c r="AQ371" s="115" t="n">
        <f aca="false">Inputs!$D$61*(1+Inputs!$D$63)^(AQ$259-1)*MAX(0,MIN(1,AQ$258*1-Inputs!$D$64+1))/1</f>
        <v>0.5</v>
      </c>
      <c r="AR371" s="115" t="n">
        <f aca="false">Inputs!$D$61*(1+Inputs!$D$63)^(AR$259-1)*MAX(0,MIN(1,AR$258*1-Inputs!$D$64+1))/1</f>
        <v>0.5</v>
      </c>
      <c r="AS371" s="115" t="n">
        <f aca="false">Inputs!$D$61*(1+Inputs!$D$63)^(AS$259-1)*MAX(0,MIN(1,AS$258*1-Inputs!$D$64+1))/1</f>
        <v>0.5</v>
      </c>
      <c r="AT371" s="115" t="n">
        <f aca="false">Inputs!$D$61*(1+Inputs!$D$63)^(AT$259-1)*MAX(0,MIN(1,AT$258*1-Inputs!$D$64+1))/1</f>
        <v>0.5</v>
      </c>
      <c r="AU371" s="115" t="n">
        <f aca="false">Inputs!$D$61*(1+Inputs!$D$63)^(AU$259-1)*MAX(0,MIN(1,AU$258*1-Inputs!$D$64+1))/1</f>
        <v>0.5</v>
      </c>
      <c r="AV371" s="115" t="n">
        <f aca="false">Inputs!$D$61*(1+Inputs!$D$63)^(AV$259-1)*MAX(0,MIN(1,AV$258*1-Inputs!$D$64+1))/1</f>
        <v>0.5</v>
      </c>
      <c r="AW371" s="115" t="n">
        <f aca="false">Inputs!$D$61*(1+Inputs!$D$63)^(AW$259-1)*MAX(0,MIN(1,AW$258*1-Inputs!$D$64+1))/1</f>
        <v>0.5</v>
      </c>
      <c r="AX371" s="115" t="n">
        <f aca="false">Inputs!$D$61*(1+Inputs!$D$63)^(AX$259-1)*MAX(0,MIN(1,AX$258*1-Inputs!$D$64+1))/1</f>
        <v>0.5</v>
      </c>
      <c r="AY371" s="115" t="n">
        <f aca="false">Inputs!$D$61*(1+Inputs!$D$63)^(AY$259-1)*MAX(0,MIN(1,AY$258*1-Inputs!$D$64+1))/1</f>
        <v>0.5</v>
      </c>
      <c r="AZ371" s="115" t="n">
        <f aca="false">Inputs!$D$61*(1+Inputs!$D$63)^(AZ$259-1)*MAX(0,MIN(1,AZ$258*1-Inputs!$D$64+1))/1</f>
        <v>0.5</v>
      </c>
      <c r="BA371" s="115" t="n">
        <f aca="false">Inputs!$D$61*(1+Inputs!$D$63)^(BA$259-1)*MAX(0,MIN(1,BA$258*1-Inputs!$D$64+1))/1</f>
        <v>0.5</v>
      </c>
      <c r="BB371" s="115" t="n">
        <f aca="false">Inputs!$D$61*(1+Inputs!$D$63)^(BB$259-1)*MAX(0,MIN(1,BB$258*1-Inputs!$D$64+1))/1</f>
        <v>0.5</v>
      </c>
      <c r="BC371" s="115" t="n">
        <f aca="false">Inputs!$D$61*(1+Inputs!$D$63)^(BC$259-1)*MAX(0,MIN(1,BC$258*1-Inputs!$D$64+1))/1</f>
        <v>0.5</v>
      </c>
      <c r="BD371" s="115" t="n">
        <f aca="false">Inputs!$D$61*(1+Inputs!$D$63)^(BD$259-1)*MAX(0,MIN(1,BD$258*1-Inputs!$D$64+1))/1</f>
        <v>0.5</v>
      </c>
      <c r="BE371" s="115" t="n">
        <f aca="false">Inputs!$D$61*(1+Inputs!$D$63)^(BE$259-1)*MAX(0,MIN(1,BE$258*1-Inputs!$D$64+1))/1</f>
        <v>0.5</v>
      </c>
      <c r="BF371" s="115" t="n">
        <f aca="false">Inputs!$D$61*(1+Inputs!$D$63)^(BF$259-1)*MAX(0,MIN(1,BF$258*1-Inputs!$D$64+1))/1</f>
        <v>0.5</v>
      </c>
      <c r="BG371" s="115" t="n">
        <f aca="false">Inputs!$D$61*(1+Inputs!$D$63)^(BG$259-1)*MAX(0,MIN(1,BG$258*1-Inputs!$D$64+1))/1</f>
        <v>0.5</v>
      </c>
      <c r="BH371" s="115" t="n">
        <f aca="false">Inputs!$D$61*(1+Inputs!$D$63)^(BH$259-1)*MAX(0,MIN(1,BH$258*1-Inputs!$D$64+1))/1</f>
        <v>0.5</v>
      </c>
      <c r="BI371" s="115" t="n">
        <f aca="false">Inputs!$D$61*(1+Inputs!$D$63)^(BI$259-1)*MAX(0,MIN(1,BI$258*1-Inputs!$D$64+1))/1</f>
        <v>0.5</v>
      </c>
      <c r="BJ371" s="115" t="n">
        <f aca="false">Inputs!$D$61*(1+Inputs!$D$63)^(BJ$259-1)*MAX(0,MIN(1,BJ$258*1-Inputs!$D$64+1))/1</f>
        <v>0.5</v>
      </c>
    </row>
    <row r="372" customFormat="false" ht="15" hidden="false" customHeight="false" outlineLevel="0" collapsed="false">
      <c r="A372" s="6" t="s">
        <v>466</v>
      </c>
      <c r="C372" s="115" t="n">
        <f aca="false">Inputs!$D$65*(1+Inputs!$D$67)^(C$259-1)*MAX(0,MIN(1,C$258*1-Inputs!$D$68+1))/1</f>
        <v>0.5</v>
      </c>
      <c r="D372" s="115" t="n">
        <f aca="false">Inputs!$D$65*(1+Inputs!$D$67)^(D$259-1)*MAX(0,MIN(1,D$258*1-Inputs!$D$68+1))/1</f>
        <v>0.5</v>
      </c>
      <c r="E372" s="115" t="n">
        <f aca="false">Inputs!$D$65*(1+Inputs!$D$67)^(E$259-1)*MAX(0,MIN(1,E$258*1-Inputs!$D$68+1))/1</f>
        <v>0.5</v>
      </c>
      <c r="F372" s="115" t="n">
        <f aca="false">Inputs!$D$65*(1+Inputs!$D$67)^(F$259-1)*MAX(0,MIN(1,F$258*1-Inputs!$D$68+1))/1</f>
        <v>0.5</v>
      </c>
      <c r="G372" s="115" t="n">
        <f aca="false">Inputs!$D$65*(1+Inputs!$D$67)^(G$259-1)*MAX(0,MIN(1,G$258*1-Inputs!$D$68+1))/1</f>
        <v>0.5</v>
      </c>
      <c r="H372" s="115" t="n">
        <f aca="false">Inputs!$D$65*(1+Inputs!$D$67)^(H$259-1)*MAX(0,MIN(1,H$258*1-Inputs!$D$68+1))/1</f>
        <v>0.5</v>
      </c>
      <c r="I372" s="115" t="n">
        <f aca="false">Inputs!$D$65*(1+Inputs!$D$67)^(I$259-1)*MAX(0,MIN(1,I$258*1-Inputs!$D$68+1))/1</f>
        <v>0.5</v>
      </c>
      <c r="J372" s="115" t="n">
        <f aca="false">Inputs!$D$65*(1+Inputs!$D$67)^(J$259-1)*MAX(0,MIN(1,J$258*1-Inputs!$D$68+1))/1</f>
        <v>0.5</v>
      </c>
      <c r="K372" s="115" t="n">
        <f aca="false">Inputs!$D$65*(1+Inputs!$D$67)^(K$259-1)*MAX(0,MIN(1,K$258*1-Inputs!$D$68+1))/1</f>
        <v>0.5</v>
      </c>
      <c r="L372" s="115" t="n">
        <f aca="false">Inputs!$D$65*(1+Inputs!$D$67)^(L$259-1)*MAX(0,MIN(1,L$258*1-Inputs!$D$68+1))/1</f>
        <v>0.5</v>
      </c>
      <c r="M372" s="115" t="n">
        <f aca="false">Inputs!$D$65*(1+Inputs!$D$67)^(M$259-1)*MAX(0,MIN(1,M$258*1-Inputs!$D$68+1))/1</f>
        <v>0.5</v>
      </c>
      <c r="N372" s="115" t="n">
        <f aca="false">Inputs!$D$65*(1+Inputs!$D$67)^(N$259-1)*MAX(0,MIN(1,N$258*1-Inputs!$D$68+1))/1</f>
        <v>0.5</v>
      </c>
      <c r="O372" s="115" t="n">
        <f aca="false">Inputs!$D$65*(1+Inputs!$D$67)^(O$259-1)*MAX(0,MIN(1,O$258*1-Inputs!$D$68+1))/1</f>
        <v>0.5</v>
      </c>
      <c r="P372" s="115" t="n">
        <f aca="false">Inputs!$D$65*(1+Inputs!$D$67)^(P$259-1)*MAX(0,MIN(1,P$258*1-Inputs!$D$68+1))/1</f>
        <v>0.5</v>
      </c>
      <c r="Q372" s="115" t="n">
        <f aca="false">Inputs!$D$65*(1+Inputs!$D$67)^(Q$259-1)*MAX(0,MIN(1,Q$258*1-Inputs!$D$68+1))/1</f>
        <v>0.5</v>
      </c>
      <c r="R372" s="115" t="n">
        <f aca="false">Inputs!$D$65*(1+Inputs!$D$67)^(R$259-1)*MAX(0,MIN(1,R$258*1-Inputs!$D$68+1))/1</f>
        <v>0.5</v>
      </c>
      <c r="S372" s="115" t="n">
        <f aca="false">Inputs!$D$65*(1+Inputs!$D$67)^(S$259-1)*MAX(0,MIN(1,S$258*1-Inputs!$D$68+1))/1</f>
        <v>0.5</v>
      </c>
      <c r="T372" s="115" t="n">
        <f aca="false">Inputs!$D$65*(1+Inputs!$D$67)^(T$259-1)*MAX(0,MIN(1,T$258*1-Inputs!$D$68+1))/1</f>
        <v>0.5</v>
      </c>
      <c r="U372" s="115" t="n">
        <f aca="false">Inputs!$D$65*(1+Inputs!$D$67)^(U$259-1)*MAX(0,MIN(1,U$258*1-Inputs!$D$68+1))/1</f>
        <v>0.5</v>
      </c>
      <c r="V372" s="115" t="n">
        <f aca="false">Inputs!$D$65*(1+Inputs!$D$67)^(V$259-1)*MAX(0,MIN(1,V$258*1-Inputs!$D$68+1))/1</f>
        <v>0.5</v>
      </c>
      <c r="W372" s="115" t="n">
        <f aca="false">Inputs!$D$65*(1+Inputs!$D$67)^(W$259-1)*MAX(0,MIN(1,W$258*1-Inputs!$D$68+1))/1</f>
        <v>0.5</v>
      </c>
      <c r="X372" s="115" t="n">
        <f aca="false">Inputs!$D$65*(1+Inputs!$D$67)^(X$259-1)*MAX(0,MIN(1,X$258*1-Inputs!$D$68+1))/1</f>
        <v>0.5</v>
      </c>
      <c r="Y372" s="115" t="n">
        <f aca="false">Inputs!$D$65*(1+Inputs!$D$67)^(Y$259-1)*MAX(0,MIN(1,Y$258*1-Inputs!$D$68+1))/1</f>
        <v>0.5</v>
      </c>
      <c r="Z372" s="115" t="n">
        <f aca="false">Inputs!$D$65*(1+Inputs!$D$67)^(Z$259-1)*MAX(0,MIN(1,Z$258*1-Inputs!$D$68+1))/1</f>
        <v>0.5</v>
      </c>
      <c r="AA372" s="115" t="n">
        <f aca="false">Inputs!$D$65*(1+Inputs!$D$67)^(AA$259-1)*MAX(0,MIN(1,AA$258*1-Inputs!$D$68+1))/1</f>
        <v>0.5</v>
      </c>
      <c r="AB372" s="115" t="n">
        <f aca="false">Inputs!$D$65*(1+Inputs!$D$67)^(AB$259-1)*MAX(0,MIN(1,AB$258*1-Inputs!$D$68+1))/1</f>
        <v>0.5</v>
      </c>
      <c r="AC372" s="115" t="n">
        <f aca="false">Inputs!$D$65*(1+Inputs!$D$67)^(AC$259-1)*MAX(0,MIN(1,AC$258*1-Inputs!$D$68+1))/1</f>
        <v>0.5</v>
      </c>
      <c r="AD372" s="115" t="n">
        <f aca="false">Inputs!$D$65*(1+Inputs!$D$67)^(AD$259-1)*MAX(0,MIN(1,AD$258*1-Inputs!$D$68+1))/1</f>
        <v>0.5</v>
      </c>
      <c r="AE372" s="115" t="n">
        <f aca="false">Inputs!$D$65*(1+Inputs!$D$67)^(AE$259-1)*MAX(0,MIN(1,AE$258*1-Inputs!$D$68+1))/1</f>
        <v>0.5</v>
      </c>
      <c r="AF372" s="115" t="n">
        <f aca="false">Inputs!$D$65*(1+Inputs!$D$67)^(AF$259-1)*MAX(0,MIN(1,AF$258*1-Inputs!$D$68+1))/1</f>
        <v>0.5</v>
      </c>
      <c r="AG372" s="115" t="n">
        <f aca="false">Inputs!$D$65*(1+Inputs!$D$67)^(AG$259-1)*MAX(0,MIN(1,AG$258*1-Inputs!$D$68+1))/1</f>
        <v>0.5</v>
      </c>
      <c r="AH372" s="115" t="n">
        <f aca="false">Inputs!$D$65*(1+Inputs!$D$67)^(AH$259-1)*MAX(0,MIN(1,AH$258*1-Inputs!$D$68+1))/1</f>
        <v>0.5</v>
      </c>
      <c r="AI372" s="115" t="n">
        <f aca="false">Inputs!$D$65*(1+Inputs!$D$67)^(AI$259-1)*MAX(0,MIN(1,AI$258*1-Inputs!$D$68+1))/1</f>
        <v>0.5</v>
      </c>
      <c r="AJ372" s="115" t="n">
        <f aca="false">Inputs!$D$65*(1+Inputs!$D$67)^(AJ$259-1)*MAX(0,MIN(1,AJ$258*1-Inputs!$D$68+1))/1</f>
        <v>0.5</v>
      </c>
      <c r="AK372" s="115" t="n">
        <f aca="false">Inputs!$D$65*(1+Inputs!$D$67)^(AK$259-1)*MAX(0,MIN(1,AK$258*1-Inputs!$D$68+1))/1</f>
        <v>0.5</v>
      </c>
      <c r="AL372" s="115" t="n">
        <f aca="false">Inputs!$D$65*(1+Inputs!$D$67)^(AL$259-1)*MAX(0,MIN(1,AL$258*1-Inputs!$D$68+1))/1</f>
        <v>0.5</v>
      </c>
      <c r="AM372" s="115" t="n">
        <f aca="false">Inputs!$D$65*(1+Inputs!$D$67)^(AM$259-1)*MAX(0,MIN(1,AM$258*1-Inputs!$D$68+1))/1</f>
        <v>0.5</v>
      </c>
      <c r="AN372" s="115" t="n">
        <f aca="false">Inputs!$D$65*(1+Inputs!$D$67)^(AN$259-1)*MAX(0,MIN(1,AN$258*1-Inputs!$D$68+1))/1</f>
        <v>0.5</v>
      </c>
      <c r="AO372" s="115" t="n">
        <f aca="false">Inputs!$D$65*(1+Inputs!$D$67)^(AO$259-1)*MAX(0,MIN(1,AO$258*1-Inputs!$D$68+1))/1</f>
        <v>0.5</v>
      </c>
      <c r="AP372" s="115" t="n">
        <f aca="false">Inputs!$D$65*(1+Inputs!$D$67)^(AP$259-1)*MAX(0,MIN(1,AP$258*1-Inputs!$D$68+1))/1</f>
        <v>0.5</v>
      </c>
      <c r="AQ372" s="115" t="n">
        <f aca="false">Inputs!$D$65*(1+Inputs!$D$67)^(AQ$259-1)*MAX(0,MIN(1,AQ$258*1-Inputs!$D$68+1))/1</f>
        <v>0.5</v>
      </c>
      <c r="AR372" s="115" t="n">
        <f aca="false">Inputs!$D$65*(1+Inputs!$D$67)^(AR$259-1)*MAX(0,MIN(1,AR$258*1-Inputs!$D$68+1))/1</f>
        <v>0.5</v>
      </c>
      <c r="AS372" s="115" t="n">
        <f aca="false">Inputs!$D$65*(1+Inputs!$D$67)^(AS$259-1)*MAX(0,MIN(1,AS$258*1-Inputs!$D$68+1))/1</f>
        <v>0.5</v>
      </c>
      <c r="AT372" s="115" t="n">
        <f aca="false">Inputs!$D$65*(1+Inputs!$D$67)^(AT$259-1)*MAX(0,MIN(1,AT$258*1-Inputs!$D$68+1))/1</f>
        <v>0.5</v>
      </c>
      <c r="AU372" s="115" t="n">
        <f aca="false">Inputs!$D$65*(1+Inputs!$D$67)^(AU$259-1)*MAX(0,MIN(1,AU$258*1-Inputs!$D$68+1))/1</f>
        <v>0.5</v>
      </c>
      <c r="AV372" s="115" t="n">
        <f aca="false">Inputs!$D$65*(1+Inputs!$D$67)^(AV$259-1)*MAX(0,MIN(1,AV$258*1-Inputs!$D$68+1))/1</f>
        <v>0.5</v>
      </c>
      <c r="AW372" s="115" t="n">
        <f aca="false">Inputs!$D$65*(1+Inputs!$D$67)^(AW$259-1)*MAX(0,MIN(1,AW$258*1-Inputs!$D$68+1))/1</f>
        <v>0.5</v>
      </c>
      <c r="AX372" s="115" t="n">
        <f aca="false">Inputs!$D$65*(1+Inputs!$D$67)^(AX$259-1)*MAX(0,MIN(1,AX$258*1-Inputs!$D$68+1))/1</f>
        <v>0.5</v>
      </c>
      <c r="AY372" s="115" t="n">
        <f aca="false">Inputs!$D$65*(1+Inputs!$D$67)^(AY$259-1)*MAX(0,MIN(1,AY$258*1-Inputs!$D$68+1))/1</f>
        <v>0.5</v>
      </c>
      <c r="AZ372" s="115" t="n">
        <f aca="false">Inputs!$D$65*(1+Inputs!$D$67)^(AZ$259-1)*MAX(0,MIN(1,AZ$258*1-Inputs!$D$68+1))/1</f>
        <v>0.5</v>
      </c>
      <c r="BA372" s="115" t="n">
        <f aca="false">Inputs!$D$65*(1+Inputs!$D$67)^(BA$259-1)*MAX(0,MIN(1,BA$258*1-Inputs!$D$68+1))/1</f>
        <v>0.5</v>
      </c>
      <c r="BB372" s="115" t="n">
        <f aca="false">Inputs!$D$65*(1+Inputs!$D$67)^(BB$259-1)*MAX(0,MIN(1,BB$258*1-Inputs!$D$68+1))/1</f>
        <v>0.5</v>
      </c>
      <c r="BC372" s="115" t="n">
        <f aca="false">Inputs!$D$65*(1+Inputs!$D$67)^(BC$259-1)*MAX(0,MIN(1,BC$258*1-Inputs!$D$68+1))/1</f>
        <v>0.5</v>
      </c>
      <c r="BD372" s="115" t="n">
        <f aca="false">Inputs!$D$65*(1+Inputs!$D$67)^(BD$259-1)*MAX(0,MIN(1,BD$258*1-Inputs!$D$68+1))/1</f>
        <v>0.5</v>
      </c>
      <c r="BE372" s="115" t="n">
        <f aca="false">Inputs!$D$65*(1+Inputs!$D$67)^(BE$259-1)*MAX(0,MIN(1,BE$258*1-Inputs!$D$68+1))/1</f>
        <v>0.5</v>
      </c>
      <c r="BF372" s="115" t="n">
        <f aca="false">Inputs!$D$65*(1+Inputs!$D$67)^(BF$259-1)*MAX(0,MIN(1,BF$258*1-Inputs!$D$68+1))/1</f>
        <v>0.5</v>
      </c>
      <c r="BG372" s="115" t="n">
        <f aca="false">Inputs!$D$65*(1+Inputs!$D$67)^(BG$259-1)*MAX(0,MIN(1,BG$258*1-Inputs!$D$68+1))/1</f>
        <v>0.5</v>
      </c>
      <c r="BH372" s="115" t="n">
        <f aca="false">Inputs!$D$65*(1+Inputs!$D$67)^(BH$259-1)*MAX(0,MIN(1,BH$258*1-Inputs!$D$68+1))/1</f>
        <v>0.5</v>
      </c>
      <c r="BI372" s="115" t="n">
        <f aca="false">Inputs!$D$65*(1+Inputs!$D$67)^(BI$259-1)*MAX(0,MIN(1,BI$258*1-Inputs!$D$68+1))/1</f>
        <v>0.5</v>
      </c>
      <c r="BJ372" s="115" t="n">
        <f aca="false">Inputs!$D$65*(1+Inputs!$D$67)^(BJ$259-1)*MAX(0,MIN(1,BJ$258*1-Inputs!$D$68+1))/1</f>
        <v>0.5</v>
      </c>
    </row>
    <row r="373" customFormat="false" ht="15" hidden="false" customHeight="false" outlineLevel="0" collapsed="false">
      <c r="A373" s="110" t="s">
        <v>467</v>
      </c>
      <c r="C373" s="118" t="n">
        <f aca="false">C370+C371+C372</f>
        <v>2</v>
      </c>
      <c r="D373" s="118" t="n">
        <f aca="false">D370+D371+D372</f>
        <v>2</v>
      </c>
      <c r="E373" s="118" t="n">
        <f aca="false">E370+E371+E372</f>
        <v>2</v>
      </c>
      <c r="F373" s="118" t="n">
        <f aca="false">F370+F371+F372</f>
        <v>2</v>
      </c>
      <c r="G373" s="118" t="n">
        <f aca="false">G370+G371+G372</f>
        <v>2</v>
      </c>
      <c r="H373" s="118" t="n">
        <f aca="false">H370+H371+H372</f>
        <v>2</v>
      </c>
      <c r="I373" s="118" t="n">
        <f aca="false">I370+I371+I372</f>
        <v>2</v>
      </c>
      <c r="J373" s="118" t="n">
        <f aca="false">J370+J371+J372</f>
        <v>2</v>
      </c>
      <c r="K373" s="118" t="n">
        <f aca="false">K370+K371+K372</f>
        <v>2</v>
      </c>
      <c r="L373" s="118" t="n">
        <f aca="false">L370+L371+L372</f>
        <v>2</v>
      </c>
      <c r="M373" s="118" t="n">
        <f aca="false">M370+M371+M372</f>
        <v>2</v>
      </c>
      <c r="N373" s="118" t="n">
        <f aca="false">N370+N371+N372</f>
        <v>2</v>
      </c>
      <c r="O373" s="118" t="n">
        <f aca="false">O370+O371+O372</f>
        <v>2</v>
      </c>
      <c r="P373" s="118" t="n">
        <f aca="false">P370+P371+P372</f>
        <v>2</v>
      </c>
      <c r="Q373" s="118" t="n">
        <f aca="false">Q370+Q371+Q372</f>
        <v>2</v>
      </c>
      <c r="R373" s="118" t="n">
        <f aca="false">R370+R371+R372</f>
        <v>2</v>
      </c>
      <c r="S373" s="118" t="n">
        <f aca="false">S370+S371+S372</f>
        <v>2</v>
      </c>
      <c r="T373" s="118" t="n">
        <f aca="false">T370+T371+T372</f>
        <v>2</v>
      </c>
      <c r="U373" s="118" t="n">
        <f aca="false">U370+U371+U372</f>
        <v>2</v>
      </c>
      <c r="V373" s="118" t="n">
        <f aca="false">V370+V371+V372</f>
        <v>2</v>
      </c>
      <c r="W373" s="118" t="n">
        <f aca="false">W370+W371+W372</f>
        <v>2</v>
      </c>
      <c r="X373" s="118" t="n">
        <f aca="false">X370+X371+X372</f>
        <v>2</v>
      </c>
      <c r="Y373" s="118" t="n">
        <f aca="false">Y370+Y371+Y372</f>
        <v>2</v>
      </c>
      <c r="Z373" s="118" t="n">
        <f aca="false">Z370+Z371+Z372</f>
        <v>2</v>
      </c>
      <c r="AA373" s="118" t="n">
        <f aca="false">AA370+AA371+AA372</f>
        <v>2</v>
      </c>
      <c r="AB373" s="118" t="n">
        <f aca="false">AB370+AB371+AB372</f>
        <v>2</v>
      </c>
      <c r="AC373" s="118" t="n">
        <f aca="false">AC370+AC371+AC372</f>
        <v>2</v>
      </c>
      <c r="AD373" s="118" t="n">
        <f aca="false">AD370+AD371+AD372</f>
        <v>2</v>
      </c>
      <c r="AE373" s="118" t="n">
        <f aca="false">AE370+AE371+AE372</f>
        <v>2</v>
      </c>
      <c r="AF373" s="118" t="n">
        <f aca="false">AF370+AF371+AF372</f>
        <v>2</v>
      </c>
      <c r="AG373" s="118" t="n">
        <f aca="false">AG370+AG371+AG372</f>
        <v>2</v>
      </c>
      <c r="AH373" s="118" t="n">
        <f aca="false">AH370+AH371+AH372</f>
        <v>2</v>
      </c>
      <c r="AI373" s="118" t="n">
        <f aca="false">AI370+AI371+AI372</f>
        <v>2</v>
      </c>
      <c r="AJ373" s="118" t="n">
        <f aca="false">AJ370+AJ371+AJ372</f>
        <v>2</v>
      </c>
      <c r="AK373" s="118" t="n">
        <f aca="false">AK370+AK371+AK372</f>
        <v>2</v>
      </c>
      <c r="AL373" s="118" t="n">
        <f aca="false">AL370+AL371+AL372</f>
        <v>2</v>
      </c>
      <c r="AM373" s="118" t="n">
        <f aca="false">AM370+AM371+AM372</f>
        <v>2</v>
      </c>
      <c r="AN373" s="118" t="n">
        <f aca="false">AN370+AN371+AN372</f>
        <v>2</v>
      </c>
      <c r="AO373" s="118" t="n">
        <f aca="false">AO370+AO371+AO372</f>
        <v>2</v>
      </c>
      <c r="AP373" s="118" t="n">
        <f aca="false">AP370+AP371+AP372</f>
        <v>2</v>
      </c>
      <c r="AQ373" s="118" t="n">
        <f aca="false">AQ370+AQ371+AQ372</f>
        <v>2</v>
      </c>
      <c r="AR373" s="118" t="n">
        <f aca="false">AR370+AR371+AR372</f>
        <v>2</v>
      </c>
      <c r="AS373" s="118" t="n">
        <f aca="false">AS370+AS371+AS372</f>
        <v>2</v>
      </c>
      <c r="AT373" s="118" t="n">
        <f aca="false">AT370+AT371+AT372</f>
        <v>2</v>
      </c>
      <c r="AU373" s="118" t="n">
        <f aca="false">AU370+AU371+AU372</f>
        <v>2</v>
      </c>
      <c r="AV373" s="118" t="n">
        <f aca="false">AV370+AV371+AV372</f>
        <v>2</v>
      </c>
      <c r="AW373" s="118" t="n">
        <f aca="false">AW370+AW371+AW372</f>
        <v>2</v>
      </c>
      <c r="AX373" s="118" t="n">
        <f aca="false">AX370+AX371+AX372</f>
        <v>2</v>
      </c>
      <c r="AY373" s="118" t="n">
        <f aca="false">AY370+AY371+AY372</f>
        <v>2</v>
      </c>
      <c r="AZ373" s="118" t="n">
        <f aca="false">AZ370+AZ371+AZ372</f>
        <v>2</v>
      </c>
      <c r="BA373" s="118" t="n">
        <f aca="false">BA370+BA371+BA372</f>
        <v>2</v>
      </c>
      <c r="BB373" s="118" t="n">
        <f aca="false">BB370+BB371+BB372</f>
        <v>2</v>
      </c>
      <c r="BC373" s="118" t="n">
        <f aca="false">BC370+BC371+BC372</f>
        <v>2</v>
      </c>
      <c r="BD373" s="118" t="n">
        <f aca="false">BD370+BD371+BD372</f>
        <v>2</v>
      </c>
      <c r="BE373" s="118" t="n">
        <f aca="false">BE370+BE371+BE372</f>
        <v>2</v>
      </c>
      <c r="BF373" s="118" t="n">
        <f aca="false">BF370+BF371+BF372</f>
        <v>2</v>
      </c>
      <c r="BG373" s="118" t="n">
        <f aca="false">BG370+BG371+BG372</f>
        <v>2</v>
      </c>
      <c r="BH373" s="118" t="n">
        <f aca="false">BH370+BH371+BH372</f>
        <v>2</v>
      </c>
      <c r="BI373" s="118" t="n">
        <f aca="false">BI370+BI371+BI372</f>
        <v>2</v>
      </c>
      <c r="BJ373" s="118" t="n">
        <f aca="false">BJ370+BJ371+BJ372</f>
        <v>2</v>
      </c>
    </row>
    <row r="375" customFormat="false" ht="15.75" hidden="false" customHeight="true" outlineLevel="0" collapsed="false">
      <c r="A375" s="7" t="s">
        <v>468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customFormat="false" ht="15" hidden="false" customHeight="false" outlineLevel="0" collapsed="false">
      <c r="A376" s="6" t="s">
        <v>469</v>
      </c>
      <c r="C376" s="66" t="n">
        <f aca="false">-C370*Inputs!$D$58/12*1*(1+Inputs!$D$69)*(1+Inputs!$D$70)^(C$259-1)</f>
        <v>-5786.66666666667</v>
      </c>
      <c r="D376" s="66" t="n">
        <f aca="false">-D370*Inputs!$D$58/12*1*(1+Inputs!$D$69)*(1+Inputs!$D$70)^(D$259-1)</f>
        <v>-5786.66666666667</v>
      </c>
      <c r="E376" s="66" t="n">
        <f aca="false">-E370*Inputs!$D$58/12*1*(1+Inputs!$D$69)*(1+Inputs!$D$70)^(E$259-1)</f>
        <v>-5786.66666666667</v>
      </c>
      <c r="F376" s="66" t="n">
        <f aca="false">-F370*Inputs!$D$58/12*1*(1+Inputs!$D$69)*(1+Inputs!$D$70)^(F$259-1)</f>
        <v>-5786.66666666667</v>
      </c>
      <c r="G376" s="66" t="n">
        <f aca="false">-G370*Inputs!$D$58/12*1*(1+Inputs!$D$69)*(1+Inputs!$D$70)^(G$259-1)</f>
        <v>-5786.66666666667</v>
      </c>
      <c r="H376" s="66" t="n">
        <f aca="false">-H370*Inputs!$D$58/12*1*(1+Inputs!$D$69)*(1+Inputs!$D$70)^(H$259-1)</f>
        <v>-5786.66666666667</v>
      </c>
      <c r="I376" s="66" t="n">
        <f aca="false">-I370*Inputs!$D$58/12*1*(1+Inputs!$D$69)*(1+Inputs!$D$70)^(I$259-1)</f>
        <v>-5786.66666666667</v>
      </c>
      <c r="J376" s="66" t="n">
        <f aca="false">-J370*Inputs!$D$58/12*1*(1+Inputs!$D$69)*(1+Inputs!$D$70)^(J$259-1)</f>
        <v>-5786.66666666667</v>
      </c>
      <c r="K376" s="66" t="n">
        <f aca="false">-K370*Inputs!$D$58/12*1*(1+Inputs!$D$69)*(1+Inputs!$D$70)^(K$259-1)</f>
        <v>-5786.66666666667</v>
      </c>
      <c r="L376" s="66" t="n">
        <f aca="false">-L370*Inputs!$D$58/12*1*(1+Inputs!$D$69)*(1+Inputs!$D$70)^(L$259-1)</f>
        <v>-5786.66666666667</v>
      </c>
      <c r="M376" s="66" t="n">
        <f aca="false">-M370*Inputs!$D$58/12*1*(1+Inputs!$D$69)*(1+Inputs!$D$70)^(M$259-1)</f>
        <v>-5786.66666666667</v>
      </c>
      <c r="N376" s="66" t="n">
        <f aca="false">-N370*Inputs!$D$58/12*1*(1+Inputs!$D$69)*(1+Inputs!$D$70)^(N$259-1)</f>
        <v>-5786.66666666667</v>
      </c>
      <c r="O376" s="66" t="n">
        <f aca="false">-O370*Inputs!$D$58/12*1*(1+Inputs!$D$69)*(1+Inputs!$D$70)^(O$259-1)</f>
        <v>-5960.26666666667</v>
      </c>
      <c r="P376" s="66" t="n">
        <f aca="false">-P370*Inputs!$D$58/12*1*(1+Inputs!$D$69)*(1+Inputs!$D$70)^(P$259-1)</f>
        <v>-5960.26666666667</v>
      </c>
      <c r="Q376" s="66" t="n">
        <f aca="false">-Q370*Inputs!$D$58/12*1*(1+Inputs!$D$69)*(1+Inputs!$D$70)^(Q$259-1)</f>
        <v>-5960.26666666667</v>
      </c>
      <c r="R376" s="66" t="n">
        <f aca="false">-R370*Inputs!$D$58/12*1*(1+Inputs!$D$69)*(1+Inputs!$D$70)^(R$259-1)</f>
        <v>-5960.26666666667</v>
      </c>
      <c r="S376" s="66" t="n">
        <f aca="false">-S370*Inputs!$D$58/12*1*(1+Inputs!$D$69)*(1+Inputs!$D$70)^(S$259-1)</f>
        <v>-5960.26666666667</v>
      </c>
      <c r="T376" s="66" t="n">
        <f aca="false">-T370*Inputs!$D$58/12*1*(1+Inputs!$D$69)*(1+Inputs!$D$70)^(T$259-1)</f>
        <v>-5960.26666666667</v>
      </c>
      <c r="U376" s="66" t="n">
        <f aca="false">-U370*Inputs!$D$58/12*1*(1+Inputs!$D$69)*(1+Inputs!$D$70)^(U$259-1)</f>
        <v>-5960.26666666667</v>
      </c>
      <c r="V376" s="66" t="n">
        <f aca="false">-V370*Inputs!$D$58/12*1*(1+Inputs!$D$69)*(1+Inputs!$D$70)^(V$259-1)</f>
        <v>-5960.26666666667</v>
      </c>
      <c r="W376" s="66" t="n">
        <f aca="false">-W370*Inputs!$D$58/12*1*(1+Inputs!$D$69)*(1+Inputs!$D$70)^(W$259-1)</f>
        <v>-5960.26666666667</v>
      </c>
      <c r="X376" s="66" t="n">
        <f aca="false">-X370*Inputs!$D$58/12*1*(1+Inputs!$D$69)*(1+Inputs!$D$70)^(X$259-1)</f>
        <v>-5960.26666666667</v>
      </c>
      <c r="Y376" s="66" t="n">
        <f aca="false">-Y370*Inputs!$D$58/12*1*(1+Inputs!$D$69)*(1+Inputs!$D$70)^(Y$259-1)</f>
        <v>-5960.26666666667</v>
      </c>
      <c r="Z376" s="66" t="n">
        <f aca="false">-Z370*Inputs!$D$58/12*1*(1+Inputs!$D$69)*(1+Inputs!$D$70)^(Z$259-1)</f>
        <v>-5960.26666666667</v>
      </c>
      <c r="AA376" s="66" t="n">
        <f aca="false">-AA370*Inputs!$D$58/12*1*(1+Inputs!$D$69)*(1+Inputs!$D$70)^(AA$259-1)</f>
        <v>-6139.07466666667</v>
      </c>
      <c r="AB376" s="66" t="n">
        <f aca="false">-AB370*Inputs!$D$58/12*1*(1+Inputs!$D$69)*(1+Inputs!$D$70)^(AB$259-1)</f>
        <v>-6139.07466666667</v>
      </c>
      <c r="AC376" s="66" t="n">
        <f aca="false">-AC370*Inputs!$D$58/12*1*(1+Inputs!$D$69)*(1+Inputs!$D$70)^(AC$259-1)</f>
        <v>-6139.07466666667</v>
      </c>
      <c r="AD376" s="66" t="n">
        <f aca="false">-AD370*Inputs!$D$58/12*1*(1+Inputs!$D$69)*(1+Inputs!$D$70)^(AD$259-1)</f>
        <v>-6139.07466666667</v>
      </c>
      <c r="AE376" s="66" t="n">
        <f aca="false">-AE370*Inputs!$D$58/12*1*(1+Inputs!$D$69)*(1+Inputs!$D$70)^(AE$259-1)</f>
        <v>-6139.07466666667</v>
      </c>
      <c r="AF376" s="66" t="n">
        <f aca="false">-AF370*Inputs!$D$58/12*1*(1+Inputs!$D$69)*(1+Inputs!$D$70)^(AF$259-1)</f>
        <v>-6139.07466666667</v>
      </c>
      <c r="AG376" s="66" t="n">
        <f aca="false">-AG370*Inputs!$D$58/12*1*(1+Inputs!$D$69)*(1+Inputs!$D$70)^(AG$259-1)</f>
        <v>-6139.07466666667</v>
      </c>
      <c r="AH376" s="66" t="n">
        <f aca="false">-AH370*Inputs!$D$58/12*1*(1+Inputs!$D$69)*(1+Inputs!$D$70)^(AH$259-1)</f>
        <v>-6139.07466666667</v>
      </c>
      <c r="AI376" s="66" t="n">
        <f aca="false">-AI370*Inputs!$D$58/12*1*(1+Inputs!$D$69)*(1+Inputs!$D$70)^(AI$259-1)</f>
        <v>-6139.07466666667</v>
      </c>
      <c r="AJ376" s="66" t="n">
        <f aca="false">-AJ370*Inputs!$D$58/12*1*(1+Inputs!$D$69)*(1+Inputs!$D$70)^(AJ$259-1)</f>
        <v>-6139.07466666667</v>
      </c>
      <c r="AK376" s="66" t="n">
        <f aca="false">-AK370*Inputs!$D$58/12*1*(1+Inputs!$D$69)*(1+Inputs!$D$70)^(AK$259-1)</f>
        <v>-6139.07466666667</v>
      </c>
      <c r="AL376" s="66" t="n">
        <f aca="false">-AL370*Inputs!$D$58/12*1*(1+Inputs!$D$69)*(1+Inputs!$D$70)^(AL$259-1)</f>
        <v>-6139.07466666667</v>
      </c>
      <c r="AM376" s="66" t="n">
        <f aca="false">-AM370*Inputs!$D$58/12*1*(1+Inputs!$D$69)*(1+Inputs!$D$70)^(AM$259-1)</f>
        <v>-6323.24690666667</v>
      </c>
      <c r="AN376" s="66" t="n">
        <f aca="false">-AN370*Inputs!$D$58/12*1*(1+Inputs!$D$69)*(1+Inputs!$D$70)^(AN$259-1)</f>
        <v>-6323.24690666667</v>
      </c>
      <c r="AO376" s="66" t="n">
        <f aca="false">-AO370*Inputs!$D$58/12*1*(1+Inputs!$D$69)*(1+Inputs!$D$70)^(AO$259-1)</f>
        <v>-6323.24690666667</v>
      </c>
      <c r="AP376" s="66" t="n">
        <f aca="false">-AP370*Inputs!$D$58/12*1*(1+Inputs!$D$69)*(1+Inputs!$D$70)^(AP$259-1)</f>
        <v>-6323.24690666667</v>
      </c>
      <c r="AQ376" s="66" t="n">
        <f aca="false">-AQ370*Inputs!$D$58/12*1*(1+Inputs!$D$69)*(1+Inputs!$D$70)^(AQ$259-1)</f>
        <v>-6323.24690666667</v>
      </c>
      <c r="AR376" s="66" t="n">
        <f aca="false">-AR370*Inputs!$D$58/12*1*(1+Inputs!$D$69)*(1+Inputs!$D$70)^(AR$259-1)</f>
        <v>-6323.24690666667</v>
      </c>
      <c r="AS376" s="66" t="n">
        <f aca="false">-AS370*Inputs!$D$58/12*1*(1+Inputs!$D$69)*(1+Inputs!$D$70)^(AS$259-1)</f>
        <v>-6323.24690666667</v>
      </c>
      <c r="AT376" s="66" t="n">
        <f aca="false">-AT370*Inputs!$D$58/12*1*(1+Inputs!$D$69)*(1+Inputs!$D$70)^(AT$259-1)</f>
        <v>-6323.24690666667</v>
      </c>
      <c r="AU376" s="66" t="n">
        <f aca="false">-AU370*Inputs!$D$58/12*1*(1+Inputs!$D$69)*(1+Inputs!$D$70)^(AU$259-1)</f>
        <v>-6323.24690666667</v>
      </c>
      <c r="AV376" s="66" t="n">
        <f aca="false">-AV370*Inputs!$D$58/12*1*(1+Inputs!$D$69)*(1+Inputs!$D$70)^(AV$259-1)</f>
        <v>-6323.24690666667</v>
      </c>
      <c r="AW376" s="66" t="n">
        <f aca="false">-AW370*Inputs!$D$58/12*1*(1+Inputs!$D$69)*(1+Inputs!$D$70)^(AW$259-1)</f>
        <v>-6323.24690666667</v>
      </c>
      <c r="AX376" s="66" t="n">
        <f aca="false">-AX370*Inputs!$D$58/12*1*(1+Inputs!$D$69)*(1+Inputs!$D$70)^(AX$259-1)</f>
        <v>-6323.24690666667</v>
      </c>
      <c r="AY376" s="66" t="n">
        <f aca="false">-AY370*Inputs!$D$58/12*1*(1+Inputs!$D$69)*(1+Inputs!$D$70)^(AY$259-1)</f>
        <v>-6512.94431386667</v>
      </c>
      <c r="AZ376" s="66" t="n">
        <f aca="false">-AZ370*Inputs!$D$58/12*1*(1+Inputs!$D$69)*(1+Inputs!$D$70)^(AZ$259-1)</f>
        <v>-6512.94431386667</v>
      </c>
      <c r="BA376" s="66" t="n">
        <f aca="false">-BA370*Inputs!$D$58/12*1*(1+Inputs!$D$69)*(1+Inputs!$D$70)^(BA$259-1)</f>
        <v>-6512.94431386667</v>
      </c>
      <c r="BB376" s="66" t="n">
        <f aca="false">-BB370*Inputs!$D$58/12*1*(1+Inputs!$D$69)*(1+Inputs!$D$70)^(BB$259-1)</f>
        <v>-6512.94431386667</v>
      </c>
      <c r="BC376" s="66" t="n">
        <f aca="false">-BC370*Inputs!$D$58/12*1*(1+Inputs!$D$69)*(1+Inputs!$D$70)^(BC$259-1)</f>
        <v>-6512.94431386667</v>
      </c>
      <c r="BD376" s="66" t="n">
        <f aca="false">-BD370*Inputs!$D$58/12*1*(1+Inputs!$D$69)*(1+Inputs!$D$70)^(BD$259-1)</f>
        <v>-6512.94431386667</v>
      </c>
      <c r="BE376" s="66" t="n">
        <f aca="false">-BE370*Inputs!$D$58/12*1*(1+Inputs!$D$69)*(1+Inputs!$D$70)^(BE$259-1)</f>
        <v>-6512.94431386667</v>
      </c>
      <c r="BF376" s="66" t="n">
        <f aca="false">-BF370*Inputs!$D$58/12*1*(1+Inputs!$D$69)*(1+Inputs!$D$70)^(BF$259-1)</f>
        <v>-6512.94431386667</v>
      </c>
      <c r="BG376" s="66" t="n">
        <f aca="false">-BG370*Inputs!$D$58/12*1*(1+Inputs!$D$69)*(1+Inputs!$D$70)^(BG$259-1)</f>
        <v>-6512.94431386667</v>
      </c>
      <c r="BH376" s="66" t="n">
        <f aca="false">-BH370*Inputs!$D$58/12*1*(1+Inputs!$D$69)*(1+Inputs!$D$70)^(BH$259-1)</f>
        <v>-6512.94431386667</v>
      </c>
      <c r="BI376" s="66" t="n">
        <f aca="false">-BI370*Inputs!$D$58/12*1*(1+Inputs!$D$69)*(1+Inputs!$D$70)^(BI$259-1)</f>
        <v>-6512.94431386667</v>
      </c>
      <c r="BJ376" s="66" t="n">
        <f aca="false">-BJ370*Inputs!$D$58/12*1*(1+Inputs!$D$69)*(1+Inputs!$D$70)^(BJ$259-1)</f>
        <v>-6512.94431386667</v>
      </c>
    </row>
    <row r="377" customFormat="false" ht="15" hidden="false" customHeight="false" outlineLevel="0" collapsed="false">
      <c r="A377" s="6" t="s">
        <v>470</v>
      </c>
      <c r="C377" s="66" t="n">
        <f aca="false">-C371*Inputs!$D$62/12*1*(1+Inputs!$D$69)*(1+Inputs!$D$70)^(C$259-1)</f>
        <v>-1773.33333333333</v>
      </c>
      <c r="D377" s="66" t="n">
        <f aca="false">-D371*Inputs!$D$62/12*1*(1+Inputs!$D$69)*(1+Inputs!$D$70)^(D$259-1)</f>
        <v>-1773.33333333333</v>
      </c>
      <c r="E377" s="66" t="n">
        <f aca="false">-E371*Inputs!$D$62/12*1*(1+Inputs!$D$69)*(1+Inputs!$D$70)^(E$259-1)</f>
        <v>-1773.33333333333</v>
      </c>
      <c r="F377" s="66" t="n">
        <f aca="false">-F371*Inputs!$D$62/12*1*(1+Inputs!$D$69)*(1+Inputs!$D$70)^(F$259-1)</f>
        <v>-1773.33333333333</v>
      </c>
      <c r="G377" s="66" t="n">
        <f aca="false">-G371*Inputs!$D$62/12*1*(1+Inputs!$D$69)*(1+Inputs!$D$70)^(G$259-1)</f>
        <v>-1773.33333333333</v>
      </c>
      <c r="H377" s="66" t="n">
        <f aca="false">-H371*Inputs!$D$62/12*1*(1+Inputs!$D$69)*(1+Inputs!$D$70)^(H$259-1)</f>
        <v>-1773.33333333333</v>
      </c>
      <c r="I377" s="66" t="n">
        <f aca="false">-I371*Inputs!$D$62/12*1*(1+Inputs!$D$69)*(1+Inputs!$D$70)^(I$259-1)</f>
        <v>-1773.33333333333</v>
      </c>
      <c r="J377" s="66" t="n">
        <f aca="false">-J371*Inputs!$D$62/12*1*(1+Inputs!$D$69)*(1+Inputs!$D$70)^(J$259-1)</f>
        <v>-1773.33333333333</v>
      </c>
      <c r="K377" s="66" t="n">
        <f aca="false">-K371*Inputs!$D$62/12*1*(1+Inputs!$D$69)*(1+Inputs!$D$70)^(K$259-1)</f>
        <v>-1773.33333333333</v>
      </c>
      <c r="L377" s="66" t="n">
        <f aca="false">-L371*Inputs!$D$62/12*1*(1+Inputs!$D$69)*(1+Inputs!$D$70)^(L$259-1)</f>
        <v>-1773.33333333333</v>
      </c>
      <c r="M377" s="66" t="n">
        <f aca="false">-M371*Inputs!$D$62/12*1*(1+Inputs!$D$69)*(1+Inputs!$D$70)^(M$259-1)</f>
        <v>-1773.33333333333</v>
      </c>
      <c r="N377" s="66" t="n">
        <f aca="false">-N371*Inputs!$D$62/12*1*(1+Inputs!$D$69)*(1+Inputs!$D$70)^(N$259-1)</f>
        <v>-1773.33333333333</v>
      </c>
      <c r="O377" s="66" t="n">
        <f aca="false">-O371*Inputs!$D$62/12*1*(1+Inputs!$D$69)*(1+Inputs!$D$70)^(O$259-1)</f>
        <v>-1826.53333333333</v>
      </c>
      <c r="P377" s="66" t="n">
        <f aca="false">-P371*Inputs!$D$62/12*1*(1+Inputs!$D$69)*(1+Inputs!$D$70)^(P$259-1)</f>
        <v>-1826.53333333333</v>
      </c>
      <c r="Q377" s="66" t="n">
        <f aca="false">-Q371*Inputs!$D$62/12*1*(1+Inputs!$D$69)*(1+Inputs!$D$70)^(Q$259-1)</f>
        <v>-1826.53333333333</v>
      </c>
      <c r="R377" s="66" t="n">
        <f aca="false">-R371*Inputs!$D$62/12*1*(1+Inputs!$D$69)*(1+Inputs!$D$70)^(R$259-1)</f>
        <v>-1826.53333333333</v>
      </c>
      <c r="S377" s="66" t="n">
        <f aca="false">-S371*Inputs!$D$62/12*1*(1+Inputs!$D$69)*(1+Inputs!$D$70)^(S$259-1)</f>
        <v>-1826.53333333333</v>
      </c>
      <c r="T377" s="66" t="n">
        <f aca="false">-T371*Inputs!$D$62/12*1*(1+Inputs!$D$69)*(1+Inputs!$D$70)^(T$259-1)</f>
        <v>-1826.53333333333</v>
      </c>
      <c r="U377" s="66" t="n">
        <f aca="false">-U371*Inputs!$D$62/12*1*(1+Inputs!$D$69)*(1+Inputs!$D$70)^(U$259-1)</f>
        <v>-1826.53333333333</v>
      </c>
      <c r="V377" s="66" t="n">
        <f aca="false">-V371*Inputs!$D$62/12*1*(1+Inputs!$D$69)*(1+Inputs!$D$70)^(V$259-1)</f>
        <v>-1826.53333333333</v>
      </c>
      <c r="W377" s="66" t="n">
        <f aca="false">-W371*Inputs!$D$62/12*1*(1+Inputs!$D$69)*(1+Inputs!$D$70)^(W$259-1)</f>
        <v>-1826.53333333333</v>
      </c>
      <c r="X377" s="66" t="n">
        <f aca="false">-X371*Inputs!$D$62/12*1*(1+Inputs!$D$69)*(1+Inputs!$D$70)^(X$259-1)</f>
        <v>-1826.53333333333</v>
      </c>
      <c r="Y377" s="66" t="n">
        <f aca="false">-Y371*Inputs!$D$62/12*1*(1+Inputs!$D$69)*(1+Inputs!$D$70)^(Y$259-1)</f>
        <v>-1826.53333333333</v>
      </c>
      <c r="Z377" s="66" t="n">
        <f aca="false">-Z371*Inputs!$D$62/12*1*(1+Inputs!$D$69)*(1+Inputs!$D$70)^(Z$259-1)</f>
        <v>-1826.53333333333</v>
      </c>
      <c r="AA377" s="66" t="n">
        <f aca="false">-AA371*Inputs!$D$62/12*1*(1+Inputs!$D$69)*(1+Inputs!$D$70)^(AA$259-1)</f>
        <v>-1881.32933333333</v>
      </c>
      <c r="AB377" s="66" t="n">
        <f aca="false">-AB371*Inputs!$D$62/12*1*(1+Inputs!$D$69)*(1+Inputs!$D$70)^(AB$259-1)</f>
        <v>-1881.32933333333</v>
      </c>
      <c r="AC377" s="66" t="n">
        <f aca="false">-AC371*Inputs!$D$62/12*1*(1+Inputs!$D$69)*(1+Inputs!$D$70)^(AC$259-1)</f>
        <v>-1881.32933333333</v>
      </c>
      <c r="AD377" s="66" t="n">
        <f aca="false">-AD371*Inputs!$D$62/12*1*(1+Inputs!$D$69)*(1+Inputs!$D$70)^(AD$259-1)</f>
        <v>-1881.32933333333</v>
      </c>
      <c r="AE377" s="66" t="n">
        <f aca="false">-AE371*Inputs!$D$62/12*1*(1+Inputs!$D$69)*(1+Inputs!$D$70)^(AE$259-1)</f>
        <v>-1881.32933333333</v>
      </c>
      <c r="AF377" s="66" t="n">
        <f aca="false">-AF371*Inputs!$D$62/12*1*(1+Inputs!$D$69)*(1+Inputs!$D$70)^(AF$259-1)</f>
        <v>-1881.32933333333</v>
      </c>
      <c r="AG377" s="66" t="n">
        <f aca="false">-AG371*Inputs!$D$62/12*1*(1+Inputs!$D$69)*(1+Inputs!$D$70)^(AG$259-1)</f>
        <v>-1881.32933333333</v>
      </c>
      <c r="AH377" s="66" t="n">
        <f aca="false">-AH371*Inputs!$D$62/12*1*(1+Inputs!$D$69)*(1+Inputs!$D$70)^(AH$259-1)</f>
        <v>-1881.32933333333</v>
      </c>
      <c r="AI377" s="66" t="n">
        <f aca="false">-AI371*Inputs!$D$62/12*1*(1+Inputs!$D$69)*(1+Inputs!$D$70)^(AI$259-1)</f>
        <v>-1881.32933333333</v>
      </c>
      <c r="AJ377" s="66" t="n">
        <f aca="false">-AJ371*Inputs!$D$62/12*1*(1+Inputs!$D$69)*(1+Inputs!$D$70)^(AJ$259-1)</f>
        <v>-1881.32933333333</v>
      </c>
      <c r="AK377" s="66" t="n">
        <f aca="false">-AK371*Inputs!$D$62/12*1*(1+Inputs!$D$69)*(1+Inputs!$D$70)^(AK$259-1)</f>
        <v>-1881.32933333333</v>
      </c>
      <c r="AL377" s="66" t="n">
        <f aca="false">-AL371*Inputs!$D$62/12*1*(1+Inputs!$D$69)*(1+Inputs!$D$70)^(AL$259-1)</f>
        <v>-1881.32933333333</v>
      </c>
      <c r="AM377" s="66" t="n">
        <f aca="false">-AM371*Inputs!$D$62/12*1*(1+Inputs!$D$69)*(1+Inputs!$D$70)^(AM$259-1)</f>
        <v>-1937.76921333333</v>
      </c>
      <c r="AN377" s="66" t="n">
        <f aca="false">-AN371*Inputs!$D$62/12*1*(1+Inputs!$D$69)*(1+Inputs!$D$70)^(AN$259-1)</f>
        <v>-1937.76921333333</v>
      </c>
      <c r="AO377" s="66" t="n">
        <f aca="false">-AO371*Inputs!$D$62/12*1*(1+Inputs!$D$69)*(1+Inputs!$D$70)^(AO$259-1)</f>
        <v>-1937.76921333333</v>
      </c>
      <c r="AP377" s="66" t="n">
        <f aca="false">-AP371*Inputs!$D$62/12*1*(1+Inputs!$D$69)*(1+Inputs!$D$70)^(AP$259-1)</f>
        <v>-1937.76921333333</v>
      </c>
      <c r="AQ377" s="66" t="n">
        <f aca="false">-AQ371*Inputs!$D$62/12*1*(1+Inputs!$D$69)*(1+Inputs!$D$70)^(AQ$259-1)</f>
        <v>-1937.76921333333</v>
      </c>
      <c r="AR377" s="66" t="n">
        <f aca="false">-AR371*Inputs!$D$62/12*1*(1+Inputs!$D$69)*(1+Inputs!$D$70)^(AR$259-1)</f>
        <v>-1937.76921333333</v>
      </c>
      <c r="AS377" s="66" t="n">
        <f aca="false">-AS371*Inputs!$D$62/12*1*(1+Inputs!$D$69)*(1+Inputs!$D$70)^(AS$259-1)</f>
        <v>-1937.76921333333</v>
      </c>
      <c r="AT377" s="66" t="n">
        <f aca="false">-AT371*Inputs!$D$62/12*1*(1+Inputs!$D$69)*(1+Inputs!$D$70)^(AT$259-1)</f>
        <v>-1937.76921333333</v>
      </c>
      <c r="AU377" s="66" t="n">
        <f aca="false">-AU371*Inputs!$D$62/12*1*(1+Inputs!$D$69)*(1+Inputs!$D$70)^(AU$259-1)</f>
        <v>-1937.76921333333</v>
      </c>
      <c r="AV377" s="66" t="n">
        <f aca="false">-AV371*Inputs!$D$62/12*1*(1+Inputs!$D$69)*(1+Inputs!$D$70)^(AV$259-1)</f>
        <v>-1937.76921333333</v>
      </c>
      <c r="AW377" s="66" t="n">
        <f aca="false">-AW371*Inputs!$D$62/12*1*(1+Inputs!$D$69)*(1+Inputs!$D$70)^(AW$259-1)</f>
        <v>-1937.76921333333</v>
      </c>
      <c r="AX377" s="66" t="n">
        <f aca="false">-AX371*Inputs!$D$62/12*1*(1+Inputs!$D$69)*(1+Inputs!$D$70)^(AX$259-1)</f>
        <v>-1937.76921333333</v>
      </c>
      <c r="AY377" s="66" t="n">
        <f aca="false">-AY371*Inputs!$D$62/12*1*(1+Inputs!$D$69)*(1+Inputs!$D$70)^(AY$259-1)</f>
        <v>-1995.90228973333</v>
      </c>
      <c r="AZ377" s="66" t="n">
        <f aca="false">-AZ371*Inputs!$D$62/12*1*(1+Inputs!$D$69)*(1+Inputs!$D$70)^(AZ$259-1)</f>
        <v>-1995.90228973333</v>
      </c>
      <c r="BA377" s="66" t="n">
        <f aca="false">-BA371*Inputs!$D$62/12*1*(1+Inputs!$D$69)*(1+Inputs!$D$70)^(BA$259-1)</f>
        <v>-1995.90228973333</v>
      </c>
      <c r="BB377" s="66" t="n">
        <f aca="false">-BB371*Inputs!$D$62/12*1*(1+Inputs!$D$69)*(1+Inputs!$D$70)^(BB$259-1)</f>
        <v>-1995.90228973333</v>
      </c>
      <c r="BC377" s="66" t="n">
        <f aca="false">-BC371*Inputs!$D$62/12*1*(1+Inputs!$D$69)*(1+Inputs!$D$70)^(BC$259-1)</f>
        <v>-1995.90228973333</v>
      </c>
      <c r="BD377" s="66" t="n">
        <f aca="false">-BD371*Inputs!$D$62/12*1*(1+Inputs!$D$69)*(1+Inputs!$D$70)^(BD$259-1)</f>
        <v>-1995.90228973333</v>
      </c>
      <c r="BE377" s="66" t="n">
        <f aca="false">-BE371*Inputs!$D$62/12*1*(1+Inputs!$D$69)*(1+Inputs!$D$70)^(BE$259-1)</f>
        <v>-1995.90228973333</v>
      </c>
      <c r="BF377" s="66" t="n">
        <f aca="false">-BF371*Inputs!$D$62/12*1*(1+Inputs!$D$69)*(1+Inputs!$D$70)^(BF$259-1)</f>
        <v>-1995.90228973333</v>
      </c>
      <c r="BG377" s="66" t="n">
        <f aca="false">-BG371*Inputs!$D$62/12*1*(1+Inputs!$D$69)*(1+Inputs!$D$70)^(BG$259-1)</f>
        <v>-1995.90228973333</v>
      </c>
      <c r="BH377" s="66" t="n">
        <f aca="false">-BH371*Inputs!$D$62/12*1*(1+Inputs!$D$69)*(1+Inputs!$D$70)^(BH$259-1)</f>
        <v>-1995.90228973333</v>
      </c>
      <c r="BI377" s="66" t="n">
        <f aca="false">-BI371*Inputs!$D$62/12*1*(1+Inputs!$D$69)*(1+Inputs!$D$70)^(BI$259-1)</f>
        <v>-1995.90228973333</v>
      </c>
      <c r="BJ377" s="66" t="n">
        <f aca="false">-BJ371*Inputs!$D$62/12*1*(1+Inputs!$D$69)*(1+Inputs!$D$70)^(BJ$259-1)</f>
        <v>-1995.90228973333</v>
      </c>
    </row>
    <row r="378" customFormat="false" ht="15" hidden="false" customHeight="false" outlineLevel="0" collapsed="false">
      <c r="A378" s="6" t="s">
        <v>471</v>
      </c>
      <c r="C378" s="66" t="n">
        <f aca="false">-C372*Inputs!$D$66/12*1*(1+Inputs!$D$69)*(1+Inputs!$D$70)^(C$259-1)</f>
        <v>-1586.66666666667</v>
      </c>
      <c r="D378" s="66" t="n">
        <f aca="false">-D372*Inputs!$D$66/12*1*(1+Inputs!$D$69)*(1+Inputs!$D$70)^(D$259-1)</f>
        <v>-1586.66666666667</v>
      </c>
      <c r="E378" s="66" t="n">
        <f aca="false">-E372*Inputs!$D$66/12*1*(1+Inputs!$D$69)*(1+Inputs!$D$70)^(E$259-1)</f>
        <v>-1586.66666666667</v>
      </c>
      <c r="F378" s="66" t="n">
        <f aca="false">-F372*Inputs!$D$66/12*1*(1+Inputs!$D$69)*(1+Inputs!$D$70)^(F$259-1)</f>
        <v>-1586.66666666667</v>
      </c>
      <c r="G378" s="66" t="n">
        <f aca="false">-G372*Inputs!$D$66/12*1*(1+Inputs!$D$69)*(1+Inputs!$D$70)^(G$259-1)</f>
        <v>-1586.66666666667</v>
      </c>
      <c r="H378" s="66" t="n">
        <f aca="false">-H372*Inputs!$D$66/12*1*(1+Inputs!$D$69)*(1+Inputs!$D$70)^(H$259-1)</f>
        <v>-1586.66666666667</v>
      </c>
      <c r="I378" s="66" t="n">
        <f aca="false">-I372*Inputs!$D$66/12*1*(1+Inputs!$D$69)*(1+Inputs!$D$70)^(I$259-1)</f>
        <v>-1586.66666666667</v>
      </c>
      <c r="J378" s="66" t="n">
        <f aca="false">-J372*Inputs!$D$66/12*1*(1+Inputs!$D$69)*(1+Inputs!$D$70)^(J$259-1)</f>
        <v>-1586.66666666667</v>
      </c>
      <c r="K378" s="66" t="n">
        <f aca="false">-K372*Inputs!$D$66/12*1*(1+Inputs!$D$69)*(1+Inputs!$D$70)^(K$259-1)</f>
        <v>-1586.66666666667</v>
      </c>
      <c r="L378" s="66" t="n">
        <f aca="false">-L372*Inputs!$D$66/12*1*(1+Inputs!$D$69)*(1+Inputs!$D$70)^(L$259-1)</f>
        <v>-1586.66666666667</v>
      </c>
      <c r="M378" s="66" t="n">
        <f aca="false">-M372*Inputs!$D$66/12*1*(1+Inputs!$D$69)*(1+Inputs!$D$70)^(M$259-1)</f>
        <v>-1586.66666666667</v>
      </c>
      <c r="N378" s="66" t="n">
        <f aca="false">-N372*Inputs!$D$66/12*1*(1+Inputs!$D$69)*(1+Inputs!$D$70)^(N$259-1)</f>
        <v>-1586.66666666667</v>
      </c>
      <c r="O378" s="66" t="n">
        <f aca="false">-O372*Inputs!$D$66/12*1*(1+Inputs!$D$69)*(1+Inputs!$D$70)^(O$259-1)</f>
        <v>-1634.26666666667</v>
      </c>
      <c r="P378" s="66" t="n">
        <f aca="false">-P372*Inputs!$D$66/12*1*(1+Inputs!$D$69)*(1+Inputs!$D$70)^(P$259-1)</f>
        <v>-1634.26666666667</v>
      </c>
      <c r="Q378" s="66" t="n">
        <f aca="false">-Q372*Inputs!$D$66/12*1*(1+Inputs!$D$69)*(1+Inputs!$D$70)^(Q$259-1)</f>
        <v>-1634.26666666667</v>
      </c>
      <c r="R378" s="66" t="n">
        <f aca="false">-R372*Inputs!$D$66/12*1*(1+Inputs!$D$69)*(1+Inputs!$D$70)^(R$259-1)</f>
        <v>-1634.26666666667</v>
      </c>
      <c r="S378" s="66" t="n">
        <f aca="false">-S372*Inputs!$D$66/12*1*(1+Inputs!$D$69)*(1+Inputs!$D$70)^(S$259-1)</f>
        <v>-1634.26666666667</v>
      </c>
      <c r="T378" s="66" t="n">
        <f aca="false">-T372*Inputs!$D$66/12*1*(1+Inputs!$D$69)*(1+Inputs!$D$70)^(T$259-1)</f>
        <v>-1634.26666666667</v>
      </c>
      <c r="U378" s="66" t="n">
        <f aca="false">-U372*Inputs!$D$66/12*1*(1+Inputs!$D$69)*(1+Inputs!$D$70)^(U$259-1)</f>
        <v>-1634.26666666667</v>
      </c>
      <c r="V378" s="66" t="n">
        <f aca="false">-V372*Inputs!$D$66/12*1*(1+Inputs!$D$69)*(1+Inputs!$D$70)^(V$259-1)</f>
        <v>-1634.26666666667</v>
      </c>
      <c r="W378" s="66" t="n">
        <f aca="false">-W372*Inputs!$D$66/12*1*(1+Inputs!$D$69)*(1+Inputs!$D$70)^(W$259-1)</f>
        <v>-1634.26666666667</v>
      </c>
      <c r="X378" s="66" t="n">
        <f aca="false">-X372*Inputs!$D$66/12*1*(1+Inputs!$D$69)*(1+Inputs!$D$70)^(X$259-1)</f>
        <v>-1634.26666666667</v>
      </c>
      <c r="Y378" s="66" t="n">
        <f aca="false">-Y372*Inputs!$D$66/12*1*(1+Inputs!$D$69)*(1+Inputs!$D$70)^(Y$259-1)</f>
        <v>-1634.26666666667</v>
      </c>
      <c r="Z378" s="66" t="n">
        <f aca="false">-Z372*Inputs!$D$66/12*1*(1+Inputs!$D$69)*(1+Inputs!$D$70)^(Z$259-1)</f>
        <v>-1634.26666666667</v>
      </c>
      <c r="AA378" s="66" t="n">
        <f aca="false">-AA372*Inputs!$D$66/12*1*(1+Inputs!$D$69)*(1+Inputs!$D$70)^(AA$259-1)</f>
        <v>-1683.29466666667</v>
      </c>
      <c r="AB378" s="66" t="n">
        <f aca="false">-AB372*Inputs!$D$66/12*1*(1+Inputs!$D$69)*(1+Inputs!$D$70)^(AB$259-1)</f>
        <v>-1683.29466666667</v>
      </c>
      <c r="AC378" s="66" t="n">
        <f aca="false">-AC372*Inputs!$D$66/12*1*(1+Inputs!$D$69)*(1+Inputs!$D$70)^(AC$259-1)</f>
        <v>-1683.29466666667</v>
      </c>
      <c r="AD378" s="66" t="n">
        <f aca="false">-AD372*Inputs!$D$66/12*1*(1+Inputs!$D$69)*(1+Inputs!$D$70)^(AD$259-1)</f>
        <v>-1683.29466666667</v>
      </c>
      <c r="AE378" s="66" t="n">
        <f aca="false">-AE372*Inputs!$D$66/12*1*(1+Inputs!$D$69)*(1+Inputs!$D$70)^(AE$259-1)</f>
        <v>-1683.29466666667</v>
      </c>
      <c r="AF378" s="66" t="n">
        <f aca="false">-AF372*Inputs!$D$66/12*1*(1+Inputs!$D$69)*(1+Inputs!$D$70)^(AF$259-1)</f>
        <v>-1683.29466666667</v>
      </c>
      <c r="AG378" s="66" t="n">
        <f aca="false">-AG372*Inputs!$D$66/12*1*(1+Inputs!$D$69)*(1+Inputs!$D$70)^(AG$259-1)</f>
        <v>-1683.29466666667</v>
      </c>
      <c r="AH378" s="66" t="n">
        <f aca="false">-AH372*Inputs!$D$66/12*1*(1+Inputs!$D$69)*(1+Inputs!$D$70)^(AH$259-1)</f>
        <v>-1683.29466666667</v>
      </c>
      <c r="AI378" s="66" t="n">
        <f aca="false">-AI372*Inputs!$D$66/12*1*(1+Inputs!$D$69)*(1+Inputs!$D$70)^(AI$259-1)</f>
        <v>-1683.29466666667</v>
      </c>
      <c r="AJ378" s="66" t="n">
        <f aca="false">-AJ372*Inputs!$D$66/12*1*(1+Inputs!$D$69)*(1+Inputs!$D$70)^(AJ$259-1)</f>
        <v>-1683.29466666667</v>
      </c>
      <c r="AK378" s="66" t="n">
        <f aca="false">-AK372*Inputs!$D$66/12*1*(1+Inputs!$D$69)*(1+Inputs!$D$70)^(AK$259-1)</f>
        <v>-1683.29466666667</v>
      </c>
      <c r="AL378" s="66" t="n">
        <f aca="false">-AL372*Inputs!$D$66/12*1*(1+Inputs!$D$69)*(1+Inputs!$D$70)^(AL$259-1)</f>
        <v>-1683.29466666667</v>
      </c>
      <c r="AM378" s="66" t="n">
        <f aca="false">-AM372*Inputs!$D$66/12*1*(1+Inputs!$D$69)*(1+Inputs!$D$70)^(AM$259-1)</f>
        <v>-1733.79350666667</v>
      </c>
      <c r="AN378" s="66" t="n">
        <f aca="false">-AN372*Inputs!$D$66/12*1*(1+Inputs!$D$69)*(1+Inputs!$D$70)^(AN$259-1)</f>
        <v>-1733.79350666667</v>
      </c>
      <c r="AO378" s="66" t="n">
        <f aca="false">-AO372*Inputs!$D$66/12*1*(1+Inputs!$D$69)*(1+Inputs!$D$70)^(AO$259-1)</f>
        <v>-1733.79350666667</v>
      </c>
      <c r="AP378" s="66" t="n">
        <f aca="false">-AP372*Inputs!$D$66/12*1*(1+Inputs!$D$69)*(1+Inputs!$D$70)^(AP$259-1)</f>
        <v>-1733.79350666667</v>
      </c>
      <c r="AQ378" s="66" t="n">
        <f aca="false">-AQ372*Inputs!$D$66/12*1*(1+Inputs!$D$69)*(1+Inputs!$D$70)^(AQ$259-1)</f>
        <v>-1733.79350666667</v>
      </c>
      <c r="AR378" s="66" t="n">
        <f aca="false">-AR372*Inputs!$D$66/12*1*(1+Inputs!$D$69)*(1+Inputs!$D$70)^(AR$259-1)</f>
        <v>-1733.79350666667</v>
      </c>
      <c r="AS378" s="66" t="n">
        <f aca="false">-AS372*Inputs!$D$66/12*1*(1+Inputs!$D$69)*(1+Inputs!$D$70)^(AS$259-1)</f>
        <v>-1733.79350666667</v>
      </c>
      <c r="AT378" s="66" t="n">
        <f aca="false">-AT372*Inputs!$D$66/12*1*(1+Inputs!$D$69)*(1+Inputs!$D$70)^(AT$259-1)</f>
        <v>-1733.79350666667</v>
      </c>
      <c r="AU378" s="66" t="n">
        <f aca="false">-AU372*Inputs!$D$66/12*1*(1+Inputs!$D$69)*(1+Inputs!$D$70)^(AU$259-1)</f>
        <v>-1733.79350666667</v>
      </c>
      <c r="AV378" s="66" t="n">
        <f aca="false">-AV372*Inputs!$D$66/12*1*(1+Inputs!$D$69)*(1+Inputs!$D$70)^(AV$259-1)</f>
        <v>-1733.79350666667</v>
      </c>
      <c r="AW378" s="66" t="n">
        <f aca="false">-AW372*Inputs!$D$66/12*1*(1+Inputs!$D$69)*(1+Inputs!$D$70)^(AW$259-1)</f>
        <v>-1733.79350666667</v>
      </c>
      <c r="AX378" s="66" t="n">
        <f aca="false">-AX372*Inputs!$D$66/12*1*(1+Inputs!$D$69)*(1+Inputs!$D$70)^(AX$259-1)</f>
        <v>-1733.79350666667</v>
      </c>
      <c r="AY378" s="66" t="n">
        <f aca="false">-AY372*Inputs!$D$66/12*1*(1+Inputs!$D$69)*(1+Inputs!$D$70)^(AY$259-1)</f>
        <v>-1785.80731186667</v>
      </c>
      <c r="AZ378" s="66" t="n">
        <f aca="false">-AZ372*Inputs!$D$66/12*1*(1+Inputs!$D$69)*(1+Inputs!$D$70)^(AZ$259-1)</f>
        <v>-1785.80731186667</v>
      </c>
      <c r="BA378" s="66" t="n">
        <f aca="false">-BA372*Inputs!$D$66/12*1*(1+Inputs!$D$69)*(1+Inputs!$D$70)^(BA$259-1)</f>
        <v>-1785.80731186667</v>
      </c>
      <c r="BB378" s="66" t="n">
        <f aca="false">-BB372*Inputs!$D$66/12*1*(1+Inputs!$D$69)*(1+Inputs!$D$70)^(BB$259-1)</f>
        <v>-1785.80731186667</v>
      </c>
      <c r="BC378" s="66" t="n">
        <f aca="false">-BC372*Inputs!$D$66/12*1*(1+Inputs!$D$69)*(1+Inputs!$D$70)^(BC$259-1)</f>
        <v>-1785.80731186667</v>
      </c>
      <c r="BD378" s="66" t="n">
        <f aca="false">-BD372*Inputs!$D$66/12*1*(1+Inputs!$D$69)*(1+Inputs!$D$70)^(BD$259-1)</f>
        <v>-1785.80731186667</v>
      </c>
      <c r="BE378" s="66" t="n">
        <f aca="false">-BE372*Inputs!$D$66/12*1*(1+Inputs!$D$69)*(1+Inputs!$D$70)^(BE$259-1)</f>
        <v>-1785.80731186667</v>
      </c>
      <c r="BF378" s="66" t="n">
        <f aca="false">-BF372*Inputs!$D$66/12*1*(1+Inputs!$D$69)*(1+Inputs!$D$70)^(BF$259-1)</f>
        <v>-1785.80731186667</v>
      </c>
      <c r="BG378" s="66" t="n">
        <f aca="false">-BG372*Inputs!$D$66/12*1*(1+Inputs!$D$69)*(1+Inputs!$D$70)^(BG$259-1)</f>
        <v>-1785.80731186667</v>
      </c>
      <c r="BH378" s="66" t="n">
        <f aca="false">-BH372*Inputs!$D$66/12*1*(1+Inputs!$D$69)*(1+Inputs!$D$70)^(BH$259-1)</f>
        <v>-1785.80731186667</v>
      </c>
      <c r="BI378" s="66" t="n">
        <f aca="false">-BI372*Inputs!$D$66/12*1*(1+Inputs!$D$69)*(1+Inputs!$D$70)^(BI$259-1)</f>
        <v>-1785.80731186667</v>
      </c>
      <c r="BJ378" s="66" t="n">
        <f aca="false">-BJ372*Inputs!$D$66/12*1*(1+Inputs!$D$69)*(1+Inputs!$D$70)^(BJ$259-1)</f>
        <v>-1785.80731186667</v>
      </c>
    </row>
    <row r="379" customFormat="false" ht="15" hidden="false" customHeight="false" outlineLevel="0" collapsed="false">
      <c r="A379" s="110" t="s">
        <v>472</v>
      </c>
      <c r="C379" s="67" t="n">
        <f aca="false">C376+C377+C378</f>
        <v>-9146.66666666667</v>
      </c>
      <c r="D379" s="67" t="n">
        <f aca="false">D376+D377+D378</f>
        <v>-9146.66666666667</v>
      </c>
      <c r="E379" s="67" t="n">
        <f aca="false">E376+E377+E378</f>
        <v>-9146.66666666667</v>
      </c>
      <c r="F379" s="67" t="n">
        <f aca="false">F376+F377+F378</f>
        <v>-9146.66666666667</v>
      </c>
      <c r="G379" s="67" t="n">
        <f aca="false">G376+G377+G378</f>
        <v>-9146.66666666667</v>
      </c>
      <c r="H379" s="67" t="n">
        <f aca="false">H376+H377+H378</f>
        <v>-9146.66666666667</v>
      </c>
      <c r="I379" s="67" t="n">
        <f aca="false">I376+I377+I378</f>
        <v>-9146.66666666667</v>
      </c>
      <c r="J379" s="67" t="n">
        <f aca="false">J376+J377+J378</f>
        <v>-9146.66666666667</v>
      </c>
      <c r="K379" s="67" t="n">
        <f aca="false">K376+K377+K378</f>
        <v>-9146.66666666667</v>
      </c>
      <c r="L379" s="67" t="n">
        <f aca="false">L376+L377+L378</f>
        <v>-9146.66666666667</v>
      </c>
      <c r="M379" s="67" t="n">
        <f aca="false">M376+M377+M378</f>
        <v>-9146.66666666667</v>
      </c>
      <c r="N379" s="67" t="n">
        <f aca="false">N376+N377+N378</f>
        <v>-9146.66666666667</v>
      </c>
      <c r="O379" s="67" t="n">
        <f aca="false">O376+O377+O378</f>
        <v>-9421.06666666667</v>
      </c>
      <c r="P379" s="67" t="n">
        <f aca="false">P376+P377+P378</f>
        <v>-9421.06666666667</v>
      </c>
      <c r="Q379" s="67" t="n">
        <f aca="false">Q376+Q377+Q378</f>
        <v>-9421.06666666667</v>
      </c>
      <c r="R379" s="67" t="n">
        <f aca="false">R376+R377+R378</f>
        <v>-9421.06666666667</v>
      </c>
      <c r="S379" s="67" t="n">
        <f aca="false">S376+S377+S378</f>
        <v>-9421.06666666667</v>
      </c>
      <c r="T379" s="67" t="n">
        <f aca="false">T376+T377+T378</f>
        <v>-9421.06666666667</v>
      </c>
      <c r="U379" s="67" t="n">
        <f aca="false">U376+U377+U378</f>
        <v>-9421.06666666667</v>
      </c>
      <c r="V379" s="67" t="n">
        <f aca="false">V376+V377+V378</f>
        <v>-9421.06666666667</v>
      </c>
      <c r="W379" s="67" t="n">
        <f aca="false">W376+W377+W378</f>
        <v>-9421.06666666667</v>
      </c>
      <c r="X379" s="67" t="n">
        <f aca="false">X376+X377+X378</f>
        <v>-9421.06666666667</v>
      </c>
      <c r="Y379" s="67" t="n">
        <f aca="false">Y376+Y377+Y378</f>
        <v>-9421.06666666667</v>
      </c>
      <c r="Z379" s="67" t="n">
        <f aca="false">Z376+Z377+Z378</f>
        <v>-9421.06666666667</v>
      </c>
      <c r="AA379" s="67" t="n">
        <f aca="false">AA376+AA377+AA378</f>
        <v>-9703.69866666667</v>
      </c>
      <c r="AB379" s="67" t="n">
        <f aca="false">AB376+AB377+AB378</f>
        <v>-9703.69866666667</v>
      </c>
      <c r="AC379" s="67" t="n">
        <f aca="false">AC376+AC377+AC378</f>
        <v>-9703.69866666667</v>
      </c>
      <c r="AD379" s="67" t="n">
        <f aca="false">AD376+AD377+AD378</f>
        <v>-9703.69866666667</v>
      </c>
      <c r="AE379" s="67" t="n">
        <f aca="false">AE376+AE377+AE378</f>
        <v>-9703.69866666667</v>
      </c>
      <c r="AF379" s="67" t="n">
        <f aca="false">AF376+AF377+AF378</f>
        <v>-9703.69866666667</v>
      </c>
      <c r="AG379" s="67" t="n">
        <f aca="false">AG376+AG377+AG378</f>
        <v>-9703.69866666667</v>
      </c>
      <c r="AH379" s="67" t="n">
        <f aca="false">AH376+AH377+AH378</f>
        <v>-9703.69866666667</v>
      </c>
      <c r="AI379" s="67" t="n">
        <f aca="false">AI376+AI377+AI378</f>
        <v>-9703.69866666667</v>
      </c>
      <c r="AJ379" s="67" t="n">
        <f aca="false">AJ376+AJ377+AJ378</f>
        <v>-9703.69866666667</v>
      </c>
      <c r="AK379" s="67" t="n">
        <f aca="false">AK376+AK377+AK378</f>
        <v>-9703.69866666667</v>
      </c>
      <c r="AL379" s="67" t="n">
        <f aca="false">AL376+AL377+AL378</f>
        <v>-9703.69866666667</v>
      </c>
      <c r="AM379" s="67" t="n">
        <f aca="false">AM376+AM377+AM378</f>
        <v>-9994.80962666667</v>
      </c>
      <c r="AN379" s="67" t="n">
        <f aca="false">AN376+AN377+AN378</f>
        <v>-9994.80962666667</v>
      </c>
      <c r="AO379" s="67" t="n">
        <f aca="false">AO376+AO377+AO378</f>
        <v>-9994.80962666667</v>
      </c>
      <c r="AP379" s="67" t="n">
        <f aca="false">AP376+AP377+AP378</f>
        <v>-9994.80962666667</v>
      </c>
      <c r="AQ379" s="67" t="n">
        <f aca="false">AQ376+AQ377+AQ378</f>
        <v>-9994.80962666667</v>
      </c>
      <c r="AR379" s="67" t="n">
        <f aca="false">AR376+AR377+AR378</f>
        <v>-9994.80962666667</v>
      </c>
      <c r="AS379" s="67" t="n">
        <f aca="false">AS376+AS377+AS378</f>
        <v>-9994.80962666667</v>
      </c>
      <c r="AT379" s="67" t="n">
        <f aca="false">AT376+AT377+AT378</f>
        <v>-9994.80962666667</v>
      </c>
      <c r="AU379" s="67" t="n">
        <f aca="false">AU376+AU377+AU378</f>
        <v>-9994.80962666667</v>
      </c>
      <c r="AV379" s="67" t="n">
        <f aca="false">AV376+AV377+AV378</f>
        <v>-9994.80962666667</v>
      </c>
      <c r="AW379" s="67" t="n">
        <f aca="false">AW376+AW377+AW378</f>
        <v>-9994.80962666667</v>
      </c>
      <c r="AX379" s="67" t="n">
        <f aca="false">AX376+AX377+AX378</f>
        <v>-9994.80962666667</v>
      </c>
      <c r="AY379" s="67" t="n">
        <f aca="false">AY376+AY377+AY378</f>
        <v>-10294.6539154667</v>
      </c>
      <c r="AZ379" s="67" t="n">
        <f aca="false">AZ376+AZ377+AZ378</f>
        <v>-10294.6539154667</v>
      </c>
      <c r="BA379" s="67" t="n">
        <f aca="false">BA376+BA377+BA378</f>
        <v>-10294.6539154667</v>
      </c>
      <c r="BB379" s="67" t="n">
        <f aca="false">BB376+BB377+BB378</f>
        <v>-10294.6539154667</v>
      </c>
      <c r="BC379" s="67" t="n">
        <f aca="false">BC376+BC377+BC378</f>
        <v>-10294.6539154667</v>
      </c>
      <c r="BD379" s="67" t="n">
        <f aca="false">BD376+BD377+BD378</f>
        <v>-10294.6539154667</v>
      </c>
      <c r="BE379" s="67" t="n">
        <f aca="false">BE376+BE377+BE378</f>
        <v>-10294.6539154667</v>
      </c>
      <c r="BF379" s="67" t="n">
        <f aca="false">BF376+BF377+BF378</f>
        <v>-10294.6539154667</v>
      </c>
      <c r="BG379" s="67" t="n">
        <f aca="false">BG376+BG377+BG378</f>
        <v>-10294.6539154667</v>
      </c>
      <c r="BH379" s="67" t="n">
        <f aca="false">BH376+BH377+BH378</f>
        <v>-10294.6539154667</v>
      </c>
      <c r="BI379" s="67" t="n">
        <f aca="false">BI376+BI377+BI378</f>
        <v>-10294.6539154667</v>
      </c>
      <c r="BJ379" s="67" t="n">
        <f aca="false">BJ376+BJ377+BJ378</f>
        <v>-10294.6539154667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478</v>
      </c>
    </row>
    <row r="3" customFormat="false" ht="15" hidden="false" customHeight="false" outlineLevel="0" collapsed="false">
      <c r="A3" s="33" t="s">
        <v>479</v>
      </c>
      <c r="B3" s="33" t="s">
        <v>480</v>
      </c>
      <c r="C3" s="33" t="s">
        <v>481</v>
      </c>
    </row>
    <row r="4" customFormat="false" ht="15" hidden="false" customHeight="false" outlineLevel="0" collapsed="false">
      <c r="A4" s="6" t="s">
        <v>482</v>
      </c>
      <c r="B4" s="4" t="str">
        <f aca="false">IF(ABS(SUM('P&amp;L'!$B$5:$F$5)-SUM(Monthly!$C$32:$BJ$32))&lt;0.5,"PASS","FAIL")</f>
        <v>PASS</v>
      </c>
      <c r="C4" s="18" t="s">
        <v>483</v>
      </c>
    </row>
    <row r="5" customFormat="false" ht="15" hidden="false" customHeight="false" outlineLevel="0" collapsed="false">
      <c r="A5" s="6" t="s">
        <v>484</v>
      </c>
      <c r="B5" s="4" t="str">
        <f aca="false">IF(ABS(SUM('P&amp;L'!$B$26:$F$26)-SUM(Monthly!$C$61:$BJ$61))&lt;0.5,"PASS","FAIL")</f>
        <v>PASS</v>
      </c>
      <c r="C5" s="18" t="s">
        <v>485</v>
      </c>
    </row>
    <row r="6" customFormat="false" ht="15" hidden="false" customHeight="false" outlineLevel="0" collapsed="false">
      <c r="A6" s="6" t="s">
        <v>486</v>
      </c>
      <c r="B6" s="4" t="str">
        <f aca="false">IF(ABS(SUM(Monthly!$C$52:$BJ$52)-SUM(Monthly!$C$39:$BJ$39)-SUM(Monthly!$C$51:$BJ$51))&lt;0.5,"PASS","FAIL")</f>
        <v>PASS</v>
      </c>
      <c r="C6" s="18" t="s">
        <v>487</v>
      </c>
    </row>
    <row r="7" customFormat="false" ht="15" hidden="false" customHeight="false" outlineLevel="0" collapsed="false">
      <c r="A7" s="6" t="s">
        <v>488</v>
      </c>
      <c r="B7" s="4" t="str">
        <f aca="false">IF(ABS(INDEX(Monthly!$C$95:$BJ$95,60)-SUM(Monthly!$C$93:$BJ$93))&lt;0.5,"PASS","FAIL")</f>
        <v>PASS</v>
      </c>
      <c r="C7" s="18" t="s">
        <v>489</v>
      </c>
    </row>
    <row r="8" customFormat="false" ht="15" hidden="false" customHeight="false" outlineLevel="0" collapsed="false">
      <c r="A8" s="6" t="s">
        <v>490</v>
      </c>
      <c r="B8" s="4" t="str">
        <f aca="false">IF(AND(ISNUMBER(Dashboard!B4),Dashboard!B4&gt;=1,Dashboard!B4&lt;=3,INT(Dashboard!B4)=Dashboard!B4),"PASS","FAIL")</f>
        <v>PASS</v>
      </c>
      <c r="C8" s="18" t="s">
        <v>491</v>
      </c>
    </row>
    <row r="9" customFormat="false" ht="15" hidden="false" customHeight="false" outlineLevel="0" collapsed="false">
      <c r="A9" s="6" t="s">
        <v>492</v>
      </c>
      <c r="B9" s="4" t="str">
        <f aca="false">IF(AND(Inputs!$B$8&lt;=Inputs!$C$8,Inputs!$C$8&lt;=Inputs!$D$8,Inputs!$B$10&lt;=Inputs!$C$10,Inputs!$C$10&lt;=Inputs!$D$10,Inputs!$B$11&lt;=Inputs!$C$11,Inputs!$C$11&lt;=Inputs!$D$11,Inputs!$B$12&gt;=Inputs!$C$12,Inputs!$C$12&gt;=Inputs!$D$12,Inputs!$B$14&gt;=Inputs!$C$14,Inputs!$C$14&gt;=Inputs!$D$14,Inputs!$B$17&lt;=Inputs!$C$17,Inputs!$C$17&lt;=Inputs!$D$17,Inputs!$B$18&lt;=Inputs!$C$18,Inputs!$C$18&lt;=Inputs!$D$18,Inputs!$B$19&lt;=Inputs!$C$19,Inputs!$C$19&lt;=Inputs!$D$19,Inputs!$B$20&gt;=Inputs!$C$20,Inputs!$C$20&gt;=Inputs!$D$20,Inputs!$B$21&lt;=Inputs!$C$21,Inputs!$C$21&lt;=Inputs!$D$21,Inputs!$B$23&lt;=Inputs!$C$23,Inputs!$C$23&lt;=Inputs!$D$23,Inputs!$B$28&gt;=Inputs!$C$28,Inputs!$C$28&gt;=Inputs!$D$28,Inputs!$B$29&gt;=Inputs!$C$29,Inputs!$C$29&gt;=Inputs!$D$29,Inputs!$B$32&gt;=Inputs!$C$32,Inputs!$C$32&gt;=Inputs!$D$32,Inputs!$B$33&gt;=Inputs!$C$33,Inputs!$C$33&gt;=Inputs!$D$33,Inputs!$B$38&gt;=Inputs!$C$38,Inputs!$C$38&gt;=Inputs!$D$38,Inputs!$B$40&gt;=Inputs!$C$40,Inputs!$C$40&gt;=Inputs!$D$40,Inputs!$B$46&gt;=Inputs!$C$46,Inputs!$C$46&gt;=Inputs!$D$46,Inputs!$B$57&lt;=Inputs!$C$57,Inputs!$C$57&lt;=Inputs!$D$57,Inputs!$B$59&lt;=Inputs!$C$59,Inputs!$C$59&lt;=Inputs!$D$59,Inputs!$B$61&lt;=Inputs!$C$61,Inputs!$C$61&lt;=Inputs!$D$61,Inputs!$B$63&lt;=Inputs!$C$63,Inputs!$C$63&lt;=Inputs!$D$63,Inputs!$B$65&lt;=Inputs!$C$65,Inputs!$C$65&lt;=Inputs!$D$65,Inputs!$B$67&lt;=Inputs!$C$67,Inputs!$C$67&lt;=Inputs!$D$67,Inputs!$B$91&gt;=Inputs!$C$91,Inputs!$C$91&gt;=Inputs!$D$91,Inputs!$B$92&lt;=Inputs!$C$92,Inputs!$C$92&lt;=Inputs!$D$92,Inputs!$B$93&lt;=Inputs!$C$93,Inputs!$C$93&lt;=Inputs!$D$93),"PASS","FAIL")</f>
        <v>PASS</v>
      </c>
      <c r="C9" s="18" t="s">
        <v>493</v>
      </c>
    </row>
    <row r="10" customFormat="false" ht="15" hidden="false" customHeight="false" outlineLevel="0" collapsed="false">
      <c r="A10" s="6" t="s">
        <v>494</v>
      </c>
      <c r="B10" s="4" t="str">
        <f aca="false">IF(AND(MIN('P&amp;L'!$B$8:$F$8)&gt;=0,MAX('P&amp;L'!$B$8:$F$8)&lt;=1),"PASS","FAIL")</f>
        <v>PASS</v>
      </c>
      <c r="C10" s="18" t="s">
        <v>495</v>
      </c>
    </row>
    <row r="11" customFormat="false" ht="15" hidden="false" customHeight="false" outlineLevel="0" collapsed="false">
      <c r="A11" s="6" t="s">
        <v>496</v>
      </c>
      <c r="B11" s="4" t="str">
        <f aca="false">IF(MIN(Monthly!$C$78:$BJ$78)&gt;=-0.5,"PASS","FAIL")</f>
        <v>PASS</v>
      </c>
      <c r="C11" s="18" t="s">
        <v>497</v>
      </c>
    </row>
    <row r="12" customFormat="false" ht="15" hidden="false" customHeight="false" outlineLevel="0" collapsed="false">
      <c r="A12" s="6" t="s">
        <v>498</v>
      </c>
      <c r="B12" s="4" t="str">
        <f aca="false">IF(ABS('Break-even'!B18-('Break-even'!B16-'Break-even'!B10))&lt;0.5,"PASS","FAIL")</f>
        <v>PASS</v>
      </c>
      <c r="C12" s="18" t="s">
        <v>499</v>
      </c>
    </row>
    <row r="13" customFormat="false" ht="15" hidden="false" customHeight="false" outlineLevel="0" collapsed="false">
      <c r="A13" s="6" t="s">
        <v>500</v>
      </c>
      <c r="B13" s="4" t="str">
        <f aca="false">IF(ABS(Valuation!B23-NPV(Valuation!B6,Valuation!$B$17:$F$17))&lt;0.5,"PASS","FAIL")</f>
        <v>PASS</v>
      </c>
      <c r="C13" s="18" t="s">
        <v>501</v>
      </c>
    </row>
    <row r="14" customFormat="false" ht="15" hidden="false" customHeight="false" outlineLevel="0" collapsed="false">
      <c r="A14" s="6" t="s">
        <v>502</v>
      </c>
      <c r="B14" s="4" t="str">
        <f aca="false">IF(Valuation!B6&gt;Valuation!B7,"PASS","FAIL")</f>
        <v>PASS</v>
      </c>
      <c r="C14" s="18" t="s">
        <v>503</v>
      </c>
    </row>
    <row r="15" customFormat="false" ht="15" hidden="false" customHeight="false" outlineLevel="0" collapsed="false">
      <c r="A15" s="6" t="s">
        <v>504</v>
      </c>
      <c r="B15" s="4" t="str">
        <f aca="false">IF(ABS(Valuation!D36-Valuation!B27)&lt;0.5,"PASS","FAIL")</f>
        <v>PASS</v>
      </c>
      <c r="C15" s="18" t="s">
        <v>505</v>
      </c>
    </row>
    <row r="16" customFormat="false" ht="15" hidden="false" customHeight="false" outlineLevel="0" collapsed="false">
      <c r="A16" s="6" t="s">
        <v>506</v>
      </c>
      <c r="B16" s="4" t="str">
        <f aca="false">IF(Valuation!$F$17&gt;0,"PASS","WARN")</f>
        <v>PASS</v>
      </c>
      <c r="C16" s="18" t="s">
        <v>507</v>
      </c>
    </row>
    <row r="17" customFormat="false" ht="15" hidden="false" customHeight="false" outlineLevel="0" collapsed="false">
      <c r="A17" s="6" t="s">
        <v>508</v>
      </c>
      <c r="B17" s="4" t="str">
        <f aca="false">IF(ABS('Sources &amp; Uses'!B21-'Sources &amp; Uses'!B28)&lt;0.5,"PASS","FAIL")</f>
        <v>PASS</v>
      </c>
      <c r="C17" s="18" t="s">
        <v>509</v>
      </c>
    </row>
    <row r="18" customFormat="false" ht="15" hidden="false" customHeight="false" outlineLevel="0" collapsed="false">
      <c r="A18" s="6" t="s">
        <v>510</v>
      </c>
      <c r="B18" s="4" t="str">
        <f aca="false">IF(SUMPRODUCT(--ISERROR(Monthly!$C$4:$BJ$113))+SUMPRODUCT(--ISERROR(Headcount!$C$4:$BJ$17))+SUMPRODUCT(--ISERROR('P&amp;L'!$B$3:$F$27))+SUMPRODUCT(--ISERROR('Cash Flow'!$B$3:$F$18))+SUMPRODUCT(--ISERROR('Balance Sheet'!$B$3:$F$17))+SUMPRODUCT(--ISERROR(KPIs!$B$27:$F$47))+SUMPRODUCT(--ISERROR('Break-even'!$B$26:$F$33))+SUMPRODUCT(--ISERROR(Valuation!$B$14:$F$19))+SUMPRODUCT(--ISERROR('Break-even'!$B$3:$F$35))+SUMPRODUCT(--ISERROR(Valuation!$A$3:$F$40))+SUMPRODUCT(--ISERROR('Sources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Uses'!$B$3:$C$30))+SUMPRODUCT(--ISERROR(Dashboard!$A$6:$W$43))+SUMPRODUCT(--ISERROR(Summary!$A$5:$S$52))+SUMPRODUCT(--ISERROR(KPIs!$A$4:$G$47))+SUMPRODUCT(--ISERROR('Scenario calc'!$C$6:$BJ$127))+SUMPRODUCT(--ISERROR('Scenario calc'!$C$132:$BJ$253))+SUMPRODUCT(--ISERROR('Scenario calc'!$C$258:$BJ$379))+SUMPRODUCT(--ISERROR(Scenarios!$B$5:$F$50))=0,"PASS","FAIL")</f>
        <v>PASS</v>
      </c>
      <c r="C18" s="18" t="s">
        <v>511</v>
      </c>
    </row>
    <row r="19" customFormat="false" ht="15" hidden="false" customHeight="false" outlineLevel="0" collapsed="false">
      <c r="A19" s="6" t="s">
        <v>512</v>
      </c>
      <c r="B19" s="4" t="str">
        <f aca="false">IF(IFERROR(AND(SUMPRODUCT(--(ABS(Summary!$B$7:$F$7-'P&amp;L'!$B$5:$F$5)&gt;0.5))=0,SUMPRODUCT(--(ABS(Summary!$B$19:$F$19-'P&amp;L'!$B$26:$F$26)&gt;0.5))=0,SUMPRODUCT(--(ABS(Summary!$B$31:$F$31-'Cash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513</v>
      </c>
    </row>
    <row r="20" customFormat="false" ht="15" hidden="false" customHeight="false" outlineLevel="0" collapsed="false">
      <c r="A20" s="6" t="s">
        <v>514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515</v>
      </c>
    </row>
    <row r="21" customFormat="false" ht="15" hidden="false" customHeight="false" outlineLevel="0" collapsed="false">
      <c r="A21" s="6" t="s">
        <v>516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517</v>
      </c>
    </row>
    <row r="22" customFormat="false" ht="15" hidden="false" customHeight="false" outlineLevel="0" collapsed="false">
      <c r="A22" s="6" t="s">
        <v>518</v>
      </c>
      <c r="B22" s="4" t="str">
        <f aca="false">IF(SUMPRODUCT(--(ABS(Monthly!$C$113:$BJ$113)&gt;0.5))=0,"PASS","FAIL")</f>
        <v>PASS</v>
      </c>
      <c r="C22" s="18" t="s">
        <v>519</v>
      </c>
    </row>
    <row r="23" customFormat="false" ht="15" hidden="false" customHeight="false" outlineLevel="0" collapsed="false">
      <c r="A23" s="6" t="s">
        <v>520</v>
      </c>
      <c r="B23" s="4" t="str">
        <f aca="false">IF(MIN(Monthly!$C$95:$BJ$95)&gt;=0,"PASS","WARN")</f>
        <v>PASS</v>
      </c>
      <c r="C23" s="18" t="s">
        <v>521</v>
      </c>
    </row>
    <row r="25" customFormat="false" ht="15" hidden="false" customHeight="false" outlineLevel="0" collapsed="false">
      <c r="A25" s="69" t="s">
        <v>522</v>
      </c>
      <c r="B25" s="69" t="str">
        <f aca="false">IF(COUNTIF(B4:B23,"FAIL")&gt;0,"FAIL",IF(COUNTIF(B4:B23,"WARN")&gt;0,"PASS WITH WARNINGS","PASS"))</f>
        <v>PASS</v>
      </c>
      <c r="C25" s="119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2026-10-22T08:49:50Z</dcterms:created>
  <dc:creator/>
  <dc:description/>
  <dc:language>en-US</dc:language>
  <cp:lastModifiedBy/>
  <dcterms:modified xsi:type="dcterms:W3CDTF">2026-10-22T08:49:53Z</dcterms:modified>
  <cp:revision>0</cp:revision>
  <dc:subject/>
  <dc:title>Childcare centre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