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puts" sheetId="2" state="visible" r:id="rId4"/>
    <sheet name="Monthly" sheetId="3" state="visible" r:id="rId5"/>
    <sheet name="P&amp;L" sheetId="4" state="visible" r:id="rId6"/>
    <sheet name="Check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<sst xmlns="http://schemas.openxmlformats.org/spreadsheetml/2006/main" count="158" uniqueCount="105">
  <si>
    <t xml:space="preserve">Neighborhood Cafe — 3-Year Plan</t>
  </si>
  <si>
    <t xml:space="preserve">Change the scenario in B4 (1 = Low, 2 = Base, 3 = High); every sheet recalculates.</t>
  </si>
  <si>
    <t xml:space="preserve">Scenario selector</t>
  </si>
  <si>
    <t xml:space="preserve">Key metrics</t>
  </si>
  <si>
    <t xml:space="preserve">Year 1</t>
  </si>
  <si>
    <t xml:space="preserve">Year 2</t>
  </si>
  <si>
    <t xml:space="preserve">Year 3</t>
  </si>
  <si>
    <t xml:space="preserve">Revenue</t>
  </si>
  <si>
    <t xml:space="preserve">Gross profit</t>
  </si>
  <si>
    <t xml:space="preserve">EBITDA</t>
  </si>
  <si>
    <t xml:space="preserve">EBITDA margin</t>
  </si>
  <si>
    <t xml:space="preserve">Net income</t>
  </si>
  <si>
    <t xml:space="preserve">Year-end cash</t>
  </si>
  <si>
    <t xml:space="preserve">Health</t>
  </si>
  <si>
    <t xml:space="preserve">First month with positive EBITDA</t>
  </si>
  <si>
    <t xml:space="preserve">Lowest cash balance</t>
  </si>
  <si>
    <t xml:space="preserve">Month of lowest cash</t>
  </si>
  <si>
    <t xml:space="preserve">Model checks</t>
  </si>
  <si>
    <t xml:space="preserve">Inputs — Low / Base / High</t>
  </si>
  <si>
    <t xml:space="preserve">Illustrative assumptions for a demo — replace with your own numbers.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</si>
  <si>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</si>
  <si>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</si>
  <si>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</si>
  <si>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</si>
  <si>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</si>
  <si>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Unit</t>
  </si>
  <si>
    <t xml:space="preserve">Note</t>
  </si>
  <si>
    <t xml:space="preserve">Customers per day at full traffic</t>
  </si>
  <si>
    <t xml:space="preserve">#</t>
  </si>
  <si>
    <t xml:space="preserve">User / brief input</t>
  </si>
  <si>
    <t xml:space="preserve">Months to reach full traffic</t>
  </si>
  <si>
    <t xml:space="preserve">months</t>
  </si>
  <si>
    <t xml:space="preserve">Opening traffic, % of full</t>
  </si>
  <si>
    <t xml:space="preserve">%</t>
  </si>
  <si>
    <t xml:space="preserve">Traffic growth per year (after Y1)</t>
  </si>
  <si>
    <t xml:space="preserve">Average ticket</t>
  </si>
  <si>
    <t xml:space="preserve">$</t>
  </si>
  <si>
    <t xml:space="preserve">Price growth per year</t>
  </si>
  <si>
    <t xml:space="preserve">Operating days per month</t>
  </si>
  <si>
    <t xml:space="preserve">days</t>
  </si>
  <si>
    <t xml:space="preserve">COGS, % of revenue</t>
  </si>
  <si>
    <t xml:space="preserve">Rent per month</t>
  </si>
  <si>
    <t xml:space="preserve">Staff (full-time equivalents)</t>
  </si>
  <si>
    <t xml:space="preserve">FTE</t>
  </si>
  <si>
    <t xml:space="preserve">Salary per FTE per year</t>
  </si>
  <si>
    <t xml:space="preserve">Payroll taxes &amp; benefits</t>
  </si>
  <si>
    <t xml:space="preserve">% of salary</t>
  </si>
  <si>
    <t xml:space="preserve">Wage growth per year</t>
  </si>
  <si>
    <t xml:space="preserve">Marketing, % of revenue</t>
  </si>
  <si>
    <t xml:space="preserve">Utilities &amp; other per month</t>
  </si>
  <si>
    <t xml:space="preserve">Start-up capex (fit-out, equipment)</t>
  </si>
  <si>
    <t xml:space="preserve">Starting funding (equity + loans)</t>
  </si>
  <si>
    <t xml:space="preserve">Depreciation period</t>
  </si>
  <si>
    <t xml:space="preserve">years</t>
  </si>
  <si>
    <t xml:space="preserve">Income tax rate</t>
  </si>
  <si>
    <t xml:space="preserve">Legend: blue = input you can change · black = formula · green = link to another sheet. Column E follows the scenario on the Dashboard.</t>
  </si>
  <si>
    <t xml:space="preserve">Monthly projection</t>
  </si>
  <si>
    <t xml:space="preserve">All values in $ unless stated. Every month uses the same formula.</t>
  </si>
  <si>
    <t xml:space="preserve">Month #</t>
  </si>
  <si>
    <t xml:space="preserve">Year #</t>
  </si>
  <si>
    <t xml:space="preserve">Revenue build</t>
  </si>
  <si>
    <t xml:space="preserve">Traffic ramp factor</t>
  </si>
  <si>
    <t xml:space="preserve">Customers per day</t>
  </si>
  <si>
    <t xml:space="preserve">Average ticket ($)</t>
  </si>
  <si>
    <t xml:space="preserve">Operating days</t>
  </si>
  <si>
    <t xml:space="preserve">COGS</t>
  </si>
  <si>
    <t xml:space="preserve">Operating expenses</t>
  </si>
  <si>
    <t xml:space="preserve">Rent</t>
  </si>
  <si>
    <t xml:space="preserve">Payroll</t>
  </si>
  <si>
    <t xml:space="preserve">Marketing</t>
  </si>
  <si>
    <t xml:space="preserve">Utilities &amp; other</t>
  </si>
  <si>
    <t xml:space="preserve">Total operating expenses</t>
  </si>
  <si>
    <t xml:space="preserve">Depreciation</t>
  </si>
  <si>
    <t xml:space="preserve">EBIT</t>
  </si>
  <si>
    <t xml:space="preserve">Income tax</t>
  </si>
  <si>
    <t xml:space="preserve">Cash</t>
  </si>
  <si>
    <t xml:space="preserve">Opening cash</t>
  </si>
  <si>
    <t xml:space="preserve">Operating cash flow</t>
  </si>
  <si>
    <t xml:space="preserve">Closing cash</t>
  </si>
  <si>
    <t xml:space="preserve">Helper: EBITDA positive (1/0)</t>
  </si>
  <si>
    <t xml:space="preserve">Annual P&amp;L and cash</t>
  </si>
  <si>
    <t xml:space="preserve">Rolled up from the Monthly sheet with SUMIF on the year row.</t>
  </si>
  <si>
    <t xml:space="preserve">Gross margin</t>
  </si>
  <si>
    <t xml:space="preserve">Net margin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</si>
  <si>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</si>
  <si>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</si>
  <si>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</si>
  <si>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</si>
  <si>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monthly</t>
  </si>
  <si>
    <t xml:space="preserve">Sum of annual revenue equals sum of monthly revenue</t>
  </si>
  <si>
    <t xml:space="preserve">Cash roll-forward</t>
  </si>
  <si>
    <t xml:space="preserve">Closing cash = opening cash + all operating cash flow</t>
  </si>
  <si>
    <t xml:space="preserve">EBITDA reconciliation</t>
  </si>
  <si>
    <t xml:space="preserve">EBITDA = gross profit − operating expenses, every month</t>
  </si>
  <si>
    <t xml:space="preserve">Scenario selector valid</t>
  </si>
  <si>
    <t xml:space="preserve">Dashboard!B4 is 1, 2 or 3</t>
  </si>
  <si>
    <t xml:space="preserve">Scenario ordering on revenue drivers</t>
  </si>
  <si>
    <t xml:space="preserve">Low ≤ Base ≤ High for traffic and ticket</t>
  </si>
  <si>
    <t xml:space="preserve">Margins within 0–100%</t>
  </si>
  <si>
    <t xml:space="preserve">Gross margin never negative or above 100%</t>
  </si>
  <si>
    <t xml:space="preserve">No error values</t>
  </si>
  <si>
    <t xml:space="preserve">No error values (divide-by-zero, broken references, bad types) in the monthly grid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</si>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</sst>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.0%;\(0.0%\);\-"/>
    <numFmt numFmtId="167" formatCode="0"/>
    <numFmt numFmtId="168" formatCode="@"/>
    <numFmt numFmtId="169" formatCode="#,##0;\(#,##0\);\-"/>
    <numFmt numFmtId="170" formatCode="\$#,##0.00;&quot;($&quot;#,##0.00\);\-"/>
    <numFmt numFmtId="171" formatCode="#,##0.0;\(#,##0.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6B7280"/>
      <name val="Arial"/>
      <family val="0"/>
      <charset val="1"/>
    </font>
    <font>
      <sz val="9"/>
      <color rgb="FF6B72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2F5597"/>
        <bgColor rgb="FF1F3864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</cols>
  <sheetData>
    <row r="1" customFormat="false" ht="24" hidden="false" customHeight="tru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 t="n">
        <v>2</v>
      </c>
      <c r="C4" s="6" t="str">
        <f aca="false">CHOOSE(B4,"Low","Base","High")</f>
        <v>Base</v>
      </c>
    </row>
    <row r="6" customFormat="false" ht="15" hidden="false" customHeight="false" outlineLevel="0" collapsed="false">
      <c r="A6" s="7" t="s">
        <v>3</v>
      </c>
      <c r="B6" s="8"/>
      <c r="C6" s="8"/>
      <c r="D6" s="8"/>
    </row>
    <row r="7" customFormat="false" ht="15" hidden="false" customHeight="false" outlineLevel="0" collapsed="false">
      <c r="B7" s="9" t="s">
        <v>4</v>
      </c>
      <c r="C7" s="9" t="s">
        <v>5</v>
      </c>
      <c r="D7" s="9" t="s">
        <v>6</v>
      </c>
    </row>
    <row r="8" customFormat="false" ht="15" hidden="false" customHeight="false" outlineLevel="0" collapsed="false">
      <c r="A8" s="4" t="s">
        <v>7</v>
      </c>
      <c r="B8" s="10" t="n">
        <f aca="false">'P&amp;L'!B5</f>
        <v>319800</v>
      </c>
      <c r="C8" s="10" t="n">
        <f aca="false">'P&amp;L'!C5</f>
        <v>408769.92</v>
      </c>
      <c r="D8" s="10" t="n">
        <f aca="false">'P&amp;L'!D5</f>
        <v>446294.998656</v>
      </c>
    </row>
    <row r="9" customFormat="false" ht="15" hidden="false" customHeight="false" outlineLevel="0" collapsed="false">
      <c r="A9" s="11" t="s">
        <v>8</v>
      </c>
      <c r="B9" s="10" t="n">
        <f aca="false">'P&amp;L'!B7</f>
        <v>214266</v>
      </c>
      <c r="C9" s="10" t="n">
        <f aca="false">'P&amp;L'!C7</f>
        <v>273875.8464</v>
      </c>
      <c r="D9" s="10" t="n">
        <f aca="false">'P&amp;L'!D7</f>
        <v>299017.64909952</v>
      </c>
    </row>
    <row r="10" customFormat="false" ht="15" hidden="false" customHeight="false" outlineLevel="0" collapsed="false">
      <c r="A10" s="4" t="s">
        <v>9</v>
      </c>
      <c r="B10" s="10" t="n">
        <f aca="false">'P&amp;L'!B14</f>
        <v>1231.99999999997</v>
      </c>
      <c r="C10" s="10" t="n">
        <f aca="false">'P&amp;L'!C14</f>
        <v>54409.5488</v>
      </c>
      <c r="D10" s="10" t="n">
        <f aca="false">'P&amp;L'!D14</f>
        <v>74549.5031398401</v>
      </c>
    </row>
    <row r="11" customFormat="false" ht="15" hidden="false" customHeight="false" outlineLevel="0" collapsed="false">
      <c r="A11" s="11" t="s">
        <v>10</v>
      </c>
      <c r="B11" s="12" t="n">
        <f aca="false">'P&amp;L'!B15</f>
        <v>0.00385240775484667</v>
      </c>
      <c r="C11" s="12" t="n">
        <f aca="false">'P&amp;L'!C15</f>
        <v>0.133105559234887</v>
      </c>
      <c r="D11" s="12" t="n">
        <f aca="false">'P&amp;L'!D15</f>
        <v>0.167040866163284</v>
      </c>
    </row>
    <row r="12" customFormat="false" ht="15" hidden="false" customHeight="false" outlineLevel="0" collapsed="false">
      <c r="A12" s="11" t="s">
        <v>11</v>
      </c>
      <c r="B12" s="10" t="n">
        <f aca="false">'P&amp;L'!B19</f>
        <v>-23023.6228571429</v>
      </c>
      <c r="C12" s="10" t="n">
        <f aca="false">'P&amp;L'!C19</f>
        <v>24926.4006948572</v>
      </c>
      <c r="D12" s="10" t="n">
        <f aca="false">'P&amp;L'!D19</f>
        <v>40836.9646233308</v>
      </c>
    </row>
    <row r="13" customFormat="false" ht="15" hidden="false" customHeight="false" outlineLevel="0" collapsed="false">
      <c r="A13" s="11" t="s">
        <v>12</v>
      </c>
      <c r="B13" s="10" t="n">
        <f aca="false">'P&amp;L'!B21</f>
        <v>59833.52</v>
      </c>
      <c r="C13" s="10" t="n">
        <f aca="false">'P&amp;L'!C21</f>
        <v>107617.063552</v>
      </c>
      <c r="D13" s="10" t="n">
        <f aca="false">'P&amp;L'!D21</f>
        <v>171311.171032474</v>
      </c>
    </row>
    <row r="15" customFormat="false" ht="15" hidden="false" customHeight="false" outlineLevel="0" collapsed="false">
      <c r="A15" s="7" t="s">
        <v>13</v>
      </c>
      <c r="B15" s="8"/>
      <c r="C15" s="8"/>
      <c r="D15" s="8"/>
    </row>
    <row r="16" customFormat="false" ht="15" hidden="false" customHeight="false" outlineLevel="0" collapsed="false">
      <c r="A16" s="11" t="s">
        <v>14</v>
      </c>
      <c r="B16" s="13" t="n">
        <f aca="false">IFERROR(MATCH(1,Monthly!$C$29:$AL$29,0),"Not within horizon")</f>
        <v>6</v>
      </c>
    </row>
    <row r="17" customFormat="false" ht="15" hidden="false" customHeight="false" outlineLevel="0" collapsed="false">
      <c r="A17" s="11" t="s">
        <v>15</v>
      </c>
      <c r="B17" s="14" t="n">
        <f aca="false">MIN(Monthly!$C$27:$AL$27)</f>
        <v>41793.3333333333</v>
      </c>
    </row>
    <row r="18" customFormat="false" ht="15" hidden="false" customHeight="false" outlineLevel="0" collapsed="false">
      <c r="A18" s="11" t="s">
        <v>16</v>
      </c>
      <c r="B18" s="13" t="n">
        <f aca="false">MATCH(B17,Monthly!$C$27:$AL$27,0)</f>
        <v>5</v>
      </c>
    </row>
    <row r="19" customFormat="false" ht="15" hidden="false" customHeight="false" outlineLevel="0" collapsed="false">
      <c r="A19" s="11" t="s">
        <v>17</v>
      </c>
      <c r="B19" s="15" t="str">
        <f aca="false">Checks!B13</f>
        <v>PASS</v>
      </c>
    </row>
  </sheetData>
  <dataValidations count="1">
    <dataValidation allowBlank="false" error="Enter 1, 2 or 3" errorStyle="stop" errorTitle="Scenario" operator="between" showDropDown="false" showErrorMessage="true" showInputMessage="fals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2"/>
    <col collapsed="false" customWidth="true" hidden="false" outlineLevel="0" max="7" min="7" style="0" width="22"/>
  </cols>
  <sheetData>
    <row r="1" customFormat="false" ht="24" hidden="false" customHeight="true" outlineLevel="0" collapsed="false">
      <c r="A1" s="1" t="s">
        <v>18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19</v>
      </c>
    </row>
    <row r="4" customFormat="false" ht="15" hidden="false" customHeight="false" outlineLevel="0" collapsed="false">
      <c r="A4" s="16" t="s">
        <v>20</v>
      </c>
      <c r="B4" s="9" t="s">
        <v>21</v>
      </c>
      <c r="C4" s="9" t="s">
        <v>22</v>
      </c>
      <c r="D4" s="9" t="s">
        <v>23</v>
      </c>
      <c r="E4" s="9" t="s">
        <v>24</v>
      </c>
      <c r="F4" s="16" t="s">
        <v>25</v>
      </c>
      <c r="G4" s="16" t="s">
        <v>26</v>
      </c>
    </row>
    <row r="5" customFormat="false" ht="15" hidden="false" customHeight="false" outlineLevel="0" collapsed="false">
      <c r="A5" s="11" t="s">
        <v>27</v>
      </c>
      <c r="B5" s="17" t="n">
        <v>120</v>
      </c>
      <c r="C5" s="17" t="n">
        <v>160</v>
      </c>
      <c r="D5" s="17" t="n">
        <v>210</v>
      </c>
      <c r="E5" s="18" t="n">
        <f aca="false">CHOOSE(Dashboard!$B$4,B5,C5,D5)</f>
        <v>160</v>
      </c>
      <c r="F5" s="19" t="s">
        <v>28</v>
      </c>
      <c r="G5" s="20" t="s">
        <v>29</v>
      </c>
    </row>
    <row r="6" customFormat="false" ht="15" hidden="false" customHeight="false" outlineLevel="0" collapsed="false">
      <c r="A6" s="11" t="s">
        <v>30</v>
      </c>
      <c r="B6" s="17" t="n">
        <v>9</v>
      </c>
      <c r="C6" s="17" t="n">
        <v>6</v>
      </c>
      <c r="D6" s="17" t="n">
        <v>4</v>
      </c>
      <c r="E6" s="18" t="n">
        <f aca="false">CHOOSE(Dashboard!$B$4,B6,C6,D6)</f>
        <v>6</v>
      </c>
      <c r="F6" s="19" t="s">
        <v>31</v>
      </c>
      <c r="G6" s="20" t="s">
        <v>29</v>
      </c>
    </row>
    <row r="7" customFormat="false" ht="15" hidden="false" customHeight="false" outlineLevel="0" collapsed="false">
      <c r="A7" s="11" t="s">
        <v>32</v>
      </c>
      <c r="B7" s="21" t="n">
        <v>0.4</v>
      </c>
      <c r="C7" s="21" t="n">
        <v>0.5</v>
      </c>
      <c r="D7" s="21" t="n">
        <v>0.6</v>
      </c>
      <c r="E7" s="22" t="n">
        <f aca="false">CHOOSE(Dashboard!$B$4,B7,C7,D7)</f>
        <v>0.5</v>
      </c>
      <c r="F7" s="19" t="s">
        <v>33</v>
      </c>
      <c r="G7" s="20" t="s">
        <v>29</v>
      </c>
    </row>
    <row r="8" customFormat="false" ht="15" hidden="false" customHeight="false" outlineLevel="0" collapsed="false">
      <c r="A8" s="11" t="s">
        <v>34</v>
      </c>
      <c r="B8" s="21" t="n">
        <v>0.03</v>
      </c>
      <c r="C8" s="21" t="n">
        <v>0.06</v>
      </c>
      <c r="D8" s="21" t="n">
        <v>0.09</v>
      </c>
      <c r="E8" s="22" t="n">
        <f aca="false">CHOOSE(Dashboard!$B$4,B8,C8,D8)</f>
        <v>0.06</v>
      </c>
      <c r="F8" s="19" t="s">
        <v>33</v>
      </c>
      <c r="G8" s="20" t="s">
        <v>29</v>
      </c>
    </row>
    <row r="9" customFormat="false" ht="15" hidden="false" customHeight="false" outlineLevel="0" collapsed="false">
      <c r="A9" s="11" t="s">
        <v>35</v>
      </c>
      <c r="B9" s="23" t="n">
        <v>5.5</v>
      </c>
      <c r="C9" s="23" t="n">
        <v>6.5</v>
      </c>
      <c r="D9" s="23" t="n">
        <v>7.5</v>
      </c>
      <c r="E9" s="24" t="n">
        <f aca="false">CHOOSE(Dashboard!$B$4,B9,C9,D9)</f>
        <v>6.5</v>
      </c>
      <c r="F9" s="19" t="s">
        <v>36</v>
      </c>
      <c r="G9" s="20" t="s">
        <v>29</v>
      </c>
    </row>
    <row r="10" customFormat="false" ht="15" hidden="false" customHeight="false" outlineLevel="0" collapsed="false">
      <c r="A10" s="11" t="s">
        <v>37</v>
      </c>
      <c r="B10" s="21" t="n">
        <v>0.02</v>
      </c>
      <c r="C10" s="21" t="n">
        <v>0.03</v>
      </c>
      <c r="D10" s="21" t="n">
        <v>0.04</v>
      </c>
      <c r="E10" s="22" t="n">
        <f aca="false">CHOOSE(Dashboard!$B$4,B10,C10,D10)</f>
        <v>0.03</v>
      </c>
      <c r="F10" s="19" t="s">
        <v>33</v>
      </c>
      <c r="G10" s="20" t="s">
        <v>29</v>
      </c>
    </row>
    <row r="11" customFormat="false" ht="15" hidden="false" customHeight="false" outlineLevel="0" collapsed="false">
      <c r="A11" s="11" t="s">
        <v>38</v>
      </c>
      <c r="B11" s="17" t="n">
        <v>30</v>
      </c>
      <c r="C11" s="17" t="n">
        <v>30</v>
      </c>
      <c r="D11" s="17" t="n">
        <v>30</v>
      </c>
      <c r="E11" s="18" t="n">
        <f aca="false">CHOOSE(Dashboard!$B$4,B11,C11,D11)</f>
        <v>30</v>
      </c>
      <c r="F11" s="19" t="s">
        <v>39</v>
      </c>
      <c r="G11" s="20" t="s">
        <v>29</v>
      </c>
    </row>
    <row r="12" customFormat="false" ht="15" hidden="false" customHeight="false" outlineLevel="0" collapsed="false">
      <c r="A12" s="11" t="s">
        <v>40</v>
      </c>
      <c r="B12" s="21" t="n">
        <v>0.36</v>
      </c>
      <c r="C12" s="21" t="n">
        <v>0.33</v>
      </c>
      <c r="D12" s="21" t="n">
        <v>0.3</v>
      </c>
      <c r="E12" s="22" t="n">
        <f aca="false">CHOOSE(Dashboard!$B$4,B12,C12,D12)</f>
        <v>0.33</v>
      </c>
      <c r="F12" s="19" t="s">
        <v>33</v>
      </c>
      <c r="G12" s="20" t="s">
        <v>29</v>
      </c>
    </row>
    <row r="13" customFormat="false" ht="15" hidden="false" customHeight="false" outlineLevel="0" collapsed="false">
      <c r="A13" s="11" t="s">
        <v>41</v>
      </c>
      <c r="B13" s="25" t="n">
        <v>4500</v>
      </c>
      <c r="C13" s="25" t="n">
        <v>4500</v>
      </c>
      <c r="D13" s="25" t="n">
        <v>4500</v>
      </c>
      <c r="E13" s="14" t="n">
        <f aca="false">CHOOSE(Dashboard!$B$4,B13,C13,D13)</f>
        <v>4500</v>
      </c>
      <c r="F13" s="19" t="s">
        <v>36</v>
      </c>
      <c r="G13" s="20" t="s">
        <v>29</v>
      </c>
    </row>
    <row r="14" customFormat="false" ht="15" hidden="false" customHeight="false" outlineLevel="0" collapsed="false">
      <c r="A14" s="11" t="s">
        <v>42</v>
      </c>
      <c r="B14" s="26" t="n">
        <v>3</v>
      </c>
      <c r="C14" s="26" t="n">
        <v>3.5</v>
      </c>
      <c r="D14" s="26" t="n">
        <v>4</v>
      </c>
      <c r="E14" s="27" t="n">
        <f aca="false">CHOOSE(Dashboard!$B$4,B14,C14,D14)</f>
        <v>3.5</v>
      </c>
      <c r="F14" s="19" t="s">
        <v>43</v>
      </c>
      <c r="G14" s="20" t="s">
        <v>29</v>
      </c>
    </row>
    <row r="15" customFormat="false" ht="15" hidden="false" customHeight="false" outlineLevel="0" collapsed="false">
      <c r="A15" s="11" t="s">
        <v>44</v>
      </c>
      <c r="B15" s="25" t="n">
        <v>30000</v>
      </c>
      <c r="C15" s="25" t="n">
        <v>32000</v>
      </c>
      <c r="D15" s="25" t="n">
        <v>34000</v>
      </c>
      <c r="E15" s="14" t="n">
        <f aca="false">CHOOSE(Dashboard!$B$4,B15,C15,D15)</f>
        <v>32000</v>
      </c>
      <c r="F15" s="19" t="s">
        <v>36</v>
      </c>
      <c r="G15" s="20" t="s">
        <v>29</v>
      </c>
    </row>
    <row r="16" customFormat="false" ht="15" hidden="false" customHeight="false" outlineLevel="0" collapsed="false">
      <c r="A16" s="11" t="s">
        <v>45</v>
      </c>
      <c r="B16" s="21" t="n">
        <v>0.12</v>
      </c>
      <c r="C16" s="21" t="n">
        <v>0.12</v>
      </c>
      <c r="D16" s="21" t="n">
        <v>0.12</v>
      </c>
      <c r="E16" s="22" t="n">
        <f aca="false">CHOOSE(Dashboard!$B$4,B16,C16,D16)</f>
        <v>0.12</v>
      </c>
      <c r="F16" s="19" t="s">
        <v>46</v>
      </c>
      <c r="G16" s="20" t="s">
        <v>29</v>
      </c>
    </row>
    <row r="17" customFormat="false" ht="15" hidden="false" customHeight="false" outlineLevel="0" collapsed="false">
      <c r="A17" s="11" t="s">
        <v>47</v>
      </c>
      <c r="B17" s="21" t="n">
        <v>0.03</v>
      </c>
      <c r="C17" s="21" t="n">
        <v>0.03</v>
      </c>
      <c r="D17" s="21" t="n">
        <v>0.03</v>
      </c>
      <c r="E17" s="22" t="n">
        <f aca="false">CHOOSE(Dashboard!$B$4,B17,C17,D17)</f>
        <v>0.03</v>
      </c>
      <c r="F17" s="19" t="s">
        <v>33</v>
      </c>
      <c r="G17" s="20" t="s">
        <v>29</v>
      </c>
    </row>
    <row r="18" customFormat="false" ht="15" hidden="false" customHeight="false" outlineLevel="0" collapsed="false">
      <c r="A18" s="11" t="s">
        <v>48</v>
      </c>
      <c r="B18" s="21" t="n">
        <v>0.04</v>
      </c>
      <c r="C18" s="21" t="n">
        <v>0.03</v>
      </c>
      <c r="D18" s="21" t="n">
        <v>0.03</v>
      </c>
      <c r="E18" s="22" t="n">
        <f aca="false">CHOOSE(Dashboard!$B$4,B18,C18,D18)</f>
        <v>0.03</v>
      </c>
      <c r="F18" s="19" t="s">
        <v>33</v>
      </c>
      <c r="G18" s="20" t="s">
        <v>29</v>
      </c>
    </row>
    <row r="19" customFormat="false" ht="15" hidden="false" customHeight="false" outlineLevel="0" collapsed="false">
      <c r="A19" s="11" t="s">
        <v>49</v>
      </c>
      <c r="B19" s="25" t="n">
        <v>2200</v>
      </c>
      <c r="C19" s="25" t="n">
        <v>2000</v>
      </c>
      <c r="D19" s="25" t="n">
        <v>2000</v>
      </c>
      <c r="E19" s="14" t="n">
        <f aca="false">CHOOSE(Dashboard!$B$4,B19,C19,D19)</f>
        <v>2000</v>
      </c>
      <c r="F19" s="19" t="s">
        <v>36</v>
      </c>
      <c r="G19" s="20" t="s">
        <v>29</v>
      </c>
    </row>
    <row r="20" customFormat="false" ht="15" hidden="false" customHeight="false" outlineLevel="0" collapsed="false">
      <c r="A20" s="11" t="s">
        <v>50</v>
      </c>
      <c r="B20" s="25" t="n">
        <v>180000</v>
      </c>
      <c r="C20" s="25" t="n">
        <v>160000</v>
      </c>
      <c r="D20" s="25" t="n">
        <v>150000</v>
      </c>
      <c r="E20" s="14" t="n">
        <f aca="false">CHOOSE(Dashboard!$B$4,B20,C20,D20)</f>
        <v>160000</v>
      </c>
      <c r="F20" s="19" t="s">
        <v>36</v>
      </c>
      <c r="G20" s="20" t="s">
        <v>29</v>
      </c>
    </row>
    <row r="21" customFormat="false" ht="15" hidden="false" customHeight="false" outlineLevel="0" collapsed="false">
      <c r="A21" s="11" t="s">
        <v>51</v>
      </c>
      <c r="B21" s="25" t="n">
        <v>220000</v>
      </c>
      <c r="C21" s="25" t="n">
        <v>220000</v>
      </c>
      <c r="D21" s="25" t="n">
        <v>220000</v>
      </c>
      <c r="E21" s="14" t="n">
        <f aca="false">CHOOSE(Dashboard!$B$4,B21,C21,D21)</f>
        <v>220000</v>
      </c>
      <c r="F21" s="19" t="s">
        <v>36</v>
      </c>
      <c r="G21" s="20" t="s">
        <v>29</v>
      </c>
    </row>
    <row r="22" customFormat="false" ht="15" hidden="false" customHeight="false" outlineLevel="0" collapsed="false">
      <c r="A22" s="11" t="s">
        <v>52</v>
      </c>
      <c r="B22" s="17" t="n">
        <v>7</v>
      </c>
      <c r="C22" s="17" t="n">
        <v>7</v>
      </c>
      <c r="D22" s="17" t="n">
        <v>7</v>
      </c>
      <c r="E22" s="18" t="n">
        <f aca="false">CHOOSE(Dashboard!$B$4,B22,C22,D22)</f>
        <v>7</v>
      </c>
      <c r="F22" s="19" t="s">
        <v>53</v>
      </c>
      <c r="G22" s="20" t="s">
        <v>29</v>
      </c>
    </row>
    <row r="23" customFormat="false" ht="15" hidden="false" customHeight="false" outlineLevel="0" collapsed="false">
      <c r="A23" s="11" t="s">
        <v>54</v>
      </c>
      <c r="B23" s="21" t="n">
        <v>0.21</v>
      </c>
      <c r="C23" s="21" t="n">
        <v>0.21</v>
      </c>
      <c r="D23" s="21" t="n">
        <v>0.21</v>
      </c>
      <c r="E23" s="22" t="n">
        <f aca="false">CHOOSE(Dashboard!$B$4,B23,C23,D23)</f>
        <v>0.21</v>
      </c>
      <c r="F23" s="19" t="s">
        <v>33</v>
      </c>
      <c r="G23" s="20" t="s">
        <v>29</v>
      </c>
    </row>
    <row r="25" customFormat="false" ht="15" hidden="false" customHeight="false" outlineLevel="0" collapsed="false">
      <c r="A25" s="3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4" hidden="false" customHeight="true" outlineLevel="0" collapsed="false">
      <c r="A1" s="1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57</v>
      </c>
    </row>
    <row r="3" customFormat="false" ht="15" hidden="false" customHeight="false" outlineLevel="0" collapsed="false">
      <c r="A3" s="11" t="s">
        <v>58</v>
      </c>
      <c r="C3" s="28" t="n">
        <v>1</v>
      </c>
      <c r="D3" s="28" t="n">
        <v>2</v>
      </c>
      <c r="E3" s="28" t="n">
        <v>3</v>
      </c>
      <c r="F3" s="28" t="n">
        <v>4</v>
      </c>
      <c r="G3" s="28" t="n">
        <v>5</v>
      </c>
      <c r="H3" s="28" t="n">
        <v>6</v>
      </c>
      <c r="I3" s="28" t="n">
        <v>7</v>
      </c>
      <c r="J3" s="28" t="n">
        <v>8</v>
      </c>
      <c r="K3" s="28" t="n">
        <v>9</v>
      </c>
      <c r="L3" s="28" t="n">
        <v>10</v>
      </c>
      <c r="M3" s="28" t="n">
        <v>11</v>
      </c>
      <c r="N3" s="28" t="n">
        <v>12</v>
      </c>
      <c r="O3" s="28" t="n">
        <v>13</v>
      </c>
      <c r="P3" s="28" t="n">
        <v>14</v>
      </c>
      <c r="Q3" s="28" t="n">
        <v>15</v>
      </c>
      <c r="R3" s="28" t="n">
        <v>16</v>
      </c>
      <c r="S3" s="28" t="n">
        <v>17</v>
      </c>
      <c r="T3" s="28" t="n">
        <v>18</v>
      </c>
      <c r="U3" s="28" t="n">
        <v>19</v>
      </c>
      <c r="V3" s="28" t="n">
        <v>20</v>
      </c>
      <c r="W3" s="28" t="n">
        <v>21</v>
      </c>
      <c r="X3" s="28" t="n">
        <v>22</v>
      </c>
      <c r="Y3" s="28" t="n">
        <v>23</v>
      </c>
      <c r="Z3" s="28" t="n">
        <v>24</v>
      </c>
      <c r="AA3" s="28" t="n">
        <v>25</v>
      </c>
      <c r="AB3" s="28" t="n">
        <v>26</v>
      </c>
      <c r="AC3" s="28" t="n">
        <v>27</v>
      </c>
      <c r="AD3" s="28" t="n">
        <v>28</v>
      </c>
      <c r="AE3" s="28" t="n">
        <v>29</v>
      </c>
      <c r="AF3" s="28" t="n">
        <v>30</v>
      </c>
      <c r="AG3" s="28" t="n">
        <v>31</v>
      </c>
      <c r="AH3" s="28" t="n">
        <v>32</v>
      </c>
      <c r="AI3" s="28" t="n">
        <v>33</v>
      </c>
      <c r="AJ3" s="28" t="n">
        <v>34</v>
      </c>
      <c r="AK3" s="28" t="n">
        <v>35</v>
      </c>
      <c r="AL3" s="28" t="n">
        <v>36</v>
      </c>
    </row>
    <row r="4" customFormat="false" ht="15" hidden="false" customHeight="false" outlineLevel="0" collapsed="false">
      <c r="A4" s="11" t="s">
        <v>59</v>
      </c>
      <c r="C4" s="29" t="n">
        <f aca="false">ROUNDUP(C3/12,0)</f>
        <v>1</v>
      </c>
      <c r="D4" s="29" t="n">
        <f aca="false">ROUNDUP(D3/12,0)</f>
        <v>1</v>
      </c>
      <c r="E4" s="29" t="n">
        <f aca="false">ROUNDUP(E3/12,0)</f>
        <v>1</v>
      </c>
      <c r="F4" s="29" t="n">
        <f aca="false">ROUNDUP(F3/12,0)</f>
        <v>1</v>
      </c>
      <c r="G4" s="29" t="n">
        <f aca="false">ROUNDUP(G3/12,0)</f>
        <v>1</v>
      </c>
      <c r="H4" s="29" t="n">
        <f aca="false">ROUNDUP(H3/12,0)</f>
        <v>1</v>
      </c>
      <c r="I4" s="29" t="n">
        <f aca="false">ROUNDUP(I3/12,0)</f>
        <v>1</v>
      </c>
      <c r="J4" s="29" t="n">
        <f aca="false">ROUNDUP(J3/12,0)</f>
        <v>1</v>
      </c>
      <c r="K4" s="29" t="n">
        <f aca="false">ROUNDUP(K3/12,0)</f>
        <v>1</v>
      </c>
      <c r="L4" s="29" t="n">
        <f aca="false">ROUNDUP(L3/12,0)</f>
        <v>1</v>
      </c>
      <c r="M4" s="29" t="n">
        <f aca="false">ROUNDUP(M3/12,0)</f>
        <v>1</v>
      </c>
      <c r="N4" s="29" t="n">
        <f aca="false">ROUNDUP(N3/12,0)</f>
        <v>1</v>
      </c>
      <c r="O4" s="29" t="n">
        <f aca="false">ROUNDUP(O3/12,0)</f>
        <v>2</v>
      </c>
      <c r="P4" s="29" t="n">
        <f aca="false">ROUNDUP(P3/12,0)</f>
        <v>2</v>
      </c>
      <c r="Q4" s="29" t="n">
        <f aca="false">ROUNDUP(Q3/12,0)</f>
        <v>2</v>
      </c>
      <c r="R4" s="29" t="n">
        <f aca="false">ROUNDUP(R3/12,0)</f>
        <v>2</v>
      </c>
      <c r="S4" s="29" t="n">
        <f aca="false">ROUNDUP(S3/12,0)</f>
        <v>2</v>
      </c>
      <c r="T4" s="29" t="n">
        <f aca="false">ROUNDUP(T3/12,0)</f>
        <v>2</v>
      </c>
      <c r="U4" s="29" t="n">
        <f aca="false">ROUNDUP(U3/12,0)</f>
        <v>2</v>
      </c>
      <c r="V4" s="29" t="n">
        <f aca="false">ROUNDUP(V3/12,0)</f>
        <v>2</v>
      </c>
      <c r="W4" s="29" t="n">
        <f aca="false">ROUNDUP(W3/12,0)</f>
        <v>2</v>
      </c>
      <c r="X4" s="29" t="n">
        <f aca="false">ROUNDUP(X3/12,0)</f>
        <v>2</v>
      </c>
      <c r="Y4" s="29" t="n">
        <f aca="false">ROUNDUP(Y3/12,0)</f>
        <v>2</v>
      </c>
      <c r="Z4" s="29" t="n">
        <f aca="false">ROUNDUP(Z3/12,0)</f>
        <v>2</v>
      </c>
      <c r="AA4" s="29" t="n">
        <f aca="false">ROUNDUP(AA3/12,0)</f>
        <v>3</v>
      </c>
      <c r="AB4" s="29" t="n">
        <f aca="false">ROUNDUP(AB3/12,0)</f>
        <v>3</v>
      </c>
      <c r="AC4" s="29" t="n">
        <f aca="false">ROUNDUP(AC3/12,0)</f>
        <v>3</v>
      </c>
      <c r="AD4" s="29" t="n">
        <f aca="false">ROUNDUP(AD3/12,0)</f>
        <v>3</v>
      </c>
      <c r="AE4" s="29" t="n">
        <f aca="false">ROUNDUP(AE3/12,0)</f>
        <v>3</v>
      </c>
      <c r="AF4" s="29" t="n">
        <f aca="false">ROUNDUP(AF3/12,0)</f>
        <v>3</v>
      </c>
      <c r="AG4" s="29" t="n">
        <f aca="false">ROUNDUP(AG3/12,0)</f>
        <v>3</v>
      </c>
      <c r="AH4" s="29" t="n">
        <f aca="false">ROUNDUP(AH3/12,0)</f>
        <v>3</v>
      </c>
      <c r="AI4" s="29" t="n">
        <f aca="false">ROUNDUP(AI3/12,0)</f>
        <v>3</v>
      </c>
      <c r="AJ4" s="29" t="n">
        <f aca="false">ROUNDUP(AJ3/12,0)</f>
        <v>3</v>
      </c>
      <c r="AK4" s="29" t="n">
        <f aca="false">ROUNDUP(AK3/12,0)</f>
        <v>3</v>
      </c>
      <c r="AL4" s="29" t="n">
        <f aca="false">ROUNDUP(AL3/12,0)</f>
        <v>3</v>
      </c>
    </row>
    <row r="5" customFormat="false" ht="15" hidden="false" customHeight="false" outlineLevel="0" collapsed="false">
      <c r="A5" s="7" t="s">
        <v>60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customFormat="false" ht="15" hidden="false" customHeight="false" outlineLevel="0" collapsed="false">
      <c r="A6" s="11" t="s">
        <v>61</v>
      </c>
      <c r="C6" s="30" t="n">
        <f aca="false">MIN(1,Inputs!$E$7+(1-Inputs!$E$7)*(C3-1)/MAX(1,Inputs!$E$6))</f>
        <v>0.5</v>
      </c>
      <c r="D6" s="30" t="n">
        <f aca="false">MIN(1,Inputs!$E$7+(1-Inputs!$E$7)*(D3-1)/MAX(1,Inputs!$E$6))</f>
        <v>0.583333333333333</v>
      </c>
      <c r="E6" s="30" t="n">
        <f aca="false">MIN(1,Inputs!$E$7+(1-Inputs!$E$7)*(E3-1)/MAX(1,Inputs!$E$6))</f>
        <v>0.666666666666667</v>
      </c>
      <c r="F6" s="30" t="n">
        <f aca="false">MIN(1,Inputs!$E$7+(1-Inputs!$E$7)*(F3-1)/MAX(1,Inputs!$E$6))</f>
        <v>0.75</v>
      </c>
      <c r="G6" s="30" t="n">
        <f aca="false">MIN(1,Inputs!$E$7+(1-Inputs!$E$7)*(G3-1)/MAX(1,Inputs!$E$6))</f>
        <v>0.833333333333333</v>
      </c>
      <c r="H6" s="30" t="n">
        <f aca="false">MIN(1,Inputs!$E$7+(1-Inputs!$E$7)*(H3-1)/MAX(1,Inputs!$E$6))</f>
        <v>0.916666666666667</v>
      </c>
      <c r="I6" s="30" t="n">
        <f aca="false">MIN(1,Inputs!$E$7+(1-Inputs!$E$7)*(I3-1)/MAX(1,Inputs!$E$6))</f>
        <v>1</v>
      </c>
      <c r="J6" s="30" t="n">
        <f aca="false">MIN(1,Inputs!$E$7+(1-Inputs!$E$7)*(J3-1)/MAX(1,Inputs!$E$6))</f>
        <v>1</v>
      </c>
      <c r="K6" s="30" t="n">
        <f aca="false">MIN(1,Inputs!$E$7+(1-Inputs!$E$7)*(K3-1)/MAX(1,Inputs!$E$6))</f>
        <v>1</v>
      </c>
      <c r="L6" s="30" t="n">
        <f aca="false">MIN(1,Inputs!$E$7+(1-Inputs!$E$7)*(L3-1)/MAX(1,Inputs!$E$6))</f>
        <v>1</v>
      </c>
      <c r="M6" s="30" t="n">
        <f aca="false">MIN(1,Inputs!$E$7+(1-Inputs!$E$7)*(M3-1)/MAX(1,Inputs!$E$6))</f>
        <v>1</v>
      </c>
      <c r="N6" s="30" t="n">
        <f aca="false">MIN(1,Inputs!$E$7+(1-Inputs!$E$7)*(N3-1)/MAX(1,Inputs!$E$6))</f>
        <v>1</v>
      </c>
      <c r="O6" s="30" t="n">
        <f aca="false">MIN(1,Inputs!$E$7+(1-Inputs!$E$7)*(O3-1)/MAX(1,Inputs!$E$6))</f>
        <v>1</v>
      </c>
      <c r="P6" s="30" t="n">
        <f aca="false">MIN(1,Inputs!$E$7+(1-Inputs!$E$7)*(P3-1)/MAX(1,Inputs!$E$6))</f>
        <v>1</v>
      </c>
      <c r="Q6" s="30" t="n">
        <f aca="false">MIN(1,Inputs!$E$7+(1-Inputs!$E$7)*(Q3-1)/MAX(1,Inputs!$E$6))</f>
        <v>1</v>
      </c>
      <c r="R6" s="30" t="n">
        <f aca="false">MIN(1,Inputs!$E$7+(1-Inputs!$E$7)*(R3-1)/MAX(1,Inputs!$E$6))</f>
        <v>1</v>
      </c>
      <c r="S6" s="30" t="n">
        <f aca="false">MIN(1,Inputs!$E$7+(1-Inputs!$E$7)*(S3-1)/MAX(1,Inputs!$E$6))</f>
        <v>1</v>
      </c>
      <c r="T6" s="30" t="n">
        <f aca="false">MIN(1,Inputs!$E$7+(1-Inputs!$E$7)*(T3-1)/MAX(1,Inputs!$E$6))</f>
        <v>1</v>
      </c>
      <c r="U6" s="30" t="n">
        <f aca="false">MIN(1,Inputs!$E$7+(1-Inputs!$E$7)*(U3-1)/MAX(1,Inputs!$E$6))</f>
        <v>1</v>
      </c>
      <c r="V6" s="30" t="n">
        <f aca="false">MIN(1,Inputs!$E$7+(1-Inputs!$E$7)*(V3-1)/MAX(1,Inputs!$E$6))</f>
        <v>1</v>
      </c>
      <c r="W6" s="30" t="n">
        <f aca="false">MIN(1,Inputs!$E$7+(1-Inputs!$E$7)*(W3-1)/MAX(1,Inputs!$E$6))</f>
        <v>1</v>
      </c>
      <c r="X6" s="30" t="n">
        <f aca="false">MIN(1,Inputs!$E$7+(1-Inputs!$E$7)*(X3-1)/MAX(1,Inputs!$E$6))</f>
        <v>1</v>
      </c>
      <c r="Y6" s="30" t="n">
        <f aca="false">MIN(1,Inputs!$E$7+(1-Inputs!$E$7)*(Y3-1)/MAX(1,Inputs!$E$6))</f>
        <v>1</v>
      </c>
      <c r="Z6" s="30" t="n">
        <f aca="false">MIN(1,Inputs!$E$7+(1-Inputs!$E$7)*(Z3-1)/MAX(1,Inputs!$E$6))</f>
        <v>1</v>
      </c>
      <c r="AA6" s="30" t="n">
        <f aca="false">MIN(1,Inputs!$E$7+(1-Inputs!$E$7)*(AA3-1)/MAX(1,Inputs!$E$6))</f>
        <v>1</v>
      </c>
      <c r="AB6" s="30" t="n">
        <f aca="false">MIN(1,Inputs!$E$7+(1-Inputs!$E$7)*(AB3-1)/MAX(1,Inputs!$E$6))</f>
        <v>1</v>
      </c>
      <c r="AC6" s="30" t="n">
        <f aca="false">MIN(1,Inputs!$E$7+(1-Inputs!$E$7)*(AC3-1)/MAX(1,Inputs!$E$6))</f>
        <v>1</v>
      </c>
      <c r="AD6" s="30" t="n">
        <f aca="false">MIN(1,Inputs!$E$7+(1-Inputs!$E$7)*(AD3-1)/MAX(1,Inputs!$E$6))</f>
        <v>1</v>
      </c>
      <c r="AE6" s="30" t="n">
        <f aca="false">MIN(1,Inputs!$E$7+(1-Inputs!$E$7)*(AE3-1)/MAX(1,Inputs!$E$6))</f>
        <v>1</v>
      </c>
      <c r="AF6" s="30" t="n">
        <f aca="false">MIN(1,Inputs!$E$7+(1-Inputs!$E$7)*(AF3-1)/MAX(1,Inputs!$E$6))</f>
        <v>1</v>
      </c>
      <c r="AG6" s="30" t="n">
        <f aca="false">MIN(1,Inputs!$E$7+(1-Inputs!$E$7)*(AG3-1)/MAX(1,Inputs!$E$6))</f>
        <v>1</v>
      </c>
      <c r="AH6" s="30" t="n">
        <f aca="false">MIN(1,Inputs!$E$7+(1-Inputs!$E$7)*(AH3-1)/MAX(1,Inputs!$E$6))</f>
        <v>1</v>
      </c>
      <c r="AI6" s="30" t="n">
        <f aca="false">MIN(1,Inputs!$E$7+(1-Inputs!$E$7)*(AI3-1)/MAX(1,Inputs!$E$6))</f>
        <v>1</v>
      </c>
      <c r="AJ6" s="30" t="n">
        <f aca="false">MIN(1,Inputs!$E$7+(1-Inputs!$E$7)*(AJ3-1)/MAX(1,Inputs!$E$6))</f>
        <v>1</v>
      </c>
      <c r="AK6" s="30" t="n">
        <f aca="false">MIN(1,Inputs!$E$7+(1-Inputs!$E$7)*(AK3-1)/MAX(1,Inputs!$E$6))</f>
        <v>1</v>
      </c>
      <c r="AL6" s="30" t="n">
        <f aca="false">MIN(1,Inputs!$E$7+(1-Inputs!$E$7)*(AL3-1)/MAX(1,Inputs!$E$6))</f>
        <v>1</v>
      </c>
    </row>
    <row r="7" customFormat="false" ht="15" hidden="false" customHeight="false" outlineLevel="0" collapsed="false">
      <c r="A7" s="11" t="s">
        <v>62</v>
      </c>
      <c r="C7" s="31" t="n">
        <f aca="false">Inputs!$E$5*C6*(1+Inputs!$E$8)^(C4-1)</f>
        <v>80</v>
      </c>
      <c r="D7" s="31" t="n">
        <f aca="false">Inputs!$E$5*D6*(1+Inputs!$E$8)^(D4-1)</f>
        <v>93.3333333333333</v>
      </c>
      <c r="E7" s="31" t="n">
        <f aca="false">Inputs!$E$5*E6*(1+Inputs!$E$8)^(E4-1)</f>
        <v>106.666666666667</v>
      </c>
      <c r="F7" s="31" t="n">
        <f aca="false">Inputs!$E$5*F6*(1+Inputs!$E$8)^(F4-1)</f>
        <v>120</v>
      </c>
      <c r="G7" s="31" t="n">
        <f aca="false">Inputs!$E$5*G6*(1+Inputs!$E$8)^(G4-1)</f>
        <v>133.333333333333</v>
      </c>
      <c r="H7" s="31" t="n">
        <f aca="false">Inputs!$E$5*H6*(1+Inputs!$E$8)^(H4-1)</f>
        <v>146.666666666667</v>
      </c>
      <c r="I7" s="31" t="n">
        <f aca="false">Inputs!$E$5*I6*(1+Inputs!$E$8)^(I4-1)</f>
        <v>160</v>
      </c>
      <c r="J7" s="31" t="n">
        <f aca="false">Inputs!$E$5*J6*(1+Inputs!$E$8)^(J4-1)</f>
        <v>160</v>
      </c>
      <c r="K7" s="31" t="n">
        <f aca="false">Inputs!$E$5*K6*(1+Inputs!$E$8)^(K4-1)</f>
        <v>160</v>
      </c>
      <c r="L7" s="31" t="n">
        <f aca="false">Inputs!$E$5*L6*(1+Inputs!$E$8)^(L4-1)</f>
        <v>160</v>
      </c>
      <c r="M7" s="31" t="n">
        <f aca="false">Inputs!$E$5*M6*(1+Inputs!$E$8)^(M4-1)</f>
        <v>160</v>
      </c>
      <c r="N7" s="31" t="n">
        <f aca="false">Inputs!$E$5*N6*(1+Inputs!$E$8)^(N4-1)</f>
        <v>160</v>
      </c>
      <c r="O7" s="31" t="n">
        <f aca="false">Inputs!$E$5*O6*(1+Inputs!$E$8)^(O4-1)</f>
        <v>169.6</v>
      </c>
      <c r="P7" s="31" t="n">
        <f aca="false">Inputs!$E$5*P6*(1+Inputs!$E$8)^(P4-1)</f>
        <v>169.6</v>
      </c>
      <c r="Q7" s="31" t="n">
        <f aca="false">Inputs!$E$5*Q6*(1+Inputs!$E$8)^(Q4-1)</f>
        <v>169.6</v>
      </c>
      <c r="R7" s="31" t="n">
        <f aca="false">Inputs!$E$5*R6*(1+Inputs!$E$8)^(R4-1)</f>
        <v>169.6</v>
      </c>
      <c r="S7" s="31" t="n">
        <f aca="false">Inputs!$E$5*S6*(1+Inputs!$E$8)^(S4-1)</f>
        <v>169.6</v>
      </c>
      <c r="T7" s="31" t="n">
        <f aca="false">Inputs!$E$5*T6*(1+Inputs!$E$8)^(T4-1)</f>
        <v>169.6</v>
      </c>
      <c r="U7" s="31" t="n">
        <f aca="false">Inputs!$E$5*U6*(1+Inputs!$E$8)^(U4-1)</f>
        <v>169.6</v>
      </c>
      <c r="V7" s="31" t="n">
        <f aca="false">Inputs!$E$5*V6*(1+Inputs!$E$8)^(V4-1)</f>
        <v>169.6</v>
      </c>
      <c r="W7" s="31" t="n">
        <f aca="false">Inputs!$E$5*W6*(1+Inputs!$E$8)^(W4-1)</f>
        <v>169.6</v>
      </c>
      <c r="X7" s="31" t="n">
        <f aca="false">Inputs!$E$5*X6*(1+Inputs!$E$8)^(X4-1)</f>
        <v>169.6</v>
      </c>
      <c r="Y7" s="31" t="n">
        <f aca="false">Inputs!$E$5*Y6*(1+Inputs!$E$8)^(Y4-1)</f>
        <v>169.6</v>
      </c>
      <c r="Z7" s="31" t="n">
        <f aca="false">Inputs!$E$5*Z6*(1+Inputs!$E$8)^(Z4-1)</f>
        <v>169.6</v>
      </c>
      <c r="AA7" s="31" t="n">
        <f aca="false">Inputs!$E$5*AA6*(1+Inputs!$E$8)^(AA4-1)</f>
        <v>179.776</v>
      </c>
      <c r="AB7" s="31" t="n">
        <f aca="false">Inputs!$E$5*AB6*(1+Inputs!$E$8)^(AB4-1)</f>
        <v>179.776</v>
      </c>
      <c r="AC7" s="31" t="n">
        <f aca="false">Inputs!$E$5*AC6*(1+Inputs!$E$8)^(AC4-1)</f>
        <v>179.776</v>
      </c>
      <c r="AD7" s="31" t="n">
        <f aca="false">Inputs!$E$5*AD6*(1+Inputs!$E$8)^(AD4-1)</f>
        <v>179.776</v>
      </c>
      <c r="AE7" s="31" t="n">
        <f aca="false">Inputs!$E$5*AE6*(1+Inputs!$E$8)^(AE4-1)</f>
        <v>179.776</v>
      </c>
      <c r="AF7" s="31" t="n">
        <f aca="false">Inputs!$E$5*AF6*(1+Inputs!$E$8)^(AF4-1)</f>
        <v>179.776</v>
      </c>
      <c r="AG7" s="31" t="n">
        <f aca="false">Inputs!$E$5*AG6*(1+Inputs!$E$8)^(AG4-1)</f>
        <v>179.776</v>
      </c>
      <c r="AH7" s="31" t="n">
        <f aca="false">Inputs!$E$5*AH6*(1+Inputs!$E$8)^(AH4-1)</f>
        <v>179.776</v>
      </c>
      <c r="AI7" s="31" t="n">
        <f aca="false">Inputs!$E$5*AI6*(1+Inputs!$E$8)^(AI4-1)</f>
        <v>179.776</v>
      </c>
      <c r="AJ7" s="31" t="n">
        <f aca="false">Inputs!$E$5*AJ6*(1+Inputs!$E$8)^(AJ4-1)</f>
        <v>179.776</v>
      </c>
      <c r="AK7" s="31" t="n">
        <f aca="false">Inputs!$E$5*AK6*(1+Inputs!$E$8)^(AK4-1)</f>
        <v>179.776</v>
      </c>
      <c r="AL7" s="31" t="n">
        <f aca="false">Inputs!$E$5*AL6*(1+Inputs!$E$8)^(AL4-1)</f>
        <v>179.776</v>
      </c>
    </row>
    <row r="8" customFormat="false" ht="15" hidden="false" customHeight="false" outlineLevel="0" collapsed="false">
      <c r="A8" s="11" t="s">
        <v>63</v>
      </c>
      <c r="C8" s="32" t="n">
        <f aca="false">Inputs!$E$9*(1+Inputs!$E$10)^(C4-1)</f>
        <v>6.5</v>
      </c>
      <c r="D8" s="32" t="n">
        <f aca="false">Inputs!$E$9*(1+Inputs!$E$10)^(D4-1)</f>
        <v>6.5</v>
      </c>
      <c r="E8" s="32" t="n">
        <f aca="false">Inputs!$E$9*(1+Inputs!$E$10)^(E4-1)</f>
        <v>6.5</v>
      </c>
      <c r="F8" s="32" t="n">
        <f aca="false">Inputs!$E$9*(1+Inputs!$E$10)^(F4-1)</f>
        <v>6.5</v>
      </c>
      <c r="G8" s="32" t="n">
        <f aca="false">Inputs!$E$9*(1+Inputs!$E$10)^(G4-1)</f>
        <v>6.5</v>
      </c>
      <c r="H8" s="32" t="n">
        <f aca="false">Inputs!$E$9*(1+Inputs!$E$10)^(H4-1)</f>
        <v>6.5</v>
      </c>
      <c r="I8" s="32" t="n">
        <f aca="false">Inputs!$E$9*(1+Inputs!$E$10)^(I4-1)</f>
        <v>6.5</v>
      </c>
      <c r="J8" s="32" t="n">
        <f aca="false">Inputs!$E$9*(1+Inputs!$E$10)^(J4-1)</f>
        <v>6.5</v>
      </c>
      <c r="K8" s="32" t="n">
        <f aca="false">Inputs!$E$9*(1+Inputs!$E$10)^(K4-1)</f>
        <v>6.5</v>
      </c>
      <c r="L8" s="32" t="n">
        <f aca="false">Inputs!$E$9*(1+Inputs!$E$10)^(L4-1)</f>
        <v>6.5</v>
      </c>
      <c r="M8" s="32" t="n">
        <f aca="false">Inputs!$E$9*(1+Inputs!$E$10)^(M4-1)</f>
        <v>6.5</v>
      </c>
      <c r="N8" s="32" t="n">
        <f aca="false">Inputs!$E$9*(1+Inputs!$E$10)^(N4-1)</f>
        <v>6.5</v>
      </c>
      <c r="O8" s="32" t="n">
        <f aca="false">Inputs!$E$9*(1+Inputs!$E$10)^(O4-1)</f>
        <v>6.695</v>
      </c>
      <c r="P8" s="32" t="n">
        <f aca="false">Inputs!$E$9*(1+Inputs!$E$10)^(P4-1)</f>
        <v>6.695</v>
      </c>
      <c r="Q8" s="32" t="n">
        <f aca="false">Inputs!$E$9*(1+Inputs!$E$10)^(Q4-1)</f>
        <v>6.695</v>
      </c>
      <c r="R8" s="32" t="n">
        <f aca="false">Inputs!$E$9*(1+Inputs!$E$10)^(R4-1)</f>
        <v>6.695</v>
      </c>
      <c r="S8" s="32" t="n">
        <f aca="false">Inputs!$E$9*(1+Inputs!$E$10)^(S4-1)</f>
        <v>6.695</v>
      </c>
      <c r="T8" s="32" t="n">
        <f aca="false">Inputs!$E$9*(1+Inputs!$E$10)^(T4-1)</f>
        <v>6.695</v>
      </c>
      <c r="U8" s="32" t="n">
        <f aca="false">Inputs!$E$9*(1+Inputs!$E$10)^(U4-1)</f>
        <v>6.695</v>
      </c>
      <c r="V8" s="32" t="n">
        <f aca="false">Inputs!$E$9*(1+Inputs!$E$10)^(V4-1)</f>
        <v>6.695</v>
      </c>
      <c r="W8" s="32" t="n">
        <f aca="false">Inputs!$E$9*(1+Inputs!$E$10)^(W4-1)</f>
        <v>6.695</v>
      </c>
      <c r="X8" s="32" t="n">
        <f aca="false">Inputs!$E$9*(1+Inputs!$E$10)^(X4-1)</f>
        <v>6.695</v>
      </c>
      <c r="Y8" s="32" t="n">
        <f aca="false">Inputs!$E$9*(1+Inputs!$E$10)^(Y4-1)</f>
        <v>6.695</v>
      </c>
      <c r="Z8" s="32" t="n">
        <f aca="false">Inputs!$E$9*(1+Inputs!$E$10)^(Z4-1)</f>
        <v>6.695</v>
      </c>
      <c r="AA8" s="32" t="n">
        <f aca="false">Inputs!$E$9*(1+Inputs!$E$10)^(AA4-1)</f>
        <v>6.89585</v>
      </c>
      <c r="AB8" s="32" t="n">
        <f aca="false">Inputs!$E$9*(1+Inputs!$E$10)^(AB4-1)</f>
        <v>6.89585</v>
      </c>
      <c r="AC8" s="32" t="n">
        <f aca="false">Inputs!$E$9*(1+Inputs!$E$10)^(AC4-1)</f>
        <v>6.89585</v>
      </c>
      <c r="AD8" s="32" t="n">
        <f aca="false">Inputs!$E$9*(1+Inputs!$E$10)^(AD4-1)</f>
        <v>6.89585</v>
      </c>
      <c r="AE8" s="32" t="n">
        <f aca="false">Inputs!$E$9*(1+Inputs!$E$10)^(AE4-1)</f>
        <v>6.89585</v>
      </c>
      <c r="AF8" s="32" t="n">
        <f aca="false">Inputs!$E$9*(1+Inputs!$E$10)^(AF4-1)</f>
        <v>6.89585</v>
      </c>
      <c r="AG8" s="32" t="n">
        <f aca="false">Inputs!$E$9*(1+Inputs!$E$10)^(AG4-1)</f>
        <v>6.89585</v>
      </c>
      <c r="AH8" s="32" t="n">
        <f aca="false">Inputs!$E$9*(1+Inputs!$E$10)^(AH4-1)</f>
        <v>6.89585</v>
      </c>
      <c r="AI8" s="32" t="n">
        <f aca="false">Inputs!$E$9*(1+Inputs!$E$10)^(AI4-1)</f>
        <v>6.89585</v>
      </c>
      <c r="AJ8" s="32" t="n">
        <f aca="false">Inputs!$E$9*(1+Inputs!$E$10)^(AJ4-1)</f>
        <v>6.89585</v>
      </c>
      <c r="AK8" s="32" t="n">
        <f aca="false">Inputs!$E$9*(1+Inputs!$E$10)^(AK4-1)</f>
        <v>6.89585</v>
      </c>
      <c r="AL8" s="32" t="n">
        <f aca="false">Inputs!$E$9*(1+Inputs!$E$10)^(AL4-1)</f>
        <v>6.89585</v>
      </c>
    </row>
    <row r="9" customFormat="false" ht="15" hidden="false" customHeight="false" outlineLevel="0" collapsed="false">
      <c r="A9" s="11" t="s">
        <v>64</v>
      </c>
      <c r="C9" s="33" t="n">
        <f aca="false">Inputs!$E$11</f>
        <v>30</v>
      </c>
      <c r="D9" s="33" t="n">
        <f aca="false">Inputs!$E$11</f>
        <v>30</v>
      </c>
      <c r="E9" s="33" t="n">
        <f aca="false">Inputs!$E$11</f>
        <v>30</v>
      </c>
      <c r="F9" s="33" t="n">
        <f aca="false">Inputs!$E$11</f>
        <v>30</v>
      </c>
      <c r="G9" s="33" t="n">
        <f aca="false">Inputs!$E$11</f>
        <v>30</v>
      </c>
      <c r="H9" s="33" t="n">
        <f aca="false">Inputs!$E$11</f>
        <v>30</v>
      </c>
      <c r="I9" s="33" t="n">
        <f aca="false">Inputs!$E$11</f>
        <v>30</v>
      </c>
      <c r="J9" s="33" t="n">
        <f aca="false">Inputs!$E$11</f>
        <v>30</v>
      </c>
      <c r="K9" s="33" t="n">
        <f aca="false">Inputs!$E$11</f>
        <v>30</v>
      </c>
      <c r="L9" s="33" t="n">
        <f aca="false">Inputs!$E$11</f>
        <v>30</v>
      </c>
      <c r="M9" s="33" t="n">
        <f aca="false">Inputs!$E$11</f>
        <v>30</v>
      </c>
      <c r="N9" s="33" t="n">
        <f aca="false">Inputs!$E$11</f>
        <v>30</v>
      </c>
      <c r="O9" s="33" t="n">
        <f aca="false">Inputs!$E$11</f>
        <v>30</v>
      </c>
      <c r="P9" s="33" t="n">
        <f aca="false">Inputs!$E$11</f>
        <v>30</v>
      </c>
      <c r="Q9" s="33" t="n">
        <f aca="false">Inputs!$E$11</f>
        <v>30</v>
      </c>
      <c r="R9" s="33" t="n">
        <f aca="false">Inputs!$E$11</f>
        <v>30</v>
      </c>
      <c r="S9" s="33" t="n">
        <f aca="false">Inputs!$E$11</f>
        <v>30</v>
      </c>
      <c r="T9" s="33" t="n">
        <f aca="false">Inputs!$E$11</f>
        <v>30</v>
      </c>
      <c r="U9" s="33" t="n">
        <f aca="false">Inputs!$E$11</f>
        <v>30</v>
      </c>
      <c r="V9" s="33" t="n">
        <f aca="false">Inputs!$E$11</f>
        <v>30</v>
      </c>
      <c r="W9" s="33" t="n">
        <f aca="false">Inputs!$E$11</f>
        <v>30</v>
      </c>
      <c r="X9" s="33" t="n">
        <f aca="false">Inputs!$E$11</f>
        <v>30</v>
      </c>
      <c r="Y9" s="33" t="n">
        <f aca="false">Inputs!$E$11</f>
        <v>30</v>
      </c>
      <c r="Z9" s="33" t="n">
        <f aca="false">Inputs!$E$11</f>
        <v>30</v>
      </c>
      <c r="AA9" s="33" t="n">
        <f aca="false">Inputs!$E$11</f>
        <v>30</v>
      </c>
      <c r="AB9" s="33" t="n">
        <f aca="false">Inputs!$E$11</f>
        <v>30</v>
      </c>
      <c r="AC9" s="33" t="n">
        <f aca="false">Inputs!$E$11</f>
        <v>30</v>
      </c>
      <c r="AD9" s="33" t="n">
        <f aca="false">Inputs!$E$11</f>
        <v>30</v>
      </c>
      <c r="AE9" s="33" t="n">
        <f aca="false">Inputs!$E$11</f>
        <v>30</v>
      </c>
      <c r="AF9" s="33" t="n">
        <f aca="false">Inputs!$E$11</f>
        <v>30</v>
      </c>
      <c r="AG9" s="33" t="n">
        <f aca="false">Inputs!$E$11</f>
        <v>30</v>
      </c>
      <c r="AH9" s="33" t="n">
        <f aca="false">Inputs!$E$11</f>
        <v>30</v>
      </c>
      <c r="AI9" s="33" t="n">
        <f aca="false">Inputs!$E$11</f>
        <v>30</v>
      </c>
      <c r="AJ9" s="33" t="n">
        <f aca="false">Inputs!$E$11</f>
        <v>30</v>
      </c>
      <c r="AK9" s="33" t="n">
        <f aca="false">Inputs!$E$11</f>
        <v>30</v>
      </c>
      <c r="AL9" s="33" t="n">
        <f aca="false">Inputs!$E$11</f>
        <v>30</v>
      </c>
    </row>
    <row r="10" customFormat="false" ht="15" hidden="false" customHeight="false" outlineLevel="0" collapsed="false">
      <c r="A10" s="4" t="s">
        <v>7</v>
      </c>
      <c r="C10" s="14" t="n">
        <f aca="false">C7*C8*C9</f>
        <v>15600</v>
      </c>
      <c r="D10" s="14" t="n">
        <f aca="false">D7*D8*D9</f>
        <v>18200</v>
      </c>
      <c r="E10" s="14" t="n">
        <f aca="false">E7*E8*E9</f>
        <v>20800</v>
      </c>
      <c r="F10" s="14" t="n">
        <f aca="false">F7*F8*F9</f>
        <v>23400</v>
      </c>
      <c r="G10" s="14" t="n">
        <f aca="false">G7*G8*G9</f>
        <v>26000</v>
      </c>
      <c r="H10" s="14" t="n">
        <f aca="false">H7*H8*H9</f>
        <v>28600</v>
      </c>
      <c r="I10" s="14" t="n">
        <f aca="false">I7*I8*I9</f>
        <v>31200</v>
      </c>
      <c r="J10" s="14" t="n">
        <f aca="false">J7*J8*J9</f>
        <v>31200</v>
      </c>
      <c r="K10" s="14" t="n">
        <f aca="false">K7*K8*K9</f>
        <v>31200</v>
      </c>
      <c r="L10" s="14" t="n">
        <f aca="false">L7*L8*L9</f>
        <v>31200</v>
      </c>
      <c r="M10" s="14" t="n">
        <f aca="false">M7*M8*M9</f>
        <v>31200</v>
      </c>
      <c r="N10" s="14" t="n">
        <f aca="false">N7*N8*N9</f>
        <v>31200</v>
      </c>
      <c r="O10" s="14" t="n">
        <f aca="false">O7*O8*O9</f>
        <v>34064.16</v>
      </c>
      <c r="P10" s="14" t="n">
        <f aca="false">P7*P8*P9</f>
        <v>34064.16</v>
      </c>
      <c r="Q10" s="14" t="n">
        <f aca="false">Q7*Q8*Q9</f>
        <v>34064.16</v>
      </c>
      <c r="R10" s="14" t="n">
        <f aca="false">R7*R8*R9</f>
        <v>34064.16</v>
      </c>
      <c r="S10" s="14" t="n">
        <f aca="false">S7*S8*S9</f>
        <v>34064.16</v>
      </c>
      <c r="T10" s="14" t="n">
        <f aca="false">T7*T8*T9</f>
        <v>34064.16</v>
      </c>
      <c r="U10" s="14" t="n">
        <f aca="false">U7*U8*U9</f>
        <v>34064.16</v>
      </c>
      <c r="V10" s="14" t="n">
        <f aca="false">V7*V8*V9</f>
        <v>34064.16</v>
      </c>
      <c r="W10" s="14" t="n">
        <f aca="false">W7*W8*W9</f>
        <v>34064.16</v>
      </c>
      <c r="X10" s="14" t="n">
        <f aca="false">X7*X8*X9</f>
        <v>34064.16</v>
      </c>
      <c r="Y10" s="14" t="n">
        <f aca="false">Y7*Y8*Y9</f>
        <v>34064.16</v>
      </c>
      <c r="Z10" s="14" t="n">
        <f aca="false">Z7*Z8*Z9</f>
        <v>34064.16</v>
      </c>
      <c r="AA10" s="14" t="n">
        <f aca="false">AA7*AA8*AA9</f>
        <v>37191.249888</v>
      </c>
      <c r="AB10" s="14" t="n">
        <f aca="false">AB7*AB8*AB9</f>
        <v>37191.249888</v>
      </c>
      <c r="AC10" s="14" t="n">
        <f aca="false">AC7*AC8*AC9</f>
        <v>37191.249888</v>
      </c>
      <c r="AD10" s="14" t="n">
        <f aca="false">AD7*AD8*AD9</f>
        <v>37191.249888</v>
      </c>
      <c r="AE10" s="14" t="n">
        <f aca="false">AE7*AE8*AE9</f>
        <v>37191.249888</v>
      </c>
      <c r="AF10" s="14" t="n">
        <f aca="false">AF7*AF8*AF9</f>
        <v>37191.249888</v>
      </c>
      <c r="AG10" s="14" t="n">
        <f aca="false">AG7*AG8*AG9</f>
        <v>37191.249888</v>
      </c>
      <c r="AH10" s="14" t="n">
        <f aca="false">AH7*AH8*AH9</f>
        <v>37191.249888</v>
      </c>
      <c r="AI10" s="14" t="n">
        <f aca="false">AI7*AI8*AI9</f>
        <v>37191.249888</v>
      </c>
      <c r="AJ10" s="14" t="n">
        <f aca="false">AJ7*AJ8*AJ9</f>
        <v>37191.249888</v>
      </c>
      <c r="AK10" s="14" t="n">
        <f aca="false">AK7*AK8*AK9</f>
        <v>37191.249888</v>
      </c>
      <c r="AL10" s="14" t="n">
        <f aca="false">AL7*AL8*AL9</f>
        <v>37191.249888</v>
      </c>
    </row>
    <row r="11" customFormat="false" ht="15" hidden="false" customHeight="false" outlineLevel="0" collapsed="false">
      <c r="A11" s="11" t="s">
        <v>65</v>
      </c>
      <c r="C11" s="34" t="n">
        <f aca="false">-C10*Inputs!$E$12</f>
        <v>-5148</v>
      </c>
      <c r="D11" s="34" t="n">
        <f aca="false">-D10*Inputs!$E$12</f>
        <v>-6006</v>
      </c>
      <c r="E11" s="34" t="n">
        <f aca="false">-E10*Inputs!$E$12</f>
        <v>-6864</v>
      </c>
      <c r="F11" s="34" t="n">
        <f aca="false">-F10*Inputs!$E$12</f>
        <v>-7722</v>
      </c>
      <c r="G11" s="34" t="n">
        <f aca="false">-G10*Inputs!$E$12</f>
        <v>-8580</v>
      </c>
      <c r="H11" s="34" t="n">
        <f aca="false">-H10*Inputs!$E$12</f>
        <v>-9438</v>
      </c>
      <c r="I11" s="34" t="n">
        <f aca="false">-I10*Inputs!$E$12</f>
        <v>-10296</v>
      </c>
      <c r="J11" s="34" t="n">
        <f aca="false">-J10*Inputs!$E$12</f>
        <v>-10296</v>
      </c>
      <c r="K11" s="34" t="n">
        <f aca="false">-K10*Inputs!$E$12</f>
        <v>-10296</v>
      </c>
      <c r="L11" s="34" t="n">
        <f aca="false">-L10*Inputs!$E$12</f>
        <v>-10296</v>
      </c>
      <c r="M11" s="34" t="n">
        <f aca="false">-M10*Inputs!$E$12</f>
        <v>-10296</v>
      </c>
      <c r="N11" s="34" t="n">
        <f aca="false">-N10*Inputs!$E$12</f>
        <v>-10296</v>
      </c>
      <c r="O11" s="34" t="n">
        <f aca="false">-O10*Inputs!$E$12</f>
        <v>-11241.1728</v>
      </c>
      <c r="P11" s="34" t="n">
        <f aca="false">-P10*Inputs!$E$12</f>
        <v>-11241.1728</v>
      </c>
      <c r="Q11" s="34" t="n">
        <f aca="false">-Q10*Inputs!$E$12</f>
        <v>-11241.1728</v>
      </c>
      <c r="R11" s="34" t="n">
        <f aca="false">-R10*Inputs!$E$12</f>
        <v>-11241.1728</v>
      </c>
      <c r="S11" s="34" t="n">
        <f aca="false">-S10*Inputs!$E$12</f>
        <v>-11241.1728</v>
      </c>
      <c r="T11" s="34" t="n">
        <f aca="false">-T10*Inputs!$E$12</f>
        <v>-11241.1728</v>
      </c>
      <c r="U11" s="34" t="n">
        <f aca="false">-U10*Inputs!$E$12</f>
        <v>-11241.1728</v>
      </c>
      <c r="V11" s="34" t="n">
        <f aca="false">-V10*Inputs!$E$12</f>
        <v>-11241.1728</v>
      </c>
      <c r="W11" s="34" t="n">
        <f aca="false">-W10*Inputs!$E$12</f>
        <v>-11241.1728</v>
      </c>
      <c r="X11" s="34" t="n">
        <f aca="false">-X10*Inputs!$E$12</f>
        <v>-11241.1728</v>
      </c>
      <c r="Y11" s="34" t="n">
        <f aca="false">-Y10*Inputs!$E$12</f>
        <v>-11241.1728</v>
      </c>
      <c r="Z11" s="34" t="n">
        <f aca="false">-Z10*Inputs!$E$12</f>
        <v>-11241.1728</v>
      </c>
      <c r="AA11" s="34" t="n">
        <f aca="false">-AA10*Inputs!$E$12</f>
        <v>-12273.11246304</v>
      </c>
      <c r="AB11" s="34" t="n">
        <f aca="false">-AB10*Inputs!$E$12</f>
        <v>-12273.11246304</v>
      </c>
      <c r="AC11" s="34" t="n">
        <f aca="false">-AC10*Inputs!$E$12</f>
        <v>-12273.11246304</v>
      </c>
      <c r="AD11" s="34" t="n">
        <f aca="false">-AD10*Inputs!$E$12</f>
        <v>-12273.11246304</v>
      </c>
      <c r="AE11" s="34" t="n">
        <f aca="false">-AE10*Inputs!$E$12</f>
        <v>-12273.11246304</v>
      </c>
      <c r="AF11" s="34" t="n">
        <f aca="false">-AF10*Inputs!$E$12</f>
        <v>-12273.11246304</v>
      </c>
      <c r="AG11" s="34" t="n">
        <f aca="false">-AG10*Inputs!$E$12</f>
        <v>-12273.11246304</v>
      </c>
      <c r="AH11" s="34" t="n">
        <f aca="false">-AH10*Inputs!$E$12</f>
        <v>-12273.11246304</v>
      </c>
      <c r="AI11" s="34" t="n">
        <f aca="false">-AI10*Inputs!$E$12</f>
        <v>-12273.11246304</v>
      </c>
      <c r="AJ11" s="34" t="n">
        <f aca="false">-AJ10*Inputs!$E$12</f>
        <v>-12273.11246304</v>
      </c>
      <c r="AK11" s="34" t="n">
        <f aca="false">-AK10*Inputs!$E$12</f>
        <v>-12273.11246304</v>
      </c>
      <c r="AL11" s="34" t="n">
        <f aca="false">-AL10*Inputs!$E$12</f>
        <v>-12273.11246304</v>
      </c>
    </row>
    <row r="12" customFormat="false" ht="15" hidden="false" customHeight="false" outlineLevel="0" collapsed="false">
      <c r="A12" s="4" t="s">
        <v>8</v>
      </c>
      <c r="C12" s="35" t="n">
        <f aca="false">C10+C11</f>
        <v>10452</v>
      </c>
      <c r="D12" s="35" t="n">
        <f aca="false">D10+D11</f>
        <v>12194</v>
      </c>
      <c r="E12" s="35" t="n">
        <f aca="false">E10+E11</f>
        <v>13936</v>
      </c>
      <c r="F12" s="35" t="n">
        <f aca="false">F10+F11</f>
        <v>15678</v>
      </c>
      <c r="G12" s="35" t="n">
        <f aca="false">G10+G11</f>
        <v>17420</v>
      </c>
      <c r="H12" s="35" t="n">
        <f aca="false">H10+H11</f>
        <v>19162</v>
      </c>
      <c r="I12" s="35" t="n">
        <f aca="false">I10+I11</f>
        <v>20904</v>
      </c>
      <c r="J12" s="35" t="n">
        <f aca="false">J10+J11</f>
        <v>20904</v>
      </c>
      <c r="K12" s="35" t="n">
        <f aca="false">K10+K11</f>
        <v>20904</v>
      </c>
      <c r="L12" s="35" t="n">
        <f aca="false">L10+L11</f>
        <v>20904</v>
      </c>
      <c r="M12" s="35" t="n">
        <f aca="false">M10+M11</f>
        <v>20904</v>
      </c>
      <c r="N12" s="35" t="n">
        <f aca="false">N10+N11</f>
        <v>20904</v>
      </c>
      <c r="O12" s="35" t="n">
        <f aca="false">O10+O11</f>
        <v>22822.9872</v>
      </c>
      <c r="P12" s="35" t="n">
        <f aca="false">P10+P11</f>
        <v>22822.9872</v>
      </c>
      <c r="Q12" s="35" t="n">
        <f aca="false">Q10+Q11</f>
        <v>22822.9872</v>
      </c>
      <c r="R12" s="35" t="n">
        <f aca="false">R10+R11</f>
        <v>22822.9872</v>
      </c>
      <c r="S12" s="35" t="n">
        <f aca="false">S10+S11</f>
        <v>22822.9872</v>
      </c>
      <c r="T12" s="35" t="n">
        <f aca="false">T10+T11</f>
        <v>22822.9872</v>
      </c>
      <c r="U12" s="35" t="n">
        <f aca="false">U10+U11</f>
        <v>22822.9872</v>
      </c>
      <c r="V12" s="35" t="n">
        <f aca="false">V10+V11</f>
        <v>22822.9872</v>
      </c>
      <c r="W12" s="35" t="n">
        <f aca="false">W10+W11</f>
        <v>22822.9872</v>
      </c>
      <c r="X12" s="35" t="n">
        <f aca="false">X10+X11</f>
        <v>22822.9872</v>
      </c>
      <c r="Y12" s="35" t="n">
        <f aca="false">Y10+Y11</f>
        <v>22822.9872</v>
      </c>
      <c r="Z12" s="35" t="n">
        <f aca="false">Z10+Z11</f>
        <v>22822.9872</v>
      </c>
      <c r="AA12" s="35" t="n">
        <f aca="false">AA10+AA11</f>
        <v>24918.13742496</v>
      </c>
      <c r="AB12" s="35" t="n">
        <f aca="false">AB10+AB11</f>
        <v>24918.13742496</v>
      </c>
      <c r="AC12" s="35" t="n">
        <f aca="false">AC10+AC11</f>
        <v>24918.13742496</v>
      </c>
      <c r="AD12" s="35" t="n">
        <f aca="false">AD10+AD11</f>
        <v>24918.13742496</v>
      </c>
      <c r="AE12" s="35" t="n">
        <f aca="false">AE10+AE11</f>
        <v>24918.13742496</v>
      </c>
      <c r="AF12" s="35" t="n">
        <f aca="false">AF10+AF11</f>
        <v>24918.13742496</v>
      </c>
      <c r="AG12" s="35" t="n">
        <f aca="false">AG10+AG11</f>
        <v>24918.13742496</v>
      </c>
      <c r="AH12" s="35" t="n">
        <f aca="false">AH10+AH11</f>
        <v>24918.13742496</v>
      </c>
      <c r="AI12" s="35" t="n">
        <f aca="false">AI10+AI11</f>
        <v>24918.13742496</v>
      </c>
      <c r="AJ12" s="35" t="n">
        <f aca="false">AJ10+AJ11</f>
        <v>24918.13742496</v>
      </c>
      <c r="AK12" s="35" t="n">
        <f aca="false">AK10+AK11</f>
        <v>24918.13742496</v>
      </c>
      <c r="AL12" s="35" t="n">
        <f aca="false">AL10+AL11</f>
        <v>24918.13742496</v>
      </c>
    </row>
    <row r="13" customFormat="false" ht="15" hidden="false" customHeight="false" outlineLevel="0" collapsed="false">
      <c r="A13" s="7" t="s">
        <v>66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customFormat="false" ht="15" hidden="false" customHeight="false" outlineLevel="0" collapsed="false">
      <c r="A14" s="11" t="s">
        <v>67</v>
      </c>
      <c r="C14" s="10" t="n">
        <f aca="false">-Inputs!$E$13</f>
        <v>-4500</v>
      </c>
      <c r="D14" s="10" t="n">
        <f aca="false">-Inputs!$E$13</f>
        <v>-4500</v>
      </c>
      <c r="E14" s="10" t="n">
        <f aca="false">-Inputs!$E$13</f>
        <v>-4500</v>
      </c>
      <c r="F14" s="10" t="n">
        <f aca="false">-Inputs!$E$13</f>
        <v>-4500</v>
      </c>
      <c r="G14" s="10" t="n">
        <f aca="false">-Inputs!$E$13</f>
        <v>-4500</v>
      </c>
      <c r="H14" s="10" t="n">
        <f aca="false">-Inputs!$E$13</f>
        <v>-4500</v>
      </c>
      <c r="I14" s="10" t="n">
        <f aca="false">-Inputs!$E$13</f>
        <v>-4500</v>
      </c>
      <c r="J14" s="10" t="n">
        <f aca="false">-Inputs!$E$13</f>
        <v>-4500</v>
      </c>
      <c r="K14" s="10" t="n">
        <f aca="false">-Inputs!$E$13</f>
        <v>-4500</v>
      </c>
      <c r="L14" s="10" t="n">
        <f aca="false">-Inputs!$E$13</f>
        <v>-4500</v>
      </c>
      <c r="M14" s="10" t="n">
        <f aca="false">-Inputs!$E$13</f>
        <v>-4500</v>
      </c>
      <c r="N14" s="10" t="n">
        <f aca="false">-Inputs!$E$13</f>
        <v>-4500</v>
      </c>
      <c r="O14" s="10" t="n">
        <f aca="false">-Inputs!$E$13</f>
        <v>-4500</v>
      </c>
      <c r="P14" s="10" t="n">
        <f aca="false">-Inputs!$E$13</f>
        <v>-4500</v>
      </c>
      <c r="Q14" s="10" t="n">
        <f aca="false">-Inputs!$E$13</f>
        <v>-4500</v>
      </c>
      <c r="R14" s="10" t="n">
        <f aca="false">-Inputs!$E$13</f>
        <v>-4500</v>
      </c>
      <c r="S14" s="10" t="n">
        <f aca="false">-Inputs!$E$13</f>
        <v>-4500</v>
      </c>
      <c r="T14" s="10" t="n">
        <f aca="false">-Inputs!$E$13</f>
        <v>-4500</v>
      </c>
      <c r="U14" s="10" t="n">
        <f aca="false">-Inputs!$E$13</f>
        <v>-4500</v>
      </c>
      <c r="V14" s="10" t="n">
        <f aca="false">-Inputs!$E$13</f>
        <v>-4500</v>
      </c>
      <c r="W14" s="10" t="n">
        <f aca="false">-Inputs!$E$13</f>
        <v>-4500</v>
      </c>
      <c r="X14" s="10" t="n">
        <f aca="false">-Inputs!$E$13</f>
        <v>-4500</v>
      </c>
      <c r="Y14" s="10" t="n">
        <f aca="false">-Inputs!$E$13</f>
        <v>-4500</v>
      </c>
      <c r="Z14" s="10" t="n">
        <f aca="false">-Inputs!$E$13</f>
        <v>-4500</v>
      </c>
      <c r="AA14" s="10" t="n">
        <f aca="false">-Inputs!$E$13</f>
        <v>-4500</v>
      </c>
      <c r="AB14" s="10" t="n">
        <f aca="false">-Inputs!$E$13</f>
        <v>-4500</v>
      </c>
      <c r="AC14" s="10" t="n">
        <f aca="false">-Inputs!$E$13</f>
        <v>-4500</v>
      </c>
      <c r="AD14" s="10" t="n">
        <f aca="false">-Inputs!$E$13</f>
        <v>-4500</v>
      </c>
      <c r="AE14" s="10" t="n">
        <f aca="false">-Inputs!$E$13</f>
        <v>-4500</v>
      </c>
      <c r="AF14" s="10" t="n">
        <f aca="false">-Inputs!$E$13</f>
        <v>-4500</v>
      </c>
      <c r="AG14" s="10" t="n">
        <f aca="false">-Inputs!$E$13</f>
        <v>-4500</v>
      </c>
      <c r="AH14" s="10" t="n">
        <f aca="false">-Inputs!$E$13</f>
        <v>-4500</v>
      </c>
      <c r="AI14" s="10" t="n">
        <f aca="false">-Inputs!$E$13</f>
        <v>-4500</v>
      </c>
      <c r="AJ14" s="10" t="n">
        <f aca="false">-Inputs!$E$13</f>
        <v>-4500</v>
      </c>
      <c r="AK14" s="10" t="n">
        <f aca="false">-Inputs!$E$13</f>
        <v>-4500</v>
      </c>
      <c r="AL14" s="10" t="n">
        <f aca="false">-Inputs!$E$13</f>
        <v>-4500</v>
      </c>
    </row>
    <row r="15" customFormat="false" ht="15" hidden="false" customHeight="false" outlineLevel="0" collapsed="false">
      <c r="A15" s="11" t="s">
        <v>68</v>
      </c>
      <c r="C15" s="34" t="n">
        <f aca="false">-Inputs!$E$14*Inputs!$E$15/12*(1+Inputs!$E$16)*(1+Inputs!$E$17)^(C4-1)</f>
        <v>-10453.3333333333</v>
      </c>
      <c r="D15" s="34" t="n">
        <f aca="false">-Inputs!$E$14*Inputs!$E$15/12*(1+Inputs!$E$16)*(1+Inputs!$E$17)^(D4-1)</f>
        <v>-10453.3333333333</v>
      </c>
      <c r="E15" s="34" t="n">
        <f aca="false">-Inputs!$E$14*Inputs!$E$15/12*(1+Inputs!$E$16)*(1+Inputs!$E$17)^(E4-1)</f>
        <v>-10453.3333333333</v>
      </c>
      <c r="F15" s="34" t="n">
        <f aca="false">-Inputs!$E$14*Inputs!$E$15/12*(1+Inputs!$E$16)*(1+Inputs!$E$17)^(F4-1)</f>
        <v>-10453.3333333333</v>
      </c>
      <c r="G15" s="34" t="n">
        <f aca="false">-Inputs!$E$14*Inputs!$E$15/12*(1+Inputs!$E$16)*(1+Inputs!$E$17)^(G4-1)</f>
        <v>-10453.3333333333</v>
      </c>
      <c r="H15" s="34" t="n">
        <f aca="false">-Inputs!$E$14*Inputs!$E$15/12*(1+Inputs!$E$16)*(1+Inputs!$E$17)^(H4-1)</f>
        <v>-10453.3333333333</v>
      </c>
      <c r="I15" s="34" t="n">
        <f aca="false">-Inputs!$E$14*Inputs!$E$15/12*(1+Inputs!$E$16)*(1+Inputs!$E$17)^(I4-1)</f>
        <v>-10453.3333333333</v>
      </c>
      <c r="J15" s="34" t="n">
        <f aca="false">-Inputs!$E$14*Inputs!$E$15/12*(1+Inputs!$E$16)*(1+Inputs!$E$17)^(J4-1)</f>
        <v>-10453.3333333333</v>
      </c>
      <c r="K15" s="34" t="n">
        <f aca="false">-Inputs!$E$14*Inputs!$E$15/12*(1+Inputs!$E$16)*(1+Inputs!$E$17)^(K4-1)</f>
        <v>-10453.3333333333</v>
      </c>
      <c r="L15" s="34" t="n">
        <f aca="false">-Inputs!$E$14*Inputs!$E$15/12*(1+Inputs!$E$16)*(1+Inputs!$E$17)^(L4-1)</f>
        <v>-10453.3333333333</v>
      </c>
      <c r="M15" s="34" t="n">
        <f aca="false">-Inputs!$E$14*Inputs!$E$15/12*(1+Inputs!$E$16)*(1+Inputs!$E$17)^(M4-1)</f>
        <v>-10453.3333333333</v>
      </c>
      <c r="N15" s="34" t="n">
        <f aca="false">-Inputs!$E$14*Inputs!$E$15/12*(1+Inputs!$E$16)*(1+Inputs!$E$17)^(N4-1)</f>
        <v>-10453.3333333333</v>
      </c>
      <c r="O15" s="34" t="n">
        <f aca="false">-Inputs!$E$14*Inputs!$E$15/12*(1+Inputs!$E$16)*(1+Inputs!$E$17)^(O4-1)</f>
        <v>-10766.9333333333</v>
      </c>
      <c r="P15" s="34" t="n">
        <f aca="false">-Inputs!$E$14*Inputs!$E$15/12*(1+Inputs!$E$16)*(1+Inputs!$E$17)^(P4-1)</f>
        <v>-10766.9333333333</v>
      </c>
      <c r="Q15" s="34" t="n">
        <f aca="false">-Inputs!$E$14*Inputs!$E$15/12*(1+Inputs!$E$16)*(1+Inputs!$E$17)^(Q4-1)</f>
        <v>-10766.9333333333</v>
      </c>
      <c r="R15" s="34" t="n">
        <f aca="false">-Inputs!$E$14*Inputs!$E$15/12*(1+Inputs!$E$16)*(1+Inputs!$E$17)^(R4-1)</f>
        <v>-10766.9333333333</v>
      </c>
      <c r="S15" s="34" t="n">
        <f aca="false">-Inputs!$E$14*Inputs!$E$15/12*(1+Inputs!$E$16)*(1+Inputs!$E$17)^(S4-1)</f>
        <v>-10766.9333333333</v>
      </c>
      <c r="T15" s="34" t="n">
        <f aca="false">-Inputs!$E$14*Inputs!$E$15/12*(1+Inputs!$E$16)*(1+Inputs!$E$17)^(T4-1)</f>
        <v>-10766.9333333333</v>
      </c>
      <c r="U15" s="34" t="n">
        <f aca="false">-Inputs!$E$14*Inputs!$E$15/12*(1+Inputs!$E$16)*(1+Inputs!$E$17)^(U4-1)</f>
        <v>-10766.9333333333</v>
      </c>
      <c r="V15" s="34" t="n">
        <f aca="false">-Inputs!$E$14*Inputs!$E$15/12*(1+Inputs!$E$16)*(1+Inputs!$E$17)^(V4-1)</f>
        <v>-10766.9333333333</v>
      </c>
      <c r="W15" s="34" t="n">
        <f aca="false">-Inputs!$E$14*Inputs!$E$15/12*(1+Inputs!$E$16)*(1+Inputs!$E$17)^(W4-1)</f>
        <v>-10766.9333333333</v>
      </c>
      <c r="X15" s="34" t="n">
        <f aca="false">-Inputs!$E$14*Inputs!$E$15/12*(1+Inputs!$E$16)*(1+Inputs!$E$17)^(X4-1)</f>
        <v>-10766.9333333333</v>
      </c>
      <c r="Y15" s="34" t="n">
        <f aca="false">-Inputs!$E$14*Inputs!$E$15/12*(1+Inputs!$E$16)*(1+Inputs!$E$17)^(Y4-1)</f>
        <v>-10766.9333333333</v>
      </c>
      <c r="Z15" s="34" t="n">
        <f aca="false">-Inputs!$E$14*Inputs!$E$15/12*(1+Inputs!$E$16)*(1+Inputs!$E$17)^(Z4-1)</f>
        <v>-10766.9333333333</v>
      </c>
      <c r="AA15" s="34" t="n">
        <f aca="false">-Inputs!$E$14*Inputs!$E$15/12*(1+Inputs!$E$16)*(1+Inputs!$E$17)^(AA4-1)</f>
        <v>-11089.9413333333</v>
      </c>
      <c r="AB15" s="34" t="n">
        <f aca="false">-Inputs!$E$14*Inputs!$E$15/12*(1+Inputs!$E$16)*(1+Inputs!$E$17)^(AB4-1)</f>
        <v>-11089.9413333333</v>
      </c>
      <c r="AC15" s="34" t="n">
        <f aca="false">-Inputs!$E$14*Inputs!$E$15/12*(1+Inputs!$E$16)*(1+Inputs!$E$17)^(AC4-1)</f>
        <v>-11089.9413333333</v>
      </c>
      <c r="AD15" s="34" t="n">
        <f aca="false">-Inputs!$E$14*Inputs!$E$15/12*(1+Inputs!$E$16)*(1+Inputs!$E$17)^(AD4-1)</f>
        <v>-11089.9413333333</v>
      </c>
      <c r="AE15" s="34" t="n">
        <f aca="false">-Inputs!$E$14*Inputs!$E$15/12*(1+Inputs!$E$16)*(1+Inputs!$E$17)^(AE4-1)</f>
        <v>-11089.9413333333</v>
      </c>
      <c r="AF15" s="34" t="n">
        <f aca="false">-Inputs!$E$14*Inputs!$E$15/12*(1+Inputs!$E$16)*(1+Inputs!$E$17)^(AF4-1)</f>
        <v>-11089.9413333333</v>
      </c>
      <c r="AG15" s="34" t="n">
        <f aca="false">-Inputs!$E$14*Inputs!$E$15/12*(1+Inputs!$E$16)*(1+Inputs!$E$17)^(AG4-1)</f>
        <v>-11089.9413333333</v>
      </c>
      <c r="AH15" s="34" t="n">
        <f aca="false">-Inputs!$E$14*Inputs!$E$15/12*(1+Inputs!$E$16)*(1+Inputs!$E$17)^(AH4-1)</f>
        <v>-11089.9413333333</v>
      </c>
      <c r="AI15" s="34" t="n">
        <f aca="false">-Inputs!$E$14*Inputs!$E$15/12*(1+Inputs!$E$16)*(1+Inputs!$E$17)^(AI4-1)</f>
        <v>-11089.9413333333</v>
      </c>
      <c r="AJ15" s="34" t="n">
        <f aca="false">-Inputs!$E$14*Inputs!$E$15/12*(1+Inputs!$E$16)*(1+Inputs!$E$17)^(AJ4-1)</f>
        <v>-11089.9413333333</v>
      </c>
      <c r="AK15" s="34" t="n">
        <f aca="false">-Inputs!$E$14*Inputs!$E$15/12*(1+Inputs!$E$16)*(1+Inputs!$E$17)^(AK4-1)</f>
        <v>-11089.9413333333</v>
      </c>
      <c r="AL15" s="34" t="n">
        <f aca="false">-Inputs!$E$14*Inputs!$E$15/12*(1+Inputs!$E$16)*(1+Inputs!$E$17)^(AL4-1)</f>
        <v>-11089.9413333333</v>
      </c>
    </row>
    <row r="16" customFormat="false" ht="15" hidden="false" customHeight="false" outlineLevel="0" collapsed="false">
      <c r="A16" s="11" t="s">
        <v>69</v>
      </c>
      <c r="C16" s="34" t="n">
        <f aca="false">-C10*Inputs!$E$18</f>
        <v>-468</v>
      </c>
      <c r="D16" s="34" t="n">
        <f aca="false">-D10*Inputs!$E$18</f>
        <v>-546</v>
      </c>
      <c r="E16" s="34" t="n">
        <f aca="false">-E10*Inputs!$E$18</f>
        <v>-624</v>
      </c>
      <c r="F16" s="34" t="n">
        <f aca="false">-F10*Inputs!$E$18</f>
        <v>-702</v>
      </c>
      <c r="G16" s="34" t="n">
        <f aca="false">-G10*Inputs!$E$18</f>
        <v>-780</v>
      </c>
      <c r="H16" s="34" t="n">
        <f aca="false">-H10*Inputs!$E$18</f>
        <v>-858</v>
      </c>
      <c r="I16" s="34" t="n">
        <f aca="false">-I10*Inputs!$E$18</f>
        <v>-936</v>
      </c>
      <c r="J16" s="34" t="n">
        <f aca="false">-J10*Inputs!$E$18</f>
        <v>-936</v>
      </c>
      <c r="K16" s="34" t="n">
        <f aca="false">-K10*Inputs!$E$18</f>
        <v>-936</v>
      </c>
      <c r="L16" s="34" t="n">
        <f aca="false">-L10*Inputs!$E$18</f>
        <v>-936</v>
      </c>
      <c r="M16" s="34" t="n">
        <f aca="false">-M10*Inputs!$E$18</f>
        <v>-936</v>
      </c>
      <c r="N16" s="34" t="n">
        <f aca="false">-N10*Inputs!$E$18</f>
        <v>-936</v>
      </c>
      <c r="O16" s="34" t="n">
        <f aca="false">-O10*Inputs!$E$18</f>
        <v>-1021.9248</v>
      </c>
      <c r="P16" s="34" t="n">
        <f aca="false">-P10*Inputs!$E$18</f>
        <v>-1021.9248</v>
      </c>
      <c r="Q16" s="34" t="n">
        <f aca="false">-Q10*Inputs!$E$18</f>
        <v>-1021.9248</v>
      </c>
      <c r="R16" s="34" t="n">
        <f aca="false">-R10*Inputs!$E$18</f>
        <v>-1021.9248</v>
      </c>
      <c r="S16" s="34" t="n">
        <f aca="false">-S10*Inputs!$E$18</f>
        <v>-1021.9248</v>
      </c>
      <c r="T16" s="34" t="n">
        <f aca="false">-T10*Inputs!$E$18</f>
        <v>-1021.9248</v>
      </c>
      <c r="U16" s="34" t="n">
        <f aca="false">-U10*Inputs!$E$18</f>
        <v>-1021.9248</v>
      </c>
      <c r="V16" s="34" t="n">
        <f aca="false">-V10*Inputs!$E$18</f>
        <v>-1021.9248</v>
      </c>
      <c r="W16" s="34" t="n">
        <f aca="false">-W10*Inputs!$E$18</f>
        <v>-1021.9248</v>
      </c>
      <c r="X16" s="34" t="n">
        <f aca="false">-X10*Inputs!$E$18</f>
        <v>-1021.9248</v>
      </c>
      <c r="Y16" s="34" t="n">
        <f aca="false">-Y10*Inputs!$E$18</f>
        <v>-1021.9248</v>
      </c>
      <c r="Z16" s="34" t="n">
        <f aca="false">-Z10*Inputs!$E$18</f>
        <v>-1021.9248</v>
      </c>
      <c r="AA16" s="34" t="n">
        <f aca="false">-AA10*Inputs!$E$18</f>
        <v>-1115.73749664</v>
      </c>
      <c r="AB16" s="34" t="n">
        <f aca="false">-AB10*Inputs!$E$18</f>
        <v>-1115.73749664</v>
      </c>
      <c r="AC16" s="34" t="n">
        <f aca="false">-AC10*Inputs!$E$18</f>
        <v>-1115.73749664</v>
      </c>
      <c r="AD16" s="34" t="n">
        <f aca="false">-AD10*Inputs!$E$18</f>
        <v>-1115.73749664</v>
      </c>
      <c r="AE16" s="34" t="n">
        <f aca="false">-AE10*Inputs!$E$18</f>
        <v>-1115.73749664</v>
      </c>
      <c r="AF16" s="34" t="n">
        <f aca="false">-AF10*Inputs!$E$18</f>
        <v>-1115.73749664</v>
      </c>
      <c r="AG16" s="34" t="n">
        <f aca="false">-AG10*Inputs!$E$18</f>
        <v>-1115.73749664</v>
      </c>
      <c r="AH16" s="34" t="n">
        <f aca="false">-AH10*Inputs!$E$18</f>
        <v>-1115.73749664</v>
      </c>
      <c r="AI16" s="34" t="n">
        <f aca="false">-AI10*Inputs!$E$18</f>
        <v>-1115.73749664</v>
      </c>
      <c r="AJ16" s="34" t="n">
        <f aca="false">-AJ10*Inputs!$E$18</f>
        <v>-1115.73749664</v>
      </c>
      <c r="AK16" s="34" t="n">
        <f aca="false">-AK10*Inputs!$E$18</f>
        <v>-1115.73749664</v>
      </c>
      <c r="AL16" s="34" t="n">
        <f aca="false">-AL10*Inputs!$E$18</f>
        <v>-1115.73749664</v>
      </c>
    </row>
    <row r="17" customFormat="false" ht="15" hidden="false" customHeight="false" outlineLevel="0" collapsed="false">
      <c r="A17" s="11" t="s">
        <v>70</v>
      </c>
      <c r="C17" s="10" t="n">
        <f aca="false">-Inputs!$E$19</f>
        <v>-2000</v>
      </c>
      <c r="D17" s="10" t="n">
        <f aca="false">-Inputs!$E$19</f>
        <v>-2000</v>
      </c>
      <c r="E17" s="10" t="n">
        <f aca="false">-Inputs!$E$19</f>
        <v>-2000</v>
      </c>
      <c r="F17" s="10" t="n">
        <f aca="false">-Inputs!$E$19</f>
        <v>-2000</v>
      </c>
      <c r="G17" s="10" t="n">
        <f aca="false">-Inputs!$E$19</f>
        <v>-2000</v>
      </c>
      <c r="H17" s="10" t="n">
        <f aca="false">-Inputs!$E$19</f>
        <v>-2000</v>
      </c>
      <c r="I17" s="10" t="n">
        <f aca="false">-Inputs!$E$19</f>
        <v>-2000</v>
      </c>
      <c r="J17" s="10" t="n">
        <f aca="false">-Inputs!$E$19</f>
        <v>-2000</v>
      </c>
      <c r="K17" s="10" t="n">
        <f aca="false">-Inputs!$E$19</f>
        <v>-2000</v>
      </c>
      <c r="L17" s="10" t="n">
        <f aca="false">-Inputs!$E$19</f>
        <v>-2000</v>
      </c>
      <c r="M17" s="10" t="n">
        <f aca="false">-Inputs!$E$19</f>
        <v>-2000</v>
      </c>
      <c r="N17" s="10" t="n">
        <f aca="false">-Inputs!$E$19</f>
        <v>-2000</v>
      </c>
      <c r="O17" s="10" t="n">
        <f aca="false">-Inputs!$E$19</f>
        <v>-2000</v>
      </c>
      <c r="P17" s="10" t="n">
        <f aca="false">-Inputs!$E$19</f>
        <v>-2000</v>
      </c>
      <c r="Q17" s="10" t="n">
        <f aca="false">-Inputs!$E$19</f>
        <v>-2000</v>
      </c>
      <c r="R17" s="10" t="n">
        <f aca="false">-Inputs!$E$19</f>
        <v>-2000</v>
      </c>
      <c r="S17" s="10" t="n">
        <f aca="false">-Inputs!$E$19</f>
        <v>-2000</v>
      </c>
      <c r="T17" s="10" t="n">
        <f aca="false">-Inputs!$E$19</f>
        <v>-2000</v>
      </c>
      <c r="U17" s="10" t="n">
        <f aca="false">-Inputs!$E$19</f>
        <v>-2000</v>
      </c>
      <c r="V17" s="10" t="n">
        <f aca="false">-Inputs!$E$19</f>
        <v>-2000</v>
      </c>
      <c r="W17" s="10" t="n">
        <f aca="false">-Inputs!$E$19</f>
        <v>-2000</v>
      </c>
      <c r="X17" s="10" t="n">
        <f aca="false">-Inputs!$E$19</f>
        <v>-2000</v>
      </c>
      <c r="Y17" s="10" t="n">
        <f aca="false">-Inputs!$E$19</f>
        <v>-2000</v>
      </c>
      <c r="Z17" s="10" t="n">
        <f aca="false">-Inputs!$E$19</f>
        <v>-2000</v>
      </c>
      <c r="AA17" s="10" t="n">
        <f aca="false">-Inputs!$E$19</f>
        <v>-2000</v>
      </c>
      <c r="AB17" s="10" t="n">
        <f aca="false">-Inputs!$E$19</f>
        <v>-2000</v>
      </c>
      <c r="AC17" s="10" t="n">
        <f aca="false">-Inputs!$E$19</f>
        <v>-2000</v>
      </c>
      <c r="AD17" s="10" t="n">
        <f aca="false">-Inputs!$E$19</f>
        <v>-2000</v>
      </c>
      <c r="AE17" s="10" t="n">
        <f aca="false">-Inputs!$E$19</f>
        <v>-2000</v>
      </c>
      <c r="AF17" s="10" t="n">
        <f aca="false">-Inputs!$E$19</f>
        <v>-2000</v>
      </c>
      <c r="AG17" s="10" t="n">
        <f aca="false">-Inputs!$E$19</f>
        <v>-2000</v>
      </c>
      <c r="AH17" s="10" t="n">
        <f aca="false">-Inputs!$E$19</f>
        <v>-2000</v>
      </c>
      <c r="AI17" s="10" t="n">
        <f aca="false">-Inputs!$E$19</f>
        <v>-2000</v>
      </c>
      <c r="AJ17" s="10" t="n">
        <f aca="false">-Inputs!$E$19</f>
        <v>-2000</v>
      </c>
      <c r="AK17" s="10" t="n">
        <f aca="false">-Inputs!$E$19</f>
        <v>-2000</v>
      </c>
      <c r="AL17" s="10" t="n">
        <f aca="false">-Inputs!$E$19</f>
        <v>-2000</v>
      </c>
    </row>
    <row r="18" customFormat="false" ht="15" hidden="false" customHeight="false" outlineLevel="0" collapsed="false">
      <c r="A18" s="11" t="s">
        <v>71</v>
      </c>
      <c r="C18" s="34" t="n">
        <f aca="false">SUM(C14:C17)</f>
        <v>-17421.3333333333</v>
      </c>
      <c r="D18" s="34" t="n">
        <f aca="false">SUM(D14:D17)</f>
        <v>-17499.3333333333</v>
      </c>
      <c r="E18" s="34" t="n">
        <f aca="false">SUM(E14:E17)</f>
        <v>-17577.3333333333</v>
      </c>
      <c r="F18" s="34" t="n">
        <f aca="false">SUM(F14:F17)</f>
        <v>-17655.3333333333</v>
      </c>
      <c r="G18" s="34" t="n">
        <f aca="false">SUM(G14:G17)</f>
        <v>-17733.3333333333</v>
      </c>
      <c r="H18" s="34" t="n">
        <f aca="false">SUM(H14:H17)</f>
        <v>-17811.3333333333</v>
      </c>
      <c r="I18" s="34" t="n">
        <f aca="false">SUM(I14:I17)</f>
        <v>-17889.3333333333</v>
      </c>
      <c r="J18" s="34" t="n">
        <f aca="false">SUM(J14:J17)</f>
        <v>-17889.3333333333</v>
      </c>
      <c r="K18" s="34" t="n">
        <f aca="false">SUM(K14:K17)</f>
        <v>-17889.3333333333</v>
      </c>
      <c r="L18" s="34" t="n">
        <f aca="false">SUM(L14:L17)</f>
        <v>-17889.3333333333</v>
      </c>
      <c r="M18" s="34" t="n">
        <f aca="false">SUM(M14:M17)</f>
        <v>-17889.3333333333</v>
      </c>
      <c r="N18" s="34" t="n">
        <f aca="false">SUM(N14:N17)</f>
        <v>-17889.3333333333</v>
      </c>
      <c r="O18" s="34" t="n">
        <f aca="false">SUM(O14:O17)</f>
        <v>-18288.8581333333</v>
      </c>
      <c r="P18" s="34" t="n">
        <f aca="false">SUM(P14:P17)</f>
        <v>-18288.8581333333</v>
      </c>
      <c r="Q18" s="34" t="n">
        <f aca="false">SUM(Q14:Q17)</f>
        <v>-18288.8581333333</v>
      </c>
      <c r="R18" s="34" t="n">
        <f aca="false">SUM(R14:R17)</f>
        <v>-18288.8581333333</v>
      </c>
      <c r="S18" s="34" t="n">
        <f aca="false">SUM(S14:S17)</f>
        <v>-18288.8581333333</v>
      </c>
      <c r="T18" s="34" t="n">
        <f aca="false">SUM(T14:T17)</f>
        <v>-18288.8581333333</v>
      </c>
      <c r="U18" s="34" t="n">
        <f aca="false">SUM(U14:U17)</f>
        <v>-18288.8581333333</v>
      </c>
      <c r="V18" s="34" t="n">
        <f aca="false">SUM(V14:V17)</f>
        <v>-18288.8581333333</v>
      </c>
      <c r="W18" s="34" t="n">
        <f aca="false">SUM(W14:W17)</f>
        <v>-18288.8581333333</v>
      </c>
      <c r="X18" s="34" t="n">
        <f aca="false">SUM(X14:X17)</f>
        <v>-18288.8581333333</v>
      </c>
      <c r="Y18" s="34" t="n">
        <f aca="false">SUM(Y14:Y17)</f>
        <v>-18288.8581333333</v>
      </c>
      <c r="Z18" s="34" t="n">
        <f aca="false">SUM(Z14:Z17)</f>
        <v>-18288.8581333333</v>
      </c>
      <c r="AA18" s="34" t="n">
        <f aca="false">SUM(AA14:AA17)</f>
        <v>-18705.6788299733</v>
      </c>
      <c r="AB18" s="34" t="n">
        <f aca="false">SUM(AB14:AB17)</f>
        <v>-18705.6788299733</v>
      </c>
      <c r="AC18" s="34" t="n">
        <f aca="false">SUM(AC14:AC17)</f>
        <v>-18705.6788299733</v>
      </c>
      <c r="AD18" s="34" t="n">
        <f aca="false">SUM(AD14:AD17)</f>
        <v>-18705.6788299733</v>
      </c>
      <c r="AE18" s="34" t="n">
        <f aca="false">SUM(AE14:AE17)</f>
        <v>-18705.6788299733</v>
      </c>
      <c r="AF18" s="34" t="n">
        <f aca="false">SUM(AF14:AF17)</f>
        <v>-18705.6788299733</v>
      </c>
      <c r="AG18" s="34" t="n">
        <f aca="false">SUM(AG14:AG17)</f>
        <v>-18705.6788299733</v>
      </c>
      <c r="AH18" s="34" t="n">
        <f aca="false">SUM(AH14:AH17)</f>
        <v>-18705.6788299733</v>
      </c>
      <c r="AI18" s="34" t="n">
        <f aca="false">SUM(AI14:AI17)</f>
        <v>-18705.6788299733</v>
      </c>
      <c r="AJ18" s="34" t="n">
        <f aca="false">SUM(AJ14:AJ17)</f>
        <v>-18705.6788299733</v>
      </c>
      <c r="AK18" s="34" t="n">
        <f aca="false">SUM(AK14:AK17)</f>
        <v>-18705.6788299733</v>
      </c>
      <c r="AL18" s="34" t="n">
        <f aca="false">SUM(AL14:AL17)</f>
        <v>-18705.6788299733</v>
      </c>
    </row>
    <row r="19" customFormat="false" ht="15" hidden="false" customHeight="false" outlineLevel="0" collapsed="false">
      <c r="A19" s="4" t="s">
        <v>9</v>
      </c>
      <c r="C19" s="35" t="n">
        <f aca="false">C12+C18</f>
        <v>-6969.33333333334</v>
      </c>
      <c r="D19" s="35" t="n">
        <f aca="false">D12+D18</f>
        <v>-5305.33333333333</v>
      </c>
      <c r="E19" s="35" t="n">
        <f aca="false">E12+E18</f>
        <v>-3641.33333333334</v>
      </c>
      <c r="F19" s="35" t="n">
        <f aca="false">F12+F18</f>
        <v>-1977.33333333334</v>
      </c>
      <c r="G19" s="35" t="n">
        <f aca="false">G12+G18</f>
        <v>-313.333333333339</v>
      </c>
      <c r="H19" s="35" t="n">
        <f aca="false">H12+H18</f>
        <v>1350.66666666666</v>
      </c>
      <c r="I19" s="35" t="n">
        <f aca="false">I12+I18</f>
        <v>3014.66666666666</v>
      </c>
      <c r="J19" s="35" t="n">
        <f aca="false">J12+J18</f>
        <v>3014.66666666666</v>
      </c>
      <c r="K19" s="35" t="n">
        <f aca="false">K12+K18</f>
        <v>3014.66666666666</v>
      </c>
      <c r="L19" s="35" t="n">
        <f aca="false">L12+L18</f>
        <v>3014.66666666666</v>
      </c>
      <c r="M19" s="35" t="n">
        <f aca="false">M12+M18</f>
        <v>3014.66666666666</v>
      </c>
      <c r="N19" s="35" t="n">
        <f aca="false">N12+N18</f>
        <v>3014.66666666666</v>
      </c>
      <c r="O19" s="35" t="n">
        <f aca="false">O12+O18</f>
        <v>4534.12906666667</v>
      </c>
      <c r="P19" s="35" t="n">
        <f aca="false">P12+P18</f>
        <v>4534.12906666667</v>
      </c>
      <c r="Q19" s="35" t="n">
        <f aca="false">Q12+Q18</f>
        <v>4534.12906666667</v>
      </c>
      <c r="R19" s="35" t="n">
        <f aca="false">R12+R18</f>
        <v>4534.12906666667</v>
      </c>
      <c r="S19" s="35" t="n">
        <f aca="false">S12+S18</f>
        <v>4534.12906666667</v>
      </c>
      <c r="T19" s="35" t="n">
        <f aca="false">T12+T18</f>
        <v>4534.12906666667</v>
      </c>
      <c r="U19" s="35" t="n">
        <f aca="false">U12+U18</f>
        <v>4534.12906666667</v>
      </c>
      <c r="V19" s="35" t="n">
        <f aca="false">V12+V18</f>
        <v>4534.12906666667</v>
      </c>
      <c r="W19" s="35" t="n">
        <f aca="false">W12+W18</f>
        <v>4534.12906666667</v>
      </c>
      <c r="X19" s="35" t="n">
        <f aca="false">X12+X18</f>
        <v>4534.12906666667</v>
      </c>
      <c r="Y19" s="35" t="n">
        <f aca="false">Y12+Y18</f>
        <v>4534.12906666667</v>
      </c>
      <c r="Z19" s="35" t="n">
        <f aca="false">Z12+Z18</f>
        <v>4534.12906666667</v>
      </c>
      <c r="AA19" s="35" t="n">
        <f aca="false">AA12+AA18</f>
        <v>6212.45859498667</v>
      </c>
      <c r="AB19" s="35" t="n">
        <f aca="false">AB12+AB18</f>
        <v>6212.45859498667</v>
      </c>
      <c r="AC19" s="35" t="n">
        <f aca="false">AC12+AC18</f>
        <v>6212.45859498667</v>
      </c>
      <c r="AD19" s="35" t="n">
        <f aca="false">AD12+AD18</f>
        <v>6212.45859498667</v>
      </c>
      <c r="AE19" s="35" t="n">
        <f aca="false">AE12+AE18</f>
        <v>6212.45859498667</v>
      </c>
      <c r="AF19" s="35" t="n">
        <f aca="false">AF12+AF18</f>
        <v>6212.45859498667</v>
      </c>
      <c r="AG19" s="35" t="n">
        <f aca="false">AG12+AG18</f>
        <v>6212.45859498667</v>
      </c>
      <c r="AH19" s="35" t="n">
        <f aca="false">AH12+AH18</f>
        <v>6212.45859498667</v>
      </c>
      <c r="AI19" s="35" t="n">
        <f aca="false">AI12+AI18</f>
        <v>6212.45859498667</v>
      </c>
      <c r="AJ19" s="35" t="n">
        <f aca="false">AJ12+AJ18</f>
        <v>6212.45859498667</v>
      </c>
      <c r="AK19" s="35" t="n">
        <f aca="false">AK12+AK18</f>
        <v>6212.45859498667</v>
      </c>
      <c r="AL19" s="35" t="n">
        <f aca="false">AL12+AL18</f>
        <v>6212.45859498667</v>
      </c>
    </row>
    <row r="20" customFormat="false" ht="15" hidden="false" customHeight="false" outlineLevel="0" collapsed="false">
      <c r="A20" s="11" t="s">
        <v>72</v>
      </c>
      <c r="C20" s="34" t="n">
        <f aca="false">IF(C3&lt;=Inputs!$E$22*12,-Inputs!$E$20/MAX(1,Inputs!$E$22*12),0)</f>
        <v>-1904.7619047619</v>
      </c>
      <c r="D20" s="34" t="n">
        <f aca="false">IF(D3&lt;=Inputs!$E$22*12,-Inputs!$E$20/MAX(1,Inputs!$E$22*12),0)</f>
        <v>-1904.7619047619</v>
      </c>
      <c r="E20" s="34" t="n">
        <f aca="false">IF(E3&lt;=Inputs!$E$22*12,-Inputs!$E$20/MAX(1,Inputs!$E$22*12),0)</f>
        <v>-1904.7619047619</v>
      </c>
      <c r="F20" s="34" t="n">
        <f aca="false">IF(F3&lt;=Inputs!$E$22*12,-Inputs!$E$20/MAX(1,Inputs!$E$22*12),0)</f>
        <v>-1904.7619047619</v>
      </c>
      <c r="G20" s="34" t="n">
        <f aca="false">IF(G3&lt;=Inputs!$E$22*12,-Inputs!$E$20/MAX(1,Inputs!$E$22*12),0)</f>
        <v>-1904.7619047619</v>
      </c>
      <c r="H20" s="34" t="n">
        <f aca="false">IF(H3&lt;=Inputs!$E$22*12,-Inputs!$E$20/MAX(1,Inputs!$E$22*12),0)</f>
        <v>-1904.7619047619</v>
      </c>
      <c r="I20" s="34" t="n">
        <f aca="false">IF(I3&lt;=Inputs!$E$22*12,-Inputs!$E$20/MAX(1,Inputs!$E$22*12),0)</f>
        <v>-1904.7619047619</v>
      </c>
      <c r="J20" s="34" t="n">
        <f aca="false">IF(J3&lt;=Inputs!$E$22*12,-Inputs!$E$20/MAX(1,Inputs!$E$22*12),0)</f>
        <v>-1904.7619047619</v>
      </c>
      <c r="K20" s="34" t="n">
        <f aca="false">IF(K3&lt;=Inputs!$E$22*12,-Inputs!$E$20/MAX(1,Inputs!$E$22*12),0)</f>
        <v>-1904.7619047619</v>
      </c>
      <c r="L20" s="34" t="n">
        <f aca="false">IF(L3&lt;=Inputs!$E$22*12,-Inputs!$E$20/MAX(1,Inputs!$E$22*12),0)</f>
        <v>-1904.7619047619</v>
      </c>
      <c r="M20" s="34" t="n">
        <f aca="false">IF(M3&lt;=Inputs!$E$22*12,-Inputs!$E$20/MAX(1,Inputs!$E$22*12),0)</f>
        <v>-1904.7619047619</v>
      </c>
      <c r="N20" s="34" t="n">
        <f aca="false">IF(N3&lt;=Inputs!$E$22*12,-Inputs!$E$20/MAX(1,Inputs!$E$22*12),0)</f>
        <v>-1904.7619047619</v>
      </c>
      <c r="O20" s="34" t="n">
        <f aca="false">IF(O3&lt;=Inputs!$E$22*12,-Inputs!$E$20/MAX(1,Inputs!$E$22*12),0)</f>
        <v>-1904.7619047619</v>
      </c>
      <c r="P20" s="34" t="n">
        <f aca="false">IF(P3&lt;=Inputs!$E$22*12,-Inputs!$E$20/MAX(1,Inputs!$E$22*12),0)</f>
        <v>-1904.7619047619</v>
      </c>
      <c r="Q20" s="34" t="n">
        <f aca="false">IF(Q3&lt;=Inputs!$E$22*12,-Inputs!$E$20/MAX(1,Inputs!$E$22*12),0)</f>
        <v>-1904.7619047619</v>
      </c>
      <c r="R20" s="34" t="n">
        <f aca="false">IF(R3&lt;=Inputs!$E$22*12,-Inputs!$E$20/MAX(1,Inputs!$E$22*12),0)</f>
        <v>-1904.7619047619</v>
      </c>
      <c r="S20" s="34" t="n">
        <f aca="false">IF(S3&lt;=Inputs!$E$22*12,-Inputs!$E$20/MAX(1,Inputs!$E$22*12),0)</f>
        <v>-1904.7619047619</v>
      </c>
      <c r="T20" s="34" t="n">
        <f aca="false">IF(T3&lt;=Inputs!$E$22*12,-Inputs!$E$20/MAX(1,Inputs!$E$22*12),0)</f>
        <v>-1904.7619047619</v>
      </c>
      <c r="U20" s="34" t="n">
        <f aca="false">IF(U3&lt;=Inputs!$E$22*12,-Inputs!$E$20/MAX(1,Inputs!$E$22*12),0)</f>
        <v>-1904.7619047619</v>
      </c>
      <c r="V20" s="34" t="n">
        <f aca="false">IF(V3&lt;=Inputs!$E$22*12,-Inputs!$E$20/MAX(1,Inputs!$E$22*12),0)</f>
        <v>-1904.7619047619</v>
      </c>
      <c r="W20" s="34" t="n">
        <f aca="false">IF(W3&lt;=Inputs!$E$22*12,-Inputs!$E$20/MAX(1,Inputs!$E$22*12),0)</f>
        <v>-1904.7619047619</v>
      </c>
      <c r="X20" s="34" t="n">
        <f aca="false">IF(X3&lt;=Inputs!$E$22*12,-Inputs!$E$20/MAX(1,Inputs!$E$22*12),0)</f>
        <v>-1904.7619047619</v>
      </c>
      <c r="Y20" s="34" t="n">
        <f aca="false">IF(Y3&lt;=Inputs!$E$22*12,-Inputs!$E$20/MAX(1,Inputs!$E$22*12),0)</f>
        <v>-1904.7619047619</v>
      </c>
      <c r="Z20" s="34" t="n">
        <f aca="false">IF(Z3&lt;=Inputs!$E$22*12,-Inputs!$E$20/MAX(1,Inputs!$E$22*12),0)</f>
        <v>-1904.7619047619</v>
      </c>
      <c r="AA20" s="34" t="n">
        <f aca="false">IF(AA3&lt;=Inputs!$E$22*12,-Inputs!$E$20/MAX(1,Inputs!$E$22*12),0)</f>
        <v>-1904.7619047619</v>
      </c>
      <c r="AB20" s="34" t="n">
        <f aca="false">IF(AB3&lt;=Inputs!$E$22*12,-Inputs!$E$20/MAX(1,Inputs!$E$22*12),0)</f>
        <v>-1904.7619047619</v>
      </c>
      <c r="AC20" s="34" t="n">
        <f aca="false">IF(AC3&lt;=Inputs!$E$22*12,-Inputs!$E$20/MAX(1,Inputs!$E$22*12),0)</f>
        <v>-1904.7619047619</v>
      </c>
      <c r="AD20" s="34" t="n">
        <f aca="false">IF(AD3&lt;=Inputs!$E$22*12,-Inputs!$E$20/MAX(1,Inputs!$E$22*12),0)</f>
        <v>-1904.7619047619</v>
      </c>
      <c r="AE20" s="34" t="n">
        <f aca="false">IF(AE3&lt;=Inputs!$E$22*12,-Inputs!$E$20/MAX(1,Inputs!$E$22*12),0)</f>
        <v>-1904.7619047619</v>
      </c>
      <c r="AF20" s="34" t="n">
        <f aca="false">IF(AF3&lt;=Inputs!$E$22*12,-Inputs!$E$20/MAX(1,Inputs!$E$22*12),0)</f>
        <v>-1904.7619047619</v>
      </c>
      <c r="AG20" s="34" t="n">
        <f aca="false">IF(AG3&lt;=Inputs!$E$22*12,-Inputs!$E$20/MAX(1,Inputs!$E$22*12),0)</f>
        <v>-1904.7619047619</v>
      </c>
      <c r="AH20" s="34" t="n">
        <f aca="false">IF(AH3&lt;=Inputs!$E$22*12,-Inputs!$E$20/MAX(1,Inputs!$E$22*12),0)</f>
        <v>-1904.7619047619</v>
      </c>
      <c r="AI20" s="34" t="n">
        <f aca="false">IF(AI3&lt;=Inputs!$E$22*12,-Inputs!$E$20/MAX(1,Inputs!$E$22*12),0)</f>
        <v>-1904.7619047619</v>
      </c>
      <c r="AJ20" s="34" t="n">
        <f aca="false">IF(AJ3&lt;=Inputs!$E$22*12,-Inputs!$E$20/MAX(1,Inputs!$E$22*12),0)</f>
        <v>-1904.7619047619</v>
      </c>
      <c r="AK20" s="34" t="n">
        <f aca="false">IF(AK3&lt;=Inputs!$E$22*12,-Inputs!$E$20/MAX(1,Inputs!$E$22*12),0)</f>
        <v>-1904.7619047619</v>
      </c>
      <c r="AL20" s="34" t="n">
        <f aca="false">IF(AL3&lt;=Inputs!$E$22*12,-Inputs!$E$20/MAX(1,Inputs!$E$22*12),0)</f>
        <v>-1904.7619047619</v>
      </c>
    </row>
    <row r="21" customFormat="false" ht="15" hidden="false" customHeight="false" outlineLevel="0" collapsed="false">
      <c r="A21" s="11" t="s">
        <v>73</v>
      </c>
      <c r="C21" s="34" t="n">
        <f aca="false">C19+C20</f>
        <v>-8874.09523809524</v>
      </c>
      <c r="D21" s="34" t="n">
        <f aca="false">D19+D20</f>
        <v>-7210.09523809524</v>
      </c>
      <c r="E21" s="34" t="n">
        <f aca="false">E19+E20</f>
        <v>-5546.09523809524</v>
      </c>
      <c r="F21" s="34" t="n">
        <f aca="false">F19+F20</f>
        <v>-3882.09523809524</v>
      </c>
      <c r="G21" s="34" t="n">
        <f aca="false">G19+G20</f>
        <v>-2218.09523809524</v>
      </c>
      <c r="H21" s="34" t="n">
        <f aca="false">H19+H20</f>
        <v>-554.095238095241</v>
      </c>
      <c r="I21" s="34" t="n">
        <f aca="false">I19+I20</f>
        <v>1109.90476190476</v>
      </c>
      <c r="J21" s="34" t="n">
        <f aca="false">J19+J20</f>
        <v>1109.90476190476</v>
      </c>
      <c r="K21" s="34" t="n">
        <f aca="false">K19+K20</f>
        <v>1109.90476190476</v>
      </c>
      <c r="L21" s="34" t="n">
        <f aca="false">L19+L20</f>
        <v>1109.90476190476</v>
      </c>
      <c r="M21" s="34" t="n">
        <f aca="false">M19+M20</f>
        <v>1109.90476190476</v>
      </c>
      <c r="N21" s="34" t="n">
        <f aca="false">N19+N20</f>
        <v>1109.90476190476</v>
      </c>
      <c r="O21" s="34" t="n">
        <f aca="false">O19+O20</f>
        <v>2629.36716190476</v>
      </c>
      <c r="P21" s="34" t="n">
        <f aca="false">P19+P20</f>
        <v>2629.36716190476</v>
      </c>
      <c r="Q21" s="34" t="n">
        <f aca="false">Q19+Q20</f>
        <v>2629.36716190476</v>
      </c>
      <c r="R21" s="34" t="n">
        <f aca="false">R19+R20</f>
        <v>2629.36716190476</v>
      </c>
      <c r="S21" s="34" t="n">
        <f aca="false">S19+S20</f>
        <v>2629.36716190476</v>
      </c>
      <c r="T21" s="34" t="n">
        <f aca="false">T19+T20</f>
        <v>2629.36716190476</v>
      </c>
      <c r="U21" s="34" t="n">
        <f aca="false">U19+U20</f>
        <v>2629.36716190476</v>
      </c>
      <c r="V21" s="34" t="n">
        <f aca="false">V19+V20</f>
        <v>2629.36716190476</v>
      </c>
      <c r="W21" s="34" t="n">
        <f aca="false">W19+W20</f>
        <v>2629.36716190476</v>
      </c>
      <c r="X21" s="34" t="n">
        <f aca="false">X19+X20</f>
        <v>2629.36716190476</v>
      </c>
      <c r="Y21" s="34" t="n">
        <f aca="false">Y19+Y20</f>
        <v>2629.36716190476</v>
      </c>
      <c r="Z21" s="34" t="n">
        <f aca="false">Z19+Z20</f>
        <v>2629.36716190476</v>
      </c>
      <c r="AA21" s="34" t="n">
        <f aca="false">AA19+AA20</f>
        <v>4307.69669022477</v>
      </c>
      <c r="AB21" s="34" t="n">
        <f aca="false">AB19+AB20</f>
        <v>4307.69669022477</v>
      </c>
      <c r="AC21" s="34" t="n">
        <f aca="false">AC19+AC20</f>
        <v>4307.69669022477</v>
      </c>
      <c r="AD21" s="34" t="n">
        <f aca="false">AD19+AD20</f>
        <v>4307.69669022477</v>
      </c>
      <c r="AE21" s="34" t="n">
        <f aca="false">AE19+AE20</f>
        <v>4307.69669022477</v>
      </c>
      <c r="AF21" s="34" t="n">
        <f aca="false">AF19+AF20</f>
        <v>4307.69669022477</v>
      </c>
      <c r="AG21" s="34" t="n">
        <f aca="false">AG19+AG20</f>
        <v>4307.69669022477</v>
      </c>
      <c r="AH21" s="34" t="n">
        <f aca="false">AH19+AH20</f>
        <v>4307.69669022477</v>
      </c>
      <c r="AI21" s="34" t="n">
        <f aca="false">AI19+AI20</f>
        <v>4307.69669022477</v>
      </c>
      <c r="AJ21" s="34" t="n">
        <f aca="false">AJ19+AJ20</f>
        <v>4307.69669022477</v>
      </c>
      <c r="AK21" s="34" t="n">
        <f aca="false">AK19+AK20</f>
        <v>4307.69669022477</v>
      </c>
      <c r="AL21" s="34" t="n">
        <f aca="false">AL19+AL20</f>
        <v>4307.69669022477</v>
      </c>
    </row>
    <row r="22" customFormat="false" ht="15" hidden="false" customHeight="false" outlineLevel="0" collapsed="false">
      <c r="A22" s="11" t="s">
        <v>74</v>
      </c>
      <c r="C22" s="34" t="n">
        <f aca="false">-MAX(0,C21)*Inputs!$E$23</f>
        <v>-0</v>
      </c>
      <c r="D22" s="34" t="n">
        <f aca="false">-MAX(0,D21)*Inputs!$E$23</f>
        <v>-0</v>
      </c>
      <c r="E22" s="34" t="n">
        <f aca="false">-MAX(0,E21)*Inputs!$E$23</f>
        <v>-0</v>
      </c>
      <c r="F22" s="34" t="n">
        <f aca="false">-MAX(0,F21)*Inputs!$E$23</f>
        <v>-0</v>
      </c>
      <c r="G22" s="34" t="n">
        <f aca="false">-MAX(0,G21)*Inputs!$E$23</f>
        <v>-0</v>
      </c>
      <c r="H22" s="34" t="n">
        <f aca="false">-MAX(0,H21)*Inputs!$E$23</f>
        <v>-0</v>
      </c>
      <c r="I22" s="34" t="n">
        <f aca="false">-MAX(0,I21)*Inputs!$E$23</f>
        <v>-233.079999999999</v>
      </c>
      <c r="J22" s="34" t="n">
        <f aca="false">-MAX(0,J21)*Inputs!$E$23</f>
        <v>-233.079999999999</v>
      </c>
      <c r="K22" s="34" t="n">
        <f aca="false">-MAX(0,K21)*Inputs!$E$23</f>
        <v>-233.079999999999</v>
      </c>
      <c r="L22" s="34" t="n">
        <f aca="false">-MAX(0,L21)*Inputs!$E$23</f>
        <v>-233.079999999999</v>
      </c>
      <c r="M22" s="34" t="n">
        <f aca="false">-MAX(0,M21)*Inputs!$E$23</f>
        <v>-233.079999999999</v>
      </c>
      <c r="N22" s="34" t="n">
        <f aca="false">-MAX(0,N21)*Inputs!$E$23</f>
        <v>-233.079999999999</v>
      </c>
      <c r="O22" s="34" t="n">
        <f aca="false">-MAX(0,O21)*Inputs!$E$23</f>
        <v>-552.167104</v>
      </c>
      <c r="P22" s="34" t="n">
        <f aca="false">-MAX(0,P21)*Inputs!$E$23</f>
        <v>-552.167104</v>
      </c>
      <c r="Q22" s="34" t="n">
        <f aca="false">-MAX(0,Q21)*Inputs!$E$23</f>
        <v>-552.167104</v>
      </c>
      <c r="R22" s="34" t="n">
        <f aca="false">-MAX(0,R21)*Inputs!$E$23</f>
        <v>-552.167104</v>
      </c>
      <c r="S22" s="34" t="n">
        <f aca="false">-MAX(0,S21)*Inputs!$E$23</f>
        <v>-552.167104</v>
      </c>
      <c r="T22" s="34" t="n">
        <f aca="false">-MAX(0,T21)*Inputs!$E$23</f>
        <v>-552.167104</v>
      </c>
      <c r="U22" s="34" t="n">
        <f aca="false">-MAX(0,U21)*Inputs!$E$23</f>
        <v>-552.167104</v>
      </c>
      <c r="V22" s="34" t="n">
        <f aca="false">-MAX(0,V21)*Inputs!$E$23</f>
        <v>-552.167104</v>
      </c>
      <c r="W22" s="34" t="n">
        <f aca="false">-MAX(0,W21)*Inputs!$E$23</f>
        <v>-552.167104</v>
      </c>
      <c r="X22" s="34" t="n">
        <f aca="false">-MAX(0,X21)*Inputs!$E$23</f>
        <v>-552.167104</v>
      </c>
      <c r="Y22" s="34" t="n">
        <f aca="false">-MAX(0,Y21)*Inputs!$E$23</f>
        <v>-552.167104</v>
      </c>
      <c r="Z22" s="34" t="n">
        <f aca="false">-MAX(0,Z21)*Inputs!$E$23</f>
        <v>-552.167104</v>
      </c>
      <c r="AA22" s="34" t="n">
        <f aca="false">-MAX(0,AA21)*Inputs!$E$23</f>
        <v>-904.616304947201</v>
      </c>
      <c r="AB22" s="34" t="n">
        <f aca="false">-MAX(0,AB21)*Inputs!$E$23</f>
        <v>-904.616304947201</v>
      </c>
      <c r="AC22" s="34" t="n">
        <f aca="false">-MAX(0,AC21)*Inputs!$E$23</f>
        <v>-904.616304947201</v>
      </c>
      <c r="AD22" s="34" t="n">
        <f aca="false">-MAX(0,AD21)*Inputs!$E$23</f>
        <v>-904.616304947201</v>
      </c>
      <c r="AE22" s="34" t="n">
        <f aca="false">-MAX(0,AE21)*Inputs!$E$23</f>
        <v>-904.616304947201</v>
      </c>
      <c r="AF22" s="34" t="n">
        <f aca="false">-MAX(0,AF21)*Inputs!$E$23</f>
        <v>-904.616304947201</v>
      </c>
      <c r="AG22" s="34" t="n">
        <f aca="false">-MAX(0,AG21)*Inputs!$E$23</f>
        <v>-904.616304947201</v>
      </c>
      <c r="AH22" s="34" t="n">
        <f aca="false">-MAX(0,AH21)*Inputs!$E$23</f>
        <v>-904.616304947201</v>
      </c>
      <c r="AI22" s="34" t="n">
        <f aca="false">-MAX(0,AI21)*Inputs!$E$23</f>
        <v>-904.616304947201</v>
      </c>
      <c r="AJ22" s="34" t="n">
        <f aca="false">-MAX(0,AJ21)*Inputs!$E$23</f>
        <v>-904.616304947201</v>
      </c>
      <c r="AK22" s="34" t="n">
        <f aca="false">-MAX(0,AK21)*Inputs!$E$23</f>
        <v>-904.616304947201</v>
      </c>
      <c r="AL22" s="34" t="n">
        <f aca="false">-MAX(0,AL21)*Inputs!$E$23</f>
        <v>-904.616304947201</v>
      </c>
    </row>
    <row r="23" customFormat="false" ht="15" hidden="false" customHeight="false" outlineLevel="0" collapsed="false">
      <c r="A23" s="4" t="s">
        <v>11</v>
      </c>
      <c r="C23" s="35" t="n">
        <f aca="false">C21+C22</f>
        <v>-8874.09523809524</v>
      </c>
      <c r="D23" s="35" t="n">
        <f aca="false">D21+D22</f>
        <v>-7210.09523809524</v>
      </c>
      <c r="E23" s="35" t="n">
        <f aca="false">E21+E22</f>
        <v>-5546.09523809524</v>
      </c>
      <c r="F23" s="35" t="n">
        <f aca="false">F21+F22</f>
        <v>-3882.09523809524</v>
      </c>
      <c r="G23" s="35" t="n">
        <f aca="false">G21+G22</f>
        <v>-2218.09523809524</v>
      </c>
      <c r="H23" s="35" t="n">
        <f aca="false">H21+H22</f>
        <v>-554.095238095241</v>
      </c>
      <c r="I23" s="35" t="n">
        <f aca="false">I21+I22</f>
        <v>876.82476190476</v>
      </c>
      <c r="J23" s="35" t="n">
        <f aca="false">J21+J22</f>
        <v>876.82476190476</v>
      </c>
      <c r="K23" s="35" t="n">
        <f aca="false">K21+K22</f>
        <v>876.82476190476</v>
      </c>
      <c r="L23" s="35" t="n">
        <f aca="false">L21+L22</f>
        <v>876.82476190476</v>
      </c>
      <c r="M23" s="35" t="n">
        <f aca="false">M21+M22</f>
        <v>876.82476190476</v>
      </c>
      <c r="N23" s="35" t="n">
        <f aca="false">N21+N22</f>
        <v>876.82476190476</v>
      </c>
      <c r="O23" s="35" t="n">
        <f aca="false">O21+O22</f>
        <v>2077.20005790476</v>
      </c>
      <c r="P23" s="35" t="n">
        <f aca="false">P21+P22</f>
        <v>2077.20005790476</v>
      </c>
      <c r="Q23" s="35" t="n">
        <f aca="false">Q21+Q22</f>
        <v>2077.20005790476</v>
      </c>
      <c r="R23" s="35" t="n">
        <f aca="false">R21+R22</f>
        <v>2077.20005790476</v>
      </c>
      <c r="S23" s="35" t="n">
        <f aca="false">S21+S22</f>
        <v>2077.20005790476</v>
      </c>
      <c r="T23" s="35" t="n">
        <f aca="false">T21+T22</f>
        <v>2077.20005790476</v>
      </c>
      <c r="U23" s="35" t="n">
        <f aca="false">U21+U22</f>
        <v>2077.20005790476</v>
      </c>
      <c r="V23" s="35" t="n">
        <f aca="false">V21+V22</f>
        <v>2077.20005790476</v>
      </c>
      <c r="W23" s="35" t="n">
        <f aca="false">W21+W22</f>
        <v>2077.20005790476</v>
      </c>
      <c r="X23" s="35" t="n">
        <f aca="false">X21+X22</f>
        <v>2077.20005790476</v>
      </c>
      <c r="Y23" s="35" t="n">
        <f aca="false">Y21+Y22</f>
        <v>2077.20005790476</v>
      </c>
      <c r="Z23" s="35" t="n">
        <f aca="false">Z21+Z22</f>
        <v>2077.20005790476</v>
      </c>
      <c r="AA23" s="35" t="n">
        <f aca="false">AA21+AA22</f>
        <v>3403.08038527757</v>
      </c>
      <c r="AB23" s="35" t="n">
        <f aca="false">AB21+AB22</f>
        <v>3403.08038527757</v>
      </c>
      <c r="AC23" s="35" t="n">
        <f aca="false">AC21+AC22</f>
        <v>3403.08038527757</v>
      </c>
      <c r="AD23" s="35" t="n">
        <f aca="false">AD21+AD22</f>
        <v>3403.08038527757</v>
      </c>
      <c r="AE23" s="35" t="n">
        <f aca="false">AE21+AE22</f>
        <v>3403.08038527757</v>
      </c>
      <c r="AF23" s="35" t="n">
        <f aca="false">AF21+AF22</f>
        <v>3403.08038527757</v>
      </c>
      <c r="AG23" s="35" t="n">
        <f aca="false">AG21+AG22</f>
        <v>3403.08038527757</v>
      </c>
      <c r="AH23" s="35" t="n">
        <f aca="false">AH21+AH22</f>
        <v>3403.08038527757</v>
      </c>
      <c r="AI23" s="35" t="n">
        <f aca="false">AI21+AI22</f>
        <v>3403.08038527757</v>
      </c>
      <c r="AJ23" s="35" t="n">
        <f aca="false">AJ21+AJ22</f>
        <v>3403.08038527757</v>
      </c>
      <c r="AK23" s="35" t="n">
        <f aca="false">AK21+AK22</f>
        <v>3403.08038527757</v>
      </c>
      <c r="AL23" s="35" t="n">
        <f aca="false">AL21+AL22</f>
        <v>3403.08038527757</v>
      </c>
    </row>
    <row r="24" customFormat="false" ht="15" hidden="false" customHeight="false" outlineLevel="0" collapsed="false">
      <c r="A24" s="7" t="s">
        <v>75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customFormat="false" ht="15" hidden="false" customHeight="false" outlineLevel="0" collapsed="false">
      <c r="A25" s="11" t="s">
        <v>76</v>
      </c>
      <c r="C25" s="34" t="n">
        <f aca="false">Inputs!$E$21-Inputs!$E$20</f>
        <v>60000</v>
      </c>
      <c r="D25" s="34" t="n">
        <f aca="false">C27</f>
        <v>53030.6666666667</v>
      </c>
      <c r="E25" s="34" t="n">
        <f aca="false">D27</f>
        <v>47725.3333333333</v>
      </c>
      <c r="F25" s="34" t="n">
        <f aca="false">E27</f>
        <v>44084</v>
      </c>
      <c r="G25" s="34" t="n">
        <f aca="false">F27</f>
        <v>42106.6666666667</v>
      </c>
      <c r="H25" s="34" t="n">
        <f aca="false">G27</f>
        <v>41793.3333333333</v>
      </c>
      <c r="I25" s="34" t="n">
        <f aca="false">H27</f>
        <v>43144</v>
      </c>
      <c r="J25" s="34" t="n">
        <f aca="false">I27</f>
        <v>45925.5866666666</v>
      </c>
      <c r="K25" s="34" t="n">
        <f aca="false">J27</f>
        <v>48707.1733333333</v>
      </c>
      <c r="L25" s="34" t="n">
        <f aca="false">K27</f>
        <v>51488.76</v>
      </c>
      <c r="M25" s="34" t="n">
        <f aca="false">L27</f>
        <v>54270.3466666666</v>
      </c>
      <c r="N25" s="34" t="n">
        <f aca="false">M27</f>
        <v>57051.9333333333</v>
      </c>
      <c r="O25" s="34" t="n">
        <f aca="false">N27</f>
        <v>59833.52</v>
      </c>
      <c r="P25" s="34" t="n">
        <f aca="false">O27</f>
        <v>63815.4819626666</v>
      </c>
      <c r="Q25" s="34" t="n">
        <f aca="false">P27</f>
        <v>67797.4439253333</v>
      </c>
      <c r="R25" s="34" t="n">
        <f aca="false">Q27</f>
        <v>71779.405888</v>
      </c>
      <c r="S25" s="34" t="n">
        <f aca="false">R27</f>
        <v>75761.3678506666</v>
      </c>
      <c r="T25" s="34" t="n">
        <f aca="false">S27</f>
        <v>79743.3298133333</v>
      </c>
      <c r="U25" s="34" t="n">
        <f aca="false">T27</f>
        <v>83725.291776</v>
      </c>
      <c r="V25" s="34" t="n">
        <f aca="false">U27</f>
        <v>87707.2537386666</v>
      </c>
      <c r="W25" s="34" t="n">
        <f aca="false">V27</f>
        <v>91689.2157013333</v>
      </c>
      <c r="X25" s="34" t="n">
        <f aca="false">W27</f>
        <v>95671.177664</v>
      </c>
      <c r="Y25" s="34" t="n">
        <f aca="false">X27</f>
        <v>99653.1396266666</v>
      </c>
      <c r="Z25" s="34" t="n">
        <f aca="false">Y27</f>
        <v>103635.101589333</v>
      </c>
      <c r="AA25" s="34" t="n">
        <f aca="false">Z27</f>
        <v>107617.063552</v>
      </c>
      <c r="AB25" s="34" t="n">
        <f aca="false">AA27</f>
        <v>112924.905842039</v>
      </c>
      <c r="AC25" s="34" t="n">
        <f aca="false">AB27</f>
        <v>118232.748132079</v>
      </c>
      <c r="AD25" s="34" t="n">
        <f aca="false">AC27</f>
        <v>123540.590422118</v>
      </c>
      <c r="AE25" s="34" t="n">
        <f aca="false">AD27</f>
        <v>128848.432712158</v>
      </c>
      <c r="AF25" s="34" t="n">
        <f aca="false">AE27</f>
        <v>134156.275002197</v>
      </c>
      <c r="AG25" s="34" t="n">
        <f aca="false">AF27</f>
        <v>139464.117292237</v>
      </c>
      <c r="AH25" s="34" t="n">
        <f aca="false">AG27</f>
        <v>144771.959582276</v>
      </c>
      <c r="AI25" s="34" t="n">
        <f aca="false">AH27</f>
        <v>150079.801872316</v>
      </c>
      <c r="AJ25" s="34" t="n">
        <f aca="false">AI27</f>
        <v>155387.644162355</v>
      </c>
      <c r="AK25" s="34" t="n">
        <f aca="false">AJ27</f>
        <v>160695.486452395</v>
      </c>
      <c r="AL25" s="34" t="n">
        <f aca="false">AK27</f>
        <v>166003.328742434</v>
      </c>
    </row>
    <row r="26" customFormat="false" ht="15" hidden="false" customHeight="false" outlineLevel="0" collapsed="false">
      <c r="A26" s="11" t="s">
        <v>77</v>
      </c>
      <c r="C26" s="34" t="n">
        <f aca="false">C23-C20</f>
        <v>-6969.33333333334</v>
      </c>
      <c r="D26" s="34" t="n">
        <f aca="false">D23-D20</f>
        <v>-5305.33333333333</v>
      </c>
      <c r="E26" s="34" t="n">
        <f aca="false">E23-E20</f>
        <v>-3641.33333333334</v>
      </c>
      <c r="F26" s="34" t="n">
        <f aca="false">F23-F20</f>
        <v>-1977.33333333334</v>
      </c>
      <c r="G26" s="34" t="n">
        <f aca="false">G23-G20</f>
        <v>-313.333333333339</v>
      </c>
      <c r="H26" s="34" t="n">
        <f aca="false">H23-H20</f>
        <v>1350.66666666666</v>
      </c>
      <c r="I26" s="34" t="n">
        <f aca="false">I23-I20</f>
        <v>2781.58666666666</v>
      </c>
      <c r="J26" s="34" t="n">
        <f aca="false">J23-J20</f>
        <v>2781.58666666666</v>
      </c>
      <c r="K26" s="34" t="n">
        <f aca="false">K23-K20</f>
        <v>2781.58666666666</v>
      </c>
      <c r="L26" s="34" t="n">
        <f aca="false">L23-L20</f>
        <v>2781.58666666666</v>
      </c>
      <c r="M26" s="34" t="n">
        <f aca="false">M23-M20</f>
        <v>2781.58666666666</v>
      </c>
      <c r="N26" s="34" t="n">
        <f aca="false">N23-N20</f>
        <v>2781.58666666666</v>
      </c>
      <c r="O26" s="34" t="n">
        <f aca="false">O23-O20</f>
        <v>3981.96196266667</v>
      </c>
      <c r="P26" s="34" t="n">
        <f aca="false">P23-P20</f>
        <v>3981.96196266667</v>
      </c>
      <c r="Q26" s="34" t="n">
        <f aca="false">Q23-Q20</f>
        <v>3981.96196266667</v>
      </c>
      <c r="R26" s="34" t="n">
        <f aca="false">R23-R20</f>
        <v>3981.96196266667</v>
      </c>
      <c r="S26" s="34" t="n">
        <f aca="false">S23-S20</f>
        <v>3981.96196266667</v>
      </c>
      <c r="T26" s="34" t="n">
        <f aca="false">T23-T20</f>
        <v>3981.96196266667</v>
      </c>
      <c r="U26" s="34" t="n">
        <f aca="false">U23-U20</f>
        <v>3981.96196266667</v>
      </c>
      <c r="V26" s="34" t="n">
        <f aca="false">V23-V20</f>
        <v>3981.96196266667</v>
      </c>
      <c r="W26" s="34" t="n">
        <f aca="false">W23-W20</f>
        <v>3981.96196266667</v>
      </c>
      <c r="X26" s="34" t="n">
        <f aca="false">X23-X20</f>
        <v>3981.96196266667</v>
      </c>
      <c r="Y26" s="34" t="n">
        <f aca="false">Y23-Y20</f>
        <v>3981.96196266667</v>
      </c>
      <c r="Z26" s="34" t="n">
        <f aca="false">Z23-Z20</f>
        <v>3981.96196266667</v>
      </c>
      <c r="AA26" s="34" t="n">
        <f aca="false">AA23-AA20</f>
        <v>5307.84229003947</v>
      </c>
      <c r="AB26" s="34" t="n">
        <f aca="false">AB23-AB20</f>
        <v>5307.84229003947</v>
      </c>
      <c r="AC26" s="34" t="n">
        <f aca="false">AC23-AC20</f>
        <v>5307.84229003947</v>
      </c>
      <c r="AD26" s="34" t="n">
        <f aca="false">AD23-AD20</f>
        <v>5307.84229003947</v>
      </c>
      <c r="AE26" s="34" t="n">
        <f aca="false">AE23-AE20</f>
        <v>5307.84229003947</v>
      </c>
      <c r="AF26" s="34" t="n">
        <f aca="false">AF23-AF20</f>
        <v>5307.84229003947</v>
      </c>
      <c r="AG26" s="34" t="n">
        <f aca="false">AG23-AG20</f>
        <v>5307.84229003947</v>
      </c>
      <c r="AH26" s="34" t="n">
        <f aca="false">AH23-AH20</f>
        <v>5307.84229003947</v>
      </c>
      <c r="AI26" s="34" t="n">
        <f aca="false">AI23-AI20</f>
        <v>5307.84229003947</v>
      </c>
      <c r="AJ26" s="34" t="n">
        <f aca="false">AJ23-AJ20</f>
        <v>5307.84229003947</v>
      </c>
      <c r="AK26" s="34" t="n">
        <f aca="false">AK23-AK20</f>
        <v>5307.84229003947</v>
      </c>
      <c r="AL26" s="34" t="n">
        <f aca="false">AL23-AL20</f>
        <v>5307.84229003947</v>
      </c>
    </row>
    <row r="27" customFormat="false" ht="15" hidden="false" customHeight="false" outlineLevel="0" collapsed="false">
      <c r="A27" s="4" t="s">
        <v>78</v>
      </c>
      <c r="C27" s="35" t="n">
        <f aca="false">C25+C26</f>
        <v>53030.6666666667</v>
      </c>
      <c r="D27" s="35" t="n">
        <f aca="false">D25+D26</f>
        <v>47725.3333333333</v>
      </c>
      <c r="E27" s="35" t="n">
        <f aca="false">E25+E26</f>
        <v>44084</v>
      </c>
      <c r="F27" s="35" t="n">
        <f aca="false">F25+F26</f>
        <v>42106.6666666667</v>
      </c>
      <c r="G27" s="35" t="n">
        <f aca="false">G25+G26</f>
        <v>41793.3333333333</v>
      </c>
      <c r="H27" s="35" t="n">
        <f aca="false">H25+H26</f>
        <v>43144</v>
      </c>
      <c r="I27" s="35" t="n">
        <f aca="false">I25+I26</f>
        <v>45925.5866666666</v>
      </c>
      <c r="J27" s="35" t="n">
        <f aca="false">J25+J26</f>
        <v>48707.1733333333</v>
      </c>
      <c r="K27" s="35" t="n">
        <f aca="false">K25+K26</f>
        <v>51488.76</v>
      </c>
      <c r="L27" s="35" t="n">
        <f aca="false">L25+L26</f>
        <v>54270.3466666666</v>
      </c>
      <c r="M27" s="35" t="n">
        <f aca="false">M25+M26</f>
        <v>57051.9333333333</v>
      </c>
      <c r="N27" s="35" t="n">
        <f aca="false">N25+N26</f>
        <v>59833.52</v>
      </c>
      <c r="O27" s="35" t="n">
        <f aca="false">O25+O26</f>
        <v>63815.4819626666</v>
      </c>
      <c r="P27" s="35" t="n">
        <f aca="false">P25+P26</f>
        <v>67797.4439253333</v>
      </c>
      <c r="Q27" s="35" t="n">
        <f aca="false">Q25+Q26</f>
        <v>71779.405888</v>
      </c>
      <c r="R27" s="35" t="n">
        <f aca="false">R25+R26</f>
        <v>75761.3678506666</v>
      </c>
      <c r="S27" s="35" t="n">
        <f aca="false">S25+S26</f>
        <v>79743.3298133333</v>
      </c>
      <c r="T27" s="35" t="n">
        <f aca="false">T25+T26</f>
        <v>83725.291776</v>
      </c>
      <c r="U27" s="35" t="n">
        <f aca="false">U25+U26</f>
        <v>87707.2537386666</v>
      </c>
      <c r="V27" s="35" t="n">
        <f aca="false">V25+V26</f>
        <v>91689.2157013333</v>
      </c>
      <c r="W27" s="35" t="n">
        <f aca="false">W25+W26</f>
        <v>95671.177664</v>
      </c>
      <c r="X27" s="35" t="n">
        <f aca="false">X25+X26</f>
        <v>99653.1396266666</v>
      </c>
      <c r="Y27" s="35" t="n">
        <f aca="false">Y25+Y26</f>
        <v>103635.101589333</v>
      </c>
      <c r="Z27" s="35" t="n">
        <f aca="false">Z25+Z26</f>
        <v>107617.063552</v>
      </c>
      <c r="AA27" s="35" t="n">
        <f aca="false">AA25+AA26</f>
        <v>112924.905842039</v>
      </c>
      <c r="AB27" s="35" t="n">
        <f aca="false">AB25+AB26</f>
        <v>118232.748132079</v>
      </c>
      <c r="AC27" s="35" t="n">
        <f aca="false">AC25+AC26</f>
        <v>123540.590422118</v>
      </c>
      <c r="AD27" s="35" t="n">
        <f aca="false">AD25+AD26</f>
        <v>128848.432712158</v>
      </c>
      <c r="AE27" s="35" t="n">
        <f aca="false">AE25+AE26</f>
        <v>134156.275002197</v>
      </c>
      <c r="AF27" s="35" t="n">
        <f aca="false">AF25+AF26</f>
        <v>139464.117292237</v>
      </c>
      <c r="AG27" s="35" t="n">
        <f aca="false">AG25+AG26</f>
        <v>144771.959582276</v>
      </c>
      <c r="AH27" s="35" t="n">
        <f aca="false">AH25+AH26</f>
        <v>150079.801872316</v>
      </c>
      <c r="AI27" s="35" t="n">
        <f aca="false">AI25+AI26</f>
        <v>155387.644162355</v>
      </c>
      <c r="AJ27" s="35" t="n">
        <f aca="false">AJ25+AJ26</f>
        <v>160695.486452395</v>
      </c>
      <c r="AK27" s="35" t="n">
        <f aca="false">AK25+AK26</f>
        <v>166003.328742434</v>
      </c>
      <c r="AL27" s="35" t="n">
        <f aca="false">AL25+AL26</f>
        <v>171311.171032474</v>
      </c>
    </row>
    <row r="29" customFormat="false" ht="15" hidden="false" customHeight="false" outlineLevel="0" collapsed="false">
      <c r="A29" s="11" t="s">
        <v>79</v>
      </c>
      <c r="C29" s="29" t="n">
        <f aca="false">IF(C19&gt;0,1,0)</f>
        <v>0</v>
      </c>
      <c r="D29" s="29" t="n">
        <f aca="false">IF(D19&gt;0,1,0)</f>
        <v>0</v>
      </c>
      <c r="E29" s="29" t="n">
        <f aca="false">IF(E19&gt;0,1,0)</f>
        <v>0</v>
      </c>
      <c r="F29" s="29" t="n">
        <f aca="false">IF(F19&gt;0,1,0)</f>
        <v>0</v>
      </c>
      <c r="G29" s="29" t="n">
        <f aca="false">IF(G19&gt;0,1,0)</f>
        <v>0</v>
      </c>
      <c r="H29" s="29" t="n">
        <f aca="false">IF(H19&gt;0,1,0)</f>
        <v>1</v>
      </c>
      <c r="I29" s="29" t="n">
        <f aca="false">IF(I19&gt;0,1,0)</f>
        <v>1</v>
      </c>
      <c r="J29" s="29" t="n">
        <f aca="false">IF(J19&gt;0,1,0)</f>
        <v>1</v>
      </c>
      <c r="K29" s="29" t="n">
        <f aca="false">IF(K19&gt;0,1,0)</f>
        <v>1</v>
      </c>
      <c r="L29" s="29" t="n">
        <f aca="false">IF(L19&gt;0,1,0)</f>
        <v>1</v>
      </c>
      <c r="M29" s="29" t="n">
        <f aca="false">IF(M19&gt;0,1,0)</f>
        <v>1</v>
      </c>
      <c r="N29" s="29" t="n">
        <f aca="false">IF(N19&gt;0,1,0)</f>
        <v>1</v>
      </c>
      <c r="O29" s="29" t="n">
        <f aca="false">IF(O19&gt;0,1,0)</f>
        <v>1</v>
      </c>
      <c r="P29" s="29" t="n">
        <f aca="false">IF(P19&gt;0,1,0)</f>
        <v>1</v>
      </c>
      <c r="Q29" s="29" t="n">
        <f aca="false">IF(Q19&gt;0,1,0)</f>
        <v>1</v>
      </c>
      <c r="R29" s="29" t="n">
        <f aca="false">IF(R19&gt;0,1,0)</f>
        <v>1</v>
      </c>
      <c r="S29" s="29" t="n">
        <f aca="false">IF(S19&gt;0,1,0)</f>
        <v>1</v>
      </c>
      <c r="T29" s="29" t="n">
        <f aca="false">IF(T19&gt;0,1,0)</f>
        <v>1</v>
      </c>
      <c r="U29" s="29" t="n">
        <f aca="false">IF(U19&gt;0,1,0)</f>
        <v>1</v>
      </c>
      <c r="V29" s="29" t="n">
        <f aca="false">IF(V19&gt;0,1,0)</f>
        <v>1</v>
      </c>
      <c r="W29" s="29" t="n">
        <f aca="false">IF(W19&gt;0,1,0)</f>
        <v>1</v>
      </c>
      <c r="X29" s="29" t="n">
        <f aca="false">IF(X19&gt;0,1,0)</f>
        <v>1</v>
      </c>
      <c r="Y29" s="29" t="n">
        <f aca="false">IF(Y19&gt;0,1,0)</f>
        <v>1</v>
      </c>
      <c r="Z29" s="29" t="n">
        <f aca="false">IF(Z19&gt;0,1,0)</f>
        <v>1</v>
      </c>
      <c r="AA29" s="29" t="n">
        <f aca="false">IF(AA19&gt;0,1,0)</f>
        <v>1</v>
      </c>
      <c r="AB29" s="29" t="n">
        <f aca="false">IF(AB19&gt;0,1,0)</f>
        <v>1</v>
      </c>
      <c r="AC29" s="29" t="n">
        <f aca="false">IF(AC19&gt;0,1,0)</f>
        <v>1</v>
      </c>
      <c r="AD29" s="29" t="n">
        <f aca="false">IF(AD19&gt;0,1,0)</f>
        <v>1</v>
      </c>
      <c r="AE29" s="29" t="n">
        <f aca="false">IF(AE19&gt;0,1,0)</f>
        <v>1</v>
      </c>
      <c r="AF29" s="29" t="n">
        <f aca="false">IF(AF19&gt;0,1,0)</f>
        <v>1</v>
      </c>
      <c r="AG29" s="29" t="n">
        <f aca="false">IF(AG19&gt;0,1,0)</f>
        <v>1</v>
      </c>
      <c r="AH29" s="29" t="n">
        <f aca="false">IF(AH19&gt;0,1,0)</f>
        <v>1</v>
      </c>
      <c r="AI29" s="29" t="n">
        <f aca="false">IF(AI19&gt;0,1,0)</f>
        <v>1</v>
      </c>
      <c r="AJ29" s="29" t="n">
        <f aca="false">IF(AJ19&gt;0,1,0)</f>
        <v>1</v>
      </c>
      <c r="AK29" s="29" t="n">
        <f aca="false">IF(AK19&gt;0,1,0)</f>
        <v>1</v>
      </c>
      <c r="AL29" s="29" t="n">
        <f aca="false">IF(AL19&gt;0,1,0)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</cols>
  <sheetData>
    <row r="1" customFormat="false" ht="24" hidden="false" customHeight="true" outlineLevel="0" collapsed="false">
      <c r="A1" s="1" t="s">
        <v>80</v>
      </c>
      <c r="B1" s="2"/>
      <c r="C1" s="2"/>
      <c r="D1" s="2"/>
    </row>
    <row r="2" customFormat="false" ht="15" hidden="false" customHeight="false" outlineLevel="0" collapsed="false">
      <c r="A2" s="3" t="s">
        <v>81</v>
      </c>
    </row>
    <row r="3" customFormat="false" ht="15" hidden="false" customHeight="false" outlineLevel="0" collapsed="false">
      <c r="A3" s="20" t="s">
        <v>59</v>
      </c>
      <c r="B3" s="20" t="n">
        <v>1</v>
      </c>
      <c r="C3" s="20" t="n">
        <v>2</v>
      </c>
      <c r="D3" s="20" t="n">
        <v>3</v>
      </c>
    </row>
    <row r="4" customFormat="false" ht="15" hidden="false" customHeight="false" outlineLevel="0" collapsed="false">
      <c r="A4" s="11"/>
      <c r="B4" s="9" t="s">
        <v>4</v>
      </c>
      <c r="C4" s="9" t="s">
        <v>5</v>
      </c>
      <c r="D4" s="9" t="s">
        <v>6</v>
      </c>
    </row>
    <row r="5" customFormat="false" ht="15" hidden="false" customHeight="false" outlineLevel="0" collapsed="false">
      <c r="A5" s="4" t="s">
        <v>7</v>
      </c>
      <c r="B5" s="14" t="n">
        <f aca="false">SUMIF(Monthly!$C$4:$AL$4,B$3,Monthly!$C$10:$AL$10)</f>
        <v>319800</v>
      </c>
      <c r="C5" s="14" t="n">
        <f aca="false">SUMIF(Monthly!$C$4:$AL$4,C$3,Monthly!$C$10:$AL$10)</f>
        <v>408769.92</v>
      </c>
      <c r="D5" s="14" t="n">
        <f aca="false">SUMIF(Monthly!$C$4:$AL$4,D$3,Monthly!$C$10:$AL$10)</f>
        <v>446294.998656</v>
      </c>
    </row>
    <row r="6" customFormat="false" ht="15" hidden="false" customHeight="false" outlineLevel="0" collapsed="false">
      <c r="A6" s="11" t="s">
        <v>65</v>
      </c>
      <c r="B6" s="34" t="n">
        <f aca="false">SUMIF(Monthly!$C$4:$AL$4,B$3,Monthly!$C$11:$AL$11)</f>
        <v>-105534</v>
      </c>
      <c r="C6" s="34" t="n">
        <f aca="false">SUMIF(Monthly!$C$4:$AL$4,C$3,Monthly!$C$11:$AL$11)</f>
        <v>-134894.0736</v>
      </c>
      <c r="D6" s="34" t="n">
        <f aca="false">SUMIF(Monthly!$C$4:$AL$4,D$3,Monthly!$C$11:$AL$11)</f>
        <v>-147277.34955648</v>
      </c>
    </row>
    <row r="7" customFormat="false" ht="15" hidden="false" customHeight="false" outlineLevel="0" collapsed="false">
      <c r="A7" s="4" t="s">
        <v>8</v>
      </c>
      <c r="B7" s="35" t="n">
        <f aca="false">SUMIF(Monthly!$C$4:$AL$4,B$3,Monthly!$C$12:$AL$12)</f>
        <v>214266</v>
      </c>
      <c r="C7" s="35" t="n">
        <f aca="false">SUMIF(Monthly!$C$4:$AL$4,C$3,Monthly!$C$12:$AL$12)</f>
        <v>273875.8464</v>
      </c>
      <c r="D7" s="35" t="n">
        <f aca="false">SUMIF(Monthly!$C$4:$AL$4,D$3,Monthly!$C$12:$AL$12)</f>
        <v>299017.64909952</v>
      </c>
    </row>
    <row r="8" customFormat="false" ht="15" hidden="false" customHeight="false" outlineLevel="0" collapsed="false">
      <c r="A8" s="11" t="s">
        <v>82</v>
      </c>
      <c r="B8" s="30" t="n">
        <f aca="false">IF(B5=0,0,B7/B5)</f>
        <v>0.67</v>
      </c>
      <c r="C8" s="30" t="n">
        <f aca="false">IF(C5=0,0,C7/C5)</f>
        <v>0.67</v>
      </c>
      <c r="D8" s="30" t="n">
        <f aca="false">IF(D5=0,0,D7/D5)</f>
        <v>0.67</v>
      </c>
    </row>
    <row r="9" customFormat="false" ht="15" hidden="false" customHeight="false" outlineLevel="0" collapsed="false">
      <c r="A9" s="11" t="s">
        <v>67</v>
      </c>
      <c r="B9" s="34" t="n">
        <f aca="false">SUMIF(Monthly!$C$4:$AL$4,B$3,Monthly!$C$14:$AL$14)</f>
        <v>-54000</v>
      </c>
      <c r="C9" s="34" t="n">
        <f aca="false">SUMIF(Monthly!$C$4:$AL$4,C$3,Monthly!$C$14:$AL$14)</f>
        <v>-54000</v>
      </c>
      <c r="D9" s="34" t="n">
        <f aca="false">SUMIF(Monthly!$C$4:$AL$4,D$3,Monthly!$C$14:$AL$14)</f>
        <v>-54000</v>
      </c>
    </row>
    <row r="10" customFormat="false" ht="15" hidden="false" customHeight="false" outlineLevel="0" collapsed="false">
      <c r="A10" s="11" t="s">
        <v>68</v>
      </c>
      <c r="B10" s="34" t="n">
        <f aca="false">SUMIF(Monthly!$C$4:$AL$4,B$3,Monthly!$C$15:$AL$15)</f>
        <v>-125440</v>
      </c>
      <c r="C10" s="34" t="n">
        <f aca="false">SUMIF(Monthly!$C$4:$AL$4,C$3,Monthly!$C$15:$AL$15)</f>
        <v>-129203.2</v>
      </c>
      <c r="D10" s="34" t="n">
        <f aca="false">SUMIF(Monthly!$C$4:$AL$4,D$3,Monthly!$C$15:$AL$15)</f>
        <v>-133079.296</v>
      </c>
    </row>
    <row r="11" customFormat="false" ht="15" hidden="false" customHeight="false" outlineLevel="0" collapsed="false">
      <c r="A11" s="11" t="s">
        <v>69</v>
      </c>
      <c r="B11" s="34" t="n">
        <f aca="false">SUMIF(Monthly!$C$4:$AL$4,B$3,Monthly!$C$16:$AL$16)</f>
        <v>-9594</v>
      </c>
      <c r="C11" s="34" t="n">
        <f aca="false">SUMIF(Monthly!$C$4:$AL$4,C$3,Monthly!$C$16:$AL$16)</f>
        <v>-12263.0976</v>
      </c>
      <c r="D11" s="34" t="n">
        <f aca="false">SUMIF(Monthly!$C$4:$AL$4,D$3,Monthly!$C$16:$AL$16)</f>
        <v>-13388.84995968</v>
      </c>
    </row>
    <row r="12" customFormat="false" ht="15" hidden="false" customHeight="false" outlineLevel="0" collapsed="false">
      <c r="A12" s="11" t="s">
        <v>70</v>
      </c>
      <c r="B12" s="34" t="n">
        <f aca="false">SUMIF(Monthly!$C$4:$AL$4,B$3,Monthly!$C$17:$AL$17)</f>
        <v>-24000</v>
      </c>
      <c r="C12" s="34" t="n">
        <f aca="false">SUMIF(Monthly!$C$4:$AL$4,C$3,Monthly!$C$17:$AL$17)</f>
        <v>-24000</v>
      </c>
      <c r="D12" s="34" t="n">
        <f aca="false">SUMIF(Monthly!$C$4:$AL$4,D$3,Monthly!$C$17:$AL$17)</f>
        <v>-24000</v>
      </c>
    </row>
    <row r="13" customFormat="false" ht="15" hidden="false" customHeight="false" outlineLevel="0" collapsed="false">
      <c r="A13" s="4" t="s">
        <v>71</v>
      </c>
      <c r="B13" s="14" t="n">
        <f aca="false">SUMIF(Monthly!$C$4:$AL$4,B$3,Monthly!$C$18:$AL$18)</f>
        <v>-213034</v>
      </c>
      <c r="C13" s="14" t="n">
        <f aca="false">SUMIF(Monthly!$C$4:$AL$4,C$3,Monthly!$C$18:$AL$18)</f>
        <v>-219466.2976</v>
      </c>
      <c r="D13" s="14" t="n">
        <f aca="false">SUMIF(Monthly!$C$4:$AL$4,D$3,Monthly!$C$18:$AL$18)</f>
        <v>-224468.14595968</v>
      </c>
    </row>
    <row r="14" customFormat="false" ht="15" hidden="false" customHeight="false" outlineLevel="0" collapsed="false">
      <c r="A14" s="4" t="s">
        <v>9</v>
      </c>
      <c r="B14" s="35" t="n">
        <f aca="false">SUMIF(Monthly!$C$4:$AL$4,B$3,Monthly!$C$19:$AL$19)</f>
        <v>1231.99999999997</v>
      </c>
      <c r="C14" s="35" t="n">
        <f aca="false">SUMIF(Monthly!$C$4:$AL$4,C$3,Monthly!$C$19:$AL$19)</f>
        <v>54409.5488</v>
      </c>
      <c r="D14" s="35" t="n">
        <f aca="false">SUMIF(Monthly!$C$4:$AL$4,D$3,Monthly!$C$19:$AL$19)</f>
        <v>74549.5031398401</v>
      </c>
    </row>
    <row r="15" customFormat="false" ht="15" hidden="false" customHeight="false" outlineLevel="0" collapsed="false">
      <c r="A15" s="11" t="s">
        <v>10</v>
      </c>
      <c r="B15" s="30" t="n">
        <f aca="false">IF(B5=0,0,B14/B5)</f>
        <v>0.00385240775484667</v>
      </c>
      <c r="C15" s="30" t="n">
        <f aca="false">IF(C5=0,0,C14/C5)</f>
        <v>0.133105559234887</v>
      </c>
      <c r="D15" s="30" t="n">
        <f aca="false">IF(D5=0,0,D14/D5)</f>
        <v>0.167040866163284</v>
      </c>
    </row>
    <row r="16" customFormat="false" ht="15" hidden="false" customHeight="false" outlineLevel="0" collapsed="false">
      <c r="A16" s="11" t="s">
        <v>72</v>
      </c>
      <c r="B16" s="34" t="n">
        <f aca="false">SUMIF(Monthly!$C$4:$AL$4,B$3,Monthly!$C$20:$AL$20)</f>
        <v>-22857.1428571429</v>
      </c>
      <c r="C16" s="34" t="n">
        <f aca="false">SUMIF(Monthly!$C$4:$AL$4,C$3,Monthly!$C$20:$AL$20)</f>
        <v>-22857.1428571429</v>
      </c>
      <c r="D16" s="34" t="n">
        <f aca="false">SUMIF(Monthly!$C$4:$AL$4,D$3,Monthly!$C$20:$AL$20)</f>
        <v>-22857.1428571429</v>
      </c>
    </row>
    <row r="17" customFormat="false" ht="15" hidden="false" customHeight="false" outlineLevel="0" collapsed="false">
      <c r="A17" s="11" t="s">
        <v>73</v>
      </c>
      <c r="B17" s="34" t="n">
        <f aca="false">SUMIF(Monthly!$C$4:$AL$4,B$3,Monthly!$C$21:$AL$21)</f>
        <v>-21625.1428571429</v>
      </c>
      <c r="C17" s="34" t="n">
        <f aca="false">SUMIF(Monthly!$C$4:$AL$4,C$3,Monthly!$C$21:$AL$21)</f>
        <v>31552.4059428572</v>
      </c>
      <c r="D17" s="34" t="n">
        <f aca="false">SUMIF(Monthly!$C$4:$AL$4,D$3,Monthly!$C$21:$AL$21)</f>
        <v>51692.3602826972</v>
      </c>
    </row>
    <row r="18" customFormat="false" ht="15" hidden="false" customHeight="false" outlineLevel="0" collapsed="false">
      <c r="A18" s="11" t="s">
        <v>74</v>
      </c>
      <c r="B18" s="34" t="n">
        <f aca="false">SUMIF(Monthly!$C$4:$AL$4,B$3,Monthly!$C$22:$AL$22)</f>
        <v>-1398.48</v>
      </c>
      <c r="C18" s="34" t="n">
        <f aca="false">SUMIF(Monthly!$C$4:$AL$4,C$3,Monthly!$C$22:$AL$22)</f>
        <v>-6626.005248</v>
      </c>
      <c r="D18" s="34" t="n">
        <f aca="false">SUMIF(Monthly!$C$4:$AL$4,D$3,Monthly!$C$22:$AL$22)</f>
        <v>-10855.3956593664</v>
      </c>
    </row>
    <row r="19" customFormat="false" ht="15" hidden="false" customHeight="false" outlineLevel="0" collapsed="false">
      <c r="A19" s="4" t="s">
        <v>11</v>
      </c>
      <c r="B19" s="35" t="n">
        <f aca="false">SUMIF(Monthly!$C$4:$AL$4,B$3,Monthly!$C$23:$AL$23)</f>
        <v>-23023.6228571429</v>
      </c>
      <c r="C19" s="35" t="n">
        <f aca="false">SUMIF(Monthly!$C$4:$AL$4,C$3,Monthly!$C$23:$AL$23)</f>
        <v>24926.4006948572</v>
      </c>
      <c r="D19" s="35" t="n">
        <f aca="false">SUMIF(Monthly!$C$4:$AL$4,D$3,Monthly!$C$23:$AL$23)</f>
        <v>40836.9646233308</v>
      </c>
    </row>
    <row r="20" customFormat="false" ht="15" hidden="false" customHeight="false" outlineLevel="0" collapsed="false">
      <c r="A20" s="11" t="s">
        <v>83</v>
      </c>
      <c r="B20" s="30" t="n">
        <f aca="false">IF(B5=0,0,B19/B5)</f>
        <v>-0.0719938175645494</v>
      </c>
      <c r="C20" s="30" t="n">
        <f aca="false">IF(C5=0,0,C19/C5)</f>
        <v>0.0609790482989971</v>
      </c>
      <c r="D20" s="30" t="n">
        <f aca="false">IF(D5=0,0,D19/D5)</f>
        <v>0.091502178483536</v>
      </c>
    </row>
    <row r="21" customFormat="false" ht="15" hidden="false" customHeight="false" outlineLevel="0" collapsed="false">
      <c r="A21" s="4" t="s">
        <v>12</v>
      </c>
      <c r="B21" s="14" t="n">
        <f aca="false">INDEX(Monthly!$C$27:$AL$27,B3*12)</f>
        <v>59833.52</v>
      </c>
      <c r="C21" s="14" t="n">
        <f aca="false">INDEX(Monthly!$C$27:$AL$27,C3*12)</f>
        <v>107617.063552</v>
      </c>
      <c r="D21" s="14" t="n">
        <f aca="false">INDEX(Monthly!$C$27:$AL$27,D3*12)</f>
        <v>171311.171032474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24" hidden="false" customHeight="true" outlineLevel="0" collapsed="false">
      <c r="A1" s="1" t="s">
        <v>17</v>
      </c>
      <c r="B1" s="2"/>
      <c r="C1" s="2"/>
    </row>
    <row r="2" customFormat="false" ht="15" hidden="false" customHeight="false" outlineLevel="0" collapsed="false">
      <c r="A2" s="3" t="s">
        <v>84</v>
      </c>
    </row>
    <row r="3" customFormat="false" ht="15" hidden="false" customHeight="false" outlineLevel="0" collapsed="false">
      <c r="A3" s="36" t="s">
        <v>85</v>
      </c>
      <c r="B3" s="36" t="s">
        <v>86</v>
      </c>
      <c r="C3" s="36" t="s">
        <v>87</v>
      </c>
    </row>
    <row r="4" customFormat="false" ht="15" hidden="false" customHeight="false" outlineLevel="0" collapsed="false">
      <c r="A4" s="11" t="s">
        <v>88</v>
      </c>
      <c r="B4" s="4" t="str">
        <f aca="false">IF(ABS(SUM('P&amp;L'!B5:D5)-SUM(Monthly!$C$10:$AL$10))&lt;0.5,"PASS","FAIL")</f>
        <v>PASS</v>
      </c>
      <c r="C4" s="20" t="s">
        <v>89</v>
      </c>
    </row>
    <row r="5" customFormat="false" ht="15" hidden="false" customHeight="false" outlineLevel="0" collapsed="false">
      <c r="A5" s="11" t="s">
        <v>90</v>
      </c>
      <c r="B5" s="4" t="str">
        <f aca="false">IF(ABS(Monthly!$AL$27-(Monthly!$C$25+SUM(Monthly!$C$26:$AL$26)))&lt;0.5,"PASS","FAIL")</f>
        <v>PASS</v>
      </c>
      <c r="C5" s="20" t="s">
        <v>91</v>
      </c>
    </row>
    <row r="6" customFormat="false" ht="15" hidden="false" customHeight="false" outlineLevel="0" collapsed="false">
      <c r="A6" s="11" t="s">
        <v>92</v>
      </c>
      <c r="B6" s="4" t="str">
        <f aca="false">IF(ABS(SUM(Monthly!$C$19:$AL$19)-SUM(Monthly!$C$12:$AL$12)-SUM(Monthly!$C$18:$AL$18))&lt;0.5,"PASS","FAIL")</f>
        <v>PASS</v>
      </c>
      <c r="C6" s="20" t="s">
        <v>93</v>
      </c>
    </row>
    <row r="7" customFormat="false" ht="15" hidden="false" customHeight="false" outlineLevel="0" collapsed="false">
      <c r="A7" s="11" t="s">
        <v>94</v>
      </c>
      <c r="B7" s="4" t="str">
        <f aca="false">IF(AND(ISNUMBER(Dashboard!B4),Dashboard!B4&gt;=1,Dashboard!B4&lt;=3,INT(Dashboard!B4)=Dashboard!B4),"PASS","FAIL")</f>
        <v>PASS</v>
      </c>
      <c r="C7" s="20" t="s">
        <v>95</v>
      </c>
    </row>
    <row r="8" customFormat="false" ht="15" hidden="false" customHeight="false" outlineLevel="0" collapsed="false">
      <c r="A8" s="11" t="s">
        <v>96</v>
      </c>
      <c r="B8" s="4" t="str">
        <f aca="false">IF(AND(Inputs!$B$5&lt;=Inputs!$C$5,Inputs!$C$5&lt;=Inputs!$D$5,Inputs!$B$9&lt;=Inputs!$C$9,Inputs!$C$9&lt;=Inputs!$D$9),"PASS","FAIL")</f>
        <v>PASS</v>
      </c>
      <c r="C8" s="20" t="s">
        <v>97</v>
      </c>
    </row>
    <row r="9" customFormat="false" ht="15" hidden="false" customHeight="false" outlineLevel="0" collapsed="false">
      <c r="A9" s="11" t="s">
        <v>98</v>
      </c>
      <c r="B9" s="4" t="str">
        <f aca="false">IF(AND(MIN('P&amp;L'!B8:D8)&gt;=0,MAX('P&amp;L'!B8:D8)&lt;=1),"PASS","FAIL")</f>
        <v>PASS</v>
      </c>
      <c r="C9" s="20" t="s">
        <v>99</v>
      </c>
    </row>
    <row r="10" customFormat="false" ht="15" hidden="false" customHeight="false" outlineLevel="0" collapsed="false">
      <c r="A10" s="11" t="s">
        <v>100</v>
      </c>
      <c r="B10" s="4" t="str">
        <f aca="false">IF(SUMPRODUCT(--ISERROR(Monthly!$C$3:$AL$29))=0,"PASS","FAIL")</f>
        <v>PASS</v>
      </c>
      <c r="C10" s="20" t="s">
        <v>101</v>
      </c>
    </row>
    <row r="11" customFormat="false" ht="15" hidden="false" customHeight="false" outlineLevel="0" collapsed="false">
      <c r="A11" s="11" t="s">
        <v>102</v>
      </c>
      <c r="B11" s="4" t="str">
        <f aca="false">IF(MIN(Monthly!$C$27:$AL$27)&gt;=0,"PASS","WARN")</f>
        <v>PASS</v>
      </c>
      <c r="C11" s="20" t="s">
        <v>103</v>
      </c>
    </row>
    <row r="13" customFormat="false" ht="15" hidden="false" customHeight="false" outlineLevel="0" collapsed="false">
      <c r="A13" s="4" t="s">
        <v>104</v>
      </c>
      <c r="B13" s="37" t="str">
        <f aca="false">IF(COUNTIF(B4:B11,"FAIL")&gt;0,"FAIL",IF(COUNTIF(B4:B11,"WARN")&gt;0,"PASS WITH WARNINGS","PASS"))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2026-10-15T21:15:53Z</dcterms:created>
  <dc:creator>openpyxl</dc:creator>
  <dc:description/>
  <dc:language>en-US</dc:language>
  <cp:lastModifiedBy/>
  <dcterms:modified xsi:type="dcterms:W3CDTF">2026-10-15T21:15:53Z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